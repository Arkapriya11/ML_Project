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1" sheetId="39" r:id="rId32"/>
  </sheets>
  <calcPr calcId="144525"/>
</workbook>
</file>

<file path=xl/calcChain.xml><?xml version="1.0" encoding="utf-8"?>
<calcChain xmlns="http://schemas.openxmlformats.org/spreadsheetml/2006/main">
  <c r="C45" i="39" l="1"/>
  <c r="D45" i="39"/>
  <c r="E45" i="39"/>
  <c r="F45" i="39"/>
  <c r="G45" i="39"/>
  <c r="H45" i="39"/>
  <c r="I45" i="39"/>
  <c r="J45" i="39"/>
  <c r="K45" i="39"/>
  <c r="L45" i="39"/>
  <c r="M45" i="39"/>
  <c r="N45" i="39"/>
  <c r="O45" i="39"/>
  <c r="P45" i="39"/>
  <c r="Q45" i="39"/>
  <c r="B45" i="39"/>
  <c r="C39" i="39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B39" i="39"/>
  <c r="A39" i="39"/>
  <c r="N17" i="39"/>
  <c r="O17" i="39"/>
  <c r="P17" i="39"/>
  <c r="N15" i="39"/>
  <c r="O15" i="39"/>
  <c r="P15" i="39"/>
  <c r="Q38" i="42"/>
  <c r="Q40" i="42" s="1"/>
  <c r="P38" i="42"/>
  <c r="P40" i="42" s="1"/>
  <c r="O38" i="42"/>
  <c r="O40" i="42" s="1"/>
  <c r="N38" i="42"/>
  <c r="N39" i="42" s="1"/>
  <c r="M38" i="42"/>
  <c r="M40" i="42" s="1"/>
  <c r="L38" i="42"/>
  <c r="L40" i="42" s="1"/>
  <c r="K38" i="42"/>
  <c r="K40" i="42" s="1"/>
  <c r="J38" i="42"/>
  <c r="J40" i="42" s="1"/>
  <c r="I38" i="42"/>
  <c r="I40" i="42" s="1"/>
  <c r="H38" i="42"/>
  <c r="H40" i="42" s="1"/>
  <c r="G38" i="42"/>
  <c r="G40" i="42" s="1"/>
  <c r="F38" i="42"/>
  <c r="F40" i="42" s="1"/>
  <c r="E38" i="42"/>
  <c r="E39" i="42" s="1"/>
  <c r="D38" i="42"/>
  <c r="D39" i="42" s="1"/>
  <c r="C38" i="42"/>
  <c r="C39" i="42" s="1"/>
  <c r="B38" i="42"/>
  <c r="B40" i="42" s="1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H38" i="33"/>
  <c r="H38" i="30"/>
  <c r="G38" i="30"/>
  <c r="H38" i="21"/>
  <c r="G38" i="21"/>
  <c r="H38" i="13"/>
  <c r="E40" i="42" l="1"/>
  <c r="B39" i="42"/>
  <c r="G39" i="42"/>
  <c r="H39" i="42"/>
  <c r="I39" i="42"/>
  <c r="D40" i="42"/>
  <c r="F39" i="42"/>
  <c r="J39" i="42"/>
  <c r="C40" i="42"/>
  <c r="K39" i="42"/>
  <c r="L39" i="42"/>
  <c r="M39" i="42"/>
  <c r="N40" i="42"/>
  <c r="O39" i="42"/>
  <c r="P39" i="42"/>
  <c r="Q39" i="42"/>
  <c r="B2" i="20"/>
  <c r="D38" i="39"/>
  <c r="C38" i="39"/>
  <c r="E37" i="39"/>
  <c r="D37" i="39"/>
  <c r="F36" i="39"/>
  <c r="E36" i="39"/>
  <c r="G34" i="39"/>
  <c r="K31" i="39"/>
  <c r="J31" i="39"/>
  <c r="A31" i="39"/>
  <c r="L30" i="39"/>
  <c r="K30" i="39"/>
  <c r="M29" i="39"/>
  <c r="L29" i="39"/>
  <c r="N28" i="39"/>
  <c r="M28" i="39"/>
  <c r="O27" i="39"/>
  <c r="N27" i="39"/>
  <c r="O26" i="39"/>
  <c r="Q25" i="39"/>
  <c r="P25" i="39"/>
  <c r="A25" i="39"/>
  <c r="Q24" i="39"/>
  <c r="B24" i="39"/>
  <c r="A24" i="39"/>
  <c r="B23" i="39"/>
  <c r="A23" i="39"/>
  <c r="I22" i="39"/>
  <c r="C22" i="39"/>
  <c r="D21" i="39"/>
  <c r="F19" i="39"/>
  <c r="H18" i="39"/>
  <c r="G18" i="39"/>
  <c r="I16" i="39"/>
  <c r="K15" i="39"/>
  <c r="J15" i="39"/>
  <c r="K14" i="39"/>
  <c r="M13" i="39"/>
  <c r="L13" i="39"/>
  <c r="M12" i="39"/>
  <c r="N11" i="39"/>
  <c r="O10" i="39"/>
  <c r="C40" i="41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39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E38" i="39" s="1"/>
  <c r="D36" i="41"/>
  <c r="C36" i="4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B40" i="40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39" i="40" s="1"/>
  <c r="B38" i="40"/>
  <c r="B39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G37" i="39" s="1"/>
  <c r="F36" i="40"/>
  <c r="F37" i="39" s="1"/>
  <c r="E36" i="40"/>
  <c r="D36" i="40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B40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40" i="33"/>
  <c r="G38" i="33"/>
  <c r="G40" i="33" s="1"/>
  <c r="F38" i="33"/>
  <c r="F40" i="33" s="1"/>
  <c r="E38" i="33"/>
  <c r="E40" i="33" s="1"/>
  <c r="D38" i="33"/>
  <c r="D40" i="33" s="1"/>
  <c r="C38" i="33"/>
  <c r="C39" i="33" s="1"/>
  <c r="B38" i="33"/>
  <c r="B39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E36" i="33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40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F40" i="3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39" i="31" s="1"/>
  <c r="E38" i="31"/>
  <c r="E39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40" i="30"/>
  <c r="G40" i="30"/>
  <c r="F38" i="30"/>
  <c r="F40" i="30" s="1"/>
  <c r="E38" i="30"/>
  <c r="E40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39" i="29" s="1"/>
  <c r="I38" i="29"/>
  <c r="I40" i="29" s="1"/>
  <c r="H38" i="29"/>
  <c r="H40" i="29" s="1"/>
  <c r="G38" i="29"/>
  <c r="G40" i="29" s="1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39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J36" i="28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39" i="27" s="1"/>
  <c r="H38" i="27"/>
  <c r="H39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K36" i="27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I39" i="26"/>
  <c r="H39" i="26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L36" i="26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39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M36" i="25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38" i="24"/>
  <c r="H39" i="24" s="1"/>
  <c r="G38" i="24"/>
  <c r="G40" i="24" s="1"/>
  <c r="F38" i="24"/>
  <c r="F40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39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40" i="21" s="1"/>
  <c r="H39" i="21"/>
  <c r="G40" i="2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38" i="19"/>
  <c r="H40" i="19" s="1"/>
  <c r="G38" i="19"/>
  <c r="G40" i="19" s="1"/>
  <c r="F38" i="19"/>
  <c r="F39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G40" i="18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39" i="18" s="1"/>
  <c r="F38" i="18"/>
  <c r="F40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J39" i="16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39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J40" i="14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39" i="14" s="1"/>
  <c r="I38" i="14"/>
  <c r="I39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40" i="13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G39" i="12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J36" i="12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39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H39" i="10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39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I40" i="9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39" i="9" s="1"/>
  <c r="H38" i="9"/>
  <c r="H40" i="9" s="1"/>
  <c r="G38" i="9"/>
  <c r="G40" i="9" s="1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J40" i="8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39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40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40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B39" i="41" l="1"/>
  <c r="D39" i="41"/>
  <c r="E39" i="41"/>
  <c r="F39" i="41"/>
  <c r="G39" i="41"/>
  <c r="H39" i="41"/>
  <c r="I39" i="41"/>
  <c r="J39" i="41"/>
  <c r="K39" i="41"/>
  <c r="L39" i="41"/>
  <c r="M39" i="41"/>
  <c r="N39" i="41"/>
  <c r="O39" i="41"/>
  <c r="P39" i="41"/>
  <c r="Q39" i="41"/>
  <c r="D39" i="40"/>
  <c r="E39" i="40"/>
  <c r="F39" i="40"/>
  <c r="G39" i="40"/>
  <c r="H39" i="40"/>
  <c r="I39" i="40"/>
  <c r="J39" i="40"/>
  <c r="K39" i="40"/>
  <c r="L39" i="40"/>
  <c r="M39" i="40"/>
  <c r="N39" i="40"/>
  <c r="C40" i="40"/>
  <c r="O39" i="40"/>
  <c r="P39" i="40"/>
  <c r="Q39" i="40"/>
  <c r="D39" i="33"/>
  <c r="E39" i="33"/>
  <c r="F39" i="33"/>
  <c r="G39" i="33"/>
  <c r="H39" i="33"/>
  <c r="I39" i="33"/>
  <c r="J39" i="33"/>
  <c r="K39" i="33"/>
  <c r="L39" i="33"/>
  <c r="M39" i="33"/>
  <c r="N39" i="33"/>
  <c r="C40" i="33"/>
  <c r="O39" i="33"/>
  <c r="P39" i="33"/>
  <c r="Q39" i="33"/>
  <c r="D39" i="32"/>
  <c r="E39" i="32"/>
  <c r="F39" i="32"/>
  <c r="G39" i="32"/>
  <c r="H39" i="32"/>
  <c r="I39" i="32"/>
  <c r="J39" i="32"/>
  <c r="K39" i="32"/>
  <c r="L39" i="32"/>
  <c r="M39" i="32"/>
  <c r="N39" i="32"/>
  <c r="O39" i="32"/>
  <c r="P39" i="32"/>
  <c r="Q39" i="32"/>
  <c r="B39" i="32"/>
  <c r="C39" i="32"/>
  <c r="G39" i="31"/>
  <c r="H39" i="31"/>
  <c r="I39" i="31"/>
  <c r="J39" i="31"/>
  <c r="K39" i="31"/>
  <c r="L39" i="31"/>
  <c r="M39" i="31"/>
  <c r="E40" i="31"/>
  <c r="N39" i="31"/>
  <c r="O39" i="31"/>
  <c r="P39" i="31"/>
  <c r="Q39" i="31"/>
  <c r="B39" i="31"/>
  <c r="C39" i="31"/>
  <c r="D39" i="31"/>
  <c r="G39" i="30"/>
  <c r="H39" i="30"/>
  <c r="I39" i="30"/>
  <c r="J39" i="30"/>
  <c r="K39" i="30"/>
  <c r="L39" i="30"/>
  <c r="M39" i="30"/>
  <c r="N39" i="30"/>
  <c r="O39" i="30"/>
  <c r="P39" i="30"/>
  <c r="Q39" i="30"/>
  <c r="B39" i="30"/>
  <c r="C39" i="30"/>
  <c r="D39" i="30"/>
  <c r="E39" i="30"/>
  <c r="F39" i="30"/>
  <c r="K39" i="29"/>
  <c r="L39" i="29"/>
  <c r="M39" i="29"/>
  <c r="N39" i="29"/>
  <c r="O39" i="29"/>
  <c r="P39" i="29"/>
  <c r="Q39" i="29"/>
  <c r="B39" i="29"/>
  <c r="C39" i="29"/>
  <c r="D39" i="29"/>
  <c r="I39" i="29"/>
  <c r="E39" i="29"/>
  <c r="F39" i="29"/>
  <c r="J40" i="29"/>
  <c r="G39" i="29"/>
  <c r="H39" i="29"/>
  <c r="J39" i="28"/>
  <c r="K39" i="28"/>
  <c r="L39" i="28"/>
  <c r="M39" i="28"/>
  <c r="H39" i="28"/>
  <c r="I40" i="28"/>
  <c r="N39" i="28"/>
  <c r="O39" i="28"/>
  <c r="P39" i="28"/>
  <c r="Q39" i="28"/>
  <c r="B39" i="28"/>
  <c r="C39" i="28"/>
  <c r="D39" i="28"/>
  <c r="E39" i="28"/>
  <c r="F39" i="28"/>
  <c r="G39" i="28"/>
  <c r="J39" i="27"/>
  <c r="K39" i="27"/>
  <c r="L39" i="27"/>
  <c r="M39" i="27"/>
  <c r="N39" i="27"/>
  <c r="I40" i="27"/>
  <c r="O39" i="27"/>
  <c r="H40" i="27"/>
  <c r="P39" i="27"/>
  <c r="Q39" i="27"/>
  <c r="B39" i="27"/>
  <c r="C39" i="27"/>
  <c r="D39" i="27"/>
  <c r="E39" i="27"/>
  <c r="F39" i="27"/>
  <c r="G39" i="27"/>
  <c r="J39" i="26"/>
  <c r="K39" i="26"/>
  <c r="L39" i="26"/>
  <c r="M39" i="26"/>
  <c r="N39" i="26"/>
  <c r="O39" i="26"/>
  <c r="P39" i="26"/>
  <c r="Q39" i="26"/>
  <c r="B39" i="26"/>
  <c r="C39" i="26"/>
  <c r="D39" i="26"/>
  <c r="E39" i="26"/>
  <c r="F39" i="26"/>
  <c r="G39" i="26"/>
  <c r="H39" i="25"/>
  <c r="J39" i="25"/>
  <c r="K39" i="25"/>
  <c r="L39" i="25"/>
  <c r="M39" i="25"/>
  <c r="N39" i="25"/>
  <c r="O39" i="25"/>
  <c r="P39" i="25"/>
  <c r="Q39" i="25"/>
  <c r="B39" i="25"/>
  <c r="I40" i="25"/>
  <c r="C39" i="25"/>
  <c r="D39" i="25"/>
  <c r="E39" i="25"/>
  <c r="F39" i="25"/>
  <c r="G39" i="25"/>
  <c r="J39" i="24"/>
  <c r="I39" i="24"/>
  <c r="K39" i="24"/>
  <c r="L39" i="24"/>
  <c r="M39" i="24"/>
  <c r="N39" i="24"/>
  <c r="O39" i="24"/>
  <c r="H40" i="24"/>
  <c r="P39" i="24"/>
  <c r="Q39" i="24"/>
  <c r="B39" i="24"/>
  <c r="C39" i="24"/>
  <c r="D39" i="24"/>
  <c r="E39" i="24"/>
  <c r="F39" i="24"/>
  <c r="G39" i="24"/>
  <c r="J39" i="23"/>
  <c r="K39" i="23"/>
  <c r="L39" i="23"/>
  <c r="M39" i="23"/>
  <c r="N39" i="23"/>
  <c r="O39" i="23"/>
  <c r="I39" i="23"/>
  <c r="P39" i="23"/>
  <c r="Q39" i="23"/>
  <c r="B39" i="23"/>
  <c r="C39" i="23"/>
  <c r="D39" i="23"/>
  <c r="E39" i="23"/>
  <c r="F39" i="23"/>
  <c r="G39" i="23"/>
  <c r="H39" i="23"/>
  <c r="H39" i="22"/>
  <c r="J39" i="22"/>
  <c r="K39" i="22"/>
  <c r="L39" i="22"/>
  <c r="M39" i="22"/>
  <c r="N39" i="22"/>
  <c r="O39" i="22"/>
  <c r="P39" i="22"/>
  <c r="I40" i="22"/>
  <c r="Q39" i="22"/>
  <c r="B39" i="22"/>
  <c r="C39" i="22"/>
  <c r="D39" i="22"/>
  <c r="E39" i="22"/>
  <c r="F39" i="22"/>
  <c r="G39" i="22"/>
  <c r="G39" i="21"/>
  <c r="H40" i="21"/>
  <c r="I39" i="21"/>
  <c r="J39" i="21"/>
  <c r="K39" i="21"/>
  <c r="L39" i="21"/>
  <c r="M39" i="21"/>
  <c r="N39" i="21"/>
  <c r="O39" i="21"/>
  <c r="P39" i="21"/>
  <c r="Q39" i="21"/>
  <c r="B39" i="21"/>
  <c r="C39" i="21"/>
  <c r="D39" i="21"/>
  <c r="E39" i="21"/>
  <c r="F39" i="21"/>
  <c r="H39" i="20"/>
  <c r="I39" i="20"/>
  <c r="J39" i="20"/>
  <c r="K39" i="20"/>
  <c r="L39" i="20"/>
  <c r="M39" i="20"/>
  <c r="N39" i="20"/>
  <c r="O39" i="20"/>
  <c r="G39" i="20"/>
  <c r="P39" i="20"/>
  <c r="Q39" i="20"/>
  <c r="B39" i="20"/>
  <c r="C39" i="20"/>
  <c r="D39" i="20"/>
  <c r="E39" i="20"/>
  <c r="F39" i="20"/>
  <c r="G39" i="19"/>
  <c r="H39" i="19"/>
  <c r="I39" i="19"/>
  <c r="J39" i="19"/>
  <c r="K39" i="19"/>
  <c r="L39" i="19"/>
  <c r="F40" i="19"/>
  <c r="M39" i="19"/>
  <c r="N39" i="19"/>
  <c r="O39" i="19"/>
  <c r="P39" i="19"/>
  <c r="Q39" i="19"/>
  <c r="B39" i="19"/>
  <c r="C39" i="19"/>
  <c r="D39" i="19"/>
  <c r="E39" i="19"/>
  <c r="H39" i="18"/>
  <c r="I39" i="18"/>
  <c r="J39" i="18"/>
  <c r="K39" i="18"/>
  <c r="L39" i="18"/>
  <c r="M39" i="18"/>
  <c r="N39" i="18"/>
  <c r="O39" i="18"/>
  <c r="P39" i="18"/>
  <c r="Q39" i="18"/>
  <c r="B39" i="18"/>
  <c r="C39" i="18"/>
  <c r="D39" i="18"/>
  <c r="E39" i="18"/>
  <c r="F39" i="18"/>
  <c r="I39" i="17"/>
  <c r="J39" i="17"/>
  <c r="K39" i="17"/>
  <c r="L39" i="17"/>
  <c r="M39" i="17"/>
  <c r="N39" i="17"/>
  <c r="O39" i="17"/>
  <c r="P39" i="17"/>
  <c r="Q39" i="17"/>
  <c r="B39" i="17"/>
  <c r="C39" i="17"/>
  <c r="D39" i="17"/>
  <c r="E39" i="17"/>
  <c r="F39" i="17"/>
  <c r="G39" i="17"/>
  <c r="H39" i="17"/>
  <c r="K39" i="16"/>
  <c r="L39" i="16"/>
  <c r="M39" i="16"/>
  <c r="N39" i="16"/>
  <c r="O39" i="16"/>
  <c r="P39" i="16"/>
  <c r="Q39" i="16"/>
  <c r="B39" i="16"/>
  <c r="C39" i="16"/>
  <c r="D39" i="16"/>
  <c r="E39" i="16"/>
  <c r="F39" i="16"/>
  <c r="G39" i="16"/>
  <c r="H39" i="16"/>
  <c r="I39" i="16"/>
  <c r="J40" i="15"/>
  <c r="L39" i="15"/>
  <c r="M39" i="15"/>
  <c r="N39" i="15"/>
  <c r="O39" i="15"/>
  <c r="P39" i="15"/>
  <c r="Q39" i="15"/>
  <c r="B39" i="15"/>
  <c r="C39" i="15"/>
  <c r="D39" i="15"/>
  <c r="K39" i="15"/>
  <c r="E39" i="15"/>
  <c r="F39" i="15"/>
  <c r="G39" i="15"/>
  <c r="H39" i="15"/>
  <c r="I39" i="15"/>
  <c r="K39" i="14"/>
  <c r="L39" i="14"/>
  <c r="M39" i="14"/>
  <c r="N39" i="14"/>
  <c r="O39" i="14"/>
  <c r="P39" i="14"/>
  <c r="Q39" i="14"/>
  <c r="B39" i="14"/>
  <c r="C39" i="14"/>
  <c r="I40" i="14"/>
  <c r="D39" i="14"/>
  <c r="E39" i="14"/>
  <c r="F39" i="14"/>
  <c r="G39" i="14"/>
  <c r="H39" i="14"/>
  <c r="L39" i="13"/>
  <c r="M39" i="13"/>
  <c r="N39" i="13"/>
  <c r="O39" i="13"/>
  <c r="P39" i="13"/>
  <c r="K39" i="13"/>
  <c r="Q39" i="13"/>
  <c r="J39" i="13"/>
  <c r="B39" i="13"/>
  <c r="C39" i="13"/>
  <c r="D39" i="13"/>
  <c r="E39" i="13"/>
  <c r="F39" i="13"/>
  <c r="G39" i="13"/>
  <c r="H39" i="13"/>
  <c r="I39" i="13"/>
  <c r="I39" i="12"/>
  <c r="J39" i="12"/>
  <c r="K39" i="12"/>
  <c r="L39" i="12"/>
  <c r="M39" i="12"/>
  <c r="H39" i="12"/>
  <c r="N39" i="12"/>
  <c r="O39" i="12"/>
  <c r="P39" i="12"/>
  <c r="Q39" i="12"/>
  <c r="B39" i="12"/>
  <c r="C39" i="12"/>
  <c r="D39" i="12"/>
  <c r="E39" i="12"/>
  <c r="F39" i="12"/>
  <c r="I39" i="11"/>
  <c r="J39" i="11"/>
  <c r="K39" i="11"/>
  <c r="L39" i="11"/>
  <c r="M39" i="11"/>
  <c r="N39" i="11"/>
  <c r="O39" i="11"/>
  <c r="P39" i="11"/>
  <c r="H40" i="11"/>
  <c r="Q39" i="11"/>
  <c r="B39" i="11"/>
  <c r="C39" i="11"/>
  <c r="D39" i="11"/>
  <c r="E39" i="11"/>
  <c r="F39" i="11"/>
  <c r="G39" i="11"/>
  <c r="J39" i="10"/>
  <c r="K39" i="10"/>
  <c r="L39" i="10"/>
  <c r="M39" i="10"/>
  <c r="N39" i="10"/>
  <c r="O39" i="10"/>
  <c r="P39" i="10"/>
  <c r="Q39" i="10"/>
  <c r="I40" i="10"/>
  <c r="B39" i="10"/>
  <c r="C39" i="10"/>
  <c r="D39" i="10"/>
  <c r="E39" i="10"/>
  <c r="F39" i="10"/>
  <c r="G39" i="10"/>
  <c r="J39" i="9"/>
  <c r="K39" i="9"/>
  <c r="L39" i="9"/>
  <c r="M39" i="9"/>
  <c r="N39" i="9"/>
  <c r="O39" i="9"/>
  <c r="P39" i="9"/>
  <c r="Q39" i="9"/>
  <c r="B39" i="9"/>
  <c r="C39" i="9"/>
  <c r="D39" i="9"/>
  <c r="E39" i="9"/>
  <c r="F39" i="9"/>
  <c r="G39" i="9"/>
  <c r="H39" i="9"/>
  <c r="K39" i="8"/>
  <c r="L39" i="8"/>
  <c r="M39" i="8"/>
  <c r="N39" i="8"/>
  <c r="O39" i="8"/>
  <c r="P39" i="8"/>
  <c r="Q39" i="8"/>
  <c r="B39" i="8"/>
  <c r="C39" i="8"/>
  <c r="D39" i="8"/>
  <c r="E39" i="8"/>
  <c r="F39" i="8"/>
  <c r="G39" i="8"/>
  <c r="H39" i="8"/>
  <c r="I39" i="8"/>
  <c r="L39" i="3"/>
  <c r="M39" i="3"/>
  <c r="N39" i="3"/>
  <c r="O39" i="3"/>
  <c r="P39" i="3"/>
  <c r="Q39" i="3"/>
  <c r="B39" i="3"/>
  <c r="C39" i="3"/>
  <c r="K39" i="3"/>
  <c r="D39" i="3"/>
  <c r="E39" i="3"/>
  <c r="F39" i="3"/>
  <c r="G39" i="3"/>
  <c r="H39" i="3"/>
  <c r="I39" i="3"/>
  <c r="J39" i="3"/>
  <c r="N44" i="39"/>
  <c r="N43" i="39"/>
  <c r="N42" i="39"/>
  <c r="N41" i="39"/>
  <c r="L44" i="39"/>
  <c r="L43" i="39"/>
  <c r="L42" i="39"/>
  <c r="L41" i="39"/>
  <c r="M44" i="39"/>
  <c r="M43" i="39"/>
  <c r="M42" i="39"/>
  <c r="M41" i="39"/>
  <c r="O44" i="39"/>
  <c r="O43" i="39"/>
  <c r="O42" i="39"/>
  <c r="O41" i="39"/>
  <c r="B44" i="39"/>
  <c r="B43" i="39"/>
  <c r="B42" i="39"/>
  <c r="B41" i="39"/>
  <c r="C44" i="39"/>
  <c r="C43" i="39"/>
  <c r="C42" i="39"/>
  <c r="C41" i="39"/>
  <c r="D44" i="39"/>
  <c r="D43" i="39"/>
  <c r="D42" i="39"/>
  <c r="D41" i="39"/>
  <c r="E44" i="39"/>
  <c r="E43" i="39"/>
  <c r="E42" i="39"/>
  <c r="E41" i="39"/>
  <c r="F44" i="39"/>
  <c r="F43" i="39"/>
  <c r="F42" i="39"/>
  <c r="F41" i="39"/>
  <c r="G44" i="39"/>
  <c r="G43" i="39"/>
  <c r="G42" i="39"/>
  <c r="G41" i="39"/>
  <c r="Q44" i="39"/>
  <c r="Q43" i="39"/>
  <c r="Q42" i="39"/>
  <c r="Q41" i="39"/>
  <c r="H44" i="39"/>
  <c r="H43" i="39"/>
  <c r="H42" i="39"/>
  <c r="H41" i="39"/>
  <c r="P44" i="39"/>
  <c r="P43" i="39"/>
  <c r="P42" i="39"/>
  <c r="P41" i="39"/>
  <c r="I44" i="39"/>
  <c r="I43" i="39"/>
  <c r="I42" i="39"/>
  <c r="I41" i="39"/>
  <c r="J44" i="39"/>
  <c r="J43" i="39"/>
  <c r="J42" i="39"/>
  <c r="J41" i="39"/>
  <c r="K44" i="39"/>
  <c r="K43" i="39"/>
  <c r="K42" i="39"/>
  <c r="K41" i="39"/>
  <c r="N39" i="2"/>
  <c r="O39" i="2"/>
  <c r="P39" i="2"/>
  <c r="Q39" i="2"/>
  <c r="B39" i="2"/>
  <c r="C39" i="2"/>
  <c r="D39" i="2"/>
  <c r="E39" i="2"/>
  <c r="F39" i="2"/>
  <c r="G39" i="2"/>
  <c r="H39" i="2"/>
  <c r="I39" i="2"/>
  <c r="J39" i="2"/>
  <c r="K39" i="2"/>
  <c r="L39" i="2"/>
  <c r="M39" i="2"/>
  <c r="D47" i="39" l="1"/>
  <c r="D46" i="39"/>
  <c r="P47" i="39"/>
  <c r="P46" i="39"/>
  <c r="M47" i="39"/>
  <c r="M46" i="39"/>
  <c r="C47" i="39"/>
  <c r="C46" i="39"/>
  <c r="G47" i="39"/>
  <c r="G46" i="39"/>
  <c r="F47" i="39"/>
  <c r="F46" i="39"/>
  <c r="H47" i="39"/>
  <c r="H46" i="39"/>
  <c r="K47" i="39"/>
  <c r="K46" i="39"/>
  <c r="J47" i="39"/>
  <c r="J46" i="39"/>
  <c r="L47" i="39"/>
  <c r="L46" i="39"/>
  <c r="B47" i="39"/>
  <c r="B46" i="39"/>
  <c r="O47" i="39"/>
  <c r="O46" i="39"/>
  <c r="E47" i="39"/>
  <c r="E46" i="39"/>
  <c r="Q47" i="39"/>
  <c r="Q46" i="39"/>
  <c r="I47" i="39"/>
  <c r="I46" i="39"/>
  <c r="N47" i="39"/>
  <c r="N46" i="39"/>
</calcChain>
</file>

<file path=xl/sharedStrings.xml><?xml version="1.0" encoding="utf-8"?>
<sst xmlns="http://schemas.openxmlformats.org/spreadsheetml/2006/main" count="2889" uniqueCount="804">
  <si>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</si>
  <si>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</si>
  <si>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</si>
  <si>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</si>
  <si>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</si>
  <si>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</si>
  <si>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</si>
  <si>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</si>
  <si>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</si>
  <si>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</si>
  <si>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</si>
  <si>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</si>
  <si>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</si>
  <si>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</si>
  <si>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</si>
  <si>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</si>
  <si>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</si>
  <si>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</si>
  <si>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</si>
  <si>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</si>
  <si>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</si>
  <si>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</si>
  <si>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</si>
  <si>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</si>
  <si>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</si>
  <si>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</si>
  <si>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</si>
  <si>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</si>
  <si>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</si>
  <si>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</si>
  <si>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</si>
  <si>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</si>
  <si>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</si>
  <si>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</si>
  <si>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</si>
  <si>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</si>
  <si>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</si>
  <si>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</si>
  <si>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</si>
  <si>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</si>
  <si>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</si>
  <si>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</si>
  <si>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</si>
  <si>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</si>
  <si>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</si>
  <si>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</si>
  <si>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</si>
  <si>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</si>
  <si>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</si>
  <si>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</si>
  <si>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</si>
  <si>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</si>
  <si>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</si>
  <si>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</si>
  <si>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</si>
  <si>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</si>
  <si>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</si>
  <si>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</si>
  <si>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</si>
  <si>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</si>
  <si>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</si>
  <si>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</si>
  <si>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</si>
  <si>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</si>
  <si>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</si>
  <si>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</si>
  <si>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</si>
  <si>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</si>
  <si>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</si>
  <si>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</si>
  <si>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</si>
  <si>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</si>
  <si>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</si>
  <si>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</si>
  <si>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</si>
  <si>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</si>
  <si>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</si>
  <si>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</si>
  <si>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</si>
  <si>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</si>
  <si>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</si>
  <si>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</si>
  <si>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</si>
  <si>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</si>
  <si>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</si>
  <si>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</si>
  <si>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</si>
  <si>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</si>
  <si>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</si>
  <si>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</si>
  <si>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</si>
  <si>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</si>
  <si>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</si>
  <si>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</si>
  <si>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</si>
  <si>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</si>
  <si>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</si>
  <si>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</si>
  <si>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</si>
  <si>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</si>
  <si>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</si>
  <si>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</si>
  <si>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</si>
  <si>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</si>
  <si>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</si>
  <si>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</si>
  <si>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</si>
  <si>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</si>
  <si>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</si>
  <si>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</si>
  <si>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</si>
  <si>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</si>
  <si>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</si>
  <si>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</si>
  <si>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</si>
  <si>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</si>
  <si>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</si>
  <si>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</si>
  <si>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</si>
  <si>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</si>
  <si>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</si>
  <si>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</si>
  <si>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</si>
  <si>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</si>
  <si>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</si>
  <si>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</si>
  <si>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</si>
  <si>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</si>
  <si>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</si>
  <si>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</si>
  <si>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</si>
  <si>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</si>
  <si>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</si>
  <si>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</si>
  <si>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</si>
  <si>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</si>
  <si>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</si>
  <si>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</si>
  <si>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</si>
  <si>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</si>
  <si>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</si>
  <si>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</si>
  <si>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</si>
  <si>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</si>
  <si>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</si>
  <si>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</si>
  <si>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</si>
  <si>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</si>
  <si>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</si>
  <si>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</si>
  <si>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</si>
  <si>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</si>
  <si>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</si>
  <si>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</si>
  <si>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</si>
  <si>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</si>
  <si>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</si>
  <si>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</si>
  <si>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</si>
  <si>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</si>
  <si>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</si>
  <si>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</si>
  <si>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</si>
  <si>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</si>
  <si>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</si>
  <si>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</si>
  <si>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</si>
  <si>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</si>
  <si>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</si>
  <si>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</si>
  <si>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</si>
  <si>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</si>
  <si>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</si>
  <si>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</si>
  <si>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</si>
  <si>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</si>
  <si>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</si>
  <si>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</si>
  <si>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</si>
  <si>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</si>
  <si>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</si>
  <si>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</si>
  <si>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</si>
  <si>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</si>
  <si>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</si>
  <si>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</si>
  <si>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</si>
  <si>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</si>
  <si>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</si>
  <si>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</si>
  <si>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</si>
  <si>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</si>
  <si>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</si>
  <si>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</si>
  <si>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</si>
  <si>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</si>
  <si>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</si>
  <si>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</si>
  <si>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</si>
  <si>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</si>
  <si>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</si>
  <si>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</si>
  <si>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</si>
  <si>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</si>
  <si>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</si>
  <si>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</si>
  <si>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</si>
  <si>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</si>
  <si>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</si>
  <si>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</si>
  <si>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</si>
  <si>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</si>
  <si>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</si>
  <si>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</si>
  <si>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</si>
  <si>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</si>
  <si>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</si>
  <si>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</si>
  <si>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</si>
  <si>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</si>
  <si>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</si>
  <si>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</si>
  <si>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</si>
  <si>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</si>
  <si>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</si>
  <si>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</si>
  <si>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</si>
  <si>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</si>
  <si>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</si>
  <si>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</si>
  <si>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</si>
  <si>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</si>
  <si>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</si>
  <si>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</si>
  <si>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</si>
  <si>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</si>
  <si>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</si>
  <si>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</si>
  <si>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</si>
  <si>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</si>
  <si>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</si>
  <si>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</si>
  <si>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</si>
  <si>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</si>
  <si>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</si>
  <si>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</si>
  <si>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</si>
  <si>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</si>
  <si>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</si>
  <si>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</si>
  <si>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</si>
  <si>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</si>
  <si>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</si>
  <si>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</si>
  <si>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</si>
  <si>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</si>
  <si>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</si>
  <si>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</si>
  <si>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</si>
  <si>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</si>
  <si>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</si>
  <si>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</si>
  <si>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</si>
  <si>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</si>
  <si>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</si>
  <si>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</si>
  <si>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</si>
  <si>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</si>
  <si>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</si>
  <si>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</si>
  <si>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</si>
  <si>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</si>
  <si>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</si>
  <si>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</si>
  <si>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</si>
  <si>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</si>
  <si>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</si>
  <si>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</si>
  <si>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</si>
  <si>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</si>
  <si>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</si>
  <si>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</si>
  <si>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</si>
  <si>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</si>
  <si>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</si>
  <si>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</si>
  <si>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</si>
  <si>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</si>
  <si>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</si>
  <si>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</si>
  <si>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</si>
  <si>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</si>
  <si>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</si>
  <si>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</si>
  <si>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</si>
  <si>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</si>
  <si>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</si>
  <si>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</si>
  <si>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</si>
  <si>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</si>
  <si>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</si>
  <si>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</si>
  <si>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</si>
  <si>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</si>
  <si>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</si>
  <si>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</si>
  <si>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</si>
  <si>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</si>
  <si>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</si>
  <si>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</si>
  <si>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</si>
  <si>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</si>
  <si>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</si>
  <si>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</si>
  <si>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</si>
  <si>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</si>
  <si>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</si>
  <si>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</si>
  <si>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</si>
  <si>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</si>
  <si>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</si>
  <si>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</si>
  <si>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</si>
  <si>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11/07/2025 24:00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</si>
  <si>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</si>
  <si>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</si>
  <si>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</si>
  <si>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</si>
  <si>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</si>
  <si>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</si>
  <si>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</si>
  <si>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</si>
  <si>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</si>
  <si>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</si>
  <si>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</si>
  <si>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</si>
  <si>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</si>
  <si>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</si>
  <si>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</si>
  <si>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</si>
  <si>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</si>
  <si>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</si>
  <si>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</si>
  <si>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</si>
  <si>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</si>
  <si>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</si>
  <si>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</si>
  <si>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12/07/2025 24:00</t>
  </si>
  <si>
    <t>13/07/2025 01:00</t>
  </si>
  <si>
    <t>13/07/2025 02:00</t>
  </si>
  <si>
    <t>13/07/2025 03:00</t>
  </si>
  <si>
    <t>13/07/2025 04:00</t>
  </si>
  <si>
    <t>13/07/2025 05:00</t>
  </si>
  <si>
    <t>13/07/2025 06:00</t>
  </si>
  <si>
    <t>13/07/2025 07:00</t>
  </si>
  <si>
    <t>13/07/2025 08:00</t>
  </si>
  <si>
    <t>13/07/2025 09:00</t>
  </si>
  <si>
    <t>13/07/2025 10:00</t>
  </si>
  <si>
    <t>13/07/2025 11:00</t>
  </si>
  <si>
    <t>13/07/2025 12:00</t>
  </si>
  <si>
    <t>13/07/2025 13:00</t>
  </si>
  <si>
    <t>13/07/2025 14:00</t>
  </si>
  <si>
    <t>13/07/2025 15:00</t>
  </si>
  <si>
    <t>13/07/2025 16:00</t>
  </si>
  <si>
    <t>13/07/2025 17:00</t>
  </si>
  <si>
    <t>13/07/2025 18:00</t>
  </si>
  <si>
    <t>13/07/2025 19:00</t>
  </si>
  <si>
    <t>13/07/2025 20:00</t>
  </si>
  <si>
    <t>13/07/2025 21:00</t>
  </si>
  <si>
    <t>13/07/2025 22:00</t>
  </si>
  <si>
    <t>13/07/2025 23:00</t>
  </si>
  <si>
    <t>13/07/2025 24:00</t>
  </si>
  <si>
    <t>14/07/2025 01:00</t>
  </si>
  <si>
    <t>14/07/2025 02:00</t>
  </si>
  <si>
    <t>14/07/2025 03:00</t>
  </si>
  <si>
    <t>14/07/2025 04:00</t>
  </si>
  <si>
    <t>14/07/2025 05:00</t>
  </si>
  <si>
    <t>14/07/2025 06:00</t>
  </si>
  <si>
    <t>14/07/2025 07:00</t>
  </si>
  <si>
    <t>14/07/2025 08:00</t>
  </si>
  <si>
    <t>14/07/2025 09:00</t>
  </si>
  <si>
    <t>14/07/2025 10:00</t>
  </si>
  <si>
    <t>14/07/2025 11:00</t>
  </si>
  <si>
    <t>14/07/2025 12:00</t>
  </si>
  <si>
    <t>14/07/2025 13:00</t>
  </si>
  <si>
    <t>14/07/2025 14:00</t>
  </si>
  <si>
    <t>14/07/2025 15:00</t>
  </si>
  <si>
    <t>14/07/2025 16:00</t>
  </si>
  <si>
    <t>14/07/2025 17:00</t>
  </si>
  <si>
    <t>14/07/2025 18:00</t>
  </si>
  <si>
    <t>14/07/2025 19:00</t>
  </si>
  <si>
    <t>14/07/2025 20:00</t>
  </si>
  <si>
    <t>14/07/2025 21:00</t>
  </si>
  <si>
    <t>14/07/2025 22:00</t>
  </si>
  <si>
    <t>14/07/2025 23:00</t>
  </si>
  <si>
    <t>14/07/2025 24:00</t>
  </si>
  <si>
    <t>15/07/2025 01:00</t>
  </si>
  <si>
    <t>15/07/2025 02:00</t>
  </si>
  <si>
    <t>15/07/2025 03:00</t>
  </si>
  <si>
    <t>15/07/2025 04:00</t>
  </si>
  <si>
    <t>15/07/2025 05:00</t>
  </si>
  <si>
    <t>15/07/2025 06:00</t>
  </si>
  <si>
    <t>15/07/2025 07:00</t>
  </si>
  <si>
    <t>15/07/2025 08:00</t>
  </si>
  <si>
    <t>15/07/2025 09:00</t>
  </si>
  <si>
    <t>15/07/2025 10:00</t>
  </si>
  <si>
    <t>15/07/2025 11:00</t>
  </si>
  <si>
    <t>15/07/2025 12:00</t>
  </si>
  <si>
    <t>15/07/2025 13:00</t>
  </si>
  <si>
    <t>15/07/2025 14:00</t>
  </si>
  <si>
    <t>15/07/2025 15:00</t>
  </si>
  <si>
    <t>15/07/2025 16:00</t>
  </si>
  <si>
    <t>15/07/2025 17:00</t>
  </si>
  <si>
    <t>15/07/2025 18:00</t>
  </si>
  <si>
    <t>15/07/2025 19:00</t>
  </si>
  <si>
    <t>15/07/2025 20:00</t>
  </si>
  <si>
    <t>15/07/2025 21:00</t>
  </si>
  <si>
    <t>15/07/2025 22:00</t>
  </si>
  <si>
    <t>15/07/2025 23:00</t>
  </si>
  <si>
    <t>15/07/2025 24:00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</si>
  <si>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</si>
  <si>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</si>
  <si>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</si>
  <si>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</si>
  <si>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</si>
  <si>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</si>
  <si>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</si>
  <si>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</si>
  <si>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</si>
  <si>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</si>
  <si>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</si>
  <si>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</si>
  <si>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</si>
  <si>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</si>
  <si>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</si>
  <si>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</si>
  <si>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</si>
  <si>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</si>
  <si>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</si>
  <si>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</si>
  <si>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</si>
  <si>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</si>
  <si>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</si>
  <si>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16/07/2025 24:00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</si>
  <si>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</si>
  <si>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</si>
  <si>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</si>
  <si>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</si>
  <si>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</si>
  <si>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</si>
  <si>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</si>
  <si>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</si>
  <si>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</si>
  <si>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</si>
  <si>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</si>
  <si>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</si>
  <si>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</si>
  <si>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</si>
  <si>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</si>
  <si>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</si>
  <si>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</si>
  <si>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</si>
  <si>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</si>
  <si>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</si>
  <si>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</si>
  <si>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</si>
  <si>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</si>
  <si>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17/07/2025 24:00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</si>
  <si>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</si>
  <si>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</si>
  <si>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</si>
  <si>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</si>
  <si>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</si>
  <si>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</si>
  <si>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</si>
  <si>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</si>
  <si>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</si>
  <si>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</si>
  <si>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</si>
  <si>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</si>
  <si>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</si>
  <si>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</si>
  <si>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</si>
  <si>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</si>
  <si>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</si>
  <si>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</si>
  <si>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</si>
  <si>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</si>
  <si>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</si>
  <si>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</si>
  <si>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</si>
  <si>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18/07/2025 24:00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</si>
  <si>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</si>
  <si>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</si>
  <si>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</si>
  <si>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</si>
  <si>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</si>
  <si>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</si>
  <si>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</si>
  <si>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</si>
  <si>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</si>
  <si>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</si>
  <si>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</si>
  <si>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</si>
  <si>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</si>
  <si>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</si>
  <si>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</si>
  <si>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</si>
  <si>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</si>
  <si>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</si>
  <si>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</si>
  <si>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</si>
  <si>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</si>
  <si>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</si>
  <si>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</si>
  <si>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19/07/2025 24:00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</si>
  <si>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</si>
  <si>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</si>
  <si>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</si>
  <si>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</si>
  <si>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</si>
  <si>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</si>
  <si>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</si>
  <si>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</si>
  <si>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</si>
  <si>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</si>
  <si>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</si>
  <si>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</si>
  <si>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</si>
  <si>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</si>
  <si>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</si>
  <si>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</si>
  <si>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</si>
  <si>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</si>
  <si>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</si>
  <si>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</si>
  <si>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</si>
  <si>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</si>
  <si>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</si>
  <si>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20/07/2025 24:00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</si>
  <si>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</si>
  <si>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</si>
  <si>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</si>
  <si>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</si>
  <si>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</si>
  <si>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</si>
  <si>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</si>
  <si>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</si>
  <si>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</si>
  <si>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</si>
  <si>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</si>
  <si>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</si>
  <si>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</si>
  <si>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</si>
  <si>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</si>
  <si>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</si>
  <si>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</si>
  <si>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</si>
  <si>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</si>
  <si>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</si>
  <si>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</si>
  <si>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</si>
  <si>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</si>
  <si>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21/07/2025 24:00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</si>
  <si>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</si>
  <si>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</si>
  <si>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</si>
  <si>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</si>
  <si>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</si>
  <si>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</si>
  <si>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</si>
  <si>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</si>
  <si>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</si>
  <si>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</si>
  <si>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</si>
  <si>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</si>
  <si>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</si>
  <si>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</si>
  <si>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</si>
  <si>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</si>
  <si>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</si>
  <si>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</si>
  <si>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</si>
  <si>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</si>
  <si>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</si>
  <si>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</si>
  <si>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</si>
  <si>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22/07/2025 24:00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</si>
  <si>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</si>
  <si>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</si>
  <si>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</si>
  <si>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</si>
  <si>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</si>
  <si>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</si>
  <si>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</si>
  <si>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</si>
  <si>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</si>
  <si>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</si>
  <si>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</si>
  <si>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</si>
  <si>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</si>
  <si>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</si>
  <si>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</si>
  <si>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</si>
  <si>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</si>
  <si>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</si>
  <si>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</si>
  <si>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</si>
  <si>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</si>
  <si>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</si>
  <si>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</si>
  <si>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23/07/2025 24:00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</si>
  <si>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</si>
  <si>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</si>
  <si>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</si>
  <si>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</si>
  <si>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</si>
  <si>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</si>
  <si>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</si>
  <si>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</si>
  <si>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</si>
  <si>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</si>
  <si>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</si>
  <si>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</si>
  <si>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</si>
  <si>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</si>
  <si>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</si>
  <si>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</si>
  <si>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</si>
  <si>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</si>
  <si>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</si>
  <si>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</si>
  <si>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</si>
  <si>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</si>
  <si>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</si>
  <si>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24/07/2025 24:00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</si>
  <si>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</si>
  <si>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</si>
  <si>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</si>
  <si>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</si>
  <si>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</si>
  <si>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</si>
  <si>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</si>
  <si>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</si>
  <si>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</si>
  <si>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</si>
  <si>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</si>
  <si>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</si>
  <si>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</si>
  <si>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</si>
  <si>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</si>
  <si>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</si>
  <si>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</si>
  <si>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</si>
  <si>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</si>
  <si>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</si>
  <si>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</si>
  <si>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</si>
  <si>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</si>
  <si>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25/07/2025 24:00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</si>
  <si>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</si>
  <si>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</si>
  <si>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</si>
  <si>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</si>
  <si>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</si>
  <si>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</si>
  <si>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</si>
  <si>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</si>
  <si>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</si>
  <si>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</si>
  <si>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</si>
  <si>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</si>
  <si>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</si>
  <si>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</si>
  <si>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</si>
  <si>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</si>
  <si>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</si>
  <si>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</si>
  <si>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</si>
  <si>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</si>
  <si>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</si>
  <si>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</si>
  <si>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</si>
  <si>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26/07/2025 24:00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</si>
  <si>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</si>
  <si>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</si>
  <si>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</si>
  <si>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</si>
  <si>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</si>
  <si>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</si>
  <si>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</si>
  <si>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</si>
  <si>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</si>
  <si>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</si>
  <si>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</si>
  <si>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</si>
  <si>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</si>
  <si>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</si>
  <si>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</si>
  <si>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</si>
  <si>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</si>
  <si>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</si>
  <si>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</si>
  <si>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</si>
  <si>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</si>
  <si>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</si>
  <si>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</si>
  <si>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27/07/2025 24:00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</si>
  <si>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</si>
  <si>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</si>
  <si>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</si>
  <si>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</si>
  <si>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</si>
  <si>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</si>
  <si>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</si>
  <si>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</si>
  <si>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</si>
  <si>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</si>
  <si>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</si>
  <si>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</si>
  <si>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</si>
  <si>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</si>
  <si>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</si>
  <si>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</si>
  <si>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</si>
  <si>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</si>
  <si>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</si>
  <si>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</si>
  <si>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</si>
  <si>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</si>
  <si>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</si>
  <si>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28/07/2025 24:00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</si>
  <si>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</si>
  <si>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</si>
  <si>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</si>
  <si>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</si>
  <si>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</si>
  <si>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</si>
  <si>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</si>
  <si>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</si>
  <si>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</si>
  <si>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</si>
  <si>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</si>
  <si>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</si>
  <si>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</si>
  <si>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</si>
  <si>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</si>
  <si>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</si>
  <si>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</si>
  <si>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</si>
  <si>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</si>
  <si>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</si>
  <si>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</si>
  <si>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</si>
  <si>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</si>
  <si>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29/07/2025 24:00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</si>
  <si>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</si>
  <si>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</si>
  <si>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</si>
  <si>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</si>
  <si>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</si>
  <si>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</si>
  <si>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</si>
  <si>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</si>
  <si>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</si>
  <si>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</si>
  <si>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</si>
  <si>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</si>
  <si>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</si>
  <si>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</si>
  <si>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</si>
  <si>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</si>
  <si>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</si>
  <si>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</si>
  <si>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</si>
  <si>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</si>
  <si>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</si>
  <si>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</si>
  <si>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</si>
  <si>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30/07/2025 24:00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</si>
  <si>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</si>
  <si>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</si>
  <si>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</si>
  <si>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</si>
  <si>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</si>
  <si>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</si>
  <si>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</si>
  <si>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</si>
  <si>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</si>
  <si>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</si>
  <si>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</si>
  <si>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</si>
  <si>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</si>
  <si>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</si>
  <si>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</si>
  <si>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</si>
  <si>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</si>
  <si>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</si>
  <si>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</si>
  <si>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</si>
  <si>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</si>
  <si>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</si>
  <si>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</si>
  <si>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31/07/2025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</si>
</sst>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  <xf numFmtId="0" fontId="14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60</v>
      </c>
      <c r="B9" s="53">
        <v>7.74</v>
      </c>
      <c r="C9" s="53">
        <v>12.02</v>
      </c>
      <c r="D9" s="53">
        <v>12.49</v>
      </c>
      <c r="E9" s="53">
        <v>5.19</v>
      </c>
      <c r="F9" s="53">
        <v>3.61</v>
      </c>
      <c r="G9" s="53">
        <v>27.09</v>
      </c>
      <c r="H9" s="53">
        <v>2.35</v>
      </c>
      <c r="I9" s="53">
        <v>0.98</v>
      </c>
      <c r="J9" s="53">
        <v>0.13</v>
      </c>
      <c r="K9" s="53">
        <v>311.5</v>
      </c>
      <c r="L9" s="53">
        <v>23.15</v>
      </c>
      <c r="M9" s="53">
        <v>97.58</v>
      </c>
      <c r="N9" s="53">
        <v>59.5</v>
      </c>
      <c r="O9" s="53">
        <v>0</v>
      </c>
      <c r="P9" s="53">
        <v>0.3</v>
      </c>
      <c r="Q9" s="53">
        <v>9.09</v>
      </c>
      <c r="R9" s="43"/>
      <c r="S9" s="43"/>
      <c r="T9" s="43"/>
      <c r="U9" s="43"/>
    </row>
    <row r="10" spans="1:21" s="11" customFormat="1" x14ac:dyDescent="0.25">
      <c r="A10" s="52" t="s">
        <v>61</v>
      </c>
      <c r="B10" s="53">
        <v>7.23</v>
      </c>
      <c r="C10" s="53">
        <v>13.64</v>
      </c>
      <c r="D10" s="53">
        <v>12.53</v>
      </c>
      <c r="E10" s="53">
        <v>5.19</v>
      </c>
      <c r="F10" s="53">
        <v>4.93</v>
      </c>
      <c r="G10" s="53">
        <v>26.74</v>
      </c>
      <c r="H10" s="53">
        <v>1.69</v>
      </c>
      <c r="I10" s="53">
        <v>1.03</v>
      </c>
      <c r="J10" s="53">
        <v>0.16</v>
      </c>
      <c r="K10" s="53">
        <v>314.85000000000002</v>
      </c>
      <c r="L10" s="53">
        <v>23.16</v>
      </c>
      <c r="M10" s="53">
        <v>97.58</v>
      </c>
      <c r="N10" s="53">
        <v>59.5</v>
      </c>
      <c r="O10" s="53">
        <v>0</v>
      </c>
      <c r="P10" s="53">
        <v>0.36</v>
      </c>
      <c r="Q10" s="53">
        <v>9.06</v>
      </c>
      <c r="R10" s="43"/>
      <c r="S10" s="43"/>
      <c r="T10" s="43"/>
      <c r="U10" s="43"/>
    </row>
    <row r="11" spans="1:21" s="11" customFormat="1" x14ac:dyDescent="0.25">
      <c r="A11" s="52" t="s">
        <v>62</v>
      </c>
      <c r="B11" s="53">
        <v>7.24</v>
      </c>
      <c r="C11" s="53">
        <v>12.84</v>
      </c>
      <c r="D11" s="53">
        <v>12.19</v>
      </c>
      <c r="E11" s="53">
        <v>5.42</v>
      </c>
      <c r="F11" s="53">
        <v>4.96</v>
      </c>
      <c r="G11" s="53">
        <v>26.74</v>
      </c>
      <c r="H11" s="53">
        <v>2.46</v>
      </c>
      <c r="I11" s="53">
        <v>1.21</v>
      </c>
      <c r="J11" s="53">
        <v>0.15</v>
      </c>
      <c r="K11" s="53">
        <v>318.08999999999997</v>
      </c>
      <c r="L11" s="53">
        <v>23.07</v>
      </c>
      <c r="M11" s="53">
        <v>97.58</v>
      </c>
      <c r="N11" s="53">
        <v>59.5</v>
      </c>
      <c r="O11" s="53">
        <v>0</v>
      </c>
      <c r="P11" s="53">
        <v>0.31</v>
      </c>
      <c r="Q11" s="53">
        <v>9.1</v>
      </c>
      <c r="R11" s="43"/>
      <c r="S11" s="43"/>
      <c r="T11" s="43"/>
      <c r="U11" s="43"/>
    </row>
    <row r="12" spans="1:21" s="11" customFormat="1" x14ac:dyDescent="0.25">
      <c r="A12" s="52" t="s">
        <v>63</v>
      </c>
      <c r="B12" s="53">
        <v>7.28</v>
      </c>
      <c r="C12" s="53">
        <v>11.43</v>
      </c>
      <c r="D12" s="53">
        <v>11.75</v>
      </c>
      <c r="E12" s="53">
        <v>5.28</v>
      </c>
      <c r="F12" s="53">
        <v>4.42</v>
      </c>
      <c r="G12" s="53">
        <v>24.82</v>
      </c>
      <c r="H12" s="53">
        <v>3.85</v>
      </c>
      <c r="I12" s="53">
        <v>1.17</v>
      </c>
      <c r="J12" s="53">
        <v>0.2</v>
      </c>
      <c r="K12" s="53">
        <v>302.19</v>
      </c>
      <c r="L12" s="53">
        <v>23.04</v>
      </c>
      <c r="M12" s="53">
        <v>97.58</v>
      </c>
      <c r="N12" s="53">
        <v>59.5</v>
      </c>
      <c r="O12" s="53">
        <v>0</v>
      </c>
      <c r="P12" s="53">
        <v>0.28999999999999998</v>
      </c>
      <c r="Q12" s="53">
        <v>9.1</v>
      </c>
      <c r="R12" s="43"/>
      <c r="S12" s="43"/>
      <c r="T12" s="43"/>
      <c r="U12" s="43"/>
    </row>
    <row r="13" spans="1:21" s="11" customFormat="1" x14ac:dyDescent="0.25">
      <c r="A13" s="52" t="s">
        <v>64</v>
      </c>
      <c r="B13" s="53">
        <v>6.71</v>
      </c>
      <c r="C13" s="53">
        <v>11.51</v>
      </c>
      <c r="D13" s="53">
        <v>11.39</v>
      </c>
      <c r="E13" s="53">
        <v>5.18</v>
      </c>
      <c r="F13" s="53">
        <v>3.99</v>
      </c>
      <c r="G13" s="53">
        <v>23.75</v>
      </c>
      <c r="H13" s="53">
        <v>3.85</v>
      </c>
      <c r="I13" s="53">
        <v>0.97</v>
      </c>
      <c r="J13" s="53">
        <v>0.22</v>
      </c>
      <c r="K13" s="53">
        <v>307.81</v>
      </c>
      <c r="L13" s="53">
        <v>22.97</v>
      </c>
      <c r="M13" s="53">
        <v>97.63</v>
      </c>
      <c r="N13" s="53">
        <v>60.1</v>
      </c>
      <c r="O13" s="53">
        <v>2</v>
      </c>
      <c r="P13" s="53">
        <v>0.24</v>
      </c>
      <c r="Q13" s="53">
        <v>9.0399999999999991</v>
      </c>
      <c r="R13" s="43"/>
      <c r="S13" s="43"/>
      <c r="T13" s="43"/>
      <c r="U13" s="43"/>
    </row>
    <row r="14" spans="1:21" s="11" customFormat="1" x14ac:dyDescent="0.25">
      <c r="A14" s="52" t="s">
        <v>65</v>
      </c>
      <c r="B14" s="53">
        <v>5.94</v>
      </c>
      <c r="C14" s="53">
        <v>11.93</v>
      </c>
      <c r="D14" s="53">
        <v>10.92</v>
      </c>
      <c r="E14" s="53">
        <v>5.25</v>
      </c>
      <c r="F14" s="53">
        <v>4.07</v>
      </c>
      <c r="G14" s="53">
        <v>22.28</v>
      </c>
      <c r="H14" s="53">
        <v>3.52</v>
      </c>
      <c r="I14" s="53">
        <v>0.79</v>
      </c>
      <c r="J14" s="53">
        <v>0.15</v>
      </c>
      <c r="K14" s="53">
        <v>320.36</v>
      </c>
      <c r="L14" s="53">
        <v>22.08</v>
      </c>
      <c r="M14" s="53">
        <v>97.65</v>
      </c>
      <c r="N14" s="53">
        <v>80.5</v>
      </c>
      <c r="O14" s="53">
        <v>0</v>
      </c>
      <c r="P14" s="53">
        <v>0.2</v>
      </c>
      <c r="Q14" s="53">
        <v>9</v>
      </c>
      <c r="R14" s="43"/>
      <c r="S14" s="43"/>
      <c r="T14" s="43"/>
      <c r="U14" s="43"/>
    </row>
    <row r="15" spans="1:21" s="11" customFormat="1" x14ac:dyDescent="0.25">
      <c r="A15" s="52" t="s">
        <v>66</v>
      </c>
      <c r="B15" s="53">
        <v>7.82</v>
      </c>
      <c r="C15" s="53">
        <v>14.16</v>
      </c>
      <c r="D15" s="53">
        <v>13.27</v>
      </c>
      <c r="E15" s="53">
        <v>5.27</v>
      </c>
      <c r="F15" s="53">
        <v>3.59</v>
      </c>
      <c r="G15" s="53">
        <v>17.47</v>
      </c>
      <c r="H15" s="53">
        <v>3.74</v>
      </c>
      <c r="I15" s="53">
        <v>0.68</v>
      </c>
      <c r="J15" s="53">
        <v>0.18</v>
      </c>
      <c r="K15" s="53">
        <v>306.79000000000002</v>
      </c>
      <c r="L15" s="53">
        <v>22.77</v>
      </c>
      <c r="M15" s="53">
        <v>97.63</v>
      </c>
      <c r="N15" s="53">
        <v>128.5</v>
      </c>
      <c r="O15" s="53">
        <v>0</v>
      </c>
      <c r="P15" s="53">
        <v>0.2</v>
      </c>
      <c r="Q15" s="53">
        <v>9.07</v>
      </c>
      <c r="R15" s="43"/>
      <c r="S15" s="43"/>
      <c r="T15" s="43"/>
      <c r="U15" s="43"/>
    </row>
    <row r="16" spans="1:21" s="11" customFormat="1" x14ac:dyDescent="0.25">
      <c r="A16" s="52" t="s">
        <v>67</v>
      </c>
      <c r="B16" s="53">
        <v>10</v>
      </c>
      <c r="C16" s="53">
        <v>13.59</v>
      </c>
      <c r="D16" s="53">
        <v>14.82</v>
      </c>
      <c r="E16" s="53">
        <v>5.18</v>
      </c>
      <c r="F16" s="53">
        <v>4.5999999999999996</v>
      </c>
      <c r="G16" s="53">
        <v>14.23</v>
      </c>
      <c r="H16" s="53">
        <v>3.74</v>
      </c>
      <c r="I16" s="53">
        <v>0.85</v>
      </c>
      <c r="J16" s="53">
        <v>0.36</v>
      </c>
      <c r="K16" s="53">
        <v>301.3</v>
      </c>
      <c r="L16" s="53">
        <v>24.94</v>
      </c>
      <c r="M16" s="53">
        <v>97.61</v>
      </c>
      <c r="N16" s="53">
        <v>361.6</v>
      </c>
      <c r="O16" s="53">
        <v>0</v>
      </c>
      <c r="P16" s="53">
        <v>0.27</v>
      </c>
      <c r="Q16" s="53">
        <v>9.17</v>
      </c>
      <c r="R16" s="43"/>
      <c r="S16" s="43"/>
      <c r="T16" s="43"/>
      <c r="U16" s="43"/>
    </row>
    <row r="17" spans="1:21" s="11" customFormat="1" x14ac:dyDescent="0.25">
      <c r="A17" s="52" t="s">
        <v>68</v>
      </c>
      <c r="B17" s="53">
        <v>11.67</v>
      </c>
      <c r="C17" s="53">
        <v>14.59</v>
      </c>
      <c r="D17" s="53">
        <v>16.82</v>
      </c>
      <c r="E17" s="53">
        <v>5.37</v>
      </c>
      <c r="F17" s="53">
        <v>4.4400000000000004</v>
      </c>
      <c r="G17" s="53">
        <v>19.95</v>
      </c>
      <c r="H17" s="53">
        <v>3.28</v>
      </c>
      <c r="I17" s="53">
        <v>1.41</v>
      </c>
      <c r="J17" s="53">
        <v>0.46</v>
      </c>
      <c r="K17" s="53">
        <v>292.08999999999997</v>
      </c>
      <c r="L17" s="53">
        <v>26.2</v>
      </c>
      <c r="M17" s="53">
        <v>97.57</v>
      </c>
      <c r="N17" s="53">
        <v>385.4</v>
      </c>
      <c r="O17" s="53">
        <v>0</v>
      </c>
      <c r="P17" s="53">
        <v>0.55000000000000004</v>
      </c>
      <c r="Q17" s="53">
        <v>9.2100000000000009</v>
      </c>
      <c r="R17" s="43"/>
      <c r="S17" s="43"/>
      <c r="T17" s="43"/>
      <c r="U17" s="43"/>
    </row>
    <row r="18" spans="1:21" s="11" customFormat="1" x14ac:dyDescent="0.25">
      <c r="A18" s="52" t="s">
        <v>69</v>
      </c>
      <c r="B18" s="53">
        <v>12.94</v>
      </c>
      <c r="C18" s="53">
        <v>14.99</v>
      </c>
      <c r="D18" s="53">
        <v>17.55</v>
      </c>
      <c r="E18" s="53">
        <v>5.39</v>
      </c>
      <c r="F18" s="53">
        <v>3.93</v>
      </c>
      <c r="G18" s="53">
        <v>37.14</v>
      </c>
      <c r="H18" s="53">
        <v>7.01</v>
      </c>
      <c r="I18" s="53">
        <v>1.74</v>
      </c>
      <c r="J18" s="53">
        <v>0.66</v>
      </c>
      <c r="K18" s="53">
        <v>297.08999999999997</v>
      </c>
      <c r="L18" s="53">
        <v>28.25</v>
      </c>
      <c r="M18" s="53">
        <v>92.46</v>
      </c>
      <c r="N18" s="53">
        <v>554.1</v>
      </c>
      <c r="O18" s="53">
        <v>0</v>
      </c>
      <c r="P18" s="53">
        <v>0.52</v>
      </c>
      <c r="Q18" s="53">
        <v>9.2200000000000006</v>
      </c>
      <c r="R18" s="43"/>
      <c r="S18" s="43"/>
      <c r="T18" s="43"/>
      <c r="U18" s="43"/>
    </row>
    <row r="19" spans="1:21" s="11" customFormat="1" x14ac:dyDescent="0.25">
      <c r="A19" s="52" t="s">
        <v>70</v>
      </c>
      <c r="B19" s="53">
        <v>11.01</v>
      </c>
      <c r="C19" s="53">
        <v>15.34</v>
      </c>
      <c r="D19" s="53">
        <v>16.43</v>
      </c>
      <c r="E19" s="53">
        <v>5.09</v>
      </c>
      <c r="F19" s="53">
        <v>3.93</v>
      </c>
      <c r="G19" s="53">
        <v>37.14</v>
      </c>
      <c r="H19" s="53">
        <v>7.01</v>
      </c>
      <c r="I19" s="53">
        <v>1.56</v>
      </c>
      <c r="J19" s="53">
        <v>0.51</v>
      </c>
      <c r="K19" s="53">
        <v>292.7</v>
      </c>
      <c r="L19" s="53">
        <v>26.14</v>
      </c>
      <c r="M19" s="53">
        <v>97.55</v>
      </c>
      <c r="N19" s="53">
        <v>197.8</v>
      </c>
      <c r="O19" s="53">
        <v>0</v>
      </c>
      <c r="P19" s="53">
        <v>0.47</v>
      </c>
      <c r="Q19" s="53">
        <v>9.1999999999999993</v>
      </c>
      <c r="R19" s="43"/>
      <c r="S19" s="43"/>
      <c r="T19" s="43"/>
      <c r="U19" s="43"/>
    </row>
    <row r="20" spans="1:21" s="11" customFormat="1" x14ac:dyDescent="0.25">
      <c r="A20" s="52" t="s">
        <v>71</v>
      </c>
      <c r="B20" s="53">
        <v>11.9</v>
      </c>
      <c r="C20" s="53">
        <v>16.78</v>
      </c>
      <c r="D20" s="53">
        <v>17.920000000000002</v>
      </c>
      <c r="E20" s="53">
        <v>5.17</v>
      </c>
      <c r="F20" s="53">
        <v>3.9</v>
      </c>
      <c r="G20" s="53">
        <v>37.22</v>
      </c>
      <c r="H20" s="53">
        <v>4.99</v>
      </c>
      <c r="I20" s="53">
        <v>1.43</v>
      </c>
      <c r="J20" s="53">
        <v>0.6</v>
      </c>
      <c r="K20" s="53">
        <v>301.56</v>
      </c>
      <c r="L20" s="53">
        <v>27.25</v>
      </c>
      <c r="M20" s="53">
        <v>93.04</v>
      </c>
      <c r="N20" s="53">
        <v>288.5</v>
      </c>
      <c r="O20" s="53">
        <v>0</v>
      </c>
      <c r="P20" s="53">
        <v>0.45</v>
      </c>
      <c r="Q20" s="53">
        <v>9.25</v>
      </c>
      <c r="R20" s="43"/>
      <c r="S20" s="43"/>
      <c r="T20" s="43"/>
      <c r="U20" s="43"/>
    </row>
    <row r="21" spans="1:21" s="11" customFormat="1" x14ac:dyDescent="0.25">
      <c r="A21" s="52" t="s">
        <v>72</v>
      </c>
      <c r="B21" s="53">
        <v>10.32</v>
      </c>
      <c r="C21" s="53">
        <v>17.940000000000001</v>
      </c>
      <c r="D21" s="53">
        <v>16.75</v>
      </c>
      <c r="E21" s="53">
        <v>5.15</v>
      </c>
      <c r="F21" s="53">
        <v>4.49</v>
      </c>
      <c r="G21" s="53">
        <v>37.22</v>
      </c>
      <c r="H21" s="53">
        <v>7.83</v>
      </c>
      <c r="I21" s="53">
        <v>1.41</v>
      </c>
      <c r="J21" s="53">
        <v>0.66</v>
      </c>
      <c r="K21" s="53">
        <v>291.55</v>
      </c>
      <c r="L21" s="53">
        <v>28.03</v>
      </c>
      <c r="M21" s="53">
        <v>90.14</v>
      </c>
      <c r="N21" s="53">
        <v>445.1</v>
      </c>
      <c r="O21" s="53">
        <v>0</v>
      </c>
      <c r="P21" s="53">
        <v>0.41</v>
      </c>
      <c r="Q21" s="53">
        <v>9.24</v>
      </c>
      <c r="R21" s="43"/>
      <c r="S21" s="43"/>
      <c r="T21" s="43"/>
      <c r="U21" s="43"/>
    </row>
    <row r="22" spans="1:21" s="11" customFormat="1" x14ac:dyDescent="0.25">
      <c r="A22" s="52" t="s">
        <v>73</v>
      </c>
      <c r="B22" s="53">
        <v>7.7</v>
      </c>
      <c r="C22" s="53">
        <v>18.03</v>
      </c>
      <c r="D22" s="53">
        <v>15.56</v>
      </c>
      <c r="E22" s="53">
        <v>5.38</v>
      </c>
      <c r="F22" s="53">
        <v>4.37</v>
      </c>
      <c r="G22" s="53">
        <v>37.020000000000003</v>
      </c>
      <c r="H22" s="53">
        <v>7.83</v>
      </c>
      <c r="I22" s="53">
        <v>1.31</v>
      </c>
      <c r="J22" s="53">
        <v>0.77</v>
      </c>
      <c r="K22" s="53">
        <v>290.04000000000002</v>
      </c>
      <c r="L22" s="53">
        <v>27.61</v>
      </c>
      <c r="M22" s="53">
        <v>90.98</v>
      </c>
      <c r="N22" s="53">
        <v>360.4</v>
      </c>
      <c r="O22" s="53">
        <v>0</v>
      </c>
      <c r="P22" s="53">
        <v>0.34</v>
      </c>
      <c r="Q22" s="53">
        <v>9.15</v>
      </c>
      <c r="R22" s="43"/>
      <c r="S22" s="43"/>
      <c r="T22" s="43"/>
      <c r="U22" s="43"/>
    </row>
    <row r="23" spans="1:21" s="11" customFormat="1" x14ac:dyDescent="0.25">
      <c r="A23" s="52" t="s">
        <v>74</v>
      </c>
      <c r="B23" s="53">
        <v>7.48</v>
      </c>
      <c r="C23" s="53">
        <v>17.25</v>
      </c>
      <c r="D23" s="53">
        <v>14.77</v>
      </c>
      <c r="E23" s="53">
        <v>5.14</v>
      </c>
      <c r="F23" s="53">
        <v>4.63</v>
      </c>
      <c r="G23" s="53">
        <v>38.81</v>
      </c>
      <c r="H23" s="53">
        <v>8.33</v>
      </c>
      <c r="I23" s="53">
        <v>1.1200000000000001</v>
      </c>
      <c r="J23" s="53">
        <v>0.66</v>
      </c>
      <c r="K23" s="53">
        <v>296.17</v>
      </c>
      <c r="L23" s="53">
        <v>27.8</v>
      </c>
      <c r="M23" s="53">
        <v>90.63</v>
      </c>
      <c r="N23" s="53">
        <v>354</v>
      </c>
      <c r="O23" s="53">
        <v>0</v>
      </c>
      <c r="P23" s="53">
        <v>0.32</v>
      </c>
      <c r="Q23" s="53">
        <v>9.11</v>
      </c>
      <c r="R23" s="43"/>
      <c r="S23" s="43"/>
      <c r="T23" s="43"/>
      <c r="U23" s="43"/>
    </row>
    <row r="24" spans="1:21" s="11" customFormat="1" x14ac:dyDescent="0.25">
      <c r="A24" s="52" t="s">
        <v>75</v>
      </c>
      <c r="B24" s="53">
        <v>7.08</v>
      </c>
      <c r="C24" s="53">
        <v>18.190000000000001</v>
      </c>
      <c r="D24" s="53">
        <v>15</v>
      </c>
      <c r="E24" s="53">
        <v>4.92</v>
      </c>
      <c r="F24" s="53">
        <v>4.83</v>
      </c>
      <c r="G24" s="53">
        <v>38.81</v>
      </c>
      <c r="H24" s="53">
        <v>8.4</v>
      </c>
      <c r="I24" s="53">
        <v>1.05</v>
      </c>
      <c r="J24" s="53">
        <v>0.75</v>
      </c>
      <c r="K24" s="53">
        <v>297.7</v>
      </c>
      <c r="L24" s="53">
        <v>27.54</v>
      </c>
      <c r="M24" s="53">
        <v>89.15</v>
      </c>
      <c r="N24" s="53">
        <v>192.7</v>
      </c>
      <c r="O24" s="53">
        <v>0</v>
      </c>
      <c r="P24" s="53">
        <v>0.3</v>
      </c>
      <c r="Q24" s="53">
        <v>9.1300000000000008</v>
      </c>
      <c r="R24" s="43"/>
      <c r="S24" s="43"/>
      <c r="T24" s="43"/>
      <c r="U24" s="43"/>
    </row>
    <row r="25" spans="1:21" s="11" customFormat="1" x14ac:dyDescent="0.25">
      <c r="A25" s="52" t="s">
        <v>76</v>
      </c>
      <c r="B25" s="53">
        <v>6.84</v>
      </c>
      <c r="C25" s="53">
        <v>19.260000000000002</v>
      </c>
      <c r="D25" s="53">
        <v>15.55</v>
      </c>
      <c r="E25" s="53">
        <v>4.53</v>
      </c>
      <c r="F25" s="53">
        <v>4.22</v>
      </c>
      <c r="G25" s="53">
        <v>38.85</v>
      </c>
      <c r="H25" s="53">
        <v>8.4</v>
      </c>
      <c r="I25" s="53">
        <v>1.06</v>
      </c>
      <c r="J25" s="53">
        <v>0.51</v>
      </c>
      <c r="K25" s="53">
        <v>299.04000000000002</v>
      </c>
      <c r="L25" s="53">
        <v>26.71</v>
      </c>
      <c r="M25" s="53">
        <v>93.08</v>
      </c>
      <c r="N25" s="53">
        <v>170</v>
      </c>
      <c r="O25" s="53">
        <v>0</v>
      </c>
      <c r="P25" s="53">
        <v>0.37</v>
      </c>
      <c r="Q25" s="53">
        <v>9.14</v>
      </c>
      <c r="R25" s="43"/>
      <c r="S25" s="43"/>
      <c r="T25" s="43"/>
      <c r="U25" s="43"/>
    </row>
    <row r="26" spans="1:21" s="11" customFormat="1" x14ac:dyDescent="0.25">
      <c r="A26" s="52" t="s">
        <v>77</v>
      </c>
      <c r="B26" s="53">
        <v>7.02</v>
      </c>
      <c r="C26" s="53">
        <v>18</v>
      </c>
      <c r="D26" s="53">
        <v>14.75</v>
      </c>
      <c r="E26" s="53">
        <v>4.59</v>
      </c>
      <c r="F26" s="53">
        <v>4.63</v>
      </c>
      <c r="G26" s="53">
        <v>40</v>
      </c>
      <c r="H26" s="53">
        <v>6.73</v>
      </c>
      <c r="I26" s="53">
        <v>1.17</v>
      </c>
      <c r="J26" s="53">
        <v>0.3</v>
      </c>
      <c r="K26" s="53">
        <v>328.47</v>
      </c>
      <c r="L26" s="53">
        <v>25.99</v>
      </c>
      <c r="M26" s="53">
        <v>97.36</v>
      </c>
      <c r="N26" s="53">
        <v>113.7</v>
      </c>
      <c r="O26" s="53">
        <v>0</v>
      </c>
      <c r="P26" s="53">
        <v>0.43</v>
      </c>
      <c r="Q26" s="53">
        <v>9.1300000000000008</v>
      </c>
      <c r="R26" s="43"/>
      <c r="S26" s="43"/>
      <c r="T26" s="43"/>
      <c r="U26" s="43"/>
    </row>
    <row r="27" spans="1:21" s="11" customFormat="1" x14ac:dyDescent="0.25">
      <c r="A27" s="52" t="s">
        <v>78</v>
      </c>
      <c r="B27" s="53">
        <v>6.64</v>
      </c>
      <c r="C27" s="53">
        <v>16.98</v>
      </c>
      <c r="D27" s="53">
        <v>14.19</v>
      </c>
      <c r="E27" s="53">
        <v>4.79</v>
      </c>
      <c r="F27" s="53">
        <v>4.1399999999999997</v>
      </c>
      <c r="G27" s="53">
        <v>40</v>
      </c>
      <c r="H27" s="53">
        <v>10.59</v>
      </c>
      <c r="I27" s="53">
        <v>1.26</v>
      </c>
      <c r="J27" s="53">
        <v>0.24</v>
      </c>
      <c r="K27" s="53">
        <v>336.85</v>
      </c>
      <c r="L27" s="53">
        <v>25.1</v>
      </c>
      <c r="M27" s="53">
        <v>97.63</v>
      </c>
      <c r="N27" s="53">
        <v>64.900000000000006</v>
      </c>
      <c r="O27" s="53">
        <v>0</v>
      </c>
      <c r="P27" s="53">
        <v>0.42</v>
      </c>
      <c r="Q27" s="53">
        <v>9.11</v>
      </c>
      <c r="R27" s="43"/>
      <c r="S27" s="43"/>
      <c r="T27" s="43"/>
      <c r="U27" s="43"/>
    </row>
    <row r="28" spans="1:21" s="11" customFormat="1" x14ac:dyDescent="0.25">
      <c r="A28" s="52" t="s">
        <v>79</v>
      </c>
      <c r="B28" s="53">
        <v>9.3699999999999992</v>
      </c>
      <c r="C28" s="53">
        <v>16.88</v>
      </c>
      <c r="D28" s="53">
        <v>15.6</v>
      </c>
      <c r="E28" s="53">
        <v>4.9000000000000004</v>
      </c>
      <c r="F28" s="53">
        <v>4.37</v>
      </c>
      <c r="G28" s="53">
        <v>38.369999999999997</v>
      </c>
      <c r="H28" s="53">
        <v>10.59</v>
      </c>
      <c r="I28" s="53">
        <v>1.23</v>
      </c>
      <c r="J28" s="53">
        <v>0.2</v>
      </c>
      <c r="K28" s="53">
        <v>351.15</v>
      </c>
      <c r="L28" s="53">
        <v>24.55</v>
      </c>
      <c r="M28" s="53">
        <v>97.65</v>
      </c>
      <c r="N28" s="53">
        <v>49.5</v>
      </c>
      <c r="O28" s="53">
        <v>0</v>
      </c>
      <c r="P28" s="53">
        <v>0.39</v>
      </c>
      <c r="Q28" s="53">
        <v>9.15</v>
      </c>
      <c r="R28" s="43"/>
      <c r="S28" s="43"/>
      <c r="T28" s="43"/>
      <c r="U28" s="43"/>
    </row>
    <row r="29" spans="1:21" s="11" customFormat="1" x14ac:dyDescent="0.25">
      <c r="A29" s="52" t="s">
        <v>80</v>
      </c>
      <c r="B29" s="53">
        <v>8.8699999999999992</v>
      </c>
      <c r="C29" s="53">
        <v>16.16</v>
      </c>
      <c r="D29" s="53">
        <v>15.28</v>
      </c>
      <c r="E29" s="53">
        <v>4.71</v>
      </c>
      <c r="F29" s="53">
        <v>4.37</v>
      </c>
      <c r="G29" s="53">
        <v>37.9</v>
      </c>
      <c r="H29" s="53">
        <v>7.92</v>
      </c>
      <c r="I29" s="53">
        <v>1.26</v>
      </c>
      <c r="J29" s="53">
        <v>0.2</v>
      </c>
      <c r="K29" s="53">
        <v>345.75</v>
      </c>
      <c r="L29" s="53">
        <v>24.21</v>
      </c>
      <c r="M29" s="53">
        <v>97.67</v>
      </c>
      <c r="N29" s="53">
        <v>49.2</v>
      </c>
      <c r="O29" s="53">
        <v>0</v>
      </c>
      <c r="P29" s="53">
        <v>0.38</v>
      </c>
      <c r="Q29" s="53">
        <v>9.18</v>
      </c>
      <c r="R29" s="43"/>
      <c r="S29" s="43"/>
      <c r="T29" s="43"/>
      <c r="U29" s="43"/>
    </row>
    <row r="30" spans="1:21" s="11" customFormat="1" x14ac:dyDescent="0.25">
      <c r="A30" s="52" t="s">
        <v>81</v>
      </c>
      <c r="B30" s="53">
        <v>10.73</v>
      </c>
      <c r="C30" s="53">
        <v>15.71</v>
      </c>
      <c r="D30" s="53">
        <v>15.45</v>
      </c>
      <c r="E30" s="53">
        <v>5.07</v>
      </c>
      <c r="F30" s="53">
        <v>4.5</v>
      </c>
      <c r="G30" s="53">
        <v>35.19</v>
      </c>
      <c r="H30" s="53">
        <v>5.78</v>
      </c>
      <c r="I30" s="53">
        <v>1.23</v>
      </c>
      <c r="J30" s="53">
        <v>0.14000000000000001</v>
      </c>
      <c r="K30" s="53">
        <v>350.64</v>
      </c>
      <c r="L30" s="53">
        <v>24.09</v>
      </c>
      <c r="M30" s="53">
        <v>97.71</v>
      </c>
      <c r="N30" s="53">
        <v>49.4</v>
      </c>
      <c r="O30" s="53">
        <v>0</v>
      </c>
      <c r="P30" s="53">
        <v>0.38</v>
      </c>
      <c r="Q30" s="53">
        <v>9.17</v>
      </c>
      <c r="R30" s="43"/>
      <c r="S30" s="43"/>
      <c r="T30" s="43"/>
      <c r="U30" s="43"/>
    </row>
    <row r="31" spans="1:21" s="11" customFormat="1" x14ac:dyDescent="0.25">
      <c r="A31" s="52" t="s">
        <v>82</v>
      </c>
      <c r="B31" s="53">
        <v>9.33</v>
      </c>
      <c r="C31" s="53">
        <v>13.06</v>
      </c>
      <c r="D31" s="53">
        <v>14.3</v>
      </c>
      <c r="E31" s="53">
        <v>4.78</v>
      </c>
      <c r="F31" s="53">
        <v>3.75</v>
      </c>
      <c r="G31" s="53">
        <v>37.97</v>
      </c>
      <c r="H31" s="53">
        <v>6.66</v>
      </c>
      <c r="I31" s="53">
        <v>1.19</v>
      </c>
      <c r="J31" s="53">
        <v>0.15</v>
      </c>
      <c r="K31" s="53">
        <v>345.02</v>
      </c>
      <c r="L31" s="53">
        <v>24.01</v>
      </c>
      <c r="M31" s="53">
        <v>97.73</v>
      </c>
      <c r="N31" s="53">
        <v>49.4</v>
      </c>
      <c r="O31" s="53">
        <v>0</v>
      </c>
      <c r="P31" s="53">
        <v>0.36</v>
      </c>
      <c r="Q31" s="53">
        <v>9.16</v>
      </c>
      <c r="R31" s="43"/>
      <c r="S31" s="43"/>
      <c r="T31" s="43"/>
      <c r="U31" s="43"/>
    </row>
    <row r="32" spans="1:21" s="11" customFormat="1" x14ac:dyDescent="0.25">
      <c r="A32" s="52" t="s">
        <v>83</v>
      </c>
      <c r="B32" s="53">
        <v>8.6</v>
      </c>
      <c r="C32" s="53">
        <v>12.7</v>
      </c>
      <c r="D32" s="53">
        <v>13.53</v>
      </c>
      <c r="E32" s="53">
        <v>5.14</v>
      </c>
      <c r="F32" s="53">
        <v>4.26</v>
      </c>
      <c r="G32" s="53">
        <v>37.97</v>
      </c>
      <c r="H32" s="53">
        <v>6.66</v>
      </c>
      <c r="I32" s="53">
        <v>1.1200000000000001</v>
      </c>
      <c r="J32" s="53">
        <v>0.13</v>
      </c>
      <c r="K32" s="53">
        <v>310.32</v>
      </c>
      <c r="L32" s="53">
        <v>23.87</v>
      </c>
      <c r="M32" s="53">
        <v>97.75</v>
      </c>
      <c r="N32" s="53">
        <v>49.5</v>
      </c>
      <c r="O32" s="53">
        <v>0</v>
      </c>
      <c r="P32" s="53">
        <v>0.31</v>
      </c>
      <c r="Q32" s="53">
        <v>9.1300000000000008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5.94</v>
      </c>
      <c r="C34" s="28">
        <f t="shared" si="0"/>
        <v>11.43</v>
      </c>
      <c r="D34" s="28">
        <f t="shared" si="0"/>
        <v>10.92</v>
      </c>
      <c r="E34" s="28">
        <f t="shared" si="0"/>
        <v>4.53</v>
      </c>
      <c r="F34" s="28">
        <f t="shared" si="0"/>
        <v>3.59</v>
      </c>
      <c r="G34" s="28">
        <f t="shared" si="0"/>
        <v>14.23</v>
      </c>
      <c r="H34" s="28">
        <f t="shared" si="0"/>
        <v>1.69</v>
      </c>
      <c r="I34" s="28">
        <f t="shared" si="0"/>
        <v>0.68</v>
      </c>
      <c r="J34" s="28">
        <f t="shared" si="0"/>
        <v>0.13</v>
      </c>
      <c r="K34" s="28">
        <f t="shared" si="0"/>
        <v>290.04000000000002</v>
      </c>
      <c r="L34" s="28">
        <f t="shared" si="0"/>
        <v>22.08</v>
      </c>
      <c r="M34" s="28">
        <f t="shared" si="0"/>
        <v>89.15</v>
      </c>
      <c r="N34" s="28">
        <f t="shared" si="0"/>
        <v>49.2</v>
      </c>
      <c r="O34" s="28">
        <f t="shared" si="0"/>
        <v>0</v>
      </c>
      <c r="P34" s="28">
        <f t="shared" si="0"/>
        <v>0.2</v>
      </c>
      <c r="Q34" s="28">
        <f t="shared" si="0"/>
        <v>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12.94</v>
      </c>
      <c r="C35" s="29">
        <f t="shared" si="1"/>
        <v>19.260000000000002</v>
      </c>
      <c r="D35" s="29">
        <f t="shared" si="1"/>
        <v>17.920000000000002</v>
      </c>
      <c r="E35" s="29">
        <f t="shared" si="1"/>
        <v>5.42</v>
      </c>
      <c r="F35" s="29">
        <f t="shared" si="1"/>
        <v>4.96</v>
      </c>
      <c r="G35" s="29">
        <f t="shared" si="1"/>
        <v>40</v>
      </c>
      <c r="H35" s="29">
        <f t="shared" si="1"/>
        <v>10.59</v>
      </c>
      <c r="I35" s="29">
        <f t="shared" si="1"/>
        <v>1.74</v>
      </c>
      <c r="J35" s="29">
        <f t="shared" si="1"/>
        <v>0.77</v>
      </c>
      <c r="K35" s="29">
        <f t="shared" si="1"/>
        <v>351.15</v>
      </c>
      <c r="L35" s="29">
        <f t="shared" si="1"/>
        <v>28.25</v>
      </c>
      <c r="M35" s="29">
        <f t="shared" si="1"/>
        <v>97.75</v>
      </c>
      <c r="N35" s="29">
        <f t="shared" si="1"/>
        <v>554.1</v>
      </c>
      <c r="O35" s="29">
        <f t="shared" si="1"/>
        <v>2</v>
      </c>
      <c r="P35" s="29">
        <f t="shared" si="1"/>
        <v>0.55000000000000004</v>
      </c>
      <c r="Q35" s="29">
        <f t="shared" si="1"/>
        <v>9.25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8.6441666666666688</v>
      </c>
      <c r="C36" s="28">
        <f t="shared" si="2"/>
        <v>15.124166666666667</v>
      </c>
      <c r="D36" s="28">
        <f t="shared" si="2"/>
        <v>14.53375</v>
      </c>
      <c r="E36" s="28">
        <f t="shared" si="2"/>
        <v>5.0866666666666678</v>
      </c>
      <c r="F36" s="28">
        <f t="shared" si="2"/>
        <v>4.2887500000000003</v>
      </c>
      <c r="G36" s="28">
        <f t="shared" si="2"/>
        <v>32.195</v>
      </c>
      <c r="H36" s="28">
        <f t="shared" si="2"/>
        <v>5.967083333333334</v>
      </c>
      <c r="I36" s="28">
        <f t="shared" si="2"/>
        <v>1.1762500000000002</v>
      </c>
      <c r="J36" s="28">
        <f t="shared" si="2"/>
        <v>0.35375000000000001</v>
      </c>
      <c r="K36" s="28">
        <f t="shared" si="2"/>
        <v>312.87625000000003</v>
      </c>
      <c r="L36" s="28">
        <f t="shared" si="2"/>
        <v>25.10541666666667</v>
      </c>
      <c r="M36" s="28">
        <f t="shared" si="2"/>
        <v>95.789166666666674</v>
      </c>
      <c r="N36" s="28">
        <f t="shared" si="2"/>
        <v>176.76249999999996</v>
      </c>
      <c r="O36" s="28">
        <f t="shared" si="2"/>
        <v>8.3333333333333329E-2</v>
      </c>
      <c r="P36" s="28">
        <f t="shared" si="2"/>
        <v>0.35708333333333336</v>
      </c>
      <c r="Q36" s="28">
        <f t="shared" si="2"/>
        <v>9.1379166666666656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1.943112511380658</v>
      </c>
      <c r="C37" s="28">
        <f t="shared" ref="C37:Q37" si="3">STDEV(C9:C32)</f>
        <v>2.4145409441578143</v>
      </c>
      <c r="D37" s="28">
        <f t="shared" si="3"/>
        <v>1.9390064970629057</v>
      </c>
      <c r="E37" s="28">
        <f t="shared" si="3"/>
        <v>0.25246035705444519</v>
      </c>
      <c r="F37" s="28">
        <f t="shared" si="3"/>
        <v>0.38685254465280144</v>
      </c>
      <c r="G37" s="28">
        <f t="shared" si="3"/>
        <v>8.1341368693116838</v>
      </c>
      <c r="H37" s="28">
        <f t="shared" si="3"/>
        <v>2.5656196457516205</v>
      </c>
      <c r="I37" s="28">
        <f t="shared" si="3"/>
        <v>0.23937986003693609</v>
      </c>
      <c r="J37" s="28">
        <f t="shared" si="3"/>
        <v>0.22603986758784481</v>
      </c>
      <c r="K37" s="28">
        <f t="shared" si="3"/>
        <v>19.915903807171834</v>
      </c>
      <c r="L37" s="28">
        <f t="shared" si="3"/>
        <v>1.9583355380807821</v>
      </c>
      <c r="M37" s="28">
        <f t="shared" si="3"/>
        <v>3.0110736445250912</v>
      </c>
      <c r="N37" s="28">
        <f t="shared" si="3"/>
        <v>154.39230047399445</v>
      </c>
      <c r="O37" s="28">
        <f t="shared" si="3"/>
        <v>0.40824829046386302</v>
      </c>
      <c r="P37" s="28">
        <f t="shared" si="3"/>
        <v>9.0240218868580163E-2</v>
      </c>
      <c r="Q37" s="28">
        <f t="shared" si="3"/>
        <v>6.2413708546222184E-2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84</v>
      </c>
      <c r="B9" s="53">
        <v>7.61</v>
      </c>
      <c r="C9" s="53">
        <v>11.8</v>
      </c>
      <c r="D9" s="53">
        <v>12.23</v>
      </c>
      <c r="E9" s="53">
        <v>5.28</v>
      </c>
      <c r="F9" s="53">
        <v>4.51</v>
      </c>
      <c r="G9" s="53">
        <v>27.2</v>
      </c>
      <c r="H9" s="53">
        <v>16.45</v>
      </c>
      <c r="I9" s="53">
        <v>1</v>
      </c>
      <c r="J9" s="53">
        <v>0.18</v>
      </c>
      <c r="K9" s="53">
        <v>322.66000000000003</v>
      </c>
      <c r="L9" s="53">
        <v>23.8</v>
      </c>
      <c r="M9" s="53">
        <v>97.75</v>
      </c>
      <c r="N9" s="53">
        <v>49.6</v>
      </c>
      <c r="O9" s="53">
        <v>0</v>
      </c>
      <c r="P9" s="53">
        <v>0.24</v>
      </c>
      <c r="Q9" s="53">
        <v>9.1199999999999992</v>
      </c>
      <c r="R9" s="43"/>
      <c r="S9" s="43"/>
      <c r="T9" s="43"/>
      <c r="U9" s="43"/>
    </row>
    <row r="10" spans="1:21" s="11" customFormat="1" x14ac:dyDescent="0.25">
      <c r="A10" s="52" t="s">
        <v>85</v>
      </c>
      <c r="B10" s="53">
        <v>6.7</v>
      </c>
      <c r="C10" s="53">
        <v>12.2</v>
      </c>
      <c r="D10" s="53">
        <v>11.36</v>
      </c>
      <c r="E10" s="53">
        <v>5.46</v>
      </c>
      <c r="F10" s="53">
        <v>3.86</v>
      </c>
      <c r="G10" s="53">
        <v>27.2</v>
      </c>
      <c r="H10" s="53">
        <v>16.45</v>
      </c>
      <c r="I10" s="53">
        <v>0.9</v>
      </c>
      <c r="J10" s="53">
        <v>0.23</v>
      </c>
      <c r="K10" s="53">
        <v>307.23</v>
      </c>
      <c r="L10" s="53">
        <v>23.82</v>
      </c>
      <c r="M10" s="53">
        <v>97.8</v>
      </c>
      <c r="N10" s="53">
        <v>49.8</v>
      </c>
      <c r="O10" s="53">
        <v>0</v>
      </c>
      <c r="P10" s="53">
        <v>0.19</v>
      </c>
      <c r="Q10" s="53">
        <v>9.08</v>
      </c>
      <c r="R10" s="43"/>
      <c r="S10" s="43"/>
      <c r="T10" s="43"/>
      <c r="U10" s="43"/>
    </row>
    <row r="11" spans="1:21" s="11" customFormat="1" x14ac:dyDescent="0.25">
      <c r="A11" s="52" t="s">
        <v>86</v>
      </c>
      <c r="B11" s="53">
        <v>5.59</v>
      </c>
      <c r="C11" s="53">
        <v>12.13</v>
      </c>
      <c r="D11" s="53">
        <v>10.82</v>
      </c>
      <c r="E11" s="53">
        <v>5.29</v>
      </c>
      <c r="F11" s="53">
        <v>4.05</v>
      </c>
      <c r="G11" s="53">
        <v>19.399999999999999</v>
      </c>
      <c r="H11" s="53">
        <v>11.23</v>
      </c>
      <c r="I11" s="53">
        <v>0.81</v>
      </c>
      <c r="J11" s="53">
        <v>0.28000000000000003</v>
      </c>
      <c r="K11" s="53">
        <v>300.85000000000002</v>
      </c>
      <c r="L11" s="53">
        <v>23.68</v>
      </c>
      <c r="M11" s="53">
        <v>97.8</v>
      </c>
      <c r="N11" s="53">
        <v>50</v>
      </c>
      <c r="O11" s="53">
        <v>0</v>
      </c>
      <c r="P11" s="53">
        <v>0.16</v>
      </c>
      <c r="Q11" s="53">
        <v>9.02</v>
      </c>
      <c r="R11" s="43"/>
      <c r="S11" s="43"/>
      <c r="T11" s="43"/>
      <c r="U11" s="43"/>
    </row>
    <row r="12" spans="1:21" s="11" customFormat="1" x14ac:dyDescent="0.25">
      <c r="A12" s="52" t="s">
        <v>87</v>
      </c>
      <c r="B12" s="53">
        <v>5.91</v>
      </c>
      <c r="C12" s="53">
        <v>13.03</v>
      </c>
      <c r="D12" s="53">
        <v>11.11</v>
      </c>
      <c r="E12" s="53">
        <v>5.38</v>
      </c>
      <c r="F12" s="53">
        <v>4</v>
      </c>
      <c r="G12" s="53">
        <v>25.9</v>
      </c>
      <c r="H12" s="53">
        <v>11.18</v>
      </c>
      <c r="I12" s="53">
        <v>0.87</v>
      </c>
      <c r="J12" s="53">
        <v>0.19</v>
      </c>
      <c r="K12" s="53">
        <v>300.05</v>
      </c>
      <c r="L12" s="53">
        <v>23.37</v>
      </c>
      <c r="M12" s="53">
        <v>97.8</v>
      </c>
      <c r="N12" s="53">
        <v>50.1</v>
      </c>
      <c r="O12" s="53">
        <v>0</v>
      </c>
      <c r="P12" s="53">
        <v>0.19</v>
      </c>
      <c r="Q12" s="53">
        <v>8.99</v>
      </c>
      <c r="R12" s="43"/>
      <c r="S12" s="43"/>
      <c r="T12" s="43"/>
      <c r="U12" s="43"/>
    </row>
    <row r="13" spans="1:21" s="11" customFormat="1" x14ac:dyDescent="0.25">
      <c r="A13" s="52" t="s">
        <v>88</v>
      </c>
      <c r="B13" s="53">
        <v>8.0399999999999991</v>
      </c>
      <c r="C13" s="53">
        <v>14.64</v>
      </c>
      <c r="D13" s="53">
        <v>13.89</v>
      </c>
      <c r="E13" s="53">
        <v>5.31</v>
      </c>
      <c r="F13" s="53">
        <v>3.38</v>
      </c>
      <c r="G13" s="53">
        <v>31.44</v>
      </c>
      <c r="H13" s="53">
        <v>9.2100000000000009</v>
      </c>
      <c r="I13" s="53">
        <v>2.4900000000000002</v>
      </c>
      <c r="J13" s="53">
        <v>0.43</v>
      </c>
      <c r="K13" s="53">
        <v>300.32</v>
      </c>
      <c r="L13" s="53">
        <v>23.29</v>
      </c>
      <c r="M13" s="53">
        <v>97.8</v>
      </c>
      <c r="N13" s="53">
        <v>50.1</v>
      </c>
      <c r="O13" s="53">
        <v>0</v>
      </c>
      <c r="P13" s="53">
        <v>0.46</v>
      </c>
      <c r="Q13" s="53">
        <v>9.09</v>
      </c>
      <c r="R13" s="43"/>
      <c r="S13" s="43"/>
      <c r="T13" s="43"/>
      <c r="U13" s="43"/>
    </row>
    <row r="14" spans="1:21" s="11" customFormat="1" x14ac:dyDescent="0.25">
      <c r="A14" s="52" t="s">
        <v>89</v>
      </c>
      <c r="B14" s="53">
        <v>8.2899999999999991</v>
      </c>
      <c r="C14" s="53">
        <v>12.77</v>
      </c>
      <c r="D14" s="53">
        <v>13.26</v>
      </c>
      <c r="E14" s="53">
        <v>5.31</v>
      </c>
      <c r="F14" s="53">
        <v>4.18</v>
      </c>
      <c r="G14" s="53">
        <v>31.44</v>
      </c>
      <c r="H14" s="53">
        <v>10.87</v>
      </c>
      <c r="I14" s="53">
        <v>3.67</v>
      </c>
      <c r="J14" s="53">
        <v>0.35</v>
      </c>
      <c r="K14" s="53">
        <v>294.79000000000002</v>
      </c>
      <c r="L14" s="53">
        <v>23.22</v>
      </c>
      <c r="M14" s="53">
        <v>97.85</v>
      </c>
      <c r="N14" s="53">
        <v>59.2</v>
      </c>
      <c r="O14" s="53">
        <v>0.2</v>
      </c>
      <c r="P14" s="53">
        <v>0.42</v>
      </c>
      <c r="Q14" s="53">
        <v>9.1300000000000008</v>
      </c>
      <c r="R14" s="43"/>
      <c r="S14" s="43"/>
      <c r="T14" s="43"/>
      <c r="U14" s="43"/>
    </row>
    <row r="15" spans="1:21" s="11" customFormat="1" x14ac:dyDescent="0.25">
      <c r="A15" s="52" t="s">
        <v>90</v>
      </c>
      <c r="B15" s="53">
        <v>16.66</v>
      </c>
      <c r="C15" s="53">
        <v>19.37</v>
      </c>
      <c r="D15" s="53">
        <v>23.48</v>
      </c>
      <c r="E15" s="53">
        <v>5.38</v>
      </c>
      <c r="F15" s="53">
        <v>4.08</v>
      </c>
      <c r="G15" s="53">
        <v>28.92</v>
      </c>
      <c r="H15" s="53">
        <v>10.87</v>
      </c>
      <c r="I15" s="53">
        <v>3</v>
      </c>
      <c r="J15" s="53">
        <v>0.33</v>
      </c>
      <c r="K15" s="53">
        <v>293</v>
      </c>
      <c r="L15" s="53">
        <v>23.71</v>
      </c>
      <c r="M15" s="53">
        <v>97.88</v>
      </c>
      <c r="N15" s="53">
        <v>98.2</v>
      </c>
      <c r="O15" s="53">
        <v>0</v>
      </c>
      <c r="P15" s="53">
        <v>0.91</v>
      </c>
      <c r="Q15" s="53">
        <v>9.27</v>
      </c>
      <c r="R15" s="43"/>
      <c r="S15" s="43"/>
      <c r="T15" s="43"/>
      <c r="U15" s="43"/>
    </row>
    <row r="16" spans="1:21" s="11" customFormat="1" x14ac:dyDescent="0.25">
      <c r="A16" s="52" t="s">
        <v>91</v>
      </c>
      <c r="B16" s="53">
        <v>21.13</v>
      </c>
      <c r="C16" s="53">
        <v>17.66</v>
      </c>
      <c r="D16" s="53">
        <v>24.99</v>
      </c>
      <c r="E16" s="53">
        <v>5.39</v>
      </c>
      <c r="F16" s="53">
        <v>3.8</v>
      </c>
      <c r="G16" s="53">
        <v>45.64</v>
      </c>
      <c r="H16" s="53">
        <v>13.23</v>
      </c>
      <c r="I16" s="53">
        <v>7.03</v>
      </c>
      <c r="J16" s="53">
        <v>0.24</v>
      </c>
      <c r="K16" s="53">
        <v>288.05</v>
      </c>
      <c r="L16" s="53">
        <v>24.53</v>
      </c>
      <c r="M16" s="53">
        <v>97.9</v>
      </c>
      <c r="N16" s="53">
        <v>118.2</v>
      </c>
      <c r="O16" s="53">
        <v>0</v>
      </c>
      <c r="P16" s="53">
        <v>0.77</v>
      </c>
      <c r="Q16" s="53">
        <v>9.5500000000000007</v>
      </c>
      <c r="R16" s="43"/>
      <c r="S16" s="43"/>
      <c r="T16" s="43"/>
      <c r="U16" s="43"/>
    </row>
    <row r="17" spans="1:21" s="11" customFormat="1" x14ac:dyDescent="0.25">
      <c r="A17" s="52" t="s">
        <v>92</v>
      </c>
      <c r="B17" s="53">
        <v>22.07</v>
      </c>
      <c r="C17" s="53">
        <v>11.34</v>
      </c>
      <c r="D17" s="53">
        <v>23.28</v>
      </c>
      <c r="E17" s="53">
        <v>4.72</v>
      </c>
      <c r="F17" s="53">
        <v>3.85</v>
      </c>
      <c r="G17" s="53">
        <v>53.93</v>
      </c>
      <c r="H17" s="53">
        <v>13.23</v>
      </c>
      <c r="I17" s="53">
        <v>6.78</v>
      </c>
      <c r="J17" s="53">
        <v>0.3</v>
      </c>
      <c r="K17" s="53">
        <v>287.17</v>
      </c>
      <c r="L17" s="53">
        <v>25.19</v>
      </c>
      <c r="M17" s="53">
        <v>97.9</v>
      </c>
      <c r="N17" s="53">
        <v>250.7</v>
      </c>
      <c r="O17" s="53">
        <v>0</v>
      </c>
      <c r="P17" s="53">
        <v>0.74</v>
      </c>
      <c r="Q17" s="53">
        <v>9.5500000000000007</v>
      </c>
      <c r="R17" s="43"/>
      <c r="S17" s="43"/>
      <c r="T17" s="43"/>
      <c r="U17" s="43"/>
    </row>
    <row r="18" spans="1:21" s="11" customFormat="1" x14ac:dyDescent="0.25">
      <c r="A18" s="52" t="s">
        <v>93</v>
      </c>
      <c r="B18" s="53">
        <v>20.96</v>
      </c>
      <c r="C18" s="53">
        <v>11.66</v>
      </c>
      <c r="D18" s="53">
        <v>22.5</v>
      </c>
      <c r="E18" s="53">
        <v>4.78</v>
      </c>
      <c r="F18" s="53">
        <v>4.04</v>
      </c>
      <c r="G18" s="53">
        <v>53.93</v>
      </c>
      <c r="H18" s="53">
        <v>15.65</v>
      </c>
      <c r="I18" s="53">
        <v>6.37</v>
      </c>
      <c r="J18" s="53">
        <v>0.37</v>
      </c>
      <c r="K18" s="53">
        <v>288.31</v>
      </c>
      <c r="L18" s="53">
        <v>25.11</v>
      </c>
      <c r="M18" s="53">
        <v>97.9</v>
      </c>
      <c r="N18" s="53">
        <v>202.6</v>
      </c>
      <c r="O18" s="53">
        <v>0</v>
      </c>
      <c r="P18" s="53">
        <v>0.62</v>
      </c>
      <c r="Q18" s="53">
        <v>9.5500000000000007</v>
      </c>
      <c r="R18" s="43"/>
      <c r="S18" s="43"/>
      <c r="T18" s="43"/>
      <c r="U18" s="43"/>
    </row>
    <row r="19" spans="1:21" s="11" customFormat="1" x14ac:dyDescent="0.25">
      <c r="A19" s="52" t="s">
        <v>94</v>
      </c>
      <c r="B19" s="53">
        <v>19.11</v>
      </c>
      <c r="C19" s="53">
        <v>17.989999999999998</v>
      </c>
      <c r="D19" s="53">
        <v>22.51</v>
      </c>
      <c r="E19" s="53">
        <v>4.76</v>
      </c>
      <c r="F19" s="53">
        <v>4.45</v>
      </c>
      <c r="G19" s="53">
        <v>51.36</v>
      </c>
      <c r="H19" s="53">
        <v>15.67</v>
      </c>
      <c r="I19" s="53">
        <v>5.08</v>
      </c>
      <c r="J19" s="53">
        <v>0.38</v>
      </c>
      <c r="K19" s="53">
        <v>288.89999999999998</v>
      </c>
      <c r="L19" s="53">
        <v>25.55</v>
      </c>
      <c r="M19" s="53">
        <v>97.91</v>
      </c>
      <c r="N19" s="53">
        <v>246.5</v>
      </c>
      <c r="O19" s="53">
        <v>0</v>
      </c>
      <c r="P19" s="53">
        <v>0.59</v>
      </c>
      <c r="Q19" s="53">
        <v>9.5</v>
      </c>
      <c r="R19" s="43"/>
      <c r="S19" s="43"/>
      <c r="T19" s="43"/>
      <c r="U19" s="43"/>
    </row>
    <row r="20" spans="1:21" s="11" customFormat="1" x14ac:dyDescent="0.25">
      <c r="A20" s="52" t="s">
        <v>95</v>
      </c>
      <c r="B20" s="53">
        <v>15.26</v>
      </c>
      <c r="C20" s="53">
        <v>20.69</v>
      </c>
      <c r="D20" s="53">
        <v>22.48</v>
      </c>
      <c r="E20" s="53">
        <v>4.83</v>
      </c>
      <c r="F20" s="53">
        <v>4.3600000000000003</v>
      </c>
      <c r="G20" s="53">
        <v>49.58</v>
      </c>
      <c r="H20" s="53">
        <v>15.67</v>
      </c>
      <c r="I20" s="53">
        <v>4.34</v>
      </c>
      <c r="J20" s="53">
        <v>0.66</v>
      </c>
      <c r="K20" s="53">
        <v>290.36</v>
      </c>
      <c r="L20" s="53">
        <v>25.68</v>
      </c>
      <c r="M20" s="53">
        <v>97.96</v>
      </c>
      <c r="N20" s="53">
        <v>237.5</v>
      </c>
      <c r="O20" s="53">
        <v>0</v>
      </c>
      <c r="P20" s="53">
        <v>0.52</v>
      </c>
      <c r="Q20" s="53">
        <v>9.43</v>
      </c>
      <c r="R20" s="43"/>
      <c r="S20" s="43"/>
      <c r="T20" s="43"/>
      <c r="U20" s="43"/>
    </row>
    <row r="21" spans="1:21" s="11" customFormat="1" x14ac:dyDescent="0.25">
      <c r="A21" s="52" t="s">
        <v>96</v>
      </c>
      <c r="B21" s="53">
        <v>12.31</v>
      </c>
      <c r="C21" s="53">
        <v>19.739999999999998</v>
      </c>
      <c r="D21" s="53">
        <v>20.079999999999998</v>
      </c>
      <c r="E21" s="53">
        <v>4.59</v>
      </c>
      <c r="F21" s="53">
        <v>3.89</v>
      </c>
      <c r="G21" s="53">
        <v>49.05</v>
      </c>
      <c r="H21" s="53">
        <v>15.92</v>
      </c>
      <c r="I21" s="53">
        <v>2.6</v>
      </c>
      <c r="J21" s="53">
        <v>0.39</v>
      </c>
      <c r="K21" s="53">
        <v>292.95999999999998</v>
      </c>
      <c r="L21" s="53">
        <v>24.8</v>
      </c>
      <c r="M21" s="53">
        <v>97.98</v>
      </c>
      <c r="N21" s="53">
        <v>192.2</v>
      </c>
      <c r="O21" s="53">
        <v>0.2</v>
      </c>
      <c r="P21" s="53">
        <v>0.54</v>
      </c>
      <c r="Q21" s="53">
        <v>9.27</v>
      </c>
      <c r="R21" s="43"/>
      <c r="S21" s="43"/>
      <c r="T21" s="43"/>
      <c r="U21" s="43"/>
    </row>
    <row r="22" spans="1:21" s="11" customFormat="1" x14ac:dyDescent="0.25">
      <c r="A22" s="52" t="s">
        <v>97</v>
      </c>
      <c r="B22" s="53">
        <v>15.04</v>
      </c>
      <c r="C22" s="53">
        <v>19.37</v>
      </c>
      <c r="D22" s="53">
        <v>22.06</v>
      </c>
      <c r="E22" s="53">
        <v>4.74</v>
      </c>
      <c r="F22" s="53">
        <v>6.55</v>
      </c>
      <c r="G22" s="53">
        <v>46.61</v>
      </c>
      <c r="H22" s="53">
        <v>29.09</v>
      </c>
      <c r="I22" s="53">
        <v>3.91</v>
      </c>
      <c r="J22" s="53">
        <v>0.23</v>
      </c>
      <c r="K22" s="53">
        <v>285.42</v>
      </c>
      <c r="L22" s="53">
        <v>24.55</v>
      </c>
      <c r="M22" s="53">
        <v>98.03</v>
      </c>
      <c r="N22" s="53">
        <v>208.5</v>
      </c>
      <c r="O22" s="53">
        <v>0.2</v>
      </c>
      <c r="P22" s="53">
        <v>0.56999999999999995</v>
      </c>
      <c r="Q22" s="53">
        <v>9.39</v>
      </c>
      <c r="R22" s="43"/>
      <c r="S22" s="43"/>
      <c r="T22" s="43"/>
      <c r="U22" s="43"/>
    </row>
    <row r="23" spans="1:21" s="11" customFormat="1" x14ac:dyDescent="0.25">
      <c r="A23" s="52" t="s">
        <v>98</v>
      </c>
      <c r="B23" s="53">
        <v>18.2</v>
      </c>
      <c r="C23" s="53">
        <v>18.72</v>
      </c>
      <c r="D23" s="53">
        <v>23.85</v>
      </c>
      <c r="E23" s="53">
        <v>4.8499999999999996</v>
      </c>
      <c r="F23" s="53">
        <v>7.01</v>
      </c>
      <c r="G23" s="53">
        <v>46.61</v>
      </c>
      <c r="H23" s="53">
        <v>29.09</v>
      </c>
      <c r="I23" s="53">
        <v>3.72</v>
      </c>
      <c r="J23" s="53">
        <v>0.19</v>
      </c>
      <c r="K23" s="53">
        <v>300.7</v>
      </c>
      <c r="L23" s="53">
        <v>24.51</v>
      </c>
      <c r="M23" s="53">
        <v>98.07</v>
      </c>
      <c r="N23" s="53">
        <v>197.7</v>
      </c>
      <c r="O23" s="53">
        <v>0.6</v>
      </c>
      <c r="P23" s="53">
        <v>0.51</v>
      </c>
      <c r="Q23" s="53">
        <v>9.39</v>
      </c>
      <c r="R23" s="43"/>
      <c r="S23" s="43"/>
      <c r="T23" s="43"/>
      <c r="U23" s="43"/>
    </row>
    <row r="24" spans="1:21" s="11" customFormat="1" x14ac:dyDescent="0.25">
      <c r="A24" s="52" t="s">
        <v>99</v>
      </c>
      <c r="B24" s="53">
        <v>13.71</v>
      </c>
      <c r="C24" s="53">
        <v>20.59</v>
      </c>
      <c r="D24" s="53">
        <v>18.600000000000001</v>
      </c>
      <c r="E24" s="53">
        <v>4.9000000000000004</v>
      </c>
      <c r="F24" s="53">
        <v>4.76</v>
      </c>
      <c r="G24" s="53">
        <v>35.82</v>
      </c>
      <c r="H24" s="53">
        <v>24.79</v>
      </c>
      <c r="I24" s="53">
        <v>3.26</v>
      </c>
      <c r="J24" s="53">
        <v>0.16</v>
      </c>
      <c r="K24" s="53">
        <v>304.38</v>
      </c>
      <c r="L24" s="53">
        <v>24.32</v>
      </c>
      <c r="M24" s="53">
        <v>98.1</v>
      </c>
      <c r="N24" s="53">
        <v>229.6</v>
      </c>
      <c r="O24" s="53">
        <v>0</v>
      </c>
      <c r="P24" s="53">
        <v>0.48</v>
      </c>
      <c r="Q24" s="53">
        <v>9.3699999999999992</v>
      </c>
      <c r="R24" s="43"/>
      <c r="S24" s="43"/>
      <c r="T24" s="43"/>
      <c r="U24" s="43"/>
    </row>
    <row r="25" spans="1:21" s="11" customFormat="1" x14ac:dyDescent="0.25">
      <c r="A25" s="52" t="s">
        <v>100</v>
      </c>
      <c r="B25" s="53">
        <v>10.35</v>
      </c>
      <c r="C25" s="53">
        <v>19.96</v>
      </c>
      <c r="D25" s="53">
        <v>17.64</v>
      </c>
      <c r="E25" s="53">
        <v>5.2</v>
      </c>
      <c r="F25" s="53">
        <v>5.98</v>
      </c>
      <c r="G25" s="53">
        <v>28.02</v>
      </c>
      <c r="H25" s="53">
        <v>21.4</v>
      </c>
      <c r="I25" s="53">
        <v>2.0099999999999998</v>
      </c>
      <c r="J25" s="53">
        <v>0.13</v>
      </c>
      <c r="K25" s="53">
        <v>275.35000000000002</v>
      </c>
      <c r="L25" s="53">
        <v>24.64</v>
      </c>
      <c r="M25" s="53">
        <v>98.1</v>
      </c>
      <c r="N25" s="53">
        <v>218.1</v>
      </c>
      <c r="O25" s="53">
        <v>0</v>
      </c>
      <c r="P25" s="53">
        <v>0.33</v>
      </c>
      <c r="Q25" s="53">
        <v>9.23</v>
      </c>
      <c r="R25" s="43"/>
      <c r="S25" s="43"/>
      <c r="T25" s="43"/>
      <c r="U25" s="43"/>
    </row>
    <row r="26" spans="1:21" s="11" customFormat="1" x14ac:dyDescent="0.25">
      <c r="A26" s="52" t="s">
        <v>101</v>
      </c>
      <c r="B26" s="53">
        <v>11.56</v>
      </c>
      <c r="C26" s="53">
        <v>18.07</v>
      </c>
      <c r="D26" s="53">
        <v>18.71</v>
      </c>
      <c r="E26" s="53">
        <v>5.43</v>
      </c>
      <c r="F26" s="53">
        <v>10.61</v>
      </c>
      <c r="G26" s="53">
        <v>28.02</v>
      </c>
      <c r="H26" s="53">
        <v>15.02</v>
      </c>
      <c r="I26" s="53">
        <v>1.74</v>
      </c>
      <c r="J26" s="53">
        <v>0.11</v>
      </c>
      <c r="K26" s="53">
        <v>311.95999999999998</v>
      </c>
      <c r="L26" s="53">
        <v>24.64</v>
      </c>
      <c r="M26" s="53">
        <v>98.12</v>
      </c>
      <c r="N26" s="53">
        <v>138.4</v>
      </c>
      <c r="O26" s="53">
        <v>0</v>
      </c>
      <c r="P26" s="53">
        <v>0.37</v>
      </c>
      <c r="Q26" s="53">
        <v>9.2200000000000006</v>
      </c>
      <c r="R26" s="43"/>
      <c r="S26" s="43"/>
      <c r="T26" s="43"/>
      <c r="U26" s="43"/>
    </row>
    <row r="27" spans="1:21" s="11" customFormat="1" x14ac:dyDescent="0.25">
      <c r="A27" s="52" t="s">
        <v>102</v>
      </c>
      <c r="B27" s="53">
        <v>11.3</v>
      </c>
      <c r="C27" s="53">
        <v>16.5</v>
      </c>
      <c r="D27" s="53">
        <v>17.690000000000001</v>
      </c>
      <c r="E27" s="53">
        <v>5.55</v>
      </c>
      <c r="F27" s="53">
        <v>8.7899999999999991</v>
      </c>
      <c r="G27" s="53">
        <v>27.77</v>
      </c>
      <c r="H27" s="53">
        <v>14.38</v>
      </c>
      <c r="I27" s="53">
        <v>1.64</v>
      </c>
      <c r="J27" s="53">
        <v>0.12</v>
      </c>
      <c r="K27" s="53">
        <v>301.94</v>
      </c>
      <c r="L27" s="53">
        <v>24.45</v>
      </c>
      <c r="M27" s="53">
        <v>98.08</v>
      </c>
      <c r="N27" s="53">
        <v>89.5</v>
      </c>
      <c r="O27" s="53">
        <v>0</v>
      </c>
      <c r="P27" s="53">
        <v>0.33</v>
      </c>
      <c r="Q27" s="53">
        <v>9.24</v>
      </c>
      <c r="R27" s="43"/>
      <c r="S27" s="43"/>
      <c r="T27" s="43"/>
      <c r="U27" s="43"/>
    </row>
    <row r="28" spans="1:21" s="11" customFormat="1" x14ac:dyDescent="0.25">
      <c r="A28" s="52" t="s">
        <v>103</v>
      </c>
      <c r="B28" s="53">
        <v>12.14</v>
      </c>
      <c r="C28" s="53">
        <v>14.14</v>
      </c>
      <c r="D28" s="53">
        <v>17.12</v>
      </c>
      <c r="E28" s="53">
        <v>5.51</v>
      </c>
      <c r="F28" s="53">
        <v>6.63</v>
      </c>
      <c r="G28" s="53">
        <v>27.77</v>
      </c>
      <c r="H28" s="53">
        <v>10.49</v>
      </c>
      <c r="I28" s="53">
        <v>1.59</v>
      </c>
      <c r="J28" s="53">
        <v>0.09</v>
      </c>
      <c r="K28" s="53">
        <v>324.12</v>
      </c>
      <c r="L28" s="53">
        <v>24.1</v>
      </c>
      <c r="M28" s="53">
        <v>98.08</v>
      </c>
      <c r="N28" s="53">
        <v>71.7</v>
      </c>
      <c r="O28" s="53">
        <v>0</v>
      </c>
      <c r="P28" s="53">
        <v>0.42</v>
      </c>
      <c r="Q28" s="53">
        <v>9.24</v>
      </c>
      <c r="R28" s="43"/>
      <c r="S28" s="43"/>
      <c r="T28" s="43"/>
      <c r="U28" s="43"/>
    </row>
    <row r="29" spans="1:21" s="11" customFormat="1" x14ac:dyDescent="0.25">
      <c r="A29" s="52" t="s">
        <v>104</v>
      </c>
      <c r="B29" s="53">
        <v>10.73</v>
      </c>
      <c r="C29" s="53">
        <v>12.58</v>
      </c>
      <c r="D29" s="53">
        <v>14.83</v>
      </c>
      <c r="E29" s="53">
        <v>5.43</v>
      </c>
      <c r="F29" s="53">
        <v>4.62</v>
      </c>
      <c r="G29" s="53">
        <v>24.55</v>
      </c>
      <c r="H29" s="53">
        <v>10.49</v>
      </c>
      <c r="I29" s="53">
        <v>1.53</v>
      </c>
      <c r="J29" s="53">
        <v>0.08</v>
      </c>
      <c r="K29" s="53">
        <v>295.42</v>
      </c>
      <c r="L29" s="53">
        <v>23.96</v>
      </c>
      <c r="M29" s="53">
        <v>98.09</v>
      </c>
      <c r="N29" s="53">
        <v>72.2</v>
      </c>
      <c r="O29" s="53">
        <v>0</v>
      </c>
      <c r="P29" s="53">
        <v>0.37</v>
      </c>
      <c r="Q29" s="53">
        <v>9.1999999999999993</v>
      </c>
      <c r="R29" s="43"/>
      <c r="S29" s="43"/>
      <c r="T29" s="43"/>
      <c r="U29" s="43"/>
    </row>
    <row r="30" spans="1:21" s="11" customFormat="1" x14ac:dyDescent="0.25">
      <c r="A30" s="52" t="s">
        <v>105</v>
      </c>
      <c r="B30" s="53">
        <v>12.41</v>
      </c>
      <c r="C30" s="53">
        <v>14.6</v>
      </c>
      <c r="D30" s="53">
        <v>17.579999999999998</v>
      </c>
      <c r="E30" s="53">
        <v>5.52</v>
      </c>
      <c r="F30" s="53">
        <v>6.3</v>
      </c>
      <c r="G30" s="53">
        <v>26.2</v>
      </c>
      <c r="H30" s="53">
        <v>7.34</v>
      </c>
      <c r="I30" s="53">
        <v>1.49</v>
      </c>
      <c r="J30" s="53">
        <v>0.1</v>
      </c>
      <c r="K30" s="53">
        <v>307.95</v>
      </c>
      <c r="L30" s="53">
        <v>23.83</v>
      </c>
      <c r="M30" s="53">
        <v>98.1</v>
      </c>
      <c r="N30" s="53">
        <v>73.3</v>
      </c>
      <c r="O30" s="53">
        <v>0</v>
      </c>
      <c r="P30" s="53">
        <v>0.36</v>
      </c>
      <c r="Q30" s="53">
        <v>9.18</v>
      </c>
      <c r="R30" s="43"/>
      <c r="S30" s="43"/>
      <c r="T30" s="43"/>
      <c r="U30" s="43"/>
    </row>
    <row r="31" spans="1:21" s="11" customFormat="1" x14ac:dyDescent="0.25">
      <c r="A31" s="52" t="s">
        <v>106</v>
      </c>
      <c r="B31" s="53">
        <v>10.63</v>
      </c>
      <c r="C31" s="53">
        <v>13.92</v>
      </c>
      <c r="D31" s="53">
        <v>15.79</v>
      </c>
      <c r="E31" s="53">
        <v>5.34</v>
      </c>
      <c r="F31" s="53">
        <v>8.02</v>
      </c>
      <c r="G31" s="53">
        <v>26.33</v>
      </c>
      <c r="H31" s="53">
        <v>5.14</v>
      </c>
      <c r="I31" s="53">
        <v>1.41</v>
      </c>
      <c r="J31" s="53">
        <v>0.12</v>
      </c>
      <c r="K31" s="53">
        <v>328.25</v>
      </c>
      <c r="L31" s="53">
        <v>23.76</v>
      </c>
      <c r="M31" s="53">
        <v>98.1</v>
      </c>
      <c r="N31" s="53">
        <v>79</v>
      </c>
      <c r="O31" s="53">
        <v>0</v>
      </c>
      <c r="P31" s="53">
        <v>0.31</v>
      </c>
      <c r="Q31" s="53">
        <v>9.2100000000000009</v>
      </c>
      <c r="R31" s="43"/>
      <c r="S31" s="43"/>
      <c r="T31" s="43"/>
      <c r="U31" s="43"/>
    </row>
    <row r="32" spans="1:21" s="11" customFormat="1" x14ac:dyDescent="0.25">
      <c r="A32" s="52" t="s">
        <v>107</v>
      </c>
      <c r="B32" s="53">
        <v>9.6999999999999993</v>
      </c>
      <c r="C32" s="53">
        <v>13</v>
      </c>
      <c r="D32" s="53">
        <v>13.37</v>
      </c>
      <c r="E32" s="53">
        <v>5.63</v>
      </c>
      <c r="F32" s="53">
        <v>7.4</v>
      </c>
      <c r="G32" s="53">
        <v>26.33</v>
      </c>
      <c r="H32" s="53">
        <v>6.02</v>
      </c>
      <c r="I32" s="53">
        <v>1.32</v>
      </c>
      <c r="J32" s="53">
        <v>0.11</v>
      </c>
      <c r="K32" s="53">
        <v>320.73</v>
      </c>
      <c r="L32" s="53">
        <v>23.82</v>
      </c>
      <c r="M32" s="53">
        <v>98.13</v>
      </c>
      <c r="N32" s="53">
        <v>82.4</v>
      </c>
      <c r="O32" s="53">
        <v>0</v>
      </c>
      <c r="P32" s="53">
        <v>0.31</v>
      </c>
      <c r="Q32" s="53">
        <v>9.2200000000000006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5.59</v>
      </c>
      <c r="C34" s="28">
        <f t="shared" si="0"/>
        <v>11.34</v>
      </c>
      <c r="D34" s="28">
        <f t="shared" si="0"/>
        <v>10.82</v>
      </c>
      <c r="E34" s="28">
        <f t="shared" si="0"/>
        <v>4.59</v>
      </c>
      <c r="F34" s="28">
        <f t="shared" si="0"/>
        <v>3.38</v>
      </c>
      <c r="G34" s="28">
        <f t="shared" si="0"/>
        <v>19.399999999999999</v>
      </c>
      <c r="H34" s="28">
        <f t="shared" si="0"/>
        <v>5.14</v>
      </c>
      <c r="I34" s="28">
        <f t="shared" si="0"/>
        <v>0.81</v>
      </c>
      <c r="J34" s="28">
        <f t="shared" si="0"/>
        <v>0.08</v>
      </c>
      <c r="K34" s="28">
        <f t="shared" si="0"/>
        <v>275.35000000000002</v>
      </c>
      <c r="L34" s="28">
        <f t="shared" si="0"/>
        <v>23.22</v>
      </c>
      <c r="M34" s="28">
        <f t="shared" si="0"/>
        <v>97.75</v>
      </c>
      <c r="N34" s="28">
        <f t="shared" si="0"/>
        <v>49.6</v>
      </c>
      <c r="O34" s="28">
        <f t="shared" si="0"/>
        <v>0</v>
      </c>
      <c r="P34" s="28">
        <f t="shared" si="0"/>
        <v>0.16</v>
      </c>
      <c r="Q34" s="28">
        <f t="shared" si="0"/>
        <v>8.99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22.07</v>
      </c>
      <c r="C35" s="29">
        <f t="shared" si="1"/>
        <v>20.69</v>
      </c>
      <c r="D35" s="29">
        <f t="shared" si="1"/>
        <v>24.99</v>
      </c>
      <c r="E35" s="29">
        <f t="shared" si="1"/>
        <v>5.63</v>
      </c>
      <c r="F35" s="29">
        <f t="shared" si="1"/>
        <v>10.61</v>
      </c>
      <c r="G35" s="29">
        <f t="shared" si="1"/>
        <v>53.93</v>
      </c>
      <c r="H35" s="29">
        <f t="shared" si="1"/>
        <v>29.09</v>
      </c>
      <c r="I35" s="29">
        <f t="shared" si="1"/>
        <v>7.03</v>
      </c>
      <c r="J35" s="29">
        <f t="shared" si="1"/>
        <v>0.66</v>
      </c>
      <c r="K35" s="29">
        <f t="shared" si="1"/>
        <v>328.25</v>
      </c>
      <c r="L35" s="29">
        <f t="shared" si="1"/>
        <v>25.68</v>
      </c>
      <c r="M35" s="29">
        <f t="shared" si="1"/>
        <v>98.13</v>
      </c>
      <c r="N35" s="29">
        <f t="shared" si="1"/>
        <v>250.7</v>
      </c>
      <c r="O35" s="29">
        <f t="shared" si="1"/>
        <v>0.6</v>
      </c>
      <c r="P35" s="29">
        <f t="shared" si="1"/>
        <v>0.91</v>
      </c>
      <c r="Q35" s="29">
        <f t="shared" si="1"/>
        <v>9.5500000000000007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12.725416666666668</v>
      </c>
      <c r="C36" s="28">
        <f t="shared" si="2"/>
        <v>15.686250000000001</v>
      </c>
      <c r="D36" s="28">
        <f t="shared" si="2"/>
        <v>17.884583333333335</v>
      </c>
      <c r="E36" s="28">
        <f t="shared" si="2"/>
        <v>5.190833333333333</v>
      </c>
      <c r="F36" s="28">
        <f t="shared" si="2"/>
        <v>5.38</v>
      </c>
      <c r="G36" s="28">
        <f t="shared" si="2"/>
        <v>34.959166666666668</v>
      </c>
      <c r="H36" s="28">
        <f t="shared" si="2"/>
        <v>14.536666666666662</v>
      </c>
      <c r="I36" s="28">
        <f t="shared" si="2"/>
        <v>2.856666666666666</v>
      </c>
      <c r="J36" s="28">
        <f t="shared" si="2"/>
        <v>0.24041666666666672</v>
      </c>
      <c r="K36" s="28">
        <f t="shared" si="2"/>
        <v>300.45291666666668</v>
      </c>
      <c r="L36" s="28">
        <f t="shared" si="2"/>
        <v>24.263750000000002</v>
      </c>
      <c r="M36" s="28">
        <f t="shared" si="2"/>
        <v>97.967916666666653</v>
      </c>
      <c r="N36" s="28">
        <f t="shared" si="2"/>
        <v>129.79583333333332</v>
      </c>
      <c r="O36" s="28">
        <f t="shared" si="2"/>
        <v>5.000000000000001E-2</v>
      </c>
      <c r="P36" s="28">
        <f t="shared" si="2"/>
        <v>0.44624999999999998</v>
      </c>
      <c r="Q36" s="28">
        <f t="shared" si="2"/>
        <v>9.2683333333333326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4.9050488444730735</v>
      </c>
      <c r="C37" s="28">
        <f t="shared" ref="C37:Q37" si="3">STDEV(C9:C32)</f>
        <v>3.3027495956103468</v>
      </c>
      <c r="D37" s="28">
        <f t="shared" si="3"/>
        <v>4.5507734451711963</v>
      </c>
      <c r="E37" s="28">
        <f t="shared" si="3"/>
        <v>0.32100273148867187</v>
      </c>
      <c r="F37" s="28">
        <f t="shared" si="3"/>
        <v>1.8929686829904502</v>
      </c>
      <c r="G37" s="28">
        <f t="shared" si="3"/>
        <v>11.086370369558022</v>
      </c>
      <c r="H37" s="28">
        <f t="shared" si="3"/>
        <v>6.3086873620337425</v>
      </c>
      <c r="I37" s="28">
        <f t="shared" si="3"/>
        <v>1.9080850101075424</v>
      </c>
      <c r="J37" s="28">
        <f t="shared" si="3"/>
        <v>0.14057271572320518</v>
      </c>
      <c r="K37" s="28">
        <f t="shared" si="3"/>
        <v>13.558236219510926</v>
      </c>
      <c r="L37" s="28">
        <f t="shared" si="3"/>
        <v>0.68238591975381568</v>
      </c>
      <c r="M37" s="28">
        <f t="shared" si="3"/>
        <v>0.12731266430624052</v>
      </c>
      <c r="N37" s="28">
        <f t="shared" si="3"/>
        <v>75.763484833117118</v>
      </c>
      <c r="O37" s="28">
        <f t="shared" si="3"/>
        <v>0.13513278493843522</v>
      </c>
      <c r="P37" s="28">
        <f t="shared" si="3"/>
        <v>0.19023583761490223</v>
      </c>
      <c r="Q37" s="28">
        <f t="shared" si="3"/>
        <v>0.16536301743809567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2" sqref="G42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108</v>
      </c>
      <c r="B9" s="53">
        <v>9.92</v>
      </c>
      <c r="C9" s="53">
        <v>10.51</v>
      </c>
      <c r="D9" s="53">
        <v>13.26</v>
      </c>
      <c r="E9" s="53">
        <v>5.65</v>
      </c>
      <c r="F9" s="53">
        <v>3.68</v>
      </c>
      <c r="G9" s="53">
        <v>23.13</v>
      </c>
      <c r="H9" s="53">
        <v>6.02</v>
      </c>
      <c r="I9" s="53">
        <v>1.22</v>
      </c>
      <c r="J9" s="53">
        <v>0.13</v>
      </c>
      <c r="K9" s="53">
        <v>321.88</v>
      </c>
      <c r="L9" s="53">
        <v>23.74</v>
      </c>
      <c r="M9" s="53">
        <v>98.15</v>
      </c>
      <c r="N9" s="53">
        <v>88</v>
      </c>
      <c r="O9" s="53">
        <v>0</v>
      </c>
      <c r="P9" s="53">
        <v>0.28999999999999998</v>
      </c>
      <c r="Q9" s="53">
        <v>9.16</v>
      </c>
      <c r="R9" s="43"/>
      <c r="S9" s="43"/>
      <c r="T9" s="43"/>
      <c r="U9" s="43"/>
    </row>
    <row r="10" spans="1:21" s="11" customFormat="1" x14ac:dyDescent="0.25">
      <c r="A10" s="52" t="s">
        <v>109</v>
      </c>
      <c r="B10" s="53">
        <v>8.73</v>
      </c>
      <c r="C10" s="53">
        <v>10.66</v>
      </c>
      <c r="D10" s="53">
        <v>12.48</v>
      </c>
      <c r="E10" s="53">
        <v>5.27</v>
      </c>
      <c r="F10" s="53">
        <v>4.0599999999999996</v>
      </c>
      <c r="G10" s="53">
        <v>22.7</v>
      </c>
      <c r="H10" s="53">
        <v>5.22</v>
      </c>
      <c r="I10" s="53">
        <v>1.06</v>
      </c>
      <c r="J10" s="53">
        <v>0.14000000000000001</v>
      </c>
      <c r="K10" s="53">
        <v>315.24</v>
      </c>
      <c r="L10" s="53">
        <v>23.51</v>
      </c>
      <c r="M10" s="53">
        <v>98.17</v>
      </c>
      <c r="N10" s="53">
        <v>98.4</v>
      </c>
      <c r="O10" s="53">
        <v>0</v>
      </c>
      <c r="P10" s="53">
        <v>0.28000000000000003</v>
      </c>
      <c r="Q10" s="53">
        <v>9.08</v>
      </c>
      <c r="R10" s="43"/>
      <c r="S10" s="43"/>
      <c r="T10" s="43"/>
      <c r="U10" s="43"/>
    </row>
    <row r="11" spans="1:21" s="11" customFormat="1" x14ac:dyDescent="0.25">
      <c r="A11" s="52" t="s">
        <v>110</v>
      </c>
      <c r="B11" s="53">
        <v>7.34</v>
      </c>
      <c r="C11" s="53">
        <v>10.65</v>
      </c>
      <c r="D11" s="53">
        <v>11.44</v>
      </c>
      <c r="E11" s="53">
        <v>5.43</v>
      </c>
      <c r="F11" s="53">
        <v>4.88</v>
      </c>
      <c r="G11" s="53">
        <v>19.97</v>
      </c>
      <c r="H11" s="53">
        <v>5.41</v>
      </c>
      <c r="I11" s="53">
        <v>0.92</v>
      </c>
      <c r="J11" s="53">
        <v>0.2</v>
      </c>
      <c r="K11" s="53">
        <v>305.67</v>
      </c>
      <c r="L11" s="53">
        <v>23.52</v>
      </c>
      <c r="M11" s="53">
        <v>97.97</v>
      </c>
      <c r="N11" s="53">
        <v>100.1</v>
      </c>
      <c r="O11" s="53">
        <v>0</v>
      </c>
      <c r="P11" s="53">
        <v>0.24</v>
      </c>
      <c r="Q11" s="53">
        <v>9.06</v>
      </c>
      <c r="R11" s="43"/>
      <c r="S11" s="43"/>
      <c r="T11" s="43"/>
      <c r="U11" s="43"/>
    </row>
    <row r="12" spans="1:21" s="11" customFormat="1" x14ac:dyDescent="0.25">
      <c r="A12" s="52" t="s">
        <v>111</v>
      </c>
      <c r="B12" s="53">
        <v>6.01</v>
      </c>
      <c r="C12" s="53">
        <v>10.96</v>
      </c>
      <c r="D12" s="53">
        <v>10.49</v>
      </c>
      <c r="E12" s="53">
        <v>5.22</v>
      </c>
      <c r="F12" s="53">
        <v>4.17</v>
      </c>
      <c r="G12" s="53">
        <v>19.97</v>
      </c>
      <c r="H12" s="53">
        <v>6.51</v>
      </c>
      <c r="I12" s="53">
        <v>0.87</v>
      </c>
      <c r="J12" s="53">
        <v>0.2</v>
      </c>
      <c r="K12" s="53">
        <v>295.54000000000002</v>
      </c>
      <c r="L12" s="53">
        <v>23.39</v>
      </c>
      <c r="M12" s="53">
        <v>97.99</v>
      </c>
      <c r="N12" s="53">
        <v>86.4</v>
      </c>
      <c r="O12" s="53">
        <v>0</v>
      </c>
      <c r="P12" s="53">
        <v>0.19</v>
      </c>
      <c r="Q12" s="53">
        <v>9.0500000000000007</v>
      </c>
      <c r="R12" s="43"/>
      <c r="S12" s="43"/>
      <c r="T12" s="43"/>
      <c r="U12" s="43"/>
    </row>
    <row r="13" spans="1:21" s="11" customFormat="1" x14ac:dyDescent="0.25">
      <c r="A13" s="52" t="s">
        <v>112</v>
      </c>
      <c r="B13" s="53">
        <v>5.58</v>
      </c>
      <c r="C13" s="53">
        <v>10.95</v>
      </c>
      <c r="D13" s="53">
        <v>10.17</v>
      </c>
      <c r="E13" s="53">
        <v>5.29</v>
      </c>
      <c r="F13" s="53">
        <v>3.97</v>
      </c>
      <c r="G13" s="53">
        <v>16.22</v>
      </c>
      <c r="H13" s="53">
        <v>6.51</v>
      </c>
      <c r="I13" s="53">
        <v>0.71</v>
      </c>
      <c r="J13" s="53">
        <v>0.22</v>
      </c>
      <c r="K13" s="53">
        <v>302.68</v>
      </c>
      <c r="L13" s="53">
        <v>23.31</v>
      </c>
      <c r="M13" s="53">
        <v>98</v>
      </c>
      <c r="N13" s="53">
        <v>90.8</v>
      </c>
      <c r="O13" s="53">
        <v>0</v>
      </c>
      <c r="P13" s="53">
        <v>0.17</v>
      </c>
      <c r="Q13" s="53">
        <v>9.0299999999999994</v>
      </c>
      <c r="R13" s="43"/>
      <c r="S13" s="43"/>
      <c r="T13" s="43"/>
      <c r="U13" s="43"/>
    </row>
    <row r="14" spans="1:21" s="11" customFormat="1" x14ac:dyDescent="0.25">
      <c r="A14" s="52" t="s">
        <v>113</v>
      </c>
      <c r="B14" s="53">
        <v>6.19</v>
      </c>
      <c r="C14" s="53">
        <v>11.27</v>
      </c>
      <c r="D14" s="53">
        <v>10.81</v>
      </c>
      <c r="E14" s="53">
        <v>5.27</v>
      </c>
      <c r="F14" s="53">
        <v>3.92</v>
      </c>
      <c r="G14" s="53">
        <v>13.69</v>
      </c>
      <c r="H14" s="53">
        <v>4.5599999999999996</v>
      </c>
      <c r="I14" s="53">
        <v>0.63</v>
      </c>
      <c r="J14" s="53">
        <v>0.18</v>
      </c>
      <c r="K14" s="53">
        <v>296.95</v>
      </c>
      <c r="L14" s="53">
        <v>23.32</v>
      </c>
      <c r="M14" s="53">
        <v>98.03</v>
      </c>
      <c r="N14" s="53">
        <v>108.4</v>
      </c>
      <c r="O14" s="53">
        <v>0</v>
      </c>
      <c r="P14" s="53">
        <v>0.16</v>
      </c>
      <c r="Q14" s="53">
        <v>9</v>
      </c>
      <c r="R14" s="43"/>
      <c r="S14" s="43"/>
      <c r="T14" s="43"/>
      <c r="U14" s="43"/>
    </row>
    <row r="15" spans="1:21" s="11" customFormat="1" x14ac:dyDescent="0.25">
      <c r="A15" s="52" t="s">
        <v>114</v>
      </c>
      <c r="B15" s="53">
        <v>6.74</v>
      </c>
      <c r="C15" s="53">
        <v>11.82</v>
      </c>
      <c r="D15" s="53">
        <v>11.54</v>
      </c>
      <c r="E15" s="53">
        <v>5.32</v>
      </c>
      <c r="F15" s="53">
        <v>3.53</v>
      </c>
      <c r="G15" s="53">
        <v>16</v>
      </c>
      <c r="H15" s="53">
        <v>3.19</v>
      </c>
      <c r="I15" s="53">
        <v>0.67</v>
      </c>
      <c r="J15" s="53">
        <v>0.23</v>
      </c>
      <c r="K15" s="53">
        <v>293.36</v>
      </c>
      <c r="L15" s="53">
        <v>23.29</v>
      </c>
      <c r="M15" s="53">
        <v>97.77</v>
      </c>
      <c r="N15" s="53">
        <v>112.8</v>
      </c>
      <c r="O15" s="53">
        <v>0</v>
      </c>
      <c r="P15" s="53">
        <v>0.18</v>
      </c>
      <c r="Q15" s="53">
        <v>9.0500000000000007</v>
      </c>
      <c r="R15" s="43"/>
      <c r="S15" s="43"/>
      <c r="T15" s="43"/>
      <c r="U15" s="43"/>
    </row>
    <row r="16" spans="1:21" s="11" customFormat="1" x14ac:dyDescent="0.25">
      <c r="A16" s="52" t="s">
        <v>115</v>
      </c>
      <c r="B16" s="53">
        <v>7.18</v>
      </c>
      <c r="C16" s="53">
        <v>12.08</v>
      </c>
      <c r="D16" s="53">
        <v>12.04</v>
      </c>
      <c r="E16" s="53">
        <v>5.22</v>
      </c>
      <c r="F16" s="53">
        <v>3.54</v>
      </c>
      <c r="G16" s="53">
        <v>19.149999999999999</v>
      </c>
      <c r="H16" s="53">
        <v>7.01</v>
      </c>
      <c r="I16" s="53">
        <v>0.75</v>
      </c>
      <c r="J16" s="53">
        <v>0.3</v>
      </c>
      <c r="K16" s="53">
        <v>292.67</v>
      </c>
      <c r="L16" s="53">
        <v>23.14</v>
      </c>
      <c r="M16" s="53">
        <v>97.77</v>
      </c>
      <c r="N16" s="53">
        <v>139.9</v>
      </c>
      <c r="O16" s="53">
        <v>0</v>
      </c>
      <c r="P16" s="53">
        <v>0.19</v>
      </c>
      <c r="Q16" s="53">
        <v>9.08</v>
      </c>
      <c r="R16" s="43"/>
      <c r="S16" s="43"/>
      <c r="T16" s="43"/>
      <c r="U16" s="43"/>
    </row>
    <row r="17" spans="1:21" s="11" customFormat="1" x14ac:dyDescent="0.25">
      <c r="A17" s="52" t="s">
        <v>116</v>
      </c>
      <c r="B17" s="53">
        <v>6.82</v>
      </c>
      <c r="C17" s="53">
        <v>12.94</v>
      </c>
      <c r="D17" s="53">
        <v>12.15</v>
      </c>
      <c r="E17" s="53">
        <v>3.71</v>
      </c>
      <c r="F17" s="53">
        <v>3.85</v>
      </c>
      <c r="G17" s="53">
        <v>19.149999999999999</v>
      </c>
      <c r="H17" s="53">
        <v>7.01</v>
      </c>
      <c r="I17" s="53">
        <v>0.82</v>
      </c>
      <c r="J17" s="53">
        <v>0.27</v>
      </c>
      <c r="K17" s="53">
        <v>296.98</v>
      </c>
      <c r="L17" s="53">
        <v>23.26</v>
      </c>
      <c r="M17" s="53">
        <v>97.78</v>
      </c>
      <c r="N17" s="53">
        <v>139.19999999999999</v>
      </c>
      <c r="O17" s="53">
        <v>0.2</v>
      </c>
      <c r="P17" s="53">
        <v>0.23</v>
      </c>
      <c r="Q17" s="53">
        <v>9.09</v>
      </c>
      <c r="R17" s="43"/>
      <c r="S17" s="43"/>
      <c r="T17" s="43"/>
      <c r="U17" s="43"/>
    </row>
    <row r="18" spans="1:21" s="11" customFormat="1" x14ac:dyDescent="0.25">
      <c r="A18" s="52" t="s">
        <v>117</v>
      </c>
      <c r="B18" s="53">
        <v>8.01</v>
      </c>
      <c r="C18" s="53">
        <v>12.58</v>
      </c>
      <c r="D18" s="53">
        <v>12.69</v>
      </c>
      <c r="E18" s="53">
        <v>3.59</v>
      </c>
      <c r="F18" s="53">
        <v>3.97</v>
      </c>
      <c r="G18" s="53">
        <v>16.96</v>
      </c>
      <c r="H18" s="53">
        <v>7.29</v>
      </c>
      <c r="I18" s="53">
        <v>0.9</v>
      </c>
      <c r="J18" s="53">
        <v>0.21</v>
      </c>
      <c r="K18" s="53">
        <v>294.88</v>
      </c>
      <c r="L18" s="53">
        <v>23.27</v>
      </c>
      <c r="M18" s="53">
        <v>97.8</v>
      </c>
      <c r="N18" s="53">
        <v>114.9</v>
      </c>
      <c r="O18" s="53">
        <v>0.2</v>
      </c>
      <c r="P18" s="53">
        <v>0.27</v>
      </c>
      <c r="Q18" s="53">
        <v>9.07</v>
      </c>
      <c r="R18" s="43"/>
      <c r="S18" s="43"/>
      <c r="T18" s="43"/>
      <c r="U18" s="43"/>
    </row>
    <row r="19" spans="1:21" s="11" customFormat="1" x14ac:dyDescent="0.25">
      <c r="A19" s="52" t="s">
        <v>118</v>
      </c>
      <c r="B19" s="53">
        <v>9.2799999999999994</v>
      </c>
      <c r="C19" s="53">
        <v>12.18</v>
      </c>
      <c r="D19" s="53">
        <v>13.74</v>
      </c>
      <c r="E19" s="53">
        <v>3.68</v>
      </c>
      <c r="F19" s="53">
        <v>4.04</v>
      </c>
      <c r="G19" s="53">
        <v>16.91</v>
      </c>
      <c r="H19" s="53">
        <v>7.29</v>
      </c>
      <c r="I19" s="53">
        <v>0.99</v>
      </c>
      <c r="J19" s="53">
        <v>0.23</v>
      </c>
      <c r="K19" s="53">
        <v>291.83</v>
      </c>
      <c r="L19" s="53">
        <v>23.2</v>
      </c>
      <c r="M19" s="53">
        <v>97.81</v>
      </c>
      <c r="N19" s="53">
        <v>114.3</v>
      </c>
      <c r="O19" s="53">
        <v>0.2</v>
      </c>
      <c r="P19" s="53">
        <v>0.31</v>
      </c>
      <c r="Q19" s="53">
        <v>9.11</v>
      </c>
      <c r="R19" s="43"/>
      <c r="S19" s="43"/>
      <c r="T19" s="43"/>
      <c r="U19" s="43"/>
    </row>
    <row r="20" spans="1:21" s="11" customFormat="1" x14ac:dyDescent="0.25">
      <c r="A20" s="52" t="s">
        <v>119</v>
      </c>
      <c r="B20" s="53">
        <v>13.68</v>
      </c>
      <c r="C20" s="53">
        <v>14.34</v>
      </c>
      <c r="D20" s="53">
        <v>17.95</v>
      </c>
      <c r="E20" s="53">
        <v>3.68</v>
      </c>
      <c r="F20" s="53">
        <v>4.43</v>
      </c>
      <c r="G20" s="53">
        <v>20.9</v>
      </c>
      <c r="H20" s="53">
        <v>7.29</v>
      </c>
      <c r="I20" s="53">
        <v>0.99</v>
      </c>
      <c r="J20" s="53">
        <v>0.19</v>
      </c>
      <c r="K20" s="53">
        <v>306.89999999999998</v>
      </c>
      <c r="L20" s="53">
        <v>23.19</v>
      </c>
      <c r="M20" s="53">
        <v>97.79</v>
      </c>
      <c r="N20" s="53">
        <v>116.1</v>
      </c>
      <c r="O20" s="53">
        <v>0.4</v>
      </c>
      <c r="P20" s="53">
        <v>0.38</v>
      </c>
      <c r="Q20" s="53">
        <v>9.23</v>
      </c>
      <c r="R20" s="43"/>
      <c r="S20" s="43"/>
      <c r="T20" s="43"/>
      <c r="U20" s="43"/>
    </row>
    <row r="21" spans="1:21" s="11" customFormat="1" x14ac:dyDescent="0.25">
      <c r="A21" s="52" t="s">
        <v>120</v>
      </c>
      <c r="B21" s="53">
        <v>16.440000000000001</v>
      </c>
      <c r="C21" s="53">
        <v>14.55</v>
      </c>
      <c r="D21" s="53">
        <v>20.79</v>
      </c>
      <c r="E21" s="53">
        <v>3.77</v>
      </c>
      <c r="F21" s="53">
        <v>5.21</v>
      </c>
      <c r="G21" s="53">
        <v>22.33</v>
      </c>
      <c r="H21" s="53">
        <v>7.29</v>
      </c>
      <c r="I21" s="53">
        <v>1.03</v>
      </c>
      <c r="J21" s="53">
        <v>0.15</v>
      </c>
      <c r="K21" s="53">
        <v>294.12</v>
      </c>
      <c r="L21" s="53">
        <v>23.28</v>
      </c>
      <c r="M21" s="53">
        <v>97.56</v>
      </c>
      <c r="N21" s="53">
        <v>129.30000000000001</v>
      </c>
      <c r="O21" s="53">
        <v>0.2</v>
      </c>
      <c r="P21" s="53">
        <v>0.43</v>
      </c>
      <c r="Q21" s="53">
        <v>9.31</v>
      </c>
      <c r="R21" s="43"/>
      <c r="S21" s="43"/>
      <c r="T21" s="43"/>
      <c r="U21" s="43"/>
    </row>
    <row r="22" spans="1:21" s="11" customFormat="1" x14ac:dyDescent="0.25">
      <c r="A22" s="52" t="s">
        <v>121</v>
      </c>
      <c r="B22" s="53">
        <v>14.67</v>
      </c>
      <c r="C22" s="53">
        <v>11.23</v>
      </c>
      <c r="D22" s="53">
        <v>17.579999999999998</v>
      </c>
      <c r="E22" s="53">
        <v>4.0199999999999996</v>
      </c>
      <c r="F22" s="53">
        <v>3.92</v>
      </c>
      <c r="G22" s="53">
        <v>22.33</v>
      </c>
      <c r="H22" s="53">
        <v>20.69</v>
      </c>
      <c r="I22" s="53">
        <v>1.05</v>
      </c>
      <c r="J22" s="53">
        <v>0.24</v>
      </c>
      <c r="K22" s="53">
        <v>296.10000000000002</v>
      </c>
      <c r="L22" s="53">
        <v>23.99</v>
      </c>
      <c r="M22" s="53">
        <v>97.57</v>
      </c>
      <c r="N22" s="53">
        <v>214.4</v>
      </c>
      <c r="O22" s="53">
        <v>0</v>
      </c>
      <c r="P22" s="53">
        <v>0.36</v>
      </c>
      <c r="Q22" s="53">
        <v>9.2899999999999991</v>
      </c>
      <c r="R22" s="43"/>
      <c r="S22" s="43"/>
      <c r="T22" s="43"/>
      <c r="U22" s="43"/>
    </row>
    <row r="23" spans="1:21" s="11" customFormat="1" x14ac:dyDescent="0.25">
      <c r="A23" s="52" t="s">
        <v>122</v>
      </c>
      <c r="B23" s="53">
        <v>12.48</v>
      </c>
      <c r="C23" s="53">
        <v>11.49</v>
      </c>
      <c r="D23" s="53">
        <v>15.9</v>
      </c>
      <c r="E23" s="53">
        <v>3.82</v>
      </c>
      <c r="F23" s="53">
        <v>4.21</v>
      </c>
      <c r="G23" s="53">
        <v>17.96</v>
      </c>
      <c r="H23" s="53">
        <v>10.3</v>
      </c>
      <c r="I23" s="53">
        <v>1</v>
      </c>
      <c r="J23" s="53">
        <v>0.23</v>
      </c>
      <c r="K23" s="53">
        <v>286.83</v>
      </c>
      <c r="L23" s="53">
        <v>24.27</v>
      </c>
      <c r="M23" s="53">
        <v>97.59</v>
      </c>
      <c r="N23" s="53">
        <v>227.1</v>
      </c>
      <c r="O23" s="53">
        <v>0</v>
      </c>
      <c r="P23" s="53">
        <v>0.34</v>
      </c>
      <c r="Q23" s="53">
        <v>9.23</v>
      </c>
      <c r="R23" s="43"/>
      <c r="S23" s="43"/>
      <c r="T23" s="43"/>
      <c r="U23" s="43"/>
    </row>
    <row r="24" spans="1:21" s="11" customFormat="1" x14ac:dyDescent="0.25">
      <c r="A24" s="52" t="s">
        <v>123</v>
      </c>
      <c r="B24" s="53">
        <v>11.3</v>
      </c>
      <c r="C24" s="53">
        <v>13.41</v>
      </c>
      <c r="D24" s="53">
        <v>15.21</v>
      </c>
      <c r="E24" s="53">
        <v>4</v>
      </c>
      <c r="F24" s="53">
        <v>5.07</v>
      </c>
      <c r="G24" s="53">
        <v>25.17</v>
      </c>
      <c r="H24" s="53">
        <v>10.3</v>
      </c>
      <c r="I24" s="53">
        <v>0.92</v>
      </c>
      <c r="J24" s="53">
        <v>0.3</v>
      </c>
      <c r="K24" s="53">
        <v>293.57</v>
      </c>
      <c r="L24" s="53">
        <v>24.98</v>
      </c>
      <c r="M24" s="53">
        <v>97.58</v>
      </c>
      <c r="N24" s="53">
        <v>205.2</v>
      </c>
      <c r="O24" s="53">
        <v>0</v>
      </c>
      <c r="P24" s="53">
        <v>0.33</v>
      </c>
      <c r="Q24" s="53">
        <v>9.19</v>
      </c>
      <c r="R24" s="43"/>
      <c r="S24" s="43"/>
      <c r="T24" s="43"/>
      <c r="U24" s="43"/>
    </row>
    <row r="25" spans="1:21" s="11" customFormat="1" x14ac:dyDescent="0.25">
      <c r="A25" s="52" t="s">
        <v>124</v>
      </c>
      <c r="B25" s="53">
        <v>15.21</v>
      </c>
      <c r="C25" s="53">
        <v>17.8</v>
      </c>
      <c r="D25" s="53">
        <v>21.5</v>
      </c>
      <c r="E25" s="53">
        <v>4.66</v>
      </c>
      <c r="F25" s="53">
        <v>6.77</v>
      </c>
      <c r="G25" s="53">
        <v>26.54</v>
      </c>
      <c r="H25" s="53">
        <v>4.45</v>
      </c>
      <c r="I25" s="53">
        <v>0.89</v>
      </c>
      <c r="J25" s="53">
        <v>0.21</v>
      </c>
      <c r="K25" s="53">
        <v>291.27</v>
      </c>
      <c r="L25" s="53">
        <v>25.11</v>
      </c>
      <c r="M25" s="53">
        <v>97.78</v>
      </c>
      <c r="N25" s="53">
        <v>172.4</v>
      </c>
      <c r="O25" s="53">
        <v>0</v>
      </c>
      <c r="P25" s="53">
        <v>0.39</v>
      </c>
      <c r="Q25" s="53">
        <v>9.17</v>
      </c>
      <c r="R25" s="43"/>
      <c r="S25" s="43"/>
      <c r="T25" s="43"/>
      <c r="U25" s="43"/>
    </row>
    <row r="26" spans="1:21" s="11" customFormat="1" x14ac:dyDescent="0.25">
      <c r="A26" s="52" t="s">
        <v>125</v>
      </c>
      <c r="B26" s="53">
        <v>10.72</v>
      </c>
      <c r="C26" s="53">
        <v>15.59</v>
      </c>
      <c r="D26" s="53">
        <v>16.45</v>
      </c>
      <c r="E26" s="53">
        <v>4.72</v>
      </c>
      <c r="F26" s="53">
        <v>6.43</v>
      </c>
      <c r="G26" s="53">
        <v>43.06</v>
      </c>
      <c r="H26" s="53">
        <v>5.9</v>
      </c>
      <c r="I26" s="53">
        <v>0.94</v>
      </c>
      <c r="J26" s="53">
        <v>0.13</v>
      </c>
      <c r="K26" s="53">
        <v>310.81</v>
      </c>
      <c r="L26" s="53">
        <v>25.17</v>
      </c>
      <c r="M26" s="53">
        <v>97.82</v>
      </c>
      <c r="N26" s="53">
        <v>131.19999999999999</v>
      </c>
      <c r="O26" s="53">
        <v>0</v>
      </c>
      <c r="P26" s="53">
        <v>0.36</v>
      </c>
      <c r="Q26" s="53">
        <v>9.17</v>
      </c>
      <c r="R26" s="43"/>
      <c r="S26" s="43"/>
      <c r="T26" s="43"/>
      <c r="U26" s="43"/>
    </row>
    <row r="27" spans="1:21" s="11" customFormat="1" x14ac:dyDescent="0.25">
      <c r="A27" s="52" t="s">
        <v>126</v>
      </c>
      <c r="B27" s="53">
        <v>10.77</v>
      </c>
      <c r="C27" s="53">
        <v>14.86</v>
      </c>
      <c r="D27" s="53">
        <v>16.29</v>
      </c>
      <c r="E27" s="53">
        <v>4.5</v>
      </c>
      <c r="F27" s="53">
        <v>4.6900000000000004</v>
      </c>
      <c r="G27" s="53">
        <v>43.76</v>
      </c>
      <c r="H27" s="53">
        <v>24.55</v>
      </c>
      <c r="I27" s="53">
        <v>1.03</v>
      </c>
      <c r="J27" s="53">
        <v>0.09</v>
      </c>
      <c r="K27" s="53">
        <v>330.97</v>
      </c>
      <c r="L27" s="53">
        <v>24.98</v>
      </c>
      <c r="M27" s="53">
        <v>97.89</v>
      </c>
      <c r="N27" s="53">
        <v>85.9</v>
      </c>
      <c r="O27" s="53">
        <v>0</v>
      </c>
      <c r="P27" s="53">
        <v>0.41</v>
      </c>
      <c r="Q27" s="53">
        <v>9.15</v>
      </c>
      <c r="R27" s="43"/>
      <c r="S27" s="43"/>
      <c r="T27" s="43"/>
      <c r="U27" s="43"/>
    </row>
    <row r="28" spans="1:21" s="11" customFormat="1" x14ac:dyDescent="0.25">
      <c r="A28" s="52" t="s">
        <v>127</v>
      </c>
      <c r="B28" s="53">
        <v>10.49</v>
      </c>
      <c r="C28" s="53">
        <v>17.940000000000001</v>
      </c>
      <c r="D28" s="53">
        <v>17.38</v>
      </c>
      <c r="E28" s="53">
        <v>4.5199999999999996</v>
      </c>
      <c r="F28" s="53">
        <v>5.84</v>
      </c>
      <c r="G28" s="53">
        <v>44.53</v>
      </c>
      <c r="H28" s="53">
        <v>24.55</v>
      </c>
      <c r="I28" s="53">
        <v>1.1200000000000001</v>
      </c>
      <c r="J28" s="53">
        <v>0.04</v>
      </c>
      <c r="K28" s="53">
        <v>289.43</v>
      </c>
      <c r="L28" s="53">
        <v>24.57</v>
      </c>
      <c r="M28" s="53">
        <v>97.91</v>
      </c>
      <c r="N28" s="53">
        <v>68.400000000000006</v>
      </c>
      <c r="O28" s="53">
        <v>0</v>
      </c>
      <c r="P28" s="53">
        <v>0.41</v>
      </c>
      <c r="Q28" s="53">
        <v>9.14</v>
      </c>
      <c r="R28" s="43"/>
      <c r="S28" s="43"/>
      <c r="T28" s="43"/>
      <c r="U28" s="43"/>
    </row>
    <row r="29" spans="1:21" s="11" customFormat="1" x14ac:dyDescent="0.25">
      <c r="A29" s="52" t="s">
        <v>128</v>
      </c>
      <c r="B29" s="53">
        <v>10.69</v>
      </c>
      <c r="C29" s="53">
        <v>20.2</v>
      </c>
      <c r="D29" s="53">
        <v>19.05</v>
      </c>
      <c r="E29" s="53">
        <v>4.62</v>
      </c>
      <c r="F29" s="53">
        <v>8.99</v>
      </c>
      <c r="G29" s="53">
        <v>44.53</v>
      </c>
      <c r="H29" s="53">
        <v>3.07</v>
      </c>
      <c r="I29" s="53">
        <v>1.1599999999999999</v>
      </c>
      <c r="J29" s="53">
        <v>0.1</v>
      </c>
      <c r="K29" s="53">
        <v>224.79</v>
      </c>
      <c r="L29" s="53">
        <v>24.19</v>
      </c>
      <c r="M29" s="53">
        <v>97.86</v>
      </c>
      <c r="N29" s="53">
        <v>68.3</v>
      </c>
      <c r="O29" s="53">
        <v>0</v>
      </c>
      <c r="P29" s="53">
        <v>0.38</v>
      </c>
      <c r="Q29" s="53">
        <v>9.2100000000000009</v>
      </c>
      <c r="R29" s="43"/>
      <c r="S29" s="43"/>
      <c r="T29" s="43"/>
      <c r="U29" s="43"/>
    </row>
    <row r="30" spans="1:21" s="11" customFormat="1" x14ac:dyDescent="0.25">
      <c r="A30" s="52" t="s">
        <v>129</v>
      </c>
      <c r="B30" s="53">
        <v>15.08</v>
      </c>
      <c r="C30" s="53">
        <v>19.16</v>
      </c>
      <c r="D30" s="53">
        <v>22.1</v>
      </c>
      <c r="E30" s="53">
        <v>4.9400000000000004</v>
      </c>
      <c r="F30" s="53">
        <v>9.42</v>
      </c>
      <c r="G30" s="53">
        <v>42.3</v>
      </c>
      <c r="H30" s="53">
        <v>1.89</v>
      </c>
      <c r="I30" s="53">
        <v>1.18</v>
      </c>
      <c r="J30" s="53">
        <v>0.5</v>
      </c>
      <c r="K30" s="53">
        <v>335.58</v>
      </c>
      <c r="L30" s="53">
        <v>24.07</v>
      </c>
      <c r="M30" s="53">
        <v>97.88</v>
      </c>
      <c r="N30" s="53">
        <v>68.5</v>
      </c>
      <c r="O30" s="53">
        <v>0</v>
      </c>
      <c r="P30" s="53">
        <v>0.43</v>
      </c>
      <c r="Q30" s="53">
        <v>9.23</v>
      </c>
      <c r="R30" s="43"/>
      <c r="S30" s="43"/>
      <c r="T30" s="43"/>
      <c r="U30" s="43"/>
    </row>
    <row r="31" spans="1:21" s="11" customFormat="1" x14ac:dyDescent="0.25">
      <c r="A31" s="52" t="s">
        <v>130</v>
      </c>
      <c r="B31" s="53">
        <v>14.71</v>
      </c>
      <c r="C31" s="53">
        <v>18.649999999999999</v>
      </c>
      <c r="D31" s="53">
        <v>19.72</v>
      </c>
      <c r="E31" s="53">
        <v>4.75</v>
      </c>
      <c r="F31" s="53">
        <v>5.98</v>
      </c>
      <c r="G31" s="53">
        <v>42.3</v>
      </c>
      <c r="H31" s="53">
        <v>14.78</v>
      </c>
      <c r="I31" s="53">
        <v>1.18</v>
      </c>
      <c r="J31" s="53">
        <v>0.06</v>
      </c>
      <c r="K31" s="53">
        <v>215.44</v>
      </c>
      <c r="L31" s="53">
        <v>24.11</v>
      </c>
      <c r="M31" s="53">
        <v>97.91</v>
      </c>
      <c r="N31" s="53">
        <v>68.900000000000006</v>
      </c>
      <c r="O31" s="53">
        <v>0</v>
      </c>
      <c r="P31" s="53">
        <v>0.37</v>
      </c>
      <c r="Q31" s="53">
        <v>9.25</v>
      </c>
      <c r="R31" s="43"/>
      <c r="S31" s="43"/>
      <c r="T31" s="43"/>
      <c r="U31" s="43"/>
    </row>
    <row r="32" spans="1:21" s="11" customFormat="1" x14ac:dyDescent="0.25">
      <c r="A32" s="52" t="s">
        <v>131</v>
      </c>
      <c r="B32" s="53">
        <v>12.32</v>
      </c>
      <c r="C32" s="53">
        <v>14.18</v>
      </c>
      <c r="D32" s="53">
        <v>17.25</v>
      </c>
      <c r="E32" s="53">
        <v>4.9800000000000004</v>
      </c>
      <c r="F32" s="53">
        <v>6.55</v>
      </c>
      <c r="G32" s="53">
        <v>42.34</v>
      </c>
      <c r="H32" s="53">
        <v>14.78</v>
      </c>
      <c r="I32" s="53">
        <v>1.18</v>
      </c>
      <c r="J32" s="53">
        <v>0.15</v>
      </c>
      <c r="K32" s="53">
        <v>235.39</v>
      </c>
      <c r="L32" s="53">
        <v>24.01</v>
      </c>
      <c r="M32" s="53">
        <v>97.92</v>
      </c>
      <c r="N32" s="53">
        <v>69.900000000000006</v>
      </c>
      <c r="O32" s="53">
        <v>0</v>
      </c>
      <c r="P32" s="53">
        <v>0.37</v>
      </c>
      <c r="Q32" s="53">
        <v>9.25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5.58</v>
      </c>
      <c r="C34" s="28">
        <f t="shared" si="0"/>
        <v>10.51</v>
      </c>
      <c r="D34" s="28">
        <f t="shared" si="0"/>
        <v>10.17</v>
      </c>
      <c r="E34" s="28">
        <f t="shared" si="0"/>
        <v>3.59</v>
      </c>
      <c r="F34" s="28">
        <f t="shared" si="0"/>
        <v>3.53</v>
      </c>
      <c r="G34" s="28">
        <f t="shared" si="0"/>
        <v>13.69</v>
      </c>
      <c r="H34" s="28">
        <f t="shared" si="0"/>
        <v>1.89</v>
      </c>
      <c r="I34" s="28">
        <f t="shared" si="0"/>
        <v>0.63</v>
      </c>
      <c r="J34" s="28">
        <f t="shared" si="0"/>
        <v>0.04</v>
      </c>
      <c r="K34" s="28">
        <f t="shared" si="0"/>
        <v>215.44</v>
      </c>
      <c r="L34" s="28">
        <f t="shared" si="0"/>
        <v>23.14</v>
      </c>
      <c r="M34" s="28">
        <f t="shared" si="0"/>
        <v>97.56</v>
      </c>
      <c r="N34" s="28">
        <f t="shared" si="0"/>
        <v>68.3</v>
      </c>
      <c r="O34" s="28">
        <f t="shared" si="0"/>
        <v>0</v>
      </c>
      <c r="P34" s="28">
        <f t="shared" si="0"/>
        <v>0.16</v>
      </c>
      <c r="Q34" s="28">
        <f t="shared" si="0"/>
        <v>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16.440000000000001</v>
      </c>
      <c r="C35" s="29">
        <f t="shared" si="1"/>
        <v>20.2</v>
      </c>
      <c r="D35" s="29">
        <f t="shared" si="1"/>
        <v>22.1</v>
      </c>
      <c r="E35" s="29">
        <f t="shared" si="1"/>
        <v>5.65</v>
      </c>
      <c r="F35" s="29">
        <f t="shared" si="1"/>
        <v>9.42</v>
      </c>
      <c r="G35" s="29">
        <f t="shared" si="1"/>
        <v>44.53</v>
      </c>
      <c r="H35" s="29">
        <f t="shared" si="1"/>
        <v>24.55</v>
      </c>
      <c r="I35" s="29">
        <f t="shared" si="1"/>
        <v>1.22</v>
      </c>
      <c r="J35" s="29">
        <f t="shared" si="1"/>
        <v>0.5</v>
      </c>
      <c r="K35" s="29">
        <f t="shared" si="1"/>
        <v>335.58</v>
      </c>
      <c r="L35" s="29">
        <f t="shared" si="1"/>
        <v>25.17</v>
      </c>
      <c r="M35" s="29">
        <f t="shared" si="1"/>
        <v>98.17</v>
      </c>
      <c r="N35" s="29">
        <f t="shared" si="1"/>
        <v>227.1</v>
      </c>
      <c r="O35" s="29">
        <f t="shared" si="1"/>
        <v>0.4</v>
      </c>
      <c r="P35" s="29">
        <f t="shared" si="1"/>
        <v>0.43</v>
      </c>
      <c r="Q35" s="29">
        <f t="shared" si="1"/>
        <v>9.31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10.431666666666668</v>
      </c>
      <c r="C36" s="28">
        <f t="shared" si="2"/>
        <v>13.75</v>
      </c>
      <c r="D36" s="28">
        <f t="shared" si="2"/>
        <v>15.332500000000001</v>
      </c>
      <c r="E36" s="28">
        <f t="shared" si="2"/>
        <v>4.6095833333333331</v>
      </c>
      <c r="F36" s="28">
        <f t="shared" si="2"/>
        <v>5.0466666666666669</v>
      </c>
      <c r="G36" s="28">
        <f t="shared" si="2"/>
        <v>26.745833333333334</v>
      </c>
      <c r="H36" s="28">
        <f t="shared" si="2"/>
        <v>8.9941666666666666</v>
      </c>
      <c r="I36" s="28">
        <f t="shared" si="2"/>
        <v>0.96708333333333352</v>
      </c>
      <c r="J36" s="28">
        <f t="shared" si="2"/>
        <v>0.1958333333333333</v>
      </c>
      <c r="K36" s="28">
        <f t="shared" si="2"/>
        <v>292.45333333333332</v>
      </c>
      <c r="L36" s="28">
        <f t="shared" si="2"/>
        <v>23.869583333333335</v>
      </c>
      <c r="M36" s="28">
        <f t="shared" si="2"/>
        <v>97.845833333333317</v>
      </c>
      <c r="N36" s="28">
        <f t="shared" si="2"/>
        <v>117.45</v>
      </c>
      <c r="O36" s="28">
        <f t="shared" si="2"/>
        <v>4.9999999999999996E-2</v>
      </c>
      <c r="P36" s="28">
        <f t="shared" si="2"/>
        <v>0.31124999999999997</v>
      </c>
      <c r="Q36" s="28">
        <f t="shared" si="2"/>
        <v>9.1499999999999986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3.3256325539749527</v>
      </c>
      <c r="C37" s="28">
        <f t="shared" ref="C37:Q37" si="3">STDEV(C9:C32)</f>
        <v>3.0118418458391618</v>
      </c>
      <c r="D37" s="28">
        <f t="shared" si="3"/>
        <v>3.6829468942800254</v>
      </c>
      <c r="E37" s="28">
        <f t="shared" si="3"/>
        <v>0.66810230384709612</v>
      </c>
      <c r="F37" s="28">
        <f t="shared" si="3"/>
        <v>1.6160221335835354</v>
      </c>
      <c r="G37" s="28">
        <f t="shared" si="3"/>
        <v>11.217234378466435</v>
      </c>
      <c r="H37" s="28">
        <f t="shared" si="3"/>
        <v>6.3520964814889984</v>
      </c>
      <c r="I37" s="28">
        <f t="shared" si="3"/>
        <v>0.16783737384137865</v>
      </c>
      <c r="J37" s="28">
        <f t="shared" si="3"/>
        <v>9.4543142517590703E-2</v>
      </c>
      <c r="K37" s="28">
        <f t="shared" si="3"/>
        <v>29.069643910812694</v>
      </c>
      <c r="L37" s="28">
        <f t="shared" si="3"/>
        <v>0.67733800673099598</v>
      </c>
      <c r="M37" s="28">
        <f t="shared" si="3"/>
        <v>0.16547472332042504</v>
      </c>
      <c r="N37" s="28">
        <f t="shared" si="3"/>
        <v>46.441688543620032</v>
      </c>
      <c r="O37" s="28">
        <f t="shared" si="3"/>
        <v>0.106321906614239</v>
      </c>
      <c r="P37" s="28">
        <f t="shared" si="3"/>
        <v>8.8578753954737202E-2</v>
      </c>
      <c r="Q37" s="28">
        <f t="shared" si="3"/>
        <v>8.7724866337390572E-2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132</v>
      </c>
      <c r="B9" s="53">
        <v>10.89</v>
      </c>
      <c r="C9" s="53">
        <v>11.48</v>
      </c>
      <c r="D9" s="53">
        <v>14.36</v>
      </c>
      <c r="E9" s="53">
        <v>5.19</v>
      </c>
      <c r="F9" s="53">
        <v>7.91</v>
      </c>
      <c r="G9" s="53">
        <v>42.34</v>
      </c>
      <c r="H9" s="53">
        <v>13.48</v>
      </c>
      <c r="I9" s="53">
        <v>1.1200000000000001</v>
      </c>
      <c r="J9" s="53">
        <v>0.19</v>
      </c>
      <c r="K9" s="53">
        <v>315.35000000000002</v>
      </c>
      <c r="L9" s="53">
        <v>23.89</v>
      </c>
      <c r="M9" s="53">
        <v>98.05</v>
      </c>
      <c r="N9" s="53">
        <v>70</v>
      </c>
      <c r="O9" s="53">
        <v>0</v>
      </c>
      <c r="P9" s="53">
        <v>0.31</v>
      </c>
      <c r="Q9" s="53">
        <v>9.24</v>
      </c>
      <c r="R9" s="43"/>
      <c r="S9" s="43"/>
      <c r="T9" s="43"/>
      <c r="U9" s="43"/>
    </row>
    <row r="10" spans="1:21" s="11" customFormat="1" x14ac:dyDescent="0.25">
      <c r="A10" s="52" t="s">
        <v>133</v>
      </c>
      <c r="B10" s="53">
        <v>10.31</v>
      </c>
      <c r="C10" s="53">
        <v>11.77</v>
      </c>
      <c r="D10" s="53">
        <v>13.71</v>
      </c>
      <c r="E10" s="53">
        <v>5.14</v>
      </c>
      <c r="F10" s="53">
        <v>3.98</v>
      </c>
      <c r="G10" s="53">
        <v>37</v>
      </c>
      <c r="H10" s="53">
        <v>9.65</v>
      </c>
      <c r="I10" s="53">
        <v>1.02</v>
      </c>
      <c r="J10" s="53">
        <v>0.23</v>
      </c>
      <c r="K10" s="53">
        <v>307.11</v>
      </c>
      <c r="L10" s="53">
        <v>23.94</v>
      </c>
      <c r="M10" s="53">
        <v>98.01</v>
      </c>
      <c r="N10" s="53">
        <v>70.8</v>
      </c>
      <c r="O10" s="53">
        <v>0</v>
      </c>
      <c r="P10" s="53">
        <v>0.27</v>
      </c>
      <c r="Q10" s="53">
        <v>9.1999999999999993</v>
      </c>
      <c r="R10" s="43"/>
      <c r="S10" s="43"/>
      <c r="T10" s="43"/>
      <c r="U10" s="43"/>
    </row>
    <row r="11" spans="1:21" s="11" customFormat="1" x14ac:dyDescent="0.25">
      <c r="A11" s="52" t="s">
        <v>134</v>
      </c>
      <c r="B11" s="53">
        <v>5.62</v>
      </c>
      <c r="C11" s="53">
        <v>11.76</v>
      </c>
      <c r="D11" s="53">
        <v>10.58</v>
      </c>
      <c r="E11" s="53">
        <v>4.92</v>
      </c>
      <c r="F11" s="53">
        <v>4.28</v>
      </c>
      <c r="G11" s="53">
        <v>31.19</v>
      </c>
      <c r="H11" s="53">
        <v>4.7300000000000004</v>
      </c>
      <c r="I11" s="53">
        <v>0.8</v>
      </c>
      <c r="J11" s="53">
        <v>0.22</v>
      </c>
      <c r="K11" s="53">
        <v>308.58</v>
      </c>
      <c r="L11" s="53">
        <v>23.41</v>
      </c>
      <c r="M11" s="53">
        <v>98.02</v>
      </c>
      <c r="N11" s="53">
        <v>71.900000000000006</v>
      </c>
      <c r="O11" s="53">
        <v>0</v>
      </c>
      <c r="P11" s="53">
        <v>0.21</v>
      </c>
      <c r="Q11" s="53">
        <v>9.0500000000000007</v>
      </c>
      <c r="R11" s="43"/>
      <c r="S11" s="43"/>
      <c r="T11" s="43"/>
      <c r="U11" s="43"/>
    </row>
    <row r="12" spans="1:21" s="11" customFormat="1" x14ac:dyDescent="0.25">
      <c r="A12" s="52" t="s">
        <v>135</v>
      </c>
      <c r="B12" s="53">
        <v>5.01</v>
      </c>
      <c r="C12" s="53">
        <v>10.92</v>
      </c>
      <c r="D12" s="53">
        <v>9.6199999999999992</v>
      </c>
      <c r="E12" s="53">
        <v>4.8099999999999996</v>
      </c>
      <c r="F12" s="53">
        <v>3.91</v>
      </c>
      <c r="G12" s="53">
        <v>24.33</v>
      </c>
      <c r="H12" s="53">
        <v>4.7300000000000004</v>
      </c>
      <c r="I12" s="53">
        <v>0.66</v>
      </c>
      <c r="J12" s="53">
        <v>0.19</v>
      </c>
      <c r="K12" s="53">
        <v>309.68</v>
      </c>
      <c r="L12" s="53">
        <v>23.28</v>
      </c>
      <c r="M12" s="53">
        <v>98.02</v>
      </c>
      <c r="N12" s="53">
        <v>73</v>
      </c>
      <c r="O12" s="53">
        <v>0</v>
      </c>
      <c r="P12" s="53">
        <v>0.16</v>
      </c>
      <c r="Q12" s="53">
        <v>8.98</v>
      </c>
      <c r="R12" s="43"/>
      <c r="S12" s="43"/>
      <c r="T12" s="43"/>
      <c r="U12" s="43"/>
    </row>
    <row r="13" spans="1:21" s="11" customFormat="1" x14ac:dyDescent="0.25">
      <c r="A13" s="52" t="s">
        <v>136</v>
      </c>
      <c r="B13" s="53">
        <v>4.93</v>
      </c>
      <c r="C13" s="53">
        <v>10.7</v>
      </c>
      <c r="D13" s="53">
        <v>9.5399999999999991</v>
      </c>
      <c r="E13" s="53">
        <v>4.92</v>
      </c>
      <c r="F13" s="53">
        <v>4.4400000000000004</v>
      </c>
      <c r="G13" s="53">
        <v>22.42</v>
      </c>
      <c r="H13" s="53">
        <v>3.76</v>
      </c>
      <c r="I13" s="53">
        <v>0.57999999999999996</v>
      </c>
      <c r="J13" s="53">
        <v>0.17</v>
      </c>
      <c r="K13" s="53">
        <v>299.39999999999998</v>
      </c>
      <c r="L13" s="53">
        <v>23.01</v>
      </c>
      <c r="M13" s="53">
        <v>97.99</v>
      </c>
      <c r="N13" s="53">
        <v>74.3</v>
      </c>
      <c r="O13" s="53">
        <v>0</v>
      </c>
      <c r="P13" s="53">
        <v>0.15</v>
      </c>
      <c r="Q13" s="53">
        <v>8.9600000000000009</v>
      </c>
      <c r="R13" s="43"/>
      <c r="S13" s="43"/>
      <c r="T13" s="43"/>
      <c r="U13" s="43"/>
    </row>
    <row r="14" spans="1:21" s="11" customFormat="1" x14ac:dyDescent="0.25">
      <c r="A14" s="52" t="s">
        <v>137</v>
      </c>
      <c r="B14" s="53">
        <v>5.79</v>
      </c>
      <c r="C14" s="53">
        <v>13.13</v>
      </c>
      <c r="D14" s="53">
        <v>11.31</v>
      </c>
      <c r="E14" s="53">
        <v>4.83</v>
      </c>
      <c r="F14" s="53">
        <v>4.4000000000000004</v>
      </c>
      <c r="G14" s="53">
        <v>21.2</v>
      </c>
      <c r="H14" s="53">
        <v>1.41</v>
      </c>
      <c r="I14" s="53">
        <v>0.52</v>
      </c>
      <c r="J14" s="53">
        <v>0.22</v>
      </c>
      <c r="K14" s="53">
        <v>299.97000000000003</v>
      </c>
      <c r="L14" s="53">
        <v>22.97</v>
      </c>
      <c r="M14" s="53">
        <v>97.93</v>
      </c>
      <c r="N14" s="53">
        <v>88.5</v>
      </c>
      <c r="O14" s="53">
        <v>0</v>
      </c>
      <c r="P14" s="53">
        <v>0.13</v>
      </c>
      <c r="Q14" s="53">
        <v>9</v>
      </c>
      <c r="R14" s="43"/>
      <c r="S14" s="43"/>
      <c r="T14" s="43"/>
      <c r="U14" s="43"/>
    </row>
    <row r="15" spans="1:21" s="11" customFormat="1" x14ac:dyDescent="0.25">
      <c r="A15" s="52" t="s">
        <v>138</v>
      </c>
      <c r="B15" s="53">
        <v>6.99</v>
      </c>
      <c r="C15" s="53">
        <v>14.52</v>
      </c>
      <c r="D15" s="53">
        <v>13.2</v>
      </c>
      <c r="E15" s="53">
        <v>4.99</v>
      </c>
      <c r="F15" s="53">
        <v>3.89</v>
      </c>
      <c r="G15" s="53">
        <v>14.96</v>
      </c>
      <c r="H15" s="53">
        <v>1.41</v>
      </c>
      <c r="I15" s="53">
        <v>0.56000000000000005</v>
      </c>
      <c r="J15" s="53">
        <v>0.26</v>
      </c>
      <c r="K15" s="53">
        <v>299.76</v>
      </c>
      <c r="L15" s="53">
        <v>23.29</v>
      </c>
      <c r="M15" s="53">
        <v>97.87</v>
      </c>
      <c r="N15" s="53">
        <v>124.6</v>
      </c>
      <c r="O15" s="53">
        <v>0</v>
      </c>
      <c r="P15" s="53">
        <v>0.16</v>
      </c>
      <c r="Q15" s="53">
        <v>9.0299999999999994</v>
      </c>
      <c r="R15" s="43"/>
      <c r="S15" s="43"/>
      <c r="T15" s="43"/>
      <c r="U15" s="43"/>
    </row>
    <row r="16" spans="1:21" s="11" customFormat="1" x14ac:dyDescent="0.25">
      <c r="A16" s="52" t="s">
        <v>139</v>
      </c>
      <c r="B16" s="53">
        <v>6.63</v>
      </c>
      <c r="C16" s="53">
        <v>12.68</v>
      </c>
      <c r="D16" s="53">
        <v>11.94</v>
      </c>
      <c r="E16" s="53">
        <v>4.7300000000000004</v>
      </c>
      <c r="F16" s="53">
        <v>3.77</v>
      </c>
      <c r="G16" s="53">
        <v>19.86</v>
      </c>
      <c r="H16" s="53">
        <v>1.41</v>
      </c>
      <c r="I16" s="53">
        <v>0.64</v>
      </c>
      <c r="J16" s="53">
        <v>0.33</v>
      </c>
      <c r="K16" s="53">
        <v>292.83</v>
      </c>
      <c r="L16" s="53">
        <v>24.2</v>
      </c>
      <c r="M16" s="53">
        <v>97.84</v>
      </c>
      <c r="N16" s="53">
        <v>214.5</v>
      </c>
      <c r="O16" s="53">
        <v>0</v>
      </c>
      <c r="P16" s="53">
        <v>0.22</v>
      </c>
      <c r="Q16" s="53">
        <v>9.02</v>
      </c>
      <c r="R16" s="43"/>
      <c r="S16" s="43"/>
      <c r="T16" s="43"/>
      <c r="U16" s="43"/>
    </row>
    <row r="17" spans="1:21" s="11" customFormat="1" x14ac:dyDescent="0.25">
      <c r="A17" s="52" t="s">
        <v>140</v>
      </c>
      <c r="B17" s="53">
        <v>6.82</v>
      </c>
      <c r="C17" s="53">
        <v>13.75</v>
      </c>
      <c r="D17" s="53">
        <v>12.26</v>
      </c>
      <c r="E17" s="53">
        <v>4.47</v>
      </c>
      <c r="F17" s="53">
        <v>4.37</v>
      </c>
      <c r="G17" s="53">
        <v>19.86</v>
      </c>
      <c r="H17" s="53">
        <v>1.41</v>
      </c>
      <c r="I17" s="53">
        <v>0.71</v>
      </c>
      <c r="J17" s="53">
        <v>0.35</v>
      </c>
      <c r="K17" s="53">
        <v>289.52999999999997</v>
      </c>
      <c r="L17" s="53">
        <v>24.98</v>
      </c>
      <c r="M17" s="53">
        <v>97.85</v>
      </c>
      <c r="N17" s="53">
        <v>269.7</v>
      </c>
      <c r="O17" s="53">
        <v>0</v>
      </c>
      <c r="P17" s="53">
        <v>0.25</v>
      </c>
      <c r="Q17" s="53">
        <v>9.0299999999999994</v>
      </c>
      <c r="R17" s="43"/>
      <c r="S17" s="43"/>
      <c r="T17" s="43"/>
      <c r="U17" s="43"/>
    </row>
    <row r="18" spans="1:21" s="11" customFormat="1" x14ac:dyDescent="0.25">
      <c r="A18" s="52" t="s">
        <v>141</v>
      </c>
      <c r="B18" s="53">
        <v>5.75</v>
      </c>
      <c r="C18" s="53">
        <v>14.8</v>
      </c>
      <c r="D18" s="53">
        <v>12.1</v>
      </c>
      <c r="E18" s="53">
        <v>4.7300000000000004</v>
      </c>
      <c r="F18" s="53">
        <v>4.45</v>
      </c>
      <c r="G18" s="53">
        <v>27.81</v>
      </c>
      <c r="H18" s="53">
        <v>1.41</v>
      </c>
      <c r="I18" s="53">
        <v>0.71</v>
      </c>
      <c r="J18" s="53">
        <v>0.38</v>
      </c>
      <c r="K18" s="53">
        <v>293.25</v>
      </c>
      <c r="L18" s="53">
        <v>25.55</v>
      </c>
      <c r="M18" s="53">
        <v>95.75</v>
      </c>
      <c r="N18" s="53">
        <v>301.2</v>
      </c>
      <c r="O18" s="53">
        <v>0</v>
      </c>
      <c r="P18" s="53">
        <v>0.26</v>
      </c>
      <c r="Q18" s="53">
        <v>9.0299999999999994</v>
      </c>
      <c r="R18" s="43"/>
      <c r="S18" s="43"/>
      <c r="T18" s="43"/>
      <c r="U18" s="43"/>
    </row>
    <row r="19" spans="1:21" s="11" customFormat="1" x14ac:dyDescent="0.25">
      <c r="A19" s="52" t="s">
        <v>142</v>
      </c>
      <c r="B19" s="53">
        <v>6.09</v>
      </c>
      <c r="C19" s="53">
        <v>16.39</v>
      </c>
      <c r="D19" s="53">
        <v>13.45</v>
      </c>
      <c r="E19" s="53">
        <v>4.42</v>
      </c>
      <c r="F19" s="53">
        <v>4.04</v>
      </c>
      <c r="G19" s="53">
        <v>34.659999999999997</v>
      </c>
      <c r="H19" s="53">
        <v>23.28</v>
      </c>
      <c r="I19" s="53">
        <v>0.72</v>
      </c>
      <c r="J19" s="53">
        <v>0.38</v>
      </c>
      <c r="K19" s="53">
        <v>298.17</v>
      </c>
      <c r="L19" s="53">
        <v>25.76</v>
      </c>
      <c r="M19" s="53">
        <v>94.33</v>
      </c>
      <c r="N19" s="53">
        <v>301.8</v>
      </c>
      <c r="O19" s="53">
        <v>0</v>
      </c>
      <c r="P19" s="53">
        <v>0.31</v>
      </c>
      <c r="Q19" s="53">
        <v>9.08</v>
      </c>
      <c r="R19" s="43"/>
      <c r="S19" s="43"/>
      <c r="T19" s="43"/>
      <c r="U19" s="43"/>
    </row>
    <row r="20" spans="1:21" s="11" customFormat="1" x14ac:dyDescent="0.25">
      <c r="A20" s="52" t="s">
        <v>143</v>
      </c>
      <c r="B20" s="53">
        <v>6.34</v>
      </c>
      <c r="C20" s="53">
        <v>19.3</v>
      </c>
      <c r="D20" s="53">
        <v>14.8</v>
      </c>
      <c r="E20" s="53">
        <v>4.62</v>
      </c>
      <c r="F20" s="53">
        <v>5.38</v>
      </c>
      <c r="G20" s="53">
        <v>41.83</v>
      </c>
      <c r="H20" s="53">
        <v>23.28</v>
      </c>
      <c r="I20" s="53">
        <v>0.75</v>
      </c>
      <c r="J20" s="53">
        <v>0.41</v>
      </c>
      <c r="K20" s="53">
        <v>291.73</v>
      </c>
      <c r="L20" s="53">
        <v>26.68</v>
      </c>
      <c r="M20" s="53">
        <v>91.07</v>
      </c>
      <c r="N20" s="53">
        <v>343</v>
      </c>
      <c r="O20" s="53">
        <v>0</v>
      </c>
      <c r="P20" s="53">
        <v>0.33</v>
      </c>
      <c r="Q20" s="53">
        <v>9.07</v>
      </c>
      <c r="R20" s="43"/>
      <c r="S20" s="43"/>
      <c r="T20" s="43"/>
      <c r="U20" s="43"/>
    </row>
    <row r="21" spans="1:21" s="11" customFormat="1" x14ac:dyDescent="0.25">
      <c r="A21" s="52" t="s">
        <v>144</v>
      </c>
      <c r="B21" s="53">
        <v>5.34</v>
      </c>
      <c r="C21" s="53">
        <v>19.16</v>
      </c>
      <c r="D21" s="53">
        <v>14.25</v>
      </c>
      <c r="E21" s="53">
        <v>4.57</v>
      </c>
      <c r="F21" s="53">
        <v>5.23</v>
      </c>
      <c r="G21" s="53">
        <v>44.83</v>
      </c>
      <c r="H21" s="53">
        <v>11.47</v>
      </c>
      <c r="I21" s="53">
        <v>0.92</v>
      </c>
      <c r="J21" s="53">
        <v>0.43</v>
      </c>
      <c r="K21" s="53">
        <v>294.87</v>
      </c>
      <c r="L21" s="53">
        <v>27.07</v>
      </c>
      <c r="M21" s="53">
        <v>88.5</v>
      </c>
      <c r="N21" s="53">
        <v>309.39999999999998</v>
      </c>
      <c r="O21" s="53">
        <v>0</v>
      </c>
      <c r="P21" s="53">
        <v>0.38</v>
      </c>
      <c r="Q21" s="53">
        <v>9.0399999999999991</v>
      </c>
      <c r="R21" s="43"/>
      <c r="S21" s="43"/>
      <c r="T21" s="43"/>
      <c r="U21" s="43"/>
    </row>
    <row r="22" spans="1:21" s="11" customFormat="1" x14ac:dyDescent="0.25">
      <c r="A22" s="52" t="s">
        <v>145</v>
      </c>
      <c r="B22" s="53">
        <v>6.76</v>
      </c>
      <c r="C22" s="53">
        <v>19.97</v>
      </c>
      <c r="D22" s="53">
        <v>15.85</v>
      </c>
      <c r="E22" s="53">
        <v>4.84</v>
      </c>
      <c r="F22" s="53">
        <v>4.8600000000000003</v>
      </c>
      <c r="G22" s="53">
        <v>63.12</v>
      </c>
      <c r="H22" s="53">
        <v>21.54</v>
      </c>
      <c r="I22" s="53">
        <v>1.1100000000000001</v>
      </c>
      <c r="J22" s="53">
        <v>0.44</v>
      </c>
      <c r="K22" s="53">
        <v>289.36</v>
      </c>
      <c r="L22" s="53">
        <v>27.33</v>
      </c>
      <c r="M22" s="53">
        <v>94.22</v>
      </c>
      <c r="N22" s="53">
        <v>200.4</v>
      </c>
      <c r="O22" s="53">
        <v>0</v>
      </c>
      <c r="P22" s="53">
        <v>0.34</v>
      </c>
      <c r="Q22" s="53">
        <v>9.1300000000000008</v>
      </c>
      <c r="R22" s="43"/>
      <c r="S22" s="43"/>
      <c r="T22" s="43"/>
      <c r="U22" s="43"/>
    </row>
    <row r="23" spans="1:21" s="11" customFormat="1" x14ac:dyDescent="0.25">
      <c r="A23" s="52" t="s">
        <v>146</v>
      </c>
      <c r="B23" s="53">
        <v>9.18</v>
      </c>
      <c r="C23" s="53">
        <v>18.11</v>
      </c>
      <c r="D23" s="53">
        <v>15.89</v>
      </c>
      <c r="E23" s="53">
        <v>4.45</v>
      </c>
      <c r="F23" s="53">
        <v>4.91</v>
      </c>
      <c r="G23" s="53">
        <v>63.34</v>
      </c>
      <c r="H23" s="53">
        <v>21.54</v>
      </c>
      <c r="I23" s="53">
        <v>1.22</v>
      </c>
      <c r="J23" s="53">
        <v>0.38</v>
      </c>
      <c r="K23" s="53">
        <v>294.76</v>
      </c>
      <c r="L23" s="53">
        <v>26.58</v>
      </c>
      <c r="M23" s="53">
        <v>92.47</v>
      </c>
      <c r="N23" s="53">
        <v>199.1</v>
      </c>
      <c r="O23" s="53">
        <v>0</v>
      </c>
      <c r="P23" s="53">
        <v>0.36</v>
      </c>
      <c r="Q23" s="53">
        <v>9.17</v>
      </c>
      <c r="R23" s="43"/>
      <c r="S23" s="43"/>
      <c r="T23" s="43"/>
      <c r="U23" s="43"/>
    </row>
    <row r="24" spans="1:21" s="11" customFormat="1" x14ac:dyDescent="0.25">
      <c r="A24" s="52" t="s">
        <v>147</v>
      </c>
      <c r="B24" s="53">
        <v>8.74</v>
      </c>
      <c r="C24" s="53">
        <v>17.100000000000001</v>
      </c>
      <c r="D24" s="53">
        <v>15.94</v>
      </c>
      <c r="E24" s="53">
        <v>4.78</v>
      </c>
      <c r="F24" s="53">
        <v>4.53</v>
      </c>
      <c r="G24" s="53">
        <v>63.34</v>
      </c>
      <c r="H24" s="53">
        <v>16.93</v>
      </c>
      <c r="I24" s="53">
        <v>1.28</v>
      </c>
      <c r="J24" s="53">
        <v>0.53</v>
      </c>
      <c r="K24" s="53">
        <v>307.95999999999998</v>
      </c>
      <c r="L24" s="53">
        <v>26.14</v>
      </c>
      <c r="M24" s="53">
        <v>97.53</v>
      </c>
      <c r="N24" s="53">
        <v>122.1</v>
      </c>
      <c r="O24" s="53">
        <v>0.8</v>
      </c>
      <c r="P24" s="53">
        <v>0.35</v>
      </c>
      <c r="Q24" s="53">
        <v>9.18</v>
      </c>
      <c r="R24" s="43"/>
      <c r="S24" s="43"/>
      <c r="T24" s="43"/>
      <c r="U24" s="43"/>
    </row>
    <row r="25" spans="1:21" s="11" customFormat="1" x14ac:dyDescent="0.25">
      <c r="A25" s="52" t="s">
        <v>148</v>
      </c>
      <c r="B25" s="53">
        <v>8.26</v>
      </c>
      <c r="C25" s="53">
        <v>15.19</v>
      </c>
      <c r="D25" s="53">
        <v>14.56</v>
      </c>
      <c r="E25" s="53">
        <v>4.17</v>
      </c>
      <c r="F25" s="53">
        <v>3.74</v>
      </c>
      <c r="G25" s="53">
        <v>56.83</v>
      </c>
      <c r="H25" s="53">
        <v>16.93</v>
      </c>
      <c r="I25" s="53">
        <v>1.24</v>
      </c>
      <c r="J25" s="53">
        <v>0.31</v>
      </c>
      <c r="K25" s="53">
        <v>301.82</v>
      </c>
      <c r="L25" s="53">
        <v>24.64</v>
      </c>
      <c r="M25" s="53">
        <v>97.95</v>
      </c>
      <c r="N25" s="53">
        <v>161.9</v>
      </c>
      <c r="O25" s="53">
        <v>0</v>
      </c>
      <c r="P25" s="53">
        <v>0.39</v>
      </c>
      <c r="Q25" s="53">
        <v>9.16</v>
      </c>
      <c r="R25" s="43"/>
      <c r="S25" s="43"/>
      <c r="T25" s="43"/>
      <c r="U25" s="43"/>
    </row>
    <row r="26" spans="1:21" s="11" customFormat="1" x14ac:dyDescent="0.25">
      <c r="A26" s="52" t="s">
        <v>149</v>
      </c>
      <c r="B26" s="53">
        <v>16.27</v>
      </c>
      <c r="C26" s="53">
        <v>18.32</v>
      </c>
      <c r="D26" s="53">
        <v>22.62</v>
      </c>
      <c r="E26" s="53">
        <v>4.2</v>
      </c>
      <c r="F26" s="53">
        <v>4.53</v>
      </c>
      <c r="G26" s="53">
        <v>51.22</v>
      </c>
      <c r="H26" s="53">
        <v>9.76</v>
      </c>
      <c r="I26" s="53">
        <v>2.16</v>
      </c>
      <c r="J26" s="53">
        <v>0.27</v>
      </c>
      <c r="K26" s="53">
        <v>306.99</v>
      </c>
      <c r="L26" s="53">
        <v>24.9</v>
      </c>
      <c r="M26" s="53">
        <v>97.86</v>
      </c>
      <c r="N26" s="53">
        <v>125.9</v>
      </c>
      <c r="O26" s="53">
        <v>0</v>
      </c>
      <c r="P26" s="53">
        <v>1.1599999999999999</v>
      </c>
      <c r="Q26" s="53">
        <v>9.2899999999999991</v>
      </c>
      <c r="R26" s="43"/>
      <c r="S26" s="43"/>
      <c r="T26" s="43"/>
      <c r="U26" s="43"/>
    </row>
    <row r="27" spans="1:21" s="11" customFormat="1" x14ac:dyDescent="0.25">
      <c r="A27" s="52" t="s">
        <v>150</v>
      </c>
      <c r="B27" s="53">
        <v>26.36</v>
      </c>
      <c r="C27" s="53">
        <v>20.32</v>
      </c>
      <c r="D27" s="53">
        <v>31.36</v>
      </c>
      <c r="E27" s="53">
        <v>4.12</v>
      </c>
      <c r="F27" s="53">
        <v>7.73</v>
      </c>
      <c r="G27" s="53">
        <v>63.79</v>
      </c>
      <c r="H27" s="53">
        <v>20.29</v>
      </c>
      <c r="I27" s="53">
        <v>2.69</v>
      </c>
      <c r="J27" s="53">
        <v>0.08</v>
      </c>
      <c r="K27" s="53">
        <v>325.42</v>
      </c>
      <c r="L27" s="53">
        <v>24.84</v>
      </c>
      <c r="M27" s="53">
        <v>97.88</v>
      </c>
      <c r="N27" s="53">
        <v>74.2</v>
      </c>
      <c r="O27" s="53">
        <v>0</v>
      </c>
      <c r="P27" s="53">
        <v>1.1299999999999999</v>
      </c>
      <c r="Q27" s="53">
        <v>9.39</v>
      </c>
      <c r="R27" s="43"/>
      <c r="S27" s="43"/>
      <c r="T27" s="43"/>
      <c r="U27" s="43"/>
    </row>
    <row r="28" spans="1:21" s="11" customFormat="1" x14ac:dyDescent="0.25">
      <c r="A28" s="52" t="s">
        <v>151</v>
      </c>
      <c r="B28" s="53">
        <v>21.22</v>
      </c>
      <c r="C28" s="53">
        <v>19.36</v>
      </c>
      <c r="D28" s="53">
        <v>25.74</v>
      </c>
      <c r="E28" s="53">
        <v>4.3899999999999997</v>
      </c>
      <c r="F28" s="53">
        <v>7.35</v>
      </c>
      <c r="G28" s="53">
        <v>63.79</v>
      </c>
      <c r="H28" s="53">
        <v>20.29</v>
      </c>
      <c r="I28" s="53">
        <v>2.5499999999999998</v>
      </c>
      <c r="J28" s="53">
        <v>0.15</v>
      </c>
      <c r="K28" s="53">
        <v>332.07</v>
      </c>
      <c r="L28" s="53">
        <v>24.34</v>
      </c>
      <c r="M28" s="53">
        <v>97.96</v>
      </c>
      <c r="N28" s="53">
        <v>43.8</v>
      </c>
      <c r="O28" s="53">
        <v>0.2</v>
      </c>
      <c r="P28" s="53">
        <v>0.86</v>
      </c>
      <c r="Q28" s="53">
        <v>9.4</v>
      </c>
      <c r="R28" s="43"/>
      <c r="S28" s="43"/>
      <c r="T28" s="43"/>
      <c r="U28" s="43"/>
    </row>
    <row r="29" spans="1:21" s="11" customFormat="1" x14ac:dyDescent="0.25">
      <c r="A29" s="52" t="s">
        <v>152</v>
      </c>
      <c r="B29" s="53">
        <v>23.69</v>
      </c>
      <c r="C29" s="53">
        <v>12.33</v>
      </c>
      <c r="D29" s="53">
        <v>25.44</v>
      </c>
      <c r="E29" s="53">
        <v>4.34</v>
      </c>
      <c r="F29" s="53">
        <v>3.83</v>
      </c>
      <c r="G29" s="53">
        <v>68.09</v>
      </c>
      <c r="H29" s="53">
        <v>12.02</v>
      </c>
      <c r="I29" s="53">
        <v>2.44</v>
      </c>
      <c r="J29" s="53">
        <v>0.11</v>
      </c>
      <c r="K29" s="53">
        <v>333.31</v>
      </c>
      <c r="L29" s="53">
        <v>24.35</v>
      </c>
      <c r="M29" s="53">
        <v>97.99</v>
      </c>
      <c r="N29" s="53">
        <v>43.9</v>
      </c>
      <c r="O29" s="53">
        <v>0</v>
      </c>
      <c r="P29" s="53">
        <v>0.79</v>
      </c>
      <c r="Q29" s="53">
        <v>9.4499999999999993</v>
      </c>
      <c r="R29" s="43"/>
      <c r="S29" s="43"/>
      <c r="T29" s="43"/>
      <c r="U29" s="43"/>
    </row>
    <row r="30" spans="1:21" s="11" customFormat="1" x14ac:dyDescent="0.25">
      <c r="A30" s="52" t="s">
        <v>153</v>
      </c>
      <c r="B30" s="53">
        <v>23.5</v>
      </c>
      <c r="C30" s="53">
        <v>11.74</v>
      </c>
      <c r="D30" s="53">
        <v>24.98</v>
      </c>
      <c r="E30" s="53">
        <v>4.25</v>
      </c>
      <c r="F30" s="53">
        <v>4.05</v>
      </c>
      <c r="G30" s="53">
        <v>68.37</v>
      </c>
      <c r="H30" s="53">
        <v>10.87</v>
      </c>
      <c r="I30" s="53">
        <v>2.39</v>
      </c>
      <c r="J30" s="53">
        <v>7.0000000000000007E-2</v>
      </c>
      <c r="K30" s="53">
        <v>329.21</v>
      </c>
      <c r="L30" s="53">
        <v>24.26</v>
      </c>
      <c r="M30" s="53">
        <v>98.08</v>
      </c>
      <c r="N30" s="53">
        <v>44.2</v>
      </c>
      <c r="O30" s="53">
        <v>0</v>
      </c>
      <c r="P30" s="53">
        <v>0.7</v>
      </c>
      <c r="Q30" s="53">
        <v>9.4700000000000006</v>
      </c>
      <c r="R30" s="43"/>
      <c r="S30" s="43"/>
      <c r="T30" s="43"/>
      <c r="U30" s="43"/>
    </row>
    <row r="31" spans="1:21" s="11" customFormat="1" x14ac:dyDescent="0.25">
      <c r="A31" s="52" t="s">
        <v>154</v>
      </c>
      <c r="B31" s="53">
        <v>16.32</v>
      </c>
      <c r="C31" s="53">
        <v>16.04</v>
      </c>
      <c r="D31" s="53">
        <v>21.05</v>
      </c>
      <c r="E31" s="53">
        <v>4.1500000000000004</v>
      </c>
      <c r="F31" s="53">
        <v>7.63</v>
      </c>
      <c r="G31" s="53">
        <v>68.37</v>
      </c>
      <c r="H31" s="53">
        <v>9.6</v>
      </c>
      <c r="I31" s="53">
        <v>2.19</v>
      </c>
      <c r="J31" s="53">
        <v>0.03</v>
      </c>
      <c r="K31" s="53">
        <v>311.26</v>
      </c>
      <c r="L31" s="53">
        <v>23.84</v>
      </c>
      <c r="M31" s="53">
        <v>98.2</v>
      </c>
      <c r="N31" s="53">
        <v>44.2</v>
      </c>
      <c r="O31" s="53">
        <v>0</v>
      </c>
      <c r="P31" s="53">
        <v>0.56000000000000005</v>
      </c>
      <c r="Q31" s="53">
        <v>9.42</v>
      </c>
      <c r="R31" s="43"/>
      <c r="S31" s="43"/>
      <c r="T31" s="43"/>
      <c r="U31" s="43"/>
    </row>
    <row r="32" spans="1:21" s="11" customFormat="1" x14ac:dyDescent="0.25">
      <c r="A32" s="52" t="s">
        <v>155</v>
      </c>
      <c r="B32" s="53">
        <v>18.8</v>
      </c>
      <c r="C32" s="53">
        <v>18.670000000000002</v>
      </c>
      <c r="D32" s="53">
        <v>24.83</v>
      </c>
      <c r="E32" s="53">
        <v>4.54</v>
      </c>
      <c r="F32" s="53">
        <v>7.49</v>
      </c>
      <c r="G32" s="53">
        <v>63.31</v>
      </c>
      <c r="H32" s="53">
        <v>10.88</v>
      </c>
      <c r="I32" s="53">
        <v>1.93</v>
      </c>
      <c r="J32" s="53">
        <v>0.05</v>
      </c>
      <c r="K32" s="53">
        <v>330.86</v>
      </c>
      <c r="L32" s="53">
        <v>23.89</v>
      </c>
      <c r="M32" s="53">
        <v>98.03</v>
      </c>
      <c r="N32" s="53">
        <v>44.2</v>
      </c>
      <c r="O32" s="53">
        <v>0</v>
      </c>
      <c r="P32" s="53">
        <v>0.37</v>
      </c>
      <c r="Q32" s="53">
        <v>9.42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4.93</v>
      </c>
      <c r="C34" s="28">
        <f t="shared" si="0"/>
        <v>10.7</v>
      </c>
      <c r="D34" s="28">
        <f t="shared" si="0"/>
        <v>9.5399999999999991</v>
      </c>
      <c r="E34" s="28">
        <f t="shared" si="0"/>
        <v>4.12</v>
      </c>
      <c r="F34" s="28">
        <f t="shared" si="0"/>
        <v>3.74</v>
      </c>
      <c r="G34" s="28">
        <f t="shared" si="0"/>
        <v>14.96</v>
      </c>
      <c r="H34" s="28">
        <f t="shared" si="0"/>
        <v>1.41</v>
      </c>
      <c r="I34" s="28">
        <f t="shared" si="0"/>
        <v>0.52</v>
      </c>
      <c r="J34" s="28">
        <f t="shared" si="0"/>
        <v>0.03</v>
      </c>
      <c r="K34" s="28">
        <f t="shared" si="0"/>
        <v>289.36</v>
      </c>
      <c r="L34" s="28">
        <f t="shared" si="0"/>
        <v>22.97</v>
      </c>
      <c r="M34" s="28">
        <f t="shared" si="0"/>
        <v>88.5</v>
      </c>
      <c r="N34" s="28">
        <f t="shared" si="0"/>
        <v>43.8</v>
      </c>
      <c r="O34" s="28">
        <f t="shared" si="0"/>
        <v>0</v>
      </c>
      <c r="P34" s="28">
        <f t="shared" si="0"/>
        <v>0.13</v>
      </c>
      <c r="Q34" s="28">
        <f t="shared" si="0"/>
        <v>8.9600000000000009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26.36</v>
      </c>
      <c r="C35" s="29">
        <f t="shared" si="1"/>
        <v>20.32</v>
      </c>
      <c r="D35" s="29">
        <f t="shared" si="1"/>
        <v>31.36</v>
      </c>
      <c r="E35" s="29">
        <f t="shared" si="1"/>
        <v>5.19</v>
      </c>
      <c r="F35" s="29">
        <f t="shared" si="1"/>
        <v>7.91</v>
      </c>
      <c r="G35" s="29">
        <f t="shared" si="1"/>
        <v>68.37</v>
      </c>
      <c r="H35" s="29">
        <f t="shared" si="1"/>
        <v>23.28</v>
      </c>
      <c r="I35" s="29">
        <f t="shared" si="1"/>
        <v>2.69</v>
      </c>
      <c r="J35" s="29">
        <f t="shared" si="1"/>
        <v>0.53</v>
      </c>
      <c r="K35" s="29">
        <f t="shared" si="1"/>
        <v>333.31</v>
      </c>
      <c r="L35" s="29">
        <f t="shared" si="1"/>
        <v>27.33</v>
      </c>
      <c r="M35" s="29">
        <f t="shared" si="1"/>
        <v>98.2</v>
      </c>
      <c r="N35" s="29">
        <f t="shared" si="1"/>
        <v>343</v>
      </c>
      <c r="O35" s="29">
        <f t="shared" si="1"/>
        <v>0.8</v>
      </c>
      <c r="P35" s="29">
        <f t="shared" si="1"/>
        <v>1.1599999999999999</v>
      </c>
      <c r="Q35" s="29">
        <f t="shared" si="1"/>
        <v>9.4700000000000006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11.067083333333334</v>
      </c>
      <c r="C36" s="28">
        <f t="shared" si="2"/>
        <v>15.312916666666668</v>
      </c>
      <c r="D36" s="28">
        <f t="shared" si="2"/>
        <v>16.640833333333337</v>
      </c>
      <c r="E36" s="28">
        <f t="shared" si="2"/>
        <v>4.6070833333333345</v>
      </c>
      <c r="F36" s="28">
        <f t="shared" si="2"/>
        <v>5.0291666666666659</v>
      </c>
      <c r="G36" s="28">
        <f t="shared" si="2"/>
        <v>44.827500000000008</v>
      </c>
      <c r="H36" s="28">
        <f t="shared" si="2"/>
        <v>11.336666666666666</v>
      </c>
      <c r="I36" s="28">
        <f t="shared" si="2"/>
        <v>1.2879166666666668</v>
      </c>
      <c r="J36" s="28">
        <f t="shared" si="2"/>
        <v>0.25750000000000001</v>
      </c>
      <c r="K36" s="28">
        <f t="shared" si="2"/>
        <v>306.80208333333331</v>
      </c>
      <c r="L36" s="28">
        <f t="shared" si="2"/>
        <v>24.71416666666666</v>
      </c>
      <c r="M36" s="28">
        <f t="shared" si="2"/>
        <v>96.641666666666666</v>
      </c>
      <c r="N36" s="28">
        <f t="shared" si="2"/>
        <v>142.35833333333332</v>
      </c>
      <c r="O36" s="28">
        <f t="shared" si="2"/>
        <v>4.1666666666666664E-2</v>
      </c>
      <c r="P36" s="28">
        <f t="shared" si="2"/>
        <v>0.42291666666666661</v>
      </c>
      <c r="Q36" s="28">
        <f t="shared" si="2"/>
        <v>9.1754166666666634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6.9022664703368433</v>
      </c>
      <c r="C37" s="28">
        <f t="shared" ref="C37:Q37" si="3">STDEV(C9:C32)</f>
        <v>3.2571506341621803</v>
      </c>
      <c r="D37" s="28">
        <f t="shared" si="3"/>
        <v>6.0661970872573212</v>
      </c>
      <c r="E37" s="28">
        <f t="shared" si="3"/>
        <v>0.31656415198003801</v>
      </c>
      <c r="F37" s="28">
        <f t="shared" si="3"/>
        <v>1.4272561595339279</v>
      </c>
      <c r="G37" s="28">
        <f t="shared" si="3"/>
        <v>18.870361220938396</v>
      </c>
      <c r="H37" s="28">
        <f t="shared" si="3"/>
        <v>7.7112135551256529</v>
      </c>
      <c r="I37" s="28">
        <f t="shared" si="3"/>
        <v>0.73169831729766299</v>
      </c>
      <c r="J37" s="28">
        <f t="shared" si="3"/>
        <v>0.13791143976259296</v>
      </c>
      <c r="K37" s="28">
        <f t="shared" si="3"/>
        <v>14.174215407828973</v>
      </c>
      <c r="L37" s="28">
        <f t="shared" si="3"/>
        <v>1.300297346150409</v>
      </c>
      <c r="M37" s="28">
        <f t="shared" si="3"/>
        <v>2.619108156650253</v>
      </c>
      <c r="N37" s="28">
        <f t="shared" si="3"/>
        <v>99.743597012176892</v>
      </c>
      <c r="O37" s="28">
        <f t="shared" si="3"/>
        <v>0.16659418713870483</v>
      </c>
      <c r="P37" s="28">
        <f t="shared" si="3"/>
        <v>0.29381270530237713</v>
      </c>
      <c r="Q37" s="28">
        <f t="shared" si="3"/>
        <v>0.16885752076481694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156</v>
      </c>
      <c r="B9" s="53">
        <v>15.3</v>
      </c>
      <c r="C9" s="53">
        <v>14.5</v>
      </c>
      <c r="D9" s="53">
        <v>17.559999999999999</v>
      </c>
      <c r="E9" s="53">
        <v>4.66</v>
      </c>
      <c r="F9" s="53">
        <v>4.9000000000000004</v>
      </c>
      <c r="G9" s="53">
        <v>63.31</v>
      </c>
      <c r="H9" s="53">
        <v>10.88</v>
      </c>
      <c r="I9" s="53">
        <v>1.78</v>
      </c>
      <c r="J9" s="53">
        <v>7.0000000000000007E-2</v>
      </c>
      <c r="K9" s="53">
        <v>335.6</v>
      </c>
      <c r="L9" s="53">
        <v>23.82</v>
      </c>
      <c r="M9" s="53">
        <v>98.05</v>
      </c>
      <c r="N9" s="53">
        <v>44.4</v>
      </c>
      <c r="O9" s="53">
        <v>0.2</v>
      </c>
      <c r="P9" s="53">
        <v>0.49</v>
      </c>
      <c r="Q9" s="53">
        <v>9.44</v>
      </c>
      <c r="R9" s="43"/>
      <c r="S9" s="43"/>
      <c r="T9" s="43"/>
      <c r="U9" s="43"/>
    </row>
    <row r="10" spans="1:21" s="11" customFormat="1" x14ac:dyDescent="0.25">
      <c r="A10" s="52" t="s">
        <v>157</v>
      </c>
      <c r="B10" s="53">
        <v>15.03</v>
      </c>
      <c r="C10" s="53">
        <v>9.39</v>
      </c>
      <c r="D10" s="53">
        <v>16.57</v>
      </c>
      <c r="E10" s="53">
        <v>4.47</v>
      </c>
      <c r="F10" s="53">
        <v>4.07</v>
      </c>
      <c r="G10" s="53">
        <v>52.46</v>
      </c>
      <c r="H10" s="53">
        <v>7.52</v>
      </c>
      <c r="I10" s="53">
        <v>1.57</v>
      </c>
      <c r="J10" s="53">
        <v>0.09</v>
      </c>
      <c r="K10" s="53">
        <v>337.89</v>
      </c>
      <c r="L10" s="53">
        <v>23.71</v>
      </c>
      <c r="M10" s="53">
        <v>97.96</v>
      </c>
      <c r="N10" s="53">
        <v>44.5</v>
      </c>
      <c r="O10" s="53">
        <v>0</v>
      </c>
      <c r="P10" s="53">
        <v>0.45</v>
      </c>
      <c r="Q10" s="53">
        <v>9.35</v>
      </c>
      <c r="R10" s="43"/>
      <c r="S10" s="43"/>
      <c r="T10" s="43"/>
      <c r="U10" s="43"/>
    </row>
    <row r="11" spans="1:21" s="11" customFormat="1" x14ac:dyDescent="0.25">
      <c r="A11" s="52" t="s">
        <v>158</v>
      </c>
      <c r="B11" s="53">
        <v>12.35</v>
      </c>
      <c r="C11" s="53">
        <v>9.93</v>
      </c>
      <c r="D11" s="53">
        <v>14.78</v>
      </c>
      <c r="E11" s="53">
        <v>4.2699999999999996</v>
      </c>
      <c r="F11" s="53">
        <v>4.2699999999999996</v>
      </c>
      <c r="G11" s="53">
        <v>30.67</v>
      </c>
      <c r="H11" s="53">
        <v>5.61</v>
      </c>
      <c r="I11" s="53">
        <v>1.34</v>
      </c>
      <c r="J11" s="53">
        <v>0.19</v>
      </c>
      <c r="K11" s="53">
        <v>318.92</v>
      </c>
      <c r="L11" s="53">
        <v>23.71</v>
      </c>
      <c r="M11" s="53">
        <v>98.01</v>
      </c>
      <c r="N11" s="53">
        <v>44.5</v>
      </c>
      <c r="O11" s="53">
        <v>0</v>
      </c>
      <c r="P11" s="53">
        <v>0.36</v>
      </c>
      <c r="Q11" s="53">
        <v>9.26</v>
      </c>
      <c r="R11" s="43"/>
      <c r="S11" s="43"/>
      <c r="T11" s="43"/>
      <c r="U11" s="43"/>
    </row>
    <row r="12" spans="1:21" s="11" customFormat="1" x14ac:dyDescent="0.25">
      <c r="A12" s="52" t="s">
        <v>159</v>
      </c>
      <c r="B12" s="53">
        <v>9.66</v>
      </c>
      <c r="C12" s="53">
        <v>11.09</v>
      </c>
      <c r="D12" s="53">
        <v>13.19</v>
      </c>
      <c r="E12" s="53">
        <v>4.22</v>
      </c>
      <c r="F12" s="53">
        <v>3.66</v>
      </c>
      <c r="G12" s="53">
        <v>23.17</v>
      </c>
      <c r="H12" s="53">
        <v>4.1100000000000003</v>
      </c>
      <c r="I12" s="53">
        <v>1.1299999999999999</v>
      </c>
      <c r="J12" s="53">
        <v>0.24</v>
      </c>
      <c r="K12" s="53">
        <v>299.77</v>
      </c>
      <c r="L12" s="53">
        <v>23.65</v>
      </c>
      <c r="M12" s="53">
        <v>97.98</v>
      </c>
      <c r="N12" s="53">
        <v>44.5</v>
      </c>
      <c r="O12" s="53">
        <v>0</v>
      </c>
      <c r="P12" s="53">
        <v>0.27</v>
      </c>
      <c r="Q12" s="53">
        <v>9.18</v>
      </c>
      <c r="R12" s="43"/>
      <c r="S12" s="43"/>
      <c r="T12" s="43"/>
      <c r="U12" s="43"/>
    </row>
    <row r="13" spans="1:21" s="11" customFormat="1" x14ac:dyDescent="0.25">
      <c r="A13" s="52" t="s">
        <v>160</v>
      </c>
      <c r="B13" s="53">
        <v>6.59</v>
      </c>
      <c r="C13" s="53">
        <v>11.19</v>
      </c>
      <c r="D13" s="53">
        <v>11.1</v>
      </c>
      <c r="E13" s="53">
        <v>4.33</v>
      </c>
      <c r="F13" s="53">
        <v>3.87</v>
      </c>
      <c r="G13" s="53">
        <v>21.06</v>
      </c>
      <c r="H13" s="53">
        <v>2.96</v>
      </c>
      <c r="I13" s="53">
        <v>0.95</v>
      </c>
      <c r="J13" s="53">
        <v>0.22</v>
      </c>
      <c r="K13" s="53">
        <v>318.08999999999997</v>
      </c>
      <c r="L13" s="53">
        <v>22.91</v>
      </c>
      <c r="M13" s="53">
        <v>98.11</v>
      </c>
      <c r="N13" s="53">
        <v>44</v>
      </c>
      <c r="O13" s="53">
        <v>0.4</v>
      </c>
      <c r="P13" s="53">
        <v>0.22</v>
      </c>
      <c r="Q13" s="53">
        <v>9.1</v>
      </c>
      <c r="R13" s="43"/>
      <c r="S13" s="43"/>
      <c r="T13" s="43"/>
      <c r="U13" s="43"/>
    </row>
    <row r="14" spans="1:21" s="11" customFormat="1" x14ac:dyDescent="0.25">
      <c r="A14" s="52" t="s">
        <v>161</v>
      </c>
      <c r="B14" s="53">
        <v>5.77</v>
      </c>
      <c r="C14" s="53">
        <v>11.34</v>
      </c>
      <c r="D14" s="53">
        <v>10.54</v>
      </c>
      <c r="E14" s="53">
        <v>4.2</v>
      </c>
      <c r="F14" s="53">
        <v>4.16</v>
      </c>
      <c r="G14" s="53">
        <v>13.78</v>
      </c>
      <c r="H14" s="53">
        <v>2.41</v>
      </c>
      <c r="I14" s="53">
        <v>0.78</v>
      </c>
      <c r="J14" s="53">
        <v>0.12</v>
      </c>
      <c r="K14" s="53">
        <v>310.47000000000003</v>
      </c>
      <c r="L14" s="53">
        <v>22.43</v>
      </c>
      <c r="M14" s="53">
        <v>98.24</v>
      </c>
      <c r="N14" s="53">
        <v>54.7</v>
      </c>
      <c r="O14" s="53">
        <v>1.8</v>
      </c>
      <c r="P14" s="53">
        <v>0.18</v>
      </c>
      <c r="Q14" s="53">
        <v>9.02</v>
      </c>
      <c r="R14" s="43"/>
      <c r="S14" s="43"/>
      <c r="T14" s="43"/>
      <c r="U14" s="43"/>
    </row>
    <row r="15" spans="1:21" s="11" customFormat="1" x14ac:dyDescent="0.25">
      <c r="A15" s="52" t="s">
        <v>162</v>
      </c>
      <c r="B15" s="53">
        <v>6.13</v>
      </c>
      <c r="C15" s="53">
        <v>11.43</v>
      </c>
      <c r="D15" s="53">
        <v>10.89</v>
      </c>
      <c r="E15" s="53">
        <v>4.13</v>
      </c>
      <c r="F15" s="53">
        <v>4.13</v>
      </c>
      <c r="G15" s="53">
        <v>12.92</v>
      </c>
      <c r="H15" s="53">
        <v>3.87</v>
      </c>
      <c r="I15" s="53">
        <v>0.7</v>
      </c>
      <c r="J15" s="53">
        <v>0.16</v>
      </c>
      <c r="K15" s="53">
        <v>315.25</v>
      </c>
      <c r="L15" s="53">
        <v>22.71</v>
      </c>
      <c r="M15" s="53">
        <v>98.26</v>
      </c>
      <c r="N15" s="53">
        <v>122</v>
      </c>
      <c r="O15" s="53">
        <v>0</v>
      </c>
      <c r="P15" s="53">
        <v>0.16</v>
      </c>
      <c r="Q15" s="53">
        <v>9</v>
      </c>
      <c r="R15" s="43"/>
      <c r="S15" s="43"/>
      <c r="T15" s="43"/>
      <c r="U15" s="43"/>
    </row>
    <row r="16" spans="1:21" s="11" customFormat="1" x14ac:dyDescent="0.25">
      <c r="A16" s="52" t="s">
        <v>163</v>
      </c>
      <c r="B16" s="53">
        <v>8.27</v>
      </c>
      <c r="C16" s="53">
        <v>13.05</v>
      </c>
      <c r="D16" s="53">
        <v>13.45</v>
      </c>
      <c r="E16" s="53">
        <v>4.8499999999999996</v>
      </c>
      <c r="F16" s="53">
        <v>3.57</v>
      </c>
      <c r="G16" s="53">
        <v>14.07</v>
      </c>
      <c r="H16" s="53">
        <v>3.87</v>
      </c>
      <c r="I16" s="53">
        <v>0.76</v>
      </c>
      <c r="J16" s="53">
        <v>0.21</v>
      </c>
      <c r="K16" s="53">
        <v>301.39</v>
      </c>
      <c r="L16" s="53">
        <v>23.52</v>
      </c>
      <c r="M16" s="53">
        <v>98.27</v>
      </c>
      <c r="N16" s="53">
        <v>176</v>
      </c>
      <c r="O16" s="53">
        <v>0</v>
      </c>
      <c r="P16" s="53">
        <v>0.19</v>
      </c>
      <c r="Q16" s="53">
        <v>9.1</v>
      </c>
      <c r="R16" s="43"/>
      <c r="S16" s="43"/>
      <c r="T16" s="43"/>
      <c r="U16" s="43"/>
    </row>
    <row r="17" spans="1:21" s="11" customFormat="1" x14ac:dyDescent="0.25">
      <c r="A17" s="52" t="s">
        <v>164</v>
      </c>
      <c r="B17" s="53">
        <v>7.89</v>
      </c>
      <c r="C17" s="53">
        <v>13.56</v>
      </c>
      <c r="D17" s="53">
        <v>13.05</v>
      </c>
      <c r="E17" s="53">
        <v>5.52</v>
      </c>
      <c r="F17" s="53">
        <v>3.44</v>
      </c>
      <c r="G17" s="53">
        <v>22.88</v>
      </c>
      <c r="H17" s="53">
        <v>3.86</v>
      </c>
      <c r="I17" s="53">
        <v>0.83</v>
      </c>
      <c r="J17" s="53">
        <v>0.33</v>
      </c>
      <c r="K17" s="53">
        <v>289.74</v>
      </c>
      <c r="L17" s="53">
        <v>24.82</v>
      </c>
      <c r="M17" s="53">
        <v>98.18</v>
      </c>
      <c r="N17" s="53">
        <v>308.60000000000002</v>
      </c>
      <c r="O17" s="53">
        <v>0</v>
      </c>
      <c r="P17" s="53">
        <v>0.21</v>
      </c>
      <c r="Q17" s="53">
        <v>9.1199999999999992</v>
      </c>
      <c r="R17" s="43"/>
      <c r="S17" s="43"/>
      <c r="T17" s="43"/>
      <c r="U17" s="43"/>
    </row>
    <row r="18" spans="1:21" s="11" customFormat="1" x14ac:dyDescent="0.25">
      <c r="A18" s="52" t="s">
        <v>165</v>
      </c>
      <c r="B18" s="53">
        <v>6.74</v>
      </c>
      <c r="C18" s="53">
        <v>14.38</v>
      </c>
      <c r="D18" s="53">
        <v>12.8</v>
      </c>
      <c r="E18" s="53">
        <v>5.59</v>
      </c>
      <c r="F18" s="53">
        <v>4.28</v>
      </c>
      <c r="G18" s="53">
        <v>28.15</v>
      </c>
      <c r="H18" s="53">
        <v>3.2</v>
      </c>
      <c r="I18" s="53">
        <v>0.82</v>
      </c>
      <c r="J18" s="53">
        <v>0.42</v>
      </c>
      <c r="K18" s="53">
        <v>295</v>
      </c>
      <c r="L18" s="53">
        <v>26.11</v>
      </c>
      <c r="M18" s="53">
        <v>98.08</v>
      </c>
      <c r="N18" s="53">
        <v>579.9</v>
      </c>
      <c r="O18" s="53">
        <v>0</v>
      </c>
      <c r="P18" s="53">
        <v>0.24</v>
      </c>
      <c r="Q18" s="53">
        <v>9.09</v>
      </c>
      <c r="R18" s="43"/>
      <c r="S18" s="43"/>
      <c r="T18" s="43"/>
      <c r="U18" s="43"/>
    </row>
    <row r="19" spans="1:21" s="11" customFormat="1" x14ac:dyDescent="0.25">
      <c r="A19" s="52" t="s">
        <v>166</v>
      </c>
      <c r="B19" s="53">
        <v>6.28</v>
      </c>
      <c r="C19" s="53">
        <v>15.45</v>
      </c>
      <c r="D19" s="53">
        <v>12.83</v>
      </c>
      <c r="E19" s="53">
        <v>5.48</v>
      </c>
      <c r="F19" s="53">
        <v>4.58</v>
      </c>
      <c r="G19" s="53">
        <v>33.340000000000003</v>
      </c>
      <c r="H19" s="53">
        <v>5.39</v>
      </c>
      <c r="I19" s="53">
        <v>0.81</v>
      </c>
      <c r="J19" s="53">
        <v>0.49</v>
      </c>
      <c r="K19" s="53">
        <v>287.79000000000002</v>
      </c>
      <c r="L19" s="53">
        <v>27.1</v>
      </c>
      <c r="M19" s="53">
        <v>92.4</v>
      </c>
      <c r="N19" s="53">
        <v>356.3</v>
      </c>
      <c r="O19" s="53">
        <v>0</v>
      </c>
      <c r="P19" s="53">
        <v>0.24</v>
      </c>
      <c r="Q19" s="53">
        <v>9.0500000000000007</v>
      </c>
      <c r="R19" s="43"/>
      <c r="S19" s="43"/>
      <c r="T19" s="43"/>
      <c r="U19" s="43"/>
    </row>
    <row r="20" spans="1:21" s="11" customFormat="1" x14ac:dyDescent="0.25">
      <c r="A20" s="52" t="s">
        <v>167</v>
      </c>
      <c r="B20" s="53">
        <v>7.47</v>
      </c>
      <c r="C20" s="53">
        <v>16.989999999999998</v>
      </c>
      <c r="D20" s="53">
        <v>14.86</v>
      </c>
      <c r="E20" s="53">
        <v>5.28</v>
      </c>
      <c r="F20" s="53">
        <v>4.91</v>
      </c>
      <c r="G20" s="53">
        <v>44.38</v>
      </c>
      <c r="H20" s="53">
        <v>7.34</v>
      </c>
      <c r="I20" s="53">
        <v>0.74</v>
      </c>
      <c r="J20" s="53">
        <v>0.41</v>
      </c>
      <c r="K20" s="53">
        <v>301.60000000000002</v>
      </c>
      <c r="L20" s="53">
        <v>26.21</v>
      </c>
      <c r="M20" s="53">
        <v>97.95</v>
      </c>
      <c r="N20" s="53">
        <v>200.5</v>
      </c>
      <c r="O20" s="53">
        <v>0.2</v>
      </c>
      <c r="P20" s="53">
        <v>0.27</v>
      </c>
      <c r="Q20" s="53">
        <v>9.0500000000000007</v>
      </c>
      <c r="R20" s="43"/>
      <c r="S20" s="43"/>
      <c r="T20" s="43"/>
      <c r="U20" s="43"/>
    </row>
    <row r="21" spans="1:21" s="11" customFormat="1" x14ac:dyDescent="0.25">
      <c r="A21" s="52" t="s">
        <v>168</v>
      </c>
      <c r="B21" s="53">
        <v>12.07</v>
      </c>
      <c r="C21" s="53">
        <v>15.83</v>
      </c>
      <c r="D21" s="53">
        <v>17.45</v>
      </c>
      <c r="E21" s="53">
        <v>5.28</v>
      </c>
      <c r="F21" s="53">
        <v>7.9</v>
      </c>
      <c r="G21" s="53">
        <v>44.38</v>
      </c>
      <c r="H21" s="53">
        <v>7.34</v>
      </c>
      <c r="I21" s="53">
        <v>0.79</v>
      </c>
      <c r="J21" s="53">
        <v>0.28999999999999998</v>
      </c>
      <c r="K21" s="53">
        <v>302.51</v>
      </c>
      <c r="L21" s="53">
        <v>24.77</v>
      </c>
      <c r="M21" s="53">
        <v>98.32</v>
      </c>
      <c r="N21" s="53">
        <v>191.3</v>
      </c>
      <c r="O21" s="53">
        <v>0.6</v>
      </c>
      <c r="P21" s="53">
        <v>0.38</v>
      </c>
      <c r="Q21" s="53">
        <v>9.1300000000000008</v>
      </c>
      <c r="R21" s="43"/>
      <c r="S21" s="43"/>
      <c r="T21" s="43"/>
      <c r="U21" s="43"/>
    </row>
    <row r="22" spans="1:21" s="11" customFormat="1" x14ac:dyDescent="0.25">
      <c r="A22" s="52" t="s">
        <v>169</v>
      </c>
      <c r="B22" s="53">
        <v>10.18</v>
      </c>
      <c r="C22" s="53">
        <v>16.62</v>
      </c>
      <c r="D22" s="53">
        <v>15.92</v>
      </c>
      <c r="E22" s="53">
        <v>5.67</v>
      </c>
      <c r="F22" s="53">
        <v>4.32</v>
      </c>
      <c r="G22" s="53">
        <v>39.81</v>
      </c>
      <c r="H22" s="53">
        <v>7.09</v>
      </c>
      <c r="I22" s="53">
        <v>1.2</v>
      </c>
      <c r="J22" s="53">
        <v>0.47</v>
      </c>
      <c r="K22" s="53">
        <v>291.72000000000003</v>
      </c>
      <c r="L22" s="53">
        <v>25.94</v>
      </c>
      <c r="M22" s="53">
        <v>98.13</v>
      </c>
      <c r="N22" s="53">
        <v>412</v>
      </c>
      <c r="O22" s="53">
        <v>0</v>
      </c>
      <c r="P22" s="53">
        <v>0.38</v>
      </c>
      <c r="Q22" s="53">
        <v>9.17</v>
      </c>
      <c r="R22" s="43"/>
      <c r="S22" s="43"/>
      <c r="T22" s="43"/>
      <c r="U22" s="43"/>
    </row>
    <row r="23" spans="1:21" s="11" customFormat="1" x14ac:dyDescent="0.25">
      <c r="A23" s="52" t="s">
        <v>170</v>
      </c>
      <c r="B23" s="53">
        <v>6.77</v>
      </c>
      <c r="C23" s="53">
        <v>17.07</v>
      </c>
      <c r="D23" s="53">
        <v>14.08</v>
      </c>
      <c r="E23" s="53">
        <v>5.53</v>
      </c>
      <c r="F23" s="53">
        <v>4.8099999999999996</v>
      </c>
      <c r="G23" s="53">
        <v>47.74</v>
      </c>
      <c r="H23" s="53">
        <v>8.1999999999999993</v>
      </c>
      <c r="I23" s="53">
        <v>1.2</v>
      </c>
      <c r="J23" s="53">
        <v>0.54</v>
      </c>
      <c r="K23" s="53">
        <v>291.51</v>
      </c>
      <c r="L23" s="53">
        <v>26.47</v>
      </c>
      <c r="M23" s="53">
        <v>93.78</v>
      </c>
      <c r="N23" s="53">
        <v>212.8</v>
      </c>
      <c r="O23" s="53">
        <v>0</v>
      </c>
      <c r="P23" s="53">
        <v>0.37</v>
      </c>
      <c r="Q23" s="53">
        <v>9.11</v>
      </c>
      <c r="R23" s="43"/>
      <c r="S23" s="43"/>
      <c r="T23" s="43"/>
      <c r="U23" s="43"/>
    </row>
    <row r="24" spans="1:21" s="11" customFormat="1" x14ac:dyDescent="0.25">
      <c r="A24" s="52" t="s">
        <v>171</v>
      </c>
      <c r="B24" s="53">
        <v>8.08</v>
      </c>
      <c r="C24" s="53">
        <v>16.96</v>
      </c>
      <c r="D24" s="53">
        <v>15.34</v>
      </c>
      <c r="E24" s="53">
        <v>5.43</v>
      </c>
      <c r="F24" s="53">
        <v>4.87</v>
      </c>
      <c r="G24" s="53">
        <v>50.94</v>
      </c>
      <c r="H24" s="53">
        <v>8.1999999999999993</v>
      </c>
      <c r="I24" s="53">
        <v>1.1399999999999999</v>
      </c>
      <c r="J24" s="53">
        <v>0.32</v>
      </c>
      <c r="K24" s="53">
        <v>295.07</v>
      </c>
      <c r="L24" s="53">
        <v>26.33</v>
      </c>
      <c r="M24" s="53">
        <v>91.53</v>
      </c>
      <c r="N24" s="53">
        <v>187.9</v>
      </c>
      <c r="O24" s="53">
        <v>0</v>
      </c>
      <c r="P24" s="53">
        <v>0.38</v>
      </c>
      <c r="Q24" s="53">
        <v>9.11</v>
      </c>
      <c r="R24" s="43"/>
      <c r="S24" s="43"/>
      <c r="T24" s="43"/>
      <c r="U24" s="43"/>
    </row>
    <row r="25" spans="1:21" s="11" customFormat="1" x14ac:dyDescent="0.25">
      <c r="A25" s="52" t="s">
        <v>172</v>
      </c>
      <c r="B25" s="53">
        <v>19.489999999999998</v>
      </c>
      <c r="C25" s="53">
        <v>23.12</v>
      </c>
      <c r="D25" s="53">
        <v>26.41</v>
      </c>
      <c r="E25" s="53">
        <v>5.18</v>
      </c>
      <c r="F25" s="53">
        <v>9.15</v>
      </c>
      <c r="G25" s="53">
        <v>66.930000000000007</v>
      </c>
      <c r="H25" s="53">
        <v>12.1</v>
      </c>
      <c r="I25" s="53">
        <v>1.37</v>
      </c>
      <c r="J25" s="53">
        <v>0.26</v>
      </c>
      <c r="K25" s="53">
        <v>314.27</v>
      </c>
      <c r="L25" s="53">
        <v>26.28</v>
      </c>
      <c r="M25" s="53">
        <v>92.33</v>
      </c>
      <c r="N25" s="53">
        <v>112.8</v>
      </c>
      <c r="O25" s="53">
        <v>0</v>
      </c>
      <c r="P25" s="53">
        <v>0.69</v>
      </c>
      <c r="Q25" s="53">
        <v>9.2100000000000009</v>
      </c>
      <c r="R25" s="43"/>
      <c r="S25" s="43"/>
      <c r="T25" s="43"/>
      <c r="U25" s="43"/>
    </row>
    <row r="26" spans="1:21" s="11" customFormat="1" x14ac:dyDescent="0.25">
      <c r="A26" s="52" t="s">
        <v>173</v>
      </c>
      <c r="B26" s="53">
        <v>25.88</v>
      </c>
      <c r="C26" s="53">
        <v>18.77</v>
      </c>
      <c r="D26" s="53">
        <v>30.21</v>
      </c>
      <c r="E26" s="53">
        <v>5.45</v>
      </c>
      <c r="F26" s="53">
        <v>7.4</v>
      </c>
      <c r="G26" s="53">
        <v>74.64</v>
      </c>
      <c r="H26" s="53">
        <v>12.1</v>
      </c>
      <c r="I26" s="53">
        <v>1.52</v>
      </c>
      <c r="J26" s="53">
        <v>0.57999999999999996</v>
      </c>
      <c r="K26" s="53">
        <v>322.51</v>
      </c>
      <c r="L26" s="53">
        <v>25.89</v>
      </c>
      <c r="M26" s="53">
        <v>95.23</v>
      </c>
      <c r="N26" s="53">
        <v>91.3</v>
      </c>
      <c r="O26" s="53">
        <v>0</v>
      </c>
      <c r="P26" s="53">
        <v>0.66</v>
      </c>
      <c r="Q26" s="53">
        <v>9.35</v>
      </c>
      <c r="R26" s="43"/>
      <c r="S26" s="43"/>
      <c r="T26" s="43"/>
      <c r="U26" s="43"/>
    </row>
    <row r="27" spans="1:21" s="11" customFormat="1" x14ac:dyDescent="0.25">
      <c r="A27" s="52" t="s">
        <v>174</v>
      </c>
      <c r="B27" s="53">
        <v>16.329999999999998</v>
      </c>
      <c r="C27" s="53">
        <v>14.51</v>
      </c>
      <c r="D27" s="53">
        <v>20.57</v>
      </c>
      <c r="E27" s="53">
        <v>5.38</v>
      </c>
      <c r="F27" s="53">
        <v>4.29</v>
      </c>
      <c r="G27" s="53">
        <v>74.64</v>
      </c>
      <c r="H27" s="53">
        <v>14.11</v>
      </c>
      <c r="I27" s="53">
        <v>1.59</v>
      </c>
      <c r="J27" s="53">
        <v>0.33</v>
      </c>
      <c r="K27" s="53">
        <v>315.94</v>
      </c>
      <c r="L27" s="53">
        <v>25.4</v>
      </c>
      <c r="M27" s="53">
        <v>98</v>
      </c>
      <c r="N27" s="53">
        <v>101.2</v>
      </c>
      <c r="O27" s="53">
        <v>0.2</v>
      </c>
      <c r="P27" s="53">
        <v>0.53</v>
      </c>
      <c r="Q27" s="53">
        <v>9.3800000000000008</v>
      </c>
      <c r="R27" s="43"/>
      <c r="S27" s="43"/>
      <c r="T27" s="43"/>
      <c r="U27" s="43"/>
    </row>
    <row r="28" spans="1:21" s="11" customFormat="1" x14ac:dyDescent="0.25">
      <c r="A28" s="52" t="s">
        <v>175</v>
      </c>
      <c r="B28" s="53">
        <v>15.09</v>
      </c>
      <c r="C28" s="53">
        <v>14.81</v>
      </c>
      <c r="D28" s="53">
        <v>19.84</v>
      </c>
      <c r="E28" s="53">
        <v>5.0199999999999996</v>
      </c>
      <c r="F28" s="53">
        <v>4.1399999999999997</v>
      </c>
      <c r="G28" s="53">
        <v>67.8</v>
      </c>
      <c r="H28" s="53">
        <v>14.8</v>
      </c>
      <c r="I28" s="53">
        <v>1.58</v>
      </c>
      <c r="J28" s="53">
        <v>0.25</v>
      </c>
      <c r="K28" s="53">
        <v>352.76</v>
      </c>
      <c r="L28" s="53">
        <v>24.2</v>
      </c>
      <c r="M28" s="53">
        <v>98.03</v>
      </c>
      <c r="N28" s="53">
        <v>99</v>
      </c>
      <c r="O28" s="53">
        <v>0</v>
      </c>
      <c r="P28" s="53">
        <v>0.5</v>
      </c>
      <c r="Q28" s="53">
        <v>9.31</v>
      </c>
      <c r="R28" s="43"/>
      <c r="S28" s="43"/>
      <c r="T28" s="43"/>
      <c r="U28" s="43"/>
    </row>
    <row r="29" spans="1:21" s="11" customFormat="1" x14ac:dyDescent="0.25">
      <c r="A29" s="52" t="s">
        <v>176</v>
      </c>
      <c r="B29" s="53">
        <v>15.82</v>
      </c>
      <c r="C29" s="53">
        <v>14.72</v>
      </c>
      <c r="D29" s="53">
        <v>20.38</v>
      </c>
      <c r="E29" s="53">
        <v>5.19</v>
      </c>
      <c r="F29" s="53">
        <v>4.24</v>
      </c>
      <c r="G29" s="53">
        <v>53.18</v>
      </c>
      <c r="H29" s="53">
        <v>14.8</v>
      </c>
      <c r="I29" s="53">
        <v>2.08</v>
      </c>
      <c r="J29" s="53">
        <v>0.21</v>
      </c>
      <c r="K29" s="53">
        <v>336.89</v>
      </c>
      <c r="L29" s="53">
        <v>23.76</v>
      </c>
      <c r="M29" s="53">
        <v>98.06</v>
      </c>
      <c r="N29" s="53">
        <v>83.9</v>
      </c>
      <c r="O29" s="53">
        <v>0</v>
      </c>
      <c r="P29" s="53">
        <v>0.57999999999999996</v>
      </c>
      <c r="Q29" s="53">
        <v>9.32</v>
      </c>
      <c r="R29" s="43"/>
      <c r="S29" s="43"/>
      <c r="T29" s="43"/>
      <c r="U29" s="43"/>
    </row>
    <row r="30" spans="1:21" s="11" customFormat="1" x14ac:dyDescent="0.25">
      <c r="A30" s="52" t="s">
        <v>177</v>
      </c>
      <c r="B30" s="53">
        <v>24.55</v>
      </c>
      <c r="C30" s="53">
        <v>18.78</v>
      </c>
      <c r="D30" s="53">
        <v>29.5</v>
      </c>
      <c r="E30" s="53">
        <v>5.3</v>
      </c>
      <c r="F30" s="53">
        <v>7.38</v>
      </c>
      <c r="G30" s="53">
        <v>50.43</v>
      </c>
      <c r="H30" s="53">
        <v>10.88</v>
      </c>
      <c r="I30" s="53">
        <v>2.12</v>
      </c>
      <c r="J30" s="53">
        <v>0.12</v>
      </c>
      <c r="K30" s="53">
        <v>330.1</v>
      </c>
      <c r="L30" s="53">
        <v>23.66</v>
      </c>
      <c r="M30" s="53">
        <v>98.05</v>
      </c>
      <c r="N30" s="53">
        <v>84.5</v>
      </c>
      <c r="O30" s="53">
        <v>0</v>
      </c>
      <c r="P30" s="53">
        <v>0.81</v>
      </c>
      <c r="Q30" s="53">
        <v>9.41</v>
      </c>
      <c r="R30" s="43"/>
      <c r="S30" s="43"/>
      <c r="T30" s="43"/>
      <c r="U30" s="43"/>
    </row>
    <row r="31" spans="1:21" s="11" customFormat="1" x14ac:dyDescent="0.25">
      <c r="A31" s="52" t="s">
        <v>178</v>
      </c>
      <c r="B31" s="53">
        <v>16.22</v>
      </c>
      <c r="C31" s="53">
        <v>15.81</v>
      </c>
      <c r="D31" s="53">
        <v>20.94</v>
      </c>
      <c r="E31" s="53">
        <v>5.48</v>
      </c>
      <c r="F31" s="53">
        <v>5.58</v>
      </c>
      <c r="G31" s="53">
        <v>37.630000000000003</v>
      </c>
      <c r="H31" s="53">
        <v>8.08</v>
      </c>
      <c r="I31" s="53">
        <v>2.08</v>
      </c>
      <c r="J31" s="53">
        <v>0.1</v>
      </c>
      <c r="K31" s="53">
        <v>315.10000000000002</v>
      </c>
      <c r="L31" s="53">
        <v>23.61</v>
      </c>
      <c r="M31" s="53">
        <v>98.13</v>
      </c>
      <c r="N31" s="53">
        <v>99.1</v>
      </c>
      <c r="O31" s="53">
        <v>0</v>
      </c>
      <c r="P31" s="53">
        <v>0.78</v>
      </c>
      <c r="Q31" s="53">
        <v>9.44</v>
      </c>
      <c r="R31" s="43"/>
      <c r="S31" s="43"/>
      <c r="T31" s="43"/>
      <c r="U31" s="43"/>
    </row>
    <row r="32" spans="1:21" s="11" customFormat="1" x14ac:dyDescent="0.25">
      <c r="A32" s="52" t="s">
        <v>179</v>
      </c>
      <c r="B32" s="53">
        <v>16.010000000000002</v>
      </c>
      <c r="C32" s="53">
        <v>11.69</v>
      </c>
      <c r="D32" s="53">
        <v>18.55</v>
      </c>
      <c r="E32" s="53">
        <v>5.07</v>
      </c>
      <c r="F32" s="53">
        <v>4.0599999999999996</v>
      </c>
      <c r="G32" s="53">
        <v>37.630000000000003</v>
      </c>
      <c r="H32" s="53">
        <v>5.82</v>
      </c>
      <c r="I32" s="53">
        <v>2.41</v>
      </c>
      <c r="J32" s="53">
        <v>0.17</v>
      </c>
      <c r="K32" s="53">
        <v>339.21</v>
      </c>
      <c r="L32" s="53">
        <v>23.44</v>
      </c>
      <c r="M32" s="53">
        <v>98.13</v>
      </c>
      <c r="N32" s="53">
        <v>99.7</v>
      </c>
      <c r="O32" s="53">
        <v>0</v>
      </c>
      <c r="P32" s="53">
        <v>0.62</v>
      </c>
      <c r="Q32" s="53">
        <v>9.39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5.77</v>
      </c>
      <c r="C34" s="28">
        <f t="shared" si="0"/>
        <v>9.39</v>
      </c>
      <c r="D34" s="28">
        <f t="shared" si="0"/>
        <v>10.54</v>
      </c>
      <c r="E34" s="28">
        <f t="shared" si="0"/>
        <v>4.13</v>
      </c>
      <c r="F34" s="28">
        <f t="shared" si="0"/>
        <v>3.44</v>
      </c>
      <c r="G34" s="28">
        <f t="shared" si="0"/>
        <v>12.92</v>
      </c>
      <c r="H34" s="28">
        <f t="shared" si="0"/>
        <v>2.41</v>
      </c>
      <c r="I34" s="28">
        <f t="shared" si="0"/>
        <v>0.7</v>
      </c>
      <c r="J34" s="28">
        <f t="shared" si="0"/>
        <v>7.0000000000000007E-2</v>
      </c>
      <c r="K34" s="28">
        <f t="shared" si="0"/>
        <v>287.79000000000002</v>
      </c>
      <c r="L34" s="28">
        <f t="shared" si="0"/>
        <v>22.43</v>
      </c>
      <c r="M34" s="28">
        <f t="shared" si="0"/>
        <v>91.53</v>
      </c>
      <c r="N34" s="28">
        <f t="shared" si="0"/>
        <v>44</v>
      </c>
      <c r="O34" s="28">
        <f t="shared" si="0"/>
        <v>0</v>
      </c>
      <c r="P34" s="28">
        <f t="shared" si="0"/>
        <v>0.16</v>
      </c>
      <c r="Q34" s="28">
        <f t="shared" si="0"/>
        <v>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25.88</v>
      </c>
      <c r="C35" s="29">
        <f t="shared" si="1"/>
        <v>23.12</v>
      </c>
      <c r="D35" s="29">
        <f t="shared" si="1"/>
        <v>30.21</v>
      </c>
      <c r="E35" s="29">
        <f t="shared" si="1"/>
        <v>5.67</v>
      </c>
      <c r="F35" s="29">
        <f t="shared" si="1"/>
        <v>9.15</v>
      </c>
      <c r="G35" s="29">
        <f t="shared" si="1"/>
        <v>74.64</v>
      </c>
      <c r="H35" s="29">
        <f t="shared" si="1"/>
        <v>14.8</v>
      </c>
      <c r="I35" s="29">
        <f t="shared" si="1"/>
        <v>2.41</v>
      </c>
      <c r="J35" s="29">
        <f t="shared" si="1"/>
        <v>0.57999999999999996</v>
      </c>
      <c r="K35" s="29">
        <f t="shared" si="1"/>
        <v>352.76</v>
      </c>
      <c r="L35" s="29">
        <f t="shared" si="1"/>
        <v>27.1</v>
      </c>
      <c r="M35" s="29">
        <f t="shared" si="1"/>
        <v>98.32</v>
      </c>
      <c r="N35" s="29">
        <f t="shared" si="1"/>
        <v>579.9</v>
      </c>
      <c r="O35" s="29">
        <f t="shared" si="1"/>
        <v>1.8</v>
      </c>
      <c r="P35" s="29">
        <f t="shared" si="1"/>
        <v>0.81</v>
      </c>
      <c r="Q35" s="29">
        <f t="shared" si="1"/>
        <v>9.44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12.248750000000001</v>
      </c>
      <c r="C36" s="28">
        <f t="shared" si="2"/>
        <v>14.624583333333334</v>
      </c>
      <c r="D36" s="28">
        <f t="shared" si="2"/>
        <v>17.11708333333333</v>
      </c>
      <c r="E36" s="28">
        <f t="shared" si="2"/>
        <v>5.0408333333333326</v>
      </c>
      <c r="F36" s="28">
        <f t="shared" si="2"/>
        <v>4.9158333333333335</v>
      </c>
      <c r="G36" s="28">
        <f t="shared" si="2"/>
        <v>41.914166666666659</v>
      </c>
      <c r="H36" s="28">
        <f t="shared" si="2"/>
        <v>7.6891666666666678</v>
      </c>
      <c r="I36" s="28">
        <f t="shared" si="2"/>
        <v>1.3037500000000002</v>
      </c>
      <c r="J36" s="28">
        <f t="shared" si="2"/>
        <v>0.27458333333333335</v>
      </c>
      <c r="K36" s="28">
        <f t="shared" si="2"/>
        <v>313.29583333333341</v>
      </c>
      <c r="L36" s="28">
        <f t="shared" si="2"/>
        <v>24.602083333333336</v>
      </c>
      <c r="M36" s="28">
        <f t="shared" si="2"/>
        <v>97.050416666666663</v>
      </c>
      <c r="N36" s="28">
        <f t="shared" si="2"/>
        <v>158.14166666666668</v>
      </c>
      <c r="O36" s="28">
        <f t="shared" si="2"/>
        <v>0.14166666666666669</v>
      </c>
      <c r="P36" s="28">
        <f t="shared" si="2"/>
        <v>0.41499999999999998</v>
      </c>
      <c r="Q36" s="28">
        <f t="shared" si="2"/>
        <v>9.2120833333333323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5.7766594171492454</v>
      </c>
      <c r="C37" s="28">
        <f t="shared" ref="C37:Q37" si="3">STDEV(C9:C32)</f>
        <v>3.2185238030834138</v>
      </c>
      <c r="D37" s="28">
        <f t="shared" si="3"/>
        <v>5.4510282070901885</v>
      </c>
      <c r="E37" s="28">
        <f t="shared" si="3"/>
        <v>0.51192659686688502</v>
      </c>
      <c r="F37" s="28">
        <f t="shared" si="3"/>
        <v>1.4973568499966474</v>
      </c>
      <c r="G37" s="28">
        <f t="shared" si="3"/>
        <v>19.019893228033592</v>
      </c>
      <c r="H37" s="28">
        <f t="shared" si="3"/>
        <v>3.8621349318588076</v>
      </c>
      <c r="I37" s="28">
        <f t="shared" si="3"/>
        <v>0.51184926874329273</v>
      </c>
      <c r="J37" s="28">
        <f t="shared" si="3"/>
        <v>0.14670227663882551</v>
      </c>
      <c r="K37" s="28">
        <f t="shared" si="3"/>
        <v>18.324609472478272</v>
      </c>
      <c r="L37" s="28">
        <f t="shared" si="3"/>
        <v>1.3844602752058974</v>
      </c>
      <c r="M37" s="28">
        <f t="shared" si="3"/>
        <v>2.1831996446513524</v>
      </c>
      <c r="N37" s="28">
        <f t="shared" si="3"/>
        <v>134.99267264065358</v>
      </c>
      <c r="O37" s="28">
        <f t="shared" si="3"/>
        <v>0.38438733484391208</v>
      </c>
      <c r="P37" s="28">
        <f t="shared" si="3"/>
        <v>0.19609225867698993</v>
      </c>
      <c r="Q37" s="28">
        <f t="shared" si="3"/>
        <v>0.14413095394140005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180</v>
      </c>
      <c r="B9" s="53">
        <v>10.77</v>
      </c>
      <c r="C9" s="53">
        <v>12.19</v>
      </c>
      <c r="D9" s="53">
        <v>14.9</v>
      </c>
      <c r="E9" s="53">
        <v>4.74</v>
      </c>
      <c r="F9" s="53">
        <v>3.6</v>
      </c>
      <c r="G9" s="53">
        <v>25.45</v>
      </c>
      <c r="H9" s="53">
        <v>4.07</v>
      </c>
      <c r="I9" s="53">
        <v>2.0099999999999998</v>
      </c>
      <c r="J9" s="53">
        <v>0.19</v>
      </c>
      <c r="K9" s="53">
        <v>324.27999999999997</v>
      </c>
      <c r="L9" s="53">
        <v>23.43</v>
      </c>
      <c r="M9" s="53">
        <v>98.16</v>
      </c>
      <c r="N9" s="53">
        <v>101.7</v>
      </c>
      <c r="O9" s="53">
        <v>0</v>
      </c>
      <c r="P9" s="53">
        <v>0.44</v>
      </c>
      <c r="Q9" s="53">
        <v>9.2200000000000006</v>
      </c>
      <c r="R9" s="43"/>
      <c r="S9" s="43"/>
      <c r="T9" s="43"/>
      <c r="U9" s="43"/>
    </row>
    <row r="10" spans="1:21" s="11" customFormat="1" x14ac:dyDescent="0.25">
      <c r="A10" s="52" t="s">
        <v>181</v>
      </c>
      <c r="B10" s="53">
        <v>7.33</v>
      </c>
      <c r="C10" s="53">
        <v>13.57</v>
      </c>
      <c r="D10" s="53">
        <v>12.13</v>
      </c>
      <c r="E10" s="53">
        <v>4.54</v>
      </c>
      <c r="F10" s="53">
        <v>4.1399999999999997</v>
      </c>
      <c r="G10" s="53">
        <v>17.53</v>
      </c>
      <c r="H10" s="53">
        <v>12.28</v>
      </c>
      <c r="I10" s="53">
        <v>1.64</v>
      </c>
      <c r="J10" s="53">
        <v>0.54</v>
      </c>
      <c r="K10" s="53">
        <v>305.08999999999997</v>
      </c>
      <c r="L10" s="53">
        <v>23.59</v>
      </c>
      <c r="M10" s="53">
        <v>98.21</v>
      </c>
      <c r="N10" s="53">
        <v>102.4</v>
      </c>
      <c r="O10" s="53">
        <v>0</v>
      </c>
      <c r="P10" s="53">
        <v>0.4</v>
      </c>
      <c r="Q10" s="53">
        <v>9.1</v>
      </c>
      <c r="R10" s="43"/>
      <c r="S10" s="43"/>
      <c r="T10" s="43"/>
      <c r="U10" s="43"/>
    </row>
    <row r="11" spans="1:21" s="11" customFormat="1" x14ac:dyDescent="0.25">
      <c r="A11" s="52" t="s">
        <v>182</v>
      </c>
      <c r="B11" s="53">
        <v>4.49</v>
      </c>
      <c r="C11" s="53">
        <v>18.37</v>
      </c>
      <c r="D11" s="53">
        <v>13.1</v>
      </c>
      <c r="E11" s="53">
        <v>4.38</v>
      </c>
      <c r="F11" s="53">
        <v>4.3499999999999996</v>
      </c>
      <c r="G11" s="53">
        <v>13.84</v>
      </c>
      <c r="H11" s="53">
        <v>12.28</v>
      </c>
      <c r="I11" s="53">
        <v>3.28</v>
      </c>
      <c r="J11" s="53">
        <v>0.48</v>
      </c>
      <c r="K11" s="53">
        <v>301.54000000000002</v>
      </c>
      <c r="L11" s="53">
        <v>23.19</v>
      </c>
      <c r="M11" s="53">
        <v>98.23</v>
      </c>
      <c r="N11" s="53">
        <v>106.2</v>
      </c>
      <c r="O11" s="53">
        <v>0</v>
      </c>
      <c r="P11" s="53">
        <v>0.8</v>
      </c>
      <c r="Q11" s="53">
        <v>9.06</v>
      </c>
      <c r="R11" s="43"/>
      <c r="S11" s="43"/>
      <c r="T11" s="43"/>
      <c r="U11" s="43"/>
    </row>
    <row r="12" spans="1:21" s="11" customFormat="1" x14ac:dyDescent="0.25">
      <c r="A12" s="52" t="s">
        <v>183</v>
      </c>
      <c r="B12" s="53">
        <v>4.41</v>
      </c>
      <c r="C12" s="53">
        <v>15.75</v>
      </c>
      <c r="D12" s="53">
        <v>11.77</v>
      </c>
      <c r="E12" s="53">
        <v>4.46</v>
      </c>
      <c r="F12" s="53">
        <v>4.0199999999999996</v>
      </c>
      <c r="G12" s="53">
        <v>15.91</v>
      </c>
      <c r="H12" s="53">
        <v>8.73</v>
      </c>
      <c r="I12" s="53">
        <v>3.46</v>
      </c>
      <c r="J12" s="53">
        <v>0.2</v>
      </c>
      <c r="K12" s="53">
        <v>304.33999999999997</v>
      </c>
      <c r="L12" s="53">
        <v>22.67</v>
      </c>
      <c r="M12" s="53">
        <v>98.23</v>
      </c>
      <c r="N12" s="53">
        <v>106.8</v>
      </c>
      <c r="O12" s="53">
        <v>0</v>
      </c>
      <c r="P12" s="53">
        <v>0.67</v>
      </c>
      <c r="Q12" s="53">
        <v>9.0500000000000007</v>
      </c>
      <c r="R12" s="43"/>
      <c r="S12" s="43"/>
      <c r="T12" s="43"/>
      <c r="U12" s="43"/>
    </row>
    <row r="13" spans="1:21" s="11" customFormat="1" x14ac:dyDescent="0.25">
      <c r="A13" s="52" t="s">
        <v>184</v>
      </c>
      <c r="B13" s="53">
        <v>4.33</v>
      </c>
      <c r="C13" s="53">
        <v>11.83</v>
      </c>
      <c r="D13" s="53">
        <v>9.61</v>
      </c>
      <c r="E13" s="53">
        <v>4.34</v>
      </c>
      <c r="F13" s="53">
        <v>4.28</v>
      </c>
      <c r="G13" s="53">
        <v>15.91</v>
      </c>
      <c r="H13" s="53">
        <v>8.73</v>
      </c>
      <c r="I13" s="53">
        <v>2.3199999999999998</v>
      </c>
      <c r="J13" s="53">
        <v>0.32</v>
      </c>
      <c r="K13" s="53">
        <v>301.43</v>
      </c>
      <c r="L13" s="53">
        <v>22.83</v>
      </c>
      <c r="M13" s="53">
        <v>98.22</v>
      </c>
      <c r="N13" s="53">
        <v>75.2</v>
      </c>
      <c r="O13" s="53">
        <v>0</v>
      </c>
      <c r="P13" s="53">
        <v>0.45</v>
      </c>
      <c r="Q13" s="53">
        <v>8.9700000000000006</v>
      </c>
      <c r="R13" s="43"/>
      <c r="S13" s="43"/>
      <c r="T13" s="43"/>
      <c r="U13" s="43"/>
    </row>
    <row r="14" spans="1:21" s="11" customFormat="1" x14ac:dyDescent="0.25">
      <c r="A14" s="52" t="s">
        <v>185</v>
      </c>
      <c r="B14" s="53">
        <v>4.93</v>
      </c>
      <c r="C14" s="53">
        <v>13.11</v>
      </c>
      <c r="D14" s="53">
        <v>10.8</v>
      </c>
      <c r="E14" s="53">
        <v>4.4800000000000004</v>
      </c>
      <c r="F14" s="53">
        <v>3.73</v>
      </c>
      <c r="G14" s="53">
        <v>11.45</v>
      </c>
      <c r="H14" s="53">
        <v>8.73</v>
      </c>
      <c r="I14" s="53">
        <v>1.54</v>
      </c>
      <c r="J14" s="53">
        <v>0.28000000000000003</v>
      </c>
      <c r="K14" s="53">
        <v>291.19</v>
      </c>
      <c r="L14" s="53">
        <v>22.63</v>
      </c>
      <c r="M14" s="53">
        <v>98.21</v>
      </c>
      <c r="N14" s="53">
        <v>78.400000000000006</v>
      </c>
      <c r="O14" s="53">
        <v>0.4</v>
      </c>
      <c r="P14" s="53">
        <v>0.28000000000000003</v>
      </c>
      <c r="Q14" s="53">
        <v>9.01</v>
      </c>
      <c r="R14" s="43"/>
      <c r="S14" s="43"/>
      <c r="T14" s="43"/>
      <c r="U14" s="43"/>
    </row>
    <row r="15" spans="1:21" s="11" customFormat="1" x14ac:dyDescent="0.25">
      <c r="A15" s="52" t="s">
        <v>186</v>
      </c>
      <c r="B15" s="53">
        <v>5.83</v>
      </c>
      <c r="C15" s="53">
        <v>12.78</v>
      </c>
      <c r="D15" s="53">
        <v>11.35</v>
      </c>
      <c r="E15" s="53">
        <v>4.3099999999999996</v>
      </c>
      <c r="F15" s="53">
        <v>3.75</v>
      </c>
      <c r="G15" s="53">
        <v>11.33</v>
      </c>
      <c r="H15" s="53">
        <v>1.62</v>
      </c>
      <c r="I15" s="53">
        <v>1.03</v>
      </c>
      <c r="J15" s="53">
        <v>0.24</v>
      </c>
      <c r="K15" s="53">
        <v>300.60000000000002</v>
      </c>
      <c r="L15" s="53">
        <v>22.19</v>
      </c>
      <c r="M15" s="53">
        <v>98.2</v>
      </c>
      <c r="N15" s="53">
        <v>110.8</v>
      </c>
      <c r="O15" s="53">
        <v>0.2</v>
      </c>
      <c r="P15" s="53">
        <v>0.21</v>
      </c>
      <c r="Q15" s="53">
        <v>9.07</v>
      </c>
      <c r="R15" s="43"/>
      <c r="S15" s="43"/>
      <c r="T15" s="43"/>
      <c r="U15" s="43"/>
    </row>
    <row r="16" spans="1:21" s="11" customFormat="1" x14ac:dyDescent="0.25">
      <c r="A16" s="52" t="s">
        <v>187</v>
      </c>
      <c r="B16" s="53">
        <v>6.2</v>
      </c>
      <c r="C16" s="53">
        <v>12.82</v>
      </c>
      <c r="D16" s="53">
        <v>11.49</v>
      </c>
      <c r="E16" s="53">
        <v>4.55</v>
      </c>
      <c r="F16" s="53">
        <v>4.18</v>
      </c>
      <c r="G16" s="53">
        <v>9.42</v>
      </c>
      <c r="H16" s="53">
        <v>1.87</v>
      </c>
      <c r="I16" s="53">
        <v>0.85</v>
      </c>
      <c r="J16" s="53">
        <v>0.24</v>
      </c>
      <c r="K16" s="53">
        <v>300.01</v>
      </c>
      <c r="L16" s="53">
        <v>22.36</v>
      </c>
      <c r="M16" s="53">
        <v>98.22</v>
      </c>
      <c r="N16" s="53">
        <v>156.6</v>
      </c>
      <c r="O16" s="53">
        <v>2</v>
      </c>
      <c r="P16" s="53">
        <v>0.2</v>
      </c>
      <c r="Q16" s="53">
        <v>9.07</v>
      </c>
      <c r="R16" s="43"/>
      <c r="S16" s="43"/>
      <c r="T16" s="43"/>
      <c r="U16" s="43"/>
    </row>
    <row r="17" spans="1:21" s="11" customFormat="1" x14ac:dyDescent="0.25">
      <c r="A17" s="52" t="s">
        <v>188</v>
      </c>
      <c r="B17" s="53">
        <v>7.21</v>
      </c>
      <c r="C17" s="53">
        <v>12.74</v>
      </c>
      <c r="D17" s="53">
        <v>12.44</v>
      </c>
      <c r="E17" s="53">
        <v>4.41</v>
      </c>
      <c r="F17" s="53">
        <v>4.1500000000000004</v>
      </c>
      <c r="G17" s="53">
        <v>9.42</v>
      </c>
      <c r="H17" s="53">
        <v>3.72</v>
      </c>
      <c r="I17" s="53">
        <v>0.78</v>
      </c>
      <c r="J17" s="53">
        <v>0.23</v>
      </c>
      <c r="K17" s="53">
        <v>311.88</v>
      </c>
      <c r="L17" s="53">
        <v>22.19</v>
      </c>
      <c r="M17" s="53">
        <v>98.23</v>
      </c>
      <c r="N17" s="53">
        <v>149.19999999999999</v>
      </c>
      <c r="O17" s="53">
        <v>0.8</v>
      </c>
      <c r="P17" s="53">
        <v>0.18</v>
      </c>
      <c r="Q17" s="53">
        <v>9.06</v>
      </c>
      <c r="R17" s="43"/>
      <c r="S17" s="43"/>
      <c r="T17" s="43"/>
      <c r="U17" s="43"/>
    </row>
    <row r="18" spans="1:21" s="11" customFormat="1" x14ac:dyDescent="0.25">
      <c r="A18" s="52" t="s">
        <v>189</v>
      </c>
      <c r="B18" s="53">
        <v>7.86</v>
      </c>
      <c r="C18" s="53">
        <v>12.84</v>
      </c>
      <c r="D18" s="53">
        <v>12.83</v>
      </c>
      <c r="E18" s="53">
        <v>4.3499999999999996</v>
      </c>
      <c r="F18" s="53">
        <v>3.52</v>
      </c>
      <c r="G18" s="53">
        <v>8.84</v>
      </c>
      <c r="H18" s="53">
        <v>3.72</v>
      </c>
      <c r="I18" s="53">
        <v>0.79</v>
      </c>
      <c r="J18" s="53">
        <v>0.24</v>
      </c>
      <c r="K18" s="53">
        <v>310.58</v>
      </c>
      <c r="L18" s="53">
        <v>22.25</v>
      </c>
      <c r="M18" s="53">
        <v>98.18</v>
      </c>
      <c r="N18" s="53">
        <v>114.2</v>
      </c>
      <c r="O18" s="53">
        <v>1.6</v>
      </c>
      <c r="P18" s="53">
        <v>0.2</v>
      </c>
      <c r="Q18" s="53">
        <v>9.1</v>
      </c>
      <c r="R18" s="43"/>
      <c r="S18" s="43"/>
      <c r="T18" s="43"/>
      <c r="U18" s="43"/>
    </row>
    <row r="19" spans="1:21" s="11" customFormat="1" x14ac:dyDescent="0.25">
      <c r="A19" s="52" t="s">
        <v>190</v>
      </c>
      <c r="B19" s="53">
        <v>8.26</v>
      </c>
      <c r="C19" s="53">
        <v>12.75</v>
      </c>
      <c r="D19" s="53">
        <v>13.19</v>
      </c>
      <c r="E19" s="53">
        <v>4.47</v>
      </c>
      <c r="F19" s="53">
        <v>3.29</v>
      </c>
      <c r="G19" s="53">
        <v>8.84</v>
      </c>
      <c r="H19" s="53">
        <v>3.72</v>
      </c>
      <c r="I19" s="53">
        <v>0.78</v>
      </c>
      <c r="J19" s="53">
        <v>0.27</v>
      </c>
      <c r="K19" s="53">
        <v>299.04000000000002</v>
      </c>
      <c r="L19" s="53">
        <v>22.33</v>
      </c>
      <c r="M19" s="53">
        <v>98.18</v>
      </c>
      <c r="N19" s="53">
        <v>120.6</v>
      </c>
      <c r="O19" s="53">
        <v>2.4</v>
      </c>
      <c r="P19" s="53">
        <v>0.21</v>
      </c>
      <c r="Q19" s="53">
        <v>9.14</v>
      </c>
      <c r="R19" s="43"/>
      <c r="S19" s="43"/>
      <c r="T19" s="43"/>
      <c r="U19" s="43"/>
    </row>
    <row r="20" spans="1:21" s="11" customFormat="1" x14ac:dyDescent="0.25">
      <c r="A20" s="52" t="s">
        <v>191</v>
      </c>
      <c r="B20" s="53">
        <v>9.2100000000000009</v>
      </c>
      <c r="C20" s="53">
        <v>13.56</v>
      </c>
      <c r="D20" s="53">
        <v>14.47</v>
      </c>
      <c r="E20" s="53">
        <v>4.72</v>
      </c>
      <c r="F20" s="53">
        <v>4.0999999999999996</v>
      </c>
      <c r="G20" s="53">
        <v>10.76</v>
      </c>
      <c r="H20" s="53">
        <v>3.72</v>
      </c>
      <c r="I20" s="53">
        <v>0.95</v>
      </c>
      <c r="J20" s="53">
        <v>0.34</v>
      </c>
      <c r="K20" s="53">
        <v>307.64999999999998</v>
      </c>
      <c r="L20" s="53">
        <v>22.67</v>
      </c>
      <c r="M20" s="53">
        <v>98.23</v>
      </c>
      <c r="N20" s="53">
        <v>212.7</v>
      </c>
      <c r="O20" s="53">
        <v>0.8</v>
      </c>
      <c r="P20" s="53">
        <v>0.26</v>
      </c>
      <c r="Q20" s="53">
        <v>9.18</v>
      </c>
      <c r="R20" s="43"/>
      <c r="S20" s="43"/>
      <c r="T20" s="43"/>
      <c r="U20" s="43"/>
    </row>
    <row r="21" spans="1:21" s="11" customFormat="1" x14ac:dyDescent="0.25">
      <c r="A21" s="52" t="s">
        <v>192</v>
      </c>
      <c r="B21" s="53">
        <v>8.7899999999999991</v>
      </c>
      <c r="C21" s="53">
        <v>13.59</v>
      </c>
      <c r="D21" s="53">
        <v>14.13</v>
      </c>
      <c r="E21" s="53">
        <v>4.4400000000000004</v>
      </c>
      <c r="F21" s="53">
        <v>3.64</v>
      </c>
      <c r="G21" s="53">
        <v>10.76</v>
      </c>
      <c r="H21" s="53">
        <v>3.26</v>
      </c>
      <c r="I21" s="53">
        <v>0.92</v>
      </c>
      <c r="J21" s="53">
        <v>0.36</v>
      </c>
      <c r="K21" s="53">
        <v>300</v>
      </c>
      <c r="L21" s="53">
        <v>23.47</v>
      </c>
      <c r="M21" s="53">
        <v>98.28</v>
      </c>
      <c r="N21" s="53">
        <v>223.7</v>
      </c>
      <c r="O21" s="53">
        <v>0</v>
      </c>
      <c r="P21" s="53">
        <v>0.28999999999999998</v>
      </c>
      <c r="Q21" s="53">
        <v>9.15</v>
      </c>
      <c r="R21" s="43"/>
      <c r="S21" s="43"/>
      <c r="T21" s="43"/>
      <c r="U21" s="43"/>
    </row>
    <row r="22" spans="1:21" s="11" customFormat="1" x14ac:dyDescent="0.25">
      <c r="A22" s="52" t="s">
        <v>193</v>
      </c>
      <c r="B22" s="53">
        <v>9.36</v>
      </c>
      <c r="C22" s="53">
        <v>15.25</v>
      </c>
      <c r="D22" s="53">
        <v>15.47</v>
      </c>
      <c r="E22" s="53">
        <v>4.7300000000000004</v>
      </c>
      <c r="F22" s="53">
        <v>4.22</v>
      </c>
      <c r="G22" s="53">
        <v>8.7200000000000006</v>
      </c>
      <c r="H22" s="53">
        <v>0.61</v>
      </c>
      <c r="I22" s="53">
        <v>1</v>
      </c>
      <c r="J22" s="53">
        <v>0.36</v>
      </c>
      <c r="K22" s="53">
        <v>293.36</v>
      </c>
      <c r="L22" s="53">
        <v>24.22</v>
      </c>
      <c r="M22" s="53">
        <v>98.25</v>
      </c>
      <c r="N22" s="53">
        <v>205.8</v>
      </c>
      <c r="O22" s="53">
        <v>0</v>
      </c>
      <c r="P22" s="53">
        <v>0.39</v>
      </c>
      <c r="Q22" s="53">
        <v>9.14</v>
      </c>
      <c r="R22" s="43"/>
      <c r="S22" s="43"/>
      <c r="T22" s="43"/>
      <c r="U22" s="43"/>
    </row>
    <row r="23" spans="1:21" s="11" customFormat="1" x14ac:dyDescent="0.25">
      <c r="A23" s="52" t="s">
        <v>194</v>
      </c>
      <c r="B23" s="53">
        <v>11.66</v>
      </c>
      <c r="C23" s="53">
        <v>17.809999999999999</v>
      </c>
      <c r="D23" s="53">
        <v>18.649999999999999</v>
      </c>
      <c r="E23" s="53">
        <v>4.55</v>
      </c>
      <c r="F23" s="53">
        <v>4.91</v>
      </c>
      <c r="G23" s="53">
        <v>15.82</v>
      </c>
      <c r="H23" s="53">
        <v>5.91</v>
      </c>
      <c r="I23" s="53">
        <v>1.77</v>
      </c>
      <c r="J23" s="53">
        <v>0.33</v>
      </c>
      <c r="K23" s="53">
        <v>288.99</v>
      </c>
      <c r="L23" s="53">
        <v>24.73</v>
      </c>
      <c r="M23" s="53">
        <v>98.23</v>
      </c>
      <c r="N23" s="53">
        <v>219.2</v>
      </c>
      <c r="O23" s="53">
        <v>0</v>
      </c>
      <c r="P23" s="53">
        <v>0.71</v>
      </c>
      <c r="Q23" s="53">
        <v>9.2200000000000006</v>
      </c>
      <c r="R23" s="43"/>
      <c r="S23" s="43"/>
      <c r="T23" s="43"/>
      <c r="U23" s="43"/>
    </row>
    <row r="24" spans="1:21" s="11" customFormat="1" x14ac:dyDescent="0.25">
      <c r="A24" s="52" t="s">
        <v>195</v>
      </c>
      <c r="B24" s="53">
        <v>11.79</v>
      </c>
      <c r="C24" s="53">
        <v>16.350000000000001</v>
      </c>
      <c r="D24" s="53">
        <v>18</v>
      </c>
      <c r="E24" s="53">
        <v>4.3600000000000003</v>
      </c>
      <c r="F24" s="53">
        <v>4.1900000000000004</v>
      </c>
      <c r="G24" s="53">
        <v>18.899999999999999</v>
      </c>
      <c r="H24" s="53">
        <v>17.75</v>
      </c>
      <c r="I24" s="53">
        <v>2.34</v>
      </c>
      <c r="J24" s="53">
        <v>0.33</v>
      </c>
      <c r="K24" s="53">
        <v>285.86</v>
      </c>
      <c r="L24" s="53">
        <v>24.57</v>
      </c>
      <c r="M24" s="53">
        <v>98.21</v>
      </c>
      <c r="N24" s="53">
        <v>134.5</v>
      </c>
      <c r="O24" s="53">
        <v>0</v>
      </c>
      <c r="P24" s="53">
        <v>0.64</v>
      </c>
      <c r="Q24" s="53">
        <v>9.25</v>
      </c>
      <c r="R24" s="43"/>
      <c r="S24" s="43"/>
      <c r="T24" s="43"/>
      <c r="U24" s="43"/>
    </row>
    <row r="25" spans="1:21" s="11" customFormat="1" x14ac:dyDescent="0.25">
      <c r="A25" s="52" t="s">
        <v>196</v>
      </c>
      <c r="B25" s="53">
        <v>11.71</v>
      </c>
      <c r="C25" s="53">
        <v>16.37</v>
      </c>
      <c r="D25" s="53">
        <v>17.37</v>
      </c>
      <c r="E25" s="53">
        <v>4.66</v>
      </c>
      <c r="F25" s="53">
        <v>3.74</v>
      </c>
      <c r="G25" s="53">
        <v>18.899999999999999</v>
      </c>
      <c r="H25" s="53">
        <v>17.75</v>
      </c>
      <c r="I25" s="53">
        <v>2.2999999999999998</v>
      </c>
      <c r="J25" s="53">
        <v>0.28000000000000003</v>
      </c>
      <c r="K25" s="53">
        <v>300.31</v>
      </c>
      <c r="L25" s="53">
        <v>24.34</v>
      </c>
      <c r="M25" s="53">
        <v>97.83</v>
      </c>
      <c r="N25" s="53">
        <v>137.1</v>
      </c>
      <c r="O25" s="53">
        <v>0.4</v>
      </c>
      <c r="P25" s="53">
        <v>0.83</v>
      </c>
      <c r="Q25" s="53">
        <v>9.24</v>
      </c>
      <c r="R25" s="43"/>
      <c r="S25" s="43"/>
      <c r="T25" s="43"/>
      <c r="U25" s="43"/>
    </row>
    <row r="26" spans="1:21" s="11" customFormat="1" x14ac:dyDescent="0.25">
      <c r="A26" s="52" t="s">
        <v>197</v>
      </c>
      <c r="B26" s="53">
        <v>13.53</v>
      </c>
      <c r="C26" s="53">
        <v>14.74</v>
      </c>
      <c r="D26" s="53">
        <v>18.22</v>
      </c>
      <c r="E26" s="53">
        <v>4.55</v>
      </c>
      <c r="F26" s="53">
        <v>3.78</v>
      </c>
      <c r="G26" s="53">
        <v>23.25</v>
      </c>
      <c r="H26" s="53">
        <v>4.55</v>
      </c>
      <c r="I26" s="53">
        <v>3.42</v>
      </c>
      <c r="J26" s="53">
        <v>0.26</v>
      </c>
      <c r="K26" s="53">
        <v>295.57</v>
      </c>
      <c r="L26" s="53">
        <v>24.22</v>
      </c>
      <c r="M26" s="53">
        <v>97.92</v>
      </c>
      <c r="N26" s="53">
        <v>112.5</v>
      </c>
      <c r="O26" s="53">
        <v>0</v>
      </c>
      <c r="P26" s="53">
        <v>1.04</v>
      </c>
      <c r="Q26" s="53">
        <v>9.3000000000000007</v>
      </c>
      <c r="R26" s="43"/>
      <c r="S26" s="43"/>
      <c r="T26" s="43"/>
      <c r="U26" s="43"/>
    </row>
    <row r="27" spans="1:21" s="11" customFormat="1" x14ac:dyDescent="0.25">
      <c r="A27" s="52" t="s">
        <v>198</v>
      </c>
      <c r="B27" s="53">
        <v>14.7</v>
      </c>
      <c r="C27" s="53">
        <v>14.77</v>
      </c>
      <c r="D27" s="53">
        <v>19.5</v>
      </c>
      <c r="E27" s="53">
        <v>4.5199999999999996</v>
      </c>
      <c r="F27" s="53">
        <v>4.8</v>
      </c>
      <c r="G27" s="53">
        <v>25.12</v>
      </c>
      <c r="H27" s="53">
        <v>2.1800000000000002</v>
      </c>
      <c r="I27" s="53">
        <v>3.55</v>
      </c>
      <c r="J27" s="53">
        <v>0.33</v>
      </c>
      <c r="K27" s="53">
        <v>301.67</v>
      </c>
      <c r="L27" s="53">
        <v>24.09</v>
      </c>
      <c r="M27" s="53">
        <v>97.91</v>
      </c>
      <c r="N27" s="53">
        <v>84</v>
      </c>
      <c r="O27" s="53">
        <v>0.6</v>
      </c>
      <c r="P27" s="53">
        <v>1.05</v>
      </c>
      <c r="Q27" s="53">
        <v>9.32</v>
      </c>
      <c r="R27" s="43"/>
      <c r="S27" s="43"/>
      <c r="T27" s="43"/>
      <c r="U27" s="43"/>
    </row>
    <row r="28" spans="1:21" s="11" customFormat="1" x14ac:dyDescent="0.25">
      <c r="A28" s="52" t="s">
        <v>199</v>
      </c>
      <c r="B28" s="53">
        <v>13.08</v>
      </c>
      <c r="C28" s="53">
        <v>17</v>
      </c>
      <c r="D28" s="53">
        <v>18.39</v>
      </c>
      <c r="E28" s="53">
        <v>4.3899999999999997</v>
      </c>
      <c r="F28" s="53">
        <v>4.49</v>
      </c>
      <c r="G28" s="53">
        <v>26.09</v>
      </c>
      <c r="H28" s="53">
        <v>2.1800000000000002</v>
      </c>
      <c r="I28" s="53">
        <v>3.42</v>
      </c>
      <c r="J28" s="53">
        <v>0.22</v>
      </c>
      <c r="K28" s="53">
        <v>324.72000000000003</v>
      </c>
      <c r="L28" s="53">
        <v>23.25</v>
      </c>
      <c r="M28" s="53">
        <v>97.93</v>
      </c>
      <c r="N28" s="53">
        <v>70.099999999999994</v>
      </c>
      <c r="O28" s="53">
        <v>0.2</v>
      </c>
      <c r="P28" s="53">
        <v>0.84</v>
      </c>
      <c r="Q28" s="53">
        <v>9.31</v>
      </c>
      <c r="R28" s="43"/>
      <c r="S28" s="43"/>
      <c r="T28" s="43"/>
      <c r="U28" s="43"/>
    </row>
    <row r="29" spans="1:21" s="11" customFormat="1" x14ac:dyDescent="0.25">
      <c r="A29" s="52" t="s">
        <v>200</v>
      </c>
      <c r="B29" s="53">
        <v>10.8</v>
      </c>
      <c r="C29" s="53">
        <v>14.24</v>
      </c>
      <c r="D29" s="53">
        <v>16.11</v>
      </c>
      <c r="E29" s="53">
        <v>4.8099999999999996</v>
      </c>
      <c r="F29" s="53">
        <v>3.75</v>
      </c>
      <c r="G29" s="53">
        <v>26.09</v>
      </c>
      <c r="H29" s="53">
        <v>2.1800000000000002</v>
      </c>
      <c r="I29" s="53">
        <v>3.2</v>
      </c>
      <c r="J29" s="53">
        <v>0.12</v>
      </c>
      <c r="K29" s="53">
        <v>332.82</v>
      </c>
      <c r="L29" s="53">
        <v>23.1</v>
      </c>
      <c r="M29" s="53">
        <v>98.21</v>
      </c>
      <c r="N29" s="53">
        <v>70.099999999999994</v>
      </c>
      <c r="O29" s="53">
        <v>1.2</v>
      </c>
      <c r="P29" s="53">
        <v>0.68</v>
      </c>
      <c r="Q29" s="53">
        <v>9.27</v>
      </c>
      <c r="R29" s="43"/>
      <c r="S29" s="43"/>
      <c r="T29" s="43"/>
      <c r="U29" s="43"/>
    </row>
    <row r="30" spans="1:21" s="11" customFormat="1" x14ac:dyDescent="0.25">
      <c r="A30" s="52" t="s">
        <v>201</v>
      </c>
      <c r="B30" s="53">
        <v>10.08</v>
      </c>
      <c r="C30" s="53">
        <v>13.51</v>
      </c>
      <c r="D30" s="53">
        <v>14.83</v>
      </c>
      <c r="E30" s="53">
        <v>4.6399999999999997</v>
      </c>
      <c r="F30" s="53">
        <v>3.87</v>
      </c>
      <c r="G30" s="53">
        <v>18.48</v>
      </c>
      <c r="H30" s="53">
        <v>2.1800000000000002</v>
      </c>
      <c r="I30" s="53">
        <v>2.82</v>
      </c>
      <c r="J30" s="53">
        <v>0.13</v>
      </c>
      <c r="K30" s="53">
        <v>331.69</v>
      </c>
      <c r="L30" s="53">
        <v>22.77</v>
      </c>
      <c r="M30" s="53">
        <v>98.24</v>
      </c>
      <c r="N30" s="53">
        <v>70</v>
      </c>
      <c r="O30" s="53">
        <v>0.4</v>
      </c>
      <c r="P30" s="53">
        <v>0.59</v>
      </c>
      <c r="Q30" s="53">
        <v>9.18</v>
      </c>
      <c r="R30" s="43"/>
      <c r="S30" s="43"/>
      <c r="T30" s="43"/>
      <c r="U30" s="43"/>
    </row>
    <row r="31" spans="1:21" s="11" customFormat="1" x14ac:dyDescent="0.25">
      <c r="A31" s="52" t="s">
        <v>202</v>
      </c>
      <c r="B31" s="53">
        <v>8.9600000000000009</v>
      </c>
      <c r="C31" s="53">
        <v>12.67</v>
      </c>
      <c r="D31" s="53">
        <v>13.81</v>
      </c>
      <c r="E31" s="53">
        <v>4.55</v>
      </c>
      <c r="F31" s="53">
        <v>4</v>
      </c>
      <c r="G31" s="53">
        <v>15.12</v>
      </c>
      <c r="H31" s="53">
        <v>9.3000000000000007</v>
      </c>
      <c r="I31" s="53">
        <v>2.31</v>
      </c>
      <c r="J31" s="53">
        <v>0.14000000000000001</v>
      </c>
      <c r="K31" s="53">
        <v>320.05</v>
      </c>
      <c r="L31" s="53">
        <v>22.95</v>
      </c>
      <c r="M31" s="53">
        <v>98.24</v>
      </c>
      <c r="N31" s="53">
        <v>69.7</v>
      </c>
      <c r="O31" s="53">
        <v>0</v>
      </c>
      <c r="P31" s="53">
        <v>0.45</v>
      </c>
      <c r="Q31" s="53">
        <v>9.1300000000000008</v>
      </c>
      <c r="R31" s="43"/>
      <c r="S31" s="43"/>
      <c r="T31" s="43"/>
      <c r="U31" s="43"/>
    </row>
    <row r="32" spans="1:21" s="11" customFormat="1" x14ac:dyDescent="0.25">
      <c r="A32" s="52" t="s">
        <v>203</v>
      </c>
      <c r="B32" s="53">
        <v>7.84</v>
      </c>
      <c r="C32" s="53">
        <v>12.14</v>
      </c>
      <c r="D32" s="53">
        <v>12.63</v>
      </c>
      <c r="E32" s="53">
        <v>4.62</v>
      </c>
      <c r="F32" s="53">
        <v>4.1500000000000004</v>
      </c>
      <c r="G32" s="53">
        <v>15.12</v>
      </c>
      <c r="H32" s="53">
        <v>7.96</v>
      </c>
      <c r="I32" s="53">
        <v>1.92</v>
      </c>
      <c r="J32" s="53">
        <v>0.12</v>
      </c>
      <c r="K32" s="53">
        <v>311.13</v>
      </c>
      <c r="L32" s="53">
        <v>23.01</v>
      </c>
      <c r="M32" s="53">
        <v>98.25</v>
      </c>
      <c r="N32" s="53">
        <v>69.3</v>
      </c>
      <c r="O32" s="53">
        <v>0</v>
      </c>
      <c r="P32" s="53">
        <v>0.31</v>
      </c>
      <c r="Q32" s="53">
        <v>9.1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4.33</v>
      </c>
      <c r="C34" s="28">
        <f t="shared" si="0"/>
        <v>11.83</v>
      </c>
      <c r="D34" s="28">
        <f t="shared" si="0"/>
        <v>9.61</v>
      </c>
      <c r="E34" s="28">
        <f t="shared" si="0"/>
        <v>4.3099999999999996</v>
      </c>
      <c r="F34" s="28">
        <f t="shared" si="0"/>
        <v>3.29</v>
      </c>
      <c r="G34" s="28">
        <f t="shared" si="0"/>
        <v>8.7200000000000006</v>
      </c>
      <c r="H34" s="28">
        <f t="shared" si="0"/>
        <v>0.61</v>
      </c>
      <c r="I34" s="28">
        <f t="shared" si="0"/>
        <v>0.78</v>
      </c>
      <c r="J34" s="28">
        <f t="shared" si="0"/>
        <v>0.12</v>
      </c>
      <c r="K34" s="28">
        <f t="shared" si="0"/>
        <v>285.86</v>
      </c>
      <c r="L34" s="28">
        <f t="shared" si="0"/>
        <v>22.19</v>
      </c>
      <c r="M34" s="28">
        <f t="shared" si="0"/>
        <v>97.83</v>
      </c>
      <c r="N34" s="28">
        <f t="shared" si="0"/>
        <v>69.3</v>
      </c>
      <c r="O34" s="28">
        <f t="shared" si="0"/>
        <v>0</v>
      </c>
      <c r="P34" s="28">
        <f t="shared" si="0"/>
        <v>0.18</v>
      </c>
      <c r="Q34" s="28">
        <f t="shared" si="0"/>
        <v>8.9700000000000006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14.7</v>
      </c>
      <c r="C35" s="29">
        <f t="shared" si="1"/>
        <v>18.37</v>
      </c>
      <c r="D35" s="29">
        <f t="shared" si="1"/>
        <v>19.5</v>
      </c>
      <c r="E35" s="29">
        <f t="shared" si="1"/>
        <v>4.8099999999999996</v>
      </c>
      <c r="F35" s="29">
        <f t="shared" si="1"/>
        <v>4.91</v>
      </c>
      <c r="G35" s="29">
        <f t="shared" si="1"/>
        <v>26.09</v>
      </c>
      <c r="H35" s="29">
        <f t="shared" si="1"/>
        <v>17.75</v>
      </c>
      <c r="I35" s="29">
        <f t="shared" si="1"/>
        <v>3.55</v>
      </c>
      <c r="J35" s="29">
        <f t="shared" si="1"/>
        <v>0.54</v>
      </c>
      <c r="K35" s="29">
        <f t="shared" si="1"/>
        <v>332.82</v>
      </c>
      <c r="L35" s="29">
        <f t="shared" si="1"/>
        <v>24.73</v>
      </c>
      <c r="M35" s="29">
        <f t="shared" si="1"/>
        <v>98.28</v>
      </c>
      <c r="N35" s="29">
        <f t="shared" si="1"/>
        <v>223.7</v>
      </c>
      <c r="O35" s="29">
        <f t="shared" si="1"/>
        <v>2.4</v>
      </c>
      <c r="P35" s="29">
        <f t="shared" si="1"/>
        <v>1.05</v>
      </c>
      <c r="Q35" s="29">
        <f t="shared" si="1"/>
        <v>9.32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8.8804166666666688</v>
      </c>
      <c r="C36" s="28">
        <f t="shared" si="2"/>
        <v>14.197916666666664</v>
      </c>
      <c r="D36" s="28">
        <f t="shared" si="2"/>
        <v>14.382916666666665</v>
      </c>
      <c r="E36" s="28">
        <f t="shared" si="2"/>
        <v>4.5237499999999988</v>
      </c>
      <c r="F36" s="28">
        <f t="shared" si="2"/>
        <v>4.0270833333333327</v>
      </c>
      <c r="G36" s="28">
        <f t="shared" si="2"/>
        <v>15.877916666666664</v>
      </c>
      <c r="H36" s="28">
        <f t="shared" si="2"/>
        <v>6.2083333333333348</v>
      </c>
      <c r="I36" s="28">
        <f t="shared" si="2"/>
        <v>2.0166666666666671</v>
      </c>
      <c r="J36" s="28">
        <f t="shared" si="2"/>
        <v>0.27291666666666664</v>
      </c>
      <c r="K36" s="28">
        <f t="shared" si="2"/>
        <v>305.99166666666662</v>
      </c>
      <c r="L36" s="28">
        <f t="shared" si="2"/>
        <v>23.210416666666664</v>
      </c>
      <c r="M36" s="28">
        <f t="shared" si="2"/>
        <v>98.166666666666671</v>
      </c>
      <c r="N36" s="28">
        <f t="shared" si="2"/>
        <v>120.86666666666666</v>
      </c>
      <c r="O36" s="28">
        <f t="shared" si="2"/>
        <v>0.45833333333333331</v>
      </c>
      <c r="P36" s="28">
        <f t="shared" si="2"/>
        <v>0.505</v>
      </c>
      <c r="Q36" s="28">
        <f t="shared" si="2"/>
        <v>9.1516666666666691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2.9937129471852986</v>
      </c>
      <c r="C37" s="28">
        <f t="shared" ref="C37:Q37" si="3">STDEV(C9:C32)</f>
        <v>1.8743601323644343</v>
      </c>
      <c r="D37" s="28">
        <f t="shared" si="3"/>
        <v>2.7946120196871265</v>
      </c>
      <c r="E37" s="28">
        <f t="shared" si="3"/>
        <v>0.1411078064583185</v>
      </c>
      <c r="F37" s="28">
        <f t="shared" si="3"/>
        <v>0.38664081935099121</v>
      </c>
      <c r="G37" s="28">
        <f t="shared" si="3"/>
        <v>5.8955443596924599</v>
      </c>
      <c r="H37" s="28">
        <f t="shared" si="3"/>
        <v>4.8849820138217828</v>
      </c>
      <c r="I37" s="28">
        <f t="shared" si="3"/>
        <v>1.0019314680489209</v>
      </c>
      <c r="J37" s="28">
        <f t="shared" si="3"/>
        <v>0.10448545422654563</v>
      </c>
      <c r="K37" s="28">
        <f t="shared" si="3"/>
        <v>12.809122994337196</v>
      </c>
      <c r="L37" s="28">
        <f t="shared" si="3"/>
        <v>0.7909954057287929</v>
      </c>
      <c r="M37" s="28">
        <f t="shared" si="3"/>
        <v>0.12654838107863375</v>
      </c>
      <c r="N37" s="28">
        <f t="shared" si="3"/>
        <v>50.227531569212474</v>
      </c>
      <c r="O37" s="28">
        <f t="shared" si="3"/>
        <v>0.68899212254389108</v>
      </c>
      <c r="P37" s="28">
        <f t="shared" si="3"/>
        <v>0.27255633641825155</v>
      </c>
      <c r="Q37" s="28">
        <f t="shared" si="3"/>
        <v>9.7831561843576956E-2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204</v>
      </c>
      <c r="B9" s="53">
        <v>7.56</v>
      </c>
      <c r="C9" s="53">
        <v>12.85</v>
      </c>
      <c r="D9" s="53">
        <v>12.45</v>
      </c>
      <c r="E9" s="53">
        <v>4.78</v>
      </c>
      <c r="F9" s="53">
        <v>5.45</v>
      </c>
      <c r="G9" s="53">
        <v>13.44</v>
      </c>
      <c r="H9" s="53">
        <v>1.01</v>
      </c>
      <c r="I9" s="53">
        <v>1.63</v>
      </c>
      <c r="J9" s="53">
        <v>0.24</v>
      </c>
      <c r="K9" s="53">
        <v>311.27</v>
      </c>
      <c r="L9" s="53">
        <v>23.02</v>
      </c>
      <c r="M9" s="53">
        <v>98.28</v>
      </c>
      <c r="N9" s="53">
        <v>69.400000000000006</v>
      </c>
      <c r="O9" s="53">
        <v>0.4</v>
      </c>
      <c r="P9" s="53">
        <v>0.27</v>
      </c>
      <c r="Q9" s="53">
        <v>9.09</v>
      </c>
      <c r="R9" s="43"/>
      <c r="S9" s="43"/>
      <c r="T9" s="43"/>
      <c r="U9" s="43"/>
    </row>
    <row r="10" spans="1:21" s="11" customFormat="1" x14ac:dyDescent="0.25">
      <c r="A10" s="52" t="s">
        <v>205</v>
      </c>
      <c r="B10" s="53">
        <v>7.73</v>
      </c>
      <c r="C10" s="53">
        <v>11.98</v>
      </c>
      <c r="D10" s="53">
        <v>12.44</v>
      </c>
      <c r="E10" s="53">
        <v>4.97</v>
      </c>
      <c r="F10" s="53">
        <v>3.66</v>
      </c>
      <c r="G10" s="53">
        <v>9.74</v>
      </c>
      <c r="H10" s="53">
        <v>1.06</v>
      </c>
      <c r="I10" s="53">
        <v>1.79</v>
      </c>
      <c r="J10" s="53">
        <v>0.2</v>
      </c>
      <c r="K10" s="53">
        <v>320.89</v>
      </c>
      <c r="L10" s="53">
        <v>22.92</v>
      </c>
      <c r="M10" s="53">
        <v>98.24</v>
      </c>
      <c r="N10" s="53">
        <v>68</v>
      </c>
      <c r="O10" s="53">
        <v>1.6</v>
      </c>
      <c r="P10" s="53">
        <v>0.45</v>
      </c>
      <c r="Q10" s="53">
        <v>9.06</v>
      </c>
      <c r="R10" s="43"/>
      <c r="S10" s="43"/>
      <c r="T10" s="43"/>
      <c r="U10" s="43"/>
    </row>
    <row r="11" spans="1:21" s="11" customFormat="1" x14ac:dyDescent="0.25">
      <c r="A11" s="52" t="s">
        <v>206</v>
      </c>
      <c r="B11" s="53">
        <v>7.69</v>
      </c>
      <c r="C11" s="53">
        <v>11.95</v>
      </c>
      <c r="D11" s="53">
        <v>12.37</v>
      </c>
      <c r="E11" s="53">
        <v>4.6100000000000003</v>
      </c>
      <c r="F11" s="53">
        <v>3.41</v>
      </c>
      <c r="G11" s="53">
        <v>11.19</v>
      </c>
      <c r="H11" s="53">
        <v>1.06</v>
      </c>
      <c r="I11" s="53">
        <v>1.93</v>
      </c>
      <c r="J11" s="53">
        <v>0.15</v>
      </c>
      <c r="K11" s="53">
        <v>322.55</v>
      </c>
      <c r="L11" s="53">
        <v>22.6</v>
      </c>
      <c r="M11" s="53">
        <v>98.25</v>
      </c>
      <c r="N11" s="53">
        <v>68.5</v>
      </c>
      <c r="O11" s="53">
        <v>0.4</v>
      </c>
      <c r="P11" s="53">
        <v>0.42</v>
      </c>
      <c r="Q11" s="53">
        <v>9.06</v>
      </c>
      <c r="R11" s="43"/>
      <c r="S11" s="43"/>
      <c r="T11" s="43"/>
      <c r="U11" s="43"/>
    </row>
    <row r="12" spans="1:21" s="11" customFormat="1" x14ac:dyDescent="0.25">
      <c r="A12" s="52" t="s">
        <v>207</v>
      </c>
      <c r="B12" s="53">
        <v>7.11</v>
      </c>
      <c r="C12" s="53">
        <v>11.11</v>
      </c>
      <c r="D12" s="53">
        <v>11.51</v>
      </c>
      <c r="E12" s="53">
        <v>4.58</v>
      </c>
      <c r="F12" s="53">
        <v>3.74</v>
      </c>
      <c r="G12" s="53">
        <v>11.19</v>
      </c>
      <c r="H12" s="53">
        <v>0.11</v>
      </c>
      <c r="I12" s="53">
        <v>1.75</v>
      </c>
      <c r="J12" s="53">
        <v>0.15</v>
      </c>
      <c r="K12" s="53">
        <v>314.47000000000003</v>
      </c>
      <c r="L12" s="53">
        <v>22.51</v>
      </c>
      <c r="M12" s="53">
        <v>98.27</v>
      </c>
      <c r="N12" s="53">
        <v>69.099999999999994</v>
      </c>
      <c r="O12" s="53">
        <v>1.2</v>
      </c>
      <c r="P12" s="53">
        <v>0.34</v>
      </c>
      <c r="Q12" s="53">
        <v>9.0500000000000007</v>
      </c>
      <c r="R12" s="43"/>
      <c r="S12" s="43"/>
      <c r="T12" s="43"/>
      <c r="U12" s="43"/>
    </row>
    <row r="13" spans="1:21" s="11" customFormat="1" x14ac:dyDescent="0.25">
      <c r="A13" s="52" t="s">
        <v>208</v>
      </c>
      <c r="B13" s="53">
        <v>6.73</v>
      </c>
      <c r="C13" s="53">
        <v>11.15</v>
      </c>
      <c r="D13" s="53">
        <v>11.16</v>
      </c>
      <c r="E13" s="53">
        <v>4.76</v>
      </c>
      <c r="F13" s="53">
        <v>3.74</v>
      </c>
      <c r="G13" s="53">
        <v>9.85</v>
      </c>
      <c r="H13" s="53">
        <v>1.56</v>
      </c>
      <c r="I13" s="53">
        <v>1.34</v>
      </c>
      <c r="J13" s="53">
        <v>0.16</v>
      </c>
      <c r="K13" s="53">
        <v>305.63</v>
      </c>
      <c r="L13" s="53">
        <v>22.48</v>
      </c>
      <c r="M13" s="53">
        <v>98.23</v>
      </c>
      <c r="N13" s="53">
        <v>69.2</v>
      </c>
      <c r="O13" s="53">
        <v>1.2</v>
      </c>
      <c r="P13" s="53">
        <v>0.25</v>
      </c>
      <c r="Q13" s="53">
        <v>9.0500000000000007</v>
      </c>
      <c r="R13" s="43"/>
      <c r="S13" s="43"/>
      <c r="T13" s="43"/>
      <c r="U13" s="43"/>
    </row>
    <row r="14" spans="1:21" s="11" customFormat="1" x14ac:dyDescent="0.25">
      <c r="A14" s="52" t="s">
        <v>209</v>
      </c>
      <c r="B14" s="53">
        <v>8.0299999999999994</v>
      </c>
      <c r="C14" s="53">
        <v>11.39</v>
      </c>
      <c r="D14" s="53">
        <v>12.39</v>
      </c>
      <c r="E14" s="53">
        <v>4.62</v>
      </c>
      <c r="F14" s="53">
        <v>3.72</v>
      </c>
      <c r="G14" s="53">
        <v>7.29</v>
      </c>
      <c r="H14" s="53">
        <v>1.56</v>
      </c>
      <c r="I14" s="53">
        <v>1.18</v>
      </c>
      <c r="J14" s="53">
        <v>0.16</v>
      </c>
      <c r="K14" s="53">
        <v>302.52</v>
      </c>
      <c r="L14" s="53">
        <v>22.48</v>
      </c>
      <c r="M14" s="53">
        <v>98.23</v>
      </c>
      <c r="N14" s="53">
        <v>63.3</v>
      </c>
      <c r="O14" s="53">
        <v>1.2</v>
      </c>
      <c r="P14" s="53">
        <v>0.26</v>
      </c>
      <c r="Q14" s="53">
        <v>9.06</v>
      </c>
      <c r="R14" s="43"/>
      <c r="S14" s="43"/>
      <c r="T14" s="43"/>
      <c r="U14" s="43"/>
    </row>
    <row r="15" spans="1:21" s="11" customFormat="1" x14ac:dyDescent="0.25">
      <c r="A15" s="52" t="s">
        <v>210</v>
      </c>
      <c r="B15" s="53">
        <v>10.050000000000001</v>
      </c>
      <c r="C15" s="53">
        <v>11.52</v>
      </c>
      <c r="D15" s="53">
        <v>13.77</v>
      </c>
      <c r="E15" s="53">
        <v>5.01</v>
      </c>
      <c r="F15" s="53">
        <v>3.62</v>
      </c>
      <c r="G15" s="53">
        <v>8.0299999999999994</v>
      </c>
      <c r="H15" s="53">
        <v>5.49</v>
      </c>
      <c r="I15" s="53">
        <v>1.39</v>
      </c>
      <c r="J15" s="53">
        <v>0.37</v>
      </c>
      <c r="K15" s="53">
        <v>314.35000000000002</v>
      </c>
      <c r="L15" s="53">
        <v>22.5</v>
      </c>
      <c r="M15" s="53">
        <v>98.23</v>
      </c>
      <c r="N15" s="53">
        <v>70.2</v>
      </c>
      <c r="O15" s="53">
        <v>3.2</v>
      </c>
      <c r="P15" s="53">
        <v>0.3</v>
      </c>
      <c r="Q15" s="53">
        <v>9.11</v>
      </c>
      <c r="R15" s="43"/>
      <c r="S15" s="43"/>
      <c r="T15" s="43"/>
      <c r="U15" s="43"/>
    </row>
    <row r="16" spans="1:21" s="11" customFormat="1" x14ac:dyDescent="0.25">
      <c r="A16" s="52" t="s">
        <v>211</v>
      </c>
      <c r="B16" s="53">
        <v>11.28</v>
      </c>
      <c r="C16" s="53">
        <v>11.6</v>
      </c>
      <c r="D16" s="53">
        <v>15.11</v>
      </c>
      <c r="E16" s="53">
        <v>4.84</v>
      </c>
      <c r="F16" s="53">
        <v>3.51</v>
      </c>
      <c r="G16" s="53">
        <v>8.0299999999999994</v>
      </c>
      <c r="H16" s="53">
        <v>5.49</v>
      </c>
      <c r="I16" s="53">
        <v>1.41</v>
      </c>
      <c r="J16" s="53">
        <v>0.51</v>
      </c>
      <c r="K16" s="53">
        <v>308.87</v>
      </c>
      <c r="L16" s="53">
        <v>22.38</v>
      </c>
      <c r="M16" s="53">
        <v>98.22</v>
      </c>
      <c r="N16" s="53">
        <v>76.8</v>
      </c>
      <c r="O16" s="53">
        <v>1.8</v>
      </c>
      <c r="P16" s="53">
        <v>0.31</v>
      </c>
      <c r="Q16" s="53">
        <v>9.18</v>
      </c>
      <c r="R16" s="43"/>
      <c r="S16" s="43"/>
      <c r="T16" s="43"/>
      <c r="U16" s="43"/>
    </row>
    <row r="17" spans="1:21" s="11" customFormat="1" x14ac:dyDescent="0.25">
      <c r="A17" s="52" t="s">
        <v>212</v>
      </c>
      <c r="B17" s="53">
        <v>12.32</v>
      </c>
      <c r="C17" s="53">
        <v>12.69</v>
      </c>
      <c r="D17" s="53">
        <v>16.52</v>
      </c>
      <c r="E17" s="53">
        <v>4.87</v>
      </c>
      <c r="F17" s="53">
        <v>3.34</v>
      </c>
      <c r="G17" s="53">
        <v>7.44</v>
      </c>
      <c r="H17" s="53">
        <v>1.2</v>
      </c>
      <c r="I17" s="53">
        <v>1.8</v>
      </c>
      <c r="J17" s="53">
        <v>0.43</v>
      </c>
      <c r="K17" s="53">
        <v>307.58</v>
      </c>
      <c r="L17" s="53">
        <v>22.37</v>
      </c>
      <c r="M17" s="53">
        <v>98.19</v>
      </c>
      <c r="N17" s="53">
        <v>108.7</v>
      </c>
      <c r="O17" s="53">
        <v>0.8</v>
      </c>
      <c r="P17" s="53">
        <v>0.36</v>
      </c>
      <c r="Q17" s="53">
        <v>9.24</v>
      </c>
      <c r="R17" s="43"/>
      <c r="S17" s="43"/>
      <c r="T17" s="43"/>
      <c r="U17" s="43"/>
    </row>
    <row r="18" spans="1:21" s="11" customFormat="1" x14ac:dyDescent="0.25">
      <c r="A18" s="52" t="s">
        <v>213</v>
      </c>
      <c r="B18" s="53">
        <v>12.37</v>
      </c>
      <c r="C18" s="53">
        <v>14.15</v>
      </c>
      <c r="D18" s="53">
        <v>17.28</v>
      </c>
      <c r="E18" s="53">
        <v>5.03</v>
      </c>
      <c r="F18" s="53">
        <v>3.53</v>
      </c>
      <c r="G18" s="53">
        <v>5.34</v>
      </c>
      <c r="H18" s="53">
        <v>0.95</v>
      </c>
      <c r="I18" s="53">
        <v>1.82</v>
      </c>
      <c r="J18" s="53">
        <v>0.73</v>
      </c>
      <c r="K18" s="53">
        <v>315.45999999999998</v>
      </c>
      <c r="L18" s="53">
        <v>22.32</v>
      </c>
      <c r="M18" s="53">
        <v>98.23</v>
      </c>
      <c r="N18" s="53">
        <v>134.6</v>
      </c>
      <c r="O18" s="53">
        <v>1.2</v>
      </c>
      <c r="P18" s="53">
        <v>0.43</v>
      </c>
      <c r="Q18" s="53">
        <v>9.27</v>
      </c>
      <c r="R18" s="43"/>
      <c r="S18" s="43"/>
      <c r="T18" s="43"/>
      <c r="U18" s="43"/>
    </row>
    <row r="19" spans="1:21" s="11" customFormat="1" x14ac:dyDescent="0.25">
      <c r="A19" s="52" t="s">
        <v>214</v>
      </c>
      <c r="B19" s="53">
        <v>12.72</v>
      </c>
      <c r="C19" s="53">
        <v>14.14</v>
      </c>
      <c r="D19" s="53">
        <v>17.57</v>
      </c>
      <c r="E19" s="53">
        <v>5.0199999999999996</v>
      </c>
      <c r="F19" s="53">
        <v>3.65</v>
      </c>
      <c r="G19" s="53">
        <v>3.74</v>
      </c>
      <c r="H19" s="53">
        <v>1.82</v>
      </c>
      <c r="I19" s="53">
        <v>2.86</v>
      </c>
      <c r="J19" s="53">
        <v>0.51</v>
      </c>
      <c r="K19" s="53">
        <v>297.57</v>
      </c>
      <c r="L19" s="53">
        <v>22.7</v>
      </c>
      <c r="M19" s="53">
        <v>98.26</v>
      </c>
      <c r="N19" s="53">
        <v>199.1</v>
      </c>
      <c r="O19" s="53">
        <v>4.4000000000000004</v>
      </c>
      <c r="P19" s="53">
        <v>0.62</v>
      </c>
      <c r="Q19" s="53">
        <v>9.26</v>
      </c>
      <c r="R19" s="43"/>
      <c r="S19" s="43"/>
      <c r="T19" s="43"/>
      <c r="U19" s="43"/>
    </row>
    <row r="20" spans="1:21" s="11" customFormat="1" x14ac:dyDescent="0.25">
      <c r="A20" s="52" t="s">
        <v>215</v>
      </c>
      <c r="B20" s="53">
        <v>11.65</v>
      </c>
      <c r="C20" s="53">
        <v>14.58</v>
      </c>
      <c r="D20" s="53">
        <v>16.670000000000002</v>
      </c>
      <c r="E20" s="53">
        <v>4.78</v>
      </c>
      <c r="F20" s="53">
        <v>3.69</v>
      </c>
      <c r="G20" s="53">
        <v>8.85</v>
      </c>
      <c r="H20" s="53">
        <v>1.86</v>
      </c>
      <c r="I20" s="53">
        <v>2.64</v>
      </c>
      <c r="J20" s="53">
        <v>0.56000000000000005</v>
      </c>
      <c r="K20" s="53">
        <v>304.83999999999997</v>
      </c>
      <c r="L20" s="53">
        <v>22.69</v>
      </c>
      <c r="M20" s="53">
        <v>98.27</v>
      </c>
      <c r="N20" s="53">
        <v>113.9</v>
      </c>
      <c r="O20" s="53">
        <v>0</v>
      </c>
      <c r="P20" s="53">
        <v>0.55000000000000004</v>
      </c>
      <c r="Q20" s="53">
        <v>9.23</v>
      </c>
      <c r="R20" s="43"/>
      <c r="S20" s="43"/>
      <c r="T20" s="43"/>
      <c r="U20" s="43"/>
    </row>
    <row r="21" spans="1:21" s="11" customFormat="1" x14ac:dyDescent="0.25">
      <c r="A21" s="52" t="s">
        <v>216</v>
      </c>
      <c r="B21" s="53">
        <v>10.25</v>
      </c>
      <c r="C21" s="53">
        <v>16.34</v>
      </c>
      <c r="D21" s="53">
        <v>16.48</v>
      </c>
      <c r="E21" s="53">
        <v>4.8899999999999997</v>
      </c>
      <c r="F21" s="53">
        <v>3.65</v>
      </c>
      <c r="G21" s="53">
        <v>8.85</v>
      </c>
      <c r="H21" s="53">
        <v>1.86</v>
      </c>
      <c r="I21" s="53">
        <v>2.13</v>
      </c>
      <c r="J21" s="53">
        <v>0.41</v>
      </c>
      <c r="K21" s="53">
        <v>302.51</v>
      </c>
      <c r="L21" s="53">
        <v>22.72</v>
      </c>
      <c r="M21" s="53">
        <v>98.29</v>
      </c>
      <c r="N21" s="53">
        <v>143.4</v>
      </c>
      <c r="O21" s="53">
        <v>2</v>
      </c>
      <c r="P21" s="53">
        <v>0.61</v>
      </c>
      <c r="Q21" s="53">
        <v>9.2200000000000006</v>
      </c>
      <c r="R21" s="43"/>
      <c r="S21" s="43"/>
      <c r="T21" s="43"/>
      <c r="U21" s="43"/>
    </row>
    <row r="22" spans="1:21" s="11" customFormat="1" x14ac:dyDescent="0.25">
      <c r="A22" s="52" t="s">
        <v>217</v>
      </c>
      <c r="B22" s="53">
        <v>8.76</v>
      </c>
      <c r="C22" s="53">
        <v>19.09</v>
      </c>
      <c r="D22" s="53">
        <v>16.34</v>
      </c>
      <c r="E22" s="53">
        <v>4.88</v>
      </c>
      <c r="F22" s="53">
        <v>4.05</v>
      </c>
      <c r="G22" s="53">
        <v>6.62</v>
      </c>
      <c r="H22" s="53">
        <v>2.58</v>
      </c>
      <c r="I22" s="53">
        <v>2.83</v>
      </c>
      <c r="J22" s="53">
        <v>0.45</v>
      </c>
      <c r="K22" s="53">
        <v>299.02999999999997</v>
      </c>
      <c r="L22" s="53">
        <v>22.12</v>
      </c>
      <c r="M22" s="53">
        <v>98.31</v>
      </c>
      <c r="N22" s="53">
        <v>93.7</v>
      </c>
      <c r="O22" s="53">
        <v>5</v>
      </c>
      <c r="P22" s="53">
        <v>0.55000000000000004</v>
      </c>
      <c r="Q22" s="53">
        <v>9.2100000000000009</v>
      </c>
      <c r="R22" s="43"/>
      <c r="S22" s="43"/>
      <c r="T22" s="43"/>
      <c r="U22" s="43"/>
    </row>
    <row r="23" spans="1:21" s="11" customFormat="1" x14ac:dyDescent="0.25">
      <c r="A23" s="52" t="s">
        <v>218</v>
      </c>
      <c r="B23" s="53">
        <v>7.48</v>
      </c>
      <c r="C23" s="53">
        <v>19.18</v>
      </c>
      <c r="D23" s="53">
        <v>15.66</v>
      </c>
      <c r="E23" s="53">
        <v>4.9000000000000004</v>
      </c>
      <c r="F23" s="53">
        <v>7.47</v>
      </c>
      <c r="G23" s="53">
        <v>5.44</v>
      </c>
      <c r="H23" s="53">
        <v>2.58</v>
      </c>
      <c r="I23" s="53">
        <v>3.01</v>
      </c>
      <c r="J23" s="53">
        <v>0.22</v>
      </c>
      <c r="K23" s="53">
        <v>317.88</v>
      </c>
      <c r="L23" s="53">
        <v>22.01</v>
      </c>
      <c r="M23" s="53">
        <v>98.34</v>
      </c>
      <c r="N23" s="53">
        <v>130.69999999999999</v>
      </c>
      <c r="O23" s="53">
        <v>3.2</v>
      </c>
      <c r="P23" s="53">
        <v>0.59</v>
      </c>
      <c r="Q23" s="53">
        <v>9.15</v>
      </c>
      <c r="R23" s="43"/>
      <c r="S23" s="43"/>
      <c r="T23" s="43"/>
      <c r="U23" s="43"/>
    </row>
    <row r="24" spans="1:21" s="11" customFormat="1" x14ac:dyDescent="0.25">
      <c r="A24" s="52" t="s">
        <v>219</v>
      </c>
      <c r="B24" s="53">
        <v>5.84</v>
      </c>
      <c r="C24" s="53">
        <v>21.22</v>
      </c>
      <c r="D24" s="53">
        <v>15.77</v>
      </c>
      <c r="E24" s="53">
        <v>4.97</v>
      </c>
      <c r="F24" s="53">
        <v>4.7699999999999996</v>
      </c>
      <c r="G24" s="53">
        <v>6.04</v>
      </c>
      <c r="H24" s="53">
        <v>2.58</v>
      </c>
      <c r="I24" s="53">
        <v>2.65</v>
      </c>
      <c r="J24" s="53">
        <v>0.35</v>
      </c>
      <c r="K24" s="53">
        <v>302.64999999999998</v>
      </c>
      <c r="L24" s="53">
        <v>22.04</v>
      </c>
      <c r="M24" s="53">
        <v>98.33</v>
      </c>
      <c r="N24" s="53">
        <v>139.69999999999999</v>
      </c>
      <c r="O24" s="53">
        <v>0</v>
      </c>
      <c r="P24" s="53">
        <v>0.38</v>
      </c>
      <c r="Q24" s="53">
        <v>9.1300000000000008</v>
      </c>
      <c r="R24" s="43"/>
      <c r="S24" s="43"/>
      <c r="T24" s="43"/>
      <c r="U24" s="43"/>
    </row>
    <row r="25" spans="1:21" s="11" customFormat="1" x14ac:dyDescent="0.25">
      <c r="A25" s="52" t="s">
        <v>220</v>
      </c>
      <c r="B25" s="53">
        <v>7.78</v>
      </c>
      <c r="C25" s="53">
        <v>20.37</v>
      </c>
      <c r="D25" s="53">
        <v>16.88</v>
      </c>
      <c r="E25" s="53">
        <v>4.8899999999999997</v>
      </c>
      <c r="F25" s="53">
        <v>4.67</v>
      </c>
      <c r="G25" s="53">
        <v>6.04</v>
      </c>
      <c r="H25" s="53">
        <v>2.58</v>
      </c>
      <c r="I25" s="53">
        <v>1.26</v>
      </c>
      <c r="J25" s="53">
        <v>0.33</v>
      </c>
      <c r="K25" s="53">
        <v>298.92</v>
      </c>
      <c r="L25" s="53">
        <v>22.44</v>
      </c>
      <c r="M25" s="53">
        <v>98.39</v>
      </c>
      <c r="N25" s="53">
        <v>123.7</v>
      </c>
      <c r="O25" s="53">
        <v>0</v>
      </c>
      <c r="P25" s="53">
        <v>0.37</v>
      </c>
      <c r="Q25" s="53">
        <v>9.19</v>
      </c>
      <c r="R25" s="43"/>
      <c r="S25" s="43"/>
      <c r="T25" s="43"/>
      <c r="U25" s="43"/>
    </row>
    <row r="26" spans="1:21" s="11" customFormat="1" x14ac:dyDescent="0.25">
      <c r="A26" s="52" t="s">
        <v>221</v>
      </c>
      <c r="B26" s="53">
        <v>5.86</v>
      </c>
      <c r="C26" s="53">
        <v>24.5</v>
      </c>
      <c r="D26" s="53">
        <v>16.78</v>
      </c>
      <c r="E26" s="53">
        <v>4.8499999999999996</v>
      </c>
      <c r="F26" s="53">
        <v>6.1</v>
      </c>
      <c r="G26" s="53">
        <v>4.2300000000000004</v>
      </c>
      <c r="H26" s="53">
        <v>2.5499999999999998</v>
      </c>
      <c r="I26" s="53">
        <v>1</v>
      </c>
      <c r="J26" s="53">
        <v>0.26</v>
      </c>
      <c r="K26" s="53">
        <v>298.08999999999997</v>
      </c>
      <c r="L26" s="53">
        <v>22.57</v>
      </c>
      <c r="M26" s="53">
        <v>98.4</v>
      </c>
      <c r="N26" s="53">
        <v>81</v>
      </c>
      <c r="O26" s="53">
        <v>0.2</v>
      </c>
      <c r="P26" s="53">
        <v>0.34</v>
      </c>
      <c r="Q26" s="53">
        <v>9.16</v>
      </c>
      <c r="R26" s="43"/>
      <c r="S26" s="43"/>
      <c r="T26" s="43"/>
      <c r="U26" s="43"/>
    </row>
    <row r="27" spans="1:21" s="11" customFormat="1" x14ac:dyDescent="0.25">
      <c r="A27" s="52" t="s">
        <v>222</v>
      </c>
      <c r="B27" s="53">
        <v>6.24</v>
      </c>
      <c r="C27" s="53">
        <v>20.8</v>
      </c>
      <c r="D27" s="53">
        <v>15.27</v>
      </c>
      <c r="E27" s="53">
        <v>4.95</v>
      </c>
      <c r="F27" s="53">
        <v>3.98</v>
      </c>
      <c r="G27" s="53">
        <v>4.68</v>
      </c>
      <c r="H27" s="53">
        <v>2.5499999999999998</v>
      </c>
      <c r="I27" s="53">
        <v>0.96</v>
      </c>
      <c r="J27" s="53">
        <v>0.22</v>
      </c>
      <c r="K27" s="53">
        <v>310.56</v>
      </c>
      <c r="L27" s="53">
        <v>22.44</v>
      </c>
      <c r="M27" s="53">
        <v>98.79</v>
      </c>
      <c r="N27" s="53">
        <v>76.400000000000006</v>
      </c>
      <c r="O27" s="53">
        <v>0</v>
      </c>
      <c r="P27" s="53">
        <v>0.37</v>
      </c>
      <c r="Q27" s="53">
        <v>9.17</v>
      </c>
      <c r="R27" s="43"/>
      <c r="S27" s="43"/>
      <c r="T27" s="43"/>
      <c r="U27" s="43"/>
    </row>
    <row r="28" spans="1:21" s="11" customFormat="1" x14ac:dyDescent="0.25">
      <c r="A28" s="52" t="s">
        <v>223</v>
      </c>
      <c r="B28" s="53">
        <v>7.37</v>
      </c>
      <c r="C28" s="53">
        <v>15.75</v>
      </c>
      <c r="D28" s="53">
        <v>13.15</v>
      </c>
      <c r="E28" s="53">
        <v>4.99</v>
      </c>
      <c r="F28" s="53">
        <v>3.55</v>
      </c>
      <c r="G28" s="53">
        <v>6.69</v>
      </c>
      <c r="H28" s="53">
        <v>2.5499999999999998</v>
      </c>
      <c r="I28" s="53">
        <v>1.01</v>
      </c>
      <c r="J28" s="53">
        <v>0.26</v>
      </c>
      <c r="K28" s="53">
        <v>299.35000000000002</v>
      </c>
      <c r="L28" s="53">
        <v>22.56</v>
      </c>
      <c r="M28" s="53">
        <v>99.12</v>
      </c>
      <c r="N28" s="53">
        <v>71.8</v>
      </c>
      <c r="O28" s="53">
        <v>0.2</v>
      </c>
      <c r="P28" s="53">
        <v>0.38</v>
      </c>
      <c r="Q28" s="53">
        <v>9.1199999999999992</v>
      </c>
      <c r="R28" s="43"/>
      <c r="S28" s="43"/>
      <c r="T28" s="43"/>
      <c r="U28" s="43"/>
    </row>
    <row r="29" spans="1:21" s="11" customFormat="1" x14ac:dyDescent="0.25">
      <c r="A29" s="52" t="s">
        <v>224</v>
      </c>
      <c r="B29" s="53">
        <v>7.98</v>
      </c>
      <c r="C29" s="53">
        <v>14.32</v>
      </c>
      <c r="D29" s="53">
        <v>13.7</v>
      </c>
      <c r="E29" s="53">
        <v>4.8499999999999996</v>
      </c>
      <c r="F29" s="53">
        <v>3.96</v>
      </c>
      <c r="G29" s="53">
        <v>6.69</v>
      </c>
      <c r="H29" s="53">
        <v>2.4900000000000002</v>
      </c>
      <c r="I29" s="53">
        <v>1.1200000000000001</v>
      </c>
      <c r="J29" s="53">
        <v>0.25</v>
      </c>
      <c r="K29" s="53">
        <v>298.58999999999997</v>
      </c>
      <c r="L29" s="53">
        <v>22.35</v>
      </c>
      <c r="M29" s="53">
        <v>99.29</v>
      </c>
      <c r="N29" s="53">
        <v>71.400000000000006</v>
      </c>
      <c r="O29" s="53">
        <v>0.2</v>
      </c>
      <c r="P29" s="53">
        <v>0.43</v>
      </c>
      <c r="Q29" s="53">
        <v>9.11</v>
      </c>
      <c r="R29" s="43"/>
      <c r="S29" s="43"/>
      <c r="T29" s="43"/>
      <c r="U29" s="43"/>
    </row>
    <row r="30" spans="1:21" s="11" customFormat="1" x14ac:dyDescent="0.25">
      <c r="A30" s="52" t="s">
        <v>225</v>
      </c>
      <c r="B30" s="53">
        <v>9.49</v>
      </c>
      <c r="C30" s="53">
        <v>14.31</v>
      </c>
      <c r="D30" s="53">
        <v>15.08</v>
      </c>
      <c r="E30" s="53">
        <v>4.78</v>
      </c>
      <c r="F30" s="53">
        <v>3.43</v>
      </c>
      <c r="G30" s="53">
        <v>5.35</v>
      </c>
      <c r="H30" s="53">
        <v>2.4900000000000002</v>
      </c>
      <c r="I30" s="53">
        <v>1.1100000000000001</v>
      </c>
      <c r="J30" s="53">
        <v>0.21</v>
      </c>
      <c r="K30" s="53">
        <v>302.17</v>
      </c>
      <c r="L30" s="53">
        <v>22.21</v>
      </c>
      <c r="M30" s="53">
        <v>99.42</v>
      </c>
      <c r="N30" s="53">
        <v>77.099999999999994</v>
      </c>
      <c r="O30" s="53">
        <v>0.2</v>
      </c>
      <c r="P30" s="53">
        <v>0.41</v>
      </c>
      <c r="Q30" s="53">
        <v>9.16</v>
      </c>
      <c r="R30" s="43"/>
      <c r="S30" s="43"/>
      <c r="T30" s="43"/>
      <c r="U30" s="43"/>
    </row>
    <row r="31" spans="1:21" s="11" customFormat="1" x14ac:dyDescent="0.25">
      <c r="A31" s="52" t="s">
        <v>226</v>
      </c>
      <c r="B31" s="53">
        <v>8.52</v>
      </c>
      <c r="C31" s="53">
        <v>13.63</v>
      </c>
      <c r="D31" s="53">
        <v>13.96</v>
      </c>
      <c r="E31" s="53">
        <v>5.12</v>
      </c>
      <c r="F31" s="53">
        <v>3.55</v>
      </c>
      <c r="G31" s="53">
        <v>4.5599999999999996</v>
      </c>
      <c r="H31" s="53">
        <v>2.4900000000000002</v>
      </c>
      <c r="I31" s="53">
        <v>1.05</v>
      </c>
      <c r="J31" s="53">
        <v>0.23</v>
      </c>
      <c r="K31" s="53">
        <v>306.89</v>
      </c>
      <c r="L31" s="53">
        <v>22.11</v>
      </c>
      <c r="M31" s="53">
        <v>99.51</v>
      </c>
      <c r="N31" s="53">
        <v>83.7</v>
      </c>
      <c r="O31" s="53">
        <v>0</v>
      </c>
      <c r="P31" s="53">
        <v>0.37</v>
      </c>
      <c r="Q31" s="53">
        <v>9.16</v>
      </c>
      <c r="R31" s="43"/>
      <c r="S31" s="43"/>
      <c r="T31" s="43"/>
      <c r="U31" s="43"/>
    </row>
    <row r="32" spans="1:21" s="11" customFormat="1" x14ac:dyDescent="0.25">
      <c r="A32" s="52" t="s">
        <v>227</v>
      </c>
      <c r="B32" s="53">
        <v>7.16</v>
      </c>
      <c r="C32" s="53">
        <v>13.84</v>
      </c>
      <c r="D32" s="53">
        <v>12.98</v>
      </c>
      <c r="E32" s="53">
        <v>4.74</v>
      </c>
      <c r="F32" s="53">
        <v>3.94</v>
      </c>
      <c r="G32" s="53">
        <v>9.65</v>
      </c>
      <c r="H32" s="53">
        <v>2.4900000000000002</v>
      </c>
      <c r="I32" s="53">
        <v>0.9</v>
      </c>
      <c r="J32" s="53">
        <v>0.28999999999999998</v>
      </c>
      <c r="K32" s="53">
        <v>311.05</v>
      </c>
      <c r="L32" s="53">
        <v>22.16</v>
      </c>
      <c r="M32" s="53">
        <v>98.9</v>
      </c>
      <c r="N32" s="53">
        <v>77.2</v>
      </c>
      <c r="O32" s="53">
        <v>0</v>
      </c>
      <c r="P32" s="53">
        <v>0.32</v>
      </c>
      <c r="Q32" s="53">
        <v>9.09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5.84</v>
      </c>
      <c r="C34" s="28">
        <f t="shared" si="0"/>
        <v>11.11</v>
      </c>
      <c r="D34" s="28">
        <f t="shared" si="0"/>
        <v>11.16</v>
      </c>
      <c r="E34" s="28">
        <f t="shared" si="0"/>
        <v>4.58</v>
      </c>
      <c r="F34" s="28">
        <f t="shared" si="0"/>
        <v>3.34</v>
      </c>
      <c r="G34" s="28">
        <f t="shared" si="0"/>
        <v>3.74</v>
      </c>
      <c r="H34" s="28">
        <f t="shared" si="0"/>
        <v>0.11</v>
      </c>
      <c r="I34" s="28">
        <f t="shared" si="0"/>
        <v>0.9</v>
      </c>
      <c r="J34" s="28">
        <f t="shared" si="0"/>
        <v>0.15</v>
      </c>
      <c r="K34" s="28">
        <f t="shared" si="0"/>
        <v>297.57</v>
      </c>
      <c r="L34" s="28">
        <f t="shared" si="0"/>
        <v>22.01</v>
      </c>
      <c r="M34" s="28">
        <f t="shared" si="0"/>
        <v>98.19</v>
      </c>
      <c r="N34" s="28">
        <f t="shared" si="0"/>
        <v>63.3</v>
      </c>
      <c r="O34" s="28">
        <f t="shared" si="0"/>
        <v>0</v>
      </c>
      <c r="P34" s="28">
        <f t="shared" si="0"/>
        <v>0.25</v>
      </c>
      <c r="Q34" s="28">
        <f t="shared" si="0"/>
        <v>9.0500000000000007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12.72</v>
      </c>
      <c r="C35" s="29">
        <f t="shared" si="1"/>
        <v>24.5</v>
      </c>
      <c r="D35" s="29">
        <f t="shared" si="1"/>
        <v>17.57</v>
      </c>
      <c r="E35" s="29">
        <f t="shared" si="1"/>
        <v>5.12</v>
      </c>
      <c r="F35" s="29">
        <f t="shared" si="1"/>
        <v>7.47</v>
      </c>
      <c r="G35" s="29">
        <f t="shared" si="1"/>
        <v>13.44</v>
      </c>
      <c r="H35" s="29">
        <f t="shared" si="1"/>
        <v>5.49</v>
      </c>
      <c r="I35" s="29">
        <f t="shared" si="1"/>
        <v>3.01</v>
      </c>
      <c r="J35" s="29">
        <f t="shared" si="1"/>
        <v>0.73</v>
      </c>
      <c r="K35" s="29">
        <f t="shared" si="1"/>
        <v>322.55</v>
      </c>
      <c r="L35" s="29">
        <f t="shared" si="1"/>
        <v>23.02</v>
      </c>
      <c r="M35" s="29">
        <f t="shared" si="1"/>
        <v>99.51</v>
      </c>
      <c r="N35" s="29">
        <f t="shared" si="1"/>
        <v>199.1</v>
      </c>
      <c r="O35" s="29">
        <f t="shared" si="1"/>
        <v>5</v>
      </c>
      <c r="P35" s="29">
        <f t="shared" si="1"/>
        <v>0.62</v>
      </c>
      <c r="Q35" s="29">
        <f t="shared" si="1"/>
        <v>9.27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8.6654166666666672</v>
      </c>
      <c r="C36" s="28">
        <f t="shared" si="2"/>
        <v>15.102500000000001</v>
      </c>
      <c r="D36" s="28">
        <f t="shared" si="2"/>
        <v>14.637083333333329</v>
      </c>
      <c r="E36" s="28">
        <f t="shared" si="2"/>
        <v>4.8616666666666664</v>
      </c>
      <c r="F36" s="28">
        <f t="shared" si="2"/>
        <v>4.0908333333333324</v>
      </c>
      <c r="G36" s="28">
        <f t="shared" si="2"/>
        <v>7.4570833333333324</v>
      </c>
      <c r="H36" s="28">
        <f t="shared" si="2"/>
        <v>2.2066666666666666</v>
      </c>
      <c r="I36" s="28">
        <f t="shared" si="2"/>
        <v>1.690416666666666</v>
      </c>
      <c r="J36" s="28">
        <f t="shared" si="2"/>
        <v>0.31874999999999998</v>
      </c>
      <c r="K36" s="28">
        <f t="shared" si="2"/>
        <v>307.23708333333337</v>
      </c>
      <c r="L36" s="28">
        <f t="shared" si="2"/>
        <v>22.445833333333329</v>
      </c>
      <c r="M36" s="28">
        <f t="shared" si="2"/>
        <v>98.499583333333348</v>
      </c>
      <c r="N36" s="28">
        <f t="shared" si="2"/>
        <v>95.02500000000002</v>
      </c>
      <c r="O36" s="28">
        <f t="shared" si="2"/>
        <v>1.1833333333333331</v>
      </c>
      <c r="P36" s="28">
        <f t="shared" si="2"/>
        <v>0.40333333333333332</v>
      </c>
      <c r="Q36" s="28">
        <f t="shared" si="2"/>
        <v>9.1470833333333328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2.109584709113979</v>
      </c>
      <c r="C37" s="28">
        <f t="shared" ref="C37:Q37" si="3">STDEV(C9:C32)</f>
        <v>3.7795781338087457</v>
      </c>
      <c r="D37" s="28">
        <f t="shared" si="3"/>
        <v>1.9896306827205998</v>
      </c>
      <c r="E37" s="28">
        <f t="shared" si="3"/>
        <v>0.13836519626059099</v>
      </c>
      <c r="F37" s="28">
        <f t="shared" si="3"/>
        <v>0.98233491440444043</v>
      </c>
      <c r="G37" s="28">
        <f t="shared" si="3"/>
        <v>2.495184020688948</v>
      </c>
      <c r="H37" s="28">
        <f t="shared" si="3"/>
        <v>1.2348091444382838</v>
      </c>
      <c r="I37" s="28">
        <f t="shared" si="3"/>
        <v>0.67355952041095357</v>
      </c>
      <c r="J37" s="28">
        <f t="shared" si="3"/>
        <v>0.15057318024367977</v>
      </c>
      <c r="K37" s="28">
        <f t="shared" si="3"/>
        <v>7.5172401730183305</v>
      </c>
      <c r="L37" s="28">
        <f t="shared" si="3"/>
        <v>0.26056655106945686</v>
      </c>
      <c r="M37" s="28">
        <f t="shared" si="3"/>
        <v>0.42137950639037769</v>
      </c>
      <c r="N37" s="28">
        <f t="shared" si="3"/>
        <v>34.368024193376591</v>
      </c>
      <c r="O37" s="28">
        <f t="shared" si="3"/>
        <v>1.4433254677296814</v>
      </c>
      <c r="P37" s="28">
        <f t="shared" si="3"/>
        <v>0.10913361043938871</v>
      </c>
      <c r="Q37" s="28">
        <f t="shared" si="3"/>
        <v>6.8681949192837585E-2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49" t="s">
        <v>228</v>
      </c>
      <c r="B9" s="50">
        <v>5.57</v>
      </c>
      <c r="C9" s="50">
        <v>13.01</v>
      </c>
      <c r="D9" s="50">
        <v>11.26</v>
      </c>
      <c r="E9" s="50">
        <v>4.67</v>
      </c>
      <c r="F9" s="50">
        <v>3.74</v>
      </c>
      <c r="G9" s="50">
        <v>9.65</v>
      </c>
      <c r="H9" s="54" t="s">
        <v>14</v>
      </c>
      <c r="I9" s="50">
        <v>0.76</v>
      </c>
      <c r="J9" s="50">
        <v>0.32</v>
      </c>
      <c r="K9" s="50">
        <v>294.56</v>
      </c>
      <c r="L9" s="50">
        <v>22.17</v>
      </c>
      <c r="M9" s="50">
        <v>98.75</v>
      </c>
      <c r="N9" s="50">
        <v>83.8</v>
      </c>
      <c r="O9" s="50">
        <v>0</v>
      </c>
      <c r="P9" s="50">
        <v>0.24</v>
      </c>
      <c r="Q9" s="50">
        <v>9.02</v>
      </c>
      <c r="R9" s="43"/>
      <c r="S9" s="43"/>
      <c r="T9" s="43"/>
      <c r="U9" s="43"/>
    </row>
    <row r="10" spans="1:21" s="11" customFormat="1" x14ac:dyDescent="0.25">
      <c r="A10" s="49" t="s">
        <v>229</v>
      </c>
      <c r="B10" s="50">
        <v>4.09</v>
      </c>
      <c r="C10" s="50">
        <v>12.2</v>
      </c>
      <c r="D10" s="50">
        <v>9.65</v>
      </c>
      <c r="E10" s="50">
        <v>4.5199999999999996</v>
      </c>
      <c r="F10" s="50">
        <v>5.09</v>
      </c>
      <c r="G10" s="50">
        <v>7.72</v>
      </c>
      <c r="H10" s="54" t="s">
        <v>14</v>
      </c>
      <c r="I10" s="50">
        <v>0.65</v>
      </c>
      <c r="J10" s="50">
        <v>0.32</v>
      </c>
      <c r="K10" s="50">
        <v>298.33999999999997</v>
      </c>
      <c r="L10" s="50">
        <v>22.01</v>
      </c>
      <c r="M10" s="50">
        <v>98.07</v>
      </c>
      <c r="N10" s="50">
        <v>93.4</v>
      </c>
      <c r="O10" s="50">
        <v>0</v>
      </c>
      <c r="P10" s="50">
        <v>0.17</v>
      </c>
      <c r="Q10" s="50">
        <v>8.9499999999999993</v>
      </c>
      <c r="R10" s="43"/>
      <c r="S10" s="43"/>
      <c r="T10" s="43"/>
      <c r="U10" s="43"/>
    </row>
    <row r="11" spans="1:21" s="11" customFormat="1" x14ac:dyDescent="0.25">
      <c r="A11" s="49" t="s">
        <v>230</v>
      </c>
      <c r="B11" s="50">
        <v>3.63</v>
      </c>
      <c r="C11" s="50">
        <v>10.6</v>
      </c>
      <c r="D11" s="50">
        <v>8.39</v>
      </c>
      <c r="E11" s="50">
        <v>4.6900000000000004</v>
      </c>
      <c r="F11" s="50">
        <v>4.78</v>
      </c>
      <c r="G11" s="50">
        <v>5.4</v>
      </c>
      <c r="H11" s="54" t="s">
        <v>14</v>
      </c>
      <c r="I11" s="50">
        <v>0.46</v>
      </c>
      <c r="J11" s="50">
        <v>0.28999999999999998</v>
      </c>
      <c r="K11" s="50">
        <v>294.82</v>
      </c>
      <c r="L11" s="50">
        <v>21.57</v>
      </c>
      <c r="M11" s="50">
        <v>98.55</v>
      </c>
      <c r="N11" s="50">
        <v>95.3</v>
      </c>
      <c r="O11" s="50">
        <v>0</v>
      </c>
      <c r="P11" s="50">
        <v>0.12</v>
      </c>
      <c r="Q11" s="50">
        <v>8.9499999999999993</v>
      </c>
      <c r="R11" s="43"/>
      <c r="S11" s="43"/>
      <c r="T11" s="43"/>
      <c r="U11" s="43"/>
    </row>
    <row r="12" spans="1:21" s="11" customFormat="1" x14ac:dyDescent="0.25">
      <c r="A12" s="49" t="s">
        <v>231</v>
      </c>
      <c r="B12" s="50">
        <v>3.91</v>
      </c>
      <c r="C12" s="50">
        <v>10.83</v>
      </c>
      <c r="D12" s="50">
        <v>8.8000000000000007</v>
      </c>
      <c r="E12" s="50">
        <v>4.78</v>
      </c>
      <c r="F12" s="50">
        <v>4.34</v>
      </c>
      <c r="G12" s="50">
        <v>4.83</v>
      </c>
      <c r="H12" s="54" t="s">
        <v>14</v>
      </c>
      <c r="I12" s="50">
        <v>0.38</v>
      </c>
      <c r="J12" s="50">
        <v>0.24</v>
      </c>
      <c r="K12" s="50">
        <v>298.79000000000002</v>
      </c>
      <c r="L12" s="50">
        <v>21.2</v>
      </c>
      <c r="M12" s="50">
        <v>98.7</v>
      </c>
      <c r="N12" s="50">
        <v>93.6</v>
      </c>
      <c r="O12" s="50">
        <v>0.2</v>
      </c>
      <c r="P12" s="50">
        <v>0.11</v>
      </c>
      <c r="Q12" s="50">
        <v>8.9499999999999993</v>
      </c>
      <c r="R12" s="43"/>
      <c r="S12" s="43"/>
      <c r="T12" s="43"/>
      <c r="U12" s="43"/>
    </row>
    <row r="13" spans="1:21" s="11" customFormat="1" x14ac:dyDescent="0.25">
      <c r="A13" s="49" t="s">
        <v>232</v>
      </c>
      <c r="B13" s="50">
        <v>4.24</v>
      </c>
      <c r="C13" s="50">
        <v>11.25</v>
      </c>
      <c r="D13" s="50">
        <v>9.2799999999999994</v>
      </c>
      <c r="E13" s="50">
        <v>4.55</v>
      </c>
      <c r="F13" s="50">
        <v>4.03</v>
      </c>
      <c r="G13" s="50">
        <v>4.83</v>
      </c>
      <c r="H13" s="54" t="s">
        <v>14</v>
      </c>
      <c r="I13" s="50">
        <v>0.36</v>
      </c>
      <c r="J13" s="50">
        <v>0.22</v>
      </c>
      <c r="K13" s="50">
        <v>307.16000000000003</v>
      </c>
      <c r="L13" s="50">
        <v>21.22</v>
      </c>
      <c r="M13" s="50">
        <v>98.76</v>
      </c>
      <c r="N13" s="50">
        <v>98.6</v>
      </c>
      <c r="O13" s="50">
        <v>0</v>
      </c>
      <c r="P13" s="50">
        <v>0.11</v>
      </c>
      <c r="Q13" s="50">
        <v>8.92</v>
      </c>
      <c r="R13" s="43"/>
      <c r="S13" s="43"/>
      <c r="T13" s="43"/>
      <c r="U13" s="43"/>
    </row>
    <row r="14" spans="1:21" s="11" customFormat="1" x14ac:dyDescent="0.25">
      <c r="A14" s="49" t="s">
        <v>233</v>
      </c>
      <c r="B14" s="50">
        <v>4.68</v>
      </c>
      <c r="C14" s="50">
        <v>11.42</v>
      </c>
      <c r="D14" s="50">
        <v>9.52</v>
      </c>
      <c r="E14" s="50">
        <v>4.6100000000000003</v>
      </c>
      <c r="F14" s="50">
        <v>3.82</v>
      </c>
      <c r="G14" s="50">
        <v>3.93</v>
      </c>
      <c r="H14" s="54" t="s">
        <v>14</v>
      </c>
      <c r="I14" s="50">
        <v>0.39</v>
      </c>
      <c r="J14" s="50">
        <v>0.2</v>
      </c>
      <c r="K14" s="50">
        <v>302.43</v>
      </c>
      <c r="L14" s="50">
        <v>21.45</v>
      </c>
      <c r="M14" s="50">
        <v>98.88</v>
      </c>
      <c r="N14" s="50">
        <v>84</v>
      </c>
      <c r="O14" s="50">
        <v>9.1999999999999993</v>
      </c>
      <c r="P14" s="50">
        <v>0.11</v>
      </c>
      <c r="Q14" s="50">
        <v>8.9600000000000009</v>
      </c>
      <c r="R14" s="43"/>
      <c r="S14" s="43"/>
      <c r="T14" s="43"/>
      <c r="U14" s="43"/>
    </row>
    <row r="15" spans="1:21" s="11" customFormat="1" x14ac:dyDescent="0.25">
      <c r="A15" s="49" t="s">
        <v>234</v>
      </c>
      <c r="B15" s="50">
        <v>4.7</v>
      </c>
      <c r="C15" s="50">
        <v>11.69</v>
      </c>
      <c r="D15" s="50">
        <v>9.74</v>
      </c>
      <c r="E15" s="50">
        <v>4.75</v>
      </c>
      <c r="F15" s="50">
        <v>3.82</v>
      </c>
      <c r="G15" s="50">
        <v>3.3</v>
      </c>
      <c r="H15" s="54" t="s">
        <v>14</v>
      </c>
      <c r="I15" s="50">
        <v>0.41</v>
      </c>
      <c r="J15" s="50">
        <v>0.24</v>
      </c>
      <c r="K15" s="50">
        <v>325.68</v>
      </c>
      <c r="L15" s="50">
        <v>20.96</v>
      </c>
      <c r="M15" s="50">
        <v>99</v>
      </c>
      <c r="N15" s="50">
        <v>95.4</v>
      </c>
      <c r="O15" s="50">
        <v>8.6</v>
      </c>
      <c r="P15" s="50">
        <v>0.11</v>
      </c>
      <c r="Q15" s="50">
        <v>8.99</v>
      </c>
      <c r="R15" s="43"/>
      <c r="S15" s="43"/>
      <c r="T15" s="43"/>
      <c r="U15" s="43"/>
    </row>
    <row r="16" spans="1:21" s="11" customFormat="1" x14ac:dyDescent="0.25">
      <c r="A16" s="49" t="s">
        <v>235</v>
      </c>
      <c r="B16" s="50">
        <v>4.92</v>
      </c>
      <c r="C16" s="50">
        <v>12.79</v>
      </c>
      <c r="D16" s="50">
        <v>10.63</v>
      </c>
      <c r="E16" s="50">
        <v>4.8600000000000003</v>
      </c>
      <c r="F16" s="50">
        <v>4.32</v>
      </c>
      <c r="G16" s="50">
        <v>3.84</v>
      </c>
      <c r="H16" s="54" t="s">
        <v>14</v>
      </c>
      <c r="I16" s="50">
        <v>0.45</v>
      </c>
      <c r="J16" s="50">
        <v>0.24</v>
      </c>
      <c r="K16" s="50">
        <v>314.87</v>
      </c>
      <c r="L16" s="50">
        <v>20.99</v>
      </c>
      <c r="M16" s="50">
        <v>99.11</v>
      </c>
      <c r="N16" s="50">
        <v>107.8</v>
      </c>
      <c r="O16" s="50">
        <v>0.8</v>
      </c>
      <c r="P16" s="50">
        <v>0.13</v>
      </c>
      <c r="Q16" s="50">
        <v>9</v>
      </c>
      <c r="R16" s="43"/>
      <c r="S16" s="43"/>
      <c r="T16" s="43"/>
      <c r="U16" s="43"/>
    </row>
    <row r="17" spans="1:21" s="11" customFormat="1" x14ac:dyDescent="0.25">
      <c r="A17" s="49" t="s">
        <v>236</v>
      </c>
      <c r="B17" s="50">
        <v>6.15</v>
      </c>
      <c r="C17" s="50">
        <v>13.01</v>
      </c>
      <c r="D17" s="50">
        <v>11.41</v>
      </c>
      <c r="E17" s="50">
        <v>4.45</v>
      </c>
      <c r="F17" s="50">
        <v>3.95</v>
      </c>
      <c r="G17" s="50">
        <v>1.43</v>
      </c>
      <c r="H17" s="54" t="s">
        <v>14</v>
      </c>
      <c r="I17" s="50">
        <v>0.56000000000000005</v>
      </c>
      <c r="J17" s="50">
        <v>0.14000000000000001</v>
      </c>
      <c r="K17" s="50">
        <v>317.35000000000002</v>
      </c>
      <c r="L17" s="50">
        <v>21.1</v>
      </c>
      <c r="M17" s="50">
        <v>99.16</v>
      </c>
      <c r="N17" s="50">
        <v>102.6</v>
      </c>
      <c r="O17" s="50">
        <v>2</v>
      </c>
      <c r="P17" s="50">
        <v>0.17</v>
      </c>
      <c r="Q17" s="50">
        <v>9.01</v>
      </c>
      <c r="R17" s="43"/>
      <c r="S17" s="43"/>
      <c r="T17" s="43"/>
      <c r="U17" s="43"/>
    </row>
    <row r="18" spans="1:21" s="11" customFormat="1" x14ac:dyDescent="0.25">
      <c r="A18" s="49" t="s">
        <v>237</v>
      </c>
      <c r="B18" s="50">
        <v>6.43</v>
      </c>
      <c r="C18" s="50">
        <v>17.739999999999998</v>
      </c>
      <c r="D18" s="50">
        <v>13.28</v>
      </c>
      <c r="E18" s="50">
        <v>4.5999999999999996</v>
      </c>
      <c r="F18" s="50">
        <v>5.37</v>
      </c>
      <c r="G18" s="50">
        <v>23.26</v>
      </c>
      <c r="H18" s="50">
        <v>7.98</v>
      </c>
      <c r="I18" s="50">
        <v>0.66</v>
      </c>
      <c r="J18" s="50">
        <v>0.17</v>
      </c>
      <c r="K18" s="50">
        <v>314.23</v>
      </c>
      <c r="L18" s="50">
        <v>21.1</v>
      </c>
      <c r="M18" s="50">
        <v>99.14</v>
      </c>
      <c r="N18" s="50">
        <v>107.5</v>
      </c>
      <c r="O18" s="50">
        <v>1.4</v>
      </c>
      <c r="P18" s="50">
        <v>0.23</v>
      </c>
      <c r="Q18" s="50">
        <v>9.02</v>
      </c>
      <c r="R18" s="43"/>
      <c r="S18" s="43"/>
      <c r="T18" s="43"/>
      <c r="U18" s="43"/>
    </row>
    <row r="19" spans="1:21" s="11" customFormat="1" x14ac:dyDescent="0.25">
      <c r="A19" s="49" t="s">
        <v>238</v>
      </c>
      <c r="B19" s="50">
        <v>5.61</v>
      </c>
      <c r="C19" s="50">
        <v>17.5</v>
      </c>
      <c r="D19" s="50">
        <v>13.25</v>
      </c>
      <c r="E19" s="50">
        <v>4.22</v>
      </c>
      <c r="F19" s="50">
        <v>3.59</v>
      </c>
      <c r="G19" s="50">
        <v>19.079999999999998</v>
      </c>
      <c r="H19" s="50">
        <v>6.8</v>
      </c>
      <c r="I19" s="50">
        <v>0.78</v>
      </c>
      <c r="J19" s="50">
        <v>0.21</v>
      </c>
      <c r="K19" s="50">
        <v>308.13</v>
      </c>
      <c r="L19" s="50">
        <v>21.02</v>
      </c>
      <c r="M19" s="50">
        <v>99.55</v>
      </c>
      <c r="N19" s="50">
        <v>108</v>
      </c>
      <c r="O19" s="50">
        <v>0.8</v>
      </c>
      <c r="P19" s="50">
        <v>0.25</v>
      </c>
      <c r="Q19" s="50">
        <v>9.06</v>
      </c>
      <c r="R19" s="43"/>
      <c r="S19" s="43"/>
      <c r="T19" s="43"/>
      <c r="U19" s="43"/>
    </row>
    <row r="20" spans="1:21" s="11" customFormat="1" x14ac:dyDescent="0.25">
      <c r="A20" s="49" t="s">
        <v>239</v>
      </c>
      <c r="B20" s="50">
        <v>6.26</v>
      </c>
      <c r="C20" s="50">
        <v>16.62</v>
      </c>
      <c r="D20" s="50">
        <v>13.58</v>
      </c>
      <c r="E20" s="50">
        <v>4.3600000000000003</v>
      </c>
      <c r="F20" s="50">
        <v>3.76</v>
      </c>
      <c r="G20" s="50">
        <v>20.46</v>
      </c>
      <c r="H20" s="50">
        <v>5.63</v>
      </c>
      <c r="I20" s="50">
        <v>0.79</v>
      </c>
      <c r="J20" s="50">
        <v>0.28999999999999998</v>
      </c>
      <c r="K20" s="50">
        <v>303.87</v>
      </c>
      <c r="L20" s="50">
        <v>21.29</v>
      </c>
      <c r="M20" s="50">
        <v>99.43</v>
      </c>
      <c r="N20" s="50">
        <v>151.80000000000001</v>
      </c>
      <c r="O20" s="50">
        <v>0.4</v>
      </c>
      <c r="P20" s="50">
        <v>0.26</v>
      </c>
      <c r="Q20" s="50">
        <v>9.08</v>
      </c>
      <c r="R20" s="43"/>
      <c r="S20" s="43"/>
      <c r="T20" s="43"/>
      <c r="U20" s="43"/>
    </row>
    <row r="21" spans="1:21" s="11" customFormat="1" x14ac:dyDescent="0.25">
      <c r="A21" s="49" t="s">
        <v>240</v>
      </c>
      <c r="B21" s="50">
        <v>6.85</v>
      </c>
      <c r="C21" s="50">
        <v>13.96</v>
      </c>
      <c r="D21" s="50">
        <v>12.75</v>
      </c>
      <c r="E21" s="50">
        <v>4.5199999999999996</v>
      </c>
      <c r="F21" s="50">
        <v>4.12</v>
      </c>
      <c r="G21" s="50">
        <v>17.22</v>
      </c>
      <c r="H21" s="50">
        <v>7.13</v>
      </c>
      <c r="I21" s="50">
        <v>0.79</v>
      </c>
      <c r="J21" s="50">
        <v>0.26</v>
      </c>
      <c r="K21" s="50">
        <v>317.87</v>
      </c>
      <c r="L21" s="50">
        <v>21.5</v>
      </c>
      <c r="M21" s="50">
        <v>99.54</v>
      </c>
      <c r="N21" s="50">
        <v>207</v>
      </c>
      <c r="O21" s="50">
        <v>0.2</v>
      </c>
      <c r="P21" s="50">
        <v>0.27</v>
      </c>
      <c r="Q21" s="50">
        <v>9.07</v>
      </c>
      <c r="R21" s="43"/>
      <c r="S21" s="43"/>
      <c r="T21" s="43"/>
      <c r="U21" s="43"/>
    </row>
    <row r="22" spans="1:21" s="11" customFormat="1" x14ac:dyDescent="0.25">
      <c r="A22" s="49" t="s">
        <v>241</v>
      </c>
      <c r="B22" s="50">
        <v>6.65</v>
      </c>
      <c r="C22" s="50">
        <v>14.35</v>
      </c>
      <c r="D22" s="50">
        <v>12.49</v>
      </c>
      <c r="E22" s="50">
        <v>4.5599999999999996</v>
      </c>
      <c r="F22" s="50">
        <v>4.2300000000000004</v>
      </c>
      <c r="G22" s="50">
        <v>12.43</v>
      </c>
      <c r="H22" s="50">
        <v>5.8</v>
      </c>
      <c r="I22" s="50">
        <v>0.84</v>
      </c>
      <c r="J22" s="50">
        <v>0.26</v>
      </c>
      <c r="K22" s="50">
        <v>311.60000000000002</v>
      </c>
      <c r="L22" s="50">
        <v>22.18</v>
      </c>
      <c r="M22" s="50">
        <v>99.67</v>
      </c>
      <c r="N22" s="50">
        <v>235.8</v>
      </c>
      <c r="O22" s="50">
        <v>0</v>
      </c>
      <c r="P22" s="50">
        <v>0.28999999999999998</v>
      </c>
      <c r="Q22" s="50">
        <v>9.06</v>
      </c>
      <c r="R22" s="43"/>
      <c r="S22" s="43"/>
      <c r="T22" s="43"/>
      <c r="U22" s="43"/>
    </row>
    <row r="23" spans="1:21" s="11" customFormat="1" x14ac:dyDescent="0.25">
      <c r="A23" s="49" t="s">
        <v>242</v>
      </c>
      <c r="B23" s="50">
        <v>5.32</v>
      </c>
      <c r="C23" s="50">
        <v>14.4</v>
      </c>
      <c r="D23" s="50">
        <v>11.77</v>
      </c>
      <c r="E23" s="50">
        <v>4.58</v>
      </c>
      <c r="F23" s="50">
        <v>4.42</v>
      </c>
      <c r="G23" s="50">
        <v>9.6300000000000008</v>
      </c>
      <c r="H23" s="50">
        <v>4.0599999999999996</v>
      </c>
      <c r="I23" s="50">
        <v>0.77</v>
      </c>
      <c r="J23" s="50">
        <v>0.43</v>
      </c>
      <c r="K23" s="50">
        <v>295.62</v>
      </c>
      <c r="L23" s="50">
        <v>23.13</v>
      </c>
      <c r="M23" s="50">
        <v>99.64</v>
      </c>
      <c r="N23" s="50">
        <v>287.8</v>
      </c>
      <c r="O23" s="50">
        <v>0</v>
      </c>
      <c r="P23" s="50">
        <v>0.3</v>
      </c>
      <c r="Q23" s="50">
        <v>9.02</v>
      </c>
      <c r="R23" s="43"/>
      <c r="S23" s="43"/>
      <c r="T23" s="43"/>
      <c r="U23" s="43"/>
    </row>
    <row r="24" spans="1:21" s="11" customFormat="1" x14ac:dyDescent="0.25">
      <c r="A24" s="49" t="s">
        <v>243</v>
      </c>
      <c r="B24" s="50">
        <v>7.04</v>
      </c>
      <c r="C24" s="50">
        <v>14.62</v>
      </c>
      <c r="D24" s="50">
        <v>12.62</v>
      </c>
      <c r="E24" s="50">
        <v>4.5199999999999996</v>
      </c>
      <c r="F24" s="50">
        <v>4.24</v>
      </c>
      <c r="G24" s="50">
        <v>7.82</v>
      </c>
      <c r="H24" s="50">
        <v>4.54</v>
      </c>
      <c r="I24" s="50">
        <v>0.69</v>
      </c>
      <c r="J24" s="50">
        <v>0.32</v>
      </c>
      <c r="K24" s="50">
        <v>298.45999999999998</v>
      </c>
      <c r="L24" s="50">
        <v>22.76</v>
      </c>
      <c r="M24" s="50">
        <v>99.04</v>
      </c>
      <c r="N24" s="50">
        <v>145.19999999999999</v>
      </c>
      <c r="O24" s="50">
        <v>0</v>
      </c>
      <c r="P24" s="50">
        <v>0.3</v>
      </c>
      <c r="Q24" s="50">
        <v>9.06</v>
      </c>
      <c r="R24" s="43"/>
      <c r="S24" s="43"/>
      <c r="T24" s="43"/>
      <c r="U24" s="43"/>
    </row>
    <row r="25" spans="1:21" s="11" customFormat="1" x14ac:dyDescent="0.25">
      <c r="A25" s="49" t="s">
        <v>244</v>
      </c>
      <c r="B25" s="50">
        <v>6.88</v>
      </c>
      <c r="C25" s="50">
        <v>14.54</v>
      </c>
      <c r="D25" s="50">
        <v>12.92</v>
      </c>
      <c r="E25" s="50">
        <v>4.0199999999999996</v>
      </c>
      <c r="F25" s="50">
        <v>3.64</v>
      </c>
      <c r="G25" s="50">
        <v>8.8800000000000008</v>
      </c>
      <c r="H25" s="50">
        <v>3.98</v>
      </c>
      <c r="I25" s="50">
        <v>0.81</v>
      </c>
      <c r="J25" s="50">
        <v>0.23</v>
      </c>
      <c r="K25" s="50">
        <v>300.89999999999998</v>
      </c>
      <c r="L25" s="50">
        <v>22.73</v>
      </c>
      <c r="M25" s="50">
        <v>99.1</v>
      </c>
      <c r="N25" s="50">
        <v>131.1</v>
      </c>
      <c r="O25" s="50">
        <v>0</v>
      </c>
      <c r="P25" s="50">
        <v>0.35</v>
      </c>
      <c r="Q25" s="50">
        <v>9.08</v>
      </c>
      <c r="R25" s="43"/>
      <c r="S25" s="43"/>
      <c r="T25" s="43"/>
      <c r="U25" s="43"/>
    </row>
    <row r="26" spans="1:21" s="11" customFormat="1" x14ac:dyDescent="0.25">
      <c r="A26" s="49" t="s">
        <v>245</v>
      </c>
      <c r="B26" s="50">
        <v>6.97</v>
      </c>
      <c r="C26" s="50">
        <v>15.09</v>
      </c>
      <c r="D26" s="50">
        <v>13.47</v>
      </c>
      <c r="E26" s="50">
        <v>4.17</v>
      </c>
      <c r="F26" s="50">
        <v>3.98</v>
      </c>
      <c r="G26" s="50">
        <v>11.12</v>
      </c>
      <c r="H26" s="50">
        <v>5.7</v>
      </c>
      <c r="I26" s="50">
        <v>0.85</v>
      </c>
      <c r="J26" s="50">
        <v>0.22</v>
      </c>
      <c r="K26" s="50">
        <v>311.27</v>
      </c>
      <c r="L26" s="50">
        <v>22.51</v>
      </c>
      <c r="M26" s="50">
        <v>99.15</v>
      </c>
      <c r="N26" s="50">
        <v>116.5</v>
      </c>
      <c r="O26" s="50">
        <v>0</v>
      </c>
      <c r="P26" s="50">
        <v>0.44</v>
      </c>
      <c r="Q26" s="50">
        <v>9.07</v>
      </c>
      <c r="R26" s="43"/>
      <c r="S26" s="43"/>
      <c r="T26" s="43"/>
      <c r="U26" s="43"/>
    </row>
    <row r="27" spans="1:21" s="11" customFormat="1" x14ac:dyDescent="0.25">
      <c r="A27" s="49" t="s">
        <v>246</v>
      </c>
      <c r="B27" s="50">
        <v>6.82</v>
      </c>
      <c r="C27" s="50">
        <v>14.67</v>
      </c>
      <c r="D27" s="50">
        <v>13.13</v>
      </c>
      <c r="E27" s="50">
        <v>3.99</v>
      </c>
      <c r="F27" s="50">
        <v>3.99</v>
      </c>
      <c r="G27" s="50">
        <v>10.86</v>
      </c>
      <c r="H27" s="50">
        <v>5.5</v>
      </c>
      <c r="I27" s="50">
        <v>0.88</v>
      </c>
      <c r="J27" s="50">
        <v>0.17</v>
      </c>
      <c r="K27" s="50">
        <v>322.89</v>
      </c>
      <c r="L27" s="50">
        <v>22.09</v>
      </c>
      <c r="M27" s="50">
        <v>99.17</v>
      </c>
      <c r="N27" s="50">
        <v>79.099999999999994</v>
      </c>
      <c r="O27" s="50">
        <v>0</v>
      </c>
      <c r="P27" s="50">
        <v>0.44</v>
      </c>
      <c r="Q27" s="50">
        <v>9.0500000000000007</v>
      </c>
      <c r="R27" s="43"/>
      <c r="S27" s="43"/>
      <c r="T27" s="43"/>
      <c r="U27" s="43"/>
    </row>
    <row r="28" spans="1:21" s="11" customFormat="1" x14ac:dyDescent="0.25">
      <c r="A28" s="49" t="s">
        <v>247</v>
      </c>
      <c r="B28" s="50">
        <v>7.41</v>
      </c>
      <c r="C28" s="50">
        <v>15.96</v>
      </c>
      <c r="D28" s="50">
        <v>13.82</v>
      </c>
      <c r="E28" s="50">
        <v>4.04</v>
      </c>
      <c r="F28" s="50">
        <v>3.56</v>
      </c>
      <c r="G28" s="50">
        <v>14.42</v>
      </c>
      <c r="H28" s="50">
        <v>4.57</v>
      </c>
      <c r="I28" s="50">
        <v>1</v>
      </c>
      <c r="J28" s="50">
        <v>0.2</v>
      </c>
      <c r="K28" s="50">
        <v>320.44</v>
      </c>
      <c r="L28" s="50">
        <v>22.08</v>
      </c>
      <c r="M28" s="50">
        <v>99.18</v>
      </c>
      <c r="N28" s="50">
        <v>60.2</v>
      </c>
      <c r="O28" s="50">
        <v>0</v>
      </c>
      <c r="P28" s="50">
        <v>0.39</v>
      </c>
      <c r="Q28" s="50">
        <v>9.08</v>
      </c>
      <c r="R28" s="43"/>
      <c r="S28" s="43"/>
      <c r="T28" s="43"/>
      <c r="U28" s="43"/>
    </row>
    <row r="29" spans="1:21" s="11" customFormat="1" x14ac:dyDescent="0.25">
      <c r="A29" s="49" t="s">
        <v>248</v>
      </c>
      <c r="B29" s="50">
        <v>6.47</v>
      </c>
      <c r="C29" s="50">
        <v>14.41</v>
      </c>
      <c r="D29" s="50">
        <v>12.71</v>
      </c>
      <c r="E29" s="50">
        <v>4.1900000000000004</v>
      </c>
      <c r="F29" s="50">
        <v>3.98</v>
      </c>
      <c r="G29" s="50">
        <v>14.3</v>
      </c>
      <c r="H29" s="50">
        <v>6.11</v>
      </c>
      <c r="I29" s="50">
        <v>1.0900000000000001</v>
      </c>
      <c r="J29" s="50">
        <v>0.17</v>
      </c>
      <c r="K29" s="50">
        <v>324.64999999999998</v>
      </c>
      <c r="L29" s="50">
        <v>22</v>
      </c>
      <c r="M29" s="50">
        <v>98.97</v>
      </c>
      <c r="N29" s="50">
        <v>60</v>
      </c>
      <c r="O29" s="50">
        <v>0</v>
      </c>
      <c r="P29" s="50">
        <v>0.4</v>
      </c>
      <c r="Q29" s="50">
        <v>9.09</v>
      </c>
      <c r="R29" s="43"/>
      <c r="S29" s="43"/>
      <c r="T29" s="43"/>
      <c r="U29" s="43"/>
    </row>
    <row r="30" spans="1:21" s="11" customFormat="1" x14ac:dyDescent="0.25">
      <c r="A30" s="49" t="s">
        <v>249</v>
      </c>
      <c r="B30" s="50">
        <v>6.88</v>
      </c>
      <c r="C30" s="50">
        <v>13.7</v>
      </c>
      <c r="D30" s="50">
        <v>12.23</v>
      </c>
      <c r="E30" s="50">
        <v>4.12</v>
      </c>
      <c r="F30" s="50">
        <v>3.71</v>
      </c>
      <c r="G30" s="50">
        <v>11.84</v>
      </c>
      <c r="H30" s="50">
        <v>5.16</v>
      </c>
      <c r="I30" s="50">
        <v>1.08</v>
      </c>
      <c r="J30" s="50">
        <v>0.16</v>
      </c>
      <c r="K30" s="50">
        <v>334.87</v>
      </c>
      <c r="L30" s="50">
        <v>21.86</v>
      </c>
      <c r="M30" s="50">
        <v>99.08</v>
      </c>
      <c r="N30" s="50">
        <v>60.8</v>
      </c>
      <c r="O30" s="50">
        <v>0</v>
      </c>
      <c r="P30" s="50">
        <v>0.39</v>
      </c>
      <c r="Q30" s="50">
        <v>9.06</v>
      </c>
      <c r="R30" s="43"/>
      <c r="S30" s="43"/>
      <c r="T30" s="43"/>
      <c r="U30" s="43"/>
    </row>
    <row r="31" spans="1:21" s="11" customFormat="1" x14ac:dyDescent="0.25">
      <c r="A31" s="49" t="s">
        <v>250</v>
      </c>
      <c r="B31" s="50">
        <v>6.93</v>
      </c>
      <c r="C31" s="50">
        <v>13.06</v>
      </c>
      <c r="D31" s="50">
        <v>12.28</v>
      </c>
      <c r="E31" s="50">
        <v>4.09</v>
      </c>
      <c r="F31" s="50">
        <v>3.72</v>
      </c>
      <c r="G31" s="50">
        <v>14.9</v>
      </c>
      <c r="H31" s="50">
        <v>3.74</v>
      </c>
      <c r="I31" s="50">
        <v>1.03</v>
      </c>
      <c r="J31" s="50">
        <v>0.21</v>
      </c>
      <c r="K31" s="50">
        <v>325.98</v>
      </c>
      <c r="L31" s="50">
        <v>21.95</v>
      </c>
      <c r="M31" s="50">
        <v>99.08</v>
      </c>
      <c r="N31" s="50">
        <v>63.8</v>
      </c>
      <c r="O31" s="50">
        <v>0</v>
      </c>
      <c r="P31" s="50">
        <v>0.36</v>
      </c>
      <c r="Q31" s="50">
        <v>9.0500000000000007</v>
      </c>
      <c r="R31" s="43"/>
      <c r="S31" s="43"/>
      <c r="T31" s="43"/>
      <c r="U31" s="43"/>
    </row>
    <row r="32" spans="1:21" s="11" customFormat="1" x14ac:dyDescent="0.25">
      <c r="A32" s="49" t="s">
        <v>251</v>
      </c>
      <c r="B32" s="50">
        <v>6.62</v>
      </c>
      <c r="C32" s="50">
        <v>13</v>
      </c>
      <c r="D32" s="50">
        <v>12.1</v>
      </c>
      <c r="E32" s="50">
        <v>5.0599999999999996</v>
      </c>
      <c r="F32" s="50">
        <v>3.56</v>
      </c>
      <c r="G32" s="50">
        <v>13.2</v>
      </c>
      <c r="H32" s="50">
        <v>2.9</v>
      </c>
      <c r="I32" s="50">
        <v>0.99</v>
      </c>
      <c r="J32" s="50">
        <v>0.23</v>
      </c>
      <c r="K32" s="50">
        <v>325.85000000000002</v>
      </c>
      <c r="L32" s="50">
        <v>22.01</v>
      </c>
      <c r="M32" s="50">
        <v>99.06</v>
      </c>
      <c r="N32" s="50">
        <v>66.099999999999994</v>
      </c>
      <c r="O32" s="50">
        <v>0</v>
      </c>
      <c r="P32" s="50">
        <v>0.3</v>
      </c>
      <c r="Q32" s="50">
        <v>9.0399999999999991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3.63</v>
      </c>
      <c r="C34" s="28">
        <f t="shared" si="0"/>
        <v>10.6</v>
      </c>
      <c r="D34" s="28">
        <f t="shared" si="0"/>
        <v>8.39</v>
      </c>
      <c r="E34" s="28">
        <f t="shared" si="0"/>
        <v>3.99</v>
      </c>
      <c r="F34" s="28">
        <f t="shared" si="0"/>
        <v>3.56</v>
      </c>
      <c r="G34" s="28">
        <f t="shared" si="0"/>
        <v>1.43</v>
      </c>
      <c r="H34" s="28">
        <f t="shared" si="0"/>
        <v>2.9</v>
      </c>
      <c r="I34" s="28">
        <f t="shared" si="0"/>
        <v>0.36</v>
      </c>
      <c r="J34" s="28">
        <f t="shared" si="0"/>
        <v>0.14000000000000001</v>
      </c>
      <c r="K34" s="28">
        <f t="shared" si="0"/>
        <v>294.56</v>
      </c>
      <c r="L34" s="28">
        <f t="shared" si="0"/>
        <v>20.96</v>
      </c>
      <c r="M34" s="28">
        <f t="shared" si="0"/>
        <v>98.07</v>
      </c>
      <c r="N34" s="28">
        <f t="shared" si="0"/>
        <v>60</v>
      </c>
      <c r="O34" s="28">
        <f t="shared" si="0"/>
        <v>0</v>
      </c>
      <c r="P34" s="28">
        <f t="shared" si="0"/>
        <v>0.11</v>
      </c>
      <c r="Q34" s="28">
        <f t="shared" si="0"/>
        <v>8.92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7.41</v>
      </c>
      <c r="C35" s="29">
        <f t="shared" si="1"/>
        <v>17.739999999999998</v>
      </c>
      <c r="D35" s="29">
        <f t="shared" si="1"/>
        <v>13.82</v>
      </c>
      <c r="E35" s="29">
        <f t="shared" si="1"/>
        <v>5.0599999999999996</v>
      </c>
      <c r="F35" s="29">
        <f t="shared" si="1"/>
        <v>5.37</v>
      </c>
      <c r="G35" s="29">
        <f t="shared" si="1"/>
        <v>23.26</v>
      </c>
      <c r="H35" s="29">
        <f t="shared" si="1"/>
        <v>7.98</v>
      </c>
      <c r="I35" s="29">
        <f t="shared" si="1"/>
        <v>1.0900000000000001</v>
      </c>
      <c r="J35" s="29">
        <f t="shared" si="1"/>
        <v>0.43</v>
      </c>
      <c r="K35" s="29">
        <f t="shared" si="1"/>
        <v>334.87</v>
      </c>
      <c r="L35" s="29">
        <f t="shared" si="1"/>
        <v>23.13</v>
      </c>
      <c r="M35" s="29">
        <f t="shared" si="1"/>
        <v>99.67</v>
      </c>
      <c r="N35" s="29">
        <f t="shared" si="1"/>
        <v>287.8</v>
      </c>
      <c r="O35" s="29">
        <f t="shared" si="1"/>
        <v>9.1999999999999993</v>
      </c>
      <c r="P35" s="29">
        <f t="shared" si="1"/>
        <v>0.44</v>
      </c>
      <c r="Q35" s="29">
        <f t="shared" si="1"/>
        <v>9.09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5.8762499999999998</v>
      </c>
      <c r="C36" s="28">
        <f t="shared" si="2"/>
        <v>13.7675</v>
      </c>
      <c r="D36" s="28">
        <f t="shared" si="2"/>
        <v>11.711666666666666</v>
      </c>
      <c r="E36" s="28">
        <f t="shared" si="2"/>
        <v>4.4550000000000001</v>
      </c>
      <c r="F36" s="28">
        <f t="shared" si="2"/>
        <v>4.0733333333333333</v>
      </c>
      <c r="G36" s="28">
        <f t="shared" si="2"/>
        <v>10.597916666666666</v>
      </c>
      <c r="H36" s="28">
        <f t="shared" si="2"/>
        <v>5.3066666666666666</v>
      </c>
      <c r="I36" s="28">
        <f t="shared" si="2"/>
        <v>0.72791666666666666</v>
      </c>
      <c r="J36" s="28">
        <f t="shared" si="2"/>
        <v>0.23916666666666667</v>
      </c>
      <c r="K36" s="28">
        <f t="shared" si="2"/>
        <v>311.27624999999995</v>
      </c>
      <c r="L36" s="28">
        <f t="shared" si="2"/>
        <v>21.786666666666665</v>
      </c>
      <c r="M36" s="28">
        <f t="shared" si="2"/>
        <v>99.07416666666667</v>
      </c>
      <c r="N36" s="28">
        <f t="shared" si="2"/>
        <v>113.96666666666665</v>
      </c>
      <c r="O36" s="28">
        <f t="shared" si="2"/>
        <v>0.98333333333333328</v>
      </c>
      <c r="P36" s="28">
        <f t="shared" si="2"/>
        <v>0.25999999999999995</v>
      </c>
      <c r="Q36" s="28">
        <f t="shared" si="2"/>
        <v>9.0266666666666691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1.1587730111218253</v>
      </c>
      <c r="C37" s="28">
        <f t="shared" ref="C37:Q37" si="3">STDEV(C9:C32)</f>
        <v>1.9584071833130627</v>
      </c>
      <c r="D37" s="28">
        <f t="shared" si="3"/>
        <v>1.6603762451210708</v>
      </c>
      <c r="E37" s="28">
        <f t="shared" si="3"/>
        <v>0.29165196650325775</v>
      </c>
      <c r="F37" s="28">
        <f t="shared" si="3"/>
        <v>0.47113799941498552</v>
      </c>
      <c r="G37" s="28">
        <f t="shared" si="3"/>
        <v>5.8010591080734821</v>
      </c>
      <c r="H37" s="28">
        <f t="shared" si="3"/>
        <v>1.3783876018567451</v>
      </c>
      <c r="I37" s="28">
        <f t="shared" si="3"/>
        <v>0.23036793192189561</v>
      </c>
      <c r="J37" s="28">
        <f t="shared" si="3"/>
        <v>6.5336364910439676E-2</v>
      </c>
      <c r="K37" s="28">
        <f t="shared" si="3"/>
        <v>11.874409756498109</v>
      </c>
      <c r="L37" s="28">
        <f t="shared" si="3"/>
        <v>0.61944341543641945</v>
      </c>
      <c r="M37" s="28">
        <f t="shared" si="3"/>
        <v>0.35918890109059293</v>
      </c>
      <c r="N37" s="28">
        <f t="shared" si="3"/>
        <v>57.064705201290131</v>
      </c>
      <c r="O37" s="28">
        <f t="shared" si="3"/>
        <v>2.4923651534177353</v>
      </c>
      <c r="P37" s="28">
        <f t="shared" si="3"/>
        <v>0.11155033958204513</v>
      </c>
      <c r="Q37" s="28">
        <f t="shared" si="3"/>
        <v>5.0188052160949279E-2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COUNT(H9:H32)+9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252</v>
      </c>
      <c r="B9" s="53">
        <v>5.39</v>
      </c>
      <c r="C9" s="53">
        <v>12.58</v>
      </c>
      <c r="D9" s="53">
        <v>10.89</v>
      </c>
      <c r="E9" s="53">
        <v>5.46</v>
      </c>
      <c r="F9" s="53">
        <v>3.88</v>
      </c>
      <c r="G9" s="53">
        <v>13.8</v>
      </c>
      <c r="H9" s="53">
        <v>6.27</v>
      </c>
      <c r="I9" s="53">
        <v>0.76</v>
      </c>
      <c r="J9" s="53">
        <v>0.23</v>
      </c>
      <c r="K9" s="53">
        <v>314.52</v>
      </c>
      <c r="L9" s="53">
        <v>22.1</v>
      </c>
      <c r="M9" s="53">
        <v>99.13</v>
      </c>
      <c r="N9" s="53">
        <v>67.2</v>
      </c>
      <c r="O9" s="53">
        <v>0</v>
      </c>
      <c r="P9" s="53">
        <v>0.24</v>
      </c>
      <c r="Q9" s="53">
        <v>9.0299999999999994</v>
      </c>
      <c r="R9" s="43"/>
      <c r="S9" s="43"/>
      <c r="T9" s="43"/>
      <c r="U9" s="43"/>
    </row>
    <row r="10" spans="1:21" s="11" customFormat="1" x14ac:dyDescent="0.25">
      <c r="A10" s="52" t="s">
        <v>253</v>
      </c>
      <c r="B10" s="53">
        <v>4.4000000000000004</v>
      </c>
      <c r="C10" s="53">
        <v>11.76</v>
      </c>
      <c r="D10" s="53">
        <v>9.67</v>
      </c>
      <c r="E10" s="53">
        <v>5.08</v>
      </c>
      <c r="F10" s="53">
        <v>4.33</v>
      </c>
      <c r="G10" s="53">
        <v>11.85</v>
      </c>
      <c r="H10" s="53">
        <v>5.43</v>
      </c>
      <c r="I10" s="53">
        <v>0.69</v>
      </c>
      <c r="J10" s="53">
        <v>0.25</v>
      </c>
      <c r="K10" s="53">
        <v>310.18</v>
      </c>
      <c r="L10" s="53">
        <v>22.06</v>
      </c>
      <c r="M10" s="53">
        <v>99.14</v>
      </c>
      <c r="N10" s="53">
        <v>68.099999999999994</v>
      </c>
      <c r="O10" s="53">
        <v>0</v>
      </c>
      <c r="P10" s="53">
        <v>0.22</v>
      </c>
      <c r="Q10" s="53">
        <v>9</v>
      </c>
      <c r="R10" s="43"/>
      <c r="S10" s="43"/>
      <c r="T10" s="43"/>
      <c r="U10" s="43"/>
    </row>
    <row r="11" spans="1:21" s="11" customFormat="1" x14ac:dyDescent="0.25">
      <c r="A11" s="52" t="s">
        <v>254</v>
      </c>
      <c r="B11" s="53">
        <v>4.2300000000000004</v>
      </c>
      <c r="C11" s="53">
        <v>11.23</v>
      </c>
      <c r="D11" s="53">
        <v>9.26</v>
      </c>
      <c r="E11" s="53">
        <v>5.22</v>
      </c>
      <c r="F11" s="53">
        <v>4.46</v>
      </c>
      <c r="G11" s="53">
        <v>9.19</v>
      </c>
      <c r="H11" s="53">
        <v>4.13</v>
      </c>
      <c r="I11" s="53">
        <v>0.56000000000000005</v>
      </c>
      <c r="J11" s="53">
        <v>0.25</v>
      </c>
      <c r="K11" s="53">
        <v>315.39999999999998</v>
      </c>
      <c r="L11" s="53">
        <v>22.05</v>
      </c>
      <c r="M11" s="53">
        <v>99.13</v>
      </c>
      <c r="N11" s="53">
        <v>72.599999999999994</v>
      </c>
      <c r="O11" s="53">
        <v>2.4</v>
      </c>
      <c r="P11" s="53">
        <v>0.18</v>
      </c>
      <c r="Q11" s="53">
        <v>8.94</v>
      </c>
      <c r="R11" s="43"/>
      <c r="S11" s="43"/>
      <c r="T11" s="43"/>
      <c r="U11" s="43"/>
    </row>
    <row r="12" spans="1:21" s="11" customFormat="1" x14ac:dyDescent="0.25">
      <c r="A12" s="52" t="s">
        <v>255</v>
      </c>
      <c r="B12" s="53">
        <v>4.28</v>
      </c>
      <c r="C12" s="53">
        <v>10.82</v>
      </c>
      <c r="D12" s="53">
        <v>9.0500000000000007</v>
      </c>
      <c r="E12" s="53">
        <v>5.09</v>
      </c>
      <c r="F12" s="53">
        <v>4.0999999999999996</v>
      </c>
      <c r="G12" s="53">
        <v>8.67</v>
      </c>
      <c r="H12" s="53">
        <v>3.13</v>
      </c>
      <c r="I12" s="53">
        <v>0.5</v>
      </c>
      <c r="J12" s="53">
        <v>0.21</v>
      </c>
      <c r="K12" s="53">
        <v>322.45999999999998</v>
      </c>
      <c r="L12" s="53">
        <v>21.31</v>
      </c>
      <c r="M12" s="53">
        <v>99.05</v>
      </c>
      <c r="N12" s="53">
        <v>81.3</v>
      </c>
      <c r="O12" s="53">
        <v>2.4</v>
      </c>
      <c r="P12" s="53">
        <v>0.16</v>
      </c>
      <c r="Q12" s="53">
        <v>8.93</v>
      </c>
      <c r="R12" s="43"/>
      <c r="S12" s="43"/>
      <c r="T12" s="43"/>
      <c r="U12" s="43"/>
    </row>
    <row r="13" spans="1:21" s="11" customFormat="1" x14ac:dyDescent="0.25">
      <c r="A13" s="52" t="s">
        <v>256</v>
      </c>
      <c r="B13" s="53">
        <v>4.6900000000000004</v>
      </c>
      <c r="C13" s="53">
        <v>10.34</v>
      </c>
      <c r="D13" s="53">
        <v>8.99</v>
      </c>
      <c r="E13" s="53">
        <v>4.9800000000000004</v>
      </c>
      <c r="F13" s="53">
        <v>4.82</v>
      </c>
      <c r="G13" s="53">
        <v>8.4</v>
      </c>
      <c r="H13" s="53">
        <v>4.12</v>
      </c>
      <c r="I13" s="53">
        <v>0.44</v>
      </c>
      <c r="J13" s="53">
        <v>0.45</v>
      </c>
      <c r="K13" s="53">
        <v>331.73</v>
      </c>
      <c r="L13" s="53">
        <v>21.11</v>
      </c>
      <c r="M13" s="53">
        <v>98.87</v>
      </c>
      <c r="N13" s="53">
        <v>75.8</v>
      </c>
      <c r="O13" s="53">
        <v>1.2</v>
      </c>
      <c r="P13" s="53">
        <v>0.14000000000000001</v>
      </c>
      <c r="Q13" s="53">
        <v>8.98</v>
      </c>
      <c r="R13" s="43"/>
      <c r="S13" s="43"/>
      <c r="T13" s="43"/>
      <c r="U13" s="43"/>
    </row>
    <row r="14" spans="1:21" s="11" customFormat="1" x14ac:dyDescent="0.25">
      <c r="A14" s="52" t="s">
        <v>257</v>
      </c>
      <c r="B14" s="53">
        <v>5.8</v>
      </c>
      <c r="C14" s="53">
        <v>10.11</v>
      </c>
      <c r="D14" s="53">
        <v>9.83</v>
      </c>
      <c r="E14" s="53">
        <v>5.13</v>
      </c>
      <c r="F14" s="53">
        <v>3.81</v>
      </c>
      <c r="G14" s="53">
        <v>6.78</v>
      </c>
      <c r="H14" s="53">
        <v>3.48</v>
      </c>
      <c r="I14" s="53">
        <v>0.44</v>
      </c>
      <c r="J14" s="53">
        <v>0.27</v>
      </c>
      <c r="K14" s="53">
        <v>314.35000000000002</v>
      </c>
      <c r="L14" s="53">
        <v>21.08</v>
      </c>
      <c r="M14" s="53">
        <v>98.89</v>
      </c>
      <c r="N14" s="53">
        <v>84.7</v>
      </c>
      <c r="O14" s="53">
        <v>0.4</v>
      </c>
      <c r="P14" s="53">
        <v>0.15</v>
      </c>
      <c r="Q14" s="53">
        <v>8.99</v>
      </c>
      <c r="R14" s="43"/>
      <c r="S14" s="43"/>
      <c r="T14" s="43"/>
      <c r="U14" s="43"/>
    </row>
    <row r="15" spans="1:21" s="11" customFormat="1" x14ac:dyDescent="0.25">
      <c r="A15" s="52" t="s">
        <v>258</v>
      </c>
      <c r="B15" s="53">
        <v>6.17</v>
      </c>
      <c r="C15" s="53">
        <v>10.67</v>
      </c>
      <c r="D15" s="53">
        <v>10.51</v>
      </c>
      <c r="E15" s="53">
        <v>5.16</v>
      </c>
      <c r="F15" s="53">
        <v>4.13</v>
      </c>
      <c r="G15" s="53">
        <v>5.53</v>
      </c>
      <c r="H15" s="53">
        <v>2.5</v>
      </c>
      <c r="I15" s="53">
        <v>0.46</v>
      </c>
      <c r="J15" s="53">
        <v>0.33</v>
      </c>
      <c r="K15" s="53">
        <v>309.18</v>
      </c>
      <c r="L15" s="53">
        <v>21.12</v>
      </c>
      <c r="M15" s="53">
        <v>98.88</v>
      </c>
      <c r="N15" s="53">
        <v>80.7</v>
      </c>
      <c r="O15" s="53">
        <v>0.4</v>
      </c>
      <c r="P15" s="53">
        <v>0.15</v>
      </c>
      <c r="Q15" s="53">
        <v>8.98</v>
      </c>
      <c r="R15" s="43"/>
      <c r="S15" s="43"/>
      <c r="T15" s="43"/>
      <c r="U15" s="43"/>
    </row>
    <row r="16" spans="1:21" s="11" customFormat="1" x14ac:dyDescent="0.25">
      <c r="A16" s="52" t="s">
        <v>259</v>
      </c>
      <c r="B16" s="53">
        <v>7.25</v>
      </c>
      <c r="C16" s="53">
        <v>12.47</v>
      </c>
      <c r="D16" s="53">
        <v>12.1</v>
      </c>
      <c r="E16" s="53">
        <v>4.96</v>
      </c>
      <c r="F16" s="53">
        <v>4.08</v>
      </c>
      <c r="G16" s="53">
        <v>4.4800000000000004</v>
      </c>
      <c r="H16" s="53">
        <v>2.5</v>
      </c>
      <c r="I16" s="53">
        <v>0.48</v>
      </c>
      <c r="J16" s="53">
        <v>0.23</v>
      </c>
      <c r="K16" s="53">
        <v>314.55</v>
      </c>
      <c r="L16" s="53">
        <v>21</v>
      </c>
      <c r="M16" s="53">
        <v>98.88</v>
      </c>
      <c r="N16" s="53">
        <v>103.9</v>
      </c>
      <c r="O16" s="53">
        <v>5.6</v>
      </c>
      <c r="P16" s="53">
        <v>0.2</v>
      </c>
      <c r="Q16" s="53">
        <v>8.98</v>
      </c>
      <c r="R16" s="43"/>
      <c r="S16" s="43"/>
      <c r="T16" s="43"/>
      <c r="U16" s="43"/>
    </row>
    <row r="17" spans="1:21" s="11" customFormat="1" x14ac:dyDescent="0.25">
      <c r="A17" s="52" t="s">
        <v>260</v>
      </c>
      <c r="B17" s="53">
        <v>5.28</v>
      </c>
      <c r="C17" s="53">
        <v>13.13</v>
      </c>
      <c r="D17" s="53">
        <v>10.88</v>
      </c>
      <c r="E17" s="53">
        <v>5.04</v>
      </c>
      <c r="F17" s="53">
        <v>3.77</v>
      </c>
      <c r="G17" s="53">
        <v>3.28</v>
      </c>
      <c r="H17" s="53">
        <v>3.6</v>
      </c>
      <c r="I17" s="53">
        <v>0.53</v>
      </c>
      <c r="J17" s="53">
        <v>0.25</v>
      </c>
      <c r="K17" s="53">
        <v>300.02999999999997</v>
      </c>
      <c r="L17" s="53">
        <v>21.05</v>
      </c>
      <c r="M17" s="53">
        <v>98.78</v>
      </c>
      <c r="N17" s="53">
        <v>233.6</v>
      </c>
      <c r="O17" s="53">
        <v>0.4</v>
      </c>
      <c r="P17" s="53">
        <v>0.22</v>
      </c>
      <c r="Q17" s="53">
        <v>9</v>
      </c>
      <c r="R17" s="43"/>
      <c r="S17" s="43"/>
      <c r="T17" s="43"/>
      <c r="U17" s="43"/>
    </row>
    <row r="18" spans="1:21" s="11" customFormat="1" x14ac:dyDescent="0.25">
      <c r="A18" s="52" t="s">
        <v>261</v>
      </c>
      <c r="B18" s="53">
        <v>5.09</v>
      </c>
      <c r="C18" s="53">
        <v>13.26</v>
      </c>
      <c r="D18" s="53">
        <v>11.01</v>
      </c>
      <c r="E18" s="53">
        <v>4.7300000000000004</v>
      </c>
      <c r="F18" s="53">
        <v>3.87</v>
      </c>
      <c r="G18" s="53">
        <v>2.5499999999999998</v>
      </c>
      <c r="H18" s="53">
        <v>2.87</v>
      </c>
      <c r="I18" s="53">
        <v>0.57999999999999996</v>
      </c>
      <c r="J18" s="53">
        <v>0.27</v>
      </c>
      <c r="K18" s="53">
        <v>296.49</v>
      </c>
      <c r="L18" s="53">
        <v>22.06</v>
      </c>
      <c r="M18" s="53">
        <v>98.74</v>
      </c>
      <c r="N18" s="53">
        <v>224.4</v>
      </c>
      <c r="O18" s="53">
        <v>0</v>
      </c>
      <c r="P18" s="53">
        <v>0.26</v>
      </c>
      <c r="Q18" s="53">
        <v>9.01</v>
      </c>
      <c r="R18" s="43"/>
      <c r="S18" s="43"/>
      <c r="T18" s="43"/>
      <c r="U18" s="43"/>
    </row>
    <row r="19" spans="1:21" s="11" customFormat="1" x14ac:dyDescent="0.25">
      <c r="A19" s="52" t="s">
        <v>262</v>
      </c>
      <c r="B19" s="53">
        <v>5.85</v>
      </c>
      <c r="C19" s="53">
        <v>14.43</v>
      </c>
      <c r="D19" s="53">
        <v>12</v>
      </c>
      <c r="E19" s="53">
        <v>4.9800000000000004</v>
      </c>
      <c r="F19" s="53">
        <v>4.4800000000000004</v>
      </c>
      <c r="G19" s="53">
        <v>2.48</v>
      </c>
      <c r="H19" s="53">
        <v>2.19</v>
      </c>
      <c r="I19" s="53">
        <v>0.67</v>
      </c>
      <c r="J19" s="53">
        <v>0.3</v>
      </c>
      <c r="K19" s="53">
        <v>299.45999999999998</v>
      </c>
      <c r="L19" s="53">
        <v>22.29</v>
      </c>
      <c r="M19" s="53">
        <v>98.76</v>
      </c>
      <c r="N19" s="53">
        <v>183.7</v>
      </c>
      <c r="O19" s="53">
        <v>0</v>
      </c>
      <c r="P19" s="53">
        <v>0.32</v>
      </c>
      <c r="Q19" s="53">
        <v>9</v>
      </c>
      <c r="R19" s="43"/>
      <c r="S19" s="43"/>
      <c r="T19" s="43"/>
      <c r="U19" s="43"/>
    </row>
    <row r="20" spans="1:21" s="11" customFormat="1" x14ac:dyDescent="0.25">
      <c r="A20" s="52" t="s">
        <v>263</v>
      </c>
      <c r="B20" s="53">
        <v>6.16</v>
      </c>
      <c r="C20" s="53">
        <v>14.05</v>
      </c>
      <c r="D20" s="53">
        <v>12.26</v>
      </c>
      <c r="E20" s="53">
        <v>4.8</v>
      </c>
      <c r="F20" s="53">
        <v>3.89</v>
      </c>
      <c r="G20" s="53">
        <v>2.16</v>
      </c>
      <c r="H20" s="53">
        <v>1.6</v>
      </c>
      <c r="I20" s="53">
        <v>0.72</v>
      </c>
      <c r="J20" s="53">
        <v>0.3</v>
      </c>
      <c r="K20" s="53">
        <v>293.55</v>
      </c>
      <c r="L20" s="53">
        <v>22.88</v>
      </c>
      <c r="M20" s="53">
        <v>98.66</v>
      </c>
      <c r="N20" s="53">
        <v>271.60000000000002</v>
      </c>
      <c r="O20" s="53">
        <v>0.2</v>
      </c>
      <c r="P20" s="53">
        <v>0.36</v>
      </c>
      <c r="Q20" s="53">
        <v>9.01</v>
      </c>
      <c r="R20" s="43"/>
      <c r="S20" s="43"/>
      <c r="T20" s="43"/>
      <c r="U20" s="43"/>
    </row>
    <row r="21" spans="1:21" s="11" customFormat="1" x14ac:dyDescent="0.25">
      <c r="A21" s="52" t="s">
        <v>264</v>
      </c>
      <c r="B21" s="53">
        <v>6.07</v>
      </c>
      <c r="C21" s="53">
        <v>14.18</v>
      </c>
      <c r="D21" s="53">
        <v>12.28</v>
      </c>
      <c r="E21" s="53">
        <v>4.93</v>
      </c>
      <c r="F21" s="53">
        <v>3.67</v>
      </c>
      <c r="G21" s="53">
        <v>5.07</v>
      </c>
      <c r="H21" s="53">
        <v>1.2</v>
      </c>
      <c r="I21" s="53">
        <v>0.77</v>
      </c>
      <c r="J21" s="53">
        <v>0.25</v>
      </c>
      <c r="K21" s="53">
        <v>287.27999999999997</v>
      </c>
      <c r="L21" s="53">
        <v>23.54</v>
      </c>
      <c r="M21" s="53">
        <v>98.7</v>
      </c>
      <c r="N21" s="53">
        <v>302.7</v>
      </c>
      <c r="O21" s="53">
        <v>0</v>
      </c>
      <c r="P21" s="53">
        <v>0.36</v>
      </c>
      <c r="Q21" s="53">
        <v>9.0299999999999994</v>
      </c>
      <c r="R21" s="43"/>
      <c r="S21" s="43"/>
      <c r="T21" s="43"/>
      <c r="U21" s="43"/>
    </row>
    <row r="22" spans="1:21" s="11" customFormat="1" x14ac:dyDescent="0.25">
      <c r="A22" s="52" t="s">
        <v>265</v>
      </c>
      <c r="B22" s="53">
        <v>5.32</v>
      </c>
      <c r="C22" s="53">
        <v>14.16</v>
      </c>
      <c r="D22" s="53">
        <v>11.66</v>
      </c>
      <c r="E22" s="53">
        <v>4.8899999999999997</v>
      </c>
      <c r="F22" s="53">
        <v>3.83</v>
      </c>
      <c r="G22" s="53">
        <v>4.3899999999999997</v>
      </c>
      <c r="H22" s="53">
        <v>1.26</v>
      </c>
      <c r="I22" s="53">
        <v>0.81</v>
      </c>
      <c r="J22" s="53">
        <v>0.36</v>
      </c>
      <c r="K22" s="53">
        <v>294.43</v>
      </c>
      <c r="L22" s="53">
        <v>23.29</v>
      </c>
      <c r="M22" s="53">
        <v>98.77</v>
      </c>
      <c r="N22" s="53">
        <v>225</v>
      </c>
      <c r="O22" s="53">
        <v>0</v>
      </c>
      <c r="P22" s="53">
        <v>0.28999999999999998</v>
      </c>
      <c r="Q22" s="53">
        <v>9.02</v>
      </c>
      <c r="R22" s="43"/>
      <c r="S22" s="43"/>
      <c r="T22" s="43"/>
      <c r="U22" s="43"/>
    </row>
    <row r="23" spans="1:21" s="11" customFormat="1" x14ac:dyDescent="0.25">
      <c r="A23" s="52" t="s">
        <v>266</v>
      </c>
      <c r="B23" s="53">
        <v>5.0599999999999996</v>
      </c>
      <c r="C23" s="53">
        <v>14.47</v>
      </c>
      <c r="D23" s="53">
        <v>11.62</v>
      </c>
      <c r="E23" s="53">
        <v>4.7</v>
      </c>
      <c r="F23" s="53">
        <v>4.47</v>
      </c>
      <c r="G23" s="53">
        <v>3.31</v>
      </c>
      <c r="H23" s="53">
        <v>1.1000000000000001</v>
      </c>
      <c r="I23" s="53">
        <v>0.81</v>
      </c>
      <c r="J23" s="53">
        <v>0.32</v>
      </c>
      <c r="K23" s="53">
        <v>289.56</v>
      </c>
      <c r="L23" s="53">
        <v>24.03</v>
      </c>
      <c r="M23" s="53">
        <v>98.77</v>
      </c>
      <c r="N23" s="53">
        <v>285.8</v>
      </c>
      <c r="O23" s="53">
        <v>0</v>
      </c>
      <c r="P23" s="53">
        <v>0.28999999999999998</v>
      </c>
      <c r="Q23" s="53">
        <v>9.02</v>
      </c>
      <c r="R23" s="43"/>
      <c r="S23" s="43"/>
      <c r="T23" s="43"/>
      <c r="U23" s="43"/>
    </row>
    <row r="24" spans="1:21" s="11" customFormat="1" x14ac:dyDescent="0.25">
      <c r="A24" s="52" t="s">
        <v>267</v>
      </c>
      <c r="B24" s="53">
        <v>5.01</v>
      </c>
      <c r="C24" s="53">
        <v>14.64</v>
      </c>
      <c r="D24" s="53">
        <v>11.51</v>
      </c>
      <c r="E24" s="53">
        <v>4.91</v>
      </c>
      <c r="F24" s="53">
        <v>4.8</v>
      </c>
      <c r="G24" s="53">
        <v>8.25</v>
      </c>
      <c r="H24" s="53">
        <v>0.94</v>
      </c>
      <c r="I24" s="53">
        <v>0.72</v>
      </c>
      <c r="J24" s="53">
        <v>0.3</v>
      </c>
      <c r="K24" s="53">
        <v>292.39</v>
      </c>
      <c r="L24" s="53">
        <v>23.89</v>
      </c>
      <c r="M24" s="53">
        <v>98.9</v>
      </c>
      <c r="N24" s="53">
        <v>171.4</v>
      </c>
      <c r="O24" s="53">
        <v>0</v>
      </c>
      <c r="P24" s="53">
        <v>0.28999999999999998</v>
      </c>
      <c r="Q24" s="53">
        <v>8.99</v>
      </c>
      <c r="R24" s="43"/>
      <c r="S24" s="43"/>
      <c r="T24" s="43"/>
      <c r="U24" s="43"/>
    </row>
    <row r="25" spans="1:21" s="11" customFormat="1" x14ac:dyDescent="0.25">
      <c r="A25" s="52" t="s">
        <v>268</v>
      </c>
      <c r="B25" s="53">
        <v>4.5199999999999996</v>
      </c>
      <c r="C25" s="53">
        <v>14.39</v>
      </c>
      <c r="D25" s="53">
        <v>11.14</v>
      </c>
      <c r="E25" s="53">
        <v>4.8499999999999996</v>
      </c>
      <c r="F25" s="53">
        <v>4.58</v>
      </c>
      <c r="G25" s="53">
        <v>11.39</v>
      </c>
      <c r="H25" s="53">
        <v>0.89</v>
      </c>
      <c r="I25" s="53">
        <v>0.7</v>
      </c>
      <c r="J25" s="53">
        <v>0.28000000000000003</v>
      </c>
      <c r="K25" s="53">
        <v>296.01</v>
      </c>
      <c r="L25" s="53">
        <v>23.55</v>
      </c>
      <c r="M25" s="53">
        <v>99.1</v>
      </c>
      <c r="N25" s="53">
        <v>148</v>
      </c>
      <c r="O25" s="53">
        <v>0</v>
      </c>
      <c r="P25" s="53">
        <v>0.25</v>
      </c>
      <c r="Q25" s="53">
        <v>8.9700000000000006</v>
      </c>
      <c r="R25" s="43"/>
      <c r="S25" s="43"/>
      <c r="T25" s="43"/>
      <c r="U25" s="43"/>
    </row>
    <row r="26" spans="1:21" s="11" customFormat="1" x14ac:dyDescent="0.25">
      <c r="A26" s="52" t="s">
        <v>269</v>
      </c>
      <c r="B26" s="53">
        <v>5.93</v>
      </c>
      <c r="C26" s="53">
        <v>16.36</v>
      </c>
      <c r="D26" s="53">
        <v>13.31</v>
      </c>
      <c r="E26" s="53">
        <v>4.6500000000000004</v>
      </c>
      <c r="F26" s="53">
        <v>4.37</v>
      </c>
      <c r="G26" s="53">
        <v>12.56</v>
      </c>
      <c r="H26" s="53">
        <v>0.93</v>
      </c>
      <c r="I26" s="53">
        <v>0.67</v>
      </c>
      <c r="J26" s="53">
        <v>0.22</v>
      </c>
      <c r="K26" s="53">
        <v>308.11</v>
      </c>
      <c r="L26" s="53">
        <v>23.05</v>
      </c>
      <c r="M26" s="53">
        <v>98.78</v>
      </c>
      <c r="N26" s="53">
        <v>86.1</v>
      </c>
      <c r="O26" s="53">
        <v>0</v>
      </c>
      <c r="P26" s="53">
        <v>0.27</v>
      </c>
      <c r="Q26" s="53">
        <v>9.02</v>
      </c>
      <c r="R26" s="43"/>
      <c r="S26" s="43"/>
      <c r="T26" s="43"/>
      <c r="U26" s="43"/>
    </row>
    <row r="27" spans="1:21" s="11" customFormat="1" x14ac:dyDescent="0.25">
      <c r="A27" s="52" t="s">
        <v>270</v>
      </c>
      <c r="B27" s="53">
        <v>5.85</v>
      </c>
      <c r="C27" s="53">
        <v>16.13</v>
      </c>
      <c r="D27" s="53">
        <v>13.12</v>
      </c>
      <c r="E27" s="53">
        <v>4.79</v>
      </c>
      <c r="F27" s="53">
        <v>4.53</v>
      </c>
      <c r="G27" s="53">
        <v>11.87</v>
      </c>
      <c r="H27" s="53">
        <v>0.88</v>
      </c>
      <c r="I27" s="53">
        <v>0.77</v>
      </c>
      <c r="J27" s="53">
        <v>0.3</v>
      </c>
      <c r="K27" s="53">
        <v>316.08999999999997</v>
      </c>
      <c r="L27" s="53">
        <v>22.48</v>
      </c>
      <c r="M27" s="53">
        <v>98.61</v>
      </c>
      <c r="N27" s="53">
        <v>56</v>
      </c>
      <c r="O27" s="53">
        <v>0</v>
      </c>
      <c r="P27" s="53">
        <v>0.31</v>
      </c>
      <c r="Q27" s="53">
        <v>9.0399999999999991</v>
      </c>
      <c r="R27" s="43"/>
      <c r="S27" s="43"/>
      <c r="T27" s="43"/>
      <c r="U27" s="43"/>
    </row>
    <row r="28" spans="1:21" s="11" customFormat="1" x14ac:dyDescent="0.25">
      <c r="A28" s="52" t="s">
        <v>271</v>
      </c>
      <c r="B28" s="53">
        <v>5.41</v>
      </c>
      <c r="C28" s="53">
        <v>14.14</v>
      </c>
      <c r="D28" s="53">
        <v>11.66</v>
      </c>
      <c r="E28" s="53">
        <v>5.0199999999999996</v>
      </c>
      <c r="F28" s="53">
        <v>3.76</v>
      </c>
      <c r="G28" s="53">
        <v>13.22</v>
      </c>
      <c r="H28" s="53">
        <v>1.23</v>
      </c>
      <c r="I28" s="53">
        <v>0.86</v>
      </c>
      <c r="J28" s="53">
        <v>0.19</v>
      </c>
      <c r="K28" s="53">
        <v>323.74</v>
      </c>
      <c r="L28" s="53">
        <v>22.11</v>
      </c>
      <c r="M28" s="53">
        <v>98.7</v>
      </c>
      <c r="N28" s="53">
        <v>53.7</v>
      </c>
      <c r="O28" s="53">
        <v>0</v>
      </c>
      <c r="P28" s="53">
        <v>0.34</v>
      </c>
      <c r="Q28" s="53">
        <v>9.01</v>
      </c>
      <c r="R28" s="43"/>
      <c r="S28" s="43"/>
      <c r="T28" s="43"/>
      <c r="U28" s="43"/>
    </row>
    <row r="29" spans="1:21" s="11" customFormat="1" x14ac:dyDescent="0.25">
      <c r="A29" s="52" t="s">
        <v>272</v>
      </c>
      <c r="B29" s="53">
        <v>6.4</v>
      </c>
      <c r="C29" s="53">
        <v>13.34</v>
      </c>
      <c r="D29" s="53">
        <v>11.97</v>
      </c>
      <c r="E29" s="53">
        <v>4.8499999999999996</v>
      </c>
      <c r="F29" s="53">
        <v>3.73</v>
      </c>
      <c r="G29" s="53">
        <v>17.7</v>
      </c>
      <c r="H29" s="53">
        <v>1.38</v>
      </c>
      <c r="I29" s="53">
        <v>1.02</v>
      </c>
      <c r="J29" s="53">
        <v>0.2</v>
      </c>
      <c r="K29" s="53">
        <v>329.2</v>
      </c>
      <c r="L29" s="53">
        <v>22.24</v>
      </c>
      <c r="M29" s="53">
        <v>98.72</v>
      </c>
      <c r="N29" s="53">
        <v>53.9</v>
      </c>
      <c r="O29" s="53">
        <v>0</v>
      </c>
      <c r="P29" s="53">
        <v>0.38</v>
      </c>
      <c r="Q29" s="53">
        <v>9.02</v>
      </c>
      <c r="R29" s="43"/>
      <c r="S29" s="43"/>
      <c r="T29" s="43"/>
      <c r="U29" s="43"/>
    </row>
    <row r="30" spans="1:21" s="11" customFormat="1" x14ac:dyDescent="0.25">
      <c r="A30" s="52" t="s">
        <v>273</v>
      </c>
      <c r="B30" s="53">
        <v>6.53</v>
      </c>
      <c r="C30" s="53">
        <v>13.6</v>
      </c>
      <c r="D30" s="53">
        <v>12.27</v>
      </c>
      <c r="E30" s="53">
        <v>4.6100000000000003</v>
      </c>
      <c r="F30" s="53">
        <v>3.76</v>
      </c>
      <c r="G30" s="53">
        <v>18.829999999999998</v>
      </c>
      <c r="H30" s="53">
        <v>1.39</v>
      </c>
      <c r="I30" s="53">
        <v>1.05</v>
      </c>
      <c r="J30" s="53">
        <v>0.18</v>
      </c>
      <c r="K30" s="53">
        <v>332.76</v>
      </c>
      <c r="L30" s="53">
        <v>22.25</v>
      </c>
      <c r="M30" s="53">
        <v>98.75</v>
      </c>
      <c r="N30" s="53">
        <v>54</v>
      </c>
      <c r="O30" s="53">
        <v>0.4</v>
      </c>
      <c r="P30" s="53">
        <v>0.38</v>
      </c>
      <c r="Q30" s="53">
        <v>9.06</v>
      </c>
      <c r="R30" s="43"/>
      <c r="S30" s="43"/>
      <c r="T30" s="43"/>
      <c r="U30" s="43"/>
    </row>
    <row r="31" spans="1:21" s="11" customFormat="1" x14ac:dyDescent="0.25">
      <c r="A31" s="52" t="s">
        <v>274</v>
      </c>
      <c r="B31" s="53">
        <v>6.38</v>
      </c>
      <c r="C31" s="53">
        <v>12.94</v>
      </c>
      <c r="D31" s="53">
        <v>11.88</v>
      </c>
      <c r="E31" s="53">
        <v>4.92</v>
      </c>
      <c r="F31" s="53">
        <v>3.92</v>
      </c>
      <c r="G31" s="53">
        <v>20.47</v>
      </c>
      <c r="H31" s="53">
        <v>1.38</v>
      </c>
      <c r="I31" s="53">
        <v>0.97</v>
      </c>
      <c r="J31" s="53">
        <v>0.16</v>
      </c>
      <c r="K31" s="53">
        <v>324.05</v>
      </c>
      <c r="L31" s="53">
        <v>22.11</v>
      </c>
      <c r="M31" s="53">
        <v>98.78</v>
      </c>
      <c r="N31" s="53">
        <v>54.2</v>
      </c>
      <c r="O31" s="53">
        <v>0</v>
      </c>
      <c r="P31" s="53">
        <v>0.36</v>
      </c>
      <c r="Q31" s="53">
        <v>9.0500000000000007</v>
      </c>
      <c r="R31" s="43"/>
      <c r="S31" s="43"/>
      <c r="T31" s="43"/>
      <c r="U31" s="43"/>
    </row>
    <row r="32" spans="1:21" s="11" customFormat="1" x14ac:dyDescent="0.25">
      <c r="A32" s="52" t="s">
        <v>275</v>
      </c>
      <c r="B32" s="53">
        <v>6.22</v>
      </c>
      <c r="C32" s="53">
        <v>11.93</v>
      </c>
      <c r="D32" s="53">
        <v>11.03</v>
      </c>
      <c r="E32" s="53">
        <v>5.17</v>
      </c>
      <c r="F32" s="53">
        <v>3.96</v>
      </c>
      <c r="G32" s="53">
        <v>17</v>
      </c>
      <c r="H32" s="53">
        <v>1.55</v>
      </c>
      <c r="I32" s="53">
        <v>0.88</v>
      </c>
      <c r="J32" s="53">
        <v>0.17</v>
      </c>
      <c r="K32" s="53">
        <v>320.82</v>
      </c>
      <c r="L32" s="53">
        <v>22.19</v>
      </c>
      <c r="M32" s="53">
        <v>98.8</v>
      </c>
      <c r="N32" s="53">
        <v>54.6</v>
      </c>
      <c r="O32" s="53">
        <v>0</v>
      </c>
      <c r="P32" s="53">
        <v>0.33</v>
      </c>
      <c r="Q32" s="53">
        <v>9.0500000000000007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4.2300000000000004</v>
      </c>
      <c r="C34" s="28">
        <f t="shared" si="0"/>
        <v>10.11</v>
      </c>
      <c r="D34" s="28">
        <f t="shared" si="0"/>
        <v>8.99</v>
      </c>
      <c r="E34" s="28">
        <f t="shared" si="0"/>
        <v>4.6100000000000003</v>
      </c>
      <c r="F34" s="28">
        <f t="shared" si="0"/>
        <v>3.67</v>
      </c>
      <c r="G34" s="28">
        <f t="shared" si="0"/>
        <v>2.16</v>
      </c>
      <c r="H34" s="28">
        <f t="shared" si="0"/>
        <v>0.88</v>
      </c>
      <c r="I34" s="28">
        <f t="shared" si="0"/>
        <v>0.44</v>
      </c>
      <c r="J34" s="28">
        <f t="shared" si="0"/>
        <v>0.16</v>
      </c>
      <c r="K34" s="28">
        <f t="shared" si="0"/>
        <v>287.27999999999997</v>
      </c>
      <c r="L34" s="28">
        <f t="shared" si="0"/>
        <v>21</v>
      </c>
      <c r="M34" s="28">
        <f t="shared" si="0"/>
        <v>98.61</v>
      </c>
      <c r="N34" s="28">
        <f t="shared" si="0"/>
        <v>53.7</v>
      </c>
      <c r="O34" s="28">
        <f t="shared" si="0"/>
        <v>0</v>
      </c>
      <c r="P34" s="28">
        <f t="shared" si="0"/>
        <v>0.14000000000000001</v>
      </c>
      <c r="Q34" s="28">
        <f t="shared" si="0"/>
        <v>8.93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7.25</v>
      </c>
      <c r="C35" s="29">
        <f t="shared" si="1"/>
        <v>16.36</v>
      </c>
      <c r="D35" s="29">
        <f t="shared" si="1"/>
        <v>13.31</v>
      </c>
      <c r="E35" s="29">
        <f t="shared" si="1"/>
        <v>5.46</v>
      </c>
      <c r="F35" s="29">
        <f t="shared" si="1"/>
        <v>4.82</v>
      </c>
      <c r="G35" s="29">
        <f t="shared" si="1"/>
        <v>20.47</v>
      </c>
      <c r="H35" s="29">
        <f t="shared" si="1"/>
        <v>6.27</v>
      </c>
      <c r="I35" s="29">
        <f t="shared" si="1"/>
        <v>1.05</v>
      </c>
      <c r="J35" s="29">
        <f t="shared" si="1"/>
        <v>0.45</v>
      </c>
      <c r="K35" s="29">
        <f t="shared" si="1"/>
        <v>332.76</v>
      </c>
      <c r="L35" s="29">
        <f t="shared" si="1"/>
        <v>24.03</v>
      </c>
      <c r="M35" s="29">
        <f t="shared" si="1"/>
        <v>99.14</v>
      </c>
      <c r="N35" s="29">
        <f t="shared" si="1"/>
        <v>302.7</v>
      </c>
      <c r="O35" s="29">
        <f t="shared" si="1"/>
        <v>5.6</v>
      </c>
      <c r="P35" s="29">
        <f t="shared" si="1"/>
        <v>0.38</v>
      </c>
      <c r="Q35" s="29">
        <f t="shared" si="1"/>
        <v>9.06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5.55375</v>
      </c>
      <c r="C36" s="28">
        <f t="shared" si="2"/>
        <v>13.130416666666667</v>
      </c>
      <c r="D36" s="28">
        <f t="shared" si="2"/>
        <v>11.245833333333332</v>
      </c>
      <c r="E36" s="28">
        <f t="shared" si="2"/>
        <v>4.9550000000000001</v>
      </c>
      <c r="F36" s="28">
        <f t="shared" si="2"/>
        <v>4.1250000000000009</v>
      </c>
      <c r="G36" s="28">
        <f t="shared" si="2"/>
        <v>9.3012499999999996</v>
      </c>
      <c r="H36" s="28">
        <f t="shared" si="2"/>
        <v>2.3312499999999998</v>
      </c>
      <c r="I36" s="28">
        <f t="shared" si="2"/>
        <v>0.70250000000000001</v>
      </c>
      <c r="J36" s="28">
        <f t="shared" si="2"/>
        <v>0.26124999999999998</v>
      </c>
      <c r="K36" s="28">
        <f t="shared" si="2"/>
        <v>309.84750000000003</v>
      </c>
      <c r="L36" s="28">
        <f t="shared" si="2"/>
        <v>22.285000000000007</v>
      </c>
      <c r="M36" s="28">
        <f t="shared" si="2"/>
        <v>98.845416666666679</v>
      </c>
      <c r="N36" s="28">
        <f t="shared" si="2"/>
        <v>128.875</v>
      </c>
      <c r="O36" s="28">
        <f t="shared" si="2"/>
        <v>0.55833333333333335</v>
      </c>
      <c r="P36" s="28">
        <f t="shared" si="2"/>
        <v>0.26874999999999999</v>
      </c>
      <c r="Q36" s="28">
        <f t="shared" si="2"/>
        <v>9.0054166666666688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0.79445804606443382</v>
      </c>
      <c r="C37" s="28">
        <f t="shared" ref="C37:Q37" si="3">STDEV(C9:C32)</f>
        <v>1.7079264803611602</v>
      </c>
      <c r="D37" s="28">
        <f t="shared" si="3"/>
        <v>1.1970104669429757</v>
      </c>
      <c r="E37" s="28">
        <f t="shared" si="3"/>
        <v>0.19779216144841219</v>
      </c>
      <c r="F37" s="28">
        <f t="shared" si="3"/>
        <v>0.35892351128969219</v>
      </c>
      <c r="G37" s="28">
        <f t="shared" si="3"/>
        <v>5.5656261122841446</v>
      </c>
      <c r="H37" s="28">
        <f t="shared" si="3"/>
        <v>1.5117634750012414</v>
      </c>
      <c r="I37" s="28">
        <f t="shared" si="3"/>
        <v>0.17937694098328733</v>
      </c>
      <c r="J37" s="28">
        <f t="shared" si="3"/>
        <v>6.6221794652187915E-2</v>
      </c>
      <c r="K37" s="28">
        <f t="shared" si="3"/>
        <v>13.977079140662683</v>
      </c>
      <c r="L37" s="28">
        <f t="shared" si="3"/>
        <v>0.91757714993724482</v>
      </c>
      <c r="M37" s="28">
        <f t="shared" si="3"/>
        <v>0.15673237135921778</v>
      </c>
      <c r="N37" s="28">
        <f t="shared" si="3"/>
        <v>84.821122523148418</v>
      </c>
      <c r="O37" s="28">
        <f t="shared" si="3"/>
        <v>1.2771968853931528</v>
      </c>
      <c r="P37" s="28">
        <f t="shared" si="3"/>
        <v>7.7869037213270792E-2</v>
      </c>
      <c r="Q37" s="28">
        <f t="shared" si="3"/>
        <v>3.230010992936827E-2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276</v>
      </c>
      <c r="B9" s="53">
        <v>6.13</v>
      </c>
      <c r="C9" s="53">
        <v>11.5</v>
      </c>
      <c r="D9" s="53">
        <v>10.92</v>
      </c>
      <c r="E9" s="53">
        <v>5.01</v>
      </c>
      <c r="F9" s="53">
        <v>3.98</v>
      </c>
      <c r="G9" s="53">
        <v>20.25</v>
      </c>
      <c r="H9" s="53">
        <v>1.75</v>
      </c>
      <c r="I9" s="53">
        <v>0.82</v>
      </c>
      <c r="J9" s="53">
        <v>0.22</v>
      </c>
      <c r="K9" s="53">
        <v>314.93</v>
      </c>
      <c r="L9" s="53">
        <v>22.26</v>
      </c>
      <c r="M9" s="53">
        <v>98.8</v>
      </c>
      <c r="N9" s="53">
        <v>54.6</v>
      </c>
      <c r="O9" s="53">
        <v>0</v>
      </c>
      <c r="P9" s="53">
        <v>0.3</v>
      </c>
      <c r="Q9" s="53">
        <v>9</v>
      </c>
      <c r="R9" s="43"/>
      <c r="S9" s="43"/>
      <c r="T9" s="43"/>
      <c r="U9" s="43"/>
    </row>
    <row r="10" spans="1:21" s="11" customFormat="1" x14ac:dyDescent="0.25">
      <c r="A10" s="52" t="s">
        <v>277</v>
      </c>
      <c r="B10" s="53">
        <v>5.37</v>
      </c>
      <c r="C10" s="53">
        <v>11.42</v>
      </c>
      <c r="D10" s="53">
        <v>10.25</v>
      </c>
      <c r="E10" s="53">
        <v>4.93</v>
      </c>
      <c r="F10" s="53">
        <v>3.99</v>
      </c>
      <c r="G10" s="53">
        <v>21.73</v>
      </c>
      <c r="H10" s="53">
        <v>2.29</v>
      </c>
      <c r="I10" s="53">
        <v>0.71</v>
      </c>
      <c r="J10" s="53">
        <v>0.23</v>
      </c>
      <c r="K10" s="53">
        <v>304.81</v>
      </c>
      <c r="L10" s="53">
        <v>22.29</v>
      </c>
      <c r="M10" s="53">
        <v>98.83</v>
      </c>
      <c r="N10" s="53">
        <v>54.6</v>
      </c>
      <c r="O10" s="53">
        <v>0</v>
      </c>
      <c r="P10" s="53">
        <v>0.23</v>
      </c>
      <c r="Q10" s="53">
        <v>8.9600000000000009</v>
      </c>
      <c r="R10" s="43"/>
      <c r="S10" s="43"/>
      <c r="T10" s="43"/>
      <c r="U10" s="43"/>
    </row>
    <row r="11" spans="1:21" s="11" customFormat="1" x14ac:dyDescent="0.25">
      <c r="A11" s="52" t="s">
        <v>278</v>
      </c>
      <c r="B11" s="53">
        <v>4.74</v>
      </c>
      <c r="C11" s="53">
        <v>10.99</v>
      </c>
      <c r="D11" s="53">
        <v>9.5399999999999991</v>
      </c>
      <c r="E11" s="53">
        <v>4.9800000000000004</v>
      </c>
      <c r="F11" s="53">
        <v>3.79</v>
      </c>
      <c r="G11" s="53">
        <v>21.09</v>
      </c>
      <c r="H11" s="53">
        <v>3.47</v>
      </c>
      <c r="I11" s="53">
        <v>0.64</v>
      </c>
      <c r="J11" s="53">
        <v>0.24</v>
      </c>
      <c r="K11" s="53">
        <v>302.13</v>
      </c>
      <c r="L11" s="53">
        <v>22.23</v>
      </c>
      <c r="M11" s="53">
        <v>98.8</v>
      </c>
      <c r="N11" s="53">
        <v>54.6</v>
      </c>
      <c r="O11" s="53">
        <v>0</v>
      </c>
      <c r="P11" s="53">
        <v>0.2</v>
      </c>
      <c r="Q11" s="53">
        <v>8.9700000000000006</v>
      </c>
      <c r="R11" s="43"/>
      <c r="S11" s="43"/>
      <c r="T11" s="43"/>
      <c r="U11" s="43"/>
    </row>
    <row r="12" spans="1:21" s="11" customFormat="1" x14ac:dyDescent="0.25">
      <c r="A12" s="52" t="s">
        <v>279</v>
      </c>
      <c r="B12" s="53">
        <v>4.67</v>
      </c>
      <c r="C12" s="53">
        <v>10.64</v>
      </c>
      <c r="D12" s="53">
        <v>9.14</v>
      </c>
      <c r="E12" s="53">
        <v>4.92</v>
      </c>
      <c r="F12" s="53">
        <v>4.22</v>
      </c>
      <c r="G12" s="53">
        <v>23.5</v>
      </c>
      <c r="H12" s="53">
        <v>3.22</v>
      </c>
      <c r="I12" s="53">
        <v>0.54</v>
      </c>
      <c r="J12" s="53">
        <v>0.27</v>
      </c>
      <c r="K12" s="53">
        <v>299.33999999999997</v>
      </c>
      <c r="L12" s="53">
        <v>22.13</v>
      </c>
      <c r="M12" s="53">
        <v>98.69</v>
      </c>
      <c r="N12" s="53">
        <v>54.6</v>
      </c>
      <c r="O12" s="53">
        <v>0</v>
      </c>
      <c r="P12" s="53">
        <v>0.17</v>
      </c>
      <c r="Q12" s="53">
        <v>8.9700000000000006</v>
      </c>
      <c r="R12" s="43"/>
      <c r="S12" s="43"/>
      <c r="T12" s="43"/>
      <c r="U12" s="43"/>
    </row>
    <row r="13" spans="1:21" s="11" customFormat="1" x14ac:dyDescent="0.25">
      <c r="A13" s="52" t="s">
        <v>280</v>
      </c>
      <c r="B13" s="53">
        <v>5.07</v>
      </c>
      <c r="C13" s="53">
        <v>10.83</v>
      </c>
      <c r="D13" s="53">
        <v>9.7200000000000006</v>
      </c>
      <c r="E13" s="53">
        <v>4.99</v>
      </c>
      <c r="F13" s="53">
        <v>4.09</v>
      </c>
      <c r="G13" s="53">
        <v>22.3</v>
      </c>
      <c r="H13" s="53">
        <v>2.64</v>
      </c>
      <c r="I13" s="53">
        <v>0.49</v>
      </c>
      <c r="J13" s="53">
        <v>0.28000000000000003</v>
      </c>
      <c r="K13" s="53">
        <v>298.95999999999998</v>
      </c>
      <c r="L13" s="53">
        <v>22.08</v>
      </c>
      <c r="M13" s="53">
        <v>98.74</v>
      </c>
      <c r="N13" s="53">
        <v>54.6</v>
      </c>
      <c r="O13" s="53">
        <v>0</v>
      </c>
      <c r="P13" s="53">
        <v>0.16</v>
      </c>
      <c r="Q13" s="53">
        <v>8.94</v>
      </c>
      <c r="R13" s="43"/>
      <c r="S13" s="43"/>
      <c r="T13" s="43"/>
      <c r="U13" s="43"/>
    </row>
    <row r="14" spans="1:21" s="11" customFormat="1" x14ac:dyDescent="0.25">
      <c r="A14" s="52" t="s">
        <v>281</v>
      </c>
      <c r="B14" s="53">
        <v>5.87</v>
      </c>
      <c r="C14" s="53">
        <v>11.17</v>
      </c>
      <c r="D14" s="53">
        <v>10.55</v>
      </c>
      <c r="E14" s="53">
        <v>5.05</v>
      </c>
      <c r="F14" s="53">
        <v>3.72</v>
      </c>
      <c r="G14" s="53">
        <v>25.9</v>
      </c>
      <c r="H14" s="53">
        <v>2.2200000000000002</v>
      </c>
      <c r="I14" s="53">
        <v>0.47</v>
      </c>
      <c r="J14" s="53">
        <v>0.26</v>
      </c>
      <c r="K14" s="53">
        <v>298.47000000000003</v>
      </c>
      <c r="L14" s="53">
        <v>22.09</v>
      </c>
      <c r="M14" s="53">
        <v>98.77</v>
      </c>
      <c r="N14" s="53">
        <v>57.7</v>
      </c>
      <c r="O14" s="53">
        <v>0.4</v>
      </c>
      <c r="P14" s="53">
        <v>0.15</v>
      </c>
      <c r="Q14" s="53">
        <v>8.9600000000000009</v>
      </c>
      <c r="R14" s="43"/>
      <c r="S14" s="43"/>
      <c r="T14" s="43"/>
      <c r="U14" s="43"/>
    </row>
    <row r="15" spans="1:21" s="11" customFormat="1" x14ac:dyDescent="0.25">
      <c r="A15" s="52" t="s">
        <v>282</v>
      </c>
      <c r="B15" s="53">
        <v>8.31</v>
      </c>
      <c r="C15" s="53">
        <v>13.99</v>
      </c>
      <c r="D15" s="53">
        <v>13.77</v>
      </c>
      <c r="E15" s="53">
        <v>5.18</v>
      </c>
      <c r="F15" s="53">
        <v>3.65</v>
      </c>
      <c r="G15" s="53">
        <v>26.92</v>
      </c>
      <c r="H15" s="53">
        <v>1.77</v>
      </c>
      <c r="I15" s="53">
        <v>0.56999999999999995</v>
      </c>
      <c r="J15" s="53">
        <v>0.17</v>
      </c>
      <c r="K15" s="53">
        <v>304.67</v>
      </c>
      <c r="L15" s="53">
        <v>22.09</v>
      </c>
      <c r="M15" s="53">
        <v>98.78</v>
      </c>
      <c r="N15" s="53">
        <v>73.5</v>
      </c>
      <c r="O15" s="53">
        <v>0</v>
      </c>
      <c r="P15" s="53">
        <v>0.22</v>
      </c>
      <c r="Q15" s="53">
        <v>9.0500000000000007</v>
      </c>
      <c r="R15" s="43"/>
      <c r="S15" s="43"/>
      <c r="T15" s="43"/>
      <c r="U15" s="43"/>
    </row>
    <row r="16" spans="1:21" s="11" customFormat="1" x14ac:dyDescent="0.25">
      <c r="A16" s="52" t="s">
        <v>283</v>
      </c>
      <c r="B16" s="53">
        <v>12.06</v>
      </c>
      <c r="C16" s="53">
        <v>12.67</v>
      </c>
      <c r="D16" s="53">
        <v>16.29</v>
      </c>
      <c r="E16" s="53">
        <v>5.12</v>
      </c>
      <c r="F16" s="53">
        <v>4.0599999999999996</v>
      </c>
      <c r="G16" s="53">
        <v>26.56</v>
      </c>
      <c r="H16" s="53">
        <v>5.24</v>
      </c>
      <c r="I16" s="53">
        <v>0.78</v>
      </c>
      <c r="J16" s="53">
        <v>0.15</v>
      </c>
      <c r="K16" s="53">
        <v>302.79000000000002</v>
      </c>
      <c r="L16" s="53">
        <v>22.69</v>
      </c>
      <c r="M16" s="53">
        <v>98.95</v>
      </c>
      <c r="N16" s="53">
        <v>122.9</v>
      </c>
      <c r="O16" s="53">
        <v>0</v>
      </c>
      <c r="P16" s="53">
        <v>0.28000000000000003</v>
      </c>
      <c r="Q16" s="53">
        <v>9.14</v>
      </c>
      <c r="R16" s="43"/>
      <c r="S16" s="43"/>
      <c r="T16" s="43"/>
      <c r="U16" s="43"/>
    </row>
    <row r="17" spans="1:21" s="11" customFormat="1" x14ac:dyDescent="0.25">
      <c r="A17" s="52" t="s">
        <v>284</v>
      </c>
      <c r="B17" s="53">
        <v>10.7</v>
      </c>
      <c r="C17" s="53">
        <v>11.46</v>
      </c>
      <c r="D17" s="53">
        <v>14.37</v>
      </c>
      <c r="E17" s="53">
        <v>4.47</v>
      </c>
      <c r="F17" s="53">
        <v>3.53</v>
      </c>
      <c r="G17" s="53">
        <v>26.73</v>
      </c>
      <c r="H17" s="53">
        <v>9.0299999999999994</v>
      </c>
      <c r="I17" s="53">
        <v>0.93</v>
      </c>
      <c r="J17" s="53">
        <v>0.23</v>
      </c>
      <c r="K17" s="53">
        <v>296.01</v>
      </c>
      <c r="L17" s="53">
        <v>23.8</v>
      </c>
      <c r="M17" s="53">
        <v>98.93</v>
      </c>
      <c r="N17" s="53">
        <v>234.2</v>
      </c>
      <c r="O17" s="53">
        <v>0</v>
      </c>
      <c r="P17" s="53">
        <v>0.32</v>
      </c>
      <c r="Q17" s="53">
        <v>9.14</v>
      </c>
      <c r="R17" s="43"/>
      <c r="S17" s="43"/>
      <c r="T17" s="43"/>
      <c r="U17" s="43"/>
    </row>
    <row r="18" spans="1:21" s="11" customFormat="1" x14ac:dyDescent="0.25">
      <c r="A18" s="52" t="s">
        <v>285</v>
      </c>
      <c r="B18" s="53">
        <v>10.75</v>
      </c>
      <c r="C18" s="53">
        <v>13.09</v>
      </c>
      <c r="D18" s="53">
        <v>15.46</v>
      </c>
      <c r="E18" s="53">
        <v>4.3899999999999997</v>
      </c>
      <c r="F18" s="53">
        <v>3.83</v>
      </c>
      <c r="G18" s="53">
        <v>31.12</v>
      </c>
      <c r="H18" s="53">
        <v>11.63</v>
      </c>
      <c r="I18" s="53">
        <v>1.1299999999999999</v>
      </c>
      <c r="J18" s="53">
        <v>0.26</v>
      </c>
      <c r="K18" s="53">
        <v>285.94</v>
      </c>
      <c r="L18" s="53">
        <v>24.98</v>
      </c>
      <c r="M18" s="53">
        <v>98.9</v>
      </c>
      <c r="N18" s="53">
        <v>209.2</v>
      </c>
      <c r="O18" s="53">
        <v>0</v>
      </c>
      <c r="P18" s="53">
        <v>0.44</v>
      </c>
      <c r="Q18" s="53">
        <v>9.14</v>
      </c>
      <c r="R18" s="43"/>
      <c r="S18" s="43"/>
      <c r="T18" s="43"/>
      <c r="U18" s="43"/>
    </row>
    <row r="19" spans="1:21" s="11" customFormat="1" x14ac:dyDescent="0.25">
      <c r="A19" s="52" t="s">
        <v>286</v>
      </c>
      <c r="B19" s="53">
        <v>12.5</v>
      </c>
      <c r="C19" s="53">
        <v>16.72</v>
      </c>
      <c r="D19" s="53">
        <v>18.54</v>
      </c>
      <c r="E19" s="53">
        <v>4.18</v>
      </c>
      <c r="F19" s="53">
        <v>4.18</v>
      </c>
      <c r="G19" s="53">
        <v>42.64</v>
      </c>
      <c r="H19" s="53">
        <v>15.6</v>
      </c>
      <c r="I19" s="53">
        <v>1.6</v>
      </c>
      <c r="J19" s="53">
        <v>0.35</v>
      </c>
      <c r="K19" s="53">
        <v>287.37</v>
      </c>
      <c r="L19" s="53">
        <v>27.89</v>
      </c>
      <c r="M19" s="53">
        <v>98.88</v>
      </c>
      <c r="N19" s="53">
        <v>538.79999999999995</v>
      </c>
      <c r="O19" s="53">
        <v>0</v>
      </c>
      <c r="P19" s="53">
        <v>0.55000000000000004</v>
      </c>
      <c r="Q19" s="53">
        <v>9.1999999999999993</v>
      </c>
      <c r="R19" s="43"/>
      <c r="S19" s="43"/>
      <c r="T19" s="43"/>
      <c r="U19" s="43"/>
    </row>
    <row r="20" spans="1:21" s="11" customFormat="1" x14ac:dyDescent="0.25">
      <c r="A20" s="52" t="s">
        <v>287</v>
      </c>
      <c r="B20" s="53">
        <v>11.29</v>
      </c>
      <c r="C20" s="53">
        <v>20.28</v>
      </c>
      <c r="D20" s="53">
        <v>18.38</v>
      </c>
      <c r="E20" s="53">
        <v>4.41</v>
      </c>
      <c r="F20" s="53">
        <v>8.48</v>
      </c>
      <c r="G20" s="53">
        <v>48.25</v>
      </c>
      <c r="H20" s="53">
        <v>18.78</v>
      </c>
      <c r="I20" s="53">
        <v>1.57</v>
      </c>
      <c r="J20" s="53">
        <v>0.33</v>
      </c>
      <c r="K20" s="53">
        <v>287.25</v>
      </c>
      <c r="L20" s="53">
        <v>27.77</v>
      </c>
      <c r="M20" s="53">
        <v>98.89</v>
      </c>
      <c r="N20" s="53">
        <v>509.9</v>
      </c>
      <c r="O20" s="53">
        <v>0</v>
      </c>
      <c r="P20" s="53">
        <v>0.59</v>
      </c>
      <c r="Q20" s="53">
        <v>9.19</v>
      </c>
      <c r="R20" s="43"/>
      <c r="S20" s="43"/>
      <c r="T20" s="43"/>
      <c r="U20" s="43"/>
    </row>
    <row r="21" spans="1:21" s="11" customFormat="1" x14ac:dyDescent="0.25">
      <c r="A21" s="52" t="s">
        <v>288</v>
      </c>
      <c r="B21" s="53">
        <v>6.77</v>
      </c>
      <c r="C21" s="53">
        <v>17.3</v>
      </c>
      <c r="D21" s="53">
        <v>14.47</v>
      </c>
      <c r="E21" s="53">
        <v>4.3499999999999996</v>
      </c>
      <c r="F21" s="53">
        <v>6.09</v>
      </c>
      <c r="G21" s="53">
        <v>48.2</v>
      </c>
      <c r="H21" s="53">
        <v>15.37</v>
      </c>
      <c r="I21" s="53">
        <v>1.61</v>
      </c>
      <c r="J21" s="53">
        <v>0.21</v>
      </c>
      <c r="K21" s="53">
        <v>281.43</v>
      </c>
      <c r="L21" s="53">
        <v>26.63</v>
      </c>
      <c r="M21" s="53">
        <v>98.91</v>
      </c>
      <c r="N21" s="53">
        <v>322</v>
      </c>
      <c r="O21" s="53">
        <v>0</v>
      </c>
      <c r="P21" s="53">
        <v>0.54</v>
      </c>
      <c r="Q21" s="53">
        <v>9.1300000000000008</v>
      </c>
      <c r="R21" s="43"/>
      <c r="S21" s="43"/>
      <c r="T21" s="43"/>
      <c r="U21" s="43"/>
    </row>
    <row r="22" spans="1:21" s="11" customFormat="1" x14ac:dyDescent="0.25">
      <c r="A22" s="52" t="s">
        <v>289</v>
      </c>
      <c r="B22" s="53">
        <v>5.37</v>
      </c>
      <c r="C22" s="53">
        <v>15.83</v>
      </c>
      <c r="D22" s="53">
        <v>12.58</v>
      </c>
      <c r="E22" s="53">
        <v>4.0599999999999996</v>
      </c>
      <c r="F22" s="53">
        <v>4.58</v>
      </c>
      <c r="G22" s="53">
        <v>45.49</v>
      </c>
      <c r="H22" s="53">
        <v>12.89</v>
      </c>
      <c r="I22" s="53">
        <v>1.46</v>
      </c>
      <c r="J22" s="53">
        <v>0.22</v>
      </c>
      <c r="K22" s="53">
        <v>289.20999999999998</v>
      </c>
      <c r="L22" s="53">
        <v>26.96</v>
      </c>
      <c r="M22" s="53">
        <v>98.93</v>
      </c>
      <c r="N22" s="53">
        <v>303.60000000000002</v>
      </c>
      <c r="O22" s="53">
        <v>0</v>
      </c>
      <c r="P22" s="53">
        <v>0.36</v>
      </c>
      <c r="Q22" s="53">
        <v>9.0299999999999994</v>
      </c>
      <c r="R22" s="43"/>
      <c r="S22" s="43"/>
      <c r="T22" s="43"/>
      <c r="U22" s="43"/>
    </row>
    <row r="23" spans="1:21" s="11" customFormat="1" x14ac:dyDescent="0.25">
      <c r="A23" s="52" t="s">
        <v>290</v>
      </c>
      <c r="B23" s="53">
        <v>6.01</v>
      </c>
      <c r="C23" s="53">
        <v>18.329999999999998</v>
      </c>
      <c r="D23" s="53">
        <v>14.22</v>
      </c>
      <c r="E23" s="53">
        <v>4.29</v>
      </c>
      <c r="F23" s="53">
        <v>6.83</v>
      </c>
      <c r="G23" s="53">
        <v>39.35</v>
      </c>
      <c r="H23" s="53">
        <v>10.49</v>
      </c>
      <c r="I23" s="53">
        <v>1.29</v>
      </c>
      <c r="J23" s="53">
        <v>0.53</v>
      </c>
      <c r="K23" s="53">
        <v>324.64999999999998</v>
      </c>
      <c r="L23" s="53">
        <v>26.01</v>
      </c>
      <c r="M23" s="53">
        <v>99.1</v>
      </c>
      <c r="N23" s="53">
        <v>80.3</v>
      </c>
      <c r="O23" s="53">
        <v>2.4</v>
      </c>
      <c r="P23" s="53">
        <v>0.31</v>
      </c>
      <c r="Q23" s="53">
        <v>8.99</v>
      </c>
      <c r="R23" s="43"/>
      <c r="S23" s="43"/>
      <c r="T23" s="43"/>
      <c r="U23" s="43"/>
    </row>
    <row r="24" spans="1:21" s="11" customFormat="1" x14ac:dyDescent="0.25">
      <c r="A24" s="52" t="s">
        <v>291</v>
      </c>
      <c r="B24" s="53">
        <v>16.760000000000002</v>
      </c>
      <c r="C24" s="53">
        <v>26.11</v>
      </c>
      <c r="D24" s="53">
        <v>25.32</v>
      </c>
      <c r="E24" s="53">
        <v>5.17</v>
      </c>
      <c r="F24" s="53">
        <v>13.43</v>
      </c>
      <c r="G24" s="53">
        <v>31.54</v>
      </c>
      <c r="H24" s="53">
        <v>7.69</v>
      </c>
      <c r="I24" s="53">
        <v>1.17</v>
      </c>
      <c r="J24" s="53">
        <v>0.34</v>
      </c>
      <c r="K24" s="53">
        <v>342.26</v>
      </c>
      <c r="L24" s="53">
        <v>24.27</v>
      </c>
      <c r="M24" s="53">
        <v>99.16</v>
      </c>
      <c r="N24" s="53">
        <v>67.099999999999994</v>
      </c>
      <c r="O24" s="53">
        <v>0.8</v>
      </c>
      <c r="P24" s="53">
        <v>0.49</v>
      </c>
      <c r="Q24" s="53">
        <v>9.07</v>
      </c>
      <c r="R24" s="43"/>
      <c r="S24" s="43"/>
      <c r="T24" s="43"/>
      <c r="U24" s="43"/>
    </row>
    <row r="25" spans="1:21" s="11" customFormat="1" x14ac:dyDescent="0.25">
      <c r="A25" s="52" t="s">
        <v>292</v>
      </c>
      <c r="B25" s="53">
        <v>22.55</v>
      </c>
      <c r="C25" s="53">
        <v>20.16</v>
      </c>
      <c r="D25" s="53">
        <v>28.62</v>
      </c>
      <c r="E25" s="53">
        <v>4.4000000000000004</v>
      </c>
      <c r="F25" s="53">
        <v>8.2799999999999994</v>
      </c>
      <c r="G25" s="53">
        <v>27.93</v>
      </c>
      <c r="H25" s="53">
        <v>7.12</v>
      </c>
      <c r="I25" s="53">
        <v>1.26</v>
      </c>
      <c r="J25" s="53">
        <v>0.11</v>
      </c>
      <c r="K25" s="53">
        <v>303.56</v>
      </c>
      <c r="L25" s="53">
        <v>24.14</v>
      </c>
      <c r="M25" s="53">
        <v>99.2</v>
      </c>
      <c r="N25" s="53">
        <v>64</v>
      </c>
      <c r="O25" s="53">
        <v>0.2</v>
      </c>
      <c r="P25" s="53">
        <v>0.62</v>
      </c>
      <c r="Q25" s="53">
        <v>9.17</v>
      </c>
      <c r="R25" s="43"/>
      <c r="S25" s="43"/>
      <c r="T25" s="43"/>
      <c r="U25" s="43"/>
    </row>
    <row r="26" spans="1:21" s="11" customFormat="1" x14ac:dyDescent="0.25">
      <c r="A26" s="52" t="s">
        <v>293</v>
      </c>
      <c r="B26" s="53">
        <v>18.010000000000002</v>
      </c>
      <c r="C26" s="53">
        <v>24.63</v>
      </c>
      <c r="D26" s="53">
        <v>23.89</v>
      </c>
      <c r="E26" s="53">
        <v>4.25</v>
      </c>
      <c r="F26" s="53">
        <v>6.53</v>
      </c>
      <c r="G26" s="53">
        <v>24.38</v>
      </c>
      <c r="H26" s="53">
        <v>11.38</v>
      </c>
      <c r="I26" s="53">
        <v>1.57</v>
      </c>
      <c r="J26" s="53">
        <v>0.32</v>
      </c>
      <c r="K26" s="53">
        <v>352.85</v>
      </c>
      <c r="L26" s="53">
        <v>24.01</v>
      </c>
      <c r="M26" s="53">
        <v>99.25</v>
      </c>
      <c r="N26" s="53">
        <v>74</v>
      </c>
      <c r="O26" s="53">
        <v>0.2</v>
      </c>
      <c r="P26" s="53">
        <v>0.56000000000000005</v>
      </c>
      <c r="Q26" s="53">
        <v>9.2899999999999991</v>
      </c>
      <c r="R26" s="43"/>
      <c r="S26" s="43"/>
      <c r="T26" s="43"/>
      <c r="U26" s="43"/>
    </row>
    <row r="27" spans="1:21" s="11" customFormat="1" x14ac:dyDescent="0.25">
      <c r="A27" s="52" t="s">
        <v>294</v>
      </c>
      <c r="B27" s="53">
        <v>20.57</v>
      </c>
      <c r="C27" s="53">
        <v>29.53</v>
      </c>
      <c r="D27" s="53">
        <v>31.37</v>
      </c>
      <c r="E27" s="53">
        <v>4.2300000000000004</v>
      </c>
      <c r="F27" s="53">
        <v>6.84</v>
      </c>
      <c r="G27" s="53">
        <v>20.73</v>
      </c>
      <c r="H27" s="53">
        <v>9.58</v>
      </c>
      <c r="I27" s="53">
        <v>1.74</v>
      </c>
      <c r="J27" s="53">
        <v>0.06</v>
      </c>
      <c r="K27" s="53">
        <v>294.57</v>
      </c>
      <c r="L27" s="53">
        <v>23.93</v>
      </c>
      <c r="M27" s="53">
        <v>99.2</v>
      </c>
      <c r="N27" s="53">
        <v>57.2</v>
      </c>
      <c r="O27" s="53">
        <v>0</v>
      </c>
      <c r="P27" s="53">
        <v>0.84</v>
      </c>
      <c r="Q27" s="53">
        <v>9.36</v>
      </c>
      <c r="R27" s="43"/>
      <c r="S27" s="43"/>
      <c r="T27" s="43"/>
      <c r="U27" s="43"/>
    </row>
    <row r="28" spans="1:21" s="11" customFormat="1" x14ac:dyDescent="0.25">
      <c r="A28" s="52" t="s">
        <v>295</v>
      </c>
      <c r="B28" s="53">
        <v>21.21</v>
      </c>
      <c r="C28" s="53">
        <v>28.7</v>
      </c>
      <c r="D28" s="53">
        <v>32</v>
      </c>
      <c r="E28" s="53">
        <v>4.1500000000000004</v>
      </c>
      <c r="F28" s="53">
        <v>6.89</v>
      </c>
      <c r="G28" s="53">
        <v>19.11</v>
      </c>
      <c r="H28" s="53">
        <v>12.34</v>
      </c>
      <c r="I28" s="53">
        <v>2.09</v>
      </c>
      <c r="J28" s="53">
        <v>1.64</v>
      </c>
      <c r="K28" s="53">
        <v>340.88</v>
      </c>
      <c r="L28" s="53">
        <v>24.03</v>
      </c>
      <c r="M28" s="53">
        <v>98.94</v>
      </c>
      <c r="N28" s="53">
        <v>51.9</v>
      </c>
      <c r="O28" s="53">
        <v>0</v>
      </c>
      <c r="P28" s="53">
        <v>1.1100000000000001</v>
      </c>
      <c r="Q28" s="53">
        <v>9.42</v>
      </c>
      <c r="R28" s="43"/>
      <c r="S28" s="43"/>
      <c r="T28" s="43"/>
      <c r="U28" s="43"/>
    </row>
    <row r="29" spans="1:21" s="11" customFormat="1" x14ac:dyDescent="0.25">
      <c r="A29" s="52" t="s">
        <v>296</v>
      </c>
      <c r="B29" s="53">
        <v>18.82</v>
      </c>
      <c r="C29" s="53">
        <v>14.84</v>
      </c>
      <c r="D29" s="53">
        <v>22.06</v>
      </c>
      <c r="E29" s="53">
        <v>4.26</v>
      </c>
      <c r="F29" s="53">
        <v>4.46</v>
      </c>
      <c r="G29" s="53">
        <v>21.62</v>
      </c>
      <c r="H29" s="53">
        <v>12.94</v>
      </c>
      <c r="I29" s="53">
        <v>2.31</v>
      </c>
      <c r="J29" s="53">
        <v>1.49</v>
      </c>
      <c r="K29" s="53">
        <v>339.74</v>
      </c>
      <c r="L29" s="53">
        <v>23.2</v>
      </c>
      <c r="M29" s="53">
        <v>98.91</v>
      </c>
      <c r="N29" s="53">
        <v>50.7</v>
      </c>
      <c r="O29" s="53">
        <v>0.8</v>
      </c>
      <c r="P29" s="53">
        <v>0.7</v>
      </c>
      <c r="Q29" s="53">
        <v>9.42</v>
      </c>
      <c r="R29" s="43"/>
      <c r="S29" s="43"/>
      <c r="T29" s="43"/>
      <c r="U29" s="43"/>
    </row>
    <row r="30" spans="1:21" s="11" customFormat="1" x14ac:dyDescent="0.25">
      <c r="A30" s="52" t="s">
        <v>297</v>
      </c>
      <c r="B30" s="53">
        <v>19.79</v>
      </c>
      <c r="C30" s="53">
        <v>25.67</v>
      </c>
      <c r="D30" s="53">
        <v>29.28</v>
      </c>
      <c r="E30" s="53">
        <v>4.25</v>
      </c>
      <c r="F30" s="53">
        <v>7.28</v>
      </c>
      <c r="G30" s="53">
        <v>20.96</v>
      </c>
      <c r="H30" s="53">
        <v>11.31</v>
      </c>
      <c r="I30" s="53">
        <v>2.21</v>
      </c>
      <c r="J30" s="53">
        <v>0.08</v>
      </c>
      <c r="K30" s="53">
        <v>308.63</v>
      </c>
      <c r="L30" s="53">
        <v>22.34</v>
      </c>
      <c r="M30" s="53">
        <v>98.95</v>
      </c>
      <c r="N30" s="53">
        <v>49</v>
      </c>
      <c r="O30" s="53">
        <v>0</v>
      </c>
      <c r="P30" s="53">
        <v>0.8</v>
      </c>
      <c r="Q30" s="53">
        <v>9.4600000000000009</v>
      </c>
      <c r="R30" s="43"/>
      <c r="S30" s="43"/>
      <c r="T30" s="43"/>
      <c r="U30" s="43"/>
    </row>
    <row r="31" spans="1:21" s="11" customFormat="1" x14ac:dyDescent="0.25">
      <c r="A31" s="52" t="s">
        <v>298</v>
      </c>
      <c r="B31" s="53">
        <v>23.63</v>
      </c>
      <c r="C31" s="53">
        <v>28.37</v>
      </c>
      <c r="D31" s="53">
        <v>33.78</v>
      </c>
      <c r="E31" s="53">
        <v>4.6500000000000004</v>
      </c>
      <c r="F31" s="53">
        <v>7.34</v>
      </c>
      <c r="G31" s="53">
        <v>20.3</v>
      </c>
      <c r="H31" s="53">
        <v>8.56</v>
      </c>
      <c r="I31" s="53">
        <v>2.19</v>
      </c>
      <c r="J31" s="53">
        <v>0.18</v>
      </c>
      <c r="K31" s="53">
        <v>324.62</v>
      </c>
      <c r="L31" s="53">
        <v>22.7</v>
      </c>
      <c r="M31" s="53">
        <v>99</v>
      </c>
      <c r="N31" s="53">
        <v>49.5</v>
      </c>
      <c r="O31" s="53">
        <v>0</v>
      </c>
      <c r="P31" s="53">
        <v>0.88</v>
      </c>
      <c r="Q31" s="53">
        <v>9.5</v>
      </c>
      <c r="R31" s="43"/>
      <c r="S31" s="43"/>
      <c r="T31" s="43"/>
      <c r="U31" s="43"/>
    </row>
    <row r="32" spans="1:21" s="11" customFormat="1" x14ac:dyDescent="0.25">
      <c r="A32" s="52" t="s">
        <v>299</v>
      </c>
      <c r="B32" s="53">
        <v>16.61</v>
      </c>
      <c r="C32" s="53">
        <v>18.510000000000002</v>
      </c>
      <c r="D32" s="53">
        <v>19.57</v>
      </c>
      <c r="E32" s="53">
        <v>4.2</v>
      </c>
      <c r="F32" s="53">
        <v>5.29</v>
      </c>
      <c r="G32" s="53">
        <v>17.87</v>
      </c>
      <c r="H32" s="53">
        <v>10</v>
      </c>
      <c r="I32" s="53">
        <v>2.15</v>
      </c>
      <c r="J32" s="53">
        <v>0.14000000000000001</v>
      </c>
      <c r="K32" s="53">
        <v>312.29000000000002</v>
      </c>
      <c r="L32" s="53">
        <v>22.86</v>
      </c>
      <c r="M32" s="53">
        <v>99.01</v>
      </c>
      <c r="N32" s="53">
        <v>49.6</v>
      </c>
      <c r="O32" s="53">
        <v>0</v>
      </c>
      <c r="P32" s="53">
        <v>0.65</v>
      </c>
      <c r="Q32" s="53">
        <v>9.49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4.67</v>
      </c>
      <c r="C34" s="28">
        <f t="shared" si="0"/>
        <v>10.64</v>
      </c>
      <c r="D34" s="28">
        <f t="shared" si="0"/>
        <v>9.14</v>
      </c>
      <c r="E34" s="28">
        <f t="shared" si="0"/>
        <v>4.0599999999999996</v>
      </c>
      <c r="F34" s="28">
        <f t="shared" si="0"/>
        <v>3.53</v>
      </c>
      <c r="G34" s="28">
        <f t="shared" si="0"/>
        <v>17.87</v>
      </c>
      <c r="H34" s="28">
        <f t="shared" si="0"/>
        <v>1.75</v>
      </c>
      <c r="I34" s="28">
        <f t="shared" si="0"/>
        <v>0.47</v>
      </c>
      <c r="J34" s="28">
        <f t="shared" si="0"/>
        <v>0.06</v>
      </c>
      <c r="K34" s="28">
        <f t="shared" si="0"/>
        <v>281.43</v>
      </c>
      <c r="L34" s="28">
        <f t="shared" si="0"/>
        <v>22.08</v>
      </c>
      <c r="M34" s="28">
        <f t="shared" si="0"/>
        <v>98.69</v>
      </c>
      <c r="N34" s="28">
        <f t="shared" si="0"/>
        <v>49</v>
      </c>
      <c r="O34" s="28">
        <f t="shared" si="0"/>
        <v>0</v>
      </c>
      <c r="P34" s="28">
        <f t="shared" si="0"/>
        <v>0.15</v>
      </c>
      <c r="Q34" s="28">
        <f t="shared" si="0"/>
        <v>8.94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23.63</v>
      </c>
      <c r="C35" s="29">
        <f t="shared" si="1"/>
        <v>29.53</v>
      </c>
      <c r="D35" s="29">
        <f t="shared" si="1"/>
        <v>33.78</v>
      </c>
      <c r="E35" s="29">
        <f t="shared" si="1"/>
        <v>5.18</v>
      </c>
      <c r="F35" s="29">
        <f t="shared" si="1"/>
        <v>13.43</v>
      </c>
      <c r="G35" s="29">
        <f t="shared" si="1"/>
        <v>48.25</v>
      </c>
      <c r="H35" s="29">
        <f t="shared" si="1"/>
        <v>18.78</v>
      </c>
      <c r="I35" s="29">
        <f t="shared" si="1"/>
        <v>2.31</v>
      </c>
      <c r="J35" s="29">
        <f t="shared" si="1"/>
        <v>1.64</v>
      </c>
      <c r="K35" s="29">
        <f t="shared" si="1"/>
        <v>352.85</v>
      </c>
      <c r="L35" s="29">
        <f t="shared" si="1"/>
        <v>27.89</v>
      </c>
      <c r="M35" s="29">
        <f t="shared" si="1"/>
        <v>99.25</v>
      </c>
      <c r="N35" s="29">
        <f t="shared" si="1"/>
        <v>538.79999999999995</v>
      </c>
      <c r="O35" s="29">
        <f t="shared" si="1"/>
        <v>2.4</v>
      </c>
      <c r="P35" s="29">
        <f t="shared" si="1"/>
        <v>1.1100000000000001</v>
      </c>
      <c r="Q35" s="29">
        <f t="shared" si="1"/>
        <v>9.5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12.231666666666667</v>
      </c>
      <c r="C36" s="28">
        <f t="shared" si="2"/>
        <v>17.614166666666669</v>
      </c>
      <c r="D36" s="28">
        <f t="shared" si="2"/>
        <v>18.50375</v>
      </c>
      <c r="E36" s="28">
        <f t="shared" si="2"/>
        <v>4.5787500000000012</v>
      </c>
      <c r="F36" s="28">
        <f t="shared" si="2"/>
        <v>5.64</v>
      </c>
      <c r="G36" s="28">
        <f t="shared" si="2"/>
        <v>28.102916666666669</v>
      </c>
      <c r="H36" s="28">
        <f t="shared" si="2"/>
        <v>8.6379166666666674</v>
      </c>
      <c r="I36" s="28">
        <f t="shared" si="2"/>
        <v>1.3041666666666665</v>
      </c>
      <c r="J36" s="28">
        <f t="shared" si="2"/>
        <v>0.34625</v>
      </c>
      <c r="K36" s="28">
        <f t="shared" si="2"/>
        <v>308.2233333333333</v>
      </c>
      <c r="L36" s="28">
        <f t="shared" si="2"/>
        <v>23.89083333333333</v>
      </c>
      <c r="M36" s="28">
        <f t="shared" si="2"/>
        <v>98.938333333333347</v>
      </c>
      <c r="N36" s="28">
        <f t="shared" si="2"/>
        <v>134.92083333333332</v>
      </c>
      <c r="O36" s="28">
        <f t="shared" si="2"/>
        <v>0.19999999999999998</v>
      </c>
      <c r="P36" s="28">
        <f t="shared" si="2"/>
        <v>0.47791666666666671</v>
      </c>
      <c r="Q36" s="28">
        <f t="shared" si="2"/>
        <v>9.1662499999999998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6.5476013973035236</v>
      </c>
      <c r="C37" s="28">
        <f t="shared" ref="C37:Q37" si="3">STDEV(C9:C32)</f>
        <v>6.4108989511860752</v>
      </c>
      <c r="D37" s="28">
        <f t="shared" si="3"/>
        <v>7.9297156111624281</v>
      </c>
      <c r="E37" s="28">
        <f t="shared" si="3"/>
        <v>0.38591858231227089</v>
      </c>
      <c r="F37" s="28">
        <f t="shared" si="3"/>
        <v>2.3094588110637537</v>
      </c>
      <c r="G37" s="28">
        <f t="shared" si="3"/>
        <v>9.5449966311364278</v>
      </c>
      <c r="H37" s="28">
        <f t="shared" si="3"/>
        <v>4.9333531935068287</v>
      </c>
      <c r="I37" s="28">
        <f t="shared" si="3"/>
        <v>0.60655776216332447</v>
      </c>
      <c r="J37" s="28">
        <f t="shared" si="3"/>
        <v>0.38892060774717863</v>
      </c>
      <c r="K37" s="28">
        <f t="shared" si="3"/>
        <v>19.747253560644978</v>
      </c>
      <c r="L37" s="28">
        <f t="shared" si="3"/>
        <v>1.8828953575640446</v>
      </c>
      <c r="M37" s="28">
        <f t="shared" si="3"/>
        <v>0.15207740210788831</v>
      </c>
      <c r="N37" s="28">
        <f t="shared" si="3"/>
        <v>144.91363838707423</v>
      </c>
      <c r="O37" s="28">
        <f t="shared" si="3"/>
        <v>0.52419710862961866</v>
      </c>
      <c r="P37" s="28">
        <f t="shared" si="3"/>
        <v>0.26140056163518172</v>
      </c>
      <c r="Q37" s="28">
        <f t="shared" si="3"/>
        <v>0.18679941578905002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300</v>
      </c>
      <c r="B9" s="53">
        <v>15.34</v>
      </c>
      <c r="C9" s="53">
        <v>14.25</v>
      </c>
      <c r="D9" s="53">
        <v>17.809999999999999</v>
      </c>
      <c r="E9" s="53">
        <v>4.12</v>
      </c>
      <c r="F9" s="53">
        <v>5.43</v>
      </c>
      <c r="G9" s="53">
        <v>19.91</v>
      </c>
      <c r="H9" s="53">
        <v>8.4700000000000006</v>
      </c>
      <c r="I9" s="53">
        <v>2.08</v>
      </c>
      <c r="J9" s="53">
        <v>0.1</v>
      </c>
      <c r="K9" s="53">
        <v>318.41000000000003</v>
      </c>
      <c r="L9" s="53">
        <v>23.31</v>
      </c>
      <c r="M9" s="53">
        <v>98.98</v>
      </c>
      <c r="N9" s="53">
        <v>49.2</v>
      </c>
      <c r="O9" s="53">
        <v>0</v>
      </c>
      <c r="P9" s="53">
        <v>0.56999999999999995</v>
      </c>
      <c r="Q9" s="53">
        <v>9.3800000000000008</v>
      </c>
      <c r="R9" s="43"/>
      <c r="S9" s="43"/>
      <c r="T9" s="43"/>
      <c r="U9" s="43"/>
    </row>
    <row r="10" spans="1:21" s="11" customFormat="1" x14ac:dyDescent="0.25">
      <c r="A10" s="52" t="s">
        <v>301</v>
      </c>
      <c r="B10" s="53">
        <v>14.78</v>
      </c>
      <c r="C10" s="53">
        <v>10.58</v>
      </c>
      <c r="D10" s="53">
        <v>17.100000000000001</v>
      </c>
      <c r="E10" s="53">
        <v>3.77</v>
      </c>
      <c r="F10" s="53">
        <v>5.72</v>
      </c>
      <c r="G10" s="53">
        <v>22.22</v>
      </c>
      <c r="H10" s="53">
        <v>6.31</v>
      </c>
      <c r="I10" s="53">
        <v>2.02</v>
      </c>
      <c r="J10" s="53">
        <v>0.14000000000000001</v>
      </c>
      <c r="K10" s="53">
        <v>311</v>
      </c>
      <c r="L10" s="53">
        <v>23.47</v>
      </c>
      <c r="M10" s="53">
        <v>99.03</v>
      </c>
      <c r="N10" s="53">
        <v>49.7</v>
      </c>
      <c r="O10" s="53">
        <v>0</v>
      </c>
      <c r="P10" s="53">
        <v>0.46</v>
      </c>
      <c r="Q10" s="53">
        <v>9.3000000000000007</v>
      </c>
      <c r="R10" s="43"/>
      <c r="S10" s="43"/>
      <c r="T10" s="43"/>
      <c r="U10" s="43"/>
    </row>
    <row r="11" spans="1:21" s="11" customFormat="1" x14ac:dyDescent="0.25">
      <c r="A11" s="52" t="s">
        <v>302</v>
      </c>
      <c r="B11" s="53">
        <v>8.92</v>
      </c>
      <c r="C11" s="53">
        <v>14.05</v>
      </c>
      <c r="D11" s="53">
        <v>14.01</v>
      </c>
      <c r="E11" s="53">
        <v>3.8</v>
      </c>
      <c r="F11" s="53">
        <v>8.86</v>
      </c>
      <c r="G11" s="53">
        <v>23.15</v>
      </c>
      <c r="H11" s="53">
        <v>5.38</v>
      </c>
      <c r="I11" s="53">
        <v>1.74</v>
      </c>
      <c r="J11" s="53">
        <v>0.11</v>
      </c>
      <c r="K11" s="53">
        <v>301.23</v>
      </c>
      <c r="L11" s="53">
        <v>23.42</v>
      </c>
      <c r="M11" s="53">
        <v>99</v>
      </c>
      <c r="N11" s="53">
        <v>49.6</v>
      </c>
      <c r="O11" s="53">
        <v>0</v>
      </c>
      <c r="P11" s="53">
        <v>0.61</v>
      </c>
      <c r="Q11" s="53">
        <v>9.23</v>
      </c>
      <c r="R11" s="43"/>
      <c r="S11" s="43"/>
      <c r="T11" s="43"/>
      <c r="U11" s="43"/>
    </row>
    <row r="12" spans="1:21" s="11" customFormat="1" x14ac:dyDescent="0.25">
      <c r="A12" s="52" t="s">
        <v>303</v>
      </c>
      <c r="B12" s="53">
        <v>11.55</v>
      </c>
      <c r="C12" s="53">
        <v>14.28</v>
      </c>
      <c r="D12" s="53">
        <v>14.94</v>
      </c>
      <c r="E12" s="53">
        <v>4.01</v>
      </c>
      <c r="F12" s="53">
        <v>5.67</v>
      </c>
      <c r="G12" s="53">
        <v>34.659999999999997</v>
      </c>
      <c r="H12" s="53">
        <v>14.27</v>
      </c>
      <c r="I12" s="53">
        <v>1.91</v>
      </c>
      <c r="J12" s="53">
        <v>0.18</v>
      </c>
      <c r="K12" s="53">
        <v>296.97000000000003</v>
      </c>
      <c r="L12" s="53">
        <v>23.36</v>
      </c>
      <c r="M12" s="53">
        <v>98.79</v>
      </c>
      <c r="N12" s="53">
        <v>49.7</v>
      </c>
      <c r="O12" s="53">
        <v>0</v>
      </c>
      <c r="P12" s="53">
        <v>0.56999999999999995</v>
      </c>
      <c r="Q12" s="53">
        <v>9.23</v>
      </c>
      <c r="R12" s="43"/>
      <c r="S12" s="43"/>
      <c r="T12" s="43"/>
      <c r="U12" s="43"/>
    </row>
    <row r="13" spans="1:21" s="11" customFormat="1" x14ac:dyDescent="0.25">
      <c r="A13" s="52" t="s">
        <v>304</v>
      </c>
      <c r="B13" s="53">
        <v>11.6</v>
      </c>
      <c r="C13" s="53">
        <v>10.86</v>
      </c>
      <c r="D13" s="53">
        <v>14.8</v>
      </c>
      <c r="E13" s="53">
        <v>3.7</v>
      </c>
      <c r="F13" s="53">
        <v>3.61</v>
      </c>
      <c r="G13" s="53">
        <v>39.49</v>
      </c>
      <c r="H13" s="53">
        <v>13.4</v>
      </c>
      <c r="I13" s="53">
        <v>1.93</v>
      </c>
      <c r="J13" s="53">
        <v>0.15</v>
      </c>
      <c r="K13" s="53">
        <v>296.66000000000003</v>
      </c>
      <c r="L13" s="53">
        <v>23.27</v>
      </c>
      <c r="M13" s="53">
        <v>98.6</v>
      </c>
      <c r="N13" s="53">
        <v>49.4</v>
      </c>
      <c r="O13" s="53">
        <v>0</v>
      </c>
      <c r="P13" s="53">
        <v>0.49</v>
      </c>
      <c r="Q13" s="53">
        <v>9.19</v>
      </c>
      <c r="R13" s="43"/>
      <c r="S13" s="43"/>
      <c r="T13" s="43"/>
      <c r="U13" s="43"/>
    </row>
    <row r="14" spans="1:21" s="11" customFormat="1" x14ac:dyDescent="0.25">
      <c r="A14" s="52" t="s">
        <v>305</v>
      </c>
      <c r="B14" s="53">
        <v>10.66</v>
      </c>
      <c r="C14" s="53">
        <v>10.91</v>
      </c>
      <c r="D14" s="53">
        <v>14.09</v>
      </c>
      <c r="E14" s="53">
        <v>3.79</v>
      </c>
      <c r="F14" s="53">
        <v>3.87</v>
      </c>
      <c r="G14" s="53">
        <v>39.82</v>
      </c>
      <c r="H14" s="53">
        <v>10.48</v>
      </c>
      <c r="I14" s="53">
        <v>1.87</v>
      </c>
      <c r="J14" s="53">
        <v>0.16</v>
      </c>
      <c r="K14" s="53">
        <v>309.3</v>
      </c>
      <c r="L14" s="53">
        <v>23.13</v>
      </c>
      <c r="M14" s="53">
        <v>98.59</v>
      </c>
      <c r="N14" s="53">
        <v>64</v>
      </c>
      <c r="O14" s="53">
        <v>0</v>
      </c>
      <c r="P14" s="53">
        <v>0.42</v>
      </c>
      <c r="Q14" s="53">
        <v>9.14</v>
      </c>
      <c r="R14" s="43"/>
      <c r="S14" s="43"/>
      <c r="T14" s="43"/>
      <c r="U14" s="43"/>
    </row>
    <row r="15" spans="1:21" s="11" customFormat="1" x14ac:dyDescent="0.25">
      <c r="A15" s="52" t="s">
        <v>306</v>
      </c>
      <c r="B15" s="53">
        <v>9.57</v>
      </c>
      <c r="C15" s="53">
        <v>12.05</v>
      </c>
      <c r="D15" s="53">
        <v>13.84</v>
      </c>
      <c r="E15" s="53">
        <v>3.8</v>
      </c>
      <c r="F15" s="53">
        <v>5.28</v>
      </c>
      <c r="G15" s="53">
        <v>39.39</v>
      </c>
      <c r="H15" s="53">
        <v>7.34</v>
      </c>
      <c r="I15" s="53">
        <v>1.78</v>
      </c>
      <c r="J15" s="53">
        <v>0.15</v>
      </c>
      <c r="K15" s="53">
        <v>297.18</v>
      </c>
      <c r="L15" s="53">
        <v>23.78</v>
      </c>
      <c r="M15" s="53">
        <v>98.06</v>
      </c>
      <c r="N15" s="53">
        <v>191.3</v>
      </c>
      <c r="O15" s="53">
        <v>0</v>
      </c>
      <c r="P15" s="53">
        <v>0.31</v>
      </c>
      <c r="Q15" s="53">
        <v>9.14</v>
      </c>
      <c r="R15" s="43"/>
      <c r="S15" s="43"/>
      <c r="T15" s="43"/>
      <c r="U15" s="43"/>
    </row>
    <row r="16" spans="1:21" s="11" customFormat="1" x14ac:dyDescent="0.25">
      <c r="A16" s="52" t="s">
        <v>307</v>
      </c>
      <c r="B16" s="53">
        <v>11.24</v>
      </c>
      <c r="C16" s="53">
        <v>13.46</v>
      </c>
      <c r="D16" s="53">
        <v>16.04</v>
      </c>
      <c r="E16" s="53">
        <v>3.86</v>
      </c>
      <c r="F16" s="53">
        <v>3.87</v>
      </c>
      <c r="G16" s="53">
        <v>37.57</v>
      </c>
      <c r="H16" s="53">
        <v>5.14</v>
      </c>
      <c r="I16" s="53">
        <v>1.67</v>
      </c>
      <c r="J16" s="53">
        <v>0.26</v>
      </c>
      <c r="K16" s="53">
        <v>297.58</v>
      </c>
      <c r="L16" s="53">
        <v>26.29</v>
      </c>
      <c r="M16" s="53">
        <v>98.09</v>
      </c>
      <c r="N16" s="53">
        <v>394.4</v>
      </c>
      <c r="O16" s="53">
        <v>0</v>
      </c>
      <c r="P16" s="53">
        <v>0.31</v>
      </c>
      <c r="Q16" s="53">
        <v>9.17</v>
      </c>
      <c r="R16" s="43"/>
      <c r="S16" s="43"/>
      <c r="T16" s="43"/>
      <c r="U16" s="43"/>
    </row>
    <row r="17" spans="1:21" s="11" customFormat="1" x14ac:dyDescent="0.25">
      <c r="A17" s="52" t="s">
        <v>308</v>
      </c>
      <c r="B17" s="53">
        <v>10.64</v>
      </c>
      <c r="C17" s="53">
        <v>12.55</v>
      </c>
      <c r="D17" s="53">
        <v>15.07</v>
      </c>
      <c r="E17" s="53">
        <v>4.34</v>
      </c>
      <c r="F17" s="53">
        <v>4.1399999999999997</v>
      </c>
      <c r="G17" s="53">
        <v>42.07</v>
      </c>
      <c r="H17" s="53">
        <v>14.95</v>
      </c>
      <c r="I17" s="53">
        <v>1.74</v>
      </c>
      <c r="J17" s="53">
        <v>0.28000000000000003</v>
      </c>
      <c r="K17" s="53">
        <v>291.2</v>
      </c>
      <c r="L17" s="53">
        <v>27.45</v>
      </c>
      <c r="M17" s="53">
        <v>98.02</v>
      </c>
      <c r="N17" s="53">
        <v>402.9</v>
      </c>
      <c r="O17" s="53">
        <v>0</v>
      </c>
      <c r="P17" s="53">
        <v>0.43</v>
      </c>
      <c r="Q17" s="53">
        <v>9.16</v>
      </c>
      <c r="R17" s="43"/>
      <c r="S17" s="43"/>
      <c r="T17" s="43"/>
      <c r="U17" s="43"/>
    </row>
    <row r="18" spans="1:21" s="11" customFormat="1" x14ac:dyDescent="0.25">
      <c r="A18" s="52" t="s">
        <v>309</v>
      </c>
      <c r="B18" s="53">
        <v>12.21</v>
      </c>
      <c r="C18" s="53">
        <v>13.25</v>
      </c>
      <c r="D18" s="53">
        <v>16.71</v>
      </c>
      <c r="E18" s="53">
        <v>4.46</v>
      </c>
      <c r="F18" s="53">
        <v>3.69</v>
      </c>
      <c r="G18" s="53">
        <v>58.87</v>
      </c>
      <c r="H18" s="53">
        <v>13.76</v>
      </c>
      <c r="I18" s="53">
        <v>1.82</v>
      </c>
      <c r="J18" s="53">
        <v>0.33</v>
      </c>
      <c r="K18" s="53">
        <v>297.47000000000003</v>
      </c>
      <c r="L18" s="53">
        <v>27.18</v>
      </c>
      <c r="M18" s="53">
        <v>98.07</v>
      </c>
      <c r="N18" s="53">
        <v>356</v>
      </c>
      <c r="O18" s="53">
        <v>0</v>
      </c>
      <c r="P18" s="53">
        <v>0.48</v>
      </c>
      <c r="Q18" s="53">
        <v>9.19</v>
      </c>
      <c r="R18" s="43"/>
      <c r="S18" s="43"/>
      <c r="T18" s="43"/>
      <c r="U18" s="43"/>
    </row>
    <row r="19" spans="1:21" s="11" customFormat="1" x14ac:dyDescent="0.25">
      <c r="A19" s="52" t="s">
        <v>310</v>
      </c>
      <c r="B19" s="53">
        <v>11.63</v>
      </c>
      <c r="C19" s="53">
        <v>24.3</v>
      </c>
      <c r="D19" s="53">
        <v>18.8</v>
      </c>
      <c r="E19" s="53">
        <v>4.57</v>
      </c>
      <c r="F19" s="53">
        <v>4.49</v>
      </c>
      <c r="G19" s="53">
        <v>68.010000000000005</v>
      </c>
      <c r="H19" s="53">
        <v>10.69</v>
      </c>
      <c r="I19" s="53">
        <v>1.93</v>
      </c>
      <c r="J19" s="53">
        <v>0.33</v>
      </c>
      <c r="K19" s="53">
        <v>289.05</v>
      </c>
      <c r="L19" s="53">
        <v>27.94</v>
      </c>
      <c r="M19" s="53">
        <v>97.63</v>
      </c>
      <c r="N19" s="53">
        <v>307</v>
      </c>
      <c r="O19" s="53">
        <v>0</v>
      </c>
      <c r="P19" s="53">
        <v>0.68</v>
      </c>
      <c r="Q19" s="53">
        <v>9.19</v>
      </c>
      <c r="R19" s="43"/>
      <c r="S19" s="43"/>
      <c r="T19" s="43"/>
      <c r="U19" s="43"/>
    </row>
    <row r="20" spans="1:21" s="11" customFormat="1" x14ac:dyDescent="0.25">
      <c r="A20" s="52" t="s">
        <v>311</v>
      </c>
      <c r="B20" s="53">
        <v>8.25</v>
      </c>
      <c r="C20" s="53">
        <v>25.73</v>
      </c>
      <c r="D20" s="53">
        <v>19.47</v>
      </c>
      <c r="E20" s="53">
        <v>4.28</v>
      </c>
      <c r="F20" s="53">
        <v>6.23</v>
      </c>
      <c r="G20" s="53">
        <v>76.010000000000005</v>
      </c>
      <c r="H20" s="53">
        <v>14.25</v>
      </c>
      <c r="I20" s="53">
        <v>2</v>
      </c>
      <c r="J20" s="53">
        <v>0.47</v>
      </c>
      <c r="K20" s="53">
        <v>302.12</v>
      </c>
      <c r="L20" s="53">
        <v>29.94</v>
      </c>
      <c r="M20" s="53">
        <v>89.93</v>
      </c>
      <c r="N20" s="53">
        <v>439.5</v>
      </c>
      <c r="O20" s="53">
        <v>0</v>
      </c>
      <c r="P20" s="53">
        <v>0.68</v>
      </c>
      <c r="Q20" s="53">
        <v>9.17</v>
      </c>
      <c r="R20" s="43"/>
      <c r="S20" s="43"/>
      <c r="T20" s="43"/>
      <c r="U20" s="43"/>
    </row>
    <row r="21" spans="1:21" s="11" customFormat="1" x14ac:dyDescent="0.25">
      <c r="A21" s="52" t="s">
        <v>312</v>
      </c>
      <c r="B21" s="53">
        <v>7.08</v>
      </c>
      <c r="C21" s="53">
        <v>23.45</v>
      </c>
      <c r="D21" s="53">
        <v>17.43</v>
      </c>
      <c r="E21" s="53">
        <v>4.4400000000000004</v>
      </c>
      <c r="F21" s="53">
        <v>5.62</v>
      </c>
      <c r="G21" s="53">
        <v>78</v>
      </c>
      <c r="H21" s="53">
        <v>26.09</v>
      </c>
      <c r="I21" s="53">
        <v>1.8</v>
      </c>
      <c r="J21" s="53">
        <v>0.75</v>
      </c>
      <c r="K21" s="53">
        <v>312.97000000000003</v>
      </c>
      <c r="L21" s="53">
        <v>30.62</v>
      </c>
      <c r="M21" s="53">
        <v>83.11</v>
      </c>
      <c r="N21" s="53">
        <v>397.1</v>
      </c>
      <c r="O21" s="53">
        <v>0</v>
      </c>
      <c r="P21" s="53">
        <v>0.43</v>
      </c>
      <c r="Q21" s="53">
        <v>9.16</v>
      </c>
      <c r="R21" s="43"/>
      <c r="S21" s="43"/>
      <c r="T21" s="43"/>
      <c r="U21" s="43"/>
    </row>
    <row r="22" spans="1:21" s="11" customFormat="1" x14ac:dyDescent="0.25">
      <c r="A22" s="52" t="s">
        <v>313</v>
      </c>
      <c r="B22" s="53">
        <v>7.14</v>
      </c>
      <c r="C22" s="53">
        <v>21.76</v>
      </c>
      <c r="D22" s="53">
        <v>15.9</v>
      </c>
      <c r="E22" s="53">
        <v>4.6399999999999997</v>
      </c>
      <c r="F22" s="53">
        <v>5</v>
      </c>
      <c r="G22" s="53">
        <v>74.72</v>
      </c>
      <c r="H22" s="53">
        <v>19.649999999999999</v>
      </c>
      <c r="I22" s="53">
        <v>1.3</v>
      </c>
      <c r="J22" s="53">
        <v>1.27</v>
      </c>
      <c r="K22" s="53">
        <v>323.99</v>
      </c>
      <c r="L22" s="53">
        <v>31.22</v>
      </c>
      <c r="M22" s="53">
        <v>85.48</v>
      </c>
      <c r="N22" s="53">
        <v>481.6</v>
      </c>
      <c r="O22" s="53">
        <v>0</v>
      </c>
      <c r="P22" s="53">
        <v>0.37</v>
      </c>
      <c r="Q22" s="53">
        <v>9.11</v>
      </c>
      <c r="R22" s="43"/>
      <c r="S22" s="43"/>
      <c r="T22" s="43"/>
      <c r="U22" s="43"/>
    </row>
    <row r="23" spans="1:21" s="11" customFormat="1" x14ac:dyDescent="0.25">
      <c r="A23" s="52" t="s">
        <v>314</v>
      </c>
      <c r="B23" s="53">
        <v>7.22</v>
      </c>
      <c r="C23" s="53">
        <v>19.989999999999998</v>
      </c>
      <c r="D23" s="53">
        <v>15.64</v>
      </c>
      <c r="E23" s="53">
        <v>4.12</v>
      </c>
      <c r="F23" s="53">
        <v>4.93</v>
      </c>
      <c r="G23" s="53">
        <v>54.89</v>
      </c>
      <c r="H23" s="53">
        <v>12.91</v>
      </c>
      <c r="I23" s="53">
        <v>1.1200000000000001</v>
      </c>
      <c r="J23" s="53">
        <v>0.82</v>
      </c>
      <c r="K23" s="53">
        <v>307.77999999999997</v>
      </c>
      <c r="L23" s="53">
        <v>31.09</v>
      </c>
      <c r="M23" s="53">
        <v>81.2</v>
      </c>
      <c r="N23" s="53">
        <v>335.2</v>
      </c>
      <c r="O23" s="53">
        <v>0</v>
      </c>
      <c r="P23" s="53">
        <v>0.36</v>
      </c>
      <c r="Q23" s="53">
        <v>9.09</v>
      </c>
      <c r="R23" s="43"/>
      <c r="S23" s="43"/>
      <c r="T23" s="43"/>
      <c r="U23" s="43"/>
    </row>
    <row r="24" spans="1:21" s="11" customFormat="1" x14ac:dyDescent="0.25">
      <c r="A24" s="52" t="s">
        <v>315</v>
      </c>
      <c r="B24" s="53">
        <v>5.75</v>
      </c>
      <c r="C24" s="53">
        <v>19.64</v>
      </c>
      <c r="D24" s="53">
        <v>14.41</v>
      </c>
      <c r="E24" s="53">
        <v>5.29</v>
      </c>
      <c r="F24" s="53">
        <v>4.84</v>
      </c>
      <c r="G24" s="53">
        <v>63.27</v>
      </c>
      <c r="H24" s="53">
        <v>15.32</v>
      </c>
      <c r="I24" s="53">
        <v>1.05</v>
      </c>
      <c r="J24" s="53">
        <v>0.63</v>
      </c>
      <c r="K24" s="53">
        <v>305.29000000000002</v>
      </c>
      <c r="L24" s="53">
        <v>29.34</v>
      </c>
      <c r="M24" s="53">
        <v>83.65</v>
      </c>
      <c r="N24" s="53">
        <v>249.8</v>
      </c>
      <c r="O24" s="53">
        <v>0</v>
      </c>
      <c r="P24" s="53">
        <v>0.28999999999999998</v>
      </c>
      <c r="Q24" s="53">
        <v>9.1199999999999992</v>
      </c>
      <c r="R24" s="43"/>
      <c r="S24" s="43"/>
      <c r="T24" s="43"/>
      <c r="U24" s="43"/>
    </row>
    <row r="25" spans="1:21" s="11" customFormat="1" x14ac:dyDescent="0.25">
      <c r="A25" s="52" t="s">
        <v>316</v>
      </c>
      <c r="B25" s="53">
        <v>6.27</v>
      </c>
      <c r="C25" s="53">
        <v>18.53</v>
      </c>
      <c r="D25" s="53">
        <v>14.7</v>
      </c>
      <c r="E25" s="53">
        <v>5.5</v>
      </c>
      <c r="F25" s="53">
        <v>5.19</v>
      </c>
      <c r="G25" s="53">
        <v>61.03</v>
      </c>
      <c r="H25" s="53">
        <v>12.17</v>
      </c>
      <c r="I25" s="53">
        <v>1.1499999999999999</v>
      </c>
      <c r="J25" s="53">
        <v>0.47</v>
      </c>
      <c r="K25" s="53">
        <v>313.63</v>
      </c>
      <c r="L25" s="53">
        <v>28.54</v>
      </c>
      <c r="M25" s="53">
        <v>88.71</v>
      </c>
      <c r="N25" s="53">
        <v>222.9</v>
      </c>
      <c r="O25" s="53">
        <v>0</v>
      </c>
      <c r="P25" s="53">
        <v>0.3</v>
      </c>
      <c r="Q25" s="53">
        <v>9.1300000000000008</v>
      </c>
      <c r="R25" s="43"/>
      <c r="S25" s="43"/>
      <c r="T25" s="43"/>
      <c r="U25" s="43"/>
    </row>
    <row r="26" spans="1:21" s="11" customFormat="1" x14ac:dyDescent="0.25">
      <c r="A26" s="52" t="s">
        <v>317</v>
      </c>
      <c r="B26" s="53">
        <v>5.68</v>
      </c>
      <c r="C26" s="53">
        <v>17.600000000000001</v>
      </c>
      <c r="D26" s="53">
        <v>13.58</v>
      </c>
      <c r="E26" s="53">
        <v>5.51</v>
      </c>
      <c r="F26" s="53">
        <v>4.32</v>
      </c>
      <c r="G26" s="53">
        <v>54.8</v>
      </c>
      <c r="H26" s="53">
        <v>8.34</v>
      </c>
      <c r="I26" s="53">
        <v>1.22</v>
      </c>
      <c r="J26" s="53">
        <v>0.41</v>
      </c>
      <c r="K26" s="53">
        <v>316.41000000000003</v>
      </c>
      <c r="L26" s="53">
        <v>28.03</v>
      </c>
      <c r="M26" s="53">
        <v>91.28</v>
      </c>
      <c r="N26" s="53">
        <v>157.69999999999999</v>
      </c>
      <c r="O26" s="53">
        <v>0</v>
      </c>
      <c r="P26" s="53">
        <v>0.3</v>
      </c>
      <c r="Q26" s="53">
        <v>9.1</v>
      </c>
      <c r="R26" s="43"/>
      <c r="S26" s="43"/>
      <c r="T26" s="43"/>
      <c r="U26" s="43"/>
    </row>
    <row r="27" spans="1:21" s="11" customFormat="1" x14ac:dyDescent="0.25">
      <c r="A27" s="52" t="s">
        <v>318</v>
      </c>
      <c r="B27" s="53">
        <v>6.08</v>
      </c>
      <c r="C27" s="53">
        <v>18.95</v>
      </c>
      <c r="D27" s="53">
        <v>14.74</v>
      </c>
      <c r="E27" s="53">
        <v>5.32</v>
      </c>
      <c r="F27" s="53">
        <v>4.79</v>
      </c>
      <c r="G27" s="53">
        <v>52.91</v>
      </c>
      <c r="H27" s="53">
        <v>8.84</v>
      </c>
      <c r="I27" s="53">
        <v>1.26</v>
      </c>
      <c r="J27" s="53">
        <v>0.22</v>
      </c>
      <c r="K27" s="53">
        <v>350.37</v>
      </c>
      <c r="L27" s="53">
        <v>27.28</v>
      </c>
      <c r="M27" s="53">
        <v>98.3</v>
      </c>
      <c r="N27" s="53">
        <v>94.7</v>
      </c>
      <c r="O27" s="53">
        <v>0</v>
      </c>
      <c r="P27" s="53">
        <v>0.38</v>
      </c>
      <c r="Q27" s="53">
        <v>9.06</v>
      </c>
      <c r="R27" s="43"/>
      <c r="S27" s="43"/>
      <c r="T27" s="43"/>
      <c r="U27" s="43"/>
    </row>
    <row r="28" spans="1:21" s="11" customFormat="1" x14ac:dyDescent="0.25">
      <c r="A28" s="52" t="s">
        <v>319</v>
      </c>
      <c r="B28" s="53">
        <v>9.09</v>
      </c>
      <c r="C28" s="53">
        <v>19.25</v>
      </c>
      <c r="D28" s="53">
        <v>16.78</v>
      </c>
      <c r="E28" s="53">
        <v>5.42</v>
      </c>
      <c r="F28" s="53">
        <v>7.64</v>
      </c>
      <c r="G28" s="53">
        <v>54.16</v>
      </c>
      <c r="H28" s="53">
        <v>7.19</v>
      </c>
      <c r="I28" s="53">
        <v>1.41</v>
      </c>
      <c r="J28" s="53">
        <v>0.17</v>
      </c>
      <c r="K28" s="53">
        <v>350.87</v>
      </c>
      <c r="L28" s="53">
        <v>25.97</v>
      </c>
      <c r="M28" s="53">
        <v>98.34</v>
      </c>
      <c r="N28" s="53">
        <v>81.3</v>
      </c>
      <c r="O28" s="53">
        <v>0</v>
      </c>
      <c r="P28" s="53">
        <v>0.56000000000000005</v>
      </c>
      <c r="Q28" s="53">
        <v>9.08</v>
      </c>
      <c r="R28" s="43"/>
      <c r="S28" s="43"/>
      <c r="T28" s="43"/>
      <c r="U28" s="43"/>
    </row>
    <row r="29" spans="1:21" s="11" customFormat="1" x14ac:dyDescent="0.25">
      <c r="A29" s="52" t="s">
        <v>320</v>
      </c>
      <c r="B29" s="53">
        <v>10.74</v>
      </c>
      <c r="C29" s="53">
        <v>18.670000000000002</v>
      </c>
      <c r="D29" s="53">
        <v>17.82</v>
      </c>
      <c r="E29" s="53">
        <v>5.54</v>
      </c>
      <c r="F29" s="53">
        <v>9.31</v>
      </c>
      <c r="G29" s="53">
        <v>53.08</v>
      </c>
      <c r="H29" s="53">
        <v>5.03</v>
      </c>
      <c r="I29" s="53">
        <v>1.5</v>
      </c>
      <c r="J29" s="53">
        <v>0.17</v>
      </c>
      <c r="K29" s="53">
        <v>354.09</v>
      </c>
      <c r="L29" s="53">
        <v>25.52</v>
      </c>
      <c r="M29" s="53">
        <v>98.34</v>
      </c>
      <c r="N29" s="53">
        <v>81.7</v>
      </c>
      <c r="O29" s="53">
        <v>0</v>
      </c>
      <c r="P29" s="53">
        <v>0.55000000000000004</v>
      </c>
      <c r="Q29" s="53">
        <v>9.11</v>
      </c>
      <c r="R29" s="43"/>
      <c r="S29" s="43"/>
      <c r="T29" s="43"/>
      <c r="U29" s="43"/>
    </row>
    <row r="30" spans="1:21" s="11" customFormat="1" x14ac:dyDescent="0.25">
      <c r="A30" s="52" t="s">
        <v>321</v>
      </c>
      <c r="B30" s="53">
        <v>16.5</v>
      </c>
      <c r="C30" s="53">
        <v>21.64</v>
      </c>
      <c r="D30" s="53">
        <v>24.54</v>
      </c>
      <c r="E30" s="53">
        <v>5.72</v>
      </c>
      <c r="F30" s="53">
        <v>8.35</v>
      </c>
      <c r="G30" s="53">
        <v>51.27</v>
      </c>
      <c r="H30" s="53">
        <v>21.06</v>
      </c>
      <c r="I30" s="53">
        <v>1.55</v>
      </c>
      <c r="J30" s="53">
        <v>0.11</v>
      </c>
      <c r="K30" s="53">
        <v>354.62</v>
      </c>
      <c r="L30" s="53">
        <v>24.83</v>
      </c>
      <c r="M30" s="53">
        <v>98.4</v>
      </c>
      <c r="N30" s="53">
        <v>73.400000000000006</v>
      </c>
      <c r="O30" s="53">
        <v>0</v>
      </c>
      <c r="P30" s="53">
        <v>0.91</v>
      </c>
      <c r="Q30" s="53">
        <v>9.11</v>
      </c>
      <c r="R30" s="43"/>
      <c r="S30" s="43"/>
      <c r="T30" s="43"/>
      <c r="U30" s="43"/>
    </row>
    <row r="31" spans="1:21" s="11" customFormat="1" x14ac:dyDescent="0.25">
      <c r="A31" s="52" t="s">
        <v>322</v>
      </c>
      <c r="B31" s="53">
        <v>10.42</v>
      </c>
      <c r="C31" s="53">
        <v>15.3</v>
      </c>
      <c r="D31" s="53">
        <v>15.19</v>
      </c>
      <c r="E31" s="53">
        <v>5.63</v>
      </c>
      <c r="F31" s="53">
        <v>4.0199999999999996</v>
      </c>
      <c r="G31" s="53">
        <v>54.17</v>
      </c>
      <c r="H31" s="53">
        <v>29.9</v>
      </c>
      <c r="I31" s="53">
        <v>1.71</v>
      </c>
      <c r="J31" s="53">
        <v>0.13</v>
      </c>
      <c r="K31" s="53">
        <v>338.59</v>
      </c>
      <c r="L31" s="53">
        <v>24.65</v>
      </c>
      <c r="M31" s="53">
        <v>98.47</v>
      </c>
      <c r="N31" s="53">
        <v>73.3</v>
      </c>
      <c r="O31" s="53">
        <v>0</v>
      </c>
      <c r="P31" s="53">
        <v>0.59</v>
      </c>
      <c r="Q31" s="53">
        <v>9.1199999999999992</v>
      </c>
      <c r="R31" s="43"/>
      <c r="S31" s="43"/>
      <c r="T31" s="43"/>
      <c r="U31" s="43"/>
    </row>
    <row r="32" spans="1:21" s="11" customFormat="1" x14ac:dyDescent="0.25">
      <c r="A32" s="52" t="s">
        <v>323</v>
      </c>
      <c r="B32" s="53">
        <v>8.74</v>
      </c>
      <c r="C32" s="53">
        <v>13.6</v>
      </c>
      <c r="D32" s="53">
        <v>14.11</v>
      </c>
      <c r="E32" s="53">
        <v>5.48</v>
      </c>
      <c r="F32" s="53">
        <v>10.7</v>
      </c>
      <c r="G32" s="53">
        <v>52.3</v>
      </c>
      <c r="H32" s="53">
        <v>27.32</v>
      </c>
      <c r="I32" s="53">
        <v>1.7</v>
      </c>
      <c r="J32" s="53">
        <v>0.1</v>
      </c>
      <c r="K32" s="53">
        <v>330.99</v>
      </c>
      <c r="L32" s="53">
        <v>24.55</v>
      </c>
      <c r="M32" s="53">
        <v>98.58</v>
      </c>
      <c r="N32" s="53">
        <v>74.5</v>
      </c>
      <c r="O32" s="53">
        <v>0</v>
      </c>
      <c r="P32" s="53">
        <v>0.56000000000000005</v>
      </c>
      <c r="Q32" s="53">
        <v>9.1199999999999992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5.68</v>
      </c>
      <c r="C34" s="28">
        <f t="shared" si="0"/>
        <v>10.58</v>
      </c>
      <c r="D34" s="28">
        <f t="shared" si="0"/>
        <v>13.58</v>
      </c>
      <c r="E34" s="28">
        <f t="shared" si="0"/>
        <v>3.7</v>
      </c>
      <c r="F34" s="28">
        <f t="shared" si="0"/>
        <v>3.61</v>
      </c>
      <c r="G34" s="28">
        <f t="shared" si="0"/>
        <v>19.91</v>
      </c>
      <c r="H34" s="28">
        <f t="shared" si="0"/>
        <v>5.03</v>
      </c>
      <c r="I34" s="28">
        <f t="shared" si="0"/>
        <v>1.05</v>
      </c>
      <c r="J34" s="28">
        <f t="shared" si="0"/>
        <v>0.1</v>
      </c>
      <c r="K34" s="28">
        <f t="shared" si="0"/>
        <v>289.05</v>
      </c>
      <c r="L34" s="28">
        <f t="shared" si="0"/>
        <v>23.13</v>
      </c>
      <c r="M34" s="28">
        <f t="shared" si="0"/>
        <v>81.2</v>
      </c>
      <c r="N34" s="28">
        <f t="shared" si="0"/>
        <v>49.2</v>
      </c>
      <c r="O34" s="28">
        <f t="shared" si="0"/>
        <v>0</v>
      </c>
      <c r="P34" s="28">
        <f t="shared" si="0"/>
        <v>0.28999999999999998</v>
      </c>
      <c r="Q34" s="28">
        <f t="shared" si="0"/>
        <v>9.06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16.5</v>
      </c>
      <c r="C35" s="29">
        <f t="shared" si="1"/>
        <v>25.73</v>
      </c>
      <c r="D35" s="29">
        <f t="shared" si="1"/>
        <v>24.54</v>
      </c>
      <c r="E35" s="29">
        <f t="shared" si="1"/>
        <v>5.72</v>
      </c>
      <c r="F35" s="29">
        <f t="shared" si="1"/>
        <v>10.7</v>
      </c>
      <c r="G35" s="29">
        <f t="shared" si="1"/>
        <v>78</v>
      </c>
      <c r="H35" s="29">
        <f t="shared" si="1"/>
        <v>29.9</v>
      </c>
      <c r="I35" s="29">
        <f t="shared" si="1"/>
        <v>2.08</v>
      </c>
      <c r="J35" s="29">
        <f t="shared" si="1"/>
        <v>1.27</v>
      </c>
      <c r="K35" s="29">
        <f t="shared" si="1"/>
        <v>354.62</v>
      </c>
      <c r="L35" s="29">
        <f t="shared" si="1"/>
        <v>31.22</v>
      </c>
      <c r="M35" s="29">
        <f t="shared" si="1"/>
        <v>99.03</v>
      </c>
      <c r="N35" s="29">
        <f t="shared" si="1"/>
        <v>481.6</v>
      </c>
      <c r="O35" s="29">
        <f t="shared" si="1"/>
        <v>0</v>
      </c>
      <c r="P35" s="29">
        <f t="shared" si="1"/>
        <v>0.91</v>
      </c>
      <c r="Q35" s="29">
        <f t="shared" si="1"/>
        <v>9.3800000000000008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9.8791666666666682</v>
      </c>
      <c r="C36" s="28">
        <f t="shared" si="2"/>
        <v>16.860416666666669</v>
      </c>
      <c r="D36" s="28">
        <f t="shared" si="2"/>
        <v>16.146666666666668</v>
      </c>
      <c r="E36" s="28">
        <f t="shared" si="2"/>
        <v>4.6295833333333336</v>
      </c>
      <c r="F36" s="28">
        <f t="shared" si="2"/>
        <v>5.6487499999999997</v>
      </c>
      <c r="G36" s="28">
        <f t="shared" si="2"/>
        <v>50.240416666666654</v>
      </c>
      <c r="H36" s="28">
        <f t="shared" si="2"/>
        <v>13.260833333333331</v>
      </c>
      <c r="I36" s="28">
        <f t="shared" si="2"/>
        <v>1.6358333333333333</v>
      </c>
      <c r="J36" s="28">
        <f t="shared" si="2"/>
        <v>0.32958333333333328</v>
      </c>
      <c r="K36" s="28">
        <f t="shared" si="2"/>
        <v>315.32374999999996</v>
      </c>
      <c r="L36" s="28">
        <f t="shared" si="2"/>
        <v>26.424166666666665</v>
      </c>
      <c r="M36" s="28">
        <f t="shared" si="2"/>
        <v>94.860416666666652</v>
      </c>
      <c r="N36" s="28">
        <f t="shared" si="2"/>
        <v>196.91249999999999</v>
      </c>
      <c r="O36" s="28">
        <f t="shared" si="2"/>
        <v>0</v>
      </c>
      <c r="P36" s="28">
        <f t="shared" si="2"/>
        <v>0.48375000000000012</v>
      </c>
      <c r="Q36" s="28">
        <f t="shared" si="2"/>
        <v>9.1583333333333332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2.9937760316256452</v>
      </c>
      <c r="C37" s="28">
        <f t="shared" ref="C37:Q37" si="3">STDEV(C9:C32)</f>
        <v>4.5209949647189909</v>
      </c>
      <c r="D37" s="28">
        <f t="shared" si="3"/>
        <v>2.4225923353276606</v>
      </c>
      <c r="E37" s="28">
        <f t="shared" si="3"/>
        <v>0.7302916580360872</v>
      </c>
      <c r="F37" s="28">
        <f t="shared" si="3"/>
        <v>1.9327819834767126</v>
      </c>
      <c r="G37" s="28">
        <f t="shared" si="3"/>
        <v>16.225228739371556</v>
      </c>
      <c r="H37" s="28">
        <f t="shared" si="3"/>
        <v>7.0664854536513939</v>
      </c>
      <c r="I37" s="28">
        <f t="shared" si="3"/>
        <v>0.31233923400919322</v>
      </c>
      <c r="J37" s="28">
        <f t="shared" si="3"/>
        <v>0.28751527999722737</v>
      </c>
      <c r="K37" s="28">
        <f t="shared" si="3"/>
        <v>20.773678540612288</v>
      </c>
      <c r="L37" s="28">
        <f t="shared" si="3"/>
        <v>2.7172715162003116</v>
      </c>
      <c r="M37" s="28">
        <f t="shared" si="3"/>
        <v>6.0151645170075483</v>
      </c>
      <c r="N37" s="28">
        <f t="shared" si="3"/>
        <v>152.07154869965996</v>
      </c>
      <c r="O37" s="28">
        <f t="shared" si="3"/>
        <v>0</v>
      </c>
      <c r="P37" s="28">
        <f t="shared" si="3"/>
        <v>0.15205297989731087</v>
      </c>
      <c r="Q37" s="28">
        <f t="shared" si="3"/>
        <v>7.2090924874601225E-2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324</v>
      </c>
      <c r="B9" s="53">
        <v>6.4</v>
      </c>
      <c r="C9" s="53">
        <v>12.87</v>
      </c>
      <c r="D9" s="53">
        <v>11.67</v>
      </c>
      <c r="E9" s="53">
        <v>4.95</v>
      </c>
      <c r="F9" s="53">
        <v>10.29</v>
      </c>
      <c r="G9" s="53">
        <v>43.41</v>
      </c>
      <c r="H9" s="53">
        <v>23.53</v>
      </c>
      <c r="I9" s="53">
        <v>1.66</v>
      </c>
      <c r="J9" s="53">
        <v>0.1</v>
      </c>
      <c r="K9" s="53">
        <v>332.07</v>
      </c>
      <c r="L9" s="53">
        <v>24.23</v>
      </c>
      <c r="M9" s="53">
        <v>98.6</v>
      </c>
      <c r="N9" s="53">
        <v>76.599999999999994</v>
      </c>
      <c r="O9" s="53">
        <v>0</v>
      </c>
      <c r="P9" s="53">
        <v>0.39</v>
      </c>
      <c r="Q9" s="53">
        <v>9.1199999999999992</v>
      </c>
      <c r="R9" s="43"/>
      <c r="S9" s="43"/>
      <c r="T9" s="43"/>
      <c r="U9" s="43"/>
    </row>
    <row r="10" spans="1:21" s="11" customFormat="1" x14ac:dyDescent="0.25">
      <c r="A10" s="52" t="s">
        <v>325</v>
      </c>
      <c r="B10" s="53">
        <v>7.11</v>
      </c>
      <c r="C10" s="53">
        <v>12.06</v>
      </c>
      <c r="D10" s="53">
        <v>11.61</v>
      </c>
      <c r="E10" s="53">
        <v>4.99</v>
      </c>
      <c r="F10" s="53">
        <v>8.59</v>
      </c>
      <c r="G10" s="53">
        <v>34.51</v>
      </c>
      <c r="H10" s="53">
        <v>18.37</v>
      </c>
      <c r="I10" s="53">
        <v>1.46</v>
      </c>
      <c r="J10" s="53">
        <v>0.09</v>
      </c>
      <c r="K10" s="53">
        <v>319.66000000000003</v>
      </c>
      <c r="L10" s="53">
        <v>24.27</v>
      </c>
      <c r="M10" s="53">
        <v>98.71</v>
      </c>
      <c r="N10" s="53">
        <v>78.3</v>
      </c>
      <c r="O10" s="53">
        <v>0</v>
      </c>
      <c r="P10" s="53">
        <v>0.42</v>
      </c>
      <c r="Q10" s="53">
        <v>9.1199999999999992</v>
      </c>
      <c r="R10" s="43"/>
      <c r="S10" s="43"/>
      <c r="T10" s="43"/>
      <c r="U10" s="43"/>
    </row>
    <row r="11" spans="1:21" s="11" customFormat="1" x14ac:dyDescent="0.25">
      <c r="A11" s="52" t="s">
        <v>326</v>
      </c>
      <c r="B11" s="53">
        <v>6.73</v>
      </c>
      <c r="C11" s="53">
        <v>11.05</v>
      </c>
      <c r="D11" s="53">
        <v>11.09</v>
      </c>
      <c r="E11" s="53">
        <v>4.9400000000000004</v>
      </c>
      <c r="F11" s="53">
        <v>6.39</v>
      </c>
      <c r="G11" s="53">
        <v>29.44</v>
      </c>
      <c r="H11" s="53">
        <v>13.11</v>
      </c>
      <c r="I11" s="53">
        <v>1.31</v>
      </c>
      <c r="J11" s="53">
        <v>7.0000000000000007E-2</v>
      </c>
      <c r="K11" s="53">
        <v>299.73</v>
      </c>
      <c r="L11" s="53">
        <v>24.18</v>
      </c>
      <c r="M11" s="53">
        <v>98.7</v>
      </c>
      <c r="N11" s="53">
        <v>79.7</v>
      </c>
      <c r="O11" s="53">
        <v>0</v>
      </c>
      <c r="P11" s="53">
        <v>0.35</v>
      </c>
      <c r="Q11" s="53">
        <v>9.06</v>
      </c>
      <c r="R11" s="43"/>
      <c r="S11" s="43"/>
      <c r="T11" s="43"/>
      <c r="U11" s="43"/>
    </row>
    <row r="12" spans="1:21" s="11" customFormat="1" x14ac:dyDescent="0.25">
      <c r="A12" s="52" t="s">
        <v>327</v>
      </c>
      <c r="B12" s="53">
        <v>6.54</v>
      </c>
      <c r="C12" s="53">
        <v>10.81</v>
      </c>
      <c r="D12" s="53">
        <v>10.89</v>
      </c>
      <c r="E12" s="53">
        <v>4.97</v>
      </c>
      <c r="F12" s="53">
        <v>5.75</v>
      </c>
      <c r="G12" s="53">
        <v>25.19</v>
      </c>
      <c r="H12" s="53">
        <v>9.2100000000000009</v>
      </c>
      <c r="I12" s="53">
        <v>1.19</v>
      </c>
      <c r="J12" s="53">
        <v>0.09</v>
      </c>
      <c r="K12" s="53">
        <v>294.13</v>
      </c>
      <c r="L12" s="53">
        <v>24.03</v>
      </c>
      <c r="M12" s="53">
        <v>98.73</v>
      </c>
      <c r="N12" s="53">
        <v>80.099999999999994</v>
      </c>
      <c r="O12" s="53">
        <v>0</v>
      </c>
      <c r="P12" s="53">
        <v>0.31</v>
      </c>
      <c r="Q12" s="53">
        <v>9.02</v>
      </c>
      <c r="R12" s="43"/>
      <c r="S12" s="43"/>
      <c r="T12" s="43"/>
      <c r="U12" s="43"/>
    </row>
    <row r="13" spans="1:21" s="11" customFormat="1" x14ac:dyDescent="0.25">
      <c r="A13" s="52" t="s">
        <v>328</v>
      </c>
      <c r="B13" s="53">
        <v>6.54</v>
      </c>
      <c r="C13" s="53">
        <v>12.16</v>
      </c>
      <c r="D13" s="53">
        <v>11.29</v>
      </c>
      <c r="E13" s="53">
        <v>4.82</v>
      </c>
      <c r="F13" s="53">
        <v>10.55</v>
      </c>
      <c r="G13" s="53">
        <v>27.37</v>
      </c>
      <c r="H13" s="53">
        <v>12.3</v>
      </c>
      <c r="I13" s="53">
        <v>1.1499999999999999</v>
      </c>
      <c r="J13" s="53">
        <v>0.21</v>
      </c>
      <c r="K13" s="53">
        <v>295.01</v>
      </c>
      <c r="L13" s="53">
        <v>24.12</v>
      </c>
      <c r="M13" s="53">
        <v>98.72</v>
      </c>
      <c r="N13" s="53">
        <v>76.2</v>
      </c>
      <c r="O13" s="53">
        <v>0</v>
      </c>
      <c r="P13" s="53">
        <v>0.24</v>
      </c>
      <c r="Q13" s="53">
        <v>9.06</v>
      </c>
      <c r="R13" s="43"/>
      <c r="S13" s="43"/>
      <c r="T13" s="43"/>
      <c r="U13" s="43"/>
    </row>
    <row r="14" spans="1:21" s="11" customFormat="1" x14ac:dyDescent="0.25">
      <c r="A14" s="52" t="s">
        <v>329</v>
      </c>
      <c r="B14" s="53">
        <v>7.4</v>
      </c>
      <c r="C14" s="53">
        <v>13.49</v>
      </c>
      <c r="D14" s="53">
        <v>12.98</v>
      </c>
      <c r="E14" s="53">
        <v>5.08</v>
      </c>
      <c r="F14" s="53">
        <v>7.76</v>
      </c>
      <c r="G14" s="53">
        <v>29.26</v>
      </c>
      <c r="H14" s="53">
        <v>12.34</v>
      </c>
      <c r="I14" s="53">
        <v>1.01</v>
      </c>
      <c r="J14" s="53">
        <v>0.13</v>
      </c>
      <c r="K14" s="53">
        <v>292.39999999999998</v>
      </c>
      <c r="L14" s="53">
        <v>24.07</v>
      </c>
      <c r="M14" s="53">
        <v>98.76</v>
      </c>
      <c r="N14" s="53">
        <v>103</v>
      </c>
      <c r="O14" s="53">
        <v>0</v>
      </c>
      <c r="P14" s="53">
        <v>0.28999999999999998</v>
      </c>
      <c r="Q14" s="53">
        <v>9.07</v>
      </c>
      <c r="R14" s="43"/>
      <c r="S14" s="43"/>
      <c r="T14" s="43"/>
      <c r="U14" s="43"/>
    </row>
    <row r="15" spans="1:21" s="11" customFormat="1" x14ac:dyDescent="0.25">
      <c r="A15" s="52" t="s">
        <v>330</v>
      </c>
      <c r="B15" s="53">
        <v>10.8</v>
      </c>
      <c r="C15" s="53">
        <v>13.02</v>
      </c>
      <c r="D15" s="53">
        <v>15.13</v>
      </c>
      <c r="E15" s="53">
        <v>5.14</v>
      </c>
      <c r="F15" s="53">
        <v>4.68</v>
      </c>
      <c r="G15" s="53">
        <v>32.78</v>
      </c>
      <c r="H15" s="53">
        <v>11.81</v>
      </c>
      <c r="I15" s="53">
        <v>1.04</v>
      </c>
      <c r="J15" s="53">
        <v>0.2</v>
      </c>
      <c r="K15" s="53">
        <v>305.52999999999997</v>
      </c>
      <c r="L15" s="53">
        <v>25.36</v>
      </c>
      <c r="M15" s="53">
        <v>98.83</v>
      </c>
      <c r="N15" s="53">
        <v>177.4</v>
      </c>
      <c r="O15" s="53">
        <v>0</v>
      </c>
      <c r="P15" s="53">
        <v>0.33</v>
      </c>
      <c r="Q15" s="53">
        <v>9.09</v>
      </c>
      <c r="R15" s="43"/>
      <c r="S15" s="43"/>
      <c r="T15" s="43"/>
      <c r="U15" s="43"/>
    </row>
    <row r="16" spans="1:21" s="11" customFormat="1" x14ac:dyDescent="0.25">
      <c r="A16" s="52" t="s">
        <v>331</v>
      </c>
      <c r="B16" s="53">
        <v>9.83</v>
      </c>
      <c r="C16" s="53">
        <v>11.89</v>
      </c>
      <c r="D16" s="53">
        <v>13.84</v>
      </c>
      <c r="E16" s="53">
        <v>5.61</v>
      </c>
      <c r="F16" s="53">
        <v>3.95</v>
      </c>
      <c r="G16" s="53">
        <v>38.93</v>
      </c>
      <c r="H16" s="53">
        <v>12.52</v>
      </c>
      <c r="I16" s="53">
        <v>1.1499999999999999</v>
      </c>
      <c r="J16" s="53">
        <v>0.18</v>
      </c>
      <c r="K16" s="53">
        <v>282.73</v>
      </c>
      <c r="L16" s="53">
        <v>26.59</v>
      </c>
      <c r="M16" s="53">
        <v>98.78</v>
      </c>
      <c r="N16" s="53">
        <v>349.4</v>
      </c>
      <c r="O16" s="53">
        <v>0</v>
      </c>
      <c r="P16" s="53">
        <v>0.36</v>
      </c>
      <c r="Q16" s="53">
        <v>9.11</v>
      </c>
      <c r="R16" s="43"/>
      <c r="S16" s="43"/>
      <c r="T16" s="43"/>
      <c r="U16" s="43"/>
    </row>
    <row r="17" spans="1:21" s="11" customFormat="1" x14ac:dyDescent="0.25">
      <c r="A17" s="52" t="s">
        <v>332</v>
      </c>
      <c r="B17" s="53">
        <v>10.07</v>
      </c>
      <c r="C17" s="53">
        <v>15.48</v>
      </c>
      <c r="D17" s="53">
        <v>16.16</v>
      </c>
      <c r="E17" s="53">
        <v>5.38</v>
      </c>
      <c r="F17" s="53">
        <v>4.0599999999999996</v>
      </c>
      <c r="G17" s="53">
        <v>41.98</v>
      </c>
      <c r="H17" s="53">
        <v>17.32</v>
      </c>
      <c r="I17" s="53">
        <v>1.41</v>
      </c>
      <c r="J17" s="53">
        <v>0.63</v>
      </c>
      <c r="K17" s="53">
        <v>300.88</v>
      </c>
      <c r="L17" s="53">
        <v>30.51</v>
      </c>
      <c r="M17" s="53">
        <v>97.69</v>
      </c>
      <c r="N17" s="53">
        <v>674.9</v>
      </c>
      <c r="O17" s="53">
        <v>0</v>
      </c>
      <c r="P17" s="53">
        <v>0.51</v>
      </c>
      <c r="Q17" s="53">
        <v>9.14</v>
      </c>
      <c r="R17" s="43"/>
      <c r="S17" s="43"/>
      <c r="T17" s="43"/>
      <c r="U17" s="43"/>
    </row>
    <row r="18" spans="1:21" s="11" customFormat="1" x14ac:dyDescent="0.25">
      <c r="A18" s="52" t="s">
        <v>333</v>
      </c>
      <c r="B18" s="53">
        <v>9.64</v>
      </c>
      <c r="C18" s="53">
        <v>17.57</v>
      </c>
      <c r="D18" s="53">
        <v>16.649999999999999</v>
      </c>
      <c r="E18" s="53">
        <v>5.29</v>
      </c>
      <c r="F18" s="53">
        <v>4.04</v>
      </c>
      <c r="G18" s="53">
        <v>46.5</v>
      </c>
      <c r="H18" s="53">
        <v>14.09</v>
      </c>
      <c r="I18" s="53">
        <v>1.61</v>
      </c>
      <c r="J18" s="53">
        <v>0.56999999999999995</v>
      </c>
      <c r="K18" s="53">
        <v>292.60000000000002</v>
      </c>
      <c r="L18" s="53">
        <v>30.37</v>
      </c>
      <c r="M18" s="53">
        <v>84.51</v>
      </c>
      <c r="N18" s="53">
        <v>543.29999999999995</v>
      </c>
      <c r="O18" s="53">
        <v>0</v>
      </c>
      <c r="P18" s="53">
        <v>0.54</v>
      </c>
      <c r="Q18" s="53">
        <v>9.16</v>
      </c>
      <c r="R18" s="43"/>
      <c r="S18" s="43"/>
      <c r="T18" s="43"/>
      <c r="U18" s="43"/>
    </row>
    <row r="19" spans="1:21" s="11" customFormat="1" x14ac:dyDescent="0.25">
      <c r="A19" s="52" t="s">
        <v>334</v>
      </c>
      <c r="B19" s="53">
        <v>7.21</v>
      </c>
      <c r="C19" s="53">
        <v>18.36</v>
      </c>
      <c r="D19" s="53">
        <v>15.15</v>
      </c>
      <c r="E19" s="53">
        <v>5.37</v>
      </c>
      <c r="F19" s="53">
        <v>4.82</v>
      </c>
      <c r="G19" s="53">
        <v>50.31</v>
      </c>
      <c r="H19" s="53">
        <v>9.86</v>
      </c>
      <c r="I19" s="53">
        <v>1.77</v>
      </c>
      <c r="J19" s="53">
        <v>0.56999999999999995</v>
      </c>
      <c r="K19" s="53">
        <v>299.64999999999998</v>
      </c>
      <c r="L19" s="53">
        <v>31.24</v>
      </c>
      <c r="M19" s="53">
        <v>82.31</v>
      </c>
      <c r="N19" s="53">
        <v>858.1</v>
      </c>
      <c r="O19" s="53">
        <v>0</v>
      </c>
      <c r="P19" s="53">
        <v>0.56000000000000005</v>
      </c>
      <c r="Q19" s="53">
        <v>9.11</v>
      </c>
      <c r="R19" s="43"/>
      <c r="S19" s="43"/>
      <c r="T19" s="43"/>
      <c r="U19" s="43"/>
    </row>
    <row r="20" spans="1:21" s="11" customFormat="1" x14ac:dyDescent="0.25">
      <c r="A20" s="52" t="s">
        <v>335</v>
      </c>
      <c r="B20" s="53">
        <v>6.19</v>
      </c>
      <c r="C20" s="53">
        <v>18.63</v>
      </c>
      <c r="D20" s="53">
        <v>14.58</v>
      </c>
      <c r="E20" s="53">
        <v>5.09</v>
      </c>
      <c r="F20" s="53">
        <v>4.24</v>
      </c>
      <c r="G20" s="53">
        <v>55.3</v>
      </c>
      <c r="H20" s="53">
        <v>6.9</v>
      </c>
      <c r="I20" s="53">
        <v>1.99</v>
      </c>
      <c r="J20" s="53">
        <v>0.32</v>
      </c>
      <c r="K20" s="53">
        <v>291.47000000000003</v>
      </c>
      <c r="L20" s="53">
        <v>28.82</v>
      </c>
      <c r="M20" s="53">
        <v>90.82</v>
      </c>
      <c r="N20" s="53">
        <v>551.29999999999995</v>
      </c>
      <c r="O20" s="53">
        <v>0</v>
      </c>
      <c r="P20" s="53">
        <v>0.73</v>
      </c>
      <c r="Q20" s="53">
        <v>9.08</v>
      </c>
      <c r="R20" s="43"/>
      <c r="S20" s="43"/>
      <c r="T20" s="43"/>
      <c r="U20" s="43"/>
    </row>
    <row r="21" spans="1:21" s="11" customFormat="1" x14ac:dyDescent="0.25">
      <c r="A21" s="52" t="s">
        <v>336</v>
      </c>
      <c r="B21" s="53">
        <v>6.33</v>
      </c>
      <c r="C21" s="53">
        <v>20.260000000000002</v>
      </c>
      <c r="D21" s="53">
        <v>15.66</v>
      </c>
      <c r="E21" s="53">
        <v>5.03</v>
      </c>
      <c r="F21" s="53">
        <v>4.3099999999999996</v>
      </c>
      <c r="G21" s="53">
        <v>63.11</v>
      </c>
      <c r="H21" s="53">
        <v>25.1</v>
      </c>
      <c r="I21" s="53">
        <v>2.25</v>
      </c>
      <c r="J21" s="53">
        <v>0.37</v>
      </c>
      <c r="K21" s="53">
        <v>292.04000000000002</v>
      </c>
      <c r="L21" s="53">
        <v>29.95</v>
      </c>
      <c r="M21" s="53">
        <v>90.68</v>
      </c>
      <c r="N21" s="53">
        <v>796.5</v>
      </c>
      <c r="O21" s="53">
        <v>0</v>
      </c>
      <c r="P21" s="53">
        <v>0.8</v>
      </c>
      <c r="Q21" s="53">
        <v>9.08</v>
      </c>
      <c r="R21" s="43"/>
      <c r="S21" s="43"/>
      <c r="T21" s="43"/>
      <c r="U21" s="43"/>
    </row>
    <row r="22" spans="1:21" s="11" customFormat="1" x14ac:dyDescent="0.25">
      <c r="A22" s="52" t="s">
        <v>337</v>
      </c>
      <c r="B22" s="53">
        <v>6.45</v>
      </c>
      <c r="C22" s="53">
        <v>21.78</v>
      </c>
      <c r="D22" s="53">
        <v>16.059999999999999</v>
      </c>
      <c r="E22" s="53">
        <v>5.38</v>
      </c>
      <c r="F22" s="53">
        <v>7.12</v>
      </c>
      <c r="G22" s="53">
        <v>60.86</v>
      </c>
      <c r="H22" s="53">
        <v>20.39</v>
      </c>
      <c r="I22" s="53">
        <v>2.33</v>
      </c>
      <c r="J22" s="53">
        <v>0.51</v>
      </c>
      <c r="K22" s="53">
        <v>313.5</v>
      </c>
      <c r="L22" s="53">
        <v>31.06</v>
      </c>
      <c r="M22" s="53">
        <v>80.47</v>
      </c>
      <c r="N22" s="53">
        <v>423.5</v>
      </c>
      <c r="O22" s="53">
        <v>0</v>
      </c>
      <c r="P22" s="53">
        <v>0.65</v>
      </c>
      <c r="Q22" s="53">
        <v>9.08</v>
      </c>
      <c r="R22" s="43"/>
      <c r="S22" s="43"/>
      <c r="T22" s="43"/>
      <c r="U22" s="43"/>
    </row>
    <row r="23" spans="1:21" s="11" customFormat="1" x14ac:dyDescent="0.25">
      <c r="A23" s="52" t="s">
        <v>338</v>
      </c>
      <c r="B23" s="53">
        <v>6.33</v>
      </c>
      <c r="C23" s="53">
        <v>20.29</v>
      </c>
      <c r="D23" s="53">
        <v>15.68</v>
      </c>
      <c r="E23" s="53">
        <v>5.32</v>
      </c>
      <c r="F23" s="53">
        <v>7.24</v>
      </c>
      <c r="G23" s="53">
        <v>59.34</v>
      </c>
      <c r="H23" s="53">
        <v>16.39</v>
      </c>
      <c r="I23" s="53">
        <v>2.1800000000000002</v>
      </c>
      <c r="J23" s="53">
        <v>0.34</v>
      </c>
      <c r="K23" s="53">
        <v>296.25</v>
      </c>
      <c r="L23" s="53">
        <v>30.31</v>
      </c>
      <c r="M23" s="53">
        <v>84.28</v>
      </c>
      <c r="N23" s="53">
        <v>277.89999999999998</v>
      </c>
      <c r="O23" s="53">
        <v>0</v>
      </c>
      <c r="P23" s="53">
        <v>0.56999999999999995</v>
      </c>
      <c r="Q23" s="53">
        <v>9.08</v>
      </c>
      <c r="R23" s="43"/>
      <c r="S23" s="43"/>
      <c r="T23" s="43"/>
      <c r="U23" s="43"/>
    </row>
    <row r="24" spans="1:21" s="11" customFormat="1" x14ac:dyDescent="0.25">
      <c r="A24" s="52" t="s">
        <v>339</v>
      </c>
      <c r="B24" s="53">
        <v>5.73</v>
      </c>
      <c r="C24" s="53">
        <v>19.11</v>
      </c>
      <c r="D24" s="53">
        <v>14.28</v>
      </c>
      <c r="E24" s="53">
        <v>5.26</v>
      </c>
      <c r="F24" s="53">
        <v>5.04</v>
      </c>
      <c r="G24" s="53">
        <v>60.23</v>
      </c>
      <c r="H24" s="53">
        <v>14.44</v>
      </c>
      <c r="I24" s="53">
        <v>1.98</v>
      </c>
      <c r="J24" s="53">
        <v>0.32</v>
      </c>
      <c r="K24" s="53">
        <v>302.45999999999998</v>
      </c>
      <c r="L24" s="53">
        <v>30.71</v>
      </c>
      <c r="M24" s="53">
        <v>76.959999999999994</v>
      </c>
      <c r="N24" s="53">
        <v>286</v>
      </c>
      <c r="O24" s="53">
        <v>0</v>
      </c>
      <c r="P24" s="53">
        <v>0.54</v>
      </c>
      <c r="Q24" s="53">
        <v>9.07</v>
      </c>
      <c r="R24" s="43"/>
      <c r="S24" s="43"/>
      <c r="T24" s="43"/>
      <c r="U24" s="43"/>
    </row>
    <row r="25" spans="1:21" s="11" customFormat="1" x14ac:dyDescent="0.25">
      <c r="A25" s="52" t="s">
        <v>340</v>
      </c>
      <c r="B25" s="53">
        <v>5.96</v>
      </c>
      <c r="C25" s="53">
        <v>19.93</v>
      </c>
      <c r="D25" s="53">
        <v>14.98</v>
      </c>
      <c r="E25" s="53">
        <v>4.21</v>
      </c>
      <c r="F25" s="53">
        <v>6.53</v>
      </c>
      <c r="G25" s="53">
        <v>62.08</v>
      </c>
      <c r="H25" s="53">
        <v>22.84</v>
      </c>
      <c r="I25" s="53">
        <v>1.85</v>
      </c>
      <c r="J25" s="53">
        <v>0.49</v>
      </c>
      <c r="K25" s="53">
        <v>333.73</v>
      </c>
      <c r="L25" s="53">
        <v>30.53</v>
      </c>
      <c r="M25" s="53">
        <v>77.88</v>
      </c>
      <c r="N25" s="53">
        <v>173.1</v>
      </c>
      <c r="O25" s="53">
        <v>0</v>
      </c>
      <c r="P25" s="53">
        <v>0.45</v>
      </c>
      <c r="Q25" s="53">
        <v>9.0399999999999991</v>
      </c>
      <c r="R25" s="43"/>
      <c r="S25" s="43"/>
      <c r="T25" s="43"/>
      <c r="U25" s="43"/>
    </row>
    <row r="26" spans="1:21" s="11" customFormat="1" x14ac:dyDescent="0.25">
      <c r="A26" s="52" t="s">
        <v>341</v>
      </c>
      <c r="B26" s="53">
        <v>7.81</v>
      </c>
      <c r="C26" s="53">
        <v>21.83</v>
      </c>
      <c r="D26" s="53">
        <v>16.53</v>
      </c>
      <c r="E26" s="53">
        <v>4.1900000000000004</v>
      </c>
      <c r="F26" s="53">
        <v>12.28</v>
      </c>
      <c r="G26" s="53">
        <v>60.87</v>
      </c>
      <c r="H26" s="53">
        <v>18.149999999999999</v>
      </c>
      <c r="I26" s="53">
        <v>1.5</v>
      </c>
      <c r="J26" s="53">
        <v>0.17</v>
      </c>
      <c r="K26" s="53">
        <v>355.76</v>
      </c>
      <c r="L26" s="53">
        <v>29.04</v>
      </c>
      <c r="M26" s="53">
        <v>81.39</v>
      </c>
      <c r="N26" s="53">
        <v>86.3</v>
      </c>
      <c r="O26" s="53">
        <v>0</v>
      </c>
      <c r="P26" s="53">
        <v>0.41</v>
      </c>
      <c r="Q26" s="53">
        <v>9.07</v>
      </c>
      <c r="R26" s="43"/>
      <c r="S26" s="43"/>
      <c r="T26" s="43"/>
      <c r="U26" s="43"/>
    </row>
    <row r="27" spans="1:21" s="11" customFormat="1" x14ac:dyDescent="0.25">
      <c r="A27" s="52" t="s">
        <v>342</v>
      </c>
      <c r="B27" s="53">
        <v>8.01</v>
      </c>
      <c r="C27" s="53">
        <v>23.88</v>
      </c>
      <c r="D27" s="53">
        <v>17.829999999999998</v>
      </c>
      <c r="E27" s="53">
        <v>4.7</v>
      </c>
      <c r="F27" s="53">
        <v>13.98</v>
      </c>
      <c r="G27" s="53">
        <v>59.89</v>
      </c>
      <c r="H27" s="53">
        <v>12.35</v>
      </c>
      <c r="I27" s="53">
        <v>1.43</v>
      </c>
      <c r="J27" s="53">
        <v>0.06</v>
      </c>
      <c r="K27" s="53">
        <v>359.79</v>
      </c>
      <c r="L27" s="53">
        <v>28.51</v>
      </c>
      <c r="M27" s="53">
        <v>88.54</v>
      </c>
      <c r="N27" s="53">
        <v>61.8</v>
      </c>
      <c r="O27" s="53">
        <v>0</v>
      </c>
      <c r="P27" s="53">
        <v>0.45</v>
      </c>
      <c r="Q27" s="53">
        <v>9.09</v>
      </c>
      <c r="R27" s="43"/>
      <c r="S27" s="43"/>
      <c r="T27" s="43"/>
      <c r="U27" s="43"/>
    </row>
    <row r="28" spans="1:21" s="11" customFormat="1" x14ac:dyDescent="0.25">
      <c r="A28" s="52" t="s">
        <v>343</v>
      </c>
      <c r="B28" s="53">
        <v>10.119999999999999</v>
      </c>
      <c r="C28" s="53">
        <v>36.24</v>
      </c>
      <c r="D28" s="53">
        <v>26.81</v>
      </c>
      <c r="E28" s="53">
        <v>4.7</v>
      </c>
      <c r="F28" s="53">
        <v>12.17</v>
      </c>
      <c r="G28" s="53">
        <v>65.3</v>
      </c>
      <c r="H28" s="53">
        <v>23.62</v>
      </c>
      <c r="I28" s="53">
        <v>1.46</v>
      </c>
      <c r="J28" s="53">
        <v>0.08</v>
      </c>
      <c r="K28" s="53">
        <v>300.87</v>
      </c>
      <c r="L28" s="53">
        <v>27.62</v>
      </c>
      <c r="M28" s="53">
        <v>96.57</v>
      </c>
      <c r="N28" s="53">
        <v>43.1</v>
      </c>
      <c r="O28" s="53">
        <v>0</v>
      </c>
      <c r="P28" s="53">
        <v>0.64</v>
      </c>
      <c r="Q28" s="53">
        <v>9.1</v>
      </c>
      <c r="R28" s="43"/>
      <c r="S28" s="43"/>
      <c r="T28" s="43"/>
      <c r="U28" s="43"/>
    </row>
    <row r="29" spans="1:21" s="11" customFormat="1" x14ac:dyDescent="0.25">
      <c r="A29" s="52" t="s">
        <v>344</v>
      </c>
      <c r="B29" s="53">
        <v>7.47</v>
      </c>
      <c r="C29" s="53">
        <v>32.72</v>
      </c>
      <c r="D29" s="53">
        <v>22.84</v>
      </c>
      <c r="E29" s="53">
        <v>4.55</v>
      </c>
      <c r="F29" s="53">
        <v>9.65</v>
      </c>
      <c r="G29" s="53">
        <v>72.83</v>
      </c>
      <c r="H29" s="53">
        <v>22.35</v>
      </c>
      <c r="I29" s="53">
        <v>1.56</v>
      </c>
      <c r="J29" s="53">
        <v>0.09</v>
      </c>
      <c r="K29" s="53">
        <v>206.25</v>
      </c>
      <c r="L29" s="53">
        <v>27.06</v>
      </c>
      <c r="M29" s="53">
        <v>98.92</v>
      </c>
      <c r="N29" s="53">
        <v>43.1</v>
      </c>
      <c r="O29" s="53">
        <v>0</v>
      </c>
      <c r="P29" s="53">
        <v>0.53</v>
      </c>
      <c r="Q29" s="53">
        <v>9.11</v>
      </c>
      <c r="R29" s="43"/>
      <c r="S29" s="43"/>
      <c r="T29" s="43"/>
      <c r="U29" s="43"/>
    </row>
    <row r="30" spans="1:21" s="11" customFormat="1" x14ac:dyDescent="0.25">
      <c r="A30" s="52" t="s">
        <v>345</v>
      </c>
      <c r="B30" s="53">
        <v>9.0299999999999994</v>
      </c>
      <c r="C30" s="53">
        <v>27.08</v>
      </c>
      <c r="D30" s="53">
        <v>20.49</v>
      </c>
      <c r="E30" s="53">
        <v>4.53</v>
      </c>
      <c r="F30" s="53">
        <v>11.56</v>
      </c>
      <c r="G30" s="53">
        <v>71.72</v>
      </c>
      <c r="H30" s="53">
        <v>17.29</v>
      </c>
      <c r="I30" s="53">
        <v>1.59</v>
      </c>
      <c r="J30" s="53">
        <v>0.09</v>
      </c>
      <c r="K30" s="53">
        <v>350.96</v>
      </c>
      <c r="L30" s="53">
        <v>26.94</v>
      </c>
      <c r="M30" s="53">
        <v>98.48</v>
      </c>
      <c r="N30" s="53">
        <v>43</v>
      </c>
      <c r="O30" s="53">
        <v>0</v>
      </c>
      <c r="P30" s="53">
        <v>0.56999999999999995</v>
      </c>
      <c r="Q30" s="53">
        <v>9.11</v>
      </c>
      <c r="R30" s="43"/>
      <c r="S30" s="43"/>
      <c r="T30" s="43"/>
      <c r="U30" s="43"/>
    </row>
    <row r="31" spans="1:21" s="11" customFormat="1" x14ac:dyDescent="0.25">
      <c r="A31" s="52" t="s">
        <v>346</v>
      </c>
      <c r="B31" s="53">
        <v>7.94</v>
      </c>
      <c r="C31" s="53">
        <v>23.33</v>
      </c>
      <c r="D31" s="53">
        <v>18.45</v>
      </c>
      <c r="E31" s="53">
        <v>4.67</v>
      </c>
      <c r="F31" s="53">
        <v>12.83</v>
      </c>
      <c r="G31" s="53">
        <v>73.08</v>
      </c>
      <c r="H31" s="53">
        <v>11.94</v>
      </c>
      <c r="I31" s="53">
        <v>1.57</v>
      </c>
      <c r="J31" s="53">
        <v>0.09</v>
      </c>
      <c r="K31" s="53">
        <v>345.01</v>
      </c>
      <c r="L31" s="53">
        <v>26.67</v>
      </c>
      <c r="M31" s="53">
        <v>98.56</v>
      </c>
      <c r="N31" s="53">
        <v>43.1</v>
      </c>
      <c r="O31" s="53">
        <v>0</v>
      </c>
      <c r="P31" s="53">
        <v>0.48</v>
      </c>
      <c r="Q31" s="53">
        <v>9.14</v>
      </c>
      <c r="R31" s="43"/>
      <c r="S31" s="43"/>
      <c r="T31" s="43"/>
      <c r="U31" s="43"/>
    </row>
    <row r="32" spans="1:21" s="11" customFormat="1" x14ac:dyDescent="0.25">
      <c r="A32" s="52" t="s">
        <v>347</v>
      </c>
      <c r="B32" s="53">
        <v>6.96</v>
      </c>
      <c r="C32" s="53">
        <v>18.829999999999998</v>
      </c>
      <c r="D32" s="53">
        <v>13.57</v>
      </c>
      <c r="E32" s="53">
        <v>4.83</v>
      </c>
      <c r="F32" s="53">
        <v>12.79</v>
      </c>
      <c r="G32" s="53">
        <v>71.78</v>
      </c>
      <c r="H32" s="53">
        <v>24.91</v>
      </c>
      <c r="I32" s="53">
        <v>1.52</v>
      </c>
      <c r="J32" s="53">
        <v>7.0000000000000007E-2</v>
      </c>
      <c r="K32" s="53">
        <v>304.5</v>
      </c>
      <c r="L32" s="53">
        <v>26.19</v>
      </c>
      <c r="M32" s="53">
        <v>98.64</v>
      </c>
      <c r="N32" s="53">
        <v>43</v>
      </c>
      <c r="O32" s="53">
        <v>0</v>
      </c>
      <c r="P32" s="53">
        <v>0.43</v>
      </c>
      <c r="Q32" s="53">
        <v>9.16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5.73</v>
      </c>
      <c r="C34" s="28">
        <f t="shared" si="0"/>
        <v>10.81</v>
      </c>
      <c r="D34" s="28">
        <f t="shared" si="0"/>
        <v>10.89</v>
      </c>
      <c r="E34" s="28">
        <f t="shared" si="0"/>
        <v>4.1900000000000004</v>
      </c>
      <c r="F34" s="28">
        <f t="shared" si="0"/>
        <v>3.95</v>
      </c>
      <c r="G34" s="28">
        <f t="shared" si="0"/>
        <v>25.19</v>
      </c>
      <c r="H34" s="28">
        <f t="shared" si="0"/>
        <v>6.9</v>
      </c>
      <c r="I34" s="28">
        <f t="shared" si="0"/>
        <v>1.01</v>
      </c>
      <c r="J34" s="28">
        <f t="shared" si="0"/>
        <v>0.06</v>
      </c>
      <c r="K34" s="28">
        <f t="shared" si="0"/>
        <v>206.25</v>
      </c>
      <c r="L34" s="28">
        <f t="shared" si="0"/>
        <v>24.03</v>
      </c>
      <c r="M34" s="28">
        <f t="shared" si="0"/>
        <v>76.959999999999994</v>
      </c>
      <c r="N34" s="28">
        <f t="shared" si="0"/>
        <v>43</v>
      </c>
      <c r="O34" s="28">
        <f t="shared" si="0"/>
        <v>0</v>
      </c>
      <c r="P34" s="28">
        <f t="shared" si="0"/>
        <v>0.24</v>
      </c>
      <c r="Q34" s="28">
        <f t="shared" si="0"/>
        <v>9.02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10.8</v>
      </c>
      <c r="C35" s="29">
        <f t="shared" si="1"/>
        <v>36.24</v>
      </c>
      <c r="D35" s="29">
        <f t="shared" si="1"/>
        <v>26.81</v>
      </c>
      <c r="E35" s="29">
        <f t="shared" si="1"/>
        <v>5.61</v>
      </c>
      <c r="F35" s="29">
        <f t="shared" si="1"/>
        <v>13.98</v>
      </c>
      <c r="G35" s="29">
        <f t="shared" si="1"/>
        <v>73.08</v>
      </c>
      <c r="H35" s="29">
        <f t="shared" si="1"/>
        <v>25.1</v>
      </c>
      <c r="I35" s="29">
        <f t="shared" si="1"/>
        <v>2.33</v>
      </c>
      <c r="J35" s="29">
        <f t="shared" si="1"/>
        <v>0.63</v>
      </c>
      <c r="K35" s="29">
        <f t="shared" si="1"/>
        <v>359.79</v>
      </c>
      <c r="L35" s="29">
        <f t="shared" si="1"/>
        <v>31.24</v>
      </c>
      <c r="M35" s="29">
        <f t="shared" si="1"/>
        <v>98.92</v>
      </c>
      <c r="N35" s="29">
        <f t="shared" si="1"/>
        <v>858.1</v>
      </c>
      <c r="O35" s="29">
        <f t="shared" si="1"/>
        <v>0</v>
      </c>
      <c r="P35" s="29">
        <f t="shared" si="1"/>
        <v>0.8</v>
      </c>
      <c r="Q35" s="29">
        <f t="shared" si="1"/>
        <v>9.16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7.6083333333333316</v>
      </c>
      <c r="C36" s="28">
        <f t="shared" si="2"/>
        <v>18.861249999999995</v>
      </c>
      <c r="D36" s="28">
        <f t="shared" si="2"/>
        <v>15.592499999999999</v>
      </c>
      <c r="E36" s="28">
        <f t="shared" si="2"/>
        <v>4.958333333333333</v>
      </c>
      <c r="F36" s="28">
        <f t="shared" si="2"/>
        <v>7.9424999999999999</v>
      </c>
      <c r="G36" s="28">
        <f t="shared" si="2"/>
        <v>51.502916666666664</v>
      </c>
      <c r="H36" s="28">
        <f t="shared" si="2"/>
        <v>16.297083333333333</v>
      </c>
      <c r="I36" s="28">
        <f t="shared" si="2"/>
        <v>1.5820833333333335</v>
      </c>
      <c r="J36" s="28">
        <f t="shared" si="2"/>
        <v>0.24333333333333329</v>
      </c>
      <c r="K36" s="28">
        <f t="shared" si="2"/>
        <v>306.95750000000004</v>
      </c>
      <c r="L36" s="28">
        <f t="shared" si="2"/>
        <v>27.599166666666665</v>
      </c>
      <c r="M36" s="28">
        <f t="shared" si="2"/>
        <v>92.355416666666656</v>
      </c>
      <c r="N36" s="28">
        <f t="shared" si="2"/>
        <v>248.69583333333335</v>
      </c>
      <c r="O36" s="28">
        <f t="shared" si="2"/>
        <v>0</v>
      </c>
      <c r="P36" s="28">
        <f t="shared" si="2"/>
        <v>0.48125000000000001</v>
      </c>
      <c r="Q36" s="28">
        <f t="shared" si="2"/>
        <v>9.0945833333333308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1.5068327470347402</v>
      </c>
      <c r="C37" s="28">
        <f t="shared" ref="C37:Q37" si="3">STDEV(C9:C32)</f>
        <v>6.6174921773577742</v>
      </c>
      <c r="D37" s="28">
        <f t="shared" si="3"/>
        <v>3.7747977198900351</v>
      </c>
      <c r="E37" s="28">
        <f t="shared" si="3"/>
        <v>0.36749051057451648</v>
      </c>
      <c r="F37" s="28">
        <f t="shared" si="3"/>
        <v>3.3727491689305511</v>
      </c>
      <c r="G37" s="28">
        <f t="shared" si="3"/>
        <v>15.895322932334167</v>
      </c>
      <c r="H37" s="28">
        <f t="shared" si="3"/>
        <v>5.3674910981207837</v>
      </c>
      <c r="I37" s="28">
        <f t="shared" si="3"/>
        <v>0.36817976666257679</v>
      </c>
      <c r="J37" s="28">
        <f t="shared" si="3"/>
        <v>0.18832595855767395</v>
      </c>
      <c r="K37" s="28">
        <f t="shared" si="3"/>
        <v>31.171356730735713</v>
      </c>
      <c r="L37" s="28">
        <f t="shared" si="3"/>
        <v>2.6205922275677316</v>
      </c>
      <c r="M37" s="28">
        <f t="shared" si="3"/>
        <v>8.0359507319710879</v>
      </c>
      <c r="N37" s="28">
        <f t="shared" si="3"/>
        <v>257.45955947389626</v>
      </c>
      <c r="O37" s="28">
        <f t="shared" si="3"/>
        <v>0</v>
      </c>
      <c r="P37" s="28">
        <f t="shared" si="3"/>
        <v>0.13985434970151905</v>
      </c>
      <c r="Q37" s="28">
        <f t="shared" si="3"/>
        <v>3.5260418339113288E-2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348</v>
      </c>
      <c r="B9" s="53">
        <v>7.08</v>
      </c>
      <c r="C9" s="53">
        <v>13.18</v>
      </c>
      <c r="D9" s="53">
        <v>12.21</v>
      </c>
      <c r="E9" s="53">
        <v>3.97</v>
      </c>
      <c r="F9" s="53">
        <v>9.2200000000000006</v>
      </c>
      <c r="G9" s="53">
        <v>68.790000000000006</v>
      </c>
      <c r="H9" s="53">
        <v>24.21</v>
      </c>
      <c r="I9" s="53">
        <v>1.44</v>
      </c>
      <c r="J9" s="53">
        <v>0.11</v>
      </c>
      <c r="K9" s="53">
        <v>336.13</v>
      </c>
      <c r="L9" s="53">
        <v>25.88</v>
      </c>
      <c r="M9" s="53">
        <v>98.64</v>
      </c>
      <c r="N9" s="53">
        <v>43.1</v>
      </c>
      <c r="O9" s="53">
        <v>0</v>
      </c>
      <c r="P9" s="53">
        <v>0.41</v>
      </c>
      <c r="Q9" s="53">
        <v>9.1199999999999992</v>
      </c>
      <c r="R9" s="43"/>
      <c r="S9" s="43"/>
      <c r="T9" s="43"/>
      <c r="U9" s="43"/>
    </row>
    <row r="10" spans="1:21" s="11" customFormat="1" x14ac:dyDescent="0.25">
      <c r="A10" s="52" t="s">
        <v>349</v>
      </c>
      <c r="B10" s="53">
        <v>6.32</v>
      </c>
      <c r="C10" s="53">
        <v>11.37</v>
      </c>
      <c r="D10" s="53">
        <v>11.01</v>
      </c>
      <c r="E10" s="53">
        <v>3.97</v>
      </c>
      <c r="F10" s="53">
        <v>8.59</v>
      </c>
      <c r="G10" s="53">
        <v>63.76</v>
      </c>
      <c r="H10" s="53">
        <v>19.329999999999998</v>
      </c>
      <c r="I10" s="53">
        <v>1.28</v>
      </c>
      <c r="J10" s="53">
        <v>0.17</v>
      </c>
      <c r="K10" s="53">
        <v>317.33</v>
      </c>
      <c r="L10" s="53">
        <v>25.65</v>
      </c>
      <c r="M10" s="53">
        <v>98.62</v>
      </c>
      <c r="N10" s="53">
        <v>43.3</v>
      </c>
      <c r="O10" s="53">
        <v>0</v>
      </c>
      <c r="P10" s="53">
        <v>0.31</v>
      </c>
      <c r="Q10" s="53">
        <v>9.0399999999999991</v>
      </c>
      <c r="R10" s="43"/>
      <c r="S10" s="43"/>
      <c r="T10" s="43"/>
      <c r="U10" s="43"/>
    </row>
    <row r="11" spans="1:21" s="11" customFormat="1" x14ac:dyDescent="0.25">
      <c r="A11" s="52" t="s">
        <v>350</v>
      </c>
      <c r="B11" s="53">
        <v>6.44</v>
      </c>
      <c r="C11" s="53">
        <v>13.68</v>
      </c>
      <c r="D11" s="53">
        <v>11.19</v>
      </c>
      <c r="E11" s="53">
        <v>4.0199999999999996</v>
      </c>
      <c r="F11" s="53">
        <v>9.6</v>
      </c>
      <c r="G11" s="53">
        <v>56.35</v>
      </c>
      <c r="H11" s="53">
        <v>14.41</v>
      </c>
      <c r="I11" s="53">
        <v>1.1299999999999999</v>
      </c>
      <c r="J11" s="53">
        <v>0.24</v>
      </c>
      <c r="K11" s="53">
        <v>298.39</v>
      </c>
      <c r="L11" s="53">
        <v>25.59</v>
      </c>
      <c r="M11" s="53">
        <v>98.65</v>
      </c>
      <c r="N11" s="53">
        <v>43.4</v>
      </c>
      <c r="O11" s="53">
        <v>0</v>
      </c>
      <c r="P11" s="53">
        <v>0.33</v>
      </c>
      <c r="Q11" s="53">
        <v>9.0299999999999994</v>
      </c>
      <c r="R11" s="43"/>
      <c r="S11" s="43"/>
      <c r="T11" s="43"/>
      <c r="U11" s="43"/>
    </row>
    <row r="12" spans="1:21" s="11" customFormat="1" x14ac:dyDescent="0.25">
      <c r="A12" s="52" t="s">
        <v>351</v>
      </c>
      <c r="B12" s="53">
        <v>7.44</v>
      </c>
      <c r="C12" s="53">
        <v>16.93</v>
      </c>
      <c r="D12" s="53">
        <v>14.21</v>
      </c>
      <c r="E12" s="53">
        <v>4.07</v>
      </c>
      <c r="F12" s="53">
        <v>10.02</v>
      </c>
      <c r="G12" s="53">
        <v>51.66</v>
      </c>
      <c r="H12" s="53">
        <v>20.56</v>
      </c>
      <c r="I12" s="53">
        <v>1.07</v>
      </c>
      <c r="J12" s="53">
        <v>0.1</v>
      </c>
      <c r="K12" s="53">
        <v>309.20999999999998</v>
      </c>
      <c r="L12" s="53">
        <v>25.2</v>
      </c>
      <c r="M12" s="53">
        <v>98.66</v>
      </c>
      <c r="N12" s="53">
        <v>43.6</v>
      </c>
      <c r="O12" s="53">
        <v>0</v>
      </c>
      <c r="P12" s="53">
        <v>0.28999999999999998</v>
      </c>
      <c r="Q12" s="53">
        <v>9.06</v>
      </c>
      <c r="R12" s="43"/>
      <c r="S12" s="43"/>
      <c r="T12" s="43"/>
      <c r="U12" s="43"/>
    </row>
    <row r="13" spans="1:21" s="11" customFormat="1" x14ac:dyDescent="0.25">
      <c r="A13" s="52" t="s">
        <v>352</v>
      </c>
      <c r="B13" s="53">
        <v>7.01</v>
      </c>
      <c r="C13" s="53">
        <v>13.8</v>
      </c>
      <c r="D13" s="53">
        <v>12.83</v>
      </c>
      <c r="E13" s="53">
        <v>4.4000000000000004</v>
      </c>
      <c r="F13" s="53">
        <v>7.25</v>
      </c>
      <c r="G13" s="53">
        <v>50.32</v>
      </c>
      <c r="H13" s="53">
        <v>17.96</v>
      </c>
      <c r="I13" s="53">
        <v>1.19</v>
      </c>
      <c r="J13" s="53">
        <v>0.08</v>
      </c>
      <c r="K13" s="53">
        <v>279.93</v>
      </c>
      <c r="L13" s="53">
        <v>24.65</v>
      </c>
      <c r="M13" s="53">
        <v>98.73</v>
      </c>
      <c r="N13" s="53">
        <v>43.8</v>
      </c>
      <c r="O13" s="53">
        <v>0</v>
      </c>
      <c r="P13" s="53">
        <v>0.3</v>
      </c>
      <c r="Q13" s="53">
        <v>9.06</v>
      </c>
      <c r="R13" s="43"/>
      <c r="S13" s="43"/>
      <c r="T13" s="43"/>
      <c r="U13" s="43"/>
    </row>
    <row r="14" spans="1:21" s="11" customFormat="1" x14ac:dyDescent="0.25">
      <c r="A14" s="52" t="s">
        <v>353</v>
      </c>
      <c r="B14" s="53">
        <v>7</v>
      </c>
      <c r="C14" s="53">
        <v>13.49</v>
      </c>
      <c r="D14" s="53">
        <v>12.26</v>
      </c>
      <c r="E14" s="53">
        <v>3.92</v>
      </c>
      <c r="F14" s="53">
        <v>6.55</v>
      </c>
      <c r="G14" s="53">
        <v>50.75</v>
      </c>
      <c r="H14" s="53">
        <v>13.32</v>
      </c>
      <c r="I14" s="53">
        <v>1.18</v>
      </c>
      <c r="J14" s="53">
        <v>0.17</v>
      </c>
      <c r="K14" s="53">
        <v>279.64999999999998</v>
      </c>
      <c r="L14" s="53">
        <v>24.28</v>
      </c>
      <c r="M14" s="53">
        <v>98.75</v>
      </c>
      <c r="N14" s="53">
        <v>72</v>
      </c>
      <c r="O14" s="53">
        <v>0</v>
      </c>
      <c r="P14" s="53">
        <v>0.27</v>
      </c>
      <c r="Q14" s="53">
        <v>9.0399999999999991</v>
      </c>
      <c r="R14" s="43"/>
      <c r="S14" s="43"/>
      <c r="T14" s="43"/>
      <c r="U14" s="43"/>
    </row>
    <row r="15" spans="1:21" s="11" customFormat="1" x14ac:dyDescent="0.25">
      <c r="A15" s="52" t="s">
        <v>354</v>
      </c>
      <c r="B15" s="53">
        <v>10.130000000000001</v>
      </c>
      <c r="C15" s="53">
        <v>13.19</v>
      </c>
      <c r="D15" s="53">
        <v>15.02</v>
      </c>
      <c r="E15" s="53">
        <v>4.09</v>
      </c>
      <c r="F15" s="53">
        <v>9.99</v>
      </c>
      <c r="G15" s="53">
        <v>46.85</v>
      </c>
      <c r="H15" s="53">
        <v>11.59</v>
      </c>
      <c r="I15" s="53">
        <v>1.1200000000000001</v>
      </c>
      <c r="J15" s="53">
        <v>0.1</v>
      </c>
      <c r="K15" s="53">
        <v>338.08</v>
      </c>
      <c r="L15" s="53">
        <v>26</v>
      </c>
      <c r="M15" s="53">
        <v>98.84</v>
      </c>
      <c r="N15" s="53">
        <v>236.7</v>
      </c>
      <c r="O15" s="53">
        <v>0</v>
      </c>
      <c r="P15" s="53">
        <v>0.27</v>
      </c>
      <c r="Q15" s="53">
        <v>9.08</v>
      </c>
      <c r="R15" s="43"/>
      <c r="S15" s="43"/>
      <c r="T15" s="43"/>
      <c r="U15" s="43"/>
    </row>
    <row r="16" spans="1:21" s="11" customFormat="1" x14ac:dyDescent="0.25">
      <c r="A16" s="52" t="s">
        <v>355</v>
      </c>
      <c r="B16" s="53">
        <v>10.039999999999999</v>
      </c>
      <c r="C16" s="53">
        <v>13.17</v>
      </c>
      <c r="D16" s="53">
        <v>14.93</v>
      </c>
      <c r="E16" s="53">
        <v>4.25</v>
      </c>
      <c r="F16" s="53">
        <v>10.11</v>
      </c>
      <c r="G16" s="53">
        <v>46.15</v>
      </c>
      <c r="H16" s="53">
        <v>14.96</v>
      </c>
      <c r="I16" s="53">
        <v>1.08</v>
      </c>
      <c r="J16" s="53">
        <v>0.16</v>
      </c>
      <c r="K16" s="53">
        <v>270.74</v>
      </c>
      <c r="L16" s="53">
        <v>28.2</v>
      </c>
      <c r="M16" s="53">
        <v>98.68</v>
      </c>
      <c r="N16" s="53">
        <v>418.5</v>
      </c>
      <c r="O16" s="53">
        <v>0</v>
      </c>
      <c r="P16" s="53">
        <v>0.28000000000000003</v>
      </c>
      <c r="Q16" s="53">
        <v>9.11</v>
      </c>
      <c r="R16" s="43"/>
      <c r="S16" s="43"/>
      <c r="T16" s="43"/>
      <c r="U16" s="43"/>
    </row>
    <row r="17" spans="1:21" s="11" customFormat="1" x14ac:dyDescent="0.25">
      <c r="A17" s="52" t="s">
        <v>356</v>
      </c>
      <c r="B17" s="53">
        <v>10.3</v>
      </c>
      <c r="C17" s="53">
        <v>12.85</v>
      </c>
      <c r="D17" s="53">
        <v>14.75</v>
      </c>
      <c r="E17" s="53">
        <v>4.5</v>
      </c>
      <c r="F17" s="53">
        <v>7.95</v>
      </c>
      <c r="G17" s="53">
        <v>48.88</v>
      </c>
      <c r="H17" s="53">
        <v>13.98</v>
      </c>
      <c r="I17" s="53">
        <v>1.0900000000000001</v>
      </c>
      <c r="J17" s="53">
        <v>0.17</v>
      </c>
      <c r="K17" s="53">
        <v>292.14</v>
      </c>
      <c r="L17" s="53">
        <v>29.48</v>
      </c>
      <c r="M17" s="53">
        <v>85.04</v>
      </c>
      <c r="N17" s="53">
        <v>653.20000000000005</v>
      </c>
      <c r="O17" s="53">
        <v>0</v>
      </c>
      <c r="P17" s="53">
        <v>0.33</v>
      </c>
      <c r="Q17" s="53">
        <v>9.11</v>
      </c>
      <c r="R17" s="43"/>
      <c r="S17" s="43"/>
      <c r="T17" s="43"/>
      <c r="U17" s="43"/>
    </row>
    <row r="18" spans="1:21" s="11" customFormat="1" x14ac:dyDescent="0.25">
      <c r="A18" s="52" t="s">
        <v>357</v>
      </c>
      <c r="B18" s="53">
        <v>8.01</v>
      </c>
      <c r="C18" s="53">
        <v>15.64</v>
      </c>
      <c r="D18" s="53">
        <v>13.67</v>
      </c>
      <c r="E18" s="53">
        <v>4.49</v>
      </c>
      <c r="F18" s="53">
        <v>5.13</v>
      </c>
      <c r="G18" s="53">
        <v>50.92</v>
      </c>
      <c r="H18" s="53">
        <v>10.9</v>
      </c>
      <c r="I18" s="53">
        <v>1.39</v>
      </c>
      <c r="J18" s="53">
        <v>0.26</v>
      </c>
      <c r="K18" s="53">
        <v>286.95</v>
      </c>
      <c r="L18" s="53">
        <v>30.29</v>
      </c>
      <c r="M18" s="53">
        <v>80.95</v>
      </c>
      <c r="N18" s="53">
        <v>806.5</v>
      </c>
      <c r="O18" s="53">
        <v>0</v>
      </c>
      <c r="P18" s="53">
        <v>0.4</v>
      </c>
      <c r="Q18" s="53">
        <v>9.06</v>
      </c>
      <c r="R18" s="43"/>
      <c r="S18" s="43"/>
      <c r="T18" s="43"/>
      <c r="U18" s="43"/>
    </row>
    <row r="19" spans="1:21" s="11" customFormat="1" x14ac:dyDescent="0.25">
      <c r="A19" s="52" t="s">
        <v>358</v>
      </c>
      <c r="B19" s="53">
        <v>6.59</v>
      </c>
      <c r="C19" s="53">
        <v>18.12</v>
      </c>
      <c r="D19" s="53">
        <v>14.3</v>
      </c>
      <c r="E19" s="53">
        <v>4.26</v>
      </c>
      <c r="F19" s="53">
        <v>4.83</v>
      </c>
      <c r="G19" s="53">
        <v>59.79</v>
      </c>
      <c r="H19" s="53">
        <v>18.59</v>
      </c>
      <c r="I19" s="53">
        <v>1.58</v>
      </c>
      <c r="J19" s="53">
        <v>0.3</v>
      </c>
      <c r="K19" s="53">
        <v>292.41000000000003</v>
      </c>
      <c r="L19" s="53">
        <v>32.17</v>
      </c>
      <c r="M19" s="53">
        <v>75.84</v>
      </c>
      <c r="N19" s="53">
        <v>846.4</v>
      </c>
      <c r="O19" s="53">
        <v>0</v>
      </c>
      <c r="P19" s="53">
        <v>0.42</v>
      </c>
      <c r="Q19" s="53">
        <v>9.02</v>
      </c>
      <c r="R19" s="43"/>
      <c r="S19" s="43"/>
      <c r="T19" s="43"/>
      <c r="U19" s="43"/>
    </row>
    <row r="20" spans="1:21" s="11" customFormat="1" x14ac:dyDescent="0.25">
      <c r="A20" s="52" t="s">
        <v>359</v>
      </c>
      <c r="B20" s="53">
        <v>6.41</v>
      </c>
      <c r="C20" s="53">
        <v>16.690000000000001</v>
      </c>
      <c r="D20" s="53">
        <v>13.86</v>
      </c>
      <c r="E20" s="53">
        <v>4.22</v>
      </c>
      <c r="F20" s="53">
        <v>6.16</v>
      </c>
      <c r="G20" s="53">
        <v>57.82</v>
      </c>
      <c r="H20" s="53">
        <v>18.46</v>
      </c>
      <c r="I20" s="53">
        <v>1.56</v>
      </c>
      <c r="J20" s="53">
        <v>0.38</v>
      </c>
      <c r="K20" s="53">
        <v>296.58999999999997</v>
      </c>
      <c r="L20" s="53">
        <v>32.35</v>
      </c>
      <c r="M20" s="53">
        <v>69.55</v>
      </c>
      <c r="N20" s="53">
        <v>933.6</v>
      </c>
      <c r="O20" s="53">
        <v>0</v>
      </c>
      <c r="P20" s="53">
        <v>0.39</v>
      </c>
      <c r="Q20" s="53">
        <v>9.01</v>
      </c>
      <c r="R20" s="43"/>
      <c r="S20" s="43"/>
      <c r="T20" s="43"/>
      <c r="U20" s="43"/>
    </row>
    <row r="21" spans="1:21" s="11" customFormat="1" x14ac:dyDescent="0.25">
      <c r="A21" s="52" t="s">
        <v>360</v>
      </c>
      <c r="B21" s="53">
        <v>6.84</v>
      </c>
      <c r="C21" s="53">
        <v>21.47</v>
      </c>
      <c r="D21" s="53">
        <v>16.7</v>
      </c>
      <c r="E21" s="53">
        <v>4.51</v>
      </c>
      <c r="F21" s="53">
        <v>11.13</v>
      </c>
      <c r="G21" s="53">
        <v>60.39</v>
      </c>
      <c r="H21" s="53">
        <v>19.11</v>
      </c>
      <c r="I21" s="53">
        <v>1.55</v>
      </c>
      <c r="J21" s="53">
        <v>0.32</v>
      </c>
      <c r="K21" s="53">
        <v>290.93</v>
      </c>
      <c r="L21" s="53">
        <v>32.72</v>
      </c>
      <c r="M21" s="53">
        <v>67.91</v>
      </c>
      <c r="N21" s="53">
        <v>787</v>
      </c>
      <c r="O21" s="53">
        <v>0</v>
      </c>
      <c r="P21" s="53">
        <v>0.44</v>
      </c>
      <c r="Q21" s="53">
        <v>9.02</v>
      </c>
      <c r="R21" s="43"/>
      <c r="S21" s="43"/>
      <c r="T21" s="43"/>
      <c r="U21" s="43"/>
    </row>
    <row r="22" spans="1:21" s="11" customFormat="1" x14ac:dyDescent="0.25">
      <c r="A22" s="52" t="s">
        <v>361</v>
      </c>
      <c r="B22" s="53">
        <v>5.55</v>
      </c>
      <c r="C22" s="53">
        <v>17.95</v>
      </c>
      <c r="D22" s="53">
        <v>13.82</v>
      </c>
      <c r="E22" s="53">
        <v>4.37</v>
      </c>
      <c r="F22" s="53">
        <v>9.5</v>
      </c>
      <c r="G22" s="53">
        <v>62.14</v>
      </c>
      <c r="H22" s="53">
        <v>17.46</v>
      </c>
      <c r="I22" s="53">
        <v>1.57</v>
      </c>
      <c r="J22" s="53">
        <v>0.25</v>
      </c>
      <c r="K22" s="53">
        <v>285.52999999999997</v>
      </c>
      <c r="L22" s="53">
        <v>31.91</v>
      </c>
      <c r="M22" s="53">
        <v>72.900000000000006</v>
      </c>
      <c r="N22" s="53">
        <v>430.4</v>
      </c>
      <c r="O22" s="53">
        <v>0</v>
      </c>
      <c r="P22" s="53">
        <v>0.38</v>
      </c>
      <c r="Q22" s="53">
        <v>9.01</v>
      </c>
      <c r="R22" s="43"/>
      <c r="S22" s="43"/>
      <c r="T22" s="43"/>
      <c r="U22" s="43"/>
    </row>
    <row r="23" spans="1:21" s="11" customFormat="1" x14ac:dyDescent="0.25">
      <c r="A23" s="52" t="s">
        <v>362</v>
      </c>
      <c r="B23" s="53">
        <v>4.5199999999999996</v>
      </c>
      <c r="C23" s="53">
        <v>16.91</v>
      </c>
      <c r="D23" s="53">
        <v>12.36</v>
      </c>
      <c r="E23" s="53">
        <v>4.25</v>
      </c>
      <c r="F23" s="53">
        <v>6.63</v>
      </c>
      <c r="G23" s="53">
        <v>59.58</v>
      </c>
      <c r="H23" s="53">
        <v>15.92</v>
      </c>
      <c r="I23" s="53">
        <v>1.37</v>
      </c>
      <c r="J23" s="53">
        <v>0.46</v>
      </c>
      <c r="K23" s="53">
        <v>292.91000000000003</v>
      </c>
      <c r="L23" s="53">
        <v>30.83</v>
      </c>
      <c r="M23" s="53">
        <v>72.13</v>
      </c>
      <c r="N23" s="53">
        <v>284.60000000000002</v>
      </c>
      <c r="O23" s="53">
        <v>0</v>
      </c>
      <c r="P23" s="53">
        <v>0.34</v>
      </c>
      <c r="Q23" s="53">
        <v>8.99</v>
      </c>
      <c r="R23" s="43"/>
      <c r="S23" s="43"/>
      <c r="T23" s="43"/>
      <c r="U23" s="43"/>
    </row>
    <row r="24" spans="1:21" s="11" customFormat="1" x14ac:dyDescent="0.25">
      <c r="A24" s="52" t="s">
        <v>363</v>
      </c>
      <c r="B24" s="53">
        <v>9.42</v>
      </c>
      <c r="C24" s="53">
        <v>18.47</v>
      </c>
      <c r="D24" s="53">
        <v>17.2</v>
      </c>
      <c r="E24" s="53">
        <v>4.3899999999999997</v>
      </c>
      <c r="F24" s="53">
        <v>10.66</v>
      </c>
      <c r="G24" s="53">
        <v>57.27</v>
      </c>
      <c r="H24" s="53">
        <v>14.47</v>
      </c>
      <c r="I24" s="53">
        <v>1.17</v>
      </c>
      <c r="J24" s="53">
        <v>0.99</v>
      </c>
      <c r="K24" s="53">
        <v>317.70999999999998</v>
      </c>
      <c r="L24" s="53">
        <v>30.93</v>
      </c>
      <c r="M24" s="53">
        <v>75.16</v>
      </c>
      <c r="N24" s="53">
        <v>217.9</v>
      </c>
      <c r="O24" s="53">
        <v>0</v>
      </c>
      <c r="P24" s="53">
        <v>0.37</v>
      </c>
      <c r="Q24" s="53">
        <v>9.02</v>
      </c>
      <c r="R24" s="43"/>
      <c r="S24" s="43"/>
      <c r="T24" s="43"/>
      <c r="U24" s="43"/>
    </row>
    <row r="25" spans="1:21" s="11" customFormat="1" x14ac:dyDescent="0.25">
      <c r="A25" s="52" t="s">
        <v>364</v>
      </c>
      <c r="B25" s="53">
        <v>9.34</v>
      </c>
      <c r="C25" s="53">
        <v>20.86</v>
      </c>
      <c r="D25" s="53">
        <v>18.39</v>
      </c>
      <c r="E25" s="53">
        <v>4.3099999999999996</v>
      </c>
      <c r="F25" s="53">
        <v>11.22</v>
      </c>
      <c r="G25" s="53">
        <v>55.99</v>
      </c>
      <c r="H25" s="53">
        <v>15.08</v>
      </c>
      <c r="I25" s="53">
        <v>1.21</v>
      </c>
      <c r="J25" s="53">
        <v>0.32</v>
      </c>
      <c r="K25" s="53">
        <v>312.02</v>
      </c>
      <c r="L25" s="53">
        <v>30.5</v>
      </c>
      <c r="M25" s="53">
        <v>76.06</v>
      </c>
      <c r="N25" s="53">
        <v>161.9</v>
      </c>
      <c r="O25" s="53">
        <v>0</v>
      </c>
      <c r="P25" s="53">
        <v>0.44</v>
      </c>
      <c r="Q25" s="53">
        <v>9.08</v>
      </c>
      <c r="R25" s="43"/>
      <c r="S25" s="43"/>
      <c r="T25" s="43"/>
      <c r="U25" s="43"/>
    </row>
    <row r="26" spans="1:21" s="11" customFormat="1" x14ac:dyDescent="0.25">
      <c r="A26" s="52" t="s">
        <v>365</v>
      </c>
      <c r="B26" s="53">
        <v>9.56</v>
      </c>
      <c r="C26" s="53">
        <v>24.89</v>
      </c>
      <c r="D26" s="53">
        <v>20.67</v>
      </c>
      <c r="E26" s="53">
        <v>4.47</v>
      </c>
      <c r="F26" s="53">
        <v>13.86</v>
      </c>
      <c r="G26" s="53">
        <v>55.09</v>
      </c>
      <c r="H26" s="53">
        <v>12.32</v>
      </c>
      <c r="I26" s="53">
        <v>1.58</v>
      </c>
      <c r="J26" s="53">
        <v>0.3</v>
      </c>
      <c r="K26" s="53">
        <v>340.02</v>
      </c>
      <c r="L26" s="53">
        <v>30.04</v>
      </c>
      <c r="M26" s="53">
        <v>78.319999999999993</v>
      </c>
      <c r="N26" s="53">
        <v>121.9</v>
      </c>
      <c r="O26" s="53">
        <v>0</v>
      </c>
      <c r="P26" s="53">
        <v>0.52</v>
      </c>
      <c r="Q26" s="53">
        <v>9.08</v>
      </c>
      <c r="R26" s="43"/>
      <c r="S26" s="43"/>
      <c r="T26" s="43"/>
      <c r="U26" s="43"/>
    </row>
    <row r="27" spans="1:21" s="11" customFormat="1" x14ac:dyDescent="0.25">
      <c r="A27" s="52" t="s">
        <v>366</v>
      </c>
      <c r="B27" s="53">
        <v>10.88</v>
      </c>
      <c r="C27" s="53">
        <v>22.34</v>
      </c>
      <c r="D27" s="53">
        <v>20.399999999999999</v>
      </c>
      <c r="E27" s="53">
        <v>3.94</v>
      </c>
      <c r="F27" s="53">
        <v>8.73</v>
      </c>
      <c r="G27" s="53">
        <v>58.79</v>
      </c>
      <c r="H27" s="53">
        <v>12.72</v>
      </c>
      <c r="I27" s="53">
        <v>1.57</v>
      </c>
      <c r="J27" s="53">
        <v>0.28000000000000003</v>
      </c>
      <c r="K27" s="53">
        <v>349.44</v>
      </c>
      <c r="L27" s="53">
        <v>28.8</v>
      </c>
      <c r="M27" s="53">
        <v>86.47</v>
      </c>
      <c r="N27" s="53">
        <v>61.9</v>
      </c>
      <c r="O27" s="53">
        <v>0</v>
      </c>
      <c r="P27" s="53">
        <v>0.51</v>
      </c>
      <c r="Q27" s="53">
        <v>9.0500000000000007</v>
      </c>
      <c r="R27" s="43"/>
      <c r="S27" s="43"/>
      <c r="T27" s="43"/>
      <c r="U27" s="43"/>
    </row>
    <row r="28" spans="1:21" s="11" customFormat="1" x14ac:dyDescent="0.25">
      <c r="A28" s="52" t="s">
        <v>367</v>
      </c>
      <c r="B28" s="53">
        <v>11.26</v>
      </c>
      <c r="C28" s="53">
        <v>22.63</v>
      </c>
      <c r="D28" s="53">
        <v>19.32</v>
      </c>
      <c r="E28" s="53">
        <v>4.26</v>
      </c>
      <c r="F28" s="53">
        <v>7.59</v>
      </c>
      <c r="G28" s="53">
        <v>59.12</v>
      </c>
      <c r="H28" s="53">
        <v>12.56</v>
      </c>
      <c r="I28" s="53">
        <v>1.76</v>
      </c>
      <c r="J28" s="53">
        <v>0.3</v>
      </c>
      <c r="K28" s="53">
        <v>347.42</v>
      </c>
      <c r="L28" s="53">
        <v>27.67</v>
      </c>
      <c r="M28" s="53">
        <v>87.82</v>
      </c>
      <c r="N28" s="53">
        <v>47.9</v>
      </c>
      <c r="O28" s="53">
        <v>0</v>
      </c>
      <c r="P28" s="53">
        <v>0.53</v>
      </c>
      <c r="Q28" s="53">
        <v>9.06</v>
      </c>
      <c r="R28" s="43"/>
      <c r="S28" s="43"/>
      <c r="T28" s="43"/>
      <c r="U28" s="43"/>
    </row>
    <row r="29" spans="1:21" s="11" customFormat="1" x14ac:dyDescent="0.25">
      <c r="A29" s="52" t="s">
        <v>368</v>
      </c>
      <c r="B29" s="53">
        <v>11</v>
      </c>
      <c r="C29" s="53">
        <v>24.59</v>
      </c>
      <c r="D29" s="53">
        <v>20.9</v>
      </c>
      <c r="E29" s="53">
        <v>4.3600000000000003</v>
      </c>
      <c r="F29" s="53">
        <v>11.49</v>
      </c>
      <c r="G29" s="53">
        <v>57.34</v>
      </c>
      <c r="H29" s="53">
        <v>14.92</v>
      </c>
      <c r="I29" s="53">
        <v>1.73</v>
      </c>
      <c r="J29" s="53">
        <v>0.2</v>
      </c>
      <c r="K29" s="53">
        <v>339.17</v>
      </c>
      <c r="L29" s="53">
        <v>27.05</v>
      </c>
      <c r="M29" s="53">
        <v>90.34</v>
      </c>
      <c r="N29" s="53">
        <v>47.8</v>
      </c>
      <c r="O29" s="53">
        <v>0</v>
      </c>
      <c r="P29" s="53">
        <v>0.53</v>
      </c>
      <c r="Q29" s="53">
        <v>9.1199999999999992</v>
      </c>
      <c r="R29" s="43"/>
      <c r="S29" s="43"/>
      <c r="T29" s="43"/>
      <c r="U29" s="43"/>
    </row>
    <row r="30" spans="1:21" s="11" customFormat="1" x14ac:dyDescent="0.25">
      <c r="A30" s="52" t="s">
        <v>369</v>
      </c>
      <c r="B30" s="53">
        <v>17.38</v>
      </c>
      <c r="C30" s="53">
        <v>25.65</v>
      </c>
      <c r="D30" s="53">
        <v>27.16</v>
      </c>
      <c r="E30" s="53">
        <v>4.46</v>
      </c>
      <c r="F30" s="53">
        <v>10.71</v>
      </c>
      <c r="G30" s="53">
        <v>64.489999999999995</v>
      </c>
      <c r="H30" s="53">
        <v>13.29</v>
      </c>
      <c r="I30" s="53">
        <v>1.66</v>
      </c>
      <c r="J30" s="53">
        <v>0.11</v>
      </c>
      <c r="K30" s="53">
        <v>319.52999999999997</v>
      </c>
      <c r="L30" s="53">
        <v>26.72</v>
      </c>
      <c r="M30" s="53">
        <v>95.69</v>
      </c>
      <c r="N30" s="53">
        <v>47.9</v>
      </c>
      <c r="O30" s="53">
        <v>0</v>
      </c>
      <c r="P30" s="53">
        <v>0.67</v>
      </c>
      <c r="Q30" s="53">
        <v>9.18</v>
      </c>
      <c r="R30" s="43"/>
      <c r="S30" s="43"/>
      <c r="T30" s="43"/>
      <c r="U30" s="43"/>
    </row>
    <row r="31" spans="1:21" s="11" customFormat="1" x14ac:dyDescent="0.25">
      <c r="A31" s="52" t="s">
        <v>370</v>
      </c>
      <c r="B31" s="53">
        <v>17.809999999999999</v>
      </c>
      <c r="C31" s="53">
        <v>23.16</v>
      </c>
      <c r="D31" s="53">
        <v>26.38</v>
      </c>
      <c r="E31" s="53">
        <v>4.38</v>
      </c>
      <c r="F31" s="53">
        <v>8.2899999999999991</v>
      </c>
      <c r="G31" s="53">
        <v>61.83</v>
      </c>
      <c r="H31" s="53">
        <v>14.06</v>
      </c>
      <c r="I31" s="53">
        <v>1.67</v>
      </c>
      <c r="J31" s="53">
        <v>0.09</v>
      </c>
      <c r="K31" s="53">
        <v>347.15</v>
      </c>
      <c r="L31" s="53">
        <v>26.35</v>
      </c>
      <c r="M31" s="53">
        <v>98.8</v>
      </c>
      <c r="N31" s="53">
        <v>47.9</v>
      </c>
      <c r="O31" s="53">
        <v>0</v>
      </c>
      <c r="P31" s="53">
        <v>0.54</v>
      </c>
      <c r="Q31" s="53">
        <v>9.19</v>
      </c>
      <c r="R31" s="43"/>
      <c r="S31" s="43"/>
      <c r="T31" s="43"/>
      <c r="U31" s="43"/>
    </row>
    <row r="32" spans="1:21" s="11" customFormat="1" x14ac:dyDescent="0.25">
      <c r="A32" s="52" t="s">
        <v>371</v>
      </c>
      <c r="B32" s="53">
        <v>9.1300000000000008</v>
      </c>
      <c r="C32" s="53">
        <v>14.75</v>
      </c>
      <c r="D32" s="53">
        <v>15.03</v>
      </c>
      <c r="E32" s="53">
        <v>4.84</v>
      </c>
      <c r="F32" s="53">
        <v>9.59</v>
      </c>
      <c r="G32" s="53">
        <v>60.04</v>
      </c>
      <c r="H32" s="53">
        <v>12.19</v>
      </c>
      <c r="I32" s="53">
        <v>1.62</v>
      </c>
      <c r="J32" s="53">
        <v>0.1</v>
      </c>
      <c r="K32" s="53">
        <v>354.94</v>
      </c>
      <c r="L32" s="53">
        <v>26.14</v>
      </c>
      <c r="M32" s="53">
        <v>99.02</v>
      </c>
      <c r="N32" s="53">
        <v>48</v>
      </c>
      <c r="O32" s="53">
        <v>0</v>
      </c>
      <c r="P32" s="53">
        <v>0.44</v>
      </c>
      <c r="Q32" s="53">
        <v>9.16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4.5199999999999996</v>
      </c>
      <c r="C34" s="28">
        <f t="shared" si="0"/>
        <v>11.37</v>
      </c>
      <c r="D34" s="28">
        <f t="shared" si="0"/>
        <v>11.01</v>
      </c>
      <c r="E34" s="28">
        <f t="shared" si="0"/>
        <v>3.92</v>
      </c>
      <c r="F34" s="28">
        <f t="shared" si="0"/>
        <v>4.83</v>
      </c>
      <c r="G34" s="28">
        <f t="shared" si="0"/>
        <v>46.15</v>
      </c>
      <c r="H34" s="28">
        <f t="shared" si="0"/>
        <v>10.9</v>
      </c>
      <c r="I34" s="28">
        <f t="shared" si="0"/>
        <v>1.07</v>
      </c>
      <c r="J34" s="28">
        <f t="shared" si="0"/>
        <v>0.08</v>
      </c>
      <c r="K34" s="28">
        <f t="shared" si="0"/>
        <v>270.74</v>
      </c>
      <c r="L34" s="28">
        <f t="shared" si="0"/>
        <v>24.28</v>
      </c>
      <c r="M34" s="28">
        <f t="shared" si="0"/>
        <v>67.91</v>
      </c>
      <c r="N34" s="28">
        <f t="shared" si="0"/>
        <v>43.1</v>
      </c>
      <c r="O34" s="28">
        <f t="shared" si="0"/>
        <v>0</v>
      </c>
      <c r="P34" s="28">
        <f t="shared" si="0"/>
        <v>0.27</v>
      </c>
      <c r="Q34" s="28">
        <f t="shared" si="0"/>
        <v>8.99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17.809999999999999</v>
      </c>
      <c r="C35" s="29">
        <f t="shared" si="1"/>
        <v>25.65</v>
      </c>
      <c r="D35" s="29">
        <f t="shared" si="1"/>
        <v>27.16</v>
      </c>
      <c r="E35" s="29">
        <f t="shared" si="1"/>
        <v>4.84</v>
      </c>
      <c r="F35" s="29">
        <f t="shared" si="1"/>
        <v>13.86</v>
      </c>
      <c r="G35" s="29">
        <f t="shared" si="1"/>
        <v>68.790000000000006</v>
      </c>
      <c r="H35" s="29">
        <f t="shared" si="1"/>
        <v>24.21</v>
      </c>
      <c r="I35" s="29">
        <f t="shared" si="1"/>
        <v>1.76</v>
      </c>
      <c r="J35" s="29">
        <f t="shared" si="1"/>
        <v>0.99</v>
      </c>
      <c r="K35" s="29">
        <f t="shared" si="1"/>
        <v>354.94</v>
      </c>
      <c r="L35" s="29">
        <f t="shared" si="1"/>
        <v>32.72</v>
      </c>
      <c r="M35" s="29">
        <f t="shared" si="1"/>
        <v>99.02</v>
      </c>
      <c r="N35" s="29">
        <f t="shared" si="1"/>
        <v>933.6</v>
      </c>
      <c r="O35" s="29">
        <f t="shared" si="1"/>
        <v>0</v>
      </c>
      <c r="P35" s="29">
        <f t="shared" si="1"/>
        <v>0.67</v>
      </c>
      <c r="Q35" s="29">
        <f t="shared" si="1"/>
        <v>9.19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8.9774999999999991</v>
      </c>
      <c r="C36" s="28">
        <f t="shared" si="2"/>
        <v>17.740833333333331</v>
      </c>
      <c r="D36" s="28">
        <f t="shared" si="2"/>
        <v>16.190416666666664</v>
      </c>
      <c r="E36" s="28">
        <f t="shared" si="2"/>
        <v>4.2791666666666659</v>
      </c>
      <c r="F36" s="28">
        <f t="shared" si="2"/>
        <v>8.9499999999999993</v>
      </c>
      <c r="G36" s="28">
        <f t="shared" si="2"/>
        <v>56.837916666666651</v>
      </c>
      <c r="H36" s="28">
        <f t="shared" si="2"/>
        <v>15.515416666666669</v>
      </c>
      <c r="I36" s="28">
        <f t="shared" si="2"/>
        <v>1.3987499999999999</v>
      </c>
      <c r="J36" s="28">
        <f t="shared" si="2"/>
        <v>0.24833333333333332</v>
      </c>
      <c r="K36" s="28">
        <f t="shared" si="2"/>
        <v>312.26333333333326</v>
      </c>
      <c r="L36" s="28">
        <f t="shared" si="2"/>
        <v>28.308333333333334</v>
      </c>
      <c r="M36" s="28">
        <f t="shared" si="2"/>
        <v>87.56541666666665</v>
      </c>
      <c r="N36" s="28">
        <f t="shared" si="2"/>
        <v>270.38333333333327</v>
      </c>
      <c r="O36" s="28">
        <f t="shared" si="2"/>
        <v>0</v>
      </c>
      <c r="P36" s="28">
        <f t="shared" si="2"/>
        <v>0.40458333333333329</v>
      </c>
      <c r="Q36" s="28">
        <f t="shared" si="2"/>
        <v>9.0708333333333346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3.2510349522682129</v>
      </c>
      <c r="C37" s="28">
        <f t="shared" ref="C37:Q37" si="3">STDEV(C9:C32)</f>
        <v>4.4338989777539579</v>
      </c>
      <c r="D37" s="28">
        <f t="shared" si="3"/>
        <v>4.3758889573053255</v>
      </c>
      <c r="E37" s="28">
        <f t="shared" si="3"/>
        <v>0.22561831306081029</v>
      </c>
      <c r="F37" s="28">
        <f t="shared" si="3"/>
        <v>2.1680766872366681</v>
      </c>
      <c r="G37" s="28">
        <f t="shared" si="3"/>
        <v>5.8032614362185564</v>
      </c>
      <c r="H37" s="28">
        <f t="shared" si="3"/>
        <v>3.2870284970744681</v>
      </c>
      <c r="I37" s="28">
        <f t="shared" si="3"/>
        <v>0.23361641730576713</v>
      </c>
      <c r="J37" s="28">
        <f t="shared" si="3"/>
        <v>0.18857974133129915</v>
      </c>
      <c r="K37" s="28">
        <f t="shared" si="3"/>
        <v>26.17674219386473</v>
      </c>
      <c r="L37" s="28">
        <f t="shared" si="3"/>
        <v>2.7048582164347343</v>
      </c>
      <c r="M37" s="28">
        <f t="shared" si="3"/>
        <v>11.51027328620793</v>
      </c>
      <c r="N37" s="28">
        <f t="shared" si="3"/>
        <v>305.44316438032581</v>
      </c>
      <c r="O37" s="28">
        <f t="shared" si="3"/>
        <v>0</v>
      </c>
      <c r="P37" s="28">
        <f t="shared" si="3"/>
        <v>0.10442301789675817</v>
      </c>
      <c r="Q37" s="28">
        <f t="shared" si="3"/>
        <v>5.4526951187436598E-2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372</v>
      </c>
      <c r="B9" s="53">
        <v>7.18</v>
      </c>
      <c r="C9" s="53">
        <v>12.91</v>
      </c>
      <c r="D9" s="53">
        <v>12.5</v>
      </c>
      <c r="E9" s="53">
        <v>4.05</v>
      </c>
      <c r="F9" s="53">
        <v>12.95</v>
      </c>
      <c r="G9" s="53">
        <v>54.82</v>
      </c>
      <c r="H9" s="53">
        <v>11.94</v>
      </c>
      <c r="I9" s="53">
        <v>1.42</v>
      </c>
      <c r="J9" s="53">
        <v>0.1</v>
      </c>
      <c r="K9" s="53">
        <v>329.97</v>
      </c>
      <c r="L9" s="53">
        <v>25.91</v>
      </c>
      <c r="M9" s="53">
        <v>99.02</v>
      </c>
      <c r="N9" s="53">
        <v>48.3</v>
      </c>
      <c r="O9" s="53">
        <v>0</v>
      </c>
      <c r="P9" s="53">
        <v>0.28999999999999998</v>
      </c>
      <c r="Q9" s="53">
        <v>9.09</v>
      </c>
      <c r="R9" s="43"/>
      <c r="S9" s="43"/>
      <c r="T9" s="43"/>
      <c r="U9" s="43"/>
    </row>
    <row r="10" spans="1:21" s="11" customFormat="1" x14ac:dyDescent="0.25">
      <c r="A10" s="52" t="s">
        <v>373</v>
      </c>
      <c r="B10" s="53">
        <v>5.31</v>
      </c>
      <c r="C10" s="53">
        <v>11.05</v>
      </c>
      <c r="D10" s="53">
        <v>9.82</v>
      </c>
      <c r="E10" s="53">
        <v>4.1500000000000004</v>
      </c>
      <c r="F10" s="53">
        <v>13.03</v>
      </c>
      <c r="G10" s="53">
        <v>48.4</v>
      </c>
      <c r="H10" s="53">
        <v>9.75</v>
      </c>
      <c r="I10" s="53">
        <v>1.24</v>
      </c>
      <c r="J10" s="53">
        <v>0.1</v>
      </c>
      <c r="K10" s="53">
        <v>313.76</v>
      </c>
      <c r="L10" s="53">
        <v>25.82</v>
      </c>
      <c r="M10" s="53">
        <v>99.03</v>
      </c>
      <c r="N10" s="53">
        <v>48.5</v>
      </c>
      <c r="O10" s="53">
        <v>0</v>
      </c>
      <c r="P10" s="53">
        <v>0.18</v>
      </c>
      <c r="Q10" s="53">
        <v>9.1</v>
      </c>
      <c r="R10" s="43"/>
      <c r="S10" s="43"/>
      <c r="T10" s="43"/>
      <c r="U10" s="43"/>
    </row>
    <row r="11" spans="1:21" s="11" customFormat="1" x14ac:dyDescent="0.25">
      <c r="A11" s="52" t="s">
        <v>374</v>
      </c>
      <c r="B11" s="53">
        <v>6.22</v>
      </c>
      <c r="C11" s="53">
        <v>10.97</v>
      </c>
      <c r="D11" s="53">
        <v>10.71</v>
      </c>
      <c r="E11" s="53">
        <v>4.16</v>
      </c>
      <c r="F11" s="53">
        <v>10.74</v>
      </c>
      <c r="G11" s="53">
        <v>41.13</v>
      </c>
      <c r="H11" s="53">
        <v>9.69</v>
      </c>
      <c r="I11" s="53">
        <v>1.19</v>
      </c>
      <c r="J11" s="53">
        <v>0.13</v>
      </c>
      <c r="K11" s="53">
        <v>305.52999999999997</v>
      </c>
      <c r="L11" s="53">
        <v>25.71</v>
      </c>
      <c r="M11" s="53">
        <v>99.11</v>
      </c>
      <c r="N11" s="53">
        <v>48.6</v>
      </c>
      <c r="O11" s="53">
        <v>0</v>
      </c>
      <c r="P11" s="53">
        <v>0.24</v>
      </c>
      <c r="Q11" s="53">
        <v>9.08</v>
      </c>
      <c r="R11" s="43"/>
      <c r="S11" s="43"/>
      <c r="T11" s="43"/>
      <c r="U11" s="43"/>
    </row>
    <row r="12" spans="1:21" s="11" customFormat="1" x14ac:dyDescent="0.25">
      <c r="A12" s="52" t="s">
        <v>375</v>
      </c>
      <c r="B12" s="53">
        <v>6</v>
      </c>
      <c r="C12" s="53">
        <v>11.22</v>
      </c>
      <c r="D12" s="53">
        <v>10.63</v>
      </c>
      <c r="E12" s="53">
        <v>4.12</v>
      </c>
      <c r="F12" s="53">
        <v>7.04</v>
      </c>
      <c r="G12" s="53">
        <v>35.11</v>
      </c>
      <c r="H12" s="53">
        <v>9.8000000000000007</v>
      </c>
      <c r="I12" s="53">
        <v>1.06</v>
      </c>
      <c r="J12" s="53">
        <v>0.13</v>
      </c>
      <c r="K12" s="53">
        <v>312.42</v>
      </c>
      <c r="L12" s="53">
        <v>25.53</v>
      </c>
      <c r="M12" s="53">
        <v>98.75</v>
      </c>
      <c r="N12" s="53">
        <v>48.6</v>
      </c>
      <c r="O12" s="53">
        <v>0</v>
      </c>
      <c r="P12" s="53">
        <v>0.21</v>
      </c>
      <c r="Q12" s="53">
        <v>9.02</v>
      </c>
      <c r="R12" s="43"/>
      <c r="S12" s="43"/>
      <c r="T12" s="43"/>
      <c r="U12" s="43"/>
    </row>
    <row r="13" spans="1:21" s="11" customFormat="1" x14ac:dyDescent="0.25">
      <c r="A13" s="52" t="s">
        <v>376</v>
      </c>
      <c r="B13" s="53">
        <v>6.93</v>
      </c>
      <c r="C13" s="53">
        <v>12.33</v>
      </c>
      <c r="D13" s="53">
        <v>12</v>
      </c>
      <c r="E13" s="53">
        <v>3.98</v>
      </c>
      <c r="F13" s="53">
        <v>8.74</v>
      </c>
      <c r="G13" s="53">
        <v>29.08</v>
      </c>
      <c r="H13" s="53">
        <v>8.1999999999999993</v>
      </c>
      <c r="I13" s="53">
        <v>0.97</v>
      </c>
      <c r="J13" s="53">
        <v>0.15</v>
      </c>
      <c r="K13" s="53">
        <v>300.33999999999997</v>
      </c>
      <c r="L13" s="53">
        <v>25.49</v>
      </c>
      <c r="M13" s="53">
        <v>98.58</v>
      </c>
      <c r="N13" s="53">
        <v>48.6</v>
      </c>
      <c r="O13" s="53">
        <v>0</v>
      </c>
      <c r="P13" s="53">
        <v>0.17</v>
      </c>
      <c r="Q13" s="53">
        <v>8.98</v>
      </c>
      <c r="R13" s="43"/>
      <c r="S13" s="43"/>
      <c r="T13" s="43"/>
      <c r="U13" s="43"/>
    </row>
    <row r="14" spans="1:21" s="11" customFormat="1" x14ac:dyDescent="0.25">
      <c r="A14" s="52" t="s">
        <v>377</v>
      </c>
      <c r="B14" s="53">
        <v>7.27</v>
      </c>
      <c r="C14" s="53">
        <v>15.61</v>
      </c>
      <c r="D14" s="53">
        <v>13.97</v>
      </c>
      <c r="E14" s="53">
        <v>4.17</v>
      </c>
      <c r="F14" s="53">
        <v>10.23</v>
      </c>
      <c r="G14" s="53">
        <v>25.33</v>
      </c>
      <c r="H14" s="53">
        <v>6.33</v>
      </c>
      <c r="I14" s="53">
        <v>0.87</v>
      </c>
      <c r="J14" s="53">
        <v>0.09</v>
      </c>
      <c r="K14" s="53">
        <v>290.33999999999997</v>
      </c>
      <c r="L14" s="53">
        <v>25.13</v>
      </c>
      <c r="M14" s="53">
        <v>98.72</v>
      </c>
      <c r="N14" s="53">
        <v>63.7</v>
      </c>
      <c r="O14" s="53">
        <v>0</v>
      </c>
      <c r="P14" s="53">
        <v>0.17</v>
      </c>
      <c r="Q14" s="53">
        <v>9.0500000000000007</v>
      </c>
      <c r="R14" s="43"/>
      <c r="S14" s="43"/>
      <c r="T14" s="43"/>
      <c r="U14" s="43"/>
    </row>
    <row r="15" spans="1:21" s="11" customFormat="1" x14ac:dyDescent="0.25">
      <c r="A15" s="52" t="s">
        <v>378</v>
      </c>
      <c r="B15" s="53">
        <v>10.15</v>
      </c>
      <c r="C15" s="53">
        <v>16.55</v>
      </c>
      <c r="D15" s="53">
        <v>16.73</v>
      </c>
      <c r="E15" s="53">
        <v>4.21</v>
      </c>
      <c r="F15" s="53">
        <v>9.77</v>
      </c>
      <c r="G15" s="53">
        <v>26.48</v>
      </c>
      <c r="H15" s="53">
        <v>4.8499999999999996</v>
      </c>
      <c r="I15" s="53">
        <v>0.94</v>
      </c>
      <c r="J15" s="53">
        <v>0.11</v>
      </c>
      <c r="K15" s="53">
        <v>291.05</v>
      </c>
      <c r="L15" s="53">
        <v>25.61</v>
      </c>
      <c r="M15" s="53">
        <v>98.76</v>
      </c>
      <c r="N15" s="53">
        <v>125.4</v>
      </c>
      <c r="O15" s="53">
        <v>0</v>
      </c>
      <c r="P15" s="53">
        <v>0.25</v>
      </c>
      <c r="Q15" s="53">
        <v>9.08</v>
      </c>
      <c r="R15" s="43"/>
      <c r="S15" s="43"/>
      <c r="T15" s="43"/>
      <c r="U15" s="43"/>
    </row>
    <row r="16" spans="1:21" s="11" customFormat="1" x14ac:dyDescent="0.25">
      <c r="A16" s="52" t="s">
        <v>379</v>
      </c>
      <c r="B16" s="53">
        <v>12.89</v>
      </c>
      <c r="C16" s="53">
        <v>13.27</v>
      </c>
      <c r="D16" s="53">
        <v>17.27</v>
      </c>
      <c r="E16" s="53">
        <v>4.46</v>
      </c>
      <c r="F16" s="53">
        <v>7.06</v>
      </c>
      <c r="G16" s="53">
        <v>41.74</v>
      </c>
      <c r="H16" s="53">
        <v>6.61</v>
      </c>
      <c r="I16" s="53">
        <v>0.97</v>
      </c>
      <c r="J16" s="53">
        <v>0.13</v>
      </c>
      <c r="K16" s="53">
        <v>300.35000000000002</v>
      </c>
      <c r="L16" s="53">
        <v>26.69</v>
      </c>
      <c r="M16" s="53">
        <v>98.67</v>
      </c>
      <c r="N16" s="53">
        <v>184.7</v>
      </c>
      <c r="O16" s="53">
        <v>0</v>
      </c>
      <c r="P16" s="53">
        <v>0.37</v>
      </c>
      <c r="Q16" s="53">
        <v>9.08</v>
      </c>
      <c r="R16" s="43"/>
      <c r="S16" s="43"/>
      <c r="T16" s="43"/>
      <c r="U16" s="43"/>
    </row>
    <row r="17" spans="1:21" s="11" customFormat="1" x14ac:dyDescent="0.25">
      <c r="A17" s="52" t="s">
        <v>380</v>
      </c>
      <c r="B17" s="53">
        <v>11.09</v>
      </c>
      <c r="C17" s="53">
        <v>14.64</v>
      </c>
      <c r="D17" s="53">
        <v>16.43</v>
      </c>
      <c r="E17" s="53">
        <v>4.8899999999999997</v>
      </c>
      <c r="F17" s="53">
        <v>4.59</v>
      </c>
      <c r="G17" s="53">
        <v>48.63</v>
      </c>
      <c r="H17" s="53">
        <v>9.3000000000000007</v>
      </c>
      <c r="I17" s="53">
        <v>1.21</v>
      </c>
      <c r="J17" s="53">
        <v>0.24</v>
      </c>
      <c r="K17" s="53">
        <v>284.02999999999997</v>
      </c>
      <c r="L17" s="53">
        <v>27.77</v>
      </c>
      <c r="M17" s="53">
        <v>92.6</v>
      </c>
      <c r="N17" s="53">
        <v>313.3</v>
      </c>
      <c r="O17" s="53">
        <v>0</v>
      </c>
      <c r="P17" s="53">
        <v>0.47</v>
      </c>
      <c r="Q17" s="53">
        <v>9.14</v>
      </c>
      <c r="R17" s="43"/>
      <c r="S17" s="43"/>
      <c r="T17" s="43"/>
      <c r="U17" s="43"/>
    </row>
    <row r="18" spans="1:21" s="11" customFormat="1" x14ac:dyDescent="0.25">
      <c r="A18" s="52" t="s">
        <v>381</v>
      </c>
      <c r="B18" s="53">
        <v>14.58</v>
      </c>
      <c r="C18" s="53">
        <v>18.940000000000001</v>
      </c>
      <c r="D18" s="53">
        <v>21.59</v>
      </c>
      <c r="E18" s="53">
        <v>4.92</v>
      </c>
      <c r="F18" s="53">
        <v>6.89</v>
      </c>
      <c r="G18" s="53">
        <v>50.92</v>
      </c>
      <c r="H18" s="53">
        <v>7.78</v>
      </c>
      <c r="I18" s="53">
        <v>1.64</v>
      </c>
      <c r="J18" s="53">
        <v>0.25</v>
      </c>
      <c r="K18" s="53">
        <v>283.83</v>
      </c>
      <c r="L18" s="53">
        <v>27.94</v>
      </c>
      <c r="M18" s="53">
        <v>92.05</v>
      </c>
      <c r="N18" s="53">
        <v>263.2</v>
      </c>
      <c r="O18" s="53">
        <v>0</v>
      </c>
      <c r="P18" s="53">
        <v>0.72</v>
      </c>
      <c r="Q18" s="53">
        <v>9.23</v>
      </c>
      <c r="R18" s="43"/>
      <c r="S18" s="43"/>
      <c r="T18" s="43"/>
      <c r="U18" s="43"/>
    </row>
    <row r="19" spans="1:21" s="11" customFormat="1" x14ac:dyDescent="0.25">
      <c r="A19" s="52" t="s">
        <v>382</v>
      </c>
      <c r="B19" s="53">
        <v>14.07</v>
      </c>
      <c r="C19" s="53">
        <v>18.690000000000001</v>
      </c>
      <c r="D19" s="53">
        <v>21.05</v>
      </c>
      <c r="E19" s="53">
        <v>4.78</v>
      </c>
      <c r="F19" s="53">
        <v>7.53</v>
      </c>
      <c r="G19" s="53">
        <v>52.32</v>
      </c>
      <c r="H19" s="53">
        <v>11.48</v>
      </c>
      <c r="I19" s="53">
        <v>1.69</v>
      </c>
      <c r="J19" s="53">
        <v>0.61</v>
      </c>
      <c r="K19" s="53">
        <v>306.20999999999998</v>
      </c>
      <c r="L19" s="53">
        <v>29.79</v>
      </c>
      <c r="M19" s="53">
        <v>84.84</v>
      </c>
      <c r="N19" s="53">
        <v>375.1</v>
      </c>
      <c r="O19" s="53">
        <v>0</v>
      </c>
      <c r="P19" s="53">
        <v>0.59</v>
      </c>
      <c r="Q19" s="53">
        <v>9.25</v>
      </c>
      <c r="R19" s="43"/>
      <c r="S19" s="43"/>
      <c r="T19" s="43"/>
      <c r="U19" s="43"/>
    </row>
    <row r="20" spans="1:21" s="11" customFormat="1" x14ac:dyDescent="0.25">
      <c r="A20" s="52" t="s">
        <v>383</v>
      </c>
      <c r="B20" s="53">
        <v>12.68</v>
      </c>
      <c r="C20" s="53">
        <v>18.760000000000002</v>
      </c>
      <c r="D20" s="53">
        <v>19.97</v>
      </c>
      <c r="E20" s="53">
        <v>4.96</v>
      </c>
      <c r="F20" s="53">
        <v>5.54</v>
      </c>
      <c r="G20" s="53">
        <v>58.51</v>
      </c>
      <c r="H20" s="53">
        <v>12.23</v>
      </c>
      <c r="I20" s="53">
        <v>1.74</v>
      </c>
      <c r="J20" s="53">
        <v>0.35</v>
      </c>
      <c r="K20" s="53">
        <v>291.36</v>
      </c>
      <c r="L20" s="53">
        <v>29.42</v>
      </c>
      <c r="M20" s="53">
        <v>83.06</v>
      </c>
      <c r="N20" s="53">
        <v>409.9</v>
      </c>
      <c r="O20" s="53">
        <v>0</v>
      </c>
      <c r="P20" s="53">
        <v>0.56999999999999995</v>
      </c>
      <c r="Q20" s="53">
        <v>9.23</v>
      </c>
      <c r="R20" s="43"/>
      <c r="S20" s="43"/>
      <c r="T20" s="43"/>
      <c r="U20" s="43"/>
    </row>
    <row r="21" spans="1:21" s="11" customFormat="1" x14ac:dyDescent="0.25">
      <c r="A21" s="52" t="s">
        <v>384</v>
      </c>
      <c r="B21" s="53">
        <v>8.9499999999999993</v>
      </c>
      <c r="C21" s="53">
        <v>21.89</v>
      </c>
      <c r="D21" s="53">
        <v>17.010000000000002</v>
      </c>
      <c r="E21" s="53">
        <v>4.76</v>
      </c>
      <c r="F21" s="53">
        <v>9.1</v>
      </c>
      <c r="G21" s="53">
        <v>58.35</v>
      </c>
      <c r="H21" s="53">
        <v>16.170000000000002</v>
      </c>
      <c r="I21" s="53">
        <v>1.52</v>
      </c>
      <c r="J21" s="53">
        <v>0.36</v>
      </c>
      <c r="K21" s="53">
        <v>304.36</v>
      </c>
      <c r="L21" s="53">
        <v>30.51</v>
      </c>
      <c r="M21" s="53">
        <v>80.38</v>
      </c>
      <c r="N21" s="53">
        <v>425.3</v>
      </c>
      <c r="O21" s="53">
        <v>0</v>
      </c>
      <c r="P21" s="53">
        <v>0.56999999999999995</v>
      </c>
      <c r="Q21" s="53">
        <v>9.1300000000000008</v>
      </c>
      <c r="R21" s="43"/>
      <c r="S21" s="43"/>
      <c r="T21" s="43"/>
      <c r="U21" s="43"/>
    </row>
    <row r="22" spans="1:21" s="11" customFormat="1" x14ac:dyDescent="0.25">
      <c r="A22" s="52" t="s">
        <v>385</v>
      </c>
      <c r="B22" s="53">
        <v>8.93</v>
      </c>
      <c r="C22" s="53">
        <v>26.32</v>
      </c>
      <c r="D22" s="53">
        <v>20.91</v>
      </c>
      <c r="E22" s="53">
        <v>5.2</v>
      </c>
      <c r="F22" s="53">
        <v>10.7</v>
      </c>
      <c r="G22" s="53">
        <v>59.93</v>
      </c>
      <c r="H22" s="53">
        <v>17</v>
      </c>
      <c r="I22" s="53">
        <v>1.86</v>
      </c>
      <c r="J22" s="53">
        <v>0.23</v>
      </c>
      <c r="K22" s="53">
        <v>304.79000000000002</v>
      </c>
      <c r="L22" s="53">
        <v>30.31</v>
      </c>
      <c r="M22" s="53">
        <v>80</v>
      </c>
      <c r="N22" s="53">
        <v>370.4</v>
      </c>
      <c r="O22" s="53">
        <v>0</v>
      </c>
      <c r="P22" s="53">
        <v>0.77</v>
      </c>
      <c r="Q22" s="53">
        <v>9.07</v>
      </c>
      <c r="R22" s="43"/>
      <c r="S22" s="43"/>
      <c r="T22" s="43"/>
      <c r="U22" s="43"/>
    </row>
    <row r="23" spans="1:21" s="11" customFormat="1" x14ac:dyDescent="0.25">
      <c r="A23" s="52" t="s">
        <v>386</v>
      </c>
      <c r="B23" s="53">
        <v>7.72</v>
      </c>
      <c r="C23" s="53">
        <v>18.600000000000001</v>
      </c>
      <c r="D23" s="53">
        <v>15.56</v>
      </c>
      <c r="E23" s="53">
        <v>5.21</v>
      </c>
      <c r="F23" s="53">
        <v>14.06</v>
      </c>
      <c r="G23" s="53">
        <v>60.85</v>
      </c>
      <c r="H23" s="53">
        <v>16.399999999999999</v>
      </c>
      <c r="I23" s="53">
        <v>1.96</v>
      </c>
      <c r="J23" s="53">
        <v>0.23</v>
      </c>
      <c r="K23" s="53">
        <v>246.76</v>
      </c>
      <c r="L23" s="53">
        <v>29.8</v>
      </c>
      <c r="M23" s="53">
        <v>80.5</v>
      </c>
      <c r="N23" s="53">
        <v>334</v>
      </c>
      <c r="O23" s="53">
        <v>0</v>
      </c>
      <c r="P23" s="53">
        <v>0.55000000000000004</v>
      </c>
      <c r="Q23" s="53">
        <v>9.08</v>
      </c>
      <c r="R23" s="43"/>
      <c r="S23" s="43"/>
      <c r="T23" s="43"/>
      <c r="U23" s="43"/>
    </row>
    <row r="24" spans="1:21" s="11" customFormat="1" x14ac:dyDescent="0.25">
      <c r="A24" s="52" t="s">
        <v>387</v>
      </c>
      <c r="B24" s="53">
        <v>5.3</v>
      </c>
      <c r="C24" s="53">
        <v>17.32</v>
      </c>
      <c r="D24" s="53">
        <v>13.3</v>
      </c>
      <c r="E24" s="53">
        <v>5.12</v>
      </c>
      <c r="F24" s="53">
        <v>6.56</v>
      </c>
      <c r="G24" s="53">
        <v>55.27</v>
      </c>
      <c r="H24" s="53">
        <v>17.16</v>
      </c>
      <c r="I24" s="53">
        <v>1.86</v>
      </c>
      <c r="J24" s="53">
        <v>0.27</v>
      </c>
      <c r="K24" s="53">
        <v>292.99</v>
      </c>
      <c r="L24" s="53">
        <v>30.55</v>
      </c>
      <c r="M24" s="53">
        <v>75.34</v>
      </c>
      <c r="N24" s="53">
        <v>279.10000000000002</v>
      </c>
      <c r="O24" s="53">
        <v>0</v>
      </c>
      <c r="P24" s="53">
        <v>0.55000000000000004</v>
      </c>
      <c r="Q24" s="53">
        <v>9.06</v>
      </c>
      <c r="R24" s="43"/>
      <c r="S24" s="43"/>
      <c r="T24" s="43"/>
      <c r="U24" s="43"/>
    </row>
    <row r="25" spans="1:21" s="11" customFormat="1" x14ac:dyDescent="0.25">
      <c r="A25" s="52" t="s">
        <v>388</v>
      </c>
      <c r="B25" s="53">
        <v>7.31</v>
      </c>
      <c r="C25" s="53">
        <v>19.510000000000002</v>
      </c>
      <c r="D25" s="53">
        <v>16.05</v>
      </c>
      <c r="E25" s="53">
        <v>5.2</v>
      </c>
      <c r="F25" s="53">
        <v>6.12</v>
      </c>
      <c r="G25" s="53">
        <v>53.51</v>
      </c>
      <c r="H25" s="53">
        <v>14.65</v>
      </c>
      <c r="I25" s="53">
        <v>1.61</v>
      </c>
      <c r="J25" s="53">
        <v>0.22</v>
      </c>
      <c r="K25" s="53">
        <v>304.23</v>
      </c>
      <c r="L25" s="53">
        <v>29.99</v>
      </c>
      <c r="M25" s="53">
        <v>76.97</v>
      </c>
      <c r="N25" s="53">
        <v>176.8</v>
      </c>
      <c r="O25" s="53">
        <v>0</v>
      </c>
      <c r="P25" s="53">
        <v>0.49</v>
      </c>
      <c r="Q25" s="53">
        <v>9</v>
      </c>
      <c r="R25" s="43"/>
      <c r="S25" s="43"/>
      <c r="T25" s="43"/>
      <c r="U25" s="43"/>
    </row>
    <row r="26" spans="1:21" s="11" customFormat="1" x14ac:dyDescent="0.25">
      <c r="A26" s="52" t="s">
        <v>389</v>
      </c>
      <c r="B26" s="53">
        <v>12.35</v>
      </c>
      <c r="C26" s="53">
        <v>18.329999999999998</v>
      </c>
      <c r="D26" s="53">
        <v>19.48</v>
      </c>
      <c r="E26" s="53">
        <v>5.27</v>
      </c>
      <c r="F26" s="53">
        <v>4.9800000000000004</v>
      </c>
      <c r="G26" s="53">
        <v>50.65</v>
      </c>
      <c r="H26" s="53">
        <v>11.9</v>
      </c>
      <c r="I26" s="53">
        <v>1.26</v>
      </c>
      <c r="J26" s="53">
        <v>1.69</v>
      </c>
      <c r="K26" s="53">
        <v>336.05</v>
      </c>
      <c r="L26" s="53">
        <v>29.75</v>
      </c>
      <c r="M26" s="53">
        <v>88.58</v>
      </c>
      <c r="N26" s="53">
        <v>95.6</v>
      </c>
      <c r="O26" s="53">
        <v>0</v>
      </c>
      <c r="P26" s="53">
        <v>0.51</v>
      </c>
      <c r="Q26" s="53">
        <v>9.0500000000000007</v>
      </c>
      <c r="R26" s="43"/>
      <c r="S26" s="43"/>
      <c r="T26" s="43"/>
      <c r="U26" s="43"/>
    </row>
    <row r="27" spans="1:21" s="11" customFormat="1" x14ac:dyDescent="0.25">
      <c r="A27" s="52" t="s">
        <v>390</v>
      </c>
      <c r="B27" s="53">
        <v>32.33</v>
      </c>
      <c r="C27" s="53">
        <v>33.08</v>
      </c>
      <c r="D27" s="53">
        <v>42.62</v>
      </c>
      <c r="E27" s="53">
        <v>5.68</v>
      </c>
      <c r="F27" s="53">
        <v>9.1999999999999993</v>
      </c>
      <c r="G27" s="53">
        <v>49.75</v>
      </c>
      <c r="H27" s="53">
        <v>11.7</v>
      </c>
      <c r="I27" s="53">
        <v>1.41</v>
      </c>
      <c r="J27" s="53">
        <v>0.35</v>
      </c>
      <c r="K27" s="53">
        <v>342.31</v>
      </c>
      <c r="L27" s="53">
        <v>26.97</v>
      </c>
      <c r="M27" s="53">
        <v>92.84</v>
      </c>
      <c r="N27" s="53">
        <v>69.900000000000006</v>
      </c>
      <c r="O27" s="53">
        <v>0</v>
      </c>
      <c r="P27" s="53">
        <v>1.1200000000000001</v>
      </c>
      <c r="Q27" s="53">
        <v>9.26</v>
      </c>
      <c r="R27" s="43"/>
      <c r="S27" s="43"/>
      <c r="T27" s="43"/>
      <c r="U27" s="43"/>
    </row>
    <row r="28" spans="1:21" s="11" customFormat="1" x14ac:dyDescent="0.25">
      <c r="A28" s="52" t="s">
        <v>391</v>
      </c>
      <c r="B28" s="53">
        <v>22.55</v>
      </c>
      <c r="C28" s="53">
        <v>31.15</v>
      </c>
      <c r="D28" s="53">
        <v>34.36</v>
      </c>
      <c r="E28" s="53">
        <v>5.61</v>
      </c>
      <c r="F28" s="53">
        <v>8.3699999999999992</v>
      </c>
      <c r="G28" s="53">
        <v>66.2</v>
      </c>
      <c r="H28" s="53">
        <v>12.24</v>
      </c>
      <c r="I28" s="53">
        <v>1.72</v>
      </c>
      <c r="J28" s="53">
        <v>0.04</v>
      </c>
      <c r="K28" s="53">
        <v>261.06</v>
      </c>
      <c r="L28" s="53">
        <v>26.97</v>
      </c>
      <c r="M28" s="53">
        <v>98.59</v>
      </c>
      <c r="N28" s="53">
        <v>54.6</v>
      </c>
      <c r="O28" s="53">
        <v>0</v>
      </c>
      <c r="P28" s="53">
        <v>0.96</v>
      </c>
      <c r="Q28" s="53">
        <v>9.3699999999999992</v>
      </c>
      <c r="R28" s="43"/>
      <c r="S28" s="43"/>
      <c r="T28" s="43"/>
      <c r="U28" s="43"/>
    </row>
    <row r="29" spans="1:21" s="11" customFormat="1" x14ac:dyDescent="0.25">
      <c r="A29" s="52" t="s">
        <v>392</v>
      </c>
      <c r="B29" s="53">
        <v>41.72</v>
      </c>
      <c r="C29" s="53">
        <v>27.1</v>
      </c>
      <c r="D29" s="53">
        <v>43.51</v>
      </c>
      <c r="E29" s="53">
        <v>5.87</v>
      </c>
      <c r="F29" s="53">
        <v>8.44</v>
      </c>
      <c r="G29" s="53">
        <v>65.98</v>
      </c>
      <c r="H29" s="53">
        <v>13.59</v>
      </c>
      <c r="I29" s="53">
        <v>2.12</v>
      </c>
      <c r="J29" s="53">
        <v>0.34</v>
      </c>
      <c r="K29" s="53">
        <v>341.91</v>
      </c>
      <c r="L29" s="53">
        <v>26.8</v>
      </c>
      <c r="M29" s="53">
        <v>98.79</v>
      </c>
      <c r="N29" s="53">
        <v>54.8</v>
      </c>
      <c r="O29" s="53">
        <v>0</v>
      </c>
      <c r="P29" s="53">
        <v>1.1200000000000001</v>
      </c>
      <c r="Q29" s="53">
        <v>9.4600000000000009</v>
      </c>
      <c r="R29" s="43"/>
      <c r="S29" s="43"/>
      <c r="T29" s="43"/>
      <c r="U29" s="43"/>
    </row>
    <row r="30" spans="1:21" s="11" customFormat="1" x14ac:dyDescent="0.25">
      <c r="A30" s="52" t="s">
        <v>393</v>
      </c>
      <c r="B30" s="53">
        <v>48.73</v>
      </c>
      <c r="C30" s="53">
        <v>27.25</v>
      </c>
      <c r="D30" s="53">
        <v>53.31</v>
      </c>
      <c r="E30" s="53">
        <v>5.71</v>
      </c>
      <c r="F30" s="53">
        <v>5.79</v>
      </c>
      <c r="G30" s="53">
        <v>72.8</v>
      </c>
      <c r="H30" s="53">
        <v>15.3</v>
      </c>
      <c r="I30" s="53">
        <v>2.5299999999999998</v>
      </c>
      <c r="J30" s="53">
        <v>0.14000000000000001</v>
      </c>
      <c r="K30" s="53">
        <v>346.79</v>
      </c>
      <c r="L30" s="53">
        <v>26.8</v>
      </c>
      <c r="M30" s="53">
        <v>98.69</v>
      </c>
      <c r="N30" s="53">
        <v>54.7</v>
      </c>
      <c r="O30" s="53">
        <v>0</v>
      </c>
      <c r="P30" s="53">
        <v>1.27</v>
      </c>
      <c r="Q30" s="53">
        <v>9.6</v>
      </c>
      <c r="R30" s="43"/>
      <c r="S30" s="43"/>
      <c r="T30" s="43"/>
      <c r="U30" s="43"/>
    </row>
    <row r="31" spans="1:21" s="11" customFormat="1" x14ac:dyDescent="0.25">
      <c r="A31" s="52" t="s">
        <v>394</v>
      </c>
      <c r="B31" s="53">
        <v>12.25</v>
      </c>
      <c r="C31" s="53">
        <v>27.98</v>
      </c>
      <c r="D31" s="53">
        <v>24.44</v>
      </c>
      <c r="E31" s="53">
        <v>5.61</v>
      </c>
      <c r="F31" s="53">
        <v>6.68</v>
      </c>
      <c r="G31" s="53">
        <v>75.069999999999993</v>
      </c>
      <c r="H31" s="53">
        <v>14.13</v>
      </c>
      <c r="I31" s="53">
        <v>2.67</v>
      </c>
      <c r="J31" s="53">
        <v>0.16</v>
      </c>
      <c r="K31" s="53">
        <v>231.11</v>
      </c>
      <c r="L31" s="53">
        <v>26.77</v>
      </c>
      <c r="M31" s="53">
        <v>98.52</v>
      </c>
      <c r="N31" s="53">
        <v>54.6</v>
      </c>
      <c r="O31" s="53">
        <v>0</v>
      </c>
      <c r="P31" s="53">
        <v>0.44</v>
      </c>
      <c r="Q31" s="53">
        <v>9.6300000000000008</v>
      </c>
      <c r="R31" s="43"/>
      <c r="S31" s="43"/>
      <c r="T31" s="43"/>
      <c r="U31" s="43"/>
    </row>
    <row r="32" spans="1:21" s="11" customFormat="1" x14ac:dyDescent="0.25">
      <c r="A32" s="52" t="s">
        <v>395</v>
      </c>
      <c r="B32" s="53">
        <v>8.76</v>
      </c>
      <c r="C32" s="53">
        <v>21.07</v>
      </c>
      <c r="D32" s="53">
        <v>17.18</v>
      </c>
      <c r="E32" s="53">
        <v>5.76</v>
      </c>
      <c r="F32" s="53">
        <v>9.2100000000000009</v>
      </c>
      <c r="G32" s="53">
        <v>71.400000000000006</v>
      </c>
      <c r="H32" s="53">
        <v>17.329999999999998</v>
      </c>
      <c r="I32" s="53">
        <v>2.63</v>
      </c>
      <c r="J32" s="53">
        <v>0.19</v>
      </c>
      <c r="K32" s="53">
        <v>153.53</v>
      </c>
      <c r="L32" s="53">
        <v>26.64</v>
      </c>
      <c r="M32" s="53">
        <v>98.49</v>
      </c>
      <c r="N32" s="53">
        <v>54.6</v>
      </c>
      <c r="O32" s="53">
        <v>0</v>
      </c>
      <c r="P32" s="53">
        <v>0.34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5.3</v>
      </c>
      <c r="C34" s="28">
        <f t="shared" si="0"/>
        <v>10.97</v>
      </c>
      <c r="D34" s="28">
        <f t="shared" si="0"/>
        <v>9.82</v>
      </c>
      <c r="E34" s="28">
        <f t="shared" si="0"/>
        <v>3.98</v>
      </c>
      <c r="F34" s="28">
        <f t="shared" si="0"/>
        <v>4.59</v>
      </c>
      <c r="G34" s="28">
        <f t="shared" si="0"/>
        <v>25.33</v>
      </c>
      <c r="H34" s="28">
        <f t="shared" si="0"/>
        <v>4.8499999999999996</v>
      </c>
      <c r="I34" s="28">
        <f t="shared" si="0"/>
        <v>0.87</v>
      </c>
      <c r="J34" s="28">
        <f t="shared" si="0"/>
        <v>0.04</v>
      </c>
      <c r="K34" s="28">
        <f t="shared" si="0"/>
        <v>153.53</v>
      </c>
      <c r="L34" s="28">
        <f t="shared" si="0"/>
        <v>25.13</v>
      </c>
      <c r="M34" s="28">
        <f t="shared" si="0"/>
        <v>75.34</v>
      </c>
      <c r="N34" s="28">
        <f t="shared" si="0"/>
        <v>48.3</v>
      </c>
      <c r="O34" s="28">
        <f t="shared" si="0"/>
        <v>0</v>
      </c>
      <c r="P34" s="28">
        <f t="shared" si="0"/>
        <v>0.17</v>
      </c>
      <c r="Q34" s="28">
        <f t="shared" si="0"/>
        <v>8.98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48.73</v>
      </c>
      <c r="C35" s="29">
        <f t="shared" si="1"/>
        <v>33.08</v>
      </c>
      <c r="D35" s="29">
        <f t="shared" si="1"/>
        <v>53.31</v>
      </c>
      <c r="E35" s="29">
        <f t="shared" si="1"/>
        <v>5.87</v>
      </c>
      <c r="F35" s="29">
        <f t="shared" si="1"/>
        <v>14.06</v>
      </c>
      <c r="G35" s="29">
        <f t="shared" si="1"/>
        <v>75.069999999999993</v>
      </c>
      <c r="H35" s="29">
        <f t="shared" si="1"/>
        <v>17.329999999999998</v>
      </c>
      <c r="I35" s="29">
        <f t="shared" si="1"/>
        <v>2.67</v>
      </c>
      <c r="J35" s="29">
        <f t="shared" si="1"/>
        <v>1.69</v>
      </c>
      <c r="K35" s="29">
        <f t="shared" si="1"/>
        <v>346.79</v>
      </c>
      <c r="L35" s="29">
        <f t="shared" si="1"/>
        <v>30.55</v>
      </c>
      <c r="M35" s="29">
        <f t="shared" si="1"/>
        <v>99.11</v>
      </c>
      <c r="N35" s="29">
        <f t="shared" si="1"/>
        <v>425.3</v>
      </c>
      <c r="O35" s="29">
        <f t="shared" si="1"/>
        <v>0</v>
      </c>
      <c r="P35" s="29">
        <f t="shared" si="1"/>
        <v>1.27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13.802916666666667</v>
      </c>
      <c r="C36" s="28">
        <f t="shared" si="2"/>
        <v>19.355833333333333</v>
      </c>
      <c r="D36" s="28">
        <f t="shared" si="2"/>
        <v>20.85</v>
      </c>
      <c r="E36" s="28">
        <f t="shared" si="2"/>
        <v>4.9104166666666673</v>
      </c>
      <c r="F36" s="28">
        <f t="shared" si="2"/>
        <v>8.4716666666666658</v>
      </c>
      <c r="G36" s="28">
        <f t="shared" si="2"/>
        <v>52.176250000000003</v>
      </c>
      <c r="H36" s="28">
        <f t="shared" si="2"/>
        <v>11.897083333333335</v>
      </c>
      <c r="I36" s="28">
        <f t="shared" si="2"/>
        <v>1.5870833333333334</v>
      </c>
      <c r="J36" s="28">
        <f t="shared" si="2"/>
        <v>0.2754166666666667</v>
      </c>
      <c r="K36" s="28">
        <f t="shared" si="2"/>
        <v>294.79500000000002</v>
      </c>
      <c r="L36" s="28">
        <f t="shared" si="2"/>
        <v>27.611249999999998</v>
      </c>
      <c r="M36" s="28">
        <f t="shared" si="2"/>
        <v>92.119999999999962</v>
      </c>
      <c r="N36" s="28">
        <f t="shared" si="2"/>
        <v>166.76250000000002</v>
      </c>
      <c r="O36" s="28">
        <f t="shared" si="2"/>
        <v>0</v>
      </c>
      <c r="P36" s="28">
        <f t="shared" si="2"/>
        <v>0.53833333333333333</v>
      </c>
      <c r="Q36" s="28">
        <f t="shared" si="2"/>
        <v>9.1941666666666677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11.412247608206478</v>
      </c>
      <c r="C37" s="28">
        <f t="shared" ref="C37:Q37" si="3">STDEV(C9:C32)</f>
        <v>6.4818709836956403</v>
      </c>
      <c r="D37" s="28">
        <f t="shared" si="3"/>
        <v>11.324439519675247</v>
      </c>
      <c r="E37" s="28">
        <f t="shared" si="3"/>
        <v>0.62345795274466509</v>
      </c>
      <c r="F37" s="28">
        <f t="shared" si="3"/>
        <v>2.56545727200684</v>
      </c>
      <c r="G37" s="28">
        <f t="shared" si="3"/>
        <v>13.849263302491556</v>
      </c>
      <c r="H37" s="28">
        <f t="shared" si="3"/>
        <v>3.6658927131134003</v>
      </c>
      <c r="I37" s="28">
        <f t="shared" si="3"/>
        <v>0.5250215661547023</v>
      </c>
      <c r="J37" s="28">
        <f t="shared" si="3"/>
        <v>0.32580307691539095</v>
      </c>
      <c r="K37" s="28">
        <f t="shared" si="3"/>
        <v>41.24167299351889</v>
      </c>
      <c r="L37" s="28">
        <f t="shared" si="3"/>
        <v>1.8748479648505765</v>
      </c>
      <c r="M37" s="28">
        <f t="shared" si="3"/>
        <v>8.471730483868356</v>
      </c>
      <c r="N37" s="28">
        <f t="shared" si="3"/>
        <v>138.64794895706171</v>
      </c>
      <c r="O37" s="28">
        <f t="shared" si="3"/>
        <v>0</v>
      </c>
      <c r="P37" s="28">
        <f t="shared" si="3"/>
        <v>0.31677267485727351</v>
      </c>
      <c r="Q37" s="28">
        <f t="shared" si="3"/>
        <v>0.1994975572840901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6" sqref="G4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396</v>
      </c>
      <c r="B9" s="53">
        <v>10.18</v>
      </c>
      <c r="C9" s="53">
        <v>21.19</v>
      </c>
      <c r="D9" s="53">
        <v>18.18</v>
      </c>
      <c r="E9" s="53">
        <v>4.6900000000000004</v>
      </c>
      <c r="F9" s="53">
        <v>10.17</v>
      </c>
      <c r="G9" s="53">
        <v>65.86</v>
      </c>
      <c r="H9" s="53">
        <v>15.54</v>
      </c>
      <c r="I9" s="53">
        <v>2.4500000000000002</v>
      </c>
      <c r="J9" s="53">
        <v>0.08</v>
      </c>
      <c r="K9" s="53">
        <v>338.74</v>
      </c>
      <c r="L9" s="53">
        <v>26.43</v>
      </c>
      <c r="M9" s="53">
        <v>98.58</v>
      </c>
      <c r="N9" s="53">
        <v>54.6</v>
      </c>
      <c r="O9" s="53">
        <v>0</v>
      </c>
      <c r="P9" s="53">
        <v>0.28999999999999998</v>
      </c>
      <c r="Q9" s="53">
        <v>9.59</v>
      </c>
      <c r="R9" s="43"/>
      <c r="S9" s="43"/>
      <c r="T9" s="43"/>
      <c r="U9" s="43"/>
    </row>
    <row r="10" spans="1:21" s="11" customFormat="1" x14ac:dyDescent="0.25">
      <c r="A10" s="52" t="s">
        <v>397</v>
      </c>
      <c r="B10" s="53">
        <v>10.93</v>
      </c>
      <c r="C10" s="53">
        <v>11.22</v>
      </c>
      <c r="D10" s="53">
        <v>14.26</v>
      </c>
      <c r="E10" s="53">
        <v>4.57</v>
      </c>
      <c r="F10" s="53">
        <v>10.83</v>
      </c>
      <c r="G10" s="53">
        <v>54.41</v>
      </c>
      <c r="H10" s="53">
        <v>11.96</v>
      </c>
      <c r="I10" s="53">
        <v>2.15</v>
      </c>
      <c r="J10" s="53">
        <v>0.12</v>
      </c>
      <c r="K10" s="53">
        <v>317.67</v>
      </c>
      <c r="L10" s="53">
        <v>26.1</v>
      </c>
      <c r="M10" s="53">
        <v>98.6</v>
      </c>
      <c r="N10" s="53">
        <v>54.6</v>
      </c>
      <c r="O10" s="53">
        <v>0</v>
      </c>
      <c r="P10" s="53">
        <v>0.32</v>
      </c>
      <c r="Q10" s="53">
        <v>9.44</v>
      </c>
      <c r="R10" s="43"/>
      <c r="S10" s="43"/>
      <c r="T10" s="43"/>
      <c r="U10" s="43"/>
    </row>
    <row r="11" spans="1:21" s="11" customFormat="1" x14ac:dyDescent="0.25">
      <c r="A11" s="52" t="s">
        <v>398</v>
      </c>
      <c r="B11" s="53">
        <v>9.49</v>
      </c>
      <c r="C11" s="53">
        <v>13.68</v>
      </c>
      <c r="D11" s="53">
        <v>14.75</v>
      </c>
      <c r="E11" s="53">
        <v>4.72</v>
      </c>
      <c r="F11" s="53">
        <v>10.88</v>
      </c>
      <c r="G11" s="53">
        <v>38.19</v>
      </c>
      <c r="H11" s="53">
        <v>8.86</v>
      </c>
      <c r="I11" s="53">
        <v>1.84</v>
      </c>
      <c r="J11" s="53">
        <v>0.11</v>
      </c>
      <c r="K11" s="53">
        <v>351.31</v>
      </c>
      <c r="L11" s="53">
        <v>25.83</v>
      </c>
      <c r="M11" s="53">
        <v>98.62</v>
      </c>
      <c r="N11" s="53">
        <v>54.6</v>
      </c>
      <c r="O11" s="53">
        <v>0</v>
      </c>
      <c r="P11" s="53">
        <v>0.24</v>
      </c>
      <c r="Q11" s="53">
        <v>9.31</v>
      </c>
      <c r="R11" s="43"/>
      <c r="S11" s="43"/>
      <c r="T11" s="43"/>
      <c r="U11" s="43"/>
    </row>
    <row r="12" spans="1:21" s="11" customFormat="1" x14ac:dyDescent="0.25">
      <c r="A12" s="52" t="s">
        <v>399</v>
      </c>
      <c r="B12" s="53">
        <v>7</v>
      </c>
      <c r="C12" s="53">
        <v>14.6</v>
      </c>
      <c r="D12" s="53">
        <v>12.78</v>
      </c>
      <c r="E12" s="53">
        <v>4.5</v>
      </c>
      <c r="F12" s="53">
        <v>11.23</v>
      </c>
      <c r="G12" s="53">
        <v>33.93</v>
      </c>
      <c r="H12" s="53">
        <v>9.68</v>
      </c>
      <c r="I12" s="53">
        <v>1.64</v>
      </c>
      <c r="J12" s="53">
        <v>7.0000000000000007E-2</v>
      </c>
      <c r="K12" s="53">
        <v>247.59</v>
      </c>
      <c r="L12" s="53">
        <v>25.73</v>
      </c>
      <c r="M12" s="53">
        <v>98.66</v>
      </c>
      <c r="N12" s="53">
        <v>54.1</v>
      </c>
      <c r="O12" s="53">
        <v>0</v>
      </c>
      <c r="P12" s="53">
        <v>0.16</v>
      </c>
      <c r="Q12" s="53">
        <v>9.27</v>
      </c>
      <c r="R12" s="43"/>
      <c r="S12" s="43"/>
      <c r="T12" s="43"/>
      <c r="U12" s="43"/>
    </row>
    <row r="13" spans="1:21" s="11" customFormat="1" x14ac:dyDescent="0.25">
      <c r="A13" s="52" t="s">
        <v>400</v>
      </c>
      <c r="B13" s="53">
        <v>15.32</v>
      </c>
      <c r="C13" s="53">
        <v>18.62</v>
      </c>
      <c r="D13" s="53">
        <v>22.01</v>
      </c>
      <c r="E13" s="53">
        <v>4.63</v>
      </c>
      <c r="F13" s="53">
        <v>8.0399999999999991</v>
      </c>
      <c r="G13" s="53">
        <v>27.23</v>
      </c>
      <c r="H13" s="53">
        <v>8.08</v>
      </c>
      <c r="I13" s="53">
        <v>1.5</v>
      </c>
      <c r="J13" s="53">
        <v>0.05</v>
      </c>
      <c r="K13" s="53">
        <v>247.86</v>
      </c>
      <c r="L13" s="53">
        <v>25.04</v>
      </c>
      <c r="M13" s="53">
        <v>98.72</v>
      </c>
      <c r="N13" s="53">
        <v>54.9</v>
      </c>
      <c r="O13" s="53">
        <v>0</v>
      </c>
      <c r="P13" s="53">
        <v>0.3</v>
      </c>
      <c r="Q13" s="53">
        <v>9.27</v>
      </c>
      <c r="R13" s="43"/>
      <c r="S13" s="43"/>
      <c r="T13" s="43"/>
      <c r="U13" s="43"/>
    </row>
    <row r="14" spans="1:21" s="11" customFormat="1" x14ac:dyDescent="0.25">
      <c r="A14" s="52" t="s">
        <v>401</v>
      </c>
      <c r="B14" s="53">
        <v>9</v>
      </c>
      <c r="C14" s="53">
        <v>20.41</v>
      </c>
      <c r="D14" s="53">
        <v>16.649999999999999</v>
      </c>
      <c r="E14" s="53">
        <v>4.6900000000000004</v>
      </c>
      <c r="F14" s="53">
        <v>6.74</v>
      </c>
      <c r="G14" s="53">
        <v>23.98</v>
      </c>
      <c r="H14" s="53">
        <v>6.93</v>
      </c>
      <c r="I14" s="53">
        <v>1.45</v>
      </c>
      <c r="J14" s="53">
        <v>0.09</v>
      </c>
      <c r="K14" s="53">
        <v>255.82</v>
      </c>
      <c r="L14" s="53">
        <v>25</v>
      </c>
      <c r="M14" s="53">
        <v>98.7</v>
      </c>
      <c r="N14" s="53">
        <v>64.8</v>
      </c>
      <c r="O14" s="53">
        <v>0</v>
      </c>
      <c r="P14" s="53">
        <v>0.25</v>
      </c>
      <c r="Q14" s="53">
        <v>9.26</v>
      </c>
      <c r="R14" s="43"/>
      <c r="S14" s="43"/>
      <c r="T14" s="43"/>
      <c r="U14" s="43"/>
    </row>
    <row r="15" spans="1:21" s="11" customFormat="1" x14ac:dyDescent="0.25">
      <c r="A15" s="52" t="s">
        <v>402</v>
      </c>
      <c r="B15" s="53">
        <v>13.39</v>
      </c>
      <c r="C15" s="53">
        <v>13.68</v>
      </c>
      <c r="D15" s="53">
        <v>17.89</v>
      </c>
      <c r="E15" s="53">
        <v>4.6100000000000003</v>
      </c>
      <c r="F15" s="53">
        <v>6.93</v>
      </c>
      <c r="G15" s="53">
        <v>23.97</v>
      </c>
      <c r="H15" s="53">
        <v>5.66</v>
      </c>
      <c r="I15" s="53">
        <v>1.4</v>
      </c>
      <c r="J15" s="53">
        <v>0.09</v>
      </c>
      <c r="K15" s="53">
        <v>310.88</v>
      </c>
      <c r="L15" s="53">
        <v>25.45</v>
      </c>
      <c r="M15" s="53">
        <v>98.67</v>
      </c>
      <c r="N15" s="53">
        <v>110</v>
      </c>
      <c r="O15" s="53">
        <v>0</v>
      </c>
      <c r="P15" s="53">
        <v>0.33</v>
      </c>
      <c r="Q15" s="53">
        <v>9.23</v>
      </c>
      <c r="R15" s="43"/>
      <c r="S15" s="43"/>
      <c r="T15" s="43"/>
      <c r="U15" s="43"/>
    </row>
    <row r="16" spans="1:21" s="11" customFormat="1" x14ac:dyDescent="0.25">
      <c r="A16" s="52" t="s">
        <v>403</v>
      </c>
      <c r="B16" s="53">
        <v>14.84</v>
      </c>
      <c r="C16" s="53">
        <v>16.62</v>
      </c>
      <c r="D16" s="53">
        <v>19.850000000000001</v>
      </c>
      <c r="E16" s="53">
        <v>4.37</v>
      </c>
      <c r="F16" s="53">
        <v>6.85</v>
      </c>
      <c r="G16" s="53">
        <v>27.58</v>
      </c>
      <c r="H16" s="53">
        <v>8.5500000000000007</v>
      </c>
      <c r="I16" s="53">
        <v>1.44</v>
      </c>
      <c r="J16" s="53">
        <v>0.19</v>
      </c>
      <c r="K16" s="53">
        <v>286.11</v>
      </c>
      <c r="L16" s="53">
        <v>26.35</v>
      </c>
      <c r="M16" s="53">
        <v>98.66</v>
      </c>
      <c r="N16" s="53">
        <v>250.8</v>
      </c>
      <c r="O16" s="53">
        <v>0</v>
      </c>
      <c r="P16" s="53">
        <v>0.4</v>
      </c>
      <c r="Q16" s="53">
        <v>9.26</v>
      </c>
      <c r="R16" s="43"/>
      <c r="S16" s="43"/>
      <c r="T16" s="43"/>
      <c r="U16" s="43"/>
    </row>
    <row r="17" spans="1:21" s="11" customFormat="1" x14ac:dyDescent="0.25">
      <c r="A17" s="52" t="s">
        <v>404</v>
      </c>
      <c r="B17" s="53">
        <v>13.01</v>
      </c>
      <c r="C17" s="53">
        <v>13.71</v>
      </c>
      <c r="D17" s="53">
        <v>17.510000000000002</v>
      </c>
      <c r="E17" s="53">
        <v>4.53</v>
      </c>
      <c r="F17" s="53">
        <v>5.35</v>
      </c>
      <c r="G17" s="53">
        <v>30.37</v>
      </c>
      <c r="H17" s="53">
        <v>7.22</v>
      </c>
      <c r="I17" s="53">
        <v>1.44</v>
      </c>
      <c r="J17" s="53">
        <v>0.26</v>
      </c>
      <c r="K17" s="53">
        <v>287.55</v>
      </c>
      <c r="L17" s="53">
        <v>28.26</v>
      </c>
      <c r="M17" s="53">
        <v>97.67</v>
      </c>
      <c r="N17" s="53">
        <v>357.2</v>
      </c>
      <c r="O17" s="53">
        <v>0</v>
      </c>
      <c r="P17" s="53">
        <v>0.37</v>
      </c>
      <c r="Q17" s="53">
        <v>9.25</v>
      </c>
      <c r="R17" s="43"/>
      <c r="S17" s="43"/>
      <c r="T17" s="43"/>
      <c r="U17" s="43"/>
    </row>
    <row r="18" spans="1:21" s="11" customFormat="1" x14ac:dyDescent="0.25">
      <c r="A18" s="52" t="s">
        <v>405</v>
      </c>
      <c r="B18" s="53">
        <v>9.9499999999999993</v>
      </c>
      <c r="C18" s="53">
        <v>14.35</v>
      </c>
      <c r="D18" s="53">
        <v>15.17</v>
      </c>
      <c r="E18" s="53">
        <v>4.55</v>
      </c>
      <c r="F18" s="53">
        <v>4.62</v>
      </c>
      <c r="G18" s="53">
        <v>28.76</v>
      </c>
      <c r="H18" s="53">
        <v>5.47</v>
      </c>
      <c r="I18" s="53">
        <v>1.47</v>
      </c>
      <c r="J18" s="53">
        <v>0.23</v>
      </c>
      <c r="K18" s="53">
        <v>286.87</v>
      </c>
      <c r="L18" s="53">
        <v>28.23</v>
      </c>
      <c r="M18" s="53">
        <v>90.31</v>
      </c>
      <c r="N18" s="53">
        <v>444.3</v>
      </c>
      <c r="O18" s="53">
        <v>0</v>
      </c>
      <c r="P18" s="53">
        <v>0.5</v>
      </c>
      <c r="Q18" s="53">
        <v>9.1999999999999993</v>
      </c>
      <c r="R18" s="43"/>
      <c r="S18" s="43"/>
      <c r="T18" s="43"/>
      <c r="U18" s="43"/>
    </row>
    <row r="19" spans="1:21" s="11" customFormat="1" x14ac:dyDescent="0.25">
      <c r="A19" s="52" t="s">
        <v>406</v>
      </c>
      <c r="B19" s="53">
        <v>8.73</v>
      </c>
      <c r="C19" s="53">
        <v>15.01</v>
      </c>
      <c r="D19" s="53">
        <v>14.85</v>
      </c>
      <c r="E19" s="53">
        <v>4.45</v>
      </c>
      <c r="F19" s="53">
        <v>3.92</v>
      </c>
      <c r="G19" s="53">
        <v>33.020000000000003</v>
      </c>
      <c r="H19" s="53">
        <v>10.27</v>
      </c>
      <c r="I19" s="53">
        <v>2.4</v>
      </c>
      <c r="J19" s="53">
        <v>0.25</v>
      </c>
      <c r="K19" s="53">
        <v>288.08</v>
      </c>
      <c r="L19" s="53">
        <v>28.63</v>
      </c>
      <c r="M19" s="53">
        <v>92.61</v>
      </c>
      <c r="N19" s="53">
        <v>442.7</v>
      </c>
      <c r="O19" s="53">
        <v>0</v>
      </c>
      <c r="P19" s="53">
        <v>0.59</v>
      </c>
      <c r="Q19" s="53">
        <v>9.11</v>
      </c>
      <c r="R19" s="43"/>
      <c r="S19" s="43"/>
      <c r="T19" s="43"/>
      <c r="U19" s="43"/>
    </row>
    <row r="20" spans="1:21" s="11" customFormat="1" x14ac:dyDescent="0.25">
      <c r="A20" s="52" t="s">
        <v>407</v>
      </c>
      <c r="B20" s="53">
        <v>9.2100000000000009</v>
      </c>
      <c r="C20" s="53">
        <v>16.809999999999999</v>
      </c>
      <c r="D20" s="53">
        <v>15.33</v>
      </c>
      <c r="E20" s="53">
        <v>4.4400000000000004</v>
      </c>
      <c r="F20" s="53">
        <v>6.39</v>
      </c>
      <c r="G20" s="53">
        <v>33.51</v>
      </c>
      <c r="H20" s="53">
        <v>8.56</v>
      </c>
      <c r="I20" s="53">
        <v>2.36</v>
      </c>
      <c r="J20" s="53">
        <v>0.24</v>
      </c>
      <c r="K20" s="53">
        <v>290.02999999999997</v>
      </c>
      <c r="L20" s="53">
        <v>30.43</v>
      </c>
      <c r="M20" s="53">
        <v>84.07</v>
      </c>
      <c r="N20" s="53">
        <v>934.5</v>
      </c>
      <c r="O20" s="53">
        <v>0</v>
      </c>
      <c r="P20" s="53">
        <v>0.66</v>
      </c>
      <c r="Q20" s="53">
        <v>9.09</v>
      </c>
      <c r="R20" s="43"/>
      <c r="S20" s="43"/>
      <c r="T20" s="43"/>
      <c r="U20" s="43"/>
    </row>
    <row r="21" spans="1:21" s="11" customFormat="1" x14ac:dyDescent="0.25">
      <c r="A21" s="52" t="s">
        <v>408</v>
      </c>
      <c r="B21" s="53">
        <v>7.17</v>
      </c>
      <c r="C21" s="53">
        <v>23.74</v>
      </c>
      <c r="D21" s="53">
        <v>17.440000000000001</v>
      </c>
      <c r="E21" s="53">
        <v>4.5</v>
      </c>
      <c r="F21" s="53">
        <v>9.32</v>
      </c>
      <c r="G21" s="53">
        <v>40.409999999999997</v>
      </c>
      <c r="H21" s="53">
        <v>10.45</v>
      </c>
      <c r="I21" s="53">
        <v>2.68</v>
      </c>
      <c r="J21" s="53">
        <v>0.27</v>
      </c>
      <c r="K21" s="53">
        <v>293.02</v>
      </c>
      <c r="L21" s="53">
        <v>31.87</v>
      </c>
      <c r="M21" s="53">
        <v>76.7</v>
      </c>
      <c r="N21" s="53">
        <v>1015.1</v>
      </c>
      <c r="O21" s="53">
        <v>0</v>
      </c>
      <c r="P21" s="53">
        <v>0.76</v>
      </c>
      <c r="Q21" s="53">
        <v>9.1</v>
      </c>
      <c r="R21" s="43"/>
      <c r="S21" s="43"/>
      <c r="T21" s="43"/>
      <c r="U21" s="43"/>
    </row>
    <row r="22" spans="1:21" s="11" customFormat="1" x14ac:dyDescent="0.25">
      <c r="A22" s="52" t="s">
        <v>409</v>
      </c>
      <c r="B22" s="53">
        <v>6.09</v>
      </c>
      <c r="C22" s="53">
        <v>21.62</v>
      </c>
      <c r="D22" s="53">
        <v>16.18</v>
      </c>
      <c r="E22" s="53">
        <v>4.6900000000000004</v>
      </c>
      <c r="F22" s="53">
        <v>8.5500000000000007</v>
      </c>
      <c r="G22" s="53">
        <v>44.2</v>
      </c>
      <c r="H22" s="53">
        <v>10.26</v>
      </c>
      <c r="I22" s="53">
        <v>2.72</v>
      </c>
      <c r="J22" s="53">
        <v>0.39</v>
      </c>
      <c r="K22" s="53">
        <v>304.10000000000002</v>
      </c>
      <c r="L22" s="53">
        <v>30.97</v>
      </c>
      <c r="M22" s="53">
        <v>77.25</v>
      </c>
      <c r="N22" s="53">
        <v>323.60000000000002</v>
      </c>
      <c r="O22" s="53">
        <v>0</v>
      </c>
      <c r="P22" s="53">
        <v>0.72</v>
      </c>
      <c r="Q22" s="53">
        <v>9.08</v>
      </c>
      <c r="R22" s="43"/>
      <c r="S22" s="43"/>
      <c r="T22" s="43"/>
      <c r="U22" s="43"/>
    </row>
    <row r="23" spans="1:21" s="11" customFormat="1" x14ac:dyDescent="0.25">
      <c r="A23" s="52" t="s">
        <v>410</v>
      </c>
      <c r="B23" s="53">
        <v>7.45</v>
      </c>
      <c r="C23" s="53">
        <v>18.07</v>
      </c>
      <c r="D23" s="53">
        <v>14.07</v>
      </c>
      <c r="E23" s="53">
        <v>4.47</v>
      </c>
      <c r="F23" s="53">
        <v>6.4</v>
      </c>
      <c r="G23" s="53">
        <v>34.909999999999997</v>
      </c>
      <c r="H23" s="53">
        <v>9.2100000000000009</v>
      </c>
      <c r="I23" s="53">
        <v>2.58</v>
      </c>
      <c r="J23" s="53">
        <v>0.26</v>
      </c>
      <c r="K23" s="53">
        <v>291.60000000000002</v>
      </c>
      <c r="L23" s="53">
        <v>30.46</v>
      </c>
      <c r="M23" s="53">
        <v>76.150000000000006</v>
      </c>
      <c r="N23" s="53">
        <v>229.3</v>
      </c>
      <c r="O23" s="53">
        <v>0</v>
      </c>
      <c r="P23" s="53">
        <v>0.64</v>
      </c>
      <c r="Q23" s="53">
        <v>9.0500000000000007</v>
      </c>
      <c r="R23" s="43"/>
      <c r="S23" s="43"/>
      <c r="T23" s="43"/>
      <c r="U23" s="43"/>
    </row>
    <row r="24" spans="1:21" s="11" customFormat="1" x14ac:dyDescent="0.25">
      <c r="A24" s="52" t="s">
        <v>411</v>
      </c>
      <c r="B24" s="53">
        <v>19.41</v>
      </c>
      <c r="C24" s="53">
        <v>24.87</v>
      </c>
      <c r="D24" s="53">
        <v>28.56</v>
      </c>
      <c r="E24" s="53">
        <v>4.96</v>
      </c>
      <c r="F24" s="53">
        <v>14.36</v>
      </c>
      <c r="G24" s="53">
        <v>38.590000000000003</v>
      </c>
      <c r="H24" s="53">
        <v>12.1</v>
      </c>
      <c r="I24" s="53">
        <v>2.19</v>
      </c>
      <c r="J24" s="53">
        <v>0.28999999999999998</v>
      </c>
      <c r="K24" s="53">
        <v>329.97</v>
      </c>
      <c r="L24" s="53">
        <v>30.43</v>
      </c>
      <c r="M24" s="53">
        <v>83.68</v>
      </c>
      <c r="N24" s="53">
        <v>156.5</v>
      </c>
      <c r="O24" s="53">
        <v>0</v>
      </c>
      <c r="P24" s="53">
        <v>0.68</v>
      </c>
      <c r="Q24" s="53">
        <v>9.06</v>
      </c>
      <c r="R24" s="43"/>
      <c r="S24" s="43"/>
      <c r="T24" s="43"/>
      <c r="U24" s="43"/>
    </row>
    <row r="25" spans="1:21" s="11" customFormat="1" x14ac:dyDescent="0.25">
      <c r="A25" s="52" t="s">
        <v>412</v>
      </c>
      <c r="B25" s="53">
        <v>20.64</v>
      </c>
      <c r="C25" s="53">
        <v>33.89</v>
      </c>
      <c r="D25" s="53">
        <v>33.979999999999997</v>
      </c>
      <c r="E25" s="53">
        <v>5.88</v>
      </c>
      <c r="F25" s="53">
        <v>9.17</v>
      </c>
      <c r="G25" s="53">
        <v>50.79</v>
      </c>
      <c r="H25" s="53">
        <v>10.41</v>
      </c>
      <c r="I25" s="53">
        <v>1.91</v>
      </c>
      <c r="J25" s="53">
        <v>0.6</v>
      </c>
      <c r="K25" s="53">
        <v>124.82</v>
      </c>
      <c r="L25" s="53">
        <v>27.54</v>
      </c>
      <c r="M25" s="53">
        <v>92.45</v>
      </c>
      <c r="N25" s="53">
        <v>90.8</v>
      </c>
      <c r="O25" s="53">
        <v>0</v>
      </c>
      <c r="P25" s="53">
        <v>0.87</v>
      </c>
      <c r="Q25" s="53">
        <v>9.26</v>
      </c>
      <c r="R25" s="43"/>
      <c r="S25" s="43"/>
      <c r="T25" s="43"/>
      <c r="U25" s="43"/>
    </row>
    <row r="26" spans="1:21" s="11" customFormat="1" x14ac:dyDescent="0.25">
      <c r="A26" s="52" t="s">
        <v>413</v>
      </c>
      <c r="B26" s="53">
        <v>64.53</v>
      </c>
      <c r="C26" s="53">
        <v>44.07</v>
      </c>
      <c r="D26" s="53">
        <v>74.53</v>
      </c>
      <c r="E26" s="53">
        <v>6.36</v>
      </c>
      <c r="F26" s="53">
        <v>7.95</v>
      </c>
      <c r="G26" s="53">
        <v>84.13</v>
      </c>
      <c r="H26" s="53">
        <v>13.47</v>
      </c>
      <c r="I26" s="53">
        <v>2.4500000000000002</v>
      </c>
      <c r="J26" s="53">
        <v>0.54</v>
      </c>
      <c r="K26" s="53">
        <v>341.44</v>
      </c>
      <c r="L26" s="53">
        <v>28.05</v>
      </c>
      <c r="M26" s="53">
        <v>93.35</v>
      </c>
      <c r="N26" s="53">
        <v>78.2</v>
      </c>
      <c r="O26" s="53">
        <v>0</v>
      </c>
      <c r="P26" s="53">
        <v>1.85</v>
      </c>
      <c r="Q26" s="53">
        <v>9.42</v>
      </c>
      <c r="R26" s="43"/>
      <c r="S26" s="43"/>
      <c r="T26" s="43"/>
      <c r="U26" s="43"/>
    </row>
    <row r="27" spans="1:21" s="11" customFormat="1" x14ac:dyDescent="0.25">
      <c r="A27" s="52" t="s">
        <v>414</v>
      </c>
      <c r="B27" s="53">
        <v>61.74</v>
      </c>
      <c r="C27" s="53">
        <v>42.67</v>
      </c>
      <c r="D27" s="53">
        <v>70.36</v>
      </c>
      <c r="E27" s="53">
        <v>6.75</v>
      </c>
      <c r="F27" s="53">
        <v>6.44</v>
      </c>
      <c r="G27" s="53">
        <v>121.28</v>
      </c>
      <c r="H27" s="53">
        <v>23.51</v>
      </c>
      <c r="I27" s="53">
        <v>4.01</v>
      </c>
      <c r="J27" s="53">
        <v>0.53</v>
      </c>
      <c r="K27" s="53">
        <v>342.4</v>
      </c>
      <c r="L27" s="53">
        <v>27.89</v>
      </c>
      <c r="M27" s="53">
        <v>97.19</v>
      </c>
      <c r="N27" s="53">
        <v>53.3</v>
      </c>
      <c r="O27" s="53">
        <v>3.6</v>
      </c>
      <c r="P27" s="53">
        <v>1.84</v>
      </c>
      <c r="Q27" s="53">
        <v>9.69</v>
      </c>
      <c r="R27" s="43"/>
      <c r="S27" s="43"/>
      <c r="T27" s="43"/>
      <c r="U27" s="43"/>
    </row>
    <row r="28" spans="1:21" s="11" customFormat="1" x14ac:dyDescent="0.25">
      <c r="A28" s="52" t="s">
        <v>415</v>
      </c>
      <c r="B28" s="53">
        <v>48.8</v>
      </c>
      <c r="C28" s="53">
        <v>19.16</v>
      </c>
      <c r="D28" s="53">
        <v>44.9</v>
      </c>
      <c r="E28" s="53">
        <v>6.6</v>
      </c>
      <c r="F28" s="53">
        <v>7.58</v>
      </c>
      <c r="G28" s="53">
        <v>119.17</v>
      </c>
      <c r="H28" s="53">
        <v>24.61</v>
      </c>
      <c r="I28" s="53">
        <v>4.04</v>
      </c>
      <c r="J28" s="53">
        <v>0.32</v>
      </c>
      <c r="K28" s="53">
        <v>349.24</v>
      </c>
      <c r="L28" s="53">
        <v>24.8</v>
      </c>
      <c r="M28" s="53">
        <v>98.8</v>
      </c>
      <c r="N28" s="53">
        <v>41.9</v>
      </c>
      <c r="O28" s="53">
        <v>2.2000000000000002</v>
      </c>
      <c r="P28" s="53">
        <v>1.05</v>
      </c>
      <c r="Q28" s="53">
        <v>9.7100000000000009</v>
      </c>
      <c r="R28" s="43"/>
      <c r="S28" s="43"/>
      <c r="T28" s="43"/>
      <c r="U28" s="43"/>
    </row>
    <row r="29" spans="1:21" s="11" customFormat="1" x14ac:dyDescent="0.25">
      <c r="A29" s="52" t="s">
        <v>416</v>
      </c>
      <c r="B29" s="53">
        <v>43.59</v>
      </c>
      <c r="C29" s="53">
        <v>25.23</v>
      </c>
      <c r="D29" s="53">
        <v>45.74</v>
      </c>
      <c r="E29" s="53">
        <v>5.89</v>
      </c>
      <c r="F29" s="53">
        <v>6.97</v>
      </c>
      <c r="G29" s="53">
        <v>94.98</v>
      </c>
      <c r="H29" s="53">
        <v>23.11</v>
      </c>
      <c r="I29" s="53">
        <v>3.66</v>
      </c>
      <c r="J29" s="53">
        <v>0.53</v>
      </c>
      <c r="K29" s="53">
        <v>323.01</v>
      </c>
      <c r="L29" s="53">
        <v>24.61</v>
      </c>
      <c r="M29" s="53">
        <v>98.84</v>
      </c>
      <c r="N29" s="53">
        <v>41.2</v>
      </c>
      <c r="O29" s="53">
        <v>1.2</v>
      </c>
      <c r="P29" s="53">
        <v>0.93</v>
      </c>
      <c r="Q29" s="53">
        <v>9.6999999999999993</v>
      </c>
      <c r="R29" s="43"/>
      <c r="S29" s="43"/>
      <c r="T29" s="43"/>
      <c r="U29" s="43"/>
    </row>
    <row r="30" spans="1:21" s="11" customFormat="1" x14ac:dyDescent="0.25">
      <c r="A30" s="52" t="s">
        <v>417</v>
      </c>
      <c r="B30" s="53">
        <v>45.63</v>
      </c>
      <c r="C30" s="53">
        <v>21.29</v>
      </c>
      <c r="D30" s="53">
        <v>47.72</v>
      </c>
      <c r="E30" s="53">
        <v>6.07</v>
      </c>
      <c r="F30" s="53">
        <v>7.3</v>
      </c>
      <c r="G30" s="53">
        <v>61.28</v>
      </c>
      <c r="H30" s="53">
        <v>18.38</v>
      </c>
      <c r="I30" s="53">
        <v>3.4</v>
      </c>
      <c r="J30" s="53">
        <v>0.63</v>
      </c>
      <c r="K30" s="53">
        <v>328.43</v>
      </c>
      <c r="L30" s="53">
        <v>24.37</v>
      </c>
      <c r="M30" s="53">
        <v>98.87</v>
      </c>
      <c r="N30" s="53">
        <v>41.3</v>
      </c>
      <c r="O30" s="53">
        <v>0</v>
      </c>
      <c r="P30" s="53">
        <v>1.03</v>
      </c>
      <c r="Q30" s="53">
        <v>9.69</v>
      </c>
      <c r="R30" s="43"/>
      <c r="S30" s="43"/>
      <c r="T30" s="43"/>
      <c r="U30" s="43"/>
    </row>
    <row r="31" spans="1:21" s="11" customFormat="1" x14ac:dyDescent="0.25">
      <c r="A31" s="52" t="s">
        <v>418</v>
      </c>
      <c r="B31" s="53">
        <v>48.28</v>
      </c>
      <c r="C31" s="53">
        <v>19.07</v>
      </c>
      <c r="D31" s="53">
        <v>43.23</v>
      </c>
      <c r="E31" s="53">
        <v>5.94</v>
      </c>
      <c r="F31" s="53">
        <v>5.77</v>
      </c>
      <c r="G31" s="53">
        <v>43.03</v>
      </c>
      <c r="H31" s="53">
        <v>15.11</v>
      </c>
      <c r="I31" s="53">
        <v>3.21</v>
      </c>
      <c r="J31" s="53">
        <v>0.19</v>
      </c>
      <c r="K31" s="53">
        <v>344.61</v>
      </c>
      <c r="L31" s="53">
        <v>24.06</v>
      </c>
      <c r="M31" s="53">
        <v>98.93</v>
      </c>
      <c r="N31" s="53">
        <v>41.1</v>
      </c>
      <c r="O31" s="53">
        <v>0</v>
      </c>
      <c r="P31" s="53">
        <v>0.93</v>
      </c>
      <c r="Q31" s="53">
        <v>9.67</v>
      </c>
      <c r="R31" s="43"/>
      <c r="S31" s="43"/>
      <c r="T31" s="43"/>
      <c r="U31" s="43"/>
    </row>
    <row r="32" spans="1:21" s="11" customFormat="1" x14ac:dyDescent="0.25">
      <c r="A32" s="52" t="s">
        <v>419</v>
      </c>
      <c r="B32" s="53">
        <v>34.99</v>
      </c>
      <c r="C32" s="53">
        <v>17.8</v>
      </c>
      <c r="D32" s="53">
        <v>33.49</v>
      </c>
      <c r="E32" s="53">
        <v>5.63</v>
      </c>
      <c r="F32" s="53">
        <v>7.25</v>
      </c>
      <c r="G32" s="53">
        <v>38.049999999999997</v>
      </c>
      <c r="H32" s="53">
        <v>14.05</v>
      </c>
      <c r="I32" s="53">
        <v>3.26</v>
      </c>
      <c r="J32" s="53">
        <v>0.17</v>
      </c>
      <c r="K32" s="53">
        <v>326.27999999999997</v>
      </c>
      <c r="L32" s="53">
        <v>24.44</v>
      </c>
      <c r="M32" s="53">
        <v>98.93</v>
      </c>
      <c r="N32" s="53">
        <v>41.1</v>
      </c>
      <c r="O32" s="53">
        <v>0</v>
      </c>
      <c r="P32" s="53">
        <v>0.72</v>
      </c>
      <c r="Q32" s="53">
        <v>9.68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6.09</v>
      </c>
      <c r="C34" s="28">
        <f t="shared" si="0"/>
        <v>11.22</v>
      </c>
      <c r="D34" s="28">
        <f t="shared" si="0"/>
        <v>12.78</v>
      </c>
      <c r="E34" s="28">
        <f t="shared" si="0"/>
        <v>4.37</v>
      </c>
      <c r="F34" s="28">
        <f t="shared" si="0"/>
        <v>3.92</v>
      </c>
      <c r="G34" s="28">
        <f t="shared" si="0"/>
        <v>23.97</v>
      </c>
      <c r="H34" s="28">
        <f t="shared" si="0"/>
        <v>5.47</v>
      </c>
      <c r="I34" s="28">
        <f t="shared" si="0"/>
        <v>1.4</v>
      </c>
      <c r="J34" s="28">
        <f t="shared" si="0"/>
        <v>0.05</v>
      </c>
      <c r="K34" s="28">
        <f t="shared" si="0"/>
        <v>124.82</v>
      </c>
      <c r="L34" s="28">
        <f t="shared" si="0"/>
        <v>24.06</v>
      </c>
      <c r="M34" s="28">
        <f t="shared" si="0"/>
        <v>76.150000000000006</v>
      </c>
      <c r="N34" s="28">
        <f t="shared" si="0"/>
        <v>41.1</v>
      </c>
      <c r="O34" s="28">
        <f t="shared" si="0"/>
        <v>0</v>
      </c>
      <c r="P34" s="28">
        <f t="shared" si="0"/>
        <v>0.16</v>
      </c>
      <c r="Q34" s="28">
        <f t="shared" si="0"/>
        <v>9.0500000000000007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64.53</v>
      </c>
      <c r="C35" s="29">
        <f t="shared" si="1"/>
        <v>44.07</v>
      </c>
      <c r="D35" s="29">
        <f t="shared" si="1"/>
        <v>74.53</v>
      </c>
      <c r="E35" s="29">
        <f t="shared" si="1"/>
        <v>6.75</v>
      </c>
      <c r="F35" s="29">
        <f t="shared" si="1"/>
        <v>14.36</v>
      </c>
      <c r="G35" s="29">
        <f t="shared" si="1"/>
        <v>121.28</v>
      </c>
      <c r="H35" s="29">
        <f t="shared" si="1"/>
        <v>24.61</v>
      </c>
      <c r="I35" s="29">
        <f t="shared" si="1"/>
        <v>4.04</v>
      </c>
      <c r="J35" s="29">
        <f t="shared" si="1"/>
        <v>0.63</v>
      </c>
      <c r="K35" s="29">
        <f t="shared" si="1"/>
        <v>351.31</v>
      </c>
      <c r="L35" s="29">
        <f t="shared" si="1"/>
        <v>31.87</v>
      </c>
      <c r="M35" s="29">
        <f t="shared" si="1"/>
        <v>98.93</v>
      </c>
      <c r="N35" s="29">
        <f t="shared" si="1"/>
        <v>1015.1</v>
      </c>
      <c r="O35" s="29">
        <f t="shared" si="1"/>
        <v>3.6</v>
      </c>
      <c r="P35" s="29">
        <f t="shared" si="1"/>
        <v>1.85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22.473749999999999</v>
      </c>
      <c r="C36" s="28">
        <f t="shared" si="2"/>
        <v>20.890833333333337</v>
      </c>
      <c r="D36" s="28">
        <f t="shared" si="2"/>
        <v>27.892916666666668</v>
      </c>
      <c r="E36" s="28">
        <f t="shared" si="2"/>
        <v>5.1037499999999989</v>
      </c>
      <c r="F36" s="28">
        <f t="shared" si="2"/>
        <v>7.8754166666666663</v>
      </c>
      <c r="G36" s="28">
        <f t="shared" si="2"/>
        <v>49.651249999999983</v>
      </c>
      <c r="H36" s="28">
        <f t="shared" si="2"/>
        <v>12.143749999999999</v>
      </c>
      <c r="I36" s="28">
        <f t="shared" si="2"/>
        <v>2.4020833333333331</v>
      </c>
      <c r="J36" s="28">
        <f t="shared" si="2"/>
        <v>0.27083333333333343</v>
      </c>
      <c r="K36" s="28">
        <f t="shared" si="2"/>
        <v>300.30958333333331</v>
      </c>
      <c r="L36" s="28">
        <f t="shared" si="2"/>
        <v>27.123749999999998</v>
      </c>
      <c r="M36" s="28">
        <f t="shared" si="2"/>
        <v>93.542083333333323</v>
      </c>
      <c r="N36" s="28">
        <f t="shared" si="2"/>
        <v>209.60416666666671</v>
      </c>
      <c r="O36" s="28">
        <f t="shared" si="2"/>
        <v>0.29166666666666669</v>
      </c>
      <c r="P36" s="28">
        <f t="shared" si="2"/>
        <v>0.68458333333333321</v>
      </c>
      <c r="Q36" s="28">
        <f t="shared" si="2"/>
        <v>9.3495833333333334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18.912383523593164</v>
      </c>
      <c r="C37" s="28">
        <f t="shared" ref="C37:Q37" si="3">STDEV(C9:C32)</f>
        <v>8.4808484587162667</v>
      </c>
      <c r="D37" s="28">
        <f t="shared" si="3"/>
        <v>17.846736025821702</v>
      </c>
      <c r="E37" s="28">
        <f t="shared" si="3"/>
        <v>0.78754330453744426</v>
      </c>
      <c r="F37" s="28">
        <f t="shared" si="3"/>
        <v>2.3676882491002762</v>
      </c>
      <c r="G37" s="28">
        <f t="shared" si="3"/>
        <v>28.202967822939147</v>
      </c>
      <c r="H37" s="28">
        <f t="shared" si="3"/>
        <v>5.4700010432397068</v>
      </c>
      <c r="I37" s="28">
        <f t="shared" si="3"/>
        <v>0.83778164202263616</v>
      </c>
      <c r="J37" s="28">
        <f t="shared" si="3"/>
        <v>0.17781076082922159</v>
      </c>
      <c r="K37" s="28">
        <f t="shared" si="3"/>
        <v>48.642992299188094</v>
      </c>
      <c r="L37" s="28">
        <f t="shared" si="3"/>
        <v>2.3774736545881785</v>
      </c>
      <c r="M37" s="28">
        <f t="shared" si="3"/>
        <v>7.8917942959852247</v>
      </c>
      <c r="N37" s="28">
        <f t="shared" si="3"/>
        <v>269.61258272657227</v>
      </c>
      <c r="O37" s="28">
        <f t="shared" si="3"/>
        <v>0.86472748492713347</v>
      </c>
      <c r="P37" s="28">
        <f t="shared" si="3"/>
        <v>0.44519638233096642</v>
      </c>
      <c r="Q37" s="28">
        <f t="shared" si="3"/>
        <v>0.2364130351490919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420</v>
      </c>
      <c r="B9" s="53">
        <v>33.1</v>
      </c>
      <c r="C9" s="53">
        <v>17.559999999999999</v>
      </c>
      <c r="D9" s="53">
        <v>31.3</v>
      </c>
      <c r="E9" s="53">
        <v>5.2</v>
      </c>
      <c r="F9" s="53">
        <v>8.5500000000000007</v>
      </c>
      <c r="G9" s="53">
        <v>36.93</v>
      </c>
      <c r="H9" s="53">
        <v>11.32</v>
      </c>
      <c r="I9" s="53">
        <v>3.15</v>
      </c>
      <c r="J9" s="53">
        <v>0.31</v>
      </c>
      <c r="K9" s="53">
        <v>167.22</v>
      </c>
      <c r="L9" s="53">
        <v>24.85</v>
      </c>
      <c r="M9" s="53">
        <v>98.9</v>
      </c>
      <c r="N9" s="53">
        <v>41.1</v>
      </c>
      <c r="O9" s="53">
        <v>0</v>
      </c>
      <c r="P9" s="53">
        <v>0.71</v>
      </c>
      <c r="Q9" s="53">
        <v>9.67</v>
      </c>
      <c r="R9" s="43"/>
      <c r="S9" s="43"/>
      <c r="T9" s="43"/>
      <c r="U9" s="43"/>
    </row>
    <row r="10" spans="1:21" s="11" customFormat="1" x14ac:dyDescent="0.25">
      <c r="A10" s="52" t="s">
        <v>421</v>
      </c>
      <c r="B10" s="53">
        <v>31.99</v>
      </c>
      <c r="C10" s="53">
        <v>13.43</v>
      </c>
      <c r="D10" s="53">
        <v>29.97</v>
      </c>
      <c r="E10" s="53">
        <v>5.35</v>
      </c>
      <c r="F10" s="53">
        <v>6.27</v>
      </c>
      <c r="G10" s="53">
        <v>35.58</v>
      </c>
      <c r="H10" s="53">
        <v>8.7899999999999991</v>
      </c>
      <c r="I10" s="53">
        <v>2.97</v>
      </c>
      <c r="J10" s="53">
        <v>0.69</v>
      </c>
      <c r="K10" s="53">
        <v>304.35000000000002</v>
      </c>
      <c r="L10" s="53">
        <v>24.97</v>
      </c>
      <c r="M10" s="53">
        <v>98.9</v>
      </c>
      <c r="N10" s="53">
        <v>43.1</v>
      </c>
      <c r="O10" s="53">
        <v>0</v>
      </c>
      <c r="P10" s="53">
        <v>0.74</v>
      </c>
      <c r="Q10" s="53">
        <v>9.66</v>
      </c>
      <c r="R10" s="43"/>
      <c r="S10" s="43"/>
      <c r="T10" s="43"/>
      <c r="U10" s="43"/>
    </row>
    <row r="11" spans="1:21" s="11" customFormat="1" x14ac:dyDescent="0.25">
      <c r="A11" s="52" t="s">
        <v>422</v>
      </c>
      <c r="B11" s="53">
        <v>22.69</v>
      </c>
      <c r="C11" s="53">
        <v>17.88</v>
      </c>
      <c r="D11" s="53">
        <v>24.15</v>
      </c>
      <c r="E11" s="53">
        <v>5.01</v>
      </c>
      <c r="F11" s="53">
        <v>4.0199999999999996</v>
      </c>
      <c r="G11" s="53">
        <v>27.98</v>
      </c>
      <c r="H11" s="53">
        <v>9.19</v>
      </c>
      <c r="I11" s="53">
        <v>2.66</v>
      </c>
      <c r="J11" s="53">
        <v>0.63</v>
      </c>
      <c r="K11" s="53">
        <v>314.05</v>
      </c>
      <c r="L11" s="53">
        <v>23.48</v>
      </c>
      <c r="M11" s="53">
        <v>99.91</v>
      </c>
      <c r="N11" s="53">
        <v>42.3</v>
      </c>
      <c r="O11" s="53">
        <v>0.8</v>
      </c>
      <c r="P11" s="53">
        <v>0.67</v>
      </c>
      <c r="Q11" s="53">
        <v>9.64</v>
      </c>
      <c r="R11" s="43"/>
      <c r="S11" s="43"/>
      <c r="T11" s="43"/>
      <c r="U11" s="43"/>
    </row>
    <row r="12" spans="1:21" s="11" customFormat="1" x14ac:dyDescent="0.25">
      <c r="A12" s="52" t="s">
        <v>423</v>
      </c>
      <c r="B12" s="53">
        <v>9.8000000000000007</v>
      </c>
      <c r="C12" s="53">
        <v>15.8</v>
      </c>
      <c r="D12" s="53">
        <v>15.87</v>
      </c>
      <c r="E12" s="53">
        <v>4.8</v>
      </c>
      <c r="F12" s="53">
        <v>3.88</v>
      </c>
      <c r="G12" s="53">
        <v>19.559999999999999</v>
      </c>
      <c r="H12" s="53">
        <v>7.78</v>
      </c>
      <c r="I12" s="53">
        <v>2.83</v>
      </c>
      <c r="J12" s="53">
        <v>0.15</v>
      </c>
      <c r="K12" s="53">
        <v>320.11</v>
      </c>
      <c r="L12" s="53">
        <v>22.03</v>
      </c>
      <c r="M12" s="53">
        <v>99.97</v>
      </c>
      <c r="N12" s="53">
        <v>40.299999999999997</v>
      </c>
      <c r="O12" s="53">
        <v>1</v>
      </c>
      <c r="P12" s="53">
        <v>0.67</v>
      </c>
      <c r="Q12" s="53">
        <v>9.1999999999999993</v>
      </c>
      <c r="R12" s="43"/>
      <c r="S12" s="43"/>
      <c r="T12" s="43"/>
      <c r="U12" s="43"/>
    </row>
    <row r="13" spans="1:21" s="11" customFormat="1" x14ac:dyDescent="0.25">
      <c r="A13" s="52" t="s">
        <v>424</v>
      </c>
      <c r="B13" s="53">
        <v>11.14</v>
      </c>
      <c r="C13" s="53">
        <v>23.23</v>
      </c>
      <c r="D13" s="53">
        <v>21.07</v>
      </c>
      <c r="E13" s="53">
        <v>4.95</v>
      </c>
      <c r="F13" s="53">
        <v>4.43</v>
      </c>
      <c r="G13" s="53">
        <v>16.239999999999998</v>
      </c>
      <c r="H13" s="53">
        <v>5.78</v>
      </c>
      <c r="I13" s="53">
        <v>2.71</v>
      </c>
      <c r="J13" s="53">
        <v>0.28000000000000003</v>
      </c>
      <c r="K13" s="53">
        <v>320.79000000000002</v>
      </c>
      <c r="L13" s="53">
        <v>22.67</v>
      </c>
      <c r="M13" s="53">
        <v>99.36</v>
      </c>
      <c r="N13" s="53">
        <v>40.200000000000003</v>
      </c>
      <c r="O13" s="53">
        <v>0.4</v>
      </c>
      <c r="P13" s="53">
        <v>0.9</v>
      </c>
      <c r="Q13" s="53">
        <v>9.18</v>
      </c>
      <c r="R13" s="43"/>
      <c r="S13" s="43"/>
      <c r="T13" s="43"/>
      <c r="U13" s="43"/>
    </row>
    <row r="14" spans="1:21" s="11" customFormat="1" x14ac:dyDescent="0.25">
      <c r="A14" s="52" t="s">
        <v>425</v>
      </c>
      <c r="B14" s="53">
        <v>21.33</v>
      </c>
      <c r="C14" s="53">
        <v>23.31</v>
      </c>
      <c r="D14" s="53">
        <v>28.83</v>
      </c>
      <c r="E14" s="53">
        <v>5.08</v>
      </c>
      <c r="F14" s="53">
        <v>6.4</v>
      </c>
      <c r="G14" s="53">
        <v>13.63</v>
      </c>
      <c r="H14" s="53">
        <v>4.8099999999999996</v>
      </c>
      <c r="I14" s="53">
        <v>3.08</v>
      </c>
      <c r="J14" s="53">
        <v>0.37</v>
      </c>
      <c r="K14" s="53">
        <v>327.19</v>
      </c>
      <c r="L14" s="53">
        <v>22.84</v>
      </c>
      <c r="M14" s="53">
        <v>99.29</v>
      </c>
      <c r="N14" s="53">
        <v>41.9</v>
      </c>
      <c r="O14" s="53">
        <v>0.4</v>
      </c>
      <c r="P14" s="53">
        <v>1.04</v>
      </c>
      <c r="Q14" s="53">
        <v>9.25</v>
      </c>
      <c r="R14" s="43"/>
      <c r="S14" s="43"/>
      <c r="T14" s="43"/>
      <c r="U14" s="43"/>
    </row>
    <row r="15" spans="1:21" s="11" customFormat="1" x14ac:dyDescent="0.25">
      <c r="A15" s="52" t="s">
        <v>426</v>
      </c>
      <c r="B15" s="53">
        <v>16.77</v>
      </c>
      <c r="C15" s="53">
        <v>24.82</v>
      </c>
      <c r="D15" s="53">
        <v>25.46</v>
      </c>
      <c r="E15" s="53">
        <v>5.12</v>
      </c>
      <c r="F15" s="53">
        <v>5.69</v>
      </c>
      <c r="G15" s="53">
        <v>18.239999999999998</v>
      </c>
      <c r="H15" s="53">
        <v>8.4499999999999993</v>
      </c>
      <c r="I15" s="53">
        <v>3.49</v>
      </c>
      <c r="J15" s="53">
        <v>0.63</v>
      </c>
      <c r="K15" s="53">
        <v>152.13999999999999</v>
      </c>
      <c r="L15" s="53">
        <v>22.92</v>
      </c>
      <c r="M15" s="53">
        <v>99.42</v>
      </c>
      <c r="N15" s="53">
        <v>60</v>
      </c>
      <c r="O15" s="53">
        <v>0.4</v>
      </c>
      <c r="P15" s="53">
        <v>0.88</v>
      </c>
      <c r="Q15" s="53">
        <v>9.32</v>
      </c>
      <c r="R15" s="43"/>
      <c r="S15" s="43"/>
      <c r="T15" s="43"/>
      <c r="U15" s="43"/>
    </row>
    <row r="16" spans="1:21" s="11" customFormat="1" x14ac:dyDescent="0.25">
      <c r="A16" s="52" t="s">
        <v>427</v>
      </c>
      <c r="B16" s="53">
        <v>17.93</v>
      </c>
      <c r="C16" s="53">
        <v>12.85</v>
      </c>
      <c r="D16" s="53">
        <v>21.1</v>
      </c>
      <c r="E16" s="53">
        <v>5.26</v>
      </c>
      <c r="F16" s="53">
        <v>4.3499999999999996</v>
      </c>
      <c r="G16" s="53">
        <v>18.45</v>
      </c>
      <c r="H16" s="53">
        <v>13.06</v>
      </c>
      <c r="I16" s="53">
        <v>3.64</v>
      </c>
      <c r="J16" s="53">
        <v>0.64</v>
      </c>
      <c r="K16" s="53">
        <v>180.26</v>
      </c>
      <c r="L16" s="53">
        <v>23.35</v>
      </c>
      <c r="M16" s="53">
        <v>99.43</v>
      </c>
      <c r="N16" s="53">
        <v>131.9</v>
      </c>
      <c r="O16" s="53">
        <v>0.2</v>
      </c>
      <c r="P16" s="53">
        <v>0.8</v>
      </c>
      <c r="Q16" s="53">
        <v>9.33</v>
      </c>
      <c r="R16" s="43"/>
      <c r="S16" s="43"/>
      <c r="T16" s="43"/>
      <c r="U16" s="43"/>
    </row>
    <row r="17" spans="1:21" s="11" customFormat="1" x14ac:dyDescent="0.25">
      <c r="A17" s="52" t="s">
        <v>428</v>
      </c>
      <c r="B17" s="53">
        <v>15.4</v>
      </c>
      <c r="C17" s="53">
        <v>10.55</v>
      </c>
      <c r="D17" s="53">
        <v>17.579999999999998</v>
      </c>
      <c r="E17" s="53">
        <v>4.79</v>
      </c>
      <c r="F17" s="53">
        <v>5.09</v>
      </c>
      <c r="G17" s="53">
        <v>18.95</v>
      </c>
      <c r="H17" s="53">
        <v>10.62</v>
      </c>
      <c r="I17" s="53">
        <v>3.57</v>
      </c>
      <c r="J17" s="53">
        <v>0.12</v>
      </c>
      <c r="K17" s="53">
        <v>293.39999999999998</v>
      </c>
      <c r="L17" s="53">
        <v>24.46</v>
      </c>
      <c r="M17" s="53">
        <v>99.18</v>
      </c>
      <c r="N17" s="53">
        <v>220.1</v>
      </c>
      <c r="O17" s="53">
        <v>0</v>
      </c>
      <c r="P17" s="53">
        <v>0.73</v>
      </c>
      <c r="Q17" s="53">
        <v>9.31</v>
      </c>
      <c r="R17" s="43"/>
      <c r="S17" s="43"/>
      <c r="T17" s="43"/>
      <c r="U17" s="43"/>
    </row>
    <row r="18" spans="1:21" s="11" customFormat="1" x14ac:dyDescent="0.25">
      <c r="A18" s="52" t="s">
        <v>429</v>
      </c>
      <c r="B18" s="53">
        <v>14.59</v>
      </c>
      <c r="C18" s="53">
        <v>15.77</v>
      </c>
      <c r="D18" s="53">
        <v>19.78</v>
      </c>
      <c r="E18" s="53">
        <v>4.8600000000000003</v>
      </c>
      <c r="F18" s="53">
        <v>10.18</v>
      </c>
      <c r="G18" s="53">
        <v>18.02</v>
      </c>
      <c r="H18" s="53">
        <v>7.48</v>
      </c>
      <c r="I18" s="53">
        <v>3.23</v>
      </c>
      <c r="J18" s="53">
        <v>0.1</v>
      </c>
      <c r="K18" s="53">
        <v>304.95999999999998</v>
      </c>
      <c r="L18" s="53">
        <v>26.22</v>
      </c>
      <c r="M18" s="53">
        <v>99.11</v>
      </c>
      <c r="N18" s="53">
        <v>333.7</v>
      </c>
      <c r="O18" s="53">
        <v>0</v>
      </c>
      <c r="P18" s="53">
        <v>0.56999999999999995</v>
      </c>
      <c r="Q18" s="53">
        <v>9.2899999999999991</v>
      </c>
      <c r="R18" s="43"/>
      <c r="S18" s="43"/>
      <c r="T18" s="43"/>
      <c r="U18" s="43"/>
    </row>
    <row r="19" spans="1:21" s="11" customFormat="1" x14ac:dyDescent="0.25">
      <c r="A19" s="52" t="s">
        <v>430</v>
      </c>
      <c r="B19" s="53">
        <v>15.61</v>
      </c>
      <c r="C19" s="53">
        <v>14.31</v>
      </c>
      <c r="D19" s="53">
        <v>19.559999999999999</v>
      </c>
      <c r="E19" s="53">
        <v>5.08</v>
      </c>
      <c r="F19" s="53">
        <v>9.5299999999999994</v>
      </c>
      <c r="G19" s="53">
        <v>24.45</v>
      </c>
      <c r="H19" s="53">
        <v>5.38</v>
      </c>
      <c r="I19" s="53">
        <v>2.85</v>
      </c>
      <c r="J19" s="53">
        <v>0.33</v>
      </c>
      <c r="K19" s="53">
        <v>316.17</v>
      </c>
      <c r="L19" s="53">
        <v>27.18</v>
      </c>
      <c r="M19" s="53">
        <v>99.04</v>
      </c>
      <c r="N19" s="53">
        <v>235.9</v>
      </c>
      <c r="O19" s="53">
        <v>0</v>
      </c>
      <c r="P19" s="53">
        <v>0.55000000000000004</v>
      </c>
      <c r="Q19" s="53">
        <v>9.33</v>
      </c>
      <c r="R19" s="43"/>
      <c r="S19" s="43"/>
      <c r="T19" s="43"/>
      <c r="U19" s="43"/>
    </row>
    <row r="20" spans="1:21" s="11" customFormat="1" x14ac:dyDescent="0.25">
      <c r="A20" s="52" t="s">
        <v>431</v>
      </c>
      <c r="B20" s="53">
        <v>11.15</v>
      </c>
      <c r="C20" s="53">
        <v>17.940000000000001</v>
      </c>
      <c r="D20" s="53">
        <v>17.75</v>
      </c>
      <c r="E20" s="53">
        <v>4.9000000000000004</v>
      </c>
      <c r="F20" s="53">
        <v>5.09</v>
      </c>
      <c r="G20" s="57" t="s">
        <v>12</v>
      </c>
      <c r="H20" s="57" t="s">
        <v>12</v>
      </c>
      <c r="I20" s="53">
        <v>2.6</v>
      </c>
      <c r="J20" s="53">
        <v>0.16</v>
      </c>
      <c r="K20" s="53">
        <v>299.61</v>
      </c>
      <c r="L20" s="53">
        <v>26.9</v>
      </c>
      <c r="M20" s="53">
        <v>98.93</v>
      </c>
      <c r="N20" s="53">
        <v>264.8</v>
      </c>
      <c r="O20" s="53">
        <v>0</v>
      </c>
      <c r="P20" s="53">
        <v>0.56000000000000005</v>
      </c>
      <c r="Q20" s="53">
        <v>9.24</v>
      </c>
      <c r="R20" s="43"/>
      <c r="S20" s="43"/>
      <c r="T20" s="43"/>
      <c r="U20" s="43"/>
    </row>
    <row r="21" spans="1:21" s="11" customFormat="1" x14ac:dyDescent="0.25">
      <c r="A21" s="52" t="s">
        <v>432</v>
      </c>
      <c r="B21" s="53">
        <v>7.25</v>
      </c>
      <c r="C21" s="53">
        <v>23.95</v>
      </c>
      <c r="D21" s="53">
        <v>17.96</v>
      </c>
      <c r="E21" s="53">
        <v>4.8</v>
      </c>
      <c r="F21" s="53">
        <v>5.77</v>
      </c>
      <c r="G21" s="53">
        <v>58.84</v>
      </c>
      <c r="H21" s="53">
        <v>12.21</v>
      </c>
      <c r="I21" s="53">
        <v>2.8</v>
      </c>
      <c r="J21" s="53">
        <v>0.42</v>
      </c>
      <c r="K21" s="53">
        <v>308.41000000000003</v>
      </c>
      <c r="L21" s="53">
        <v>29.88</v>
      </c>
      <c r="M21" s="53">
        <v>98.95</v>
      </c>
      <c r="N21" s="53">
        <v>415.8</v>
      </c>
      <c r="O21" s="53">
        <v>0</v>
      </c>
      <c r="P21" s="53">
        <v>0.59</v>
      </c>
      <c r="Q21" s="53">
        <v>9.15</v>
      </c>
      <c r="R21" s="43"/>
      <c r="S21" s="43"/>
      <c r="T21" s="43"/>
      <c r="U21" s="43"/>
    </row>
    <row r="22" spans="1:21" s="11" customFormat="1" x14ac:dyDescent="0.25">
      <c r="A22" s="52" t="s">
        <v>433</v>
      </c>
      <c r="B22" s="53">
        <v>7.31</v>
      </c>
      <c r="C22" s="53">
        <v>23</v>
      </c>
      <c r="D22" s="53">
        <v>16.59</v>
      </c>
      <c r="E22" s="53">
        <v>5.0199999999999996</v>
      </c>
      <c r="F22" s="53">
        <v>8.2100000000000009</v>
      </c>
      <c r="G22" s="53">
        <v>58.84</v>
      </c>
      <c r="H22" s="53">
        <v>12.21</v>
      </c>
      <c r="I22" s="53">
        <v>2.96</v>
      </c>
      <c r="J22" s="53">
        <v>0.76</v>
      </c>
      <c r="K22" s="53">
        <v>321.14</v>
      </c>
      <c r="L22" s="53">
        <v>30.56</v>
      </c>
      <c r="M22" s="53">
        <v>87.28</v>
      </c>
      <c r="N22" s="53">
        <v>405.5</v>
      </c>
      <c r="O22" s="53">
        <v>0</v>
      </c>
      <c r="P22" s="53">
        <v>0.56000000000000005</v>
      </c>
      <c r="Q22" s="53">
        <v>9.06</v>
      </c>
      <c r="R22" s="43"/>
      <c r="S22" s="43"/>
      <c r="T22" s="43"/>
      <c r="U22" s="43"/>
    </row>
    <row r="23" spans="1:21" s="11" customFormat="1" x14ac:dyDescent="0.25">
      <c r="A23" s="52" t="s">
        <v>434</v>
      </c>
      <c r="B23" s="53">
        <v>7.91</v>
      </c>
      <c r="C23" s="53">
        <v>20.41</v>
      </c>
      <c r="D23" s="53">
        <v>17</v>
      </c>
      <c r="E23" s="53">
        <v>4.63</v>
      </c>
      <c r="F23" s="53">
        <v>10.63</v>
      </c>
      <c r="G23" s="53">
        <v>59.09</v>
      </c>
      <c r="H23" s="53">
        <v>9.1300000000000008</v>
      </c>
      <c r="I23" s="53">
        <v>2.61</v>
      </c>
      <c r="J23" s="53">
        <v>0.43</v>
      </c>
      <c r="K23" s="53">
        <v>307.39999999999998</v>
      </c>
      <c r="L23" s="53">
        <v>30.52</v>
      </c>
      <c r="M23" s="53">
        <v>87.83</v>
      </c>
      <c r="N23" s="53">
        <v>318.10000000000002</v>
      </c>
      <c r="O23" s="53">
        <v>0</v>
      </c>
      <c r="P23" s="53">
        <v>0.44</v>
      </c>
      <c r="Q23" s="53">
        <v>9.09</v>
      </c>
      <c r="R23" s="43"/>
      <c r="S23" s="43"/>
      <c r="T23" s="43"/>
      <c r="U23" s="43"/>
    </row>
    <row r="24" spans="1:21" s="11" customFormat="1" x14ac:dyDescent="0.25">
      <c r="A24" s="52" t="s">
        <v>435</v>
      </c>
      <c r="B24" s="53">
        <v>8.19</v>
      </c>
      <c r="C24" s="53">
        <v>21.93</v>
      </c>
      <c r="D24" s="53">
        <v>16.690000000000001</v>
      </c>
      <c r="E24" s="53">
        <v>4.66</v>
      </c>
      <c r="F24" s="53">
        <v>10.98</v>
      </c>
      <c r="G24" s="53">
        <v>71.290000000000006</v>
      </c>
      <c r="H24" s="53">
        <v>13.41</v>
      </c>
      <c r="I24" s="53">
        <v>2.16</v>
      </c>
      <c r="J24" s="53">
        <v>0.32</v>
      </c>
      <c r="K24" s="53">
        <v>296.94</v>
      </c>
      <c r="L24" s="53">
        <v>29.76</v>
      </c>
      <c r="M24" s="53">
        <v>94.22</v>
      </c>
      <c r="N24" s="53">
        <v>260.5</v>
      </c>
      <c r="O24" s="53">
        <v>0</v>
      </c>
      <c r="P24" s="53">
        <v>0.39</v>
      </c>
      <c r="Q24" s="53">
        <v>9.07</v>
      </c>
      <c r="R24" s="43"/>
      <c r="S24" s="43"/>
      <c r="T24" s="43"/>
      <c r="U24" s="43"/>
    </row>
    <row r="25" spans="1:21" s="11" customFormat="1" x14ac:dyDescent="0.25">
      <c r="A25" s="52" t="s">
        <v>436</v>
      </c>
      <c r="B25" s="53">
        <v>6.11</v>
      </c>
      <c r="C25" s="53">
        <v>21.32</v>
      </c>
      <c r="D25" s="53">
        <v>16.03</v>
      </c>
      <c r="E25" s="53">
        <v>4.76</v>
      </c>
      <c r="F25" s="53">
        <v>11.75</v>
      </c>
      <c r="G25" s="53">
        <v>71.290000000000006</v>
      </c>
      <c r="H25" s="53">
        <v>13.68</v>
      </c>
      <c r="I25" s="53">
        <v>2.08</v>
      </c>
      <c r="J25" s="53">
        <v>0.15</v>
      </c>
      <c r="K25" s="53">
        <v>288.32</v>
      </c>
      <c r="L25" s="53">
        <v>28.22</v>
      </c>
      <c r="M25" s="53">
        <v>97.79</v>
      </c>
      <c r="N25" s="53">
        <v>144.9</v>
      </c>
      <c r="O25" s="53">
        <v>0</v>
      </c>
      <c r="P25" s="53">
        <v>0.36</v>
      </c>
      <c r="Q25" s="53">
        <v>9.0299999999999994</v>
      </c>
      <c r="R25" s="43"/>
      <c r="S25" s="43"/>
      <c r="T25" s="43"/>
      <c r="U25" s="43"/>
    </row>
    <row r="26" spans="1:21" s="11" customFormat="1" x14ac:dyDescent="0.25">
      <c r="A26" s="52" t="s">
        <v>437</v>
      </c>
      <c r="B26" s="53">
        <v>8.2100000000000009</v>
      </c>
      <c r="C26" s="53">
        <v>24.32</v>
      </c>
      <c r="D26" s="53">
        <v>19.16</v>
      </c>
      <c r="E26" s="53">
        <v>4.58</v>
      </c>
      <c r="F26" s="53">
        <v>10.47</v>
      </c>
      <c r="G26" s="53">
        <v>63.61</v>
      </c>
      <c r="H26" s="53">
        <v>14.91</v>
      </c>
      <c r="I26" s="53">
        <v>1.99</v>
      </c>
      <c r="J26" s="53">
        <v>0.09</v>
      </c>
      <c r="K26" s="53">
        <v>311.48</v>
      </c>
      <c r="L26" s="53">
        <v>27.72</v>
      </c>
      <c r="M26" s="53">
        <v>98.99</v>
      </c>
      <c r="N26" s="53">
        <v>111.6</v>
      </c>
      <c r="O26" s="53">
        <v>0</v>
      </c>
      <c r="P26" s="53">
        <v>0.38</v>
      </c>
      <c r="Q26" s="53">
        <v>9.01</v>
      </c>
      <c r="R26" s="43"/>
      <c r="S26" s="43"/>
      <c r="T26" s="43"/>
      <c r="U26" s="43"/>
    </row>
    <row r="27" spans="1:21" s="11" customFormat="1" x14ac:dyDescent="0.25">
      <c r="A27" s="52" t="s">
        <v>438</v>
      </c>
      <c r="B27" s="53">
        <v>7.1</v>
      </c>
      <c r="C27" s="53">
        <v>23.38</v>
      </c>
      <c r="D27" s="53">
        <v>17.91</v>
      </c>
      <c r="E27" s="53">
        <v>4.97</v>
      </c>
      <c r="F27" s="53">
        <v>13.15</v>
      </c>
      <c r="G27" s="53">
        <v>61.62</v>
      </c>
      <c r="H27" s="53">
        <v>14.91</v>
      </c>
      <c r="I27" s="53">
        <v>1.73</v>
      </c>
      <c r="J27" s="53">
        <v>0.19</v>
      </c>
      <c r="K27" s="53">
        <v>315.25</v>
      </c>
      <c r="L27" s="53">
        <v>27.39</v>
      </c>
      <c r="M27" s="53">
        <v>99.06</v>
      </c>
      <c r="N27" s="53">
        <v>61.8</v>
      </c>
      <c r="O27" s="53">
        <v>0</v>
      </c>
      <c r="P27" s="53">
        <v>0.33</v>
      </c>
      <c r="Q27" s="53">
        <v>9.08</v>
      </c>
      <c r="R27" s="43"/>
      <c r="S27" s="43"/>
      <c r="T27" s="43"/>
      <c r="U27" s="43"/>
    </row>
    <row r="28" spans="1:21" s="11" customFormat="1" x14ac:dyDescent="0.25">
      <c r="A28" s="52" t="s">
        <v>439</v>
      </c>
      <c r="B28" s="53">
        <v>6.3</v>
      </c>
      <c r="C28" s="53">
        <v>23.39</v>
      </c>
      <c r="D28" s="53">
        <v>16.89</v>
      </c>
      <c r="E28" s="53">
        <v>4.9800000000000004</v>
      </c>
      <c r="F28" s="53">
        <v>10.38</v>
      </c>
      <c r="G28" s="53">
        <v>60.97</v>
      </c>
      <c r="H28" s="53">
        <v>17.47</v>
      </c>
      <c r="I28" s="53">
        <v>1.63</v>
      </c>
      <c r="J28" s="53">
        <v>0.11</v>
      </c>
      <c r="K28" s="53">
        <v>174.57</v>
      </c>
      <c r="L28" s="53">
        <v>26.4</v>
      </c>
      <c r="M28" s="53">
        <v>99.07</v>
      </c>
      <c r="N28" s="53">
        <v>45.3</v>
      </c>
      <c r="O28" s="53">
        <v>0</v>
      </c>
      <c r="P28" s="53">
        <v>0.41</v>
      </c>
      <c r="Q28" s="53">
        <v>9.1</v>
      </c>
      <c r="R28" s="43"/>
      <c r="S28" s="43"/>
      <c r="T28" s="43"/>
      <c r="U28" s="43"/>
    </row>
    <row r="29" spans="1:21" s="11" customFormat="1" x14ac:dyDescent="0.25">
      <c r="A29" s="52" t="s">
        <v>440</v>
      </c>
      <c r="B29" s="53">
        <v>9.2200000000000006</v>
      </c>
      <c r="C29" s="53">
        <v>22.72</v>
      </c>
      <c r="D29" s="53">
        <v>18.260000000000002</v>
      </c>
      <c r="E29" s="53">
        <v>5.03</v>
      </c>
      <c r="F29" s="53">
        <v>8.7899999999999991</v>
      </c>
      <c r="G29" s="53">
        <v>55.29</v>
      </c>
      <c r="H29" s="53">
        <v>17.47</v>
      </c>
      <c r="I29" s="53">
        <v>1.59</v>
      </c>
      <c r="J29" s="53">
        <v>0.62</v>
      </c>
      <c r="K29" s="53">
        <v>146.99</v>
      </c>
      <c r="L29" s="53">
        <v>25.94</v>
      </c>
      <c r="M29" s="53">
        <v>99.04</v>
      </c>
      <c r="N29" s="53">
        <v>45.5</v>
      </c>
      <c r="O29" s="53">
        <v>0</v>
      </c>
      <c r="P29" s="53">
        <v>0.38</v>
      </c>
      <c r="Q29" s="53">
        <v>9.09</v>
      </c>
      <c r="R29" s="43"/>
      <c r="S29" s="43"/>
      <c r="T29" s="43"/>
      <c r="U29" s="43"/>
    </row>
    <row r="30" spans="1:21" s="11" customFormat="1" x14ac:dyDescent="0.25">
      <c r="A30" s="52" t="s">
        <v>441</v>
      </c>
      <c r="B30" s="53">
        <v>9.06</v>
      </c>
      <c r="C30" s="53">
        <v>19.649999999999999</v>
      </c>
      <c r="D30" s="53">
        <v>17.53</v>
      </c>
      <c r="E30" s="53">
        <v>4.91</v>
      </c>
      <c r="F30" s="53">
        <v>9.67</v>
      </c>
      <c r="G30" s="53">
        <v>48.32</v>
      </c>
      <c r="H30" s="53">
        <v>14.43</v>
      </c>
      <c r="I30" s="53">
        <v>1.48</v>
      </c>
      <c r="J30" s="53">
        <v>0.32</v>
      </c>
      <c r="K30" s="53">
        <v>222.37</v>
      </c>
      <c r="L30" s="53">
        <v>25.59</v>
      </c>
      <c r="M30" s="53">
        <v>99.05</v>
      </c>
      <c r="N30" s="53">
        <v>45.6</v>
      </c>
      <c r="O30" s="53">
        <v>0</v>
      </c>
      <c r="P30" s="53">
        <v>0.35</v>
      </c>
      <c r="Q30" s="53">
        <v>9.1</v>
      </c>
      <c r="R30" s="43"/>
      <c r="S30" s="43"/>
      <c r="T30" s="43"/>
      <c r="U30" s="43"/>
    </row>
    <row r="31" spans="1:21" s="11" customFormat="1" x14ac:dyDescent="0.25">
      <c r="A31" s="52" t="s">
        <v>442</v>
      </c>
      <c r="B31" s="53">
        <v>7.41</v>
      </c>
      <c r="C31" s="53">
        <v>17.079999999999998</v>
      </c>
      <c r="D31" s="53">
        <v>14.53</v>
      </c>
      <c r="E31" s="53">
        <v>4.6399999999999997</v>
      </c>
      <c r="F31" s="53">
        <v>10.84</v>
      </c>
      <c r="G31" s="53">
        <v>47.34</v>
      </c>
      <c r="H31" s="53">
        <v>14.43</v>
      </c>
      <c r="I31" s="53">
        <v>1.36</v>
      </c>
      <c r="J31" s="53">
        <v>0.85</v>
      </c>
      <c r="K31" s="53">
        <v>149.76</v>
      </c>
      <c r="L31" s="53">
        <v>25.23</v>
      </c>
      <c r="M31" s="53">
        <v>99.11</v>
      </c>
      <c r="N31" s="53">
        <v>45.6</v>
      </c>
      <c r="O31" s="53">
        <v>0</v>
      </c>
      <c r="P31" s="53">
        <v>0.32</v>
      </c>
      <c r="Q31" s="53">
        <v>9.1199999999999992</v>
      </c>
      <c r="R31" s="43"/>
      <c r="S31" s="43"/>
      <c r="T31" s="43"/>
      <c r="U31" s="43"/>
    </row>
    <row r="32" spans="1:21" s="11" customFormat="1" x14ac:dyDescent="0.25">
      <c r="A32" s="52" t="s">
        <v>443</v>
      </c>
      <c r="B32" s="53">
        <v>6.51</v>
      </c>
      <c r="C32" s="53">
        <v>11.7</v>
      </c>
      <c r="D32" s="53">
        <v>10.9</v>
      </c>
      <c r="E32" s="53">
        <v>4.87</v>
      </c>
      <c r="F32" s="53">
        <v>10.79</v>
      </c>
      <c r="G32" s="53">
        <v>40.799999999999997</v>
      </c>
      <c r="H32" s="53">
        <v>13.96</v>
      </c>
      <c r="I32" s="53">
        <v>1.25</v>
      </c>
      <c r="J32" s="53">
        <v>0.84</v>
      </c>
      <c r="K32" s="53">
        <v>184.08</v>
      </c>
      <c r="L32" s="53">
        <v>25.08</v>
      </c>
      <c r="M32" s="53">
        <v>99.08</v>
      </c>
      <c r="N32" s="53">
        <v>45.9</v>
      </c>
      <c r="O32" s="53">
        <v>0</v>
      </c>
      <c r="P32" s="53">
        <v>0.26</v>
      </c>
      <c r="Q32" s="53">
        <v>9.16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6.11</v>
      </c>
      <c r="C34" s="28">
        <f t="shared" si="0"/>
        <v>10.55</v>
      </c>
      <c r="D34" s="28">
        <f t="shared" si="0"/>
        <v>10.9</v>
      </c>
      <c r="E34" s="28">
        <f t="shared" si="0"/>
        <v>4.58</v>
      </c>
      <c r="F34" s="28">
        <f t="shared" si="0"/>
        <v>3.88</v>
      </c>
      <c r="G34" s="28">
        <f t="shared" si="0"/>
        <v>13.63</v>
      </c>
      <c r="H34" s="28">
        <f t="shared" si="0"/>
        <v>4.8099999999999996</v>
      </c>
      <c r="I34" s="28">
        <f t="shared" si="0"/>
        <v>1.25</v>
      </c>
      <c r="J34" s="28">
        <f t="shared" si="0"/>
        <v>0.09</v>
      </c>
      <c r="K34" s="28">
        <f t="shared" si="0"/>
        <v>146.99</v>
      </c>
      <c r="L34" s="28">
        <f t="shared" si="0"/>
        <v>22.03</v>
      </c>
      <c r="M34" s="28">
        <f t="shared" si="0"/>
        <v>87.28</v>
      </c>
      <c r="N34" s="28">
        <f t="shared" si="0"/>
        <v>40.200000000000003</v>
      </c>
      <c r="O34" s="28">
        <f t="shared" si="0"/>
        <v>0</v>
      </c>
      <c r="P34" s="28">
        <f t="shared" si="0"/>
        <v>0.26</v>
      </c>
      <c r="Q34" s="28">
        <f t="shared" si="0"/>
        <v>9.01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33.1</v>
      </c>
      <c r="C35" s="29">
        <f t="shared" si="1"/>
        <v>24.82</v>
      </c>
      <c r="D35" s="29">
        <f t="shared" si="1"/>
        <v>31.3</v>
      </c>
      <c r="E35" s="29">
        <f t="shared" si="1"/>
        <v>5.35</v>
      </c>
      <c r="F35" s="29">
        <f t="shared" si="1"/>
        <v>13.15</v>
      </c>
      <c r="G35" s="29">
        <f t="shared" si="1"/>
        <v>71.290000000000006</v>
      </c>
      <c r="H35" s="29">
        <f t="shared" si="1"/>
        <v>17.47</v>
      </c>
      <c r="I35" s="29">
        <f t="shared" si="1"/>
        <v>3.64</v>
      </c>
      <c r="J35" s="29">
        <f t="shared" si="1"/>
        <v>0.85</v>
      </c>
      <c r="K35" s="29">
        <f t="shared" si="1"/>
        <v>327.19</v>
      </c>
      <c r="L35" s="29">
        <f t="shared" si="1"/>
        <v>30.56</v>
      </c>
      <c r="M35" s="29">
        <f t="shared" si="1"/>
        <v>99.97</v>
      </c>
      <c r="N35" s="29">
        <f t="shared" si="1"/>
        <v>415.8</v>
      </c>
      <c r="O35" s="29">
        <f t="shared" si="1"/>
        <v>1</v>
      </c>
      <c r="P35" s="29">
        <f t="shared" si="1"/>
        <v>1.04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13.003333333333337</v>
      </c>
      <c r="C36" s="28">
        <f t="shared" si="2"/>
        <v>19.179166666666664</v>
      </c>
      <c r="D36" s="28">
        <f t="shared" si="2"/>
        <v>19.661249999999995</v>
      </c>
      <c r="E36" s="28">
        <f t="shared" si="2"/>
        <v>4.927083333333333</v>
      </c>
      <c r="F36" s="28">
        <f t="shared" si="2"/>
        <v>8.1212499999999981</v>
      </c>
      <c r="G36" s="28">
        <f t="shared" si="2"/>
        <v>41.101304347826094</v>
      </c>
      <c r="H36" s="28">
        <f t="shared" si="2"/>
        <v>11.342608695652174</v>
      </c>
      <c r="I36" s="28">
        <f t="shared" si="2"/>
        <v>2.5175000000000001</v>
      </c>
      <c r="J36" s="28">
        <f t="shared" si="2"/>
        <v>0.39625000000000005</v>
      </c>
      <c r="K36" s="28">
        <f t="shared" si="2"/>
        <v>263.62333333333328</v>
      </c>
      <c r="L36" s="28">
        <f t="shared" si="2"/>
        <v>26.006666666666671</v>
      </c>
      <c r="M36" s="28">
        <f t="shared" si="2"/>
        <v>97.954583333333346</v>
      </c>
      <c r="N36" s="28">
        <f t="shared" si="2"/>
        <v>143.39166666666668</v>
      </c>
      <c r="O36" s="28">
        <f t="shared" si="2"/>
        <v>0.13333333333333333</v>
      </c>
      <c r="P36" s="28">
        <f t="shared" si="2"/>
        <v>0.56625000000000014</v>
      </c>
      <c r="Q36" s="28">
        <f t="shared" si="2"/>
        <v>9.2283333333333335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7.7077999267070201</v>
      </c>
      <c r="C37" s="28">
        <f t="shared" ref="C37:Q37" si="3">STDEV(C9:C32)</f>
        <v>4.4301122928810974</v>
      </c>
      <c r="D37" s="28">
        <f t="shared" si="3"/>
        <v>4.9695790325609774</v>
      </c>
      <c r="E37" s="28">
        <f t="shared" si="3"/>
        <v>0.20105113272750913</v>
      </c>
      <c r="F37" s="28">
        <f t="shared" si="3"/>
        <v>2.8451152838261033</v>
      </c>
      <c r="G37" s="28">
        <f t="shared" si="3"/>
        <v>19.981521305343318</v>
      </c>
      <c r="H37" s="28">
        <f t="shared" si="3"/>
        <v>3.7072781211009351</v>
      </c>
      <c r="I37" s="28">
        <f t="shared" si="3"/>
        <v>0.7279288665677498</v>
      </c>
      <c r="J37" s="28">
        <f t="shared" si="3"/>
        <v>0.25012714158307897</v>
      </c>
      <c r="K37" s="28">
        <f t="shared" si="3"/>
        <v>68.033790496160094</v>
      </c>
      <c r="L37" s="28">
        <f t="shared" si="3"/>
        <v>2.542724773812989</v>
      </c>
      <c r="M37" s="28">
        <f t="shared" si="3"/>
        <v>3.3793425899987874</v>
      </c>
      <c r="N37" s="28">
        <f t="shared" si="3"/>
        <v>128.10565583911983</v>
      </c>
      <c r="O37" s="28">
        <f t="shared" si="3"/>
        <v>0.27452198243597858</v>
      </c>
      <c r="P37" s="28">
        <f t="shared" si="3"/>
        <v>0.21155351877089534</v>
      </c>
      <c r="Q37" s="28">
        <f t="shared" si="3"/>
        <v>0.19227848161651803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444</v>
      </c>
      <c r="B9" s="53">
        <v>7.81</v>
      </c>
      <c r="C9" s="53">
        <v>11.85</v>
      </c>
      <c r="D9" s="53">
        <v>12.04</v>
      </c>
      <c r="E9" s="53">
        <v>5.0599999999999996</v>
      </c>
      <c r="F9" s="53">
        <v>10.38</v>
      </c>
      <c r="G9" s="53">
        <v>40.799999999999997</v>
      </c>
      <c r="H9" s="53">
        <v>13.96</v>
      </c>
      <c r="I9" s="53">
        <v>1.2</v>
      </c>
      <c r="J9" s="53">
        <v>0.36</v>
      </c>
      <c r="K9" s="53">
        <v>159.29</v>
      </c>
      <c r="L9" s="53">
        <v>24.89</v>
      </c>
      <c r="M9" s="53">
        <v>99.07</v>
      </c>
      <c r="N9" s="53">
        <v>46.2</v>
      </c>
      <c r="O9" s="53">
        <v>0</v>
      </c>
      <c r="P9" s="53">
        <v>0.26</v>
      </c>
      <c r="Q9" s="53">
        <v>9.15</v>
      </c>
      <c r="R9" s="43"/>
      <c r="S9" s="43"/>
      <c r="T9" s="43"/>
      <c r="U9" s="43"/>
    </row>
    <row r="10" spans="1:21" s="11" customFormat="1" x14ac:dyDescent="0.25">
      <c r="A10" s="52" t="s">
        <v>445</v>
      </c>
      <c r="B10" s="53">
        <v>6.97</v>
      </c>
      <c r="C10" s="53">
        <v>9.17</v>
      </c>
      <c r="D10" s="53">
        <v>10.27</v>
      </c>
      <c r="E10" s="53">
        <v>4.74</v>
      </c>
      <c r="F10" s="53">
        <v>9.08</v>
      </c>
      <c r="G10" s="53">
        <v>34.979999999999997</v>
      </c>
      <c r="H10" s="53">
        <v>11.98</v>
      </c>
      <c r="I10" s="53">
        <v>1.0900000000000001</v>
      </c>
      <c r="J10" s="53">
        <v>0.38</v>
      </c>
      <c r="K10" s="53">
        <v>150.56</v>
      </c>
      <c r="L10" s="53">
        <v>24.71</v>
      </c>
      <c r="M10" s="53">
        <v>98.92</v>
      </c>
      <c r="N10" s="53">
        <v>46.6</v>
      </c>
      <c r="O10" s="53">
        <v>0</v>
      </c>
      <c r="P10" s="53">
        <v>0.23</v>
      </c>
      <c r="Q10" s="53">
        <v>9.11</v>
      </c>
      <c r="R10" s="43"/>
      <c r="S10" s="43"/>
      <c r="T10" s="43"/>
      <c r="U10" s="43"/>
    </row>
    <row r="11" spans="1:21" s="11" customFormat="1" x14ac:dyDescent="0.25">
      <c r="A11" s="52" t="s">
        <v>446</v>
      </c>
      <c r="B11" s="53">
        <v>6.86</v>
      </c>
      <c r="C11" s="53">
        <v>9.26</v>
      </c>
      <c r="D11" s="53">
        <v>10.220000000000001</v>
      </c>
      <c r="E11" s="53">
        <v>4.7699999999999996</v>
      </c>
      <c r="F11" s="53">
        <v>9.16</v>
      </c>
      <c r="G11" s="53">
        <v>23.23</v>
      </c>
      <c r="H11" s="53">
        <v>11.33</v>
      </c>
      <c r="I11" s="53">
        <v>1.08</v>
      </c>
      <c r="J11" s="53">
        <v>0.16</v>
      </c>
      <c r="K11" s="53">
        <v>213.93</v>
      </c>
      <c r="L11" s="53">
        <v>24.53</v>
      </c>
      <c r="M11" s="53">
        <v>98.97</v>
      </c>
      <c r="N11" s="53">
        <v>47.3</v>
      </c>
      <c r="O11" s="53">
        <v>0</v>
      </c>
      <c r="P11" s="53">
        <v>0.23</v>
      </c>
      <c r="Q11" s="53">
        <v>9.08</v>
      </c>
      <c r="R11" s="43"/>
      <c r="S11" s="43"/>
      <c r="T11" s="43"/>
      <c r="U11" s="43"/>
    </row>
    <row r="12" spans="1:21" s="11" customFormat="1" x14ac:dyDescent="0.25">
      <c r="A12" s="52" t="s">
        <v>447</v>
      </c>
      <c r="B12" s="53">
        <v>4.93</v>
      </c>
      <c r="C12" s="53">
        <v>8.9600000000000009</v>
      </c>
      <c r="D12" s="53">
        <v>8.6300000000000008</v>
      </c>
      <c r="E12" s="53">
        <v>4.9800000000000004</v>
      </c>
      <c r="F12" s="53">
        <v>9.7200000000000006</v>
      </c>
      <c r="G12" s="53">
        <v>22.21</v>
      </c>
      <c r="H12" s="53">
        <v>8.18</v>
      </c>
      <c r="I12" s="53">
        <v>1.02</v>
      </c>
      <c r="J12" s="53">
        <v>0.28000000000000003</v>
      </c>
      <c r="K12" s="53">
        <v>167.32</v>
      </c>
      <c r="L12" s="53">
        <v>24.4</v>
      </c>
      <c r="M12" s="53">
        <v>98.98</v>
      </c>
      <c r="N12" s="53">
        <v>48.9</v>
      </c>
      <c r="O12" s="53">
        <v>0</v>
      </c>
      <c r="P12" s="53">
        <v>0.16</v>
      </c>
      <c r="Q12" s="53">
        <v>9.1300000000000008</v>
      </c>
      <c r="R12" s="43"/>
      <c r="S12" s="43"/>
      <c r="T12" s="43"/>
      <c r="U12" s="43"/>
    </row>
    <row r="13" spans="1:21" s="11" customFormat="1" x14ac:dyDescent="0.25">
      <c r="A13" s="52" t="s">
        <v>448</v>
      </c>
      <c r="B13" s="53">
        <v>8.65</v>
      </c>
      <c r="C13" s="53">
        <v>12.65</v>
      </c>
      <c r="D13" s="53">
        <v>13.04</v>
      </c>
      <c r="E13" s="53">
        <v>4.84</v>
      </c>
      <c r="F13" s="53">
        <v>7.36</v>
      </c>
      <c r="G13" s="53">
        <v>21.2</v>
      </c>
      <c r="H13" s="53">
        <v>8.18</v>
      </c>
      <c r="I13" s="53">
        <v>1.02</v>
      </c>
      <c r="J13" s="53">
        <v>0.15</v>
      </c>
      <c r="K13" s="53">
        <v>342.46</v>
      </c>
      <c r="L13" s="53">
        <v>24.18</v>
      </c>
      <c r="M13" s="53">
        <v>99</v>
      </c>
      <c r="N13" s="53">
        <v>50.6</v>
      </c>
      <c r="O13" s="53">
        <v>0</v>
      </c>
      <c r="P13" s="53">
        <v>0.21</v>
      </c>
      <c r="Q13" s="53">
        <v>9.15</v>
      </c>
      <c r="R13" s="43"/>
      <c r="S13" s="43"/>
      <c r="T13" s="43"/>
      <c r="U13" s="43"/>
    </row>
    <row r="14" spans="1:21" s="11" customFormat="1" x14ac:dyDescent="0.25">
      <c r="A14" s="52" t="s">
        <v>449</v>
      </c>
      <c r="B14" s="53">
        <v>8.92</v>
      </c>
      <c r="C14" s="53">
        <v>13.26</v>
      </c>
      <c r="D14" s="53">
        <v>14.08</v>
      </c>
      <c r="E14" s="53">
        <v>4.84</v>
      </c>
      <c r="F14" s="53">
        <v>6.84</v>
      </c>
      <c r="G14" s="53">
        <v>22.34</v>
      </c>
      <c r="H14" s="53">
        <v>8.18</v>
      </c>
      <c r="I14" s="53">
        <v>0.98</v>
      </c>
      <c r="J14" s="53">
        <v>0.13</v>
      </c>
      <c r="K14" s="53">
        <v>256.20999999999998</v>
      </c>
      <c r="L14" s="53">
        <v>24.05</v>
      </c>
      <c r="M14" s="53">
        <v>99.04</v>
      </c>
      <c r="N14" s="53">
        <v>74.8</v>
      </c>
      <c r="O14" s="53">
        <v>0</v>
      </c>
      <c r="P14" s="53">
        <v>0.22</v>
      </c>
      <c r="Q14" s="53">
        <v>9.14</v>
      </c>
      <c r="R14" s="43"/>
      <c r="S14" s="43"/>
      <c r="T14" s="43"/>
      <c r="U14" s="43"/>
    </row>
    <row r="15" spans="1:21" s="11" customFormat="1" x14ac:dyDescent="0.25">
      <c r="A15" s="52" t="s">
        <v>450</v>
      </c>
      <c r="B15" s="53">
        <v>10.7</v>
      </c>
      <c r="C15" s="53">
        <v>17.27</v>
      </c>
      <c r="D15" s="53">
        <v>16.63</v>
      </c>
      <c r="E15" s="53">
        <v>4.7300000000000004</v>
      </c>
      <c r="F15" s="53">
        <v>5.88</v>
      </c>
      <c r="G15" s="53">
        <v>23.42</v>
      </c>
      <c r="H15" s="53">
        <v>8.18</v>
      </c>
      <c r="I15" s="53">
        <v>0.91</v>
      </c>
      <c r="J15" s="53">
        <v>0.81</v>
      </c>
      <c r="K15" s="53">
        <v>139.33000000000001</v>
      </c>
      <c r="L15" s="53">
        <v>24.86</v>
      </c>
      <c r="M15" s="53">
        <v>99.03</v>
      </c>
      <c r="N15" s="53">
        <v>165.1</v>
      </c>
      <c r="O15" s="53">
        <v>0</v>
      </c>
      <c r="P15" s="53">
        <v>0.21</v>
      </c>
      <c r="Q15" s="53">
        <v>9.15</v>
      </c>
      <c r="R15" s="43"/>
      <c r="S15" s="43"/>
      <c r="T15" s="43"/>
      <c r="U15" s="43"/>
    </row>
    <row r="16" spans="1:21" s="11" customFormat="1" x14ac:dyDescent="0.25">
      <c r="A16" s="52" t="s">
        <v>451</v>
      </c>
      <c r="B16" s="53">
        <v>12.05</v>
      </c>
      <c r="C16" s="53">
        <v>13.07</v>
      </c>
      <c r="D16" s="53">
        <v>16.489999999999998</v>
      </c>
      <c r="E16" s="53">
        <v>5.12</v>
      </c>
      <c r="F16" s="53">
        <v>9.6999999999999993</v>
      </c>
      <c r="G16" s="53">
        <v>27.28</v>
      </c>
      <c r="H16" s="53">
        <v>8.18</v>
      </c>
      <c r="I16" s="53">
        <v>0.92</v>
      </c>
      <c r="J16" s="53">
        <v>0.51</v>
      </c>
      <c r="K16" s="53">
        <v>266.13</v>
      </c>
      <c r="L16" s="53">
        <v>25.78</v>
      </c>
      <c r="M16" s="53">
        <v>98.99</v>
      </c>
      <c r="N16" s="53">
        <v>267.8</v>
      </c>
      <c r="O16" s="53">
        <v>0</v>
      </c>
      <c r="P16" s="53">
        <v>0.22</v>
      </c>
      <c r="Q16" s="53">
        <v>9.18</v>
      </c>
      <c r="R16" s="43"/>
      <c r="S16" s="43"/>
      <c r="T16" s="43"/>
      <c r="U16" s="43"/>
    </row>
    <row r="17" spans="1:21" s="11" customFormat="1" x14ac:dyDescent="0.25">
      <c r="A17" s="52" t="s">
        <v>452</v>
      </c>
      <c r="B17" s="53">
        <v>10.61</v>
      </c>
      <c r="C17" s="53">
        <v>12.15</v>
      </c>
      <c r="D17" s="53">
        <v>14.8</v>
      </c>
      <c r="E17" s="53">
        <v>5.21</v>
      </c>
      <c r="F17" s="53">
        <v>10.01</v>
      </c>
      <c r="G17" s="53">
        <v>29.28</v>
      </c>
      <c r="H17" s="53">
        <v>18.21</v>
      </c>
      <c r="I17" s="53">
        <v>0.94</v>
      </c>
      <c r="J17" s="53">
        <v>0.21</v>
      </c>
      <c r="K17" s="53">
        <v>232.48</v>
      </c>
      <c r="L17" s="53">
        <v>28.49</v>
      </c>
      <c r="M17" s="53">
        <v>98.95</v>
      </c>
      <c r="N17" s="53">
        <v>566.70000000000005</v>
      </c>
      <c r="O17" s="53">
        <v>0</v>
      </c>
      <c r="P17" s="53">
        <v>0.23</v>
      </c>
      <c r="Q17" s="53">
        <v>9.1999999999999993</v>
      </c>
      <c r="R17" s="43"/>
      <c r="S17" s="43"/>
      <c r="T17" s="43"/>
      <c r="U17" s="43"/>
    </row>
    <row r="18" spans="1:21" s="11" customFormat="1" x14ac:dyDescent="0.25">
      <c r="A18" s="52" t="s">
        <v>453</v>
      </c>
      <c r="B18" s="53">
        <v>10.74</v>
      </c>
      <c r="C18" s="53">
        <v>11.33</v>
      </c>
      <c r="D18" s="53">
        <v>14.53</v>
      </c>
      <c r="E18" s="53">
        <v>5.15</v>
      </c>
      <c r="F18" s="53">
        <v>7.88</v>
      </c>
      <c r="G18" s="53">
        <v>29.28</v>
      </c>
      <c r="H18" s="53">
        <v>16.739999999999998</v>
      </c>
      <c r="I18" s="53">
        <v>0.97</v>
      </c>
      <c r="J18" s="53">
        <v>0.18</v>
      </c>
      <c r="K18" s="53">
        <v>291.49</v>
      </c>
      <c r="L18" s="53">
        <v>30.15</v>
      </c>
      <c r="M18" s="53">
        <v>91.59</v>
      </c>
      <c r="N18" s="53">
        <v>733.7</v>
      </c>
      <c r="O18" s="53">
        <v>0</v>
      </c>
      <c r="P18" s="53">
        <v>0.27</v>
      </c>
      <c r="Q18" s="53">
        <v>9.19</v>
      </c>
      <c r="R18" s="43"/>
      <c r="S18" s="43"/>
      <c r="T18" s="43"/>
      <c r="U18" s="43"/>
    </row>
    <row r="19" spans="1:21" s="11" customFormat="1" x14ac:dyDescent="0.25">
      <c r="A19" s="52" t="s">
        <v>454</v>
      </c>
      <c r="B19" s="53">
        <v>8.9700000000000006</v>
      </c>
      <c r="C19" s="53">
        <v>13.69</v>
      </c>
      <c r="D19" s="53">
        <v>13.51</v>
      </c>
      <c r="E19" s="53">
        <v>4.9400000000000004</v>
      </c>
      <c r="F19" s="53">
        <v>7.25</v>
      </c>
      <c r="G19" s="53">
        <v>34.76</v>
      </c>
      <c r="H19" s="53">
        <v>17.170000000000002</v>
      </c>
      <c r="I19" s="53">
        <v>0.91</v>
      </c>
      <c r="J19" s="53">
        <v>0.2</v>
      </c>
      <c r="K19" s="53">
        <v>290.66000000000003</v>
      </c>
      <c r="L19" s="53">
        <v>31.41</v>
      </c>
      <c r="M19" s="53">
        <v>83.5</v>
      </c>
      <c r="N19" s="53">
        <v>834.6</v>
      </c>
      <c r="O19" s="53">
        <v>0</v>
      </c>
      <c r="P19" s="53">
        <v>0.26</v>
      </c>
      <c r="Q19" s="53">
        <v>9.08</v>
      </c>
      <c r="R19" s="43"/>
      <c r="S19" s="43"/>
      <c r="T19" s="43"/>
      <c r="U19" s="43"/>
    </row>
    <row r="20" spans="1:21" s="11" customFormat="1" x14ac:dyDescent="0.25">
      <c r="A20" s="52" t="s">
        <v>455</v>
      </c>
      <c r="B20" s="53">
        <v>7.42</v>
      </c>
      <c r="C20" s="53">
        <v>15.26</v>
      </c>
      <c r="D20" s="53">
        <v>13.92</v>
      </c>
      <c r="E20" s="53">
        <v>4.78</v>
      </c>
      <c r="F20" s="53">
        <v>12.6</v>
      </c>
      <c r="G20" s="53">
        <v>35.880000000000003</v>
      </c>
      <c r="H20" s="53">
        <v>17.170000000000002</v>
      </c>
      <c r="I20" s="53">
        <v>0.9</v>
      </c>
      <c r="J20" s="53">
        <v>0.17</v>
      </c>
      <c r="K20" s="53">
        <v>282.94</v>
      </c>
      <c r="L20" s="53">
        <v>31.83</v>
      </c>
      <c r="M20" s="53">
        <v>78.7</v>
      </c>
      <c r="N20" s="53">
        <v>814.9</v>
      </c>
      <c r="O20" s="53">
        <v>0</v>
      </c>
      <c r="P20" s="53">
        <v>0.28000000000000003</v>
      </c>
      <c r="Q20" s="53">
        <v>9.02</v>
      </c>
      <c r="R20" s="43"/>
      <c r="S20" s="43"/>
      <c r="T20" s="43"/>
      <c r="U20" s="43"/>
    </row>
    <row r="21" spans="1:21" s="11" customFormat="1" x14ac:dyDescent="0.25">
      <c r="A21" s="52" t="s">
        <v>456</v>
      </c>
      <c r="B21" s="53">
        <v>9.3699999999999992</v>
      </c>
      <c r="C21" s="53">
        <v>18.059999999999999</v>
      </c>
      <c r="D21" s="53">
        <v>16.899999999999999</v>
      </c>
      <c r="E21" s="53">
        <v>5.17</v>
      </c>
      <c r="F21" s="53">
        <v>11.34</v>
      </c>
      <c r="G21" s="53">
        <v>37.869999999999997</v>
      </c>
      <c r="H21" s="53">
        <v>18.93</v>
      </c>
      <c r="I21" s="53">
        <v>0.88</v>
      </c>
      <c r="J21" s="53">
        <v>0.2</v>
      </c>
      <c r="K21" s="53">
        <v>291.54000000000002</v>
      </c>
      <c r="L21" s="53">
        <v>31.33</v>
      </c>
      <c r="M21" s="53">
        <v>77.81</v>
      </c>
      <c r="N21" s="53">
        <v>576.70000000000005</v>
      </c>
      <c r="O21" s="53">
        <v>0</v>
      </c>
      <c r="P21" s="53">
        <v>0.34</v>
      </c>
      <c r="Q21" s="53">
        <v>9.0500000000000007</v>
      </c>
      <c r="R21" s="43"/>
      <c r="S21" s="43"/>
      <c r="T21" s="43"/>
      <c r="U21" s="43"/>
    </row>
    <row r="22" spans="1:21" s="11" customFormat="1" x14ac:dyDescent="0.25">
      <c r="A22" s="52" t="s">
        <v>457</v>
      </c>
      <c r="B22" s="53">
        <v>9.16</v>
      </c>
      <c r="C22" s="53">
        <v>16.47</v>
      </c>
      <c r="D22" s="53">
        <v>15.73</v>
      </c>
      <c r="E22" s="53">
        <v>5.04</v>
      </c>
      <c r="F22" s="53">
        <v>10.94</v>
      </c>
      <c r="G22" s="53">
        <v>46.34</v>
      </c>
      <c r="H22" s="53">
        <v>20.350000000000001</v>
      </c>
      <c r="I22" s="53">
        <v>0.9</v>
      </c>
      <c r="J22" s="53">
        <v>0.24</v>
      </c>
      <c r="K22" s="53">
        <v>309.06</v>
      </c>
      <c r="L22" s="53">
        <v>32.08</v>
      </c>
      <c r="M22" s="53">
        <v>74.540000000000006</v>
      </c>
      <c r="N22" s="53">
        <v>377.2</v>
      </c>
      <c r="O22" s="53">
        <v>0</v>
      </c>
      <c r="P22" s="53">
        <v>0.3</v>
      </c>
      <c r="Q22" s="53">
        <v>9.06</v>
      </c>
      <c r="R22" s="43"/>
      <c r="S22" s="43"/>
      <c r="T22" s="43"/>
      <c r="U22" s="43"/>
    </row>
    <row r="23" spans="1:21" s="11" customFormat="1" x14ac:dyDescent="0.25">
      <c r="A23" s="52" t="s">
        <v>458</v>
      </c>
      <c r="B23" s="53">
        <v>7.9</v>
      </c>
      <c r="C23" s="53">
        <v>14.04</v>
      </c>
      <c r="D23" s="53">
        <v>13.31</v>
      </c>
      <c r="E23" s="53">
        <v>4.75</v>
      </c>
      <c r="F23" s="53">
        <v>6.73</v>
      </c>
      <c r="G23" s="53">
        <v>47.4</v>
      </c>
      <c r="H23" s="53">
        <v>20.350000000000001</v>
      </c>
      <c r="I23" s="53">
        <v>0.89</v>
      </c>
      <c r="J23" s="53">
        <v>0.19</v>
      </c>
      <c r="K23" s="53">
        <v>288.08</v>
      </c>
      <c r="L23" s="53">
        <v>31.62</v>
      </c>
      <c r="M23" s="53">
        <v>70.81</v>
      </c>
      <c r="N23" s="53">
        <v>351.2</v>
      </c>
      <c r="O23" s="53">
        <v>0</v>
      </c>
      <c r="P23" s="53">
        <v>0.28000000000000003</v>
      </c>
      <c r="Q23" s="53">
        <v>9.0399999999999991</v>
      </c>
      <c r="R23" s="43"/>
      <c r="S23" s="43"/>
      <c r="T23" s="43"/>
      <c r="U23" s="43"/>
    </row>
    <row r="24" spans="1:21" s="11" customFormat="1" x14ac:dyDescent="0.25">
      <c r="A24" s="52" t="s">
        <v>459</v>
      </c>
      <c r="B24" s="53">
        <v>5.85</v>
      </c>
      <c r="C24" s="53">
        <v>14.91</v>
      </c>
      <c r="D24" s="53">
        <v>12.43</v>
      </c>
      <c r="E24" s="53">
        <v>4.8499999999999996</v>
      </c>
      <c r="F24" s="53">
        <v>7.4</v>
      </c>
      <c r="G24" s="53">
        <v>47.4</v>
      </c>
      <c r="H24" s="53">
        <v>10.38</v>
      </c>
      <c r="I24" s="53">
        <v>0.83</v>
      </c>
      <c r="J24" s="53">
        <v>0.2</v>
      </c>
      <c r="K24" s="53">
        <v>306.89</v>
      </c>
      <c r="L24" s="53">
        <v>31.83</v>
      </c>
      <c r="M24" s="53">
        <v>71.040000000000006</v>
      </c>
      <c r="N24" s="53">
        <v>292</v>
      </c>
      <c r="O24" s="53">
        <v>0</v>
      </c>
      <c r="P24" s="53">
        <v>0.28000000000000003</v>
      </c>
      <c r="Q24" s="53">
        <v>9.01</v>
      </c>
      <c r="R24" s="43"/>
      <c r="S24" s="43"/>
      <c r="T24" s="43"/>
      <c r="U24" s="43"/>
    </row>
    <row r="25" spans="1:21" s="11" customFormat="1" x14ac:dyDescent="0.25">
      <c r="A25" s="52" t="s">
        <v>460</v>
      </c>
      <c r="B25" s="53">
        <v>6.85</v>
      </c>
      <c r="C25" s="53">
        <v>16.47</v>
      </c>
      <c r="D25" s="53">
        <v>14.1</v>
      </c>
      <c r="E25" s="53">
        <v>4.8099999999999996</v>
      </c>
      <c r="F25" s="53">
        <v>12.09</v>
      </c>
      <c r="G25" s="53">
        <v>52.76</v>
      </c>
      <c r="H25" s="53">
        <v>11.75</v>
      </c>
      <c r="I25" s="53">
        <v>0.81</v>
      </c>
      <c r="J25" s="53">
        <v>0.21</v>
      </c>
      <c r="K25" s="53">
        <v>285.13</v>
      </c>
      <c r="L25" s="53">
        <v>31.11</v>
      </c>
      <c r="M25" s="53">
        <v>90.56</v>
      </c>
      <c r="N25" s="53">
        <v>184.7</v>
      </c>
      <c r="O25" s="53">
        <v>0</v>
      </c>
      <c r="P25" s="53">
        <v>0.32</v>
      </c>
      <c r="Q25" s="53">
        <v>9.02</v>
      </c>
      <c r="R25" s="43"/>
      <c r="S25" s="43"/>
      <c r="T25" s="43"/>
      <c r="U25" s="43"/>
    </row>
    <row r="26" spans="1:21" s="11" customFormat="1" x14ac:dyDescent="0.25">
      <c r="A26" s="52" t="s">
        <v>461</v>
      </c>
      <c r="B26" s="53">
        <v>5.14</v>
      </c>
      <c r="C26" s="53">
        <v>16.510000000000002</v>
      </c>
      <c r="D26" s="53">
        <v>12.74</v>
      </c>
      <c r="E26" s="53">
        <v>4.83</v>
      </c>
      <c r="F26" s="53">
        <v>11.74</v>
      </c>
      <c r="G26" s="53">
        <v>52.76</v>
      </c>
      <c r="H26" s="53">
        <v>14.02</v>
      </c>
      <c r="I26" s="53">
        <v>0.77</v>
      </c>
      <c r="J26" s="53">
        <v>1.02</v>
      </c>
      <c r="K26" s="53">
        <v>167.2</v>
      </c>
      <c r="L26" s="53">
        <v>27.41</v>
      </c>
      <c r="M26" s="53">
        <v>94.28</v>
      </c>
      <c r="N26" s="53">
        <v>48.6</v>
      </c>
      <c r="O26" s="53">
        <v>0</v>
      </c>
      <c r="P26" s="53">
        <v>0.23</v>
      </c>
      <c r="Q26" s="53">
        <v>9.0299999999999994</v>
      </c>
      <c r="R26" s="43"/>
      <c r="S26" s="43"/>
      <c r="T26" s="43"/>
      <c r="U26" s="43"/>
    </row>
    <row r="27" spans="1:21" s="11" customFormat="1" x14ac:dyDescent="0.25">
      <c r="A27" s="52" t="s">
        <v>462</v>
      </c>
      <c r="B27" s="53">
        <v>9.61</v>
      </c>
      <c r="C27" s="53">
        <v>15.3</v>
      </c>
      <c r="D27" s="53">
        <v>15.69</v>
      </c>
      <c r="E27" s="53">
        <v>4.9000000000000004</v>
      </c>
      <c r="F27" s="53">
        <v>8.36</v>
      </c>
      <c r="G27" s="53">
        <v>40.32</v>
      </c>
      <c r="H27" s="53">
        <v>14.02</v>
      </c>
      <c r="I27" s="53">
        <v>0.9</v>
      </c>
      <c r="J27" s="53">
        <v>1.18</v>
      </c>
      <c r="K27" s="53">
        <v>337.76</v>
      </c>
      <c r="L27" s="53">
        <v>26.71</v>
      </c>
      <c r="M27" s="53">
        <v>98.03</v>
      </c>
      <c r="N27" s="53">
        <v>40.799999999999997</v>
      </c>
      <c r="O27" s="53">
        <v>0</v>
      </c>
      <c r="P27" s="53">
        <v>0.35</v>
      </c>
      <c r="Q27" s="53">
        <v>9.0399999999999991</v>
      </c>
      <c r="R27" s="43"/>
      <c r="S27" s="43"/>
      <c r="T27" s="43"/>
      <c r="U27" s="43"/>
    </row>
    <row r="28" spans="1:21" s="11" customFormat="1" x14ac:dyDescent="0.25">
      <c r="A28" s="52" t="s">
        <v>463</v>
      </c>
      <c r="B28" s="53">
        <v>11.19</v>
      </c>
      <c r="C28" s="53">
        <v>15.61</v>
      </c>
      <c r="D28" s="53">
        <v>17.100000000000001</v>
      </c>
      <c r="E28" s="53">
        <v>4.74</v>
      </c>
      <c r="F28" s="53">
        <v>7.26</v>
      </c>
      <c r="G28" s="53">
        <v>42.3</v>
      </c>
      <c r="H28" s="53">
        <v>7.85</v>
      </c>
      <c r="I28" s="53">
        <v>0.99</v>
      </c>
      <c r="J28" s="53">
        <v>1.69</v>
      </c>
      <c r="K28" s="53">
        <v>339.01</v>
      </c>
      <c r="L28" s="53">
        <v>25.49</v>
      </c>
      <c r="M28" s="53">
        <v>98.94</v>
      </c>
      <c r="N28" s="53">
        <v>40</v>
      </c>
      <c r="O28" s="53">
        <v>0.4</v>
      </c>
      <c r="P28" s="53">
        <v>0.43</v>
      </c>
      <c r="Q28" s="53">
        <v>9.14</v>
      </c>
      <c r="R28" s="43"/>
      <c r="S28" s="43"/>
      <c r="T28" s="43"/>
      <c r="U28" s="43"/>
    </row>
    <row r="29" spans="1:21" s="11" customFormat="1" x14ac:dyDescent="0.25">
      <c r="A29" s="52" t="s">
        <v>464</v>
      </c>
      <c r="B29" s="53">
        <v>19.89</v>
      </c>
      <c r="C29" s="53">
        <v>28.8</v>
      </c>
      <c r="D29" s="53">
        <v>30.4</v>
      </c>
      <c r="E29" s="53">
        <v>4.99</v>
      </c>
      <c r="F29" s="53">
        <v>8.14</v>
      </c>
      <c r="G29" s="53">
        <v>44.54</v>
      </c>
      <c r="H29" s="53">
        <v>24.05</v>
      </c>
      <c r="I29" s="53">
        <v>1.1499999999999999</v>
      </c>
      <c r="J29" s="53">
        <v>0.72</v>
      </c>
      <c r="K29" s="53">
        <v>337.39</v>
      </c>
      <c r="L29" s="53">
        <v>23.91</v>
      </c>
      <c r="M29" s="53">
        <v>99.02</v>
      </c>
      <c r="N29" s="53">
        <v>39.9</v>
      </c>
      <c r="O29" s="53">
        <v>0</v>
      </c>
      <c r="P29" s="53">
        <v>0.9</v>
      </c>
      <c r="Q29" s="53">
        <v>9.26</v>
      </c>
      <c r="R29" s="43"/>
      <c r="S29" s="43"/>
      <c r="T29" s="43"/>
      <c r="U29" s="43"/>
    </row>
    <row r="30" spans="1:21" s="11" customFormat="1" x14ac:dyDescent="0.25">
      <c r="A30" s="52" t="s">
        <v>465</v>
      </c>
      <c r="B30" s="53">
        <v>15.62</v>
      </c>
      <c r="C30" s="53">
        <v>30.49</v>
      </c>
      <c r="D30" s="53">
        <v>28.46</v>
      </c>
      <c r="E30" s="53">
        <v>4.96</v>
      </c>
      <c r="F30" s="53">
        <v>6.47</v>
      </c>
      <c r="G30" s="53">
        <v>47.62</v>
      </c>
      <c r="H30" s="53">
        <v>24.05</v>
      </c>
      <c r="I30" s="53">
        <v>1.31</v>
      </c>
      <c r="J30" s="53">
        <v>0.12</v>
      </c>
      <c r="K30" s="53">
        <v>227.23</v>
      </c>
      <c r="L30" s="53">
        <v>24.04</v>
      </c>
      <c r="M30" s="53">
        <v>99</v>
      </c>
      <c r="N30" s="53">
        <v>39.6</v>
      </c>
      <c r="O30" s="53">
        <v>0</v>
      </c>
      <c r="P30" s="53">
        <v>0.65</v>
      </c>
      <c r="Q30" s="53">
        <v>9.33</v>
      </c>
      <c r="R30" s="43"/>
      <c r="S30" s="43"/>
      <c r="T30" s="43"/>
      <c r="U30" s="43"/>
    </row>
    <row r="31" spans="1:21" s="11" customFormat="1" x14ac:dyDescent="0.25">
      <c r="A31" s="52" t="s">
        <v>466</v>
      </c>
      <c r="B31" s="53">
        <v>11.34</v>
      </c>
      <c r="C31" s="53">
        <v>23.48</v>
      </c>
      <c r="D31" s="53">
        <v>20.12</v>
      </c>
      <c r="E31" s="53">
        <v>5.09</v>
      </c>
      <c r="F31" s="53">
        <v>6.97</v>
      </c>
      <c r="G31" s="53">
        <v>49.86</v>
      </c>
      <c r="H31" s="53">
        <v>31.19</v>
      </c>
      <c r="I31" s="53">
        <v>1.34</v>
      </c>
      <c r="J31" s="53">
        <v>0.66</v>
      </c>
      <c r="K31" s="53">
        <v>353.53</v>
      </c>
      <c r="L31" s="53">
        <v>24.21</v>
      </c>
      <c r="M31" s="53">
        <v>98.52</v>
      </c>
      <c r="N31" s="53">
        <v>39.799999999999997</v>
      </c>
      <c r="O31" s="53">
        <v>0</v>
      </c>
      <c r="P31" s="53">
        <v>0.47</v>
      </c>
      <c r="Q31" s="53">
        <v>9.35</v>
      </c>
      <c r="R31" s="43"/>
      <c r="S31" s="43"/>
      <c r="T31" s="43"/>
      <c r="U31" s="43"/>
    </row>
    <row r="32" spans="1:21" s="11" customFormat="1" x14ac:dyDescent="0.25">
      <c r="A32" s="52" t="s">
        <v>467</v>
      </c>
      <c r="B32" s="53">
        <v>10.42</v>
      </c>
      <c r="C32" s="53">
        <v>13.96</v>
      </c>
      <c r="D32" s="53">
        <v>15.16</v>
      </c>
      <c r="E32" s="53">
        <v>5.5</v>
      </c>
      <c r="F32" s="53">
        <v>9.02</v>
      </c>
      <c r="G32" s="53">
        <v>49.86</v>
      </c>
      <c r="H32" s="53">
        <v>31.19</v>
      </c>
      <c r="I32" s="53">
        <v>1.3</v>
      </c>
      <c r="J32" s="53">
        <v>0.47</v>
      </c>
      <c r="K32" s="53">
        <v>141.63999999999999</v>
      </c>
      <c r="L32" s="53">
        <v>24.44</v>
      </c>
      <c r="M32" s="53">
        <v>98.55</v>
      </c>
      <c r="N32" s="53">
        <v>39.9</v>
      </c>
      <c r="O32" s="53">
        <v>0</v>
      </c>
      <c r="P32" s="53">
        <v>0.4</v>
      </c>
      <c r="Q32" s="53">
        <v>9.2799999999999994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4.93</v>
      </c>
      <c r="C34" s="28">
        <f t="shared" si="0"/>
        <v>8.9600000000000009</v>
      </c>
      <c r="D34" s="28">
        <f t="shared" si="0"/>
        <v>8.6300000000000008</v>
      </c>
      <c r="E34" s="28">
        <f t="shared" si="0"/>
        <v>4.7300000000000004</v>
      </c>
      <c r="F34" s="28">
        <f t="shared" si="0"/>
        <v>5.88</v>
      </c>
      <c r="G34" s="28">
        <f t="shared" si="0"/>
        <v>21.2</v>
      </c>
      <c r="H34" s="28">
        <f t="shared" si="0"/>
        <v>7.85</v>
      </c>
      <c r="I34" s="28">
        <f t="shared" si="0"/>
        <v>0.77</v>
      </c>
      <c r="J34" s="28">
        <f t="shared" si="0"/>
        <v>0.12</v>
      </c>
      <c r="K34" s="28">
        <f t="shared" si="0"/>
        <v>139.33000000000001</v>
      </c>
      <c r="L34" s="28">
        <f t="shared" si="0"/>
        <v>23.91</v>
      </c>
      <c r="M34" s="28">
        <f t="shared" si="0"/>
        <v>70.81</v>
      </c>
      <c r="N34" s="28">
        <f t="shared" si="0"/>
        <v>39.6</v>
      </c>
      <c r="O34" s="28">
        <f t="shared" si="0"/>
        <v>0</v>
      </c>
      <c r="P34" s="28">
        <f t="shared" si="0"/>
        <v>0.16</v>
      </c>
      <c r="Q34" s="28">
        <f t="shared" si="0"/>
        <v>9.01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19.89</v>
      </c>
      <c r="C35" s="29">
        <f t="shared" si="1"/>
        <v>30.49</v>
      </c>
      <c r="D35" s="29">
        <f t="shared" si="1"/>
        <v>30.4</v>
      </c>
      <c r="E35" s="29">
        <f t="shared" si="1"/>
        <v>5.5</v>
      </c>
      <c r="F35" s="29">
        <f t="shared" si="1"/>
        <v>12.6</v>
      </c>
      <c r="G35" s="29">
        <f t="shared" si="1"/>
        <v>52.76</v>
      </c>
      <c r="H35" s="29">
        <f t="shared" si="1"/>
        <v>31.19</v>
      </c>
      <c r="I35" s="29">
        <f t="shared" si="1"/>
        <v>1.34</v>
      </c>
      <c r="J35" s="29">
        <f t="shared" si="1"/>
        <v>1.69</v>
      </c>
      <c r="K35" s="29">
        <f t="shared" si="1"/>
        <v>353.53</v>
      </c>
      <c r="L35" s="29">
        <f t="shared" si="1"/>
        <v>32.08</v>
      </c>
      <c r="M35" s="29">
        <f t="shared" si="1"/>
        <v>99.07</v>
      </c>
      <c r="N35" s="29">
        <f t="shared" si="1"/>
        <v>834.6</v>
      </c>
      <c r="O35" s="29">
        <f t="shared" si="1"/>
        <v>0.4</v>
      </c>
      <c r="P35" s="29">
        <f t="shared" si="1"/>
        <v>0.9</v>
      </c>
      <c r="Q35" s="29">
        <f t="shared" si="1"/>
        <v>9.35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9.4570833333333315</v>
      </c>
      <c r="C36" s="28">
        <f t="shared" si="2"/>
        <v>15.500833333333334</v>
      </c>
      <c r="D36" s="28">
        <f t="shared" si="2"/>
        <v>15.429166666666667</v>
      </c>
      <c r="E36" s="28">
        <f t="shared" si="2"/>
        <v>4.949583333333333</v>
      </c>
      <c r="F36" s="28">
        <f t="shared" si="2"/>
        <v>8.8466666666666676</v>
      </c>
      <c r="G36" s="28">
        <f t="shared" si="2"/>
        <v>37.653749999999995</v>
      </c>
      <c r="H36" s="28">
        <f t="shared" si="2"/>
        <v>15.649583333333338</v>
      </c>
      <c r="I36" s="28">
        <f t="shared" si="2"/>
        <v>1.0004166666666665</v>
      </c>
      <c r="J36" s="28">
        <f t="shared" si="2"/>
        <v>0.43500000000000005</v>
      </c>
      <c r="K36" s="28">
        <f t="shared" si="2"/>
        <v>257.38583333333332</v>
      </c>
      <c r="L36" s="28">
        <f t="shared" si="2"/>
        <v>27.227500000000003</v>
      </c>
      <c r="M36" s="28">
        <f t="shared" si="2"/>
        <v>92.326666666666668</v>
      </c>
      <c r="N36" s="28">
        <f t="shared" si="2"/>
        <v>240.31666666666669</v>
      </c>
      <c r="O36" s="28">
        <f t="shared" si="2"/>
        <v>1.6666666666666666E-2</v>
      </c>
      <c r="P36" s="28">
        <f t="shared" si="2"/>
        <v>0.32208333333333339</v>
      </c>
      <c r="Q36" s="28">
        <f t="shared" si="2"/>
        <v>9.1329166666666648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3.2836849385046571</v>
      </c>
      <c r="C37" s="28">
        <f t="shared" ref="C37:Q37" si="3">STDEV(C9:C32)</f>
        <v>5.3926398445245294</v>
      </c>
      <c r="D37" s="28">
        <f t="shared" si="3"/>
        <v>4.9883820821085312</v>
      </c>
      <c r="E37" s="28">
        <f t="shared" si="3"/>
        <v>0.19093543563128912</v>
      </c>
      <c r="F37" s="28">
        <f t="shared" si="3"/>
        <v>1.9390039277639544</v>
      </c>
      <c r="G37" s="28">
        <f t="shared" si="3"/>
        <v>10.685452448153022</v>
      </c>
      <c r="H37" s="28">
        <f t="shared" si="3"/>
        <v>6.9611739884233099</v>
      </c>
      <c r="I37" s="28">
        <f t="shared" si="3"/>
        <v>0.15900448904427861</v>
      </c>
      <c r="J37" s="28">
        <f t="shared" si="3"/>
        <v>0.39747026139782093</v>
      </c>
      <c r="K37" s="28">
        <f t="shared" si="3"/>
        <v>70.722091494541758</v>
      </c>
      <c r="L37" s="28">
        <f t="shared" si="3"/>
        <v>3.2320262186839992</v>
      </c>
      <c r="M37" s="28">
        <f t="shared" si="3"/>
        <v>10.123369290759905</v>
      </c>
      <c r="N37" s="28">
        <f t="shared" si="3"/>
        <v>270.23686657813914</v>
      </c>
      <c r="O37" s="28">
        <f t="shared" si="3"/>
        <v>8.1649658092772623E-2</v>
      </c>
      <c r="P37" s="28">
        <f t="shared" si="3"/>
        <v>0.16213196897070858</v>
      </c>
      <c r="Q37" s="28">
        <f t="shared" si="3"/>
        <v>9.8133855642119794E-2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468</v>
      </c>
      <c r="B9" s="53">
        <v>8.6</v>
      </c>
      <c r="C9" s="53">
        <v>11.87</v>
      </c>
      <c r="D9" s="53">
        <v>13.04</v>
      </c>
      <c r="E9" s="53">
        <v>5.65</v>
      </c>
      <c r="F9" s="53">
        <v>9.41</v>
      </c>
      <c r="G9" s="53">
        <v>41.68</v>
      </c>
      <c r="H9" s="53">
        <v>18.329999999999998</v>
      </c>
      <c r="I9" s="53">
        <v>1.26</v>
      </c>
      <c r="J9" s="53">
        <v>0.4</v>
      </c>
      <c r="K9" s="53">
        <v>227.2</v>
      </c>
      <c r="L9" s="53">
        <v>24.49</v>
      </c>
      <c r="M9" s="53">
        <v>98.63</v>
      </c>
      <c r="N9" s="53">
        <v>39.6</v>
      </c>
      <c r="O9" s="53">
        <v>0.2</v>
      </c>
      <c r="P9" s="53">
        <v>0.34</v>
      </c>
      <c r="Q9" s="53">
        <v>9.2200000000000006</v>
      </c>
      <c r="R9" s="43"/>
      <c r="S9" s="43"/>
      <c r="T9" s="43"/>
      <c r="U9" s="43"/>
    </row>
    <row r="10" spans="1:21" s="11" customFormat="1" x14ac:dyDescent="0.25">
      <c r="A10" s="52" t="s">
        <v>469</v>
      </c>
      <c r="B10" s="53">
        <v>5.67</v>
      </c>
      <c r="C10" s="53">
        <v>10.75</v>
      </c>
      <c r="D10" s="53">
        <v>10.16</v>
      </c>
      <c r="E10" s="53">
        <v>5.52</v>
      </c>
      <c r="F10" s="53">
        <v>12.87</v>
      </c>
      <c r="G10" s="53">
        <v>27.52</v>
      </c>
      <c r="H10" s="53">
        <v>7.9</v>
      </c>
      <c r="I10" s="53">
        <v>1.0900000000000001</v>
      </c>
      <c r="J10" s="53">
        <v>0.14000000000000001</v>
      </c>
      <c r="K10" s="53">
        <v>181.05</v>
      </c>
      <c r="L10" s="53">
        <v>23.96</v>
      </c>
      <c r="M10" s="53">
        <v>98.67</v>
      </c>
      <c r="N10" s="53">
        <v>39.5</v>
      </c>
      <c r="O10" s="53">
        <v>0</v>
      </c>
      <c r="P10" s="53">
        <v>0.2</v>
      </c>
      <c r="Q10" s="53">
        <v>9.19</v>
      </c>
      <c r="R10" s="43"/>
      <c r="S10" s="43"/>
      <c r="T10" s="43"/>
      <c r="U10" s="43"/>
    </row>
    <row r="11" spans="1:21" s="11" customFormat="1" x14ac:dyDescent="0.25">
      <c r="A11" s="52" t="s">
        <v>470</v>
      </c>
      <c r="B11" s="53">
        <v>8.0299999999999994</v>
      </c>
      <c r="C11" s="53">
        <v>9.84</v>
      </c>
      <c r="D11" s="53">
        <v>11.14</v>
      </c>
      <c r="E11" s="53">
        <v>5.77</v>
      </c>
      <c r="F11" s="53">
        <v>11.04</v>
      </c>
      <c r="G11" s="53">
        <v>22.34</v>
      </c>
      <c r="H11" s="53">
        <v>7.9</v>
      </c>
      <c r="I11" s="53">
        <v>1.02</v>
      </c>
      <c r="J11" s="53">
        <v>0.56000000000000005</v>
      </c>
      <c r="K11" s="53">
        <v>173.22</v>
      </c>
      <c r="L11" s="53">
        <v>23.87</v>
      </c>
      <c r="M11" s="53">
        <v>98.7</v>
      </c>
      <c r="N11" s="53">
        <v>39.4</v>
      </c>
      <c r="O11" s="53">
        <v>0</v>
      </c>
      <c r="P11" s="53">
        <v>0.28000000000000003</v>
      </c>
      <c r="Q11" s="53">
        <v>9.19</v>
      </c>
      <c r="R11" s="43"/>
      <c r="S11" s="43"/>
      <c r="T11" s="43"/>
      <c r="U11" s="43"/>
    </row>
    <row r="12" spans="1:21" s="11" customFormat="1" x14ac:dyDescent="0.25">
      <c r="A12" s="52" t="s">
        <v>471</v>
      </c>
      <c r="B12" s="53">
        <v>8.57</v>
      </c>
      <c r="C12" s="53">
        <v>9.94</v>
      </c>
      <c r="D12" s="53">
        <v>11.64</v>
      </c>
      <c r="E12" s="53">
        <v>5.73</v>
      </c>
      <c r="F12" s="53">
        <v>9.59</v>
      </c>
      <c r="G12" s="53">
        <v>22.34</v>
      </c>
      <c r="H12" s="53">
        <v>3.5</v>
      </c>
      <c r="I12" s="53">
        <v>1.07</v>
      </c>
      <c r="J12" s="53">
        <v>0.56000000000000005</v>
      </c>
      <c r="K12" s="53">
        <v>211.48</v>
      </c>
      <c r="L12" s="53">
        <v>23.95</v>
      </c>
      <c r="M12" s="53">
        <v>98.73</v>
      </c>
      <c r="N12" s="53">
        <v>39.5</v>
      </c>
      <c r="O12" s="53">
        <v>0</v>
      </c>
      <c r="P12" s="53">
        <v>0.24</v>
      </c>
      <c r="Q12" s="53">
        <v>9.15</v>
      </c>
      <c r="R12" s="43"/>
      <c r="S12" s="43"/>
      <c r="T12" s="43"/>
      <c r="U12" s="43"/>
    </row>
    <row r="13" spans="1:21" s="11" customFormat="1" x14ac:dyDescent="0.25">
      <c r="A13" s="52" t="s">
        <v>472</v>
      </c>
      <c r="B13" s="53">
        <v>7.5</v>
      </c>
      <c r="C13" s="53">
        <v>10.49</v>
      </c>
      <c r="D13" s="53">
        <v>11</v>
      </c>
      <c r="E13" s="53">
        <v>5.55</v>
      </c>
      <c r="F13" s="53">
        <v>7.3</v>
      </c>
      <c r="G13" s="53">
        <v>17.739999999999998</v>
      </c>
      <c r="H13" s="53">
        <v>2.87</v>
      </c>
      <c r="I13" s="53">
        <v>1.01</v>
      </c>
      <c r="J13" s="53">
        <v>0.06</v>
      </c>
      <c r="K13" s="53">
        <v>201.52</v>
      </c>
      <c r="L13" s="53">
        <v>24</v>
      </c>
      <c r="M13" s="53">
        <v>98.75</v>
      </c>
      <c r="N13" s="53">
        <v>39.6</v>
      </c>
      <c r="O13" s="53">
        <v>0</v>
      </c>
      <c r="P13" s="53">
        <v>0.22</v>
      </c>
      <c r="Q13" s="53">
        <v>9.1</v>
      </c>
      <c r="R13" s="43"/>
      <c r="S13" s="43"/>
      <c r="T13" s="43"/>
      <c r="U13" s="43"/>
    </row>
    <row r="14" spans="1:21" s="11" customFormat="1" x14ac:dyDescent="0.25">
      <c r="A14" s="52" t="s">
        <v>473</v>
      </c>
      <c r="B14" s="53">
        <v>23.95</v>
      </c>
      <c r="C14" s="53">
        <v>18.07</v>
      </c>
      <c r="D14" s="53">
        <v>28.65</v>
      </c>
      <c r="E14" s="53">
        <v>6.07</v>
      </c>
      <c r="F14" s="53">
        <v>8.65</v>
      </c>
      <c r="G14" s="53">
        <v>17.940000000000001</v>
      </c>
      <c r="H14" s="53">
        <v>2.87</v>
      </c>
      <c r="I14" s="53">
        <v>0.92</v>
      </c>
      <c r="J14" s="53">
        <v>0.24</v>
      </c>
      <c r="K14" s="53">
        <v>342.91</v>
      </c>
      <c r="L14" s="53">
        <v>24.02</v>
      </c>
      <c r="M14" s="53">
        <v>98.8</v>
      </c>
      <c r="N14" s="53">
        <v>65.3</v>
      </c>
      <c r="O14" s="53">
        <v>0</v>
      </c>
      <c r="P14" s="53">
        <v>0.46</v>
      </c>
      <c r="Q14" s="53">
        <v>9.16</v>
      </c>
      <c r="R14" s="43"/>
      <c r="S14" s="43"/>
      <c r="T14" s="43"/>
      <c r="U14" s="43"/>
    </row>
    <row r="15" spans="1:21" s="11" customFormat="1" x14ac:dyDescent="0.25">
      <c r="A15" s="52" t="s">
        <v>474</v>
      </c>
      <c r="B15" s="53">
        <v>24.68</v>
      </c>
      <c r="C15" s="53">
        <v>18.940000000000001</v>
      </c>
      <c r="D15" s="53">
        <v>27.7</v>
      </c>
      <c r="E15" s="53">
        <v>6</v>
      </c>
      <c r="F15" s="53">
        <v>7.76</v>
      </c>
      <c r="G15" s="53">
        <v>35.04</v>
      </c>
      <c r="H15" s="53">
        <v>12.71</v>
      </c>
      <c r="I15" s="53">
        <v>0.96</v>
      </c>
      <c r="J15" s="53">
        <v>0.27</v>
      </c>
      <c r="K15" s="53">
        <v>345.46</v>
      </c>
      <c r="L15" s="53">
        <v>25.87</v>
      </c>
      <c r="M15" s="53">
        <v>98.82</v>
      </c>
      <c r="N15" s="53">
        <v>148.1</v>
      </c>
      <c r="O15" s="53">
        <v>0</v>
      </c>
      <c r="P15" s="53">
        <v>0.44</v>
      </c>
      <c r="Q15" s="53">
        <v>9.2899999999999991</v>
      </c>
      <c r="R15" s="43"/>
      <c r="S15" s="43"/>
      <c r="T15" s="43"/>
      <c r="U15" s="43"/>
    </row>
    <row r="16" spans="1:21" s="11" customFormat="1" x14ac:dyDescent="0.25">
      <c r="A16" s="52" t="s">
        <v>475</v>
      </c>
      <c r="B16" s="53">
        <v>28.38</v>
      </c>
      <c r="C16" s="53">
        <v>22.71</v>
      </c>
      <c r="D16" s="53">
        <v>31.98</v>
      </c>
      <c r="E16" s="53">
        <v>5.8</v>
      </c>
      <c r="F16" s="53">
        <v>6.78</v>
      </c>
      <c r="G16" s="53">
        <v>55.94</v>
      </c>
      <c r="H16" s="53">
        <v>12.82</v>
      </c>
      <c r="I16" s="53">
        <v>1.1399999999999999</v>
      </c>
      <c r="J16" s="53">
        <v>0.49</v>
      </c>
      <c r="K16" s="53">
        <v>340.61</v>
      </c>
      <c r="L16" s="53">
        <v>26.79</v>
      </c>
      <c r="M16" s="53">
        <v>98.77</v>
      </c>
      <c r="N16" s="53">
        <v>228.8</v>
      </c>
      <c r="O16" s="53">
        <v>0</v>
      </c>
      <c r="P16" s="53">
        <v>0.62</v>
      </c>
      <c r="Q16" s="53">
        <v>9.36</v>
      </c>
      <c r="R16" s="43"/>
      <c r="S16" s="43"/>
      <c r="T16" s="43"/>
      <c r="U16" s="43"/>
    </row>
    <row r="17" spans="1:21" s="11" customFormat="1" x14ac:dyDescent="0.25">
      <c r="A17" s="52" t="s">
        <v>476</v>
      </c>
      <c r="B17" s="53">
        <v>15.72</v>
      </c>
      <c r="C17" s="53">
        <v>16.77</v>
      </c>
      <c r="D17" s="53">
        <v>20.72</v>
      </c>
      <c r="E17" s="53">
        <v>4.47</v>
      </c>
      <c r="F17" s="53">
        <v>7.73</v>
      </c>
      <c r="G17" s="53">
        <v>58.29</v>
      </c>
      <c r="H17" s="53">
        <v>12.82</v>
      </c>
      <c r="I17" s="53">
        <v>1.1399999999999999</v>
      </c>
      <c r="J17" s="53">
        <v>0.65</v>
      </c>
      <c r="K17" s="53">
        <v>158.49</v>
      </c>
      <c r="L17" s="53">
        <v>26.96</v>
      </c>
      <c r="M17" s="53">
        <v>98.74</v>
      </c>
      <c r="N17" s="53">
        <v>299.8</v>
      </c>
      <c r="O17" s="53">
        <v>0</v>
      </c>
      <c r="P17" s="53">
        <v>0.41</v>
      </c>
      <c r="Q17" s="53">
        <v>9.3699999999999992</v>
      </c>
      <c r="R17" s="43"/>
      <c r="S17" s="43"/>
      <c r="T17" s="43"/>
      <c r="U17" s="43"/>
    </row>
    <row r="18" spans="1:21" s="11" customFormat="1" x14ac:dyDescent="0.25">
      <c r="A18" s="52" t="s">
        <v>477</v>
      </c>
      <c r="B18" s="53">
        <v>14.72</v>
      </c>
      <c r="C18" s="53">
        <v>17</v>
      </c>
      <c r="D18" s="53">
        <v>18.29</v>
      </c>
      <c r="E18" s="53">
        <v>4.57</v>
      </c>
      <c r="F18" s="53">
        <v>12.01</v>
      </c>
      <c r="G18" s="53">
        <v>58.29</v>
      </c>
      <c r="H18" s="53">
        <v>18.940000000000001</v>
      </c>
      <c r="I18" s="53">
        <v>1.23</v>
      </c>
      <c r="J18" s="53">
        <v>0.49</v>
      </c>
      <c r="K18" s="53">
        <v>169.15</v>
      </c>
      <c r="L18" s="53">
        <v>28.68</v>
      </c>
      <c r="M18" s="53">
        <v>98.62</v>
      </c>
      <c r="N18" s="53">
        <v>458.4</v>
      </c>
      <c r="O18" s="53">
        <v>0</v>
      </c>
      <c r="P18" s="53">
        <v>0.53</v>
      </c>
      <c r="Q18" s="53">
        <v>9.33</v>
      </c>
      <c r="R18" s="43"/>
      <c r="S18" s="43"/>
      <c r="T18" s="43"/>
      <c r="U18" s="43"/>
    </row>
    <row r="19" spans="1:21" s="11" customFormat="1" x14ac:dyDescent="0.25">
      <c r="A19" s="52" t="s">
        <v>478</v>
      </c>
      <c r="B19" s="53">
        <v>13.59</v>
      </c>
      <c r="C19" s="53">
        <v>18.57</v>
      </c>
      <c r="D19" s="53">
        <v>20.37</v>
      </c>
      <c r="E19" s="53">
        <v>4.47</v>
      </c>
      <c r="F19" s="53">
        <v>14.78</v>
      </c>
      <c r="G19" s="53">
        <v>47.75</v>
      </c>
      <c r="H19" s="53">
        <v>20.07</v>
      </c>
      <c r="I19" s="53">
        <v>1.38</v>
      </c>
      <c r="J19" s="53">
        <v>0.49</v>
      </c>
      <c r="K19" s="53">
        <v>262.83</v>
      </c>
      <c r="L19" s="53">
        <v>30.15</v>
      </c>
      <c r="M19" s="53">
        <v>91.44</v>
      </c>
      <c r="N19" s="53">
        <v>467.8</v>
      </c>
      <c r="O19" s="53">
        <v>0</v>
      </c>
      <c r="P19" s="53">
        <v>0.55000000000000004</v>
      </c>
      <c r="Q19" s="53">
        <v>9.2799999999999994</v>
      </c>
      <c r="R19" s="43"/>
      <c r="S19" s="43"/>
      <c r="T19" s="43"/>
      <c r="U19" s="43"/>
    </row>
    <row r="20" spans="1:21" s="11" customFormat="1" x14ac:dyDescent="0.25">
      <c r="A20" s="52" t="s">
        <v>479</v>
      </c>
      <c r="B20" s="53">
        <v>11.25</v>
      </c>
      <c r="C20" s="53">
        <v>20</v>
      </c>
      <c r="D20" s="53">
        <v>19.37</v>
      </c>
      <c r="E20" s="53">
        <v>4.67</v>
      </c>
      <c r="F20" s="53">
        <v>11.87</v>
      </c>
      <c r="G20" s="53">
        <v>49.67</v>
      </c>
      <c r="H20" s="53">
        <v>20.07</v>
      </c>
      <c r="I20" s="53">
        <v>1.55</v>
      </c>
      <c r="J20" s="53">
        <v>0.28999999999999998</v>
      </c>
      <c r="K20" s="53">
        <v>306.85000000000002</v>
      </c>
      <c r="L20" s="53">
        <v>30.33</v>
      </c>
      <c r="M20" s="53">
        <v>87.87</v>
      </c>
      <c r="N20" s="53">
        <v>708.8</v>
      </c>
      <c r="O20" s="53">
        <v>0</v>
      </c>
      <c r="P20" s="53">
        <v>0.61</v>
      </c>
      <c r="Q20" s="53">
        <v>9.24</v>
      </c>
      <c r="R20" s="43"/>
      <c r="S20" s="43"/>
      <c r="T20" s="43"/>
      <c r="U20" s="43"/>
    </row>
    <row r="21" spans="1:21" s="11" customFormat="1" x14ac:dyDescent="0.25">
      <c r="A21" s="52" t="s">
        <v>480</v>
      </c>
      <c r="B21" s="53">
        <v>11.87</v>
      </c>
      <c r="C21" s="53">
        <v>15.94</v>
      </c>
      <c r="D21" s="53">
        <v>17.559999999999999</v>
      </c>
      <c r="E21" s="53">
        <v>4.54</v>
      </c>
      <c r="F21" s="53">
        <v>7.11</v>
      </c>
      <c r="G21" s="53">
        <v>61.65</v>
      </c>
      <c r="H21" s="53">
        <v>24.03</v>
      </c>
      <c r="I21" s="53">
        <v>1.73</v>
      </c>
      <c r="J21" s="53">
        <v>0.64</v>
      </c>
      <c r="K21" s="53">
        <v>324.45</v>
      </c>
      <c r="L21" s="53">
        <v>33.1</v>
      </c>
      <c r="M21" s="53">
        <v>81.41</v>
      </c>
      <c r="N21" s="53">
        <v>947.4</v>
      </c>
      <c r="O21" s="53">
        <v>0</v>
      </c>
      <c r="P21" s="53">
        <v>0.5</v>
      </c>
      <c r="Q21" s="53">
        <v>9.16</v>
      </c>
      <c r="R21" s="43"/>
      <c r="S21" s="43"/>
      <c r="T21" s="43"/>
      <c r="U21" s="43"/>
    </row>
    <row r="22" spans="1:21" s="11" customFormat="1" x14ac:dyDescent="0.25">
      <c r="A22" s="52" t="s">
        <v>481</v>
      </c>
      <c r="B22" s="53">
        <v>9.83</v>
      </c>
      <c r="C22" s="53">
        <v>17.02</v>
      </c>
      <c r="D22" s="53">
        <v>16.649999999999999</v>
      </c>
      <c r="E22" s="53">
        <v>4.79</v>
      </c>
      <c r="F22" s="53">
        <v>10.77</v>
      </c>
      <c r="G22" s="53">
        <v>61.65</v>
      </c>
      <c r="H22" s="53">
        <v>24.03</v>
      </c>
      <c r="I22" s="53">
        <v>1.72</v>
      </c>
      <c r="J22" s="53">
        <v>0.24</v>
      </c>
      <c r="K22" s="53">
        <v>318.38</v>
      </c>
      <c r="L22" s="53">
        <v>32.85</v>
      </c>
      <c r="M22" s="53">
        <v>75.17</v>
      </c>
      <c r="N22" s="53">
        <v>360.9</v>
      </c>
      <c r="O22" s="53">
        <v>0</v>
      </c>
      <c r="P22" s="53">
        <v>0.39</v>
      </c>
      <c r="Q22" s="53">
        <v>9.09</v>
      </c>
      <c r="R22" s="43"/>
      <c r="S22" s="43"/>
      <c r="T22" s="43"/>
      <c r="U22" s="43"/>
    </row>
    <row r="23" spans="1:21" s="11" customFormat="1" x14ac:dyDescent="0.25">
      <c r="A23" s="52" t="s">
        <v>482</v>
      </c>
      <c r="B23" s="53">
        <v>11.91</v>
      </c>
      <c r="C23" s="53">
        <v>23.71</v>
      </c>
      <c r="D23" s="53">
        <v>21.39</v>
      </c>
      <c r="E23" s="53">
        <v>4.3099999999999996</v>
      </c>
      <c r="F23" s="53">
        <v>13.45</v>
      </c>
      <c r="G23" s="53">
        <v>59.32</v>
      </c>
      <c r="H23" s="53">
        <v>20.52</v>
      </c>
      <c r="I23" s="53">
        <v>1.57</v>
      </c>
      <c r="J23" s="53">
        <v>0.23</v>
      </c>
      <c r="K23" s="53">
        <v>307.23</v>
      </c>
      <c r="L23" s="53">
        <v>31.28</v>
      </c>
      <c r="M23" s="53">
        <v>78.2</v>
      </c>
      <c r="N23" s="53">
        <v>239</v>
      </c>
      <c r="O23" s="53">
        <v>0</v>
      </c>
      <c r="P23" s="53">
        <v>0.37</v>
      </c>
      <c r="Q23" s="53">
        <v>9.11</v>
      </c>
      <c r="R23" s="43"/>
      <c r="S23" s="43"/>
      <c r="T23" s="43"/>
      <c r="U23" s="43"/>
    </row>
    <row r="24" spans="1:21" s="11" customFormat="1" x14ac:dyDescent="0.25">
      <c r="A24" s="52" t="s">
        <v>483</v>
      </c>
      <c r="B24" s="53">
        <v>9.6</v>
      </c>
      <c r="C24" s="53">
        <v>21.72</v>
      </c>
      <c r="D24" s="53">
        <v>18.7</v>
      </c>
      <c r="E24" s="53">
        <v>4.22</v>
      </c>
      <c r="F24" s="53">
        <v>14.2</v>
      </c>
      <c r="G24" s="53">
        <v>53.86</v>
      </c>
      <c r="H24" s="53">
        <v>20.52</v>
      </c>
      <c r="I24" s="53">
        <v>1.54</v>
      </c>
      <c r="J24" s="53">
        <v>0.19</v>
      </c>
      <c r="K24" s="53">
        <v>294.76</v>
      </c>
      <c r="L24" s="53">
        <v>30.01</v>
      </c>
      <c r="M24" s="53">
        <v>81.569999999999993</v>
      </c>
      <c r="N24" s="53">
        <v>89.4</v>
      </c>
      <c r="O24" s="53">
        <v>0</v>
      </c>
      <c r="P24" s="53">
        <v>0.31</v>
      </c>
      <c r="Q24" s="53">
        <v>9.1199999999999992</v>
      </c>
      <c r="R24" s="43"/>
      <c r="S24" s="43"/>
      <c r="T24" s="43"/>
      <c r="U24" s="43"/>
    </row>
    <row r="25" spans="1:21" s="11" customFormat="1" x14ac:dyDescent="0.25">
      <c r="A25" s="52" t="s">
        <v>484</v>
      </c>
      <c r="B25" s="53">
        <v>7.22</v>
      </c>
      <c r="C25" s="53">
        <v>23.92</v>
      </c>
      <c r="D25" s="53">
        <v>18.03</v>
      </c>
      <c r="E25" s="53">
        <v>5.01</v>
      </c>
      <c r="F25" s="53">
        <v>11.42</v>
      </c>
      <c r="G25" s="53">
        <v>52.08</v>
      </c>
      <c r="H25" s="53">
        <v>18.920000000000002</v>
      </c>
      <c r="I25" s="53">
        <v>1.45</v>
      </c>
      <c r="J25" s="53">
        <v>0.75</v>
      </c>
      <c r="K25" s="53">
        <v>206.18</v>
      </c>
      <c r="L25" s="53">
        <v>28.44</v>
      </c>
      <c r="M25" s="53">
        <v>83.57</v>
      </c>
      <c r="N25" s="53">
        <v>67.099999999999994</v>
      </c>
      <c r="O25" s="53">
        <v>0</v>
      </c>
      <c r="P25" s="53">
        <v>0.25</v>
      </c>
      <c r="Q25" s="53">
        <v>9.11</v>
      </c>
      <c r="R25" s="43"/>
      <c r="S25" s="43"/>
      <c r="T25" s="43"/>
      <c r="U25" s="43"/>
    </row>
    <row r="26" spans="1:21" s="11" customFormat="1" x14ac:dyDescent="0.25">
      <c r="A26" s="52" t="s">
        <v>485</v>
      </c>
      <c r="B26" s="53">
        <v>8.36</v>
      </c>
      <c r="C26" s="53">
        <v>22.06</v>
      </c>
      <c r="D26" s="53">
        <v>18.23</v>
      </c>
      <c r="E26" s="53">
        <v>4.96</v>
      </c>
      <c r="F26" s="53">
        <v>10.86</v>
      </c>
      <c r="G26" s="53">
        <v>51.98</v>
      </c>
      <c r="H26" s="53">
        <v>12.94</v>
      </c>
      <c r="I26" s="53">
        <v>1.19</v>
      </c>
      <c r="J26" s="53">
        <v>0.54</v>
      </c>
      <c r="K26" s="53">
        <v>236.19</v>
      </c>
      <c r="L26" s="53">
        <v>28.11</v>
      </c>
      <c r="M26" s="53">
        <v>92.22</v>
      </c>
      <c r="N26" s="53">
        <v>52.3</v>
      </c>
      <c r="O26" s="53">
        <v>0</v>
      </c>
      <c r="P26" s="53">
        <v>0.24</v>
      </c>
      <c r="Q26" s="53">
        <v>9.07</v>
      </c>
      <c r="R26" s="43"/>
      <c r="S26" s="43"/>
      <c r="T26" s="43"/>
      <c r="U26" s="43"/>
    </row>
    <row r="27" spans="1:21" s="11" customFormat="1" x14ac:dyDescent="0.25">
      <c r="A27" s="52" t="s">
        <v>486</v>
      </c>
      <c r="B27" s="53">
        <v>10.25</v>
      </c>
      <c r="C27" s="53">
        <v>25.59</v>
      </c>
      <c r="D27" s="53">
        <v>20.32</v>
      </c>
      <c r="E27" s="53">
        <v>5.05</v>
      </c>
      <c r="F27" s="53">
        <v>9.99</v>
      </c>
      <c r="G27" s="53">
        <v>54.31</v>
      </c>
      <c r="H27" s="53">
        <v>16.54</v>
      </c>
      <c r="I27" s="53">
        <v>1.19</v>
      </c>
      <c r="J27" s="53">
        <v>0.49</v>
      </c>
      <c r="K27" s="53">
        <v>154.13999999999999</v>
      </c>
      <c r="L27" s="53">
        <v>27.6</v>
      </c>
      <c r="M27" s="53">
        <v>97.75</v>
      </c>
      <c r="N27" s="53">
        <v>48.9</v>
      </c>
      <c r="O27" s="53">
        <v>0</v>
      </c>
      <c r="P27" s="53">
        <v>0.47</v>
      </c>
      <c r="Q27" s="53">
        <v>9.1</v>
      </c>
      <c r="R27" s="43"/>
      <c r="S27" s="43"/>
      <c r="T27" s="43"/>
      <c r="U27" s="43"/>
    </row>
    <row r="28" spans="1:21" s="11" customFormat="1" x14ac:dyDescent="0.25">
      <c r="A28" s="52" t="s">
        <v>487</v>
      </c>
      <c r="B28" s="53">
        <v>26.07</v>
      </c>
      <c r="C28" s="53">
        <v>31.83</v>
      </c>
      <c r="D28" s="53">
        <v>37.229999999999997</v>
      </c>
      <c r="E28" s="53">
        <v>5.28</v>
      </c>
      <c r="F28" s="53">
        <v>7.81</v>
      </c>
      <c r="G28" s="53">
        <v>55.2</v>
      </c>
      <c r="H28" s="53">
        <v>16.7</v>
      </c>
      <c r="I28" s="53">
        <v>1.25</v>
      </c>
      <c r="J28" s="53">
        <v>1.29</v>
      </c>
      <c r="K28" s="53">
        <v>339.65</v>
      </c>
      <c r="L28" s="53">
        <v>27.18</v>
      </c>
      <c r="M28" s="53">
        <v>98.56</v>
      </c>
      <c r="N28" s="53">
        <v>42.3</v>
      </c>
      <c r="O28" s="53">
        <v>0</v>
      </c>
      <c r="P28" s="53">
        <v>0.96</v>
      </c>
      <c r="Q28" s="53">
        <v>9.19</v>
      </c>
      <c r="R28" s="43"/>
      <c r="S28" s="43"/>
      <c r="T28" s="43"/>
      <c r="U28" s="43"/>
    </row>
    <row r="29" spans="1:21" s="11" customFormat="1" x14ac:dyDescent="0.25">
      <c r="A29" s="52" t="s">
        <v>488</v>
      </c>
      <c r="B29" s="53">
        <v>26.73</v>
      </c>
      <c r="C29" s="53">
        <v>21.58</v>
      </c>
      <c r="D29" s="53">
        <v>32.21</v>
      </c>
      <c r="E29" s="53">
        <v>5.27</v>
      </c>
      <c r="F29" s="53">
        <v>9.23</v>
      </c>
      <c r="G29" s="53">
        <v>59.03</v>
      </c>
      <c r="H29" s="53">
        <v>17.649999999999999</v>
      </c>
      <c r="I29" s="53">
        <v>1.41</v>
      </c>
      <c r="J29" s="53">
        <v>1.23</v>
      </c>
      <c r="K29" s="53">
        <v>355.75</v>
      </c>
      <c r="L29" s="53">
        <v>26.42</v>
      </c>
      <c r="M29" s="53">
        <v>92.16</v>
      </c>
      <c r="N29" s="53">
        <v>42.4</v>
      </c>
      <c r="O29" s="53">
        <v>0</v>
      </c>
      <c r="P29" s="53">
        <v>0.92</v>
      </c>
      <c r="Q29" s="53">
        <v>9.3000000000000007</v>
      </c>
      <c r="R29" s="43"/>
      <c r="S29" s="43"/>
      <c r="T29" s="43"/>
      <c r="U29" s="43"/>
    </row>
    <row r="30" spans="1:21" s="11" customFormat="1" x14ac:dyDescent="0.25">
      <c r="A30" s="52" t="s">
        <v>489</v>
      </c>
      <c r="B30" s="53">
        <v>30.27</v>
      </c>
      <c r="C30" s="53">
        <v>26.09</v>
      </c>
      <c r="D30" s="53">
        <v>34.82</v>
      </c>
      <c r="E30" s="53">
        <v>5.36</v>
      </c>
      <c r="F30" s="53">
        <v>5.47</v>
      </c>
      <c r="G30" s="53">
        <v>69.95</v>
      </c>
      <c r="H30" s="53">
        <v>26.78</v>
      </c>
      <c r="I30" s="53">
        <v>1.63</v>
      </c>
      <c r="J30" s="53">
        <v>0.11</v>
      </c>
      <c r="K30" s="53">
        <v>333</v>
      </c>
      <c r="L30" s="53">
        <v>26.15</v>
      </c>
      <c r="M30" s="53">
        <v>95.5</v>
      </c>
      <c r="N30" s="53">
        <v>42.1</v>
      </c>
      <c r="O30" s="53">
        <v>0</v>
      </c>
      <c r="P30" s="53">
        <v>0.87</v>
      </c>
      <c r="Q30" s="53">
        <v>9.4499999999999993</v>
      </c>
      <c r="R30" s="43"/>
      <c r="S30" s="43"/>
      <c r="T30" s="43"/>
      <c r="U30" s="43"/>
    </row>
    <row r="31" spans="1:21" s="11" customFormat="1" x14ac:dyDescent="0.25">
      <c r="A31" s="52" t="s">
        <v>490</v>
      </c>
      <c r="B31" s="53">
        <v>19.11</v>
      </c>
      <c r="C31" s="53">
        <v>21.19</v>
      </c>
      <c r="D31" s="53">
        <v>25.69</v>
      </c>
      <c r="E31" s="53">
        <v>5.05</v>
      </c>
      <c r="F31" s="53">
        <v>7.13</v>
      </c>
      <c r="G31" s="53">
        <v>75.13</v>
      </c>
      <c r="H31" s="53">
        <v>26.78</v>
      </c>
      <c r="I31" s="53">
        <v>1.73</v>
      </c>
      <c r="J31" s="53">
        <v>0.1</v>
      </c>
      <c r="K31" s="53">
        <v>351.83</v>
      </c>
      <c r="L31" s="53">
        <v>25.92</v>
      </c>
      <c r="M31" s="53">
        <v>98.47</v>
      </c>
      <c r="N31" s="53">
        <v>42.1</v>
      </c>
      <c r="O31" s="53">
        <v>0</v>
      </c>
      <c r="P31" s="53">
        <v>0.63</v>
      </c>
      <c r="Q31" s="53">
        <v>9.5</v>
      </c>
      <c r="R31" s="43"/>
      <c r="S31" s="43"/>
      <c r="T31" s="43"/>
      <c r="U31" s="43"/>
    </row>
    <row r="32" spans="1:21" s="11" customFormat="1" x14ac:dyDescent="0.25">
      <c r="A32" s="52" t="s">
        <v>491</v>
      </c>
      <c r="B32" s="53">
        <v>21.61</v>
      </c>
      <c r="C32" s="53">
        <v>22.84</v>
      </c>
      <c r="D32" s="53">
        <v>28.95</v>
      </c>
      <c r="E32" s="53">
        <v>4.88</v>
      </c>
      <c r="F32" s="53">
        <v>8.7200000000000006</v>
      </c>
      <c r="G32" s="53">
        <v>75.13</v>
      </c>
      <c r="H32" s="53">
        <v>21.2</v>
      </c>
      <c r="I32" s="53">
        <v>1.83</v>
      </c>
      <c r="J32" s="53">
        <v>0.17</v>
      </c>
      <c r="K32" s="53">
        <v>320.42</v>
      </c>
      <c r="L32" s="53">
        <v>25.67</v>
      </c>
      <c r="M32" s="53">
        <v>98.63</v>
      </c>
      <c r="N32" s="53">
        <v>42</v>
      </c>
      <c r="O32" s="53">
        <v>0</v>
      </c>
      <c r="P32" s="53">
        <v>0.57999999999999996</v>
      </c>
      <c r="Q32" s="53">
        <v>9.57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5.67</v>
      </c>
      <c r="C34" s="28">
        <f t="shared" si="0"/>
        <v>9.84</v>
      </c>
      <c r="D34" s="28">
        <f t="shared" si="0"/>
        <v>10.16</v>
      </c>
      <c r="E34" s="28">
        <f t="shared" si="0"/>
        <v>4.22</v>
      </c>
      <c r="F34" s="28">
        <f t="shared" si="0"/>
        <v>5.47</v>
      </c>
      <c r="G34" s="28">
        <f t="shared" si="0"/>
        <v>17.739999999999998</v>
      </c>
      <c r="H34" s="28">
        <f t="shared" si="0"/>
        <v>2.87</v>
      </c>
      <c r="I34" s="28">
        <f t="shared" si="0"/>
        <v>0.92</v>
      </c>
      <c r="J34" s="28">
        <f t="shared" si="0"/>
        <v>0.06</v>
      </c>
      <c r="K34" s="28">
        <f t="shared" si="0"/>
        <v>154.13999999999999</v>
      </c>
      <c r="L34" s="28">
        <f t="shared" si="0"/>
        <v>23.87</v>
      </c>
      <c r="M34" s="28">
        <f t="shared" si="0"/>
        <v>75.17</v>
      </c>
      <c r="N34" s="28">
        <f t="shared" si="0"/>
        <v>39.4</v>
      </c>
      <c r="O34" s="28">
        <f t="shared" si="0"/>
        <v>0</v>
      </c>
      <c r="P34" s="28">
        <f t="shared" si="0"/>
        <v>0.2</v>
      </c>
      <c r="Q34" s="28">
        <f t="shared" si="0"/>
        <v>9.07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30.27</v>
      </c>
      <c r="C35" s="29">
        <f t="shared" si="1"/>
        <v>31.83</v>
      </c>
      <c r="D35" s="29">
        <f t="shared" si="1"/>
        <v>37.229999999999997</v>
      </c>
      <c r="E35" s="29">
        <f t="shared" si="1"/>
        <v>6.07</v>
      </c>
      <c r="F35" s="29">
        <f t="shared" si="1"/>
        <v>14.78</v>
      </c>
      <c r="G35" s="29">
        <f t="shared" si="1"/>
        <v>75.13</v>
      </c>
      <c r="H35" s="29">
        <f t="shared" si="1"/>
        <v>26.78</v>
      </c>
      <c r="I35" s="29">
        <f t="shared" si="1"/>
        <v>1.83</v>
      </c>
      <c r="J35" s="29">
        <f t="shared" si="1"/>
        <v>1.29</v>
      </c>
      <c r="K35" s="29">
        <f t="shared" si="1"/>
        <v>355.75</v>
      </c>
      <c r="L35" s="29">
        <f t="shared" si="1"/>
        <v>33.1</v>
      </c>
      <c r="M35" s="29">
        <f t="shared" si="1"/>
        <v>98.82</v>
      </c>
      <c r="N35" s="29">
        <f t="shared" si="1"/>
        <v>947.4</v>
      </c>
      <c r="O35" s="29">
        <f t="shared" si="1"/>
        <v>0.2</v>
      </c>
      <c r="P35" s="29">
        <f t="shared" si="1"/>
        <v>0.96</v>
      </c>
      <c r="Q35" s="29">
        <f t="shared" si="1"/>
        <v>9.57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15.145416666666668</v>
      </c>
      <c r="C36" s="28">
        <f t="shared" si="2"/>
        <v>19.101666666666663</v>
      </c>
      <c r="D36" s="28">
        <f t="shared" si="2"/>
        <v>21.41</v>
      </c>
      <c r="E36" s="28">
        <f t="shared" si="2"/>
        <v>5.1245833333333328</v>
      </c>
      <c r="F36" s="28">
        <f t="shared" si="2"/>
        <v>9.8312499999999989</v>
      </c>
      <c r="G36" s="28">
        <f t="shared" si="2"/>
        <v>49.326250000000016</v>
      </c>
      <c r="H36" s="28">
        <f t="shared" si="2"/>
        <v>16.142083333333328</v>
      </c>
      <c r="I36" s="28">
        <f t="shared" si="2"/>
        <v>1.3337500000000002</v>
      </c>
      <c r="J36" s="28">
        <f t="shared" si="2"/>
        <v>0.44250000000000006</v>
      </c>
      <c r="K36" s="28">
        <f t="shared" si="2"/>
        <v>269.28125</v>
      </c>
      <c r="L36" s="28">
        <f t="shared" si="2"/>
        <v>27.324999999999992</v>
      </c>
      <c r="M36" s="28">
        <f t="shared" si="2"/>
        <v>93.322916666666671</v>
      </c>
      <c r="N36" s="28">
        <f t="shared" si="2"/>
        <v>191.27083333333334</v>
      </c>
      <c r="O36" s="28">
        <f t="shared" si="2"/>
        <v>8.3333333333333332E-3</v>
      </c>
      <c r="P36" s="28">
        <f t="shared" si="2"/>
        <v>0.47458333333333336</v>
      </c>
      <c r="Q36" s="28">
        <f t="shared" si="2"/>
        <v>9.2354166666666675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7.8003990863158457</v>
      </c>
      <c r="C37" s="28">
        <f t="shared" ref="C37:Q37" si="3">STDEV(C9:C32)</f>
        <v>5.6828909258723659</v>
      </c>
      <c r="D37" s="28">
        <f t="shared" si="3"/>
        <v>7.8422867117674988</v>
      </c>
      <c r="E37" s="28">
        <f t="shared" si="3"/>
        <v>0.55291306940498952</v>
      </c>
      <c r="F37" s="28">
        <f t="shared" si="3"/>
        <v>2.5213597306422471</v>
      </c>
      <c r="G37" s="28">
        <f t="shared" si="3"/>
        <v>17.110551743829276</v>
      </c>
      <c r="H37" s="28">
        <f t="shared" si="3"/>
        <v>7.1038997123543748</v>
      </c>
      <c r="I37" s="28">
        <f t="shared" si="3"/>
        <v>0.27556759606310666</v>
      </c>
      <c r="J37" s="28">
        <f t="shared" si="3"/>
        <v>0.31943224089271127</v>
      </c>
      <c r="K37" s="28">
        <f t="shared" si="3"/>
        <v>71.802299485553206</v>
      </c>
      <c r="L37" s="28">
        <f t="shared" si="3"/>
        <v>2.8102777210741112</v>
      </c>
      <c r="M37" s="28">
        <f t="shared" si="3"/>
        <v>7.7103011158515367</v>
      </c>
      <c r="N37" s="28">
        <f t="shared" si="3"/>
        <v>241.46528687265331</v>
      </c>
      <c r="O37" s="28">
        <f t="shared" si="3"/>
        <v>4.0824829046386311E-2</v>
      </c>
      <c r="P37" s="28">
        <f t="shared" si="3"/>
        <v>0.21689466821812209</v>
      </c>
      <c r="Q37" s="28">
        <f t="shared" si="3"/>
        <v>0.1374924240337142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6" sqref="G4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492</v>
      </c>
      <c r="B9" s="53">
        <v>9.2200000000000006</v>
      </c>
      <c r="C9" s="53">
        <v>22.77</v>
      </c>
      <c r="D9" s="53">
        <v>18.75</v>
      </c>
      <c r="E9" s="53">
        <v>5.47</v>
      </c>
      <c r="F9" s="53">
        <v>7.35</v>
      </c>
      <c r="G9" s="53">
        <v>74.69</v>
      </c>
      <c r="H9" s="53">
        <v>20.97</v>
      </c>
      <c r="I9" s="53">
        <v>2.02</v>
      </c>
      <c r="J9" s="53">
        <v>0.05</v>
      </c>
      <c r="K9" s="53">
        <v>290.77999999999997</v>
      </c>
      <c r="L9" s="53">
        <v>25.61</v>
      </c>
      <c r="M9" s="53">
        <v>98.68</v>
      </c>
      <c r="N9" s="53">
        <v>42</v>
      </c>
      <c r="O9" s="53">
        <v>0</v>
      </c>
      <c r="P9" s="53">
        <v>1.23</v>
      </c>
      <c r="Q9" s="53">
        <v>9.56</v>
      </c>
      <c r="R9" s="43"/>
      <c r="S9" s="43"/>
      <c r="T9" s="43"/>
      <c r="U9" s="43"/>
    </row>
    <row r="10" spans="1:21" s="11" customFormat="1" x14ac:dyDescent="0.25">
      <c r="A10" s="52" t="s">
        <v>493</v>
      </c>
      <c r="B10" s="53">
        <v>15.34</v>
      </c>
      <c r="C10" s="53">
        <v>16.600000000000001</v>
      </c>
      <c r="D10" s="53">
        <v>18.190000000000001</v>
      </c>
      <c r="E10" s="53">
        <v>5.64</v>
      </c>
      <c r="F10" s="53">
        <v>8.76</v>
      </c>
      <c r="G10" s="53">
        <v>70.849999999999994</v>
      </c>
      <c r="H10" s="53">
        <v>19.11</v>
      </c>
      <c r="I10" s="53">
        <v>2.16</v>
      </c>
      <c r="J10" s="53">
        <v>7.0000000000000007E-2</v>
      </c>
      <c r="K10" s="53">
        <v>301.87</v>
      </c>
      <c r="L10" s="53">
        <v>25.41</v>
      </c>
      <c r="M10" s="53">
        <v>98.7</v>
      </c>
      <c r="N10" s="53">
        <v>42</v>
      </c>
      <c r="O10" s="53">
        <v>0</v>
      </c>
      <c r="P10" s="53">
        <v>0.56000000000000005</v>
      </c>
      <c r="Q10" s="53">
        <v>9.49</v>
      </c>
      <c r="R10" s="43"/>
      <c r="S10" s="43"/>
      <c r="T10" s="43"/>
      <c r="U10" s="43"/>
    </row>
    <row r="11" spans="1:21" s="11" customFormat="1" x14ac:dyDescent="0.25">
      <c r="A11" s="52" t="s">
        <v>494</v>
      </c>
      <c r="B11" s="53">
        <v>12.38</v>
      </c>
      <c r="C11" s="53">
        <v>12.35</v>
      </c>
      <c r="D11" s="53">
        <v>15.41</v>
      </c>
      <c r="E11" s="53">
        <v>5.46</v>
      </c>
      <c r="F11" s="53">
        <v>8.8699999999999992</v>
      </c>
      <c r="G11" s="53">
        <v>65.48</v>
      </c>
      <c r="H11" s="53">
        <v>19.11</v>
      </c>
      <c r="I11" s="53">
        <v>2.11</v>
      </c>
      <c r="J11" s="53">
        <v>0.05</v>
      </c>
      <c r="K11" s="53">
        <v>287.61</v>
      </c>
      <c r="L11" s="53">
        <v>25.22</v>
      </c>
      <c r="M11" s="53">
        <v>98.75</v>
      </c>
      <c r="N11" s="53">
        <v>41.9</v>
      </c>
      <c r="O11" s="53">
        <v>0</v>
      </c>
      <c r="P11" s="53">
        <v>0.43</v>
      </c>
      <c r="Q11" s="53">
        <v>9.39</v>
      </c>
      <c r="R11" s="43"/>
      <c r="S11" s="43"/>
      <c r="T11" s="43"/>
      <c r="U11" s="43"/>
    </row>
    <row r="12" spans="1:21" s="11" customFormat="1" x14ac:dyDescent="0.25">
      <c r="A12" s="52" t="s">
        <v>495</v>
      </c>
      <c r="B12" s="53">
        <v>9.9499999999999993</v>
      </c>
      <c r="C12" s="53">
        <v>13.72</v>
      </c>
      <c r="D12" s="53">
        <v>14.14</v>
      </c>
      <c r="E12" s="53">
        <v>5.27</v>
      </c>
      <c r="F12" s="53">
        <v>9.09</v>
      </c>
      <c r="G12" s="53">
        <v>63.59</v>
      </c>
      <c r="H12" s="53">
        <v>18.37</v>
      </c>
      <c r="I12" s="53">
        <v>1.91</v>
      </c>
      <c r="J12" s="53">
        <v>0.06</v>
      </c>
      <c r="K12" s="53">
        <v>151.94999999999999</v>
      </c>
      <c r="L12" s="53">
        <v>25.11</v>
      </c>
      <c r="M12" s="53">
        <v>98.73</v>
      </c>
      <c r="N12" s="53">
        <v>42</v>
      </c>
      <c r="O12" s="53">
        <v>0</v>
      </c>
      <c r="P12" s="53">
        <v>0.32</v>
      </c>
      <c r="Q12" s="53">
        <v>9.31</v>
      </c>
      <c r="R12" s="43"/>
      <c r="S12" s="43"/>
      <c r="T12" s="43"/>
      <c r="U12" s="43"/>
    </row>
    <row r="13" spans="1:21" s="11" customFormat="1" x14ac:dyDescent="0.25">
      <c r="A13" s="52" t="s">
        <v>496</v>
      </c>
      <c r="B13" s="53">
        <v>8.09</v>
      </c>
      <c r="C13" s="53">
        <v>16.39</v>
      </c>
      <c r="D13" s="53">
        <v>15.04</v>
      </c>
      <c r="E13" s="53">
        <v>5.45</v>
      </c>
      <c r="F13" s="53">
        <v>9.34</v>
      </c>
      <c r="G13" s="53">
        <v>51.32</v>
      </c>
      <c r="H13" s="53">
        <v>18.37</v>
      </c>
      <c r="I13" s="53">
        <v>1.8</v>
      </c>
      <c r="J13" s="53">
        <v>0.19</v>
      </c>
      <c r="K13" s="53">
        <v>227.23</v>
      </c>
      <c r="L13" s="53">
        <v>25.11</v>
      </c>
      <c r="M13" s="53">
        <v>98.73</v>
      </c>
      <c r="N13" s="53">
        <v>41.9</v>
      </c>
      <c r="O13" s="53">
        <v>0</v>
      </c>
      <c r="P13" s="53">
        <v>0.26</v>
      </c>
      <c r="Q13" s="53">
        <v>9.3000000000000007</v>
      </c>
      <c r="R13" s="43"/>
      <c r="S13" s="43"/>
      <c r="T13" s="43"/>
      <c r="U13" s="43"/>
    </row>
    <row r="14" spans="1:21" s="11" customFormat="1" x14ac:dyDescent="0.25">
      <c r="A14" s="52" t="s">
        <v>497</v>
      </c>
      <c r="B14" s="53">
        <v>9.42</v>
      </c>
      <c r="C14" s="53">
        <v>16.75</v>
      </c>
      <c r="D14" s="53">
        <v>15.95</v>
      </c>
      <c r="E14" s="53">
        <v>5.62</v>
      </c>
      <c r="F14" s="53">
        <v>9.17</v>
      </c>
      <c r="G14" s="53">
        <v>44.67</v>
      </c>
      <c r="H14" s="53">
        <v>15.81</v>
      </c>
      <c r="I14" s="53">
        <v>1.8</v>
      </c>
      <c r="J14" s="53">
        <v>0.08</v>
      </c>
      <c r="K14" s="53">
        <v>249.8</v>
      </c>
      <c r="L14" s="53">
        <v>24.91</v>
      </c>
      <c r="M14" s="53">
        <v>98.7</v>
      </c>
      <c r="N14" s="53">
        <v>62.1</v>
      </c>
      <c r="O14" s="53">
        <v>0</v>
      </c>
      <c r="P14" s="53">
        <v>0.28999999999999998</v>
      </c>
      <c r="Q14" s="53">
        <v>9.3000000000000007</v>
      </c>
      <c r="R14" s="43"/>
      <c r="S14" s="43"/>
      <c r="T14" s="43"/>
      <c r="U14" s="43"/>
    </row>
    <row r="15" spans="1:21" s="11" customFormat="1" x14ac:dyDescent="0.25">
      <c r="A15" s="52" t="s">
        <v>498</v>
      </c>
      <c r="B15" s="53">
        <v>12.29</v>
      </c>
      <c r="C15" s="53">
        <v>13.93</v>
      </c>
      <c r="D15" s="53">
        <v>16.239999999999998</v>
      </c>
      <c r="E15" s="53">
        <v>5.44</v>
      </c>
      <c r="F15" s="53">
        <v>7.56</v>
      </c>
      <c r="G15" s="53">
        <v>43.99</v>
      </c>
      <c r="H15" s="53">
        <v>12.28</v>
      </c>
      <c r="I15" s="53">
        <v>1.54</v>
      </c>
      <c r="J15" s="53">
        <v>0.1</v>
      </c>
      <c r="K15" s="53">
        <v>301.58</v>
      </c>
      <c r="L15" s="53">
        <v>25.61</v>
      </c>
      <c r="M15" s="53">
        <v>98.71</v>
      </c>
      <c r="N15" s="53">
        <v>119</v>
      </c>
      <c r="O15" s="53">
        <v>0</v>
      </c>
      <c r="P15" s="53">
        <v>0.33</v>
      </c>
      <c r="Q15" s="53">
        <v>9.2200000000000006</v>
      </c>
      <c r="R15" s="43"/>
      <c r="S15" s="43"/>
      <c r="T15" s="43"/>
      <c r="U15" s="43"/>
    </row>
    <row r="16" spans="1:21" s="11" customFormat="1" x14ac:dyDescent="0.25">
      <c r="A16" s="52" t="s">
        <v>499</v>
      </c>
      <c r="B16" s="53">
        <v>13.65</v>
      </c>
      <c r="C16" s="53">
        <v>13.21</v>
      </c>
      <c r="D16" s="53">
        <v>17.850000000000001</v>
      </c>
      <c r="E16" s="53">
        <v>5.2</v>
      </c>
      <c r="F16" s="53">
        <v>13.85</v>
      </c>
      <c r="G16" s="53">
        <v>49.75</v>
      </c>
      <c r="H16" s="53">
        <v>15.83</v>
      </c>
      <c r="I16" s="53">
        <v>1.52</v>
      </c>
      <c r="J16" s="53">
        <v>0.36</v>
      </c>
      <c r="K16" s="53">
        <v>261.83999999999997</v>
      </c>
      <c r="L16" s="53">
        <v>27.9</v>
      </c>
      <c r="M16" s="53">
        <v>98.67</v>
      </c>
      <c r="N16" s="53">
        <v>426.4</v>
      </c>
      <c r="O16" s="53">
        <v>0</v>
      </c>
      <c r="P16" s="53">
        <v>0.37</v>
      </c>
      <c r="Q16" s="53">
        <v>9.2100000000000009</v>
      </c>
      <c r="R16" s="43"/>
      <c r="S16" s="43"/>
      <c r="T16" s="43"/>
      <c r="U16" s="43"/>
    </row>
    <row r="17" spans="1:21" s="11" customFormat="1" x14ac:dyDescent="0.25">
      <c r="A17" s="52" t="s">
        <v>500</v>
      </c>
      <c r="B17" s="53">
        <v>13.89</v>
      </c>
      <c r="C17" s="53">
        <v>15.03</v>
      </c>
      <c r="D17" s="53">
        <v>18.98</v>
      </c>
      <c r="E17" s="53">
        <v>4.96</v>
      </c>
      <c r="F17" s="53">
        <v>14.59</v>
      </c>
      <c r="G17" s="53">
        <v>53.1</v>
      </c>
      <c r="H17" s="53">
        <v>16.25</v>
      </c>
      <c r="I17" s="53">
        <v>1.57</v>
      </c>
      <c r="J17" s="53">
        <v>0.26</v>
      </c>
      <c r="K17" s="53">
        <v>339.37</v>
      </c>
      <c r="L17" s="53">
        <v>31.96</v>
      </c>
      <c r="M17" s="53">
        <v>92.1</v>
      </c>
      <c r="N17" s="53">
        <v>621.4</v>
      </c>
      <c r="O17" s="53">
        <v>0</v>
      </c>
      <c r="P17" s="53">
        <v>0.39</v>
      </c>
      <c r="Q17" s="53">
        <v>9.24</v>
      </c>
      <c r="R17" s="43"/>
      <c r="S17" s="43"/>
      <c r="T17" s="43"/>
      <c r="U17" s="43"/>
    </row>
    <row r="18" spans="1:21" s="11" customFormat="1" x14ac:dyDescent="0.25">
      <c r="A18" s="52" t="s">
        <v>501</v>
      </c>
      <c r="B18" s="53">
        <v>14.89</v>
      </c>
      <c r="C18" s="53">
        <v>16.510000000000002</v>
      </c>
      <c r="D18" s="53">
        <v>19.46</v>
      </c>
      <c r="E18" s="53">
        <v>4.99</v>
      </c>
      <c r="F18" s="53">
        <v>10.5</v>
      </c>
      <c r="G18" s="53">
        <v>58.08</v>
      </c>
      <c r="H18" s="53">
        <v>19.57</v>
      </c>
      <c r="I18" s="53">
        <v>1.55</v>
      </c>
      <c r="J18" s="53">
        <v>0.24</v>
      </c>
      <c r="K18" s="53">
        <v>291.2</v>
      </c>
      <c r="L18" s="53">
        <v>30.15</v>
      </c>
      <c r="M18" s="53">
        <v>87.65</v>
      </c>
      <c r="N18" s="53">
        <v>361.8</v>
      </c>
      <c r="O18" s="53">
        <v>0</v>
      </c>
      <c r="P18" s="53">
        <v>0.44</v>
      </c>
      <c r="Q18" s="53">
        <v>9.24</v>
      </c>
      <c r="R18" s="43"/>
      <c r="S18" s="43"/>
      <c r="T18" s="43"/>
      <c r="U18" s="43"/>
    </row>
    <row r="19" spans="1:21" s="11" customFormat="1" x14ac:dyDescent="0.25">
      <c r="A19" s="52" t="s">
        <v>502</v>
      </c>
      <c r="B19" s="53">
        <v>12.31</v>
      </c>
      <c r="C19" s="53">
        <v>16.04</v>
      </c>
      <c r="D19" s="53">
        <v>16.62</v>
      </c>
      <c r="E19" s="53">
        <v>5.13</v>
      </c>
      <c r="F19" s="53">
        <v>12.67</v>
      </c>
      <c r="G19" s="53">
        <v>66.12</v>
      </c>
      <c r="H19" s="53">
        <v>20.71</v>
      </c>
      <c r="I19" s="53">
        <v>1.73</v>
      </c>
      <c r="J19" s="53">
        <v>0.17</v>
      </c>
      <c r="K19" s="53">
        <v>285.7</v>
      </c>
      <c r="L19" s="53">
        <v>30.68</v>
      </c>
      <c r="M19" s="53">
        <v>86.64</v>
      </c>
      <c r="N19" s="53">
        <v>945.5</v>
      </c>
      <c r="O19" s="53">
        <v>0</v>
      </c>
      <c r="P19" s="53">
        <v>0.47</v>
      </c>
      <c r="Q19" s="53">
        <v>9.2100000000000009</v>
      </c>
      <c r="R19" s="43"/>
      <c r="S19" s="43"/>
      <c r="T19" s="43"/>
      <c r="U19" s="43"/>
    </row>
    <row r="20" spans="1:21" s="11" customFormat="1" x14ac:dyDescent="0.25">
      <c r="A20" s="52" t="s">
        <v>503</v>
      </c>
      <c r="B20" s="53">
        <v>10.74</v>
      </c>
      <c r="C20" s="53">
        <v>17.940000000000001</v>
      </c>
      <c r="D20" s="53">
        <v>17.190000000000001</v>
      </c>
      <c r="E20" s="53">
        <v>4.6900000000000004</v>
      </c>
      <c r="F20" s="53">
        <v>10.71</v>
      </c>
      <c r="G20" s="53">
        <v>71.739999999999995</v>
      </c>
      <c r="H20" s="53">
        <v>23.67</v>
      </c>
      <c r="I20" s="53">
        <v>1.85</v>
      </c>
      <c r="J20" s="53">
        <v>0.33</v>
      </c>
      <c r="K20" s="53">
        <v>315.81</v>
      </c>
      <c r="L20" s="53">
        <v>33.340000000000003</v>
      </c>
      <c r="M20" s="53">
        <v>75.22</v>
      </c>
      <c r="N20" s="53">
        <v>965.8</v>
      </c>
      <c r="O20" s="53">
        <v>0</v>
      </c>
      <c r="P20" s="53">
        <v>0.51</v>
      </c>
      <c r="Q20" s="53">
        <v>9.11</v>
      </c>
      <c r="R20" s="43"/>
      <c r="S20" s="43"/>
      <c r="T20" s="43"/>
      <c r="U20" s="43"/>
    </row>
    <row r="21" spans="1:21" s="11" customFormat="1" x14ac:dyDescent="0.25">
      <c r="A21" s="52" t="s">
        <v>504</v>
      </c>
      <c r="B21" s="53">
        <v>6.6</v>
      </c>
      <c r="C21" s="53">
        <v>18.690000000000001</v>
      </c>
      <c r="D21" s="53">
        <v>14.31</v>
      </c>
      <c r="E21" s="53">
        <v>5.18</v>
      </c>
      <c r="F21" s="53">
        <v>15.54</v>
      </c>
      <c r="G21" s="53">
        <v>71.739999999999995</v>
      </c>
      <c r="H21" s="53">
        <v>25</v>
      </c>
      <c r="I21" s="53">
        <v>1.9</v>
      </c>
      <c r="J21" s="53">
        <v>0.28999999999999998</v>
      </c>
      <c r="K21" s="53">
        <v>289.01</v>
      </c>
      <c r="L21" s="53">
        <v>32.18</v>
      </c>
      <c r="M21" s="53">
        <v>76.38</v>
      </c>
      <c r="N21" s="53">
        <v>904.8</v>
      </c>
      <c r="O21" s="53">
        <v>0</v>
      </c>
      <c r="P21" s="53">
        <v>0.52</v>
      </c>
      <c r="Q21" s="53">
        <v>9.0500000000000007</v>
      </c>
      <c r="R21" s="43"/>
      <c r="S21" s="43"/>
      <c r="T21" s="43"/>
      <c r="U21" s="43"/>
    </row>
    <row r="22" spans="1:21" s="11" customFormat="1" x14ac:dyDescent="0.25">
      <c r="A22" s="52" t="s">
        <v>505</v>
      </c>
      <c r="B22" s="53">
        <v>5.44</v>
      </c>
      <c r="C22" s="53">
        <v>25.95</v>
      </c>
      <c r="D22" s="53">
        <v>17.93</v>
      </c>
      <c r="E22" s="53">
        <v>5.92</v>
      </c>
      <c r="F22" s="53">
        <v>16.57</v>
      </c>
      <c r="G22" s="53">
        <v>75.28</v>
      </c>
      <c r="H22" s="53">
        <v>30.56</v>
      </c>
      <c r="I22" s="53">
        <v>2.1</v>
      </c>
      <c r="J22" s="53">
        <v>0.48</v>
      </c>
      <c r="K22" s="53">
        <v>311.08999999999997</v>
      </c>
      <c r="L22" s="53">
        <v>33.1</v>
      </c>
      <c r="M22" s="53">
        <v>70.05</v>
      </c>
      <c r="N22" s="53">
        <v>417.1</v>
      </c>
      <c r="O22" s="53">
        <v>0</v>
      </c>
      <c r="P22" s="53">
        <v>0.71</v>
      </c>
      <c r="Q22" s="53">
        <v>9.0299999999999994</v>
      </c>
      <c r="R22" s="43"/>
      <c r="S22" s="43"/>
      <c r="T22" s="43"/>
      <c r="U22" s="43"/>
    </row>
    <row r="23" spans="1:21" s="11" customFormat="1" x14ac:dyDescent="0.25">
      <c r="A23" s="52" t="s">
        <v>506</v>
      </c>
      <c r="B23" s="53">
        <v>12.93</v>
      </c>
      <c r="C23" s="53">
        <v>29.1</v>
      </c>
      <c r="D23" s="53">
        <v>23.83</v>
      </c>
      <c r="E23" s="53">
        <v>6</v>
      </c>
      <c r="F23" s="53">
        <v>19.27</v>
      </c>
      <c r="G23" s="53">
        <v>83.97</v>
      </c>
      <c r="H23" s="53">
        <v>30.56</v>
      </c>
      <c r="I23" s="53">
        <v>2.35</v>
      </c>
      <c r="J23" s="53">
        <v>1.24</v>
      </c>
      <c r="K23" s="53">
        <v>340.83</v>
      </c>
      <c r="L23" s="53">
        <v>30.83</v>
      </c>
      <c r="M23" s="53">
        <v>98.7</v>
      </c>
      <c r="N23" s="53">
        <v>115.6</v>
      </c>
      <c r="O23" s="53">
        <v>0.6</v>
      </c>
      <c r="P23" s="53">
        <v>0.65</v>
      </c>
      <c r="Q23" s="53">
        <v>9.0500000000000007</v>
      </c>
      <c r="R23" s="43"/>
      <c r="S23" s="43"/>
      <c r="T23" s="43"/>
      <c r="U23" s="43"/>
    </row>
    <row r="24" spans="1:21" s="11" customFormat="1" x14ac:dyDescent="0.25">
      <c r="A24" s="52" t="s">
        <v>507</v>
      </c>
      <c r="B24" s="53">
        <v>9.9600000000000009</v>
      </c>
      <c r="C24" s="53">
        <v>20.75</v>
      </c>
      <c r="D24" s="53">
        <v>18.489999999999998</v>
      </c>
      <c r="E24" s="53">
        <v>5.16</v>
      </c>
      <c r="F24" s="53">
        <v>11.11</v>
      </c>
      <c r="G24" s="53">
        <v>83.97</v>
      </c>
      <c r="H24" s="53">
        <v>25.37</v>
      </c>
      <c r="I24" s="53">
        <v>2.34</v>
      </c>
      <c r="J24" s="53">
        <v>1.05</v>
      </c>
      <c r="K24" s="53">
        <v>338.79</v>
      </c>
      <c r="L24" s="53">
        <v>27.01</v>
      </c>
      <c r="M24" s="53">
        <v>98.71</v>
      </c>
      <c r="N24" s="53">
        <v>173.6</v>
      </c>
      <c r="O24" s="53">
        <v>0</v>
      </c>
      <c r="P24" s="53">
        <v>0.64</v>
      </c>
      <c r="Q24" s="53">
        <v>9.11</v>
      </c>
      <c r="R24" s="43"/>
      <c r="S24" s="43"/>
      <c r="T24" s="43"/>
      <c r="U24" s="43"/>
    </row>
    <row r="25" spans="1:21" s="11" customFormat="1" x14ac:dyDescent="0.25">
      <c r="A25" s="52" t="s">
        <v>508</v>
      </c>
      <c r="B25" s="53">
        <v>33.67</v>
      </c>
      <c r="C25" s="53">
        <v>30.11</v>
      </c>
      <c r="D25" s="53">
        <v>42.73</v>
      </c>
      <c r="E25" s="53">
        <v>5.03</v>
      </c>
      <c r="F25" s="53">
        <v>6.26</v>
      </c>
      <c r="G25" s="53">
        <v>95.4</v>
      </c>
      <c r="H25" s="53">
        <v>27.41</v>
      </c>
      <c r="I25" s="53">
        <v>2.2599999999999998</v>
      </c>
      <c r="J25" s="53">
        <v>0.7</v>
      </c>
      <c r="K25" s="53">
        <v>339.08</v>
      </c>
      <c r="L25" s="53">
        <v>27.5</v>
      </c>
      <c r="M25" s="53">
        <v>98.63</v>
      </c>
      <c r="N25" s="53">
        <v>114.3</v>
      </c>
      <c r="O25" s="53">
        <v>0</v>
      </c>
      <c r="P25" s="53">
        <v>1.2</v>
      </c>
      <c r="Q25" s="53">
        <v>9.33</v>
      </c>
      <c r="R25" s="43"/>
      <c r="S25" s="43"/>
      <c r="T25" s="43"/>
      <c r="U25" s="43"/>
    </row>
    <row r="26" spans="1:21" s="11" customFormat="1" x14ac:dyDescent="0.25">
      <c r="A26" s="52" t="s">
        <v>509</v>
      </c>
      <c r="B26" s="53">
        <v>34.08</v>
      </c>
      <c r="C26" s="53">
        <v>47.87</v>
      </c>
      <c r="D26" s="53">
        <v>50.05</v>
      </c>
      <c r="E26" s="53">
        <v>5.38</v>
      </c>
      <c r="F26" s="53">
        <v>7.39</v>
      </c>
      <c r="G26" s="53">
        <v>121.79</v>
      </c>
      <c r="H26" s="53">
        <v>31.77</v>
      </c>
      <c r="I26" s="53">
        <v>2.54</v>
      </c>
      <c r="J26" s="53">
        <v>0.1</v>
      </c>
      <c r="K26" s="53">
        <v>321.43</v>
      </c>
      <c r="L26" s="53">
        <v>27.26</v>
      </c>
      <c r="M26" s="53">
        <v>98.58</v>
      </c>
      <c r="N26" s="53">
        <v>77.3</v>
      </c>
      <c r="O26" s="53">
        <v>0</v>
      </c>
      <c r="P26" s="53">
        <v>1.29</v>
      </c>
      <c r="Q26" s="53">
        <v>9.4700000000000006</v>
      </c>
      <c r="R26" s="43"/>
      <c r="S26" s="43"/>
      <c r="T26" s="43"/>
      <c r="U26" s="43"/>
    </row>
    <row r="27" spans="1:21" s="11" customFormat="1" x14ac:dyDescent="0.25">
      <c r="A27" s="52" t="s">
        <v>510</v>
      </c>
      <c r="B27" s="53">
        <v>45.18</v>
      </c>
      <c r="C27" s="53">
        <v>38.25</v>
      </c>
      <c r="D27" s="53">
        <v>53.96</v>
      </c>
      <c r="E27" s="53">
        <v>4.93</v>
      </c>
      <c r="F27" s="53">
        <v>7.47</v>
      </c>
      <c r="G27" s="53">
        <v>130.49</v>
      </c>
      <c r="H27" s="53">
        <v>40.869999999999997</v>
      </c>
      <c r="I27" s="53">
        <v>2.97</v>
      </c>
      <c r="J27" s="53">
        <v>0.49</v>
      </c>
      <c r="K27" s="53">
        <v>346.02</v>
      </c>
      <c r="L27" s="53">
        <v>27.3</v>
      </c>
      <c r="M27" s="53">
        <v>98.58</v>
      </c>
      <c r="N27" s="53">
        <v>54.3</v>
      </c>
      <c r="O27" s="53">
        <v>0</v>
      </c>
      <c r="P27" s="53">
        <v>1.66</v>
      </c>
      <c r="Q27" s="53">
        <v>9.5500000000000007</v>
      </c>
      <c r="R27" s="43"/>
      <c r="S27" s="43"/>
      <c r="T27" s="43"/>
      <c r="U27" s="43"/>
    </row>
    <row r="28" spans="1:21" s="11" customFormat="1" x14ac:dyDescent="0.25">
      <c r="A28" s="52" t="s">
        <v>511</v>
      </c>
      <c r="B28" s="53">
        <v>28.98</v>
      </c>
      <c r="C28" s="53">
        <v>38.69</v>
      </c>
      <c r="D28" s="53">
        <v>43.45</v>
      </c>
      <c r="E28" s="53">
        <v>4.93</v>
      </c>
      <c r="F28" s="53">
        <v>7.26</v>
      </c>
      <c r="G28" s="53">
        <v>130.49</v>
      </c>
      <c r="H28" s="53">
        <v>40.869999999999997</v>
      </c>
      <c r="I28" s="53">
        <v>3.14</v>
      </c>
      <c r="J28" s="53">
        <v>0.3</v>
      </c>
      <c r="K28" s="53">
        <v>294.89</v>
      </c>
      <c r="L28" s="53">
        <v>26.94</v>
      </c>
      <c r="M28" s="53">
        <v>98.62</v>
      </c>
      <c r="N28" s="53">
        <v>43.3</v>
      </c>
      <c r="O28" s="53">
        <v>0</v>
      </c>
      <c r="P28" s="53">
        <v>1.0900000000000001</v>
      </c>
      <c r="Q28" s="53">
        <v>9.6</v>
      </c>
      <c r="R28" s="43"/>
      <c r="S28" s="43"/>
      <c r="T28" s="43"/>
      <c r="U28" s="43"/>
    </row>
    <row r="29" spans="1:21" s="11" customFormat="1" x14ac:dyDescent="0.25">
      <c r="A29" s="52" t="s">
        <v>512</v>
      </c>
      <c r="B29" s="53">
        <v>25.67</v>
      </c>
      <c r="C29" s="53">
        <v>32.159999999999997</v>
      </c>
      <c r="D29" s="53">
        <v>35.24</v>
      </c>
      <c r="E29" s="53">
        <v>4.71</v>
      </c>
      <c r="F29" s="53">
        <v>6.86</v>
      </c>
      <c r="G29" s="53">
        <v>125.29</v>
      </c>
      <c r="H29" s="53">
        <v>38.94</v>
      </c>
      <c r="I29" s="53">
        <v>3.16</v>
      </c>
      <c r="J29" s="53">
        <v>0.35</v>
      </c>
      <c r="K29" s="53">
        <v>156.35</v>
      </c>
      <c r="L29" s="53">
        <v>26.92</v>
      </c>
      <c r="M29" s="53">
        <v>98.64</v>
      </c>
      <c r="N29" s="53">
        <v>43.1</v>
      </c>
      <c r="O29" s="53">
        <v>0</v>
      </c>
      <c r="P29" s="53">
        <v>0.85</v>
      </c>
      <c r="Q29" s="53">
        <v>9.6</v>
      </c>
      <c r="R29" s="43"/>
      <c r="S29" s="43"/>
      <c r="T29" s="43"/>
      <c r="U29" s="43"/>
    </row>
    <row r="30" spans="1:21" s="11" customFormat="1" x14ac:dyDescent="0.25">
      <c r="A30" s="52" t="s">
        <v>513</v>
      </c>
      <c r="B30" s="53">
        <v>37.409999999999997</v>
      </c>
      <c r="C30" s="53">
        <v>32.200000000000003</v>
      </c>
      <c r="D30" s="53">
        <v>44.69</v>
      </c>
      <c r="E30" s="53">
        <v>4.8099999999999996</v>
      </c>
      <c r="F30" s="53">
        <v>6.75</v>
      </c>
      <c r="G30" s="53">
        <v>119.64</v>
      </c>
      <c r="H30" s="53">
        <v>38.26</v>
      </c>
      <c r="I30" s="53">
        <v>3.03</v>
      </c>
      <c r="J30" s="53">
        <v>0.22</v>
      </c>
      <c r="K30" s="53">
        <v>162.75</v>
      </c>
      <c r="L30" s="53">
        <v>26.96</v>
      </c>
      <c r="M30" s="53">
        <v>98.68</v>
      </c>
      <c r="N30" s="53">
        <v>43.1</v>
      </c>
      <c r="O30" s="53">
        <v>0</v>
      </c>
      <c r="P30" s="53">
        <v>0.75</v>
      </c>
      <c r="Q30" s="53">
        <v>9.61</v>
      </c>
      <c r="R30" s="43"/>
      <c r="S30" s="43"/>
      <c r="T30" s="43"/>
      <c r="U30" s="43"/>
    </row>
    <row r="31" spans="1:21" s="11" customFormat="1" x14ac:dyDescent="0.25">
      <c r="A31" s="52" t="s">
        <v>514</v>
      </c>
      <c r="B31" s="53">
        <v>51.66</v>
      </c>
      <c r="C31" s="53">
        <v>24.54</v>
      </c>
      <c r="D31" s="53">
        <v>51.62</v>
      </c>
      <c r="E31" s="53">
        <v>4.55</v>
      </c>
      <c r="F31" s="53">
        <v>6.44</v>
      </c>
      <c r="G31" s="53">
        <v>113</v>
      </c>
      <c r="H31" s="53">
        <v>38.26</v>
      </c>
      <c r="I31" s="53">
        <v>2.89</v>
      </c>
      <c r="J31" s="53">
        <v>0.79</v>
      </c>
      <c r="K31" s="53">
        <v>128.12</v>
      </c>
      <c r="L31" s="53">
        <v>26.89</v>
      </c>
      <c r="M31" s="53">
        <v>98.71</v>
      </c>
      <c r="N31" s="53">
        <v>43.4</v>
      </c>
      <c r="O31" s="53">
        <v>0</v>
      </c>
      <c r="P31" s="53">
        <v>0.91</v>
      </c>
      <c r="Q31" s="53">
        <v>9.64</v>
      </c>
      <c r="R31" s="43"/>
      <c r="S31" s="43"/>
      <c r="T31" s="43"/>
      <c r="U31" s="43"/>
    </row>
    <row r="32" spans="1:21" s="11" customFormat="1" x14ac:dyDescent="0.25">
      <c r="A32" s="52" t="s">
        <v>515</v>
      </c>
      <c r="B32" s="53">
        <v>12.18</v>
      </c>
      <c r="C32" s="53">
        <v>21.47</v>
      </c>
      <c r="D32" s="53">
        <v>20.99</v>
      </c>
      <c r="E32" s="53">
        <v>4.33</v>
      </c>
      <c r="F32" s="53">
        <v>9.9700000000000006</v>
      </c>
      <c r="G32" s="53">
        <v>102.82</v>
      </c>
      <c r="H32" s="53">
        <v>36.159999999999997</v>
      </c>
      <c r="I32" s="53">
        <v>2.83</v>
      </c>
      <c r="J32" s="53">
        <v>0.84</v>
      </c>
      <c r="K32" s="53">
        <v>124.65</v>
      </c>
      <c r="L32" s="53">
        <v>26.44</v>
      </c>
      <c r="M32" s="53">
        <v>98.79</v>
      </c>
      <c r="N32" s="53">
        <v>43.4</v>
      </c>
      <c r="O32" s="53">
        <v>0</v>
      </c>
      <c r="P32" s="53">
        <v>0.5</v>
      </c>
      <c r="Q32" s="53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5.44</v>
      </c>
      <c r="C34" s="28">
        <f t="shared" si="0"/>
        <v>12.35</v>
      </c>
      <c r="D34" s="28">
        <f t="shared" si="0"/>
        <v>14.14</v>
      </c>
      <c r="E34" s="28">
        <f t="shared" si="0"/>
        <v>4.33</v>
      </c>
      <c r="F34" s="28">
        <f t="shared" si="0"/>
        <v>6.26</v>
      </c>
      <c r="G34" s="28">
        <f t="shared" si="0"/>
        <v>43.99</v>
      </c>
      <c r="H34" s="28">
        <f t="shared" si="0"/>
        <v>12.28</v>
      </c>
      <c r="I34" s="28">
        <f t="shared" si="0"/>
        <v>1.52</v>
      </c>
      <c r="J34" s="28">
        <f t="shared" si="0"/>
        <v>0.05</v>
      </c>
      <c r="K34" s="28">
        <f t="shared" si="0"/>
        <v>124.65</v>
      </c>
      <c r="L34" s="28">
        <f t="shared" si="0"/>
        <v>24.91</v>
      </c>
      <c r="M34" s="28">
        <f t="shared" si="0"/>
        <v>70.05</v>
      </c>
      <c r="N34" s="28">
        <f t="shared" si="0"/>
        <v>41.9</v>
      </c>
      <c r="O34" s="28">
        <f t="shared" si="0"/>
        <v>0</v>
      </c>
      <c r="P34" s="28">
        <f t="shared" si="0"/>
        <v>0.26</v>
      </c>
      <c r="Q34" s="28">
        <f t="shared" si="0"/>
        <v>9.0299999999999994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51.66</v>
      </c>
      <c r="C35" s="29">
        <f t="shared" si="1"/>
        <v>47.87</v>
      </c>
      <c r="D35" s="29">
        <f t="shared" si="1"/>
        <v>53.96</v>
      </c>
      <c r="E35" s="29">
        <f t="shared" si="1"/>
        <v>6</v>
      </c>
      <c r="F35" s="29">
        <f t="shared" si="1"/>
        <v>19.27</v>
      </c>
      <c r="G35" s="29">
        <f t="shared" si="1"/>
        <v>130.49</v>
      </c>
      <c r="H35" s="29">
        <f t="shared" si="1"/>
        <v>40.869999999999997</v>
      </c>
      <c r="I35" s="29">
        <f t="shared" si="1"/>
        <v>3.16</v>
      </c>
      <c r="J35" s="29">
        <f t="shared" si="1"/>
        <v>1.24</v>
      </c>
      <c r="K35" s="29">
        <f t="shared" si="1"/>
        <v>346.02</v>
      </c>
      <c r="L35" s="29">
        <f t="shared" si="1"/>
        <v>33.340000000000003</v>
      </c>
      <c r="M35" s="29">
        <f t="shared" si="1"/>
        <v>98.79</v>
      </c>
      <c r="N35" s="29">
        <f t="shared" si="1"/>
        <v>965.8</v>
      </c>
      <c r="O35" s="29">
        <f t="shared" si="1"/>
        <v>0.6</v>
      </c>
      <c r="P35" s="29">
        <f t="shared" si="1"/>
        <v>1.66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18.580416666666668</v>
      </c>
      <c r="C36" s="28">
        <f t="shared" si="2"/>
        <v>22.959166666666672</v>
      </c>
      <c r="D36" s="28">
        <f t="shared" si="2"/>
        <v>25.879583333333333</v>
      </c>
      <c r="E36" s="28">
        <f t="shared" si="2"/>
        <v>5.177083333333333</v>
      </c>
      <c r="F36" s="28">
        <f t="shared" si="2"/>
        <v>10.139583333333333</v>
      </c>
      <c r="G36" s="28">
        <f t="shared" si="2"/>
        <v>81.96916666666668</v>
      </c>
      <c r="H36" s="28">
        <f t="shared" si="2"/>
        <v>26.003333333333334</v>
      </c>
      <c r="I36" s="28">
        <f t="shared" si="2"/>
        <v>2.2112500000000002</v>
      </c>
      <c r="J36" s="28">
        <f t="shared" si="2"/>
        <v>0.36708333333333326</v>
      </c>
      <c r="K36" s="28">
        <f t="shared" si="2"/>
        <v>269.07291666666669</v>
      </c>
      <c r="L36" s="28">
        <f t="shared" si="2"/>
        <v>27.930833333333336</v>
      </c>
      <c r="M36" s="28">
        <f t="shared" si="2"/>
        <v>94.347916666666677</v>
      </c>
      <c r="N36" s="28">
        <f t="shared" si="2"/>
        <v>241.04583333333343</v>
      </c>
      <c r="O36" s="28">
        <f t="shared" si="2"/>
        <v>2.4999999999999998E-2</v>
      </c>
      <c r="P36" s="28">
        <f t="shared" si="2"/>
        <v>0.68208333333333326</v>
      </c>
      <c r="Q36" s="28">
        <f t="shared" si="2"/>
        <v>9.34375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12.940327755800324</v>
      </c>
      <c r="C37" s="28">
        <f t="shared" ref="C37:Q37" si="3">STDEV(C9:C32)</f>
        <v>9.4906828070970395</v>
      </c>
      <c r="D37" s="28">
        <f t="shared" si="3"/>
        <v>13.720981546574912</v>
      </c>
      <c r="E37" s="28">
        <f t="shared" si="3"/>
        <v>0.41329512738337548</v>
      </c>
      <c r="F37" s="28">
        <f t="shared" si="3"/>
        <v>3.550110199351042</v>
      </c>
      <c r="G37" s="28">
        <f t="shared" si="3"/>
        <v>28.500819807685254</v>
      </c>
      <c r="H37" s="28">
        <f t="shared" si="3"/>
        <v>9.0740569837822527</v>
      </c>
      <c r="I37" s="28">
        <f t="shared" si="3"/>
        <v>0.54074274603669203</v>
      </c>
      <c r="J37" s="28">
        <f t="shared" si="3"/>
        <v>0.33034210418458843</v>
      </c>
      <c r="K37" s="28">
        <f t="shared" si="3"/>
        <v>71.587731853948</v>
      </c>
      <c r="L37" s="28">
        <f t="shared" si="3"/>
        <v>2.7091357785586663</v>
      </c>
      <c r="M37" s="28">
        <f t="shared" si="3"/>
        <v>8.6650331689405888</v>
      </c>
      <c r="N37" s="28">
        <f t="shared" si="3"/>
        <v>311.05862019766516</v>
      </c>
      <c r="O37" s="28">
        <f t="shared" si="3"/>
        <v>0.1224744871391589</v>
      </c>
      <c r="P37" s="28">
        <f t="shared" si="3"/>
        <v>0.37240673377681949</v>
      </c>
      <c r="Q37" s="28">
        <f t="shared" si="3"/>
        <v>0.20416984617459191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516</v>
      </c>
      <c r="B9" s="53">
        <v>11.78</v>
      </c>
      <c r="C9" s="53">
        <v>10.28</v>
      </c>
      <c r="D9" s="53">
        <v>14.02</v>
      </c>
      <c r="E9" s="53">
        <v>4</v>
      </c>
      <c r="F9" s="53">
        <v>11.45</v>
      </c>
      <c r="G9" s="53">
        <v>90.07</v>
      </c>
      <c r="H9" s="53">
        <v>34.51</v>
      </c>
      <c r="I9" s="53">
        <v>2.65</v>
      </c>
      <c r="J9" s="53">
        <v>0.8</v>
      </c>
      <c r="K9" s="53">
        <v>125.39</v>
      </c>
      <c r="L9" s="53">
        <v>26.01</v>
      </c>
      <c r="M9" s="53">
        <v>98.79</v>
      </c>
      <c r="N9" s="53">
        <v>43.7</v>
      </c>
      <c r="O9" s="53">
        <v>0</v>
      </c>
      <c r="P9" s="53">
        <v>0.38</v>
      </c>
      <c r="Q9" s="53">
        <v>9.6199999999999992</v>
      </c>
      <c r="R9" s="43"/>
      <c r="S9" s="43"/>
      <c r="T9" s="43"/>
      <c r="U9" s="43"/>
    </row>
    <row r="10" spans="1:21" s="11" customFormat="1" x14ac:dyDescent="0.25">
      <c r="A10" s="52" t="s">
        <v>517</v>
      </c>
      <c r="B10" s="53">
        <v>16.66</v>
      </c>
      <c r="C10" s="53">
        <v>55.28</v>
      </c>
      <c r="D10" s="53">
        <v>42.24</v>
      </c>
      <c r="E10" s="53">
        <v>3.89</v>
      </c>
      <c r="F10" s="53">
        <v>9.44</v>
      </c>
      <c r="G10" s="53">
        <v>64.03</v>
      </c>
      <c r="H10" s="53">
        <v>24.14</v>
      </c>
      <c r="I10" s="53">
        <v>2.38</v>
      </c>
      <c r="J10" s="53">
        <v>0.85</v>
      </c>
      <c r="K10" s="53">
        <v>127.81</v>
      </c>
      <c r="L10" s="53">
        <v>24.66</v>
      </c>
      <c r="M10" s="53">
        <v>98.87</v>
      </c>
      <c r="N10" s="53">
        <v>46.7</v>
      </c>
      <c r="O10" s="53">
        <v>5</v>
      </c>
      <c r="P10" s="53">
        <v>0.54</v>
      </c>
      <c r="Q10" s="53">
        <v>9.58</v>
      </c>
      <c r="R10" s="43"/>
      <c r="S10" s="43"/>
      <c r="T10" s="43"/>
      <c r="U10" s="43"/>
    </row>
    <row r="11" spans="1:21" s="11" customFormat="1" x14ac:dyDescent="0.25">
      <c r="A11" s="52" t="s">
        <v>518</v>
      </c>
      <c r="B11" s="53">
        <v>13.3</v>
      </c>
      <c r="C11" s="53">
        <v>10.86</v>
      </c>
      <c r="D11" s="53">
        <v>15.82</v>
      </c>
      <c r="E11" s="53">
        <v>3.59</v>
      </c>
      <c r="F11" s="53">
        <v>9.33</v>
      </c>
      <c r="G11" s="53">
        <v>40.99</v>
      </c>
      <c r="H11" s="53">
        <v>21.06</v>
      </c>
      <c r="I11" s="53">
        <v>2.0299999999999998</v>
      </c>
      <c r="J11" s="53">
        <v>0.44</v>
      </c>
      <c r="K11" s="53">
        <v>170.66</v>
      </c>
      <c r="L11" s="53">
        <v>22.93</v>
      </c>
      <c r="M11" s="53">
        <v>98.9</v>
      </c>
      <c r="N11" s="53">
        <v>43.8</v>
      </c>
      <c r="O11" s="53">
        <v>1.4</v>
      </c>
      <c r="P11" s="53">
        <v>0.46</v>
      </c>
      <c r="Q11" s="53">
        <v>9.42</v>
      </c>
      <c r="R11" s="43"/>
      <c r="S11" s="43"/>
      <c r="T11" s="43"/>
      <c r="U11" s="43"/>
    </row>
    <row r="12" spans="1:21" s="11" customFormat="1" x14ac:dyDescent="0.25">
      <c r="A12" s="52" t="s">
        <v>519</v>
      </c>
      <c r="B12" s="53">
        <v>12.56</v>
      </c>
      <c r="C12" s="53">
        <v>10.95</v>
      </c>
      <c r="D12" s="53">
        <v>15.03</v>
      </c>
      <c r="E12" s="53">
        <v>3.42</v>
      </c>
      <c r="F12" s="53">
        <v>13.53</v>
      </c>
      <c r="G12" s="53">
        <v>38.35</v>
      </c>
      <c r="H12" s="53">
        <v>20.11</v>
      </c>
      <c r="I12" s="53">
        <v>1.78</v>
      </c>
      <c r="J12" s="53">
        <v>0.5</v>
      </c>
      <c r="K12" s="53">
        <v>161.38999999999999</v>
      </c>
      <c r="L12" s="53">
        <v>22.68</v>
      </c>
      <c r="M12" s="53">
        <v>98.91</v>
      </c>
      <c r="N12" s="53">
        <v>43.6</v>
      </c>
      <c r="O12" s="53">
        <v>0.4</v>
      </c>
      <c r="P12" s="53">
        <v>0.37</v>
      </c>
      <c r="Q12" s="53">
        <v>9.2899999999999991</v>
      </c>
      <c r="R12" s="43"/>
      <c r="S12" s="43"/>
      <c r="T12" s="43"/>
      <c r="U12" s="43"/>
    </row>
    <row r="13" spans="1:21" s="11" customFormat="1" x14ac:dyDescent="0.25">
      <c r="A13" s="52" t="s">
        <v>520</v>
      </c>
      <c r="B13" s="53">
        <v>18.329999999999998</v>
      </c>
      <c r="C13" s="53">
        <v>18.239999999999998</v>
      </c>
      <c r="D13" s="53">
        <v>24.23</v>
      </c>
      <c r="E13" s="53">
        <v>3.53</v>
      </c>
      <c r="F13" s="53">
        <v>11.32</v>
      </c>
      <c r="G13" s="53">
        <v>30.79</v>
      </c>
      <c r="H13" s="53">
        <v>17.41</v>
      </c>
      <c r="I13" s="53">
        <v>1.57</v>
      </c>
      <c r="J13" s="53">
        <v>0.08</v>
      </c>
      <c r="K13" s="53">
        <v>313.58999999999997</v>
      </c>
      <c r="L13" s="53">
        <v>23.2</v>
      </c>
      <c r="M13" s="53">
        <v>98.94</v>
      </c>
      <c r="N13" s="53">
        <v>43.6</v>
      </c>
      <c r="O13" s="53">
        <v>0</v>
      </c>
      <c r="P13" s="53">
        <v>0.25</v>
      </c>
      <c r="Q13" s="53">
        <v>9.31</v>
      </c>
      <c r="R13" s="43"/>
      <c r="S13" s="43"/>
      <c r="T13" s="43"/>
      <c r="U13" s="43"/>
    </row>
    <row r="14" spans="1:21" s="11" customFormat="1" x14ac:dyDescent="0.25">
      <c r="A14" s="52" t="s">
        <v>521</v>
      </c>
      <c r="B14" s="53">
        <v>14.58</v>
      </c>
      <c r="C14" s="53">
        <v>20.329999999999998</v>
      </c>
      <c r="D14" s="53">
        <v>17.77</v>
      </c>
      <c r="E14" s="53">
        <v>3.69</v>
      </c>
      <c r="F14" s="53">
        <v>7.9</v>
      </c>
      <c r="G14" s="53">
        <v>25.18</v>
      </c>
      <c r="H14" s="53">
        <v>14.17</v>
      </c>
      <c r="I14" s="53">
        <v>1.47</v>
      </c>
      <c r="J14" s="53">
        <v>0.13</v>
      </c>
      <c r="K14" s="53">
        <v>336.16</v>
      </c>
      <c r="L14" s="53">
        <v>23.31</v>
      </c>
      <c r="M14" s="53">
        <v>98.98</v>
      </c>
      <c r="N14" s="53">
        <v>54.6</v>
      </c>
      <c r="O14" s="53">
        <v>0.2</v>
      </c>
      <c r="P14" s="53">
        <v>0.33</v>
      </c>
      <c r="Q14" s="53">
        <v>9.31</v>
      </c>
      <c r="R14" s="43"/>
      <c r="S14" s="43"/>
      <c r="T14" s="43"/>
      <c r="U14" s="43"/>
    </row>
    <row r="15" spans="1:21" s="11" customFormat="1" x14ac:dyDescent="0.25">
      <c r="A15" s="52" t="s">
        <v>522</v>
      </c>
      <c r="B15" s="53">
        <v>13.86</v>
      </c>
      <c r="C15" s="53">
        <v>12.38</v>
      </c>
      <c r="D15" s="53">
        <v>16.25</v>
      </c>
      <c r="E15" s="53">
        <v>3.69</v>
      </c>
      <c r="F15" s="53">
        <v>4.47</v>
      </c>
      <c r="G15" s="53">
        <v>25.18</v>
      </c>
      <c r="H15" s="53">
        <v>14.17</v>
      </c>
      <c r="I15" s="53">
        <v>1.38</v>
      </c>
      <c r="J15" s="53">
        <v>1.68</v>
      </c>
      <c r="K15" s="53">
        <v>323.73</v>
      </c>
      <c r="L15" s="53">
        <v>23.08</v>
      </c>
      <c r="M15" s="53">
        <v>98.98</v>
      </c>
      <c r="N15" s="53">
        <v>51.6</v>
      </c>
      <c r="O15" s="53">
        <v>4.2</v>
      </c>
      <c r="P15" s="53">
        <v>0.34</v>
      </c>
      <c r="Q15" s="53">
        <v>9.2799999999999994</v>
      </c>
      <c r="R15" s="43"/>
      <c r="S15" s="43"/>
      <c r="T15" s="43"/>
      <c r="U15" s="43"/>
    </row>
    <row r="16" spans="1:21" s="11" customFormat="1" x14ac:dyDescent="0.25">
      <c r="A16" s="52" t="s">
        <v>523</v>
      </c>
      <c r="B16" s="53">
        <v>8.76</v>
      </c>
      <c r="C16" s="53">
        <v>15.23</v>
      </c>
      <c r="D16" s="53">
        <v>14.25</v>
      </c>
      <c r="E16" s="53">
        <v>4.9800000000000004</v>
      </c>
      <c r="F16" s="53">
        <v>4.72</v>
      </c>
      <c r="G16" s="53">
        <v>19.13</v>
      </c>
      <c r="H16" s="53">
        <v>10.220000000000001</v>
      </c>
      <c r="I16" s="53">
        <v>1.1599999999999999</v>
      </c>
      <c r="J16" s="53">
        <v>2.27</v>
      </c>
      <c r="K16" s="53">
        <v>334</v>
      </c>
      <c r="L16" s="53">
        <v>21.17</v>
      </c>
      <c r="M16" s="53">
        <v>98.94</v>
      </c>
      <c r="N16" s="53">
        <v>81.5</v>
      </c>
      <c r="O16" s="53">
        <v>4.8</v>
      </c>
      <c r="P16" s="53">
        <v>0.3</v>
      </c>
      <c r="Q16" s="53">
        <v>9.1300000000000008</v>
      </c>
      <c r="R16" s="43"/>
      <c r="S16" s="43"/>
      <c r="T16" s="43"/>
      <c r="U16" s="43"/>
    </row>
    <row r="17" spans="1:21" s="11" customFormat="1" x14ac:dyDescent="0.25">
      <c r="A17" s="52" t="s">
        <v>524</v>
      </c>
      <c r="B17" s="53">
        <v>8.33</v>
      </c>
      <c r="C17" s="53">
        <v>15.89</v>
      </c>
      <c r="D17" s="53">
        <v>14.47</v>
      </c>
      <c r="E17" s="53">
        <v>4.99</v>
      </c>
      <c r="F17" s="53">
        <v>4.92</v>
      </c>
      <c r="G17" s="53">
        <v>13.56</v>
      </c>
      <c r="H17" s="53">
        <v>9.67</v>
      </c>
      <c r="I17" s="53">
        <v>1</v>
      </c>
      <c r="J17" s="53">
        <v>1.39</v>
      </c>
      <c r="K17" s="53">
        <v>332.84</v>
      </c>
      <c r="L17" s="53">
        <v>21.84</v>
      </c>
      <c r="M17" s="53">
        <v>98.93</v>
      </c>
      <c r="N17" s="53">
        <v>177.2</v>
      </c>
      <c r="O17" s="53">
        <v>0.6</v>
      </c>
      <c r="P17" s="53">
        <v>0.27</v>
      </c>
      <c r="Q17" s="53">
        <v>9.1300000000000008</v>
      </c>
      <c r="R17" s="43"/>
      <c r="S17" s="43"/>
      <c r="T17" s="43"/>
      <c r="U17" s="43"/>
    </row>
    <row r="18" spans="1:21" s="11" customFormat="1" x14ac:dyDescent="0.25">
      <c r="A18" s="52" t="s">
        <v>525</v>
      </c>
      <c r="B18" s="53">
        <v>11.45</v>
      </c>
      <c r="C18" s="53">
        <v>14.55</v>
      </c>
      <c r="D18" s="53">
        <v>16.78</v>
      </c>
      <c r="E18" s="53">
        <v>4.95</v>
      </c>
      <c r="F18" s="53">
        <v>4.6100000000000003</v>
      </c>
      <c r="G18" s="53">
        <v>11.81</v>
      </c>
      <c r="H18" s="53">
        <v>11.75</v>
      </c>
      <c r="I18" s="53">
        <v>0.99</v>
      </c>
      <c r="J18" s="53">
        <v>0.73</v>
      </c>
      <c r="K18" s="53">
        <v>326.81</v>
      </c>
      <c r="L18" s="53">
        <v>25.21</v>
      </c>
      <c r="M18" s="53">
        <v>98.94</v>
      </c>
      <c r="N18" s="53">
        <v>640.79999999999995</v>
      </c>
      <c r="O18" s="53">
        <v>0</v>
      </c>
      <c r="P18" s="53">
        <v>0.3</v>
      </c>
      <c r="Q18" s="53">
        <v>9.18</v>
      </c>
      <c r="R18" s="43"/>
      <c r="S18" s="43"/>
      <c r="T18" s="43"/>
      <c r="U18" s="43"/>
    </row>
    <row r="19" spans="1:21" s="11" customFormat="1" x14ac:dyDescent="0.25">
      <c r="A19" s="52" t="s">
        <v>526</v>
      </c>
      <c r="B19" s="53">
        <v>11.96</v>
      </c>
      <c r="C19" s="53">
        <v>14.54</v>
      </c>
      <c r="D19" s="53">
        <v>17.18</v>
      </c>
      <c r="E19" s="53">
        <v>4.95</v>
      </c>
      <c r="F19" s="53">
        <v>4.5199999999999996</v>
      </c>
      <c r="G19" s="53">
        <v>20.079999999999998</v>
      </c>
      <c r="H19" s="53">
        <v>11.75</v>
      </c>
      <c r="I19" s="53">
        <v>1.05</v>
      </c>
      <c r="J19" s="53">
        <v>0.23</v>
      </c>
      <c r="K19" s="53">
        <v>328.26</v>
      </c>
      <c r="L19" s="53">
        <v>25.43</v>
      </c>
      <c r="M19" s="53">
        <v>98.7</v>
      </c>
      <c r="N19" s="53">
        <v>264.10000000000002</v>
      </c>
      <c r="O19" s="53">
        <v>0</v>
      </c>
      <c r="P19" s="53">
        <v>0.37</v>
      </c>
      <c r="Q19" s="53">
        <v>9.18</v>
      </c>
      <c r="R19" s="43"/>
      <c r="S19" s="43"/>
      <c r="T19" s="43"/>
      <c r="U19" s="43"/>
    </row>
    <row r="20" spans="1:21" s="11" customFormat="1" x14ac:dyDescent="0.25">
      <c r="A20" s="52" t="s">
        <v>527</v>
      </c>
      <c r="B20" s="53">
        <v>10.87</v>
      </c>
      <c r="C20" s="53">
        <v>16.05</v>
      </c>
      <c r="D20" s="53">
        <v>17.02</v>
      </c>
      <c r="E20" s="53">
        <v>5.13</v>
      </c>
      <c r="F20" s="53">
        <v>4.68</v>
      </c>
      <c r="G20" s="53">
        <v>36.11</v>
      </c>
      <c r="H20" s="53">
        <v>12.92</v>
      </c>
      <c r="I20" s="53">
        <v>1.1000000000000001</v>
      </c>
      <c r="J20" s="53">
        <v>0.14000000000000001</v>
      </c>
      <c r="K20" s="53">
        <v>287.81</v>
      </c>
      <c r="L20" s="53">
        <v>26.54</v>
      </c>
      <c r="M20" s="53">
        <v>98.58</v>
      </c>
      <c r="N20" s="53">
        <v>337.8</v>
      </c>
      <c r="O20" s="53">
        <v>0</v>
      </c>
      <c r="P20" s="53">
        <v>0.4</v>
      </c>
      <c r="Q20" s="53">
        <v>9.18</v>
      </c>
      <c r="R20" s="43"/>
      <c r="S20" s="43"/>
      <c r="T20" s="43"/>
      <c r="U20" s="43"/>
    </row>
    <row r="21" spans="1:21" s="11" customFormat="1" x14ac:dyDescent="0.25">
      <c r="A21" s="52" t="s">
        <v>528</v>
      </c>
      <c r="B21" s="53">
        <v>10.77</v>
      </c>
      <c r="C21" s="53">
        <v>20.56</v>
      </c>
      <c r="D21" s="53">
        <v>19.03</v>
      </c>
      <c r="E21" s="53">
        <v>4.99</v>
      </c>
      <c r="F21" s="53">
        <v>11.67</v>
      </c>
      <c r="G21" s="53">
        <v>45.91</v>
      </c>
      <c r="H21" s="53">
        <v>12.97</v>
      </c>
      <c r="I21" s="53">
        <v>1.75</v>
      </c>
      <c r="J21" s="53">
        <v>0.61</v>
      </c>
      <c r="K21" s="53">
        <v>185.7</v>
      </c>
      <c r="L21" s="53">
        <v>26.53</v>
      </c>
      <c r="M21" s="53">
        <v>98.41</v>
      </c>
      <c r="N21" s="53">
        <v>569.29999999999995</v>
      </c>
      <c r="O21" s="53">
        <v>0</v>
      </c>
      <c r="P21" s="53">
        <v>0.89</v>
      </c>
      <c r="Q21" s="53">
        <v>9.18</v>
      </c>
      <c r="R21" s="43"/>
      <c r="S21" s="43"/>
      <c r="T21" s="43"/>
      <c r="U21" s="43"/>
    </row>
    <row r="22" spans="1:21" s="11" customFormat="1" x14ac:dyDescent="0.25">
      <c r="A22" s="52" t="s">
        <v>529</v>
      </c>
      <c r="B22" s="53">
        <v>8.91</v>
      </c>
      <c r="C22" s="53">
        <v>18.71</v>
      </c>
      <c r="D22" s="53">
        <v>15.91</v>
      </c>
      <c r="E22" s="53">
        <v>4.9800000000000004</v>
      </c>
      <c r="F22" s="53">
        <v>14.37</v>
      </c>
      <c r="G22" s="53">
        <v>45.91</v>
      </c>
      <c r="H22" s="53">
        <v>17.100000000000001</v>
      </c>
      <c r="I22" s="53">
        <v>2.27</v>
      </c>
      <c r="J22" s="53">
        <v>0.41</v>
      </c>
      <c r="K22" s="53">
        <v>172.53</v>
      </c>
      <c r="L22" s="53">
        <v>27.09</v>
      </c>
      <c r="M22" s="53">
        <v>97.63</v>
      </c>
      <c r="N22" s="53">
        <v>428.3</v>
      </c>
      <c r="O22" s="53">
        <v>0</v>
      </c>
      <c r="P22" s="53">
        <v>0.57999999999999996</v>
      </c>
      <c r="Q22" s="53">
        <v>9.18</v>
      </c>
      <c r="R22" s="43"/>
      <c r="S22" s="43"/>
      <c r="T22" s="43"/>
      <c r="U22" s="43"/>
    </row>
    <row r="23" spans="1:21" s="11" customFormat="1" x14ac:dyDescent="0.25">
      <c r="A23" s="52" t="s">
        <v>530</v>
      </c>
      <c r="B23" s="53">
        <v>6.94</v>
      </c>
      <c r="C23" s="53">
        <v>17.11</v>
      </c>
      <c r="D23" s="53">
        <v>14.51</v>
      </c>
      <c r="E23" s="53">
        <v>5.0199999999999996</v>
      </c>
      <c r="F23" s="53">
        <v>8.1</v>
      </c>
      <c r="G23" s="53">
        <v>44.16</v>
      </c>
      <c r="H23" s="53">
        <v>17.72</v>
      </c>
      <c r="I23" s="53">
        <v>2.34</v>
      </c>
      <c r="J23" s="53">
        <v>0.25</v>
      </c>
      <c r="K23" s="53">
        <v>275.83999999999997</v>
      </c>
      <c r="L23" s="53">
        <v>27.3</v>
      </c>
      <c r="M23" s="53">
        <v>97.18</v>
      </c>
      <c r="N23" s="53">
        <v>284.5</v>
      </c>
      <c r="O23" s="53">
        <v>0</v>
      </c>
      <c r="P23" s="53">
        <v>0.61</v>
      </c>
      <c r="Q23" s="53">
        <v>9.15</v>
      </c>
      <c r="R23" s="43"/>
      <c r="S23" s="43"/>
      <c r="T23" s="43"/>
      <c r="U23" s="43"/>
    </row>
    <row r="24" spans="1:21" s="11" customFormat="1" x14ac:dyDescent="0.25">
      <c r="A24" s="52" t="s">
        <v>531</v>
      </c>
      <c r="B24" s="53">
        <v>9.18</v>
      </c>
      <c r="C24" s="53">
        <v>20.99</v>
      </c>
      <c r="D24" s="53">
        <v>18.329999999999998</v>
      </c>
      <c r="E24" s="53">
        <v>4.8099999999999996</v>
      </c>
      <c r="F24" s="53">
        <v>13.14</v>
      </c>
      <c r="G24" s="53">
        <v>45.33</v>
      </c>
      <c r="H24" s="53">
        <v>17.72</v>
      </c>
      <c r="I24" s="53">
        <v>2.35</v>
      </c>
      <c r="J24" s="53">
        <v>0.27</v>
      </c>
      <c r="K24" s="53">
        <v>326.57</v>
      </c>
      <c r="L24" s="53">
        <v>27.76</v>
      </c>
      <c r="M24" s="53">
        <v>98.35</v>
      </c>
      <c r="N24" s="53">
        <v>193.1</v>
      </c>
      <c r="O24" s="53">
        <v>0</v>
      </c>
      <c r="P24" s="53">
        <v>0.72</v>
      </c>
      <c r="Q24" s="53">
        <v>9.06</v>
      </c>
      <c r="R24" s="43"/>
      <c r="S24" s="43"/>
      <c r="T24" s="43"/>
      <c r="U24" s="43"/>
    </row>
    <row r="25" spans="1:21" s="11" customFormat="1" x14ac:dyDescent="0.25">
      <c r="A25" s="52" t="s">
        <v>532</v>
      </c>
      <c r="B25" s="53">
        <v>13.27</v>
      </c>
      <c r="C25" s="53">
        <v>29.98</v>
      </c>
      <c r="D25" s="53">
        <v>26.3</v>
      </c>
      <c r="E25" s="53">
        <v>4.5199999999999996</v>
      </c>
      <c r="F25" s="53">
        <v>14.52</v>
      </c>
      <c r="G25" s="53">
        <v>45.33</v>
      </c>
      <c r="H25" s="53">
        <v>17.16</v>
      </c>
      <c r="I25" s="53">
        <v>2.4300000000000002</v>
      </c>
      <c r="J25" s="53">
        <v>0.22</v>
      </c>
      <c r="K25" s="53">
        <v>326.82</v>
      </c>
      <c r="L25" s="53">
        <v>28.49</v>
      </c>
      <c r="M25" s="53">
        <v>96.52</v>
      </c>
      <c r="N25" s="53">
        <v>169.8</v>
      </c>
      <c r="O25" s="53">
        <v>0</v>
      </c>
      <c r="P25" s="53">
        <v>1.1100000000000001</v>
      </c>
      <c r="Q25" s="53">
        <v>9.1199999999999992</v>
      </c>
      <c r="R25" s="43"/>
      <c r="S25" s="43"/>
      <c r="T25" s="43"/>
      <c r="U25" s="43"/>
    </row>
    <row r="26" spans="1:21" s="11" customFormat="1" x14ac:dyDescent="0.25">
      <c r="A26" s="52" t="s">
        <v>533</v>
      </c>
      <c r="B26" s="53">
        <v>16.760000000000002</v>
      </c>
      <c r="C26" s="53">
        <v>28.95</v>
      </c>
      <c r="D26" s="53">
        <v>28</v>
      </c>
      <c r="E26" s="53">
        <v>4.93</v>
      </c>
      <c r="F26" s="53">
        <v>16.2</v>
      </c>
      <c r="G26" s="53">
        <v>58.56</v>
      </c>
      <c r="H26" s="53">
        <v>23.07</v>
      </c>
      <c r="I26" s="53">
        <v>2.69</v>
      </c>
      <c r="J26" s="53">
        <v>1.04</v>
      </c>
      <c r="K26" s="53">
        <v>337.12</v>
      </c>
      <c r="L26" s="53">
        <v>28.29</v>
      </c>
      <c r="M26" s="53">
        <v>98.4</v>
      </c>
      <c r="N26" s="53">
        <v>116.5</v>
      </c>
      <c r="O26" s="53">
        <v>0</v>
      </c>
      <c r="P26" s="53">
        <v>0.98</v>
      </c>
      <c r="Q26" s="53">
        <v>9.2200000000000006</v>
      </c>
      <c r="R26" s="43"/>
      <c r="S26" s="43"/>
      <c r="T26" s="43"/>
      <c r="U26" s="43"/>
    </row>
    <row r="27" spans="1:21" s="11" customFormat="1" x14ac:dyDescent="0.25">
      <c r="A27" s="52" t="s">
        <v>534</v>
      </c>
      <c r="B27" s="53">
        <v>24.95</v>
      </c>
      <c r="C27" s="53">
        <v>27.89</v>
      </c>
      <c r="D27" s="53">
        <v>34.58</v>
      </c>
      <c r="E27" s="53">
        <v>5.32</v>
      </c>
      <c r="F27" s="53">
        <v>13.68</v>
      </c>
      <c r="G27" s="53">
        <v>62.48</v>
      </c>
      <c r="H27" s="53">
        <v>23.07</v>
      </c>
      <c r="I27" s="53">
        <v>2.72</v>
      </c>
      <c r="J27" s="53">
        <v>1.48</v>
      </c>
      <c r="K27" s="53">
        <v>337.48</v>
      </c>
      <c r="L27" s="53">
        <v>27.15</v>
      </c>
      <c r="M27" s="53">
        <v>98.48</v>
      </c>
      <c r="N27" s="53">
        <v>54.6</v>
      </c>
      <c r="O27" s="53">
        <v>0</v>
      </c>
      <c r="P27" s="53">
        <v>0.92</v>
      </c>
      <c r="Q27" s="53">
        <v>9.31</v>
      </c>
      <c r="R27" s="43"/>
      <c r="S27" s="43"/>
      <c r="T27" s="43"/>
      <c r="U27" s="43"/>
    </row>
    <row r="28" spans="1:21" s="11" customFormat="1" x14ac:dyDescent="0.25">
      <c r="A28" s="52" t="s">
        <v>535</v>
      </c>
      <c r="B28" s="53">
        <v>24.74</v>
      </c>
      <c r="C28" s="53">
        <v>32.65</v>
      </c>
      <c r="D28" s="53">
        <v>34.69</v>
      </c>
      <c r="E28" s="53">
        <v>4.84</v>
      </c>
      <c r="F28" s="53">
        <v>9.0399999999999991</v>
      </c>
      <c r="G28" s="53">
        <v>62.48</v>
      </c>
      <c r="H28" s="53">
        <v>21.7</v>
      </c>
      <c r="I28" s="53">
        <v>2.48</v>
      </c>
      <c r="J28" s="53">
        <v>0.56999999999999995</v>
      </c>
      <c r="K28" s="53">
        <v>343.76</v>
      </c>
      <c r="L28" s="53">
        <v>25.99</v>
      </c>
      <c r="M28" s="53">
        <v>98.51</v>
      </c>
      <c r="N28" s="53">
        <v>42.1</v>
      </c>
      <c r="O28" s="53">
        <v>0</v>
      </c>
      <c r="P28" s="53">
        <v>1.0900000000000001</v>
      </c>
      <c r="Q28" s="53">
        <v>9.4</v>
      </c>
      <c r="R28" s="43"/>
      <c r="S28" s="43"/>
      <c r="T28" s="43"/>
      <c r="U28" s="43"/>
    </row>
    <row r="29" spans="1:21" s="11" customFormat="1" x14ac:dyDescent="0.25">
      <c r="A29" s="52" t="s">
        <v>536</v>
      </c>
      <c r="B29" s="53">
        <v>26.96</v>
      </c>
      <c r="C29" s="53">
        <v>38.01</v>
      </c>
      <c r="D29" s="53">
        <v>37.630000000000003</v>
      </c>
      <c r="E29" s="53">
        <v>4.8899999999999997</v>
      </c>
      <c r="F29" s="53">
        <v>8.24</v>
      </c>
      <c r="G29" s="53">
        <v>68.239999999999995</v>
      </c>
      <c r="H29" s="53">
        <v>21.7</v>
      </c>
      <c r="I29" s="53">
        <v>2.61</v>
      </c>
      <c r="J29" s="53">
        <v>0.14000000000000001</v>
      </c>
      <c r="K29" s="53">
        <v>136.4</v>
      </c>
      <c r="L29" s="53">
        <v>25.76</v>
      </c>
      <c r="M29" s="53">
        <v>98.58</v>
      </c>
      <c r="N29" s="53">
        <v>42.2</v>
      </c>
      <c r="O29" s="53">
        <v>0</v>
      </c>
      <c r="P29" s="53">
        <v>1.1499999999999999</v>
      </c>
      <c r="Q29" s="53">
        <v>9.4600000000000009</v>
      </c>
      <c r="R29" s="43"/>
      <c r="S29" s="43"/>
      <c r="T29" s="43"/>
      <c r="U29" s="43"/>
    </row>
    <row r="30" spans="1:21" s="11" customFormat="1" x14ac:dyDescent="0.25">
      <c r="A30" s="52" t="s">
        <v>537</v>
      </c>
      <c r="B30" s="53">
        <v>29.38</v>
      </c>
      <c r="C30" s="53">
        <v>33.08</v>
      </c>
      <c r="D30" s="53">
        <v>40.07</v>
      </c>
      <c r="E30" s="53">
        <v>4.7699999999999996</v>
      </c>
      <c r="F30" s="53">
        <v>6.96</v>
      </c>
      <c r="G30" s="53">
        <v>68.239999999999995</v>
      </c>
      <c r="H30" s="53">
        <v>23.69</v>
      </c>
      <c r="I30" s="53">
        <v>2.71</v>
      </c>
      <c r="J30" s="53">
        <v>0.27</v>
      </c>
      <c r="K30" s="53">
        <v>219.9</v>
      </c>
      <c r="L30" s="53">
        <v>25.63</v>
      </c>
      <c r="M30" s="53">
        <v>98.53</v>
      </c>
      <c r="N30" s="53">
        <v>42.1</v>
      </c>
      <c r="O30" s="53">
        <v>0</v>
      </c>
      <c r="P30" s="53">
        <v>0.77</v>
      </c>
      <c r="Q30" s="53">
        <v>9.5399999999999991</v>
      </c>
      <c r="R30" s="43"/>
      <c r="S30" s="43"/>
      <c r="T30" s="43"/>
      <c r="U30" s="43"/>
    </row>
    <row r="31" spans="1:21" s="11" customFormat="1" x14ac:dyDescent="0.25">
      <c r="A31" s="52" t="s">
        <v>538</v>
      </c>
      <c r="B31" s="53">
        <v>42.68</v>
      </c>
      <c r="C31" s="53">
        <v>29.94</v>
      </c>
      <c r="D31" s="53">
        <v>46.85</v>
      </c>
      <c r="E31" s="53">
        <v>4.9000000000000004</v>
      </c>
      <c r="F31" s="53">
        <v>7.05</v>
      </c>
      <c r="G31" s="53">
        <v>68.37</v>
      </c>
      <c r="H31" s="53">
        <v>23.69</v>
      </c>
      <c r="I31" s="53">
        <v>2.68</v>
      </c>
      <c r="J31" s="53">
        <v>0.17</v>
      </c>
      <c r="K31" s="53">
        <v>357.14</v>
      </c>
      <c r="L31" s="53">
        <v>25.31</v>
      </c>
      <c r="M31" s="53">
        <v>98.53</v>
      </c>
      <c r="N31" s="53">
        <v>42.2</v>
      </c>
      <c r="O31" s="53">
        <v>0</v>
      </c>
      <c r="P31" s="53">
        <v>1.08</v>
      </c>
      <c r="Q31" s="53">
        <v>9.59</v>
      </c>
      <c r="R31" s="43"/>
      <c r="S31" s="43"/>
      <c r="T31" s="43"/>
      <c r="U31" s="43"/>
    </row>
    <row r="32" spans="1:21" s="11" customFormat="1" x14ac:dyDescent="0.25">
      <c r="A32" s="52" t="s">
        <v>539</v>
      </c>
      <c r="B32" s="53">
        <v>25.48</v>
      </c>
      <c r="C32" s="53">
        <v>27.44</v>
      </c>
      <c r="D32" s="53">
        <v>32.590000000000003</v>
      </c>
      <c r="E32" s="53">
        <v>4.8899999999999997</v>
      </c>
      <c r="F32" s="53">
        <v>6.11</v>
      </c>
      <c r="G32" s="53">
        <v>79.72</v>
      </c>
      <c r="H32" s="53">
        <v>21.46</v>
      </c>
      <c r="I32" s="53">
        <v>2.7</v>
      </c>
      <c r="J32" s="53">
        <v>0.08</v>
      </c>
      <c r="K32" s="53">
        <v>315.32</v>
      </c>
      <c r="L32" s="53">
        <v>25.23</v>
      </c>
      <c r="M32" s="53">
        <v>98.56</v>
      </c>
      <c r="N32" s="53">
        <v>42.5</v>
      </c>
      <c r="O32" s="53">
        <v>0.2</v>
      </c>
      <c r="P32" s="53">
        <v>0.82</v>
      </c>
      <c r="Q32" s="53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6.94</v>
      </c>
      <c r="C34" s="28">
        <f t="shared" si="0"/>
        <v>10.28</v>
      </c>
      <c r="D34" s="28">
        <f t="shared" si="0"/>
        <v>14.02</v>
      </c>
      <c r="E34" s="28">
        <f t="shared" si="0"/>
        <v>3.42</v>
      </c>
      <c r="F34" s="28">
        <f t="shared" si="0"/>
        <v>4.47</v>
      </c>
      <c r="G34" s="28">
        <f t="shared" si="0"/>
        <v>11.81</v>
      </c>
      <c r="H34" s="28">
        <f t="shared" si="0"/>
        <v>9.67</v>
      </c>
      <c r="I34" s="28">
        <f t="shared" si="0"/>
        <v>0.99</v>
      </c>
      <c r="J34" s="28">
        <f t="shared" si="0"/>
        <v>0.08</v>
      </c>
      <c r="K34" s="28">
        <f t="shared" si="0"/>
        <v>125.39</v>
      </c>
      <c r="L34" s="28">
        <f t="shared" si="0"/>
        <v>21.17</v>
      </c>
      <c r="M34" s="28">
        <f t="shared" si="0"/>
        <v>96.52</v>
      </c>
      <c r="N34" s="28">
        <f t="shared" si="0"/>
        <v>42.1</v>
      </c>
      <c r="O34" s="28">
        <f t="shared" si="0"/>
        <v>0</v>
      </c>
      <c r="P34" s="28">
        <f t="shared" si="0"/>
        <v>0.25</v>
      </c>
      <c r="Q34" s="28">
        <f t="shared" si="0"/>
        <v>9.06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42.68</v>
      </c>
      <c r="C35" s="29">
        <f t="shared" si="1"/>
        <v>55.28</v>
      </c>
      <c r="D35" s="29">
        <f t="shared" si="1"/>
        <v>46.85</v>
      </c>
      <c r="E35" s="29">
        <f t="shared" si="1"/>
        <v>5.32</v>
      </c>
      <c r="F35" s="29">
        <f t="shared" si="1"/>
        <v>16.2</v>
      </c>
      <c r="G35" s="29">
        <f t="shared" si="1"/>
        <v>90.07</v>
      </c>
      <c r="H35" s="29">
        <f t="shared" si="1"/>
        <v>34.51</v>
      </c>
      <c r="I35" s="29">
        <f t="shared" si="1"/>
        <v>2.72</v>
      </c>
      <c r="J35" s="29">
        <f t="shared" si="1"/>
        <v>2.27</v>
      </c>
      <c r="K35" s="29">
        <f t="shared" si="1"/>
        <v>357.14</v>
      </c>
      <c r="L35" s="29">
        <f t="shared" si="1"/>
        <v>28.49</v>
      </c>
      <c r="M35" s="29">
        <f t="shared" si="1"/>
        <v>98.98</v>
      </c>
      <c r="N35" s="29">
        <f t="shared" si="1"/>
        <v>640.79999999999995</v>
      </c>
      <c r="O35" s="29">
        <f t="shared" si="1"/>
        <v>5</v>
      </c>
      <c r="P35" s="29">
        <f t="shared" si="1"/>
        <v>1.1499999999999999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16.352499999999999</v>
      </c>
      <c r="C36" s="28">
        <f t="shared" si="2"/>
        <v>22.495416666666671</v>
      </c>
      <c r="D36" s="28">
        <f t="shared" si="2"/>
        <v>23.897916666666671</v>
      </c>
      <c r="E36" s="28">
        <f t="shared" si="2"/>
        <v>4.5695833333333331</v>
      </c>
      <c r="F36" s="28">
        <f t="shared" si="2"/>
        <v>9.1654166666666672</v>
      </c>
      <c r="G36" s="28">
        <f t="shared" si="2"/>
        <v>46.250416666666666</v>
      </c>
      <c r="H36" s="28">
        <f t="shared" si="2"/>
        <v>18.455416666666661</v>
      </c>
      <c r="I36" s="28">
        <f t="shared" si="2"/>
        <v>2.0120833333333334</v>
      </c>
      <c r="J36" s="28">
        <f t="shared" si="2"/>
        <v>0.61458333333333348</v>
      </c>
      <c r="K36" s="28">
        <f t="shared" si="2"/>
        <v>270.95958333333334</v>
      </c>
      <c r="L36" s="28">
        <f t="shared" si="2"/>
        <v>25.274583333333336</v>
      </c>
      <c r="M36" s="28">
        <f t="shared" si="2"/>
        <v>98.505833333333342</v>
      </c>
      <c r="N36" s="28">
        <f t="shared" si="2"/>
        <v>160.67499999999998</v>
      </c>
      <c r="O36" s="28">
        <f t="shared" si="2"/>
        <v>0.70000000000000007</v>
      </c>
      <c r="P36" s="28">
        <f t="shared" si="2"/>
        <v>0.62624999999999997</v>
      </c>
      <c r="Q36" s="28">
        <f t="shared" si="2"/>
        <v>9.3100000000000023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8.5784721706495457</v>
      </c>
      <c r="C37" s="28">
        <f t="shared" ref="C37:Q37" si="3">STDEV(C9:C32)</f>
        <v>10.62006303885599</v>
      </c>
      <c r="D37" s="28">
        <f t="shared" si="3"/>
        <v>10.449437255148018</v>
      </c>
      <c r="E37" s="28">
        <f t="shared" si="3"/>
        <v>0.60337081515408864</v>
      </c>
      <c r="F37" s="28">
        <f t="shared" si="3"/>
        <v>3.7374473725149393</v>
      </c>
      <c r="G37" s="28">
        <f t="shared" si="3"/>
        <v>21.358779780967911</v>
      </c>
      <c r="H37" s="28">
        <f t="shared" si="3"/>
        <v>5.7677483958622204</v>
      </c>
      <c r="I37" s="28">
        <f t="shared" si="3"/>
        <v>0.64312402730169727</v>
      </c>
      <c r="J37" s="28">
        <f t="shared" si="3"/>
        <v>0.57957239984894593</v>
      </c>
      <c r="K37" s="28">
        <f t="shared" si="3"/>
        <v>81.958482834386842</v>
      </c>
      <c r="L37" s="28">
        <f t="shared" si="3"/>
        <v>2.0363863543193301</v>
      </c>
      <c r="M37" s="28">
        <f t="shared" si="3"/>
        <v>0.60049918847765305</v>
      </c>
      <c r="N37" s="28">
        <f t="shared" si="3"/>
        <v>175.50592025193416</v>
      </c>
      <c r="O37" s="28">
        <f t="shared" si="3"/>
        <v>1.5670520648380015</v>
      </c>
      <c r="P37" s="28">
        <f t="shared" si="3"/>
        <v>0.30990619197764824</v>
      </c>
      <c r="Q37" s="28">
        <f t="shared" si="3"/>
        <v>0.17717591356565945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540</v>
      </c>
      <c r="B9" s="53">
        <v>13.7</v>
      </c>
      <c r="C9" s="53">
        <v>20.07</v>
      </c>
      <c r="D9" s="53">
        <v>21.47</v>
      </c>
      <c r="E9" s="53">
        <v>4.5999999999999996</v>
      </c>
      <c r="F9" s="53">
        <v>6.81</v>
      </c>
      <c r="G9" s="53">
        <v>79.72</v>
      </c>
      <c r="H9" s="53">
        <v>20.87</v>
      </c>
      <c r="I9" s="53">
        <v>2.63</v>
      </c>
      <c r="J9" s="53">
        <v>0.1</v>
      </c>
      <c r="K9" s="53">
        <v>223.37</v>
      </c>
      <c r="L9" s="53">
        <v>24.94</v>
      </c>
      <c r="M9" s="53">
        <v>98.58</v>
      </c>
      <c r="N9" s="53">
        <v>42.5</v>
      </c>
      <c r="O9" s="53">
        <v>0</v>
      </c>
      <c r="P9" s="53">
        <v>0.63</v>
      </c>
      <c r="Q9" s="53">
        <v>9.6</v>
      </c>
      <c r="R9" s="43"/>
      <c r="S9" s="43"/>
      <c r="T9" s="43"/>
      <c r="U9" s="43"/>
    </row>
    <row r="10" spans="1:21" s="11" customFormat="1" x14ac:dyDescent="0.25">
      <c r="A10" s="52" t="s">
        <v>541</v>
      </c>
      <c r="B10" s="53">
        <v>9.57</v>
      </c>
      <c r="C10" s="53">
        <v>14.5</v>
      </c>
      <c r="D10" s="53">
        <v>14.75</v>
      </c>
      <c r="E10" s="53">
        <v>4.26</v>
      </c>
      <c r="F10" s="53">
        <v>7.15</v>
      </c>
      <c r="G10" s="53">
        <v>71.760000000000005</v>
      </c>
      <c r="H10" s="53">
        <v>15.85</v>
      </c>
      <c r="I10" s="53">
        <v>2.5</v>
      </c>
      <c r="J10" s="53">
        <v>0.25</v>
      </c>
      <c r="K10" s="53">
        <v>330.67</v>
      </c>
      <c r="L10" s="53">
        <v>24.66</v>
      </c>
      <c r="M10" s="53">
        <v>98.58</v>
      </c>
      <c r="N10" s="53">
        <v>42.3</v>
      </c>
      <c r="O10" s="53">
        <v>0</v>
      </c>
      <c r="P10" s="53">
        <v>0.34</v>
      </c>
      <c r="Q10" s="53">
        <v>9.52</v>
      </c>
      <c r="R10" s="43"/>
      <c r="S10" s="43"/>
      <c r="T10" s="43"/>
      <c r="U10" s="43"/>
    </row>
    <row r="11" spans="1:21" s="11" customFormat="1" x14ac:dyDescent="0.25">
      <c r="A11" s="52" t="s">
        <v>542</v>
      </c>
      <c r="B11" s="53">
        <v>12.4</v>
      </c>
      <c r="C11" s="53">
        <v>16.82</v>
      </c>
      <c r="D11" s="53">
        <v>18.11</v>
      </c>
      <c r="E11" s="53">
        <v>4.76</v>
      </c>
      <c r="F11" s="53">
        <v>9.49</v>
      </c>
      <c r="G11" s="53">
        <v>53.75</v>
      </c>
      <c r="H11" s="53">
        <v>14.7</v>
      </c>
      <c r="I11" s="53">
        <v>2.34</v>
      </c>
      <c r="J11" s="53">
        <v>0.35</v>
      </c>
      <c r="K11" s="53">
        <v>331.92</v>
      </c>
      <c r="L11" s="53">
        <v>24.51</v>
      </c>
      <c r="M11" s="53">
        <v>98.6</v>
      </c>
      <c r="N11" s="53">
        <v>42.5</v>
      </c>
      <c r="O11" s="53">
        <v>0</v>
      </c>
      <c r="P11" s="53">
        <v>0.38</v>
      </c>
      <c r="Q11" s="53">
        <v>9.49</v>
      </c>
      <c r="R11" s="43"/>
      <c r="S11" s="43"/>
      <c r="T11" s="43"/>
      <c r="U11" s="43"/>
    </row>
    <row r="12" spans="1:21" s="11" customFormat="1" x14ac:dyDescent="0.25">
      <c r="A12" s="52" t="s">
        <v>543</v>
      </c>
      <c r="B12" s="53">
        <v>15.65</v>
      </c>
      <c r="C12" s="53">
        <v>13.11</v>
      </c>
      <c r="D12" s="53">
        <v>17.93</v>
      </c>
      <c r="E12" s="53">
        <v>4.4800000000000004</v>
      </c>
      <c r="F12" s="53">
        <v>8.4600000000000009</v>
      </c>
      <c r="G12" s="53">
        <v>47.82</v>
      </c>
      <c r="H12" s="53">
        <v>14.7</v>
      </c>
      <c r="I12" s="53">
        <v>2.38</v>
      </c>
      <c r="J12" s="53">
        <v>0.31</v>
      </c>
      <c r="K12" s="53">
        <v>322.36</v>
      </c>
      <c r="L12" s="53">
        <v>24.44</v>
      </c>
      <c r="M12" s="53">
        <v>98.63</v>
      </c>
      <c r="N12" s="53">
        <v>42.3</v>
      </c>
      <c r="O12" s="53">
        <v>0</v>
      </c>
      <c r="P12" s="53">
        <v>0.52</v>
      </c>
      <c r="Q12" s="53">
        <v>9.48</v>
      </c>
      <c r="R12" s="43"/>
      <c r="S12" s="43"/>
      <c r="T12" s="43"/>
      <c r="U12" s="43"/>
    </row>
    <row r="13" spans="1:21" s="11" customFormat="1" x14ac:dyDescent="0.25">
      <c r="A13" s="52" t="s">
        <v>544</v>
      </c>
      <c r="B13" s="53">
        <v>15.68</v>
      </c>
      <c r="C13" s="53">
        <v>11.46</v>
      </c>
      <c r="D13" s="53">
        <v>18.18</v>
      </c>
      <c r="E13" s="53">
        <v>4.4000000000000004</v>
      </c>
      <c r="F13" s="53">
        <v>8.8699999999999992</v>
      </c>
      <c r="G13" s="53">
        <v>39.409999999999997</v>
      </c>
      <c r="H13" s="53">
        <v>13.69</v>
      </c>
      <c r="I13" s="53">
        <v>2.2200000000000002</v>
      </c>
      <c r="J13" s="53">
        <v>0.62</v>
      </c>
      <c r="K13" s="53">
        <v>344.09</v>
      </c>
      <c r="L13" s="53">
        <v>24.44</v>
      </c>
      <c r="M13" s="53">
        <v>98.63</v>
      </c>
      <c r="N13" s="53">
        <v>42.4</v>
      </c>
      <c r="O13" s="53">
        <v>0</v>
      </c>
      <c r="P13" s="53">
        <v>0.44</v>
      </c>
      <c r="Q13" s="53">
        <v>9.4</v>
      </c>
      <c r="R13" s="43"/>
      <c r="S13" s="43"/>
      <c r="T13" s="43"/>
      <c r="U13" s="43"/>
    </row>
    <row r="14" spans="1:21" s="11" customFormat="1" x14ac:dyDescent="0.25">
      <c r="A14" s="52" t="s">
        <v>545</v>
      </c>
      <c r="B14" s="53">
        <v>18.5</v>
      </c>
      <c r="C14" s="53">
        <v>12.4</v>
      </c>
      <c r="D14" s="53">
        <v>21.17</v>
      </c>
      <c r="E14" s="53">
        <v>4.17</v>
      </c>
      <c r="F14" s="53">
        <v>9.81</v>
      </c>
      <c r="G14" s="53">
        <v>35.67</v>
      </c>
      <c r="H14" s="53">
        <v>12.92</v>
      </c>
      <c r="I14" s="53">
        <v>1.98</v>
      </c>
      <c r="J14" s="53">
        <v>0.39</v>
      </c>
      <c r="K14" s="53">
        <v>347.23</v>
      </c>
      <c r="L14" s="53">
        <v>24.44</v>
      </c>
      <c r="M14" s="53">
        <v>98.65</v>
      </c>
      <c r="N14" s="53">
        <v>45.9</v>
      </c>
      <c r="O14" s="53">
        <v>0</v>
      </c>
      <c r="P14" s="53">
        <v>0.36</v>
      </c>
      <c r="Q14" s="53">
        <v>9.3800000000000008</v>
      </c>
      <c r="R14" s="43"/>
      <c r="S14" s="43"/>
      <c r="T14" s="43"/>
      <c r="U14" s="43"/>
    </row>
    <row r="15" spans="1:21" s="11" customFormat="1" x14ac:dyDescent="0.25">
      <c r="A15" s="52" t="s">
        <v>546</v>
      </c>
      <c r="B15" s="53">
        <v>39.020000000000003</v>
      </c>
      <c r="C15" s="53">
        <v>24.57</v>
      </c>
      <c r="D15" s="53">
        <v>42.85</v>
      </c>
      <c r="E15" s="53">
        <v>4.5599999999999996</v>
      </c>
      <c r="F15" s="53">
        <v>6.9</v>
      </c>
      <c r="G15" s="53">
        <v>35.67</v>
      </c>
      <c r="H15" s="53">
        <v>12.92</v>
      </c>
      <c r="I15" s="53">
        <v>1.81</v>
      </c>
      <c r="J15" s="53">
        <v>0.15</v>
      </c>
      <c r="K15" s="53">
        <v>334.03</v>
      </c>
      <c r="L15" s="53">
        <v>24.49</v>
      </c>
      <c r="M15" s="53">
        <v>98.63</v>
      </c>
      <c r="N15" s="53">
        <v>60.7</v>
      </c>
      <c r="O15" s="53">
        <v>0.2</v>
      </c>
      <c r="P15" s="53">
        <v>0.56000000000000005</v>
      </c>
      <c r="Q15" s="53">
        <v>9.51</v>
      </c>
      <c r="R15" s="43"/>
      <c r="S15" s="43"/>
      <c r="T15" s="43"/>
      <c r="U15" s="43"/>
    </row>
    <row r="16" spans="1:21" s="11" customFormat="1" x14ac:dyDescent="0.25">
      <c r="A16" s="52" t="s">
        <v>547</v>
      </c>
      <c r="B16" s="53">
        <v>38.04</v>
      </c>
      <c r="C16" s="53">
        <v>26.69</v>
      </c>
      <c r="D16" s="53">
        <v>42.78</v>
      </c>
      <c r="E16" s="53">
        <v>4.83</v>
      </c>
      <c r="F16" s="53">
        <v>6.55</v>
      </c>
      <c r="G16" s="53">
        <v>40.29</v>
      </c>
      <c r="H16" s="53">
        <v>14.71</v>
      </c>
      <c r="I16" s="53">
        <v>1.8</v>
      </c>
      <c r="J16" s="53">
        <v>0.28999999999999998</v>
      </c>
      <c r="K16" s="53">
        <v>335.74</v>
      </c>
      <c r="L16" s="53">
        <v>24.9</v>
      </c>
      <c r="M16" s="53">
        <v>98.7</v>
      </c>
      <c r="N16" s="53">
        <v>223.4</v>
      </c>
      <c r="O16" s="53">
        <v>1.8</v>
      </c>
      <c r="P16" s="53">
        <v>0.84</v>
      </c>
      <c r="Q16" s="53">
        <v>9.6</v>
      </c>
      <c r="R16" s="43"/>
      <c r="S16" s="43"/>
      <c r="T16" s="43"/>
      <c r="U16" s="43"/>
    </row>
    <row r="17" spans="1:21" s="11" customFormat="1" x14ac:dyDescent="0.25">
      <c r="A17" s="52" t="s">
        <v>548</v>
      </c>
      <c r="B17" s="53">
        <v>31.93</v>
      </c>
      <c r="C17" s="53">
        <v>24.89</v>
      </c>
      <c r="D17" s="53">
        <v>37.44</v>
      </c>
      <c r="E17" s="53">
        <v>5.31</v>
      </c>
      <c r="F17" s="53">
        <v>9.6300000000000008</v>
      </c>
      <c r="G17" s="53">
        <v>53.64</v>
      </c>
      <c r="H17" s="53">
        <v>25.79</v>
      </c>
      <c r="I17" s="53">
        <v>1.89</v>
      </c>
      <c r="J17" s="53">
        <v>0.85</v>
      </c>
      <c r="K17" s="53">
        <v>341.33</v>
      </c>
      <c r="L17" s="53">
        <v>30.06</v>
      </c>
      <c r="M17" s="53">
        <v>98.67</v>
      </c>
      <c r="N17" s="53">
        <v>537.4</v>
      </c>
      <c r="O17" s="53">
        <v>0</v>
      </c>
      <c r="P17" s="53">
        <v>0.65</v>
      </c>
      <c r="Q17" s="53">
        <v>9.61</v>
      </c>
      <c r="R17" s="43"/>
      <c r="S17" s="43"/>
      <c r="T17" s="43"/>
      <c r="U17" s="43"/>
    </row>
    <row r="18" spans="1:21" s="11" customFormat="1" x14ac:dyDescent="0.25">
      <c r="A18" s="52" t="s">
        <v>549</v>
      </c>
      <c r="B18" s="53">
        <v>39.89</v>
      </c>
      <c r="C18" s="53">
        <v>32.340000000000003</v>
      </c>
      <c r="D18" s="53">
        <v>44.98</v>
      </c>
      <c r="E18" s="53">
        <v>5</v>
      </c>
      <c r="F18" s="53">
        <v>8.58</v>
      </c>
      <c r="G18" s="53">
        <v>74.06</v>
      </c>
      <c r="H18" s="53">
        <v>30.44</v>
      </c>
      <c r="I18" s="53">
        <v>2.0099999999999998</v>
      </c>
      <c r="J18" s="53">
        <v>0.39</v>
      </c>
      <c r="K18" s="53">
        <v>346.43</v>
      </c>
      <c r="L18" s="53">
        <v>30.21</v>
      </c>
      <c r="M18" s="53">
        <v>97.14</v>
      </c>
      <c r="N18" s="53">
        <v>546.79999999999995</v>
      </c>
      <c r="O18" s="53">
        <v>0</v>
      </c>
      <c r="P18" s="53">
        <v>0.87</v>
      </c>
      <c r="Q18" s="53">
        <v>9.6300000000000008</v>
      </c>
      <c r="R18" s="43"/>
      <c r="S18" s="43"/>
      <c r="T18" s="43"/>
      <c r="U18" s="43"/>
    </row>
    <row r="19" spans="1:21" s="11" customFormat="1" x14ac:dyDescent="0.25">
      <c r="A19" s="52" t="s">
        <v>550</v>
      </c>
      <c r="B19" s="53">
        <v>35.61</v>
      </c>
      <c r="C19" s="53">
        <v>33.700000000000003</v>
      </c>
      <c r="D19" s="53">
        <v>45.85</v>
      </c>
      <c r="E19" s="53">
        <v>5.38</v>
      </c>
      <c r="F19" s="53">
        <v>13.58</v>
      </c>
      <c r="G19" s="53">
        <v>108.36</v>
      </c>
      <c r="H19" s="53">
        <v>30.44</v>
      </c>
      <c r="I19" s="53">
        <v>2.1800000000000002</v>
      </c>
      <c r="J19" s="53">
        <v>0.74</v>
      </c>
      <c r="K19" s="53">
        <v>341.99</v>
      </c>
      <c r="L19" s="53">
        <v>32.229999999999997</v>
      </c>
      <c r="M19" s="53">
        <v>87.13</v>
      </c>
      <c r="N19" s="53">
        <v>749</v>
      </c>
      <c r="O19" s="53">
        <v>0</v>
      </c>
      <c r="P19" s="53">
        <v>0.85</v>
      </c>
      <c r="Q19" s="53">
        <v>9.6300000000000008</v>
      </c>
      <c r="R19" s="43"/>
      <c r="S19" s="43"/>
      <c r="T19" s="43"/>
      <c r="U19" s="43"/>
    </row>
    <row r="20" spans="1:21" s="11" customFormat="1" x14ac:dyDescent="0.25">
      <c r="A20" s="52" t="s">
        <v>551</v>
      </c>
      <c r="B20" s="53">
        <v>29.64</v>
      </c>
      <c r="C20" s="53">
        <v>28.83</v>
      </c>
      <c r="D20" s="53">
        <v>38.44</v>
      </c>
      <c r="E20" s="53">
        <v>5.81</v>
      </c>
      <c r="F20" s="53">
        <v>19.8</v>
      </c>
      <c r="G20" s="53">
        <v>108.8</v>
      </c>
      <c r="H20" s="53">
        <v>53.25</v>
      </c>
      <c r="I20" s="53">
        <v>2.2000000000000002</v>
      </c>
      <c r="J20" s="53">
        <v>0.67</v>
      </c>
      <c r="K20" s="53">
        <v>343.72</v>
      </c>
      <c r="L20" s="53">
        <v>32.68</v>
      </c>
      <c r="M20" s="53">
        <v>88.33</v>
      </c>
      <c r="N20" s="53">
        <v>796.9</v>
      </c>
      <c r="O20" s="53">
        <v>0</v>
      </c>
      <c r="P20" s="53">
        <v>0.77</v>
      </c>
      <c r="Q20" s="53">
        <v>9.6199999999999992</v>
      </c>
      <c r="R20" s="43"/>
      <c r="S20" s="43"/>
      <c r="T20" s="43"/>
      <c r="U20" s="43"/>
    </row>
    <row r="21" spans="1:21" s="11" customFormat="1" x14ac:dyDescent="0.25">
      <c r="A21" s="52" t="s">
        <v>552</v>
      </c>
      <c r="B21" s="53">
        <v>25.63</v>
      </c>
      <c r="C21" s="53">
        <v>31.91</v>
      </c>
      <c r="D21" s="53">
        <v>37.22</v>
      </c>
      <c r="E21" s="53">
        <v>5.45</v>
      </c>
      <c r="F21" s="53">
        <v>18.02</v>
      </c>
      <c r="G21" s="53">
        <v>108.8</v>
      </c>
      <c r="H21" s="53">
        <v>53.25</v>
      </c>
      <c r="I21" s="53">
        <v>2.15</v>
      </c>
      <c r="J21" s="53">
        <v>0.54</v>
      </c>
      <c r="K21" s="53">
        <v>337.67</v>
      </c>
      <c r="L21" s="53">
        <v>29.73</v>
      </c>
      <c r="M21" s="53">
        <v>93.6</v>
      </c>
      <c r="N21" s="53">
        <v>338</v>
      </c>
      <c r="O21" s="53">
        <v>0</v>
      </c>
      <c r="P21" s="53">
        <v>0.66</v>
      </c>
      <c r="Q21" s="53">
        <v>9.6300000000000008</v>
      </c>
      <c r="R21" s="43"/>
      <c r="S21" s="43"/>
      <c r="T21" s="43"/>
      <c r="U21" s="43"/>
    </row>
    <row r="22" spans="1:21" s="11" customFormat="1" x14ac:dyDescent="0.25">
      <c r="A22" s="52" t="s">
        <v>553</v>
      </c>
      <c r="B22" s="53">
        <v>23.22</v>
      </c>
      <c r="C22" s="53">
        <v>34.65</v>
      </c>
      <c r="D22" s="53">
        <v>34.99</v>
      </c>
      <c r="E22" s="53">
        <v>6.24</v>
      </c>
      <c r="F22" s="53">
        <v>17.989999999999998</v>
      </c>
      <c r="G22" s="53">
        <v>85.39</v>
      </c>
      <c r="H22" s="53">
        <v>35.89</v>
      </c>
      <c r="I22" s="53">
        <v>2.02</v>
      </c>
      <c r="J22" s="53">
        <v>0.84</v>
      </c>
      <c r="K22" s="53">
        <v>341.17</v>
      </c>
      <c r="L22" s="53">
        <v>30.99</v>
      </c>
      <c r="M22" s="53">
        <v>87.68</v>
      </c>
      <c r="N22" s="53">
        <v>279.89999999999998</v>
      </c>
      <c r="O22" s="53">
        <v>0</v>
      </c>
      <c r="P22" s="53">
        <v>0.85</v>
      </c>
      <c r="Q22" s="53">
        <v>9.6300000000000008</v>
      </c>
      <c r="R22" s="43"/>
      <c r="S22" s="43"/>
      <c r="T22" s="43"/>
      <c r="U22" s="43"/>
    </row>
    <row r="23" spans="1:21" s="11" customFormat="1" x14ac:dyDescent="0.25">
      <c r="A23" s="52" t="s">
        <v>554</v>
      </c>
      <c r="B23" s="53">
        <v>31.84</v>
      </c>
      <c r="C23" s="53">
        <v>43.63</v>
      </c>
      <c r="D23" s="53">
        <v>47.66</v>
      </c>
      <c r="E23" s="53">
        <v>5.78</v>
      </c>
      <c r="F23" s="53">
        <v>20.71</v>
      </c>
      <c r="G23" s="53">
        <v>85.39</v>
      </c>
      <c r="H23" s="53">
        <v>39.93</v>
      </c>
      <c r="I23" s="53">
        <v>2.0499999999999998</v>
      </c>
      <c r="J23" s="53">
        <v>0.42</v>
      </c>
      <c r="K23" s="53">
        <v>343.53</v>
      </c>
      <c r="L23" s="53">
        <v>29.92</v>
      </c>
      <c r="M23" s="53">
        <v>89.93</v>
      </c>
      <c r="N23" s="53">
        <v>216</v>
      </c>
      <c r="O23" s="53">
        <v>0</v>
      </c>
      <c r="P23" s="53">
        <v>0.9</v>
      </c>
      <c r="Q23" s="53">
        <v>9.6</v>
      </c>
      <c r="R23" s="43"/>
      <c r="S23" s="43"/>
      <c r="T23" s="43"/>
      <c r="U23" s="43"/>
    </row>
    <row r="24" spans="1:21" s="11" customFormat="1" x14ac:dyDescent="0.25">
      <c r="A24" s="52" t="s">
        <v>555</v>
      </c>
      <c r="B24" s="53">
        <v>19.440000000000001</v>
      </c>
      <c r="C24" s="53">
        <v>38.51</v>
      </c>
      <c r="D24" s="53">
        <v>35.71</v>
      </c>
      <c r="E24" s="53">
        <v>5.72</v>
      </c>
      <c r="F24" s="53">
        <v>20.46</v>
      </c>
      <c r="G24" s="53">
        <v>87.65</v>
      </c>
      <c r="H24" s="53">
        <v>40.53</v>
      </c>
      <c r="I24" s="53">
        <v>2.08</v>
      </c>
      <c r="J24" s="53">
        <v>0.23</v>
      </c>
      <c r="K24" s="53">
        <v>343.3</v>
      </c>
      <c r="L24" s="53">
        <v>29.41</v>
      </c>
      <c r="M24" s="53">
        <v>94.85</v>
      </c>
      <c r="N24" s="53">
        <v>143</v>
      </c>
      <c r="O24" s="53">
        <v>0</v>
      </c>
      <c r="P24" s="53">
        <v>0.89</v>
      </c>
      <c r="Q24" s="53">
        <v>9.58</v>
      </c>
      <c r="R24" s="43"/>
      <c r="S24" s="43"/>
      <c r="T24" s="43"/>
      <c r="U24" s="43"/>
    </row>
    <row r="25" spans="1:21" s="11" customFormat="1" x14ac:dyDescent="0.25">
      <c r="A25" s="52" t="s">
        <v>556</v>
      </c>
      <c r="B25" s="53">
        <v>29.19</v>
      </c>
      <c r="C25" s="53">
        <v>37.9</v>
      </c>
      <c r="D25" s="53">
        <v>43.21</v>
      </c>
      <c r="E25" s="53">
        <v>5.01</v>
      </c>
      <c r="F25" s="53">
        <v>15.6</v>
      </c>
      <c r="G25" s="53">
        <v>94.74</v>
      </c>
      <c r="H25" s="53">
        <v>231.08</v>
      </c>
      <c r="I25" s="53">
        <v>2.08</v>
      </c>
      <c r="J25" s="53">
        <v>1.1000000000000001</v>
      </c>
      <c r="K25" s="53">
        <v>325.42</v>
      </c>
      <c r="L25" s="53">
        <v>28.24</v>
      </c>
      <c r="M25" s="53">
        <v>98.47</v>
      </c>
      <c r="N25" s="53">
        <v>118.1</v>
      </c>
      <c r="O25" s="53">
        <v>0</v>
      </c>
      <c r="P25" s="53">
        <v>0.91</v>
      </c>
      <c r="Q25" s="53">
        <v>9.58</v>
      </c>
      <c r="R25" s="43"/>
      <c r="S25" s="43"/>
      <c r="T25" s="43"/>
      <c r="U25" s="43"/>
    </row>
    <row r="26" spans="1:21" s="11" customFormat="1" x14ac:dyDescent="0.25">
      <c r="A26" s="52" t="s">
        <v>557</v>
      </c>
      <c r="B26" s="53">
        <v>22.07</v>
      </c>
      <c r="C26" s="53">
        <v>24.2</v>
      </c>
      <c r="D26" s="53">
        <v>30.33</v>
      </c>
      <c r="E26" s="53">
        <v>5.17</v>
      </c>
      <c r="F26" s="53">
        <v>11.97</v>
      </c>
      <c r="G26" s="53">
        <v>94.74</v>
      </c>
      <c r="H26" s="53">
        <v>231.08</v>
      </c>
      <c r="I26" s="53">
        <v>2.08</v>
      </c>
      <c r="J26" s="53">
        <v>1.02</v>
      </c>
      <c r="K26" s="53">
        <v>340.6</v>
      </c>
      <c r="L26" s="53">
        <v>27.6</v>
      </c>
      <c r="M26" s="53">
        <v>98.3</v>
      </c>
      <c r="N26" s="53">
        <v>80.3</v>
      </c>
      <c r="O26" s="53">
        <v>0</v>
      </c>
      <c r="P26" s="53">
        <v>0.78</v>
      </c>
      <c r="Q26" s="53">
        <v>9.56</v>
      </c>
      <c r="R26" s="43"/>
      <c r="S26" s="43"/>
      <c r="T26" s="43"/>
      <c r="U26" s="43"/>
    </row>
    <row r="27" spans="1:21" s="11" customFormat="1" x14ac:dyDescent="0.25">
      <c r="A27" s="52" t="s">
        <v>558</v>
      </c>
      <c r="B27" s="53">
        <v>21.15</v>
      </c>
      <c r="C27" s="53">
        <v>24.52</v>
      </c>
      <c r="D27" s="53">
        <v>28.54</v>
      </c>
      <c r="E27" s="53">
        <v>5.15</v>
      </c>
      <c r="F27" s="53">
        <v>10.97</v>
      </c>
      <c r="G27" s="53">
        <v>82.87</v>
      </c>
      <c r="H27" s="53">
        <v>44.06</v>
      </c>
      <c r="I27" s="53">
        <v>2.09</v>
      </c>
      <c r="J27" s="53">
        <v>1.61</v>
      </c>
      <c r="K27" s="53">
        <v>353.45</v>
      </c>
      <c r="L27" s="53">
        <v>26.33</v>
      </c>
      <c r="M27" s="53">
        <v>98.35</v>
      </c>
      <c r="N27" s="53">
        <v>46.6</v>
      </c>
      <c r="O27" s="53">
        <v>0</v>
      </c>
      <c r="P27" s="53">
        <v>0.83</v>
      </c>
      <c r="Q27" s="53">
        <v>9.58</v>
      </c>
      <c r="R27" s="43"/>
      <c r="S27" s="43"/>
      <c r="T27" s="43"/>
      <c r="U27" s="43"/>
    </row>
    <row r="28" spans="1:21" s="11" customFormat="1" x14ac:dyDescent="0.25">
      <c r="A28" s="52" t="s">
        <v>559</v>
      </c>
      <c r="B28" s="53">
        <v>23.56</v>
      </c>
      <c r="C28" s="53">
        <v>37.94</v>
      </c>
      <c r="D28" s="53">
        <v>38.71</v>
      </c>
      <c r="E28" s="53">
        <v>4.84</v>
      </c>
      <c r="F28" s="53">
        <v>10.98</v>
      </c>
      <c r="G28" s="53">
        <v>82.87</v>
      </c>
      <c r="H28" s="53">
        <v>30.82</v>
      </c>
      <c r="I28" s="53">
        <v>2.15</v>
      </c>
      <c r="J28" s="53">
        <v>0.21</v>
      </c>
      <c r="K28" s="53">
        <v>347.98</v>
      </c>
      <c r="L28" s="53">
        <v>25.08</v>
      </c>
      <c r="M28" s="53">
        <v>98.4</v>
      </c>
      <c r="N28" s="53">
        <v>38</v>
      </c>
      <c r="O28" s="53">
        <v>0</v>
      </c>
      <c r="P28" s="53">
        <v>1.53</v>
      </c>
      <c r="Q28" s="53">
        <v>9.6</v>
      </c>
      <c r="R28" s="43"/>
      <c r="S28" s="43"/>
      <c r="T28" s="43"/>
      <c r="U28" s="43"/>
    </row>
    <row r="29" spans="1:21" s="11" customFormat="1" x14ac:dyDescent="0.25">
      <c r="A29" s="52" t="s">
        <v>560</v>
      </c>
      <c r="B29" s="53">
        <v>44.04</v>
      </c>
      <c r="C29" s="53">
        <v>39.03</v>
      </c>
      <c r="D29" s="53">
        <v>53.53</v>
      </c>
      <c r="E29" s="53">
        <v>4.82</v>
      </c>
      <c r="F29" s="53">
        <v>7.76</v>
      </c>
      <c r="G29" s="53">
        <v>66</v>
      </c>
      <c r="H29" s="53">
        <v>30.82</v>
      </c>
      <c r="I29" s="53">
        <v>2.4700000000000002</v>
      </c>
      <c r="J29" s="53">
        <v>0.27</v>
      </c>
      <c r="K29" s="53">
        <v>348.31</v>
      </c>
      <c r="L29" s="53">
        <v>24.81</v>
      </c>
      <c r="M29" s="53">
        <v>98.43</v>
      </c>
      <c r="N29" s="53">
        <v>38</v>
      </c>
      <c r="O29" s="53">
        <v>0</v>
      </c>
      <c r="P29" s="53">
        <v>1.9</v>
      </c>
      <c r="Q29" s="53">
        <v>9.59</v>
      </c>
      <c r="R29" s="43"/>
      <c r="S29" s="43"/>
      <c r="T29" s="43"/>
      <c r="U29" s="43"/>
    </row>
    <row r="30" spans="1:21" s="11" customFormat="1" x14ac:dyDescent="0.25">
      <c r="A30" s="52" t="s">
        <v>561</v>
      </c>
      <c r="B30" s="53">
        <v>52.93</v>
      </c>
      <c r="C30" s="53">
        <v>34.770000000000003</v>
      </c>
      <c r="D30" s="53">
        <v>57.06</v>
      </c>
      <c r="E30" s="53">
        <v>5.09</v>
      </c>
      <c r="F30" s="53">
        <v>6.22</v>
      </c>
      <c r="G30" s="53">
        <v>71.12</v>
      </c>
      <c r="H30" s="53">
        <v>37.54</v>
      </c>
      <c r="I30" s="53">
        <v>2.99</v>
      </c>
      <c r="J30" s="53">
        <v>0.24</v>
      </c>
      <c r="K30" s="53">
        <v>322.19</v>
      </c>
      <c r="L30" s="53">
        <v>24.88</v>
      </c>
      <c r="M30" s="53">
        <v>98.43</v>
      </c>
      <c r="N30" s="53">
        <v>38</v>
      </c>
      <c r="O30" s="53">
        <v>0</v>
      </c>
      <c r="P30" s="53">
        <v>2.0499999999999998</v>
      </c>
      <c r="Q30" s="53">
        <v>9.6300000000000008</v>
      </c>
      <c r="R30" s="43"/>
      <c r="S30" s="43"/>
      <c r="T30" s="43"/>
      <c r="U30" s="43"/>
    </row>
    <row r="31" spans="1:21" s="11" customFormat="1" x14ac:dyDescent="0.25">
      <c r="A31" s="52" t="s">
        <v>562</v>
      </c>
      <c r="B31" s="53">
        <v>64.25</v>
      </c>
      <c r="C31" s="53">
        <v>39.700000000000003</v>
      </c>
      <c r="D31" s="53">
        <v>65.11</v>
      </c>
      <c r="E31" s="53">
        <v>4.91</v>
      </c>
      <c r="F31" s="53">
        <v>5.97</v>
      </c>
      <c r="G31" s="53">
        <v>80.239999999999995</v>
      </c>
      <c r="H31" s="53">
        <v>37.54</v>
      </c>
      <c r="I31" s="53">
        <v>3.87</v>
      </c>
      <c r="J31" s="53">
        <v>0.24</v>
      </c>
      <c r="K31" s="53">
        <v>359.54</v>
      </c>
      <c r="L31" s="53">
        <v>25.01</v>
      </c>
      <c r="M31" s="53">
        <v>98.4</v>
      </c>
      <c r="N31" s="53">
        <v>38.1</v>
      </c>
      <c r="O31" s="53">
        <v>0</v>
      </c>
      <c r="P31" s="53">
        <v>2.42</v>
      </c>
      <c r="Q31" s="53">
        <v>9.6300000000000008</v>
      </c>
      <c r="R31" s="43"/>
      <c r="S31" s="43"/>
      <c r="T31" s="43"/>
      <c r="U31" s="43"/>
    </row>
    <row r="32" spans="1:21" s="11" customFormat="1" x14ac:dyDescent="0.25">
      <c r="A32" s="52" t="s">
        <v>563</v>
      </c>
      <c r="B32" s="53">
        <v>33.979999999999997</v>
      </c>
      <c r="C32" s="53">
        <v>29.4</v>
      </c>
      <c r="D32" s="53">
        <v>37.799999999999997</v>
      </c>
      <c r="E32" s="53">
        <v>4.47</v>
      </c>
      <c r="F32" s="53">
        <v>6.13</v>
      </c>
      <c r="G32" s="53">
        <v>80.239999999999995</v>
      </c>
      <c r="H32" s="53">
        <v>32.299999999999997</v>
      </c>
      <c r="I32" s="53">
        <v>4.0599999999999996</v>
      </c>
      <c r="J32" s="53">
        <v>0.25</v>
      </c>
      <c r="K32" s="53">
        <v>337.97</v>
      </c>
      <c r="L32" s="53">
        <v>24.81</v>
      </c>
      <c r="M32" s="53">
        <v>98.43</v>
      </c>
      <c r="N32" s="53">
        <v>38.1</v>
      </c>
      <c r="O32" s="53">
        <v>0</v>
      </c>
      <c r="P32" s="53">
        <v>1.31</v>
      </c>
      <c r="Q32" s="53">
        <v>9.66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9.57</v>
      </c>
      <c r="C34" s="28">
        <f t="shared" si="0"/>
        <v>11.46</v>
      </c>
      <c r="D34" s="28">
        <f t="shared" si="0"/>
        <v>14.75</v>
      </c>
      <c r="E34" s="28">
        <f t="shared" si="0"/>
        <v>4.17</v>
      </c>
      <c r="F34" s="28">
        <f t="shared" si="0"/>
        <v>5.97</v>
      </c>
      <c r="G34" s="28">
        <f t="shared" si="0"/>
        <v>35.67</v>
      </c>
      <c r="H34" s="28">
        <f t="shared" si="0"/>
        <v>12.92</v>
      </c>
      <c r="I34" s="28">
        <f t="shared" si="0"/>
        <v>1.8</v>
      </c>
      <c r="J34" s="28">
        <f t="shared" si="0"/>
        <v>0.1</v>
      </c>
      <c r="K34" s="28">
        <f t="shared" si="0"/>
        <v>223.37</v>
      </c>
      <c r="L34" s="28">
        <f t="shared" si="0"/>
        <v>24.44</v>
      </c>
      <c r="M34" s="28">
        <f t="shared" si="0"/>
        <v>87.13</v>
      </c>
      <c r="N34" s="28">
        <f t="shared" si="0"/>
        <v>38</v>
      </c>
      <c r="O34" s="28">
        <f t="shared" si="0"/>
        <v>0</v>
      </c>
      <c r="P34" s="28">
        <f t="shared" si="0"/>
        <v>0.34</v>
      </c>
      <c r="Q34" s="28">
        <f t="shared" si="0"/>
        <v>9.3800000000000008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64.25</v>
      </c>
      <c r="C35" s="29">
        <f t="shared" si="1"/>
        <v>43.63</v>
      </c>
      <c r="D35" s="29">
        <f t="shared" si="1"/>
        <v>65.11</v>
      </c>
      <c r="E35" s="29">
        <f t="shared" si="1"/>
        <v>6.24</v>
      </c>
      <c r="F35" s="29">
        <f t="shared" si="1"/>
        <v>20.71</v>
      </c>
      <c r="G35" s="29">
        <f t="shared" si="1"/>
        <v>108.8</v>
      </c>
      <c r="H35" s="29">
        <f t="shared" si="1"/>
        <v>231.08</v>
      </c>
      <c r="I35" s="29">
        <f t="shared" si="1"/>
        <v>4.0599999999999996</v>
      </c>
      <c r="J35" s="29">
        <f t="shared" si="1"/>
        <v>1.61</v>
      </c>
      <c r="K35" s="29">
        <f t="shared" si="1"/>
        <v>359.54</v>
      </c>
      <c r="L35" s="29">
        <f t="shared" si="1"/>
        <v>32.68</v>
      </c>
      <c r="M35" s="29">
        <f t="shared" si="1"/>
        <v>98.7</v>
      </c>
      <c r="N35" s="29">
        <f t="shared" si="1"/>
        <v>796.9</v>
      </c>
      <c r="O35" s="29">
        <f t="shared" si="1"/>
        <v>1.8</v>
      </c>
      <c r="P35" s="29">
        <f t="shared" si="1"/>
        <v>2.42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28.788749999999997</v>
      </c>
      <c r="C36" s="28">
        <f t="shared" si="2"/>
        <v>28.147499999999994</v>
      </c>
      <c r="D36" s="28">
        <f t="shared" si="2"/>
        <v>36.409166666666671</v>
      </c>
      <c r="E36" s="28">
        <f t="shared" si="2"/>
        <v>5.0087500000000018</v>
      </c>
      <c r="F36" s="28">
        <f t="shared" si="2"/>
        <v>11.183750000000002</v>
      </c>
      <c r="G36" s="28">
        <f t="shared" si="2"/>
        <v>73.708333333333329</v>
      </c>
      <c r="H36" s="28">
        <f t="shared" si="2"/>
        <v>46.046666666666674</v>
      </c>
      <c r="I36" s="28">
        <f t="shared" si="2"/>
        <v>2.3345833333333332</v>
      </c>
      <c r="J36" s="28">
        <f t="shared" si="2"/>
        <v>0.5033333333333333</v>
      </c>
      <c r="K36" s="28">
        <f t="shared" si="2"/>
        <v>335.16708333333332</v>
      </c>
      <c r="L36" s="28">
        <f t="shared" si="2"/>
        <v>27.033750000000001</v>
      </c>
      <c r="M36" s="28">
        <f t="shared" si="2"/>
        <v>96.397499999999994</v>
      </c>
      <c r="N36" s="28">
        <f t="shared" si="2"/>
        <v>191.00833333333341</v>
      </c>
      <c r="O36" s="28">
        <f t="shared" si="2"/>
        <v>8.3333333333333329E-2</v>
      </c>
      <c r="P36" s="28">
        <f t="shared" si="2"/>
        <v>0.92666666666666664</v>
      </c>
      <c r="Q36" s="28">
        <f t="shared" si="2"/>
        <v>9.5724999999999998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13.278145598820579</v>
      </c>
      <c r="C37" s="28">
        <f t="shared" ref="C37:Q37" si="3">STDEV(C9:C32)</f>
        <v>9.6174475733474853</v>
      </c>
      <c r="D37" s="28">
        <f t="shared" si="3"/>
        <v>13.201512073035126</v>
      </c>
      <c r="E37" s="28">
        <f t="shared" si="3"/>
        <v>0.5305969771624246</v>
      </c>
      <c r="F37" s="28">
        <f t="shared" si="3"/>
        <v>4.9390958620766412</v>
      </c>
      <c r="G37" s="28">
        <f t="shared" si="3"/>
        <v>22.873173325339312</v>
      </c>
      <c r="H37" s="28">
        <f t="shared" si="3"/>
        <v>58.303139125471255</v>
      </c>
      <c r="I37" s="28">
        <f t="shared" si="3"/>
        <v>0.56899590559134283</v>
      </c>
      <c r="J37" s="28">
        <f t="shared" si="3"/>
        <v>0.36645975716739826</v>
      </c>
      <c r="K37" s="28">
        <f t="shared" si="3"/>
        <v>25.494284351623783</v>
      </c>
      <c r="L37" s="28">
        <f t="shared" si="3"/>
        <v>2.8539291184336282</v>
      </c>
      <c r="M37" s="28">
        <f t="shared" si="3"/>
        <v>3.9374238432938777</v>
      </c>
      <c r="N37" s="28">
        <f t="shared" si="3"/>
        <v>234.27987706395402</v>
      </c>
      <c r="O37" s="28">
        <f t="shared" si="3"/>
        <v>0.36791618453199326</v>
      </c>
      <c r="P37" s="28">
        <f t="shared" si="3"/>
        <v>0.542415424516692</v>
      </c>
      <c r="Q37" s="28">
        <f t="shared" si="3"/>
        <v>7.3321804100292917E-2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564</v>
      </c>
      <c r="B9" s="53">
        <v>14.22</v>
      </c>
      <c r="C9" s="53">
        <v>26.52</v>
      </c>
      <c r="D9" s="53">
        <v>25.26</v>
      </c>
      <c r="E9" s="53">
        <v>4.2699999999999996</v>
      </c>
      <c r="F9" s="53">
        <v>7.59</v>
      </c>
      <c r="G9" s="53">
        <v>76.930000000000007</v>
      </c>
      <c r="H9" s="53">
        <v>29.26</v>
      </c>
      <c r="I9" s="53">
        <v>4.05</v>
      </c>
      <c r="J9" s="53">
        <v>0.12</v>
      </c>
      <c r="K9" s="53">
        <v>339.85</v>
      </c>
      <c r="L9" s="53">
        <v>24.74</v>
      </c>
      <c r="M9" s="53">
        <v>98.43</v>
      </c>
      <c r="N9" s="53">
        <v>38.1</v>
      </c>
      <c r="O9" s="53">
        <v>0</v>
      </c>
      <c r="P9" s="53">
        <v>0.79</v>
      </c>
      <c r="Q9" s="53">
        <v>9.68</v>
      </c>
      <c r="R9" s="43"/>
      <c r="S9" s="43"/>
      <c r="T9" s="43"/>
      <c r="U9" s="43"/>
    </row>
    <row r="10" spans="1:21" s="11" customFormat="1" x14ac:dyDescent="0.25">
      <c r="A10" s="52" t="s">
        <v>565</v>
      </c>
      <c r="B10" s="53">
        <v>22.53</v>
      </c>
      <c r="C10" s="53">
        <v>23.86</v>
      </c>
      <c r="D10" s="53">
        <v>26.55</v>
      </c>
      <c r="E10" s="53">
        <v>4.51</v>
      </c>
      <c r="F10" s="53">
        <v>9.24</v>
      </c>
      <c r="G10" s="53">
        <v>72.099999999999994</v>
      </c>
      <c r="H10" s="53">
        <v>29.26</v>
      </c>
      <c r="I10" s="53">
        <v>3.85</v>
      </c>
      <c r="J10" s="53">
        <v>0.3</v>
      </c>
      <c r="K10" s="53">
        <v>338.26</v>
      </c>
      <c r="L10" s="53">
        <v>24.81</v>
      </c>
      <c r="M10" s="53">
        <v>98.44</v>
      </c>
      <c r="N10" s="53">
        <v>38.1</v>
      </c>
      <c r="O10" s="53">
        <v>0</v>
      </c>
      <c r="P10" s="53">
        <v>0.66</v>
      </c>
      <c r="Q10" s="53">
        <v>9.68</v>
      </c>
      <c r="R10" s="43"/>
      <c r="S10" s="43"/>
      <c r="T10" s="43"/>
      <c r="U10" s="43"/>
    </row>
    <row r="11" spans="1:21" s="11" customFormat="1" x14ac:dyDescent="0.25">
      <c r="A11" s="52" t="s">
        <v>566</v>
      </c>
      <c r="B11" s="53">
        <v>23.94</v>
      </c>
      <c r="C11" s="53">
        <v>19.41</v>
      </c>
      <c r="D11" s="53">
        <v>24.82</v>
      </c>
      <c r="E11" s="53">
        <v>4.54</v>
      </c>
      <c r="F11" s="53">
        <v>9.98</v>
      </c>
      <c r="G11" s="53">
        <v>66.489999999999995</v>
      </c>
      <c r="H11" s="53">
        <v>28.53</v>
      </c>
      <c r="I11" s="53">
        <v>3.52</v>
      </c>
      <c r="J11" s="53">
        <v>0.4</v>
      </c>
      <c r="K11" s="53">
        <v>342.3</v>
      </c>
      <c r="L11" s="53">
        <v>24.67</v>
      </c>
      <c r="M11" s="53">
        <v>98.45</v>
      </c>
      <c r="N11" s="53">
        <v>38.1</v>
      </c>
      <c r="O11" s="53">
        <v>0</v>
      </c>
      <c r="P11" s="53">
        <v>0.71</v>
      </c>
      <c r="Q11" s="53">
        <v>9.68</v>
      </c>
      <c r="R11" s="43"/>
      <c r="S11" s="43"/>
      <c r="T11" s="43"/>
      <c r="U11" s="43"/>
    </row>
    <row r="12" spans="1:21" s="11" customFormat="1" x14ac:dyDescent="0.25">
      <c r="A12" s="52" t="s">
        <v>567</v>
      </c>
      <c r="B12" s="53">
        <v>19.32</v>
      </c>
      <c r="C12" s="53">
        <v>20.73</v>
      </c>
      <c r="D12" s="53">
        <v>25.26</v>
      </c>
      <c r="E12" s="53">
        <v>4.1900000000000004</v>
      </c>
      <c r="F12" s="53">
        <v>7.02</v>
      </c>
      <c r="G12" s="53">
        <v>60.94</v>
      </c>
      <c r="H12" s="53">
        <v>26.4</v>
      </c>
      <c r="I12" s="53">
        <v>3.21</v>
      </c>
      <c r="J12" s="53">
        <v>0.1</v>
      </c>
      <c r="K12" s="53">
        <v>359.85</v>
      </c>
      <c r="L12" s="53">
        <v>24.55</v>
      </c>
      <c r="M12" s="53">
        <v>98.49</v>
      </c>
      <c r="N12" s="53">
        <v>38.1</v>
      </c>
      <c r="O12" s="53">
        <v>0</v>
      </c>
      <c r="P12" s="53">
        <v>0.51</v>
      </c>
      <c r="Q12" s="53">
        <v>9.66</v>
      </c>
      <c r="R12" s="43"/>
      <c r="S12" s="43"/>
      <c r="T12" s="43"/>
      <c r="U12" s="43"/>
    </row>
    <row r="13" spans="1:21" s="11" customFormat="1" x14ac:dyDescent="0.25">
      <c r="A13" s="52" t="s">
        <v>568</v>
      </c>
      <c r="B13" s="53">
        <v>37.61</v>
      </c>
      <c r="C13" s="53">
        <v>19.559999999999999</v>
      </c>
      <c r="D13" s="53">
        <v>39.15</v>
      </c>
      <c r="E13" s="53">
        <v>4.24</v>
      </c>
      <c r="F13" s="53">
        <v>7.34</v>
      </c>
      <c r="G13" s="53">
        <v>56.64</v>
      </c>
      <c r="H13" s="53">
        <v>26.4</v>
      </c>
      <c r="I13" s="53">
        <v>3.06</v>
      </c>
      <c r="J13" s="53">
        <v>0.06</v>
      </c>
      <c r="K13" s="53">
        <v>317.16000000000003</v>
      </c>
      <c r="L13" s="53">
        <v>24.26</v>
      </c>
      <c r="M13" s="53">
        <v>98.48</v>
      </c>
      <c r="N13" s="53">
        <v>38.1</v>
      </c>
      <c r="O13" s="53">
        <v>0</v>
      </c>
      <c r="P13" s="53">
        <v>0.45</v>
      </c>
      <c r="Q13" s="53">
        <v>9.64</v>
      </c>
      <c r="R13" s="43"/>
      <c r="S13" s="43"/>
      <c r="T13" s="43"/>
      <c r="U13" s="43"/>
    </row>
    <row r="14" spans="1:21" s="11" customFormat="1" x14ac:dyDescent="0.25">
      <c r="A14" s="52" t="s">
        <v>569</v>
      </c>
      <c r="B14" s="53">
        <v>21.38</v>
      </c>
      <c r="C14" s="53">
        <v>19.059999999999999</v>
      </c>
      <c r="D14" s="53">
        <v>26.7</v>
      </c>
      <c r="E14" s="53">
        <v>4.4000000000000004</v>
      </c>
      <c r="F14" s="53">
        <v>5.88</v>
      </c>
      <c r="G14" s="53">
        <v>59.07</v>
      </c>
      <c r="H14" s="53">
        <v>25.22</v>
      </c>
      <c r="I14" s="53">
        <v>2.92</v>
      </c>
      <c r="J14" s="53">
        <v>0.28000000000000003</v>
      </c>
      <c r="K14" s="53">
        <v>210</v>
      </c>
      <c r="L14" s="53">
        <v>24.36</v>
      </c>
      <c r="M14" s="53">
        <v>98.48</v>
      </c>
      <c r="N14" s="53">
        <v>47</v>
      </c>
      <c r="O14" s="53">
        <v>0</v>
      </c>
      <c r="P14" s="53">
        <v>0.41</v>
      </c>
      <c r="Q14" s="53">
        <v>9.64</v>
      </c>
      <c r="R14" s="43"/>
      <c r="S14" s="43"/>
      <c r="T14" s="43"/>
      <c r="U14" s="43"/>
    </row>
    <row r="15" spans="1:21" s="11" customFormat="1" x14ac:dyDescent="0.25">
      <c r="A15" s="52" t="s">
        <v>570</v>
      </c>
      <c r="B15" s="53">
        <v>27.86</v>
      </c>
      <c r="C15" s="53">
        <v>17.88</v>
      </c>
      <c r="D15" s="53">
        <v>29.91</v>
      </c>
      <c r="E15" s="53">
        <v>4.4800000000000004</v>
      </c>
      <c r="F15" s="53">
        <v>6.63</v>
      </c>
      <c r="G15" s="53">
        <v>63.35</v>
      </c>
      <c r="H15" s="53">
        <v>25.22</v>
      </c>
      <c r="I15" s="53">
        <v>2.83</v>
      </c>
      <c r="J15" s="53">
        <v>0.17</v>
      </c>
      <c r="K15" s="53">
        <v>343.91</v>
      </c>
      <c r="L15" s="53">
        <v>25.5</v>
      </c>
      <c r="M15" s="53">
        <v>98.45</v>
      </c>
      <c r="N15" s="53">
        <v>142.1</v>
      </c>
      <c r="O15" s="53">
        <v>0</v>
      </c>
      <c r="P15" s="53">
        <v>0.53</v>
      </c>
      <c r="Q15" s="53">
        <v>9.65</v>
      </c>
      <c r="R15" s="43"/>
      <c r="S15" s="43"/>
      <c r="T15" s="43"/>
      <c r="U15" s="43"/>
    </row>
    <row r="16" spans="1:21" s="11" customFormat="1" x14ac:dyDescent="0.25">
      <c r="A16" s="52" t="s">
        <v>571</v>
      </c>
      <c r="B16" s="53">
        <v>32.24</v>
      </c>
      <c r="C16" s="53">
        <v>13.97</v>
      </c>
      <c r="D16" s="53">
        <v>33.15</v>
      </c>
      <c r="E16" s="53">
        <v>4.6900000000000004</v>
      </c>
      <c r="F16" s="53">
        <v>8.41</v>
      </c>
      <c r="G16" s="53">
        <v>64.64</v>
      </c>
      <c r="H16" s="53">
        <v>29</v>
      </c>
      <c r="I16" s="53">
        <v>2.72</v>
      </c>
      <c r="J16" s="53">
        <v>0.21</v>
      </c>
      <c r="K16" s="53">
        <v>323.85000000000002</v>
      </c>
      <c r="L16" s="53">
        <v>27.2</v>
      </c>
      <c r="M16" s="53">
        <v>98.35</v>
      </c>
      <c r="N16" s="53">
        <v>201.8</v>
      </c>
      <c r="O16" s="53">
        <v>0</v>
      </c>
      <c r="P16" s="53">
        <v>0.66</v>
      </c>
      <c r="Q16" s="53">
        <v>9.64</v>
      </c>
      <c r="R16" s="43"/>
      <c r="S16" s="43"/>
      <c r="T16" s="43"/>
      <c r="U16" s="43"/>
    </row>
    <row r="17" spans="1:21" s="11" customFormat="1" x14ac:dyDescent="0.25">
      <c r="A17" s="52" t="s">
        <v>572</v>
      </c>
      <c r="B17" s="53">
        <v>26.33</v>
      </c>
      <c r="C17" s="53">
        <v>21.68</v>
      </c>
      <c r="D17" s="53">
        <v>27.38</v>
      </c>
      <c r="E17" s="53">
        <v>4.93</v>
      </c>
      <c r="F17" s="53">
        <v>14.67</v>
      </c>
      <c r="G17" s="53">
        <v>76.430000000000007</v>
      </c>
      <c r="H17" s="53">
        <v>29</v>
      </c>
      <c r="I17" s="53">
        <v>2.73</v>
      </c>
      <c r="J17" s="53">
        <v>0.31</v>
      </c>
      <c r="K17" s="53">
        <v>250.76</v>
      </c>
      <c r="L17" s="53">
        <v>28.29</v>
      </c>
      <c r="M17" s="53">
        <v>98.3</v>
      </c>
      <c r="N17" s="53">
        <v>347.4</v>
      </c>
      <c r="O17" s="53">
        <v>0</v>
      </c>
      <c r="P17" s="53">
        <v>0.64</v>
      </c>
      <c r="Q17" s="53">
        <v>9.65</v>
      </c>
      <c r="R17" s="43"/>
      <c r="S17" s="43"/>
      <c r="T17" s="43"/>
      <c r="U17" s="43"/>
    </row>
    <row r="18" spans="1:21" s="11" customFormat="1" x14ac:dyDescent="0.25">
      <c r="A18" s="52" t="s">
        <v>573</v>
      </c>
      <c r="B18" s="53">
        <v>16.62</v>
      </c>
      <c r="C18" s="53">
        <v>19.96</v>
      </c>
      <c r="D18" s="53">
        <v>23.4</v>
      </c>
      <c r="E18" s="53">
        <v>5.3</v>
      </c>
      <c r="F18" s="53">
        <v>15.81</v>
      </c>
      <c r="G18" s="53">
        <v>76.430000000000007</v>
      </c>
      <c r="H18" s="53">
        <v>25.19</v>
      </c>
      <c r="I18" s="53">
        <v>2.65</v>
      </c>
      <c r="J18" s="53">
        <v>0.77</v>
      </c>
      <c r="K18" s="53">
        <v>147.46</v>
      </c>
      <c r="L18" s="53">
        <v>28.63</v>
      </c>
      <c r="M18" s="53">
        <v>98.27</v>
      </c>
      <c r="N18" s="53">
        <v>449.2</v>
      </c>
      <c r="O18" s="53">
        <v>0</v>
      </c>
      <c r="P18" s="53">
        <v>0.5</v>
      </c>
      <c r="Q18" s="53">
        <v>9.65</v>
      </c>
      <c r="R18" s="43"/>
      <c r="S18" s="43"/>
      <c r="T18" s="43"/>
      <c r="U18" s="43"/>
    </row>
    <row r="19" spans="1:21" s="11" customFormat="1" x14ac:dyDescent="0.25">
      <c r="A19" s="52" t="s">
        <v>574</v>
      </c>
      <c r="B19" s="53">
        <v>21</v>
      </c>
      <c r="C19" s="53">
        <v>17.29</v>
      </c>
      <c r="D19" s="53">
        <v>22.85</v>
      </c>
      <c r="E19" s="53">
        <v>5.36</v>
      </c>
      <c r="F19" s="53">
        <v>18.09</v>
      </c>
      <c r="G19" s="53">
        <v>73.23</v>
      </c>
      <c r="H19" s="53">
        <v>41.25</v>
      </c>
      <c r="I19" s="53">
        <v>2.54</v>
      </c>
      <c r="J19" s="53">
        <v>3</v>
      </c>
      <c r="K19" s="53">
        <v>339.77</v>
      </c>
      <c r="L19" s="53">
        <v>28.52</v>
      </c>
      <c r="M19" s="53">
        <v>98.45</v>
      </c>
      <c r="N19" s="53">
        <v>321.89999999999998</v>
      </c>
      <c r="O19" s="53">
        <v>13.6</v>
      </c>
      <c r="P19" s="53">
        <v>0.52</v>
      </c>
      <c r="Q19" s="53">
        <v>9.66</v>
      </c>
      <c r="R19" s="43"/>
      <c r="S19" s="43"/>
      <c r="T19" s="43"/>
      <c r="U19" s="43"/>
    </row>
    <row r="20" spans="1:21" s="11" customFormat="1" x14ac:dyDescent="0.25">
      <c r="A20" s="52" t="s">
        <v>575</v>
      </c>
      <c r="B20" s="53">
        <v>11.09</v>
      </c>
      <c r="C20" s="53">
        <v>25.81</v>
      </c>
      <c r="D20" s="53">
        <v>19.190000000000001</v>
      </c>
      <c r="E20" s="53">
        <v>5.0199999999999996</v>
      </c>
      <c r="F20" s="53">
        <v>6.99</v>
      </c>
      <c r="G20" s="53">
        <v>71.81</v>
      </c>
      <c r="H20" s="53">
        <v>41.25</v>
      </c>
      <c r="I20" s="53">
        <v>2.15</v>
      </c>
      <c r="J20" s="53">
        <v>0.45</v>
      </c>
      <c r="K20" s="53">
        <v>331.74</v>
      </c>
      <c r="L20" s="53">
        <v>23.35</v>
      </c>
      <c r="M20" s="53">
        <v>98.43</v>
      </c>
      <c r="N20" s="53">
        <v>298</v>
      </c>
      <c r="O20" s="53">
        <v>9.8000000000000007</v>
      </c>
      <c r="P20" s="53">
        <v>0.4</v>
      </c>
      <c r="Q20" s="53">
        <v>9.34</v>
      </c>
      <c r="R20" s="43"/>
      <c r="S20" s="43"/>
      <c r="T20" s="43"/>
      <c r="U20" s="43"/>
    </row>
    <row r="21" spans="1:21" s="11" customFormat="1" x14ac:dyDescent="0.25">
      <c r="A21" s="52" t="s">
        <v>576</v>
      </c>
      <c r="B21" s="53">
        <v>5.25</v>
      </c>
      <c r="C21" s="53">
        <v>23.31</v>
      </c>
      <c r="D21" s="53">
        <v>16.39</v>
      </c>
      <c r="E21" s="53">
        <v>5.04</v>
      </c>
      <c r="F21" s="53">
        <v>9.4499999999999993</v>
      </c>
      <c r="G21" s="53">
        <v>45.96</v>
      </c>
      <c r="H21" s="53">
        <v>18.46</v>
      </c>
      <c r="I21" s="53">
        <v>1.47</v>
      </c>
      <c r="J21" s="53">
        <v>0.59</v>
      </c>
      <c r="K21" s="53">
        <v>302.47000000000003</v>
      </c>
      <c r="L21" s="53">
        <v>25.79</v>
      </c>
      <c r="M21" s="53">
        <v>98.42</v>
      </c>
      <c r="N21" s="53">
        <v>815.2</v>
      </c>
      <c r="O21" s="53">
        <v>0</v>
      </c>
      <c r="P21" s="53">
        <v>0.36</v>
      </c>
      <c r="Q21" s="53">
        <v>9.08</v>
      </c>
      <c r="R21" s="43"/>
      <c r="S21" s="43"/>
      <c r="T21" s="43"/>
      <c r="U21" s="43"/>
    </row>
    <row r="22" spans="1:21" s="11" customFormat="1" x14ac:dyDescent="0.25">
      <c r="A22" s="52" t="s">
        <v>577</v>
      </c>
      <c r="B22" s="53">
        <v>3.87</v>
      </c>
      <c r="C22" s="53">
        <v>16.399999999999999</v>
      </c>
      <c r="D22" s="53">
        <v>11.34</v>
      </c>
      <c r="E22" s="53">
        <v>5.26</v>
      </c>
      <c r="F22" s="53">
        <v>15.28</v>
      </c>
      <c r="G22" s="53">
        <v>31.76</v>
      </c>
      <c r="H22" s="53">
        <v>18.899999999999999</v>
      </c>
      <c r="I22" s="53">
        <v>1.36</v>
      </c>
      <c r="J22" s="53">
        <v>0.56000000000000005</v>
      </c>
      <c r="K22" s="53">
        <v>160.85</v>
      </c>
      <c r="L22" s="53">
        <v>28.13</v>
      </c>
      <c r="M22" s="53">
        <v>98.24</v>
      </c>
      <c r="N22" s="53">
        <v>479.4</v>
      </c>
      <c r="O22" s="53">
        <v>0</v>
      </c>
      <c r="P22" s="53">
        <v>0.31</v>
      </c>
      <c r="Q22" s="53">
        <v>9.0500000000000007</v>
      </c>
      <c r="R22" s="43"/>
      <c r="S22" s="43"/>
      <c r="T22" s="43"/>
      <c r="U22" s="43"/>
    </row>
    <row r="23" spans="1:21" s="11" customFormat="1" x14ac:dyDescent="0.25">
      <c r="A23" s="52" t="s">
        <v>578</v>
      </c>
      <c r="B23" s="53">
        <v>6.81</v>
      </c>
      <c r="C23" s="53">
        <v>17.190000000000001</v>
      </c>
      <c r="D23" s="53">
        <v>14.02</v>
      </c>
      <c r="E23" s="53">
        <v>4.9400000000000004</v>
      </c>
      <c r="F23" s="53">
        <v>18.149999999999999</v>
      </c>
      <c r="G23" s="53">
        <v>25.9</v>
      </c>
      <c r="H23" s="53">
        <v>18.899999999999999</v>
      </c>
      <c r="I23" s="53">
        <v>1.21</v>
      </c>
      <c r="J23" s="53">
        <v>0.38</v>
      </c>
      <c r="K23" s="53">
        <v>331.6</v>
      </c>
      <c r="L23" s="53">
        <v>30.68</v>
      </c>
      <c r="M23" s="53">
        <v>85.42</v>
      </c>
      <c r="N23" s="53">
        <v>337</v>
      </c>
      <c r="O23" s="53">
        <v>0</v>
      </c>
      <c r="P23" s="53">
        <v>0.35</v>
      </c>
      <c r="Q23" s="53">
        <v>9.0399999999999991</v>
      </c>
      <c r="R23" s="43"/>
      <c r="S23" s="43"/>
      <c r="T23" s="43"/>
      <c r="U23" s="43"/>
    </row>
    <row r="24" spans="1:21" s="11" customFormat="1" x14ac:dyDescent="0.25">
      <c r="A24" s="52" t="s">
        <v>579</v>
      </c>
      <c r="B24" s="53">
        <v>6.21</v>
      </c>
      <c r="C24" s="53">
        <v>31.1</v>
      </c>
      <c r="D24" s="53">
        <v>20.21</v>
      </c>
      <c r="E24" s="53">
        <v>5.23</v>
      </c>
      <c r="F24" s="53">
        <v>20.16</v>
      </c>
      <c r="G24" s="53">
        <v>43.16</v>
      </c>
      <c r="H24" s="53">
        <v>20.43</v>
      </c>
      <c r="I24" s="53">
        <v>1.1200000000000001</v>
      </c>
      <c r="J24" s="53">
        <v>0.56000000000000005</v>
      </c>
      <c r="K24" s="53">
        <v>322.07</v>
      </c>
      <c r="L24" s="53">
        <v>31.08</v>
      </c>
      <c r="M24" s="53">
        <v>80.98</v>
      </c>
      <c r="N24" s="53">
        <v>251</v>
      </c>
      <c r="O24" s="53">
        <v>0</v>
      </c>
      <c r="P24" s="53">
        <v>0.46</v>
      </c>
      <c r="Q24" s="53">
        <v>9.08</v>
      </c>
      <c r="R24" s="43"/>
      <c r="S24" s="43"/>
      <c r="T24" s="43"/>
      <c r="U24" s="43"/>
    </row>
    <row r="25" spans="1:21" s="11" customFormat="1" x14ac:dyDescent="0.25">
      <c r="A25" s="52" t="s">
        <v>580</v>
      </c>
      <c r="B25" s="53">
        <v>14.41</v>
      </c>
      <c r="C25" s="53">
        <v>51.58</v>
      </c>
      <c r="D25" s="53">
        <v>35.85</v>
      </c>
      <c r="E25" s="53">
        <v>6.06</v>
      </c>
      <c r="F25" s="53">
        <v>19.18</v>
      </c>
      <c r="G25" s="53">
        <v>46.42</v>
      </c>
      <c r="H25" s="53">
        <v>22.98</v>
      </c>
      <c r="I25" s="53">
        <v>2.59</v>
      </c>
      <c r="J25" s="53">
        <v>1.04</v>
      </c>
      <c r="K25" s="53">
        <v>331.32</v>
      </c>
      <c r="L25" s="53">
        <v>30.08</v>
      </c>
      <c r="M25" s="53">
        <v>91.86</v>
      </c>
      <c r="N25" s="53">
        <v>171.2</v>
      </c>
      <c r="O25" s="53">
        <v>0</v>
      </c>
      <c r="P25" s="53">
        <v>1.5</v>
      </c>
      <c r="Q25" s="53">
        <v>9.31</v>
      </c>
      <c r="R25" s="43"/>
      <c r="S25" s="43"/>
      <c r="T25" s="43"/>
      <c r="U25" s="43"/>
    </row>
    <row r="26" spans="1:21" s="11" customFormat="1" x14ac:dyDescent="0.25">
      <c r="A26" s="52" t="s">
        <v>581</v>
      </c>
      <c r="B26" s="53">
        <v>9.89</v>
      </c>
      <c r="C26" s="53">
        <v>44.74</v>
      </c>
      <c r="D26" s="53">
        <v>30.12</v>
      </c>
      <c r="E26" s="53">
        <v>5.66</v>
      </c>
      <c r="F26" s="53">
        <v>16.7</v>
      </c>
      <c r="G26" s="53">
        <v>73.41</v>
      </c>
      <c r="H26" s="53">
        <v>26.12</v>
      </c>
      <c r="I26" s="53">
        <v>4.78</v>
      </c>
      <c r="J26" s="53">
        <v>1.43</v>
      </c>
      <c r="K26" s="53">
        <v>337.51</v>
      </c>
      <c r="L26" s="53">
        <v>28.88</v>
      </c>
      <c r="M26" s="53">
        <v>97.79</v>
      </c>
      <c r="N26" s="53">
        <v>166.5</v>
      </c>
      <c r="O26" s="53">
        <v>0</v>
      </c>
      <c r="P26" s="53">
        <v>1.33</v>
      </c>
      <c r="Q26" s="53">
        <v>9.3699999999999992</v>
      </c>
      <c r="R26" s="43"/>
      <c r="S26" s="43"/>
      <c r="T26" s="43"/>
      <c r="U26" s="43"/>
    </row>
    <row r="27" spans="1:21" s="11" customFormat="1" x14ac:dyDescent="0.25">
      <c r="A27" s="52" t="s">
        <v>582</v>
      </c>
      <c r="B27" s="53">
        <v>14.68</v>
      </c>
      <c r="C27" s="53">
        <v>29.96</v>
      </c>
      <c r="D27" s="53">
        <v>25.93</v>
      </c>
      <c r="E27" s="53">
        <v>5.23</v>
      </c>
      <c r="F27" s="53">
        <v>12.03</v>
      </c>
      <c r="G27" s="53">
        <v>73.41</v>
      </c>
      <c r="H27" s="53">
        <v>26.12</v>
      </c>
      <c r="I27" s="53">
        <v>4.3899999999999997</v>
      </c>
      <c r="J27" s="53">
        <v>0.99</v>
      </c>
      <c r="K27" s="53">
        <v>334.06</v>
      </c>
      <c r="L27" s="53">
        <v>27.71</v>
      </c>
      <c r="M27" s="53">
        <v>98.37</v>
      </c>
      <c r="N27" s="53">
        <v>126.3</v>
      </c>
      <c r="O27" s="53">
        <v>0</v>
      </c>
      <c r="P27" s="53">
        <v>1.1499999999999999</v>
      </c>
      <c r="Q27" s="53">
        <v>9.41</v>
      </c>
      <c r="R27" s="43"/>
      <c r="S27" s="43"/>
      <c r="T27" s="43"/>
      <c r="U27" s="43"/>
    </row>
    <row r="28" spans="1:21" s="11" customFormat="1" x14ac:dyDescent="0.25">
      <c r="A28" s="52" t="s">
        <v>583</v>
      </c>
      <c r="B28" s="53">
        <v>19.670000000000002</v>
      </c>
      <c r="C28" s="53">
        <v>30.22</v>
      </c>
      <c r="D28" s="53">
        <v>30.25</v>
      </c>
      <c r="E28" s="53">
        <v>5.28</v>
      </c>
      <c r="F28" s="53">
        <v>10.93</v>
      </c>
      <c r="G28" s="53">
        <v>67.349999999999994</v>
      </c>
      <c r="H28" s="53">
        <v>25.82</v>
      </c>
      <c r="I28" s="53">
        <v>4.05</v>
      </c>
      <c r="J28" s="53">
        <v>0.83</v>
      </c>
      <c r="K28" s="53">
        <v>338.87</v>
      </c>
      <c r="L28" s="53">
        <v>26.72</v>
      </c>
      <c r="M28" s="53">
        <v>98.39</v>
      </c>
      <c r="N28" s="53">
        <v>90.5</v>
      </c>
      <c r="O28" s="53">
        <v>0</v>
      </c>
      <c r="P28" s="53">
        <v>1.08</v>
      </c>
      <c r="Q28" s="53">
        <v>9.42</v>
      </c>
      <c r="R28" s="43"/>
      <c r="S28" s="43"/>
      <c r="T28" s="43"/>
      <c r="U28" s="43"/>
    </row>
    <row r="29" spans="1:21" s="11" customFormat="1" x14ac:dyDescent="0.25">
      <c r="A29" s="52" t="s">
        <v>584</v>
      </c>
      <c r="B29" s="53">
        <v>15.4</v>
      </c>
      <c r="C29" s="53">
        <v>26.71</v>
      </c>
      <c r="D29" s="53">
        <v>24.12</v>
      </c>
      <c r="E29" s="53">
        <v>5.16</v>
      </c>
      <c r="F29" s="53">
        <v>10.34</v>
      </c>
      <c r="G29" s="53">
        <v>61.62</v>
      </c>
      <c r="H29" s="53">
        <v>19.47</v>
      </c>
      <c r="I29" s="53">
        <v>3.53</v>
      </c>
      <c r="J29" s="53">
        <v>0.04</v>
      </c>
      <c r="K29" s="53">
        <v>346.28</v>
      </c>
      <c r="L29" s="53">
        <v>26.07</v>
      </c>
      <c r="M29" s="53">
        <v>98.41</v>
      </c>
      <c r="N29" s="53">
        <v>87</v>
      </c>
      <c r="O29" s="53">
        <v>0</v>
      </c>
      <c r="P29" s="53">
        <v>1.06</v>
      </c>
      <c r="Q29" s="53">
        <v>9.3800000000000008</v>
      </c>
      <c r="R29" s="43"/>
      <c r="S29" s="43"/>
      <c r="T29" s="43"/>
      <c r="U29" s="43"/>
    </row>
    <row r="30" spans="1:21" s="11" customFormat="1" x14ac:dyDescent="0.25">
      <c r="A30" s="52" t="s">
        <v>585</v>
      </c>
      <c r="B30" s="53">
        <v>20.25</v>
      </c>
      <c r="C30" s="53">
        <v>26.82</v>
      </c>
      <c r="D30" s="53">
        <v>30.25</v>
      </c>
      <c r="E30" s="53">
        <v>5.07</v>
      </c>
      <c r="F30" s="53">
        <v>10.8</v>
      </c>
      <c r="G30" s="53">
        <v>58.61</v>
      </c>
      <c r="H30" s="53">
        <v>15.25</v>
      </c>
      <c r="I30" s="53">
        <v>3.36</v>
      </c>
      <c r="J30" s="53">
        <v>0.15</v>
      </c>
      <c r="K30" s="53">
        <v>357.54</v>
      </c>
      <c r="L30" s="53">
        <v>25.65</v>
      </c>
      <c r="M30" s="53">
        <v>98.38</v>
      </c>
      <c r="N30" s="53">
        <v>85.2</v>
      </c>
      <c r="O30" s="53">
        <v>0</v>
      </c>
      <c r="P30" s="53">
        <v>0.88</v>
      </c>
      <c r="Q30" s="53">
        <v>9.36</v>
      </c>
      <c r="R30" s="43"/>
      <c r="S30" s="43"/>
      <c r="T30" s="43"/>
      <c r="U30" s="43"/>
    </row>
    <row r="31" spans="1:21" s="11" customFormat="1" x14ac:dyDescent="0.25">
      <c r="A31" s="52" t="s">
        <v>586</v>
      </c>
      <c r="B31" s="53">
        <v>23.29</v>
      </c>
      <c r="C31" s="53">
        <v>24.01</v>
      </c>
      <c r="D31" s="53">
        <v>31.22</v>
      </c>
      <c r="E31" s="53">
        <v>5.0199999999999996</v>
      </c>
      <c r="F31" s="53">
        <v>9.6199999999999992</v>
      </c>
      <c r="G31" s="53">
        <v>51.87</v>
      </c>
      <c r="H31" s="53">
        <v>15.71</v>
      </c>
      <c r="I31" s="53">
        <v>3.15</v>
      </c>
      <c r="J31" s="53">
        <v>0.23</v>
      </c>
      <c r="K31" s="53">
        <v>344.34</v>
      </c>
      <c r="L31" s="53">
        <v>25.52</v>
      </c>
      <c r="M31" s="53">
        <v>98.4</v>
      </c>
      <c r="N31" s="53">
        <v>112.8</v>
      </c>
      <c r="O31" s="53">
        <v>0</v>
      </c>
      <c r="P31" s="53">
        <v>0.76</v>
      </c>
      <c r="Q31" s="53">
        <v>9.4600000000000009</v>
      </c>
      <c r="R31" s="43"/>
      <c r="S31" s="43"/>
      <c r="T31" s="43"/>
      <c r="U31" s="43"/>
    </row>
    <row r="32" spans="1:21" s="11" customFormat="1" x14ac:dyDescent="0.25">
      <c r="A32" s="52" t="s">
        <v>587</v>
      </c>
      <c r="B32" s="53">
        <v>10.44</v>
      </c>
      <c r="C32" s="53">
        <v>18.23</v>
      </c>
      <c r="D32" s="53">
        <v>16.600000000000001</v>
      </c>
      <c r="E32" s="53">
        <v>5.2</v>
      </c>
      <c r="F32" s="53">
        <v>11.99</v>
      </c>
      <c r="G32" s="53">
        <v>51.87</v>
      </c>
      <c r="H32" s="53">
        <v>15.71</v>
      </c>
      <c r="I32" s="53">
        <v>3.07</v>
      </c>
      <c r="J32" s="53">
        <v>0.06</v>
      </c>
      <c r="K32" s="53">
        <v>279.62</v>
      </c>
      <c r="L32" s="53">
        <v>25.32</v>
      </c>
      <c r="M32" s="53">
        <v>98.4</v>
      </c>
      <c r="N32" s="53">
        <v>108.4</v>
      </c>
      <c r="O32" s="53">
        <v>0</v>
      </c>
      <c r="P32" s="53">
        <v>0.56999999999999995</v>
      </c>
      <c r="Q32" s="53">
        <v>9.4700000000000006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3.87</v>
      </c>
      <c r="C34" s="28">
        <f t="shared" si="0"/>
        <v>13.97</v>
      </c>
      <c r="D34" s="28">
        <f t="shared" si="0"/>
        <v>11.34</v>
      </c>
      <c r="E34" s="28">
        <f t="shared" si="0"/>
        <v>4.1900000000000004</v>
      </c>
      <c r="F34" s="28">
        <f t="shared" si="0"/>
        <v>5.88</v>
      </c>
      <c r="G34" s="28">
        <f t="shared" si="0"/>
        <v>25.9</v>
      </c>
      <c r="H34" s="28">
        <f t="shared" si="0"/>
        <v>15.25</v>
      </c>
      <c r="I34" s="28">
        <f t="shared" si="0"/>
        <v>1.1200000000000001</v>
      </c>
      <c r="J34" s="28">
        <f t="shared" si="0"/>
        <v>0.04</v>
      </c>
      <c r="K34" s="28">
        <f t="shared" si="0"/>
        <v>147.46</v>
      </c>
      <c r="L34" s="28">
        <f t="shared" si="0"/>
        <v>23.35</v>
      </c>
      <c r="M34" s="28">
        <f t="shared" si="0"/>
        <v>80.98</v>
      </c>
      <c r="N34" s="28">
        <f t="shared" si="0"/>
        <v>38.1</v>
      </c>
      <c r="O34" s="28">
        <f t="shared" si="0"/>
        <v>0</v>
      </c>
      <c r="P34" s="28">
        <f t="shared" si="0"/>
        <v>0.31</v>
      </c>
      <c r="Q34" s="28">
        <f t="shared" si="0"/>
        <v>9.0399999999999991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37.61</v>
      </c>
      <c r="C35" s="29">
        <f t="shared" si="1"/>
        <v>51.58</v>
      </c>
      <c r="D35" s="29">
        <f t="shared" si="1"/>
        <v>39.15</v>
      </c>
      <c r="E35" s="29">
        <f t="shared" si="1"/>
        <v>6.06</v>
      </c>
      <c r="F35" s="29">
        <f t="shared" si="1"/>
        <v>20.16</v>
      </c>
      <c r="G35" s="29">
        <f t="shared" si="1"/>
        <v>76.930000000000007</v>
      </c>
      <c r="H35" s="29">
        <f t="shared" si="1"/>
        <v>41.25</v>
      </c>
      <c r="I35" s="29">
        <f t="shared" si="1"/>
        <v>4.78</v>
      </c>
      <c r="J35" s="29">
        <f t="shared" si="1"/>
        <v>3</v>
      </c>
      <c r="K35" s="29">
        <f t="shared" si="1"/>
        <v>359.85</v>
      </c>
      <c r="L35" s="29">
        <f t="shared" si="1"/>
        <v>31.08</v>
      </c>
      <c r="M35" s="29">
        <f t="shared" si="1"/>
        <v>98.49</v>
      </c>
      <c r="N35" s="29">
        <f t="shared" si="1"/>
        <v>815.2</v>
      </c>
      <c r="O35" s="29">
        <f t="shared" si="1"/>
        <v>13.6</v>
      </c>
      <c r="P35" s="29">
        <f t="shared" si="1"/>
        <v>1.5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17.679583333333333</v>
      </c>
      <c r="C36" s="28">
        <f t="shared" si="2"/>
        <v>24.416666666666668</v>
      </c>
      <c r="D36" s="28">
        <f t="shared" si="2"/>
        <v>25.41333333333333</v>
      </c>
      <c r="E36" s="28">
        <f t="shared" si="2"/>
        <v>4.961666666666666</v>
      </c>
      <c r="F36" s="28">
        <f t="shared" si="2"/>
        <v>11.761666666666668</v>
      </c>
      <c r="G36" s="28">
        <f t="shared" si="2"/>
        <v>60.391666666666644</v>
      </c>
      <c r="H36" s="28">
        <f t="shared" si="2"/>
        <v>24.993750000000006</v>
      </c>
      <c r="I36" s="28">
        <f t="shared" si="2"/>
        <v>2.929583333333333</v>
      </c>
      <c r="J36" s="28">
        <f t="shared" si="2"/>
        <v>0.54291666666666671</v>
      </c>
      <c r="K36" s="28">
        <f t="shared" si="2"/>
        <v>309.64333333333337</v>
      </c>
      <c r="L36" s="28">
        <f t="shared" si="2"/>
        <v>26.687916666666666</v>
      </c>
      <c r="M36" s="28">
        <f t="shared" si="2"/>
        <v>96.836666666666687</v>
      </c>
      <c r="N36" s="28">
        <f t="shared" si="2"/>
        <v>201.18333333333337</v>
      </c>
      <c r="O36" s="28">
        <f t="shared" si="2"/>
        <v>0.97499999999999998</v>
      </c>
      <c r="P36" s="28">
        <f t="shared" si="2"/>
        <v>0.69125000000000014</v>
      </c>
      <c r="Q36" s="28">
        <f t="shared" si="2"/>
        <v>9.4583333333333339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8.6206468430596139</v>
      </c>
      <c r="C37" s="28">
        <f t="shared" ref="C37:Q37" si="3">STDEV(C9:C32)</f>
        <v>8.7346554481044905</v>
      </c>
      <c r="D37" s="28">
        <f t="shared" si="3"/>
        <v>6.7659561274694013</v>
      </c>
      <c r="E37" s="28">
        <f t="shared" si="3"/>
        <v>0.46725532231520273</v>
      </c>
      <c r="F37" s="28">
        <f t="shared" si="3"/>
        <v>4.4017226535574148</v>
      </c>
      <c r="G37" s="28">
        <f t="shared" si="3"/>
        <v>14.061236468194945</v>
      </c>
      <c r="H37" s="28">
        <f t="shared" si="3"/>
        <v>6.7775933990324573</v>
      </c>
      <c r="I37" s="28">
        <f t="shared" si="3"/>
        <v>0.97457450767732279</v>
      </c>
      <c r="J37" s="28">
        <f t="shared" si="3"/>
        <v>0.63391454071312803</v>
      </c>
      <c r="K37" s="28">
        <f t="shared" si="3"/>
        <v>58.648635676089185</v>
      </c>
      <c r="L37" s="28">
        <f t="shared" si="3"/>
        <v>2.1864403851857048</v>
      </c>
      <c r="M37" s="28">
        <f t="shared" si="3"/>
        <v>4.4551530171024538</v>
      </c>
      <c r="N37" s="28">
        <f t="shared" si="3"/>
        <v>187.11790904148634</v>
      </c>
      <c r="O37" s="28">
        <f t="shared" si="3"/>
        <v>3.3504379986217767</v>
      </c>
      <c r="P37" s="28">
        <f t="shared" si="3"/>
        <v>0.32311409345818404</v>
      </c>
      <c r="Q37" s="28">
        <f t="shared" si="3"/>
        <v>0.22160808858779563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588</v>
      </c>
      <c r="B9" s="53">
        <v>11.49</v>
      </c>
      <c r="C9" s="53">
        <v>9.89</v>
      </c>
      <c r="D9" s="53">
        <v>13.83</v>
      </c>
      <c r="E9" s="53">
        <v>5.27</v>
      </c>
      <c r="F9" s="53">
        <v>14.46</v>
      </c>
      <c r="G9" s="53">
        <v>40.619999999999997</v>
      </c>
      <c r="H9" s="53">
        <v>13.23</v>
      </c>
      <c r="I9" s="53">
        <v>2.88</v>
      </c>
      <c r="J9" s="53">
        <v>0.08</v>
      </c>
      <c r="K9" s="53">
        <v>347.91</v>
      </c>
      <c r="L9" s="53">
        <v>24.89</v>
      </c>
      <c r="M9" s="53">
        <v>98.4</v>
      </c>
      <c r="N9" s="53">
        <v>107.7</v>
      </c>
      <c r="O9" s="53">
        <v>0</v>
      </c>
      <c r="P9" s="53">
        <v>0.59</v>
      </c>
      <c r="Q9" s="53">
        <v>9.4</v>
      </c>
      <c r="R9" s="43"/>
      <c r="S9" s="43"/>
      <c r="T9" s="43"/>
      <c r="U9" s="43"/>
    </row>
    <row r="10" spans="1:21" s="11" customFormat="1" x14ac:dyDescent="0.25">
      <c r="A10" s="52" t="s">
        <v>589</v>
      </c>
      <c r="B10" s="53">
        <v>11.6</v>
      </c>
      <c r="C10" s="53">
        <v>9.83</v>
      </c>
      <c r="D10" s="53">
        <v>14.44</v>
      </c>
      <c r="E10" s="53">
        <v>5.15</v>
      </c>
      <c r="F10" s="53">
        <v>9.57</v>
      </c>
      <c r="G10" s="53">
        <v>31.69</v>
      </c>
      <c r="H10" s="53">
        <v>13.23</v>
      </c>
      <c r="I10" s="53">
        <v>2.5499999999999998</v>
      </c>
      <c r="J10" s="53">
        <v>0.11</v>
      </c>
      <c r="K10" s="53">
        <v>318.58</v>
      </c>
      <c r="L10" s="53">
        <v>24.69</v>
      </c>
      <c r="M10" s="53">
        <v>98.4</v>
      </c>
      <c r="N10" s="53">
        <v>99.2</v>
      </c>
      <c r="O10" s="53">
        <v>0</v>
      </c>
      <c r="P10" s="53">
        <v>0.64</v>
      </c>
      <c r="Q10" s="53">
        <v>9.31</v>
      </c>
      <c r="R10" s="43"/>
      <c r="S10" s="43"/>
      <c r="T10" s="43"/>
      <c r="U10" s="43"/>
    </row>
    <row r="11" spans="1:21" s="11" customFormat="1" x14ac:dyDescent="0.25">
      <c r="A11" s="52" t="s">
        <v>590</v>
      </c>
      <c r="B11" s="53">
        <v>10.09</v>
      </c>
      <c r="C11" s="53">
        <v>9.5500000000000007</v>
      </c>
      <c r="D11" s="53">
        <v>13.06</v>
      </c>
      <c r="E11" s="53">
        <v>5.09</v>
      </c>
      <c r="F11" s="53">
        <v>11.35</v>
      </c>
      <c r="G11" s="53">
        <v>29.53</v>
      </c>
      <c r="H11" s="53">
        <v>10.64</v>
      </c>
      <c r="I11" s="53">
        <v>2.21</v>
      </c>
      <c r="J11" s="53">
        <v>0.09</v>
      </c>
      <c r="K11" s="53">
        <v>322.83</v>
      </c>
      <c r="L11" s="53">
        <v>24.46</v>
      </c>
      <c r="M11" s="53">
        <v>98.45</v>
      </c>
      <c r="N11" s="53">
        <v>101.9</v>
      </c>
      <c r="O11" s="53">
        <v>0</v>
      </c>
      <c r="P11" s="53">
        <v>0.44</v>
      </c>
      <c r="Q11" s="53">
        <v>9.24</v>
      </c>
      <c r="R11" s="43"/>
      <c r="S11" s="43"/>
      <c r="T11" s="43"/>
      <c r="U11" s="43"/>
    </row>
    <row r="12" spans="1:21" s="11" customFormat="1" x14ac:dyDescent="0.25">
      <c r="A12" s="52" t="s">
        <v>591</v>
      </c>
      <c r="B12" s="53">
        <v>9.7799999999999994</v>
      </c>
      <c r="C12" s="53">
        <v>10.14</v>
      </c>
      <c r="D12" s="53">
        <v>13.14</v>
      </c>
      <c r="E12" s="53">
        <v>5.03</v>
      </c>
      <c r="F12" s="53">
        <v>10.76</v>
      </c>
      <c r="G12" s="53">
        <v>25.76</v>
      </c>
      <c r="H12" s="53">
        <v>8.0399999999999991</v>
      </c>
      <c r="I12" s="53">
        <v>2.0099999999999998</v>
      </c>
      <c r="J12" s="53">
        <v>0.12</v>
      </c>
      <c r="K12" s="53">
        <v>313.07</v>
      </c>
      <c r="L12" s="53">
        <v>24.19</v>
      </c>
      <c r="M12" s="53">
        <v>98.45</v>
      </c>
      <c r="N12" s="53">
        <v>81.099999999999994</v>
      </c>
      <c r="O12" s="53">
        <v>0</v>
      </c>
      <c r="P12" s="53">
        <v>0.43</v>
      </c>
      <c r="Q12" s="53">
        <v>9.24</v>
      </c>
      <c r="R12" s="43"/>
      <c r="S12" s="43"/>
      <c r="T12" s="43"/>
      <c r="U12" s="43"/>
    </row>
    <row r="13" spans="1:21" s="11" customFormat="1" x14ac:dyDescent="0.25">
      <c r="A13" s="52" t="s">
        <v>592</v>
      </c>
      <c r="B13" s="53">
        <v>9.8800000000000008</v>
      </c>
      <c r="C13" s="53">
        <v>10.19</v>
      </c>
      <c r="D13" s="53">
        <v>13.21</v>
      </c>
      <c r="E13" s="53">
        <v>5.2</v>
      </c>
      <c r="F13" s="53">
        <v>5.66</v>
      </c>
      <c r="G13" s="53">
        <v>20.46</v>
      </c>
      <c r="H13" s="53">
        <v>7.41</v>
      </c>
      <c r="I13" s="53">
        <v>1.94</v>
      </c>
      <c r="J13" s="53">
        <v>0.13</v>
      </c>
      <c r="K13" s="53">
        <v>309.72000000000003</v>
      </c>
      <c r="L13" s="53">
        <v>24.14</v>
      </c>
      <c r="M13" s="53">
        <v>98.45</v>
      </c>
      <c r="N13" s="53">
        <v>90.7</v>
      </c>
      <c r="O13" s="53">
        <v>0</v>
      </c>
      <c r="P13" s="53">
        <v>0.47</v>
      </c>
      <c r="Q13" s="53">
        <v>9.2100000000000009</v>
      </c>
      <c r="R13" s="43"/>
      <c r="S13" s="43"/>
      <c r="T13" s="43"/>
      <c r="U13" s="43"/>
    </row>
    <row r="14" spans="1:21" s="11" customFormat="1" x14ac:dyDescent="0.25">
      <c r="A14" s="52" t="s">
        <v>593</v>
      </c>
      <c r="B14" s="53">
        <v>9.2899999999999991</v>
      </c>
      <c r="C14" s="53">
        <v>11.02</v>
      </c>
      <c r="D14" s="53">
        <v>13.03</v>
      </c>
      <c r="E14" s="53">
        <v>5.19</v>
      </c>
      <c r="F14" s="53">
        <v>5.7</v>
      </c>
      <c r="G14" s="53">
        <v>18.28</v>
      </c>
      <c r="H14" s="53">
        <v>6.69</v>
      </c>
      <c r="I14" s="53">
        <v>1.68</v>
      </c>
      <c r="J14" s="53">
        <v>0.11</v>
      </c>
      <c r="K14" s="53">
        <v>305.08999999999997</v>
      </c>
      <c r="L14" s="53">
        <v>24.02</v>
      </c>
      <c r="M14" s="53">
        <v>98.4</v>
      </c>
      <c r="N14" s="53">
        <v>116.1</v>
      </c>
      <c r="O14" s="53">
        <v>0</v>
      </c>
      <c r="P14" s="53">
        <v>0.38</v>
      </c>
      <c r="Q14" s="53">
        <v>9.14</v>
      </c>
      <c r="R14" s="43"/>
      <c r="S14" s="43"/>
      <c r="T14" s="43"/>
      <c r="U14" s="43"/>
    </row>
    <row r="15" spans="1:21" s="11" customFormat="1" x14ac:dyDescent="0.25">
      <c r="A15" s="52" t="s">
        <v>594</v>
      </c>
      <c r="B15" s="53">
        <v>13.27</v>
      </c>
      <c r="C15" s="53">
        <v>11.89</v>
      </c>
      <c r="D15" s="53">
        <v>16.7</v>
      </c>
      <c r="E15" s="53">
        <v>5.04</v>
      </c>
      <c r="F15" s="53">
        <v>7.51</v>
      </c>
      <c r="G15" s="53">
        <v>19.510000000000002</v>
      </c>
      <c r="H15" s="53">
        <v>6.33</v>
      </c>
      <c r="I15" s="53">
        <v>1.55</v>
      </c>
      <c r="J15" s="53">
        <v>0.22</v>
      </c>
      <c r="K15" s="53">
        <v>308.66000000000003</v>
      </c>
      <c r="L15" s="53">
        <v>25.59</v>
      </c>
      <c r="M15" s="53">
        <v>98.4</v>
      </c>
      <c r="N15" s="53">
        <v>202.8</v>
      </c>
      <c r="O15" s="53">
        <v>0</v>
      </c>
      <c r="P15" s="53">
        <v>0.49</v>
      </c>
      <c r="Q15" s="53">
        <v>9.16</v>
      </c>
      <c r="R15" s="43"/>
      <c r="S15" s="43"/>
      <c r="T15" s="43"/>
      <c r="U15" s="43"/>
    </row>
    <row r="16" spans="1:21" s="11" customFormat="1" x14ac:dyDescent="0.25">
      <c r="A16" s="52" t="s">
        <v>595</v>
      </c>
      <c r="B16" s="53">
        <v>16.45</v>
      </c>
      <c r="C16" s="53">
        <v>19.600000000000001</v>
      </c>
      <c r="D16" s="53">
        <v>23.43</v>
      </c>
      <c r="E16" s="53">
        <v>5.0599999999999996</v>
      </c>
      <c r="F16" s="53">
        <v>9.1</v>
      </c>
      <c r="G16" s="53">
        <v>24.48</v>
      </c>
      <c r="H16" s="53">
        <v>11.23</v>
      </c>
      <c r="I16" s="53">
        <v>1.86</v>
      </c>
      <c r="J16" s="53">
        <v>0.15</v>
      </c>
      <c r="K16" s="53">
        <v>303.16000000000003</v>
      </c>
      <c r="L16" s="53">
        <v>26.41</v>
      </c>
      <c r="M16" s="53">
        <v>98.23</v>
      </c>
      <c r="N16" s="53">
        <v>226</v>
      </c>
      <c r="O16" s="53">
        <v>0</v>
      </c>
      <c r="P16" s="53">
        <v>0.8</v>
      </c>
      <c r="Q16" s="53">
        <v>9.26</v>
      </c>
      <c r="R16" s="43"/>
      <c r="S16" s="43"/>
      <c r="T16" s="43"/>
      <c r="U16" s="43"/>
    </row>
    <row r="17" spans="1:21" s="11" customFormat="1" x14ac:dyDescent="0.25">
      <c r="A17" s="52" t="s">
        <v>596</v>
      </c>
      <c r="B17" s="53">
        <v>14.72</v>
      </c>
      <c r="C17" s="53">
        <v>14.01</v>
      </c>
      <c r="D17" s="53">
        <v>18.239999999999998</v>
      </c>
      <c r="E17" s="53">
        <v>4.66</v>
      </c>
      <c r="F17" s="53">
        <v>7.21</v>
      </c>
      <c r="G17" s="53">
        <v>35.46</v>
      </c>
      <c r="H17" s="53">
        <v>11.23</v>
      </c>
      <c r="I17" s="53">
        <v>2.17</v>
      </c>
      <c r="J17" s="53">
        <v>0.48</v>
      </c>
      <c r="K17" s="53">
        <v>319.74</v>
      </c>
      <c r="L17" s="53">
        <v>29.48</v>
      </c>
      <c r="M17" s="53">
        <v>98.22</v>
      </c>
      <c r="N17" s="53">
        <v>500.9</v>
      </c>
      <c r="O17" s="53">
        <v>0</v>
      </c>
      <c r="P17" s="53">
        <v>0.5</v>
      </c>
      <c r="Q17" s="53">
        <v>9.2799999999999994</v>
      </c>
      <c r="R17" s="43"/>
      <c r="S17" s="43"/>
      <c r="T17" s="43"/>
      <c r="U17" s="43"/>
    </row>
    <row r="18" spans="1:21" s="11" customFormat="1" x14ac:dyDescent="0.25">
      <c r="A18" s="52" t="s">
        <v>597</v>
      </c>
      <c r="B18" s="53">
        <v>15.11</v>
      </c>
      <c r="C18" s="53">
        <v>13.29</v>
      </c>
      <c r="D18" s="53">
        <v>18.97</v>
      </c>
      <c r="E18" s="53">
        <v>4.6100000000000003</v>
      </c>
      <c r="F18" s="53">
        <v>10.31</v>
      </c>
      <c r="G18" s="53">
        <v>35.46</v>
      </c>
      <c r="H18" s="53">
        <v>9.7799999999999994</v>
      </c>
      <c r="I18" s="53">
        <v>2.17</v>
      </c>
      <c r="J18" s="53">
        <v>0.6</v>
      </c>
      <c r="K18" s="53">
        <v>325.42</v>
      </c>
      <c r="L18" s="53">
        <v>32.58</v>
      </c>
      <c r="M18" s="53">
        <v>80.48</v>
      </c>
      <c r="N18" s="53">
        <v>598.5</v>
      </c>
      <c r="O18" s="53">
        <v>0</v>
      </c>
      <c r="P18" s="53">
        <v>0.52</v>
      </c>
      <c r="Q18" s="53">
        <v>9.27</v>
      </c>
      <c r="R18" s="43"/>
      <c r="S18" s="43"/>
      <c r="T18" s="43"/>
      <c r="U18" s="43"/>
    </row>
    <row r="19" spans="1:21" s="11" customFormat="1" x14ac:dyDescent="0.25">
      <c r="A19" s="52" t="s">
        <v>598</v>
      </c>
      <c r="B19" s="53">
        <v>14.27</v>
      </c>
      <c r="C19" s="53">
        <v>17.079999999999998</v>
      </c>
      <c r="D19" s="53">
        <v>20.18</v>
      </c>
      <c r="E19" s="53">
        <v>4.66</v>
      </c>
      <c r="F19" s="53">
        <v>12.33</v>
      </c>
      <c r="G19" s="53">
        <v>38.42</v>
      </c>
      <c r="H19" s="53">
        <v>9.7799999999999994</v>
      </c>
      <c r="I19" s="53">
        <v>2.04</v>
      </c>
      <c r="J19" s="53">
        <v>0.38</v>
      </c>
      <c r="K19" s="53">
        <v>316.99</v>
      </c>
      <c r="L19" s="53">
        <v>32.270000000000003</v>
      </c>
      <c r="M19" s="53">
        <v>78.790000000000006</v>
      </c>
      <c r="N19" s="53">
        <v>614.70000000000005</v>
      </c>
      <c r="O19" s="53">
        <v>0</v>
      </c>
      <c r="P19" s="53">
        <v>0.52</v>
      </c>
      <c r="Q19" s="53">
        <v>9.26</v>
      </c>
      <c r="R19" s="43"/>
      <c r="S19" s="43"/>
      <c r="T19" s="43"/>
      <c r="U19" s="43"/>
    </row>
    <row r="20" spans="1:21" s="11" customFormat="1" x14ac:dyDescent="0.25">
      <c r="A20" s="52" t="s">
        <v>599</v>
      </c>
      <c r="B20" s="53">
        <v>12.58</v>
      </c>
      <c r="C20" s="53">
        <v>17.05</v>
      </c>
      <c r="D20" s="53">
        <v>18.850000000000001</v>
      </c>
      <c r="E20" s="53">
        <v>4.78</v>
      </c>
      <c r="F20" s="53">
        <v>15.53</v>
      </c>
      <c r="G20" s="53">
        <v>38.42</v>
      </c>
      <c r="H20" s="53">
        <v>11.17</v>
      </c>
      <c r="I20" s="53">
        <v>1.95</v>
      </c>
      <c r="J20" s="53">
        <v>0.26</v>
      </c>
      <c r="K20" s="53">
        <v>313.01</v>
      </c>
      <c r="L20" s="53">
        <v>31.94</v>
      </c>
      <c r="M20" s="53">
        <v>79.87</v>
      </c>
      <c r="N20" s="53">
        <v>834</v>
      </c>
      <c r="O20" s="53">
        <v>0</v>
      </c>
      <c r="P20" s="53">
        <v>0.48</v>
      </c>
      <c r="Q20" s="53">
        <v>9.27</v>
      </c>
      <c r="R20" s="43"/>
      <c r="S20" s="43"/>
      <c r="T20" s="43"/>
      <c r="U20" s="43"/>
    </row>
    <row r="21" spans="1:21" s="11" customFormat="1" x14ac:dyDescent="0.25">
      <c r="A21" s="52" t="s">
        <v>600</v>
      </c>
      <c r="B21" s="53">
        <v>12.47</v>
      </c>
      <c r="C21" s="53">
        <v>18.809999999999999</v>
      </c>
      <c r="D21" s="53">
        <v>19.829999999999998</v>
      </c>
      <c r="E21" s="53">
        <v>4.71</v>
      </c>
      <c r="F21" s="53">
        <v>16.32</v>
      </c>
      <c r="G21" s="53">
        <v>36.71</v>
      </c>
      <c r="H21" s="53">
        <v>11.17</v>
      </c>
      <c r="I21" s="53">
        <v>1.92</v>
      </c>
      <c r="J21" s="53">
        <v>0.28000000000000003</v>
      </c>
      <c r="K21" s="53">
        <v>353.82</v>
      </c>
      <c r="L21" s="53">
        <v>31.84</v>
      </c>
      <c r="M21" s="53">
        <v>81.790000000000006</v>
      </c>
      <c r="N21" s="53">
        <v>570.4</v>
      </c>
      <c r="O21" s="53">
        <v>0.2</v>
      </c>
      <c r="P21" s="53">
        <v>0.48</v>
      </c>
      <c r="Q21" s="53">
        <v>9.25</v>
      </c>
      <c r="R21" s="43"/>
      <c r="S21" s="43"/>
      <c r="T21" s="43"/>
      <c r="U21" s="43"/>
    </row>
    <row r="22" spans="1:21" s="11" customFormat="1" x14ac:dyDescent="0.25">
      <c r="A22" s="52" t="s">
        <v>601</v>
      </c>
      <c r="B22" s="53">
        <v>10.32</v>
      </c>
      <c r="C22" s="53">
        <v>21.13</v>
      </c>
      <c r="D22" s="53">
        <v>19.170000000000002</v>
      </c>
      <c r="E22" s="53">
        <v>4.9400000000000004</v>
      </c>
      <c r="F22" s="53">
        <v>10.98</v>
      </c>
      <c r="G22" s="53">
        <v>34.18</v>
      </c>
      <c r="H22" s="53">
        <v>9.9</v>
      </c>
      <c r="I22" s="53">
        <v>1.87</v>
      </c>
      <c r="J22" s="53">
        <v>1.37</v>
      </c>
      <c r="K22" s="53">
        <v>338.72</v>
      </c>
      <c r="L22" s="53">
        <v>27.34</v>
      </c>
      <c r="M22" s="53">
        <v>98.11</v>
      </c>
      <c r="N22" s="53">
        <v>142.1</v>
      </c>
      <c r="O22" s="53">
        <v>12.8</v>
      </c>
      <c r="P22" s="53">
        <v>0.43</v>
      </c>
      <c r="Q22" s="53">
        <v>9.2200000000000006</v>
      </c>
      <c r="R22" s="43"/>
      <c r="S22" s="43"/>
      <c r="T22" s="43"/>
      <c r="U22" s="43"/>
    </row>
    <row r="23" spans="1:21" s="11" customFormat="1" x14ac:dyDescent="0.25">
      <c r="A23" s="52" t="s">
        <v>602</v>
      </c>
      <c r="B23" s="53">
        <v>10.16</v>
      </c>
      <c r="C23" s="53">
        <v>16.97</v>
      </c>
      <c r="D23" s="53">
        <v>16.18</v>
      </c>
      <c r="E23" s="53">
        <v>4.6900000000000004</v>
      </c>
      <c r="F23" s="53">
        <v>14.43</v>
      </c>
      <c r="G23" s="53">
        <v>32.479999999999997</v>
      </c>
      <c r="H23" s="53">
        <v>10.71</v>
      </c>
      <c r="I23" s="53">
        <v>1.65</v>
      </c>
      <c r="J23" s="53">
        <v>0.31</v>
      </c>
      <c r="K23" s="53">
        <v>157.74</v>
      </c>
      <c r="L23" s="53">
        <v>26.1</v>
      </c>
      <c r="M23" s="53">
        <v>98.15</v>
      </c>
      <c r="N23" s="53">
        <v>290.8</v>
      </c>
      <c r="O23" s="53">
        <v>0</v>
      </c>
      <c r="P23" s="53">
        <v>0.44</v>
      </c>
      <c r="Q23" s="53">
        <v>9.18</v>
      </c>
      <c r="R23" s="43"/>
      <c r="S23" s="43"/>
      <c r="T23" s="43"/>
      <c r="U23" s="43"/>
    </row>
    <row r="24" spans="1:21" s="11" customFormat="1" x14ac:dyDescent="0.25">
      <c r="A24" s="52" t="s">
        <v>603</v>
      </c>
      <c r="B24" s="53">
        <v>8.4499999999999993</v>
      </c>
      <c r="C24" s="53">
        <v>20.260000000000002</v>
      </c>
      <c r="D24" s="53">
        <v>17.36</v>
      </c>
      <c r="E24" s="53">
        <v>4.79</v>
      </c>
      <c r="F24" s="53">
        <v>15.73</v>
      </c>
      <c r="G24" s="53">
        <v>27.9</v>
      </c>
      <c r="H24" s="53">
        <v>10.71</v>
      </c>
      <c r="I24" s="53">
        <v>1.57</v>
      </c>
      <c r="J24" s="53">
        <v>0.56999999999999995</v>
      </c>
      <c r="K24" s="53">
        <v>277.62</v>
      </c>
      <c r="L24" s="53">
        <v>28.49</v>
      </c>
      <c r="M24" s="53">
        <v>98</v>
      </c>
      <c r="N24" s="53">
        <v>253</v>
      </c>
      <c r="O24" s="53">
        <v>0</v>
      </c>
      <c r="P24" s="53">
        <v>0.43</v>
      </c>
      <c r="Q24" s="53">
        <v>9.1300000000000008</v>
      </c>
      <c r="R24" s="43"/>
      <c r="S24" s="43"/>
      <c r="T24" s="43"/>
      <c r="U24" s="43"/>
    </row>
    <row r="25" spans="1:21" s="11" customFormat="1" x14ac:dyDescent="0.25">
      <c r="A25" s="52" t="s">
        <v>604</v>
      </c>
      <c r="B25" s="53">
        <v>11.51</v>
      </c>
      <c r="C25" s="53">
        <v>22.37</v>
      </c>
      <c r="D25" s="53">
        <v>20.66</v>
      </c>
      <c r="E25" s="53">
        <v>4.42</v>
      </c>
      <c r="F25" s="53">
        <v>15.16</v>
      </c>
      <c r="G25" s="53">
        <v>25.51</v>
      </c>
      <c r="H25" s="53">
        <v>10.45</v>
      </c>
      <c r="I25" s="53">
        <v>1.5</v>
      </c>
      <c r="J25" s="53">
        <v>1.01</v>
      </c>
      <c r="K25" s="53">
        <v>332.19</v>
      </c>
      <c r="L25" s="53">
        <v>28.78</v>
      </c>
      <c r="M25" s="53">
        <v>97.08</v>
      </c>
      <c r="N25" s="53">
        <v>200.2</v>
      </c>
      <c r="O25" s="53">
        <v>0</v>
      </c>
      <c r="P25" s="53">
        <v>0.48</v>
      </c>
      <c r="Q25" s="53">
        <v>9.15</v>
      </c>
      <c r="R25" s="43"/>
      <c r="S25" s="43"/>
      <c r="T25" s="43"/>
      <c r="U25" s="43"/>
    </row>
    <row r="26" spans="1:21" s="11" customFormat="1" x14ac:dyDescent="0.25">
      <c r="A26" s="52" t="s">
        <v>605</v>
      </c>
      <c r="B26" s="53">
        <v>19.48</v>
      </c>
      <c r="C26" s="53">
        <v>28.02</v>
      </c>
      <c r="D26" s="53">
        <v>30.26</v>
      </c>
      <c r="E26" s="53">
        <v>4.6500000000000004</v>
      </c>
      <c r="F26" s="53">
        <v>12.67</v>
      </c>
      <c r="G26" s="53">
        <v>28.35</v>
      </c>
      <c r="H26" s="53">
        <v>11.49</v>
      </c>
      <c r="I26" s="53">
        <v>1.52</v>
      </c>
      <c r="J26" s="53">
        <v>1.06</v>
      </c>
      <c r="K26" s="53">
        <v>338.2</v>
      </c>
      <c r="L26" s="53">
        <v>28.11</v>
      </c>
      <c r="M26" s="53">
        <v>95.04</v>
      </c>
      <c r="N26" s="53">
        <v>74.7</v>
      </c>
      <c r="O26" s="53">
        <v>0</v>
      </c>
      <c r="P26" s="53">
        <v>0.89</v>
      </c>
      <c r="Q26" s="53">
        <v>9.2200000000000006</v>
      </c>
      <c r="R26" s="43"/>
      <c r="S26" s="43"/>
      <c r="T26" s="43"/>
      <c r="U26" s="43"/>
    </row>
    <row r="27" spans="1:21" s="11" customFormat="1" x14ac:dyDescent="0.25">
      <c r="A27" s="52" t="s">
        <v>606</v>
      </c>
      <c r="B27" s="53">
        <v>69.39</v>
      </c>
      <c r="C27" s="53">
        <v>42.5</v>
      </c>
      <c r="D27" s="53">
        <v>77.319999999999993</v>
      </c>
      <c r="E27" s="53">
        <v>4.99</v>
      </c>
      <c r="F27" s="53">
        <v>8.83</v>
      </c>
      <c r="G27" s="53">
        <v>48.05</v>
      </c>
      <c r="H27" s="53">
        <v>15.1</v>
      </c>
      <c r="I27" s="53">
        <v>1.59</v>
      </c>
      <c r="J27" s="53">
        <v>0.79</v>
      </c>
      <c r="K27" s="53">
        <v>338.12</v>
      </c>
      <c r="L27" s="53">
        <v>27.37</v>
      </c>
      <c r="M27" s="53">
        <v>97.99</v>
      </c>
      <c r="N27" s="53">
        <v>55.4</v>
      </c>
      <c r="O27" s="53">
        <v>0</v>
      </c>
      <c r="P27" s="53">
        <v>2.21</v>
      </c>
      <c r="Q27" s="53">
        <v>9.3800000000000008</v>
      </c>
      <c r="R27" s="43"/>
      <c r="S27" s="43"/>
      <c r="T27" s="43"/>
      <c r="U27" s="43"/>
    </row>
    <row r="28" spans="1:21" s="11" customFormat="1" x14ac:dyDescent="0.25">
      <c r="A28" s="52" t="s">
        <v>607</v>
      </c>
      <c r="B28" s="53">
        <v>48.46</v>
      </c>
      <c r="C28" s="53">
        <v>40.22</v>
      </c>
      <c r="D28" s="53">
        <v>57.46</v>
      </c>
      <c r="E28" s="53">
        <v>4.67</v>
      </c>
      <c r="F28" s="53">
        <v>7.09</v>
      </c>
      <c r="G28" s="53">
        <v>64.430000000000007</v>
      </c>
      <c r="H28" s="53">
        <v>22.86</v>
      </c>
      <c r="I28" s="53">
        <v>2.11</v>
      </c>
      <c r="J28" s="53">
        <v>0.32</v>
      </c>
      <c r="K28" s="53">
        <v>353.59</v>
      </c>
      <c r="L28" s="53">
        <v>26.49</v>
      </c>
      <c r="M28" s="53">
        <v>98.02</v>
      </c>
      <c r="N28" s="53">
        <v>44</v>
      </c>
      <c r="O28" s="53">
        <v>0</v>
      </c>
      <c r="P28" s="53">
        <v>1.9</v>
      </c>
      <c r="Q28" s="53">
        <v>9.57</v>
      </c>
      <c r="R28" s="43"/>
      <c r="S28" s="43"/>
      <c r="T28" s="43"/>
      <c r="U28" s="43"/>
    </row>
    <row r="29" spans="1:21" s="11" customFormat="1" x14ac:dyDescent="0.25">
      <c r="A29" s="52" t="s">
        <v>608</v>
      </c>
      <c r="B29" s="53">
        <v>37.409999999999997</v>
      </c>
      <c r="C29" s="53">
        <v>42.29</v>
      </c>
      <c r="D29" s="53">
        <v>47.9</v>
      </c>
      <c r="E29" s="53">
        <v>5.07</v>
      </c>
      <c r="F29" s="53">
        <v>9.82</v>
      </c>
      <c r="G29" s="53">
        <v>83.99</v>
      </c>
      <c r="H29" s="53">
        <v>27.15</v>
      </c>
      <c r="I29" s="53">
        <v>2.73</v>
      </c>
      <c r="J29" s="53">
        <v>0.7</v>
      </c>
      <c r="K29" s="53">
        <v>357.33</v>
      </c>
      <c r="L29" s="53">
        <v>26.38</v>
      </c>
      <c r="M29" s="53">
        <v>98.02</v>
      </c>
      <c r="N29" s="53">
        <v>44.3</v>
      </c>
      <c r="O29" s="53">
        <v>0.2</v>
      </c>
      <c r="P29" s="53">
        <v>2.15</v>
      </c>
      <c r="Q29" s="53">
        <v>9.6199999999999992</v>
      </c>
      <c r="R29" s="43"/>
      <c r="S29" s="43"/>
      <c r="T29" s="43"/>
      <c r="U29" s="43"/>
    </row>
    <row r="30" spans="1:21" s="11" customFormat="1" x14ac:dyDescent="0.25">
      <c r="A30" s="52" t="s">
        <v>609</v>
      </c>
      <c r="B30" s="53">
        <v>21.25</v>
      </c>
      <c r="C30" s="53">
        <v>23.25</v>
      </c>
      <c r="D30" s="53">
        <v>23.33</v>
      </c>
      <c r="E30" s="53">
        <v>5.26</v>
      </c>
      <c r="F30" s="53">
        <v>10.51</v>
      </c>
      <c r="G30" s="53">
        <v>83.99</v>
      </c>
      <c r="H30" s="53">
        <v>27.15</v>
      </c>
      <c r="I30" s="53">
        <v>2.79</v>
      </c>
      <c r="J30" s="53">
        <v>0.13</v>
      </c>
      <c r="K30" s="53">
        <v>321.18</v>
      </c>
      <c r="L30" s="53">
        <v>25.04</v>
      </c>
      <c r="M30" s="53">
        <v>98.04</v>
      </c>
      <c r="N30" s="53">
        <v>45.1</v>
      </c>
      <c r="O30" s="53">
        <v>0</v>
      </c>
      <c r="P30" s="53">
        <v>0.89</v>
      </c>
      <c r="Q30" s="53">
        <v>9.6199999999999992</v>
      </c>
      <c r="R30" s="43"/>
      <c r="S30" s="43"/>
      <c r="T30" s="43"/>
      <c r="U30" s="43"/>
    </row>
    <row r="31" spans="1:21" s="11" customFormat="1" x14ac:dyDescent="0.25">
      <c r="A31" s="52" t="s">
        <v>610</v>
      </c>
      <c r="B31" s="53">
        <v>16.18</v>
      </c>
      <c r="C31" s="53">
        <v>12.99</v>
      </c>
      <c r="D31" s="53">
        <v>19.28</v>
      </c>
      <c r="E31" s="53">
        <v>4.99</v>
      </c>
      <c r="F31" s="53">
        <v>5.53</v>
      </c>
      <c r="G31" s="53">
        <v>54.28</v>
      </c>
      <c r="H31" s="53">
        <v>24.09</v>
      </c>
      <c r="I31" s="53">
        <v>2.4700000000000002</v>
      </c>
      <c r="J31" s="53">
        <v>0.2</v>
      </c>
      <c r="K31" s="53">
        <v>348.29</v>
      </c>
      <c r="L31" s="53">
        <v>24.23</v>
      </c>
      <c r="M31" s="53">
        <v>98.06</v>
      </c>
      <c r="N31" s="53">
        <v>44.9</v>
      </c>
      <c r="O31" s="53">
        <v>0.2</v>
      </c>
      <c r="P31" s="53">
        <v>0.77</v>
      </c>
      <c r="Q31" s="53">
        <v>9.48</v>
      </c>
      <c r="R31" s="43"/>
      <c r="S31" s="43"/>
      <c r="T31" s="43"/>
      <c r="U31" s="43"/>
    </row>
    <row r="32" spans="1:21" s="11" customFormat="1" x14ac:dyDescent="0.25">
      <c r="A32" s="52" t="s">
        <v>611</v>
      </c>
      <c r="B32" s="53">
        <v>11.2</v>
      </c>
      <c r="C32" s="53">
        <v>14.1</v>
      </c>
      <c r="D32" s="53">
        <v>16.100000000000001</v>
      </c>
      <c r="E32" s="53">
        <v>4.99</v>
      </c>
      <c r="F32" s="53">
        <v>4.38</v>
      </c>
      <c r="G32" s="53">
        <v>26.2</v>
      </c>
      <c r="H32" s="53">
        <v>18.68</v>
      </c>
      <c r="I32" s="53">
        <v>1.96</v>
      </c>
      <c r="J32" s="53">
        <v>0.21</v>
      </c>
      <c r="K32" s="53">
        <v>340.71</v>
      </c>
      <c r="L32" s="53">
        <v>23.74</v>
      </c>
      <c r="M32" s="53">
        <v>98.1</v>
      </c>
      <c r="N32" s="53">
        <v>44.1</v>
      </c>
      <c r="O32" s="53">
        <v>0.2</v>
      </c>
      <c r="P32" s="53">
        <v>0.61</v>
      </c>
      <c r="Q32" s="53">
        <v>9.24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8.4499999999999993</v>
      </c>
      <c r="C34" s="28">
        <f t="shared" si="0"/>
        <v>9.5500000000000007</v>
      </c>
      <c r="D34" s="28">
        <f t="shared" si="0"/>
        <v>13.03</v>
      </c>
      <c r="E34" s="28">
        <f t="shared" si="0"/>
        <v>4.42</v>
      </c>
      <c r="F34" s="28">
        <f t="shared" si="0"/>
        <v>4.38</v>
      </c>
      <c r="G34" s="28">
        <f t="shared" si="0"/>
        <v>18.28</v>
      </c>
      <c r="H34" s="28">
        <f t="shared" si="0"/>
        <v>6.33</v>
      </c>
      <c r="I34" s="28">
        <f t="shared" si="0"/>
        <v>1.5</v>
      </c>
      <c r="J34" s="28">
        <f t="shared" si="0"/>
        <v>0.08</v>
      </c>
      <c r="K34" s="28">
        <f t="shared" si="0"/>
        <v>157.74</v>
      </c>
      <c r="L34" s="28">
        <f t="shared" si="0"/>
        <v>23.74</v>
      </c>
      <c r="M34" s="28">
        <f t="shared" si="0"/>
        <v>78.790000000000006</v>
      </c>
      <c r="N34" s="28">
        <f t="shared" si="0"/>
        <v>44</v>
      </c>
      <c r="O34" s="28">
        <f t="shared" si="0"/>
        <v>0</v>
      </c>
      <c r="P34" s="28">
        <f t="shared" si="0"/>
        <v>0.38</v>
      </c>
      <c r="Q34" s="28">
        <f t="shared" si="0"/>
        <v>9.1300000000000008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69.39</v>
      </c>
      <c r="C35" s="29">
        <f t="shared" si="1"/>
        <v>42.5</v>
      </c>
      <c r="D35" s="29">
        <f t="shared" si="1"/>
        <v>77.319999999999993</v>
      </c>
      <c r="E35" s="29">
        <f t="shared" si="1"/>
        <v>5.27</v>
      </c>
      <c r="F35" s="29">
        <f t="shared" si="1"/>
        <v>16.32</v>
      </c>
      <c r="G35" s="29">
        <f t="shared" si="1"/>
        <v>83.99</v>
      </c>
      <c r="H35" s="29">
        <f t="shared" si="1"/>
        <v>27.15</v>
      </c>
      <c r="I35" s="29">
        <f t="shared" si="1"/>
        <v>2.88</v>
      </c>
      <c r="J35" s="29">
        <f t="shared" si="1"/>
        <v>1.37</v>
      </c>
      <c r="K35" s="29">
        <f t="shared" si="1"/>
        <v>357.33</v>
      </c>
      <c r="L35" s="29">
        <f t="shared" si="1"/>
        <v>32.58</v>
      </c>
      <c r="M35" s="29">
        <f t="shared" si="1"/>
        <v>98.45</v>
      </c>
      <c r="N35" s="29">
        <f t="shared" si="1"/>
        <v>834</v>
      </c>
      <c r="O35" s="29">
        <f t="shared" si="1"/>
        <v>12.8</v>
      </c>
      <c r="P35" s="29">
        <f t="shared" si="1"/>
        <v>2.21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17.700416666666666</v>
      </c>
      <c r="C36" s="28">
        <f t="shared" si="2"/>
        <v>19.018750000000004</v>
      </c>
      <c r="D36" s="28">
        <f t="shared" si="2"/>
        <v>23.413750000000004</v>
      </c>
      <c r="E36" s="28">
        <f t="shared" si="2"/>
        <v>4.9129166666666659</v>
      </c>
      <c r="F36" s="28">
        <f t="shared" si="2"/>
        <v>10.455833333333333</v>
      </c>
      <c r="G36" s="28">
        <f t="shared" si="2"/>
        <v>37.673333333333339</v>
      </c>
      <c r="H36" s="28">
        <f t="shared" si="2"/>
        <v>13.259166666666667</v>
      </c>
      <c r="I36" s="28">
        <f t="shared" si="2"/>
        <v>2.0287500000000001</v>
      </c>
      <c r="J36" s="28">
        <f t="shared" si="2"/>
        <v>0.40333333333333338</v>
      </c>
      <c r="K36" s="28">
        <f t="shared" si="2"/>
        <v>319.23708333333326</v>
      </c>
      <c r="L36" s="28">
        <f t="shared" si="2"/>
        <v>27.023749999999996</v>
      </c>
      <c r="M36" s="28">
        <f t="shared" si="2"/>
        <v>95.039166666666645</v>
      </c>
      <c r="N36" s="28">
        <f t="shared" si="2"/>
        <v>224.27500000000001</v>
      </c>
      <c r="O36" s="28">
        <f t="shared" si="2"/>
        <v>0.56666666666666654</v>
      </c>
      <c r="P36" s="28">
        <f t="shared" si="2"/>
        <v>0.74750000000000005</v>
      </c>
      <c r="Q36" s="28">
        <f t="shared" si="2"/>
        <v>9.2958333333333343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14.344283660465036</v>
      </c>
      <c r="C37" s="28">
        <f t="shared" ref="C37:Q37" si="3">STDEV(C9:C32)</f>
        <v>10.03955278429749</v>
      </c>
      <c r="D37" s="28">
        <f t="shared" si="3"/>
        <v>15.644716794718796</v>
      </c>
      <c r="E37" s="28">
        <f t="shared" si="3"/>
        <v>0.23809897771390323</v>
      </c>
      <c r="F37" s="28">
        <f t="shared" si="3"/>
        <v>3.5784705460958253</v>
      </c>
      <c r="G37" s="28">
        <f t="shared" si="3"/>
        <v>17.854459841504134</v>
      </c>
      <c r="H37" s="28">
        <f t="shared" si="3"/>
        <v>6.1294881811060558</v>
      </c>
      <c r="I37" s="28">
        <f t="shared" si="3"/>
        <v>0.40977525653651287</v>
      </c>
      <c r="J37" s="28">
        <f t="shared" si="3"/>
        <v>0.35364765892999583</v>
      </c>
      <c r="K37" s="28">
        <f t="shared" si="3"/>
        <v>39.469191119719611</v>
      </c>
      <c r="L37" s="28">
        <f t="shared" si="3"/>
        <v>2.8504550552041978</v>
      </c>
      <c r="M37" s="28">
        <f t="shared" si="3"/>
        <v>6.8144545328081927</v>
      </c>
      <c r="N37" s="28">
        <f t="shared" si="3"/>
        <v>226.54183268553678</v>
      </c>
      <c r="O37" s="28">
        <f t="shared" si="3"/>
        <v>2.6067915756424753</v>
      </c>
      <c r="P37" s="28">
        <f t="shared" si="3"/>
        <v>0.53902690099845663</v>
      </c>
      <c r="Q37" s="28">
        <f t="shared" si="3"/>
        <v>0.1439781585690256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612</v>
      </c>
      <c r="B9" s="53">
        <v>7.76</v>
      </c>
      <c r="C9" s="53">
        <v>15.31</v>
      </c>
      <c r="D9" s="53">
        <v>13.53</v>
      </c>
      <c r="E9" s="53">
        <v>5.66</v>
      </c>
      <c r="F9" s="53">
        <v>3.96</v>
      </c>
      <c r="G9" s="53">
        <v>10.73</v>
      </c>
      <c r="H9" s="53">
        <v>4.05</v>
      </c>
      <c r="I9" s="53">
        <v>1.98</v>
      </c>
      <c r="J9" s="53">
        <v>0.28999999999999998</v>
      </c>
      <c r="K9" s="53">
        <v>314.58</v>
      </c>
      <c r="L9" s="53">
        <v>23.61</v>
      </c>
      <c r="M9" s="53">
        <v>98.09</v>
      </c>
      <c r="N9" s="53">
        <v>44.4</v>
      </c>
      <c r="O9" s="53">
        <v>0.2</v>
      </c>
      <c r="P9" s="53">
        <v>0.62</v>
      </c>
      <c r="Q9" s="53">
        <v>9.11</v>
      </c>
      <c r="R9" s="43"/>
      <c r="S9" s="43"/>
      <c r="T9" s="43"/>
      <c r="U9" s="43"/>
    </row>
    <row r="10" spans="1:21" s="11" customFormat="1" x14ac:dyDescent="0.25">
      <c r="A10" s="52" t="s">
        <v>613</v>
      </c>
      <c r="B10" s="53">
        <v>5.08</v>
      </c>
      <c r="C10" s="53">
        <v>15.62</v>
      </c>
      <c r="D10" s="53">
        <v>12.23</v>
      </c>
      <c r="E10" s="53">
        <v>5.48</v>
      </c>
      <c r="F10" s="53">
        <v>5.54</v>
      </c>
      <c r="G10" s="53">
        <v>6.73</v>
      </c>
      <c r="H10" s="53">
        <v>3.84</v>
      </c>
      <c r="I10" s="53">
        <v>2.02</v>
      </c>
      <c r="J10" s="53">
        <v>0.2</v>
      </c>
      <c r="K10" s="53">
        <v>324.56</v>
      </c>
      <c r="L10" s="53">
        <v>23.36</v>
      </c>
      <c r="M10" s="53">
        <v>98.08</v>
      </c>
      <c r="N10" s="53">
        <v>44.1</v>
      </c>
      <c r="O10" s="53">
        <v>0.2</v>
      </c>
      <c r="P10" s="53">
        <v>0.48</v>
      </c>
      <c r="Q10" s="53">
        <v>9.08</v>
      </c>
      <c r="R10" s="43"/>
      <c r="S10" s="43"/>
      <c r="T10" s="43"/>
      <c r="U10" s="43"/>
    </row>
    <row r="11" spans="1:21" s="11" customFormat="1" x14ac:dyDescent="0.25">
      <c r="A11" s="52" t="s">
        <v>614</v>
      </c>
      <c r="B11" s="53">
        <v>5.46</v>
      </c>
      <c r="C11" s="53">
        <v>13.36</v>
      </c>
      <c r="D11" s="53">
        <v>10.65</v>
      </c>
      <c r="E11" s="53">
        <v>5.49</v>
      </c>
      <c r="F11" s="53">
        <v>7.29</v>
      </c>
      <c r="G11" s="53">
        <v>6.73</v>
      </c>
      <c r="H11" s="53">
        <v>3.88</v>
      </c>
      <c r="I11" s="53">
        <v>1.86</v>
      </c>
      <c r="J11" s="53">
        <v>1</v>
      </c>
      <c r="K11" s="53">
        <v>334.24</v>
      </c>
      <c r="L11" s="53">
        <v>23.14</v>
      </c>
      <c r="M11" s="53">
        <v>98.09</v>
      </c>
      <c r="N11" s="53">
        <v>44.2</v>
      </c>
      <c r="O11" s="53">
        <v>0</v>
      </c>
      <c r="P11" s="53">
        <v>0.44</v>
      </c>
      <c r="Q11" s="53">
        <v>9.06</v>
      </c>
      <c r="R11" s="43"/>
      <c r="S11" s="43"/>
      <c r="T11" s="43"/>
      <c r="U11" s="43"/>
    </row>
    <row r="12" spans="1:21" s="11" customFormat="1" x14ac:dyDescent="0.25">
      <c r="A12" s="52" t="s">
        <v>615</v>
      </c>
      <c r="B12" s="53">
        <v>6.04</v>
      </c>
      <c r="C12" s="53">
        <v>11.76</v>
      </c>
      <c r="D12" s="53">
        <v>10.82</v>
      </c>
      <c r="E12" s="53">
        <v>5.43</v>
      </c>
      <c r="F12" s="53">
        <v>4.5999999999999996</v>
      </c>
      <c r="G12" s="53">
        <v>5.53</v>
      </c>
      <c r="H12" s="53">
        <v>4.9400000000000004</v>
      </c>
      <c r="I12" s="53">
        <v>1.72</v>
      </c>
      <c r="J12" s="53">
        <v>1.66</v>
      </c>
      <c r="K12" s="53">
        <v>331.82</v>
      </c>
      <c r="L12" s="53">
        <v>23.06</v>
      </c>
      <c r="M12" s="53">
        <v>98.13</v>
      </c>
      <c r="N12" s="53">
        <v>44.2</v>
      </c>
      <c r="O12" s="53">
        <v>0.4</v>
      </c>
      <c r="P12" s="53">
        <v>0.39</v>
      </c>
      <c r="Q12" s="53">
        <v>9.02</v>
      </c>
      <c r="R12" s="43"/>
      <c r="S12" s="43"/>
      <c r="T12" s="43"/>
      <c r="U12" s="43"/>
    </row>
    <row r="13" spans="1:21" s="11" customFormat="1" x14ac:dyDescent="0.25">
      <c r="A13" s="52" t="s">
        <v>616</v>
      </c>
      <c r="B13" s="53">
        <v>6.97</v>
      </c>
      <c r="C13" s="53">
        <v>11.83</v>
      </c>
      <c r="D13" s="53">
        <v>11.34</v>
      </c>
      <c r="E13" s="53">
        <v>5.42</v>
      </c>
      <c r="F13" s="53">
        <v>4.3899999999999997</v>
      </c>
      <c r="G13" s="53">
        <v>7.28</v>
      </c>
      <c r="H13" s="53">
        <v>3.64</v>
      </c>
      <c r="I13" s="53">
        <v>1.43</v>
      </c>
      <c r="J13" s="53">
        <v>1.85</v>
      </c>
      <c r="K13" s="53">
        <v>333.97</v>
      </c>
      <c r="L13" s="53">
        <v>22.79</v>
      </c>
      <c r="M13" s="53">
        <v>98.13</v>
      </c>
      <c r="N13" s="53">
        <v>44.1</v>
      </c>
      <c r="O13" s="53">
        <v>0.4</v>
      </c>
      <c r="P13" s="53">
        <v>0.31</v>
      </c>
      <c r="Q13" s="53">
        <v>9.0299999999999994</v>
      </c>
      <c r="R13" s="43"/>
      <c r="S13" s="43"/>
      <c r="T13" s="43"/>
      <c r="U13" s="43"/>
    </row>
    <row r="14" spans="1:21" s="11" customFormat="1" x14ac:dyDescent="0.25">
      <c r="A14" s="52" t="s">
        <v>617</v>
      </c>
      <c r="B14" s="53">
        <v>6.45</v>
      </c>
      <c r="C14" s="53">
        <v>12.88</v>
      </c>
      <c r="D14" s="53">
        <v>11.75</v>
      </c>
      <c r="E14" s="53">
        <v>5.27</v>
      </c>
      <c r="F14" s="53">
        <v>5.77</v>
      </c>
      <c r="G14" s="53">
        <v>7.28</v>
      </c>
      <c r="H14" s="53">
        <v>2.5499999999999998</v>
      </c>
      <c r="I14" s="53">
        <v>1.23</v>
      </c>
      <c r="J14" s="53">
        <v>2.23</v>
      </c>
      <c r="K14" s="53">
        <v>336.39</v>
      </c>
      <c r="L14" s="53">
        <v>22.83</v>
      </c>
      <c r="M14" s="53">
        <v>98.12</v>
      </c>
      <c r="N14" s="53">
        <v>46</v>
      </c>
      <c r="O14" s="53">
        <v>0.4</v>
      </c>
      <c r="P14" s="53">
        <v>0.24</v>
      </c>
      <c r="Q14" s="53">
        <v>9.0500000000000007</v>
      </c>
      <c r="R14" s="43"/>
      <c r="S14" s="43"/>
      <c r="T14" s="43"/>
      <c r="U14" s="43"/>
    </row>
    <row r="15" spans="1:21" s="11" customFormat="1" x14ac:dyDescent="0.25">
      <c r="A15" s="52" t="s">
        <v>618</v>
      </c>
      <c r="B15" s="53">
        <v>9.4600000000000009</v>
      </c>
      <c r="C15" s="53">
        <v>14.28</v>
      </c>
      <c r="D15" s="53">
        <v>15.05</v>
      </c>
      <c r="E15" s="53">
        <v>5.81</v>
      </c>
      <c r="F15" s="53">
        <v>6.65</v>
      </c>
      <c r="G15" s="53">
        <v>13.26</v>
      </c>
      <c r="H15" s="53">
        <v>1.78</v>
      </c>
      <c r="I15" s="53">
        <v>1.07</v>
      </c>
      <c r="J15" s="53">
        <v>1.56</v>
      </c>
      <c r="K15" s="53">
        <v>336.43</v>
      </c>
      <c r="L15" s="53">
        <v>23.09</v>
      </c>
      <c r="M15" s="53">
        <v>98.13</v>
      </c>
      <c r="N15" s="53">
        <v>57.7</v>
      </c>
      <c r="O15" s="53">
        <v>0</v>
      </c>
      <c r="P15" s="53">
        <v>0.35</v>
      </c>
      <c r="Q15" s="53">
        <v>9.1</v>
      </c>
      <c r="R15" s="43"/>
      <c r="S15" s="43"/>
      <c r="T15" s="43"/>
      <c r="U15" s="43"/>
    </row>
    <row r="16" spans="1:21" s="11" customFormat="1" x14ac:dyDescent="0.25">
      <c r="A16" s="52" t="s">
        <v>619</v>
      </c>
      <c r="B16" s="53">
        <v>22.93</v>
      </c>
      <c r="C16" s="53">
        <v>17.02</v>
      </c>
      <c r="D16" s="53">
        <v>27.23</v>
      </c>
      <c r="E16" s="53">
        <v>5.68</v>
      </c>
      <c r="F16" s="53">
        <v>7.94</v>
      </c>
      <c r="G16" s="53">
        <v>21.87</v>
      </c>
      <c r="H16" s="53">
        <v>6.19</v>
      </c>
      <c r="I16" s="53">
        <v>1.1299999999999999</v>
      </c>
      <c r="J16" s="53">
        <v>0.87</v>
      </c>
      <c r="K16" s="53">
        <v>340.93</v>
      </c>
      <c r="L16" s="53">
        <v>23.33</v>
      </c>
      <c r="M16" s="53">
        <v>98.15</v>
      </c>
      <c r="N16" s="53">
        <v>117.1</v>
      </c>
      <c r="O16" s="53">
        <v>0.2</v>
      </c>
      <c r="P16" s="53">
        <v>0.44</v>
      </c>
      <c r="Q16" s="53">
        <v>9.16</v>
      </c>
      <c r="R16" s="43"/>
      <c r="S16" s="43"/>
      <c r="T16" s="43"/>
      <c r="U16" s="43"/>
    </row>
    <row r="17" spans="1:21" s="11" customFormat="1" x14ac:dyDescent="0.25">
      <c r="A17" s="52" t="s">
        <v>620</v>
      </c>
      <c r="B17" s="53">
        <v>15.73</v>
      </c>
      <c r="C17" s="53">
        <v>15.34</v>
      </c>
      <c r="D17" s="53">
        <v>20.62</v>
      </c>
      <c r="E17" s="53">
        <v>5.57</v>
      </c>
      <c r="F17" s="53">
        <v>5.07</v>
      </c>
      <c r="G17" s="53">
        <v>29.6</v>
      </c>
      <c r="H17" s="53">
        <v>6.19</v>
      </c>
      <c r="I17" s="53">
        <v>1.29</v>
      </c>
      <c r="J17" s="53">
        <v>1.1399999999999999</v>
      </c>
      <c r="K17" s="53">
        <v>336.48</v>
      </c>
      <c r="L17" s="53">
        <v>25.02</v>
      </c>
      <c r="M17" s="53">
        <v>98.15</v>
      </c>
      <c r="N17" s="53">
        <v>256.7</v>
      </c>
      <c r="O17" s="53">
        <v>0</v>
      </c>
      <c r="P17" s="53">
        <v>0.47</v>
      </c>
      <c r="Q17" s="53">
        <v>9.26</v>
      </c>
      <c r="R17" s="43"/>
      <c r="S17" s="43"/>
      <c r="T17" s="43"/>
      <c r="U17" s="43"/>
    </row>
    <row r="18" spans="1:21" s="11" customFormat="1" x14ac:dyDescent="0.25">
      <c r="A18" s="52" t="s">
        <v>621</v>
      </c>
      <c r="B18" s="53">
        <v>16.96</v>
      </c>
      <c r="C18" s="53">
        <v>13.85</v>
      </c>
      <c r="D18" s="53">
        <v>20.079999999999998</v>
      </c>
      <c r="E18" s="53">
        <v>5.45</v>
      </c>
      <c r="F18" s="53">
        <v>6.83</v>
      </c>
      <c r="G18" s="53">
        <v>29.6</v>
      </c>
      <c r="H18" s="53">
        <v>6.19</v>
      </c>
      <c r="I18" s="53">
        <v>1.3</v>
      </c>
      <c r="J18" s="53">
        <v>0.99</v>
      </c>
      <c r="K18" s="53">
        <v>328.08</v>
      </c>
      <c r="L18" s="53">
        <v>28.95</v>
      </c>
      <c r="M18" s="53">
        <v>98.04</v>
      </c>
      <c r="N18" s="53">
        <v>515.4</v>
      </c>
      <c r="O18" s="53">
        <v>0</v>
      </c>
      <c r="P18" s="53">
        <v>0.47</v>
      </c>
      <c r="Q18" s="53">
        <v>9.34</v>
      </c>
      <c r="R18" s="43"/>
      <c r="S18" s="43"/>
      <c r="T18" s="43"/>
      <c r="U18" s="43"/>
    </row>
    <row r="19" spans="1:21" s="11" customFormat="1" x14ac:dyDescent="0.25">
      <c r="A19" s="52" t="s">
        <v>622</v>
      </c>
      <c r="B19" s="53">
        <v>15.6</v>
      </c>
      <c r="C19" s="53">
        <v>15.34</v>
      </c>
      <c r="D19" s="53">
        <v>20.399999999999999</v>
      </c>
      <c r="E19" s="53">
        <v>5.52</v>
      </c>
      <c r="F19" s="53">
        <v>12.85</v>
      </c>
      <c r="G19" s="53">
        <v>27.47</v>
      </c>
      <c r="H19" s="53">
        <v>6.19</v>
      </c>
      <c r="I19" s="53">
        <v>1.28</v>
      </c>
      <c r="J19" s="53">
        <v>1.18</v>
      </c>
      <c r="K19" s="53">
        <v>335.86</v>
      </c>
      <c r="L19" s="53">
        <v>33.200000000000003</v>
      </c>
      <c r="M19" s="53">
        <v>90.36</v>
      </c>
      <c r="N19" s="53">
        <v>894.6</v>
      </c>
      <c r="O19" s="53">
        <v>0</v>
      </c>
      <c r="P19" s="53">
        <v>0.47</v>
      </c>
      <c r="Q19" s="53">
        <v>9.36</v>
      </c>
      <c r="R19" s="43"/>
      <c r="S19" s="43"/>
      <c r="T19" s="43"/>
      <c r="U19" s="43"/>
    </row>
    <row r="20" spans="1:21" s="11" customFormat="1" x14ac:dyDescent="0.25">
      <c r="A20" s="52" t="s">
        <v>623</v>
      </c>
      <c r="B20" s="53">
        <v>16.02</v>
      </c>
      <c r="C20" s="53">
        <v>16.260000000000002</v>
      </c>
      <c r="D20" s="53">
        <v>20.94</v>
      </c>
      <c r="E20" s="53">
        <v>5.58</v>
      </c>
      <c r="F20" s="53">
        <v>8.77</v>
      </c>
      <c r="G20" s="53">
        <v>30.42</v>
      </c>
      <c r="H20" s="53">
        <v>10.5</v>
      </c>
      <c r="I20" s="53">
        <v>1.3</v>
      </c>
      <c r="J20" s="53">
        <v>0.47</v>
      </c>
      <c r="K20" s="53">
        <v>335.5</v>
      </c>
      <c r="L20" s="53">
        <v>32.92</v>
      </c>
      <c r="M20" s="53">
        <v>77.48</v>
      </c>
      <c r="N20" s="53">
        <v>601.29999999999995</v>
      </c>
      <c r="O20" s="53">
        <v>0</v>
      </c>
      <c r="P20" s="53">
        <v>0.49</v>
      </c>
      <c r="Q20" s="53">
        <v>9.34</v>
      </c>
      <c r="R20" s="43"/>
      <c r="S20" s="43"/>
      <c r="T20" s="43"/>
      <c r="U20" s="43"/>
    </row>
    <row r="21" spans="1:21" s="11" customFormat="1" x14ac:dyDescent="0.25">
      <c r="A21" s="52" t="s">
        <v>624</v>
      </c>
      <c r="B21" s="53">
        <v>13.81</v>
      </c>
      <c r="C21" s="53">
        <v>14.25</v>
      </c>
      <c r="D21" s="53">
        <v>18.36</v>
      </c>
      <c r="E21" s="53">
        <v>5.5</v>
      </c>
      <c r="F21" s="53">
        <v>8.0299999999999994</v>
      </c>
      <c r="G21" s="53">
        <v>30.42</v>
      </c>
      <c r="H21" s="53">
        <v>10.5</v>
      </c>
      <c r="I21" s="53">
        <v>1.25</v>
      </c>
      <c r="J21" s="53">
        <v>0.86</v>
      </c>
      <c r="K21" s="53">
        <v>323.55</v>
      </c>
      <c r="L21" s="53">
        <v>31.27</v>
      </c>
      <c r="M21" s="53">
        <v>82.35</v>
      </c>
      <c r="N21" s="53">
        <v>502.2</v>
      </c>
      <c r="O21" s="53">
        <v>0</v>
      </c>
      <c r="P21" s="53">
        <v>0.46</v>
      </c>
      <c r="Q21" s="53">
        <v>9.27</v>
      </c>
      <c r="R21" s="43"/>
      <c r="S21" s="43"/>
      <c r="T21" s="43"/>
      <c r="U21" s="43"/>
    </row>
    <row r="22" spans="1:21" s="11" customFormat="1" x14ac:dyDescent="0.25">
      <c r="A22" s="52" t="s">
        <v>625</v>
      </c>
      <c r="B22" s="53">
        <v>12.29</v>
      </c>
      <c r="C22" s="53">
        <v>14.8</v>
      </c>
      <c r="D22" s="53">
        <v>17.21</v>
      </c>
      <c r="E22" s="53">
        <v>5.7</v>
      </c>
      <c r="F22" s="53">
        <v>7.13</v>
      </c>
      <c r="G22" s="53">
        <v>26.74</v>
      </c>
      <c r="H22" s="53">
        <v>10.5</v>
      </c>
      <c r="I22" s="53">
        <v>1.21</v>
      </c>
      <c r="J22" s="53">
        <v>0.68</v>
      </c>
      <c r="K22" s="53">
        <v>316.5</v>
      </c>
      <c r="L22" s="53">
        <v>31.8</v>
      </c>
      <c r="M22" s="53">
        <v>77.25</v>
      </c>
      <c r="N22" s="53">
        <v>431.3</v>
      </c>
      <c r="O22" s="53">
        <v>0</v>
      </c>
      <c r="P22" s="53">
        <v>0.37</v>
      </c>
      <c r="Q22" s="53">
        <v>9.23</v>
      </c>
      <c r="R22" s="43"/>
      <c r="S22" s="43"/>
      <c r="T22" s="43"/>
      <c r="U22" s="43"/>
    </row>
    <row r="23" spans="1:21" s="11" customFormat="1" x14ac:dyDescent="0.25">
      <c r="A23" s="52" t="s">
        <v>626</v>
      </c>
      <c r="B23" s="53">
        <v>12.65</v>
      </c>
      <c r="C23" s="53">
        <v>16.61</v>
      </c>
      <c r="D23" s="53">
        <v>18.190000000000001</v>
      </c>
      <c r="E23" s="53">
        <v>5.34</v>
      </c>
      <c r="F23" s="53">
        <v>12.28</v>
      </c>
      <c r="G23" s="53">
        <v>21.59</v>
      </c>
      <c r="H23" s="53">
        <v>10.5</v>
      </c>
      <c r="I23" s="53">
        <v>1.1599999999999999</v>
      </c>
      <c r="J23" s="53">
        <v>0.45</v>
      </c>
      <c r="K23" s="53">
        <v>311.32</v>
      </c>
      <c r="L23" s="53">
        <v>30.75</v>
      </c>
      <c r="M23" s="53">
        <v>79.599999999999994</v>
      </c>
      <c r="N23" s="53">
        <v>291.3</v>
      </c>
      <c r="O23" s="53">
        <v>0</v>
      </c>
      <c r="P23" s="53">
        <v>0.41</v>
      </c>
      <c r="Q23" s="53">
        <v>9.18</v>
      </c>
      <c r="R23" s="43"/>
      <c r="S23" s="43"/>
      <c r="T23" s="43"/>
      <c r="U23" s="43"/>
    </row>
    <row r="24" spans="1:21" s="11" customFormat="1" x14ac:dyDescent="0.25">
      <c r="A24" s="52" t="s">
        <v>627</v>
      </c>
      <c r="B24" s="53">
        <v>12.74</v>
      </c>
      <c r="C24" s="53">
        <v>18.510000000000002</v>
      </c>
      <c r="D24" s="53">
        <v>19.88</v>
      </c>
      <c r="E24" s="53">
        <v>5.52</v>
      </c>
      <c r="F24" s="53">
        <v>13.64</v>
      </c>
      <c r="G24" s="53">
        <v>21.99</v>
      </c>
      <c r="H24" s="53">
        <v>10.5</v>
      </c>
      <c r="I24" s="53">
        <v>1.21</v>
      </c>
      <c r="J24" s="53">
        <v>0.31</v>
      </c>
      <c r="K24" s="53">
        <v>304.73</v>
      </c>
      <c r="L24" s="53">
        <v>29.75</v>
      </c>
      <c r="M24" s="53">
        <v>83.98</v>
      </c>
      <c r="N24" s="53">
        <v>220.8</v>
      </c>
      <c r="O24" s="53">
        <v>0</v>
      </c>
      <c r="P24" s="53">
        <v>0.43</v>
      </c>
      <c r="Q24" s="53">
        <v>9.1999999999999993</v>
      </c>
      <c r="R24" s="43"/>
      <c r="S24" s="43"/>
      <c r="T24" s="43"/>
      <c r="U24" s="43"/>
    </row>
    <row r="25" spans="1:21" s="11" customFormat="1" x14ac:dyDescent="0.25">
      <c r="A25" s="52" t="s">
        <v>628</v>
      </c>
      <c r="B25" s="53">
        <v>11.63</v>
      </c>
      <c r="C25" s="53">
        <v>14.78</v>
      </c>
      <c r="D25" s="53">
        <v>17.05</v>
      </c>
      <c r="E25" s="53">
        <v>5.47</v>
      </c>
      <c r="F25" s="53">
        <v>9.6300000000000008</v>
      </c>
      <c r="G25" s="53">
        <v>21.99</v>
      </c>
      <c r="H25" s="53">
        <v>10.5</v>
      </c>
      <c r="I25" s="53">
        <v>1.1599999999999999</v>
      </c>
      <c r="J25" s="53">
        <v>0.78</v>
      </c>
      <c r="K25" s="53">
        <v>324.16000000000003</v>
      </c>
      <c r="L25" s="53">
        <v>29.34</v>
      </c>
      <c r="M25" s="53">
        <v>86.84</v>
      </c>
      <c r="N25" s="53">
        <v>159.80000000000001</v>
      </c>
      <c r="O25" s="53">
        <v>0</v>
      </c>
      <c r="P25" s="53">
        <v>0.37</v>
      </c>
      <c r="Q25" s="53">
        <v>9.15</v>
      </c>
      <c r="R25" s="43"/>
      <c r="S25" s="43"/>
      <c r="T25" s="43"/>
      <c r="U25" s="43"/>
    </row>
    <row r="26" spans="1:21" s="11" customFormat="1" x14ac:dyDescent="0.25">
      <c r="A26" s="52" t="s">
        <v>629</v>
      </c>
      <c r="B26" s="53">
        <v>11.7</v>
      </c>
      <c r="C26" s="53">
        <v>16.899999999999999</v>
      </c>
      <c r="D26" s="53">
        <v>17.97</v>
      </c>
      <c r="E26" s="53">
        <v>5.3</v>
      </c>
      <c r="F26" s="53">
        <v>7.71</v>
      </c>
      <c r="G26" s="53">
        <v>20.47</v>
      </c>
      <c r="H26" s="53">
        <v>10.5</v>
      </c>
      <c r="I26" s="53">
        <v>1.1200000000000001</v>
      </c>
      <c r="J26" s="53">
        <v>0.24</v>
      </c>
      <c r="K26" s="53">
        <v>339.9</v>
      </c>
      <c r="L26" s="53">
        <v>28.43</v>
      </c>
      <c r="M26" s="53">
        <v>96.02</v>
      </c>
      <c r="N26" s="53">
        <v>99</v>
      </c>
      <c r="O26" s="53">
        <v>0</v>
      </c>
      <c r="P26" s="53">
        <v>0.46</v>
      </c>
      <c r="Q26" s="53">
        <v>9.14</v>
      </c>
      <c r="R26" s="43"/>
      <c r="S26" s="43"/>
      <c r="T26" s="43"/>
      <c r="U26" s="43"/>
    </row>
    <row r="27" spans="1:21" s="11" customFormat="1" x14ac:dyDescent="0.25">
      <c r="A27" s="52" t="s">
        <v>630</v>
      </c>
      <c r="B27" s="53">
        <v>12.7</v>
      </c>
      <c r="C27" s="53">
        <v>17.68</v>
      </c>
      <c r="D27" s="53">
        <v>19.239999999999998</v>
      </c>
      <c r="E27" s="53">
        <v>5.45</v>
      </c>
      <c r="F27" s="53">
        <v>7.19</v>
      </c>
      <c r="G27" s="53">
        <v>20.59</v>
      </c>
      <c r="H27" s="53">
        <v>10.5</v>
      </c>
      <c r="I27" s="53">
        <v>1.6</v>
      </c>
      <c r="J27" s="53">
        <v>0.23</v>
      </c>
      <c r="K27" s="53">
        <v>343.09</v>
      </c>
      <c r="L27" s="53">
        <v>26.66</v>
      </c>
      <c r="M27" s="53">
        <v>98.03</v>
      </c>
      <c r="N27" s="53">
        <v>61.6</v>
      </c>
      <c r="O27" s="53">
        <v>0</v>
      </c>
      <c r="P27" s="53">
        <v>0.64</v>
      </c>
      <c r="Q27" s="53">
        <v>9.19</v>
      </c>
      <c r="R27" s="43"/>
      <c r="S27" s="43"/>
      <c r="T27" s="43"/>
      <c r="U27" s="43"/>
    </row>
    <row r="28" spans="1:21" s="11" customFormat="1" x14ac:dyDescent="0.25">
      <c r="A28" s="52" t="s">
        <v>631</v>
      </c>
      <c r="B28" s="53">
        <v>12.96</v>
      </c>
      <c r="C28" s="53">
        <v>18.079999999999998</v>
      </c>
      <c r="D28" s="53">
        <v>19.61</v>
      </c>
      <c r="E28" s="53">
        <v>5.38</v>
      </c>
      <c r="F28" s="53">
        <v>9.1999999999999993</v>
      </c>
      <c r="G28" s="53">
        <v>24.98</v>
      </c>
      <c r="H28" s="53">
        <v>3.63</v>
      </c>
      <c r="I28" s="53">
        <v>1.79</v>
      </c>
      <c r="J28" s="53">
        <v>0.14000000000000001</v>
      </c>
      <c r="K28" s="53">
        <v>340.25</v>
      </c>
      <c r="L28" s="53">
        <v>26.25</v>
      </c>
      <c r="M28" s="53">
        <v>98.06</v>
      </c>
      <c r="N28" s="53">
        <v>44.1</v>
      </c>
      <c r="O28" s="53">
        <v>0</v>
      </c>
      <c r="P28" s="53">
        <v>0.67</v>
      </c>
      <c r="Q28" s="53">
        <v>9.23</v>
      </c>
      <c r="R28" s="43"/>
      <c r="S28" s="43"/>
      <c r="T28" s="43"/>
      <c r="U28" s="43"/>
    </row>
    <row r="29" spans="1:21" s="11" customFormat="1" x14ac:dyDescent="0.25">
      <c r="A29" s="52" t="s">
        <v>632</v>
      </c>
      <c r="B29" s="53">
        <v>19.829999999999998</v>
      </c>
      <c r="C29" s="53">
        <v>16.02</v>
      </c>
      <c r="D29" s="53">
        <v>24.27</v>
      </c>
      <c r="E29" s="53">
        <v>5.51</v>
      </c>
      <c r="F29" s="53">
        <v>7.22</v>
      </c>
      <c r="G29" s="53">
        <v>26.79</v>
      </c>
      <c r="H29" s="53">
        <v>3.63</v>
      </c>
      <c r="I29" s="53">
        <v>1.83</v>
      </c>
      <c r="J29" s="53">
        <v>0.22</v>
      </c>
      <c r="K29" s="53">
        <v>342.14</v>
      </c>
      <c r="L29" s="53">
        <v>26.11</v>
      </c>
      <c r="M29" s="53">
        <v>98.05</v>
      </c>
      <c r="N29" s="53">
        <v>44.5</v>
      </c>
      <c r="O29" s="53">
        <v>0</v>
      </c>
      <c r="P29" s="53">
        <v>0.9</v>
      </c>
      <c r="Q29" s="53">
        <v>9.26</v>
      </c>
      <c r="R29" s="43"/>
      <c r="S29" s="43"/>
      <c r="T29" s="43"/>
      <c r="U29" s="43"/>
    </row>
    <row r="30" spans="1:21" s="11" customFormat="1" x14ac:dyDescent="0.25">
      <c r="A30" s="52" t="s">
        <v>633</v>
      </c>
      <c r="B30" s="53">
        <v>15.35</v>
      </c>
      <c r="C30" s="53">
        <v>14.17</v>
      </c>
      <c r="D30" s="53">
        <v>19.71</v>
      </c>
      <c r="E30" s="53">
        <v>5.59</v>
      </c>
      <c r="F30" s="53">
        <v>4.3499999999999996</v>
      </c>
      <c r="G30" s="53">
        <v>27.59</v>
      </c>
      <c r="H30" s="53">
        <v>0.73</v>
      </c>
      <c r="I30" s="53">
        <v>2.15</v>
      </c>
      <c r="J30" s="53">
        <v>0.28999999999999998</v>
      </c>
      <c r="K30" s="53">
        <v>333.02</v>
      </c>
      <c r="L30" s="53">
        <v>25.71</v>
      </c>
      <c r="M30" s="53">
        <v>98.06</v>
      </c>
      <c r="N30" s="53">
        <v>44.5</v>
      </c>
      <c r="O30" s="53">
        <v>0</v>
      </c>
      <c r="P30" s="53">
        <v>0.77</v>
      </c>
      <c r="Q30" s="53">
        <v>9.3000000000000007</v>
      </c>
      <c r="R30" s="43"/>
      <c r="S30" s="43"/>
      <c r="T30" s="43"/>
      <c r="U30" s="43"/>
    </row>
    <row r="31" spans="1:21" s="11" customFormat="1" x14ac:dyDescent="0.25">
      <c r="A31" s="52" t="s">
        <v>634</v>
      </c>
      <c r="B31" s="53">
        <v>19.54</v>
      </c>
      <c r="C31" s="53">
        <v>14.8</v>
      </c>
      <c r="D31" s="53">
        <v>23.38</v>
      </c>
      <c r="E31" s="53">
        <v>5.53</v>
      </c>
      <c r="F31" s="53">
        <v>5.35</v>
      </c>
      <c r="G31" s="53">
        <v>30.83</v>
      </c>
      <c r="H31" s="53">
        <v>0.3</v>
      </c>
      <c r="I31" s="53">
        <v>2.7</v>
      </c>
      <c r="J31" s="53">
        <v>0.28999999999999998</v>
      </c>
      <c r="K31" s="53">
        <v>323.39</v>
      </c>
      <c r="L31" s="53">
        <v>25.31</v>
      </c>
      <c r="M31" s="53">
        <v>98.05</v>
      </c>
      <c r="N31" s="53">
        <v>44.7</v>
      </c>
      <c r="O31" s="53">
        <v>0</v>
      </c>
      <c r="P31" s="53">
        <v>0.97</v>
      </c>
      <c r="Q31" s="53">
        <v>9.31</v>
      </c>
      <c r="R31" s="43"/>
      <c r="S31" s="43"/>
      <c r="T31" s="43"/>
      <c r="U31" s="43"/>
    </row>
    <row r="32" spans="1:21" s="11" customFormat="1" x14ac:dyDescent="0.25">
      <c r="A32" s="52" t="s">
        <v>635</v>
      </c>
      <c r="B32" s="53">
        <v>12.62</v>
      </c>
      <c r="C32" s="53">
        <v>13.69</v>
      </c>
      <c r="D32" s="53">
        <v>17.079999999999998</v>
      </c>
      <c r="E32" s="53">
        <v>5.7</v>
      </c>
      <c r="F32" s="53">
        <v>5.4</v>
      </c>
      <c r="G32" s="53">
        <v>30.83</v>
      </c>
      <c r="H32" s="53">
        <v>27.47</v>
      </c>
      <c r="I32" s="53">
        <v>2.65</v>
      </c>
      <c r="J32" s="53">
        <v>0.26</v>
      </c>
      <c r="K32" s="53">
        <v>329.11</v>
      </c>
      <c r="L32" s="53">
        <v>25.04</v>
      </c>
      <c r="M32" s="53">
        <v>98.1</v>
      </c>
      <c r="N32" s="53">
        <v>44.9</v>
      </c>
      <c r="O32" s="53">
        <v>0</v>
      </c>
      <c r="P32" s="53">
        <v>0.71</v>
      </c>
      <c r="Q32" s="53">
        <v>9.32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5.08</v>
      </c>
      <c r="C34" s="28">
        <f t="shared" si="0"/>
        <v>11.76</v>
      </c>
      <c r="D34" s="28">
        <f t="shared" si="0"/>
        <v>10.65</v>
      </c>
      <c r="E34" s="28">
        <f t="shared" si="0"/>
        <v>5.27</v>
      </c>
      <c r="F34" s="28">
        <f t="shared" si="0"/>
        <v>3.96</v>
      </c>
      <c r="G34" s="28">
        <f t="shared" si="0"/>
        <v>5.53</v>
      </c>
      <c r="H34" s="28">
        <f t="shared" si="0"/>
        <v>0.3</v>
      </c>
      <c r="I34" s="28">
        <f t="shared" si="0"/>
        <v>1.07</v>
      </c>
      <c r="J34" s="28">
        <f t="shared" si="0"/>
        <v>0.14000000000000001</v>
      </c>
      <c r="K34" s="28">
        <f t="shared" si="0"/>
        <v>304.73</v>
      </c>
      <c r="L34" s="28">
        <f t="shared" si="0"/>
        <v>22.79</v>
      </c>
      <c r="M34" s="28">
        <f t="shared" si="0"/>
        <v>77.25</v>
      </c>
      <c r="N34" s="28">
        <f t="shared" si="0"/>
        <v>44.1</v>
      </c>
      <c r="O34" s="28">
        <f t="shared" si="0"/>
        <v>0</v>
      </c>
      <c r="P34" s="28">
        <f t="shared" si="0"/>
        <v>0.24</v>
      </c>
      <c r="Q34" s="28">
        <f t="shared" si="0"/>
        <v>9.02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22.93</v>
      </c>
      <c r="C35" s="29">
        <f t="shared" si="1"/>
        <v>18.510000000000002</v>
      </c>
      <c r="D35" s="29">
        <f t="shared" si="1"/>
        <v>27.23</v>
      </c>
      <c r="E35" s="29">
        <f t="shared" si="1"/>
        <v>5.81</v>
      </c>
      <c r="F35" s="29">
        <f t="shared" si="1"/>
        <v>13.64</v>
      </c>
      <c r="G35" s="29">
        <f t="shared" si="1"/>
        <v>30.83</v>
      </c>
      <c r="H35" s="29">
        <f t="shared" si="1"/>
        <v>27.47</v>
      </c>
      <c r="I35" s="29">
        <f t="shared" si="1"/>
        <v>2.7</v>
      </c>
      <c r="J35" s="29">
        <f t="shared" si="1"/>
        <v>2.23</v>
      </c>
      <c r="K35" s="29">
        <f t="shared" si="1"/>
        <v>343.09</v>
      </c>
      <c r="L35" s="29">
        <f t="shared" si="1"/>
        <v>33.200000000000003</v>
      </c>
      <c r="M35" s="29">
        <f t="shared" si="1"/>
        <v>98.15</v>
      </c>
      <c r="N35" s="29">
        <f t="shared" si="1"/>
        <v>894.6</v>
      </c>
      <c r="O35" s="29">
        <f t="shared" si="1"/>
        <v>0.4</v>
      </c>
      <c r="P35" s="29">
        <f t="shared" si="1"/>
        <v>0.97</v>
      </c>
      <c r="Q35" s="29">
        <f t="shared" si="1"/>
        <v>9.36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12.595000000000001</v>
      </c>
      <c r="C36" s="28">
        <f t="shared" si="2"/>
        <v>15.130833333333333</v>
      </c>
      <c r="D36" s="28">
        <f t="shared" si="2"/>
        <v>17.774583333333336</v>
      </c>
      <c r="E36" s="28">
        <f t="shared" si="2"/>
        <v>5.5145833333333334</v>
      </c>
      <c r="F36" s="28">
        <f t="shared" si="2"/>
        <v>7.36625</v>
      </c>
      <c r="G36" s="28">
        <f t="shared" si="2"/>
        <v>20.887916666666666</v>
      </c>
      <c r="H36" s="28">
        <f t="shared" si="2"/>
        <v>7.05</v>
      </c>
      <c r="I36" s="28">
        <f t="shared" si="2"/>
        <v>1.5600000000000003</v>
      </c>
      <c r="J36" s="28">
        <f t="shared" si="2"/>
        <v>0.75791666666666657</v>
      </c>
      <c r="K36" s="28">
        <f t="shared" si="2"/>
        <v>329.99999999999994</v>
      </c>
      <c r="L36" s="28">
        <f t="shared" si="2"/>
        <v>26.738333333333333</v>
      </c>
      <c r="M36" s="28">
        <f t="shared" si="2"/>
        <v>93.472499999999968</v>
      </c>
      <c r="N36" s="28">
        <f t="shared" si="2"/>
        <v>195.77083333333337</v>
      </c>
      <c r="O36" s="28">
        <f t="shared" si="2"/>
        <v>7.4999999999999997E-2</v>
      </c>
      <c r="P36" s="28">
        <f t="shared" si="2"/>
        <v>0.51375000000000004</v>
      </c>
      <c r="Q36" s="28">
        <f t="shared" si="2"/>
        <v>9.1954166666666648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4.7596656806234066</v>
      </c>
      <c r="C37" s="28">
        <f t="shared" ref="C37:Q37" si="3">STDEV(C9:C32)</f>
        <v>1.8041929827046199</v>
      </c>
      <c r="D37" s="28">
        <f t="shared" si="3"/>
        <v>4.3833786642831409</v>
      </c>
      <c r="E37" s="28">
        <f t="shared" si="3"/>
        <v>0.13200721873102794</v>
      </c>
      <c r="F37" s="28">
        <f t="shared" si="3"/>
        <v>2.6550572130083809</v>
      </c>
      <c r="G37" s="28">
        <f t="shared" si="3"/>
        <v>9.0359388622980603</v>
      </c>
      <c r="H37" s="28">
        <f t="shared" si="3"/>
        <v>5.5853402839000346</v>
      </c>
      <c r="I37" s="28">
        <f t="shared" si="3"/>
        <v>0.47359861926943164</v>
      </c>
      <c r="J37" s="28">
        <f t="shared" si="3"/>
        <v>0.59327374110443998</v>
      </c>
      <c r="K37" s="28">
        <f t="shared" si="3"/>
        <v>10.293956437173936</v>
      </c>
      <c r="L37" s="28">
        <f t="shared" si="3"/>
        <v>3.4819493124531125</v>
      </c>
      <c r="M37" s="28">
        <f t="shared" si="3"/>
        <v>7.5949372439231153</v>
      </c>
      <c r="N37" s="28">
        <f t="shared" si="3"/>
        <v>230.63084276405428</v>
      </c>
      <c r="O37" s="28">
        <f t="shared" si="3"/>
        <v>0.14218787326754637</v>
      </c>
      <c r="P37" s="28">
        <f t="shared" si="3"/>
        <v>0.18117520945686524</v>
      </c>
      <c r="Q37" s="28">
        <f t="shared" si="3"/>
        <v>0.10607541069269159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636</v>
      </c>
      <c r="B9" s="53">
        <v>12.72</v>
      </c>
      <c r="C9" s="53">
        <v>12.26</v>
      </c>
      <c r="D9" s="53">
        <v>16.36</v>
      </c>
      <c r="E9" s="53">
        <v>5.07</v>
      </c>
      <c r="F9" s="53">
        <v>5.52</v>
      </c>
      <c r="G9" s="53">
        <v>29.17</v>
      </c>
      <c r="H9" s="53">
        <v>27.47</v>
      </c>
      <c r="I9" s="53">
        <v>2.52</v>
      </c>
      <c r="J9" s="53">
        <v>0.17</v>
      </c>
      <c r="K9" s="53">
        <v>323.26</v>
      </c>
      <c r="L9" s="53">
        <v>24.39</v>
      </c>
      <c r="M9" s="53">
        <v>98.12</v>
      </c>
      <c r="N9" s="53">
        <v>45</v>
      </c>
      <c r="O9" s="53">
        <v>0</v>
      </c>
      <c r="P9" s="53">
        <v>0.65</v>
      </c>
      <c r="Q9" s="53">
        <v>9.3000000000000007</v>
      </c>
      <c r="R9" s="43"/>
      <c r="S9" s="43"/>
      <c r="T9" s="43"/>
      <c r="U9" s="43"/>
    </row>
    <row r="10" spans="1:21" s="11" customFormat="1" x14ac:dyDescent="0.25">
      <c r="A10" s="52" t="s">
        <v>637</v>
      </c>
      <c r="B10" s="53">
        <v>9.7899999999999991</v>
      </c>
      <c r="C10" s="53">
        <v>13.14</v>
      </c>
      <c r="D10" s="53">
        <v>14.07</v>
      </c>
      <c r="E10" s="53">
        <v>4.99</v>
      </c>
      <c r="F10" s="53">
        <v>4.2300000000000004</v>
      </c>
      <c r="G10" s="53">
        <v>23.8</v>
      </c>
      <c r="H10" s="53">
        <v>8.4499999999999993</v>
      </c>
      <c r="I10" s="53">
        <v>2.2599999999999998</v>
      </c>
      <c r="J10" s="53">
        <v>0.2</v>
      </c>
      <c r="K10" s="53">
        <v>318.8</v>
      </c>
      <c r="L10" s="53">
        <v>23.84</v>
      </c>
      <c r="M10" s="53">
        <v>98.13</v>
      </c>
      <c r="N10" s="53">
        <v>45.2</v>
      </c>
      <c r="O10" s="53">
        <v>0</v>
      </c>
      <c r="P10" s="53">
        <v>0.56999999999999995</v>
      </c>
      <c r="Q10" s="53">
        <v>9.18</v>
      </c>
      <c r="R10" s="43"/>
      <c r="S10" s="43"/>
      <c r="T10" s="43"/>
      <c r="U10" s="43"/>
    </row>
    <row r="11" spans="1:21" s="11" customFormat="1" x14ac:dyDescent="0.25">
      <c r="A11" s="52" t="s">
        <v>638</v>
      </c>
      <c r="B11" s="53">
        <v>6.21</v>
      </c>
      <c r="C11" s="53">
        <v>13.1</v>
      </c>
      <c r="D11" s="53">
        <v>11.82</v>
      </c>
      <c r="E11" s="53">
        <v>4.92</v>
      </c>
      <c r="F11" s="53">
        <v>4.7</v>
      </c>
      <c r="G11" s="53">
        <v>19.66</v>
      </c>
      <c r="H11" s="53">
        <v>8.4499999999999993</v>
      </c>
      <c r="I11" s="53">
        <v>1.77</v>
      </c>
      <c r="J11" s="53">
        <v>0.18</v>
      </c>
      <c r="K11" s="53">
        <v>311.51</v>
      </c>
      <c r="L11" s="53">
        <v>23.71</v>
      </c>
      <c r="M11" s="53">
        <v>98.16</v>
      </c>
      <c r="N11" s="53">
        <v>45.3</v>
      </c>
      <c r="O11" s="53">
        <v>0</v>
      </c>
      <c r="P11" s="53">
        <v>0.4</v>
      </c>
      <c r="Q11" s="53">
        <v>9.0299999999999994</v>
      </c>
      <c r="R11" s="43"/>
      <c r="S11" s="43"/>
      <c r="T11" s="43"/>
      <c r="U11" s="43"/>
    </row>
    <row r="12" spans="1:21" s="11" customFormat="1" x14ac:dyDescent="0.25">
      <c r="A12" s="52" t="s">
        <v>639</v>
      </c>
      <c r="B12" s="53">
        <v>5.86</v>
      </c>
      <c r="C12" s="53">
        <v>12.58</v>
      </c>
      <c r="D12" s="53">
        <v>11.19</v>
      </c>
      <c r="E12" s="53">
        <v>4.79</v>
      </c>
      <c r="F12" s="53">
        <v>5.85</v>
      </c>
      <c r="G12" s="53">
        <v>16.23</v>
      </c>
      <c r="H12" s="53">
        <v>2.7</v>
      </c>
      <c r="I12" s="53">
        <v>1.51</v>
      </c>
      <c r="J12" s="53">
        <v>0.19</v>
      </c>
      <c r="K12" s="53">
        <v>303.58999999999997</v>
      </c>
      <c r="L12" s="53">
        <v>23.84</v>
      </c>
      <c r="M12" s="53">
        <v>98.15</v>
      </c>
      <c r="N12" s="53">
        <v>45.5</v>
      </c>
      <c r="O12" s="53">
        <v>0</v>
      </c>
      <c r="P12" s="53">
        <v>0.39</v>
      </c>
      <c r="Q12" s="53">
        <v>9.0500000000000007</v>
      </c>
      <c r="R12" s="43"/>
      <c r="S12" s="43"/>
      <c r="T12" s="43"/>
      <c r="U12" s="43"/>
    </row>
    <row r="13" spans="1:21" s="11" customFormat="1" x14ac:dyDescent="0.25">
      <c r="A13" s="52" t="s">
        <v>640</v>
      </c>
      <c r="B13" s="53">
        <v>6.56</v>
      </c>
      <c r="C13" s="53">
        <v>13.11</v>
      </c>
      <c r="D13" s="53">
        <v>11.86</v>
      </c>
      <c r="E13" s="53">
        <v>5.01</v>
      </c>
      <c r="F13" s="53">
        <v>4.53</v>
      </c>
      <c r="G13" s="53">
        <v>15.99</v>
      </c>
      <c r="H13" s="53">
        <v>1.85</v>
      </c>
      <c r="I13" s="53">
        <v>1.45</v>
      </c>
      <c r="J13" s="53">
        <v>0.18</v>
      </c>
      <c r="K13" s="53">
        <v>313.29000000000002</v>
      </c>
      <c r="L13" s="53">
        <v>23.88</v>
      </c>
      <c r="M13" s="53">
        <v>98.18</v>
      </c>
      <c r="N13" s="53">
        <v>45.6</v>
      </c>
      <c r="O13" s="53">
        <v>0</v>
      </c>
      <c r="P13" s="53">
        <v>0.43</v>
      </c>
      <c r="Q13" s="53">
        <v>9.07</v>
      </c>
      <c r="R13" s="43"/>
      <c r="S13" s="43"/>
      <c r="T13" s="43"/>
      <c r="U13" s="43"/>
    </row>
    <row r="14" spans="1:21" s="11" customFormat="1" x14ac:dyDescent="0.25">
      <c r="A14" s="52" t="s">
        <v>641</v>
      </c>
      <c r="B14" s="53">
        <v>7.87</v>
      </c>
      <c r="C14" s="53">
        <v>13</v>
      </c>
      <c r="D14" s="53">
        <v>12.76</v>
      </c>
      <c r="E14" s="53">
        <v>4.88</v>
      </c>
      <c r="F14" s="53">
        <v>3.76</v>
      </c>
      <c r="G14" s="53">
        <v>22.68</v>
      </c>
      <c r="H14" s="53">
        <v>1.85</v>
      </c>
      <c r="I14" s="53">
        <v>1.57</v>
      </c>
      <c r="J14" s="53">
        <v>0.2</v>
      </c>
      <c r="K14" s="53">
        <v>295.08999999999997</v>
      </c>
      <c r="L14" s="53">
        <v>23.87</v>
      </c>
      <c r="M14" s="53">
        <v>98.19</v>
      </c>
      <c r="N14" s="53">
        <v>50.4</v>
      </c>
      <c r="O14" s="53">
        <v>0</v>
      </c>
      <c r="P14" s="53">
        <v>0.51</v>
      </c>
      <c r="Q14" s="53">
        <v>9.07</v>
      </c>
      <c r="R14" s="43"/>
      <c r="S14" s="43"/>
      <c r="T14" s="43"/>
      <c r="U14" s="43"/>
    </row>
    <row r="15" spans="1:21" s="11" customFormat="1" x14ac:dyDescent="0.25">
      <c r="A15" s="52" t="s">
        <v>642</v>
      </c>
      <c r="B15" s="53">
        <v>10.94</v>
      </c>
      <c r="C15" s="53">
        <v>13.69</v>
      </c>
      <c r="D15" s="53">
        <v>15.93</v>
      </c>
      <c r="E15" s="53">
        <v>4.8499999999999996</v>
      </c>
      <c r="F15" s="53">
        <v>4.12</v>
      </c>
      <c r="G15" s="53">
        <v>23.86</v>
      </c>
      <c r="H15" s="53">
        <v>5.47</v>
      </c>
      <c r="I15" s="53">
        <v>1.55</v>
      </c>
      <c r="J15" s="53">
        <v>0.15</v>
      </c>
      <c r="K15" s="53">
        <v>302.20999999999998</v>
      </c>
      <c r="L15" s="53">
        <v>24.23</v>
      </c>
      <c r="M15" s="53">
        <v>98.18</v>
      </c>
      <c r="N15" s="53">
        <v>68.599999999999994</v>
      </c>
      <c r="O15" s="53">
        <v>0</v>
      </c>
      <c r="P15" s="53">
        <v>0.54</v>
      </c>
      <c r="Q15" s="53">
        <v>9.1</v>
      </c>
      <c r="R15" s="43"/>
      <c r="S15" s="43"/>
      <c r="T15" s="43"/>
      <c r="U15" s="43"/>
    </row>
    <row r="16" spans="1:21" s="11" customFormat="1" x14ac:dyDescent="0.25">
      <c r="A16" s="52" t="s">
        <v>643</v>
      </c>
      <c r="B16" s="53">
        <v>15.6</v>
      </c>
      <c r="C16" s="53">
        <v>14.91</v>
      </c>
      <c r="D16" s="53">
        <v>20.3</v>
      </c>
      <c r="E16" s="53">
        <v>5</v>
      </c>
      <c r="F16" s="53">
        <v>3.92</v>
      </c>
      <c r="G16" s="53">
        <v>28.58</v>
      </c>
      <c r="H16" s="53">
        <v>14.46</v>
      </c>
      <c r="I16" s="53">
        <v>1.95</v>
      </c>
      <c r="J16" s="53">
        <v>0.22</v>
      </c>
      <c r="K16" s="53">
        <v>293.25</v>
      </c>
      <c r="L16" s="53">
        <v>24.83</v>
      </c>
      <c r="M16" s="53">
        <v>98.15</v>
      </c>
      <c r="N16" s="53">
        <v>114.7</v>
      </c>
      <c r="O16" s="53">
        <v>0</v>
      </c>
      <c r="P16" s="53">
        <v>0.7</v>
      </c>
      <c r="Q16" s="53">
        <v>9.23</v>
      </c>
      <c r="R16" s="43"/>
      <c r="S16" s="43"/>
      <c r="T16" s="43"/>
      <c r="U16" s="43"/>
    </row>
    <row r="17" spans="1:21" s="11" customFormat="1" x14ac:dyDescent="0.25">
      <c r="A17" s="52" t="s">
        <v>644</v>
      </c>
      <c r="B17" s="53">
        <v>15.89</v>
      </c>
      <c r="C17" s="53">
        <v>13.55</v>
      </c>
      <c r="D17" s="53">
        <v>19.82</v>
      </c>
      <c r="E17" s="53">
        <v>5.01</v>
      </c>
      <c r="F17" s="53">
        <v>3.84</v>
      </c>
      <c r="G17" s="53">
        <v>36.049999999999997</v>
      </c>
      <c r="H17" s="53">
        <v>14.46</v>
      </c>
      <c r="I17" s="53">
        <v>2.46</v>
      </c>
      <c r="J17" s="53">
        <v>0.26</v>
      </c>
      <c r="K17" s="53">
        <v>295.20999999999998</v>
      </c>
      <c r="L17" s="53">
        <v>25.49</v>
      </c>
      <c r="M17" s="53">
        <v>98.11</v>
      </c>
      <c r="N17" s="53">
        <v>217.8</v>
      </c>
      <c r="O17" s="53">
        <v>0</v>
      </c>
      <c r="P17" s="53">
        <v>0.76</v>
      </c>
      <c r="Q17" s="53">
        <v>9.34</v>
      </c>
      <c r="R17" s="43"/>
      <c r="S17" s="43"/>
      <c r="T17" s="43"/>
      <c r="U17" s="43"/>
    </row>
    <row r="18" spans="1:21" s="11" customFormat="1" x14ac:dyDescent="0.25">
      <c r="A18" s="52" t="s">
        <v>645</v>
      </c>
      <c r="B18" s="53">
        <v>15.44</v>
      </c>
      <c r="C18" s="53">
        <v>12.26</v>
      </c>
      <c r="D18" s="53">
        <v>18.61</v>
      </c>
      <c r="E18" s="53">
        <v>5.18</v>
      </c>
      <c r="F18" s="53">
        <v>3.81</v>
      </c>
      <c r="G18" s="53">
        <v>36.049999999999997</v>
      </c>
      <c r="H18" s="53">
        <v>13.07</v>
      </c>
      <c r="I18" s="53">
        <v>2.68</v>
      </c>
      <c r="J18" s="53">
        <v>0.3</v>
      </c>
      <c r="K18" s="53">
        <v>290.14</v>
      </c>
      <c r="L18" s="53">
        <v>25.29</v>
      </c>
      <c r="M18" s="53">
        <v>98.15</v>
      </c>
      <c r="N18" s="53">
        <v>132.6</v>
      </c>
      <c r="O18" s="53">
        <v>0</v>
      </c>
      <c r="P18" s="53">
        <v>0.77</v>
      </c>
      <c r="Q18" s="53">
        <v>9.34</v>
      </c>
      <c r="R18" s="43"/>
      <c r="S18" s="43"/>
      <c r="T18" s="43"/>
      <c r="U18" s="43"/>
    </row>
    <row r="19" spans="1:21" s="11" customFormat="1" x14ac:dyDescent="0.25">
      <c r="A19" s="52" t="s">
        <v>646</v>
      </c>
      <c r="B19" s="53">
        <v>14.42</v>
      </c>
      <c r="C19" s="53">
        <v>13.35</v>
      </c>
      <c r="D19" s="53">
        <v>18.23</v>
      </c>
      <c r="E19" s="53">
        <v>4.88</v>
      </c>
      <c r="F19" s="53">
        <v>4</v>
      </c>
      <c r="G19" s="53">
        <v>37</v>
      </c>
      <c r="H19" s="53">
        <v>13.07</v>
      </c>
      <c r="I19" s="53">
        <v>2.44</v>
      </c>
      <c r="J19" s="53">
        <v>0.24</v>
      </c>
      <c r="K19" s="53">
        <v>288.81</v>
      </c>
      <c r="L19" s="53">
        <v>24.65</v>
      </c>
      <c r="M19" s="53">
        <v>98.16</v>
      </c>
      <c r="N19" s="53">
        <v>127.6</v>
      </c>
      <c r="O19" s="53">
        <v>0.2</v>
      </c>
      <c r="P19" s="53">
        <v>0.65</v>
      </c>
      <c r="Q19" s="53">
        <v>9.2799999999999994</v>
      </c>
      <c r="R19" s="43"/>
      <c r="S19" s="43"/>
      <c r="T19" s="43"/>
      <c r="U19" s="43"/>
    </row>
    <row r="20" spans="1:21" s="11" customFormat="1" x14ac:dyDescent="0.25">
      <c r="A20" s="52" t="s">
        <v>647</v>
      </c>
      <c r="B20" s="53">
        <v>17.96</v>
      </c>
      <c r="C20" s="53">
        <v>13.15</v>
      </c>
      <c r="D20" s="53">
        <v>20.73</v>
      </c>
      <c r="E20" s="53">
        <v>5.09</v>
      </c>
      <c r="F20" s="53">
        <v>4.34</v>
      </c>
      <c r="G20" s="53">
        <v>37</v>
      </c>
      <c r="H20" s="53">
        <v>6.61</v>
      </c>
      <c r="I20" s="53">
        <v>2.08</v>
      </c>
      <c r="J20" s="53">
        <v>0.23</v>
      </c>
      <c r="K20" s="53">
        <v>293.31</v>
      </c>
      <c r="L20" s="53">
        <v>24.42</v>
      </c>
      <c r="M20" s="53">
        <v>98.13</v>
      </c>
      <c r="N20" s="53">
        <v>158.69999999999999</v>
      </c>
      <c r="O20" s="53">
        <v>0</v>
      </c>
      <c r="P20" s="53">
        <v>0.61</v>
      </c>
      <c r="Q20" s="53">
        <v>9.4</v>
      </c>
      <c r="R20" s="43"/>
      <c r="S20" s="43"/>
      <c r="T20" s="43"/>
      <c r="U20" s="43"/>
    </row>
    <row r="21" spans="1:21" s="11" customFormat="1" x14ac:dyDescent="0.25">
      <c r="A21" s="52" t="s">
        <v>648</v>
      </c>
      <c r="B21" s="53">
        <v>19.190000000000001</v>
      </c>
      <c r="C21" s="53">
        <v>20.37</v>
      </c>
      <c r="D21" s="53">
        <v>22.85</v>
      </c>
      <c r="E21" s="53">
        <v>5.13</v>
      </c>
      <c r="F21" s="53">
        <v>5</v>
      </c>
      <c r="G21" s="57" t="s">
        <v>12</v>
      </c>
      <c r="H21" s="57" t="s">
        <v>12</v>
      </c>
      <c r="I21" s="53">
        <v>2.02</v>
      </c>
      <c r="J21" s="53">
        <v>0.26</v>
      </c>
      <c r="K21" s="53">
        <v>306.25</v>
      </c>
      <c r="L21" s="53">
        <v>24.3</v>
      </c>
      <c r="M21" s="53">
        <v>98.17</v>
      </c>
      <c r="N21" s="53">
        <v>217.9</v>
      </c>
      <c r="O21" s="53">
        <v>0.2</v>
      </c>
      <c r="P21" s="53">
        <v>0.65</v>
      </c>
      <c r="Q21" s="53">
        <v>9.4499999999999993</v>
      </c>
      <c r="R21" s="43"/>
      <c r="S21" s="43"/>
      <c r="T21" s="43"/>
      <c r="U21" s="43"/>
    </row>
    <row r="22" spans="1:21" s="11" customFormat="1" x14ac:dyDescent="0.25">
      <c r="A22" s="52" t="s">
        <v>649</v>
      </c>
      <c r="B22" s="53">
        <v>9.86</v>
      </c>
      <c r="C22" s="53">
        <v>22.17</v>
      </c>
      <c r="D22" s="53">
        <v>18.420000000000002</v>
      </c>
      <c r="E22" s="53">
        <v>5.3</v>
      </c>
      <c r="F22" s="53">
        <v>3.9</v>
      </c>
      <c r="G22" s="57" t="s">
        <v>12</v>
      </c>
      <c r="H22" s="57" t="s">
        <v>12</v>
      </c>
      <c r="I22" s="53">
        <v>1.89</v>
      </c>
      <c r="J22" s="53">
        <v>0.22</v>
      </c>
      <c r="K22" s="53">
        <v>309.04000000000002</v>
      </c>
      <c r="L22" s="53">
        <v>24.1</v>
      </c>
      <c r="M22" s="53">
        <v>98.2</v>
      </c>
      <c r="N22" s="53">
        <v>146.19999999999999</v>
      </c>
      <c r="O22" s="53">
        <v>0.2</v>
      </c>
      <c r="P22" s="53">
        <v>0.53</v>
      </c>
      <c r="Q22" s="53">
        <v>9.26</v>
      </c>
      <c r="R22" s="43"/>
      <c r="S22" s="43"/>
      <c r="T22" s="43"/>
      <c r="U22" s="43"/>
    </row>
    <row r="23" spans="1:21" s="11" customFormat="1" x14ac:dyDescent="0.25">
      <c r="A23" s="52" t="s">
        <v>650</v>
      </c>
      <c r="B23" s="53">
        <v>12.55</v>
      </c>
      <c r="C23" s="53">
        <v>15.47</v>
      </c>
      <c r="D23" s="53">
        <v>17.23</v>
      </c>
      <c r="E23" s="53">
        <v>5.0199999999999996</v>
      </c>
      <c r="F23" s="53">
        <v>4.45</v>
      </c>
      <c r="G23" s="53">
        <v>20.27</v>
      </c>
      <c r="H23" s="53">
        <v>5.16</v>
      </c>
      <c r="I23" s="53">
        <v>1.99</v>
      </c>
      <c r="J23" s="53">
        <v>0.2</v>
      </c>
      <c r="K23" s="53">
        <v>312.27</v>
      </c>
      <c r="L23" s="53">
        <v>23.77</v>
      </c>
      <c r="M23" s="53">
        <v>98.21</v>
      </c>
      <c r="N23" s="53">
        <v>79.5</v>
      </c>
      <c r="O23" s="53">
        <v>0.2</v>
      </c>
      <c r="P23" s="53">
        <v>0.63</v>
      </c>
      <c r="Q23" s="53">
        <v>9.24</v>
      </c>
      <c r="R23" s="43"/>
      <c r="S23" s="43"/>
      <c r="T23" s="43"/>
      <c r="U23" s="43"/>
    </row>
    <row r="24" spans="1:21" s="11" customFormat="1" x14ac:dyDescent="0.25">
      <c r="A24" s="52" t="s">
        <v>651</v>
      </c>
      <c r="B24" s="53">
        <v>14.04</v>
      </c>
      <c r="C24" s="53">
        <v>13.63</v>
      </c>
      <c r="D24" s="53">
        <v>18.29</v>
      </c>
      <c r="E24" s="53">
        <v>4.91</v>
      </c>
      <c r="F24" s="53">
        <v>4.05</v>
      </c>
      <c r="G24" s="53">
        <v>24.41</v>
      </c>
      <c r="H24" s="53">
        <v>5.16</v>
      </c>
      <c r="I24" s="53">
        <v>2.61</v>
      </c>
      <c r="J24" s="53">
        <v>0.24</v>
      </c>
      <c r="K24" s="53">
        <v>315.02999999999997</v>
      </c>
      <c r="L24" s="53">
        <v>23.63</v>
      </c>
      <c r="M24" s="53">
        <v>98.2</v>
      </c>
      <c r="N24" s="53">
        <v>102.8</v>
      </c>
      <c r="O24" s="53">
        <v>0.2</v>
      </c>
      <c r="P24" s="53">
        <v>0.8</v>
      </c>
      <c r="Q24" s="53">
        <v>9.2799999999999994</v>
      </c>
      <c r="R24" s="43"/>
      <c r="S24" s="43"/>
      <c r="T24" s="43"/>
      <c r="U24" s="43"/>
    </row>
    <row r="25" spans="1:21" s="11" customFormat="1" x14ac:dyDescent="0.25">
      <c r="A25" s="52" t="s">
        <v>652</v>
      </c>
      <c r="B25" s="53">
        <v>14.56</v>
      </c>
      <c r="C25" s="53">
        <v>17.05</v>
      </c>
      <c r="D25" s="53">
        <v>20.58</v>
      </c>
      <c r="E25" s="53">
        <v>4.16</v>
      </c>
      <c r="F25" s="53">
        <v>4.6900000000000004</v>
      </c>
      <c r="G25" s="53">
        <v>23.88</v>
      </c>
      <c r="H25" s="53">
        <v>10.52</v>
      </c>
      <c r="I25" s="53">
        <v>2.84</v>
      </c>
      <c r="J25" s="53">
        <v>0.32</v>
      </c>
      <c r="K25" s="53">
        <v>318.68</v>
      </c>
      <c r="L25" s="53">
        <v>23.57</v>
      </c>
      <c r="M25" s="53">
        <v>98.2</v>
      </c>
      <c r="N25" s="53">
        <v>93.3</v>
      </c>
      <c r="O25" s="53">
        <v>0.2</v>
      </c>
      <c r="P25" s="53">
        <v>0.88</v>
      </c>
      <c r="Q25" s="53">
        <v>9.3000000000000007</v>
      </c>
      <c r="R25" s="43"/>
      <c r="S25" s="43"/>
      <c r="T25" s="43"/>
      <c r="U25" s="43"/>
    </row>
    <row r="26" spans="1:21" s="11" customFormat="1" x14ac:dyDescent="0.25">
      <c r="A26" s="52" t="s">
        <v>653</v>
      </c>
      <c r="B26" s="53">
        <v>12.8</v>
      </c>
      <c r="C26" s="53">
        <v>14.88</v>
      </c>
      <c r="D26" s="53">
        <v>17.96</v>
      </c>
      <c r="E26" s="53">
        <v>4.25</v>
      </c>
      <c r="F26" s="53">
        <v>4.22</v>
      </c>
      <c r="G26" s="53">
        <v>22.1</v>
      </c>
      <c r="H26" s="53">
        <v>9.85</v>
      </c>
      <c r="I26" s="53">
        <v>2.91</v>
      </c>
      <c r="J26" s="53">
        <v>0.18</v>
      </c>
      <c r="K26" s="53">
        <v>305.08</v>
      </c>
      <c r="L26" s="53">
        <v>23.81</v>
      </c>
      <c r="M26" s="53">
        <v>98.2</v>
      </c>
      <c r="N26" s="53">
        <v>90.1</v>
      </c>
      <c r="O26" s="53">
        <v>0.2</v>
      </c>
      <c r="P26" s="53">
        <v>0.76</v>
      </c>
      <c r="Q26" s="53">
        <v>9.31</v>
      </c>
      <c r="R26" s="43"/>
      <c r="S26" s="43"/>
      <c r="T26" s="43"/>
      <c r="U26" s="43"/>
    </row>
    <row r="27" spans="1:21" s="11" customFormat="1" x14ac:dyDescent="0.25">
      <c r="A27" s="52" t="s">
        <v>654</v>
      </c>
      <c r="B27" s="53">
        <v>11.82</v>
      </c>
      <c r="C27" s="53">
        <v>14.48</v>
      </c>
      <c r="D27" s="53">
        <v>17</v>
      </c>
      <c r="E27" s="53">
        <v>4.0199999999999996</v>
      </c>
      <c r="F27" s="53">
        <v>4.2</v>
      </c>
      <c r="G27" s="53">
        <v>21.08</v>
      </c>
      <c r="H27" s="53">
        <v>8.19</v>
      </c>
      <c r="I27" s="53">
        <v>2.65</v>
      </c>
      <c r="J27" s="53">
        <v>0.19</v>
      </c>
      <c r="K27" s="53">
        <v>310.91000000000003</v>
      </c>
      <c r="L27" s="53">
        <v>23.77</v>
      </c>
      <c r="M27" s="53">
        <v>98.22</v>
      </c>
      <c r="N27" s="53">
        <v>58.5</v>
      </c>
      <c r="O27" s="53">
        <v>0.2</v>
      </c>
      <c r="P27" s="53">
        <v>0.71</v>
      </c>
      <c r="Q27" s="53">
        <v>9.27</v>
      </c>
      <c r="R27" s="43"/>
      <c r="S27" s="43"/>
      <c r="T27" s="43"/>
      <c r="U27" s="43"/>
    </row>
    <row r="28" spans="1:21" s="11" customFormat="1" x14ac:dyDescent="0.25">
      <c r="A28" s="52" t="s">
        <v>655</v>
      </c>
      <c r="B28" s="53">
        <v>12.27</v>
      </c>
      <c r="C28" s="53">
        <v>14.38</v>
      </c>
      <c r="D28" s="53">
        <v>17.350000000000001</v>
      </c>
      <c r="E28" s="53">
        <v>4.16</v>
      </c>
      <c r="F28" s="53">
        <v>4.03</v>
      </c>
      <c r="G28" s="53">
        <v>17.23</v>
      </c>
      <c r="H28" s="53">
        <v>7.77</v>
      </c>
      <c r="I28" s="53">
        <v>2.31</v>
      </c>
      <c r="J28" s="53">
        <v>0.32</v>
      </c>
      <c r="K28" s="53">
        <v>301.68</v>
      </c>
      <c r="L28" s="53">
        <v>23.63</v>
      </c>
      <c r="M28" s="53">
        <v>98.2</v>
      </c>
      <c r="N28" s="53">
        <v>49.3</v>
      </c>
      <c r="O28" s="53">
        <v>0.2</v>
      </c>
      <c r="P28" s="53">
        <v>0.79</v>
      </c>
      <c r="Q28" s="53">
        <v>9.1999999999999993</v>
      </c>
      <c r="R28" s="43"/>
      <c r="S28" s="43"/>
      <c r="T28" s="43"/>
      <c r="U28" s="43"/>
    </row>
    <row r="29" spans="1:21" s="11" customFormat="1" x14ac:dyDescent="0.25">
      <c r="A29" s="52" t="s">
        <v>656</v>
      </c>
      <c r="B29" s="53">
        <v>11.73</v>
      </c>
      <c r="C29" s="53">
        <v>14.72</v>
      </c>
      <c r="D29" s="53">
        <v>17.100000000000001</v>
      </c>
      <c r="E29" s="53">
        <v>4.24</v>
      </c>
      <c r="F29" s="53">
        <v>3.81</v>
      </c>
      <c r="G29" s="53">
        <v>15.49</v>
      </c>
      <c r="H29" s="53">
        <v>7.44</v>
      </c>
      <c r="I29" s="53">
        <v>2.84</v>
      </c>
      <c r="J29" s="53">
        <v>0.21</v>
      </c>
      <c r="K29" s="53">
        <v>301.22000000000003</v>
      </c>
      <c r="L29" s="53">
        <v>23.61</v>
      </c>
      <c r="M29" s="53">
        <v>98.18</v>
      </c>
      <c r="N29" s="53">
        <v>49.3</v>
      </c>
      <c r="O29" s="53">
        <v>0.2</v>
      </c>
      <c r="P29" s="53">
        <v>0.93</v>
      </c>
      <c r="Q29" s="53">
        <v>9.23</v>
      </c>
      <c r="R29" s="43"/>
      <c r="S29" s="43"/>
      <c r="T29" s="43"/>
      <c r="U29" s="43"/>
    </row>
    <row r="30" spans="1:21" s="11" customFormat="1" x14ac:dyDescent="0.25">
      <c r="A30" s="52" t="s">
        <v>657</v>
      </c>
      <c r="B30" s="53">
        <v>10.77</v>
      </c>
      <c r="C30" s="53">
        <v>14.49</v>
      </c>
      <c r="D30" s="53">
        <v>15.57</v>
      </c>
      <c r="E30" s="53">
        <v>4.2</v>
      </c>
      <c r="F30" s="53">
        <v>4.68</v>
      </c>
      <c r="G30" s="53">
        <v>14.43</v>
      </c>
      <c r="H30" s="53">
        <v>6.94</v>
      </c>
      <c r="I30" s="53">
        <v>2.72</v>
      </c>
      <c r="J30" s="53">
        <v>0.19</v>
      </c>
      <c r="K30" s="53">
        <v>305.01</v>
      </c>
      <c r="L30" s="53">
        <v>23.64</v>
      </c>
      <c r="M30" s="53">
        <v>98.2</v>
      </c>
      <c r="N30" s="53">
        <v>49.3</v>
      </c>
      <c r="O30" s="53">
        <v>0.2</v>
      </c>
      <c r="P30" s="53">
        <v>0.78</v>
      </c>
      <c r="Q30" s="53">
        <v>9.2100000000000009</v>
      </c>
      <c r="R30" s="43"/>
      <c r="S30" s="43"/>
      <c r="T30" s="43"/>
      <c r="U30" s="43"/>
    </row>
    <row r="31" spans="1:21" s="11" customFormat="1" x14ac:dyDescent="0.25">
      <c r="A31" s="52" t="s">
        <v>658</v>
      </c>
      <c r="B31" s="53">
        <v>9.7100000000000009</v>
      </c>
      <c r="C31" s="53">
        <v>13.09</v>
      </c>
      <c r="D31" s="53">
        <v>14.62</v>
      </c>
      <c r="E31" s="53">
        <v>4.24</v>
      </c>
      <c r="F31" s="53">
        <v>4.58</v>
      </c>
      <c r="G31" s="53">
        <v>10.18</v>
      </c>
      <c r="H31" s="53">
        <v>4.9400000000000004</v>
      </c>
      <c r="I31" s="53">
        <v>2.33</v>
      </c>
      <c r="J31" s="53">
        <v>0.21</v>
      </c>
      <c r="K31" s="53">
        <v>313.38</v>
      </c>
      <c r="L31" s="53">
        <v>23.39</v>
      </c>
      <c r="M31" s="53">
        <v>98.26</v>
      </c>
      <c r="N31" s="53">
        <v>49</v>
      </c>
      <c r="O31" s="53">
        <v>0.2</v>
      </c>
      <c r="P31" s="53">
        <v>0.65</v>
      </c>
      <c r="Q31" s="53">
        <v>9.1999999999999993</v>
      </c>
      <c r="R31" s="43"/>
      <c r="S31" s="43"/>
      <c r="T31" s="43"/>
      <c r="U31" s="43"/>
    </row>
    <row r="32" spans="1:21" s="11" customFormat="1" x14ac:dyDescent="0.25">
      <c r="A32" s="52" t="s">
        <v>659</v>
      </c>
      <c r="B32" s="53">
        <v>9.0500000000000007</v>
      </c>
      <c r="C32" s="53">
        <v>11.95</v>
      </c>
      <c r="D32" s="53">
        <v>13.5</v>
      </c>
      <c r="E32" s="53">
        <v>4.16</v>
      </c>
      <c r="F32" s="53">
        <v>3.88</v>
      </c>
      <c r="G32" s="53">
        <v>12.22</v>
      </c>
      <c r="H32" s="53">
        <v>3.52</v>
      </c>
      <c r="I32" s="53">
        <v>1.93</v>
      </c>
      <c r="J32" s="53">
        <v>0.18</v>
      </c>
      <c r="K32" s="53">
        <v>315.58</v>
      </c>
      <c r="L32" s="53">
        <v>23.16</v>
      </c>
      <c r="M32" s="53">
        <v>98.27</v>
      </c>
      <c r="N32" s="53">
        <v>49.2</v>
      </c>
      <c r="O32" s="53">
        <v>0.2</v>
      </c>
      <c r="P32" s="53">
        <v>0.54</v>
      </c>
      <c r="Q32" s="53">
        <v>9.1300000000000008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5.86</v>
      </c>
      <c r="C34" s="28">
        <f t="shared" si="0"/>
        <v>11.95</v>
      </c>
      <c r="D34" s="28">
        <f t="shared" si="0"/>
        <v>11.19</v>
      </c>
      <c r="E34" s="28">
        <f t="shared" si="0"/>
        <v>4.0199999999999996</v>
      </c>
      <c r="F34" s="28">
        <f t="shared" si="0"/>
        <v>3.76</v>
      </c>
      <c r="G34" s="28">
        <f t="shared" si="0"/>
        <v>10.18</v>
      </c>
      <c r="H34" s="28">
        <f t="shared" si="0"/>
        <v>1.85</v>
      </c>
      <c r="I34" s="28">
        <f t="shared" si="0"/>
        <v>1.45</v>
      </c>
      <c r="J34" s="28">
        <f t="shared" si="0"/>
        <v>0.15</v>
      </c>
      <c r="K34" s="28">
        <f t="shared" si="0"/>
        <v>288.81</v>
      </c>
      <c r="L34" s="28">
        <f t="shared" si="0"/>
        <v>23.16</v>
      </c>
      <c r="M34" s="28">
        <f t="shared" si="0"/>
        <v>98.11</v>
      </c>
      <c r="N34" s="28">
        <f t="shared" si="0"/>
        <v>45</v>
      </c>
      <c r="O34" s="28">
        <f t="shared" si="0"/>
        <v>0</v>
      </c>
      <c r="P34" s="28">
        <f t="shared" si="0"/>
        <v>0.39</v>
      </c>
      <c r="Q34" s="28">
        <f t="shared" si="0"/>
        <v>9.0299999999999994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19.190000000000001</v>
      </c>
      <c r="C35" s="29">
        <f t="shared" si="1"/>
        <v>22.17</v>
      </c>
      <c r="D35" s="29">
        <f t="shared" si="1"/>
        <v>22.85</v>
      </c>
      <c r="E35" s="29">
        <f t="shared" si="1"/>
        <v>5.3</v>
      </c>
      <c r="F35" s="29">
        <f t="shared" si="1"/>
        <v>5.85</v>
      </c>
      <c r="G35" s="29">
        <f t="shared" si="1"/>
        <v>37</v>
      </c>
      <c r="H35" s="29">
        <f t="shared" si="1"/>
        <v>27.47</v>
      </c>
      <c r="I35" s="29">
        <f t="shared" si="1"/>
        <v>2.91</v>
      </c>
      <c r="J35" s="29">
        <f t="shared" si="1"/>
        <v>0.32</v>
      </c>
      <c r="K35" s="29">
        <f t="shared" si="1"/>
        <v>323.26</v>
      </c>
      <c r="L35" s="29">
        <f t="shared" si="1"/>
        <v>25.49</v>
      </c>
      <c r="M35" s="29">
        <f t="shared" si="1"/>
        <v>98.27</v>
      </c>
      <c r="N35" s="29">
        <f t="shared" si="1"/>
        <v>217.9</v>
      </c>
      <c r="O35" s="29">
        <f t="shared" si="1"/>
        <v>0.2</v>
      </c>
      <c r="P35" s="29">
        <f t="shared" si="1"/>
        <v>0.93</v>
      </c>
      <c r="Q35" s="29">
        <f t="shared" si="1"/>
        <v>9.4499999999999993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11.983750000000001</v>
      </c>
      <c r="C36" s="28">
        <f t="shared" si="2"/>
        <v>14.365833333333335</v>
      </c>
      <c r="D36" s="28">
        <f t="shared" si="2"/>
        <v>16.756249999999998</v>
      </c>
      <c r="E36" s="28">
        <f t="shared" si="2"/>
        <v>4.7274999999999983</v>
      </c>
      <c r="F36" s="28">
        <f t="shared" si="2"/>
        <v>4.3379166666666666</v>
      </c>
      <c r="G36" s="28">
        <f t="shared" si="2"/>
        <v>23.061818181818186</v>
      </c>
      <c r="H36" s="28">
        <f t="shared" si="2"/>
        <v>8.5181818181818194</v>
      </c>
      <c r="I36" s="28">
        <f t="shared" si="2"/>
        <v>2.2199999999999998</v>
      </c>
      <c r="J36" s="28">
        <f t="shared" si="2"/>
        <v>0.21833333333333338</v>
      </c>
      <c r="K36" s="28">
        <f t="shared" si="2"/>
        <v>305.94166666666666</v>
      </c>
      <c r="L36" s="28">
        <f t="shared" si="2"/>
        <v>24.034166666666664</v>
      </c>
      <c r="M36" s="28">
        <f t="shared" si="2"/>
        <v>98.18</v>
      </c>
      <c r="N36" s="28">
        <f t="shared" si="2"/>
        <v>88.808333333333323</v>
      </c>
      <c r="O36" s="28">
        <f t="shared" si="2"/>
        <v>0.10833333333333334</v>
      </c>
      <c r="P36" s="28">
        <f t="shared" si="2"/>
        <v>0.65125000000000011</v>
      </c>
      <c r="Q36" s="28">
        <f t="shared" si="2"/>
        <v>9.2279166666666672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3.5463929163857912</v>
      </c>
      <c r="C37" s="28">
        <f t="shared" ref="C37:Q37" si="3">STDEV(C9:C32)</f>
        <v>2.4346893680386801</v>
      </c>
      <c r="D37" s="28">
        <f t="shared" si="3"/>
        <v>3.1092090599155378</v>
      </c>
      <c r="E37" s="28">
        <f t="shared" si="3"/>
        <v>0.4126083520409069</v>
      </c>
      <c r="F37" s="28">
        <f t="shared" si="3"/>
        <v>0.53979045182742469</v>
      </c>
      <c r="G37" s="28">
        <f t="shared" si="3"/>
        <v>8.0703670987275995</v>
      </c>
      <c r="H37" s="28">
        <f t="shared" si="3"/>
        <v>5.6794698246559499</v>
      </c>
      <c r="I37" s="28">
        <f t="shared" si="3"/>
        <v>0.45733633328124218</v>
      </c>
      <c r="J37" s="28">
        <f t="shared" si="3"/>
        <v>4.5841567112854129E-2</v>
      </c>
      <c r="K37" s="28">
        <f t="shared" si="3"/>
        <v>9.7268238109505916</v>
      </c>
      <c r="L37" s="28">
        <f t="shared" si="3"/>
        <v>0.57391043587462032</v>
      </c>
      <c r="M37" s="28">
        <f t="shared" si="3"/>
        <v>3.9891156260831603E-2</v>
      </c>
      <c r="N37" s="28">
        <f t="shared" si="3"/>
        <v>53.557818547213408</v>
      </c>
      <c r="O37" s="28">
        <f t="shared" si="3"/>
        <v>0.10179547554081037</v>
      </c>
      <c r="P37" s="28">
        <f t="shared" si="3"/>
        <v>0.14447242854155781</v>
      </c>
      <c r="Q37" s="28">
        <f t="shared" si="3"/>
        <v>0.11041341942176136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>
      <c r="G48" s="50"/>
    </row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51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660</v>
      </c>
      <c r="B9" s="53">
        <v>8.08</v>
      </c>
      <c r="C9" s="53">
        <v>12.53</v>
      </c>
      <c r="D9" s="53">
        <v>12.62</v>
      </c>
      <c r="E9" s="53">
        <v>4.08</v>
      </c>
      <c r="F9" s="53">
        <v>3.91</v>
      </c>
      <c r="G9" s="53">
        <v>11.43</v>
      </c>
      <c r="H9" s="53">
        <v>4.26</v>
      </c>
      <c r="I9" s="53">
        <v>1.64</v>
      </c>
      <c r="J9" s="53">
        <v>0.21</v>
      </c>
      <c r="K9" s="53">
        <v>321.35000000000002</v>
      </c>
      <c r="L9" s="53">
        <v>22.76</v>
      </c>
      <c r="M9" s="53">
        <v>98.26</v>
      </c>
      <c r="N9" s="53">
        <v>49.7</v>
      </c>
      <c r="O9" s="53">
        <v>0.2</v>
      </c>
      <c r="P9" s="53">
        <v>0.45</v>
      </c>
      <c r="Q9" s="53">
        <v>9.07</v>
      </c>
      <c r="R9" s="43"/>
      <c r="S9" s="43"/>
      <c r="T9" s="43"/>
      <c r="U9" s="43"/>
    </row>
    <row r="10" spans="1:21" s="11" customFormat="1" x14ac:dyDescent="0.25">
      <c r="A10" s="52" t="s">
        <v>661</v>
      </c>
      <c r="B10" s="53">
        <v>5.48</v>
      </c>
      <c r="C10" s="53">
        <v>12.52</v>
      </c>
      <c r="D10" s="53">
        <v>10.94</v>
      </c>
      <c r="E10" s="53">
        <v>4.16</v>
      </c>
      <c r="F10" s="53">
        <v>5.62</v>
      </c>
      <c r="G10" s="53">
        <v>8.31</v>
      </c>
      <c r="H10" s="53">
        <v>3.99</v>
      </c>
      <c r="I10" s="53">
        <v>1.26</v>
      </c>
      <c r="J10" s="53">
        <v>1.35</v>
      </c>
      <c r="K10" s="53">
        <v>337.15</v>
      </c>
      <c r="L10" s="53">
        <v>22.65</v>
      </c>
      <c r="M10" s="53">
        <v>98.23</v>
      </c>
      <c r="N10" s="53">
        <v>49.3</v>
      </c>
      <c r="O10" s="53">
        <v>0.4</v>
      </c>
      <c r="P10" s="53">
        <v>0.3</v>
      </c>
      <c r="Q10" s="53">
        <v>9.01</v>
      </c>
      <c r="R10" s="43"/>
      <c r="S10" s="43"/>
      <c r="T10" s="43"/>
      <c r="U10" s="43"/>
    </row>
    <row r="11" spans="1:21" s="11" customFormat="1" x14ac:dyDescent="0.25">
      <c r="A11" s="52" t="s">
        <v>662</v>
      </c>
      <c r="B11" s="53">
        <v>5.76</v>
      </c>
      <c r="C11" s="53">
        <v>11.74</v>
      </c>
      <c r="D11" s="53">
        <v>10.48</v>
      </c>
      <c r="E11" s="53">
        <v>4.08</v>
      </c>
      <c r="F11" s="53">
        <v>5.33</v>
      </c>
      <c r="G11" s="53">
        <v>6.14</v>
      </c>
      <c r="H11" s="53">
        <v>4.22</v>
      </c>
      <c r="I11" s="53">
        <v>1.04</v>
      </c>
      <c r="J11" s="53">
        <v>0.26</v>
      </c>
      <c r="K11" s="53">
        <v>335.38</v>
      </c>
      <c r="L11" s="53">
        <v>22.68</v>
      </c>
      <c r="M11" s="53">
        <v>98.21</v>
      </c>
      <c r="N11" s="53">
        <v>49.4</v>
      </c>
      <c r="O11" s="53">
        <v>2.8</v>
      </c>
      <c r="P11" s="53">
        <v>0.27</v>
      </c>
      <c r="Q11" s="53">
        <v>9.0399999999999991</v>
      </c>
      <c r="R11" s="43"/>
      <c r="S11" s="43"/>
      <c r="T11" s="43"/>
      <c r="U11" s="43"/>
    </row>
    <row r="12" spans="1:21" s="11" customFormat="1" x14ac:dyDescent="0.25">
      <c r="A12" s="52" t="s">
        <v>663</v>
      </c>
      <c r="B12" s="53">
        <v>5.19</v>
      </c>
      <c r="C12" s="53">
        <v>11.67</v>
      </c>
      <c r="D12" s="53">
        <v>10.23</v>
      </c>
      <c r="E12" s="53">
        <v>3.8</v>
      </c>
      <c r="F12" s="53">
        <v>4.66</v>
      </c>
      <c r="G12" s="53">
        <v>5.56</v>
      </c>
      <c r="H12" s="53">
        <v>3.99</v>
      </c>
      <c r="I12" s="53">
        <v>0.99</v>
      </c>
      <c r="J12" s="53">
        <v>0.23</v>
      </c>
      <c r="K12" s="53">
        <v>344.08</v>
      </c>
      <c r="L12" s="53">
        <v>22.65</v>
      </c>
      <c r="M12" s="53">
        <v>98.2</v>
      </c>
      <c r="N12" s="53">
        <v>49.7</v>
      </c>
      <c r="O12" s="53">
        <v>0.4</v>
      </c>
      <c r="P12" s="53">
        <v>0.25</v>
      </c>
      <c r="Q12" s="53">
        <v>8.99</v>
      </c>
      <c r="R12" s="43"/>
      <c r="S12" s="43"/>
      <c r="T12" s="43"/>
      <c r="U12" s="43"/>
    </row>
    <row r="13" spans="1:21" s="11" customFormat="1" x14ac:dyDescent="0.25">
      <c r="A13" s="52" t="s">
        <v>664</v>
      </c>
      <c r="B13" s="53">
        <v>5.28</v>
      </c>
      <c r="C13" s="53">
        <v>11.52</v>
      </c>
      <c r="D13" s="53">
        <v>10.26</v>
      </c>
      <c r="E13" s="53">
        <v>4.0999999999999996</v>
      </c>
      <c r="F13" s="53">
        <v>4.1900000000000004</v>
      </c>
      <c r="G13" s="53">
        <v>5.24</v>
      </c>
      <c r="H13" s="53">
        <v>3.15</v>
      </c>
      <c r="I13" s="53">
        <v>0.76</v>
      </c>
      <c r="J13" s="53">
        <v>0.21</v>
      </c>
      <c r="K13" s="53">
        <v>344.2</v>
      </c>
      <c r="L13" s="53">
        <v>22.7</v>
      </c>
      <c r="M13" s="53">
        <v>98.14</v>
      </c>
      <c r="N13" s="53">
        <v>49.8</v>
      </c>
      <c r="O13" s="53">
        <v>0.6</v>
      </c>
      <c r="P13" s="53">
        <v>0.2</v>
      </c>
      <c r="Q13" s="53">
        <v>8.9499999999999993</v>
      </c>
      <c r="R13" s="43"/>
      <c r="S13" s="43"/>
      <c r="T13" s="43"/>
      <c r="U13" s="43"/>
    </row>
    <row r="14" spans="1:21" s="11" customFormat="1" x14ac:dyDescent="0.25">
      <c r="A14" s="52" t="s">
        <v>665</v>
      </c>
      <c r="B14" s="53">
        <v>5.63</v>
      </c>
      <c r="C14" s="53">
        <v>11.97</v>
      </c>
      <c r="D14" s="53">
        <v>10.77</v>
      </c>
      <c r="E14" s="53">
        <v>4.1500000000000004</v>
      </c>
      <c r="F14" s="53">
        <v>4.13</v>
      </c>
      <c r="G14" s="53">
        <v>3.89</v>
      </c>
      <c r="H14" s="53">
        <v>2.78</v>
      </c>
      <c r="I14" s="53">
        <v>0.74</v>
      </c>
      <c r="J14" s="53">
        <v>0.27</v>
      </c>
      <c r="K14" s="53">
        <v>339.71</v>
      </c>
      <c r="L14" s="53">
        <v>22.73</v>
      </c>
      <c r="M14" s="53">
        <v>98.13</v>
      </c>
      <c r="N14" s="53">
        <v>54.9</v>
      </c>
      <c r="O14" s="53">
        <v>0.6</v>
      </c>
      <c r="P14" s="53">
        <v>0.19</v>
      </c>
      <c r="Q14" s="53">
        <v>8.99</v>
      </c>
      <c r="R14" s="43"/>
      <c r="S14" s="43"/>
      <c r="T14" s="43"/>
      <c r="U14" s="43"/>
    </row>
    <row r="15" spans="1:21" s="11" customFormat="1" x14ac:dyDescent="0.25">
      <c r="A15" s="52" t="s">
        <v>666</v>
      </c>
      <c r="B15" s="53">
        <v>6.62</v>
      </c>
      <c r="C15" s="53">
        <v>13.11</v>
      </c>
      <c r="D15" s="53">
        <v>11.77</v>
      </c>
      <c r="E15" s="53">
        <v>3.95</v>
      </c>
      <c r="F15" s="53">
        <v>3.87</v>
      </c>
      <c r="G15" s="53">
        <v>2.85</v>
      </c>
      <c r="H15" s="53">
        <v>2.25</v>
      </c>
      <c r="I15" s="53">
        <v>0.65</v>
      </c>
      <c r="J15" s="53">
        <v>0.27</v>
      </c>
      <c r="K15" s="53">
        <v>336.17</v>
      </c>
      <c r="L15" s="53">
        <v>22.67</v>
      </c>
      <c r="M15" s="53">
        <v>98.06</v>
      </c>
      <c r="N15" s="53">
        <v>71.5</v>
      </c>
      <c r="O15" s="53">
        <v>0</v>
      </c>
      <c r="P15" s="53">
        <v>0.17</v>
      </c>
      <c r="Q15" s="53">
        <v>9.02</v>
      </c>
      <c r="R15" s="43"/>
      <c r="S15" s="43"/>
      <c r="T15" s="43"/>
      <c r="U15" s="43"/>
    </row>
    <row r="16" spans="1:21" s="11" customFormat="1" x14ac:dyDescent="0.25">
      <c r="A16" s="52" t="s">
        <v>667</v>
      </c>
      <c r="B16" s="53">
        <v>5.78</v>
      </c>
      <c r="C16" s="53">
        <v>12.21</v>
      </c>
      <c r="D16" s="53">
        <v>11</v>
      </c>
      <c r="E16" s="53">
        <v>4.1100000000000003</v>
      </c>
      <c r="F16" s="53">
        <v>4.26</v>
      </c>
      <c r="G16" s="53">
        <v>2.27</v>
      </c>
      <c r="H16" s="53">
        <v>1.94</v>
      </c>
      <c r="I16" s="53">
        <v>0.67</v>
      </c>
      <c r="J16" s="53">
        <v>0.24</v>
      </c>
      <c r="K16" s="53">
        <v>328.61</v>
      </c>
      <c r="L16" s="53">
        <v>22.41</v>
      </c>
      <c r="M16" s="53">
        <v>98.08</v>
      </c>
      <c r="N16" s="53">
        <v>92.2</v>
      </c>
      <c r="O16" s="53">
        <v>0</v>
      </c>
      <c r="P16" s="53">
        <v>0.18</v>
      </c>
      <c r="Q16" s="53">
        <v>9.02</v>
      </c>
      <c r="R16" s="43"/>
      <c r="S16" s="43"/>
      <c r="T16" s="43"/>
      <c r="U16" s="43"/>
    </row>
    <row r="17" spans="1:21" s="11" customFormat="1" x14ac:dyDescent="0.25">
      <c r="A17" s="52" t="s">
        <v>668</v>
      </c>
      <c r="B17" s="53">
        <v>5.87</v>
      </c>
      <c r="C17" s="53">
        <v>12.48</v>
      </c>
      <c r="D17" s="53">
        <v>11.23</v>
      </c>
      <c r="E17" s="53">
        <v>3.79</v>
      </c>
      <c r="F17" s="53">
        <v>3.75</v>
      </c>
      <c r="G17" s="53">
        <v>1.65</v>
      </c>
      <c r="H17" s="53">
        <v>0.65</v>
      </c>
      <c r="I17" s="53">
        <v>0.71</v>
      </c>
      <c r="J17" s="53">
        <v>0.24</v>
      </c>
      <c r="K17" s="53">
        <v>324.95999999999998</v>
      </c>
      <c r="L17" s="53">
        <v>22.9</v>
      </c>
      <c r="M17" s="53">
        <v>98.09</v>
      </c>
      <c r="N17" s="53">
        <v>112.1</v>
      </c>
      <c r="O17" s="53">
        <v>0</v>
      </c>
      <c r="P17" s="53">
        <v>0.19</v>
      </c>
      <c r="Q17" s="53">
        <v>8.98</v>
      </c>
      <c r="R17" s="43"/>
      <c r="S17" s="43"/>
      <c r="T17" s="43"/>
      <c r="U17" s="43"/>
    </row>
    <row r="18" spans="1:21" s="11" customFormat="1" x14ac:dyDescent="0.25">
      <c r="A18" s="52" t="s">
        <v>669</v>
      </c>
      <c r="B18" s="53">
        <v>6.58</v>
      </c>
      <c r="C18" s="53">
        <v>12.64</v>
      </c>
      <c r="D18" s="53">
        <v>11.88</v>
      </c>
      <c r="E18" s="53">
        <v>3.76</v>
      </c>
      <c r="F18" s="53">
        <v>4.0999999999999996</v>
      </c>
      <c r="G18" s="53">
        <v>1.28</v>
      </c>
      <c r="H18" s="53">
        <v>0.33</v>
      </c>
      <c r="I18" s="53">
        <v>0.81</v>
      </c>
      <c r="J18" s="53">
        <v>0.22</v>
      </c>
      <c r="K18" s="53">
        <v>307.88</v>
      </c>
      <c r="L18" s="53">
        <v>23.45</v>
      </c>
      <c r="M18" s="53">
        <v>98.12</v>
      </c>
      <c r="N18" s="53">
        <v>126.2</v>
      </c>
      <c r="O18" s="53">
        <v>0</v>
      </c>
      <c r="P18" s="53">
        <v>0.23</v>
      </c>
      <c r="Q18" s="53">
        <v>9</v>
      </c>
      <c r="R18" s="43"/>
      <c r="S18" s="43"/>
      <c r="T18" s="43"/>
      <c r="U18" s="43"/>
    </row>
    <row r="19" spans="1:21" s="11" customFormat="1" x14ac:dyDescent="0.25">
      <c r="A19" s="52" t="s">
        <v>670</v>
      </c>
      <c r="B19" s="53">
        <v>7.12</v>
      </c>
      <c r="C19" s="53">
        <v>13.49</v>
      </c>
      <c r="D19" s="53">
        <v>12.76</v>
      </c>
      <c r="E19" s="53">
        <v>3.83</v>
      </c>
      <c r="F19" s="53">
        <v>3.78</v>
      </c>
      <c r="G19" s="53">
        <v>1.1200000000000001</v>
      </c>
      <c r="H19" s="53">
        <v>0.33</v>
      </c>
      <c r="I19" s="53">
        <v>0.86</v>
      </c>
      <c r="J19" s="53">
        <v>0.28000000000000003</v>
      </c>
      <c r="K19" s="53">
        <v>309.32</v>
      </c>
      <c r="L19" s="53">
        <v>23.82</v>
      </c>
      <c r="M19" s="53">
        <v>98.07</v>
      </c>
      <c r="N19" s="53">
        <v>166.9</v>
      </c>
      <c r="O19" s="53">
        <v>0</v>
      </c>
      <c r="P19" s="53">
        <v>0.25</v>
      </c>
      <c r="Q19" s="53">
        <v>9.0500000000000007</v>
      </c>
      <c r="R19" s="43"/>
      <c r="S19" s="43"/>
      <c r="T19" s="43"/>
      <c r="U19" s="43"/>
    </row>
    <row r="20" spans="1:21" s="11" customFormat="1" x14ac:dyDescent="0.25">
      <c r="A20" s="52" t="s">
        <v>671</v>
      </c>
      <c r="B20" s="53">
        <v>6.65</v>
      </c>
      <c r="C20" s="53">
        <v>13.24</v>
      </c>
      <c r="D20" s="53">
        <v>12.25</v>
      </c>
      <c r="E20" s="53">
        <v>3.84</v>
      </c>
      <c r="F20" s="53">
        <v>4.21</v>
      </c>
      <c r="G20" s="53">
        <v>1.19</v>
      </c>
      <c r="H20" s="53">
        <v>0.94</v>
      </c>
      <c r="I20" s="53">
        <v>0.9</v>
      </c>
      <c r="J20" s="53">
        <v>0.23</v>
      </c>
      <c r="K20" s="53">
        <v>306.67</v>
      </c>
      <c r="L20" s="53">
        <v>24.25</v>
      </c>
      <c r="M20" s="53">
        <v>98.05</v>
      </c>
      <c r="N20" s="53">
        <v>184.1</v>
      </c>
      <c r="O20" s="53">
        <v>0</v>
      </c>
      <c r="P20" s="53">
        <v>0.27</v>
      </c>
      <c r="Q20" s="53">
        <v>9.07</v>
      </c>
      <c r="R20" s="43"/>
      <c r="S20" s="43"/>
      <c r="T20" s="43"/>
      <c r="U20" s="43"/>
    </row>
    <row r="21" spans="1:21" s="11" customFormat="1" x14ac:dyDescent="0.25">
      <c r="A21" s="52" t="s">
        <v>672</v>
      </c>
      <c r="B21" s="53">
        <v>6.42</v>
      </c>
      <c r="C21" s="53">
        <v>13.37</v>
      </c>
      <c r="D21" s="53">
        <v>11.92</v>
      </c>
      <c r="E21" s="53">
        <v>4.04</v>
      </c>
      <c r="F21" s="53">
        <v>3.93</v>
      </c>
      <c r="G21" s="53">
        <v>1.45</v>
      </c>
      <c r="H21" s="53">
        <v>1.08</v>
      </c>
      <c r="I21" s="53">
        <v>0.95</v>
      </c>
      <c r="J21" s="53">
        <v>0.34</v>
      </c>
      <c r="K21" s="53">
        <v>300.64999999999998</v>
      </c>
      <c r="L21" s="53">
        <v>24.32</v>
      </c>
      <c r="M21" s="53">
        <v>98.05</v>
      </c>
      <c r="N21" s="53">
        <v>179.9</v>
      </c>
      <c r="O21" s="53">
        <v>0</v>
      </c>
      <c r="P21" s="53">
        <v>0.28000000000000003</v>
      </c>
      <c r="Q21" s="53">
        <v>9.0399999999999991</v>
      </c>
      <c r="R21" s="43"/>
      <c r="S21" s="43"/>
      <c r="T21" s="43"/>
      <c r="U21" s="43"/>
    </row>
    <row r="22" spans="1:21" s="11" customFormat="1" x14ac:dyDescent="0.25">
      <c r="A22" s="52" t="s">
        <v>673</v>
      </c>
      <c r="B22" s="53">
        <v>5.81</v>
      </c>
      <c r="C22" s="53">
        <v>14.21</v>
      </c>
      <c r="D22" s="53">
        <v>12.04</v>
      </c>
      <c r="E22" s="53">
        <v>3.77</v>
      </c>
      <c r="F22" s="53">
        <v>4.5599999999999996</v>
      </c>
      <c r="G22" s="53">
        <v>3.12</v>
      </c>
      <c r="H22" s="53">
        <v>1.07</v>
      </c>
      <c r="I22" s="53">
        <v>0.8</v>
      </c>
      <c r="J22" s="53">
        <v>0.33</v>
      </c>
      <c r="K22" s="53">
        <v>294.60000000000002</v>
      </c>
      <c r="L22" s="53">
        <v>24.84</v>
      </c>
      <c r="M22" s="53">
        <v>98.06</v>
      </c>
      <c r="N22" s="53">
        <v>252.2</v>
      </c>
      <c r="O22" s="53">
        <v>0</v>
      </c>
      <c r="P22" s="53">
        <v>0.26</v>
      </c>
      <c r="Q22" s="53">
        <v>9</v>
      </c>
      <c r="R22" s="43"/>
      <c r="S22" s="43"/>
      <c r="T22" s="43"/>
      <c r="U22" s="43"/>
    </row>
    <row r="23" spans="1:21" s="11" customFormat="1" x14ac:dyDescent="0.25">
      <c r="A23" s="52" t="s">
        <v>674</v>
      </c>
      <c r="B23" s="53">
        <v>5.62</v>
      </c>
      <c r="C23" s="53">
        <v>14.15</v>
      </c>
      <c r="D23" s="53">
        <v>11.9</v>
      </c>
      <c r="E23" s="53">
        <v>3.87</v>
      </c>
      <c r="F23" s="53">
        <v>4.1500000000000004</v>
      </c>
      <c r="G23" s="53">
        <v>3.82</v>
      </c>
      <c r="H23" s="53">
        <v>1.03</v>
      </c>
      <c r="I23" s="53">
        <v>0.71</v>
      </c>
      <c r="J23" s="53">
        <v>0.35</v>
      </c>
      <c r="K23" s="53">
        <v>300.68</v>
      </c>
      <c r="L23" s="53">
        <v>24.92</v>
      </c>
      <c r="M23" s="53">
        <v>98.02</v>
      </c>
      <c r="N23" s="53">
        <v>240.1</v>
      </c>
      <c r="O23" s="53">
        <v>0</v>
      </c>
      <c r="P23" s="53">
        <v>0.25</v>
      </c>
      <c r="Q23" s="53">
        <v>9</v>
      </c>
      <c r="R23" s="43"/>
      <c r="S23" s="43"/>
      <c r="T23" s="43"/>
      <c r="U23" s="43"/>
    </row>
    <row r="24" spans="1:21" s="11" customFormat="1" x14ac:dyDescent="0.25">
      <c r="A24" s="52" t="s">
        <v>675</v>
      </c>
      <c r="B24" s="53">
        <v>4.8099999999999996</v>
      </c>
      <c r="C24" s="53">
        <v>14.13</v>
      </c>
      <c r="D24" s="53">
        <v>11.19</v>
      </c>
      <c r="E24" s="53">
        <v>3.98</v>
      </c>
      <c r="F24" s="53">
        <v>4.18</v>
      </c>
      <c r="G24" s="53">
        <v>5.46</v>
      </c>
      <c r="H24" s="53">
        <v>1.04</v>
      </c>
      <c r="I24" s="53">
        <v>0.67</v>
      </c>
      <c r="J24" s="53">
        <v>0.34</v>
      </c>
      <c r="K24" s="53">
        <v>301.08</v>
      </c>
      <c r="L24" s="53">
        <v>24.59</v>
      </c>
      <c r="M24" s="53">
        <v>98.03</v>
      </c>
      <c r="N24" s="53">
        <v>117.5</v>
      </c>
      <c r="O24" s="53">
        <v>0</v>
      </c>
      <c r="P24" s="53">
        <v>0.22</v>
      </c>
      <c r="Q24" s="53">
        <v>9.02</v>
      </c>
      <c r="R24" s="43"/>
      <c r="S24" s="43"/>
      <c r="T24" s="43"/>
      <c r="U24" s="43"/>
    </row>
    <row r="25" spans="1:21" s="11" customFormat="1" x14ac:dyDescent="0.25">
      <c r="A25" s="52" t="s">
        <v>676</v>
      </c>
      <c r="B25" s="53">
        <v>5.31</v>
      </c>
      <c r="C25" s="53">
        <v>15.03</v>
      </c>
      <c r="D25" s="53">
        <v>11.72</v>
      </c>
      <c r="E25" s="53">
        <v>4.5</v>
      </c>
      <c r="F25" s="53">
        <v>4.3099999999999996</v>
      </c>
      <c r="G25" s="53">
        <v>8.0299999999999994</v>
      </c>
      <c r="H25" s="53">
        <v>1.26</v>
      </c>
      <c r="I25" s="53">
        <v>0.72</v>
      </c>
      <c r="J25" s="53">
        <v>0.3</v>
      </c>
      <c r="K25" s="53">
        <v>310.36</v>
      </c>
      <c r="L25" s="53">
        <v>24.55</v>
      </c>
      <c r="M25" s="53">
        <v>98.07</v>
      </c>
      <c r="N25" s="53">
        <v>135.4</v>
      </c>
      <c r="O25" s="53">
        <v>0</v>
      </c>
      <c r="P25" s="53">
        <v>0.23</v>
      </c>
      <c r="Q25" s="53">
        <v>9.01</v>
      </c>
      <c r="R25" s="43"/>
      <c r="S25" s="43"/>
      <c r="T25" s="43"/>
      <c r="U25" s="43"/>
    </row>
    <row r="26" spans="1:21" s="11" customFormat="1" x14ac:dyDescent="0.25">
      <c r="A26" s="52" t="s">
        <v>677</v>
      </c>
      <c r="B26" s="53">
        <v>5.55</v>
      </c>
      <c r="C26" s="53">
        <v>13.9</v>
      </c>
      <c r="D26" s="53">
        <v>11.72</v>
      </c>
      <c r="E26" s="53">
        <v>4.4400000000000004</v>
      </c>
      <c r="F26" s="53">
        <v>3.78</v>
      </c>
      <c r="G26" s="53">
        <v>10.37</v>
      </c>
      <c r="H26" s="53">
        <v>1.24</v>
      </c>
      <c r="I26" s="53">
        <v>0.71</v>
      </c>
      <c r="J26" s="53">
        <v>0.27</v>
      </c>
      <c r="K26" s="53">
        <v>316.91000000000003</v>
      </c>
      <c r="L26" s="53">
        <v>23.85</v>
      </c>
      <c r="M26" s="53">
        <v>98.18</v>
      </c>
      <c r="N26" s="53">
        <v>86.4</v>
      </c>
      <c r="O26" s="53">
        <v>0.2</v>
      </c>
      <c r="P26" s="53">
        <v>0.25</v>
      </c>
      <c r="Q26" s="53">
        <v>8.99</v>
      </c>
      <c r="R26" s="43"/>
      <c r="S26" s="43"/>
      <c r="T26" s="43"/>
      <c r="U26" s="43"/>
    </row>
    <row r="27" spans="1:21" s="11" customFormat="1" x14ac:dyDescent="0.25">
      <c r="A27" s="52" t="s">
        <v>678</v>
      </c>
      <c r="B27" s="53">
        <v>5.33</v>
      </c>
      <c r="C27" s="53">
        <v>14.01</v>
      </c>
      <c r="D27" s="53">
        <v>11.46</v>
      </c>
      <c r="E27" s="53">
        <v>4.72</v>
      </c>
      <c r="F27" s="53">
        <v>3.98</v>
      </c>
      <c r="G27" s="53">
        <v>9.74</v>
      </c>
      <c r="H27" s="53">
        <v>1.1499999999999999</v>
      </c>
      <c r="I27" s="53">
        <v>0.76</v>
      </c>
      <c r="J27" s="53">
        <v>0.28999999999999998</v>
      </c>
      <c r="K27" s="53">
        <v>321.75</v>
      </c>
      <c r="L27" s="53">
        <v>23.28</v>
      </c>
      <c r="M27" s="53">
        <v>98.19</v>
      </c>
      <c r="N27" s="53">
        <v>79</v>
      </c>
      <c r="O27" s="53">
        <v>0.2</v>
      </c>
      <c r="P27" s="53">
        <v>0.27</v>
      </c>
      <c r="Q27" s="53">
        <v>8.98</v>
      </c>
      <c r="R27" s="43"/>
      <c r="S27" s="43"/>
      <c r="T27" s="43"/>
      <c r="U27" s="43"/>
    </row>
    <row r="28" spans="1:21" s="11" customFormat="1" x14ac:dyDescent="0.25">
      <c r="A28" s="52" t="s">
        <v>679</v>
      </c>
      <c r="B28" s="53">
        <v>4.84</v>
      </c>
      <c r="C28" s="53">
        <v>14.85</v>
      </c>
      <c r="D28" s="53">
        <v>11.64</v>
      </c>
      <c r="E28" s="53">
        <v>4.38</v>
      </c>
      <c r="F28" s="53">
        <v>4.07</v>
      </c>
      <c r="G28" s="53">
        <v>7.13</v>
      </c>
      <c r="H28" s="53">
        <v>1.08</v>
      </c>
      <c r="I28" s="53">
        <v>0.78</v>
      </c>
      <c r="J28" s="53">
        <v>0.28999999999999998</v>
      </c>
      <c r="K28" s="53">
        <v>314.27999999999997</v>
      </c>
      <c r="L28" s="53">
        <v>23.32</v>
      </c>
      <c r="M28" s="53">
        <v>98.16</v>
      </c>
      <c r="N28" s="53">
        <v>91.1</v>
      </c>
      <c r="O28" s="53">
        <v>0</v>
      </c>
      <c r="P28" s="53">
        <v>0.31</v>
      </c>
      <c r="Q28" s="53">
        <v>9.01</v>
      </c>
      <c r="R28" s="43"/>
      <c r="S28" s="43"/>
      <c r="T28" s="43"/>
      <c r="U28" s="43"/>
    </row>
    <row r="29" spans="1:21" s="11" customFormat="1" x14ac:dyDescent="0.25">
      <c r="A29" s="52" t="s">
        <v>680</v>
      </c>
      <c r="B29" s="53">
        <v>4.2699999999999996</v>
      </c>
      <c r="C29" s="53">
        <v>14.36</v>
      </c>
      <c r="D29" s="53">
        <v>10.93</v>
      </c>
      <c r="E29" s="53">
        <v>4.7</v>
      </c>
      <c r="F29" s="53">
        <v>4.26</v>
      </c>
      <c r="G29" s="53">
        <v>4.99</v>
      </c>
      <c r="H29" s="53">
        <v>1.04</v>
      </c>
      <c r="I29" s="53">
        <v>0.89</v>
      </c>
      <c r="J29" s="53">
        <v>0.2</v>
      </c>
      <c r="K29" s="53">
        <v>313.10000000000002</v>
      </c>
      <c r="L29" s="53">
        <v>23.39</v>
      </c>
      <c r="M29" s="53">
        <v>98.13</v>
      </c>
      <c r="N29" s="53">
        <v>87.1</v>
      </c>
      <c r="O29" s="53">
        <v>0</v>
      </c>
      <c r="P29" s="53">
        <v>0.31</v>
      </c>
      <c r="Q29" s="53">
        <v>9</v>
      </c>
      <c r="R29" s="43"/>
      <c r="S29" s="43"/>
      <c r="T29" s="43"/>
      <c r="U29" s="43"/>
    </row>
    <row r="30" spans="1:21" s="11" customFormat="1" x14ac:dyDescent="0.25">
      <c r="A30" s="52" t="s">
        <v>681</v>
      </c>
      <c r="B30" s="53">
        <v>4.33</v>
      </c>
      <c r="C30" s="53">
        <v>13.42</v>
      </c>
      <c r="D30" s="53">
        <v>10.43</v>
      </c>
      <c r="E30" s="53">
        <v>4.3899999999999997</v>
      </c>
      <c r="F30" s="53">
        <v>4.3600000000000003</v>
      </c>
      <c r="G30" s="53">
        <v>3.56</v>
      </c>
      <c r="H30" s="53">
        <v>1.01</v>
      </c>
      <c r="I30" s="53">
        <v>0.86</v>
      </c>
      <c r="J30" s="53">
        <v>0.17</v>
      </c>
      <c r="K30" s="53">
        <v>317.75</v>
      </c>
      <c r="L30" s="53">
        <v>23.39</v>
      </c>
      <c r="M30" s="53">
        <v>98.15</v>
      </c>
      <c r="N30" s="53">
        <v>67.099999999999994</v>
      </c>
      <c r="O30" s="53">
        <v>0</v>
      </c>
      <c r="P30" s="53">
        <v>0.3</v>
      </c>
      <c r="Q30" s="53">
        <v>8.94</v>
      </c>
      <c r="R30" s="43"/>
      <c r="S30" s="43"/>
      <c r="T30" s="43"/>
      <c r="U30" s="43"/>
    </row>
    <row r="31" spans="1:21" s="11" customFormat="1" x14ac:dyDescent="0.25">
      <c r="A31" s="52" t="s">
        <v>682</v>
      </c>
      <c r="B31" s="53">
        <v>4.3899999999999997</v>
      </c>
      <c r="C31" s="53">
        <v>12.52</v>
      </c>
      <c r="D31" s="53">
        <v>10.029999999999999</v>
      </c>
      <c r="E31" s="53">
        <v>4.47</v>
      </c>
      <c r="F31" s="53">
        <v>4.5</v>
      </c>
      <c r="G31" s="53">
        <v>4.07</v>
      </c>
      <c r="H31" s="53">
        <v>1.02</v>
      </c>
      <c r="I31" s="53">
        <v>0.77</v>
      </c>
      <c r="J31" s="53">
        <v>0.17</v>
      </c>
      <c r="K31" s="53">
        <v>316.64</v>
      </c>
      <c r="L31" s="53">
        <v>23.5</v>
      </c>
      <c r="M31" s="53">
        <v>98.05</v>
      </c>
      <c r="N31" s="53">
        <v>67</v>
      </c>
      <c r="O31" s="53">
        <v>0</v>
      </c>
      <c r="P31" s="53">
        <v>0.26</v>
      </c>
      <c r="Q31" s="53">
        <v>8.94</v>
      </c>
      <c r="R31" s="43"/>
      <c r="S31" s="43"/>
      <c r="T31" s="43"/>
      <c r="U31" s="43"/>
    </row>
    <row r="32" spans="1:21" s="11" customFormat="1" x14ac:dyDescent="0.25">
      <c r="A32" s="52" t="s">
        <v>683</v>
      </c>
      <c r="B32" s="53">
        <v>4.47</v>
      </c>
      <c r="C32" s="53">
        <v>12.12</v>
      </c>
      <c r="D32" s="53">
        <v>9.85</v>
      </c>
      <c r="E32" s="53">
        <v>5.26</v>
      </c>
      <c r="F32" s="53">
        <v>4.2699999999999996</v>
      </c>
      <c r="G32" s="53">
        <v>4.6900000000000004</v>
      </c>
      <c r="H32" s="53">
        <v>1.02</v>
      </c>
      <c r="I32" s="53">
        <v>0.69</v>
      </c>
      <c r="J32" s="53">
        <v>0.2</v>
      </c>
      <c r="K32" s="53">
        <v>312.31</v>
      </c>
      <c r="L32" s="53">
        <v>23.64</v>
      </c>
      <c r="M32" s="53">
        <v>98.05</v>
      </c>
      <c r="N32" s="53">
        <v>67.599999999999994</v>
      </c>
      <c r="O32" s="53">
        <v>0</v>
      </c>
      <c r="P32" s="53">
        <v>0.23</v>
      </c>
      <c r="Q32" s="53">
        <v>8.9700000000000006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4.2699999999999996</v>
      </c>
      <c r="C34" s="28">
        <f t="shared" si="0"/>
        <v>11.52</v>
      </c>
      <c r="D34" s="28">
        <f t="shared" si="0"/>
        <v>9.85</v>
      </c>
      <c r="E34" s="28">
        <f t="shared" si="0"/>
        <v>3.76</v>
      </c>
      <c r="F34" s="28">
        <f t="shared" si="0"/>
        <v>3.75</v>
      </c>
      <c r="G34" s="28">
        <f t="shared" si="0"/>
        <v>1.1200000000000001</v>
      </c>
      <c r="H34" s="28">
        <f t="shared" si="0"/>
        <v>0.33</v>
      </c>
      <c r="I34" s="28">
        <f t="shared" si="0"/>
        <v>0.65</v>
      </c>
      <c r="J34" s="28">
        <f t="shared" si="0"/>
        <v>0.17</v>
      </c>
      <c r="K34" s="28">
        <f t="shared" si="0"/>
        <v>294.60000000000002</v>
      </c>
      <c r="L34" s="28">
        <f t="shared" si="0"/>
        <v>22.41</v>
      </c>
      <c r="M34" s="28">
        <f t="shared" si="0"/>
        <v>98.02</v>
      </c>
      <c r="N34" s="28">
        <f t="shared" si="0"/>
        <v>49.3</v>
      </c>
      <c r="O34" s="28">
        <f t="shared" si="0"/>
        <v>0</v>
      </c>
      <c r="P34" s="28">
        <f t="shared" si="0"/>
        <v>0.17</v>
      </c>
      <c r="Q34" s="28">
        <f t="shared" si="0"/>
        <v>8.94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8.08</v>
      </c>
      <c r="C35" s="29">
        <f t="shared" si="1"/>
        <v>15.03</v>
      </c>
      <c r="D35" s="29">
        <f t="shared" si="1"/>
        <v>12.76</v>
      </c>
      <c r="E35" s="29">
        <f t="shared" si="1"/>
        <v>5.26</v>
      </c>
      <c r="F35" s="29">
        <f t="shared" si="1"/>
        <v>5.62</v>
      </c>
      <c r="G35" s="29">
        <f t="shared" si="1"/>
        <v>11.43</v>
      </c>
      <c r="H35" s="29">
        <f t="shared" si="1"/>
        <v>4.26</v>
      </c>
      <c r="I35" s="29">
        <f t="shared" si="1"/>
        <v>1.64</v>
      </c>
      <c r="J35" s="29">
        <f t="shared" si="1"/>
        <v>1.35</v>
      </c>
      <c r="K35" s="29">
        <f t="shared" si="1"/>
        <v>344.2</v>
      </c>
      <c r="L35" s="29">
        <f t="shared" si="1"/>
        <v>24.92</v>
      </c>
      <c r="M35" s="29">
        <f t="shared" si="1"/>
        <v>98.26</v>
      </c>
      <c r="N35" s="29">
        <f t="shared" si="1"/>
        <v>252.2</v>
      </c>
      <c r="O35" s="29">
        <f t="shared" si="1"/>
        <v>2.8</v>
      </c>
      <c r="P35" s="29">
        <f t="shared" si="1"/>
        <v>0.45</v>
      </c>
      <c r="Q35" s="29">
        <f t="shared" si="1"/>
        <v>9.07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5.6329166666666666</v>
      </c>
      <c r="C36" s="28">
        <f t="shared" si="2"/>
        <v>13.132916666666668</v>
      </c>
      <c r="D36" s="28">
        <f t="shared" si="2"/>
        <v>11.292499999999999</v>
      </c>
      <c r="E36" s="28">
        <f t="shared" si="2"/>
        <v>4.1737499999999992</v>
      </c>
      <c r="F36" s="28">
        <f t="shared" si="2"/>
        <v>4.2566666666666686</v>
      </c>
      <c r="G36" s="28">
        <f t="shared" si="2"/>
        <v>4.8899999999999997</v>
      </c>
      <c r="H36" s="28">
        <f t="shared" si="2"/>
        <v>1.7445833333333332</v>
      </c>
      <c r="I36" s="28">
        <f t="shared" si="2"/>
        <v>0.84750000000000025</v>
      </c>
      <c r="J36" s="28">
        <f t="shared" si="2"/>
        <v>0.30249999999999999</v>
      </c>
      <c r="K36" s="28">
        <f t="shared" si="2"/>
        <v>318.98291666666671</v>
      </c>
      <c r="L36" s="28">
        <f t="shared" si="2"/>
        <v>23.469166666666666</v>
      </c>
      <c r="M36" s="28">
        <f t="shared" si="2"/>
        <v>98.115833333333356</v>
      </c>
      <c r="N36" s="28">
        <f t="shared" si="2"/>
        <v>105.25833333333333</v>
      </c>
      <c r="O36" s="28">
        <f t="shared" si="2"/>
        <v>0.22499999999999998</v>
      </c>
      <c r="P36" s="28">
        <f t="shared" si="2"/>
        <v>0.25499999999999995</v>
      </c>
      <c r="Q36" s="28">
        <f t="shared" si="2"/>
        <v>9.0037499999999984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0.93612744936214709</v>
      </c>
      <c r="C37" s="28">
        <f t="shared" ref="C37:Q37" si="3">STDEV(C9:C32)</f>
        <v>1.0336447929395352</v>
      </c>
      <c r="D37" s="28">
        <f t="shared" si="3"/>
        <v>0.8114412834714162</v>
      </c>
      <c r="E37" s="28">
        <f t="shared" si="3"/>
        <v>0.3721828968338714</v>
      </c>
      <c r="F37" s="28">
        <f t="shared" si="3"/>
        <v>0.44729784519805904</v>
      </c>
      <c r="G37" s="28">
        <f t="shared" si="3"/>
        <v>3.0030289057376138</v>
      </c>
      <c r="H37" s="28">
        <f t="shared" si="3"/>
        <v>1.2683744446668967</v>
      </c>
      <c r="I37" s="28">
        <f t="shared" si="3"/>
        <v>0.21986656032199503</v>
      </c>
      <c r="J37" s="28">
        <f t="shared" si="3"/>
        <v>0.22910506418406087</v>
      </c>
      <c r="K37" s="28">
        <f t="shared" si="3"/>
        <v>14.555216151268409</v>
      </c>
      <c r="L37" s="28">
        <f t="shared" si="3"/>
        <v>0.77464110437008871</v>
      </c>
      <c r="M37" s="28">
        <f t="shared" si="3"/>
        <v>6.9088265326300621E-2</v>
      </c>
      <c r="N37" s="28">
        <f t="shared" si="3"/>
        <v>59.769433198981702</v>
      </c>
      <c r="O37" s="28">
        <f t="shared" si="3"/>
        <v>0.58178884560428368</v>
      </c>
      <c r="P37" s="28">
        <f t="shared" si="3"/>
        <v>5.7860401717898378E-2</v>
      </c>
      <c r="Q37" s="28">
        <f t="shared" si="3"/>
        <v>3.5116266514438096E-2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2" t="s">
        <v>684</v>
      </c>
      <c r="B9" s="53">
        <v>4.43</v>
      </c>
      <c r="C9" s="53">
        <v>11.48</v>
      </c>
      <c r="D9" s="53">
        <v>9.5399999999999991</v>
      </c>
      <c r="E9" s="53">
        <v>5.14</v>
      </c>
      <c r="F9" s="53">
        <v>3.72</v>
      </c>
      <c r="G9" s="53">
        <v>4.49</v>
      </c>
      <c r="H9" s="53">
        <v>1.24</v>
      </c>
      <c r="I9" s="53">
        <v>0.57999999999999996</v>
      </c>
      <c r="J9" s="53">
        <v>0.21</v>
      </c>
      <c r="K9" s="53">
        <v>324.07</v>
      </c>
      <c r="L9" s="53">
        <v>23.57</v>
      </c>
      <c r="M9" s="53">
        <v>98.05</v>
      </c>
      <c r="N9" s="53">
        <v>68.2</v>
      </c>
      <c r="O9" s="53">
        <v>0</v>
      </c>
      <c r="P9" s="53">
        <v>0.19</v>
      </c>
      <c r="Q9" s="53">
        <v>8.9700000000000006</v>
      </c>
      <c r="R9" s="43"/>
      <c r="S9" s="43"/>
      <c r="T9" s="43"/>
      <c r="U9" s="43"/>
    </row>
    <row r="10" spans="1:21" s="11" customFormat="1" x14ac:dyDescent="0.25">
      <c r="A10" s="52" t="s">
        <v>685</v>
      </c>
      <c r="B10" s="53">
        <v>4.78</v>
      </c>
      <c r="C10" s="53">
        <v>11.37</v>
      </c>
      <c r="D10" s="53">
        <v>9.65</v>
      </c>
      <c r="E10" s="53">
        <v>5.07</v>
      </c>
      <c r="F10" s="53">
        <v>4.26</v>
      </c>
      <c r="G10" s="53">
        <v>3.67</v>
      </c>
      <c r="H10" s="53">
        <v>1.23</v>
      </c>
      <c r="I10" s="53">
        <v>0.53</v>
      </c>
      <c r="J10" s="53">
        <v>0.12</v>
      </c>
      <c r="K10" s="53">
        <v>311.57</v>
      </c>
      <c r="L10" s="53">
        <v>23.61</v>
      </c>
      <c r="M10" s="53">
        <v>98.08</v>
      </c>
      <c r="N10" s="53">
        <v>69.7</v>
      </c>
      <c r="O10" s="53">
        <v>0</v>
      </c>
      <c r="P10" s="53">
        <v>0.19</v>
      </c>
      <c r="Q10" s="53">
        <v>8.9499999999999993</v>
      </c>
      <c r="R10" s="43"/>
      <c r="S10" s="43"/>
      <c r="T10" s="43"/>
      <c r="U10" s="43"/>
    </row>
    <row r="11" spans="1:21" s="11" customFormat="1" x14ac:dyDescent="0.25">
      <c r="A11" s="52" t="s">
        <v>686</v>
      </c>
      <c r="B11" s="53">
        <v>4.78</v>
      </c>
      <c r="C11" s="53">
        <v>11.04</v>
      </c>
      <c r="D11" s="53">
        <v>9.57</v>
      </c>
      <c r="E11" s="53">
        <v>5.25</v>
      </c>
      <c r="F11" s="53">
        <v>3.79</v>
      </c>
      <c r="G11" s="53">
        <v>3.57</v>
      </c>
      <c r="H11" s="53">
        <v>1.21</v>
      </c>
      <c r="I11" s="53">
        <v>0.48</v>
      </c>
      <c r="J11" s="53">
        <v>0.2</v>
      </c>
      <c r="K11" s="53">
        <v>315.89</v>
      </c>
      <c r="L11" s="53">
        <v>23.54</v>
      </c>
      <c r="M11" s="53">
        <v>98.13</v>
      </c>
      <c r="N11" s="53">
        <v>72.2</v>
      </c>
      <c r="O11" s="53">
        <v>0</v>
      </c>
      <c r="P11" s="53">
        <v>0.17</v>
      </c>
      <c r="Q11" s="53">
        <v>8.92</v>
      </c>
      <c r="R11" s="43"/>
      <c r="S11" s="43"/>
      <c r="T11" s="43"/>
      <c r="U11" s="43"/>
    </row>
    <row r="12" spans="1:21" s="11" customFormat="1" x14ac:dyDescent="0.25">
      <c r="A12" s="52" t="s">
        <v>687</v>
      </c>
      <c r="B12" s="53">
        <v>5.08</v>
      </c>
      <c r="C12" s="53">
        <v>10.8</v>
      </c>
      <c r="D12" s="53">
        <v>9.5500000000000007</v>
      </c>
      <c r="E12" s="53">
        <v>5.32</v>
      </c>
      <c r="F12" s="53">
        <v>5.84</v>
      </c>
      <c r="G12" s="53">
        <v>3.37</v>
      </c>
      <c r="H12" s="53">
        <v>1.78</v>
      </c>
      <c r="I12" s="53">
        <v>0.46</v>
      </c>
      <c r="J12" s="53">
        <v>0.05</v>
      </c>
      <c r="K12" s="53">
        <v>338.8</v>
      </c>
      <c r="L12" s="53">
        <v>22.66</v>
      </c>
      <c r="M12" s="53">
        <v>98.13</v>
      </c>
      <c r="N12" s="53">
        <v>77.2</v>
      </c>
      <c r="O12" s="53">
        <v>0</v>
      </c>
      <c r="P12" s="53">
        <v>0.16</v>
      </c>
      <c r="Q12" s="53">
        <v>8.9600000000000009</v>
      </c>
      <c r="R12" s="43"/>
      <c r="S12" s="43"/>
      <c r="T12" s="43"/>
      <c r="U12" s="43"/>
    </row>
    <row r="13" spans="1:21" s="11" customFormat="1" x14ac:dyDescent="0.25">
      <c r="A13" s="52" t="s">
        <v>688</v>
      </c>
      <c r="B13" s="53">
        <v>6.04</v>
      </c>
      <c r="C13" s="53">
        <v>10.32</v>
      </c>
      <c r="D13" s="53">
        <v>10.23</v>
      </c>
      <c r="E13" s="53">
        <v>5.17</v>
      </c>
      <c r="F13" s="53">
        <v>5.42</v>
      </c>
      <c r="G13" s="53">
        <v>4.2</v>
      </c>
      <c r="H13" s="53">
        <v>1.75</v>
      </c>
      <c r="I13" s="53">
        <v>0.48</v>
      </c>
      <c r="J13" s="53">
        <v>0.18</v>
      </c>
      <c r="K13" s="53">
        <v>324.06</v>
      </c>
      <c r="L13" s="53">
        <v>22.85</v>
      </c>
      <c r="M13" s="53">
        <v>98.13</v>
      </c>
      <c r="N13" s="53">
        <v>77.2</v>
      </c>
      <c r="O13" s="53">
        <v>0</v>
      </c>
      <c r="P13" s="53">
        <v>0.15</v>
      </c>
      <c r="Q13" s="53">
        <v>9.01</v>
      </c>
      <c r="R13" s="43"/>
      <c r="S13" s="43"/>
      <c r="T13" s="43"/>
      <c r="U13" s="43"/>
    </row>
    <row r="14" spans="1:21" s="11" customFormat="1" x14ac:dyDescent="0.25">
      <c r="A14" s="52" t="s">
        <v>689</v>
      </c>
      <c r="B14" s="53">
        <v>6.07</v>
      </c>
      <c r="C14" s="53">
        <v>10.78</v>
      </c>
      <c r="D14" s="53">
        <v>10.49</v>
      </c>
      <c r="E14" s="53">
        <v>4.9800000000000004</v>
      </c>
      <c r="F14" s="53">
        <v>4.24</v>
      </c>
      <c r="G14" s="53">
        <v>4.0599999999999996</v>
      </c>
      <c r="H14" s="53">
        <v>2.1</v>
      </c>
      <c r="I14" s="53">
        <v>0.5</v>
      </c>
      <c r="J14" s="53">
        <v>0.14000000000000001</v>
      </c>
      <c r="K14" s="53">
        <v>307.64</v>
      </c>
      <c r="L14" s="53">
        <v>23.06</v>
      </c>
      <c r="M14" s="53">
        <v>98.11</v>
      </c>
      <c r="N14" s="53">
        <v>79.8</v>
      </c>
      <c r="O14" s="53">
        <v>0</v>
      </c>
      <c r="P14" s="53">
        <v>0.16</v>
      </c>
      <c r="Q14" s="53">
        <v>9.01</v>
      </c>
      <c r="R14" s="43"/>
      <c r="S14" s="43"/>
      <c r="T14" s="43"/>
      <c r="U14" s="43"/>
    </row>
    <row r="15" spans="1:21" s="11" customFormat="1" x14ac:dyDescent="0.25">
      <c r="A15" s="52" t="s">
        <v>690</v>
      </c>
      <c r="B15" s="53">
        <v>6.08</v>
      </c>
      <c r="C15" s="53">
        <v>10.91</v>
      </c>
      <c r="D15" s="53">
        <v>10.52</v>
      </c>
      <c r="E15" s="53">
        <v>5.1100000000000003</v>
      </c>
      <c r="F15" s="53">
        <v>4.42</v>
      </c>
      <c r="G15" s="53">
        <v>3.99</v>
      </c>
      <c r="H15" s="53">
        <v>2.7</v>
      </c>
      <c r="I15" s="53">
        <v>0.47</v>
      </c>
      <c r="J15" s="53">
        <v>0.1</v>
      </c>
      <c r="K15" s="53">
        <v>265.49</v>
      </c>
      <c r="L15" s="53">
        <v>23</v>
      </c>
      <c r="M15" s="53">
        <v>98.13</v>
      </c>
      <c r="N15" s="53">
        <v>88.7</v>
      </c>
      <c r="O15" s="53">
        <v>0</v>
      </c>
      <c r="P15" s="53">
        <v>0.17</v>
      </c>
      <c r="Q15" s="53">
        <v>8.9700000000000006</v>
      </c>
      <c r="R15" s="43"/>
      <c r="S15" s="43"/>
      <c r="T15" s="43"/>
      <c r="U15" s="43"/>
    </row>
    <row r="16" spans="1:21" s="11" customFormat="1" x14ac:dyDescent="0.25">
      <c r="A16" s="52" t="s">
        <v>691</v>
      </c>
      <c r="B16" s="53">
        <v>6.05</v>
      </c>
      <c r="C16" s="53">
        <v>11.16</v>
      </c>
      <c r="D16" s="53">
        <v>10.63</v>
      </c>
      <c r="E16" s="53">
        <v>5.52</v>
      </c>
      <c r="F16" s="53">
        <v>4.03</v>
      </c>
      <c r="G16" s="53">
        <v>5.92</v>
      </c>
      <c r="H16" s="53">
        <v>4.2300000000000004</v>
      </c>
      <c r="I16" s="53">
        <v>0.49</v>
      </c>
      <c r="J16" s="53">
        <v>0.16</v>
      </c>
      <c r="K16" s="53">
        <v>287.45999999999998</v>
      </c>
      <c r="L16" s="53">
        <v>23.07</v>
      </c>
      <c r="M16" s="53">
        <v>98.14</v>
      </c>
      <c r="N16" s="53">
        <v>186</v>
      </c>
      <c r="O16" s="53">
        <v>0</v>
      </c>
      <c r="P16" s="53">
        <v>0.16</v>
      </c>
      <c r="Q16" s="53">
        <v>8.9600000000000009</v>
      </c>
      <c r="R16" s="43"/>
      <c r="S16" s="43"/>
      <c r="T16" s="43"/>
      <c r="U16" s="43"/>
    </row>
    <row r="17" spans="1:21" s="11" customFormat="1" x14ac:dyDescent="0.25">
      <c r="A17" s="52" t="s">
        <v>692</v>
      </c>
      <c r="B17" s="53">
        <v>5.84</v>
      </c>
      <c r="C17" s="53">
        <v>11.7</v>
      </c>
      <c r="D17" s="53">
        <v>10.59</v>
      </c>
      <c r="E17" s="53">
        <v>3.82</v>
      </c>
      <c r="F17" s="53">
        <v>3.78</v>
      </c>
      <c r="G17" s="53">
        <v>5.8</v>
      </c>
      <c r="H17" s="53">
        <v>3.97</v>
      </c>
      <c r="I17" s="53">
        <v>0.5</v>
      </c>
      <c r="J17" s="53">
        <v>0.17</v>
      </c>
      <c r="K17" s="53">
        <v>303</v>
      </c>
      <c r="L17" s="53">
        <v>23.47</v>
      </c>
      <c r="M17" s="53">
        <v>98.07</v>
      </c>
      <c r="N17" s="53">
        <v>220.1</v>
      </c>
      <c r="O17" s="53">
        <v>0</v>
      </c>
      <c r="P17" s="53">
        <v>0.17</v>
      </c>
      <c r="Q17" s="53">
        <v>8.99</v>
      </c>
      <c r="R17" s="43"/>
      <c r="S17" s="43"/>
      <c r="T17" s="43"/>
      <c r="U17" s="43"/>
    </row>
    <row r="18" spans="1:21" s="11" customFormat="1" x14ac:dyDescent="0.25">
      <c r="A18" s="52" t="s">
        <v>693</v>
      </c>
      <c r="B18" s="53">
        <v>6.01</v>
      </c>
      <c r="C18" s="53">
        <v>12.23</v>
      </c>
      <c r="D18" s="53">
        <v>11.21</v>
      </c>
      <c r="E18" s="53">
        <v>3.92</v>
      </c>
      <c r="F18" s="53">
        <v>4.7699999999999996</v>
      </c>
      <c r="G18" s="53">
        <v>7.47</v>
      </c>
      <c r="H18" s="53">
        <v>3</v>
      </c>
      <c r="I18" s="53">
        <v>0.56000000000000005</v>
      </c>
      <c r="J18" s="53">
        <v>0.23</v>
      </c>
      <c r="K18" s="53">
        <v>295.5</v>
      </c>
      <c r="L18" s="53">
        <v>24.52</v>
      </c>
      <c r="M18" s="53">
        <v>98.07</v>
      </c>
      <c r="N18" s="53">
        <v>272.7</v>
      </c>
      <c r="O18" s="53">
        <v>0</v>
      </c>
      <c r="P18" s="53">
        <v>0.21</v>
      </c>
      <c r="Q18" s="53">
        <v>9.01</v>
      </c>
      <c r="R18" s="43"/>
      <c r="S18" s="43"/>
      <c r="T18" s="43"/>
      <c r="U18" s="43"/>
    </row>
    <row r="19" spans="1:21" s="11" customFormat="1" x14ac:dyDescent="0.25">
      <c r="A19" s="52" t="s">
        <v>694</v>
      </c>
      <c r="B19" s="53">
        <v>5.85</v>
      </c>
      <c r="C19" s="53">
        <v>12.88</v>
      </c>
      <c r="D19" s="53">
        <v>11.2</v>
      </c>
      <c r="E19" s="53">
        <v>4.08</v>
      </c>
      <c r="F19" s="53">
        <v>4.04</v>
      </c>
      <c r="G19" s="53">
        <v>7.33</v>
      </c>
      <c r="H19" s="53">
        <v>2.54</v>
      </c>
      <c r="I19" s="53">
        <v>0.61</v>
      </c>
      <c r="J19" s="53">
        <v>0.25</v>
      </c>
      <c r="K19" s="53">
        <v>296.45</v>
      </c>
      <c r="L19" s="53">
        <v>24.8</v>
      </c>
      <c r="M19" s="53">
        <v>98.03</v>
      </c>
      <c r="N19" s="53">
        <v>231</v>
      </c>
      <c r="O19" s="53">
        <v>0</v>
      </c>
      <c r="P19" s="53">
        <v>0.23</v>
      </c>
      <c r="Q19" s="53">
        <v>8.98</v>
      </c>
      <c r="R19" s="43"/>
      <c r="S19" s="43"/>
      <c r="T19" s="43"/>
      <c r="U19" s="43"/>
    </row>
    <row r="20" spans="1:21" s="11" customFormat="1" x14ac:dyDescent="0.25">
      <c r="A20" s="52" t="s">
        <v>695</v>
      </c>
      <c r="B20" s="53">
        <v>5.71</v>
      </c>
      <c r="C20" s="53">
        <v>13.1</v>
      </c>
      <c r="D20" s="53">
        <v>11.27</v>
      </c>
      <c r="E20" s="53">
        <v>4.18</v>
      </c>
      <c r="F20" s="53">
        <v>4.24</v>
      </c>
      <c r="G20" s="53">
        <v>9.84</v>
      </c>
      <c r="H20" s="53">
        <v>4.8499999999999996</v>
      </c>
      <c r="I20" s="53">
        <v>0.7</v>
      </c>
      <c r="J20" s="53">
        <v>0.27</v>
      </c>
      <c r="K20" s="53">
        <v>292.66000000000003</v>
      </c>
      <c r="L20" s="53">
        <v>25.34</v>
      </c>
      <c r="M20" s="53">
        <v>98.03</v>
      </c>
      <c r="N20" s="53">
        <v>300</v>
      </c>
      <c r="O20" s="53">
        <v>0</v>
      </c>
      <c r="P20" s="53">
        <v>0.26</v>
      </c>
      <c r="Q20" s="53">
        <v>8.9700000000000006</v>
      </c>
      <c r="R20" s="43"/>
      <c r="S20" s="43"/>
      <c r="T20" s="43"/>
      <c r="U20" s="43"/>
    </row>
    <row r="21" spans="1:21" s="11" customFormat="1" x14ac:dyDescent="0.25">
      <c r="A21" s="52" t="s">
        <v>696</v>
      </c>
      <c r="B21" s="53">
        <v>5.4</v>
      </c>
      <c r="C21" s="53">
        <v>14.47</v>
      </c>
      <c r="D21" s="53">
        <v>11.77</v>
      </c>
      <c r="E21" s="53">
        <v>3.98</v>
      </c>
      <c r="F21" s="53">
        <v>4.32</v>
      </c>
      <c r="G21" s="53">
        <v>13.92</v>
      </c>
      <c r="H21" s="53">
        <v>8.1</v>
      </c>
      <c r="I21" s="53">
        <v>0.72</v>
      </c>
      <c r="J21" s="53">
        <v>0.35</v>
      </c>
      <c r="K21" s="53">
        <v>298.69</v>
      </c>
      <c r="L21" s="53">
        <v>25.92</v>
      </c>
      <c r="M21" s="53">
        <v>97.14</v>
      </c>
      <c r="N21" s="53">
        <v>439.4</v>
      </c>
      <c r="O21" s="53">
        <v>0</v>
      </c>
      <c r="P21" s="53">
        <v>0.25</v>
      </c>
      <c r="Q21" s="53">
        <v>8.98</v>
      </c>
      <c r="R21" s="43"/>
      <c r="S21" s="43"/>
      <c r="T21" s="43"/>
      <c r="U21" s="43"/>
    </row>
    <row r="22" spans="1:21" s="11" customFormat="1" x14ac:dyDescent="0.25">
      <c r="A22" s="52" t="s">
        <v>697</v>
      </c>
      <c r="B22" s="53">
        <v>5.95</v>
      </c>
      <c r="C22" s="53">
        <v>14.6</v>
      </c>
      <c r="D22" s="53">
        <v>12.4</v>
      </c>
      <c r="E22" s="53">
        <v>4.34</v>
      </c>
      <c r="F22" s="53">
        <v>4.7</v>
      </c>
      <c r="G22" s="53">
        <v>16.2</v>
      </c>
      <c r="H22" s="53">
        <v>7.58</v>
      </c>
      <c r="I22" s="53">
        <v>0.6</v>
      </c>
      <c r="J22" s="53">
        <v>0.35</v>
      </c>
      <c r="K22" s="53">
        <v>296.22000000000003</v>
      </c>
      <c r="L22" s="53">
        <v>27.38</v>
      </c>
      <c r="M22" s="53">
        <v>97.42</v>
      </c>
      <c r="N22" s="53">
        <v>319.5</v>
      </c>
      <c r="O22" s="53">
        <v>0</v>
      </c>
      <c r="P22" s="53">
        <v>0.28000000000000003</v>
      </c>
      <c r="Q22" s="53">
        <v>9.0299999999999994</v>
      </c>
      <c r="R22" s="43"/>
      <c r="S22" s="43"/>
      <c r="T22" s="43"/>
      <c r="U22" s="43"/>
    </row>
    <row r="23" spans="1:21" s="11" customFormat="1" x14ac:dyDescent="0.25">
      <c r="A23" s="52" t="s">
        <v>698</v>
      </c>
      <c r="B23" s="53">
        <v>6.2</v>
      </c>
      <c r="C23" s="53">
        <v>14.51</v>
      </c>
      <c r="D23" s="53">
        <v>12.38</v>
      </c>
      <c r="E23" s="53">
        <v>4.18</v>
      </c>
      <c r="F23" s="53">
        <v>4.5</v>
      </c>
      <c r="G23" s="53">
        <v>16.7</v>
      </c>
      <c r="H23" s="53">
        <v>7.56</v>
      </c>
      <c r="I23" s="53">
        <v>0.69</v>
      </c>
      <c r="J23" s="53">
        <v>0.37</v>
      </c>
      <c r="K23" s="53">
        <v>293.72000000000003</v>
      </c>
      <c r="L23" s="53">
        <v>27.48</v>
      </c>
      <c r="M23" s="53">
        <v>90.64</v>
      </c>
      <c r="N23" s="53">
        <v>344.9</v>
      </c>
      <c r="O23" s="53">
        <v>0</v>
      </c>
      <c r="P23" s="53">
        <v>0.3</v>
      </c>
      <c r="Q23" s="53">
        <v>9.0399999999999991</v>
      </c>
      <c r="R23" s="43"/>
      <c r="S23" s="43"/>
      <c r="T23" s="43"/>
      <c r="U23" s="43"/>
    </row>
    <row r="24" spans="1:21" s="11" customFormat="1" x14ac:dyDescent="0.25">
      <c r="A24" s="52" t="s">
        <v>699</v>
      </c>
      <c r="B24" s="53">
        <v>6.55</v>
      </c>
      <c r="C24" s="53">
        <v>16.21</v>
      </c>
      <c r="D24" s="53">
        <v>13.32</v>
      </c>
      <c r="E24" s="53">
        <v>4.21</v>
      </c>
      <c r="F24" s="53">
        <v>4.45</v>
      </c>
      <c r="G24" s="53">
        <v>17.2</v>
      </c>
      <c r="H24" s="53">
        <v>7.13</v>
      </c>
      <c r="I24" s="53">
        <v>0.74</v>
      </c>
      <c r="J24" s="53">
        <v>0.28000000000000003</v>
      </c>
      <c r="K24" s="53">
        <v>300.2</v>
      </c>
      <c r="L24" s="53">
        <v>26.63</v>
      </c>
      <c r="M24" s="53">
        <v>95.05</v>
      </c>
      <c r="N24" s="53">
        <v>171.6</v>
      </c>
      <c r="O24" s="53">
        <v>0</v>
      </c>
      <c r="P24" s="53">
        <v>0.31</v>
      </c>
      <c r="Q24" s="53">
        <v>9.01</v>
      </c>
      <c r="R24" s="43"/>
      <c r="S24" s="43"/>
      <c r="T24" s="43"/>
      <c r="U24" s="43"/>
    </row>
    <row r="25" spans="1:21" s="11" customFormat="1" x14ac:dyDescent="0.25">
      <c r="A25" s="52" t="s">
        <v>700</v>
      </c>
      <c r="B25" s="53">
        <v>6.89</v>
      </c>
      <c r="C25" s="53">
        <v>14.95</v>
      </c>
      <c r="D25" s="53">
        <v>13.34</v>
      </c>
      <c r="E25" s="53">
        <v>4.8099999999999996</v>
      </c>
      <c r="F25" s="53">
        <v>4.29</v>
      </c>
      <c r="G25" s="53">
        <v>20.170000000000002</v>
      </c>
      <c r="H25" s="53">
        <v>5.36</v>
      </c>
      <c r="I25" s="53">
        <v>0.77</v>
      </c>
      <c r="J25" s="53">
        <v>0.23</v>
      </c>
      <c r="K25" s="53">
        <v>309.83999999999997</v>
      </c>
      <c r="L25" s="53">
        <v>26.55</v>
      </c>
      <c r="M25" s="53">
        <v>95.75</v>
      </c>
      <c r="N25" s="53">
        <v>166.3</v>
      </c>
      <c r="O25" s="53">
        <v>0</v>
      </c>
      <c r="P25" s="53">
        <v>0.31</v>
      </c>
      <c r="Q25" s="53">
        <v>9</v>
      </c>
      <c r="R25" s="43"/>
      <c r="S25" s="43"/>
      <c r="T25" s="43"/>
      <c r="U25" s="43"/>
    </row>
    <row r="26" spans="1:21" s="11" customFormat="1" x14ac:dyDescent="0.25">
      <c r="A26" s="52" t="s">
        <v>701</v>
      </c>
      <c r="B26" s="53">
        <v>7.39</v>
      </c>
      <c r="C26" s="53">
        <v>16.25</v>
      </c>
      <c r="D26" s="53">
        <v>14.4</v>
      </c>
      <c r="E26" s="53">
        <v>4.5999999999999996</v>
      </c>
      <c r="F26" s="53">
        <v>5.91</v>
      </c>
      <c r="G26" s="53">
        <v>19.940000000000001</v>
      </c>
      <c r="H26" s="53">
        <v>5.36</v>
      </c>
      <c r="I26" s="53">
        <v>0.75</v>
      </c>
      <c r="J26" s="53">
        <v>0.21</v>
      </c>
      <c r="K26" s="53">
        <v>338</v>
      </c>
      <c r="L26" s="53">
        <v>26.16</v>
      </c>
      <c r="M26" s="53">
        <v>97.94</v>
      </c>
      <c r="N26" s="53">
        <v>108.6</v>
      </c>
      <c r="O26" s="53">
        <v>0</v>
      </c>
      <c r="P26" s="53">
        <v>0.38</v>
      </c>
      <c r="Q26" s="53">
        <v>9.06</v>
      </c>
      <c r="R26" s="43"/>
      <c r="S26" s="43"/>
      <c r="T26" s="43"/>
      <c r="U26" s="43"/>
    </row>
    <row r="27" spans="1:21" s="11" customFormat="1" x14ac:dyDescent="0.25">
      <c r="A27" s="52" t="s">
        <v>702</v>
      </c>
      <c r="B27" s="53">
        <v>8.25</v>
      </c>
      <c r="C27" s="53">
        <v>17.25</v>
      </c>
      <c r="D27" s="53">
        <v>15.63</v>
      </c>
      <c r="E27" s="53">
        <v>4.7</v>
      </c>
      <c r="F27" s="53">
        <v>6.56</v>
      </c>
      <c r="G27" s="53">
        <v>19.5</v>
      </c>
      <c r="H27" s="53">
        <v>5.36</v>
      </c>
      <c r="I27" s="53">
        <v>0.92</v>
      </c>
      <c r="J27" s="53">
        <v>0.19</v>
      </c>
      <c r="K27" s="53">
        <v>356.67</v>
      </c>
      <c r="L27" s="53">
        <v>25.91</v>
      </c>
      <c r="M27" s="53">
        <v>97.97</v>
      </c>
      <c r="N27" s="53">
        <v>68.7</v>
      </c>
      <c r="O27" s="53">
        <v>0</v>
      </c>
      <c r="P27" s="53">
        <v>0.4</v>
      </c>
      <c r="Q27" s="53">
        <v>9.07</v>
      </c>
      <c r="R27" s="43"/>
      <c r="S27" s="43"/>
      <c r="T27" s="43"/>
      <c r="U27" s="43"/>
    </row>
    <row r="28" spans="1:21" s="11" customFormat="1" x14ac:dyDescent="0.25">
      <c r="A28" s="52" t="s">
        <v>703</v>
      </c>
      <c r="B28" s="53">
        <v>6.87</v>
      </c>
      <c r="C28" s="53">
        <v>13.82</v>
      </c>
      <c r="D28" s="53">
        <v>12.73</v>
      </c>
      <c r="E28" s="53">
        <v>4.8</v>
      </c>
      <c r="F28" s="53">
        <v>5.4</v>
      </c>
      <c r="G28" s="53">
        <v>18.75</v>
      </c>
      <c r="H28" s="53">
        <v>15.19</v>
      </c>
      <c r="I28" s="53">
        <v>0.95</v>
      </c>
      <c r="J28" s="53">
        <v>0.14000000000000001</v>
      </c>
      <c r="K28" s="53">
        <v>343.39</v>
      </c>
      <c r="L28" s="53">
        <v>25.26</v>
      </c>
      <c r="M28" s="53">
        <v>97.98</v>
      </c>
      <c r="N28" s="53">
        <v>48.6</v>
      </c>
      <c r="O28" s="53">
        <v>0</v>
      </c>
      <c r="P28" s="53">
        <v>0.33</v>
      </c>
      <c r="Q28" s="53">
        <v>9.0399999999999991</v>
      </c>
      <c r="R28" s="43"/>
      <c r="S28" s="43"/>
      <c r="T28" s="43"/>
      <c r="U28" s="43"/>
    </row>
    <row r="29" spans="1:21" s="11" customFormat="1" x14ac:dyDescent="0.25">
      <c r="A29" s="52" t="s">
        <v>704</v>
      </c>
      <c r="B29" s="53">
        <v>6.59</v>
      </c>
      <c r="C29" s="53">
        <v>12.95</v>
      </c>
      <c r="D29" s="53">
        <v>12.05</v>
      </c>
      <c r="E29" s="53">
        <v>4.74</v>
      </c>
      <c r="F29" s="53">
        <v>4.09</v>
      </c>
      <c r="G29" s="53">
        <v>18.91</v>
      </c>
      <c r="H29" s="53">
        <v>16.82</v>
      </c>
      <c r="I29" s="53">
        <v>0.97</v>
      </c>
      <c r="J29" s="53">
        <v>0.16</v>
      </c>
      <c r="K29" s="53">
        <v>351.57</v>
      </c>
      <c r="L29" s="53">
        <v>24.91</v>
      </c>
      <c r="M29" s="53">
        <v>98.04</v>
      </c>
      <c r="N29" s="53">
        <v>48.9</v>
      </c>
      <c r="O29" s="53">
        <v>0</v>
      </c>
      <c r="P29" s="53">
        <v>0.31</v>
      </c>
      <c r="Q29" s="53">
        <v>9</v>
      </c>
      <c r="R29" s="43"/>
      <c r="S29" s="43"/>
      <c r="T29" s="43"/>
      <c r="U29" s="43"/>
    </row>
    <row r="30" spans="1:21" s="11" customFormat="1" x14ac:dyDescent="0.25">
      <c r="A30" s="52" t="s">
        <v>705</v>
      </c>
      <c r="B30" s="53">
        <v>5.92</v>
      </c>
      <c r="C30" s="53">
        <v>12.29</v>
      </c>
      <c r="D30" s="53">
        <v>11.17</v>
      </c>
      <c r="E30" s="53">
        <v>4.71</v>
      </c>
      <c r="F30" s="53">
        <v>4.66</v>
      </c>
      <c r="G30" s="53">
        <v>19.21</v>
      </c>
      <c r="H30" s="53">
        <v>16.82</v>
      </c>
      <c r="I30" s="53">
        <v>0.87</v>
      </c>
      <c r="J30" s="53">
        <v>0.17</v>
      </c>
      <c r="K30" s="53">
        <v>336.29</v>
      </c>
      <c r="L30" s="53">
        <v>24.44</v>
      </c>
      <c r="M30" s="53">
        <v>98.04</v>
      </c>
      <c r="N30" s="53">
        <v>48.7</v>
      </c>
      <c r="O30" s="53">
        <v>0</v>
      </c>
      <c r="P30" s="53">
        <v>0.28999999999999998</v>
      </c>
      <c r="Q30" s="53">
        <v>9</v>
      </c>
      <c r="R30" s="43"/>
      <c r="S30" s="43"/>
      <c r="T30" s="43"/>
      <c r="U30" s="43"/>
    </row>
    <row r="31" spans="1:21" s="11" customFormat="1" x14ac:dyDescent="0.25">
      <c r="A31" s="52" t="s">
        <v>706</v>
      </c>
      <c r="B31" s="53">
        <v>6.2</v>
      </c>
      <c r="C31" s="53">
        <v>12.17</v>
      </c>
      <c r="D31" s="53">
        <v>11.19</v>
      </c>
      <c r="E31" s="53">
        <v>4.72</v>
      </c>
      <c r="F31" s="53">
        <v>5.38</v>
      </c>
      <c r="G31" s="53">
        <v>18.59</v>
      </c>
      <c r="H31" s="53">
        <v>11.53</v>
      </c>
      <c r="I31" s="53">
        <v>0.89</v>
      </c>
      <c r="J31" s="53">
        <v>0.08</v>
      </c>
      <c r="K31" s="53">
        <v>338.64</v>
      </c>
      <c r="L31" s="53">
        <v>24.31</v>
      </c>
      <c r="M31" s="53">
        <v>98.03</v>
      </c>
      <c r="N31" s="53">
        <v>49</v>
      </c>
      <c r="O31" s="53">
        <v>0</v>
      </c>
      <c r="P31" s="53">
        <v>0.25</v>
      </c>
      <c r="Q31" s="53">
        <v>9.02</v>
      </c>
      <c r="R31" s="43"/>
      <c r="S31" s="43"/>
      <c r="T31" s="43"/>
      <c r="U31" s="43"/>
    </row>
    <row r="32" spans="1:21" s="11" customFormat="1" x14ac:dyDescent="0.25">
      <c r="A32" s="52" t="s">
        <v>707</v>
      </c>
      <c r="B32" s="53">
        <v>7.71</v>
      </c>
      <c r="C32" s="53">
        <v>11.13</v>
      </c>
      <c r="D32" s="53">
        <v>11.88</v>
      </c>
      <c r="E32" s="53">
        <v>4.9800000000000004</v>
      </c>
      <c r="F32" s="53">
        <v>4.9800000000000004</v>
      </c>
      <c r="G32" s="53">
        <v>15.84</v>
      </c>
      <c r="H32" s="53">
        <v>11.53</v>
      </c>
      <c r="I32" s="53">
        <v>0.86</v>
      </c>
      <c r="J32" s="53">
        <v>0.04</v>
      </c>
      <c r="K32" s="53">
        <v>340.52</v>
      </c>
      <c r="L32" s="53">
        <v>24.1</v>
      </c>
      <c r="M32" s="53">
        <v>98.08</v>
      </c>
      <c r="N32" s="53">
        <v>49</v>
      </c>
      <c r="O32" s="53">
        <v>0</v>
      </c>
      <c r="P32" s="53">
        <v>0.24</v>
      </c>
      <c r="Q32" s="53">
        <v>9.02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4.43</v>
      </c>
      <c r="C34" s="28">
        <f t="shared" si="0"/>
        <v>10.32</v>
      </c>
      <c r="D34" s="28">
        <f t="shared" si="0"/>
        <v>9.5399999999999991</v>
      </c>
      <c r="E34" s="28">
        <f t="shared" si="0"/>
        <v>3.82</v>
      </c>
      <c r="F34" s="28">
        <f t="shared" si="0"/>
        <v>3.72</v>
      </c>
      <c r="G34" s="28">
        <f t="shared" si="0"/>
        <v>3.37</v>
      </c>
      <c r="H34" s="28">
        <f t="shared" si="0"/>
        <v>1.21</v>
      </c>
      <c r="I34" s="28">
        <f t="shared" si="0"/>
        <v>0.46</v>
      </c>
      <c r="J34" s="28">
        <f t="shared" si="0"/>
        <v>0.04</v>
      </c>
      <c r="K34" s="28">
        <f t="shared" si="0"/>
        <v>265.49</v>
      </c>
      <c r="L34" s="28">
        <f t="shared" si="0"/>
        <v>22.66</v>
      </c>
      <c r="M34" s="28">
        <f t="shared" si="0"/>
        <v>90.64</v>
      </c>
      <c r="N34" s="28">
        <f t="shared" si="0"/>
        <v>48.6</v>
      </c>
      <c r="O34" s="28">
        <f t="shared" si="0"/>
        <v>0</v>
      </c>
      <c r="P34" s="28">
        <f t="shared" si="0"/>
        <v>0.15</v>
      </c>
      <c r="Q34" s="28">
        <f t="shared" si="0"/>
        <v>8.92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8.25</v>
      </c>
      <c r="C35" s="29">
        <f t="shared" si="1"/>
        <v>17.25</v>
      </c>
      <c r="D35" s="29">
        <f t="shared" si="1"/>
        <v>15.63</v>
      </c>
      <c r="E35" s="29">
        <f t="shared" si="1"/>
        <v>5.52</v>
      </c>
      <c r="F35" s="29">
        <f t="shared" si="1"/>
        <v>6.56</v>
      </c>
      <c r="G35" s="29">
        <f t="shared" si="1"/>
        <v>20.170000000000002</v>
      </c>
      <c r="H35" s="29">
        <f t="shared" si="1"/>
        <v>16.82</v>
      </c>
      <c r="I35" s="29">
        <f t="shared" si="1"/>
        <v>0.97</v>
      </c>
      <c r="J35" s="29">
        <f t="shared" si="1"/>
        <v>0.37</v>
      </c>
      <c r="K35" s="29">
        <f t="shared" si="1"/>
        <v>356.67</v>
      </c>
      <c r="L35" s="29">
        <f t="shared" si="1"/>
        <v>27.48</v>
      </c>
      <c r="M35" s="29">
        <f t="shared" si="1"/>
        <v>98.14</v>
      </c>
      <c r="N35" s="29">
        <f t="shared" si="1"/>
        <v>439.4</v>
      </c>
      <c r="O35" s="29">
        <f t="shared" si="1"/>
        <v>0</v>
      </c>
      <c r="P35" s="29">
        <f t="shared" si="1"/>
        <v>0.4</v>
      </c>
      <c r="Q35" s="29">
        <f t="shared" si="1"/>
        <v>9.07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6.1099999999999994</v>
      </c>
      <c r="C36" s="28">
        <f t="shared" si="2"/>
        <v>12.848750000000001</v>
      </c>
      <c r="D36" s="28">
        <f t="shared" si="2"/>
        <v>11.529583333333335</v>
      </c>
      <c r="E36" s="28">
        <f t="shared" si="2"/>
        <v>4.680416666666666</v>
      </c>
      <c r="F36" s="28">
        <f t="shared" si="2"/>
        <v>4.6579166666666678</v>
      </c>
      <c r="G36" s="28">
        <f t="shared" si="2"/>
        <v>11.61</v>
      </c>
      <c r="H36" s="28">
        <f t="shared" si="2"/>
        <v>6.2058333333333335</v>
      </c>
      <c r="I36" s="28">
        <f t="shared" si="2"/>
        <v>0.67041666666666666</v>
      </c>
      <c r="J36" s="28">
        <f t="shared" si="2"/>
        <v>0.19375000000000001</v>
      </c>
      <c r="K36" s="28">
        <f t="shared" si="2"/>
        <v>315.26416666666665</v>
      </c>
      <c r="L36" s="28">
        <f t="shared" si="2"/>
        <v>24.689166666666669</v>
      </c>
      <c r="M36" s="28">
        <f t="shared" si="2"/>
        <v>97.46583333333335</v>
      </c>
      <c r="N36" s="28">
        <f t="shared" si="2"/>
        <v>150.24999999999997</v>
      </c>
      <c r="O36" s="28">
        <f t="shared" si="2"/>
        <v>0</v>
      </c>
      <c r="P36" s="28">
        <f t="shared" si="2"/>
        <v>0.24458333333333335</v>
      </c>
      <c r="Q36" s="28">
        <f t="shared" si="2"/>
        <v>8.9987499999999994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0.90199296247134264</v>
      </c>
      <c r="C37" s="28">
        <f t="shared" ref="C37:Q37" si="3">STDEV(C9:C32)</f>
        <v>1.9821931474790946</v>
      </c>
      <c r="D37" s="28">
        <f t="shared" si="3"/>
        <v>1.5626468046976751</v>
      </c>
      <c r="E37" s="28">
        <f t="shared" si="3"/>
        <v>0.48708073758622622</v>
      </c>
      <c r="F37" s="28">
        <f t="shared" si="3"/>
        <v>0.74420064596132529</v>
      </c>
      <c r="G37" s="28">
        <f t="shared" si="3"/>
        <v>6.7182205200872751</v>
      </c>
      <c r="H37" s="28">
        <f t="shared" si="3"/>
        <v>4.8921631355595183</v>
      </c>
      <c r="I37" s="28">
        <f t="shared" si="3"/>
        <v>0.17134960871212113</v>
      </c>
      <c r="J37" s="28">
        <f t="shared" si="3"/>
        <v>8.8554208404157508E-2</v>
      </c>
      <c r="K37" s="28">
        <f t="shared" si="3"/>
        <v>23.555945047937453</v>
      </c>
      <c r="L37" s="28">
        <f t="shared" si="3"/>
        <v>1.4695900542451397</v>
      </c>
      <c r="M37" s="28">
        <f t="shared" si="3"/>
        <v>1.6457822685161962</v>
      </c>
      <c r="N37" s="28">
        <f t="shared" si="3"/>
        <v>114.11164632099106</v>
      </c>
      <c r="O37" s="28">
        <f t="shared" si="3"/>
        <v>0</v>
      </c>
      <c r="P37" s="28">
        <f t="shared" si="3"/>
        <v>7.336502938206925E-2</v>
      </c>
      <c r="Q37" s="28">
        <f t="shared" si="3"/>
        <v>3.5790756640081682E-2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708</v>
      </c>
      <c r="B9" s="53">
        <v>6.62</v>
      </c>
      <c r="C9" s="53">
        <v>10.17</v>
      </c>
      <c r="D9" s="53">
        <v>10.62</v>
      </c>
      <c r="E9" s="53">
        <v>4.7699999999999996</v>
      </c>
      <c r="F9" s="53">
        <v>10.83</v>
      </c>
      <c r="G9" s="53">
        <v>12.67</v>
      </c>
      <c r="H9" s="54" t="s">
        <v>14</v>
      </c>
      <c r="I9" s="53">
        <v>0.81</v>
      </c>
      <c r="J9" s="53">
        <v>0.13</v>
      </c>
      <c r="K9" s="53">
        <v>164.05</v>
      </c>
      <c r="L9" s="53">
        <v>23.9</v>
      </c>
      <c r="M9" s="53">
        <v>98.1</v>
      </c>
      <c r="N9" s="53">
        <v>49</v>
      </c>
      <c r="O9" s="53">
        <v>0</v>
      </c>
      <c r="P9" s="53">
        <v>0.21</v>
      </c>
      <c r="Q9" s="53">
        <v>9</v>
      </c>
      <c r="R9" s="43"/>
      <c r="S9" s="43"/>
      <c r="T9" s="43"/>
      <c r="U9" s="43"/>
    </row>
    <row r="10" spans="1:21" s="11" customFormat="1" x14ac:dyDescent="0.25">
      <c r="A10" s="52" t="s">
        <v>709</v>
      </c>
      <c r="B10" s="53">
        <v>7.09</v>
      </c>
      <c r="C10" s="53">
        <v>10.050000000000001</v>
      </c>
      <c r="D10" s="53">
        <v>10.84</v>
      </c>
      <c r="E10" s="53">
        <v>4.91</v>
      </c>
      <c r="F10" s="53">
        <v>5.04</v>
      </c>
      <c r="G10" s="53">
        <v>9.4600000000000009</v>
      </c>
      <c r="H10" s="54" t="s">
        <v>14</v>
      </c>
      <c r="I10" s="53">
        <v>0.79</v>
      </c>
      <c r="J10" s="53">
        <v>0.12</v>
      </c>
      <c r="K10" s="53">
        <v>337.11</v>
      </c>
      <c r="L10" s="53">
        <v>23.99</v>
      </c>
      <c r="M10" s="53">
        <v>98.1</v>
      </c>
      <c r="N10" s="53">
        <v>49.1</v>
      </c>
      <c r="O10" s="53">
        <v>0.2</v>
      </c>
      <c r="P10" s="53">
        <v>0.22</v>
      </c>
      <c r="Q10" s="53">
        <v>9.01</v>
      </c>
      <c r="R10" s="43"/>
      <c r="S10" s="43"/>
      <c r="T10" s="43"/>
      <c r="U10" s="43"/>
    </row>
    <row r="11" spans="1:21" s="11" customFormat="1" x14ac:dyDescent="0.25">
      <c r="A11" s="52" t="s">
        <v>710</v>
      </c>
      <c r="B11" s="53">
        <v>6.74</v>
      </c>
      <c r="C11" s="53">
        <v>10.94</v>
      </c>
      <c r="D11" s="53">
        <v>10.75</v>
      </c>
      <c r="E11" s="53">
        <v>4.67</v>
      </c>
      <c r="F11" s="53">
        <v>4.37</v>
      </c>
      <c r="G11" s="53">
        <v>7.76</v>
      </c>
      <c r="H11" s="54" t="s">
        <v>14</v>
      </c>
      <c r="I11" s="53">
        <v>0.71</v>
      </c>
      <c r="J11" s="53">
        <v>0.16</v>
      </c>
      <c r="K11" s="53">
        <v>319.75</v>
      </c>
      <c r="L11" s="53">
        <v>24.01</v>
      </c>
      <c r="M11" s="53">
        <v>98.03</v>
      </c>
      <c r="N11" s="53">
        <v>49.4</v>
      </c>
      <c r="O11" s="53">
        <v>0.2</v>
      </c>
      <c r="P11" s="53">
        <v>0.21</v>
      </c>
      <c r="Q11" s="53">
        <v>9.02</v>
      </c>
      <c r="R11" s="43"/>
      <c r="S11" s="43"/>
      <c r="T11" s="43"/>
      <c r="U11" s="43"/>
    </row>
    <row r="12" spans="1:21" s="11" customFormat="1" x14ac:dyDescent="0.25">
      <c r="A12" s="52" t="s">
        <v>711</v>
      </c>
      <c r="B12" s="53">
        <v>5.6</v>
      </c>
      <c r="C12" s="53">
        <v>10.93</v>
      </c>
      <c r="D12" s="53">
        <v>10.119999999999999</v>
      </c>
      <c r="E12" s="53">
        <v>4.9000000000000004</v>
      </c>
      <c r="F12" s="53">
        <v>4.8600000000000003</v>
      </c>
      <c r="G12" s="53">
        <v>7.1</v>
      </c>
      <c r="H12" s="54" t="s">
        <v>14</v>
      </c>
      <c r="I12" s="53">
        <v>0.62</v>
      </c>
      <c r="J12" s="53">
        <v>0.15</v>
      </c>
      <c r="K12" s="53">
        <v>306.56</v>
      </c>
      <c r="L12" s="53">
        <v>23.97</v>
      </c>
      <c r="M12" s="53">
        <v>98.15</v>
      </c>
      <c r="N12" s="53">
        <v>50.8</v>
      </c>
      <c r="O12" s="53">
        <v>0</v>
      </c>
      <c r="P12" s="53">
        <v>0.19</v>
      </c>
      <c r="Q12" s="53">
        <v>8.99</v>
      </c>
      <c r="R12" s="43"/>
      <c r="S12" s="43"/>
      <c r="T12" s="43"/>
      <c r="U12" s="43"/>
    </row>
    <row r="13" spans="1:21" s="11" customFormat="1" x14ac:dyDescent="0.25">
      <c r="A13" s="52" t="s">
        <v>712</v>
      </c>
      <c r="B13" s="53">
        <v>6.08</v>
      </c>
      <c r="C13" s="53">
        <v>10.55</v>
      </c>
      <c r="D13" s="53">
        <v>10.32</v>
      </c>
      <c r="E13" s="53">
        <v>4.79</v>
      </c>
      <c r="F13" s="53">
        <v>4.13</v>
      </c>
      <c r="G13" s="53">
        <v>8.41</v>
      </c>
      <c r="H13" s="54" t="s">
        <v>14</v>
      </c>
      <c r="I13" s="53">
        <v>0.56999999999999995</v>
      </c>
      <c r="J13" s="53">
        <v>0.21</v>
      </c>
      <c r="K13" s="53">
        <v>317.51</v>
      </c>
      <c r="L13" s="53">
        <v>22.71</v>
      </c>
      <c r="M13" s="53">
        <v>98.13</v>
      </c>
      <c r="N13" s="53">
        <v>50.4</v>
      </c>
      <c r="O13" s="53">
        <v>0</v>
      </c>
      <c r="P13" s="53">
        <v>0.19</v>
      </c>
      <c r="Q13" s="53">
        <v>8.9700000000000006</v>
      </c>
      <c r="R13" s="43"/>
      <c r="S13" s="43"/>
      <c r="T13" s="43"/>
      <c r="U13" s="43"/>
    </row>
    <row r="14" spans="1:21" s="11" customFormat="1" x14ac:dyDescent="0.25">
      <c r="A14" s="52" t="s">
        <v>713</v>
      </c>
      <c r="B14" s="53">
        <v>5.97</v>
      </c>
      <c r="C14" s="53">
        <v>11.46</v>
      </c>
      <c r="D14" s="53">
        <v>10.46</v>
      </c>
      <c r="E14" s="53">
        <v>4.66</v>
      </c>
      <c r="F14" s="53">
        <v>4.3099999999999996</v>
      </c>
      <c r="G14" s="53">
        <v>7.84</v>
      </c>
      <c r="H14" s="53">
        <v>6.18</v>
      </c>
      <c r="I14" s="53">
        <v>0.55000000000000004</v>
      </c>
      <c r="J14" s="53">
        <v>0.2</v>
      </c>
      <c r="K14" s="53">
        <v>313.66000000000003</v>
      </c>
      <c r="L14" s="53">
        <v>22.79</v>
      </c>
      <c r="M14" s="53">
        <v>98.12</v>
      </c>
      <c r="N14" s="53">
        <v>58.1</v>
      </c>
      <c r="O14" s="53">
        <v>0</v>
      </c>
      <c r="P14" s="53">
        <v>0.18</v>
      </c>
      <c r="Q14" s="53">
        <v>8.9499999999999993</v>
      </c>
      <c r="R14" s="43"/>
      <c r="S14" s="43"/>
      <c r="T14" s="43"/>
      <c r="U14" s="43"/>
    </row>
    <row r="15" spans="1:21" s="11" customFormat="1" x14ac:dyDescent="0.25">
      <c r="A15" s="52" t="s">
        <v>714</v>
      </c>
      <c r="B15" s="53">
        <v>8.42</v>
      </c>
      <c r="C15" s="53">
        <v>13.13</v>
      </c>
      <c r="D15" s="53">
        <v>13.48</v>
      </c>
      <c r="E15" s="53">
        <v>4.8600000000000003</v>
      </c>
      <c r="F15" s="53">
        <v>5.05</v>
      </c>
      <c r="G15" s="53">
        <v>5.57</v>
      </c>
      <c r="H15" s="53">
        <v>3.29</v>
      </c>
      <c r="I15" s="53">
        <v>0.56000000000000005</v>
      </c>
      <c r="J15" s="53">
        <v>0.14000000000000001</v>
      </c>
      <c r="K15" s="53">
        <v>308.48</v>
      </c>
      <c r="L15" s="53">
        <v>23.49</v>
      </c>
      <c r="M15" s="53">
        <v>98.1</v>
      </c>
      <c r="N15" s="53">
        <v>161.19999999999999</v>
      </c>
      <c r="O15" s="53">
        <v>0</v>
      </c>
      <c r="P15" s="53">
        <v>0.21</v>
      </c>
      <c r="Q15" s="53">
        <v>9.01</v>
      </c>
      <c r="R15" s="43"/>
      <c r="S15" s="43"/>
      <c r="T15" s="43"/>
      <c r="U15" s="43"/>
    </row>
    <row r="16" spans="1:21" s="11" customFormat="1" x14ac:dyDescent="0.25">
      <c r="A16" s="52" t="s">
        <v>715</v>
      </c>
      <c r="B16" s="53">
        <v>9.52</v>
      </c>
      <c r="C16" s="53">
        <v>12.91</v>
      </c>
      <c r="D16" s="53">
        <v>14.38</v>
      </c>
      <c r="E16" s="53">
        <v>4.84</v>
      </c>
      <c r="F16" s="53">
        <v>4.42</v>
      </c>
      <c r="G16" s="53">
        <v>6.74</v>
      </c>
      <c r="H16" s="53">
        <v>1.82</v>
      </c>
      <c r="I16" s="53">
        <v>0.67</v>
      </c>
      <c r="J16" s="53">
        <v>0.16</v>
      </c>
      <c r="K16" s="53">
        <v>288.31</v>
      </c>
      <c r="L16" s="53">
        <v>24.3</v>
      </c>
      <c r="M16" s="53">
        <v>98.1</v>
      </c>
      <c r="N16" s="53">
        <v>194.5</v>
      </c>
      <c r="O16" s="53">
        <v>0</v>
      </c>
      <c r="P16" s="53">
        <v>0.23</v>
      </c>
      <c r="Q16" s="53">
        <v>9.07</v>
      </c>
      <c r="R16" s="43"/>
      <c r="S16" s="43"/>
      <c r="T16" s="43"/>
      <c r="U16" s="43"/>
    </row>
    <row r="17" spans="1:21" s="11" customFormat="1" x14ac:dyDescent="0.25">
      <c r="A17" s="52" t="s">
        <v>716</v>
      </c>
      <c r="B17" s="53">
        <v>8.58</v>
      </c>
      <c r="C17" s="53">
        <v>11.51</v>
      </c>
      <c r="D17" s="53">
        <v>12.44</v>
      </c>
      <c r="E17" s="53">
        <v>4.53</v>
      </c>
      <c r="F17" s="53">
        <v>3.87</v>
      </c>
      <c r="G17" s="53">
        <v>12.62</v>
      </c>
      <c r="H17" s="53">
        <v>1.04</v>
      </c>
      <c r="I17" s="53">
        <v>0.71</v>
      </c>
      <c r="J17" s="53">
        <v>0.26</v>
      </c>
      <c r="K17" s="53">
        <v>299.33</v>
      </c>
      <c r="L17" s="53">
        <v>25.1</v>
      </c>
      <c r="M17" s="53">
        <v>98.1</v>
      </c>
      <c r="N17" s="53">
        <v>312.39999999999998</v>
      </c>
      <c r="O17" s="53">
        <v>0</v>
      </c>
      <c r="P17" s="53">
        <v>0.24</v>
      </c>
      <c r="Q17" s="53">
        <v>9.0500000000000007</v>
      </c>
      <c r="R17" s="43"/>
      <c r="S17" s="43"/>
      <c r="T17" s="43"/>
      <c r="U17" s="43"/>
    </row>
    <row r="18" spans="1:21" s="11" customFormat="1" x14ac:dyDescent="0.25">
      <c r="A18" s="52" t="s">
        <v>717</v>
      </c>
      <c r="B18" s="53">
        <v>7.42</v>
      </c>
      <c r="C18" s="53">
        <v>13.23</v>
      </c>
      <c r="D18" s="53">
        <v>12.57</v>
      </c>
      <c r="E18" s="53">
        <v>4.54</v>
      </c>
      <c r="F18" s="53">
        <v>4.24</v>
      </c>
      <c r="G18" s="53">
        <v>17.12</v>
      </c>
      <c r="H18" s="54" t="s">
        <v>14</v>
      </c>
      <c r="I18" s="53">
        <v>0.74</v>
      </c>
      <c r="J18" s="53">
        <v>0.28000000000000003</v>
      </c>
      <c r="K18" s="53">
        <v>292.17</v>
      </c>
      <c r="L18" s="53">
        <v>25.23</v>
      </c>
      <c r="M18" s="53">
        <v>98.03</v>
      </c>
      <c r="N18" s="53">
        <v>233.9</v>
      </c>
      <c r="O18" s="53">
        <v>0</v>
      </c>
      <c r="P18" s="53">
        <v>0.27</v>
      </c>
      <c r="Q18" s="53">
        <v>9.01</v>
      </c>
      <c r="R18" s="43"/>
      <c r="S18" s="43"/>
      <c r="T18" s="43"/>
      <c r="U18" s="43"/>
    </row>
    <row r="19" spans="1:21" s="11" customFormat="1" x14ac:dyDescent="0.25">
      <c r="A19" s="52" t="s">
        <v>718</v>
      </c>
      <c r="B19" s="53">
        <v>6.62</v>
      </c>
      <c r="C19" s="53">
        <v>15.46</v>
      </c>
      <c r="D19" s="53">
        <v>12.9</v>
      </c>
      <c r="E19" s="53">
        <v>4.49</v>
      </c>
      <c r="F19" s="53">
        <v>4.5</v>
      </c>
      <c r="G19" s="53">
        <v>16.25</v>
      </c>
      <c r="H19" s="54" t="s">
        <v>14</v>
      </c>
      <c r="I19" s="53">
        <v>0.8</v>
      </c>
      <c r="J19" s="53">
        <v>0.28000000000000003</v>
      </c>
      <c r="K19" s="53">
        <v>297.08</v>
      </c>
      <c r="L19" s="53">
        <v>25.43</v>
      </c>
      <c r="M19" s="53">
        <v>97.89</v>
      </c>
      <c r="N19" s="53">
        <v>228.8</v>
      </c>
      <c r="O19" s="53">
        <v>0</v>
      </c>
      <c r="P19" s="53">
        <v>0.33</v>
      </c>
      <c r="Q19" s="53">
        <v>9.01</v>
      </c>
      <c r="R19" s="43"/>
      <c r="S19" s="43"/>
      <c r="T19" s="43"/>
      <c r="U19" s="43"/>
    </row>
    <row r="20" spans="1:21" s="11" customFormat="1" x14ac:dyDescent="0.25">
      <c r="A20" s="52" t="s">
        <v>719</v>
      </c>
      <c r="B20" s="53">
        <v>7.07</v>
      </c>
      <c r="C20" s="53">
        <v>18.66</v>
      </c>
      <c r="D20" s="53">
        <v>14.7</v>
      </c>
      <c r="E20" s="53">
        <v>4.55</v>
      </c>
      <c r="F20" s="53">
        <v>4.99</v>
      </c>
      <c r="G20" s="53">
        <v>19.18</v>
      </c>
      <c r="H20" s="54" t="s">
        <v>14</v>
      </c>
      <c r="I20" s="53">
        <v>0.82</v>
      </c>
      <c r="J20" s="53">
        <v>0.27</v>
      </c>
      <c r="K20" s="53">
        <v>294.16000000000003</v>
      </c>
      <c r="L20" s="53">
        <v>26.1</v>
      </c>
      <c r="M20" s="53">
        <v>94.07</v>
      </c>
      <c r="N20" s="53">
        <v>312.2</v>
      </c>
      <c r="O20" s="53">
        <v>0</v>
      </c>
      <c r="P20" s="53">
        <v>0.33</v>
      </c>
      <c r="Q20" s="53">
        <v>9.0399999999999991</v>
      </c>
      <c r="R20" s="43"/>
      <c r="S20" s="43"/>
      <c r="T20" s="43"/>
      <c r="U20" s="43"/>
    </row>
    <row r="21" spans="1:21" s="11" customFormat="1" x14ac:dyDescent="0.25">
      <c r="A21" s="52" t="s">
        <v>720</v>
      </c>
      <c r="B21" s="53">
        <v>4.82</v>
      </c>
      <c r="C21" s="53">
        <v>17.87</v>
      </c>
      <c r="D21" s="53">
        <v>13.2</v>
      </c>
      <c r="E21" s="53">
        <v>4.63</v>
      </c>
      <c r="F21" s="53">
        <v>5.12</v>
      </c>
      <c r="G21" s="53">
        <v>20.21</v>
      </c>
      <c r="H21" s="54" t="s">
        <v>14</v>
      </c>
      <c r="I21" s="53">
        <v>0.84</v>
      </c>
      <c r="J21" s="53">
        <v>0.27</v>
      </c>
      <c r="K21" s="53">
        <v>298.97000000000003</v>
      </c>
      <c r="L21" s="53">
        <v>26.58</v>
      </c>
      <c r="M21" s="53">
        <v>92.08</v>
      </c>
      <c r="N21" s="53">
        <v>385.3</v>
      </c>
      <c r="O21" s="53">
        <v>0</v>
      </c>
      <c r="P21" s="53">
        <v>0.28999999999999998</v>
      </c>
      <c r="Q21" s="53">
        <v>9.0299999999999994</v>
      </c>
      <c r="R21" s="43"/>
      <c r="S21" s="43"/>
      <c r="T21" s="43"/>
      <c r="U21" s="43"/>
    </row>
    <row r="22" spans="1:21" s="11" customFormat="1" x14ac:dyDescent="0.25">
      <c r="A22" s="52" t="s">
        <v>721</v>
      </c>
      <c r="B22" s="53">
        <v>4.38</v>
      </c>
      <c r="C22" s="53">
        <v>16.45</v>
      </c>
      <c r="D22" s="53">
        <v>12.1</v>
      </c>
      <c r="E22" s="53">
        <v>4.87</v>
      </c>
      <c r="F22" s="53">
        <v>5.68</v>
      </c>
      <c r="G22" s="53">
        <v>39.39</v>
      </c>
      <c r="H22" s="54" t="s">
        <v>14</v>
      </c>
      <c r="I22" s="53">
        <v>0.69</v>
      </c>
      <c r="J22" s="53">
        <v>0.27</v>
      </c>
      <c r="K22" s="53">
        <v>289.02</v>
      </c>
      <c r="L22" s="53">
        <v>25.88</v>
      </c>
      <c r="M22" s="53">
        <v>94.11</v>
      </c>
      <c r="N22" s="53">
        <v>197.2</v>
      </c>
      <c r="O22" s="53">
        <v>0</v>
      </c>
      <c r="P22" s="53">
        <v>0.25</v>
      </c>
      <c r="Q22" s="53">
        <v>8.9600000000000009</v>
      </c>
      <c r="R22" s="43"/>
      <c r="S22" s="43"/>
      <c r="T22" s="43"/>
      <c r="U22" s="43"/>
    </row>
    <row r="23" spans="1:21" s="11" customFormat="1" x14ac:dyDescent="0.25">
      <c r="A23" s="52" t="s">
        <v>722</v>
      </c>
      <c r="B23" s="53">
        <v>5.47</v>
      </c>
      <c r="C23" s="53">
        <v>21.78</v>
      </c>
      <c r="D23" s="53">
        <v>15.77</v>
      </c>
      <c r="E23" s="53">
        <v>4.66</v>
      </c>
      <c r="F23" s="53">
        <v>10.46</v>
      </c>
      <c r="G23" s="53">
        <v>35.72</v>
      </c>
      <c r="H23" s="54" t="s">
        <v>14</v>
      </c>
      <c r="I23" s="53">
        <v>0.64</v>
      </c>
      <c r="J23" s="53">
        <v>0.35</v>
      </c>
      <c r="K23" s="53">
        <v>303.22000000000003</v>
      </c>
      <c r="L23" s="53">
        <v>25.69</v>
      </c>
      <c r="M23" s="53">
        <v>97.23</v>
      </c>
      <c r="N23" s="53">
        <v>155.5</v>
      </c>
      <c r="O23" s="53">
        <v>0</v>
      </c>
      <c r="P23" s="53">
        <v>0.37</v>
      </c>
      <c r="Q23" s="53">
        <v>9.01</v>
      </c>
      <c r="R23" s="43"/>
      <c r="S23" s="43"/>
      <c r="T23" s="43"/>
      <c r="U23" s="43"/>
    </row>
    <row r="24" spans="1:21" s="11" customFormat="1" x14ac:dyDescent="0.25">
      <c r="A24" s="52" t="s">
        <v>723</v>
      </c>
      <c r="B24" s="53">
        <v>7.36</v>
      </c>
      <c r="C24" s="53">
        <v>26.14</v>
      </c>
      <c r="D24" s="53">
        <v>19.559999999999999</v>
      </c>
      <c r="E24" s="53">
        <v>5.13</v>
      </c>
      <c r="F24" s="53">
        <v>8.94</v>
      </c>
      <c r="G24" s="53">
        <v>33.119999999999997</v>
      </c>
      <c r="H24" s="54" t="s">
        <v>14</v>
      </c>
      <c r="I24" s="53">
        <v>0.71</v>
      </c>
      <c r="J24" s="53">
        <v>0.41</v>
      </c>
      <c r="K24" s="53">
        <v>302.86</v>
      </c>
      <c r="L24" s="53">
        <v>25.63</v>
      </c>
      <c r="M24" s="53">
        <v>98</v>
      </c>
      <c r="N24" s="53">
        <v>221.1</v>
      </c>
      <c r="O24" s="53">
        <v>0</v>
      </c>
      <c r="P24" s="53">
        <v>0.42</v>
      </c>
      <c r="Q24" s="53">
        <v>9.14</v>
      </c>
      <c r="R24" s="43"/>
      <c r="S24" s="43"/>
      <c r="T24" s="43"/>
      <c r="U24" s="43"/>
    </row>
    <row r="25" spans="1:21" s="11" customFormat="1" x14ac:dyDescent="0.25">
      <c r="A25" s="52" t="s">
        <v>724</v>
      </c>
      <c r="B25" s="53">
        <v>6.11</v>
      </c>
      <c r="C25" s="53">
        <v>20.86</v>
      </c>
      <c r="D25" s="53">
        <v>15.79</v>
      </c>
      <c r="E25" s="53">
        <v>3.8</v>
      </c>
      <c r="F25" s="53">
        <v>5.66</v>
      </c>
      <c r="G25" s="53">
        <v>31.93</v>
      </c>
      <c r="H25" s="54" t="s">
        <v>14</v>
      </c>
      <c r="I25" s="53">
        <v>0.7</v>
      </c>
      <c r="J25" s="53">
        <v>0.18</v>
      </c>
      <c r="K25" s="53">
        <v>311.64999999999998</v>
      </c>
      <c r="L25" s="53">
        <v>24.16</v>
      </c>
      <c r="M25" s="53">
        <v>98.05</v>
      </c>
      <c r="N25" s="53">
        <v>88.9</v>
      </c>
      <c r="O25" s="53">
        <v>0</v>
      </c>
      <c r="P25" s="53">
        <v>0.33</v>
      </c>
      <c r="Q25" s="53">
        <v>9.08</v>
      </c>
      <c r="R25" s="43"/>
      <c r="S25" s="43"/>
      <c r="T25" s="43"/>
      <c r="U25" s="43"/>
    </row>
    <row r="26" spans="1:21" s="11" customFormat="1" x14ac:dyDescent="0.25">
      <c r="A26" s="52" t="s">
        <v>725</v>
      </c>
      <c r="B26" s="53">
        <v>5.79</v>
      </c>
      <c r="C26" s="53">
        <v>18.239999999999998</v>
      </c>
      <c r="D26" s="53">
        <v>14.17</v>
      </c>
      <c r="E26" s="53">
        <v>3.67</v>
      </c>
      <c r="F26" s="53">
        <v>5.18</v>
      </c>
      <c r="G26" s="53">
        <v>36.15</v>
      </c>
      <c r="H26" s="54" t="s">
        <v>14</v>
      </c>
      <c r="I26" s="53">
        <v>0.71</v>
      </c>
      <c r="J26" s="53">
        <v>0.17</v>
      </c>
      <c r="K26" s="53">
        <v>311.85000000000002</v>
      </c>
      <c r="L26" s="53">
        <v>23.94</v>
      </c>
      <c r="M26" s="53">
        <v>98.07</v>
      </c>
      <c r="N26" s="53">
        <v>75.8</v>
      </c>
      <c r="O26" s="53">
        <v>0</v>
      </c>
      <c r="P26" s="53">
        <v>0.28999999999999998</v>
      </c>
      <c r="Q26" s="53">
        <v>8.99</v>
      </c>
      <c r="R26" s="43"/>
      <c r="S26" s="43"/>
      <c r="T26" s="43"/>
      <c r="U26" s="43"/>
    </row>
    <row r="27" spans="1:21" s="11" customFormat="1" x14ac:dyDescent="0.25">
      <c r="A27" s="52" t="s">
        <v>726</v>
      </c>
      <c r="B27" s="53">
        <v>6.15</v>
      </c>
      <c r="C27" s="53">
        <v>15.68</v>
      </c>
      <c r="D27" s="53">
        <v>12.95</v>
      </c>
      <c r="E27" s="53">
        <v>3.74</v>
      </c>
      <c r="F27" s="53">
        <v>4.49</v>
      </c>
      <c r="G27" s="53">
        <v>33.43</v>
      </c>
      <c r="H27" s="54" t="s">
        <v>14</v>
      </c>
      <c r="I27" s="53">
        <v>0.75</v>
      </c>
      <c r="J27" s="53">
        <v>0.14000000000000001</v>
      </c>
      <c r="K27" s="53">
        <v>314.13</v>
      </c>
      <c r="L27" s="53">
        <v>23.85</v>
      </c>
      <c r="M27" s="53">
        <v>98.03</v>
      </c>
      <c r="N27" s="53">
        <v>59.4</v>
      </c>
      <c r="O27" s="53">
        <v>0</v>
      </c>
      <c r="P27" s="53">
        <v>0.31</v>
      </c>
      <c r="Q27" s="53">
        <v>9.0500000000000007</v>
      </c>
      <c r="R27" s="43"/>
      <c r="S27" s="43"/>
      <c r="T27" s="43"/>
      <c r="U27" s="43"/>
    </row>
    <row r="28" spans="1:21" s="11" customFormat="1" x14ac:dyDescent="0.25">
      <c r="A28" s="52" t="s">
        <v>727</v>
      </c>
      <c r="B28" s="53">
        <v>6.5</v>
      </c>
      <c r="C28" s="53">
        <v>14.46</v>
      </c>
      <c r="D28" s="53">
        <v>12.5</v>
      </c>
      <c r="E28" s="53">
        <v>3.67</v>
      </c>
      <c r="F28" s="53">
        <v>4.78</v>
      </c>
      <c r="G28" s="53">
        <v>25.44</v>
      </c>
      <c r="H28" s="54" t="s">
        <v>14</v>
      </c>
      <c r="I28" s="53">
        <v>0.93</v>
      </c>
      <c r="J28" s="53">
        <v>0.09</v>
      </c>
      <c r="K28" s="53">
        <v>311.52999999999997</v>
      </c>
      <c r="L28" s="53">
        <v>23.92</v>
      </c>
      <c r="M28" s="53">
        <v>98.03</v>
      </c>
      <c r="N28" s="53">
        <v>53.6</v>
      </c>
      <c r="O28" s="53">
        <v>0</v>
      </c>
      <c r="P28" s="53">
        <v>0.32</v>
      </c>
      <c r="Q28" s="53">
        <v>9.06</v>
      </c>
      <c r="R28" s="43"/>
      <c r="S28" s="43"/>
      <c r="T28" s="43"/>
      <c r="U28" s="43"/>
    </row>
    <row r="29" spans="1:21" s="11" customFormat="1" x14ac:dyDescent="0.25">
      <c r="A29" s="52" t="s">
        <v>728</v>
      </c>
      <c r="B29" s="53">
        <v>6.93</v>
      </c>
      <c r="C29" s="53">
        <v>12.76</v>
      </c>
      <c r="D29" s="53">
        <v>12.22</v>
      </c>
      <c r="E29" s="53">
        <v>3.88</v>
      </c>
      <c r="F29" s="53">
        <v>4.1100000000000003</v>
      </c>
      <c r="G29" s="53">
        <v>24.23</v>
      </c>
      <c r="H29" s="54" t="s">
        <v>14</v>
      </c>
      <c r="I29" s="53">
        <v>0.85</v>
      </c>
      <c r="J29" s="53">
        <v>0.22</v>
      </c>
      <c r="K29" s="53">
        <v>315.67</v>
      </c>
      <c r="L29" s="53">
        <v>24.01</v>
      </c>
      <c r="M29" s="53">
        <v>98.02</v>
      </c>
      <c r="N29" s="53">
        <v>54.2</v>
      </c>
      <c r="O29" s="53">
        <v>0</v>
      </c>
      <c r="P29" s="53">
        <v>0.32</v>
      </c>
      <c r="Q29" s="53">
        <v>9.0399999999999991</v>
      </c>
      <c r="R29" s="43"/>
      <c r="S29" s="43"/>
      <c r="T29" s="43"/>
      <c r="U29" s="43"/>
    </row>
    <row r="30" spans="1:21" s="11" customFormat="1" x14ac:dyDescent="0.25">
      <c r="A30" s="52" t="s">
        <v>729</v>
      </c>
      <c r="B30" s="53">
        <v>7.02</v>
      </c>
      <c r="C30" s="53">
        <v>13.36</v>
      </c>
      <c r="D30" s="53">
        <v>12.51</v>
      </c>
      <c r="E30" s="53">
        <v>3.74</v>
      </c>
      <c r="F30" s="53">
        <v>4.1500000000000004</v>
      </c>
      <c r="G30" s="53">
        <v>20.14</v>
      </c>
      <c r="H30" s="54" t="s">
        <v>14</v>
      </c>
      <c r="I30" s="53">
        <v>0.82</v>
      </c>
      <c r="J30" s="53">
        <v>0.17</v>
      </c>
      <c r="K30" s="53">
        <v>339.64</v>
      </c>
      <c r="L30" s="53">
        <v>23.88</v>
      </c>
      <c r="M30" s="53">
        <v>98.03</v>
      </c>
      <c r="N30" s="53">
        <v>54.4</v>
      </c>
      <c r="O30" s="53">
        <v>0</v>
      </c>
      <c r="P30" s="53">
        <v>0.33</v>
      </c>
      <c r="Q30" s="53">
        <v>9.02</v>
      </c>
      <c r="R30" s="43"/>
      <c r="S30" s="43"/>
      <c r="T30" s="43"/>
      <c r="U30" s="43"/>
    </row>
    <row r="31" spans="1:21" s="11" customFormat="1" x14ac:dyDescent="0.25">
      <c r="A31" s="52" t="s">
        <v>730</v>
      </c>
      <c r="B31" s="53">
        <v>7.83</v>
      </c>
      <c r="C31" s="53">
        <v>14.14</v>
      </c>
      <c r="D31" s="53">
        <v>13.11</v>
      </c>
      <c r="E31" s="53">
        <v>3.64</v>
      </c>
      <c r="F31" s="53">
        <v>3.53</v>
      </c>
      <c r="G31" s="53">
        <v>19.12</v>
      </c>
      <c r="H31" s="53">
        <v>2.23</v>
      </c>
      <c r="I31" s="53">
        <v>0.78</v>
      </c>
      <c r="J31" s="53">
        <v>0.24</v>
      </c>
      <c r="K31" s="53">
        <v>330.38</v>
      </c>
      <c r="L31" s="53">
        <v>23.15</v>
      </c>
      <c r="M31" s="53">
        <v>98.05</v>
      </c>
      <c r="N31" s="53">
        <v>54.6</v>
      </c>
      <c r="O31" s="53">
        <v>0</v>
      </c>
      <c r="P31" s="53">
        <v>0.33</v>
      </c>
      <c r="Q31" s="53">
        <v>9.0399999999999991</v>
      </c>
      <c r="R31" s="43"/>
      <c r="S31" s="43"/>
      <c r="T31" s="43"/>
      <c r="U31" s="43"/>
    </row>
    <row r="32" spans="1:21" s="11" customFormat="1" x14ac:dyDescent="0.25">
      <c r="A32" s="52" t="s">
        <v>731</v>
      </c>
      <c r="B32" s="53">
        <v>7.33</v>
      </c>
      <c r="C32" s="53">
        <v>13.1</v>
      </c>
      <c r="D32" s="53">
        <v>12.69</v>
      </c>
      <c r="E32" s="53">
        <v>4.83</v>
      </c>
      <c r="F32" s="53">
        <v>3.63</v>
      </c>
      <c r="G32" s="53">
        <v>16.86</v>
      </c>
      <c r="H32" s="53">
        <v>2.83</v>
      </c>
      <c r="I32" s="53">
        <v>0.73</v>
      </c>
      <c r="J32" s="53">
        <v>0.17</v>
      </c>
      <c r="K32" s="53">
        <v>329.54</v>
      </c>
      <c r="L32" s="53">
        <v>23.25</v>
      </c>
      <c r="M32" s="53">
        <v>98.05</v>
      </c>
      <c r="N32" s="53">
        <v>54.7</v>
      </c>
      <c r="O32" s="53">
        <v>0</v>
      </c>
      <c r="P32" s="53">
        <v>0.27</v>
      </c>
      <c r="Q32" s="53">
        <v>9.0500000000000007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4.38</v>
      </c>
      <c r="C34" s="28">
        <f t="shared" si="0"/>
        <v>10.050000000000001</v>
      </c>
      <c r="D34" s="28">
        <f t="shared" si="0"/>
        <v>10.119999999999999</v>
      </c>
      <c r="E34" s="28">
        <f t="shared" si="0"/>
        <v>3.64</v>
      </c>
      <c r="F34" s="28">
        <f t="shared" si="0"/>
        <v>3.53</v>
      </c>
      <c r="G34" s="28">
        <f t="shared" si="0"/>
        <v>5.57</v>
      </c>
      <c r="H34" s="28">
        <f t="shared" si="0"/>
        <v>1.04</v>
      </c>
      <c r="I34" s="28">
        <f t="shared" si="0"/>
        <v>0.55000000000000004</v>
      </c>
      <c r="J34" s="28">
        <f t="shared" si="0"/>
        <v>0.09</v>
      </c>
      <c r="K34" s="28">
        <f t="shared" si="0"/>
        <v>164.05</v>
      </c>
      <c r="L34" s="28">
        <f t="shared" si="0"/>
        <v>22.71</v>
      </c>
      <c r="M34" s="28">
        <f t="shared" si="0"/>
        <v>92.08</v>
      </c>
      <c r="N34" s="28">
        <f t="shared" si="0"/>
        <v>49</v>
      </c>
      <c r="O34" s="28">
        <f t="shared" si="0"/>
        <v>0</v>
      </c>
      <c r="P34" s="28">
        <f t="shared" si="0"/>
        <v>0.18</v>
      </c>
      <c r="Q34" s="28">
        <f t="shared" si="0"/>
        <v>8.9499999999999993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9.52</v>
      </c>
      <c r="C35" s="29">
        <f t="shared" si="1"/>
        <v>26.14</v>
      </c>
      <c r="D35" s="29">
        <f t="shared" si="1"/>
        <v>19.559999999999999</v>
      </c>
      <c r="E35" s="29">
        <f t="shared" si="1"/>
        <v>5.13</v>
      </c>
      <c r="F35" s="29">
        <f t="shared" si="1"/>
        <v>10.83</v>
      </c>
      <c r="G35" s="29">
        <f t="shared" si="1"/>
        <v>39.39</v>
      </c>
      <c r="H35" s="29">
        <f t="shared" si="1"/>
        <v>6.18</v>
      </c>
      <c r="I35" s="29">
        <f t="shared" si="1"/>
        <v>0.93</v>
      </c>
      <c r="J35" s="29">
        <f t="shared" si="1"/>
        <v>0.41</v>
      </c>
      <c r="K35" s="29">
        <f t="shared" si="1"/>
        <v>339.64</v>
      </c>
      <c r="L35" s="29">
        <f t="shared" si="1"/>
        <v>26.58</v>
      </c>
      <c r="M35" s="29">
        <f t="shared" si="1"/>
        <v>98.15</v>
      </c>
      <c r="N35" s="29">
        <f t="shared" si="1"/>
        <v>385.3</v>
      </c>
      <c r="O35" s="29">
        <f t="shared" si="1"/>
        <v>0.2</v>
      </c>
      <c r="P35" s="29">
        <f t="shared" si="1"/>
        <v>0.42</v>
      </c>
      <c r="Q35" s="29">
        <f t="shared" si="1"/>
        <v>9.14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6.7258333333333349</v>
      </c>
      <c r="C36" s="28">
        <f t="shared" si="2"/>
        <v>14.743333333333334</v>
      </c>
      <c r="D36" s="28">
        <f t="shared" si="2"/>
        <v>12.922916666666666</v>
      </c>
      <c r="E36" s="28">
        <f t="shared" si="2"/>
        <v>4.4487499999999995</v>
      </c>
      <c r="F36" s="28">
        <f t="shared" si="2"/>
        <v>5.2641666666666671</v>
      </c>
      <c r="G36" s="28">
        <f t="shared" si="2"/>
        <v>19.435833333333335</v>
      </c>
      <c r="H36" s="28">
        <f t="shared" si="2"/>
        <v>2.8983333333333334</v>
      </c>
      <c r="I36" s="28">
        <f t="shared" si="2"/>
        <v>0.72916666666666663</v>
      </c>
      <c r="J36" s="28">
        <f t="shared" si="2"/>
        <v>0.21</v>
      </c>
      <c r="K36" s="28">
        <f t="shared" si="2"/>
        <v>304.02625</v>
      </c>
      <c r="L36" s="28">
        <f t="shared" si="2"/>
        <v>24.373333333333335</v>
      </c>
      <c r="M36" s="28">
        <f t="shared" si="2"/>
        <v>97.444583333333341</v>
      </c>
      <c r="N36" s="28">
        <f t="shared" si="2"/>
        <v>133.52083333333331</v>
      </c>
      <c r="O36" s="28">
        <f t="shared" si="2"/>
        <v>1.6666666666666666E-2</v>
      </c>
      <c r="P36" s="28">
        <f t="shared" si="2"/>
        <v>0.27666666666666667</v>
      </c>
      <c r="Q36" s="28">
        <f t="shared" si="2"/>
        <v>9.0250000000000004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1.1719805483868171</v>
      </c>
      <c r="C37" s="28">
        <f t="shared" ref="C37:Q37" si="3">STDEV(C9:C32)</f>
        <v>4.0991702942728754</v>
      </c>
      <c r="D37" s="28">
        <f t="shared" si="3"/>
        <v>2.132872077059822</v>
      </c>
      <c r="E37" s="28">
        <f t="shared" si="3"/>
        <v>0.49162828393535452</v>
      </c>
      <c r="F37" s="28">
        <f t="shared" si="3"/>
        <v>1.9621370706599413</v>
      </c>
      <c r="G37" s="28">
        <f t="shared" si="3"/>
        <v>10.742177302037314</v>
      </c>
      <c r="H37" s="28">
        <f t="shared" si="3"/>
        <v>1.788311121328352</v>
      </c>
      <c r="I37" s="28">
        <f t="shared" si="3"/>
        <v>9.677030925662683E-2</v>
      </c>
      <c r="J37" s="28">
        <f t="shared" si="3"/>
        <v>7.7122150430058115E-2</v>
      </c>
      <c r="K37" s="28">
        <f t="shared" si="3"/>
        <v>33.015867570200932</v>
      </c>
      <c r="L37" s="28">
        <f t="shared" si="3"/>
        <v>1.0710322800586061</v>
      </c>
      <c r="M37" s="28">
        <f t="shared" si="3"/>
        <v>1.6008937155244873</v>
      </c>
      <c r="N37" s="28">
        <f t="shared" si="3"/>
        <v>103.4508536084591</v>
      </c>
      <c r="O37" s="28">
        <f t="shared" si="3"/>
        <v>5.6465970257327996E-2</v>
      </c>
      <c r="P37" s="28">
        <f t="shared" si="3"/>
        <v>6.3906634796509876E-2</v>
      </c>
      <c r="Q37" s="28">
        <f t="shared" si="3"/>
        <v>4.1283747723371275E-2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COUNT(H9:H32)+18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732</v>
      </c>
      <c r="B9" s="53">
        <v>5.89</v>
      </c>
      <c r="C9" s="53">
        <v>12.56</v>
      </c>
      <c r="D9" s="53">
        <v>11.28</v>
      </c>
      <c r="E9" s="53">
        <v>4.78</v>
      </c>
      <c r="F9" s="53">
        <v>4.32</v>
      </c>
      <c r="G9" s="53">
        <v>14.83</v>
      </c>
      <c r="H9" s="53">
        <v>2.6</v>
      </c>
      <c r="I9" s="53">
        <v>0.75</v>
      </c>
      <c r="J9" s="53">
        <v>0.18</v>
      </c>
      <c r="K9" s="53">
        <v>316.33999999999997</v>
      </c>
      <c r="L9" s="53">
        <v>23.21</v>
      </c>
      <c r="M9" s="53">
        <v>98.06</v>
      </c>
      <c r="N9" s="53">
        <v>54.9</v>
      </c>
      <c r="O9" s="53">
        <v>0</v>
      </c>
      <c r="P9" s="53">
        <v>0.25</v>
      </c>
      <c r="Q9" s="53">
        <v>9.02</v>
      </c>
      <c r="R9" s="43"/>
      <c r="S9" s="43"/>
      <c r="T9" s="43"/>
      <c r="U9" s="43"/>
    </row>
    <row r="10" spans="1:21" s="11" customFormat="1" x14ac:dyDescent="0.25">
      <c r="A10" s="52" t="s">
        <v>733</v>
      </c>
      <c r="B10" s="53">
        <v>5.32</v>
      </c>
      <c r="C10" s="53">
        <v>11.52</v>
      </c>
      <c r="D10" s="53">
        <v>10.28</v>
      </c>
      <c r="E10" s="53">
        <v>4.5999999999999996</v>
      </c>
      <c r="F10" s="53">
        <v>4.08</v>
      </c>
      <c r="G10" s="53">
        <v>11.86</v>
      </c>
      <c r="H10" s="53">
        <v>1.78</v>
      </c>
      <c r="I10" s="53">
        <v>0.59</v>
      </c>
      <c r="J10" s="53">
        <v>0.09</v>
      </c>
      <c r="K10" s="53">
        <v>323.27999999999997</v>
      </c>
      <c r="L10" s="53">
        <v>23.06</v>
      </c>
      <c r="M10" s="53">
        <v>98.11</v>
      </c>
      <c r="N10" s="53">
        <v>55.8</v>
      </c>
      <c r="O10" s="53">
        <v>0</v>
      </c>
      <c r="P10" s="53">
        <v>0.2</v>
      </c>
      <c r="Q10" s="53">
        <v>8.9499999999999993</v>
      </c>
      <c r="R10" s="43"/>
      <c r="S10" s="43"/>
      <c r="T10" s="43"/>
      <c r="U10" s="43"/>
    </row>
    <row r="11" spans="1:21" s="11" customFormat="1" x14ac:dyDescent="0.25">
      <c r="A11" s="52" t="s">
        <v>734</v>
      </c>
      <c r="B11" s="53">
        <v>5.32</v>
      </c>
      <c r="C11" s="53">
        <v>10.97</v>
      </c>
      <c r="D11" s="53">
        <v>9.9600000000000009</v>
      </c>
      <c r="E11" s="53">
        <v>4.8499999999999996</v>
      </c>
      <c r="F11" s="53">
        <v>4.28</v>
      </c>
      <c r="G11" s="53">
        <v>8.99</v>
      </c>
      <c r="H11" s="53">
        <v>2.68</v>
      </c>
      <c r="I11" s="53">
        <v>0.55000000000000004</v>
      </c>
      <c r="J11" s="53">
        <v>0.11</v>
      </c>
      <c r="K11" s="53">
        <v>319.27999999999997</v>
      </c>
      <c r="L11" s="53">
        <v>22.31</v>
      </c>
      <c r="M11" s="53">
        <v>98.12</v>
      </c>
      <c r="N11" s="53">
        <v>55.9</v>
      </c>
      <c r="O11" s="53">
        <v>0</v>
      </c>
      <c r="P11" s="53">
        <v>0.19</v>
      </c>
      <c r="Q11" s="53">
        <v>8.94</v>
      </c>
      <c r="R11" s="43"/>
      <c r="S11" s="43"/>
      <c r="T11" s="43"/>
      <c r="U11" s="43"/>
    </row>
    <row r="12" spans="1:21" s="11" customFormat="1" x14ac:dyDescent="0.25">
      <c r="A12" s="52" t="s">
        <v>735</v>
      </c>
      <c r="B12" s="53">
        <v>5.54</v>
      </c>
      <c r="C12" s="53">
        <v>10.7</v>
      </c>
      <c r="D12" s="53">
        <v>10.039999999999999</v>
      </c>
      <c r="E12" s="53">
        <v>4.75</v>
      </c>
      <c r="F12" s="53">
        <v>4.0599999999999996</v>
      </c>
      <c r="G12" s="53">
        <v>7.88</v>
      </c>
      <c r="H12" s="53">
        <v>3.28</v>
      </c>
      <c r="I12" s="53">
        <v>0.51</v>
      </c>
      <c r="J12" s="53">
        <v>0.14000000000000001</v>
      </c>
      <c r="K12" s="53">
        <v>318.56</v>
      </c>
      <c r="L12" s="53">
        <v>22.25</v>
      </c>
      <c r="M12" s="53">
        <v>98.13</v>
      </c>
      <c r="N12" s="53">
        <v>56.2</v>
      </c>
      <c r="O12" s="53">
        <v>0</v>
      </c>
      <c r="P12" s="53">
        <v>0.17</v>
      </c>
      <c r="Q12" s="53">
        <v>8.9700000000000006</v>
      </c>
      <c r="R12" s="43"/>
      <c r="S12" s="43"/>
      <c r="T12" s="43"/>
      <c r="U12" s="43"/>
    </row>
    <row r="13" spans="1:21" s="11" customFormat="1" x14ac:dyDescent="0.25">
      <c r="A13" s="52" t="s">
        <v>736</v>
      </c>
      <c r="B13" s="53">
        <v>6.12</v>
      </c>
      <c r="C13" s="53">
        <v>10.9</v>
      </c>
      <c r="D13" s="53">
        <v>10.6</v>
      </c>
      <c r="E13" s="53">
        <v>4.68</v>
      </c>
      <c r="F13" s="53">
        <v>5.01</v>
      </c>
      <c r="G13" s="53">
        <v>6.49</v>
      </c>
      <c r="H13" s="53">
        <v>2.82</v>
      </c>
      <c r="I13" s="53">
        <v>0.51</v>
      </c>
      <c r="J13" s="53">
        <v>0.14000000000000001</v>
      </c>
      <c r="K13" s="53">
        <v>314.64999999999998</v>
      </c>
      <c r="L13" s="53">
        <v>22.24</v>
      </c>
      <c r="M13" s="53">
        <v>98.13</v>
      </c>
      <c r="N13" s="53">
        <v>56.7</v>
      </c>
      <c r="O13" s="53">
        <v>0</v>
      </c>
      <c r="P13" s="53">
        <v>0.17</v>
      </c>
      <c r="Q13" s="53">
        <v>8.9700000000000006</v>
      </c>
      <c r="R13" s="43"/>
      <c r="S13" s="43"/>
      <c r="T13" s="43"/>
      <c r="U13" s="43"/>
    </row>
    <row r="14" spans="1:21" s="11" customFormat="1" x14ac:dyDescent="0.25">
      <c r="A14" s="52" t="s">
        <v>737</v>
      </c>
      <c r="B14" s="53">
        <v>6.56</v>
      </c>
      <c r="C14" s="53">
        <v>10.85</v>
      </c>
      <c r="D14" s="53">
        <v>10.93</v>
      </c>
      <c r="E14" s="53">
        <v>4.96</v>
      </c>
      <c r="F14" s="53">
        <v>4.21</v>
      </c>
      <c r="G14" s="53">
        <v>4.87</v>
      </c>
      <c r="H14" s="53">
        <v>1.1000000000000001</v>
      </c>
      <c r="I14" s="53">
        <v>0.49</v>
      </c>
      <c r="J14" s="53">
        <v>0.12</v>
      </c>
      <c r="K14" s="53">
        <v>316.10000000000002</v>
      </c>
      <c r="L14" s="53">
        <v>22.02</v>
      </c>
      <c r="M14" s="53">
        <v>98.13</v>
      </c>
      <c r="N14" s="53">
        <v>58.9</v>
      </c>
      <c r="O14" s="53">
        <v>0</v>
      </c>
      <c r="P14" s="53">
        <v>0.17</v>
      </c>
      <c r="Q14" s="53">
        <v>8.9600000000000009</v>
      </c>
      <c r="R14" s="43"/>
      <c r="S14" s="43"/>
      <c r="T14" s="43"/>
      <c r="U14" s="43"/>
    </row>
    <row r="15" spans="1:21" s="11" customFormat="1" x14ac:dyDescent="0.25">
      <c r="A15" s="52" t="s">
        <v>738</v>
      </c>
      <c r="B15" s="53">
        <v>7.17</v>
      </c>
      <c r="C15" s="53">
        <v>11.04</v>
      </c>
      <c r="D15" s="53">
        <v>11.47</v>
      </c>
      <c r="E15" s="53">
        <v>4.66</v>
      </c>
      <c r="F15" s="53">
        <v>4.2</v>
      </c>
      <c r="G15" s="53">
        <v>3.77</v>
      </c>
      <c r="H15" s="53">
        <v>0.33</v>
      </c>
      <c r="I15" s="53">
        <v>0.51</v>
      </c>
      <c r="J15" s="53">
        <v>0.14000000000000001</v>
      </c>
      <c r="K15" s="53">
        <v>319.89</v>
      </c>
      <c r="L15" s="53">
        <v>21.97</v>
      </c>
      <c r="M15" s="53">
        <v>98.13</v>
      </c>
      <c r="N15" s="53">
        <v>78.400000000000006</v>
      </c>
      <c r="O15" s="53">
        <v>0</v>
      </c>
      <c r="P15" s="53">
        <v>0.17</v>
      </c>
      <c r="Q15" s="53">
        <v>8.9700000000000006</v>
      </c>
      <c r="R15" s="43"/>
      <c r="S15" s="43"/>
      <c r="T15" s="43"/>
      <c r="U15" s="43"/>
    </row>
    <row r="16" spans="1:21" s="11" customFormat="1" x14ac:dyDescent="0.25">
      <c r="A16" s="52" t="s">
        <v>739</v>
      </c>
      <c r="B16" s="53">
        <v>7.3</v>
      </c>
      <c r="C16" s="53">
        <v>10.99</v>
      </c>
      <c r="D16" s="53">
        <v>11.46</v>
      </c>
      <c r="E16" s="53">
        <v>4.46</v>
      </c>
      <c r="F16" s="53">
        <v>3.57</v>
      </c>
      <c r="G16" s="53">
        <v>2.89</v>
      </c>
      <c r="H16" s="53">
        <v>0.56999999999999995</v>
      </c>
      <c r="I16" s="53">
        <v>0.51</v>
      </c>
      <c r="J16" s="53">
        <v>0.16</v>
      </c>
      <c r="K16" s="53">
        <v>311.55</v>
      </c>
      <c r="L16" s="53">
        <v>22.06</v>
      </c>
      <c r="M16" s="53">
        <v>98.13</v>
      </c>
      <c r="N16" s="53">
        <v>98.3</v>
      </c>
      <c r="O16" s="53">
        <v>0</v>
      </c>
      <c r="P16" s="53">
        <v>0.17</v>
      </c>
      <c r="Q16" s="53">
        <v>9.02</v>
      </c>
      <c r="R16" s="43"/>
      <c r="S16" s="43"/>
      <c r="T16" s="43"/>
      <c r="U16" s="43"/>
    </row>
    <row r="17" spans="1:21" s="11" customFormat="1" x14ac:dyDescent="0.25">
      <c r="A17" s="52" t="s">
        <v>740</v>
      </c>
      <c r="B17" s="53">
        <v>7.05</v>
      </c>
      <c r="C17" s="53">
        <v>11.36</v>
      </c>
      <c r="D17" s="53">
        <v>11.45</v>
      </c>
      <c r="E17" s="53">
        <v>4.8499999999999996</v>
      </c>
      <c r="F17" s="53">
        <v>3.95</v>
      </c>
      <c r="G17" s="53">
        <v>5.21</v>
      </c>
      <c r="H17" s="53">
        <v>1.53</v>
      </c>
      <c r="I17" s="53">
        <v>0.54</v>
      </c>
      <c r="J17" s="53">
        <v>0.21</v>
      </c>
      <c r="K17" s="53">
        <v>303.88</v>
      </c>
      <c r="L17" s="53">
        <v>22.4</v>
      </c>
      <c r="M17" s="53">
        <v>98.12</v>
      </c>
      <c r="N17" s="53">
        <v>197.3</v>
      </c>
      <c r="O17" s="53">
        <v>0</v>
      </c>
      <c r="P17" s="53">
        <v>0.18</v>
      </c>
      <c r="Q17" s="53">
        <v>9.0299999999999994</v>
      </c>
      <c r="R17" s="43"/>
      <c r="S17" s="43"/>
      <c r="T17" s="43"/>
      <c r="U17" s="43"/>
    </row>
    <row r="18" spans="1:21" s="11" customFormat="1" x14ac:dyDescent="0.25">
      <c r="A18" s="52" t="s">
        <v>741</v>
      </c>
      <c r="B18" s="53">
        <v>6.65</v>
      </c>
      <c r="C18" s="53">
        <v>11.73</v>
      </c>
      <c r="D18" s="53">
        <v>11.42</v>
      </c>
      <c r="E18" s="53">
        <v>4.8600000000000003</v>
      </c>
      <c r="F18" s="53">
        <v>4.32</v>
      </c>
      <c r="G18" s="53">
        <v>4.9400000000000004</v>
      </c>
      <c r="H18" s="53">
        <v>2.09</v>
      </c>
      <c r="I18" s="53">
        <v>0.56000000000000005</v>
      </c>
      <c r="J18" s="53">
        <v>0.22</v>
      </c>
      <c r="K18" s="53">
        <v>313.92</v>
      </c>
      <c r="L18" s="53">
        <v>22.86</v>
      </c>
      <c r="M18" s="53">
        <v>98.12</v>
      </c>
      <c r="N18" s="53">
        <v>215.3</v>
      </c>
      <c r="O18" s="53">
        <v>0</v>
      </c>
      <c r="P18" s="53">
        <v>0.21</v>
      </c>
      <c r="Q18" s="53">
        <v>9</v>
      </c>
      <c r="R18" s="43"/>
      <c r="S18" s="43"/>
      <c r="T18" s="43"/>
      <c r="U18" s="43"/>
    </row>
    <row r="19" spans="1:21" s="11" customFormat="1" x14ac:dyDescent="0.25">
      <c r="A19" s="52" t="s">
        <v>742</v>
      </c>
      <c r="B19" s="53">
        <v>7.15</v>
      </c>
      <c r="C19" s="53">
        <v>12.18</v>
      </c>
      <c r="D19" s="53">
        <v>12.06</v>
      </c>
      <c r="E19" s="53">
        <v>5.1100000000000003</v>
      </c>
      <c r="F19" s="53">
        <v>6.09</v>
      </c>
      <c r="G19" s="53">
        <v>3.94</v>
      </c>
      <c r="H19" s="53">
        <v>2.12</v>
      </c>
      <c r="I19" s="53">
        <v>0.68</v>
      </c>
      <c r="J19" s="53">
        <v>0.27</v>
      </c>
      <c r="K19" s="53">
        <v>303.99</v>
      </c>
      <c r="L19" s="53">
        <v>22.99</v>
      </c>
      <c r="M19" s="53">
        <v>98.08</v>
      </c>
      <c r="N19" s="53">
        <v>192.2</v>
      </c>
      <c r="O19" s="53">
        <v>0</v>
      </c>
      <c r="P19" s="53">
        <v>0.27</v>
      </c>
      <c r="Q19" s="53">
        <v>9</v>
      </c>
      <c r="R19" s="43"/>
      <c r="S19" s="43"/>
      <c r="T19" s="43"/>
      <c r="U19" s="43"/>
    </row>
    <row r="20" spans="1:21" s="11" customFormat="1" x14ac:dyDescent="0.25">
      <c r="A20" s="52" t="s">
        <v>743</v>
      </c>
      <c r="B20" s="53">
        <v>6.26</v>
      </c>
      <c r="C20" s="53">
        <v>16.899999999999999</v>
      </c>
      <c r="D20" s="53">
        <v>12.84</v>
      </c>
      <c r="E20" s="53">
        <v>4.92</v>
      </c>
      <c r="F20" s="53">
        <v>6.27</v>
      </c>
      <c r="G20" s="53">
        <v>3.38</v>
      </c>
      <c r="H20" s="53">
        <v>2.06</v>
      </c>
      <c r="I20" s="53">
        <v>0.67</v>
      </c>
      <c r="J20" s="53">
        <v>0.27</v>
      </c>
      <c r="K20" s="53">
        <v>297.77</v>
      </c>
      <c r="L20" s="53">
        <v>23.34</v>
      </c>
      <c r="M20" s="53">
        <v>98.08</v>
      </c>
      <c r="N20" s="53">
        <v>176.7</v>
      </c>
      <c r="O20" s="53">
        <v>0</v>
      </c>
      <c r="P20" s="53">
        <v>0.3</v>
      </c>
      <c r="Q20" s="53">
        <v>9.01</v>
      </c>
      <c r="R20" s="43"/>
      <c r="S20" s="43"/>
      <c r="T20" s="43"/>
      <c r="U20" s="43"/>
    </row>
    <row r="21" spans="1:21" s="11" customFormat="1" x14ac:dyDescent="0.25">
      <c r="A21" s="52" t="s">
        <v>744</v>
      </c>
      <c r="B21" s="53">
        <v>5.64</v>
      </c>
      <c r="C21" s="53">
        <v>14.97</v>
      </c>
      <c r="D21" s="53">
        <v>11.83</v>
      </c>
      <c r="E21" s="53">
        <v>4.57</v>
      </c>
      <c r="F21" s="53">
        <v>3.69</v>
      </c>
      <c r="G21" s="53">
        <v>5.94</v>
      </c>
      <c r="H21" s="53">
        <v>2.23</v>
      </c>
      <c r="I21" s="53">
        <v>0.64</v>
      </c>
      <c r="J21" s="53">
        <v>0.28000000000000003</v>
      </c>
      <c r="K21" s="53">
        <v>301.7</v>
      </c>
      <c r="L21" s="53">
        <v>23.54</v>
      </c>
      <c r="M21" s="53">
        <v>98.03</v>
      </c>
      <c r="N21" s="53">
        <v>171.2</v>
      </c>
      <c r="O21" s="53">
        <v>0</v>
      </c>
      <c r="P21" s="53">
        <v>0.28000000000000003</v>
      </c>
      <c r="Q21" s="53">
        <v>9.02</v>
      </c>
      <c r="R21" s="43"/>
      <c r="S21" s="43"/>
      <c r="T21" s="43"/>
      <c r="U21" s="43"/>
    </row>
    <row r="22" spans="1:21" s="11" customFormat="1" x14ac:dyDescent="0.25">
      <c r="A22" s="52" t="s">
        <v>745</v>
      </c>
      <c r="B22" s="53">
        <v>6.45</v>
      </c>
      <c r="C22" s="53">
        <v>13.42</v>
      </c>
      <c r="D22" s="53">
        <v>11.59</v>
      </c>
      <c r="E22" s="53">
        <v>4.8099999999999996</v>
      </c>
      <c r="F22" s="53">
        <v>3.99</v>
      </c>
      <c r="G22" s="53">
        <v>5.66</v>
      </c>
      <c r="H22" s="53">
        <v>2.23</v>
      </c>
      <c r="I22" s="53">
        <v>0.75</v>
      </c>
      <c r="J22" s="53">
        <v>0.23</v>
      </c>
      <c r="K22" s="53">
        <v>302.88</v>
      </c>
      <c r="L22" s="53">
        <v>23.27</v>
      </c>
      <c r="M22" s="53">
        <v>98.1</v>
      </c>
      <c r="N22" s="53">
        <v>127.4</v>
      </c>
      <c r="O22" s="53">
        <v>0</v>
      </c>
      <c r="P22" s="53">
        <v>0.28999999999999998</v>
      </c>
      <c r="Q22" s="53">
        <v>9.02</v>
      </c>
      <c r="R22" s="43"/>
      <c r="S22" s="43"/>
      <c r="T22" s="43"/>
      <c r="U22" s="43"/>
    </row>
    <row r="23" spans="1:21" s="11" customFormat="1" x14ac:dyDescent="0.25">
      <c r="A23" s="52" t="s">
        <v>746</v>
      </c>
      <c r="B23" s="53">
        <v>6.71</v>
      </c>
      <c r="C23" s="53">
        <v>12.42</v>
      </c>
      <c r="D23" s="53">
        <v>11.87</v>
      </c>
      <c r="E23" s="53">
        <v>4.66</v>
      </c>
      <c r="F23" s="53">
        <v>3.87</v>
      </c>
      <c r="G23" s="53">
        <v>4.49</v>
      </c>
      <c r="H23" s="53">
        <v>2.23</v>
      </c>
      <c r="I23" s="53">
        <v>0.73</v>
      </c>
      <c r="J23" s="53">
        <v>0.23</v>
      </c>
      <c r="K23" s="53">
        <v>293.99</v>
      </c>
      <c r="L23" s="53">
        <v>23.12</v>
      </c>
      <c r="M23" s="53">
        <v>98.13</v>
      </c>
      <c r="N23" s="53">
        <v>125.5</v>
      </c>
      <c r="O23" s="53">
        <v>0</v>
      </c>
      <c r="P23" s="53">
        <v>0.3</v>
      </c>
      <c r="Q23" s="53">
        <v>9</v>
      </c>
      <c r="R23" s="43"/>
      <c r="S23" s="43"/>
      <c r="T23" s="43"/>
      <c r="U23" s="43"/>
    </row>
    <row r="24" spans="1:21" s="11" customFormat="1" x14ac:dyDescent="0.25">
      <c r="A24" s="52" t="s">
        <v>747</v>
      </c>
      <c r="B24" s="53">
        <v>8.2100000000000009</v>
      </c>
      <c r="C24" s="53">
        <v>12.58</v>
      </c>
      <c r="D24" s="53">
        <v>12.52</v>
      </c>
      <c r="E24" s="53">
        <v>4.54</v>
      </c>
      <c r="F24" s="53">
        <v>4.13</v>
      </c>
      <c r="G24" s="53">
        <v>3.93</v>
      </c>
      <c r="H24" s="53">
        <v>2.23</v>
      </c>
      <c r="I24" s="53">
        <v>0.78</v>
      </c>
      <c r="J24" s="53">
        <v>0.25</v>
      </c>
      <c r="K24" s="53">
        <v>305.72000000000003</v>
      </c>
      <c r="L24" s="53">
        <v>22.9</v>
      </c>
      <c r="M24" s="53">
        <v>98.13</v>
      </c>
      <c r="N24" s="53">
        <v>115.2</v>
      </c>
      <c r="O24" s="53">
        <v>0</v>
      </c>
      <c r="P24" s="53">
        <v>0.28999999999999998</v>
      </c>
      <c r="Q24" s="53">
        <v>9.01</v>
      </c>
      <c r="R24" s="43"/>
      <c r="S24" s="43"/>
      <c r="T24" s="43"/>
      <c r="U24" s="43"/>
    </row>
    <row r="25" spans="1:21" s="11" customFormat="1" x14ac:dyDescent="0.25">
      <c r="A25" s="52" t="s">
        <v>748</v>
      </c>
      <c r="B25" s="53">
        <v>8.39</v>
      </c>
      <c r="C25" s="53">
        <v>14.03</v>
      </c>
      <c r="D25" s="53">
        <v>14.06</v>
      </c>
      <c r="E25" s="53">
        <v>4.21</v>
      </c>
      <c r="F25" s="53">
        <v>3.55</v>
      </c>
      <c r="G25" s="53">
        <v>5.71</v>
      </c>
      <c r="H25" s="53">
        <v>2.23</v>
      </c>
      <c r="I25" s="53">
        <v>0.79</v>
      </c>
      <c r="J25" s="53">
        <v>0.24</v>
      </c>
      <c r="K25" s="53">
        <v>306.91000000000003</v>
      </c>
      <c r="L25" s="53">
        <v>23.1</v>
      </c>
      <c r="M25" s="53">
        <v>98.08</v>
      </c>
      <c r="N25" s="53">
        <v>97.1</v>
      </c>
      <c r="O25" s="53">
        <v>0</v>
      </c>
      <c r="P25" s="53">
        <v>0.3</v>
      </c>
      <c r="Q25" s="53">
        <v>9.07</v>
      </c>
      <c r="R25" s="43"/>
      <c r="S25" s="43"/>
      <c r="T25" s="43"/>
      <c r="U25" s="43"/>
    </row>
    <row r="26" spans="1:21" s="11" customFormat="1" x14ac:dyDescent="0.25">
      <c r="A26" s="52" t="s">
        <v>749</v>
      </c>
      <c r="B26" s="53">
        <v>8.56</v>
      </c>
      <c r="C26" s="53">
        <v>13.04</v>
      </c>
      <c r="D26" s="53">
        <v>13.53</v>
      </c>
      <c r="E26" s="53">
        <v>4.28</v>
      </c>
      <c r="F26" s="53">
        <v>4.29</v>
      </c>
      <c r="G26" s="53">
        <v>5.4</v>
      </c>
      <c r="H26" s="53">
        <v>2.23</v>
      </c>
      <c r="I26" s="53">
        <v>0.84</v>
      </c>
      <c r="J26" s="53">
        <v>0.21</v>
      </c>
      <c r="K26" s="53">
        <v>303.31</v>
      </c>
      <c r="L26" s="53">
        <v>23.09</v>
      </c>
      <c r="M26" s="53">
        <v>98.09</v>
      </c>
      <c r="N26" s="53">
        <v>105</v>
      </c>
      <c r="O26" s="53">
        <v>0</v>
      </c>
      <c r="P26" s="53">
        <v>0.33</v>
      </c>
      <c r="Q26" s="53">
        <v>9.08</v>
      </c>
      <c r="R26" s="43"/>
      <c r="S26" s="43"/>
      <c r="T26" s="43"/>
      <c r="U26" s="43"/>
    </row>
    <row r="27" spans="1:21" s="11" customFormat="1" x14ac:dyDescent="0.25">
      <c r="A27" s="52" t="s">
        <v>750</v>
      </c>
      <c r="B27" s="53">
        <v>8.5299999999999994</v>
      </c>
      <c r="C27" s="53">
        <v>12.03</v>
      </c>
      <c r="D27" s="53">
        <v>13.04</v>
      </c>
      <c r="E27" s="53">
        <v>4.55</v>
      </c>
      <c r="F27" s="53">
        <v>3.79</v>
      </c>
      <c r="G27" s="53">
        <v>4.2699999999999996</v>
      </c>
      <c r="H27" s="53">
        <v>2.23</v>
      </c>
      <c r="I27" s="53">
        <v>0.86</v>
      </c>
      <c r="J27" s="53">
        <v>0.17</v>
      </c>
      <c r="K27" s="53">
        <v>313.02</v>
      </c>
      <c r="L27" s="53">
        <v>23.17</v>
      </c>
      <c r="M27" s="53">
        <v>98.09</v>
      </c>
      <c r="N27" s="53">
        <v>80.2</v>
      </c>
      <c r="O27" s="53">
        <v>0</v>
      </c>
      <c r="P27" s="53">
        <v>0.34</v>
      </c>
      <c r="Q27" s="53">
        <v>9.06</v>
      </c>
      <c r="R27" s="43"/>
      <c r="S27" s="43"/>
      <c r="T27" s="43"/>
      <c r="U27" s="43"/>
    </row>
    <row r="28" spans="1:21" s="11" customFormat="1" x14ac:dyDescent="0.25">
      <c r="A28" s="52" t="s">
        <v>751</v>
      </c>
      <c r="B28" s="53">
        <v>8.35</v>
      </c>
      <c r="C28" s="53">
        <v>12.21</v>
      </c>
      <c r="D28" s="53">
        <v>13.07</v>
      </c>
      <c r="E28" s="53">
        <v>4.24</v>
      </c>
      <c r="F28" s="53">
        <v>3.93</v>
      </c>
      <c r="G28" s="53">
        <v>3.64</v>
      </c>
      <c r="H28" s="53">
        <v>1.7</v>
      </c>
      <c r="I28" s="53">
        <v>0.86</v>
      </c>
      <c r="J28" s="53">
        <v>0.21</v>
      </c>
      <c r="K28" s="53">
        <v>304.69</v>
      </c>
      <c r="L28" s="53">
        <v>23.21</v>
      </c>
      <c r="M28" s="53">
        <v>98.06</v>
      </c>
      <c r="N28" s="53">
        <v>76.599999999999994</v>
      </c>
      <c r="O28" s="53">
        <v>0</v>
      </c>
      <c r="P28" s="53">
        <v>0.36</v>
      </c>
      <c r="Q28" s="53">
        <v>9.0299999999999994</v>
      </c>
      <c r="R28" s="43"/>
      <c r="S28" s="43"/>
      <c r="T28" s="43"/>
      <c r="U28" s="43"/>
    </row>
    <row r="29" spans="1:21" s="11" customFormat="1" x14ac:dyDescent="0.25">
      <c r="A29" s="52" t="s">
        <v>752</v>
      </c>
      <c r="B29" s="53">
        <v>7.96</v>
      </c>
      <c r="C29" s="53">
        <v>12.79</v>
      </c>
      <c r="D29" s="53">
        <v>12.81</v>
      </c>
      <c r="E29" s="53">
        <v>4.41</v>
      </c>
      <c r="F29" s="53">
        <v>3.67</v>
      </c>
      <c r="G29" s="53">
        <v>6.55</v>
      </c>
      <c r="H29" s="53">
        <v>2.96</v>
      </c>
      <c r="I29" s="53">
        <v>0.88</v>
      </c>
      <c r="J29" s="53">
        <v>0.18</v>
      </c>
      <c r="K29" s="53">
        <v>313.19</v>
      </c>
      <c r="L29" s="53">
        <v>23.19</v>
      </c>
      <c r="M29" s="53">
        <v>98.04</v>
      </c>
      <c r="N29" s="53">
        <v>72.900000000000006</v>
      </c>
      <c r="O29" s="53">
        <v>0</v>
      </c>
      <c r="P29" s="53">
        <v>0.35</v>
      </c>
      <c r="Q29" s="53">
        <v>9.0500000000000007</v>
      </c>
      <c r="R29" s="43"/>
      <c r="S29" s="43"/>
      <c r="T29" s="43"/>
      <c r="U29" s="43"/>
    </row>
    <row r="30" spans="1:21" s="11" customFormat="1" x14ac:dyDescent="0.25">
      <c r="A30" s="52" t="s">
        <v>753</v>
      </c>
      <c r="B30" s="53">
        <v>7.27</v>
      </c>
      <c r="C30" s="53">
        <v>12.54</v>
      </c>
      <c r="D30" s="53">
        <v>12.38</v>
      </c>
      <c r="E30" s="53">
        <v>4.3499999999999996</v>
      </c>
      <c r="F30" s="53">
        <v>3.67</v>
      </c>
      <c r="G30" s="53">
        <v>7.94</v>
      </c>
      <c r="H30" s="53">
        <v>2.4700000000000002</v>
      </c>
      <c r="I30" s="53">
        <v>0.89</v>
      </c>
      <c r="J30" s="53">
        <v>0.17</v>
      </c>
      <c r="K30" s="53">
        <v>306.83</v>
      </c>
      <c r="L30" s="53">
        <v>23.1</v>
      </c>
      <c r="M30" s="53">
        <v>98.07</v>
      </c>
      <c r="N30" s="53">
        <v>119.1</v>
      </c>
      <c r="O30" s="53">
        <v>0</v>
      </c>
      <c r="P30" s="53">
        <v>0.33</v>
      </c>
      <c r="Q30" s="53">
        <v>9.0500000000000007</v>
      </c>
      <c r="R30" s="43"/>
      <c r="S30" s="43"/>
      <c r="T30" s="43"/>
      <c r="U30" s="43"/>
    </row>
    <row r="31" spans="1:21" s="11" customFormat="1" x14ac:dyDescent="0.25">
      <c r="A31" s="52" t="s">
        <v>754</v>
      </c>
      <c r="B31" s="53">
        <v>6.69</v>
      </c>
      <c r="C31" s="53">
        <v>12.25</v>
      </c>
      <c r="D31" s="53">
        <v>11.74</v>
      </c>
      <c r="E31" s="53">
        <v>4.32</v>
      </c>
      <c r="F31" s="53">
        <v>4.13</v>
      </c>
      <c r="G31" s="53">
        <v>7.47</v>
      </c>
      <c r="H31" s="53">
        <v>3.33</v>
      </c>
      <c r="I31" s="53">
        <v>0.87</v>
      </c>
      <c r="J31" s="53">
        <v>0.16</v>
      </c>
      <c r="K31" s="53">
        <v>301.48</v>
      </c>
      <c r="L31" s="53">
        <v>22.93</v>
      </c>
      <c r="M31" s="53">
        <v>98.07</v>
      </c>
      <c r="N31" s="53">
        <v>93</v>
      </c>
      <c r="O31" s="53">
        <v>0</v>
      </c>
      <c r="P31" s="53">
        <v>0.31</v>
      </c>
      <c r="Q31" s="53">
        <v>9.0399999999999991</v>
      </c>
      <c r="R31" s="43"/>
      <c r="S31" s="43"/>
      <c r="T31" s="43"/>
      <c r="U31" s="43"/>
    </row>
    <row r="32" spans="1:21" s="11" customFormat="1" x14ac:dyDescent="0.25">
      <c r="A32" s="52" t="s">
        <v>755</v>
      </c>
      <c r="B32" s="53">
        <v>6.3</v>
      </c>
      <c r="C32" s="53">
        <v>12.2</v>
      </c>
      <c r="D32" s="53">
        <v>11.28</v>
      </c>
      <c r="E32" s="53">
        <v>4.3600000000000003</v>
      </c>
      <c r="F32" s="53">
        <v>4.09</v>
      </c>
      <c r="G32" s="53">
        <v>8.43</v>
      </c>
      <c r="H32" s="53">
        <v>3.19</v>
      </c>
      <c r="I32" s="53">
        <v>0.8</v>
      </c>
      <c r="J32" s="53">
        <v>0.19</v>
      </c>
      <c r="K32" s="53">
        <v>317.92</v>
      </c>
      <c r="L32" s="53">
        <v>22.91</v>
      </c>
      <c r="M32" s="53">
        <v>98.04</v>
      </c>
      <c r="N32" s="53">
        <v>85.8</v>
      </c>
      <c r="O32" s="53">
        <v>0</v>
      </c>
      <c r="P32" s="53">
        <v>0.28000000000000003</v>
      </c>
      <c r="Q32" s="53">
        <v>8.9700000000000006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5.32</v>
      </c>
      <c r="C34" s="28">
        <f t="shared" si="0"/>
        <v>10.7</v>
      </c>
      <c r="D34" s="28">
        <f t="shared" si="0"/>
        <v>9.9600000000000009</v>
      </c>
      <c r="E34" s="28">
        <f t="shared" si="0"/>
        <v>4.21</v>
      </c>
      <c r="F34" s="28">
        <f t="shared" si="0"/>
        <v>3.55</v>
      </c>
      <c r="G34" s="28">
        <f t="shared" si="0"/>
        <v>2.89</v>
      </c>
      <c r="H34" s="28">
        <f t="shared" si="0"/>
        <v>0.33</v>
      </c>
      <c r="I34" s="28">
        <f t="shared" si="0"/>
        <v>0.49</v>
      </c>
      <c r="J34" s="28">
        <f t="shared" si="0"/>
        <v>0.09</v>
      </c>
      <c r="K34" s="28">
        <f t="shared" si="0"/>
        <v>293.99</v>
      </c>
      <c r="L34" s="28">
        <f t="shared" si="0"/>
        <v>21.97</v>
      </c>
      <c r="M34" s="28">
        <f t="shared" si="0"/>
        <v>98.03</v>
      </c>
      <c r="N34" s="28">
        <f t="shared" si="0"/>
        <v>54.9</v>
      </c>
      <c r="O34" s="28">
        <f t="shared" si="0"/>
        <v>0</v>
      </c>
      <c r="P34" s="28">
        <f t="shared" si="0"/>
        <v>0.17</v>
      </c>
      <c r="Q34" s="28">
        <f t="shared" si="0"/>
        <v>8.94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8.56</v>
      </c>
      <c r="C35" s="29">
        <f t="shared" si="1"/>
        <v>16.899999999999999</v>
      </c>
      <c r="D35" s="29">
        <f t="shared" si="1"/>
        <v>14.06</v>
      </c>
      <c r="E35" s="29">
        <f t="shared" si="1"/>
        <v>5.1100000000000003</v>
      </c>
      <c r="F35" s="29">
        <f t="shared" si="1"/>
        <v>6.27</v>
      </c>
      <c r="G35" s="29">
        <f t="shared" si="1"/>
        <v>14.83</v>
      </c>
      <c r="H35" s="29">
        <f t="shared" si="1"/>
        <v>3.33</v>
      </c>
      <c r="I35" s="29">
        <f t="shared" si="1"/>
        <v>0.89</v>
      </c>
      <c r="J35" s="29">
        <f t="shared" si="1"/>
        <v>0.28000000000000003</v>
      </c>
      <c r="K35" s="29">
        <f t="shared" si="1"/>
        <v>323.27999999999997</v>
      </c>
      <c r="L35" s="29">
        <f t="shared" si="1"/>
        <v>23.54</v>
      </c>
      <c r="M35" s="29">
        <f t="shared" si="1"/>
        <v>98.13</v>
      </c>
      <c r="N35" s="29">
        <f t="shared" si="1"/>
        <v>215.3</v>
      </c>
      <c r="O35" s="29">
        <f t="shared" si="1"/>
        <v>0</v>
      </c>
      <c r="P35" s="29">
        <f t="shared" si="1"/>
        <v>0.36</v>
      </c>
      <c r="Q35" s="29">
        <f t="shared" si="1"/>
        <v>9.08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6.8912500000000003</v>
      </c>
      <c r="C36" s="28">
        <f t="shared" si="2"/>
        <v>12.340833333333334</v>
      </c>
      <c r="D36" s="28">
        <f t="shared" si="2"/>
        <v>11.812916666666668</v>
      </c>
      <c r="E36" s="28">
        <f t="shared" si="2"/>
        <v>4.6158333333333328</v>
      </c>
      <c r="F36" s="28">
        <f t="shared" si="2"/>
        <v>4.2150000000000007</v>
      </c>
      <c r="G36" s="28">
        <f t="shared" si="2"/>
        <v>6.1866666666666665</v>
      </c>
      <c r="H36" s="28">
        <f t="shared" si="2"/>
        <v>2.1758333333333328</v>
      </c>
      <c r="I36" s="28">
        <f t="shared" si="2"/>
        <v>0.69</v>
      </c>
      <c r="J36" s="28">
        <f t="shared" si="2"/>
        <v>0.19041666666666668</v>
      </c>
      <c r="K36" s="28">
        <f t="shared" si="2"/>
        <v>309.61874999999992</v>
      </c>
      <c r="L36" s="28">
        <f t="shared" si="2"/>
        <v>22.84333333333333</v>
      </c>
      <c r="M36" s="28">
        <f t="shared" si="2"/>
        <v>98.094583333333333</v>
      </c>
      <c r="N36" s="28">
        <f t="shared" si="2"/>
        <v>106.89999999999999</v>
      </c>
      <c r="O36" s="28">
        <f t="shared" si="2"/>
        <v>0</v>
      </c>
      <c r="P36" s="28">
        <f t="shared" si="2"/>
        <v>0.25874999999999998</v>
      </c>
      <c r="Q36" s="28">
        <f t="shared" si="2"/>
        <v>9.01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1.0282247787581125</v>
      </c>
      <c r="C37" s="28">
        <f t="shared" ref="C37:Q37" si="3">STDEV(C9:C32)</f>
        <v>1.4313536210195592</v>
      </c>
      <c r="D37" s="28">
        <f t="shared" si="3"/>
        <v>1.0702965016523578</v>
      </c>
      <c r="E37" s="28">
        <f t="shared" si="3"/>
        <v>0.24992027714360474</v>
      </c>
      <c r="F37" s="28">
        <f t="shared" si="3"/>
        <v>0.68222143542732205</v>
      </c>
      <c r="G37" s="28">
        <f t="shared" si="3"/>
        <v>2.8036244657456422</v>
      </c>
      <c r="H37" s="28">
        <f t="shared" si="3"/>
        <v>0.75521903915450206</v>
      </c>
      <c r="I37" s="28">
        <f t="shared" si="3"/>
        <v>0.142859006199028</v>
      </c>
      <c r="J37" s="28">
        <f t="shared" si="3"/>
        <v>5.2707491973579323E-2</v>
      </c>
      <c r="K37" s="28">
        <f t="shared" si="3"/>
        <v>7.8336061508150179</v>
      </c>
      <c r="L37" s="28">
        <f t="shared" si="3"/>
        <v>0.46691090916945799</v>
      </c>
      <c r="M37" s="28">
        <f t="shared" si="3"/>
        <v>3.3229003395626372E-2</v>
      </c>
      <c r="N37" s="28">
        <f t="shared" si="3"/>
        <v>49.743376224989674</v>
      </c>
      <c r="O37" s="28">
        <f t="shared" si="3"/>
        <v>0</v>
      </c>
      <c r="P37" s="28">
        <f t="shared" si="3"/>
        <v>6.6679799431116529E-2</v>
      </c>
      <c r="Q37" s="28">
        <f t="shared" si="3"/>
        <v>3.8448158207711525E-2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756</v>
      </c>
      <c r="B9" s="53">
        <v>5.64</v>
      </c>
      <c r="C9" s="53">
        <v>11.93</v>
      </c>
      <c r="D9" s="53">
        <v>10.76</v>
      </c>
      <c r="E9" s="53">
        <v>4.71</v>
      </c>
      <c r="F9" s="53">
        <v>4.05</v>
      </c>
      <c r="G9" s="53">
        <v>7.94</v>
      </c>
      <c r="H9" s="53">
        <v>2.61</v>
      </c>
      <c r="I9" s="53">
        <v>0.67</v>
      </c>
      <c r="J9" s="53">
        <v>0.28999999999999998</v>
      </c>
      <c r="K9" s="53">
        <v>308.29000000000002</v>
      </c>
      <c r="L9" s="53">
        <v>22.78</v>
      </c>
      <c r="M9" s="53">
        <v>98.04</v>
      </c>
      <c r="N9" s="53">
        <v>86.1</v>
      </c>
      <c r="O9" s="53">
        <v>0</v>
      </c>
      <c r="P9" s="53">
        <v>0.25</v>
      </c>
      <c r="Q9" s="53">
        <v>8.9499999999999993</v>
      </c>
      <c r="R9" s="43"/>
      <c r="S9" s="43"/>
      <c r="T9" s="43"/>
      <c r="U9" s="43"/>
    </row>
    <row r="10" spans="1:21" s="11" customFormat="1" x14ac:dyDescent="0.25">
      <c r="A10" s="52" t="s">
        <v>757</v>
      </c>
      <c r="B10" s="53">
        <v>4.9800000000000004</v>
      </c>
      <c r="C10" s="53">
        <v>11.34</v>
      </c>
      <c r="D10" s="53">
        <v>9.7799999999999994</v>
      </c>
      <c r="E10" s="53">
        <v>4.5599999999999996</v>
      </c>
      <c r="F10" s="53">
        <v>4.32</v>
      </c>
      <c r="G10" s="53">
        <v>9.86</v>
      </c>
      <c r="H10" s="53">
        <v>2.15</v>
      </c>
      <c r="I10" s="53">
        <v>0.54</v>
      </c>
      <c r="J10" s="53">
        <v>0.14000000000000001</v>
      </c>
      <c r="K10" s="53">
        <v>308.18</v>
      </c>
      <c r="L10" s="53">
        <v>22.62</v>
      </c>
      <c r="M10" s="53">
        <v>98.03</v>
      </c>
      <c r="N10" s="53">
        <v>83.5</v>
      </c>
      <c r="O10" s="53">
        <v>0</v>
      </c>
      <c r="P10" s="53">
        <v>0.18</v>
      </c>
      <c r="Q10" s="53">
        <v>8.9499999999999993</v>
      </c>
      <c r="R10" s="43"/>
      <c r="S10" s="43"/>
      <c r="T10" s="43"/>
      <c r="U10" s="43"/>
    </row>
    <row r="11" spans="1:21" s="11" customFormat="1" x14ac:dyDescent="0.25">
      <c r="A11" s="52" t="s">
        <v>758</v>
      </c>
      <c r="B11" s="53">
        <v>4.9800000000000004</v>
      </c>
      <c r="C11" s="53">
        <v>11.08</v>
      </c>
      <c r="D11" s="53">
        <v>9.7799999999999994</v>
      </c>
      <c r="E11" s="53">
        <v>4.5599999999999996</v>
      </c>
      <c r="F11" s="53">
        <v>3.87</v>
      </c>
      <c r="G11" s="53">
        <v>9.2899999999999991</v>
      </c>
      <c r="H11" s="53">
        <v>2</v>
      </c>
      <c r="I11" s="53">
        <v>0.51</v>
      </c>
      <c r="J11" s="53">
        <v>0.18</v>
      </c>
      <c r="K11" s="53">
        <v>305.39999999999998</v>
      </c>
      <c r="L11" s="53">
        <v>22.48</v>
      </c>
      <c r="M11" s="53">
        <v>98.04</v>
      </c>
      <c r="N11" s="53">
        <v>94.1</v>
      </c>
      <c r="O11" s="53">
        <v>0</v>
      </c>
      <c r="P11" s="53">
        <v>0.18</v>
      </c>
      <c r="Q11" s="53">
        <v>8.9600000000000009</v>
      </c>
      <c r="R11" s="43"/>
      <c r="S11" s="43"/>
      <c r="T11" s="43"/>
      <c r="U11" s="43"/>
    </row>
    <row r="12" spans="1:21" s="11" customFormat="1" x14ac:dyDescent="0.25">
      <c r="A12" s="52" t="s">
        <v>759</v>
      </c>
      <c r="B12" s="53">
        <v>5.04</v>
      </c>
      <c r="C12" s="53">
        <v>10.82</v>
      </c>
      <c r="D12" s="53">
        <v>9.6999999999999993</v>
      </c>
      <c r="E12" s="53">
        <v>4.58</v>
      </c>
      <c r="F12" s="53">
        <v>4.51</v>
      </c>
      <c r="G12" s="53">
        <v>6.98</v>
      </c>
      <c r="H12" s="53">
        <v>2.2000000000000002</v>
      </c>
      <c r="I12" s="53">
        <v>0.45</v>
      </c>
      <c r="J12" s="53">
        <v>0.16</v>
      </c>
      <c r="K12" s="53">
        <v>297.27</v>
      </c>
      <c r="L12" s="53">
        <v>22.4</v>
      </c>
      <c r="M12" s="53">
        <v>98.04</v>
      </c>
      <c r="N12" s="53">
        <v>109.3</v>
      </c>
      <c r="O12" s="53">
        <v>0</v>
      </c>
      <c r="P12" s="53">
        <v>0.17</v>
      </c>
      <c r="Q12" s="53">
        <v>8.91</v>
      </c>
      <c r="R12" s="43"/>
      <c r="S12" s="43"/>
      <c r="T12" s="43"/>
      <c r="U12" s="43"/>
    </row>
    <row r="13" spans="1:21" s="11" customFormat="1" x14ac:dyDescent="0.25">
      <c r="A13" s="52" t="s">
        <v>760</v>
      </c>
      <c r="B13" s="53">
        <v>5.57</v>
      </c>
      <c r="C13" s="53">
        <v>10.78</v>
      </c>
      <c r="D13" s="53">
        <v>10.09</v>
      </c>
      <c r="E13" s="53">
        <v>4.53</v>
      </c>
      <c r="F13" s="53">
        <v>3.8</v>
      </c>
      <c r="G13" s="53">
        <v>7.33</v>
      </c>
      <c r="H13" s="53">
        <v>3.87</v>
      </c>
      <c r="I13" s="53">
        <v>0.44</v>
      </c>
      <c r="J13" s="53">
        <v>0.12</v>
      </c>
      <c r="K13" s="53">
        <v>299.49</v>
      </c>
      <c r="L13" s="53">
        <v>22.34</v>
      </c>
      <c r="M13" s="53">
        <v>98.07</v>
      </c>
      <c r="N13" s="53">
        <v>94.4</v>
      </c>
      <c r="O13" s="53">
        <v>0</v>
      </c>
      <c r="P13" s="53">
        <v>0.16</v>
      </c>
      <c r="Q13" s="53">
        <v>8.91</v>
      </c>
      <c r="R13" s="43"/>
      <c r="S13" s="43"/>
      <c r="T13" s="43"/>
      <c r="U13" s="43"/>
    </row>
    <row r="14" spans="1:21" s="11" customFormat="1" x14ac:dyDescent="0.25">
      <c r="A14" s="52" t="s">
        <v>761</v>
      </c>
      <c r="B14" s="53">
        <v>6.01</v>
      </c>
      <c r="C14" s="53">
        <v>10.72</v>
      </c>
      <c r="D14" s="53">
        <v>10.36</v>
      </c>
      <c r="E14" s="53">
        <v>4.7</v>
      </c>
      <c r="F14" s="53">
        <v>4.2</v>
      </c>
      <c r="G14" s="53">
        <v>8.02</v>
      </c>
      <c r="H14" s="53">
        <v>3.74</v>
      </c>
      <c r="I14" s="53">
        <v>0.44</v>
      </c>
      <c r="J14" s="53">
        <v>0.1</v>
      </c>
      <c r="K14" s="53">
        <v>296.94</v>
      </c>
      <c r="L14" s="53">
        <v>22.28</v>
      </c>
      <c r="M14" s="53">
        <v>98.06</v>
      </c>
      <c r="N14" s="53">
        <v>105.2</v>
      </c>
      <c r="O14" s="53">
        <v>0</v>
      </c>
      <c r="P14" s="53">
        <v>0.15</v>
      </c>
      <c r="Q14" s="53">
        <v>8.98</v>
      </c>
      <c r="R14" s="43"/>
      <c r="S14" s="43"/>
      <c r="T14" s="43"/>
      <c r="U14" s="43"/>
    </row>
    <row r="15" spans="1:21" s="11" customFormat="1" x14ac:dyDescent="0.25">
      <c r="A15" s="52" t="s">
        <v>762</v>
      </c>
      <c r="B15" s="53">
        <v>6.79</v>
      </c>
      <c r="C15" s="53">
        <v>10.82</v>
      </c>
      <c r="D15" s="53">
        <v>11.1</v>
      </c>
      <c r="E15" s="53">
        <v>4.92</v>
      </c>
      <c r="F15" s="53">
        <v>3.61</v>
      </c>
      <c r="G15" s="53">
        <v>7.7</v>
      </c>
      <c r="H15" s="53">
        <v>3.29</v>
      </c>
      <c r="I15" s="53">
        <v>0.46</v>
      </c>
      <c r="J15" s="53">
        <v>0.13</v>
      </c>
      <c r="K15" s="53">
        <v>297.76</v>
      </c>
      <c r="L15" s="53">
        <v>22.37</v>
      </c>
      <c r="M15" s="53">
        <v>98.05</v>
      </c>
      <c r="N15" s="53">
        <v>98.8</v>
      </c>
      <c r="O15" s="53">
        <v>0</v>
      </c>
      <c r="P15" s="53">
        <v>0.17</v>
      </c>
      <c r="Q15" s="53">
        <v>9.01</v>
      </c>
      <c r="R15" s="43"/>
      <c r="S15" s="43"/>
      <c r="T15" s="43"/>
      <c r="U15" s="43"/>
    </row>
    <row r="16" spans="1:21" s="11" customFormat="1" x14ac:dyDescent="0.25">
      <c r="A16" s="52" t="s">
        <v>763</v>
      </c>
      <c r="B16" s="53">
        <v>6.9</v>
      </c>
      <c r="C16" s="53">
        <v>11.07</v>
      </c>
      <c r="D16" s="53">
        <v>11.32</v>
      </c>
      <c r="E16" s="53">
        <v>4.53</v>
      </c>
      <c r="F16" s="53">
        <v>3.96</v>
      </c>
      <c r="G16" s="53">
        <v>7.43</v>
      </c>
      <c r="H16" s="53">
        <v>3.01</v>
      </c>
      <c r="I16" s="53">
        <v>0.49</v>
      </c>
      <c r="J16" s="53">
        <v>0.16</v>
      </c>
      <c r="K16" s="53">
        <v>295.11</v>
      </c>
      <c r="L16" s="53">
        <v>23.08</v>
      </c>
      <c r="M16" s="53">
        <v>98.07</v>
      </c>
      <c r="N16" s="53">
        <v>191.6</v>
      </c>
      <c r="O16" s="53">
        <v>0</v>
      </c>
      <c r="P16" s="53">
        <v>0.19</v>
      </c>
      <c r="Q16" s="53">
        <v>8.99</v>
      </c>
      <c r="R16" s="43"/>
      <c r="S16" s="43"/>
      <c r="T16" s="43"/>
      <c r="U16" s="43"/>
    </row>
    <row r="17" spans="1:21" s="11" customFormat="1" x14ac:dyDescent="0.25">
      <c r="A17" s="52" t="s">
        <v>764</v>
      </c>
      <c r="B17" s="53">
        <v>7.02</v>
      </c>
      <c r="C17" s="53">
        <v>12.27</v>
      </c>
      <c r="D17" s="53">
        <v>11.84</v>
      </c>
      <c r="E17" s="53">
        <v>3.67</v>
      </c>
      <c r="F17" s="53">
        <v>3.93</v>
      </c>
      <c r="G17" s="53">
        <v>13.57</v>
      </c>
      <c r="H17" s="53">
        <v>4.68</v>
      </c>
      <c r="I17" s="53">
        <v>0.55000000000000004</v>
      </c>
      <c r="J17" s="53">
        <v>0.26</v>
      </c>
      <c r="K17" s="53">
        <v>290.7</v>
      </c>
      <c r="L17" s="53">
        <v>24.02</v>
      </c>
      <c r="M17" s="53">
        <v>97.95</v>
      </c>
      <c r="N17" s="53">
        <v>293.8</v>
      </c>
      <c r="O17" s="53">
        <v>0</v>
      </c>
      <c r="P17" s="53">
        <v>0.21</v>
      </c>
      <c r="Q17" s="53">
        <v>8.9700000000000006</v>
      </c>
      <c r="R17" s="43"/>
      <c r="S17" s="43"/>
      <c r="T17" s="43"/>
      <c r="U17" s="43"/>
    </row>
    <row r="18" spans="1:21" s="11" customFormat="1" x14ac:dyDescent="0.25">
      <c r="A18" s="52" t="s">
        <v>765</v>
      </c>
      <c r="B18" s="53">
        <v>7.31</v>
      </c>
      <c r="C18" s="53">
        <v>13.07</v>
      </c>
      <c r="D18" s="53">
        <v>12.69</v>
      </c>
      <c r="E18" s="53">
        <v>3.57</v>
      </c>
      <c r="F18" s="53">
        <v>4.28</v>
      </c>
      <c r="G18" s="53">
        <v>18.78</v>
      </c>
      <c r="H18" s="53">
        <v>5.0599999999999996</v>
      </c>
      <c r="I18" s="53">
        <v>0.62</v>
      </c>
      <c r="J18" s="53">
        <v>0.22</v>
      </c>
      <c r="K18" s="53">
        <v>294.45</v>
      </c>
      <c r="L18" s="53">
        <v>24.82</v>
      </c>
      <c r="M18" s="53">
        <v>97.97</v>
      </c>
      <c r="N18" s="53">
        <v>337.2</v>
      </c>
      <c r="O18" s="53">
        <v>0</v>
      </c>
      <c r="P18" s="53">
        <v>0.25</v>
      </c>
      <c r="Q18" s="53">
        <v>9.02</v>
      </c>
      <c r="R18" s="43"/>
      <c r="S18" s="43"/>
      <c r="T18" s="43"/>
      <c r="U18" s="43"/>
    </row>
    <row r="19" spans="1:21" s="11" customFormat="1" x14ac:dyDescent="0.25">
      <c r="A19" s="52" t="s">
        <v>766</v>
      </c>
      <c r="B19" s="53">
        <v>8.32</v>
      </c>
      <c r="C19" s="53">
        <v>13.8</v>
      </c>
      <c r="D19" s="53">
        <v>13.67</v>
      </c>
      <c r="E19" s="53">
        <v>3.75</v>
      </c>
      <c r="F19" s="53">
        <v>3.67</v>
      </c>
      <c r="G19" s="53">
        <v>19.89</v>
      </c>
      <c r="H19" s="53">
        <v>6.01</v>
      </c>
      <c r="I19" s="53">
        <v>0.73</v>
      </c>
      <c r="J19" s="53">
        <v>0.24</v>
      </c>
      <c r="K19" s="53">
        <v>286.73</v>
      </c>
      <c r="L19" s="53">
        <v>24.98</v>
      </c>
      <c r="M19" s="53">
        <v>97.95</v>
      </c>
      <c r="N19" s="53">
        <v>372</v>
      </c>
      <c r="O19" s="53">
        <v>0</v>
      </c>
      <c r="P19" s="53">
        <v>0.28999999999999998</v>
      </c>
      <c r="Q19" s="53">
        <v>9.06</v>
      </c>
      <c r="R19" s="43"/>
      <c r="S19" s="43"/>
      <c r="T19" s="43"/>
      <c r="U19" s="43"/>
    </row>
    <row r="20" spans="1:21" s="11" customFormat="1" x14ac:dyDescent="0.25">
      <c r="A20" s="52" t="s">
        <v>767</v>
      </c>
      <c r="B20" s="53">
        <v>7.98</v>
      </c>
      <c r="C20" s="53">
        <v>13.89</v>
      </c>
      <c r="D20" s="53">
        <v>13.44</v>
      </c>
      <c r="E20" s="53">
        <v>3.79</v>
      </c>
      <c r="F20" s="53">
        <v>3.89</v>
      </c>
      <c r="G20" s="53">
        <v>19.07</v>
      </c>
      <c r="H20" s="53">
        <v>6.29</v>
      </c>
      <c r="I20" s="53">
        <v>0.75</v>
      </c>
      <c r="J20" s="53">
        <v>0.26</v>
      </c>
      <c r="K20" s="53">
        <v>287.14</v>
      </c>
      <c r="L20" s="53">
        <v>25.25</v>
      </c>
      <c r="M20" s="53">
        <v>97.86</v>
      </c>
      <c r="N20" s="53">
        <v>344.6</v>
      </c>
      <c r="O20" s="53">
        <v>0</v>
      </c>
      <c r="P20" s="53">
        <v>0.32</v>
      </c>
      <c r="Q20" s="53">
        <v>9.07</v>
      </c>
      <c r="R20" s="43"/>
      <c r="S20" s="43"/>
      <c r="T20" s="43"/>
      <c r="U20" s="43"/>
    </row>
    <row r="21" spans="1:21" s="11" customFormat="1" x14ac:dyDescent="0.25">
      <c r="A21" s="52" t="s">
        <v>768</v>
      </c>
      <c r="B21" s="53">
        <v>7.46</v>
      </c>
      <c r="C21" s="53">
        <v>13.74</v>
      </c>
      <c r="D21" s="53">
        <v>12.84</v>
      </c>
      <c r="E21" s="53">
        <v>3.93</v>
      </c>
      <c r="F21" s="53">
        <v>4.71</v>
      </c>
      <c r="G21" s="53">
        <v>21.28</v>
      </c>
      <c r="H21" s="53">
        <v>5.94</v>
      </c>
      <c r="I21" s="53">
        <v>0.75</v>
      </c>
      <c r="J21" s="53">
        <v>0.16</v>
      </c>
      <c r="K21" s="53">
        <v>292.42</v>
      </c>
      <c r="L21" s="53">
        <v>25.41</v>
      </c>
      <c r="M21" s="53">
        <v>97.86</v>
      </c>
      <c r="N21" s="53">
        <v>243.3</v>
      </c>
      <c r="O21" s="53">
        <v>0</v>
      </c>
      <c r="P21" s="53">
        <v>0.33</v>
      </c>
      <c r="Q21" s="53">
        <v>8.99</v>
      </c>
      <c r="R21" s="43"/>
      <c r="S21" s="43"/>
      <c r="T21" s="43"/>
      <c r="U21" s="43"/>
    </row>
    <row r="22" spans="1:21" s="11" customFormat="1" x14ac:dyDescent="0.25">
      <c r="A22" s="52" t="s">
        <v>769</v>
      </c>
      <c r="B22" s="53">
        <v>8.4600000000000009</v>
      </c>
      <c r="C22" s="53">
        <v>14.19</v>
      </c>
      <c r="D22" s="53">
        <v>14.2</v>
      </c>
      <c r="E22" s="53">
        <v>3.93</v>
      </c>
      <c r="F22" s="53">
        <v>4.07</v>
      </c>
      <c r="G22" s="53">
        <v>24.16</v>
      </c>
      <c r="H22" s="53">
        <v>6.18</v>
      </c>
      <c r="I22" s="53">
        <v>0.85</v>
      </c>
      <c r="J22" s="53">
        <v>0.21</v>
      </c>
      <c r="K22" s="53">
        <v>294.02</v>
      </c>
      <c r="L22" s="53">
        <v>25.6</v>
      </c>
      <c r="M22" s="53">
        <v>97.86</v>
      </c>
      <c r="N22" s="53">
        <v>220.7</v>
      </c>
      <c r="O22" s="53">
        <v>0</v>
      </c>
      <c r="P22" s="53">
        <v>0.27</v>
      </c>
      <c r="Q22" s="53">
        <v>9</v>
      </c>
      <c r="R22" s="43"/>
      <c r="S22" s="43"/>
      <c r="T22" s="43"/>
      <c r="U22" s="43"/>
    </row>
    <row r="23" spans="1:21" s="11" customFormat="1" x14ac:dyDescent="0.25">
      <c r="A23" s="52" t="s">
        <v>770</v>
      </c>
      <c r="B23" s="53">
        <v>7.36</v>
      </c>
      <c r="C23" s="53">
        <v>13.56</v>
      </c>
      <c r="D23" s="53">
        <v>12.99</v>
      </c>
      <c r="E23" s="53">
        <v>3.89</v>
      </c>
      <c r="F23" s="53">
        <v>5.74</v>
      </c>
      <c r="G23" s="53">
        <v>27.05</v>
      </c>
      <c r="H23" s="53">
        <v>5.85</v>
      </c>
      <c r="I23" s="53">
        <v>0.88</v>
      </c>
      <c r="J23" s="53">
        <v>0.15</v>
      </c>
      <c r="K23" s="53">
        <v>291.38</v>
      </c>
      <c r="L23" s="53">
        <v>25.74</v>
      </c>
      <c r="M23" s="53">
        <v>97.85</v>
      </c>
      <c r="N23" s="53">
        <v>265.39999999999998</v>
      </c>
      <c r="O23" s="53">
        <v>0</v>
      </c>
      <c r="P23" s="53">
        <v>0.24</v>
      </c>
      <c r="Q23" s="53">
        <v>9.0299999999999994</v>
      </c>
      <c r="R23" s="43"/>
      <c r="S23" s="43"/>
      <c r="T23" s="43"/>
      <c r="U23" s="43"/>
    </row>
    <row r="24" spans="1:21" s="11" customFormat="1" x14ac:dyDescent="0.25">
      <c r="A24" s="52" t="s">
        <v>771</v>
      </c>
      <c r="B24" s="53">
        <v>6.92</v>
      </c>
      <c r="C24" s="53">
        <v>14.66</v>
      </c>
      <c r="D24" s="53">
        <v>13.21</v>
      </c>
      <c r="E24" s="53">
        <v>5.08</v>
      </c>
      <c r="F24" s="53">
        <v>5.8</v>
      </c>
      <c r="G24" s="53">
        <v>28.55</v>
      </c>
      <c r="H24" s="53">
        <v>4.51</v>
      </c>
      <c r="I24" s="53">
        <v>0.87</v>
      </c>
      <c r="J24" s="53">
        <v>0.18</v>
      </c>
      <c r="K24" s="53">
        <v>280.27</v>
      </c>
      <c r="L24" s="53">
        <v>26.07</v>
      </c>
      <c r="M24" s="53">
        <v>97.85</v>
      </c>
      <c r="N24" s="53">
        <v>226.1</v>
      </c>
      <c r="O24" s="53">
        <v>0</v>
      </c>
      <c r="P24" s="53">
        <v>0.23</v>
      </c>
      <c r="Q24" s="53">
        <v>9.0299999999999994</v>
      </c>
      <c r="R24" s="43"/>
      <c r="S24" s="43"/>
      <c r="T24" s="43"/>
      <c r="U24" s="43"/>
    </row>
    <row r="25" spans="1:21" s="11" customFormat="1" x14ac:dyDescent="0.25">
      <c r="A25" s="52" t="s">
        <v>772</v>
      </c>
      <c r="B25" s="53">
        <v>6.29</v>
      </c>
      <c r="C25" s="53">
        <v>13.7</v>
      </c>
      <c r="D25" s="53">
        <v>12.2</v>
      </c>
      <c r="E25" s="53">
        <v>5.78</v>
      </c>
      <c r="F25" s="53">
        <v>4.7300000000000004</v>
      </c>
      <c r="G25" s="53">
        <v>29.2</v>
      </c>
      <c r="H25" s="53">
        <v>5.09</v>
      </c>
      <c r="I25" s="53">
        <v>0.94</v>
      </c>
      <c r="J25" s="53">
        <v>0.16</v>
      </c>
      <c r="K25" s="53">
        <v>291.87</v>
      </c>
      <c r="L25" s="53">
        <v>26.23</v>
      </c>
      <c r="M25" s="53">
        <v>97.85</v>
      </c>
      <c r="N25" s="53">
        <v>189.8</v>
      </c>
      <c r="O25" s="53">
        <v>0</v>
      </c>
      <c r="P25" s="53">
        <v>0.22</v>
      </c>
      <c r="Q25" s="53">
        <v>9</v>
      </c>
      <c r="R25" s="43"/>
      <c r="S25" s="43"/>
      <c r="T25" s="43"/>
      <c r="U25" s="43"/>
    </row>
    <row r="26" spans="1:21" s="11" customFormat="1" x14ac:dyDescent="0.25">
      <c r="A26" s="52" t="s">
        <v>773</v>
      </c>
      <c r="B26" s="53">
        <v>6.26</v>
      </c>
      <c r="C26" s="53">
        <v>14.67</v>
      </c>
      <c r="D26" s="53">
        <v>12.62</v>
      </c>
      <c r="E26" s="53">
        <v>5.48</v>
      </c>
      <c r="F26" s="53">
        <v>4.3899999999999997</v>
      </c>
      <c r="G26" s="53">
        <v>29.12</v>
      </c>
      <c r="H26" s="53">
        <v>4.93</v>
      </c>
      <c r="I26" s="53">
        <v>0.94</v>
      </c>
      <c r="J26" s="53">
        <v>0.16</v>
      </c>
      <c r="K26" s="53">
        <v>325.51</v>
      </c>
      <c r="L26" s="53">
        <v>26.02</v>
      </c>
      <c r="M26" s="53">
        <v>97.89</v>
      </c>
      <c r="N26" s="53">
        <v>133.69999999999999</v>
      </c>
      <c r="O26" s="53">
        <v>0</v>
      </c>
      <c r="P26" s="53">
        <v>0.24</v>
      </c>
      <c r="Q26" s="53">
        <v>8.9499999999999993</v>
      </c>
      <c r="R26" s="43"/>
      <c r="S26" s="43"/>
      <c r="T26" s="43"/>
      <c r="U26" s="43"/>
    </row>
    <row r="27" spans="1:21" s="11" customFormat="1" x14ac:dyDescent="0.25">
      <c r="A27" s="52" t="s">
        <v>774</v>
      </c>
      <c r="B27" s="53">
        <v>8.68</v>
      </c>
      <c r="C27" s="53">
        <v>15.85</v>
      </c>
      <c r="D27" s="53">
        <v>15.24</v>
      </c>
      <c r="E27" s="53">
        <v>5.47</v>
      </c>
      <c r="F27" s="53">
        <v>7.53</v>
      </c>
      <c r="G27" s="53">
        <v>28.32</v>
      </c>
      <c r="H27" s="53">
        <v>4.1900000000000004</v>
      </c>
      <c r="I27" s="53">
        <v>0.83</v>
      </c>
      <c r="J27" s="53">
        <v>0.12</v>
      </c>
      <c r="K27" s="53">
        <v>342.4</v>
      </c>
      <c r="L27" s="53">
        <v>25.35</v>
      </c>
      <c r="M27" s="53">
        <v>97.9</v>
      </c>
      <c r="N27" s="53">
        <v>79.2</v>
      </c>
      <c r="O27" s="53">
        <v>0.2</v>
      </c>
      <c r="P27" s="53">
        <v>0.28000000000000003</v>
      </c>
      <c r="Q27" s="53">
        <v>9.01</v>
      </c>
      <c r="R27" s="43"/>
      <c r="S27" s="43"/>
      <c r="T27" s="43"/>
      <c r="U27" s="43"/>
    </row>
    <row r="28" spans="1:21" s="11" customFormat="1" x14ac:dyDescent="0.25">
      <c r="A28" s="52" t="s">
        <v>775</v>
      </c>
      <c r="B28" s="53">
        <v>7.49</v>
      </c>
      <c r="C28" s="53">
        <v>15.26</v>
      </c>
      <c r="D28" s="53">
        <v>13.98</v>
      </c>
      <c r="E28" s="53">
        <v>5.87</v>
      </c>
      <c r="F28" s="53">
        <v>6.87</v>
      </c>
      <c r="G28" s="53">
        <v>30.57</v>
      </c>
      <c r="H28" s="53">
        <v>3.35</v>
      </c>
      <c r="I28" s="53">
        <v>0.9</v>
      </c>
      <c r="J28" s="53">
        <v>0.09</v>
      </c>
      <c r="K28" s="53">
        <v>340.38</v>
      </c>
      <c r="L28" s="53">
        <v>24.83</v>
      </c>
      <c r="M28" s="53">
        <v>97.94</v>
      </c>
      <c r="N28" s="53">
        <v>55</v>
      </c>
      <c r="O28" s="53">
        <v>0</v>
      </c>
      <c r="P28" s="53">
        <v>0.3</v>
      </c>
      <c r="Q28" s="53">
        <v>9.0500000000000007</v>
      </c>
      <c r="R28" s="43"/>
      <c r="S28" s="43"/>
      <c r="T28" s="43"/>
      <c r="U28" s="43"/>
    </row>
    <row r="29" spans="1:21" s="11" customFormat="1" x14ac:dyDescent="0.25">
      <c r="A29" s="52" t="s">
        <v>776</v>
      </c>
      <c r="B29" s="53">
        <v>8.06</v>
      </c>
      <c r="C29" s="53">
        <v>13.35</v>
      </c>
      <c r="D29" s="53">
        <v>13.44</v>
      </c>
      <c r="E29" s="53">
        <v>5.85</v>
      </c>
      <c r="F29" s="53">
        <v>6.13</v>
      </c>
      <c r="G29" s="53">
        <v>29.71</v>
      </c>
      <c r="H29" s="53">
        <v>2.77</v>
      </c>
      <c r="I29" s="53">
        <v>0.94</v>
      </c>
      <c r="J29" s="53">
        <v>0.1</v>
      </c>
      <c r="K29" s="53">
        <v>354.16</v>
      </c>
      <c r="L29" s="53">
        <v>24.65</v>
      </c>
      <c r="M29" s="53">
        <v>98</v>
      </c>
      <c r="N29" s="53">
        <v>55.4</v>
      </c>
      <c r="O29" s="53">
        <v>0</v>
      </c>
      <c r="P29" s="53">
        <v>0.27</v>
      </c>
      <c r="Q29" s="53">
        <v>9.0299999999999994</v>
      </c>
      <c r="R29" s="43"/>
      <c r="S29" s="43"/>
      <c r="T29" s="43"/>
      <c r="U29" s="43"/>
    </row>
    <row r="30" spans="1:21" s="11" customFormat="1" x14ac:dyDescent="0.25">
      <c r="A30" s="52" t="s">
        <v>777</v>
      </c>
      <c r="B30" s="53">
        <v>6.58</v>
      </c>
      <c r="C30" s="53">
        <v>12.71</v>
      </c>
      <c r="D30" s="53">
        <v>11.84</v>
      </c>
      <c r="E30" s="53">
        <v>5.76</v>
      </c>
      <c r="F30" s="53">
        <v>4.2</v>
      </c>
      <c r="G30" s="53">
        <v>25.81</v>
      </c>
      <c r="H30" s="53">
        <v>2.56</v>
      </c>
      <c r="I30" s="53">
        <v>0.89</v>
      </c>
      <c r="J30" s="53">
        <v>0.14000000000000001</v>
      </c>
      <c r="K30" s="53">
        <v>342.23</v>
      </c>
      <c r="L30" s="53">
        <v>24.28</v>
      </c>
      <c r="M30" s="53">
        <v>98</v>
      </c>
      <c r="N30" s="53">
        <v>55.4</v>
      </c>
      <c r="O30" s="53">
        <v>0</v>
      </c>
      <c r="P30" s="53">
        <v>0.28000000000000003</v>
      </c>
      <c r="Q30" s="53">
        <v>8.99</v>
      </c>
      <c r="R30" s="43"/>
      <c r="S30" s="43"/>
      <c r="T30" s="43"/>
      <c r="U30" s="43"/>
    </row>
    <row r="31" spans="1:21" s="11" customFormat="1" x14ac:dyDescent="0.25">
      <c r="A31" s="52" t="s">
        <v>778</v>
      </c>
      <c r="B31" s="53">
        <v>6.6</v>
      </c>
      <c r="C31" s="53">
        <v>13.7</v>
      </c>
      <c r="D31" s="53">
        <v>12.46</v>
      </c>
      <c r="E31" s="53">
        <v>5.7</v>
      </c>
      <c r="F31" s="53">
        <v>6.32</v>
      </c>
      <c r="G31" s="53">
        <v>23.05</v>
      </c>
      <c r="H31" s="53">
        <v>93.99</v>
      </c>
      <c r="I31" s="53">
        <v>0.9</v>
      </c>
      <c r="J31" s="53">
        <v>0.14000000000000001</v>
      </c>
      <c r="K31" s="53">
        <v>339.55</v>
      </c>
      <c r="L31" s="53">
        <v>23.95</v>
      </c>
      <c r="M31" s="53">
        <v>98.04</v>
      </c>
      <c r="N31" s="53">
        <v>55.4</v>
      </c>
      <c r="O31" s="53">
        <v>0</v>
      </c>
      <c r="P31" s="53">
        <v>0.26</v>
      </c>
      <c r="Q31" s="53">
        <v>8.9600000000000009</v>
      </c>
      <c r="R31" s="43"/>
      <c r="S31" s="43"/>
      <c r="T31" s="43"/>
      <c r="U31" s="43"/>
    </row>
    <row r="32" spans="1:21" s="11" customFormat="1" x14ac:dyDescent="0.25">
      <c r="A32" s="52" t="s">
        <v>779</v>
      </c>
      <c r="B32" s="53">
        <v>5.88</v>
      </c>
      <c r="C32" s="53">
        <v>12.58</v>
      </c>
      <c r="D32" s="53">
        <v>11.28</v>
      </c>
      <c r="E32" s="53">
        <v>5.7</v>
      </c>
      <c r="F32" s="53">
        <v>6.87</v>
      </c>
      <c r="G32" s="53">
        <v>25.08</v>
      </c>
      <c r="H32" s="53">
        <v>74.56</v>
      </c>
      <c r="I32" s="53">
        <v>0.88</v>
      </c>
      <c r="J32" s="53">
        <v>0.06</v>
      </c>
      <c r="K32" s="53">
        <v>285.41000000000003</v>
      </c>
      <c r="L32" s="53">
        <v>23.52</v>
      </c>
      <c r="M32" s="53">
        <v>98.05</v>
      </c>
      <c r="N32" s="53">
        <v>55.3</v>
      </c>
      <c r="O32" s="53">
        <v>0</v>
      </c>
      <c r="P32" s="53">
        <v>0.21</v>
      </c>
      <c r="Q32" s="53">
        <v>9.01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4.9800000000000004</v>
      </c>
      <c r="C34" s="28">
        <f t="shared" si="0"/>
        <v>10.72</v>
      </c>
      <c r="D34" s="28">
        <f t="shared" si="0"/>
        <v>9.6999999999999993</v>
      </c>
      <c r="E34" s="28">
        <f t="shared" si="0"/>
        <v>3.57</v>
      </c>
      <c r="F34" s="28">
        <f t="shared" si="0"/>
        <v>3.61</v>
      </c>
      <c r="G34" s="28">
        <f t="shared" si="0"/>
        <v>6.98</v>
      </c>
      <c r="H34" s="28">
        <f t="shared" si="0"/>
        <v>2</v>
      </c>
      <c r="I34" s="28">
        <f t="shared" si="0"/>
        <v>0.44</v>
      </c>
      <c r="J34" s="28">
        <f t="shared" si="0"/>
        <v>0.06</v>
      </c>
      <c r="K34" s="28">
        <f t="shared" si="0"/>
        <v>280.27</v>
      </c>
      <c r="L34" s="28">
        <f t="shared" si="0"/>
        <v>22.28</v>
      </c>
      <c r="M34" s="28">
        <f t="shared" si="0"/>
        <v>97.85</v>
      </c>
      <c r="N34" s="28">
        <f t="shared" si="0"/>
        <v>55</v>
      </c>
      <c r="O34" s="28">
        <f t="shared" si="0"/>
        <v>0</v>
      </c>
      <c r="P34" s="28">
        <f t="shared" si="0"/>
        <v>0.15</v>
      </c>
      <c r="Q34" s="28">
        <f t="shared" si="0"/>
        <v>8.91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8.68</v>
      </c>
      <c r="C35" s="29">
        <f t="shared" si="1"/>
        <v>15.85</v>
      </c>
      <c r="D35" s="29">
        <f t="shared" si="1"/>
        <v>15.24</v>
      </c>
      <c r="E35" s="29">
        <f t="shared" si="1"/>
        <v>5.87</v>
      </c>
      <c r="F35" s="29">
        <f t="shared" si="1"/>
        <v>7.53</v>
      </c>
      <c r="G35" s="29">
        <f t="shared" si="1"/>
        <v>30.57</v>
      </c>
      <c r="H35" s="29">
        <f t="shared" si="1"/>
        <v>93.99</v>
      </c>
      <c r="I35" s="29">
        <f t="shared" si="1"/>
        <v>0.94</v>
      </c>
      <c r="J35" s="29">
        <f t="shared" si="1"/>
        <v>0.28999999999999998</v>
      </c>
      <c r="K35" s="29">
        <f t="shared" si="1"/>
        <v>354.16</v>
      </c>
      <c r="L35" s="29">
        <f t="shared" si="1"/>
        <v>26.23</v>
      </c>
      <c r="M35" s="29">
        <f t="shared" si="1"/>
        <v>98.07</v>
      </c>
      <c r="N35" s="29">
        <f t="shared" si="1"/>
        <v>372</v>
      </c>
      <c r="O35" s="29">
        <f t="shared" si="1"/>
        <v>0.2</v>
      </c>
      <c r="P35" s="29">
        <f t="shared" si="1"/>
        <v>0.33</v>
      </c>
      <c r="Q35" s="29">
        <f t="shared" si="1"/>
        <v>9.07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6.7741666666666687</v>
      </c>
      <c r="C36" s="28">
        <f t="shared" si="2"/>
        <v>12.898333333333332</v>
      </c>
      <c r="D36" s="28">
        <f t="shared" si="2"/>
        <v>12.117916666666664</v>
      </c>
      <c r="E36" s="28">
        <f t="shared" si="2"/>
        <v>4.7629166666666674</v>
      </c>
      <c r="F36" s="28">
        <f t="shared" si="2"/>
        <v>4.8104166666666677</v>
      </c>
      <c r="G36" s="28">
        <f t="shared" si="2"/>
        <v>19.073333333333334</v>
      </c>
      <c r="H36" s="28">
        <f t="shared" si="2"/>
        <v>10.784583333333332</v>
      </c>
      <c r="I36" s="28">
        <f t="shared" si="2"/>
        <v>0.71749999999999992</v>
      </c>
      <c r="J36" s="28">
        <f t="shared" si="2"/>
        <v>0.16375000000000003</v>
      </c>
      <c r="K36" s="28">
        <f t="shared" si="2"/>
        <v>306.12749999999994</v>
      </c>
      <c r="L36" s="28">
        <f t="shared" si="2"/>
        <v>24.211250000000003</v>
      </c>
      <c r="M36" s="28">
        <f t="shared" si="2"/>
        <v>97.967499999999987</v>
      </c>
      <c r="N36" s="28">
        <f t="shared" si="2"/>
        <v>160.22083333333333</v>
      </c>
      <c r="O36" s="28">
        <f t="shared" si="2"/>
        <v>8.3333333333333332E-3</v>
      </c>
      <c r="P36" s="28">
        <f t="shared" si="2"/>
        <v>0.23541666666666669</v>
      </c>
      <c r="Q36" s="28">
        <f t="shared" si="2"/>
        <v>8.992916666666666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1.0996873732295707</v>
      </c>
      <c r="C37" s="28">
        <f t="shared" ref="C37:Q37" si="3">STDEV(C9:C32)</f>
        <v>1.5475103895603295</v>
      </c>
      <c r="D37" s="28">
        <f t="shared" si="3"/>
        <v>1.5461930223354805</v>
      </c>
      <c r="E37" s="28">
        <f t="shared" si="3"/>
        <v>0.78856765675200813</v>
      </c>
      <c r="F37" s="28">
        <f t="shared" si="3"/>
        <v>1.168665084491765</v>
      </c>
      <c r="G37" s="28">
        <f t="shared" si="3"/>
        <v>8.9018633450807787</v>
      </c>
      <c r="H37" s="28">
        <f t="shared" si="3"/>
        <v>22.856366438595664</v>
      </c>
      <c r="I37" s="28">
        <f t="shared" si="3"/>
        <v>0.18783086749149813</v>
      </c>
      <c r="J37" s="28">
        <f t="shared" si="3"/>
        <v>5.7996439171053599E-2</v>
      </c>
      <c r="K37" s="28">
        <f t="shared" si="3"/>
        <v>21.833522540390479</v>
      </c>
      <c r="L37" s="28">
        <f t="shared" si="3"/>
        <v>1.3794180010928994</v>
      </c>
      <c r="M37" s="28">
        <f t="shared" si="3"/>
        <v>8.2948386256809503E-2</v>
      </c>
      <c r="N37" s="28">
        <f t="shared" si="3"/>
        <v>103.75978101266935</v>
      </c>
      <c r="O37" s="28">
        <f t="shared" si="3"/>
        <v>4.0824829046386311E-2</v>
      </c>
      <c r="P37" s="28">
        <f t="shared" si="3"/>
        <v>5.1917925752987766E-2</v>
      </c>
      <c r="Q37" s="28">
        <f t="shared" si="3"/>
        <v>4.2577720921164616E-2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selection activeCell="G43" sqref="G4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31/07/2025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780</v>
      </c>
      <c r="B9" s="53">
        <v>7.04</v>
      </c>
      <c r="C9" s="53">
        <v>11.44</v>
      </c>
      <c r="D9" s="53">
        <v>11.26</v>
      </c>
      <c r="E9" s="53">
        <v>4.93</v>
      </c>
      <c r="F9" s="53">
        <v>8.4</v>
      </c>
      <c r="G9" s="53">
        <v>24.35</v>
      </c>
      <c r="H9" s="53">
        <v>12.53</v>
      </c>
      <c r="I9" s="53">
        <v>0.88</v>
      </c>
      <c r="J9" s="53">
        <v>0.09</v>
      </c>
      <c r="K9" s="53">
        <v>305.44</v>
      </c>
      <c r="L9" s="53">
        <v>23.52</v>
      </c>
      <c r="M9" s="53">
        <v>98.07</v>
      </c>
      <c r="N9" s="53">
        <v>55.4</v>
      </c>
      <c r="O9" s="53">
        <v>0</v>
      </c>
      <c r="P9" s="53">
        <v>0.22</v>
      </c>
      <c r="Q9" s="53">
        <v>9.02</v>
      </c>
      <c r="R9" s="43"/>
      <c r="S9" s="43"/>
      <c r="T9" s="43"/>
      <c r="U9" s="43"/>
    </row>
    <row r="10" spans="1:21" s="11" customFormat="1" x14ac:dyDescent="0.25">
      <c r="A10" s="52" t="s">
        <v>781</v>
      </c>
      <c r="B10" s="53">
        <v>7.03</v>
      </c>
      <c r="C10" s="53">
        <v>10.56</v>
      </c>
      <c r="D10" s="53">
        <v>11.09</v>
      </c>
      <c r="E10" s="53">
        <v>4.6399999999999997</v>
      </c>
      <c r="F10" s="53">
        <v>4.45</v>
      </c>
      <c r="G10" s="53">
        <v>21.41</v>
      </c>
      <c r="H10" s="53">
        <v>10.039999999999999</v>
      </c>
      <c r="I10" s="53">
        <v>0.82</v>
      </c>
      <c r="J10" s="53">
        <v>0.06</v>
      </c>
      <c r="K10" s="53">
        <v>310.10000000000002</v>
      </c>
      <c r="L10" s="53">
        <v>23.47</v>
      </c>
      <c r="M10" s="53">
        <v>98.07</v>
      </c>
      <c r="N10" s="53">
        <v>55.4</v>
      </c>
      <c r="O10" s="53">
        <v>0</v>
      </c>
      <c r="P10" s="53">
        <v>0.33</v>
      </c>
      <c r="Q10" s="53">
        <v>8.98</v>
      </c>
      <c r="R10" s="43"/>
      <c r="S10" s="43"/>
      <c r="T10" s="43"/>
      <c r="U10" s="43"/>
    </row>
    <row r="11" spans="1:21" s="11" customFormat="1" x14ac:dyDescent="0.25">
      <c r="A11" s="52" t="s">
        <v>782</v>
      </c>
      <c r="B11" s="53">
        <v>7.08</v>
      </c>
      <c r="C11" s="53">
        <v>10.34</v>
      </c>
      <c r="D11" s="53">
        <v>11.08</v>
      </c>
      <c r="E11" s="53">
        <v>4.72</v>
      </c>
      <c r="F11" s="53">
        <v>5.76</v>
      </c>
      <c r="G11" s="53">
        <v>19.16</v>
      </c>
      <c r="H11" s="53">
        <v>1.75</v>
      </c>
      <c r="I11" s="53">
        <v>0.77</v>
      </c>
      <c r="J11" s="53">
        <v>0.12</v>
      </c>
      <c r="K11" s="53">
        <v>323.64999999999998</v>
      </c>
      <c r="L11" s="53">
        <v>23.35</v>
      </c>
      <c r="M11" s="53">
        <v>98.07</v>
      </c>
      <c r="N11" s="53">
        <v>55.4</v>
      </c>
      <c r="O11" s="53">
        <v>0</v>
      </c>
      <c r="P11" s="53">
        <v>0.33</v>
      </c>
      <c r="Q11" s="53">
        <v>8.9700000000000006</v>
      </c>
      <c r="R11" s="43"/>
      <c r="S11" s="43"/>
      <c r="T11" s="43"/>
      <c r="U11" s="43"/>
    </row>
    <row r="12" spans="1:21" s="11" customFormat="1" x14ac:dyDescent="0.25">
      <c r="A12" s="52" t="s">
        <v>783</v>
      </c>
      <c r="B12" s="53">
        <v>6.84</v>
      </c>
      <c r="C12" s="53">
        <v>10.18</v>
      </c>
      <c r="D12" s="53">
        <v>10.8</v>
      </c>
      <c r="E12" s="53">
        <v>4.5</v>
      </c>
      <c r="F12" s="53">
        <v>5.24</v>
      </c>
      <c r="G12" s="53">
        <v>18.53</v>
      </c>
      <c r="H12" s="53">
        <v>8.23</v>
      </c>
      <c r="I12" s="53">
        <v>0.73</v>
      </c>
      <c r="J12" s="53">
        <v>0.1</v>
      </c>
      <c r="K12" s="53">
        <v>300.62</v>
      </c>
      <c r="L12" s="53">
        <v>23.33</v>
      </c>
      <c r="M12" s="53">
        <v>98.06</v>
      </c>
      <c r="N12" s="53">
        <v>55.4</v>
      </c>
      <c r="O12" s="53">
        <v>0</v>
      </c>
      <c r="P12" s="53">
        <v>0.3</v>
      </c>
      <c r="Q12" s="53">
        <v>9.01</v>
      </c>
      <c r="R12" s="43"/>
      <c r="S12" s="43"/>
      <c r="T12" s="43"/>
      <c r="U12" s="43"/>
    </row>
    <row r="13" spans="1:21" s="11" customFormat="1" x14ac:dyDescent="0.25">
      <c r="A13" s="52" t="s">
        <v>784</v>
      </c>
      <c r="B13" s="53">
        <v>7.14</v>
      </c>
      <c r="C13" s="53">
        <v>10.45</v>
      </c>
      <c r="D13" s="53">
        <v>11.15</v>
      </c>
      <c r="E13" s="53">
        <v>4.59</v>
      </c>
      <c r="F13" s="53">
        <v>6.44</v>
      </c>
      <c r="G13" s="53">
        <v>20.99</v>
      </c>
      <c r="H13" s="53">
        <v>6.82</v>
      </c>
      <c r="I13" s="53">
        <v>0.68</v>
      </c>
      <c r="J13" s="53">
        <v>0.08</v>
      </c>
      <c r="K13" s="53">
        <v>273.72000000000003</v>
      </c>
      <c r="L13" s="53">
        <v>23.26</v>
      </c>
      <c r="M13" s="53">
        <v>98.05</v>
      </c>
      <c r="N13" s="53">
        <v>55.3</v>
      </c>
      <c r="O13" s="53">
        <v>0</v>
      </c>
      <c r="P13" s="53">
        <v>0.26</v>
      </c>
      <c r="Q13" s="53">
        <v>9.0399999999999991</v>
      </c>
      <c r="R13" s="43"/>
      <c r="S13" s="43"/>
      <c r="T13" s="43"/>
      <c r="U13" s="43"/>
    </row>
    <row r="14" spans="1:21" s="11" customFormat="1" x14ac:dyDescent="0.25">
      <c r="A14" s="52" t="s">
        <v>785</v>
      </c>
      <c r="B14" s="53">
        <v>8.33</v>
      </c>
      <c r="C14" s="53">
        <v>10.25</v>
      </c>
      <c r="D14" s="53">
        <v>11.92</v>
      </c>
      <c r="E14" s="53">
        <v>4.71</v>
      </c>
      <c r="F14" s="53">
        <v>4.32</v>
      </c>
      <c r="G14" s="53">
        <v>20.45</v>
      </c>
      <c r="H14" s="53">
        <v>2.08</v>
      </c>
      <c r="I14" s="53">
        <v>0.7</v>
      </c>
      <c r="J14" s="53">
        <v>0.11</v>
      </c>
      <c r="K14" s="53">
        <v>293.31</v>
      </c>
      <c r="L14" s="53">
        <v>23.27</v>
      </c>
      <c r="M14" s="53">
        <v>98.09</v>
      </c>
      <c r="N14" s="53">
        <v>62.8</v>
      </c>
      <c r="O14" s="53">
        <v>0</v>
      </c>
      <c r="P14" s="53">
        <v>0.28999999999999998</v>
      </c>
      <c r="Q14" s="53">
        <v>9.0299999999999994</v>
      </c>
      <c r="R14" s="43"/>
      <c r="S14" s="43"/>
      <c r="T14" s="43"/>
      <c r="U14" s="43"/>
    </row>
    <row r="15" spans="1:21" s="11" customFormat="1" x14ac:dyDescent="0.25">
      <c r="A15" s="52" t="s">
        <v>786</v>
      </c>
      <c r="B15" s="53">
        <v>8.93</v>
      </c>
      <c r="C15" s="53">
        <v>11.84</v>
      </c>
      <c r="D15" s="53">
        <v>13.35</v>
      </c>
      <c r="E15" s="53">
        <v>4.57</v>
      </c>
      <c r="F15" s="53">
        <v>4.0599999999999996</v>
      </c>
      <c r="G15" s="53">
        <v>19.059999999999999</v>
      </c>
      <c r="H15" s="53">
        <v>1.99</v>
      </c>
      <c r="I15" s="53">
        <v>0.67</v>
      </c>
      <c r="J15" s="53">
        <v>0.12</v>
      </c>
      <c r="K15" s="53">
        <v>302.22000000000003</v>
      </c>
      <c r="L15" s="53">
        <v>23.67</v>
      </c>
      <c r="M15" s="53">
        <v>98.08</v>
      </c>
      <c r="N15" s="53">
        <v>133.4</v>
      </c>
      <c r="O15" s="53">
        <v>0</v>
      </c>
      <c r="P15" s="53">
        <v>0.3</v>
      </c>
      <c r="Q15" s="53">
        <v>9.01</v>
      </c>
      <c r="R15" s="43"/>
      <c r="S15" s="43"/>
      <c r="T15" s="43"/>
      <c r="U15" s="43"/>
    </row>
    <row r="16" spans="1:21" s="11" customFormat="1" x14ac:dyDescent="0.25">
      <c r="A16" s="52" t="s">
        <v>787</v>
      </c>
      <c r="B16" s="53">
        <v>9.36</v>
      </c>
      <c r="C16" s="53">
        <v>10.87</v>
      </c>
      <c r="D16" s="53">
        <v>13.15</v>
      </c>
      <c r="E16" s="53">
        <v>4.42</v>
      </c>
      <c r="F16" s="53">
        <v>3.63</v>
      </c>
      <c r="G16" s="53">
        <v>22.79</v>
      </c>
      <c r="H16" s="53">
        <v>1.99</v>
      </c>
      <c r="I16" s="53">
        <v>0.72</v>
      </c>
      <c r="J16" s="53">
        <v>0.21</v>
      </c>
      <c r="K16" s="53">
        <v>299.85000000000002</v>
      </c>
      <c r="L16" s="53">
        <v>25.42</v>
      </c>
      <c r="M16" s="53">
        <v>98.01</v>
      </c>
      <c r="N16" s="53">
        <v>344.8</v>
      </c>
      <c r="O16" s="53">
        <v>0.2</v>
      </c>
      <c r="P16" s="53">
        <v>0.21</v>
      </c>
      <c r="Q16" s="53">
        <v>9.06</v>
      </c>
      <c r="R16" s="43"/>
      <c r="S16" s="43"/>
      <c r="T16" s="43"/>
      <c r="U16" s="43"/>
    </row>
    <row r="17" spans="1:21" s="11" customFormat="1" x14ac:dyDescent="0.25">
      <c r="A17" s="52" t="s">
        <v>788</v>
      </c>
      <c r="B17" s="53">
        <v>9.0399999999999991</v>
      </c>
      <c r="C17" s="53">
        <v>13.16</v>
      </c>
      <c r="D17" s="53">
        <v>13.31</v>
      </c>
      <c r="E17" s="53">
        <v>4.58</v>
      </c>
      <c r="F17" s="53">
        <v>3.81</v>
      </c>
      <c r="G17" s="53">
        <v>23.88</v>
      </c>
      <c r="H17" s="53">
        <v>15.57</v>
      </c>
      <c r="I17" s="53">
        <v>0.77</v>
      </c>
      <c r="J17" s="53">
        <v>0.27</v>
      </c>
      <c r="K17" s="53">
        <v>295.95</v>
      </c>
      <c r="L17" s="53">
        <v>27.53</v>
      </c>
      <c r="M17" s="53">
        <v>97.89</v>
      </c>
      <c r="N17" s="53">
        <v>586.9</v>
      </c>
      <c r="O17" s="53">
        <v>0</v>
      </c>
      <c r="P17" s="53">
        <v>0.23</v>
      </c>
      <c r="Q17" s="53">
        <v>9.07</v>
      </c>
      <c r="R17" s="43"/>
      <c r="S17" s="43"/>
      <c r="T17" s="43"/>
      <c r="U17" s="43"/>
    </row>
    <row r="18" spans="1:21" s="11" customFormat="1" x14ac:dyDescent="0.25">
      <c r="A18" s="52" t="s">
        <v>789</v>
      </c>
      <c r="B18" s="53">
        <v>9.65</v>
      </c>
      <c r="C18" s="53">
        <v>15.15</v>
      </c>
      <c r="D18" s="53">
        <v>15.01</v>
      </c>
      <c r="E18" s="53">
        <v>4.5999999999999996</v>
      </c>
      <c r="F18" s="53">
        <v>3.95</v>
      </c>
      <c r="G18" s="53">
        <v>31.23</v>
      </c>
      <c r="H18" s="53">
        <v>13.07</v>
      </c>
      <c r="I18" s="53">
        <v>0.94</v>
      </c>
      <c r="J18" s="53">
        <v>0.28999999999999998</v>
      </c>
      <c r="K18" s="53">
        <v>298.25</v>
      </c>
      <c r="L18" s="53">
        <v>29.09</v>
      </c>
      <c r="M18" s="53">
        <v>88.42</v>
      </c>
      <c r="N18" s="53">
        <v>706</v>
      </c>
      <c r="O18" s="53">
        <v>0</v>
      </c>
      <c r="P18" s="53">
        <v>0.32</v>
      </c>
      <c r="Q18" s="53">
        <v>9.07</v>
      </c>
      <c r="R18" s="43"/>
      <c r="S18" s="43"/>
      <c r="T18" s="43"/>
      <c r="U18" s="43"/>
    </row>
    <row r="19" spans="1:21" s="11" customFormat="1" x14ac:dyDescent="0.25">
      <c r="A19" s="52" t="s">
        <v>790</v>
      </c>
      <c r="B19" s="53">
        <v>8.74</v>
      </c>
      <c r="C19" s="53">
        <v>16.309999999999999</v>
      </c>
      <c r="D19" s="53">
        <v>14.32</v>
      </c>
      <c r="E19" s="53">
        <v>4.3899999999999997</v>
      </c>
      <c r="F19" s="53">
        <v>5.04</v>
      </c>
      <c r="G19" s="53">
        <v>36.1</v>
      </c>
      <c r="H19" s="53">
        <v>19.760000000000002</v>
      </c>
      <c r="I19" s="53">
        <v>1.1299999999999999</v>
      </c>
      <c r="J19" s="53">
        <v>0.26</v>
      </c>
      <c r="K19" s="53">
        <v>295.91000000000003</v>
      </c>
      <c r="L19" s="53">
        <v>28.92</v>
      </c>
      <c r="M19" s="53">
        <v>89.86</v>
      </c>
      <c r="N19" s="53">
        <v>716.1</v>
      </c>
      <c r="O19" s="53">
        <v>0</v>
      </c>
      <c r="P19" s="53">
        <v>0.37</v>
      </c>
      <c r="Q19" s="53">
        <v>9.06</v>
      </c>
      <c r="R19" s="43"/>
      <c r="S19" s="43"/>
      <c r="T19" s="43"/>
      <c r="U19" s="43"/>
    </row>
    <row r="20" spans="1:21" s="11" customFormat="1" x14ac:dyDescent="0.25">
      <c r="A20" s="52" t="s">
        <v>791</v>
      </c>
      <c r="B20" s="53">
        <v>7.3</v>
      </c>
      <c r="C20" s="53">
        <v>18.55</v>
      </c>
      <c r="D20" s="53">
        <v>15.53</v>
      </c>
      <c r="E20" s="53">
        <v>4.5</v>
      </c>
      <c r="F20" s="53">
        <v>4.8600000000000003</v>
      </c>
      <c r="G20" s="53">
        <v>34.93</v>
      </c>
      <c r="H20" s="53">
        <v>16.27</v>
      </c>
      <c r="I20" s="53">
        <v>1.19</v>
      </c>
      <c r="J20" s="53">
        <v>0.27</v>
      </c>
      <c r="K20" s="53">
        <v>297.16000000000003</v>
      </c>
      <c r="L20" s="53">
        <v>28.91</v>
      </c>
      <c r="M20" s="53">
        <v>92.36</v>
      </c>
      <c r="N20" s="53">
        <v>854</v>
      </c>
      <c r="O20" s="53">
        <v>0</v>
      </c>
      <c r="P20" s="53">
        <v>0.38</v>
      </c>
      <c r="Q20" s="53">
        <v>8.9700000000000006</v>
      </c>
      <c r="R20" s="43"/>
      <c r="S20" s="43"/>
      <c r="T20" s="43"/>
      <c r="U20" s="43"/>
    </row>
    <row r="21" spans="1:21" s="11" customFormat="1" x14ac:dyDescent="0.25">
      <c r="A21" s="52" t="s">
        <v>792</v>
      </c>
      <c r="B21" s="53">
        <v>7.2</v>
      </c>
      <c r="C21" s="53">
        <v>22.46</v>
      </c>
      <c r="D21" s="53">
        <v>17.239999999999998</v>
      </c>
      <c r="E21" s="53">
        <v>4.8</v>
      </c>
      <c r="F21" s="53">
        <v>8.2200000000000006</v>
      </c>
      <c r="G21" s="53">
        <v>33</v>
      </c>
      <c r="H21" s="53">
        <v>21.94</v>
      </c>
      <c r="I21" s="53">
        <v>1.33</v>
      </c>
      <c r="J21" s="53">
        <v>0.21</v>
      </c>
      <c r="K21" s="53">
        <v>295.10000000000002</v>
      </c>
      <c r="L21" s="53">
        <v>29.14</v>
      </c>
      <c r="M21" s="53">
        <v>83.29</v>
      </c>
      <c r="N21" s="53">
        <v>880.6</v>
      </c>
      <c r="O21" s="53">
        <v>0</v>
      </c>
      <c r="P21" s="53">
        <v>0.38</v>
      </c>
      <c r="Q21" s="53">
        <v>9.02</v>
      </c>
      <c r="R21" s="43"/>
      <c r="S21" s="43"/>
      <c r="T21" s="43"/>
      <c r="U21" s="43"/>
    </row>
    <row r="22" spans="1:21" s="11" customFormat="1" x14ac:dyDescent="0.25">
      <c r="A22" s="52" t="s">
        <v>793</v>
      </c>
      <c r="B22" s="53">
        <v>6.78</v>
      </c>
      <c r="C22" s="53">
        <v>21.93</v>
      </c>
      <c r="D22" s="53">
        <v>16.89</v>
      </c>
      <c r="E22" s="53">
        <v>4.75</v>
      </c>
      <c r="F22" s="53">
        <v>5.97</v>
      </c>
      <c r="G22" s="53">
        <v>58.49</v>
      </c>
      <c r="H22" s="53">
        <v>19.16</v>
      </c>
      <c r="I22" s="53">
        <v>1.45</v>
      </c>
      <c r="J22" s="53">
        <v>0.33</v>
      </c>
      <c r="K22" s="53">
        <v>298.20999999999998</v>
      </c>
      <c r="L22" s="53">
        <v>29.57</v>
      </c>
      <c r="M22" s="53">
        <v>81.12</v>
      </c>
      <c r="N22" s="53">
        <v>601.6</v>
      </c>
      <c r="O22" s="53">
        <v>0</v>
      </c>
      <c r="P22" s="53">
        <v>0.38</v>
      </c>
      <c r="Q22" s="53">
        <v>9.0299999999999994</v>
      </c>
      <c r="R22" s="43"/>
      <c r="S22" s="43"/>
      <c r="T22" s="43"/>
      <c r="U22" s="43"/>
    </row>
    <row r="23" spans="1:21" s="11" customFormat="1" x14ac:dyDescent="0.25">
      <c r="A23" s="52" t="s">
        <v>794</v>
      </c>
      <c r="B23" s="53">
        <v>5.36</v>
      </c>
      <c r="C23" s="53">
        <v>18.14</v>
      </c>
      <c r="D23" s="53">
        <v>13.78</v>
      </c>
      <c r="E23" s="53">
        <v>4.4000000000000004</v>
      </c>
      <c r="F23" s="53">
        <v>4.91</v>
      </c>
      <c r="G23" s="53">
        <v>57.01</v>
      </c>
      <c r="H23" s="53">
        <v>18.149999999999999</v>
      </c>
      <c r="I23" s="53">
        <v>1.36</v>
      </c>
      <c r="J23" s="53">
        <v>0.23</v>
      </c>
      <c r="K23" s="53">
        <v>290.58999999999997</v>
      </c>
      <c r="L23" s="53">
        <v>29.22</v>
      </c>
      <c r="M23" s="53">
        <v>79.06</v>
      </c>
      <c r="N23" s="53">
        <v>352.6</v>
      </c>
      <c r="O23" s="53">
        <v>0</v>
      </c>
      <c r="P23" s="53">
        <v>0.38</v>
      </c>
      <c r="Q23" s="53">
        <v>9.02</v>
      </c>
      <c r="R23" s="43"/>
      <c r="S23" s="43"/>
      <c r="T23" s="43"/>
      <c r="U23" s="43"/>
    </row>
    <row r="24" spans="1:21" s="11" customFormat="1" x14ac:dyDescent="0.25">
      <c r="A24" s="52" t="s">
        <v>795</v>
      </c>
      <c r="B24" s="53">
        <v>5.05</v>
      </c>
      <c r="C24" s="53">
        <v>16.600000000000001</v>
      </c>
      <c r="D24" s="53">
        <v>12.72</v>
      </c>
      <c r="E24" s="53">
        <v>4.47</v>
      </c>
      <c r="F24" s="53">
        <v>5.7</v>
      </c>
      <c r="G24" s="53">
        <v>51.78</v>
      </c>
      <c r="H24" s="53">
        <v>20.66</v>
      </c>
      <c r="I24" s="53">
        <v>1.35</v>
      </c>
      <c r="J24" s="53">
        <v>0.28000000000000003</v>
      </c>
      <c r="K24" s="53">
        <v>299.63</v>
      </c>
      <c r="L24" s="53">
        <v>29.43</v>
      </c>
      <c r="M24" s="53">
        <v>77.48</v>
      </c>
      <c r="N24" s="53">
        <v>234.9</v>
      </c>
      <c r="O24" s="53">
        <v>0</v>
      </c>
      <c r="P24" s="53">
        <v>0.37</v>
      </c>
      <c r="Q24" s="53">
        <v>8.9700000000000006</v>
      </c>
      <c r="R24" s="43"/>
      <c r="S24" s="43"/>
      <c r="T24" s="43"/>
      <c r="U24" s="43"/>
    </row>
    <row r="25" spans="1:21" s="11" customFormat="1" x14ac:dyDescent="0.25">
      <c r="A25" s="52" t="s">
        <v>796</v>
      </c>
      <c r="B25" s="53">
        <v>7.59</v>
      </c>
      <c r="C25" s="53">
        <v>16.32</v>
      </c>
      <c r="D25" s="53">
        <v>13.86</v>
      </c>
      <c r="E25" s="53">
        <v>4.3600000000000003</v>
      </c>
      <c r="F25" s="53">
        <v>7.16</v>
      </c>
      <c r="G25" s="53">
        <v>51.22</v>
      </c>
      <c r="H25" s="53">
        <v>18.61</v>
      </c>
      <c r="I25" s="53">
        <v>1.31</v>
      </c>
      <c r="J25" s="53">
        <v>0.26</v>
      </c>
      <c r="K25" s="53">
        <v>305.77999999999997</v>
      </c>
      <c r="L25" s="53">
        <v>29.33</v>
      </c>
      <c r="M25" s="53">
        <v>76.41</v>
      </c>
      <c r="N25" s="53">
        <v>208.7</v>
      </c>
      <c r="O25" s="53">
        <v>0</v>
      </c>
      <c r="P25" s="53">
        <v>0.36</v>
      </c>
      <c r="Q25" s="53">
        <v>9</v>
      </c>
      <c r="R25" s="43"/>
      <c r="S25" s="43"/>
      <c r="T25" s="43"/>
      <c r="U25" s="43"/>
    </row>
    <row r="26" spans="1:21" s="11" customFormat="1" x14ac:dyDescent="0.25">
      <c r="A26" s="52" t="s">
        <v>797</v>
      </c>
      <c r="B26" s="53">
        <v>7.39</v>
      </c>
      <c r="C26" s="53">
        <v>17.22</v>
      </c>
      <c r="D26" s="53">
        <v>14.92</v>
      </c>
      <c r="E26" s="53">
        <v>4.67</v>
      </c>
      <c r="F26" s="53">
        <v>6.06</v>
      </c>
      <c r="G26" s="53">
        <v>51.26</v>
      </c>
      <c r="H26" s="53">
        <v>11.84</v>
      </c>
      <c r="I26" s="53">
        <v>1.23</v>
      </c>
      <c r="J26" s="53">
        <v>0.21</v>
      </c>
      <c r="K26" s="53">
        <v>341.43</v>
      </c>
      <c r="L26" s="53">
        <v>28.85</v>
      </c>
      <c r="M26" s="53">
        <v>82.07</v>
      </c>
      <c r="N26" s="53">
        <v>142.19999999999999</v>
      </c>
      <c r="O26" s="53">
        <v>0</v>
      </c>
      <c r="P26" s="53">
        <v>0.33</v>
      </c>
      <c r="Q26" s="53">
        <v>9.01</v>
      </c>
      <c r="R26" s="43"/>
      <c r="S26" s="43"/>
      <c r="T26" s="43"/>
      <c r="U26" s="43"/>
    </row>
    <row r="27" spans="1:21" s="11" customFormat="1" x14ac:dyDescent="0.25">
      <c r="A27" s="52" t="s">
        <v>798</v>
      </c>
      <c r="B27" s="53">
        <v>12.07</v>
      </c>
      <c r="C27" s="53">
        <v>23.16</v>
      </c>
      <c r="D27" s="53">
        <v>21.78</v>
      </c>
      <c r="E27" s="53">
        <v>4.8499999999999996</v>
      </c>
      <c r="F27" s="53">
        <v>10.39</v>
      </c>
      <c r="G27" s="53">
        <v>51.18</v>
      </c>
      <c r="H27" s="53">
        <v>15.9</v>
      </c>
      <c r="I27" s="53">
        <v>1.1299999999999999</v>
      </c>
      <c r="J27" s="53">
        <v>0.15</v>
      </c>
      <c r="K27" s="53">
        <v>349.72</v>
      </c>
      <c r="L27" s="53">
        <v>27.79</v>
      </c>
      <c r="M27" s="53">
        <v>88.46</v>
      </c>
      <c r="N27" s="53">
        <v>106.6</v>
      </c>
      <c r="O27" s="53">
        <v>0</v>
      </c>
      <c r="P27" s="53">
        <v>0.51</v>
      </c>
      <c r="Q27" s="53">
        <v>9</v>
      </c>
      <c r="R27" s="43"/>
      <c r="S27" s="43"/>
      <c r="T27" s="43"/>
      <c r="U27" s="43"/>
    </row>
    <row r="28" spans="1:21" s="11" customFormat="1" x14ac:dyDescent="0.25">
      <c r="A28" s="52" t="s">
        <v>799</v>
      </c>
      <c r="B28" s="53">
        <v>9.6999999999999993</v>
      </c>
      <c r="C28" s="53">
        <v>22.02</v>
      </c>
      <c r="D28" s="53">
        <v>19.29</v>
      </c>
      <c r="E28" s="53">
        <v>4.78</v>
      </c>
      <c r="F28" s="53">
        <v>10.53</v>
      </c>
      <c r="G28" s="53">
        <v>50.9</v>
      </c>
      <c r="H28" s="53">
        <v>18.190000000000001</v>
      </c>
      <c r="I28" s="53">
        <v>1.1100000000000001</v>
      </c>
      <c r="J28" s="53">
        <v>0.91</v>
      </c>
      <c r="K28" s="53">
        <v>322.94</v>
      </c>
      <c r="L28" s="53">
        <v>26.96</v>
      </c>
      <c r="M28" s="53">
        <v>94.99</v>
      </c>
      <c r="N28" s="53">
        <v>89.4</v>
      </c>
      <c r="O28" s="53">
        <v>0</v>
      </c>
      <c r="P28" s="53">
        <v>0.52</v>
      </c>
      <c r="Q28" s="53">
        <v>9.01</v>
      </c>
      <c r="R28" s="43"/>
      <c r="S28" s="43"/>
      <c r="T28" s="43"/>
      <c r="U28" s="43"/>
    </row>
    <row r="29" spans="1:21" s="11" customFormat="1" x14ac:dyDescent="0.25">
      <c r="A29" s="52" t="s">
        <v>800</v>
      </c>
      <c r="B29" s="53">
        <v>7.26</v>
      </c>
      <c r="C29" s="53">
        <v>15.94</v>
      </c>
      <c r="D29" s="53">
        <v>13.97</v>
      </c>
      <c r="E29" s="53">
        <v>4.5999999999999996</v>
      </c>
      <c r="F29" s="53">
        <v>4.22</v>
      </c>
      <c r="G29" s="53">
        <v>50.44</v>
      </c>
      <c r="H29" s="53">
        <v>16.28</v>
      </c>
      <c r="I29" s="53">
        <v>1.2</v>
      </c>
      <c r="J29" s="53">
        <v>0.87</v>
      </c>
      <c r="K29" s="53">
        <v>320.06</v>
      </c>
      <c r="L29" s="53">
        <v>24.88</v>
      </c>
      <c r="M29" s="53">
        <v>97.88</v>
      </c>
      <c r="N29" s="53">
        <v>87.1</v>
      </c>
      <c r="O29" s="53">
        <v>0</v>
      </c>
      <c r="P29" s="53">
        <v>0.43</v>
      </c>
      <c r="Q29" s="53">
        <v>9</v>
      </c>
      <c r="R29" s="43"/>
      <c r="S29" s="43"/>
      <c r="T29" s="43"/>
      <c r="U29" s="43"/>
    </row>
    <row r="30" spans="1:21" s="11" customFormat="1" x14ac:dyDescent="0.25">
      <c r="A30" s="52" t="s">
        <v>801</v>
      </c>
      <c r="B30" s="53">
        <v>13.39</v>
      </c>
      <c r="C30" s="53">
        <v>20.97</v>
      </c>
      <c r="D30" s="53">
        <v>19.68</v>
      </c>
      <c r="E30" s="53">
        <v>4.84</v>
      </c>
      <c r="F30" s="53">
        <v>6.45</v>
      </c>
      <c r="G30" s="53">
        <v>47.95</v>
      </c>
      <c r="H30" s="53">
        <v>9.8699999999999992</v>
      </c>
      <c r="I30" s="53">
        <v>1.17</v>
      </c>
      <c r="J30" s="53">
        <v>0.17</v>
      </c>
      <c r="K30" s="53">
        <v>340.41</v>
      </c>
      <c r="L30" s="53">
        <v>24.39</v>
      </c>
      <c r="M30" s="53">
        <v>97.97</v>
      </c>
      <c r="N30" s="53">
        <v>84.3</v>
      </c>
      <c r="O30" s="53">
        <v>0</v>
      </c>
      <c r="P30" s="53">
        <v>0.79</v>
      </c>
      <c r="Q30" s="53">
        <v>9.1</v>
      </c>
      <c r="R30" s="43"/>
      <c r="S30" s="43"/>
      <c r="T30" s="43"/>
      <c r="U30" s="43"/>
    </row>
    <row r="31" spans="1:21" s="11" customFormat="1" x14ac:dyDescent="0.25">
      <c r="A31" s="52" t="s">
        <v>802</v>
      </c>
      <c r="B31" s="53">
        <v>16.91</v>
      </c>
      <c r="C31" s="53">
        <v>23.37</v>
      </c>
      <c r="D31" s="53">
        <v>25.53</v>
      </c>
      <c r="E31" s="53">
        <v>4.96</v>
      </c>
      <c r="F31" s="53">
        <v>6.09</v>
      </c>
      <c r="G31" s="53">
        <v>47.53</v>
      </c>
      <c r="H31" s="53">
        <v>15.35</v>
      </c>
      <c r="I31" s="53">
        <v>1.72</v>
      </c>
      <c r="J31" s="53">
        <v>7.0000000000000007E-2</v>
      </c>
      <c r="K31" s="53">
        <v>335.64</v>
      </c>
      <c r="L31" s="53">
        <v>24.25</v>
      </c>
      <c r="M31" s="53">
        <v>97.98</v>
      </c>
      <c r="N31" s="53">
        <v>83.7</v>
      </c>
      <c r="O31" s="53">
        <v>0</v>
      </c>
      <c r="P31" s="53">
        <v>0.87</v>
      </c>
      <c r="Q31" s="53">
        <v>9.18</v>
      </c>
      <c r="R31" s="43"/>
      <c r="S31" s="43"/>
      <c r="T31" s="43"/>
      <c r="U31" s="43"/>
    </row>
    <row r="32" spans="1:21" s="11" customFormat="1" x14ac:dyDescent="0.25">
      <c r="A32" s="52" t="s">
        <v>803</v>
      </c>
      <c r="B32" s="53">
        <v>10.029999999999999</v>
      </c>
      <c r="C32" s="53">
        <v>15.49</v>
      </c>
      <c r="D32" s="53">
        <v>15.96</v>
      </c>
      <c r="E32" s="53">
        <v>4.8099999999999996</v>
      </c>
      <c r="F32" s="53">
        <v>8.93</v>
      </c>
      <c r="G32" s="53">
        <v>48.54</v>
      </c>
      <c r="H32" s="53">
        <v>15.45</v>
      </c>
      <c r="I32" s="53">
        <v>2.09</v>
      </c>
      <c r="J32" s="53">
        <v>0.52</v>
      </c>
      <c r="K32" s="53">
        <v>220.59</v>
      </c>
      <c r="L32" s="53">
        <v>24</v>
      </c>
      <c r="M32" s="53">
        <v>98.03</v>
      </c>
      <c r="N32" s="53">
        <v>84.2</v>
      </c>
      <c r="O32" s="53">
        <v>0</v>
      </c>
      <c r="P32" s="53">
        <v>0.73</v>
      </c>
      <c r="Q32" s="53">
        <v>9.17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5.05</v>
      </c>
      <c r="C34" s="28">
        <f t="shared" si="0"/>
        <v>10.18</v>
      </c>
      <c r="D34" s="28">
        <f t="shared" si="0"/>
        <v>10.8</v>
      </c>
      <c r="E34" s="28">
        <f t="shared" si="0"/>
        <v>4.3600000000000003</v>
      </c>
      <c r="F34" s="28">
        <f t="shared" si="0"/>
        <v>3.63</v>
      </c>
      <c r="G34" s="28">
        <f t="shared" si="0"/>
        <v>18.53</v>
      </c>
      <c r="H34" s="28">
        <f t="shared" si="0"/>
        <v>1.75</v>
      </c>
      <c r="I34" s="28">
        <f t="shared" si="0"/>
        <v>0.67</v>
      </c>
      <c r="J34" s="28">
        <f t="shared" si="0"/>
        <v>0.06</v>
      </c>
      <c r="K34" s="28">
        <f t="shared" si="0"/>
        <v>220.59</v>
      </c>
      <c r="L34" s="28">
        <f t="shared" si="0"/>
        <v>23.26</v>
      </c>
      <c r="M34" s="28">
        <f t="shared" si="0"/>
        <v>76.41</v>
      </c>
      <c r="N34" s="28">
        <f t="shared" si="0"/>
        <v>55.3</v>
      </c>
      <c r="O34" s="28">
        <f t="shared" si="0"/>
        <v>0</v>
      </c>
      <c r="P34" s="28">
        <f t="shared" si="0"/>
        <v>0.21</v>
      </c>
      <c r="Q34" s="28">
        <f t="shared" si="0"/>
        <v>8.9700000000000006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16.91</v>
      </c>
      <c r="C35" s="29">
        <f t="shared" si="1"/>
        <v>23.37</v>
      </c>
      <c r="D35" s="29">
        <f t="shared" si="1"/>
        <v>25.53</v>
      </c>
      <c r="E35" s="29">
        <f t="shared" si="1"/>
        <v>4.96</v>
      </c>
      <c r="F35" s="29">
        <f t="shared" si="1"/>
        <v>10.53</v>
      </c>
      <c r="G35" s="29">
        <f t="shared" si="1"/>
        <v>58.49</v>
      </c>
      <c r="H35" s="29">
        <f t="shared" si="1"/>
        <v>21.94</v>
      </c>
      <c r="I35" s="29">
        <f t="shared" si="1"/>
        <v>2.09</v>
      </c>
      <c r="J35" s="29">
        <f t="shared" si="1"/>
        <v>0.91</v>
      </c>
      <c r="K35" s="29">
        <f t="shared" si="1"/>
        <v>349.72</v>
      </c>
      <c r="L35" s="29">
        <f t="shared" si="1"/>
        <v>29.57</v>
      </c>
      <c r="M35" s="29">
        <f t="shared" si="1"/>
        <v>98.09</v>
      </c>
      <c r="N35" s="29">
        <f t="shared" si="1"/>
        <v>880.6</v>
      </c>
      <c r="O35" s="29">
        <f t="shared" si="1"/>
        <v>0.2</v>
      </c>
      <c r="P35" s="29">
        <f t="shared" si="1"/>
        <v>0.87</v>
      </c>
      <c r="Q35" s="29">
        <f t="shared" si="1"/>
        <v>9.18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8.5504166666666634</v>
      </c>
      <c r="C36" s="28">
        <f t="shared" si="2"/>
        <v>15.946666666666667</v>
      </c>
      <c r="D36" s="28">
        <f t="shared" si="2"/>
        <v>14.899583333333338</v>
      </c>
      <c r="E36" s="28">
        <f t="shared" si="2"/>
        <v>4.6433333333333326</v>
      </c>
      <c r="F36" s="28">
        <f t="shared" si="2"/>
        <v>6.0245833333333332</v>
      </c>
      <c r="G36" s="28">
        <f t="shared" si="2"/>
        <v>37.174166666666657</v>
      </c>
      <c r="H36" s="28">
        <f t="shared" si="2"/>
        <v>12.97916666666667</v>
      </c>
      <c r="I36" s="28">
        <f t="shared" si="2"/>
        <v>1.1020833333333331</v>
      </c>
      <c r="J36" s="28">
        <f t="shared" si="2"/>
        <v>0.25791666666666663</v>
      </c>
      <c r="K36" s="28">
        <f t="shared" si="2"/>
        <v>304.84499999999997</v>
      </c>
      <c r="L36" s="28">
        <f t="shared" si="2"/>
        <v>26.314583333333335</v>
      </c>
      <c r="M36" s="28">
        <f t="shared" si="2"/>
        <v>91.990416666666647</v>
      </c>
      <c r="N36" s="28">
        <f t="shared" si="2"/>
        <v>276.53333333333336</v>
      </c>
      <c r="O36" s="28">
        <f t="shared" si="2"/>
        <v>8.3333333333333332E-3</v>
      </c>
      <c r="P36" s="28">
        <f t="shared" si="2"/>
        <v>0.39958333333333335</v>
      </c>
      <c r="Q36" s="28">
        <f t="shared" si="2"/>
        <v>9.0333333333333314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2.6051161689305231</v>
      </c>
      <c r="C37" s="28">
        <f t="shared" ref="C37:Q37" si="3">STDEV(C9:C32)</f>
        <v>4.6124384446621143</v>
      </c>
      <c r="D37" s="28">
        <f t="shared" si="3"/>
        <v>3.6820026204636562</v>
      </c>
      <c r="E37" s="28">
        <f t="shared" si="3"/>
        <v>0.17419795502884602</v>
      </c>
      <c r="F37" s="28">
        <f t="shared" si="3"/>
        <v>1.9968779526979137</v>
      </c>
      <c r="G37" s="28">
        <f t="shared" si="3"/>
        <v>14.397096904423567</v>
      </c>
      <c r="H37" s="28">
        <f t="shared" si="3"/>
        <v>6.3399293074283101</v>
      </c>
      <c r="I37" s="28">
        <f t="shared" si="3"/>
        <v>0.3568336497910326</v>
      </c>
      <c r="J37" s="28">
        <f t="shared" si="3"/>
        <v>0.22084775725385572</v>
      </c>
      <c r="K37" s="28">
        <f t="shared" si="3"/>
        <v>25.865993958830597</v>
      </c>
      <c r="L37" s="28">
        <f t="shared" si="3"/>
        <v>2.5785131866296878</v>
      </c>
      <c r="M37" s="28">
        <f t="shared" si="3"/>
        <v>7.8691049594168474</v>
      </c>
      <c r="N37" s="28">
        <f t="shared" si="3"/>
        <v>282.41750879745808</v>
      </c>
      <c r="O37" s="28">
        <f t="shared" si="3"/>
        <v>4.0824829046386311E-2</v>
      </c>
      <c r="P37" s="28">
        <f t="shared" si="3"/>
        <v>0.17251286446464539</v>
      </c>
      <c r="Q37" s="28">
        <f t="shared" si="3"/>
        <v>5.5062546780647578E-2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zoomScale="90" zoomScaleNormal="90" workbookViewId="0">
      <pane xSplit="1" ySplit="8" topLeftCell="B37" activePane="bottomRight" state="frozen"/>
      <selection activeCell="B2" sqref="B2"/>
      <selection pane="topRight" activeCell="B2" sqref="B2"/>
      <selection pane="bottomLeft" activeCell="B2" sqref="B2"/>
      <selection pane="bottomRight" activeCell="G57" sqref="G57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01/07/2025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01/07/2025 01:00</v>
      </c>
      <c r="B9" s="24">
        <f>'01'!B36</f>
        <v>8.6441666666666688</v>
      </c>
      <c r="C9" s="24">
        <f>'01'!C36</f>
        <v>15.124166666666667</v>
      </c>
      <c r="D9" s="24">
        <f>'01'!D36</f>
        <v>14.53375</v>
      </c>
      <c r="E9" s="24">
        <f>'01'!E36</f>
        <v>5.0866666666666678</v>
      </c>
      <c r="F9" s="24">
        <f>'01'!F36</f>
        <v>4.2887500000000003</v>
      </c>
      <c r="G9" s="24">
        <f>'01'!G36</f>
        <v>32.195</v>
      </c>
      <c r="H9" s="24">
        <f>'01'!H36</f>
        <v>5.967083333333334</v>
      </c>
      <c r="I9" s="24">
        <f>'01'!I36</f>
        <v>1.1762500000000002</v>
      </c>
      <c r="J9" s="24">
        <f>'01'!J36</f>
        <v>0.35375000000000001</v>
      </c>
      <c r="K9" s="24">
        <f>'01'!K36</f>
        <v>312.87625000000003</v>
      </c>
      <c r="L9" s="24">
        <f>'01'!L36</f>
        <v>25.10541666666667</v>
      </c>
      <c r="M9" s="24">
        <f>'01'!M36</f>
        <v>95.789166666666674</v>
      </c>
      <c r="N9" s="24">
        <f>'01'!N36</f>
        <v>176.76249999999996</v>
      </c>
      <c r="O9" s="24">
        <f>'01'!O36</f>
        <v>8.3333333333333329E-2</v>
      </c>
      <c r="P9" s="30">
        <f>'01'!$P$36</f>
        <v>0.35708333333333336</v>
      </c>
      <c r="Q9" s="24">
        <f>'01'!Q36</f>
        <v>9.1379166666666656</v>
      </c>
      <c r="R9" s="44"/>
      <c r="S9" s="44"/>
      <c r="T9" s="44"/>
      <c r="U9" s="45"/>
    </row>
    <row r="10" spans="1:21" s="34" customFormat="1" x14ac:dyDescent="0.25">
      <c r="A10" s="36" t="str">
        <f>'02'!$B$2</f>
        <v>02/07/2025 01:00</v>
      </c>
      <c r="B10" s="33">
        <f>'02'!B36</f>
        <v>12.725416666666668</v>
      </c>
      <c r="C10" s="33">
        <f>'02'!C36</f>
        <v>15.686250000000001</v>
      </c>
      <c r="D10" s="33">
        <f>'02'!D36</f>
        <v>17.884583333333335</v>
      </c>
      <c r="E10" s="33">
        <f>'02'!E36</f>
        <v>5.190833333333333</v>
      </c>
      <c r="F10" s="33">
        <f>'02'!F36</f>
        <v>5.38</v>
      </c>
      <c r="G10" s="33">
        <f>'02'!G36</f>
        <v>34.959166666666668</v>
      </c>
      <c r="H10" s="33">
        <f>'02'!H36</f>
        <v>14.536666666666662</v>
      </c>
      <c r="I10" s="33">
        <f>'02'!I36</f>
        <v>2.856666666666666</v>
      </c>
      <c r="J10" s="33">
        <f>'02'!J36</f>
        <v>0.24041666666666672</v>
      </c>
      <c r="K10" s="33">
        <f>'02'!K36</f>
        <v>300.45291666666668</v>
      </c>
      <c r="L10" s="33">
        <f>'02'!L36</f>
        <v>24.263750000000002</v>
      </c>
      <c r="M10" s="33">
        <f>'02'!M36</f>
        <v>97.967916666666653</v>
      </c>
      <c r="N10" s="33">
        <f>'02'!N36</f>
        <v>129.79583333333332</v>
      </c>
      <c r="O10" s="33">
        <f>'02'!O36</f>
        <v>5.000000000000001E-2</v>
      </c>
      <c r="P10" s="30">
        <f>'02'!$P$36</f>
        <v>0.44624999999999998</v>
      </c>
      <c r="Q10" s="33">
        <f>'02'!Q36</f>
        <v>9.2683333333333326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03/07/2025 01:00</v>
      </c>
      <c r="B11" s="33">
        <f>'03'!B36</f>
        <v>10.431666666666668</v>
      </c>
      <c r="C11" s="33">
        <f>'03'!C36</f>
        <v>13.75</v>
      </c>
      <c r="D11" s="33">
        <f>'03'!D36</f>
        <v>15.332500000000001</v>
      </c>
      <c r="E11" s="33">
        <f>'03'!E36</f>
        <v>4.6095833333333331</v>
      </c>
      <c r="F11" s="33">
        <f>'03'!F36</f>
        <v>5.0466666666666669</v>
      </c>
      <c r="G11" s="33">
        <f>'03'!G36</f>
        <v>26.745833333333334</v>
      </c>
      <c r="H11" s="33">
        <f>'03'!H36</f>
        <v>8.9941666666666666</v>
      </c>
      <c r="I11" s="33">
        <f>'03'!I36</f>
        <v>0.96708333333333352</v>
      </c>
      <c r="J11" s="33">
        <f>'03'!J36</f>
        <v>0.1958333333333333</v>
      </c>
      <c r="K11" s="33">
        <f>'03'!K36</f>
        <v>292.45333333333332</v>
      </c>
      <c r="L11" s="33">
        <f>'03'!L36</f>
        <v>23.869583333333335</v>
      </c>
      <c r="M11" s="33">
        <f>'03'!M36</f>
        <v>97.845833333333317</v>
      </c>
      <c r="N11" s="33">
        <f>'03'!N36</f>
        <v>117.45</v>
      </c>
      <c r="O11" s="33">
        <f>'03'!O36</f>
        <v>4.9999999999999996E-2</v>
      </c>
      <c r="P11" s="30">
        <f>'03'!$P$36</f>
        <v>0.31124999999999997</v>
      </c>
      <c r="Q11" s="33">
        <f>'03'!Q36</f>
        <v>9.1499999999999986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04/07/2025 01:00</v>
      </c>
      <c r="B12" s="33">
        <f>'04'!B36</f>
        <v>11.067083333333334</v>
      </c>
      <c r="C12" s="33">
        <f>'04'!C36</f>
        <v>15.312916666666668</v>
      </c>
      <c r="D12" s="33">
        <f>'04'!D36</f>
        <v>16.640833333333337</v>
      </c>
      <c r="E12" s="33">
        <f>'04'!E36</f>
        <v>4.6070833333333345</v>
      </c>
      <c r="F12" s="33">
        <f>'04'!F36</f>
        <v>5.0291666666666659</v>
      </c>
      <c r="G12" s="33">
        <f>'04'!G36</f>
        <v>44.827500000000008</v>
      </c>
      <c r="H12" s="33">
        <f>'04'!H36</f>
        <v>11.336666666666666</v>
      </c>
      <c r="I12" s="33">
        <f>'04'!I36</f>
        <v>1.2879166666666668</v>
      </c>
      <c r="J12" s="33">
        <f>'04'!J36</f>
        <v>0.25750000000000001</v>
      </c>
      <c r="K12" s="33">
        <f>'04'!K36</f>
        <v>306.80208333333331</v>
      </c>
      <c r="L12" s="33">
        <f>'04'!L36</f>
        <v>24.71416666666666</v>
      </c>
      <c r="M12" s="33">
        <f>'04'!M36</f>
        <v>96.641666666666666</v>
      </c>
      <c r="N12" s="33">
        <f>'04'!N36</f>
        <v>142.35833333333332</v>
      </c>
      <c r="O12" s="33">
        <f>'04'!O36</f>
        <v>4.1666666666666664E-2</v>
      </c>
      <c r="P12" s="30">
        <f>'04'!$P$36</f>
        <v>0.42291666666666661</v>
      </c>
      <c r="Q12" s="33">
        <f>'04'!Q36</f>
        <v>9.1754166666666634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05/07/2025 01:00</v>
      </c>
      <c r="B13" s="33">
        <f>'05'!B36</f>
        <v>12.248750000000001</v>
      </c>
      <c r="C13" s="33">
        <f>'05'!C36</f>
        <v>14.624583333333334</v>
      </c>
      <c r="D13" s="33">
        <f>'05'!D36</f>
        <v>17.11708333333333</v>
      </c>
      <c r="E13" s="33">
        <f>'05'!E36</f>
        <v>5.0408333333333326</v>
      </c>
      <c r="F13" s="33">
        <f>'05'!F36</f>
        <v>4.9158333333333335</v>
      </c>
      <c r="G13" s="33">
        <f>'05'!G36</f>
        <v>41.914166666666659</v>
      </c>
      <c r="H13" s="33">
        <f>'05'!H36</f>
        <v>7.6891666666666678</v>
      </c>
      <c r="I13" s="33">
        <f>'05'!I36</f>
        <v>1.3037500000000002</v>
      </c>
      <c r="J13" s="33">
        <f>'05'!J36</f>
        <v>0.27458333333333335</v>
      </c>
      <c r="K13" s="33">
        <f>'05'!K36</f>
        <v>313.29583333333341</v>
      </c>
      <c r="L13" s="33">
        <f>'05'!L36</f>
        <v>24.602083333333336</v>
      </c>
      <c r="M13" s="33">
        <f>'05'!M36</f>
        <v>97.050416666666663</v>
      </c>
      <c r="N13" s="33">
        <f>'05'!N36</f>
        <v>158.14166666666668</v>
      </c>
      <c r="O13" s="33">
        <f>'05'!O36</f>
        <v>0.14166666666666669</v>
      </c>
      <c r="P13" s="30">
        <f>'05'!$P$36</f>
        <v>0.41499999999999998</v>
      </c>
      <c r="Q13" s="33">
        <f>'05'!Q36</f>
        <v>9.2120833333333323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06/07/2025 01:00</v>
      </c>
      <c r="B14" s="33">
        <f>'06'!B36</f>
        <v>8.8804166666666688</v>
      </c>
      <c r="C14" s="33">
        <f>'06'!C36</f>
        <v>14.197916666666664</v>
      </c>
      <c r="D14" s="33">
        <f>'06'!D36</f>
        <v>14.382916666666665</v>
      </c>
      <c r="E14" s="33">
        <f>'06'!E36</f>
        <v>4.5237499999999988</v>
      </c>
      <c r="F14" s="33">
        <f>'06'!F36</f>
        <v>4.0270833333333327</v>
      </c>
      <c r="G14" s="33">
        <f>'06'!G36</f>
        <v>15.877916666666664</v>
      </c>
      <c r="H14" s="33">
        <f>'06'!H36</f>
        <v>6.2083333333333348</v>
      </c>
      <c r="I14" s="33">
        <f>'06'!I36</f>
        <v>2.0166666666666671</v>
      </c>
      <c r="J14" s="33">
        <f>'06'!J36</f>
        <v>0.27291666666666664</v>
      </c>
      <c r="K14" s="33">
        <f>'06'!K36</f>
        <v>305.99166666666662</v>
      </c>
      <c r="L14" s="33">
        <f>'06'!L36</f>
        <v>23.210416666666664</v>
      </c>
      <c r="M14" s="33">
        <f>'06'!M36</f>
        <v>98.166666666666671</v>
      </c>
      <c r="N14" s="33">
        <f>'06'!N36</f>
        <v>120.86666666666666</v>
      </c>
      <c r="O14" s="33">
        <f>'06'!O36</f>
        <v>0.45833333333333331</v>
      </c>
      <c r="P14" s="30">
        <f>'06'!$P$36</f>
        <v>0.505</v>
      </c>
      <c r="Q14" s="33">
        <f>'06'!Q36</f>
        <v>9.1516666666666691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07/07/2025 01:00</v>
      </c>
      <c r="B15" s="33">
        <f>'07'!B36</f>
        <v>8.6654166666666672</v>
      </c>
      <c r="C15" s="33">
        <f>'07'!C36</f>
        <v>15.102500000000001</v>
      </c>
      <c r="D15" s="33">
        <f>'07'!D36</f>
        <v>14.637083333333329</v>
      </c>
      <c r="E15" s="33">
        <f>'07'!E36</f>
        <v>4.8616666666666664</v>
      </c>
      <c r="F15" s="33">
        <f>'07'!F36</f>
        <v>4.0908333333333324</v>
      </c>
      <c r="G15" s="33">
        <f>'07'!G36</f>
        <v>7.4570833333333324</v>
      </c>
      <c r="H15" s="33">
        <f>'07'!H36</f>
        <v>2.2066666666666666</v>
      </c>
      <c r="I15" s="33">
        <f>'07'!I36</f>
        <v>1.690416666666666</v>
      </c>
      <c r="J15" s="33">
        <f>'07'!J36</f>
        <v>0.31874999999999998</v>
      </c>
      <c r="K15" s="33">
        <f>'07'!K36</f>
        <v>307.23708333333337</v>
      </c>
      <c r="L15" s="33">
        <f>'07'!L36</f>
        <v>22.445833333333329</v>
      </c>
      <c r="M15" s="33">
        <f>'07'!M36</f>
        <v>98.499583333333348</v>
      </c>
      <c r="N15" s="33">
        <f>'07'!N36</f>
        <v>95.02500000000002</v>
      </c>
      <c r="O15" s="33">
        <f>'07'!O36</f>
        <v>1.1833333333333331</v>
      </c>
      <c r="P15" s="33">
        <f>'07'!P36</f>
        <v>0.40333333333333332</v>
      </c>
      <c r="Q15" s="33">
        <f>'07'!Q36</f>
        <v>9.1470833333333328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08/07/2025 01:00</v>
      </c>
      <c r="B16" s="33">
        <f>'08'!B36</f>
        <v>5.8762499999999998</v>
      </c>
      <c r="C16" s="33">
        <f>'08'!C36</f>
        <v>13.7675</v>
      </c>
      <c r="D16" s="33">
        <f>'08'!D36</f>
        <v>11.711666666666666</v>
      </c>
      <c r="E16" s="33">
        <f>'08'!E36</f>
        <v>4.4550000000000001</v>
      </c>
      <c r="F16" s="33">
        <f>'08'!F36</f>
        <v>4.0733333333333333</v>
      </c>
      <c r="G16" s="33">
        <f>'08'!G36</f>
        <v>10.597916666666666</v>
      </c>
      <c r="H16" s="33">
        <f>'08'!H36</f>
        <v>5.3066666666666666</v>
      </c>
      <c r="I16" s="33">
        <f>'08'!I36</f>
        <v>0.72791666666666666</v>
      </c>
      <c r="J16" s="33">
        <f>'08'!J36</f>
        <v>0.23916666666666667</v>
      </c>
      <c r="K16" s="33">
        <f>'08'!K36</f>
        <v>311.27624999999995</v>
      </c>
      <c r="L16" s="33">
        <f>'08'!L36</f>
        <v>21.786666666666665</v>
      </c>
      <c r="M16" s="33">
        <f>'08'!M36</f>
        <v>99.07416666666667</v>
      </c>
      <c r="N16" s="33">
        <f>'08'!N36</f>
        <v>113.96666666666665</v>
      </c>
      <c r="O16" s="33">
        <f>'08'!O36</f>
        <v>0.98333333333333328</v>
      </c>
      <c r="P16" s="30">
        <f>'08'!$P$36</f>
        <v>0.25999999999999995</v>
      </c>
      <c r="Q16" s="33">
        <f>'08'!Q36</f>
        <v>9.0266666666666691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09/07/2025 01:00</v>
      </c>
      <c r="B17" s="33">
        <f>'09'!B36</f>
        <v>5.55375</v>
      </c>
      <c r="C17" s="33">
        <f>'09'!C36</f>
        <v>13.130416666666667</v>
      </c>
      <c r="D17" s="33">
        <f>'09'!D36</f>
        <v>11.245833333333332</v>
      </c>
      <c r="E17" s="33">
        <f>'09'!E36</f>
        <v>4.9550000000000001</v>
      </c>
      <c r="F17" s="33">
        <f>'09'!F36</f>
        <v>4.1250000000000009</v>
      </c>
      <c r="G17" s="33">
        <f>'09'!G36</f>
        <v>9.3012499999999996</v>
      </c>
      <c r="H17" s="33">
        <f>'09'!H36</f>
        <v>2.3312499999999998</v>
      </c>
      <c r="I17" s="33">
        <f>'09'!I36</f>
        <v>0.70250000000000001</v>
      </c>
      <c r="J17" s="33">
        <f>'09'!J36</f>
        <v>0.26124999999999998</v>
      </c>
      <c r="K17" s="33">
        <f>'09'!K36</f>
        <v>309.84750000000003</v>
      </c>
      <c r="L17" s="33">
        <f>'09'!L36</f>
        <v>22.285000000000007</v>
      </c>
      <c r="M17" s="33">
        <f>'09'!M36</f>
        <v>98.845416666666679</v>
      </c>
      <c r="N17" s="33">
        <f>'09'!N36</f>
        <v>128.875</v>
      </c>
      <c r="O17" s="33">
        <f>'09'!O36</f>
        <v>0.55833333333333335</v>
      </c>
      <c r="P17" s="33">
        <f>'09'!P36</f>
        <v>0.26874999999999999</v>
      </c>
      <c r="Q17" s="33">
        <f>'09'!Q36</f>
        <v>9.0054166666666688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10/07/2025 01:00</v>
      </c>
      <c r="B18" s="33">
        <f>'10'!B36</f>
        <v>12.231666666666667</v>
      </c>
      <c r="C18" s="33">
        <f>'10'!C36</f>
        <v>17.614166666666669</v>
      </c>
      <c r="D18" s="33">
        <f>'10'!D36</f>
        <v>18.50375</v>
      </c>
      <c r="E18" s="33">
        <f>'10'!E36</f>
        <v>4.5787500000000012</v>
      </c>
      <c r="F18" s="33">
        <f>'10'!F36</f>
        <v>5.64</v>
      </c>
      <c r="G18" s="33">
        <f>'10'!G36</f>
        <v>28.102916666666669</v>
      </c>
      <c r="H18" s="33">
        <f>'10'!H36</f>
        <v>8.6379166666666674</v>
      </c>
      <c r="I18" s="33">
        <f>'10'!I36</f>
        <v>1.3041666666666665</v>
      </c>
      <c r="J18" s="33">
        <f>'10'!J36</f>
        <v>0.34625</v>
      </c>
      <c r="K18" s="33">
        <f>'10'!K36</f>
        <v>308.2233333333333</v>
      </c>
      <c r="L18" s="33">
        <f>'10'!L36</f>
        <v>23.89083333333333</v>
      </c>
      <c r="M18" s="33">
        <f>'10'!M36</f>
        <v>98.938333333333347</v>
      </c>
      <c r="N18" s="33">
        <f>'10'!N36</f>
        <v>134.92083333333332</v>
      </c>
      <c r="O18" s="33">
        <f>'10'!O36</f>
        <v>0.19999999999999998</v>
      </c>
      <c r="P18" s="30">
        <f>'10'!$P$36</f>
        <v>0.47791666666666671</v>
      </c>
      <c r="Q18" s="33">
        <f>'10'!Q36</f>
        <v>9.1662499999999998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11/07/2025 01:00</v>
      </c>
      <c r="B19" s="33">
        <f>'11'!B36</f>
        <v>9.8791666666666682</v>
      </c>
      <c r="C19" s="33">
        <f>'11'!C36</f>
        <v>16.860416666666669</v>
      </c>
      <c r="D19" s="33">
        <f>'11'!D36</f>
        <v>16.146666666666668</v>
      </c>
      <c r="E19" s="33">
        <f>'11'!E36</f>
        <v>4.6295833333333336</v>
      </c>
      <c r="F19" s="33">
        <f>'11'!F36</f>
        <v>5.6487499999999997</v>
      </c>
      <c r="G19" s="33">
        <f>'11'!G36</f>
        <v>50.240416666666654</v>
      </c>
      <c r="H19" s="33">
        <f>'11'!H36</f>
        <v>13.260833333333331</v>
      </c>
      <c r="I19" s="33">
        <f>'11'!I36</f>
        <v>1.6358333333333333</v>
      </c>
      <c r="J19" s="33">
        <f>'11'!J36</f>
        <v>0.32958333333333328</v>
      </c>
      <c r="K19" s="33">
        <f>'11'!K36</f>
        <v>315.32374999999996</v>
      </c>
      <c r="L19" s="33">
        <f>'11'!L36</f>
        <v>26.424166666666665</v>
      </c>
      <c r="M19" s="33">
        <f>'11'!M36</f>
        <v>94.860416666666652</v>
      </c>
      <c r="N19" s="33">
        <f>'11'!N36</f>
        <v>196.91249999999999</v>
      </c>
      <c r="O19" s="33">
        <f>'11'!O36</f>
        <v>0</v>
      </c>
      <c r="P19" s="33">
        <f>'11'!P36</f>
        <v>0.48375000000000012</v>
      </c>
      <c r="Q19" s="33">
        <f>'11'!Q36</f>
        <v>9.1583333333333332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12/07/2025 01:00</v>
      </c>
      <c r="B20" s="33">
        <f>'12'!B36</f>
        <v>7.6083333333333316</v>
      </c>
      <c r="C20" s="33">
        <f>'12'!C36</f>
        <v>18.861249999999995</v>
      </c>
      <c r="D20" s="33">
        <f>'12'!D36</f>
        <v>15.592499999999999</v>
      </c>
      <c r="E20" s="33">
        <f>'12'!E36</f>
        <v>4.958333333333333</v>
      </c>
      <c r="F20" s="33">
        <f>'12'!F36</f>
        <v>7.9424999999999999</v>
      </c>
      <c r="G20" s="33">
        <f>'12'!G36</f>
        <v>51.502916666666664</v>
      </c>
      <c r="H20" s="33">
        <f>'12'!H36</f>
        <v>16.297083333333333</v>
      </c>
      <c r="I20" s="33">
        <f>'12'!I36</f>
        <v>1.5820833333333335</v>
      </c>
      <c r="J20" s="33">
        <f>'12'!J36</f>
        <v>0.24333333333333329</v>
      </c>
      <c r="K20" s="33">
        <f>'12'!K36</f>
        <v>306.95750000000004</v>
      </c>
      <c r="L20" s="33">
        <f>'12'!L36</f>
        <v>27.599166666666665</v>
      </c>
      <c r="M20" s="33">
        <f>'12'!M36</f>
        <v>92.355416666666656</v>
      </c>
      <c r="N20" s="33">
        <f>'12'!N36</f>
        <v>248.69583333333335</v>
      </c>
      <c r="O20" s="33">
        <f>'12'!O36</f>
        <v>0</v>
      </c>
      <c r="P20" s="33">
        <f>'12'!P36</f>
        <v>0.48125000000000001</v>
      </c>
      <c r="Q20" s="33">
        <f>'12'!Q36</f>
        <v>9.0945833333333308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13/07/2025 01:00</v>
      </c>
      <c r="B21" s="33">
        <f>'13'!B36</f>
        <v>8.9774999999999991</v>
      </c>
      <c r="C21" s="33">
        <f>'13'!C36</f>
        <v>17.740833333333331</v>
      </c>
      <c r="D21" s="33">
        <f>'13'!D36</f>
        <v>16.190416666666664</v>
      </c>
      <c r="E21" s="33">
        <f>'13'!E36</f>
        <v>4.2791666666666659</v>
      </c>
      <c r="F21" s="33">
        <f>'13'!F36</f>
        <v>8.9499999999999993</v>
      </c>
      <c r="G21" s="33">
        <f>'13'!G36</f>
        <v>56.837916666666651</v>
      </c>
      <c r="H21" s="33">
        <f>'13'!H36</f>
        <v>15.515416666666669</v>
      </c>
      <c r="I21" s="33">
        <f>'13'!I36</f>
        <v>1.3987499999999999</v>
      </c>
      <c r="J21" s="33">
        <f>'13'!J36</f>
        <v>0.24833333333333332</v>
      </c>
      <c r="K21" s="33">
        <f>'13'!K36</f>
        <v>312.26333333333326</v>
      </c>
      <c r="L21" s="33">
        <f>'13'!L36</f>
        <v>28.308333333333334</v>
      </c>
      <c r="M21" s="33">
        <f>'13'!M36</f>
        <v>87.56541666666665</v>
      </c>
      <c r="N21" s="33">
        <f>'13'!N36</f>
        <v>270.38333333333327</v>
      </c>
      <c r="O21" s="33">
        <f>'13'!O36</f>
        <v>0</v>
      </c>
      <c r="P21" s="33">
        <f>'13'!P36</f>
        <v>0.40458333333333329</v>
      </c>
      <c r="Q21" s="33">
        <f>'13'!Q36</f>
        <v>9.0708333333333346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14/07/2025 01:00</v>
      </c>
      <c r="B22" s="30">
        <f>'14'!B36</f>
        <v>13.802916666666667</v>
      </c>
      <c r="C22" s="30">
        <f>'14'!C36</f>
        <v>19.355833333333333</v>
      </c>
      <c r="D22" s="30">
        <f>'14'!D36</f>
        <v>20.85</v>
      </c>
      <c r="E22" s="30">
        <f>'14'!E36</f>
        <v>4.9104166666666673</v>
      </c>
      <c r="F22" s="30">
        <f>'14'!F36</f>
        <v>8.4716666666666658</v>
      </c>
      <c r="G22" s="30">
        <f>'14'!G36</f>
        <v>52.176250000000003</v>
      </c>
      <c r="H22" s="30">
        <f>'14'!H36</f>
        <v>11.897083333333335</v>
      </c>
      <c r="I22" s="30">
        <f>'14'!I36</f>
        <v>1.5870833333333334</v>
      </c>
      <c r="J22" s="30">
        <f>'14'!J36</f>
        <v>0.2754166666666667</v>
      </c>
      <c r="K22" s="30">
        <f>'14'!K36</f>
        <v>294.79500000000002</v>
      </c>
      <c r="L22" s="30">
        <f>'14'!L36</f>
        <v>27.611249999999998</v>
      </c>
      <c r="M22" s="30">
        <f>'14'!M36</f>
        <v>92.119999999999962</v>
      </c>
      <c r="N22" s="30">
        <f>'14'!N36</f>
        <v>166.76250000000002</v>
      </c>
      <c r="O22" s="30">
        <f>'14'!O36</f>
        <v>0</v>
      </c>
      <c r="P22" s="30">
        <f>'14'!P36</f>
        <v>0.53833333333333333</v>
      </c>
      <c r="Q22" s="30">
        <f>'14'!Q36</f>
        <v>9.1941666666666677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15/07/2025 01:00</v>
      </c>
      <c r="B23" s="33">
        <f>'15'!B36</f>
        <v>22.473749999999999</v>
      </c>
      <c r="C23" s="33">
        <f>'15'!C36</f>
        <v>20.890833333333337</v>
      </c>
      <c r="D23" s="33">
        <f>'15'!D36</f>
        <v>27.892916666666668</v>
      </c>
      <c r="E23" s="33">
        <f>'15'!E36</f>
        <v>5.1037499999999989</v>
      </c>
      <c r="F23" s="33">
        <f>'15'!F36</f>
        <v>7.8754166666666663</v>
      </c>
      <c r="G23" s="33">
        <f>'15'!G36</f>
        <v>49.651249999999983</v>
      </c>
      <c r="H23" s="33">
        <f>'15'!H36</f>
        <v>12.143749999999999</v>
      </c>
      <c r="I23" s="33">
        <f>'15'!I36</f>
        <v>2.4020833333333331</v>
      </c>
      <c r="J23" s="33">
        <f>'15'!J36</f>
        <v>0.27083333333333343</v>
      </c>
      <c r="K23" s="33">
        <f>'15'!K36</f>
        <v>300.30958333333331</v>
      </c>
      <c r="L23" s="33">
        <f>'15'!L36</f>
        <v>27.123749999999998</v>
      </c>
      <c r="M23" s="33">
        <f>'15'!M36</f>
        <v>93.542083333333323</v>
      </c>
      <c r="N23" s="33">
        <f>'15'!N36</f>
        <v>209.60416666666671</v>
      </c>
      <c r="O23" s="33">
        <f>'15'!O36</f>
        <v>0.29166666666666669</v>
      </c>
      <c r="P23" s="30">
        <f>'15'!P36</f>
        <v>0.68458333333333321</v>
      </c>
      <c r="Q23" s="30">
        <f>'15'!Q36</f>
        <v>9.3495833333333334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16/07/2025 01:00</v>
      </c>
      <c r="B24" s="33">
        <f>'16'!B36</f>
        <v>13.003333333333337</v>
      </c>
      <c r="C24" s="33">
        <f>'16'!C36</f>
        <v>19.179166666666664</v>
      </c>
      <c r="D24" s="33">
        <f>'16'!D36</f>
        <v>19.661249999999995</v>
      </c>
      <c r="E24" s="33">
        <f>'16'!E36</f>
        <v>4.927083333333333</v>
      </c>
      <c r="F24" s="33">
        <f>'16'!F36</f>
        <v>8.1212499999999981</v>
      </c>
      <c r="G24" s="33">
        <f>'16'!G36</f>
        <v>41.101304347826094</v>
      </c>
      <c r="H24" s="33">
        <f>'16'!H36</f>
        <v>11.342608695652174</v>
      </c>
      <c r="I24" s="33">
        <f>'16'!I36</f>
        <v>2.5175000000000001</v>
      </c>
      <c r="J24" s="33">
        <f>'16'!J36</f>
        <v>0.39625000000000005</v>
      </c>
      <c r="K24" s="33">
        <f>'16'!K36</f>
        <v>263.62333333333328</v>
      </c>
      <c r="L24" s="33">
        <f>'16'!L36</f>
        <v>26.006666666666671</v>
      </c>
      <c r="M24" s="33">
        <f>'16'!M36</f>
        <v>97.954583333333346</v>
      </c>
      <c r="N24" s="33">
        <f>'16'!N36</f>
        <v>143.39166666666668</v>
      </c>
      <c r="O24" s="33">
        <f>'16'!O36</f>
        <v>0.13333333333333333</v>
      </c>
      <c r="P24" s="30">
        <f>'16'!P36</f>
        <v>0.56625000000000014</v>
      </c>
      <c r="Q24" s="30">
        <f>'16'!Q36</f>
        <v>9.2283333333333335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17/07/2025 01:00</v>
      </c>
      <c r="B25" s="33">
        <f>'17'!B36</f>
        <v>9.4570833333333315</v>
      </c>
      <c r="C25" s="33">
        <f>'17'!C36</f>
        <v>15.500833333333334</v>
      </c>
      <c r="D25" s="33">
        <f>'17'!D36</f>
        <v>15.429166666666667</v>
      </c>
      <c r="E25" s="33">
        <f>'17'!E36</f>
        <v>4.949583333333333</v>
      </c>
      <c r="F25" s="33">
        <f>'17'!F36</f>
        <v>8.8466666666666676</v>
      </c>
      <c r="G25" s="33">
        <f>'17'!G36</f>
        <v>37.653749999999995</v>
      </c>
      <c r="H25" s="33">
        <f>'17'!H36</f>
        <v>15.649583333333338</v>
      </c>
      <c r="I25" s="33">
        <f>'17'!I36</f>
        <v>1.0004166666666665</v>
      </c>
      <c r="J25" s="33">
        <f>'17'!J36</f>
        <v>0.43500000000000005</v>
      </c>
      <c r="K25" s="33">
        <f>'17'!K36</f>
        <v>257.38583333333332</v>
      </c>
      <c r="L25" s="33">
        <f>'17'!L36</f>
        <v>27.227500000000003</v>
      </c>
      <c r="M25" s="33">
        <f>'17'!M36</f>
        <v>92.326666666666668</v>
      </c>
      <c r="N25" s="33">
        <f>'17'!N36</f>
        <v>240.31666666666669</v>
      </c>
      <c r="O25" s="33">
        <f>'17'!O36</f>
        <v>1.6666666666666666E-2</v>
      </c>
      <c r="P25" s="30">
        <f>'17'!P36</f>
        <v>0.32208333333333339</v>
      </c>
      <c r="Q25" s="30">
        <f>'17'!Q36</f>
        <v>9.1329166666666648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18/07/2025 01:00</v>
      </c>
      <c r="B26" s="33">
        <f>'18'!B36</f>
        <v>15.145416666666668</v>
      </c>
      <c r="C26" s="33">
        <f>'18'!C36</f>
        <v>19.101666666666663</v>
      </c>
      <c r="D26" s="33">
        <f>'18'!D36</f>
        <v>21.41</v>
      </c>
      <c r="E26" s="33">
        <f>'18'!E36</f>
        <v>5.1245833333333328</v>
      </c>
      <c r="F26" s="33">
        <f>'18'!F36</f>
        <v>9.8312499999999989</v>
      </c>
      <c r="G26" s="33">
        <f>'18'!G36</f>
        <v>49.326250000000016</v>
      </c>
      <c r="H26" s="33">
        <f>'18'!H36</f>
        <v>16.142083333333328</v>
      </c>
      <c r="I26" s="33">
        <f>'18'!I36</f>
        <v>1.3337500000000002</v>
      </c>
      <c r="J26" s="33">
        <f>'18'!J36</f>
        <v>0.44250000000000006</v>
      </c>
      <c r="K26" s="33">
        <f>'18'!K36</f>
        <v>269.28125</v>
      </c>
      <c r="L26" s="33">
        <f>'18'!L36</f>
        <v>27.324999999999992</v>
      </c>
      <c r="M26" s="33">
        <f>'18'!M36</f>
        <v>93.322916666666671</v>
      </c>
      <c r="N26" s="33">
        <f>'18'!N36</f>
        <v>191.27083333333334</v>
      </c>
      <c r="O26" s="33">
        <f>'18'!O36</f>
        <v>8.3333333333333332E-3</v>
      </c>
      <c r="P26" s="30">
        <f>'18'!P36</f>
        <v>0.47458333333333336</v>
      </c>
      <c r="Q26" s="30">
        <f>'18'!Q36</f>
        <v>9.2354166666666675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19/07/2025 01:00</v>
      </c>
      <c r="B27" s="33">
        <f>'19'!B36</f>
        <v>18.580416666666668</v>
      </c>
      <c r="C27" s="33">
        <f>'19'!C36</f>
        <v>22.959166666666672</v>
      </c>
      <c r="D27" s="33">
        <f>'19'!D36</f>
        <v>25.879583333333333</v>
      </c>
      <c r="E27" s="33">
        <f>'19'!E36</f>
        <v>5.177083333333333</v>
      </c>
      <c r="F27" s="33">
        <f>'19'!F36</f>
        <v>10.139583333333333</v>
      </c>
      <c r="G27" s="33">
        <f>'19'!G36</f>
        <v>81.96916666666668</v>
      </c>
      <c r="H27" s="33">
        <f>'19'!H36</f>
        <v>26.003333333333334</v>
      </c>
      <c r="I27" s="33">
        <f>'19'!I36</f>
        <v>2.2112500000000002</v>
      </c>
      <c r="J27" s="33">
        <f>'19'!J36</f>
        <v>0.36708333333333326</v>
      </c>
      <c r="K27" s="33">
        <f>'19'!K36</f>
        <v>269.07291666666669</v>
      </c>
      <c r="L27" s="33">
        <f>'19'!L36</f>
        <v>27.930833333333336</v>
      </c>
      <c r="M27" s="33">
        <f>'19'!M36</f>
        <v>94.347916666666677</v>
      </c>
      <c r="N27" s="33">
        <f>'19'!N36</f>
        <v>241.04583333333343</v>
      </c>
      <c r="O27" s="33">
        <f>'19'!O36</f>
        <v>2.4999999999999998E-2</v>
      </c>
      <c r="P27" s="30">
        <f>'19'!P36</f>
        <v>0.68208333333333326</v>
      </c>
      <c r="Q27" s="30">
        <f>'19'!Q36</f>
        <v>9.34375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20/07/2025 01:00</v>
      </c>
      <c r="B28" s="33">
        <f>'20'!B36</f>
        <v>16.352499999999999</v>
      </c>
      <c r="C28" s="33">
        <f>'20'!C36</f>
        <v>22.495416666666671</v>
      </c>
      <c r="D28" s="33">
        <f>'20'!D36</f>
        <v>23.897916666666671</v>
      </c>
      <c r="E28" s="33">
        <f>'20'!E36</f>
        <v>4.5695833333333331</v>
      </c>
      <c r="F28" s="33">
        <f>'20'!F36</f>
        <v>9.1654166666666672</v>
      </c>
      <c r="G28" s="33">
        <f>'20'!G36</f>
        <v>46.250416666666666</v>
      </c>
      <c r="H28" s="33">
        <f>'20'!H36</f>
        <v>18.455416666666661</v>
      </c>
      <c r="I28" s="33">
        <f>'20'!I36</f>
        <v>2.0120833333333334</v>
      </c>
      <c r="J28" s="33">
        <f>'20'!J36</f>
        <v>0.61458333333333348</v>
      </c>
      <c r="K28" s="33">
        <f>'20'!K36</f>
        <v>270.95958333333334</v>
      </c>
      <c r="L28" s="33">
        <f>'20'!L36</f>
        <v>25.274583333333336</v>
      </c>
      <c r="M28" s="33">
        <f>'20'!M36</f>
        <v>98.505833333333342</v>
      </c>
      <c r="N28" s="33">
        <f>'20'!N36</f>
        <v>160.67499999999998</v>
      </c>
      <c r="O28" s="33">
        <f>'20'!O36</f>
        <v>0.70000000000000007</v>
      </c>
      <c r="P28" s="30">
        <f>'20'!P36</f>
        <v>0.62624999999999997</v>
      </c>
      <c r="Q28" s="30">
        <f>'20'!Q36</f>
        <v>9.3100000000000023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21/07/2025 01:00</v>
      </c>
      <c r="B29" s="33">
        <f>'21'!B36</f>
        <v>28.788749999999997</v>
      </c>
      <c r="C29" s="33">
        <f>'21'!C36</f>
        <v>28.147499999999994</v>
      </c>
      <c r="D29" s="33">
        <f>'21'!D36</f>
        <v>36.409166666666671</v>
      </c>
      <c r="E29" s="33">
        <f>'21'!E36</f>
        <v>5.0087500000000018</v>
      </c>
      <c r="F29" s="33">
        <f>'21'!F36</f>
        <v>11.183750000000002</v>
      </c>
      <c r="G29" s="33">
        <f>'21'!G36</f>
        <v>73.708333333333329</v>
      </c>
      <c r="H29" s="33">
        <f>'21'!H36</f>
        <v>46.046666666666674</v>
      </c>
      <c r="I29" s="33">
        <f>'21'!I36</f>
        <v>2.3345833333333332</v>
      </c>
      <c r="J29" s="33">
        <f>'21'!J36</f>
        <v>0.5033333333333333</v>
      </c>
      <c r="K29" s="33">
        <f>'21'!K36</f>
        <v>335.16708333333332</v>
      </c>
      <c r="L29" s="33">
        <f>'21'!L36</f>
        <v>27.033750000000001</v>
      </c>
      <c r="M29" s="33">
        <f>'21'!M36</f>
        <v>96.397499999999994</v>
      </c>
      <c r="N29" s="33">
        <f>'21'!N36</f>
        <v>191.00833333333341</v>
      </c>
      <c r="O29" s="33">
        <f>'21'!O36</f>
        <v>8.3333333333333329E-2</v>
      </c>
      <c r="P29" s="30">
        <f>'21'!P36</f>
        <v>0.92666666666666664</v>
      </c>
      <c r="Q29" s="30">
        <f>'21'!Q36</f>
        <v>9.5724999999999998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22/07/2025 01:00</v>
      </c>
      <c r="B30" s="33">
        <f>'22'!B36</f>
        <v>17.679583333333333</v>
      </c>
      <c r="C30" s="33">
        <f>'22'!C36</f>
        <v>24.416666666666668</v>
      </c>
      <c r="D30" s="33">
        <f>'22'!D36</f>
        <v>25.41333333333333</v>
      </c>
      <c r="E30" s="33">
        <f>'22'!E36</f>
        <v>4.961666666666666</v>
      </c>
      <c r="F30" s="33">
        <f>'22'!F36</f>
        <v>11.761666666666668</v>
      </c>
      <c r="G30" s="33">
        <f>'22'!G36</f>
        <v>60.391666666666644</v>
      </c>
      <c r="H30" s="33">
        <f>'22'!H36</f>
        <v>24.993750000000006</v>
      </c>
      <c r="I30" s="33">
        <f>'22'!I36</f>
        <v>2.929583333333333</v>
      </c>
      <c r="J30" s="33">
        <f>'22'!J36</f>
        <v>0.54291666666666671</v>
      </c>
      <c r="K30" s="33">
        <f>'22'!K36</f>
        <v>309.64333333333337</v>
      </c>
      <c r="L30" s="33">
        <f>'22'!L36</f>
        <v>26.687916666666666</v>
      </c>
      <c r="M30" s="33">
        <f>'22'!M36</f>
        <v>96.836666666666687</v>
      </c>
      <c r="N30" s="33">
        <f>'22'!N36</f>
        <v>201.18333333333337</v>
      </c>
      <c r="O30" s="33">
        <f>'22'!O36</f>
        <v>0.97499999999999998</v>
      </c>
      <c r="P30" s="30">
        <f>'22'!P36</f>
        <v>0.69125000000000014</v>
      </c>
      <c r="Q30" s="30">
        <f>'22'!Q36</f>
        <v>9.4583333333333339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23/07/2025 01:00</v>
      </c>
      <c r="B31" s="33">
        <f>'23'!B36</f>
        <v>17.700416666666666</v>
      </c>
      <c r="C31" s="33">
        <f>'23'!C36</f>
        <v>19.018750000000004</v>
      </c>
      <c r="D31" s="33">
        <f>'23'!D36</f>
        <v>23.413750000000004</v>
      </c>
      <c r="E31" s="33">
        <f>'23'!E36</f>
        <v>4.9129166666666659</v>
      </c>
      <c r="F31" s="33">
        <f>'23'!F36</f>
        <v>10.455833333333333</v>
      </c>
      <c r="G31" s="33">
        <f>'23'!G36</f>
        <v>37.673333333333339</v>
      </c>
      <c r="H31" s="33">
        <f>'23'!H36</f>
        <v>13.259166666666667</v>
      </c>
      <c r="I31" s="33">
        <f>'23'!I36</f>
        <v>2.0287500000000001</v>
      </c>
      <c r="J31" s="33">
        <f>'23'!J36</f>
        <v>0.40333333333333338</v>
      </c>
      <c r="K31" s="33">
        <f>'23'!K36</f>
        <v>319.23708333333326</v>
      </c>
      <c r="L31" s="33">
        <f>'23'!L36</f>
        <v>27.023749999999996</v>
      </c>
      <c r="M31" s="33">
        <f>'23'!M36</f>
        <v>95.039166666666645</v>
      </c>
      <c r="N31" s="33">
        <f>'23'!N36</f>
        <v>224.27500000000001</v>
      </c>
      <c r="O31" s="33">
        <f>'23'!O36</f>
        <v>0.56666666666666654</v>
      </c>
      <c r="P31" s="33">
        <f>'23'!P36</f>
        <v>0.74750000000000005</v>
      </c>
      <c r="Q31" s="33">
        <f>'23'!Q36</f>
        <v>9.2958333333333343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24/07/2025 01:00</v>
      </c>
      <c r="B32" s="33">
        <f>'24'!B36</f>
        <v>12.595000000000001</v>
      </c>
      <c r="C32" s="33">
        <f>'24'!C36</f>
        <v>15.130833333333333</v>
      </c>
      <c r="D32" s="33">
        <f>'24'!D36</f>
        <v>17.774583333333336</v>
      </c>
      <c r="E32" s="33">
        <f>'24'!E36</f>
        <v>5.5145833333333334</v>
      </c>
      <c r="F32" s="33">
        <f>'24'!F36</f>
        <v>7.36625</v>
      </c>
      <c r="G32" s="33">
        <f>'24'!G36</f>
        <v>20.887916666666666</v>
      </c>
      <c r="H32" s="33">
        <f>'24'!H36</f>
        <v>7.05</v>
      </c>
      <c r="I32" s="33">
        <f>'24'!I36</f>
        <v>1.5600000000000003</v>
      </c>
      <c r="J32" s="33">
        <f>'24'!J36</f>
        <v>0.75791666666666657</v>
      </c>
      <c r="K32" s="33">
        <f>'24'!K36</f>
        <v>329.99999999999994</v>
      </c>
      <c r="L32" s="33">
        <f>'24'!L36</f>
        <v>26.738333333333333</v>
      </c>
      <c r="M32" s="33">
        <f>'24'!M36</f>
        <v>93.472499999999968</v>
      </c>
      <c r="N32" s="33">
        <f>'24'!N36</f>
        <v>195.77083333333337</v>
      </c>
      <c r="O32" s="33">
        <f>'24'!O36</f>
        <v>7.4999999999999997E-2</v>
      </c>
      <c r="P32" s="33">
        <f>'24'!P36</f>
        <v>0.51375000000000004</v>
      </c>
      <c r="Q32" s="33">
        <f>'24'!Q36</f>
        <v>9.1954166666666648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25/07/2025 01:00</v>
      </c>
      <c r="B33" s="33">
        <f>'25'!B36</f>
        <v>11.983750000000001</v>
      </c>
      <c r="C33" s="33">
        <f>'25'!C36</f>
        <v>14.365833333333335</v>
      </c>
      <c r="D33" s="33">
        <f>'25'!D36</f>
        <v>16.756249999999998</v>
      </c>
      <c r="E33" s="33">
        <f>'25'!E36</f>
        <v>4.7274999999999983</v>
      </c>
      <c r="F33" s="33">
        <f>'25'!F36</f>
        <v>4.3379166666666666</v>
      </c>
      <c r="G33" s="33">
        <f>'25'!G36</f>
        <v>23.061818181818186</v>
      </c>
      <c r="H33" s="33">
        <f>'25'!H36</f>
        <v>8.5181818181818194</v>
      </c>
      <c r="I33" s="33">
        <f>'25'!I36</f>
        <v>2.2199999999999998</v>
      </c>
      <c r="J33" s="33">
        <f>'25'!J36</f>
        <v>0.21833333333333338</v>
      </c>
      <c r="K33" s="33">
        <f>'25'!K36</f>
        <v>305.94166666666666</v>
      </c>
      <c r="L33" s="33">
        <f>'25'!L36</f>
        <v>24.034166666666664</v>
      </c>
      <c r="M33" s="33">
        <f>'25'!M36</f>
        <v>98.18</v>
      </c>
      <c r="N33" s="33">
        <f>'25'!N36</f>
        <v>88.808333333333323</v>
      </c>
      <c r="O33" s="33">
        <f>'25'!O36</f>
        <v>0.10833333333333334</v>
      </c>
      <c r="P33" s="33">
        <f>'25'!P36</f>
        <v>0.65125000000000011</v>
      </c>
      <c r="Q33" s="33">
        <f>'25'!Q36</f>
        <v>9.2279166666666672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26/07/2025 01:00</v>
      </c>
      <c r="B34" s="33">
        <f>'26'!B36</f>
        <v>5.6329166666666666</v>
      </c>
      <c r="C34" s="33">
        <f>'26'!C36</f>
        <v>13.132916666666668</v>
      </c>
      <c r="D34" s="33">
        <f>'26'!D36</f>
        <v>11.292499999999999</v>
      </c>
      <c r="E34" s="33">
        <f>'26'!E36</f>
        <v>4.1737499999999992</v>
      </c>
      <c r="F34" s="33">
        <f>'26'!F36</f>
        <v>4.2566666666666686</v>
      </c>
      <c r="G34" s="33">
        <f>'26'!G36</f>
        <v>4.8899999999999997</v>
      </c>
      <c r="H34" s="33">
        <f>'26'!H36</f>
        <v>1.7445833333333332</v>
      </c>
      <c r="I34" s="33">
        <f>'26'!I36</f>
        <v>0.84750000000000025</v>
      </c>
      <c r="J34" s="33">
        <f>'26'!J36</f>
        <v>0.30249999999999999</v>
      </c>
      <c r="K34" s="33">
        <f>'26'!K36</f>
        <v>318.98291666666671</v>
      </c>
      <c r="L34" s="33">
        <f>'26'!L36</f>
        <v>23.469166666666666</v>
      </c>
      <c r="M34" s="33">
        <f>'26'!M36</f>
        <v>98.115833333333356</v>
      </c>
      <c r="N34" s="33">
        <f>'26'!N36</f>
        <v>105.25833333333333</v>
      </c>
      <c r="O34" s="33">
        <f>'26'!O36</f>
        <v>0.22499999999999998</v>
      </c>
      <c r="P34" s="33">
        <f>'26'!P36</f>
        <v>0.25499999999999995</v>
      </c>
      <c r="Q34" s="33">
        <f>'26'!Q36</f>
        <v>9.0037499999999984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27/07/2025 01:00</v>
      </c>
      <c r="B35" s="33">
        <f>'27'!B36</f>
        <v>6.1099999999999994</v>
      </c>
      <c r="C35" s="33">
        <f>'27'!C36</f>
        <v>12.848750000000001</v>
      </c>
      <c r="D35" s="33">
        <f>'27'!D36</f>
        <v>11.529583333333335</v>
      </c>
      <c r="E35" s="33">
        <f>'27'!E36</f>
        <v>4.680416666666666</v>
      </c>
      <c r="F35" s="33">
        <f>'27'!F36</f>
        <v>4.6579166666666678</v>
      </c>
      <c r="G35" s="33">
        <f>'27'!G36</f>
        <v>11.61</v>
      </c>
      <c r="H35" s="33">
        <f>'27'!H36</f>
        <v>6.2058333333333335</v>
      </c>
      <c r="I35" s="33">
        <f>'27'!I36</f>
        <v>0.67041666666666666</v>
      </c>
      <c r="J35" s="33">
        <f>'27'!J36</f>
        <v>0.19375000000000001</v>
      </c>
      <c r="K35" s="33">
        <f>'27'!K36</f>
        <v>315.26416666666665</v>
      </c>
      <c r="L35" s="33">
        <f>'27'!L36</f>
        <v>24.689166666666669</v>
      </c>
      <c r="M35" s="33">
        <f>'27'!M36</f>
        <v>97.46583333333335</v>
      </c>
      <c r="N35" s="33">
        <f>'27'!N36</f>
        <v>150.24999999999997</v>
      </c>
      <c r="O35" s="33">
        <f>'27'!O36</f>
        <v>0</v>
      </c>
      <c r="P35" s="30">
        <f>'27'!P36</f>
        <v>0.24458333333333335</v>
      </c>
      <c r="Q35" s="33">
        <f>'27'!Q36</f>
        <v>8.9987499999999994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28/07/2025 01:00</v>
      </c>
      <c r="B36" s="33">
        <f>'28'!B36</f>
        <v>6.7258333333333349</v>
      </c>
      <c r="C36" s="33">
        <f>'28'!C36</f>
        <v>14.743333333333334</v>
      </c>
      <c r="D36" s="33">
        <f>'28'!D36</f>
        <v>12.922916666666666</v>
      </c>
      <c r="E36" s="33">
        <f>'28'!E36</f>
        <v>4.4487499999999995</v>
      </c>
      <c r="F36" s="33">
        <f>'28'!F36</f>
        <v>5.2641666666666671</v>
      </c>
      <c r="G36" s="33">
        <f>'28'!G36</f>
        <v>19.435833333333335</v>
      </c>
      <c r="H36" s="33">
        <f>'28'!H36</f>
        <v>2.8983333333333334</v>
      </c>
      <c r="I36" s="33">
        <f>'28'!I36</f>
        <v>0.72916666666666663</v>
      </c>
      <c r="J36" s="33">
        <f>'28'!J36</f>
        <v>0.21</v>
      </c>
      <c r="K36" s="33">
        <f>'28'!K36</f>
        <v>304.02625</v>
      </c>
      <c r="L36" s="33">
        <f>'28'!L36</f>
        <v>24.373333333333335</v>
      </c>
      <c r="M36" s="33">
        <f>'28'!M36</f>
        <v>97.444583333333341</v>
      </c>
      <c r="N36" s="33">
        <f>'28'!N36</f>
        <v>133.52083333333331</v>
      </c>
      <c r="O36" s="33">
        <f>'28'!O36</f>
        <v>1.6666666666666666E-2</v>
      </c>
      <c r="P36" s="30">
        <f>'28'!P36</f>
        <v>0.27666666666666667</v>
      </c>
      <c r="Q36" s="33">
        <f>'28'!Q36</f>
        <v>9.0250000000000004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29/07/2025 01:00</v>
      </c>
      <c r="B37" s="33">
        <f>'29'!B36</f>
        <v>6.8912500000000003</v>
      </c>
      <c r="C37" s="33">
        <f>'29'!C36</f>
        <v>12.340833333333334</v>
      </c>
      <c r="D37" s="33">
        <f>'29'!D36</f>
        <v>11.812916666666668</v>
      </c>
      <c r="E37" s="33">
        <f>'29'!E36</f>
        <v>4.6158333333333328</v>
      </c>
      <c r="F37" s="33">
        <f>'29'!F36</f>
        <v>4.2150000000000007</v>
      </c>
      <c r="G37" s="33">
        <f>'29'!G36</f>
        <v>6.1866666666666665</v>
      </c>
      <c r="H37" s="33">
        <f>'29'!H36</f>
        <v>2.1758333333333328</v>
      </c>
      <c r="I37" s="33">
        <f>'29'!I36</f>
        <v>0.69</v>
      </c>
      <c r="J37" s="33">
        <f>'29'!J36</f>
        <v>0.19041666666666668</v>
      </c>
      <c r="K37" s="33">
        <f>'29'!K36</f>
        <v>309.61874999999992</v>
      </c>
      <c r="L37" s="33">
        <f>'29'!L36</f>
        <v>22.84333333333333</v>
      </c>
      <c r="M37" s="33">
        <f>'29'!M36</f>
        <v>98.094583333333333</v>
      </c>
      <c r="N37" s="33">
        <f>'29'!N36</f>
        <v>106.89999999999999</v>
      </c>
      <c r="O37" s="33">
        <f>'29'!O36</f>
        <v>0</v>
      </c>
      <c r="P37" s="33">
        <f>'29'!P36</f>
        <v>0.25874999999999998</v>
      </c>
      <c r="Q37" s="33">
        <f>'29'!Q36</f>
        <v>9.01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30/07/2025 01:00</v>
      </c>
      <c r="B38" s="33">
        <f>'30'!B36</f>
        <v>6.7741666666666687</v>
      </c>
      <c r="C38" s="33">
        <f>'30'!C36</f>
        <v>12.898333333333332</v>
      </c>
      <c r="D38" s="33">
        <f>'30'!D36</f>
        <v>12.117916666666664</v>
      </c>
      <c r="E38" s="33">
        <f>'30'!E36</f>
        <v>4.7629166666666674</v>
      </c>
      <c r="F38" s="33">
        <f>'30'!F36</f>
        <v>4.8104166666666677</v>
      </c>
      <c r="G38" s="33">
        <f>'30'!G36</f>
        <v>19.073333333333334</v>
      </c>
      <c r="H38" s="33">
        <f>'30'!H36</f>
        <v>10.784583333333332</v>
      </c>
      <c r="I38" s="33">
        <f>'30'!I36</f>
        <v>0.71749999999999992</v>
      </c>
      <c r="J38" s="33">
        <f>'30'!J36</f>
        <v>0.16375000000000003</v>
      </c>
      <c r="K38" s="33">
        <f>'30'!K36</f>
        <v>306.12749999999994</v>
      </c>
      <c r="L38" s="33">
        <f>'30'!L36</f>
        <v>24.211250000000003</v>
      </c>
      <c r="M38" s="33">
        <f>'30'!M36</f>
        <v>97.967499999999987</v>
      </c>
      <c r="N38" s="33">
        <f>'30'!N36</f>
        <v>160.22083333333333</v>
      </c>
      <c r="O38" s="33">
        <f>'30'!O36</f>
        <v>8.3333333333333332E-3</v>
      </c>
      <c r="P38" s="33">
        <f>'30'!P36</f>
        <v>0.23541666666666669</v>
      </c>
      <c r="Q38" s="33">
        <f>'30'!Q36</f>
        <v>8.992916666666666</v>
      </c>
      <c r="R38" s="46"/>
      <c r="S38" s="46"/>
      <c r="T38" s="46"/>
      <c r="U38" s="46"/>
    </row>
    <row r="39" spans="1:21" s="34" customFormat="1" x14ac:dyDescent="0.25">
      <c r="A39" s="36" t="str">
        <f>'31'!$B$2</f>
        <v>31/07/2025 01:00</v>
      </c>
      <c r="B39" s="33">
        <f>'31'!B36</f>
        <v>8.5504166666666634</v>
      </c>
      <c r="C39" s="33">
        <f>'31'!C36</f>
        <v>15.946666666666667</v>
      </c>
      <c r="D39" s="33">
        <f>'31'!D36</f>
        <v>14.899583333333338</v>
      </c>
      <c r="E39" s="33">
        <f>'31'!E36</f>
        <v>4.6433333333333326</v>
      </c>
      <c r="F39" s="33">
        <f>'31'!F36</f>
        <v>6.0245833333333332</v>
      </c>
      <c r="G39" s="33">
        <f>'31'!G36</f>
        <v>37.174166666666657</v>
      </c>
      <c r="H39" s="33">
        <f>'31'!H36</f>
        <v>12.97916666666667</v>
      </c>
      <c r="I39" s="33">
        <f>'31'!I36</f>
        <v>1.1020833333333331</v>
      </c>
      <c r="J39" s="33">
        <f>'31'!J36</f>
        <v>0.25791666666666663</v>
      </c>
      <c r="K39" s="33">
        <f>'31'!K36</f>
        <v>304.84499999999997</v>
      </c>
      <c r="L39" s="33">
        <f>'31'!L36</f>
        <v>26.314583333333335</v>
      </c>
      <c r="M39" s="33">
        <f>'31'!M36</f>
        <v>91.990416666666647</v>
      </c>
      <c r="N39" s="33">
        <f>'31'!N36</f>
        <v>276.53333333333336</v>
      </c>
      <c r="O39" s="33">
        <f>'31'!O36</f>
        <v>8.3333333333333332E-3</v>
      </c>
      <c r="P39" s="33">
        <f>'31'!P36</f>
        <v>0.39958333333333335</v>
      </c>
      <c r="Q39" s="33">
        <f>'31'!Q36</f>
        <v>9.0333333333333314</v>
      </c>
      <c r="R39" s="46"/>
      <c r="S39" s="46"/>
      <c r="T39" s="46"/>
      <c r="U39" s="46"/>
    </row>
    <row r="40" spans="1:21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8"/>
    </row>
    <row r="41" spans="1:21" s="21" customFormat="1" x14ac:dyDescent="0.25">
      <c r="A41" s="14" t="s">
        <v>30</v>
      </c>
      <c r="B41" s="15">
        <f t="shared" ref="B41:Q41" si="0">MIN(B9:B38)</f>
        <v>5.55375</v>
      </c>
      <c r="C41" s="15">
        <f t="shared" si="0"/>
        <v>12.340833333333334</v>
      </c>
      <c r="D41" s="15">
        <f t="shared" si="0"/>
        <v>11.245833333333332</v>
      </c>
      <c r="E41" s="15">
        <f t="shared" si="0"/>
        <v>4.1737499999999992</v>
      </c>
      <c r="F41" s="15">
        <f t="shared" si="0"/>
        <v>4.0270833333333327</v>
      </c>
      <c r="G41" s="15">
        <f t="shared" si="0"/>
        <v>4.8899999999999997</v>
      </c>
      <c r="H41" s="15">
        <f t="shared" si="0"/>
        <v>1.7445833333333332</v>
      </c>
      <c r="I41" s="15">
        <f t="shared" si="0"/>
        <v>0.67041666666666666</v>
      </c>
      <c r="J41" s="15">
        <f t="shared" si="0"/>
        <v>0.16375000000000003</v>
      </c>
      <c r="K41" s="15">
        <f t="shared" si="0"/>
        <v>257.38583333333332</v>
      </c>
      <c r="L41" s="15">
        <f t="shared" si="0"/>
        <v>21.786666666666665</v>
      </c>
      <c r="M41" s="15">
        <f t="shared" si="0"/>
        <v>87.56541666666665</v>
      </c>
      <c r="N41" s="15">
        <f t="shared" si="0"/>
        <v>88.808333333333323</v>
      </c>
      <c r="O41" s="15">
        <f t="shared" si="0"/>
        <v>0</v>
      </c>
      <c r="P41" s="15">
        <f t="shared" si="0"/>
        <v>0.23541666666666669</v>
      </c>
      <c r="Q41" s="15">
        <f t="shared" si="0"/>
        <v>8.992916666666666</v>
      </c>
      <c r="R41" s="28"/>
      <c r="S41" s="28"/>
      <c r="T41" s="28"/>
      <c r="U41" s="28"/>
    </row>
    <row r="42" spans="1:21" s="21" customFormat="1" x14ac:dyDescent="0.25">
      <c r="A42" s="14" t="s">
        <v>31</v>
      </c>
      <c r="B42" s="15">
        <f t="shared" ref="B42:Q42" si="1">MAX(B9:B38)</f>
        <v>28.788749999999997</v>
      </c>
      <c r="C42" s="15">
        <f t="shared" si="1"/>
        <v>28.147499999999994</v>
      </c>
      <c r="D42" s="15">
        <f t="shared" si="1"/>
        <v>36.409166666666671</v>
      </c>
      <c r="E42" s="15">
        <f t="shared" si="1"/>
        <v>5.5145833333333334</v>
      </c>
      <c r="F42" s="15">
        <f t="shared" si="1"/>
        <v>11.761666666666668</v>
      </c>
      <c r="G42" s="15">
        <f t="shared" si="1"/>
        <v>81.96916666666668</v>
      </c>
      <c r="H42" s="15">
        <f t="shared" si="1"/>
        <v>46.046666666666674</v>
      </c>
      <c r="I42" s="15">
        <f t="shared" si="1"/>
        <v>2.929583333333333</v>
      </c>
      <c r="J42" s="15">
        <f t="shared" si="1"/>
        <v>0.75791666666666657</v>
      </c>
      <c r="K42" s="15">
        <f t="shared" si="1"/>
        <v>335.16708333333332</v>
      </c>
      <c r="L42" s="15">
        <f t="shared" si="1"/>
        <v>28.308333333333334</v>
      </c>
      <c r="M42" s="15">
        <f t="shared" si="1"/>
        <v>99.07416666666667</v>
      </c>
      <c r="N42" s="15">
        <f t="shared" si="1"/>
        <v>270.38333333333327</v>
      </c>
      <c r="O42" s="15">
        <f t="shared" si="1"/>
        <v>1.1833333333333331</v>
      </c>
      <c r="P42" s="15">
        <f t="shared" si="1"/>
        <v>0.92666666666666664</v>
      </c>
      <c r="Q42" s="15">
        <f t="shared" si="1"/>
        <v>9.5724999999999998</v>
      </c>
      <c r="R42" s="28"/>
      <c r="S42" s="28"/>
      <c r="T42" s="28"/>
      <c r="U42" s="28"/>
    </row>
    <row r="43" spans="1:21" s="21" customFormat="1" x14ac:dyDescent="0.25">
      <c r="A43" s="14" t="s">
        <v>32</v>
      </c>
      <c r="B43" s="15">
        <f t="shared" ref="B43:Q43" si="2">AVERAGE(B9:B38)</f>
        <v>11.749555555555558</v>
      </c>
      <c r="C43" s="15">
        <f t="shared" si="2"/>
        <v>16.943319444444445</v>
      </c>
      <c r="D43" s="15">
        <f t="shared" si="2"/>
        <v>17.812777777777786</v>
      </c>
      <c r="E43" s="15">
        <f t="shared" si="2"/>
        <v>4.8115138888888875</v>
      </c>
      <c r="F43" s="15">
        <f t="shared" si="2"/>
        <v>6.6639583333333325</v>
      </c>
      <c r="G43" s="15">
        <f t="shared" si="2"/>
        <v>34.853576306543687</v>
      </c>
      <c r="H43" s="15">
        <f t="shared" si="2"/>
        <v>11.786623572683355</v>
      </c>
      <c r="I43" s="15">
        <f t="shared" si="2"/>
        <v>1.5480555555555557</v>
      </c>
      <c r="J43" s="15">
        <f t="shared" si="2"/>
        <v>0.32898611111111115</v>
      </c>
      <c r="K43" s="15">
        <f t="shared" si="2"/>
        <v>302.74790277777782</v>
      </c>
      <c r="L43" s="15">
        <f t="shared" si="2"/>
        <v>25.270305555555556</v>
      </c>
      <c r="M43" s="15">
        <f t="shared" si="2"/>
        <v>96.157819444444428</v>
      </c>
      <c r="N43" s="15">
        <f t="shared" si="2"/>
        <v>164.8138888888889</v>
      </c>
      <c r="O43" s="15">
        <f t="shared" si="2"/>
        <v>0.23277777777777781</v>
      </c>
      <c r="P43" s="15">
        <f t="shared" si="2"/>
        <v>0.46440277777777789</v>
      </c>
      <c r="Q43" s="15">
        <f t="shared" si="2"/>
        <v>9.1779722222222215</v>
      </c>
      <c r="R43" s="28"/>
      <c r="S43" s="28"/>
      <c r="T43" s="28"/>
      <c r="U43" s="28"/>
    </row>
    <row r="44" spans="1:21" s="21" customFormat="1" x14ac:dyDescent="0.25">
      <c r="A44" s="14" t="s">
        <v>38</v>
      </c>
      <c r="B44" s="15">
        <f t="shared" ref="B44:Q44" si="3">STDEV(B9:B38)</f>
        <v>5.388898590291257</v>
      </c>
      <c r="C44" s="15">
        <f t="shared" si="3"/>
        <v>3.8635803822685699</v>
      </c>
      <c r="D44" s="15">
        <f t="shared" si="3"/>
        <v>5.8047816202819513</v>
      </c>
      <c r="E44" s="15">
        <f t="shared" si="3"/>
        <v>0.29752139969665808</v>
      </c>
      <c r="F44" s="15">
        <f t="shared" si="3"/>
        <v>2.4858703598058964</v>
      </c>
      <c r="G44" s="15">
        <f t="shared" si="3"/>
        <v>20.335588636064138</v>
      </c>
      <c r="H44" s="15">
        <f t="shared" si="3"/>
        <v>8.9740721557957066</v>
      </c>
      <c r="I44" s="15">
        <f t="shared" si="3"/>
        <v>0.67652832100744975</v>
      </c>
      <c r="J44" s="15">
        <f t="shared" si="3"/>
        <v>0.1364307820011981</v>
      </c>
      <c r="K44" s="15">
        <f t="shared" si="3"/>
        <v>18.862214729086055</v>
      </c>
      <c r="L44" s="15">
        <f t="shared" si="3"/>
        <v>1.8825684348881015</v>
      </c>
      <c r="M44" s="15">
        <f t="shared" si="3"/>
        <v>2.7254634296152691</v>
      </c>
      <c r="N44" s="15">
        <f t="shared" si="3"/>
        <v>49.143007644538883</v>
      </c>
      <c r="O44" s="15">
        <f t="shared" si="3"/>
        <v>0.33620838654416535</v>
      </c>
      <c r="P44" s="15">
        <f t="shared" si="3"/>
        <v>0.17541663879560362</v>
      </c>
      <c r="Q44" s="15">
        <f t="shared" si="3"/>
        <v>0.13979839468252495</v>
      </c>
      <c r="R44" s="28"/>
      <c r="S44" s="28"/>
      <c r="T44" s="28"/>
      <c r="U44" s="28"/>
    </row>
    <row r="45" spans="1:21" s="21" customFormat="1" x14ac:dyDescent="0.25">
      <c r="A45" s="14" t="s">
        <v>33</v>
      </c>
      <c r="B45" s="12">
        <f>COUNT(B9:B39)</f>
        <v>31</v>
      </c>
      <c r="C45" s="12">
        <f t="shared" ref="C45:Q45" si="4">COUNT(C9:C39)</f>
        <v>31</v>
      </c>
      <c r="D45" s="12">
        <f t="shared" si="4"/>
        <v>31</v>
      </c>
      <c r="E45" s="12">
        <f t="shared" si="4"/>
        <v>31</v>
      </c>
      <c r="F45" s="12">
        <f t="shared" si="4"/>
        <v>31</v>
      </c>
      <c r="G45" s="12">
        <f t="shared" si="4"/>
        <v>31</v>
      </c>
      <c r="H45" s="12">
        <f t="shared" si="4"/>
        <v>31</v>
      </c>
      <c r="I45" s="12">
        <f t="shared" si="4"/>
        <v>31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x14ac:dyDescent="0.25">
      <c r="A46" s="14" t="s">
        <v>34</v>
      </c>
      <c r="B46" s="12" t="str">
        <f>IF(B45&gt;=28,"&gt;90%",IF(B45&lt;=28,"&lt;90%"))</f>
        <v>&gt;90%</v>
      </c>
      <c r="C46" s="12" t="str">
        <f t="shared" ref="C46:Q46" si="5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x14ac:dyDescent="0.25">
      <c r="A47" s="14" t="s">
        <v>1</v>
      </c>
      <c r="B47" s="12" t="str">
        <f>IF(B45&gt;=28,"OK",IF(B45&lt;=28,"LESS"))</f>
        <v>OK</v>
      </c>
      <c r="C47" s="12" t="str">
        <f t="shared" ref="C47:Q47" si="6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1:2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x14ac:dyDescent="0.25">
      <c r="A50" s="14" t="s">
        <v>35</v>
      </c>
      <c r="B50" s="40" t="s">
        <v>41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x14ac:dyDescent="0.2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 x14ac:dyDescent="0.25">
      <c r="A52" s="17" t="s">
        <v>36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x14ac:dyDescent="0.2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mergeCells count="1">
    <mergeCell ref="B52:P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2025-08-21T14:28:40Z</dcterms:modified>
</cp:coreProperties>
</file>