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8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45" i="39" l="1"/>
  <c r="D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B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I110" i="44"/>
  <c r="I112" i="44" s="1"/>
  <c r="I110" i="41"/>
  <c r="I110" i="40"/>
  <c r="Q110" i="44"/>
  <c r="Q112" i="44" s="1"/>
  <c r="P110" i="44"/>
  <c r="P112" i="44" s="1"/>
  <c r="O110" i="44"/>
  <c r="O112" i="44" s="1"/>
  <c r="N110" i="44"/>
  <c r="N111" i="44" s="1"/>
  <c r="M110" i="44"/>
  <c r="M112" i="44" s="1"/>
  <c r="L110" i="44"/>
  <c r="L112" i="44" s="1"/>
  <c r="K110" i="44"/>
  <c r="K112" i="44" s="1"/>
  <c r="J110" i="44"/>
  <c r="J111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J110" i="33"/>
  <c r="G110" i="33"/>
  <c r="H110" i="33"/>
  <c r="I110" i="32"/>
  <c r="Q110" i="31"/>
  <c r="G110" i="31"/>
  <c r="H110" i="31"/>
  <c r="I110" i="31"/>
  <c r="I110" i="30"/>
  <c r="H110" i="30"/>
  <c r="G110" i="30"/>
  <c r="J110" i="29"/>
  <c r="H110" i="29"/>
  <c r="J110" i="28"/>
  <c r="I110" i="27"/>
  <c r="G110" i="22"/>
  <c r="H110" i="22"/>
  <c r="H110" i="21"/>
  <c r="G110" i="21"/>
  <c r="Q110" i="19"/>
  <c r="H110" i="18"/>
  <c r="I110" i="18"/>
  <c r="J110" i="18"/>
  <c r="Q110" i="17"/>
  <c r="Q110" i="16"/>
  <c r="Q110" i="15"/>
  <c r="H110" i="13"/>
  <c r="G110" i="13"/>
  <c r="F110" i="12"/>
  <c r="G110" i="12"/>
  <c r="H110" i="12"/>
  <c r="I110" i="12"/>
  <c r="C110" i="11"/>
  <c r="D110" i="11"/>
  <c r="E110" i="11"/>
  <c r="F110" i="11"/>
  <c r="G110" i="11"/>
  <c r="H110" i="11"/>
  <c r="I110" i="11"/>
  <c r="B110" i="11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B111" i="44" l="1"/>
  <c r="C111" i="44"/>
  <c r="D111" i="44"/>
  <c r="F111" i="44"/>
  <c r="E111" i="44"/>
  <c r="G111" i="44"/>
  <c r="H111" i="44"/>
  <c r="I111" i="44"/>
  <c r="J112" i="44"/>
  <c r="K111" i="44"/>
  <c r="Q111" i="44"/>
  <c r="L111" i="44"/>
  <c r="N112" i="44"/>
  <c r="O111" i="44"/>
  <c r="M111" i="44"/>
  <c r="P111" i="44"/>
  <c r="C110" i="26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M112" i="26" s="1"/>
  <c r="N110" i="26"/>
  <c r="N112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F112" i="25" s="1"/>
  <c r="G110" i="25"/>
  <c r="G112" i="25" s="1"/>
  <c r="H110" i="25"/>
  <c r="H111" i="25" s="1"/>
  <c r="I110" i="25"/>
  <c r="I111" i="25" s="1"/>
  <c r="J110" i="25"/>
  <c r="K110" i="25"/>
  <c r="K111" i="25" s="1"/>
  <c r="L110" i="25"/>
  <c r="L112" i="25" s="1"/>
  <c r="M110" i="25"/>
  <c r="M111" i="25"/>
  <c r="N110" i="25"/>
  <c r="O110" i="25"/>
  <c r="O112" i="25" s="1"/>
  <c r="P110" i="25"/>
  <c r="P111" i="25" s="1"/>
  <c r="Q110" i="25"/>
  <c r="B110" i="25"/>
  <c r="B112" i="25" s="1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0" i="33"/>
  <c r="I111" i="33" s="1"/>
  <c r="J112" i="33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 s="1"/>
  <c r="I112" i="30"/>
  <c r="H112" i="30"/>
  <c r="J112" i="29"/>
  <c r="I110" i="29"/>
  <c r="I112" i="29" s="1"/>
  <c r="H112" i="29"/>
  <c r="J111" i="28"/>
  <c r="I110" i="28"/>
  <c r="I112" i="28" s="1"/>
  <c r="H110" i="28"/>
  <c r="H111" i="28" s="1"/>
  <c r="I112" i="27"/>
  <c r="C110" i="27"/>
  <c r="C111" i="27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/>
  <c r="M110" i="27"/>
  <c r="N110" i="27"/>
  <c r="N111" i="27" s="1"/>
  <c r="O110" i="27"/>
  <c r="O112" i="27" s="1"/>
  <c r="P110" i="27"/>
  <c r="Q110" i="27"/>
  <c r="Q111" i="26"/>
  <c r="Q111" i="25"/>
  <c r="N111" i="25"/>
  <c r="J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1" i="21"/>
  <c r="H110" i="20"/>
  <c r="H112" i="20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Q111" i="16"/>
  <c r="H110" i="15"/>
  <c r="H111" i="15" s="1"/>
  <c r="I110" i="15"/>
  <c r="I111" i="15" s="1"/>
  <c r="J110" i="15"/>
  <c r="J112" i="15" s="1"/>
  <c r="Q111" i="15"/>
  <c r="J110" i="14"/>
  <c r="J111" i="14" s="1"/>
  <c r="H110" i="14"/>
  <c r="H112" i="14" s="1"/>
  <c r="D112" i="11"/>
  <c r="C112" i="11"/>
  <c r="B111" i="11"/>
  <c r="J110" i="13"/>
  <c r="J112" i="13" s="1"/>
  <c r="H112" i="13"/>
  <c r="F111" i="12"/>
  <c r="J110" i="12"/>
  <c r="J112" i="12" s="1"/>
  <c r="H111" i="12"/>
  <c r="I112" i="12"/>
  <c r="J110" i="11"/>
  <c r="J111" i="11" s="1"/>
  <c r="I111" i="11"/>
  <c r="H111" i="11"/>
  <c r="G112" i="11"/>
  <c r="J110" i="10"/>
  <c r="J112" i="10" s="1"/>
  <c r="I110" i="10"/>
  <c r="I111" i="10" s="1"/>
  <c r="H110" i="10"/>
  <c r="H112" i="10" s="1"/>
  <c r="J110" i="9"/>
  <c r="J111" i="9" s="1"/>
  <c r="I110" i="9"/>
  <c r="I111" i="9" s="1"/>
  <c r="H110" i="9"/>
  <c r="H111" i="9" s="1"/>
  <c r="Q111" i="8"/>
  <c r="J112" i="8"/>
  <c r="J111" i="8"/>
  <c r="I111" i="8"/>
  <c r="H111" i="8"/>
  <c r="P112" i="8"/>
  <c r="O111" i="8"/>
  <c r="L112" i="8"/>
  <c r="K111" i="8"/>
  <c r="G111" i="8"/>
  <c r="F112" i="8"/>
  <c r="F111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0" i="2"/>
  <c r="G112" i="2" s="1"/>
  <c r="H110" i="2"/>
  <c r="J110" i="2"/>
  <c r="J111" i="2" s="1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O38" i="39" s="1"/>
  <c r="N108" i="41"/>
  <c r="N38" i="39" s="1"/>
  <c r="M108" i="4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/>
  <c r="N110" i="40"/>
  <c r="N111" i="40" s="1"/>
  <c r="M110" i="40"/>
  <c r="M112" i="40" s="1"/>
  <c r="L110" i="40"/>
  <c r="L112" i="40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N36" i="39" s="1"/>
  <c r="M108" i="33"/>
  <c r="M36" i="39" s="1"/>
  <c r="L108" i="33"/>
  <c r="L36" i="39" s="1"/>
  <c r="K108" i="33"/>
  <c r="J108" i="33"/>
  <c r="I108" i="33"/>
  <c r="I36" i="39" s="1"/>
  <c r="H108" i="33"/>
  <c r="H36" i="39" s="1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/>
  <c r="P110" i="32"/>
  <c r="P112" i="32" s="1"/>
  <c r="O110" i="32"/>
  <c r="O112" i="32" s="1"/>
  <c r="N110" i="32"/>
  <c r="N111" i="32" s="1"/>
  <c r="M110" i="32"/>
  <c r="M112" i="32"/>
  <c r="L110" i="32"/>
  <c r="L111" i="32" s="1"/>
  <c r="K110" i="32"/>
  <c r="K112" i="32" s="1"/>
  <c r="G110" i="32"/>
  <c r="G111" i="32" s="1"/>
  <c r="F110" i="32"/>
  <c r="F112" i="32" s="1"/>
  <c r="E110" i="32"/>
  <c r="E112" i="32" s="1"/>
  <c r="E111" i="32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/>
  <c r="H108" i="32"/>
  <c r="H35" i="39" s="1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/>
  <c r="M110" i="31"/>
  <c r="M111" i="3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2" i="30"/>
  <c r="F110" i="30"/>
  <c r="F112" i="30" s="1"/>
  <c r="E110" i="30"/>
  <c r="E111" i="30" s="1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L33" i="39" s="1"/>
  <c r="K108" i="30"/>
  <c r="K33" i="39" s="1"/>
  <c r="J108" i="30"/>
  <c r="I108" i="30"/>
  <c r="H108" i="30"/>
  <c r="H33" i="39" s="1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/>
  <c r="M110" i="29"/>
  <c r="M112" i="29" s="1"/>
  <c r="L110" i="29"/>
  <c r="L111" i="29"/>
  <c r="K110" i="29"/>
  <c r="K112" i="29" s="1"/>
  <c r="G110" i="29"/>
  <c r="G111" i="29"/>
  <c r="F110" i="29"/>
  <c r="F111" i="29" s="1"/>
  <c r="E110" i="29"/>
  <c r="E112" i="29" s="1"/>
  <c r="D110" i="29"/>
  <c r="D112" i="29" s="1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N108" i="29"/>
  <c r="M108" i="29"/>
  <c r="M32" i="39" s="1"/>
  <c r="L108" i="29"/>
  <c r="L32" i="39" s="1"/>
  <c r="K108" i="29"/>
  <c r="K32" i="39" s="1"/>
  <c r="J108" i="29"/>
  <c r="I108" i="29"/>
  <c r="H108" i="29"/>
  <c r="H32" i="39" s="1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L108" i="28"/>
  <c r="L31" i="39" s="1"/>
  <c r="K108" i="28"/>
  <c r="K31" i="39" s="1"/>
  <c r="J108" i="28"/>
  <c r="I108" i="28"/>
  <c r="H108" i="28"/>
  <c r="H31" i="39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I28" i="39" s="1"/>
  <c r="H108" i="25"/>
  <c r="G108" i="25"/>
  <c r="F108" i="25"/>
  <c r="F28" i="39" s="1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2" i="24" s="1"/>
  <c r="K110" i="24"/>
  <c r="K111" i="24" s="1"/>
  <c r="G110" i="24"/>
  <c r="G112" i="24" s="1"/>
  <c r="F110" i="24"/>
  <c r="F112" i="24"/>
  <c r="E110" i="24"/>
  <c r="E112" i="24"/>
  <c r="D110" i="24"/>
  <c r="D112" i="24"/>
  <c r="C110" i="24"/>
  <c r="C111" i="24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I108" i="24"/>
  <c r="I27" i="39" s="1"/>
  <c r="H108" i="24"/>
  <c r="H27" i="39" s="1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/>
  <c r="L108" i="23"/>
  <c r="K108" i="23"/>
  <c r="K26" i="39" s="1"/>
  <c r="J108" i="23"/>
  <c r="J26" i="39" s="1"/>
  <c r="I108" i="23"/>
  <c r="H108" i="23"/>
  <c r="H26" i="39" s="1"/>
  <c r="G108" i="23"/>
  <c r="G26" i="39" s="1"/>
  <c r="F108" i="23"/>
  <c r="F26" i="39" s="1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H25" i="39" s="1"/>
  <c r="G108" i="22"/>
  <c r="G25" i="39"/>
  <c r="F108" i="22"/>
  <c r="F25" i="39" s="1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/>
  <c r="P110" i="21"/>
  <c r="P111" i="21"/>
  <c r="O110" i="21"/>
  <c r="O111" i="21" s="1"/>
  <c r="O112" i="21"/>
  <c r="N110" i="21"/>
  <c r="N112" i="21" s="1"/>
  <c r="M110" i="21"/>
  <c r="M111" i="21" s="1"/>
  <c r="L110" i="21"/>
  <c r="L112" i="21" s="1"/>
  <c r="K110" i="21"/>
  <c r="K111" i="21" s="1"/>
  <c r="G112" i="21"/>
  <c r="F110" i="21"/>
  <c r="F112" i="21" s="1"/>
  <c r="E110" i="21"/>
  <c r="E112" i="21" s="1"/>
  <c r="D110" i="21"/>
  <c r="D112" i="21" s="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 s="1"/>
  <c r="M108" i="21"/>
  <c r="M24" i="39" s="1"/>
  <c r="L108" i="21"/>
  <c r="L24" i="39"/>
  <c r="K108" i="21"/>
  <c r="K24" i="39"/>
  <c r="J108" i="21"/>
  <c r="J24" i="39"/>
  <c r="I108" i="21"/>
  <c r="I24" i="39" s="1"/>
  <c r="H108" i="21"/>
  <c r="G108" i="2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2" i="20" s="1"/>
  <c r="N111" i="20"/>
  <c r="M110" i="20"/>
  <c r="M112" i="20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1" i="20" s="1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J108" i="20"/>
  <c r="J23" i="39"/>
  <c r="I108" i="20"/>
  <c r="I23" i="39" s="1"/>
  <c r="H108" i="20"/>
  <c r="G108" i="20"/>
  <c r="F108" i="20"/>
  <c r="F23" i="39" s="1"/>
  <c r="E108" i="20"/>
  <c r="E23" i="39" s="1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L22" i="39" s="1"/>
  <c r="K108" i="19"/>
  <c r="K22" i="39" s="1"/>
  <c r="J108" i="19"/>
  <c r="I108" i="19"/>
  <c r="I22" i="39" s="1"/>
  <c r="H108" i="19"/>
  <c r="G108" i="19"/>
  <c r="F108" i="19"/>
  <c r="F22" i="39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 s="1"/>
  <c r="P110" i="18"/>
  <c r="P111" i="18" s="1"/>
  <c r="O110" i="18"/>
  <c r="O111" i="18"/>
  <c r="N110" i="18"/>
  <c r="N112" i="18" s="1"/>
  <c r="M110" i="18"/>
  <c r="M111" i="18" s="1"/>
  <c r="L110" i="18"/>
  <c r="L112" i="18" s="1"/>
  <c r="K110" i="18"/>
  <c r="K112" i="18"/>
  <c r="J111" i="18"/>
  <c r="I112" i="18"/>
  <c r="H111" i="18"/>
  <c r="G110" i="18"/>
  <c r="G112" i="18" s="1"/>
  <c r="G111" i="18"/>
  <c r="F110" i="18"/>
  <c r="F112" i="18"/>
  <c r="E110" i="18"/>
  <c r="E112" i="18" s="1"/>
  <c r="D110" i="18"/>
  <c r="D112" i="18" s="1"/>
  <c r="C110" i="18"/>
  <c r="C111" i="18" s="1"/>
  <c r="B110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/>
  <c r="L108" i="18"/>
  <c r="L21" i="39"/>
  <c r="K108" i="18"/>
  <c r="J108" i="18"/>
  <c r="I108" i="18"/>
  <c r="I21" i="39" s="1"/>
  <c r="H108" i="18"/>
  <c r="H21" i="39" s="1"/>
  <c r="G108" i="18"/>
  <c r="F108" i="18"/>
  <c r="F21" i="39" s="1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/>
  <c r="I108" i="17"/>
  <c r="I20" i="39" s="1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 s="1"/>
  <c r="N110" i="16"/>
  <c r="N112" i="16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/>
  <c r="L108" i="16"/>
  <c r="K108" i="16"/>
  <c r="J108" i="16"/>
  <c r="J19" i="39"/>
  <c r="I108" i="16"/>
  <c r="I19" i="39" s="1"/>
  <c r="H108" i="16"/>
  <c r="H19" i="39" s="1"/>
  <c r="G108" i="16"/>
  <c r="F108" i="16"/>
  <c r="F19" i="39" s="1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 s="1"/>
  <c r="O110" i="15"/>
  <c r="O112" i="15" s="1"/>
  <c r="N110" i="15"/>
  <c r="N111" i="15" s="1"/>
  <c r="M110" i="15"/>
  <c r="M112" i="15" s="1"/>
  <c r="L110" i="15"/>
  <c r="L111" i="15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L17" i="39" s="1"/>
  <c r="K108" i="14"/>
  <c r="K17" i="39" s="1"/>
  <c r="J108" i="14"/>
  <c r="I108" i="14"/>
  <c r="I17" i="39" s="1"/>
  <c r="H108" i="14"/>
  <c r="H17" i="39" s="1"/>
  <c r="G108" i="14"/>
  <c r="G17" i="39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2" i="13" s="1"/>
  <c r="O111" i="13"/>
  <c r="N110" i="13"/>
  <c r="N112" i="13" s="1"/>
  <c r="M110" i="13"/>
  <c r="M111" i="13" s="1"/>
  <c r="L110" i="13"/>
  <c r="L112" i="13" s="1"/>
  <c r="K110" i="13"/>
  <c r="K112" i="13" s="1"/>
  <c r="G111" i="13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2" i="12" s="1"/>
  <c r="K111" i="12"/>
  <c r="G111" i="12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/>
  <c r="L108" i="12"/>
  <c r="L15" i="39" s="1"/>
  <c r="K108" i="12"/>
  <c r="K15" i="39" s="1"/>
  <c r="J108" i="12"/>
  <c r="I108" i="12"/>
  <c r="I15" i="39" s="1"/>
  <c r="H108" i="12"/>
  <c r="H15" i="39" s="1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1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K108" i="11"/>
  <c r="K14" i="39"/>
  <c r="J108" i="11"/>
  <c r="J14" i="39" s="1"/>
  <c r="I108" i="11"/>
  <c r="H108" i="11"/>
  <c r="H14" i="39" s="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/>
  <c r="H108" i="10"/>
  <c r="H13" i="39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/>
  <c r="N108" i="9"/>
  <c r="N12" i="39" s="1"/>
  <c r="M108" i="9"/>
  <c r="M12" i="39"/>
  <c r="L108" i="9"/>
  <c r="L12" i="39" s="1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E25" i="39"/>
  <c r="D25" i="39"/>
  <c r="C25" i="39"/>
  <c r="Q24" i="39"/>
  <c r="G24" i="39"/>
  <c r="E24" i="39"/>
  <c r="A24" i="39"/>
  <c r="Q23" i="39"/>
  <c r="M23" i="39"/>
  <c r="L23" i="39"/>
  <c r="K23" i="39"/>
  <c r="H23" i="39"/>
  <c r="B23" i="39"/>
  <c r="Q22" i="39"/>
  <c r="N22" i="39"/>
  <c r="M22" i="39"/>
  <c r="G22" i="39"/>
  <c r="C22" i="39"/>
  <c r="Q21" i="39"/>
  <c r="P21" i="39"/>
  <c r="K21" i="39"/>
  <c r="J21" i="39"/>
  <c r="G21" i="39"/>
  <c r="C21" i="39"/>
  <c r="B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A17" i="39"/>
  <c r="Q16" i="39"/>
  <c r="L16" i="39"/>
  <c r="I16" i="39"/>
  <c r="F16" i="39"/>
  <c r="E16" i="39"/>
  <c r="D16" i="39"/>
  <c r="C16" i="39"/>
  <c r="B16" i="39"/>
  <c r="N15" i="39"/>
  <c r="F15" i="39"/>
  <c r="C15" i="39"/>
  <c r="L14" i="39"/>
  <c r="I14" i="39"/>
  <c r="E14" i="39"/>
  <c r="D14" i="39"/>
  <c r="P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K36" i="39"/>
  <c r="E36" i="39"/>
  <c r="D36" i="39"/>
  <c r="C36" i="39"/>
  <c r="A36" i="39"/>
  <c r="P35" i="39"/>
  <c r="G35" i="39"/>
  <c r="C35" i="39"/>
  <c r="M34" i="39"/>
  <c r="K34" i="39"/>
  <c r="J34" i="39"/>
  <c r="I34" i="39"/>
  <c r="H34" i="39"/>
  <c r="F34" i="39"/>
  <c r="J33" i="39"/>
  <c r="I33" i="39"/>
  <c r="F33" i="39"/>
  <c r="B33" i="39"/>
  <c r="O32" i="39"/>
  <c r="N32" i="39"/>
  <c r="I32" i="39"/>
  <c r="G32" i="39"/>
  <c r="F32" i="39"/>
  <c r="E32" i="39"/>
  <c r="B32" i="39"/>
  <c r="Q31" i="39"/>
  <c r="M31" i="39"/>
  <c r="J31" i="39"/>
  <c r="I31" i="39"/>
  <c r="F31" i="39"/>
  <c r="M30" i="39"/>
  <c r="L30" i="39"/>
  <c r="I30" i="39"/>
  <c r="F30" i="39"/>
  <c r="C30" i="39"/>
  <c r="B30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H28" i="39"/>
  <c r="G28" i="39"/>
  <c r="B28" i="39"/>
  <c r="O27" i="39"/>
  <c r="M27" i="39"/>
  <c r="L27" i="39"/>
  <c r="G27" i="39"/>
  <c r="B27" i="39"/>
  <c r="O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O18" i="39"/>
  <c r="J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O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C111" i="29"/>
  <c r="B111" i="29"/>
  <c r="O111" i="28"/>
  <c r="M111" i="28"/>
  <c r="L111" i="28"/>
  <c r="G111" i="28"/>
  <c r="E111" i="28"/>
  <c r="D111" i="28"/>
  <c r="C111" i="28"/>
  <c r="P111" i="27"/>
  <c r="M111" i="27"/>
  <c r="E111" i="27"/>
  <c r="B111" i="27"/>
  <c r="L111" i="26"/>
  <c r="K111" i="26"/>
  <c r="P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P111" i="22"/>
  <c r="M111" i="22"/>
  <c r="E111" i="22"/>
  <c r="D111" i="22"/>
  <c r="C111" i="22"/>
  <c r="Q111" i="21"/>
  <c r="N111" i="21"/>
  <c r="L111" i="21"/>
  <c r="G111" i="21"/>
  <c r="E111" i="21"/>
  <c r="O111" i="20"/>
  <c r="Q112" i="20"/>
  <c r="M111" i="20"/>
  <c r="L111" i="20"/>
  <c r="K111" i="20"/>
  <c r="G111" i="20"/>
  <c r="F111" i="20"/>
  <c r="D111" i="20"/>
  <c r="P111" i="19"/>
  <c r="N111" i="19"/>
  <c r="L111" i="19"/>
  <c r="H111" i="19"/>
  <c r="F111" i="19"/>
  <c r="B111" i="19"/>
  <c r="N111" i="18"/>
  <c r="L111" i="18"/>
  <c r="I111" i="18"/>
  <c r="F111" i="18"/>
  <c r="E111" i="18"/>
  <c r="D111" i="18"/>
  <c r="O111" i="17"/>
  <c r="B111" i="17"/>
  <c r="O111" i="16"/>
  <c r="N111" i="16"/>
  <c r="L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K111" i="10"/>
  <c r="G111" i="10"/>
  <c r="C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30"/>
  <c r="D112" i="3"/>
  <c r="M111" i="2"/>
  <c r="K112" i="2"/>
  <c r="G111" i="2"/>
  <c r="D111" i="2"/>
  <c r="L112" i="10"/>
  <c r="M112" i="10"/>
  <c r="E111" i="10"/>
  <c r="L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P111" i="8"/>
  <c r="L111" i="8"/>
  <c r="B111" i="8"/>
  <c r="I112" i="8"/>
  <c r="G112" i="8"/>
  <c r="N111" i="8"/>
  <c r="J111" i="13"/>
  <c r="I112" i="13"/>
  <c r="F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I111" i="24"/>
  <c r="J111" i="23"/>
  <c r="Q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K111" i="27"/>
  <c r="J111" i="27"/>
  <c r="I111" i="32"/>
  <c r="B112" i="32"/>
  <c r="J112" i="32"/>
  <c r="H112" i="32"/>
  <c r="I112" i="31"/>
  <c r="Q112" i="31"/>
  <c r="G111" i="31"/>
  <c r="P111" i="31"/>
  <c r="J111" i="29"/>
  <c r="H111" i="29"/>
  <c r="O111" i="29"/>
  <c r="G112" i="29"/>
  <c r="I111" i="28"/>
  <c r="B111" i="28"/>
  <c r="J112" i="40"/>
  <c r="I112" i="40"/>
  <c r="D111" i="40"/>
  <c r="G111" i="33"/>
  <c r="J111" i="33"/>
  <c r="J111" i="41"/>
  <c r="H111" i="41"/>
  <c r="Q112" i="41"/>
  <c r="P111" i="2"/>
  <c r="B111" i="2"/>
  <c r="J112" i="3"/>
  <c r="L112" i="3"/>
  <c r="C112" i="3"/>
  <c r="K112" i="8"/>
  <c r="Q112" i="8"/>
  <c r="Q112" i="9"/>
  <c r="D112" i="9"/>
  <c r="O111" i="9"/>
  <c r="D111" i="10"/>
  <c r="O112" i="10"/>
  <c r="H111" i="10"/>
  <c r="B112" i="11"/>
  <c r="M112" i="12"/>
  <c r="D112" i="13"/>
  <c r="B112" i="13"/>
  <c r="M112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F111" i="21"/>
  <c r="I112" i="21"/>
  <c r="L112" i="22"/>
  <c r="G112" i="22"/>
  <c r="F112" i="23"/>
  <c r="G111" i="24"/>
  <c r="O112" i="26"/>
  <c r="F111" i="27"/>
  <c r="P112" i="28"/>
  <c r="F112" i="29"/>
  <c r="Q112" i="29"/>
  <c r="K111" i="30"/>
  <c r="M112" i="31"/>
  <c r="H111" i="31"/>
  <c r="K112" i="31"/>
  <c r="J112" i="31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C112" i="24"/>
  <c r="L112" i="29"/>
  <c r="C112" i="40"/>
  <c r="K111" i="3"/>
  <c r="F112" i="2"/>
  <c r="J112" i="16"/>
  <c r="I111" i="19"/>
  <c r="G111" i="27"/>
  <c r="H112" i="33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6"/>
  <c r="O112" i="18"/>
  <c r="N112" i="24"/>
  <c r="F111" i="15"/>
  <c r="E111" i="17"/>
  <c r="N112" i="40"/>
  <c r="J112" i="2"/>
  <c r="H112" i="28"/>
  <c r="E111" i="13"/>
  <c r="L111" i="27"/>
  <c r="P111" i="13"/>
  <c r="K112" i="21"/>
  <c r="F112" i="28"/>
  <c r="Q112" i="28"/>
  <c r="P112" i="30"/>
  <c r="G112" i="32"/>
  <c r="O112" i="8"/>
  <c r="J112" i="9"/>
  <c r="I111" i="12"/>
  <c r="I111" i="23"/>
  <c r="E111" i="25"/>
  <c r="M112" i="25"/>
  <c r="F112" i="26"/>
  <c r="J112" i="30"/>
  <c r="L112" i="41" l="1"/>
  <c r="H112" i="40"/>
  <c r="M111" i="33"/>
  <c r="H111" i="30"/>
  <c r="E112" i="30"/>
  <c r="I111" i="30"/>
  <c r="I111" i="29"/>
  <c r="D111" i="29"/>
  <c r="N111" i="28"/>
  <c r="O111" i="27"/>
  <c r="N112" i="27"/>
  <c r="N111" i="26"/>
  <c r="M111" i="26"/>
  <c r="J112" i="24"/>
  <c r="O111" i="24"/>
  <c r="O111" i="23"/>
  <c r="B111" i="23"/>
  <c r="F112" i="22"/>
  <c r="K111" i="22"/>
  <c r="C111" i="21"/>
  <c r="I112" i="20"/>
  <c r="G111" i="19"/>
  <c r="Q111" i="18"/>
  <c r="P112" i="17"/>
  <c r="C112" i="17"/>
  <c r="I112" i="15"/>
  <c r="L111" i="14"/>
  <c r="H111" i="13"/>
  <c r="H112" i="12"/>
  <c r="G112" i="12"/>
  <c r="H112" i="11"/>
  <c r="B111" i="10"/>
  <c r="F112" i="9"/>
  <c r="G111" i="9"/>
  <c r="H112" i="8"/>
  <c r="J42" i="39"/>
  <c r="K44" i="39"/>
  <c r="K47" i="39"/>
  <c r="J43" i="39"/>
  <c r="K43" i="39"/>
  <c r="K42" i="39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6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<sst xmlns="http://schemas.openxmlformats.org/spreadsheetml/2006/main" count="5926" uniqueCount="3222">
  <si>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</si>
  <si>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</si>
  <si>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</si>
  <si>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</si>
  <si>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</si>
  <si>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</si>
  <si>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</si>
  <si>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</si>
  <si>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</si>
  <si>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</si>
  <si>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</si>
  <si>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</si>
  <si>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</si>
  <si>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</si>
  <si>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</si>
  <si>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</si>
  <si>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</si>
  <si>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</si>
  <si>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</si>
  <si>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</si>
  <si>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</si>
  <si>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</si>
  <si>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</si>
  <si>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</si>
  <si>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</si>
  <si>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</si>
  <si>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</si>
  <si>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</si>
  <si>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</si>
  <si>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</si>
  <si>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</si>
  <si>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</si>
  <si>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</si>
  <si>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</si>
  <si>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</si>
  <si>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</si>
  <si>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</si>
  <si>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</si>
  <si>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</si>
  <si>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</si>
  <si>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</si>
  <si>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</si>
  <si>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</si>
  <si>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</si>
  <si>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</si>
  <si>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</si>
  <si>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</si>
  <si>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</si>
  <si>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</si>
  <si>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</si>
  <si>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</si>
  <si>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</si>
  <si>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</si>
  <si>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</si>
  <si>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</si>
  <si>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</si>
  <si>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</si>
  <si>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</si>
  <si>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</si>
  <si>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</si>
  <si>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</si>
  <si>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</si>
  <si>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</si>
  <si>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</si>
  <si>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</si>
  <si>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</si>
  <si>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</si>
  <si>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</si>
  <si>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</si>
  <si>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</si>
  <si>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</si>
  <si>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</si>
  <si>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</si>
  <si>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</si>
  <si>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</si>
  <si>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</si>
  <si>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</si>
  <si>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</si>
  <si>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</si>
  <si>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</si>
  <si>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</si>
  <si>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</si>
  <si>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</si>
  <si>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</si>
  <si>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</si>
  <si>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</si>
  <si>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</si>
  <si>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</si>
  <si>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</si>
  <si>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</si>
  <si>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</si>
  <si>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</si>
  <si>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</si>
  <si>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</si>
  <si>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</si>
  <si>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</si>
  <si>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</si>
  <si>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</si>
  <si>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</si>
  <si>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</si>
  <si>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</si>
  <si>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</si>
  <si>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</si>
  <si>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</si>
  <si>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</si>
  <si>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</si>
  <si>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</si>
  <si>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</si>
  <si>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</si>
  <si>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</si>
  <si>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</si>
  <si>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</si>
  <si>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</si>
  <si>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</si>
  <si>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</si>
  <si>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</si>
  <si>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</si>
  <si>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</si>
  <si>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</si>
  <si>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</si>
  <si>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</si>
  <si>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</si>
  <si>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</si>
  <si>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</si>
  <si>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</si>
  <si>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</si>
  <si>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</si>
  <si>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</si>
  <si>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</si>
  <si>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</si>
  <si>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</si>
  <si>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</si>
  <si>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</si>
  <si>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</si>
  <si>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</si>
  <si>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</si>
  <si>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</si>
  <si>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</si>
  <si>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</si>
  <si>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</si>
  <si>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</si>
  <si>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</si>
  <si>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</si>
  <si>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</si>
  <si>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</si>
  <si>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</si>
  <si>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</si>
  <si>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</si>
  <si>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</si>
  <si>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</si>
  <si>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</si>
  <si>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</si>
  <si>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</si>
  <si>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</si>
  <si>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</si>
  <si>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</si>
  <si>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</si>
  <si>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</si>
  <si>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</si>
  <si>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</si>
  <si>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</si>
  <si>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</si>
  <si>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</si>
  <si>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</si>
  <si>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</si>
  <si>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</si>
  <si>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</si>
  <si>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</si>
  <si>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</si>
  <si>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</si>
  <si>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</si>
  <si>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</si>
  <si>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</si>
  <si>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</si>
  <si>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</si>
  <si>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</si>
  <si>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</si>
  <si>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</si>
  <si>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</si>
  <si>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</si>
  <si>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</si>
  <si>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</si>
  <si>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</si>
  <si>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</si>
  <si>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</si>
  <si>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</si>
  <si>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</si>
  <si>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</si>
  <si>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</si>
  <si>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</si>
  <si>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</si>
  <si>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</si>
  <si>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</si>
  <si>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</si>
  <si>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</si>
  <si>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</si>
  <si>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</si>
  <si>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</si>
  <si>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</si>
  <si>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</si>
  <si>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</si>
  <si>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</si>
  <si>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</si>
  <si>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</si>
  <si>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</si>
  <si>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</si>
  <si>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</si>
  <si>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</si>
  <si>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</si>
  <si>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</si>
  <si>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</si>
  <si>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</si>
  <si>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</si>
  <si>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</si>
  <si>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</si>
  <si>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</si>
  <si>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</si>
  <si>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</si>
  <si>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</si>
  <si>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</si>
  <si>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</si>
  <si>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</si>
  <si>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</si>
  <si>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</si>
  <si>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</si>
  <si>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</si>
  <si>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</si>
  <si>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</si>
  <si>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</si>
  <si>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</si>
  <si>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</si>
  <si>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</si>
  <si>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</si>
  <si>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</si>
  <si>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</si>
  <si>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</si>
  <si>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</si>
  <si>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</si>
  <si>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</si>
  <si>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</si>
  <si>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</si>
  <si>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</si>
  <si>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</si>
  <si>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</si>
  <si>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01/07/2025 00:15</t>
  </si>
  <si>
    <t>01/07/2025 00:30</t>
  </si>
  <si>
    <t>01/07/2025 00:45</t>
  </si>
  <si>
    <t>01/07/2025 01:00</t>
  </si>
  <si>
    <t>01/07/2025 01:15</t>
  </si>
  <si>
    <t>01/07/2025 01:30</t>
  </si>
  <si>
    <t>01/07/2025 01:45</t>
  </si>
  <si>
    <t>01/07/2025 02:00</t>
  </si>
  <si>
    <t>01/07/2025 02:15</t>
  </si>
  <si>
    <t>01/07/2025 02:30</t>
  </si>
  <si>
    <t>01/07/2025 02:45</t>
  </si>
  <si>
    <t>01/07/2025 03:00</t>
  </si>
  <si>
    <t>01/07/2025 03:15</t>
  </si>
  <si>
    <t>01/07/2025 03:30</t>
  </si>
  <si>
    <t>01/07/2025 03:45</t>
  </si>
  <si>
    <t>01/07/2025 04:00</t>
  </si>
  <si>
    <t>01/07/2025 04:15</t>
  </si>
  <si>
    <t>01/07/2025 04:30</t>
  </si>
  <si>
    <t>01/07/2025 04:45</t>
  </si>
  <si>
    <t>01/07/2025 05:00</t>
  </si>
  <si>
    <t>01/07/2025 05:15</t>
  </si>
  <si>
    <t>01/07/2025 05:30</t>
  </si>
  <si>
    <t>01/07/2025 05:45</t>
  </si>
  <si>
    <t>01/07/2025 06:00</t>
  </si>
  <si>
    <t>01/07/2025 06:15</t>
  </si>
  <si>
    <t>01/07/2025 06:30</t>
  </si>
  <si>
    <t>01/07/2025 06:45</t>
  </si>
  <si>
    <t>01/07/2025 07:00</t>
  </si>
  <si>
    <t>01/07/2025 07:15</t>
  </si>
  <si>
    <t>01/07/2025 07:30</t>
  </si>
  <si>
    <t>01/07/2025 07:45</t>
  </si>
  <si>
    <t>01/07/2025 08:00</t>
  </si>
  <si>
    <t>01/07/2025 08:15</t>
  </si>
  <si>
    <t>01/07/2025 08:30</t>
  </si>
  <si>
    <t>01/07/2025 08:45</t>
  </si>
  <si>
    <t>01/07/2025 09:00</t>
  </si>
  <si>
    <t>01/07/2025 09:15</t>
  </si>
  <si>
    <t>01/07/2025 09:30</t>
  </si>
  <si>
    <t>01/07/2025 09:45</t>
  </si>
  <si>
    <t>01/07/2025 10:00</t>
  </si>
  <si>
    <t>01/07/2025 10:15</t>
  </si>
  <si>
    <t>01/07/2025 10:30</t>
  </si>
  <si>
    <t>01/07/2025 10:45</t>
  </si>
  <si>
    <t>01/07/2025 11:00</t>
  </si>
  <si>
    <t>01/07/2025 11:15</t>
  </si>
  <si>
    <t>01/07/2025 11:30</t>
  </si>
  <si>
    <t>01/07/2025 11:45</t>
  </si>
  <si>
    <t>01/07/2025 12:00</t>
  </si>
  <si>
    <t>01/07/2025 12:15</t>
  </si>
  <si>
    <t>01/07/2025 12:30</t>
  </si>
  <si>
    <t>01/07/2025 12:45</t>
  </si>
  <si>
    <t>01/07/2025 13:00</t>
  </si>
  <si>
    <t>01/07/2025 13:15</t>
  </si>
  <si>
    <t>01/07/2025 13:30</t>
  </si>
  <si>
    <t>01/07/2025 13:45</t>
  </si>
  <si>
    <t>01/07/2025 14:00</t>
  </si>
  <si>
    <t>01/07/2025 14:15</t>
  </si>
  <si>
    <t>01/07/2025 14:30</t>
  </si>
  <si>
    <t>01/07/2025 14:45</t>
  </si>
  <si>
    <t>01/07/2025 15:00</t>
  </si>
  <si>
    <t>01/07/2025 15:15</t>
  </si>
  <si>
    <t>01/07/2025 15:30</t>
  </si>
  <si>
    <t>01/07/2025 15:45</t>
  </si>
  <si>
    <t>01/07/2025 16:00</t>
  </si>
  <si>
    <t>01/07/2025 16:15</t>
  </si>
  <si>
    <t>01/07/2025 16:30</t>
  </si>
  <si>
    <t>01/07/2025 16:45</t>
  </si>
  <si>
    <t>01/07/2025 17:00</t>
  </si>
  <si>
    <t>01/07/2025 17:15</t>
  </si>
  <si>
    <t>01/07/2025 17:30</t>
  </si>
  <si>
    <t>01/07/2025 17:45</t>
  </si>
  <si>
    <t>01/07/2025 18:00</t>
  </si>
  <si>
    <t>01/07/2025 18:15</t>
  </si>
  <si>
    <t>01/07/2025 18:30</t>
  </si>
  <si>
    <t>01/07/2025 18:45</t>
  </si>
  <si>
    <t>01/07/2025 19:00</t>
  </si>
  <si>
    <t>01/07/2025 19:15</t>
  </si>
  <si>
    <t>01/07/2025 19:30</t>
  </si>
  <si>
    <t>01/07/2025 19:45</t>
  </si>
  <si>
    <t>01/07/2025 20:00</t>
  </si>
  <si>
    <t>01/07/2025 20:15</t>
  </si>
  <si>
    <t>01/07/2025 20:30</t>
  </si>
  <si>
    <t>01/07/2025 20:45</t>
  </si>
  <si>
    <t>01/07/2025 21:00</t>
  </si>
  <si>
    <t>01/07/2025 21:15</t>
  </si>
  <si>
    <t>01/07/2025 21:30</t>
  </si>
  <si>
    <t>01/07/2025 21:45</t>
  </si>
  <si>
    <t>01/07/2025 22:00</t>
  </si>
  <si>
    <t>01/07/2025 22:15</t>
  </si>
  <si>
    <t>01/07/2025 22:30</t>
  </si>
  <si>
    <t>01/07/2025 22:45</t>
  </si>
  <si>
    <t>01/07/2025 23:00</t>
  </si>
  <si>
    <t>01/07/2025 23:15</t>
  </si>
  <si>
    <t>01/07/2025 23:30</t>
  </si>
  <si>
    <t>01/07/2025 23:45</t>
  </si>
  <si>
    <t>01/07/2025 24:00</t>
  </si>
  <si>
    <t>02/07/2025 00:15</t>
  </si>
  <si>
    <t>02/07/2025 00:30</t>
  </si>
  <si>
    <t>02/07/2025 00:45</t>
  </si>
  <si>
    <t>02/07/2025 01:00</t>
  </si>
  <si>
    <t>02/07/2025 01:15</t>
  </si>
  <si>
    <t>02/07/2025 01:30</t>
  </si>
  <si>
    <t>02/07/2025 01:45</t>
  </si>
  <si>
    <t>02/07/2025 02:00</t>
  </si>
  <si>
    <t>02/07/2025 02:15</t>
  </si>
  <si>
    <t>02/07/2025 02:30</t>
  </si>
  <si>
    <t>02/07/2025 02:45</t>
  </si>
  <si>
    <t>02/07/2025 03:00</t>
  </si>
  <si>
    <t>02/07/2025 03:15</t>
  </si>
  <si>
    <t>02/07/2025 03:30</t>
  </si>
  <si>
    <t>02/07/2025 03:45</t>
  </si>
  <si>
    <t>02/07/2025 04:00</t>
  </si>
  <si>
    <t>02/07/2025 04:15</t>
  </si>
  <si>
    <t>02/07/2025 04:30</t>
  </si>
  <si>
    <t>02/07/2025 04:45</t>
  </si>
  <si>
    <t>02/07/2025 05:00</t>
  </si>
  <si>
    <t>02/07/2025 05:15</t>
  </si>
  <si>
    <t>02/07/2025 05:30</t>
  </si>
  <si>
    <t>02/07/2025 05:45</t>
  </si>
  <si>
    <t>02/07/2025 06:00</t>
  </si>
  <si>
    <t>02/07/2025 06:15</t>
  </si>
  <si>
    <t>02/07/2025 06:30</t>
  </si>
  <si>
    <t>02/07/2025 06:45</t>
  </si>
  <si>
    <t>02/07/2025 07:00</t>
  </si>
  <si>
    <t>02/07/2025 07:15</t>
  </si>
  <si>
    <t>02/07/2025 07:30</t>
  </si>
  <si>
    <t>02/07/2025 07:45</t>
  </si>
  <si>
    <t>02/07/2025 08:00</t>
  </si>
  <si>
    <t>02/07/2025 08:15</t>
  </si>
  <si>
    <t>02/07/2025 08:30</t>
  </si>
  <si>
    <t>02/07/2025 08:45</t>
  </si>
  <si>
    <t>02/07/2025 09:00</t>
  </si>
  <si>
    <t>02/07/2025 09:15</t>
  </si>
  <si>
    <t>02/07/2025 09:30</t>
  </si>
  <si>
    <t>02/07/2025 09:45</t>
  </si>
  <si>
    <t>02/07/2025 10:00</t>
  </si>
  <si>
    <t>02/07/2025 10:15</t>
  </si>
  <si>
    <t>02/07/2025 10:30</t>
  </si>
  <si>
    <t>02/07/2025 10:45</t>
  </si>
  <si>
    <t>02/07/2025 11:00</t>
  </si>
  <si>
    <t>02/07/2025 11:15</t>
  </si>
  <si>
    <t>02/07/2025 11:30</t>
  </si>
  <si>
    <t>02/07/2025 11:45</t>
  </si>
  <si>
    <t>02/07/2025 12:00</t>
  </si>
  <si>
    <t>02/07/2025 12:15</t>
  </si>
  <si>
    <t>02/07/2025 12:30</t>
  </si>
  <si>
    <t>02/07/2025 12:45</t>
  </si>
  <si>
    <t>02/07/2025 13:00</t>
  </si>
  <si>
    <t>02/07/2025 13:15</t>
  </si>
  <si>
    <t>02/07/2025 13:30</t>
  </si>
  <si>
    <t>02/07/2025 13:45</t>
  </si>
  <si>
    <t>02/07/2025 14:00</t>
  </si>
  <si>
    <t>02/07/2025 14:15</t>
  </si>
  <si>
    <t>02/07/2025 14:30</t>
  </si>
  <si>
    <t>02/07/2025 14:45</t>
  </si>
  <si>
    <t>02/07/2025 15:00</t>
  </si>
  <si>
    <t>02/07/2025 15:15</t>
  </si>
  <si>
    <t>02/07/2025 15:30</t>
  </si>
  <si>
    <t>02/07/2025 15:45</t>
  </si>
  <si>
    <t>02/07/2025 16:00</t>
  </si>
  <si>
    <t>02/07/2025 16:15</t>
  </si>
  <si>
    <t>02/07/2025 16:30</t>
  </si>
  <si>
    <t>02/07/2025 16:45</t>
  </si>
  <si>
    <t>02/07/2025 17:00</t>
  </si>
  <si>
    <t>02/07/2025 17:15</t>
  </si>
  <si>
    <t>02/07/2025 17:30</t>
  </si>
  <si>
    <t>02/07/2025 17:45</t>
  </si>
  <si>
    <t>02/07/2025 18:00</t>
  </si>
  <si>
    <t>02/07/2025 18:15</t>
  </si>
  <si>
    <t>02/07/2025 18:30</t>
  </si>
  <si>
    <t>02/07/2025 18:45</t>
  </si>
  <si>
    <t>02/07/2025 19:00</t>
  </si>
  <si>
    <t>02/07/2025 19:15</t>
  </si>
  <si>
    <t>02/07/2025 19:30</t>
  </si>
  <si>
    <t>02/07/2025 19:45</t>
  </si>
  <si>
    <t>02/07/2025 20:00</t>
  </si>
  <si>
    <t>02/07/2025 20:15</t>
  </si>
  <si>
    <t>02/07/2025 20:30</t>
  </si>
  <si>
    <t>02/07/2025 20:45</t>
  </si>
  <si>
    <t>02/07/2025 21:00</t>
  </si>
  <si>
    <t>02/07/2025 21:15</t>
  </si>
  <si>
    <t>02/07/2025 21:30</t>
  </si>
  <si>
    <t>02/07/2025 21:45</t>
  </si>
  <si>
    <t>02/07/2025 22:00</t>
  </si>
  <si>
    <t>02/07/2025 22:15</t>
  </si>
  <si>
    <t>02/07/2025 22:30</t>
  </si>
  <si>
    <t>02/07/2025 22:45</t>
  </si>
  <si>
    <t>02/07/2025 23:00</t>
  </si>
  <si>
    <t>02/07/2025 23:15</t>
  </si>
  <si>
    <t>02/07/2025 23:30</t>
  </si>
  <si>
    <t>02/07/2025 23:45</t>
  </si>
  <si>
    <t>02/07/2025 24:00</t>
  </si>
  <si>
    <t>03/07/2025 00:15</t>
  </si>
  <si>
    <t>03/07/2025 00:30</t>
  </si>
  <si>
    <t>03/07/2025 00:45</t>
  </si>
  <si>
    <t>03/07/2025 01:00</t>
  </si>
  <si>
    <t>03/07/2025 01:15</t>
  </si>
  <si>
    <t>03/07/2025 01:30</t>
  </si>
  <si>
    <t>03/07/2025 01:45</t>
  </si>
  <si>
    <t>03/07/2025 02:00</t>
  </si>
  <si>
    <t>03/07/2025 02:15</t>
  </si>
  <si>
    <t>03/07/2025 02:30</t>
  </si>
  <si>
    <t>03/07/2025 02:45</t>
  </si>
  <si>
    <t>03/07/2025 03:00</t>
  </si>
  <si>
    <t>03/07/2025 03:15</t>
  </si>
  <si>
    <t>03/07/2025 03:30</t>
  </si>
  <si>
    <t>03/07/2025 03:45</t>
  </si>
  <si>
    <t>03/07/2025 04:00</t>
  </si>
  <si>
    <t>03/07/2025 04:15</t>
  </si>
  <si>
    <t>03/07/2025 04:30</t>
  </si>
  <si>
    <t>03/07/2025 04:45</t>
  </si>
  <si>
    <t>03/07/2025 05:00</t>
  </si>
  <si>
    <t>03/07/2025 05:15</t>
  </si>
  <si>
    <t>03/07/2025 05:30</t>
  </si>
  <si>
    <t>03/07/2025 05:45</t>
  </si>
  <si>
    <t>03/07/2025 06:00</t>
  </si>
  <si>
    <t>03/07/2025 06:15</t>
  </si>
  <si>
    <t>03/07/2025 06:30</t>
  </si>
  <si>
    <t>03/07/2025 06:45</t>
  </si>
  <si>
    <t>03/07/2025 07:00</t>
  </si>
  <si>
    <t>03/07/2025 07:15</t>
  </si>
  <si>
    <t>03/07/2025 07:30</t>
  </si>
  <si>
    <t>03/07/2025 07:45</t>
  </si>
  <si>
    <t>03/07/2025 08:00</t>
  </si>
  <si>
    <t>03/07/2025 08:15</t>
  </si>
  <si>
    <t>03/07/2025 08:30</t>
  </si>
  <si>
    <t>03/07/2025 08:45</t>
  </si>
  <si>
    <t>03/07/2025 09:00</t>
  </si>
  <si>
    <t>03/07/2025 09:15</t>
  </si>
  <si>
    <t>03/07/2025 09:30</t>
  </si>
  <si>
    <t>03/07/2025 09:45</t>
  </si>
  <si>
    <t>03/07/2025 10:00</t>
  </si>
  <si>
    <t>03/07/2025 10:15</t>
  </si>
  <si>
    <t>03/07/2025 10:30</t>
  </si>
  <si>
    <t>03/07/2025 10:45</t>
  </si>
  <si>
    <t>03/07/2025 11:00</t>
  </si>
  <si>
    <t>03/07/2025 11:15</t>
  </si>
  <si>
    <t>03/07/2025 11:30</t>
  </si>
  <si>
    <t>03/07/2025 11:45</t>
  </si>
  <si>
    <t>03/07/2025 12:00</t>
  </si>
  <si>
    <t>03/07/2025 12:15</t>
  </si>
  <si>
    <t>03/07/2025 12:30</t>
  </si>
  <si>
    <t>03/07/2025 12:45</t>
  </si>
  <si>
    <t>03/07/2025 13:00</t>
  </si>
  <si>
    <t>03/07/2025 13:15</t>
  </si>
  <si>
    <t>03/07/2025 13:30</t>
  </si>
  <si>
    <t>03/07/2025 13:45</t>
  </si>
  <si>
    <t>03/07/2025 14:00</t>
  </si>
  <si>
    <t>03/07/2025 14:15</t>
  </si>
  <si>
    <t>03/07/2025 14:30</t>
  </si>
  <si>
    <t>03/07/2025 14:45</t>
  </si>
  <si>
    <t>03/07/2025 15:00</t>
  </si>
  <si>
    <t>03/07/2025 15:15</t>
  </si>
  <si>
    <t>03/07/2025 15:30</t>
  </si>
  <si>
    <t>03/07/2025 15:45</t>
  </si>
  <si>
    <t>03/07/2025 16:00</t>
  </si>
  <si>
    <t>03/07/2025 16:15</t>
  </si>
  <si>
    <t>03/07/2025 16:30</t>
  </si>
  <si>
    <t>03/07/2025 16:45</t>
  </si>
  <si>
    <t>03/07/2025 17:00</t>
  </si>
  <si>
    <t>03/07/2025 17:15</t>
  </si>
  <si>
    <t>03/07/2025 17:30</t>
  </si>
  <si>
    <t>03/07/2025 17:45</t>
  </si>
  <si>
    <t>03/07/2025 18:00</t>
  </si>
  <si>
    <t>03/07/2025 18:15</t>
  </si>
  <si>
    <t>03/07/2025 18:30</t>
  </si>
  <si>
    <t>03/07/2025 18:45</t>
  </si>
  <si>
    <t>03/07/2025 19:00</t>
  </si>
  <si>
    <t>03/07/2025 19:15</t>
  </si>
  <si>
    <t>03/07/2025 19:30</t>
  </si>
  <si>
    <t>03/07/2025 19:45</t>
  </si>
  <si>
    <t>03/07/2025 20:00</t>
  </si>
  <si>
    <t>03/07/2025 20:15</t>
  </si>
  <si>
    <t>03/07/2025 20:30</t>
  </si>
  <si>
    <t>03/07/2025 20:45</t>
  </si>
  <si>
    <t>03/07/2025 21:00</t>
  </si>
  <si>
    <t>03/07/2025 21:15</t>
  </si>
  <si>
    <t>03/07/2025 21:30</t>
  </si>
  <si>
    <t>03/07/2025 21:45</t>
  </si>
  <si>
    <t>03/07/2025 22:00</t>
  </si>
  <si>
    <t>03/07/2025 22:15</t>
  </si>
  <si>
    <t>03/07/2025 22:30</t>
  </si>
  <si>
    <t>03/07/2025 22:45</t>
  </si>
  <si>
    <t>03/07/2025 23:00</t>
  </si>
  <si>
    <t>03/07/2025 23:15</t>
  </si>
  <si>
    <t>03/07/2025 23:30</t>
  </si>
  <si>
    <t>03/07/2025 23:45</t>
  </si>
  <si>
    <t>03/07/2025 24:00</t>
  </si>
  <si>
    <t>04/07/2025 00:15</t>
  </si>
  <si>
    <t>04/07/2025 00:30</t>
  </si>
  <si>
    <t>04/07/2025 00:45</t>
  </si>
  <si>
    <t>04/07/2025 01:00</t>
  </si>
  <si>
    <t>04/07/2025 01:15</t>
  </si>
  <si>
    <t>04/07/2025 01:30</t>
  </si>
  <si>
    <t>04/07/2025 01:45</t>
  </si>
  <si>
    <t>04/07/2025 02:00</t>
  </si>
  <si>
    <t>04/07/2025 02:15</t>
  </si>
  <si>
    <t>04/07/2025 02:30</t>
  </si>
  <si>
    <t>04/07/2025 02:45</t>
  </si>
  <si>
    <t>04/07/2025 03:00</t>
  </si>
  <si>
    <t>04/07/2025 03:15</t>
  </si>
  <si>
    <t>04/07/2025 03:30</t>
  </si>
  <si>
    <t>04/07/2025 03:45</t>
  </si>
  <si>
    <t>04/07/2025 04:00</t>
  </si>
  <si>
    <t>04/07/2025 04:15</t>
  </si>
  <si>
    <t>04/07/2025 04:30</t>
  </si>
  <si>
    <t>04/07/2025 04:45</t>
  </si>
  <si>
    <t>04/07/2025 05:00</t>
  </si>
  <si>
    <t>04/07/2025 05:15</t>
  </si>
  <si>
    <t>04/07/2025 05:30</t>
  </si>
  <si>
    <t>04/07/2025 05:45</t>
  </si>
  <si>
    <t>04/07/2025 06:00</t>
  </si>
  <si>
    <t>04/07/2025 06:15</t>
  </si>
  <si>
    <t>04/07/2025 06:30</t>
  </si>
  <si>
    <t>04/07/2025 06:45</t>
  </si>
  <si>
    <t>04/07/2025 07:00</t>
  </si>
  <si>
    <t>04/07/2025 07:15</t>
  </si>
  <si>
    <t>04/07/2025 07:30</t>
  </si>
  <si>
    <t>04/07/2025 07:45</t>
  </si>
  <si>
    <t>04/07/2025 08:00</t>
  </si>
  <si>
    <t>04/07/2025 08:15</t>
  </si>
  <si>
    <t>04/07/2025 08:30</t>
  </si>
  <si>
    <t>04/07/2025 08:45</t>
  </si>
  <si>
    <t>04/07/2025 09:00</t>
  </si>
  <si>
    <t>04/07/2025 09:15</t>
  </si>
  <si>
    <t>04/07/2025 09:30</t>
  </si>
  <si>
    <t>04/07/2025 09:45</t>
  </si>
  <si>
    <t>04/07/2025 10:00</t>
  </si>
  <si>
    <t>04/07/2025 10:15</t>
  </si>
  <si>
    <t>04/07/2025 10:30</t>
  </si>
  <si>
    <t>04/07/2025 10:45</t>
  </si>
  <si>
    <t>04/07/2025 11:00</t>
  </si>
  <si>
    <t>04/07/2025 11:15</t>
  </si>
  <si>
    <t>04/07/2025 11:30</t>
  </si>
  <si>
    <t>04/07/2025 11:45</t>
  </si>
  <si>
    <t>04/07/2025 12:00</t>
  </si>
  <si>
    <t>04/07/2025 12:15</t>
  </si>
  <si>
    <t>04/07/2025 12:30</t>
  </si>
  <si>
    <t>04/07/2025 12:45</t>
  </si>
  <si>
    <t>04/07/2025 13:00</t>
  </si>
  <si>
    <t>04/07/2025 13:15</t>
  </si>
  <si>
    <t>04/07/2025 13:30</t>
  </si>
  <si>
    <t>04/07/2025 13:45</t>
  </si>
  <si>
    <t>04/07/2025 14:00</t>
  </si>
  <si>
    <t>04/07/2025 14:15</t>
  </si>
  <si>
    <t>04/07/2025 14:30</t>
  </si>
  <si>
    <t>04/07/2025 14:45</t>
  </si>
  <si>
    <t>04/07/2025 15:00</t>
  </si>
  <si>
    <t>04/07/2025 15:15</t>
  </si>
  <si>
    <t>04/07/2025 15:30</t>
  </si>
  <si>
    <t>04/07/2025 15:45</t>
  </si>
  <si>
    <t>04/07/2025 16:00</t>
  </si>
  <si>
    <t>04/07/2025 16:15</t>
  </si>
  <si>
    <t>04/07/2025 16:30</t>
  </si>
  <si>
    <t>04/07/2025 16:45</t>
  </si>
  <si>
    <t>04/07/2025 17:00</t>
  </si>
  <si>
    <t>04/07/2025 17:15</t>
  </si>
  <si>
    <t>04/07/2025 17:30</t>
  </si>
  <si>
    <t>04/07/2025 17:45</t>
  </si>
  <si>
    <t>04/07/2025 18:00</t>
  </si>
  <si>
    <t>04/07/2025 18:15</t>
  </si>
  <si>
    <t>04/07/2025 18:30</t>
  </si>
  <si>
    <t>04/07/2025 18:45</t>
  </si>
  <si>
    <t>04/07/2025 19:00</t>
  </si>
  <si>
    <t>04/07/2025 19:15</t>
  </si>
  <si>
    <t>04/07/2025 19:30</t>
  </si>
  <si>
    <t>04/07/2025 19:45</t>
  </si>
  <si>
    <t>04/07/2025 20:00</t>
  </si>
  <si>
    <t>04/07/2025 20:15</t>
  </si>
  <si>
    <t>04/07/2025 20:30</t>
  </si>
  <si>
    <t>04/07/2025 20:45</t>
  </si>
  <si>
    <t>04/07/2025 21:00</t>
  </si>
  <si>
    <t>04/07/2025 21:15</t>
  </si>
  <si>
    <t>04/07/2025 21:30</t>
  </si>
  <si>
    <t>04/07/2025 21:45</t>
  </si>
  <si>
    <t>04/07/2025 22:00</t>
  </si>
  <si>
    <t>04/07/2025 22:15</t>
  </si>
  <si>
    <t>04/07/2025 22:30</t>
  </si>
  <si>
    <t>04/07/2025 22:45</t>
  </si>
  <si>
    <t>04/07/2025 23:00</t>
  </si>
  <si>
    <t>04/07/2025 23:15</t>
  </si>
  <si>
    <t>04/07/2025 23:30</t>
  </si>
  <si>
    <t>04/07/2025 23:45</t>
  </si>
  <si>
    <t>04/07/2025 24:00</t>
  </si>
  <si>
    <t>05/07/2025 00:15</t>
  </si>
  <si>
    <t>05/07/2025 00:30</t>
  </si>
  <si>
    <t>05/07/2025 00:45</t>
  </si>
  <si>
    <t>05/07/2025 01:00</t>
  </si>
  <si>
    <t>05/07/2025 01:15</t>
  </si>
  <si>
    <t>05/07/2025 01:30</t>
  </si>
  <si>
    <t>05/07/2025 01:45</t>
  </si>
  <si>
    <t>05/07/2025 02:00</t>
  </si>
  <si>
    <t>05/07/2025 02:15</t>
  </si>
  <si>
    <t>05/07/2025 02:30</t>
  </si>
  <si>
    <t>05/07/2025 02:45</t>
  </si>
  <si>
    <t>05/07/2025 03:00</t>
  </si>
  <si>
    <t>05/07/2025 03:15</t>
  </si>
  <si>
    <t>05/07/2025 03:30</t>
  </si>
  <si>
    <t>05/07/2025 03:45</t>
  </si>
  <si>
    <t>05/07/2025 04:00</t>
  </si>
  <si>
    <t>05/07/2025 04:15</t>
  </si>
  <si>
    <t>05/07/2025 04:30</t>
  </si>
  <si>
    <t>05/07/2025 04:45</t>
  </si>
  <si>
    <t>05/07/2025 05:00</t>
  </si>
  <si>
    <t>05/07/2025 05:15</t>
  </si>
  <si>
    <t>05/07/2025 05:30</t>
  </si>
  <si>
    <t>05/07/2025 05:45</t>
  </si>
  <si>
    <t>05/07/2025 06:00</t>
  </si>
  <si>
    <t>05/07/2025 06:15</t>
  </si>
  <si>
    <t>05/07/2025 06:30</t>
  </si>
  <si>
    <t>05/07/2025 06:45</t>
  </si>
  <si>
    <t>05/07/2025 07:00</t>
  </si>
  <si>
    <t>05/07/2025 07:15</t>
  </si>
  <si>
    <t>05/07/2025 07:30</t>
  </si>
  <si>
    <t>05/07/2025 07:45</t>
  </si>
  <si>
    <t>05/07/2025 08:00</t>
  </si>
  <si>
    <t>05/07/2025 08:15</t>
  </si>
  <si>
    <t>05/07/2025 08:30</t>
  </si>
  <si>
    <t>05/07/2025 08:45</t>
  </si>
  <si>
    <t>05/07/2025 09:00</t>
  </si>
  <si>
    <t>05/07/2025 09:15</t>
  </si>
  <si>
    <t>05/07/2025 09:30</t>
  </si>
  <si>
    <t>05/07/2025 09:45</t>
  </si>
  <si>
    <t>05/07/2025 10:00</t>
  </si>
  <si>
    <t>05/07/2025 10:15</t>
  </si>
  <si>
    <t>05/07/2025 10:30</t>
  </si>
  <si>
    <t>05/07/2025 10:45</t>
  </si>
  <si>
    <t>05/07/2025 11:00</t>
  </si>
  <si>
    <t>05/07/2025 11:15</t>
  </si>
  <si>
    <t>05/07/2025 11:30</t>
  </si>
  <si>
    <t>05/07/2025 11:45</t>
  </si>
  <si>
    <t>05/07/2025 12:00</t>
  </si>
  <si>
    <t>05/07/2025 12:15</t>
  </si>
  <si>
    <t>05/07/2025 12:30</t>
  </si>
  <si>
    <t>05/07/2025 12:45</t>
  </si>
  <si>
    <t>05/07/2025 13:00</t>
  </si>
  <si>
    <t>05/07/2025 13:15</t>
  </si>
  <si>
    <t>05/07/2025 13:30</t>
  </si>
  <si>
    <t>05/07/2025 13:45</t>
  </si>
  <si>
    <t>05/07/2025 14:00</t>
  </si>
  <si>
    <t>05/07/2025 14:15</t>
  </si>
  <si>
    <t>05/07/2025 14:30</t>
  </si>
  <si>
    <t>05/07/2025 14:45</t>
  </si>
  <si>
    <t>05/07/2025 15:00</t>
  </si>
  <si>
    <t>05/07/2025 15:15</t>
  </si>
  <si>
    <t>05/07/2025 15:30</t>
  </si>
  <si>
    <t>05/07/2025 15:45</t>
  </si>
  <si>
    <t>05/07/2025 16:00</t>
  </si>
  <si>
    <t>05/07/2025 16:15</t>
  </si>
  <si>
    <t>05/07/2025 16:30</t>
  </si>
  <si>
    <t>05/07/2025 16:45</t>
  </si>
  <si>
    <t>05/07/2025 17:00</t>
  </si>
  <si>
    <t>05/07/2025 17:15</t>
  </si>
  <si>
    <t>05/07/2025 17:30</t>
  </si>
  <si>
    <t>05/07/2025 17:45</t>
  </si>
  <si>
    <t>05/07/2025 18:00</t>
  </si>
  <si>
    <t>05/07/2025 18:15</t>
  </si>
  <si>
    <t>05/07/2025 18:30</t>
  </si>
  <si>
    <t>05/07/2025 18:45</t>
  </si>
  <si>
    <t>05/07/2025 19:00</t>
  </si>
  <si>
    <t>05/07/2025 19:15</t>
  </si>
  <si>
    <t>05/07/2025 19:30</t>
  </si>
  <si>
    <t>05/07/2025 19:45</t>
  </si>
  <si>
    <t>05/07/2025 20:00</t>
  </si>
  <si>
    <t>05/07/2025 20:15</t>
  </si>
  <si>
    <t>05/07/2025 20:30</t>
  </si>
  <si>
    <t>05/07/2025 20:45</t>
  </si>
  <si>
    <t>05/07/2025 21:00</t>
  </si>
  <si>
    <t>05/07/2025 21:15</t>
  </si>
  <si>
    <t>05/07/2025 21:30</t>
  </si>
  <si>
    <t>05/07/2025 21:45</t>
  </si>
  <si>
    <t>05/07/2025 22:00</t>
  </si>
  <si>
    <t>05/07/2025 22:15</t>
  </si>
  <si>
    <t>05/07/2025 22:30</t>
  </si>
  <si>
    <t>05/07/2025 22:45</t>
  </si>
  <si>
    <t>05/07/2025 23:00</t>
  </si>
  <si>
    <t>05/07/2025 23:15</t>
  </si>
  <si>
    <t>05/07/2025 23:30</t>
  </si>
  <si>
    <t>05/07/2025 23:45</t>
  </si>
  <si>
    <t>05/07/2025 24:00</t>
  </si>
  <si>
    <t>06/07/2025 00:15</t>
  </si>
  <si>
    <t>06/07/2025 00:30</t>
  </si>
  <si>
    <t>06/07/2025 00:45</t>
  </si>
  <si>
    <t>06/07/2025 01:00</t>
  </si>
  <si>
    <t>06/07/2025 01:15</t>
  </si>
  <si>
    <t>06/07/2025 01:30</t>
  </si>
  <si>
    <t>06/07/2025 01:45</t>
  </si>
  <si>
    <t>06/07/2025 02:00</t>
  </si>
  <si>
    <t>06/07/2025 02:15</t>
  </si>
  <si>
    <t>06/07/2025 02:30</t>
  </si>
  <si>
    <t>06/07/2025 02:45</t>
  </si>
  <si>
    <t>06/07/2025 03:00</t>
  </si>
  <si>
    <t>06/07/2025 03:15</t>
  </si>
  <si>
    <t>06/07/2025 03:30</t>
  </si>
  <si>
    <t>06/07/2025 03:45</t>
  </si>
  <si>
    <t>06/07/2025 04:00</t>
  </si>
  <si>
    <t>06/07/2025 04:15</t>
  </si>
  <si>
    <t>06/07/2025 04:30</t>
  </si>
  <si>
    <t>06/07/2025 04:45</t>
  </si>
  <si>
    <t>06/07/2025 05:00</t>
  </si>
  <si>
    <t>06/07/2025 05:15</t>
  </si>
  <si>
    <t>06/07/2025 05:30</t>
  </si>
  <si>
    <t>06/07/2025 05:45</t>
  </si>
  <si>
    <t>06/07/2025 06:00</t>
  </si>
  <si>
    <t>06/07/2025 06:15</t>
  </si>
  <si>
    <t>06/07/2025 06:30</t>
  </si>
  <si>
    <t>06/07/2025 06:45</t>
  </si>
  <si>
    <t>06/07/2025 07:00</t>
  </si>
  <si>
    <t>06/07/2025 07:15</t>
  </si>
  <si>
    <t>06/07/2025 07:30</t>
  </si>
  <si>
    <t>06/07/2025 07:45</t>
  </si>
  <si>
    <t>06/07/2025 08:00</t>
  </si>
  <si>
    <t>06/07/2025 08:15</t>
  </si>
  <si>
    <t>06/07/2025 08:30</t>
  </si>
  <si>
    <t>06/07/2025 08:45</t>
  </si>
  <si>
    <t>06/07/2025 09:00</t>
  </si>
  <si>
    <t>06/07/2025 09:15</t>
  </si>
  <si>
    <t>06/07/2025 09:30</t>
  </si>
  <si>
    <t>06/07/2025 09:45</t>
  </si>
  <si>
    <t>06/07/2025 10:00</t>
  </si>
  <si>
    <t>06/07/2025 10:15</t>
  </si>
  <si>
    <t>06/07/2025 10:30</t>
  </si>
  <si>
    <t>06/07/2025 10:45</t>
  </si>
  <si>
    <t>06/07/2025 11:00</t>
  </si>
  <si>
    <t>06/07/2025 11:15</t>
  </si>
  <si>
    <t>06/07/2025 11:30</t>
  </si>
  <si>
    <t>06/07/2025 11:45</t>
  </si>
  <si>
    <t>06/07/2025 12:00</t>
  </si>
  <si>
    <t>06/07/2025 12:15</t>
  </si>
  <si>
    <t>06/07/2025 12:30</t>
  </si>
  <si>
    <t>06/07/2025 12:45</t>
  </si>
  <si>
    <t>06/07/2025 13:00</t>
  </si>
  <si>
    <t>06/07/2025 13:15</t>
  </si>
  <si>
    <t>06/07/2025 13:30</t>
  </si>
  <si>
    <t>06/07/2025 13:45</t>
  </si>
  <si>
    <t>06/07/2025 14:00</t>
  </si>
  <si>
    <t>06/07/2025 14:15</t>
  </si>
  <si>
    <t>06/07/2025 14:30</t>
  </si>
  <si>
    <t>06/07/2025 14:45</t>
  </si>
  <si>
    <t>06/07/2025 15:00</t>
  </si>
  <si>
    <t>06/07/2025 15:15</t>
  </si>
  <si>
    <t>06/07/2025 15:30</t>
  </si>
  <si>
    <t>06/07/2025 15:45</t>
  </si>
  <si>
    <t>06/07/2025 16:00</t>
  </si>
  <si>
    <t>06/07/2025 16:15</t>
  </si>
  <si>
    <t>06/07/2025 16:30</t>
  </si>
  <si>
    <t>06/07/2025 16:45</t>
  </si>
  <si>
    <t>06/07/2025 17:00</t>
  </si>
  <si>
    <t>06/07/2025 17:15</t>
  </si>
  <si>
    <t>06/07/2025 17:30</t>
  </si>
  <si>
    <t>06/07/2025 17:45</t>
  </si>
  <si>
    <t>06/07/2025 18:00</t>
  </si>
  <si>
    <t>06/07/2025 18:15</t>
  </si>
  <si>
    <t>06/07/2025 18:30</t>
  </si>
  <si>
    <t>06/07/2025 18:45</t>
  </si>
  <si>
    <t>06/07/2025 19:00</t>
  </si>
  <si>
    <t>06/07/2025 19:15</t>
  </si>
  <si>
    <t>06/07/2025 19:30</t>
  </si>
  <si>
    <t>06/07/2025 19:45</t>
  </si>
  <si>
    <t>06/07/2025 20:00</t>
  </si>
  <si>
    <t>06/07/2025 20:15</t>
  </si>
  <si>
    <t>06/07/2025 20:30</t>
  </si>
  <si>
    <t>06/07/2025 20:45</t>
  </si>
  <si>
    <t>06/07/2025 21:00</t>
  </si>
  <si>
    <t>06/07/2025 21:15</t>
  </si>
  <si>
    <t>06/07/2025 21:30</t>
  </si>
  <si>
    <t>06/07/2025 21:45</t>
  </si>
  <si>
    <t>06/07/2025 22:00</t>
  </si>
  <si>
    <t>06/07/2025 22:15</t>
  </si>
  <si>
    <t>06/07/2025 22:30</t>
  </si>
  <si>
    <t>06/07/2025 22:45</t>
  </si>
  <si>
    <t>06/07/2025 23:00</t>
  </si>
  <si>
    <t>06/07/2025 23:15</t>
  </si>
  <si>
    <t>06/07/2025 23:30</t>
  </si>
  <si>
    <t>06/07/2025 23:45</t>
  </si>
  <si>
    <t>06/07/2025 24:00</t>
  </si>
  <si>
    <t>07/07/2025 00:15</t>
  </si>
  <si>
    <t>07/07/2025 00:30</t>
  </si>
  <si>
    <t>07/07/2025 00:45</t>
  </si>
  <si>
    <t>07/07/2025 01:00</t>
  </si>
  <si>
    <t>07/07/2025 01:15</t>
  </si>
  <si>
    <t>07/07/2025 01:30</t>
  </si>
  <si>
    <t>07/07/2025 01:45</t>
  </si>
  <si>
    <t>07/07/2025 02:00</t>
  </si>
  <si>
    <t>07/07/2025 02:15</t>
  </si>
  <si>
    <t>07/07/2025 02:30</t>
  </si>
  <si>
    <t>07/07/2025 02:45</t>
  </si>
  <si>
    <t>07/07/2025 03:00</t>
  </si>
  <si>
    <t>07/07/2025 03:15</t>
  </si>
  <si>
    <t>07/07/2025 03:30</t>
  </si>
  <si>
    <t>07/07/2025 03:45</t>
  </si>
  <si>
    <t>07/07/2025 04:00</t>
  </si>
  <si>
    <t>07/07/2025 04:15</t>
  </si>
  <si>
    <t>07/07/2025 04:30</t>
  </si>
  <si>
    <t>07/07/2025 04:45</t>
  </si>
  <si>
    <t>07/07/2025 05:00</t>
  </si>
  <si>
    <t>07/07/2025 05:15</t>
  </si>
  <si>
    <t>07/07/2025 05:30</t>
  </si>
  <si>
    <t>07/07/2025 05:45</t>
  </si>
  <si>
    <t>07/07/2025 06:00</t>
  </si>
  <si>
    <t>07/07/2025 06:15</t>
  </si>
  <si>
    <t>07/07/2025 06:30</t>
  </si>
  <si>
    <t>07/07/2025 06:45</t>
  </si>
  <si>
    <t>07/07/2025 07:00</t>
  </si>
  <si>
    <t>07/07/2025 07:15</t>
  </si>
  <si>
    <t>07/07/2025 07:30</t>
  </si>
  <si>
    <t>07/07/2025 07:45</t>
  </si>
  <si>
    <t>07/07/2025 08:00</t>
  </si>
  <si>
    <t>07/07/2025 08:15</t>
  </si>
  <si>
    <t>07/07/2025 08:30</t>
  </si>
  <si>
    <t>07/07/2025 08:45</t>
  </si>
  <si>
    <t>07/07/2025 09:00</t>
  </si>
  <si>
    <t>07/07/2025 09:15</t>
  </si>
  <si>
    <t>07/07/2025 09:30</t>
  </si>
  <si>
    <t>07/07/2025 09:45</t>
  </si>
  <si>
    <t>07/07/2025 10:00</t>
  </si>
  <si>
    <t>07/07/2025 10:15</t>
  </si>
  <si>
    <t>07/07/2025 10:30</t>
  </si>
  <si>
    <t>07/07/2025 10:45</t>
  </si>
  <si>
    <t>07/07/2025 11:00</t>
  </si>
  <si>
    <t>07/07/2025 11:15</t>
  </si>
  <si>
    <t>07/07/2025 11:30</t>
  </si>
  <si>
    <t>07/07/2025 11:45</t>
  </si>
  <si>
    <t>07/07/2025 12:00</t>
  </si>
  <si>
    <t>07/07/2025 12:15</t>
  </si>
  <si>
    <t>07/07/2025 12:30</t>
  </si>
  <si>
    <t>07/07/2025 12:45</t>
  </si>
  <si>
    <t>07/07/2025 13:00</t>
  </si>
  <si>
    <t>07/07/2025 13:15</t>
  </si>
  <si>
    <t>07/07/2025 13:30</t>
  </si>
  <si>
    <t>07/07/2025 13:45</t>
  </si>
  <si>
    <t>07/07/2025 14:00</t>
  </si>
  <si>
    <t>07/07/2025 14:15</t>
  </si>
  <si>
    <t>07/07/2025 14:30</t>
  </si>
  <si>
    <t>07/07/2025 14:45</t>
  </si>
  <si>
    <t>07/07/2025 15:00</t>
  </si>
  <si>
    <t>07/07/2025 15:15</t>
  </si>
  <si>
    <t>07/07/2025 15:30</t>
  </si>
  <si>
    <t>07/07/2025 15:45</t>
  </si>
  <si>
    <t>07/07/2025 16:00</t>
  </si>
  <si>
    <t>07/07/2025 16:15</t>
  </si>
  <si>
    <t>07/07/2025 16:30</t>
  </si>
  <si>
    <t>07/07/2025 16:45</t>
  </si>
  <si>
    <t>07/07/2025 17:00</t>
  </si>
  <si>
    <t>07/07/2025 17:15</t>
  </si>
  <si>
    <t>07/07/2025 17:30</t>
  </si>
  <si>
    <t>07/07/2025 17:45</t>
  </si>
  <si>
    <t>07/07/2025 18:00</t>
  </si>
  <si>
    <t>07/07/2025 18:15</t>
  </si>
  <si>
    <t>07/07/2025 18:30</t>
  </si>
  <si>
    <t>07/07/2025 18:45</t>
  </si>
  <si>
    <t>07/07/2025 19:00</t>
  </si>
  <si>
    <t>07/07/2025 19:15</t>
  </si>
  <si>
    <t>07/07/2025 19:30</t>
  </si>
  <si>
    <t>07/07/2025 19:45</t>
  </si>
  <si>
    <t>07/07/2025 20:00</t>
  </si>
  <si>
    <t>07/07/2025 20:15</t>
  </si>
  <si>
    <t>07/07/2025 20:30</t>
  </si>
  <si>
    <t>07/07/2025 20:45</t>
  </si>
  <si>
    <t>07/07/2025 21:00</t>
  </si>
  <si>
    <t>07/07/2025 21:15</t>
  </si>
  <si>
    <t>07/07/2025 21:30</t>
  </si>
  <si>
    <t>07/07/2025 21:45</t>
  </si>
  <si>
    <t>07/07/2025 22:00</t>
  </si>
  <si>
    <t>07/07/2025 22:15</t>
  </si>
  <si>
    <t>07/07/2025 22:30</t>
  </si>
  <si>
    <t>07/07/2025 22:45</t>
  </si>
  <si>
    <t>07/07/2025 23:00</t>
  </si>
  <si>
    <t>07/07/2025 23:15</t>
  </si>
  <si>
    <t>07/07/2025 23:30</t>
  </si>
  <si>
    <t>07/07/2025 23:45</t>
  </si>
  <si>
    <t>07/07/2025 24:00</t>
  </si>
  <si>
    <t>08/07/2025 00:15</t>
  </si>
  <si>
    <t>08/07/2025 00:30</t>
  </si>
  <si>
    <t>08/07/2025 00:45</t>
  </si>
  <si>
    <t>08/07/2025 01:00</t>
  </si>
  <si>
    <t>08/07/2025 01:15</t>
  </si>
  <si>
    <t>08/07/2025 01:30</t>
  </si>
  <si>
    <t>08/07/2025 01:45</t>
  </si>
  <si>
    <t>08/07/2025 02:00</t>
  </si>
  <si>
    <t>08/07/2025 02:15</t>
  </si>
  <si>
    <t>08/07/2025 02:30</t>
  </si>
  <si>
    <t>08/07/2025 02:45</t>
  </si>
  <si>
    <t>08/07/2025 03:00</t>
  </si>
  <si>
    <t>08/07/2025 03:15</t>
  </si>
  <si>
    <t>08/07/2025 03:30</t>
  </si>
  <si>
    <t>08/07/2025 03:45</t>
  </si>
  <si>
    <t>08/07/2025 04:00</t>
  </si>
  <si>
    <t>08/07/2025 04:15</t>
  </si>
  <si>
    <t>08/07/2025 04:30</t>
  </si>
  <si>
    <t>08/07/2025 04:45</t>
  </si>
  <si>
    <t>08/07/2025 05:00</t>
  </si>
  <si>
    <t>08/07/2025 05:15</t>
  </si>
  <si>
    <t>08/07/2025 05:30</t>
  </si>
  <si>
    <t>08/07/2025 05:45</t>
  </si>
  <si>
    <t>08/07/2025 06:00</t>
  </si>
  <si>
    <t>08/07/2025 06:15</t>
  </si>
  <si>
    <t>08/07/2025 06:30</t>
  </si>
  <si>
    <t>08/07/2025 06:45</t>
  </si>
  <si>
    <t>08/07/2025 07:00</t>
  </si>
  <si>
    <t>08/07/2025 07:15</t>
  </si>
  <si>
    <t>08/07/2025 07:30</t>
  </si>
  <si>
    <t>08/07/2025 07:45</t>
  </si>
  <si>
    <t>08/07/2025 08:00</t>
  </si>
  <si>
    <t>08/07/2025 08:15</t>
  </si>
  <si>
    <t>08/07/2025 08:30</t>
  </si>
  <si>
    <t>08/07/2025 08:45</t>
  </si>
  <si>
    <t>08/07/2025 09:00</t>
  </si>
  <si>
    <t>08/07/2025 09:15</t>
  </si>
  <si>
    <t>08/07/2025 09:30</t>
  </si>
  <si>
    <t>08/07/2025 09:45</t>
  </si>
  <si>
    <t>08/07/2025 10:00</t>
  </si>
  <si>
    <t>08/07/2025 10:15</t>
  </si>
  <si>
    <t>08/07/2025 10:30</t>
  </si>
  <si>
    <t>08/07/2025 10:45</t>
  </si>
  <si>
    <t>08/07/2025 11:00</t>
  </si>
  <si>
    <t>08/07/2025 11:15</t>
  </si>
  <si>
    <t>08/07/2025 11:30</t>
  </si>
  <si>
    <t>08/07/2025 11:45</t>
  </si>
  <si>
    <t>08/07/2025 12:00</t>
  </si>
  <si>
    <t>08/07/2025 12:15</t>
  </si>
  <si>
    <t>08/07/2025 12:30</t>
  </si>
  <si>
    <t>08/07/2025 12:45</t>
  </si>
  <si>
    <t>08/07/2025 13:00</t>
  </si>
  <si>
    <t>08/07/2025 13:15</t>
  </si>
  <si>
    <t>08/07/2025 13:30</t>
  </si>
  <si>
    <t>08/07/2025 13:45</t>
  </si>
  <si>
    <t>08/07/2025 14:00</t>
  </si>
  <si>
    <t>08/07/2025 14:15</t>
  </si>
  <si>
    <t>08/07/2025 14:30</t>
  </si>
  <si>
    <t>08/07/2025 14:45</t>
  </si>
  <si>
    <t>08/07/2025 15:00</t>
  </si>
  <si>
    <t>08/07/2025 15:15</t>
  </si>
  <si>
    <t>08/07/2025 15:30</t>
  </si>
  <si>
    <t>08/07/2025 15:45</t>
  </si>
  <si>
    <t>08/07/2025 16:00</t>
  </si>
  <si>
    <t>08/07/2025 16:15</t>
  </si>
  <si>
    <t>08/07/2025 16:30</t>
  </si>
  <si>
    <t>08/07/2025 16:45</t>
  </si>
  <si>
    <t>08/07/2025 17:00</t>
  </si>
  <si>
    <t>08/07/2025 17:15</t>
  </si>
  <si>
    <t>08/07/2025 17:30</t>
  </si>
  <si>
    <t>08/07/2025 17:45</t>
  </si>
  <si>
    <t>08/07/2025 18:00</t>
  </si>
  <si>
    <t>08/07/2025 18:15</t>
  </si>
  <si>
    <t>08/07/2025 18:30</t>
  </si>
  <si>
    <t>08/07/2025 18:45</t>
  </si>
  <si>
    <t>08/07/2025 19:00</t>
  </si>
  <si>
    <t>08/07/2025 19:15</t>
  </si>
  <si>
    <t>08/07/2025 19:30</t>
  </si>
  <si>
    <t>08/07/2025 19:45</t>
  </si>
  <si>
    <t>08/07/2025 20:00</t>
  </si>
  <si>
    <t>08/07/2025 20:15</t>
  </si>
  <si>
    <t>08/07/2025 20:30</t>
  </si>
  <si>
    <t>08/07/2025 20:45</t>
  </si>
  <si>
    <t>08/07/2025 21:00</t>
  </si>
  <si>
    <t>08/07/2025 21:15</t>
  </si>
  <si>
    <t>08/07/2025 21:30</t>
  </si>
  <si>
    <t>08/07/2025 21:45</t>
  </si>
  <si>
    <t>08/07/2025 22:00</t>
  </si>
  <si>
    <t>08/07/2025 22:15</t>
  </si>
  <si>
    <t>08/07/2025 22:30</t>
  </si>
  <si>
    <t>08/07/2025 22:45</t>
  </si>
  <si>
    <t>08/07/2025 23:00</t>
  </si>
  <si>
    <t>08/07/2025 23:15</t>
  </si>
  <si>
    <t>08/07/2025 23:30</t>
  </si>
  <si>
    <t>08/07/2025 23:45</t>
  </si>
  <si>
    <t>08/07/2025 24:00</t>
  </si>
  <si>
    <t>09/07/2025 00:15</t>
  </si>
  <si>
    <t>09/07/2025 00:30</t>
  </si>
  <si>
    <t>09/07/2025 00:45</t>
  </si>
  <si>
    <t>09/07/2025 01:00</t>
  </si>
  <si>
    <t>09/07/2025 01:15</t>
  </si>
  <si>
    <t>09/07/2025 01:30</t>
  </si>
  <si>
    <t>09/07/2025 01:45</t>
  </si>
  <si>
    <t>09/07/2025 02:00</t>
  </si>
  <si>
    <t>09/07/2025 02:15</t>
  </si>
  <si>
    <t>09/07/2025 02:30</t>
  </si>
  <si>
    <t>09/07/2025 02:45</t>
  </si>
  <si>
    <t>09/07/2025 03:00</t>
  </si>
  <si>
    <t>09/07/2025 03:15</t>
  </si>
  <si>
    <t>09/07/2025 03:30</t>
  </si>
  <si>
    <t>09/07/2025 03:45</t>
  </si>
  <si>
    <t>09/07/2025 04:00</t>
  </si>
  <si>
    <t>09/07/2025 04:15</t>
  </si>
  <si>
    <t>09/07/2025 04:30</t>
  </si>
  <si>
    <t>09/07/2025 04:45</t>
  </si>
  <si>
    <t>09/07/2025 05:00</t>
  </si>
  <si>
    <t>09/07/2025 05:15</t>
  </si>
  <si>
    <t>09/07/2025 05:30</t>
  </si>
  <si>
    <t>09/07/2025 05:45</t>
  </si>
  <si>
    <t>09/07/2025 06:00</t>
  </si>
  <si>
    <t>09/07/2025 06:15</t>
  </si>
  <si>
    <t>09/07/2025 06:30</t>
  </si>
  <si>
    <t>09/07/2025 06:45</t>
  </si>
  <si>
    <t>09/07/2025 07:00</t>
  </si>
  <si>
    <t>09/07/2025 07:15</t>
  </si>
  <si>
    <t>09/07/2025 07:30</t>
  </si>
  <si>
    <t>09/07/2025 07:45</t>
  </si>
  <si>
    <t>09/07/2025 08:00</t>
  </si>
  <si>
    <t>09/07/2025 08:15</t>
  </si>
  <si>
    <t>09/07/2025 08:30</t>
  </si>
  <si>
    <t>09/07/2025 08:45</t>
  </si>
  <si>
    <t>09/07/2025 09:00</t>
  </si>
  <si>
    <t>09/07/2025 09:15</t>
  </si>
  <si>
    <t>09/07/2025 09:30</t>
  </si>
  <si>
    <t>09/07/2025 09:45</t>
  </si>
  <si>
    <t>09/07/2025 10:00</t>
  </si>
  <si>
    <t>09/07/2025 10:15</t>
  </si>
  <si>
    <t>09/07/2025 10:30</t>
  </si>
  <si>
    <t>09/07/2025 10:45</t>
  </si>
  <si>
    <t>09/07/2025 11:00</t>
  </si>
  <si>
    <t>09/07/2025 11:15</t>
  </si>
  <si>
    <t>09/07/2025 11:30</t>
  </si>
  <si>
    <t>09/07/2025 11:45</t>
  </si>
  <si>
    <t>09/07/2025 12:00</t>
  </si>
  <si>
    <t>09/07/2025 12:15</t>
  </si>
  <si>
    <t>09/07/2025 12:30</t>
  </si>
  <si>
    <t>09/07/2025 12:45</t>
  </si>
  <si>
    <t>09/07/2025 13:00</t>
  </si>
  <si>
    <t>09/07/2025 13:15</t>
  </si>
  <si>
    <t>09/07/2025 13:30</t>
  </si>
  <si>
    <t>09/07/2025 13:45</t>
  </si>
  <si>
    <t>09/07/2025 14:00</t>
  </si>
  <si>
    <t>09/07/2025 14:15</t>
  </si>
  <si>
    <t>09/07/2025 14:30</t>
  </si>
  <si>
    <t>09/07/2025 14:45</t>
  </si>
  <si>
    <t>09/07/2025 15:00</t>
  </si>
  <si>
    <t>09/07/2025 15:15</t>
  </si>
  <si>
    <t>09/07/2025 15:30</t>
  </si>
  <si>
    <t>09/07/2025 15:45</t>
  </si>
  <si>
    <t>09/07/2025 16:00</t>
  </si>
  <si>
    <t>09/07/2025 16:15</t>
  </si>
  <si>
    <t>09/07/2025 16:30</t>
  </si>
  <si>
    <t>09/07/2025 16:45</t>
  </si>
  <si>
    <t>09/07/2025 17:00</t>
  </si>
  <si>
    <t>09/07/2025 17:15</t>
  </si>
  <si>
    <t>09/07/2025 17:30</t>
  </si>
  <si>
    <t>09/07/2025 17:45</t>
  </si>
  <si>
    <t>09/07/2025 18:00</t>
  </si>
  <si>
    <t>09/07/2025 18:15</t>
  </si>
  <si>
    <t>09/07/2025 18:30</t>
  </si>
  <si>
    <t>09/07/2025 18:45</t>
  </si>
  <si>
    <t>09/07/2025 19:00</t>
  </si>
  <si>
    <t>09/07/2025 19:15</t>
  </si>
  <si>
    <t>09/07/2025 19:30</t>
  </si>
  <si>
    <t>09/07/2025 19:45</t>
  </si>
  <si>
    <t>09/07/2025 20:00</t>
  </si>
  <si>
    <t>09/07/2025 20:15</t>
  </si>
  <si>
    <t>09/07/2025 20:30</t>
  </si>
  <si>
    <t>09/07/2025 20:45</t>
  </si>
  <si>
    <t>09/07/2025 21:00</t>
  </si>
  <si>
    <t>09/07/2025 21:15</t>
  </si>
  <si>
    <t>09/07/2025 21:30</t>
  </si>
  <si>
    <t>09/07/2025 21:45</t>
  </si>
  <si>
    <t>09/07/2025 22:00</t>
  </si>
  <si>
    <t>09/07/2025 22:15</t>
  </si>
  <si>
    <t>09/07/2025 22:30</t>
  </si>
  <si>
    <t>09/07/2025 22:45</t>
  </si>
  <si>
    <t>09/07/2025 23:00</t>
  </si>
  <si>
    <t>09/07/2025 23:15</t>
  </si>
  <si>
    <t>09/07/2025 23:30</t>
  </si>
  <si>
    <t>09/07/2025 23:45</t>
  </si>
  <si>
    <t>09/07/2025 24:00</t>
  </si>
  <si>
    <t>10/07/2025 00:15</t>
  </si>
  <si>
    <t>10/07/2025 00:30</t>
  </si>
  <si>
    <t>10/07/2025 00:45</t>
  </si>
  <si>
    <t>10/07/2025 01:00</t>
  </si>
  <si>
    <t>10/07/2025 01:15</t>
  </si>
  <si>
    <t>10/07/2025 01:30</t>
  </si>
  <si>
    <t>10/07/2025 01:45</t>
  </si>
  <si>
    <t>10/07/2025 02:00</t>
  </si>
  <si>
    <t>10/07/2025 02:15</t>
  </si>
  <si>
    <t>10/07/2025 02:30</t>
  </si>
  <si>
    <t>10/07/2025 02:45</t>
  </si>
  <si>
    <t>10/07/2025 03:00</t>
  </si>
  <si>
    <t>10/07/2025 03:15</t>
  </si>
  <si>
    <t>10/07/2025 03:30</t>
  </si>
  <si>
    <t>10/07/2025 03:45</t>
  </si>
  <si>
    <t>10/07/2025 04:00</t>
  </si>
  <si>
    <t>10/07/2025 04:15</t>
  </si>
  <si>
    <t>10/07/2025 04:30</t>
  </si>
  <si>
    <t>10/07/2025 04:45</t>
  </si>
  <si>
    <t>10/07/2025 05:00</t>
  </si>
  <si>
    <t>10/07/2025 05:15</t>
  </si>
  <si>
    <t>10/07/2025 05:30</t>
  </si>
  <si>
    <t>10/07/2025 05:45</t>
  </si>
  <si>
    <t>10/07/2025 06:00</t>
  </si>
  <si>
    <t>10/07/2025 06:15</t>
  </si>
  <si>
    <t>10/07/2025 06:30</t>
  </si>
  <si>
    <t>10/07/2025 06:45</t>
  </si>
  <si>
    <t>10/07/2025 07:00</t>
  </si>
  <si>
    <t>10/07/2025 07:15</t>
  </si>
  <si>
    <t>10/07/2025 07:30</t>
  </si>
  <si>
    <t>10/07/2025 07:45</t>
  </si>
  <si>
    <t>10/07/2025 08:00</t>
  </si>
  <si>
    <t>10/07/2025 08:15</t>
  </si>
  <si>
    <t>10/07/2025 08:30</t>
  </si>
  <si>
    <t>10/07/2025 08:45</t>
  </si>
  <si>
    <t>10/07/2025 09:00</t>
  </si>
  <si>
    <t>10/07/2025 09:15</t>
  </si>
  <si>
    <t>10/07/2025 09:30</t>
  </si>
  <si>
    <t>10/07/2025 09:45</t>
  </si>
  <si>
    <t>10/07/2025 10:00</t>
  </si>
  <si>
    <t>10/07/2025 10:15</t>
  </si>
  <si>
    <t>10/07/2025 10:30</t>
  </si>
  <si>
    <t>10/07/2025 10:45</t>
  </si>
  <si>
    <t>10/07/2025 11:00</t>
  </si>
  <si>
    <t>10/07/2025 11:15</t>
  </si>
  <si>
    <t>10/07/2025 11:30</t>
  </si>
  <si>
    <t>10/07/2025 11:45</t>
  </si>
  <si>
    <t>10/07/2025 12:00</t>
  </si>
  <si>
    <t>10/07/2025 12:15</t>
  </si>
  <si>
    <t>10/07/2025 12:30</t>
  </si>
  <si>
    <t>10/07/2025 12:45</t>
  </si>
  <si>
    <t>10/07/2025 13:00</t>
  </si>
  <si>
    <t>10/07/2025 13:15</t>
  </si>
  <si>
    <t>10/07/2025 13:30</t>
  </si>
  <si>
    <t>10/07/2025 13:45</t>
  </si>
  <si>
    <t>10/07/2025 14:00</t>
  </si>
  <si>
    <t>10/07/2025 14:15</t>
  </si>
  <si>
    <t>10/07/2025 14:30</t>
  </si>
  <si>
    <t>10/07/2025 14:45</t>
  </si>
  <si>
    <t>10/07/2025 15:00</t>
  </si>
  <si>
    <t>10/07/2025 15:15</t>
  </si>
  <si>
    <t>10/07/2025 15:30</t>
  </si>
  <si>
    <t>10/07/2025 15:45</t>
  </si>
  <si>
    <t>10/07/2025 16:00</t>
  </si>
  <si>
    <t>10/07/2025 16:15</t>
  </si>
  <si>
    <t>10/07/2025 16:30</t>
  </si>
  <si>
    <t>10/07/2025 16:45</t>
  </si>
  <si>
    <t>10/07/2025 17:00</t>
  </si>
  <si>
    <t>10/07/2025 17:15</t>
  </si>
  <si>
    <t>10/07/2025 17:30</t>
  </si>
  <si>
    <t>10/07/2025 17:45</t>
  </si>
  <si>
    <t>10/07/2025 18:00</t>
  </si>
  <si>
    <t>10/07/2025 18:15</t>
  </si>
  <si>
    <t>10/07/2025 18:30</t>
  </si>
  <si>
    <t>10/07/2025 18:45</t>
  </si>
  <si>
    <t>10/07/2025 19:00</t>
  </si>
  <si>
    <t>10/07/2025 19:15</t>
  </si>
  <si>
    <t>10/07/2025 19:30</t>
  </si>
  <si>
    <t>10/07/2025 19:45</t>
  </si>
  <si>
    <t>10/07/2025 20:00</t>
  </si>
  <si>
    <t>10/07/2025 20:15</t>
  </si>
  <si>
    <t>10/07/2025 20:30</t>
  </si>
  <si>
    <t>10/07/2025 20:45</t>
  </si>
  <si>
    <t>10/07/2025 21:00</t>
  </si>
  <si>
    <t>10/07/2025 21:15</t>
  </si>
  <si>
    <t>10/07/2025 21:30</t>
  </si>
  <si>
    <t>10/07/2025 21:45</t>
  </si>
  <si>
    <t>10/07/2025 22:00</t>
  </si>
  <si>
    <t>10/07/2025 22:15</t>
  </si>
  <si>
    <t>10/07/2025 22:30</t>
  </si>
  <si>
    <t>10/07/2025 22:45</t>
  </si>
  <si>
    <t>10/07/2025 23:00</t>
  </si>
  <si>
    <t>10/07/2025 23:15</t>
  </si>
  <si>
    <t>10/07/2025 23:30</t>
  </si>
  <si>
    <t>10/07/2025 23:45</t>
  </si>
  <si>
    <t>10/07/2025 24:00</t>
  </si>
  <si>
    <t>11/07/2025 00:15</t>
  </si>
  <si>
    <t>11/07/2025 00:30</t>
  </si>
  <si>
    <t>11/07/2025 00:45</t>
  </si>
  <si>
    <t>11/07/2025 01:00</t>
  </si>
  <si>
    <t>11/07/2025 01:15</t>
  </si>
  <si>
    <t>11/07/2025 01:30</t>
  </si>
  <si>
    <t>11/07/2025 01:45</t>
  </si>
  <si>
    <t>11/07/2025 02:00</t>
  </si>
  <si>
    <t>11/07/2025 02:15</t>
  </si>
  <si>
    <t>11/07/2025 02:30</t>
  </si>
  <si>
    <t>11/07/2025 02:45</t>
  </si>
  <si>
    <t>11/07/2025 03:00</t>
  </si>
  <si>
    <t>11/07/2025 03:15</t>
  </si>
  <si>
    <t>11/07/2025 03:30</t>
  </si>
  <si>
    <t>11/07/2025 03:45</t>
  </si>
  <si>
    <t>11/07/2025 04:00</t>
  </si>
  <si>
    <t>11/07/2025 04:15</t>
  </si>
  <si>
    <t>11/07/2025 04:30</t>
  </si>
  <si>
    <t>11/07/2025 04:45</t>
  </si>
  <si>
    <t>11/07/2025 05:00</t>
  </si>
  <si>
    <t>11/07/2025 05:15</t>
  </si>
  <si>
    <t>11/07/2025 05:30</t>
  </si>
  <si>
    <t>11/07/2025 05:45</t>
  </si>
  <si>
    <t>11/07/2025 06:00</t>
  </si>
  <si>
    <t>11/07/2025 06:15</t>
  </si>
  <si>
    <t>11/07/2025 06:30</t>
  </si>
  <si>
    <t>11/07/2025 06:45</t>
  </si>
  <si>
    <t>11/07/2025 07:00</t>
  </si>
  <si>
    <t>11/07/2025 07:15</t>
  </si>
  <si>
    <t>11/07/2025 07:30</t>
  </si>
  <si>
    <t>11/07/2025 07:45</t>
  </si>
  <si>
    <t>11/07/2025 08:00</t>
  </si>
  <si>
    <t>11/07/2025 08:15</t>
  </si>
  <si>
    <t>11/07/2025 08:30</t>
  </si>
  <si>
    <t>11/07/2025 08:45</t>
  </si>
  <si>
    <t>11/07/2025 09:00</t>
  </si>
  <si>
    <t>11/07/2025 09:15</t>
  </si>
  <si>
    <t>11/07/2025 09:30</t>
  </si>
  <si>
    <t>11/07/2025 09:45</t>
  </si>
  <si>
    <t>11/07/2025 10:00</t>
  </si>
  <si>
    <t>11/07/2025 10:15</t>
  </si>
  <si>
    <t>11/07/2025 10:30</t>
  </si>
  <si>
    <t>11/07/2025 10:45</t>
  </si>
  <si>
    <t>11/07/2025 11:00</t>
  </si>
  <si>
    <t>11/07/2025 11:15</t>
  </si>
  <si>
    <t>11/07/2025 11:30</t>
  </si>
  <si>
    <t>11/07/2025 11:45</t>
  </si>
  <si>
    <t>11/07/2025 12:00</t>
  </si>
  <si>
    <t>11/07/2025 12:15</t>
  </si>
  <si>
    <t>11/07/2025 12:30</t>
  </si>
  <si>
    <t>11/07/2025 12:45</t>
  </si>
  <si>
    <t>11/07/2025 13:00</t>
  </si>
  <si>
    <t>11/07/2025 13:15</t>
  </si>
  <si>
    <t>11/07/2025 13:30</t>
  </si>
  <si>
    <t>11/07/2025 13:45</t>
  </si>
  <si>
    <t>11/07/2025 14:00</t>
  </si>
  <si>
    <t>11/07/2025 14:15</t>
  </si>
  <si>
    <t>11/07/2025 14:30</t>
  </si>
  <si>
    <t>11/07/2025 14:45</t>
  </si>
  <si>
    <t>11/07/2025 15:00</t>
  </si>
  <si>
    <t>11/07/2025 15:15</t>
  </si>
  <si>
    <t>11/07/2025 15:30</t>
  </si>
  <si>
    <t>11/07/2025 15:45</t>
  </si>
  <si>
    <t>11/07/2025 16:00</t>
  </si>
  <si>
    <t>11/07/2025 16:15</t>
  </si>
  <si>
    <t>11/07/2025 16:30</t>
  </si>
  <si>
    <t>11/07/2025 16:45</t>
  </si>
  <si>
    <t>11/07/2025 17:00</t>
  </si>
  <si>
    <t>11/07/2025 17:15</t>
  </si>
  <si>
    <t>11/07/2025 17:30</t>
  </si>
  <si>
    <t>11/07/2025 17:45</t>
  </si>
  <si>
    <t>11/07/2025 18:00</t>
  </si>
  <si>
    <t>11/07/2025 18:15</t>
  </si>
  <si>
    <t>11/07/2025 18:30</t>
  </si>
  <si>
    <t>11/07/2025 18:45</t>
  </si>
  <si>
    <t>11/07/2025 19:00</t>
  </si>
  <si>
    <t>11/07/2025 19:15</t>
  </si>
  <si>
    <t>11/07/2025 19:30</t>
  </si>
  <si>
    <t>11/07/2025 19:45</t>
  </si>
  <si>
    <t>11/07/2025 20:00</t>
  </si>
  <si>
    <t>11/07/2025 20:15</t>
  </si>
  <si>
    <t>11/07/2025 20:30</t>
  </si>
  <si>
    <t>11/07/2025 20:45</t>
  </si>
  <si>
    <t>11/07/2025 21:00</t>
  </si>
  <si>
    <t>11/07/2025 21:15</t>
  </si>
  <si>
    <t>11/07/2025 21:30</t>
  </si>
  <si>
    <t>11/07/2025 21:45</t>
  </si>
  <si>
    <t>11/07/2025 22:00</t>
  </si>
  <si>
    <t>11/07/2025 22:15</t>
  </si>
  <si>
    <t>11/07/2025 22:30</t>
  </si>
  <si>
    <t>11/07/2025 22:45</t>
  </si>
  <si>
    <t>11/07/2025 23:00</t>
  </si>
  <si>
    <t>11/07/2025 23:15</t>
  </si>
  <si>
    <t>11/07/2025 23:30</t>
  </si>
  <si>
    <t>11/07/2025 23:45</t>
  </si>
  <si>
    <t>11/07/2025 24:00</t>
  </si>
  <si>
    <t>12/07/2025 00:15</t>
  </si>
  <si>
    <t>12/07/2025 00:30</t>
  </si>
  <si>
    <t>12/07/2025 00:45</t>
  </si>
  <si>
    <t>12/07/2025 01:00</t>
  </si>
  <si>
    <t>12/07/2025 01:15</t>
  </si>
  <si>
    <t>12/07/2025 01:30</t>
  </si>
  <si>
    <t>12/07/2025 01:45</t>
  </si>
  <si>
    <t>12/07/2025 02:00</t>
  </si>
  <si>
    <t>12/07/2025 02:15</t>
  </si>
  <si>
    <t>12/07/2025 02:30</t>
  </si>
  <si>
    <t>12/07/2025 02:45</t>
  </si>
  <si>
    <t>12/07/2025 03:00</t>
  </si>
  <si>
    <t>12/07/2025 03:15</t>
  </si>
  <si>
    <t>12/07/2025 03:30</t>
  </si>
  <si>
    <t>12/07/2025 03:45</t>
  </si>
  <si>
    <t>12/07/2025 04:00</t>
  </si>
  <si>
    <t>12/07/2025 04:15</t>
  </si>
  <si>
    <t>12/07/2025 04:30</t>
  </si>
  <si>
    <t>12/07/2025 04:45</t>
  </si>
  <si>
    <t>12/07/2025 05:00</t>
  </si>
  <si>
    <t>12/07/2025 05:15</t>
  </si>
  <si>
    <t>12/07/2025 05:30</t>
  </si>
  <si>
    <t>12/07/2025 05:45</t>
  </si>
  <si>
    <t>12/07/2025 06:00</t>
  </si>
  <si>
    <t>12/07/2025 06:15</t>
  </si>
  <si>
    <t>12/07/2025 06:30</t>
  </si>
  <si>
    <t>12/07/2025 06:45</t>
  </si>
  <si>
    <t>12/07/2025 07:00</t>
  </si>
  <si>
    <t>12/07/2025 07:15</t>
  </si>
  <si>
    <t>12/07/2025 07:30</t>
  </si>
  <si>
    <t>12/07/2025 07:45</t>
  </si>
  <si>
    <t>12/07/2025 08:00</t>
  </si>
  <si>
    <t>12/07/2025 08:15</t>
  </si>
  <si>
    <t>12/07/2025 08:30</t>
  </si>
  <si>
    <t>12/07/2025 08:45</t>
  </si>
  <si>
    <t>12/07/2025 09:00</t>
  </si>
  <si>
    <t>12/07/2025 09:15</t>
  </si>
  <si>
    <t>12/07/2025 09:30</t>
  </si>
  <si>
    <t>12/07/2025 09:45</t>
  </si>
  <si>
    <t>12/07/2025 10:00</t>
  </si>
  <si>
    <t>12/07/2025 10:15</t>
  </si>
  <si>
    <t>12/07/2025 10:30</t>
  </si>
  <si>
    <t>12/07/2025 10:45</t>
  </si>
  <si>
    <t>12/07/2025 11:00</t>
  </si>
  <si>
    <t>12/07/2025 11:15</t>
  </si>
  <si>
    <t>12/07/2025 11:30</t>
  </si>
  <si>
    <t>12/07/2025 11:45</t>
  </si>
  <si>
    <t>12/07/2025 12:00</t>
  </si>
  <si>
    <t>12/07/2025 12:15</t>
  </si>
  <si>
    <t>12/07/2025 12:30</t>
  </si>
  <si>
    <t>12/07/2025 12:45</t>
  </si>
  <si>
    <t>12/07/2025 13:00</t>
  </si>
  <si>
    <t>12/07/2025 13:15</t>
  </si>
  <si>
    <t>12/07/2025 13:30</t>
  </si>
  <si>
    <t>12/07/2025 13:45</t>
  </si>
  <si>
    <t>12/07/2025 14:00</t>
  </si>
  <si>
    <t>12/07/2025 14:15</t>
  </si>
  <si>
    <t>12/07/2025 14:30</t>
  </si>
  <si>
    <t>12/07/2025 14:45</t>
  </si>
  <si>
    <t>12/07/2025 15:00</t>
  </si>
  <si>
    <t>12/07/2025 15:15</t>
  </si>
  <si>
    <t>12/07/2025 15:30</t>
  </si>
  <si>
    <t>12/07/2025 15:45</t>
  </si>
  <si>
    <t>12/07/2025 16:00</t>
  </si>
  <si>
    <t>12/07/2025 16:15</t>
  </si>
  <si>
    <t>12/07/2025 16:30</t>
  </si>
  <si>
    <t>12/07/2025 16:45</t>
  </si>
  <si>
    <t>12/07/2025 17:00</t>
  </si>
  <si>
    <t>12/07/2025 17:15</t>
  </si>
  <si>
    <t>12/07/2025 17:30</t>
  </si>
  <si>
    <t>12/07/2025 17:45</t>
  </si>
  <si>
    <t>12/07/2025 18:00</t>
  </si>
  <si>
    <t>12/07/2025 18:15</t>
  </si>
  <si>
    <t>12/07/2025 18:30</t>
  </si>
  <si>
    <t>12/07/2025 18:45</t>
  </si>
  <si>
    <t>12/07/2025 19:00</t>
  </si>
  <si>
    <t>12/07/2025 19:15</t>
  </si>
  <si>
    <t>12/07/2025 19:30</t>
  </si>
  <si>
    <t>12/07/2025 19:45</t>
  </si>
  <si>
    <t>12/07/2025 20:00</t>
  </si>
  <si>
    <t>12/07/2025 20:15</t>
  </si>
  <si>
    <t>12/07/2025 20:30</t>
  </si>
  <si>
    <t>12/07/2025 20:45</t>
  </si>
  <si>
    <t>12/07/2025 21:00</t>
  </si>
  <si>
    <t>12/07/2025 21:15</t>
  </si>
  <si>
    <t>12/07/2025 21:30</t>
  </si>
  <si>
    <t>12/07/2025 21:45</t>
  </si>
  <si>
    <t>12/07/2025 22:00</t>
  </si>
  <si>
    <t>12/07/2025 22:15</t>
  </si>
  <si>
    <t>12/07/2025 22:30</t>
  </si>
  <si>
    <t>12/07/2025 22:45</t>
  </si>
  <si>
    <t>12/07/2025 23:00</t>
  </si>
  <si>
    <t>12/07/2025 23:15</t>
  </si>
  <si>
    <t>12/07/2025 23:30</t>
  </si>
  <si>
    <t>12/07/2025 23:45</t>
  </si>
  <si>
    <t>12/07/2025 24:00</t>
  </si>
  <si>
    <t>13/07/2025 00:15</t>
  </si>
  <si>
    <t>13/07/2025 00:30</t>
  </si>
  <si>
    <t>13/07/2025 00:45</t>
  </si>
  <si>
    <t>13/07/2025 01:00</t>
  </si>
  <si>
    <t>13/07/2025 01:15</t>
  </si>
  <si>
    <t>13/07/2025 01:30</t>
  </si>
  <si>
    <t>13/07/2025 01:45</t>
  </si>
  <si>
    <t>13/07/2025 02:00</t>
  </si>
  <si>
    <t>13/07/2025 02:15</t>
  </si>
  <si>
    <t>13/07/2025 02:30</t>
  </si>
  <si>
    <t>13/07/2025 02:45</t>
  </si>
  <si>
    <t>13/07/2025 03:00</t>
  </si>
  <si>
    <t>13/07/2025 03:15</t>
  </si>
  <si>
    <t>13/07/2025 03:30</t>
  </si>
  <si>
    <t>13/07/2025 03:45</t>
  </si>
  <si>
    <t>13/07/2025 04:00</t>
  </si>
  <si>
    <t>13/07/2025 04:15</t>
  </si>
  <si>
    <t>13/07/2025 04:30</t>
  </si>
  <si>
    <t>13/07/2025 04:45</t>
  </si>
  <si>
    <t>13/07/2025 05:00</t>
  </si>
  <si>
    <t>13/07/2025 05:15</t>
  </si>
  <si>
    <t>13/07/2025 05:30</t>
  </si>
  <si>
    <t>13/07/2025 05:45</t>
  </si>
  <si>
    <t>13/07/2025 06:00</t>
  </si>
  <si>
    <t>13/07/2025 06:15</t>
  </si>
  <si>
    <t>13/07/2025 06:30</t>
  </si>
  <si>
    <t>13/07/2025 06:45</t>
  </si>
  <si>
    <t>13/07/2025 07:00</t>
  </si>
  <si>
    <t>13/07/2025 07:15</t>
  </si>
  <si>
    <t>13/07/2025 07:30</t>
  </si>
  <si>
    <t>13/07/2025 07:45</t>
  </si>
  <si>
    <t>13/07/2025 08:00</t>
  </si>
  <si>
    <t>13/07/2025 08:15</t>
  </si>
  <si>
    <t>13/07/2025 08:30</t>
  </si>
  <si>
    <t>13/07/2025 08:45</t>
  </si>
  <si>
    <t>13/07/2025 09:00</t>
  </si>
  <si>
    <t>13/07/2025 09:15</t>
  </si>
  <si>
    <t>13/07/2025 09:30</t>
  </si>
  <si>
    <t>13/07/2025 09:45</t>
  </si>
  <si>
    <t>13/07/2025 10:00</t>
  </si>
  <si>
    <t>13/07/2025 10:15</t>
  </si>
  <si>
    <t>13/07/2025 10:30</t>
  </si>
  <si>
    <t>13/07/2025 10:45</t>
  </si>
  <si>
    <t>13/07/2025 11:00</t>
  </si>
  <si>
    <t>13/07/2025 11:15</t>
  </si>
  <si>
    <t>13/07/2025 11:30</t>
  </si>
  <si>
    <t>13/07/2025 11:45</t>
  </si>
  <si>
    <t>13/07/2025 12:00</t>
  </si>
  <si>
    <t>13/07/2025 12:15</t>
  </si>
  <si>
    <t>13/07/2025 12:30</t>
  </si>
  <si>
    <t>13/07/2025 12:45</t>
  </si>
  <si>
    <t>13/07/2025 13:00</t>
  </si>
  <si>
    <t>13/07/2025 13:15</t>
  </si>
  <si>
    <t>13/07/2025 13:30</t>
  </si>
  <si>
    <t>13/07/2025 13:45</t>
  </si>
  <si>
    <t>13/07/2025 14:00</t>
  </si>
  <si>
    <t>13/07/2025 14:15</t>
  </si>
  <si>
    <t>13/07/2025 14:30</t>
  </si>
  <si>
    <t>13/07/2025 14:45</t>
  </si>
  <si>
    <t>13/07/2025 15:00</t>
  </si>
  <si>
    <t>13/07/2025 15:15</t>
  </si>
  <si>
    <t>13/07/2025 15:30</t>
  </si>
  <si>
    <t>13/07/2025 15:45</t>
  </si>
  <si>
    <t>13/07/2025 16:00</t>
  </si>
  <si>
    <t>13/07/2025 16:15</t>
  </si>
  <si>
    <t>13/07/2025 16:30</t>
  </si>
  <si>
    <t>13/07/2025 16:45</t>
  </si>
  <si>
    <t>13/07/2025 17:00</t>
  </si>
  <si>
    <t>13/07/2025 17:15</t>
  </si>
  <si>
    <t>13/07/2025 17:30</t>
  </si>
  <si>
    <t>13/07/2025 17:45</t>
  </si>
  <si>
    <t>13/07/2025 18:00</t>
  </si>
  <si>
    <t>13/07/2025 18:15</t>
  </si>
  <si>
    <t>13/07/2025 18:30</t>
  </si>
  <si>
    <t>13/07/2025 18:45</t>
  </si>
  <si>
    <t>13/07/2025 19:00</t>
  </si>
  <si>
    <t>13/07/2025 19:15</t>
  </si>
  <si>
    <t>13/07/2025 19:30</t>
  </si>
  <si>
    <t>13/07/2025 19:45</t>
  </si>
  <si>
    <t>13/07/2025 20:00</t>
  </si>
  <si>
    <t>13/07/2025 20:15</t>
  </si>
  <si>
    <t>13/07/2025 20:30</t>
  </si>
  <si>
    <t>13/07/2025 20:45</t>
  </si>
  <si>
    <t>13/07/2025 21:00</t>
  </si>
  <si>
    <t>13/07/2025 21:15</t>
  </si>
  <si>
    <t>13/07/2025 21:30</t>
  </si>
  <si>
    <t>13/07/2025 21:45</t>
  </si>
  <si>
    <t>13/07/2025 22:00</t>
  </si>
  <si>
    <t>13/07/2025 22:15</t>
  </si>
  <si>
    <t>13/07/2025 22:30</t>
  </si>
  <si>
    <t>13/07/2025 22:45</t>
  </si>
  <si>
    <t>13/07/2025 23:00</t>
  </si>
  <si>
    <t>13/07/2025 23:15</t>
  </si>
  <si>
    <t>13/07/2025 23:30</t>
  </si>
  <si>
    <t>13/07/2025 23:45</t>
  </si>
  <si>
    <t>13/07/2025 24:00</t>
  </si>
  <si>
    <t>14/07/2025 00:15</t>
  </si>
  <si>
    <t>14/07/2025 00:30</t>
  </si>
  <si>
    <t>14/07/2025 00:45</t>
  </si>
  <si>
    <t>14/07/2025 01:00</t>
  </si>
  <si>
    <t>14/07/2025 01:15</t>
  </si>
  <si>
    <t>14/07/2025 01:30</t>
  </si>
  <si>
    <t>14/07/2025 01:45</t>
  </si>
  <si>
    <t>14/07/2025 02:00</t>
  </si>
  <si>
    <t>14/07/2025 02:15</t>
  </si>
  <si>
    <t>14/07/2025 02:30</t>
  </si>
  <si>
    <t>14/07/2025 02:45</t>
  </si>
  <si>
    <t>14/07/2025 03:00</t>
  </si>
  <si>
    <t>14/07/2025 03:15</t>
  </si>
  <si>
    <t>14/07/2025 03:30</t>
  </si>
  <si>
    <t>14/07/2025 03:45</t>
  </si>
  <si>
    <t>14/07/2025 04:00</t>
  </si>
  <si>
    <t>14/07/2025 04:15</t>
  </si>
  <si>
    <t>14/07/2025 04:30</t>
  </si>
  <si>
    <t>14/07/2025 04:45</t>
  </si>
  <si>
    <t>14/07/2025 05:00</t>
  </si>
  <si>
    <t>14/07/2025 05:15</t>
  </si>
  <si>
    <t>14/07/2025 05:30</t>
  </si>
  <si>
    <t>14/07/2025 05:45</t>
  </si>
  <si>
    <t>14/07/2025 06:00</t>
  </si>
  <si>
    <t>14/07/2025 06:15</t>
  </si>
  <si>
    <t>14/07/2025 06:30</t>
  </si>
  <si>
    <t>14/07/2025 06:45</t>
  </si>
  <si>
    <t>14/07/2025 07:00</t>
  </si>
  <si>
    <t>14/07/2025 07:15</t>
  </si>
  <si>
    <t>14/07/2025 07:30</t>
  </si>
  <si>
    <t>14/07/2025 07:45</t>
  </si>
  <si>
    <t>14/07/2025 08:00</t>
  </si>
  <si>
    <t>14/07/2025 08:15</t>
  </si>
  <si>
    <t>14/07/2025 08:30</t>
  </si>
  <si>
    <t>14/07/2025 08:45</t>
  </si>
  <si>
    <t>14/07/2025 09:00</t>
  </si>
  <si>
    <t>14/07/2025 09:15</t>
  </si>
  <si>
    <t>14/07/2025 09:30</t>
  </si>
  <si>
    <t>14/07/2025 09:45</t>
  </si>
  <si>
    <t>14/07/2025 10:00</t>
  </si>
  <si>
    <t>14/07/2025 10:15</t>
  </si>
  <si>
    <t>14/07/2025 10:30</t>
  </si>
  <si>
    <t>14/07/2025 10:45</t>
  </si>
  <si>
    <t>14/07/2025 11:00</t>
  </si>
  <si>
    <t>14/07/2025 11:15</t>
  </si>
  <si>
    <t>14/07/2025 11:30</t>
  </si>
  <si>
    <t>14/07/2025 11:45</t>
  </si>
  <si>
    <t>14/07/2025 12:00</t>
  </si>
  <si>
    <t>14/07/2025 12:15</t>
  </si>
  <si>
    <t>14/07/2025 12:30</t>
  </si>
  <si>
    <t>14/07/2025 12:45</t>
  </si>
  <si>
    <t>14/07/2025 13:00</t>
  </si>
  <si>
    <t>14/07/2025 13:15</t>
  </si>
  <si>
    <t>14/07/2025 13:30</t>
  </si>
  <si>
    <t>14/07/2025 13:45</t>
  </si>
  <si>
    <t>14/07/2025 14:00</t>
  </si>
  <si>
    <t>14/07/2025 14:15</t>
  </si>
  <si>
    <t>14/07/2025 14:30</t>
  </si>
  <si>
    <t>14/07/2025 14:45</t>
  </si>
  <si>
    <t>14/07/2025 15:00</t>
  </si>
  <si>
    <t>14/07/2025 15:15</t>
  </si>
  <si>
    <t>14/07/2025 15:30</t>
  </si>
  <si>
    <t>14/07/2025 15:45</t>
  </si>
  <si>
    <t>14/07/2025 16:00</t>
  </si>
  <si>
    <t>14/07/2025 16:15</t>
  </si>
  <si>
    <t>14/07/2025 16:30</t>
  </si>
  <si>
    <t>14/07/2025 16:45</t>
  </si>
  <si>
    <t>14/07/2025 17:00</t>
  </si>
  <si>
    <t>14/07/2025 17:15</t>
  </si>
  <si>
    <t>14/07/2025 17:30</t>
  </si>
  <si>
    <t>14/07/2025 17:45</t>
  </si>
  <si>
    <t>14/07/2025 18:00</t>
  </si>
  <si>
    <t>14/07/2025 18:15</t>
  </si>
  <si>
    <t>14/07/2025 18:30</t>
  </si>
  <si>
    <t>14/07/2025 18:45</t>
  </si>
  <si>
    <t>14/07/2025 19:00</t>
  </si>
  <si>
    <t>14/07/2025 19:15</t>
  </si>
  <si>
    <t>14/07/2025 19:30</t>
  </si>
  <si>
    <t>14/07/2025 19:45</t>
  </si>
  <si>
    <t>14/07/2025 20:00</t>
  </si>
  <si>
    <t>14/07/2025 20:15</t>
  </si>
  <si>
    <t>14/07/2025 20:30</t>
  </si>
  <si>
    <t>14/07/2025 20:45</t>
  </si>
  <si>
    <t>14/07/2025 21:00</t>
  </si>
  <si>
    <t>14/07/2025 21:15</t>
  </si>
  <si>
    <t>14/07/2025 21:30</t>
  </si>
  <si>
    <t>14/07/2025 21:45</t>
  </si>
  <si>
    <t>14/07/2025 22:00</t>
  </si>
  <si>
    <t>14/07/2025 22:15</t>
  </si>
  <si>
    <t>14/07/2025 22:30</t>
  </si>
  <si>
    <t>14/07/2025 22:45</t>
  </si>
  <si>
    <t>14/07/2025 23:00</t>
  </si>
  <si>
    <t>14/07/2025 23:15</t>
  </si>
  <si>
    <t>14/07/2025 23:30</t>
  </si>
  <si>
    <t>14/07/2025 23:45</t>
  </si>
  <si>
    <t>14/07/2025 24:00</t>
  </si>
  <si>
    <t>15/07/2025 00:15</t>
  </si>
  <si>
    <t>15/07/2025 00:30</t>
  </si>
  <si>
    <t>15/07/2025 00:45</t>
  </si>
  <si>
    <t>15/07/2025 01:00</t>
  </si>
  <si>
    <t>15/07/2025 01:15</t>
  </si>
  <si>
    <t>15/07/2025 01:30</t>
  </si>
  <si>
    <t>15/07/2025 01:45</t>
  </si>
  <si>
    <t>15/07/2025 02:00</t>
  </si>
  <si>
    <t>15/07/2025 02:15</t>
  </si>
  <si>
    <t>15/07/2025 02:30</t>
  </si>
  <si>
    <t>15/07/2025 02:45</t>
  </si>
  <si>
    <t>15/07/2025 03:00</t>
  </si>
  <si>
    <t>15/07/2025 03:15</t>
  </si>
  <si>
    <t>15/07/2025 03:30</t>
  </si>
  <si>
    <t>15/07/2025 03:45</t>
  </si>
  <si>
    <t>15/07/2025 04:00</t>
  </si>
  <si>
    <t>15/07/2025 04:15</t>
  </si>
  <si>
    <t>15/07/2025 04:30</t>
  </si>
  <si>
    <t>15/07/2025 04:45</t>
  </si>
  <si>
    <t>15/07/2025 05:00</t>
  </si>
  <si>
    <t>15/07/2025 05:15</t>
  </si>
  <si>
    <t>15/07/2025 05:30</t>
  </si>
  <si>
    <t>15/07/2025 05:45</t>
  </si>
  <si>
    <t>15/07/2025 06:00</t>
  </si>
  <si>
    <t>15/07/2025 06:15</t>
  </si>
  <si>
    <t>15/07/2025 06:30</t>
  </si>
  <si>
    <t>15/07/2025 06:45</t>
  </si>
  <si>
    <t>15/07/2025 07:00</t>
  </si>
  <si>
    <t>15/07/2025 07:15</t>
  </si>
  <si>
    <t>15/07/2025 07:30</t>
  </si>
  <si>
    <t>15/07/2025 07:45</t>
  </si>
  <si>
    <t>15/07/2025 08:00</t>
  </si>
  <si>
    <t>15/07/2025 08:15</t>
  </si>
  <si>
    <t>15/07/2025 08:30</t>
  </si>
  <si>
    <t>15/07/2025 08:45</t>
  </si>
  <si>
    <t>15/07/2025 09:00</t>
  </si>
  <si>
    <t>15/07/2025 09:15</t>
  </si>
  <si>
    <t>15/07/2025 09:30</t>
  </si>
  <si>
    <t>15/07/2025 09:45</t>
  </si>
  <si>
    <t>15/07/2025 10:00</t>
  </si>
  <si>
    <t>15/07/2025 10:15</t>
  </si>
  <si>
    <t>15/07/2025 10:30</t>
  </si>
  <si>
    <t>15/07/2025 10:45</t>
  </si>
  <si>
    <t>15/07/2025 11:00</t>
  </si>
  <si>
    <t>15/07/2025 11:15</t>
  </si>
  <si>
    <t>15/07/2025 11:30</t>
  </si>
  <si>
    <t>15/07/2025 11:45</t>
  </si>
  <si>
    <t>15/07/2025 12:00</t>
  </si>
  <si>
    <t>15/07/2025 12:15</t>
  </si>
  <si>
    <t>15/07/2025 12:30</t>
  </si>
  <si>
    <t>15/07/2025 12:45</t>
  </si>
  <si>
    <t>15/07/2025 13:00</t>
  </si>
  <si>
    <t>15/07/2025 13:15</t>
  </si>
  <si>
    <t>15/07/2025 13:30</t>
  </si>
  <si>
    <t>15/07/2025 13:45</t>
  </si>
  <si>
    <t>15/07/2025 14:00</t>
  </si>
  <si>
    <t>15/07/2025 14:15</t>
  </si>
  <si>
    <t>15/07/2025 14:30</t>
  </si>
  <si>
    <t>15/07/2025 14:45</t>
  </si>
  <si>
    <t>15/07/2025 15:00</t>
  </si>
  <si>
    <t>15/07/2025 15:15</t>
  </si>
  <si>
    <t>15/07/2025 15:30</t>
  </si>
  <si>
    <t>15/07/2025 15:45</t>
  </si>
  <si>
    <t>15/07/2025 16:00</t>
  </si>
  <si>
    <t>15/07/2025 16:15</t>
  </si>
  <si>
    <t>15/07/2025 16:30</t>
  </si>
  <si>
    <t>15/07/2025 16:45</t>
  </si>
  <si>
    <t>15/07/2025 17:00</t>
  </si>
  <si>
    <t>15/07/2025 17:15</t>
  </si>
  <si>
    <t>15/07/2025 17:30</t>
  </si>
  <si>
    <t>15/07/2025 17:45</t>
  </si>
  <si>
    <t>15/07/2025 18:00</t>
  </si>
  <si>
    <t>15/07/2025 18:15</t>
  </si>
  <si>
    <t>15/07/2025 18:30</t>
  </si>
  <si>
    <t>15/07/2025 18:45</t>
  </si>
  <si>
    <t>15/07/2025 19:00</t>
  </si>
  <si>
    <t>15/07/2025 19:15</t>
  </si>
  <si>
    <t>15/07/2025 19:30</t>
  </si>
  <si>
    <t>15/07/2025 19:45</t>
  </si>
  <si>
    <t>15/07/2025 20:00</t>
  </si>
  <si>
    <t>15/07/2025 20:15</t>
  </si>
  <si>
    <t>15/07/2025 20:30</t>
  </si>
  <si>
    <t>15/07/2025 20:45</t>
  </si>
  <si>
    <t>15/07/2025 21:00</t>
  </si>
  <si>
    <t>15/07/2025 21:15</t>
  </si>
  <si>
    <t>15/07/2025 21:30</t>
  </si>
  <si>
    <t>15/07/2025 21:45</t>
  </si>
  <si>
    <t>15/07/2025 22:00</t>
  </si>
  <si>
    <t>15/07/2025 22:15</t>
  </si>
  <si>
    <t>15/07/2025 22:30</t>
  </si>
  <si>
    <t>15/07/2025 22:45</t>
  </si>
  <si>
    <t>15/07/2025 23:00</t>
  </si>
  <si>
    <t>15/07/2025 23:15</t>
  </si>
  <si>
    <t>15/07/2025 23:30</t>
  </si>
  <si>
    <t>15/07/2025 23:45</t>
  </si>
  <si>
    <t>15/07/2025 24:00</t>
  </si>
  <si>
    <t>16/07/2025 00:15</t>
  </si>
  <si>
    <t>16/07/2025 00:30</t>
  </si>
  <si>
    <t>16/07/2025 00:45</t>
  </si>
  <si>
    <t>16/07/2025 01:00</t>
  </si>
  <si>
    <t>16/07/2025 01:15</t>
  </si>
  <si>
    <t>16/07/2025 01:30</t>
  </si>
  <si>
    <t>16/07/2025 01:45</t>
  </si>
  <si>
    <t>16/07/2025 02:00</t>
  </si>
  <si>
    <t>16/07/2025 02:15</t>
  </si>
  <si>
    <t>16/07/2025 02:30</t>
  </si>
  <si>
    <t>16/07/2025 02:45</t>
  </si>
  <si>
    <t>16/07/2025 03:00</t>
  </si>
  <si>
    <t>16/07/2025 03:15</t>
  </si>
  <si>
    <t>16/07/2025 03:30</t>
  </si>
  <si>
    <t>16/07/2025 03:45</t>
  </si>
  <si>
    <t>16/07/2025 04:00</t>
  </si>
  <si>
    <t>16/07/2025 04:15</t>
  </si>
  <si>
    <t>16/07/2025 04:30</t>
  </si>
  <si>
    <t>16/07/2025 04:45</t>
  </si>
  <si>
    <t>16/07/2025 05:00</t>
  </si>
  <si>
    <t>16/07/2025 05:15</t>
  </si>
  <si>
    <t>16/07/2025 05:30</t>
  </si>
  <si>
    <t>16/07/2025 05:45</t>
  </si>
  <si>
    <t>16/07/2025 06:00</t>
  </si>
  <si>
    <t>16/07/2025 06:15</t>
  </si>
  <si>
    <t>16/07/2025 06:30</t>
  </si>
  <si>
    <t>16/07/2025 06:45</t>
  </si>
  <si>
    <t>16/07/2025 07:00</t>
  </si>
  <si>
    <t>16/07/2025 07:15</t>
  </si>
  <si>
    <t>16/07/2025 07:30</t>
  </si>
  <si>
    <t>16/07/2025 07:45</t>
  </si>
  <si>
    <t>16/07/2025 08:00</t>
  </si>
  <si>
    <t>16/07/2025 08:15</t>
  </si>
  <si>
    <t>16/07/2025 08:30</t>
  </si>
  <si>
    <t>16/07/2025 08:45</t>
  </si>
  <si>
    <t>16/07/2025 09:00</t>
  </si>
  <si>
    <t>16/07/2025 09:15</t>
  </si>
  <si>
    <t>16/07/2025 09:30</t>
  </si>
  <si>
    <t>16/07/2025 09:45</t>
  </si>
  <si>
    <t>16/07/2025 10:00</t>
  </si>
  <si>
    <t>16/07/2025 10:15</t>
  </si>
  <si>
    <t>16/07/2025 10:30</t>
  </si>
  <si>
    <t>16/07/2025 10:45</t>
  </si>
  <si>
    <t>16/07/2025 11:00</t>
  </si>
  <si>
    <t>16/07/2025 11:15</t>
  </si>
  <si>
    <t>16/07/2025 11:30</t>
  </si>
  <si>
    <t>16/07/2025 11:45</t>
  </si>
  <si>
    <t>16/07/2025 12:00</t>
  </si>
  <si>
    <t>16/07/2025 12:15</t>
  </si>
  <si>
    <t>16/07/2025 12:30</t>
  </si>
  <si>
    <t>16/07/2025 12:45</t>
  </si>
  <si>
    <t>16/07/2025 13:00</t>
  </si>
  <si>
    <t>16/07/2025 13:15</t>
  </si>
  <si>
    <t>16/07/2025 13:30</t>
  </si>
  <si>
    <t>16/07/2025 13:45</t>
  </si>
  <si>
    <t>16/07/2025 14:00</t>
  </si>
  <si>
    <t>16/07/2025 14:15</t>
  </si>
  <si>
    <t>16/07/2025 14:30</t>
  </si>
  <si>
    <t>16/07/2025 14:45</t>
  </si>
  <si>
    <t>16/07/2025 15:00</t>
  </si>
  <si>
    <t>16/07/2025 15:15</t>
  </si>
  <si>
    <t>16/07/2025 15:30</t>
  </si>
  <si>
    <t>16/07/2025 15:45</t>
  </si>
  <si>
    <t>16/07/2025 16:00</t>
  </si>
  <si>
    <t>16/07/2025 16:15</t>
  </si>
  <si>
    <t>16/07/2025 16:30</t>
  </si>
  <si>
    <t>16/07/2025 16:45</t>
  </si>
  <si>
    <t>16/07/2025 17:00</t>
  </si>
  <si>
    <t>16/07/2025 17:15</t>
  </si>
  <si>
    <t>16/07/2025 17:30</t>
  </si>
  <si>
    <t>16/07/2025 17:45</t>
  </si>
  <si>
    <t>16/07/2025 18:00</t>
  </si>
  <si>
    <t>16/07/2025 18:15</t>
  </si>
  <si>
    <t>16/07/2025 18:30</t>
  </si>
  <si>
    <t>16/07/2025 18:45</t>
  </si>
  <si>
    <t>16/07/2025 19:00</t>
  </si>
  <si>
    <t>16/07/2025 19:15</t>
  </si>
  <si>
    <t>16/07/2025 19:30</t>
  </si>
  <si>
    <t>16/07/2025 19:45</t>
  </si>
  <si>
    <t>16/07/2025 20:00</t>
  </si>
  <si>
    <t>16/07/2025 20:15</t>
  </si>
  <si>
    <t>16/07/2025 20:30</t>
  </si>
  <si>
    <t>16/07/2025 20:45</t>
  </si>
  <si>
    <t>16/07/2025 21:00</t>
  </si>
  <si>
    <t>16/07/2025 21:15</t>
  </si>
  <si>
    <t>16/07/2025 21:30</t>
  </si>
  <si>
    <t>16/07/2025 21:45</t>
  </si>
  <si>
    <t>16/07/2025 22:00</t>
  </si>
  <si>
    <t>16/07/2025 22:15</t>
  </si>
  <si>
    <t>16/07/2025 22:30</t>
  </si>
  <si>
    <t>16/07/2025 22:45</t>
  </si>
  <si>
    <t>16/07/2025 23:00</t>
  </si>
  <si>
    <t>16/07/2025 23:15</t>
  </si>
  <si>
    <t>16/07/2025 23:30</t>
  </si>
  <si>
    <t>16/07/2025 23:45</t>
  </si>
  <si>
    <t>16/07/2025 24:00</t>
  </si>
  <si>
    <t>17/07/2025 00:15</t>
  </si>
  <si>
    <t>17/07/2025 00:30</t>
  </si>
  <si>
    <t>17/07/2025 00:45</t>
  </si>
  <si>
    <t>17/07/2025 01:00</t>
  </si>
  <si>
    <t>17/07/2025 01:15</t>
  </si>
  <si>
    <t>17/07/2025 01:30</t>
  </si>
  <si>
    <t>17/07/2025 01:45</t>
  </si>
  <si>
    <t>17/07/2025 02:00</t>
  </si>
  <si>
    <t>17/07/2025 02:15</t>
  </si>
  <si>
    <t>17/07/2025 02:30</t>
  </si>
  <si>
    <t>17/07/2025 02:45</t>
  </si>
  <si>
    <t>17/07/2025 03:00</t>
  </si>
  <si>
    <t>17/07/2025 03:15</t>
  </si>
  <si>
    <t>17/07/2025 03:30</t>
  </si>
  <si>
    <t>17/07/2025 03:45</t>
  </si>
  <si>
    <t>17/07/2025 04:00</t>
  </si>
  <si>
    <t>17/07/2025 04:15</t>
  </si>
  <si>
    <t>17/07/2025 04:30</t>
  </si>
  <si>
    <t>17/07/2025 04:45</t>
  </si>
  <si>
    <t>17/07/2025 05:00</t>
  </si>
  <si>
    <t>17/07/2025 05:15</t>
  </si>
  <si>
    <t>17/07/2025 05:30</t>
  </si>
  <si>
    <t>17/07/2025 05:45</t>
  </si>
  <si>
    <t>17/07/2025 06:00</t>
  </si>
  <si>
    <t>17/07/2025 06:15</t>
  </si>
  <si>
    <t>17/07/2025 06:30</t>
  </si>
  <si>
    <t>17/07/2025 06:45</t>
  </si>
  <si>
    <t>17/07/2025 07:00</t>
  </si>
  <si>
    <t>17/07/2025 07:15</t>
  </si>
  <si>
    <t>17/07/2025 07:30</t>
  </si>
  <si>
    <t>17/07/2025 07:45</t>
  </si>
  <si>
    <t>17/07/2025 08:00</t>
  </si>
  <si>
    <t>17/07/2025 08:15</t>
  </si>
  <si>
    <t>17/07/2025 08:30</t>
  </si>
  <si>
    <t>17/07/2025 08:45</t>
  </si>
  <si>
    <t>17/07/2025 09:00</t>
  </si>
  <si>
    <t>17/07/2025 09:15</t>
  </si>
  <si>
    <t>17/07/2025 09:30</t>
  </si>
  <si>
    <t>17/07/2025 09:45</t>
  </si>
  <si>
    <t>17/07/2025 10:00</t>
  </si>
  <si>
    <t>17/07/2025 10:15</t>
  </si>
  <si>
    <t>17/07/2025 10:30</t>
  </si>
  <si>
    <t>17/07/2025 10:45</t>
  </si>
  <si>
    <t>17/07/2025 11:00</t>
  </si>
  <si>
    <t>17/07/2025 11:15</t>
  </si>
  <si>
    <t>17/07/2025 11:30</t>
  </si>
  <si>
    <t>17/07/2025 11:45</t>
  </si>
  <si>
    <t>17/07/2025 12:00</t>
  </si>
  <si>
    <t>17/07/2025 12:15</t>
  </si>
  <si>
    <t>17/07/2025 12:30</t>
  </si>
  <si>
    <t>17/07/2025 12:45</t>
  </si>
  <si>
    <t>17/07/2025 13:00</t>
  </si>
  <si>
    <t>17/07/2025 13:15</t>
  </si>
  <si>
    <t>17/07/2025 13:30</t>
  </si>
  <si>
    <t>17/07/2025 13:45</t>
  </si>
  <si>
    <t>17/07/2025 14:00</t>
  </si>
  <si>
    <t>17/07/2025 14:15</t>
  </si>
  <si>
    <t>17/07/2025 14:30</t>
  </si>
  <si>
    <t>17/07/2025 14:45</t>
  </si>
  <si>
    <t>17/07/2025 15:00</t>
  </si>
  <si>
    <t>17/07/2025 15:15</t>
  </si>
  <si>
    <t>17/07/2025 15:30</t>
  </si>
  <si>
    <t>17/07/2025 15:45</t>
  </si>
  <si>
    <t>17/07/2025 16:00</t>
  </si>
  <si>
    <t>17/07/2025 16:15</t>
  </si>
  <si>
    <t>17/07/2025 16:30</t>
  </si>
  <si>
    <t>17/07/2025 16:45</t>
  </si>
  <si>
    <t>17/07/2025 17:00</t>
  </si>
  <si>
    <t>17/07/2025 17:15</t>
  </si>
  <si>
    <t>17/07/2025 17:30</t>
  </si>
  <si>
    <t>17/07/2025 17:45</t>
  </si>
  <si>
    <t>17/07/2025 18:00</t>
  </si>
  <si>
    <t>17/07/2025 18:15</t>
  </si>
  <si>
    <t>17/07/2025 18:30</t>
  </si>
  <si>
    <t>17/07/2025 18:45</t>
  </si>
  <si>
    <t>17/07/2025 19:00</t>
  </si>
  <si>
    <t>17/07/2025 19:15</t>
  </si>
  <si>
    <t>17/07/2025 19:30</t>
  </si>
  <si>
    <t>17/07/2025 19:45</t>
  </si>
  <si>
    <t>17/07/2025 20:00</t>
  </si>
  <si>
    <t>17/07/2025 20:15</t>
  </si>
  <si>
    <t>17/07/2025 20:30</t>
  </si>
  <si>
    <t>17/07/2025 20:45</t>
  </si>
  <si>
    <t>17/07/2025 21:00</t>
  </si>
  <si>
    <t>17/07/2025 21:15</t>
  </si>
  <si>
    <t>17/07/2025 21:30</t>
  </si>
  <si>
    <t>17/07/2025 21:45</t>
  </si>
  <si>
    <t>17/07/2025 22:00</t>
  </si>
  <si>
    <t>17/07/2025 22:15</t>
  </si>
  <si>
    <t>17/07/2025 22:30</t>
  </si>
  <si>
    <t>17/07/2025 22:45</t>
  </si>
  <si>
    <t>17/07/2025 23:00</t>
  </si>
  <si>
    <t>17/07/2025 23:15</t>
  </si>
  <si>
    <t>17/07/2025 23:30</t>
  </si>
  <si>
    <t>17/07/2025 23:45</t>
  </si>
  <si>
    <t>17/07/2025 24:00</t>
  </si>
  <si>
    <t>18/07/2025 00:15</t>
  </si>
  <si>
    <t>18/07/2025 00:30</t>
  </si>
  <si>
    <t>18/07/2025 00:45</t>
  </si>
  <si>
    <t>18/07/2025 01:00</t>
  </si>
  <si>
    <t>18/07/2025 01:15</t>
  </si>
  <si>
    <t>18/07/2025 01:30</t>
  </si>
  <si>
    <t>18/07/2025 01:45</t>
  </si>
  <si>
    <t>18/07/2025 02:00</t>
  </si>
  <si>
    <t>18/07/2025 02:15</t>
  </si>
  <si>
    <t>18/07/2025 02:30</t>
  </si>
  <si>
    <t>18/07/2025 02:45</t>
  </si>
  <si>
    <t>18/07/2025 03:00</t>
  </si>
  <si>
    <t>18/07/2025 03:15</t>
  </si>
  <si>
    <t>18/07/2025 03:30</t>
  </si>
  <si>
    <t>18/07/2025 03:45</t>
  </si>
  <si>
    <t>18/07/2025 04:00</t>
  </si>
  <si>
    <t>18/07/2025 04:15</t>
  </si>
  <si>
    <t>18/07/2025 04:30</t>
  </si>
  <si>
    <t>18/07/2025 04:45</t>
  </si>
  <si>
    <t>18/07/2025 05:00</t>
  </si>
  <si>
    <t>18/07/2025 05:15</t>
  </si>
  <si>
    <t>18/07/2025 05:30</t>
  </si>
  <si>
    <t>18/07/2025 05:45</t>
  </si>
  <si>
    <t>18/07/2025 06:00</t>
  </si>
  <si>
    <t>18/07/2025 06:15</t>
  </si>
  <si>
    <t>18/07/2025 06:30</t>
  </si>
  <si>
    <t>18/07/2025 06:45</t>
  </si>
  <si>
    <t>18/07/2025 07:00</t>
  </si>
  <si>
    <t>18/07/2025 07:15</t>
  </si>
  <si>
    <t>18/07/2025 07:30</t>
  </si>
  <si>
    <t>18/07/2025 07:45</t>
  </si>
  <si>
    <t>18/07/2025 08:00</t>
  </si>
  <si>
    <t>18/07/2025 08:15</t>
  </si>
  <si>
    <t>18/07/2025 08:30</t>
  </si>
  <si>
    <t>18/07/2025 08:45</t>
  </si>
  <si>
    <t>18/07/2025 09:00</t>
  </si>
  <si>
    <t>18/07/2025 09:15</t>
  </si>
  <si>
    <t>18/07/2025 09:30</t>
  </si>
  <si>
    <t>18/07/2025 09:45</t>
  </si>
  <si>
    <t>18/07/2025 10:00</t>
  </si>
  <si>
    <t>18/07/2025 10:15</t>
  </si>
  <si>
    <t>18/07/2025 10:30</t>
  </si>
  <si>
    <t>18/07/2025 10:45</t>
  </si>
  <si>
    <t>18/07/2025 11:00</t>
  </si>
  <si>
    <t>18/07/2025 11:15</t>
  </si>
  <si>
    <t>18/07/2025 11:30</t>
  </si>
  <si>
    <t>18/07/2025 11:45</t>
  </si>
  <si>
    <t>18/07/2025 12:00</t>
  </si>
  <si>
    <t>18/07/2025 12:15</t>
  </si>
  <si>
    <t>18/07/2025 12:30</t>
  </si>
  <si>
    <t>18/07/2025 12:45</t>
  </si>
  <si>
    <t>18/07/2025 13:00</t>
  </si>
  <si>
    <t>18/07/2025 13:15</t>
  </si>
  <si>
    <t>18/07/2025 13:30</t>
  </si>
  <si>
    <t>18/07/2025 13:45</t>
  </si>
  <si>
    <t>18/07/2025 14:00</t>
  </si>
  <si>
    <t>18/07/2025 14:15</t>
  </si>
  <si>
    <t>18/07/2025 14:30</t>
  </si>
  <si>
    <t>18/07/2025 14:45</t>
  </si>
  <si>
    <t>18/07/2025 15:00</t>
  </si>
  <si>
    <t>18/07/2025 15:15</t>
  </si>
  <si>
    <t>18/07/2025 15:30</t>
  </si>
  <si>
    <t>18/07/2025 15:45</t>
  </si>
  <si>
    <t>18/07/2025 16:00</t>
  </si>
  <si>
    <t>18/07/2025 16:15</t>
  </si>
  <si>
    <t>18/07/2025 16:30</t>
  </si>
  <si>
    <t>18/07/2025 16:45</t>
  </si>
  <si>
    <t>18/07/2025 17:00</t>
  </si>
  <si>
    <t>18/07/2025 17:15</t>
  </si>
  <si>
    <t>18/07/2025 17:30</t>
  </si>
  <si>
    <t>18/07/2025 17:45</t>
  </si>
  <si>
    <t>18/07/2025 18:00</t>
  </si>
  <si>
    <t>18/07/2025 18:15</t>
  </si>
  <si>
    <t>18/07/2025 18:30</t>
  </si>
  <si>
    <t>18/07/2025 18:45</t>
  </si>
  <si>
    <t>18/07/2025 19:00</t>
  </si>
  <si>
    <t>18/07/2025 19:15</t>
  </si>
  <si>
    <t>18/07/2025 19:30</t>
  </si>
  <si>
    <t>18/07/2025 19:45</t>
  </si>
  <si>
    <t>18/07/2025 20:00</t>
  </si>
  <si>
    <t>18/07/2025 20:15</t>
  </si>
  <si>
    <t>18/07/2025 20:30</t>
  </si>
  <si>
    <t>18/07/2025 20:45</t>
  </si>
  <si>
    <t>18/07/2025 21:00</t>
  </si>
  <si>
    <t>18/07/2025 21:15</t>
  </si>
  <si>
    <t>18/07/2025 21:30</t>
  </si>
  <si>
    <t>18/07/2025 21:45</t>
  </si>
  <si>
    <t>18/07/2025 22:00</t>
  </si>
  <si>
    <t>18/07/2025 22:15</t>
  </si>
  <si>
    <t>18/07/2025 22:30</t>
  </si>
  <si>
    <t>18/07/2025 22:45</t>
  </si>
  <si>
    <t>18/07/2025 23:00</t>
  </si>
  <si>
    <t>18/07/2025 23:15</t>
  </si>
  <si>
    <t>18/07/2025 23:30</t>
  </si>
  <si>
    <t>18/07/2025 23:45</t>
  </si>
  <si>
    <t>18/07/2025 24:00</t>
  </si>
  <si>
    <t>19/07/2025 00:15</t>
  </si>
  <si>
    <t>19/07/2025 00:30</t>
  </si>
  <si>
    <t>19/07/2025 00:45</t>
  </si>
  <si>
    <t>19/07/2025 01:00</t>
  </si>
  <si>
    <t>19/07/2025 01:15</t>
  </si>
  <si>
    <t>19/07/2025 01:30</t>
  </si>
  <si>
    <t>19/07/2025 01:45</t>
  </si>
  <si>
    <t>19/07/2025 02:00</t>
  </si>
  <si>
    <t>19/07/2025 02:15</t>
  </si>
  <si>
    <t>19/07/2025 02:30</t>
  </si>
  <si>
    <t>19/07/2025 02:45</t>
  </si>
  <si>
    <t>19/07/2025 03:00</t>
  </si>
  <si>
    <t>19/07/2025 03:15</t>
  </si>
  <si>
    <t>19/07/2025 03:30</t>
  </si>
  <si>
    <t>19/07/2025 03:45</t>
  </si>
  <si>
    <t>19/07/2025 04:00</t>
  </si>
  <si>
    <t>19/07/2025 04:15</t>
  </si>
  <si>
    <t>19/07/2025 04:30</t>
  </si>
  <si>
    <t>19/07/2025 04:45</t>
  </si>
  <si>
    <t>19/07/2025 05:00</t>
  </si>
  <si>
    <t>19/07/2025 05:15</t>
  </si>
  <si>
    <t>19/07/2025 05:30</t>
  </si>
  <si>
    <t>19/07/2025 05:45</t>
  </si>
  <si>
    <t>19/07/2025 06:00</t>
  </si>
  <si>
    <t>19/07/2025 06:15</t>
  </si>
  <si>
    <t>19/07/2025 06:30</t>
  </si>
  <si>
    <t>19/07/2025 06:45</t>
  </si>
  <si>
    <t>19/07/2025 07:00</t>
  </si>
  <si>
    <t>19/07/2025 07:15</t>
  </si>
  <si>
    <t>19/07/2025 07:30</t>
  </si>
  <si>
    <t>19/07/2025 07:45</t>
  </si>
  <si>
    <t>19/07/2025 08:00</t>
  </si>
  <si>
    <t>19/07/2025 08:15</t>
  </si>
  <si>
    <t>19/07/2025 08:30</t>
  </si>
  <si>
    <t>19/07/2025 08:45</t>
  </si>
  <si>
    <t>19/07/2025 09:00</t>
  </si>
  <si>
    <t>19/07/2025 09:15</t>
  </si>
  <si>
    <t>19/07/2025 09:30</t>
  </si>
  <si>
    <t>19/07/2025 09:45</t>
  </si>
  <si>
    <t>19/07/2025 10:00</t>
  </si>
  <si>
    <t>19/07/2025 10:15</t>
  </si>
  <si>
    <t>19/07/2025 10:30</t>
  </si>
  <si>
    <t>19/07/2025 10:45</t>
  </si>
  <si>
    <t>19/07/2025 11:00</t>
  </si>
  <si>
    <t>19/07/2025 11:15</t>
  </si>
  <si>
    <t>19/07/2025 11:30</t>
  </si>
  <si>
    <t>19/07/2025 11:45</t>
  </si>
  <si>
    <t>19/07/2025 12:00</t>
  </si>
  <si>
    <t>19/07/2025 12:15</t>
  </si>
  <si>
    <t>19/07/2025 12:30</t>
  </si>
  <si>
    <t>19/07/2025 12:45</t>
  </si>
  <si>
    <t>19/07/2025 13:00</t>
  </si>
  <si>
    <t>19/07/2025 13:15</t>
  </si>
  <si>
    <t>19/07/2025 13:30</t>
  </si>
  <si>
    <t>19/07/2025 13:45</t>
  </si>
  <si>
    <t>19/07/2025 14:00</t>
  </si>
  <si>
    <t>19/07/2025 14:15</t>
  </si>
  <si>
    <t>19/07/2025 14:30</t>
  </si>
  <si>
    <t>19/07/2025 14:45</t>
  </si>
  <si>
    <t>19/07/2025 15:00</t>
  </si>
  <si>
    <t>19/07/2025 15:15</t>
  </si>
  <si>
    <t>19/07/2025 15:30</t>
  </si>
  <si>
    <t>19/07/2025 15:45</t>
  </si>
  <si>
    <t>19/07/2025 16:00</t>
  </si>
  <si>
    <t>19/07/2025 16:15</t>
  </si>
  <si>
    <t>19/07/2025 16:30</t>
  </si>
  <si>
    <t>19/07/2025 16:45</t>
  </si>
  <si>
    <t>19/07/2025 17:00</t>
  </si>
  <si>
    <t>19/07/2025 17:15</t>
  </si>
  <si>
    <t>19/07/2025 17:30</t>
  </si>
  <si>
    <t>19/07/2025 17:45</t>
  </si>
  <si>
    <t>19/07/2025 18:00</t>
  </si>
  <si>
    <t>19/07/2025 18:15</t>
  </si>
  <si>
    <t>19/07/2025 18:30</t>
  </si>
  <si>
    <t>19/07/2025 18:45</t>
  </si>
  <si>
    <t>19/07/2025 19:00</t>
  </si>
  <si>
    <t>19/07/2025 19:15</t>
  </si>
  <si>
    <t>19/07/2025 19:30</t>
  </si>
  <si>
    <t>19/07/2025 19:45</t>
  </si>
  <si>
    <t>19/07/2025 20:00</t>
  </si>
  <si>
    <t>19/07/2025 20:15</t>
  </si>
  <si>
    <t>19/07/2025 20:30</t>
  </si>
  <si>
    <t>19/07/2025 20:45</t>
  </si>
  <si>
    <t>19/07/2025 21:00</t>
  </si>
  <si>
    <t>19/07/2025 21:15</t>
  </si>
  <si>
    <t>19/07/2025 21:30</t>
  </si>
  <si>
    <t>19/07/2025 21:45</t>
  </si>
  <si>
    <t>19/07/2025 22:00</t>
  </si>
  <si>
    <t>19/07/2025 22:15</t>
  </si>
  <si>
    <t>19/07/2025 22:30</t>
  </si>
  <si>
    <t>19/07/2025 22:45</t>
  </si>
  <si>
    <t>19/07/2025 23:00</t>
  </si>
  <si>
    <t>19/07/2025 23:15</t>
  </si>
  <si>
    <t>19/07/2025 23:30</t>
  </si>
  <si>
    <t>19/07/2025 23:45</t>
  </si>
  <si>
    <t>19/07/2025 24:00</t>
  </si>
  <si>
    <t>20/07/2025 00:15</t>
  </si>
  <si>
    <t>20/07/2025 00:30</t>
  </si>
  <si>
    <t>20/07/2025 00:45</t>
  </si>
  <si>
    <t>20/07/2025 01:00</t>
  </si>
  <si>
    <t>20/07/2025 01:15</t>
  </si>
  <si>
    <t>20/07/2025 01:30</t>
  </si>
  <si>
    <t>20/07/2025 01:45</t>
  </si>
  <si>
    <t>20/07/2025 02:00</t>
  </si>
  <si>
    <t>20/07/2025 02:15</t>
  </si>
  <si>
    <t>20/07/2025 02:30</t>
  </si>
  <si>
    <t>20/07/2025 02:45</t>
  </si>
  <si>
    <t>20/07/2025 03:00</t>
  </si>
  <si>
    <t>20/07/2025 03:15</t>
  </si>
  <si>
    <t>20/07/2025 03:30</t>
  </si>
  <si>
    <t>20/07/2025 03:45</t>
  </si>
  <si>
    <t>20/07/2025 04:00</t>
  </si>
  <si>
    <t>20/07/2025 04:15</t>
  </si>
  <si>
    <t>20/07/2025 04:30</t>
  </si>
  <si>
    <t>20/07/2025 04:45</t>
  </si>
  <si>
    <t>20/07/2025 05:00</t>
  </si>
  <si>
    <t>20/07/2025 05:15</t>
  </si>
  <si>
    <t>20/07/2025 05:30</t>
  </si>
  <si>
    <t>20/07/2025 05:45</t>
  </si>
  <si>
    <t>20/07/2025 06:00</t>
  </si>
  <si>
    <t>20/07/2025 06:15</t>
  </si>
  <si>
    <t>20/07/2025 06:30</t>
  </si>
  <si>
    <t>20/07/2025 06:45</t>
  </si>
  <si>
    <t>20/07/2025 07:00</t>
  </si>
  <si>
    <t>20/07/2025 07:15</t>
  </si>
  <si>
    <t>20/07/2025 07:30</t>
  </si>
  <si>
    <t>20/07/2025 07:45</t>
  </si>
  <si>
    <t>20/07/2025 08:00</t>
  </si>
  <si>
    <t>20/07/2025 08:15</t>
  </si>
  <si>
    <t>20/07/2025 08:30</t>
  </si>
  <si>
    <t>20/07/2025 08:45</t>
  </si>
  <si>
    <t>20/07/2025 09:00</t>
  </si>
  <si>
    <t>20/07/2025 09:15</t>
  </si>
  <si>
    <t>20/07/2025 09:30</t>
  </si>
  <si>
    <t>20/07/2025 09:45</t>
  </si>
  <si>
    <t>20/07/2025 10:00</t>
  </si>
  <si>
    <t>20/07/2025 10:15</t>
  </si>
  <si>
    <t>20/07/2025 10:30</t>
  </si>
  <si>
    <t>20/07/2025 10:45</t>
  </si>
  <si>
    <t>20/07/2025 11:00</t>
  </si>
  <si>
    <t>20/07/2025 11:15</t>
  </si>
  <si>
    <t>20/07/2025 11:30</t>
  </si>
  <si>
    <t>20/07/2025 11:45</t>
  </si>
  <si>
    <t>20/07/2025 12:00</t>
  </si>
  <si>
    <t>20/07/2025 12:15</t>
  </si>
  <si>
    <t>20/07/2025 12:30</t>
  </si>
  <si>
    <t>20/07/2025 12:45</t>
  </si>
  <si>
    <t>20/07/2025 13:00</t>
  </si>
  <si>
    <t>20/07/2025 13:15</t>
  </si>
  <si>
    <t>20/07/2025 13:30</t>
  </si>
  <si>
    <t>20/07/2025 13:45</t>
  </si>
  <si>
    <t>20/07/2025 14:00</t>
  </si>
  <si>
    <t>20/07/2025 14:15</t>
  </si>
  <si>
    <t>20/07/2025 14:30</t>
  </si>
  <si>
    <t>20/07/2025 14:45</t>
  </si>
  <si>
    <t>20/07/2025 15:00</t>
  </si>
  <si>
    <t>20/07/2025 15:15</t>
  </si>
  <si>
    <t>20/07/2025 15:30</t>
  </si>
  <si>
    <t>20/07/2025 15:45</t>
  </si>
  <si>
    <t>20/07/2025 16:00</t>
  </si>
  <si>
    <t>20/07/2025 16:15</t>
  </si>
  <si>
    <t>20/07/2025 16:30</t>
  </si>
  <si>
    <t>20/07/2025 16:45</t>
  </si>
  <si>
    <t>20/07/2025 17:00</t>
  </si>
  <si>
    <t>20/07/2025 17:15</t>
  </si>
  <si>
    <t>20/07/2025 17:30</t>
  </si>
  <si>
    <t>20/07/2025 17:45</t>
  </si>
  <si>
    <t>20/07/2025 18:00</t>
  </si>
  <si>
    <t>20/07/2025 18:15</t>
  </si>
  <si>
    <t>20/07/2025 18:30</t>
  </si>
  <si>
    <t>20/07/2025 18:45</t>
  </si>
  <si>
    <t>20/07/2025 19:00</t>
  </si>
  <si>
    <t>20/07/2025 19:15</t>
  </si>
  <si>
    <t>20/07/2025 19:30</t>
  </si>
  <si>
    <t>20/07/2025 19:45</t>
  </si>
  <si>
    <t>20/07/2025 20:00</t>
  </si>
  <si>
    <t>20/07/2025 20:15</t>
  </si>
  <si>
    <t>20/07/2025 20:30</t>
  </si>
  <si>
    <t>20/07/2025 20:45</t>
  </si>
  <si>
    <t>20/07/2025 21:00</t>
  </si>
  <si>
    <t>20/07/2025 21:15</t>
  </si>
  <si>
    <t>20/07/2025 21:30</t>
  </si>
  <si>
    <t>20/07/2025 21:45</t>
  </si>
  <si>
    <t>20/07/2025 22:00</t>
  </si>
  <si>
    <t>20/07/2025 22:15</t>
  </si>
  <si>
    <t>20/07/2025 22:30</t>
  </si>
  <si>
    <t>20/07/2025 22:45</t>
  </si>
  <si>
    <t>20/07/2025 23:00</t>
  </si>
  <si>
    <t>20/07/2025 23:15</t>
  </si>
  <si>
    <t>20/07/2025 23:30</t>
  </si>
  <si>
    <t>20/07/2025 23:45</t>
  </si>
  <si>
    <t>20/07/2025 24:00</t>
  </si>
  <si>
    <t>21/07/2025 00:15</t>
  </si>
  <si>
    <t>21/07/2025 00:30</t>
  </si>
  <si>
    <t>21/07/2025 00:45</t>
  </si>
  <si>
    <t>21/07/2025 01:00</t>
  </si>
  <si>
    <t>21/07/2025 01:15</t>
  </si>
  <si>
    <t>21/07/2025 01:30</t>
  </si>
  <si>
    <t>21/07/2025 01:45</t>
  </si>
  <si>
    <t>21/07/2025 02:00</t>
  </si>
  <si>
    <t>21/07/2025 02:15</t>
  </si>
  <si>
    <t>21/07/2025 02:30</t>
  </si>
  <si>
    <t>21/07/2025 02:45</t>
  </si>
  <si>
    <t>21/07/2025 03:00</t>
  </si>
  <si>
    <t>21/07/2025 03:15</t>
  </si>
  <si>
    <t>21/07/2025 03:30</t>
  </si>
  <si>
    <t>21/07/2025 03:45</t>
  </si>
  <si>
    <t>21/07/2025 04:00</t>
  </si>
  <si>
    <t>21/07/2025 04:15</t>
  </si>
  <si>
    <t>21/07/2025 04:30</t>
  </si>
  <si>
    <t>21/07/2025 04:45</t>
  </si>
  <si>
    <t>21/07/2025 05:00</t>
  </si>
  <si>
    <t>21/07/2025 05:15</t>
  </si>
  <si>
    <t>21/07/2025 05:30</t>
  </si>
  <si>
    <t>21/07/2025 05:45</t>
  </si>
  <si>
    <t>21/07/2025 06:00</t>
  </si>
  <si>
    <t>21/07/2025 06:15</t>
  </si>
  <si>
    <t>21/07/2025 06:30</t>
  </si>
  <si>
    <t>21/07/2025 06:45</t>
  </si>
  <si>
    <t>21/07/2025 07:00</t>
  </si>
  <si>
    <t>21/07/2025 07:15</t>
  </si>
  <si>
    <t>21/07/2025 07:30</t>
  </si>
  <si>
    <t>21/07/2025 07:45</t>
  </si>
  <si>
    <t>21/07/2025 08:00</t>
  </si>
  <si>
    <t>21/07/2025 08:15</t>
  </si>
  <si>
    <t>21/07/2025 08:30</t>
  </si>
  <si>
    <t>21/07/2025 08:45</t>
  </si>
  <si>
    <t>21/07/2025 09:00</t>
  </si>
  <si>
    <t>21/07/2025 09:15</t>
  </si>
  <si>
    <t>21/07/2025 09:30</t>
  </si>
  <si>
    <t>21/07/2025 09:45</t>
  </si>
  <si>
    <t>21/07/2025 10:00</t>
  </si>
  <si>
    <t>21/07/2025 10:15</t>
  </si>
  <si>
    <t>21/07/2025 10:30</t>
  </si>
  <si>
    <t>21/07/2025 10:45</t>
  </si>
  <si>
    <t>21/07/2025 11:00</t>
  </si>
  <si>
    <t>21/07/2025 11:15</t>
  </si>
  <si>
    <t>21/07/2025 11:30</t>
  </si>
  <si>
    <t>21/07/2025 11:45</t>
  </si>
  <si>
    <t>21/07/2025 12:00</t>
  </si>
  <si>
    <t>21/07/2025 12:15</t>
  </si>
  <si>
    <t>21/07/2025 12:30</t>
  </si>
  <si>
    <t>21/07/2025 12:45</t>
  </si>
  <si>
    <t>21/07/2025 13:00</t>
  </si>
  <si>
    <t>21/07/2025 13:15</t>
  </si>
  <si>
    <t>21/07/2025 13:30</t>
  </si>
  <si>
    <t>21/07/2025 13:45</t>
  </si>
  <si>
    <t>21/07/2025 14:00</t>
  </si>
  <si>
    <t>21/07/2025 14:15</t>
  </si>
  <si>
    <t>21/07/2025 14:30</t>
  </si>
  <si>
    <t>21/07/2025 14:45</t>
  </si>
  <si>
    <t>21/07/2025 15:00</t>
  </si>
  <si>
    <t>21/07/2025 15:15</t>
  </si>
  <si>
    <t>21/07/2025 15:30</t>
  </si>
  <si>
    <t>21/07/2025 15:45</t>
  </si>
  <si>
    <t>21/07/2025 16:00</t>
  </si>
  <si>
    <t>21/07/2025 16:15</t>
  </si>
  <si>
    <t>21/07/2025 16:30</t>
  </si>
  <si>
    <t>21/07/2025 16:45</t>
  </si>
  <si>
    <t>21/07/2025 17:00</t>
  </si>
  <si>
    <t>21/07/2025 17:15</t>
  </si>
  <si>
    <t>21/07/2025 17:30</t>
  </si>
  <si>
    <t>21/07/2025 17:45</t>
  </si>
  <si>
    <t>21/07/2025 18:00</t>
  </si>
  <si>
    <t>21/07/2025 18:15</t>
  </si>
  <si>
    <t>21/07/2025 18:30</t>
  </si>
  <si>
    <t>21/07/2025 18:45</t>
  </si>
  <si>
    <t>21/07/2025 19:00</t>
  </si>
  <si>
    <t>21/07/2025 19:15</t>
  </si>
  <si>
    <t>21/07/2025 19:30</t>
  </si>
  <si>
    <t>21/07/2025 19:45</t>
  </si>
  <si>
    <t>21/07/2025 20:00</t>
  </si>
  <si>
    <t>21/07/2025 20:15</t>
  </si>
  <si>
    <t>21/07/2025 20:30</t>
  </si>
  <si>
    <t>21/07/2025 20:45</t>
  </si>
  <si>
    <t>21/07/2025 21:00</t>
  </si>
  <si>
    <t>21/07/2025 21:15</t>
  </si>
  <si>
    <t>21/07/2025 21:30</t>
  </si>
  <si>
    <t>21/07/2025 21:45</t>
  </si>
  <si>
    <t>21/07/2025 22:00</t>
  </si>
  <si>
    <t>21/07/2025 22:15</t>
  </si>
  <si>
    <t>21/07/2025 22:30</t>
  </si>
  <si>
    <t>21/07/2025 22:45</t>
  </si>
  <si>
    <t>21/07/2025 23:00</t>
  </si>
  <si>
    <t>21/07/2025 23:15</t>
  </si>
  <si>
    <t>21/07/2025 23:30</t>
  </si>
  <si>
    <t>21/07/2025 23:45</t>
  </si>
  <si>
    <t>21/07/2025 24:00</t>
  </si>
  <si>
    <t>22/07/2025 00:15</t>
  </si>
  <si>
    <t>22/07/2025 00:30</t>
  </si>
  <si>
    <t>22/07/2025 00:45</t>
  </si>
  <si>
    <t>22/07/2025 01:00</t>
  </si>
  <si>
    <t>22/07/2025 01:15</t>
  </si>
  <si>
    <t>22/07/2025 01:30</t>
  </si>
  <si>
    <t>22/07/2025 01:45</t>
  </si>
  <si>
    <t>22/07/2025 02:00</t>
  </si>
  <si>
    <t>22/07/2025 02:15</t>
  </si>
  <si>
    <t>22/07/2025 02:30</t>
  </si>
  <si>
    <t>22/07/2025 02:45</t>
  </si>
  <si>
    <t>22/07/2025 03:00</t>
  </si>
  <si>
    <t>22/07/2025 03:15</t>
  </si>
  <si>
    <t>22/07/2025 03:30</t>
  </si>
  <si>
    <t>22/07/2025 03:45</t>
  </si>
  <si>
    <t>22/07/2025 04:00</t>
  </si>
  <si>
    <t>22/07/2025 04:15</t>
  </si>
  <si>
    <t>22/07/2025 04:30</t>
  </si>
  <si>
    <t>22/07/2025 04:45</t>
  </si>
  <si>
    <t>22/07/2025 05:00</t>
  </si>
  <si>
    <t>22/07/2025 05:15</t>
  </si>
  <si>
    <t>22/07/2025 05:30</t>
  </si>
  <si>
    <t>22/07/2025 05:45</t>
  </si>
  <si>
    <t>22/07/2025 06:00</t>
  </si>
  <si>
    <t>22/07/2025 06:15</t>
  </si>
  <si>
    <t>22/07/2025 06:30</t>
  </si>
  <si>
    <t>22/07/2025 06:45</t>
  </si>
  <si>
    <t>22/07/2025 07:00</t>
  </si>
  <si>
    <t>22/07/2025 07:15</t>
  </si>
  <si>
    <t>22/07/2025 07:30</t>
  </si>
  <si>
    <t>22/07/2025 07:45</t>
  </si>
  <si>
    <t>22/07/2025 08:00</t>
  </si>
  <si>
    <t>22/07/2025 08:15</t>
  </si>
  <si>
    <t>22/07/2025 08:30</t>
  </si>
  <si>
    <t>22/07/2025 08:45</t>
  </si>
  <si>
    <t>22/07/2025 09:00</t>
  </si>
  <si>
    <t>22/07/2025 09:15</t>
  </si>
  <si>
    <t>22/07/2025 09:30</t>
  </si>
  <si>
    <t>22/07/2025 09:45</t>
  </si>
  <si>
    <t>22/07/2025 10:00</t>
  </si>
  <si>
    <t>22/07/2025 10:15</t>
  </si>
  <si>
    <t>22/07/2025 10:30</t>
  </si>
  <si>
    <t>22/07/2025 10:45</t>
  </si>
  <si>
    <t>22/07/2025 11:00</t>
  </si>
  <si>
    <t>22/07/2025 11:15</t>
  </si>
  <si>
    <t>22/07/2025 11:30</t>
  </si>
  <si>
    <t>22/07/2025 11:45</t>
  </si>
  <si>
    <t>22/07/2025 12:00</t>
  </si>
  <si>
    <t>22/07/2025 12:15</t>
  </si>
  <si>
    <t>22/07/2025 12:30</t>
  </si>
  <si>
    <t>22/07/2025 12:45</t>
  </si>
  <si>
    <t>22/07/2025 13:00</t>
  </si>
  <si>
    <t>22/07/2025 13:15</t>
  </si>
  <si>
    <t>22/07/2025 13:30</t>
  </si>
  <si>
    <t>22/07/2025 13:45</t>
  </si>
  <si>
    <t>22/07/2025 14:00</t>
  </si>
  <si>
    <t>22/07/2025 14:15</t>
  </si>
  <si>
    <t>22/07/2025 14:30</t>
  </si>
  <si>
    <t>22/07/2025 14:45</t>
  </si>
  <si>
    <t>22/07/2025 15:00</t>
  </si>
  <si>
    <t>22/07/2025 15:15</t>
  </si>
  <si>
    <t>22/07/2025 15:30</t>
  </si>
  <si>
    <t>22/07/2025 15:45</t>
  </si>
  <si>
    <t>22/07/2025 16:00</t>
  </si>
  <si>
    <t>22/07/2025 16:15</t>
  </si>
  <si>
    <t>22/07/2025 16:30</t>
  </si>
  <si>
    <t>22/07/2025 16:45</t>
  </si>
  <si>
    <t>22/07/2025 17:00</t>
  </si>
  <si>
    <t>22/07/2025 17:15</t>
  </si>
  <si>
    <t>22/07/2025 17:30</t>
  </si>
  <si>
    <t>22/07/2025 17:45</t>
  </si>
  <si>
    <t>22/07/2025 18:00</t>
  </si>
  <si>
    <t>22/07/2025 18:15</t>
  </si>
  <si>
    <t>22/07/2025 18:30</t>
  </si>
  <si>
    <t>22/07/2025 18:45</t>
  </si>
  <si>
    <t>22/07/2025 19:00</t>
  </si>
  <si>
    <t>22/07/2025 19:15</t>
  </si>
  <si>
    <t>22/07/2025 19:30</t>
  </si>
  <si>
    <t>22/07/2025 19:45</t>
  </si>
  <si>
    <t>22/07/2025 20:00</t>
  </si>
  <si>
    <t>22/07/2025 20:15</t>
  </si>
  <si>
    <t>22/07/2025 20:30</t>
  </si>
  <si>
    <t>22/07/2025 20:45</t>
  </si>
  <si>
    <t>22/07/2025 21:00</t>
  </si>
  <si>
    <t>22/07/2025 21:15</t>
  </si>
  <si>
    <t>22/07/2025 21:30</t>
  </si>
  <si>
    <t>22/07/2025 21:45</t>
  </si>
  <si>
    <t>22/07/2025 22:00</t>
  </si>
  <si>
    <t>22/07/2025 22:15</t>
  </si>
  <si>
    <t>22/07/2025 22:30</t>
  </si>
  <si>
    <t>22/07/2025 22:45</t>
  </si>
  <si>
    <t>22/07/2025 23:00</t>
  </si>
  <si>
    <t>22/07/2025 23:15</t>
  </si>
  <si>
    <t>22/07/2025 23:30</t>
  </si>
  <si>
    <t>22/07/2025 23:45</t>
  </si>
  <si>
    <t>22/07/2025 24:00</t>
  </si>
  <si>
    <t>23/07/2025 00:15</t>
  </si>
  <si>
    <t>23/07/2025 00:30</t>
  </si>
  <si>
    <t>23/07/2025 00:45</t>
  </si>
  <si>
    <t>23/07/2025 01:00</t>
  </si>
  <si>
    <t>23/07/2025 01:15</t>
  </si>
  <si>
    <t>23/07/2025 01:30</t>
  </si>
  <si>
    <t>23/07/2025 01:45</t>
  </si>
  <si>
    <t>23/07/2025 02:00</t>
  </si>
  <si>
    <t>23/07/2025 02:15</t>
  </si>
  <si>
    <t>23/07/2025 02:30</t>
  </si>
  <si>
    <t>23/07/2025 02:45</t>
  </si>
  <si>
    <t>23/07/2025 03:00</t>
  </si>
  <si>
    <t>23/07/2025 03:15</t>
  </si>
  <si>
    <t>23/07/2025 03:30</t>
  </si>
  <si>
    <t>23/07/2025 03:45</t>
  </si>
  <si>
    <t>23/07/2025 04:00</t>
  </si>
  <si>
    <t>23/07/2025 04:15</t>
  </si>
  <si>
    <t>23/07/2025 04:30</t>
  </si>
  <si>
    <t>23/07/2025 04:45</t>
  </si>
  <si>
    <t>23/07/2025 05:00</t>
  </si>
  <si>
    <t>23/07/2025 05:15</t>
  </si>
  <si>
    <t>23/07/2025 05:30</t>
  </si>
  <si>
    <t>23/07/2025 05:45</t>
  </si>
  <si>
    <t>23/07/2025 06:00</t>
  </si>
  <si>
    <t>23/07/2025 06:15</t>
  </si>
  <si>
    <t>23/07/2025 06:30</t>
  </si>
  <si>
    <t>23/07/2025 06:45</t>
  </si>
  <si>
    <t>23/07/2025 07:00</t>
  </si>
  <si>
    <t>23/07/2025 07:15</t>
  </si>
  <si>
    <t>23/07/2025 07:30</t>
  </si>
  <si>
    <t>23/07/2025 07:45</t>
  </si>
  <si>
    <t>23/07/2025 08:00</t>
  </si>
  <si>
    <t>23/07/2025 08:15</t>
  </si>
  <si>
    <t>23/07/2025 08:30</t>
  </si>
  <si>
    <t>23/07/2025 08:45</t>
  </si>
  <si>
    <t>23/07/2025 09:00</t>
  </si>
  <si>
    <t>23/07/2025 09:15</t>
  </si>
  <si>
    <t>23/07/2025 09:30</t>
  </si>
  <si>
    <t>23/07/2025 09:45</t>
  </si>
  <si>
    <t>23/07/2025 10:00</t>
  </si>
  <si>
    <t>23/07/2025 10:15</t>
  </si>
  <si>
    <t>23/07/2025 10:30</t>
  </si>
  <si>
    <t>23/07/2025 10:45</t>
  </si>
  <si>
    <t>23/07/2025 11:00</t>
  </si>
  <si>
    <t>23/07/2025 11:15</t>
  </si>
  <si>
    <t>23/07/2025 11:30</t>
  </si>
  <si>
    <t>23/07/2025 11:45</t>
  </si>
  <si>
    <t>23/07/2025 12:00</t>
  </si>
  <si>
    <t>23/07/2025 12:15</t>
  </si>
  <si>
    <t>23/07/2025 12:30</t>
  </si>
  <si>
    <t>23/07/2025 12:45</t>
  </si>
  <si>
    <t>23/07/2025 13:00</t>
  </si>
  <si>
    <t>23/07/2025 13:15</t>
  </si>
  <si>
    <t>23/07/2025 13:30</t>
  </si>
  <si>
    <t>23/07/2025 13:45</t>
  </si>
  <si>
    <t>23/07/2025 14:00</t>
  </si>
  <si>
    <t>23/07/2025 14:15</t>
  </si>
  <si>
    <t>23/07/2025 14:30</t>
  </si>
  <si>
    <t>23/07/2025 14:45</t>
  </si>
  <si>
    <t>23/07/2025 15:00</t>
  </si>
  <si>
    <t>23/07/2025 15:15</t>
  </si>
  <si>
    <t>23/07/2025 15:30</t>
  </si>
  <si>
    <t>23/07/2025 15:45</t>
  </si>
  <si>
    <t>23/07/2025 16:00</t>
  </si>
  <si>
    <t>23/07/2025 16:15</t>
  </si>
  <si>
    <t>23/07/2025 16:30</t>
  </si>
  <si>
    <t>23/07/2025 16:45</t>
  </si>
  <si>
    <t>23/07/2025 17:00</t>
  </si>
  <si>
    <t>23/07/2025 17:15</t>
  </si>
  <si>
    <t>23/07/2025 17:30</t>
  </si>
  <si>
    <t>23/07/2025 17:45</t>
  </si>
  <si>
    <t>23/07/2025 18:00</t>
  </si>
  <si>
    <t>23/07/2025 18:15</t>
  </si>
  <si>
    <t>23/07/2025 18:30</t>
  </si>
  <si>
    <t>23/07/2025 18:45</t>
  </si>
  <si>
    <t>23/07/2025 19:00</t>
  </si>
  <si>
    <t>23/07/2025 19:15</t>
  </si>
  <si>
    <t>23/07/2025 19:30</t>
  </si>
  <si>
    <t>23/07/2025 19:45</t>
  </si>
  <si>
    <t>23/07/2025 20:00</t>
  </si>
  <si>
    <t>23/07/2025 20:15</t>
  </si>
  <si>
    <t>23/07/2025 20:30</t>
  </si>
  <si>
    <t>23/07/2025 20:45</t>
  </si>
  <si>
    <t>23/07/2025 21:00</t>
  </si>
  <si>
    <t>23/07/2025 21:15</t>
  </si>
  <si>
    <t>23/07/2025 21:30</t>
  </si>
  <si>
    <t>23/07/2025 21:45</t>
  </si>
  <si>
    <t>23/07/2025 22:00</t>
  </si>
  <si>
    <t>23/07/2025 22:15</t>
  </si>
  <si>
    <t>23/07/2025 22:30</t>
  </si>
  <si>
    <t>23/07/2025 22:45</t>
  </si>
  <si>
    <t>23/07/2025 23:00</t>
  </si>
  <si>
    <t>23/07/2025 23:15</t>
  </si>
  <si>
    <t>23/07/2025 23:30</t>
  </si>
  <si>
    <t>23/07/2025 23:45</t>
  </si>
  <si>
    <t>23/07/2025 24:00</t>
  </si>
  <si>
    <t>24/07/2025 00:15</t>
  </si>
  <si>
    <t>24/07/2025 00:30</t>
  </si>
  <si>
    <t>24/07/2025 00:45</t>
  </si>
  <si>
    <t>24/07/2025 01:00</t>
  </si>
  <si>
    <t>24/07/2025 01:15</t>
  </si>
  <si>
    <t>24/07/2025 01:30</t>
  </si>
  <si>
    <t>24/07/2025 01:45</t>
  </si>
  <si>
    <t>24/07/2025 02:00</t>
  </si>
  <si>
    <t>24/07/2025 02:15</t>
  </si>
  <si>
    <t>24/07/2025 02:30</t>
  </si>
  <si>
    <t>24/07/2025 02:45</t>
  </si>
  <si>
    <t>24/07/2025 03:00</t>
  </si>
  <si>
    <t>24/07/2025 03:15</t>
  </si>
  <si>
    <t>24/07/2025 03:30</t>
  </si>
  <si>
    <t>24/07/2025 03:45</t>
  </si>
  <si>
    <t>24/07/2025 04:00</t>
  </si>
  <si>
    <t>24/07/2025 04:15</t>
  </si>
  <si>
    <t>24/07/2025 04:30</t>
  </si>
  <si>
    <t>24/07/2025 04:45</t>
  </si>
  <si>
    <t>24/07/2025 05:00</t>
  </si>
  <si>
    <t>24/07/2025 05:15</t>
  </si>
  <si>
    <t>24/07/2025 05:30</t>
  </si>
  <si>
    <t>24/07/2025 05:45</t>
  </si>
  <si>
    <t>24/07/2025 06:00</t>
  </si>
  <si>
    <t>24/07/2025 06:15</t>
  </si>
  <si>
    <t>24/07/2025 06:30</t>
  </si>
  <si>
    <t>24/07/2025 06:45</t>
  </si>
  <si>
    <t>24/07/2025 07:00</t>
  </si>
  <si>
    <t>24/07/2025 07:15</t>
  </si>
  <si>
    <t>24/07/2025 07:30</t>
  </si>
  <si>
    <t>24/07/2025 07:45</t>
  </si>
  <si>
    <t>24/07/2025 08:00</t>
  </si>
  <si>
    <t>24/07/2025 08:15</t>
  </si>
  <si>
    <t>24/07/2025 08:30</t>
  </si>
  <si>
    <t>24/07/2025 08:45</t>
  </si>
  <si>
    <t>24/07/2025 09:00</t>
  </si>
  <si>
    <t>24/07/2025 09:15</t>
  </si>
  <si>
    <t>24/07/2025 09:30</t>
  </si>
  <si>
    <t>24/07/2025 09:45</t>
  </si>
  <si>
    <t>24/07/2025 10:00</t>
  </si>
  <si>
    <t>24/07/2025 10:15</t>
  </si>
  <si>
    <t>24/07/2025 10:30</t>
  </si>
  <si>
    <t>24/07/2025 10:45</t>
  </si>
  <si>
    <t>24/07/2025 11:00</t>
  </si>
  <si>
    <t>24/07/2025 11:15</t>
  </si>
  <si>
    <t>24/07/2025 11:30</t>
  </si>
  <si>
    <t>24/07/2025 11:45</t>
  </si>
  <si>
    <t>24/07/2025 12:00</t>
  </si>
  <si>
    <t>24/07/2025 12:15</t>
  </si>
  <si>
    <t>24/07/2025 12:30</t>
  </si>
  <si>
    <t>24/07/2025 12:45</t>
  </si>
  <si>
    <t>24/07/2025 13:00</t>
  </si>
  <si>
    <t>24/07/2025 13:15</t>
  </si>
  <si>
    <t>24/07/2025 13:30</t>
  </si>
  <si>
    <t>24/07/2025 13:45</t>
  </si>
  <si>
    <t>24/07/2025 14:00</t>
  </si>
  <si>
    <t>24/07/2025 14:15</t>
  </si>
  <si>
    <t>24/07/2025 14:30</t>
  </si>
  <si>
    <t>24/07/2025 14:45</t>
  </si>
  <si>
    <t>24/07/2025 15:00</t>
  </si>
  <si>
    <t>24/07/2025 15:15</t>
  </si>
  <si>
    <t>24/07/2025 15:30</t>
  </si>
  <si>
    <t>24/07/2025 15:45</t>
  </si>
  <si>
    <t>24/07/2025 16:00</t>
  </si>
  <si>
    <t>24/07/2025 16:15</t>
  </si>
  <si>
    <t>24/07/2025 16:30</t>
  </si>
  <si>
    <t>24/07/2025 16:45</t>
  </si>
  <si>
    <t>24/07/2025 17:00</t>
  </si>
  <si>
    <t>24/07/2025 17:15</t>
  </si>
  <si>
    <t>24/07/2025 17:30</t>
  </si>
  <si>
    <t>24/07/2025 17:45</t>
  </si>
  <si>
    <t>24/07/2025 18:00</t>
  </si>
  <si>
    <t>24/07/2025 18:15</t>
  </si>
  <si>
    <t>24/07/2025 18:30</t>
  </si>
  <si>
    <t>24/07/2025 18:45</t>
  </si>
  <si>
    <t>24/07/2025 19:00</t>
  </si>
  <si>
    <t>24/07/2025 19:15</t>
  </si>
  <si>
    <t>24/07/2025 19:30</t>
  </si>
  <si>
    <t>24/07/2025 19:45</t>
  </si>
  <si>
    <t>24/07/2025 20:00</t>
  </si>
  <si>
    <t>24/07/2025 20:15</t>
  </si>
  <si>
    <t>24/07/2025 20:30</t>
  </si>
  <si>
    <t>24/07/2025 20:45</t>
  </si>
  <si>
    <t>24/07/2025 21:00</t>
  </si>
  <si>
    <t>24/07/2025 21:15</t>
  </si>
  <si>
    <t>24/07/2025 21:30</t>
  </si>
  <si>
    <t>24/07/2025 21:45</t>
  </si>
  <si>
    <t>24/07/2025 22:00</t>
  </si>
  <si>
    <t>24/07/2025 22:15</t>
  </si>
  <si>
    <t>24/07/2025 22:30</t>
  </si>
  <si>
    <t>24/07/2025 22:45</t>
  </si>
  <si>
    <t>24/07/2025 23:00</t>
  </si>
  <si>
    <t>24/07/2025 23:15</t>
  </si>
  <si>
    <t>24/07/2025 23:30</t>
  </si>
  <si>
    <t>24/07/2025 23:45</t>
  </si>
  <si>
    <t>24/07/2025 24:00</t>
  </si>
  <si>
    <t>25/07/2025 00:15</t>
  </si>
  <si>
    <t>25/07/2025 00:30</t>
  </si>
  <si>
    <t>25/07/2025 00:45</t>
  </si>
  <si>
    <t>25/07/2025 01:00</t>
  </si>
  <si>
    <t>25/07/2025 01:15</t>
  </si>
  <si>
    <t>25/07/2025 01:30</t>
  </si>
  <si>
    <t>25/07/2025 01:45</t>
  </si>
  <si>
    <t>25/07/2025 02:00</t>
  </si>
  <si>
    <t>25/07/2025 02:15</t>
  </si>
  <si>
    <t>25/07/2025 02:30</t>
  </si>
  <si>
    <t>25/07/2025 02:45</t>
  </si>
  <si>
    <t>25/07/2025 03:00</t>
  </si>
  <si>
    <t>25/07/2025 03:15</t>
  </si>
  <si>
    <t>25/07/2025 03:30</t>
  </si>
  <si>
    <t>25/07/2025 03:45</t>
  </si>
  <si>
    <t>25/07/2025 04:00</t>
  </si>
  <si>
    <t>25/07/2025 04:15</t>
  </si>
  <si>
    <t>25/07/2025 04:30</t>
  </si>
  <si>
    <t>25/07/2025 04:45</t>
  </si>
  <si>
    <t>25/07/2025 05:00</t>
  </si>
  <si>
    <t>25/07/2025 05:15</t>
  </si>
  <si>
    <t>25/07/2025 05:30</t>
  </si>
  <si>
    <t>25/07/2025 05:45</t>
  </si>
  <si>
    <t>25/07/2025 06:00</t>
  </si>
  <si>
    <t>25/07/2025 06:15</t>
  </si>
  <si>
    <t>25/07/2025 06:30</t>
  </si>
  <si>
    <t>25/07/2025 06:45</t>
  </si>
  <si>
    <t>25/07/2025 07:00</t>
  </si>
  <si>
    <t>25/07/2025 07:15</t>
  </si>
  <si>
    <t>25/07/2025 07:30</t>
  </si>
  <si>
    <t>25/07/2025 07:45</t>
  </si>
  <si>
    <t>25/07/2025 08:00</t>
  </si>
  <si>
    <t>25/07/2025 08:15</t>
  </si>
  <si>
    <t>25/07/2025 08:30</t>
  </si>
  <si>
    <t>25/07/2025 08:45</t>
  </si>
  <si>
    <t>25/07/2025 09:00</t>
  </si>
  <si>
    <t>25/07/2025 09:15</t>
  </si>
  <si>
    <t>25/07/2025 09:30</t>
  </si>
  <si>
    <t>25/07/2025 09:45</t>
  </si>
  <si>
    <t>25/07/2025 10:00</t>
  </si>
  <si>
    <t>25/07/2025 10:15</t>
  </si>
  <si>
    <t>25/07/2025 10:30</t>
  </si>
  <si>
    <t>25/07/2025 10:45</t>
  </si>
  <si>
    <t>25/07/2025 11:00</t>
  </si>
  <si>
    <t>25/07/2025 11:15</t>
  </si>
  <si>
    <t>25/07/2025 11:30</t>
  </si>
  <si>
    <t>25/07/2025 11:45</t>
  </si>
  <si>
    <t>25/07/2025 12:00</t>
  </si>
  <si>
    <t>25/07/2025 12:15</t>
  </si>
  <si>
    <t>25/07/2025 12:30</t>
  </si>
  <si>
    <t>25/07/2025 12:45</t>
  </si>
  <si>
    <t>25/07/2025 13:00</t>
  </si>
  <si>
    <t>25/07/2025 13:15</t>
  </si>
  <si>
    <t>25/07/2025 13:30</t>
  </si>
  <si>
    <t>25/07/2025 13:45</t>
  </si>
  <si>
    <t>25/07/2025 14:00</t>
  </si>
  <si>
    <t>25/07/2025 14:15</t>
  </si>
  <si>
    <t>25/07/2025 14:30</t>
  </si>
  <si>
    <t>25/07/2025 14:45</t>
  </si>
  <si>
    <t>25/07/2025 15:00</t>
  </si>
  <si>
    <t>25/07/2025 15:15</t>
  </si>
  <si>
    <t>25/07/2025 15:30</t>
  </si>
  <si>
    <t>25/07/2025 15:45</t>
  </si>
  <si>
    <t>25/07/2025 16:00</t>
  </si>
  <si>
    <t>25/07/2025 16:15</t>
  </si>
  <si>
    <t>25/07/2025 16:30</t>
  </si>
  <si>
    <t>25/07/2025 16:45</t>
  </si>
  <si>
    <t>25/07/2025 17:00</t>
  </si>
  <si>
    <t>25/07/2025 17:15</t>
  </si>
  <si>
    <t>25/07/2025 17:30</t>
  </si>
  <si>
    <t>25/07/2025 17:45</t>
  </si>
  <si>
    <t>25/07/2025 18:00</t>
  </si>
  <si>
    <t>25/07/2025 18:15</t>
  </si>
  <si>
    <t>25/07/2025 18:30</t>
  </si>
  <si>
    <t>25/07/2025 18:45</t>
  </si>
  <si>
    <t>25/07/2025 19:00</t>
  </si>
  <si>
    <t>25/07/2025 19:15</t>
  </si>
  <si>
    <t>25/07/2025 19:30</t>
  </si>
  <si>
    <t>25/07/2025 19:45</t>
  </si>
  <si>
    <t>25/07/2025 20:00</t>
  </si>
  <si>
    <t>25/07/2025 20:15</t>
  </si>
  <si>
    <t>25/07/2025 20:30</t>
  </si>
  <si>
    <t>25/07/2025 20:45</t>
  </si>
  <si>
    <t>25/07/2025 21:00</t>
  </si>
  <si>
    <t>25/07/2025 21:15</t>
  </si>
  <si>
    <t>25/07/2025 21:30</t>
  </si>
  <si>
    <t>25/07/2025 21:45</t>
  </si>
  <si>
    <t>25/07/2025 22:00</t>
  </si>
  <si>
    <t>25/07/2025 22:15</t>
  </si>
  <si>
    <t>25/07/2025 22:30</t>
  </si>
  <si>
    <t>25/07/2025 22:45</t>
  </si>
  <si>
    <t>25/07/2025 23:00</t>
  </si>
  <si>
    <t>25/07/2025 23:15</t>
  </si>
  <si>
    <t>25/07/2025 23:30</t>
  </si>
  <si>
    <t>25/07/2025 23:45</t>
  </si>
  <si>
    <t>25/07/2025 24:00</t>
  </si>
  <si>
    <t>26/07/2025 00:15</t>
  </si>
  <si>
    <t>26/07/2025 00:30</t>
  </si>
  <si>
    <t>26/07/2025 00:45</t>
  </si>
  <si>
    <t>26/07/2025 01:00</t>
  </si>
  <si>
    <t>26/07/2025 01:15</t>
  </si>
  <si>
    <t>26/07/2025 01:30</t>
  </si>
  <si>
    <t>26/07/2025 01:45</t>
  </si>
  <si>
    <t>26/07/2025 02:00</t>
  </si>
  <si>
    <t>26/07/2025 02:15</t>
  </si>
  <si>
    <t>26/07/2025 02:30</t>
  </si>
  <si>
    <t>26/07/2025 02:45</t>
  </si>
  <si>
    <t>26/07/2025 03:00</t>
  </si>
  <si>
    <t>26/07/2025 03:15</t>
  </si>
  <si>
    <t>26/07/2025 03:30</t>
  </si>
  <si>
    <t>26/07/2025 03:45</t>
  </si>
  <si>
    <t>26/07/2025 04:00</t>
  </si>
  <si>
    <t>26/07/2025 04:15</t>
  </si>
  <si>
    <t>26/07/2025 04:30</t>
  </si>
  <si>
    <t>26/07/2025 04:45</t>
  </si>
  <si>
    <t>26/07/2025 05:00</t>
  </si>
  <si>
    <t>26/07/2025 05:15</t>
  </si>
  <si>
    <t>26/07/2025 05:30</t>
  </si>
  <si>
    <t>26/07/2025 05:45</t>
  </si>
  <si>
    <t>26/07/2025 06:00</t>
  </si>
  <si>
    <t>26/07/2025 06:15</t>
  </si>
  <si>
    <t>26/07/2025 06:30</t>
  </si>
  <si>
    <t>26/07/2025 06:45</t>
  </si>
  <si>
    <t>26/07/2025 07:00</t>
  </si>
  <si>
    <t>26/07/2025 07:15</t>
  </si>
  <si>
    <t>26/07/2025 07:30</t>
  </si>
  <si>
    <t>26/07/2025 07:45</t>
  </si>
  <si>
    <t>26/07/2025 08:00</t>
  </si>
  <si>
    <t>26/07/2025 08:15</t>
  </si>
  <si>
    <t>26/07/2025 08:30</t>
  </si>
  <si>
    <t>26/07/2025 08:45</t>
  </si>
  <si>
    <t>26/07/2025 09:00</t>
  </si>
  <si>
    <t>26/07/2025 09:15</t>
  </si>
  <si>
    <t>26/07/2025 09:30</t>
  </si>
  <si>
    <t>26/07/2025 09:45</t>
  </si>
  <si>
    <t>26/07/2025 10:00</t>
  </si>
  <si>
    <t>26/07/2025 10:15</t>
  </si>
  <si>
    <t>26/07/2025 10:30</t>
  </si>
  <si>
    <t>26/07/2025 10:45</t>
  </si>
  <si>
    <t>26/07/2025 11:00</t>
  </si>
  <si>
    <t>26/07/2025 11:15</t>
  </si>
  <si>
    <t>26/07/2025 11:30</t>
  </si>
  <si>
    <t>26/07/2025 11:45</t>
  </si>
  <si>
    <t>26/07/2025 12:00</t>
  </si>
  <si>
    <t>26/07/2025 12:15</t>
  </si>
  <si>
    <t>26/07/2025 12:30</t>
  </si>
  <si>
    <t>26/07/2025 12:45</t>
  </si>
  <si>
    <t>26/07/2025 13:00</t>
  </si>
  <si>
    <t>26/07/2025 13:15</t>
  </si>
  <si>
    <t>26/07/2025 13:30</t>
  </si>
  <si>
    <t>26/07/2025 13:45</t>
  </si>
  <si>
    <t>26/07/2025 14:00</t>
  </si>
  <si>
    <t>26/07/2025 14:15</t>
  </si>
  <si>
    <t>26/07/2025 14:30</t>
  </si>
  <si>
    <t>26/07/2025 14:45</t>
  </si>
  <si>
    <t>26/07/2025 15:00</t>
  </si>
  <si>
    <t>26/07/2025 15:15</t>
  </si>
  <si>
    <t>26/07/2025 15:30</t>
  </si>
  <si>
    <t>26/07/2025 15:45</t>
  </si>
  <si>
    <t>26/07/2025 16:00</t>
  </si>
  <si>
    <t>26/07/2025 16:15</t>
  </si>
  <si>
    <t>26/07/2025 16:30</t>
  </si>
  <si>
    <t>26/07/2025 16:45</t>
  </si>
  <si>
    <t>26/07/2025 17:00</t>
  </si>
  <si>
    <t>26/07/2025 17:15</t>
  </si>
  <si>
    <t>26/07/2025 17:30</t>
  </si>
  <si>
    <t>26/07/2025 17:45</t>
  </si>
  <si>
    <t>26/07/2025 18:00</t>
  </si>
  <si>
    <t>26/07/2025 18:15</t>
  </si>
  <si>
    <t>26/07/2025 18:30</t>
  </si>
  <si>
    <t>26/07/2025 18:45</t>
  </si>
  <si>
    <t>26/07/2025 19:00</t>
  </si>
  <si>
    <t>26/07/2025 19:15</t>
  </si>
  <si>
    <t>26/07/2025 19:30</t>
  </si>
  <si>
    <t>26/07/2025 19:45</t>
  </si>
  <si>
    <t>26/07/2025 20:00</t>
  </si>
  <si>
    <t>26/07/2025 20:15</t>
  </si>
  <si>
    <t>26/07/2025 20:30</t>
  </si>
  <si>
    <t>26/07/2025 20:45</t>
  </si>
  <si>
    <t>26/07/2025 21:00</t>
  </si>
  <si>
    <t>26/07/2025 21:15</t>
  </si>
  <si>
    <t>26/07/2025 21:30</t>
  </si>
  <si>
    <t>26/07/2025 21:45</t>
  </si>
  <si>
    <t>26/07/2025 22:00</t>
  </si>
  <si>
    <t>26/07/2025 22:15</t>
  </si>
  <si>
    <t>26/07/2025 22:30</t>
  </si>
  <si>
    <t>26/07/2025 22:45</t>
  </si>
  <si>
    <t>26/07/2025 23:00</t>
  </si>
  <si>
    <t>26/07/2025 23:15</t>
  </si>
  <si>
    <t>26/07/2025 23:30</t>
  </si>
  <si>
    <t>26/07/2025 23:45</t>
  </si>
  <si>
    <t>26/07/2025 24:00</t>
  </si>
  <si>
    <t>27/07/2025 00:15</t>
  </si>
  <si>
    <t>27/07/2025 00:30</t>
  </si>
  <si>
    <t>27/07/2025 00:45</t>
  </si>
  <si>
    <t>27/07/2025 01:00</t>
  </si>
  <si>
    <t>27/07/2025 01:15</t>
  </si>
  <si>
    <t>27/07/2025 01:30</t>
  </si>
  <si>
    <t>27/07/2025 01:45</t>
  </si>
  <si>
    <t>27/07/2025 02:00</t>
  </si>
  <si>
    <t>27/07/2025 02:15</t>
  </si>
  <si>
    <t>27/07/2025 02:30</t>
  </si>
  <si>
    <t>27/07/2025 02:45</t>
  </si>
  <si>
    <t>27/07/2025 03:00</t>
  </si>
  <si>
    <t>27/07/2025 03:15</t>
  </si>
  <si>
    <t>27/07/2025 03:30</t>
  </si>
  <si>
    <t>27/07/2025 03:45</t>
  </si>
  <si>
    <t>27/07/2025 04:00</t>
  </si>
  <si>
    <t>27/07/2025 04:15</t>
  </si>
  <si>
    <t>27/07/2025 04:30</t>
  </si>
  <si>
    <t>27/07/2025 04:45</t>
  </si>
  <si>
    <t>27/07/2025 05:00</t>
  </si>
  <si>
    <t>27/07/2025 05:15</t>
  </si>
  <si>
    <t>27/07/2025 05:30</t>
  </si>
  <si>
    <t>27/07/2025 05:45</t>
  </si>
  <si>
    <t>27/07/2025 06:00</t>
  </si>
  <si>
    <t>27/07/2025 06:15</t>
  </si>
  <si>
    <t>27/07/2025 06:30</t>
  </si>
  <si>
    <t>27/07/2025 06:45</t>
  </si>
  <si>
    <t>27/07/2025 07:00</t>
  </si>
  <si>
    <t>27/07/2025 07:15</t>
  </si>
  <si>
    <t>27/07/2025 07:30</t>
  </si>
  <si>
    <t>27/07/2025 07:45</t>
  </si>
  <si>
    <t>27/07/2025 08:00</t>
  </si>
  <si>
    <t>27/07/2025 08:15</t>
  </si>
  <si>
    <t>27/07/2025 08:30</t>
  </si>
  <si>
    <t>27/07/2025 08:45</t>
  </si>
  <si>
    <t>27/07/2025 09:00</t>
  </si>
  <si>
    <t>27/07/2025 09:15</t>
  </si>
  <si>
    <t>27/07/2025 09:30</t>
  </si>
  <si>
    <t>27/07/2025 09:45</t>
  </si>
  <si>
    <t>27/07/2025 10:00</t>
  </si>
  <si>
    <t>27/07/2025 10:15</t>
  </si>
  <si>
    <t>27/07/2025 10:30</t>
  </si>
  <si>
    <t>27/07/2025 10:45</t>
  </si>
  <si>
    <t>27/07/2025 11:00</t>
  </si>
  <si>
    <t>27/07/2025 11:15</t>
  </si>
  <si>
    <t>27/07/2025 11:30</t>
  </si>
  <si>
    <t>27/07/2025 11:45</t>
  </si>
  <si>
    <t>27/07/2025 12:00</t>
  </si>
  <si>
    <t>27/07/2025 12:15</t>
  </si>
  <si>
    <t>27/07/2025 12:30</t>
  </si>
  <si>
    <t>27/07/2025 12:45</t>
  </si>
  <si>
    <t>27/07/2025 13:00</t>
  </si>
  <si>
    <t>27/07/2025 13:15</t>
  </si>
  <si>
    <t>27/07/2025 13:30</t>
  </si>
  <si>
    <t>27/07/2025 13:45</t>
  </si>
  <si>
    <t>27/07/2025 14:00</t>
  </si>
  <si>
    <t>27/07/2025 14:15</t>
  </si>
  <si>
    <t>27/07/2025 14:30</t>
  </si>
  <si>
    <t>27/07/2025 14:45</t>
  </si>
  <si>
    <t>27/07/2025 15:00</t>
  </si>
  <si>
    <t>27/07/2025 15:15</t>
  </si>
  <si>
    <t>27/07/2025 15:30</t>
  </si>
  <si>
    <t>27/07/2025 15:45</t>
  </si>
  <si>
    <t>27/07/2025 16:00</t>
  </si>
  <si>
    <t>27/07/2025 16:15</t>
  </si>
  <si>
    <t>27/07/2025 16:30</t>
  </si>
  <si>
    <t>27/07/2025 16:45</t>
  </si>
  <si>
    <t>27/07/2025 17:00</t>
  </si>
  <si>
    <t>27/07/2025 17:15</t>
  </si>
  <si>
    <t>27/07/2025 17:30</t>
  </si>
  <si>
    <t>27/07/2025 17:45</t>
  </si>
  <si>
    <t>27/07/2025 18:00</t>
  </si>
  <si>
    <t>27/07/2025 18:15</t>
  </si>
  <si>
    <t>27/07/2025 18:30</t>
  </si>
  <si>
    <t>27/07/2025 18:45</t>
  </si>
  <si>
    <t>27/07/2025 19:00</t>
  </si>
  <si>
    <t>27/07/2025 19:15</t>
  </si>
  <si>
    <t>27/07/2025 19:30</t>
  </si>
  <si>
    <t>27/07/2025 19:45</t>
  </si>
  <si>
    <t>27/07/2025 20:00</t>
  </si>
  <si>
    <t>27/07/2025 20:15</t>
  </si>
  <si>
    <t>27/07/2025 20:30</t>
  </si>
  <si>
    <t>27/07/2025 20:45</t>
  </si>
  <si>
    <t>27/07/2025 21:00</t>
  </si>
  <si>
    <t>27/07/2025 21:15</t>
  </si>
  <si>
    <t>27/07/2025 21:30</t>
  </si>
  <si>
    <t>27/07/2025 21:45</t>
  </si>
  <si>
    <t>27/07/2025 22:00</t>
  </si>
  <si>
    <t>27/07/2025 22:15</t>
  </si>
  <si>
    <t>27/07/2025 22:30</t>
  </si>
  <si>
    <t>27/07/2025 22:45</t>
  </si>
  <si>
    <t>27/07/2025 23:00</t>
  </si>
  <si>
    <t>27/07/2025 23:15</t>
  </si>
  <si>
    <t>27/07/2025 23:30</t>
  </si>
  <si>
    <t>27/07/2025 23:45</t>
  </si>
  <si>
    <t>27/07/2025 24:00</t>
  </si>
  <si>
    <t>28/07/2025 00:15</t>
  </si>
  <si>
    <t>28/07/2025 00:30</t>
  </si>
  <si>
    <t>28/07/2025 00:45</t>
  </si>
  <si>
    <t>28/07/2025 01:00</t>
  </si>
  <si>
    <t>28/07/2025 01:15</t>
  </si>
  <si>
    <t>28/07/2025 01:30</t>
  </si>
  <si>
    <t>28/07/2025 01:45</t>
  </si>
  <si>
    <t>28/07/2025 02:00</t>
  </si>
  <si>
    <t>28/07/2025 02:15</t>
  </si>
  <si>
    <t>28/07/2025 02:30</t>
  </si>
  <si>
    <t>28/07/2025 02:45</t>
  </si>
  <si>
    <t>28/07/2025 03:00</t>
  </si>
  <si>
    <t>28/07/2025 03:15</t>
  </si>
  <si>
    <t>28/07/2025 03:30</t>
  </si>
  <si>
    <t>28/07/2025 03:45</t>
  </si>
  <si>
    <t>28/07/2025 04:00</t>
  </si>
  <si>
    <t>28/07/2025 04:15</t>
  </si>
  <si>
    <t>28/07/2025 04:30</t>
  </si>
  <si>
    <t>28/07/2025 04:45</t>
  </si>
  <si>
    <t>28/07/2025 05:00</t>
  </si>
  <si>
    <t>28/07/2025 05:15</t>
  </si>
  <si>
    <t>28/07/2025 05:30</t>
  </si>
  <si>
    <t>28/07/2025 05:45</t>
  </si>
  <si>
    <t>28/07/2025 06:00</t>
  </si>
  <si>
    <t>28/07/2025 06:15</t>
  </si>
  <si>
    <t>28/07/2025 06:30</t>
  </si>
  <si>
    <t>28/07/2025 06:45</t>
  </si>
  <si>
    <t>28/07/2025 07:00</t>
  </si>
  <si>
    <t>28/07/2025 07:15</t>
  </si>
  <si>
    <t>28/07/2025 07:30</t>
  </si>
  <si>
    <t>28/07/2025 07:45</t>
  </si>
  <si>
    <t>28/07/2025 08:00</t>
  </si>
  <si>
    <t>28/07/2025 08:15</t>
  </si>
  <si>
    <t>28/07/2025 08:30</t>
  </si>
  <si>
    <t>28/07/2025 08:45</t>
  </si>
  <si>
    <t>28/07/2025 09:00</t>
  </si>
  <si>
    <t>28/07/2025 09:15</t>
  </si>
  <si>
    <t>28/07/2025 09:30</t>
  </si>
  <si>
    <t>28/07/2025 09:45</t>
  </si>
  <si>
    <t>28/07/2025 10:00</t>
  </si>
  <si>
    <t>28/07/2025 10:15</t>
  </si>
  <si>
    <t>28/07/2025 10:30</t>
  </si>
  <si>
    <t>28/07/2025 10:45</t>
  </si>
  <si>
    <t>28/07/2025 11:00</t>
  </si>
  <si>
    <t>28/07/2025 11:15</t>
  </si>
  <si>
    <t>28/07/2025 11:30</t>
  </si>
  <si>
    <t>28/07/2025 11:45</t>
  </si>
  <si>
    <t>28/07/2025 12:00</t>
  </si>
  <si>
    <t>28/07/2025 12:15</t>
  </si>
  <si>
    <t>28/07/2025 12:30</t>
  </si>
  <si>
    <t>28/07/2025 12:45</t>
  </si>
  <si>
    <t>28/07/2025 13:00</t>
  </si>
  <si>
    <t>28/07/2025 13:15</t>
  </si>
  <si>
    <t>28/07/2025 13:30</t>
  </si>
  <si>
    <t>28/07/2025 13:45</t>
  </si>
  <si>
    <t>28/07/2025 14:00</t>
  </si>
  <si>
    <t>28/07/2025 14:15</t>
  </si>
  <si>
    <t>28/07/2025 14:30</t>
  </si>
  <si>
    <t>28/07/2025 14:45</t>
  </si>
  <si>
    <t>28/07/2025 15:00</t>
  </si>
  <si>
    <t>28/07/2025 15:15</t>
  </si>
  <si>
    <t>28/07/2025 15:30</t>
  </si>
  <si>
    <t>28/07/2025 15:45</t>
  </si>
  <si>
    <t>28/07/2025 16:00</t>
  </si>
  <si>
    <t>28/07/2025 16:15</t>
  </si>
  <si>
    <t>28/07/2025 16:30</t>
  </si>
  <si>
    <t>28/07/2025 16:45</t>
  </si>
  <si>
    <t>28/07/2025 17:00</t>
  </si>
  <si>
    <t>28/07/2025 17:15</t>
  </si>
  <si>
    <t>28/07/2025 17:30</t>
  </si>
  <si>
    <t>28/07/2025 17:45</t>
  </si>
  <si>
    <t>28/07/2025 18:00</t>
  </si>
  <si>
    <t>28/07/2025 18:15</t>
  </si>
  <si>
    <t>28/07/2025 18:30</t>
  </si>
  <si>
    <t>28/07/2025 18:45</t>
  </si>
  <si>
    <t>28/07/2025 19:00</t>
  </si>
  <si>
    <t>28/07/2025 19:15</t>
  </si>
  <si>
    <t>28/07/2025 19:30</t>
  </si>
  <si>
    <t>28/07/2025 19:45</t>
  </si>
  <si>
    <t>28/07/2025 20:00</t>
  </si>
  <si>
    <t>28/07/2025 20:15</t>
  </si>
  <si>
    <t>28/07/2025 20:30</t>
  </si>
  <si>
    <t>28/07/2025 20:45</t>
  </si>
  <si>
    <t>28/07/2025 21:00</t>
  </si>
  <si>
    <t>28/07/2025 21:15</t>
  </si>
  <si>
    <t>28/07/2025 21:30</t>
  </si>
  <si>
    <t>28/07/2025 21:45</t>
  </si>
  <si>
    <t>28/07/2025 22:00</t>
  </si>
  <si>
    <t>28/07/2025 22:15</t>
  </si>
  <si>
    <t>28/07/2025 22:30</t>
  </si>
  <si>
    <t>28/07/2025 22:45</t>
  </si>
  <si>
    <t>28/07/2025 23:00</t>
  </si>
  <si>
    <t>28/07/2025 23:15</t>
  </si>
  <si>
    <t>28/07/2025 23:30</t>
  </si>
  <si>
    <t>28/07/2025 23:45</t>
  </si>
  <si>
    <t>28/07/2025 24:00</t>
  </si>
  <si>
    <t>29/07/2025 00:15</t>
  </si>
  <si>
    <t>29/07/2025 00:30</t>
  </si>
  <si>
    <t>29/07/2025 00:45</t>
  </si>
  <si>
    <t>29/07/2025 01:00</t>
  </si>
  <si>
    <t>29/07/2025 01:15</t>
  </si>
  <si>
    <t>29/07/2025 01:30</t>
  </si>
  <si>
    <t>29/07/2025 01:45</t>
  </si>
  <si>
    <t>29/07/2025 02:00</t>
  </si>
  <si>
    <t>29/07/2025 02:15</t>
  </si>
  <si>
    <t>29/07/2025 02:30</t>
  </si>
  <si>
    <t>29/07/2025 02:45</t>
  </si>
  <si>
    <t>29/07/2025 03:00</t>
  </si>
  <si>
    <t>29/07/2025 03:15</t>
  </si>
  <si>
    <t>29/07/2025 03:30</t>
  </si>
  <si>
    <t>29/07/2025 03:45</t>
  </si>
  <si>
    <t>29/07/2025 04:00</t>
  </si>
  <si>
    <t>29/07/2025 04:15</t>
  </si>
  <si>
    <t>29/07/2025 04:30</t>
  </si>
  <si>
    <t>29/07/2025 04:45</t>
  </si>
  <si>
    <t>29/07/2025 05:00</t>
  </si>
  <si>
    <t>29/07/2025 05:15</t>
  </si>
  <si>
    <t>29/07/2025 05:30</t>
  </si>
  <si>
    <t>29/07/2025 05:45</t>
  </si>
  <si>
    <t>29/07/2025 06:00</t>
  </si>
  <si>
    <t>29/07/2025 06:15</t>
  </si>
  <si>
    <t>29/07/2025 06:30</t>
  </si>
  <si>
    <t>29/07/2025 06:45</t>
  </si>
  <si>
    <t>29/07/2025 07:00</t>
  </si>
  <si>
    <t>29/07/2025 07:15</t>
  </si>
  <si>
    <t>29/07/2025 07:30</t>
  </si>
  <si>
    <t>29/07/2025 07:45</t>
  </si>
  <si>
    <t>29/07/2025 08:00</t>
  </si>
  <si>
    <t>29/07/2025 08:15</t>
  </si>
  <si>
    <t>29/07/2025 08:30</t>
  </si>
  <si>
    <t>29/07/2025 08:45</t>
  </si>
  <si>
    <t>29/07/2025 09:00</t>
  </si>
  <si>
    <t>29/07/2025 09:15</t>
  </si>
  <si>
    <t>29/07/2025 09:30</t>
  </si>
  <si>
    <t>29/07/2025 09:45</t>
  </si>
  <si>
    <t>29/07/2025 10:00</t>
  </si>
  <si>
    <t>29/07/2025 10:15</t>
  </si>
  <si>
    <t>29/07/2025 10:30</t>
  </si>
  <si>
    <t>29/07/2025 10:45</t>
  </si>
  <si>
    <t>29/07/2025 11:00</t>
  </si>
  <si>
    <t>29/07/2025 11:15</t>
  </si>
  <si>
    <t>29/07/2025 11:30</t>
  </si>
  <si>
    <t>29/07/2025 11:45</t>
  </si>
  <si>
    <t>29/07/2025 12:00</t>
  </si>
  <si>
    <t>29/07/2025 12:15</t>
  </si>
  <si>
    <t>29/07/2025 12:30</t>
  </si>
  <si>
    <t>29/07/2025 12:45</t>
  </si>
  <si>
    <t>29/07/2025 13:00</t>
  </si>
  <si>
    <t>29/07/2025 13:15</t>
  </si>
  <si>
    <t>29/07/2025 13:30</t>
  </si>
  <si>
    <t>29/07/2025 13:45</t>
  </si>
  <si>
    <t>29/07/2025 14:00</t>
  </si>
  <si>
    <t>29/07/2025 14:15</t>
  </si>
  <si>
    <t>29/07/2025 14:30</t>
  </si>
  <si>
    <t>29/07/2025 14:45</t>
  </si>
  <si>
    <t>29/07/2025 15:00</t>
  </si>
  <si>
    <t>29/07/2025 15:15</t>
  </si>
  <si>
    <t>29/07/2025 15:30</t>
  </si>
  <si>
    <t>29/07/2025 15:45</t>
  </si>
  <si>
    <t>29/07/2025 16:00</t>
  </si>
  <si>
    <t>29/07/2025 16:15</t>
  </si>
  <si>
    <t>29/07/2025 16:30</t>
  </si>
  <si>
    <t>29/07/2025 16:45</t>
  </si>
  <si>
    <t>29/07/2025 17:00</t>
  </si>
  <si>
    <t>29/07/2025 17:15</t>
  </si>
  <si>
    <t>29/07/2025 17:30</t>
  </si>
  <si>
    <t>29/07/2025 17:45</t>
  </si>
  <si>
    <t>29/07/2025 18:00</t>
  </si>
  <si>
    <t>29/07/2025 18:15</t>
  </si>
  <si>
    <t>29/07/2025 18:30</t>
  </si>
  <si>
    <t>29/07/2025 18:45</t>
  </si>
  <si>
    <t>29/07/2025 19:00</t>
  </si>
  <si>
    <t>29/07/2025 19:15</t>
  </si>
  <si>
    <t>29/07/2025 19:30</t>
  </si>
  <si>
    <t>29/07/2025 19:45</t>
  </si>
  <si>
    <t>29/07/2025 20:00</t>
  </si>
  <si>
    <t>29/07/2025 20:15</t>
  </si>
  <si>
    <t>29/07/2025 20:30</t>
  </si>
  <si>
    <t>29/07/2025 20:45</t>
  </si>
  <si>
    <t>29/07/2025 21:00</t>
  </si>
  <si>
    <t>29/07/2025 21:15</t>
  </si>
  <si>
    <t>29/07/2025 21:30</t>
  </si>
  <si>
    <t>29/07/2025 21:45</t>
  </si>
  <si>
    <t>29/07/2025 22:00</t>
  </si>
  <si>
    <t>29/07/2025 22:15</t>
  </si>
  <si>
    <t>29/07/2025 22:30</t>
  </si>
  <si>
    <t>29/07/2025 22:45</t>
  </si>
  <si>
    <t>29/07/2025 23:00</t>
  </si>
  <si>
    <t>29/07/2025 23:15</t>
  </si>
  <si>
    <t>29/07/2025 23:30</t>
  </si>
  <si>
    <t>29/07/2025 23:45</t>
  </si>
  <si>
    <t>29/07/2025 24:00</t>
  </si>
  <si>
    <t>30/07/2025 00:15</t>
  </si>
  <si>
    <t>30/07/2025 00:30</t>
  </si>
  <si>
    <t>30/07/2025 00:45</t>
  </si>
  <si>
    <t>30/07/2025 01:00</t>
  </si>
  <si>
    <t>30/07/2025 01:15</t>
  </si>
  <si>
    <t>30/07/2025 01:30</t>
  </si>
  <si>
    <t>30/07/2025 01:45</t>
  </si>
  <si>
    <t>30/07/2025 02:00</t>
  </si>
  <si>
    <t>30/07/2025 02:15</t>
  </si>
  <si>
    <t>30/07/2025 02:30</t>
  </si>
  <si>
    <t>30/07/2025 02:45</t>
  </si>
  <si>
    <t>30/07/2025 03:00</t>
  </si>
  <si>
    <t>30/07/2025 03:15</t>
  </si>
  <si>
    <t>30/07/2025 03:30</t>
  </si>
  <si>
    <t>30/07/2025 03:45</t>
  </si>
  <si>
    <t>30/07/2025 04:00</t>
  </si>
  <si>
    <t>30/07/2025 04:15</t>
  </si>
  <si>
    <t>30/07/2025 04:30</t>
  </si>
  <si>
    <t>30/07/2025 04:45</t>
  </si>
  <si>
    <t>30/07/2025 05:00</t>
  </si>
  <si>
    <t>30/07/2025 05:15</t>
  </si>
  <si>
    <t>30/07/2025 05:30</t>
  </si>
  <si>
    <t>30/07/2025 05:45</t>
  </si>
  <si>
    <t>30/07/2025 06:00</t>
  </si>
  <si>
    <t>30/07/2025 06:15</t>
  </si>
  <si>
    <t>30/07/2025 06:30</t>
  </si>
  <si>
    <t>30/07/2025 06:45</t>
  </si>
  <si>
    <t>30/07/2025 07:00</t>
  </si>
  <si>
    <t>30/07/2025 07:15</t>
  </si>
  <si>
    <t>30/07/2025 07:30</t>
  </si>
  <si>
    <t>30/07/2025 07:45</t>
  </si>
  <si>
    <t>30/07/2025 08:00</t>
  </si>
  <si>
    <t>30/07/2025 08:15</t>
  </si>
  <si>
    <t>30/07/2025 08:30</t>
  </si>
  <si>
    <t>30/07/2025 08:45</t>
  </si>
  <si>
    <t>30/07/2025 09:00</t>
  </si>
  <si>
    <t>30/07/2025 09:15</t>
  </si>
  <si>
    <t>30/07/2025 09:30</t>
  </si>
  <si>
    <t>30/07/2025 09:45</t>
  </si>
  <si>
    <t>30/07/2025 10:00</t>
  </si>
  <si>
    <t>30/07/2025 10:15</t>
  </si>
  <si>
    <t>30/07/2025 10:30</t>
  </si>
  <si>
    <t>30/07/2025 10:45</t>
  </si>
  <si>
    <t>30/07/2025 11:00</t>
  </si>
  <si>
    <t>30/07/2025 11:15</t>
  </si>
  <si>
    <t>30/07/2025 11:30</t>
  </si>
  <si>
    <t>30/07/2025 11:45</t>
  </si>
  <si>
    <t>30/07/2025 12:00</t>
  </si>
  <si>
    <t>30/07/2025 12:15</t>
  </si>
  <si>
    <t>30/07/2025 12:30</t>
  </si>
  <si>
    <t>30/07/2025 12:45</t>
  </si>
  <si>
    <t>30/07/2025 13:00</t>
  </si>
  <si>
    <t>30/07/2025 13:15</t>
  </si>
  <si>
    <t>30/07/2025 13:30</t>
  </si>
  <si>
    <t>30/07/2025 13:45</t>
  </si>
  <si>
    <t>30/07/2025 14:00</t>
  </si>
  <si>
    <t>30/07/2025 14:15</t>
  </si>
  <si>
    <t>30/07/2025 14:30</t>
  </si>
  <si>
    <t>30/07/2025 14:45</t>
  </si>
  <si>
    <t>30/07/2025 15:00</t>
  </si>
  <si>
    <t>30/07/2025 15:15</t>
  </si>
  <si>
    <t>30/07/2025 15:30</t>
  </si>
  <si>
    <t>30/07/2025 15:45</t>
  </si>
  <si>
    <t>30/07/2025 16:00</t>
  </si>
  <si>
    <t>30/07/2025 16:15</t>
  </si>
  <si>
    <t>30/07/2025 16:30</t>
  </si>
  <si>
    <t>30/07/2025 16:45</t>
  </si>
  <si>
    <t>30/07/2025 17:00</t>
  </si>
  <si>
    <t>30/07/2025 17:15</t>
  </si>
  <si>
    <t>30/07/2025 17:30</t>
  </si>
  <si>
    <t>30/07/2025 17:45</t>
  </si>
  <si>
    <t>30/07/2025 18:00</t>
  </si>
  <si>
    <t>30/07/2025 18:15</t>
  </si>
  <si>
    <t>30/07/2025 18:30</t>
  </si>
  <si>
    <t>30/07/2025 18:45</t>
  </si>
  <si>
    <t>30/07/2025 19:00</t>
  </si>
  <si>
    <t>30/07/2025 19:15</t>
  </si>
  <si>
    <t>30/07/2025 19:30</t>
  </si>
  <si>
    <t>30/07/2025 19:45</t>
  </si>
  <si>
    <t>30/07/2025 20:00</t>
  </si>
  <si>
    <t>30/07/2025 20:15</t>
  </si>
  <si>
    <t>30/07/2025 20:30</t>
  </si>
  <si>
    <t>30/07/2025 20:45</t>
  </si>
  <si>
    <t>30/07/2025 21:00</t>
  </si>
  <si>
    <t>30/07/2025 21:15</t>
  </si>
  <si>
    <t>30/07/2025 21:30</t>
  </si>
  <si>
    <t>30/07/2025 21:45</t>
  </si>
  <si>
    <t>30/07/2025 22:00</t>
  </si>
  <si>
    <t>30/07/2025 22:15</t>
  </si>
  <si>
    <t>30/07/2025 22:30</t>
  </si>
  <si>
    <t>30/07/2025 22:45</t>
  </si>
  <si>
    <t>30/07/2025 23:00</t>
  </si>
  <si>
    <t>30/07/2025 23:15</t>
  </si>
  <si>
    <t>30/07/2025 23:30</t>
  </si>
  <si>
    <t>30/07/2025 23:45</t>
  </si>
  <si>
    <t>30/07/2025 24:00</t>
  </si>
  <si>
    <t>31/07/2025 00:15</t>
  </si>
  <si>
    <t>31/07/2025 00:30</t>
  </si>
  <si>
    <t>31/07/2025 00:45</t>
  </si>
  <si>
    <t>31/07/2025 01:00</t>
  </si>
  <si>
    <t>31/07/2025 01:15</t>
  </si>
  <si>
    <t>31/07/2025 01:30</t>
  </si>
  <si>
    <t>31/07/2025 01:45</t>
  </si>
  <si>
    <t>31/07/2025 02:00</t>
  </si>
  <si>
    <t>31/07/2025 02:15</t>
  </si>
  <si>
    <t>31/07/2025 02:30</t>
  </si>
  <si>
    <t>31/07/2025 02:45</t>
  </si>
  <si>
    <t>31/07/2025 03:00</t>
  </si>
  <si>
    <t>31/07/2025 03:15</t>
  </si>
  <si>
    <t>31/07/2025 03:30</t>
  </si>
  <si>
    <t>31/07/2025 03:45</t>
  </si>
  <si>
    <t>31/07/2025 04:00</t>
  </si>
  <si>
    <t>31/07/2025 04:15</t>
  </si>
  <si>
    <t>31/07/2025 04:30</t>
  </si>
  <si>
    <t>31/07/2025 04:45</t>
  </si>
  <si>
    <t>31/07/2025 05:00</t>
  </si>
  <si>
    <t>31/07/2025 05:15</t>
  </si>
  <si>
    <t>31/07/2025 05:30</t>
  </si>
  <si>
    <t>31/07/2025 05:45</t>
  </si>
  <si>
    <t>31/07/2025 06:00</t>
  </si>
  <si>
    <t>31/07/2025 06:15</t>
  </si>
  <si>
    <t>31/07/2025 06:30</t>
  </si>
  <si>
    <t>31/07/2025 06:45</t>
  </si>
  <si>
    <t>31/07/2025 07:00</t>
  </si>
  <si>
    <t>31/07/2025 07:15</t>
  </si>
  <si>
    <t>31/07/2025 07:30</t>
  </si>
  <si>
    <t>31/07/2025 07:45</t>
  </si>
  <si>
    <t>31/07/2025 08:00</t>
  </si>
  <si>
    <t>31/07/2025 08:15</t>
  </si>
  <si>
    <t>31/07/2025 08:30</t>
  </si>
  <si>
    <t>31/07/2025 08:45</t>
  </si>
  <si>
    <t>31/07/2025 09:00</t>
  </si>
  <si>
    <t>31/07/2025 09:15</t>
  </si>
  <si>
    <t>31/07/2025 09:30</t>
  </si>
  <si>
    <t>31/07/2025 09:45</t>
  </si>
  <si>
    <t>31/07/2025 10:00</t>
  </si>
  <si>
    <t>31/07/2025 10:15</t>
  </si>
  <si>
    <t>31/07/2025 10:30</t>
  </si>
  <si>
    <t>31/07/2025 10:45</t>
  </si>
  <si>
    <t>31/07/2025 11:00</t>
  </si>
  <si>
    <t>31/07/2025 11:15</t>
  </si>
  <si>
    <t>31/07/2025 11:30</t>
  </si>
  <si>
    <t>31/07/2025 11:45</t>
  </si>
  <si>
    <t>31/07/2025 12:00</t>
  </si>
  <si>
    <t>31/07/2025 12:15</t>
  </si>
  <si>
    <t>31/07/2025 12:30</t>
  </si>
  <si>
    <t>31/07/2025 12:45</t>
  </si>
  <si>
    <t>31/07/2025 13:00</t>
  </si>
  <si>
    <t>31/07/2025 13:15</t>
  </si>
  <si>
    <t>31/07/2025 13:30</t>
  </si>
  <si>
    <t>31/07/2025 13:45</t>
  </si>
  <si>
    <t>31/07/2025 14:00</t>
  </si>
  <si>
    <t>31/07/2025 14:15</t>
  </si>
  <si>
    <t>31/07/2025 14:30</t>
  </si>
  <si>
    <t>31/07/2025 14:45</t>
  </si>
  <si>
    <t>31/07/2025 15:00</t>
  </si>
  <si>
    <t>31/07/2025 15:15</t>
  </si>
  <si>
    <t>31/07/2025 15:30</t>
  </si>
  <si>
    <t>31/07/2025 15:45</t>
  </si>
  <si>
    <t>31/07/2025 16:00</t>
  </si>
  <si>
    <t>31/07/2025 16:15</t>
  </si>
  <si>
    <t>31/07/2025 16:30</t>
  </si>
  <si>
    <t>31/07/2025 16:45</t>
  </si>
  <si>
    <t>31/07/2025 17:00</t>
  </si>
  <si>
    <t>31/07/2025 17:15</t>
  </si>
  <si>
    <t>31/07/2025 17:30</t>
  </si>
  <si>
    <t>31/07/2025 17:45</t>
  </si>
  <si>
    <t>31/07/2025 18:00</t>
  </si>
  <si>
    <t>31/07/2025 18:15</t>
  </si>
  <si>
    <t>31/07/2025 18:30</t>
  </si>
  <si>
    <t>31/07/2025 18:45</t>
  </si>
  <si>
    <t>31/07/2025 19:00</t>
  </si>
  <si>
    <t>31/07/2025 19:15</t>
  </si>
  <si>
    <t>31/07/2025 19:30</t>
  </si>
  <si>
    <t>31/07/2025 19:45</t>
  </si>
  <si>
    <t>31/07/2025 20:00</t>
  </si>
  <si>
    <t>31/07/2025 20:15</t>
  </si>
  <si>
    <t>31/07/2025 20:30</t>
  </si>
  <si>
    <t>31/07/2025 20:45</t>
  </si>
  <si>
    <t>31/07/2025 21:00</t>
  </si>
  <si>
    <t>31/07/2025 21:15</t>
  </si>
  <si>
    <t>31/07/2025 21:30</t>
  </si>
  <si>
    <t>31/07/2025 21:45</t>
  </si>
  <si>
    <t>31/07/2025 22:00</t>
  </si>
  <si>
    <t>31/07/2025 22:15</t>
  </si>
  <si>
    <t>31/07/2025 22:30</t>
  </si>
  <si>
    <t>31/07/2025 22:45</t>
  </si>
  <si>
    <t>31/07/2025 23:00</t>
  </si>
  <si>
    <t>31/07/2025 23:15</t>
  </si>
  <si>
    <t>31/07/2025 23:30</t>
  </si>
  <si>
    <t>31/07/2025 23:45</t>
  </si>
  <si>
    <t>31/07/2025 24:00</t>
  </si>
  <si>
    <t>Calibration report Of Bhatagaon, RAIPUR</t>
  </si>
  <si>
    <t>01/07/2025 - 31/07/2025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</si>
</sst>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244</v>
      </c>
      <c r="B9" s="64">
        <v>7.74</v>
      </c>
      <c r="C9" s="64">
        <v>12.02</v>
      </c>
      <c r="D9" s="64">
        <v>12.49</v>
      </c>
      <c r="E9" s="64">
        <v>5.19</v>
      </c>
      <c r="F9" s="64">
        <v>3.28</v>
      </c>
      <c r="G9" s="64">
        <v>27.09</v>
      </c>
      <c r="H9" s="64">
        <v>2.35</v>
      </c>
      <c r="I9" s="64">
        <v>0.94</v>
      </c>
      <c r="J9" s="64">
        <v>0.12</v>
      </c>
      <c r="K9" s="64">
        <v>311.5</v>
      </c>
      <c r="L9" s="64">
        <v>23.09</v>
      </c>
      <c r="M9" s="64">
        <v>97.58</v>
      </c>
      <c r="N9" s="64">
        <v>59.4</v>
      </c>
      <c r="O9" s="64">
        <v>0</v>
      </c>
      <c r="P9" s="64">
        <v>0.28000000000000003</v>
      </c>
      <c r="Q9" s="64">
        <v>9.09</v>
      </c>
      <c r="R9" s="198"/>
      <c r="S9" s="198"/>
      <c r="T9" s="198"/>
      <c r="U9" s="198"/>
    </row>
    <row r="10" spans="1:21" s="12" customFormat="1" x14ac:dyDescent="0.25">
      <c r="A10" s="213" t="s">
        <v>245</v>
      </c>
      <c r="B10" s="64">
        <v>7.41</v>
      </c>
      <c r="C10" s="64">
        <v>11.73</v>
      </c>
      <c r="D10" s="64">
        <v>12.07</v>
      </c>
      <c r="E10" s="64">
        <v>5.09</v>
      </c>
      <c r="F10" s="64">
        <v>3.59</v>
      </c>
      <c r="G10" s="64">
        <v>27.09</v>
      </c>
      <c r="H10" s="64">
        <v>2.35</v>
      </c>
      <c r="I10" s="64">
        <v>0.98</v>
      </c>
      <c r="J10" s="64">
        <v>0.13</v>
      </c>
      <c r="K10" s="64">
        <v>308.69</v>
      </c>
      <c r="L10" s="64">
        <v>23.13</v>
      </c>
      <c r="M10" s="64">
        <v>97.58</v>
      </c>
      <c r="N10" s="64">
        <v>59.5</v>
      </c>
      <c r="O10" s="64">
        <v>0</v>
      </c>
      <c r="P10" s="64">
        <v>0.3</v>
      </c>
      <c r="Q10" s="64">
        <v>9.07</v>
      </c>
      <c r="R10" s="198"/>
      <c r="S10" s="198"/>
      <c r="T10" s="198"/>
      <c r="U10" s="198"/>
    </row>
    <row r="11" spans="1:21" s="12" customFormat="1" x14ac:dyDescent="0.25">
      <c r="A11" s="213" t="s">
        <v>246</v>
      </c>
      <c r="B11" s="64">
        <v>7.2</v>
      </c>
      <c r="C11" s="64">
        <v>11.95</v>
      </c>
      <c r="D11" s="64">
        <v>12.02</v>
      </c>
      <c r="E11" s="64">
        <v>4.88</v>
      </c>
      <c r="F11" s="64">
        <v>2.78</v>
      </c>
      <c r="G11" s="64">
        <v>23.08</v>
      </c>
      <c r="H11" s="64">
        <v>1.86</v>
      </c>
      <c r="I11" s="64">
        <v>0.94</v>
      </c>
      <c r="J11" s="64">
        <v>0.12</v>
      </c>
      <c r="K11" s="64">
        <v>301.10000000000002</v>
      </c>
      <c r="L11" s="64">
        <v>23.15</v>
      </c>
      <c r="M11" s="64">
        <v>97.58</v>
      </c>
      <c r="N11" s="64">
        <v>59.4</v>
      </c>
      <c r="O11" s="64">
        <v>0</v>
      </c>
      <c r="P11" s="64">
        <v>0.27</v>
      </c>
      <c r="Q11" s="64">
        <v>9.06</v>
      </c>
      <c r="R11" s="198"/>
      <c r="S11" s="198"/>
      <c r="T11" s="198"/>
      <c r="U11" s="198"/>
    </row>
    <row r="12" spans="1:21" s="12" customFormat="1" x14ac:dyDescent="0.25">
      <c r="A12" s="213" t="s">
        <v>247</v>
      </c>
      <c r="B12" s="64">
        <v>7.2</v>
      </c>
      <c r="C12" s="64">
        <v>11.63</v>
      </c>
      <c r="D12" s="64">
        <v>11.85</v>
      </c>
      <c r="E12" s="64">
        <v>4.79</v>
      </c>
      <c r="F12" s="64">
        <v>3.61</v>
      </c>
      <c r="G12" s="64">
        <v>21.85</v>
      </c>
      <c r="H12" s="64">
        <v>1.69</v>
      </c>
      <c r="I12" s="64">
        <v>0.86</v>
      </c>
      <c r="J12" s="64">
        <v>0.12</v>
      </c>
      <c r="K12" s="64">
        <v>304.02</v>
      </c>
      <c r="L12" s="64">
        <v>23.14</v>
      </c>
      <c r="M12" s="64">
        <v>97.58</v>
      </c>
      <c r="N12" s="64">
        <v>59.5</v>
      </c>
      <c r="O12" s="64">
        <v>0</v>
      </c>
      <c r="P12" s="64">
        <v>0.28999999999999998</v>
      </c>
      <c r="Q12" s="64">
        <v>9.06</v>
      </c>
      <c r="R12" s="198"/>
      <c r="S12" s="198"/>
      <c r="T12" s="198"/>
      <c r="U12" s="198"/>
    </row>
    <row r="13" spans="1:21" s="12" customFormat="1" x14ac:dyDescent="0.25">
      <c r="A13" s="213" t="s">
        <v>248</v>
      </c>
      <c r="B13" s="64">
        <v>7.23</v>
      </c>
      <c r="C13" s="64">
        <v>11.95</v>
      </c>
      <c r="D13" s="64">
        <v>12.04</v>
      </c>
      <c r="E13" s="64">
        <v>5.19</v>
      </c>
      <c r="F13" s="64">
        <v>2.36</v>
      </c>
      <c r="G13" s="64">
        <v>21.85</v>
      </c>
      <c r="H13" s="64">
        <v>1.69</v>
      </c>
      <c r="I13" s="64">
        <v>0.9</v>
      </c>
      <c r="J13" s="64">
        <v>0.11</v>
      </c>
      <c r="K13" s="64">
        <v>308.83</v>
      </c>
      <c r="L13" s="64">
        <v>23.11</v>
      </c>
      <c r="M13" s="64">
        <v>97.58</v>
      </c>
      <c r="N13" s="64">
        <v>59.5</v>
      </c>
      <c r="O13" s="64">
        <v>0</v>
      </c>
      <c r="P13" s="64">
        <v>0.26</v>
      </c>
      <c r="Q13" s="64">
        <v>9.0500000000000007</v>
      </c>
      <c r="R13" s="198"/>
      <c r="S13" s="198"/>
      <c r="T13" s="198"/>
      <c r="U13" s="198"/>
    </row>
    <row r="14" spans="1:21" s="12" customFormat="1" x14ac:dyDescent="0.25">
      <c r="A14" s="213" t="s">
        <v>249</v>
      </c>
      <c r="B14" s="64">
        <v>7.23</v>
      </c>
      <c r="C14" s="64">
        <v>11.72</v>
      </c>
      <c r="D14" s="64">
        <v>11.92</v>
      </c>
      <c r="E14" s="64">
        <v>4.7699999999999996</v>
      </c>
      <c r="F14" s="64">
        <v>4.1399999999999997</v>
      </c>
      <c r="G14" s="64">
        <v>21.85</v>
      </c>
      <c r="H14" s="64">
        <v>1.69</v>
      </c>
      <c r="I14" s="64">
        <v>0.96</v>
      </c>
      <c r="J14" s="64">
        <v>0.16</v>
      </c>
      <c r="K14" s="64">
        <v>301.2</v>
      </c>
      <c r="L14" s="64">
        <v>23.13</v>
      </c>
      <c r="M14" s="64">
        <v>97.58</v>
      </c>
      <c r="N14" s="64">
        <v>59.5</v>
      </c>
      <c r="O14" s="64">
        <v>0</v>
      </c>
      <c r="P14" s="64">
        <v>0.28000000000000003</v>
      </c>
      <c r="Q14" s="64">
        <v>9.0299999999999994</v>
      </c>
      <c r="R14" s="198"/>
      <c r="S14" s="198"/>
      <c r="T14" s="198"/>
      <c r="U14" s="198"/>
    </row>
    <row r="15" spans="1:21" s="12" customFormat="1" x14ac:dyDescent="0.25">
      <c r="A15" s="213" t="s">
        <v>250</v>
      </c>
      <c r="B15" s="64">
        <v>7.14</v>
      </c>
      <c r="C15" s="64">
        <v>12.23</v>
      </c>
      <c r="D15" s="64">
        <v>12.12</v>
      </c>
      <c r="E15" s="64">
        <v>4.72</v>
      </c>
      <c r="F15" s="64">
        <v>3.21</v>
      </c>
      <c r="G15" s="64">
        <v>25.55</v>
      </c>
      <c r="H15" s="64">
        <v>1.36</v>
      </c>
      <c r="I15" s="64">
        <v>0.96</v>
      </c>
      <c r="J15" s="64">
        <v>0.13</v>
      </c>
      <c r="K15" s="64">
        <v>303.72000000000003</v>
      </c>
      <c r="L15" s="64">
        <v>23.16</v>
      </c>
      <c r="M15" s="64">
        <v>97.58</v>
      </c>
      <c r="N15" s="64">
        <v>59.5</v>
      </c>
      <c r="O15" s="64">
        <v>0</v>
      </c>
      <c r="P15" s="64">
        <v>0.33</v>
      </c>
      <c r="Q15" s="64">
        <v>9.0399999999999991</v>
      </c>
      <c r="R15" s="198"/>
      <c r="S15" s="198"/>
      <c r="T15" s="198"/>
      <c r="U15" s="198"/>
    </row>
    <row r="16" spans="1:21" s="12" customFormat="1" x14ac:dyDescent="0.25">
      <c r="A16" s="213" t="s">
        <v>251</v>
      </c>
      <c r="B16" s="64">
        <v>6.73</v>
      </c>
      <c r="C16" s="64">
        <v>13.64</v>
      </c>
      <c r="D16" s="64">
        <v>12.53</v>
      </c>
      <c r="E16" s="64">
        <v>5.09</v>
      </c>
      <c r="F16" s="64">
        <v>4.93</v>
      </c>
      <c r="G16" s="64">
        <v>26.74</v>
      </c>
      <c r="H16" s="64">
        <v>1.25</v>
      </c>
      <c r="I16" s="64">
        <v>1.03</v>
      </c>
      <c r="J16" s="64">
        <v>0.09</v>
      </c>
      <c r="K16" s="64">
        <v>314.85000000000002</v>
      </c>
      <c r="L16" s="64">
        <v>23.1</v>
      </c>
      <c r="M16" s="64">
        <v>97.58</v>
      </c>
      <c r="N16" s="64">
        <v>59.5</v>
      </c>
      <c r="O16" s="64">
        <v>0</v>
      </c>
      <c r="P16" s="64">
        <v>0.36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3" t="s">
        <v>252</v>
      </c>
      <c r="B17" s="64">
        <v>6.84</v>
      </c>
      <c r="C17" s="64">
        <v>12.84</v>
      </c>
      <c r="D17" s="64">
        <v>12.19</v>
      </c>
      <c r="E17" s="64">
        <v>4.87</v>
      </c>
      <c r="F17" s="64">
        <v>4.96</v>
      </c>
      <c r="G17" s="64">
        <v>26.74</v>
      </c>
      <c r="H17" s="64">
        <v>1.25</v>
      </c>
      <c r="I17" s="64">
        <v>1.1399999999999999</v>
      </c>
      <c r="J17" s="64">
        <v>0.11</v>
      </c>
      <c r="K17" s="64">
        <v>318.08999999999997</v>
      </c>
      <c r="L17" s="64">
        <v>23.02</v>
      </c>
      <c r="M17" s="64">
        <v>97.58</v>
      </c>
      <c r="N17" s="64">
        <v>59.5</v>
      </c>
      <c r="O17" s="64">
        <v>0</v>
      </c>
      <c r="P17" s="64">
        <v>0.31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3" t="s">
        <v>253</v>
      </c>
      <c r="B18" s="64">
        <v>7.04</v>
      </c>
      <c r="C18" s="64">
        <v>11.89</v>
      </c>
      <c r="D18" s="64">
        <v>11.86</v>
      </c>
      <c r="E18" s="64">
        <v>5.07</v>
      </c>
      <c r="F18" s="64">
        <v>4.5999999999999996</v>
      </c>
      <c r="G18" s="64">
        <v>26.74</v>
      </c>
      <c r="H18" s="64">
        <v>1.25</v>
      </c>
      <c r="I18" s="64">
        <v>1.2</v>
      </c>
      <c r="J18" s="64">
        <v>0.1</v>
      </c>
      <c r="K18" s="64">
        <v>300.31</v>
      </c>
      <c r="L18" s="64">
        <v>23.02</v>
      </c>
      <c r="M18" s="64">
        <v>97.58</v>
      </c>
      <c r="N18" s="64">
        <v>59.5</v>
      </c>
      <c r="O18" s="64">
        <v>0</v>
      </c>
      <c r="P18" s="64">
        <v>0.31</v>
      </c>
      <c r="Q18" s="64">
        <v>9.09</v>
      </c>
      <c r="R18" s="198"/>
      <c r="S18" s="198"/>
      <c r="T18" s="198"/>
      <c r="U18" s="198"/>
    </row>
    <row r="19" spans="1:21" s="12" customFormat="1" x14ac:dyDescent="0.25">
      <c r="A19" s="213" t="s">
        <v>254</v>
      </c>
      <c r="B19" s="64">
        <v>7.06</v>
      </c>
      <c r="C19" s="64">
        <v>11.65</v>
      </c>
      <c r="D19" s="64">
        <v>11.75</v>
      </c>
      <c r="E19" s="64">
        <v>4.99</v>
      </c>
      <c r="F19" s="64">
        <v>4.67</v>
      </c>
      <c r="G19" s="64">
        <v>25.29</v>
      </c>
      <c r="H19" s="64">
        <v>2.16</v>
      </c>
      <c r="I19" s="64">
        <v>1.21</v>
      </c>
      <c r="J19" s="64">
        <v>0.15</v>
      </c>
      <c r="K19" s="64">
        <v>298.37</v>
      </c>
      <c r="L19" s="64">
        <v>23.03</v>
      </c>
      <c r="M19" s="64">
        <v>97.58</v>
      </c>
      <c r="N19" s="64">
        <v>59.5</v>
      </c>
      <c r="O19" s="64">
        <v>0</v>
      </c>
      <c r="P19" s="64">
        <v>0.3</v>
      </c>
      <c r="Q19" s="64">
        <v>9.09</v>
      </c>
      <c r="R19" s="198"/>
      <c r="S19" s="198"/>
      <c r="T19" s="198"/>
      <c r="U19" s="198"/>
    </row>
    <row r="20" spans="1:21" s="12" customFormat="1" x14ac:dyDescent="0.25">
      <c r="A20" s="213" t="s">
        <v>255</v>
      </c>
      <c r="B20" s="64">
        <v>7.24</v>
      </c>
      <c r="C20" s="64">
        <v>11.4</v>
      </c>
      <c r="D20" s="64">
        <v>11.76</v>
      </c>
      <c r="E20" s="64">
        <v>5.42</v>
      </c>
      <c r="F20" s="64">
        <v>3.06</v>
      </c>
      <c r="G20" s="64">
        <v>24.82</v>
      </c>
      <c r="H20" s="64">
        <v>2.46</v>
      </c>
      <c r="I20" s="64">
        <v>1.2</v>
      </c>
      <c r="J20" s="64">
        <v>0.15</v>
      </c>
      <c r="K20" s="64">
        <v>298.72000000000003</v>
      </c>
      <c r="L20" s="64">
        <v>23.07</v>
      </c>
      <c r="M20" s="64">
        <v>97.58</v>
      </c>
      <c r="N20" s="64">
        <v>59.5</v>
      </c>
      <c r="O20" s="64">
        <v>0</v>
      </c>
      <c r="P20" s="64">
        <v>0.28999999999999998</v>
      </c>
      <c r="Q20" s="64">
        <v>9.1</v>
      </c>
      <c r="R20" s="198"/>
      <c r="S20" s="198"/>
      <c r="T20" s="198"/>
      <c r="U20" s="198"/>
    </row>
    <row r="21" spans="1:21" s="12" customFormat="1" x14ac:dyDescent="0.25">
      <c r="A21" s="213" t="s">
        <v>256</v>
      </c>
      <c r="B21" s="64">
        <v>7.28</v>
      </c>
      <c r="C21" s="64">
        <v>11.32</v>
      </c>
      <c r="D21" s="64">
        <v>11.75</v>
      </c>
      <c r="E21" s="64">
        <v>5</v>
      </c>
      <c r="F21" s="64">
        <v>3.39</v>
      </c>
      <c r="G21" s="64">
        <v>24.82</v>
      </c>
      <c r="H21" s="64">
        <v>2.46</v>
      </c>
      <c r="I21" s="64">
        <v>1.17</v>
      </c>
      <c r="J21" s="64">
        <v>0.19</v>
      </c>
      <c r="K21" s="64">
        <v>299.49</v>
      </c>
      <c r="L21" s="64">
        <v>23.04</v>
      </c>
      <c r="M21" s="64">
        <v>97.58</v>
      </c>
      <c r="N21" s="64">
        <v>59.4</v>
      </c>
      <c r="O21" s="64">
        <v>0</v>
      </c>
      <c r="P21" s="64">
        <v>0.28999999999999998</v>
      </c>
      <c r="Q21" s="64">
        <v>9.1</v>
      </c>
      <c r="R21" s="198"/>
      <c r="S21" s="198"/>
      <c r="T21" s="198"/>
      <c r="U21" s="198"/>
    </row>
    <row r="22" spans="1:21" s="12" customFormat="1" x14ac:dyDescent="0.25">
      <c r="A22" s="213" t="s">
        <v>257</v>
      </c>
      <c r="B22" s="64">
        <v>7.03</v>
      </c>
      <c r="C22" s="64">
        <v>11.37</v>
      </c>
      <c r="D22" s="64">
        <v>11.58</v>
      </c>
      <c r="E22" s="64">
        <v>5.1100000000000003</v>
      </c>
      <c r="F22" s="64">
        <v>3.57</v>
      </c>
      <c r="G22" s="64">
        <v>24.82</v>
      </c>
      <c r="H22" s="64">
        <v>2.46</v>
      </c>
      <c r="I22" s="64">
        <v>1.1299999999999999</v>
      </c>
      <c r="J22" s="64">
        <v>0.17</v>
      </c>
      <c r="K22" s="64">
        <v>298.2</v>
      </c>
      <c r="L22" s="64">
        <v>23.01</v>
      </c>
      <c r="M22" s="64">
        <v>97.58</v>
      </c>
      <c r="N22" s="64">
        <v>59.2</v>
      </c>
      <c r="O22" s="64">
        <v>0</v>
      </c>
      <c r="P22" s="64">
        <v>0.27</v>
      </c>
      <c r="Q22" s="64">
        <v>9.09</v>
      </c>
      <c r="R22" s="198"/>
      <c r="S22" s="198"/>
      <c r="T22" s="198"/>
      <c r="U22" s="198"/>
    </row>
    <row r="23" spans="1:21" s="12" customFormat="1" x14ac:dyDescent="0.25">
      <c r="A23" s="213" t="s">
        <v>258</v>
      </c>
      <c r="B23" s="64">
        <v>6.76</v>
      </c>
      <c r="C23" s="64">
        <v>11.43</v>
      </c>
      <c r="D23" s="64">
        <v>11.39</v>
      </c>
      <c r="E23" s="64">
        <v>4.88</v>
      </c>
      <c r="F23" s="64">
        <v>4.42</v>
      </c>
      <c r="G23" s="64">
        <v>24.01</v>
      </c>
      <c r="H23" s="64">
        <v>3.51</v>
      </c>
      <c r="I23" s="64">
        <v>1.0900000000000001</v>
      </c>
      <c r="J23" s="64">
        <v>0.19</v>
      </c>
      <c r="K23" s="64">
        <v>298.64</v>
      </c>
      <c r="L23" s="64">
        <v>23</v>
      </c>
      <c r="M23" s="64">
        <v>97.58</v>
      </c>
      <c r="N23" s="64">
        <v>59.5</v>
      </c>
      <c r="O23" s="64">
        <v>0</v>
      </c>
      <c r="P23" s="64">
        <v>0.27</v>
      </c>
      <c r="Q23" s="64">
        <v>9.07</v>
      </c>
      <c r="R23" s="198"/>
      <c r="S23" s="198"/>
      <c r="T23" s="198"/>
      <c r="U23" s="198"/>
    </row>
    <row r="24" spans="1:21" s="12" customFormat="1" x14ac:dyDescent="0.25">
      <c r="A24" s="213" t="s">
        <v>259</v>
      </c>
      <c r="B24" s="64">
        <v>6.74</v>
      </c>
      <c r="C24" s="64">
        <v>11.41</v>
      </c>
      <c r="D24" s="64">
        <v>11.36</v>
      </c>
      <c r="E24" s="64">
        <v>5.28</v>
      </c>
      <c r="F24" s="64">
        <v>3.4</v>
      </c>
      <c r="G24" s="64">
        <v>23.75</v>
      </c>
      <c r="H24" s="64">
        <v>3.85</v>
      </c>
      <c r="I24" s="64">
        <v>1.03</v>
      </c>
      <c r="J24" s="64">
        <v>0.2</v>
      </c>
      <c r="K24" s="64">
        <v>302.19</v>
      </c>
      <c r="L24" s="64">
        <v>22.99</v>
      </c>
      <c r="M24" s="64">
        <v>97.58</v>
      </c>
      <c r="N24" s="64">
        <v>59.5</v>
      </c>
      <c r="O24" s="64">
        <v>0</v>
      </c>
      <c r="P24" s="64">
        <v>0.26</v>
      </c>
      <c r="Q24" s="64">
        <v>9.06</v>
      </c>
      <c r="R24" s="198"/>
      <c r="S24" s="198"/>
      <c r="T24" s="198"/>
      <c r="U24" s="198"/>
    </row>
    <row r="25" spans="1:21" s="12" customFormat="1" x14ac:dyDescent="0.25">
      <c r="A25" s="213" t="s">
        <v>260</v>
      </c>
      <c r="B25" s="64">
        <v>6.71</v>
      </c>
      <c r="C25" s="64">
        <v>11.51</v>
      </c>
      <c r="D25" s="64">
        <v>11.39</v>
      </c>
      <c r="E25" s="64">
        <v>5.18</v>
      </c>
      <c r="F25" s="64">
        <v>3.44</v>
      </c>
      <c r="G25" s="64">
        <v>23.75</v>
      </c>
      <c r="H25" s="64">
        <v>3.85</v>
      </c>
      <c r="I25" s="64">
        <v>0.97</v>
      </c>
      <c r="J25" s="64">
        <v>0.18</v>
      </c>
      <c r="K25" s="64">
        <v>301.81</v>
      </c>
      <c r="L25" s="64">
        <v>22.97</v>
      </c>
      <c r="M25" s="64">
        <v>97.58</v>
      </c>
      <c r="N25" s="64">
        <v>59.6</v>
      </c>
      <c r="O25" s="64">
        <v>0</v>
      </c>
      <c r="P25" s="64">
        <v>0.24</v>
      </c>
      <c r="Q25" s="64">
        <v>9.0399999999999991</v>
      </c>
      <c r="R25" s="198"/>
      <c r="S25" s="198"/>
      <c r="T25" s="198"/>
      <c r="U25" s="198"/>
    </row>
    <row r="26" spans="1:21" s="12" customFormat="1" x14ac:dyDescent="0.25">
      <c r="A26" s="213" t="s">
        <v>261</v>
      </c>
      <c r="B26" s="64">
        <v>6.47</v>
      </c>
      <c r="C26" s="64">
        <v>11.42</v>
      </c>
      <c r="D26" s="64">
        <v>11.16</v>
      </c>
      <c r="E26" s="64">
        <v>5.14</v>
      </c>
      <c r="F26" s="64">
        <v>2.97</v>
      </c>
      <c r="G26" s="64">
        <v>23.75</v>
      </c>
      <c r="H26" s="64">
        <v>3.85</v>
      </c>
      <c r="I26" s="64">
        <v>0.92</v>
      </c>
      <c r="J26" s="64">
        <v>0.22</v>
      </c>
      <c r="K26" s="64">
        <v>301.99</v>
      </c>
      <c r="L26" s="64">
        <v>22.8</v>
      </c>
      <c r="M26" s="64">
        <v>97.6</v>
      </c>
      <c r="N26" s="64">
        <v>59.8</v>
      </c>
      <c r="O26" s="64">
        <v>0.4</v>
      </c>
      <c r="P26" s="64">
        <v>0.23</v>
      </c>
      <c r="Q26" s="64">
        <v>9.02</v>
      </c>
      <c r="R26" s="198"/>
      <c r="S26" s="198"/>
      <c r="T26" s="198"/>
      <c r="U26" s="198"/>
    </row>
    <row r="27" spans="1:21" s="12" customFormat="1" x14ac:dyDescent="0.25">
      <c r="A27" s="213" t="s">
        <v>262</v>
      </c>
      <c r="B27" s="64">
        <v>6.21</v>
      </c>
      <c r="C27" s="64">
        <v>11.39</v>
      </c>
      <c r="D27" s="64">
        <v>10.93</v>
      </c>
      <c r="E27" s="64">
        <v>5.18</v>
      </c>
      <c r="F27" s="64">
        <v>3.99</v>
      </c>
      <c r="G27" s="64">
        <v>22.64</v>
      </c>
      <c r="H27" s="64">
        <v>3.6</v>
      </c>
      <c r="I27" s="64">
        <v>0.87</v>
      </c>
      <c r="J27" s="64">
        <v>0.16</v>
      </c>
      <c r="K27" s="64">
        <v>298.23</v>
      </c>
      <c r="L27" s="64">
        <v>22.49</v>
      </c>
      <c r="M27" s="64">
        <v>97.61</v>
      </c>
      <c r="N27" s="64">
        <v>60.1</v>
      </c>
      <c r="O27" s="64">
        <v>1.6</v>
      </c>
      <c r="P27" s="64">
        <v>0.21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3" t="s">
        <v>263</v>
      </c>
      <c r="B28" s="64">
        <v>5.99</v>
      </c>
      <c r="C28" s="64">
        <v>11.4</v>
      </c>
      <c r="D28" s="64">
        <v>10.76</v>
      </c>
      <c r="E28" s="64">
        <v>5.14</v>
      </c>
      <c r="F28" s="64">
        <v>3.54</v>
      </c>
      <c r="G28" s="64">
        <v>22.28</v>
      </c>
      <c r="H28" s="64">
        <v>3.52</v>
      </c>
      <c r="I28" s="64">
        <v>0.82</v>
      </c>
      <c r="J28" s="64">
        <v>0.14000000000000001</v>
      </c>
      <c r="K28" s="64">
        <v>307.81</v>
      </c>
      <c r="L28" s="64">
        <v>22.18</v>
      </c>
      <c r="M28" s="64">
        <v>97.63</v>
      </c>
      <c r="N28" s="64">
        <v>59.9</v>
      </c>
      <c r="O28" s="64">
        <v>2</v>
      </c>
      <c r="P28" s="64">
        <v>0.21</v>
      </c>
      <c r="Q28" s="64">
        <v>9</v>
      </c>
      <c r="R28" s="198"/>
      <c r="S28" s="198"/>
      <c r="T28" s="198"/>
      <c r="U28" s="198"/>
    </row>
    <row r="29" spans="1:21" s="12" customFormat="1" x14ac:dyDescent="0.25">
      <c r="A29" s="213" t="s">
        <v>264</v>
      </c>
      <c r="B29" s="64">
        <v>5.93</v>
      </c>
      <c r="C29" s="64">
        <v>11.63</v>
      </c>
      <c r="D29" s="64">
        <v>10.83</v>
      </c>
      <c r="E29" s="64">
        <v>5.01</v>
      </c>
      <c r="F29" s="64">
        <v>4.07</v>
      </c>
      <c r="G29" s="64">
        <v>22.28</v>
      </c>
      <c r="H29" s="64">
        <v>3.52</v>
      </c>
      <c r="I29" s="64">
        <v>0.79</v>
      </c>
      <c r="J29" s="64">
        <v>0.15</v>
      </c>
      <c r="K29" s="64">
        <v>320.36</v>
      </c>
      <c r="L29" s="64">
        <v>22.05</v>
      </c>
      <c r="M29" s="64">
        <v>97.63</v>
      </c>
      <c r="N29" s="64">
        <v>59.9</v>
      </c>
      <c r="O29" s="64">
        <v>0</v>
      </c>
      <c r="P29" s="64">
        <v>0.2</v>
      </c>
      <c r="Q29" s="64">
        <v>9</v>
      </c>
      <c r="R29" s="198"/>
      <c r="S29" s="198"/>
      <c r="T29" s="198"/>
      <c r="U29" s="198"/>
    </row>
    <row r="30" spans="1:21" s="12" customFormat="1" x14ac:dyDescent="0.25">
      <c r="A30" s="213" t="s">
        <v>265</v>
      </c>
      <c r="B30" s="64">
        <v>5.81</v>
      </c>
      <c r="C30" s="64">
        <v>11.74</v>
      </c>
      <c r="D30" s="64">
        <v>10.79</v>
      </c>
      <c r="E30" s="64">
        <v>4.99</v>
      </c>
      <c r="F30" s="64">
        <v>3.42</v>
      </c>
      <c r="G30" s="64">
        <v>22.28</v>
      </c>
      <c r="H30" s="64">
        <v>3.52</v>
      </c>
      <c r="I30" s="64">
        <v>0.75</v>
      </c>
      <c r="J30" s="64">
        <v>0.14000000000000001</v>
      </c>
      <c r="K30" s="64">
        <v>307.01</v>
      </c>
      <c r="L30" s="64">
        <v>22.01</v>
      </c>
      <c r="M30" s="64">
        <v>97.64</v>
      </c>
      <c r="N30" s="64">
        <v>61.2</v>
      </c>
      <c r="O30" s="64">
        <v>0</v>
      </c>
      <c r="P30" s="64">
        <v>0.2</v>
      </c>
      <c r="Q30" s="64">
        <v>8.99</v>
      </c>
      <c r="R30" s="198"/>
      <c r="S30" s="198"/>
      <c r="T30" s="198"/>
      <c r="U30" s="198"/>
    </row>
    <row r="31" spans="1:21" s="12" customFormat="1" x14ac:dyDescent="0.25">
      <c r="A31" s="213" t="s">
        <v>266</v>
      </c>
      <c r="B31" s="64">
        <v>5.82</v>
      </c>
      <c r="C31" s="64">
        <v>11.93</v>
      </c>
      <c r="D31" s="64">
        <v>10.9</v>
      </c>
      <c r="E31" s="64">
        <v>5.25</v>
      </c>
      <c r="F31" s="64">
        <v>3.92</v>
      </c>
      <c r="G31" s="64">
        <v>18.64</v>
      </c>
      <c r="H31" s="64">
        <v>2.69</v>
      </c>
      <c r="I31" s="64">
        <v>0.72</v>
      </c>
      <c r="J31" s="64">
        <v>0.12</v>
      </c>
      <c r="K31" s="64">
        <v>303.06</v>
      </c>
      <c r="L31" s="64">
        <v>22</v>
      </c>
      <c r="M31" s="64">
        <v>97.63</v>
      </c>
      <c r="N31" s="64">
        <v>67.3</v>
      </c>
      <c r="O31" s="64">
        <v>0</v>
      </c>
      <c r="P31" s="64">
        <v>0.18</v>
      </c>
      <c r="Q31" s="64">
        <v>9</v>
      </c>
      <c r="R31" s="198"/>
      <c r="S31" s="198"/>
      <c r="T31" s="198"/>
      <c r="U31" s="198"/>
    </row>
    <row r="32" spans="1:21" s="12" customFormat="1" x14ac:dyDescent="0.25">
      <c r="A32" s="213" t="s">
        <v>267</v>
      </c>
      <c r="B32" s="64">
        <v>5.94</v>
      </c>
      <c r="C32" s="64">
        <v>11.79</v>
      </c>
      <c r="D32" s="64">
        <v>10.92</v>
      </c>
      <c r="E32" s="64">
        <v>4.8899999999999997</v>
      </c>
      <c r="F32" s="64">
        <v>3.27</v>
      </c>
      <c r="G32" s="64">
        <v>17.47</v>
      </c>
      <c r="H32" s="64">
        <v>2.42</v>
      </c>
      <c r="I32" s="64">
        <v>0.69</v>
      </c>
      <c r="J32" s="64">
        <v>0.11</v>
      </c>
      <c r="K32" s="64">
        <v>297.42</v>
      </c>
      <c r="L32" s="64">
        <v>22.08</v>
      </c>
      <c r="M32" s="64">
        <v>97.65</v>
      </c>
      <c r="N32" s="64">
        <v>80.5</v>
      </c>
      <c r="O32" s="64">
        <v>0</v>
      </c>
      <c r="P32" s="64">
        <v>0.19</v>
      </c>
      <c r="Q32" s="64">
        <v>8.99</v>
      </c>
      <c r="R32" s="198"/>
      <c r="S32" s="198"/>
      <c r="T32" s="198"/>
      <c r="U32" s="198"/>
    </row>
    <row r="33" spans="1:21" s="12" customFormat="1" x14ac:dyDescent="0.25">
      <c r="A33" s="213" t="s">
        <v>268</v>
      </c>
      <c r="B33" s="64">
        <v>6.17</v>
      </c>
      <c r="C33" s="64">
        <v>11.79</v>
      </c>
      <c r="D33" s="64">
        <v>11.11</v>
      </c>
      <c r="E33" s="64">
        <v>5.0999999999999996</v>
      </c>
      <c r="F33" s="64">
        <v>3.34</v>
      </c>
      <c r="G33" s="64">
        <v>17.47</v>
      </c>
      <c r="H33" s="64">
        <v>2.42</v>
      </c>
      <c r="I33" s="64">
        <v>0.67</v>
      </c>
      <c r="J33" s="64">
        <v>0.16</v>
      </c>
      <c r="K33" s="64">
        <v>298.47000000000003</v>
      </c>
      <c r="L33" s="64">
        <v>22.23</v>
      </c>
      <c r="M33" s="64">
        <v>97.63</v>
      </c>
      <c r="N33" s="64">
        <v>104.4</v>
      </c>
      <c r="O33" s="64">
        <v>0</v>
      </c>
      <c r="P33" s="64">
        <v>0.18</v>
      </c>
      <c r="Q33" s="64">
        <v>8.99</v>
      </c>
      <c r="R33" s="198"/>
      <c r="S33" s="198"/>
      <c r="T33" s="198"/>
      <c r="U33" s="198"/>
    </row>
    <row r="34" spans="1:21" s="12" customFormat="1" x14ac:dyDescent="0.25">
      <c r="A34" s="213" t="s">
        <v>269</v>
      </c>
      <c r="B34" s="64">
        <v>6.53</v>
      </c>
      <c r="C34" s="64">
        <v>12.15</v>
      </c>
      <c r="D34" s="64">
        <v>11.59</v>
      </c>
      <c r="E34" s="64">
        <v>5.25</v>
      </c>
      <c r="F34" s="64">
        <v>3.59</v>
      </c>
      <c r="G34" s="64">
        <v>17.47</v>
      </c>
      <c r="H34" s="64">
        <v>2.42</v>
      </c>
      <c r="I34" s="64">
        <v>0.68</v>
      </c>
      <c r="J34" s="64">
        <v>0.16</v>
      </c>
      <c r="K34" s="64">
        <v>299.55</v>
      </c>
      <c r="L34" s="64">
        <v>22.44</v>
      </c>
      <c r="M34" s="64">
        <v>97.63</v>
      </c>
      <c r="N34" s="64">
        <v>105.3</v>
      </c>
      <c r="O34" s="64">
        <v>0</v>
      </c>
      <c r="P34" s="64">
        <v>0.18</v>
      </c>
      <c r="Q34" s="64">
        <v>9.0299999999999994</v>
      </c>
      <c r="R34" s="198"/>
      <c r="S34" s="198"/>
      <c r="T34" s="198"/>
      <c r="U34" s="198"/>
    </row>
    <row r="35" spans="1:21" s="12" customFormat="1" x14ac:dyDescent="0.25">
      <c r="A35" s="213" t="s">
        <v>270</v>
      </c>
      <c r="B35" s="64">
        <v>7.32</v>
      </c>
      <c r="C35" s="64">
        <v>14.16</v>
      </c>
      <c r="D35" s="64">
        <v>13.27</v>
      </c>
      <c r="E35" s="64">
        <v>5.17</v>
      </c>
      <c r="F35" s="64">
        <v>3.46</v>
      </c>
      <c r="G35" s="64">
        <v>13.72</v>
      </c>
      <c r="H35" s="64">
        <v>3.42</v>
      </c>
      <c r="I35" s="64">
        <v>0.68</v>
      </c>
      <c r="J35" s="64">
        <v>0.16</v>
      </c>
      <c r="K35" s="64">
        <v>298.26</v>
      </c>
      <c r="L35" s="64">
        <v>22.57</v>
      </c>
      <c r="M35" s="64">
        <v>97.63</v>
      </c>
      <c r="N35" s="64">
        <v>105.3</v>
      </c>
      <c r="O35" s="64">
        <v>0</v>
      </c>
      <c r="P35" s="64">
        <v>0.2</v>
      </c>
      <c r="Q35" s="64">
        <v>9.0399999999999991</v>
      </c>
      <c r="R35" s="198"/>
      <c r="S35" s="198"/>
      <c r="T35" s="198"/>
      <c r="U35" s="198"/>
    </row>
    <row r="36" spans="1:21" s="12" customFormat="1" x14ac:dyDescent="0.25">
      <c r="A36" s="213" t="s">
        <v>271</v>
      </c>
      <c r="B36" s="64">
        <v>7.82</v>
      </c>
      <c r="C36" s="64">
        <v>12.62</v>
      </c>
      <c r="D36" s="64">
        <v>12.86</v>
      </c>
      <c r="E36" s="64">
        <v>5.27</v>
      </c>
      <c r="F36" s="64">
        <v>3.33</v>
      </c>
      <c r="G36" s="64">
        <v>12.51</v>
      </c>
      <c r="H36" s="64">
        <v>3.74</v>
      </c>
      <c r="I36" s="64">
        <v>0.68</v>
      </c>
      <c r="J36" s="64">
        <v>0.18</v>
      </c>
      <c r="K36" s="64">
        <v>306.79000000000002</v>
      </c>
      <c r="L36" s="64">
        <v>22.77</v>
      </c>
      <c r="M36" s="64">
        <v>97.63</v>
      </c>
      <c r="N36" s="64">
        <v>128.5</v>
      </c>
      <c r="O36" s="64">
        <v>0</v>
      </c>
      <c r="P36" s="64">
        <v>0.2</v>
      </c>
      <c r="Q36" s="64">
        <v>9.07</v>
      </c>
      <c r="R36" s="198"/>
      <c r="S36" s="198"/>
      <c r="T36" s="198"/>
      <c r="U36" s="198"/>
    </row>
    <row r="37" spans="1:21" s="12" customFormat="1" x14ac:dyDescent="0.25">
      <c r="A37" s="213" t="s">
        <v>272</v>
      </c>
      <c r="B37" s="64">
        <v>9.48</v>
      </c>
      <c r="C37" s="64">
        <v>13.59</v>
      </c>
      <c r="D37" s="64">
        <v>14.71</v>
      </c>
      <c r="E37" s="64">
        <v>5.07</v>
      </c>
      <c r="F37" s="64">
        <v>3.4</v>
      </c>
      <c r="G37" s="64">
        <v>12.51</v>
      </c>
      <c r="H37" s="64">
        <v>3.74</v>
      </c>
      <c r="I37" s="64">
        <v>0.71</v>
      </c>
      <c r="J37" s="64">
        <v>0.15</v>
      </c>
      <c r="K37" s="64">
        <v>301.3</v>
      </c>
      <c r="L37" s="64">
        <v>23.12</v>
      </c>
      <c r="M37" s="64">
        <v>97.61</v>
      </c>
      <c r="N37" s="64">
        <v>186.4</v>
      </c>
      <c r="O37" s="64">
        <v>0</v>
      </c>
      <c r="P37" s="64">
        <v>0.21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3" t="s">
        <v>273</v>
      </c>
      <c r="B38" s="64">
        <v>10</v>
      </c>
      <c r="C38" s="64">
        <v>13.02</v>
      </c>
      <c r="D38" s="64">
        <v>14.82</v>
      </c>
      <c r="E38" s="64">
        <v>5.18</v>
      </c>
      <c r="F38" s="64">
        <v>4.5999999999999996</v>
      </c>
      <c r="G38" s="64">
        <v>12.51</v>
      </c>
      <c r="H38" s="64">
        <v>3.74</v>
      </c>
      <c r="I38" s="64">
        <v>0.75</v>
      </c>
      <c r="J38" s="64">
        <v>0.2</v>
      </c>
      <c r="K38" s="64">
        <v>283.95</v>
      </c>
      <c r="L38" s="64">
        <v>23.65</v>
      </c>
      <c r="M38" s="64">
        <v>97.59</v>
      </c>
      <c r="N38" s="64">
        <v>224.6</v>
      </c>
      <c r="O38" s="64">
        <v>0</v>
      </c>
      <c r="P38" s="64">
        <v>0.25</v>
      </c>
      <c r="Q38" s="64">
        <v>9.1300000000000008</v>
      </c>
      <c r="R38" s="198"/>
      <c r="S38" s="198"/>
      <c r="T38" s="198"/>
      <c r="U38" s="198"/>
    </row>
    <row r="39" spans="1:21" s="12" customFormat="1" x14ac:dyDescent="0.25">
      <c r="A39" s="213" t="s">
        <v>274</v>
      </c>
      <c r="B39" s="64">
        <v>9.7899999999999991</v>
      </c>
      <c r="C39" s="64">
        <v>13.03</v>
      </c>
      <c r="D39" s="64">
        <v>14.66</v>
      </c>
      <c r="E39" s="64">
        <v>5.1100000000000003</v>
      </c>
      <c r="F39" s="64">
        <v>3.72</v>
      </c>
      <c r="G39" s="64">
        <v>13.81</v>
      </c>
      <c r="H39" s="64">
        <v>2.95</v>
      </c>
      <c r="I39" s="64">
        <v>0.79</v>
      </c>
      <c r="J39" s="64">
        <v>0.22</v>
      </c>
      <c r="K39" s="64">
        <v>290.43</v>
      </c>
      <c r="L39" s="64">
        <v>24.24</v>
      </c>
      <c r="M39" s="64">
        <v>97.57</v>
      </c>
      <c r="N39" s="64">
        <v>361.6</v>
      </c>
      <c r="O39" s="64">
        <v>0</v>
      </c>
      <c r="P39" s="64">
        <v>0.25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3" t="s">
        <v>275</v>
      </c>
      <c r="B40" s="64">
        <v>9.84</v>
      </c>
      <c r="C40" s="64">
        <v>13.24</v>
      </c>
      <c r="D40" s="64">
        <v>14.81</v>
      </c>
      <c r="E40" s="64">
        <v>5.01</v>
      </c>
      <c r="F40" s="64">
        <v>3.76</v>
      </c>
      <c r="G40" s="64">
        <v>14.23</v>
      </c>
      <c r="H40" s="64">
        <v>2.7</v>
      </c>
      <c r="I40" s="64">
        <v>0.85</v>
      </c>
      <c r="J40" s="64">
        <v>0.36</v>
      </c>
      <c r="K40" s="64">
        <v>283.99</v>
      </c>
      <c r="L40" s="64">
        <v>24.94</v>
      </c>
      <c r="M40" s="64">
        <v>97.54</v>
      </c>
      <c r="N40" s="64">
        <v>255.3</v>
      </c>
      <c r="O40" s="64">
        <v>0</v>
      </c>
      <c r="P40" s="64">
        <v>0.27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3" t="s">
        <v>276</v>
      </c>
      <c r="B41" s="64">
        <v>9.9700000000000006</v>
      </c>
      <c r="C41" s="64">
        <v>13.32</v>
      </c>
      <c r="D41" s="64">
        <v>14.95</v>
      </c>
      <c r="E41" s="64">
        <v>5.37</v>
      </c>
      <c r="F41" s="64">
        <v>4.4400000000000004</v>
      </c>
      <c r="G41" s="64">
        <v>14.23</v>
      </c>
      <c r="H41" s="64">
        <v>2.7</v>
      </c>
      <c r="I41" s="64">
        <v>0.93</v>
      </c>
      <c r="J41" s="64">
        <v>0.3</v>
      </c>
      <c r="K41" s="64">
        <v>287.77</v>
      </c>
      <c r="L41" s="64">
        <v>24.91</v>
      </c>
      <c r="M41" s="64">
        <v>97.57</v>
      </c>
      <c r="N41" s="64">
        <v>281.8</v>
      </c>
      <c r="O41" s="64">
        <v>0</v>
      </c>
      <c r="P41" s="64">
        <v>0.32</v>
      </c>
      <c r="Q41" s="64">
        <v>9.17</v>
      </c>
      <c r="R41" s="198"/>
      <c r="S41" s="198"/>
      <c r="T41" s="198"/>
      <c r="U41" s="198"/>
    </row>
    <row r="42" spans="1:21" s="12" customFormat="1" x14ac:dyDescent="0.25">
      <c r="A42" s="213" t="s">
        <v>277</v>
      </c>
      <c r="B42" s="64">
        <v>10.38</v>
      </c>
      <c r="C42" s="64">
        <v>13.2</v>
      </c>
      <c r="D42" s="64">
        <v>15.22</v>
      </c>
      <c r="E42" s="64">
        <v>5.16</v>
      </c>
      <c r="F42" s="64">
        <v>3.23</v>
      </c>
      <c r="G42" s="64">
        <v>14.23</v>
      </c>
      <c r="H42" s="64">
        <v>2.7</v>
      </c>
      <c r="I42" s="64">
        <v>1.06</v>
      </c>
      <c r="J42" s="64">
        <v>0.35</v>
      </c>
      <c r="K42" s="64">
        <v>287.64</v>
      </c>
      <c r="L42" s="64">
        <v>25.12</v>
      </c>
      <c r="M42" s="64">
        <v>97.55</v>
      </c>
      <c r="N42" s="64">
        <v>236.7</v>
      </c>
      <c r="O42" s="64">
        <v>0</v>
      </c>
      <c r="P42" s="64">
        <v>0.41</v>
      </c>
      <c r="Q42" s="64">
        <v>9.16</v>
      </c>
      <c r="R42" s="198"/>
      <c r="S42" s="198"/>
      <c r="T42" s="198"/>
      <c r="U42" s="198"/>
    </row>
    <row r="43" spans="1:21" s="12" customFormat="1" x14ac:dyDescent="0.25">
      <c r="A43" s="213" t="s">
        <v>278</v>
      </c>
      <c r="B43" s="64">
        <v>11.47</v>
      </c>
      <c r="C43" s="64">
        <v>14.59</v>
      </c>
      <c r="D43" s="64">
        <v>16.82</v>
      </c>
      <c r="E43" s="64">
        <v>5.08</v>
      </c>
      <c r="F43" s="64">
        <v>3.49</v>
      </c>
      <c r="G43" s="64">
        <v>18.55</v>
      </c>
      <c r="H43" s="64">
        <v>3.14</v>
      </c>
      <c r="I43" s="64">
        <v>1.22</v>
      </c>
      <c r="J43" s="64">
        <v>0.42</v>
      </c>
      <c r="K43" s="64">
        <v>287.22000000000003</v>
      </c>
      <c r="L43" s="64">
        <v>25.52</v>
      </c>
      <c r="M43" s="64">
        <v>97.28</v>
      </c>
      <c r="N43" s="64">
        <v>385.4</v>
      </c>
      <c r="O43" s="64">
        <v>0</v>
      </c>
      <c r="P43" s="64">
        <v>0.51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13" t="s">
        <v>279</v>
      </c>
      <c r="B44" s="64">
        <v>11.67</v>
      </c>
      <c r="C44" s="64">
        <v>13.66</v>
      </c>
      <c r="D44" s="64">
        <v>16.489999999999998</v>
      </c>
      <c r="E44" s="64">
        <v>5.33</v>
      </c>
      <c r="F44" s="64">
        <v>3.54</v>
      </c>
      <c r="G44" s="64">
        <v>19.95</v>
      </c>
      <c r="H44" s="64">
        <v>3.28</v>
      </c>
      <c r="I44" s="64">
        <v>1.41</v>
      </c>
      <c r="J44" s="64">
        <v>0.46</v>
      </c>
      <c r="K44" s="64">
        <v>292.08999999999997</v>
      </c>
      <c r="L44" s="64">
        <v>26.2</v>
      </c>
      <c r="M44" s="64">
        <v>95.52</v>
      </c>
      <c r="N44" s="64">
        <v>331.4</v>
      </c>
      <c r="O44" s="64">
        <v>0</v>
      </c>
      <c r="P44" s="64">
        <v>0.55000000000000004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3" t="s">
        <v>280</v>
      </c>
      <c r="B45" s="64">
        <v>12.94</v>
      </c>
      <c r="C45" s="64">
        <v>13.73</v>
      </c>
      <c r="D45" s="64">
        <v>17.55</v>
      </c>
      <c r="E45" s="64">
        <v>4.83</v>
      </c>
      <c r="F45" s="64">
        <v>3.56</v>
      </c>
      <c r="G45" s="64">
        <v>19.95</v>
      </c>
      <c r="H45" s="64">
        <v>3.28</v>
      </c>
      <c r="I45" s="64">
        <v>1.64</v>
      </c>
      <c r="J45" s="64">
        <v>0.62</v>
      </c>
      <c r="K45" s="64">
        <v>293.74</v>
      </c>
      <c r="L45" s="64">
        <v>26.82</v>
      </c>
      <c r="M45" s="64">
        <v>92.46</v>
      </c>
      <c r="N45" s="64">
        <v>554.1</v>
      </c>
      <c r="O45" s="64">
        <v>0</v>
      </c>
      <c r="P45" s="64">
        <v>0.52</v>
      </c>
      <c r="Q45" s="64">
        <v>9.2200000000000006</v>
      </c>
      <c r="R45" s="198"/>
      <c r="S45" s="198"/>
      <c r="T45" s="198"/>
      <c r="U45" s="198"/>
    </row>
    <row r="46" spans="1:21" s="12" customFormat="1" x14ac:dyDescent="0.25">
      <c r="A46" s="213" t="s">
        <v>281</v>
      </c>
      <c r="B46" s="64">
        <v>11.86</v>
      </c>
      <c r="C46" s="64">
        <v>13.81</v>
      </c>
      <c r="D46" s="64">
        <v>16.73</v>
      </c>
      <c r="E46" s="64">
        <v>4.63</v>
      </c>
      <c r="F46" s="64">
        <v>3.93</v>
      </c>
      <c r="G46" s="64">
        <v>19.95</v>
      </c>
      <c r="H46" s="64">
        <v>3.28</v>
      </c>
      <c r="I46" s="64">
        <v>1.74</v>
      </c>
      <c r="J46" s="64">
        <v>0.57999999999999996</v>
      </c>
      <c r="K46" s="64">
        <v>290.29000000000002</v>
      </c>
      <c r="L46" s="64">
        <v>28.25</v>
      </c>
      <c r="M46" s="64">
        <v>85.47</v>
      </c>
      <c r="N46" s="64">
        <v>456</v>
      </c>
      <c r="O46" s="64">
        <v>0</v>
      </c>
      <c r="P46" s="64">
        <v>0.51</v>
      </c>
      <c r="Q46" s="64">
        <v>9.1999999999999993</v>
      </c>
      <c r="R46" s="198"/>
      <c r="S46" s="198"/>
      <c r="T46" s="198"/>
      <c r="U46" s="198"/>
    </row>
    <row r="47" spans="1:21" s="12" customFormat="1" x14ac:dyDescent="0.25">
      <c r="A47" s="213" t="s">
        <v>282</v>
      </c>
      <c r="B47" s="64">
        <v>11.81</v>
      </c>
      <c r="C47" s="64">
        <v>14.99</v>
      </c>
      <c r="D47" s="64">
        <v>17.3</v>
      </c>
      <c r="E47" s="64">
        <v>5.01</v>
      </c>
      <c r="F47" s="64">
        <v>3.12</v>
      </c>
      <c r="G47" s="64">
        <v>32.94</v>
      </c>
      <c r="H47" s="64">
        <v>6.1</v>
      </c>
      <c r="I47" s="64">
        <v>1.69</v>
      </c>
      <c r="J47" s="64">
        <v>0.5</v>
      </c>
      <c r="K47" s="64">
        <v>292.14999999999998</v>
      </c>
      <c r="L47" s="64">
        <v>27.4</v>
      </c>
      <c r="M47" s="64">
        <v>88.73</v>
      </c>
      <c r="N47" s="64">
        <v>193.6</v>
      </c>
      <c r="O47" s="64">
        <v>0</v>
      </c>
      <c r="P47" s="64">
        <v>0.47</v>
      </c>
      <c r="Q47" s="64">
        <v>9.2100000000000009</v>
      </c>
      <c r="R47" s="198"/>
      <c r="S47" s="198"/>
      <c r="T47" s="198"/>
      <c r="U47" s="198"/>
    </row>
    <row r="48" spans="1:21" s="12" customFormat="1" x14ac:dyDescent="0.25">
      <c r="A48" s="213" t="s">
        <v>283</v>
      </c>
      <c r="B48" s="64">
        <v>11.29</v>
      </c>
      <c r="C48" s="64">
        <v>14.3</v>
      </c>
      <c r="D48" s="64">
        <v>16.53</v>
      </c>
      <c r="E48" s="64">
        <v>5.39</v>
      </c>
      <c r="F48" s="64">
        <v>3.79</v>
      </c>
      <c r="G48" s="64">
        <v>37.14</v>
      </c>
      <c r="H48" s="64">
        <v>7.01</v>
      </c>
      <c r="I48" s="64">
        <v>1.61</v>
      </c>
      <c r="J48" s="64">
        <v>0.66</v>
      </c>
      <c r="K48" s="64">
        <v>297.08999999999997</v>
      </c>
      <c r="L48" s="64">
        <v>26.77</v>
      </c>
      <c r="M48" s="64">
        <v>91.3</v>
      </c>
      <c r="N48" s="64">
        <v>237.6</v>
      </c>
      <c r="O48" s="64">
        <v>0</v>
      </c>
      <c r="P48" s="64">
        <v>0.47</v>
      </c>
      <c r="Q48" s="64">
        <v>9.1999999999999993</v>
      </c>
      <c r="R48" s="198"/>
      <c r="S48" s="198"/>
      <c r="T48" s="198"/>
      <c r="U48" s="198"/>
    </row>
    <row r="49" spans="1:21" s="12" customFormat="1" x14ac:dyDescent="0.25">
      <c r="A49" s="213" t="s">
        <v>284</v>
      </c>
      <c r="B49" s="64">
        <v>11.01</v>
      </c>
      <c r="C49" s="64">
        <v>14.34</v>
      </c>
      <c r="D49" s="64">
        <v>16.329999999999998</v>
      </c>
      <c r="E49" s="64">
        <v>5.09</v>
      </c>
      <c r="F49" s="64">
        <v>2.67</v>
      </c>
      <c r="G49" s="64">
        <v>37.14</v>
      </c>
      <c r="H49" s="64">
        <v>7.01</v>
      </c>
      <c r="I49" s="64">
        <v>1.56</v>
      </c>
      <c r="J49" s="64">
        <v>0.44</v>
      </c>
      <c r="K49" s="64">
        <v>283.05</v>
      </c>
      <c r="L49" s="64">
        <v>26.14</v>
      </c>
      <c r="M49" s="64">
        <v>93.25</v>
      </c>
      <c r="N49" s="64">
        <v>133</v>
      </c>
      <c r="O49" s="64">
        <v>0</v>
      </c>
      <c r="P49" s="64">
        <v>0.47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3" t="s">
        <v>285</v>
      </c>
      <c r="B50" s="64">
        <v>10.42</v>
      </c>
      <c r="C50" s="64">
        <v>14.84</v>
      </c>
      <c r="D50" s="64">
        <v>16.11</v>
      </c>
      <c r="E50" s="64">
        <v>5.05</v>
      </c>
      <c r="F50" s="64">
        <v>3.93</v>
      </c>
      <c r="G50" s="64">
        <v>37.14</v>
      </c>
      <c r="H50" s="64">
        <v>7.01</v>
      </c>
      <c r="I50" s="64">
        <v>1.54</v>
      </c>
      <c r="J50" s="64">
        <v>0.51</v>
      </c>
      <c r="K50" s="64">
        <v>285.73</v>
      </c>
      <c r="L50" s="64">
        <v>25.54</v>
      </c>
      <c r="M50" s="64">
        <v>96.61</v>
      </c>
      <c r="N50" s="64">
        <v>144.69999999999999</v>
      </c>
      <c r="O50" s="64">
        <v>0</v>
      </c>
      <c r="P50" s="64">
        <v>0.47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3" t="s">
        <v>286</v>
      </c>
      <c r="B51" s="64">
        <v>10.1</v>
      </c>
      <c r="C51" s="64">
        <v>15.15</v>
      </c>
      <c r="D51" s="64">
        <v>16.010000000000002</v>
      </c>
      <c r="E51" s="64">
        <v>5</v>
      </c>
      <c r="F51" s="64">
        <v>3.22</v>
      </c>
      <c r="G51" s="64">
        <v>33.409999999999997</v>
      </c>
      <c r="H51" s="64">
        <v>5.45</v>
      </c>
      <c r="I51" s="64">
        <v>1.52</v>
      </c>
      <c r="J51" s="64">
        <v>0.41</v>
      </c>
      <c r="K51" s="64">
        <v>282.7</v>
      </c>
      <c r="L51" s="64">
        <v>25.46</v>
      </c>
      <c r="M51" s="64">
        <v>97.55</v>
      </c>
      <c r="N51" s="64">
        <v>173</v>
      </c>
      <c r="O51" s="64">
        <v>0</v>
      </c>
      <c r="P51" s="64">
        <v>0.45</v>
      </c>
      <c r="Q51" s="64">
        <v>9.18</v>
      </c>
      <c r="R51" s="198"/>
      <c r="S51" s="198"/>
      <c r="T51" s="198"/>
      <c r="U51" s="198"/>
    </row>
    <row r="52" spans="1:21" s="12" customFormat="1" x14ac:dyDescent="0.25">
      <c r="A52" s="213" t="s">
        <v>287</v>
      </c>
      <c r="B52" s="64">
        <v>10.5</v>
      </c>
      <c r="C52" s="64">
        <v>15.34</v>
      </c>
      <c r="D52" s="64">
        <v>16.43</v>
      </c>
      <c r="E52" s="64">
        <v>4.83</v>
      </c>
      <c r="F52" s="64">
        <v>3.36</v>
      </c>
      <c r="G52" s="64">
        <v>32.21</v>
      </c>
      <c r="H52" s="64">
        <v>4.9400000000000004</v>
      </c>
      <c r="I52" s="64">
        <v>1.51</v>
      </c>
      <c r="J52" s="64">
        <v>0.51</v>
      </c>
      <c r="K52" s="64">
        <v>292.7</v>
      </c>
      <c r="L52" s="64">
        <v>25.8</v>
      </c>
      <c r="M52" s="64">
        <v>96.6</v>
      </c>
      <c r="N52" s="64">
        <v>197.8</v>
      </c>
      <c r="O52" s="64">
        <v>0</v>
      </c>
      <c r="P52" s="64">
        <v>0.45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3" t="s">
        <v>288</v>
      </c>
      <c r="B53" s="64">
        <v>11.55</v>
      </c>
      <c r="C53" s="64">
        <v>16.559999999999999</v>
      </c>
      <c r="D53" s="64">
        <v>17.920000000000002</v>
      </c>
      <c r="E53" s="64">
        <v>4.93</v>
      </c>
      <c r="F53" s="64">
        <v>3.3</v>
      </c>
      <c r="G53" s="64">
        <v>32.21</v>
      </c>
      <c r="H53" s="64">
        <v>4.9400000000000004</v>
      </c>
      <c r="I53" s="64">
        <v>1.43</v>
      </c>
      <c r="J53" s="64">
        <v>0.6</v>
      </c>
      <c r="K53" s="64">
        <v>301.56</v>
      </c>
      <c r="L53" s="64">
        <v>26.37</v>
      </c>
      <c r="M53" s="64">
        <v>93.04</v>
      </c>
      <c r="N53" s="64">
        <v>219.4</v>
      </c>
      <c r="O53" s="64">
        <v>0</v>
      </c>
      <c r="P53" s="64">
        <v>0.45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3" t="s">
        <v>289</v>
      </c>
      <c r="B54" s="64">
        <v>11.9</v>
      </c>
      <c r="C54" s="64">
        <v>14.91</v>
      </c>
      <c r="D54" s="64">
        <v>17.329999999999998</v>
      </c>
      <c r="E54" s="64">
        <v>5.17</v>
      </c>
      <c r="F54" s="64">
        <v>3.9</v>
      </c>
      <c r="G54" s="64">
        <v>32.21</v>
      </c>
      <c r="H54" s="64">
        <v>4.9400000000000004</v>
      </c>
      <c r="I54" s="64">
        <v>1.39</v>
      </c>
      <c r="J54" s="64">
        <v>0.56000000000000005</v>
      </c>
      <c r="K54" s="64">
        <v>291.61</v>
      </c>
      <c r="L54" s="64">
        <v>26.77</v>
      </c>
      <c r="M54" s="64">
        <v>90.1</v>
      </c>
      <c r="N54" s="64">
        <v>288.5</v>
      </c>
      <c r="O54" s="64">
        <v>0</v>
      </c>
      <c r="P54" s="64">
        <v>0.44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13" t="s">
        <v>290</v>
      </c>
      <c r="B55" s="64">
        <v>11.33</v>
      </c>
      <c r="C55" s="64">
        <v>16.78</v>
      </c>
      <c r="D55" s="64">
        <v>17.850000000000001</v>
      </c>
      <c r="E55" s="64">
        <v>4.75</v>
      </c>
      <c r="F55" s="64">
        <v>3.21</v>
      </c>
      <c r="G55" s="64">
        <v>36</v>
      </c>
      <c r="H55" s="64">
        <v>4.9800000000000004</v>
      </c>
      <c r="I55" s="64">
        <v>1.41</v>
      </c>
      <c r="J55" s="64">
        <v>0.53</v>
      </c>
      <c r="K55" s="64">
        <v>295.8</v>
      </c>
      <c r="L55" s="64">
        <v>27.23</v>
      </c>
      <c r="M55" s="64">
        <v>88.52</v>
      </c>
      <c r="N55" s="64">
        <v>261.89999999999998</v>
      </c>
      <c r="O55" s="64">
        <v>0</v>
      </c>
      <c r="P55" s="64">
        <v>0.43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3" t="s">
        <v>291</v>
      </c>
      <c r="B56" s="64">
        <v>10.73</v>
      </c>
      <c r="C56" s="64">
        <v>15.76</v>
      </c>
      <c r="D56" s="64">
        <v>16.84</v>
      </c>
      <c r="E56" s="64">
        <v>5.1100000000000003</v>
      </c>
      <c r="F56" s="64">
        <v>3.51</v>
      </c>
      <c r="G56" s="64">
        <v>37.22</v>
      </c>
      <c r="H56" s="64">
        <v>4.99</v>
      </c>
      <c r="I56" s="64">
        <v>1.4</v>
      </c>
      <c r="J56" s="64">
        <v>0.42</v>
      </c>
      <c r="K56" s="64">
        <v>284.70999999999998</v>
      </c>
      <c r="L56" s="64">
        <v>27.25</v>
      </c>
      <c r="M56" s="64">
        <v>87.56</v>
      </c>
      <c r="N56" s="64">
        <v>207.7</v>
      </c>
      <c r="O56" s="64">
        <v>0</v>
      </c>
      <c r="P56" s="64">
        <v>0.43</v>
      </c>
      <c r="Q56" s="64">
        <v>9.25</v>
      </c>
      <c r="R56" s="198"/>
      <c r="S56" s="198"/>
      <c r="T56" s="198"/>
      <c r="U56" s="198"/>
    </row>
    <row r="57" spans="1:21" s="12" customFormat="1" x14ac:dyDescent="0.25">
      <c r="A57" s="213" t="s">
        <v>292</v>
      </c>
      <c r="B57" s="64">
        <v>10.32</v>
      </c>
      <c r="C57" s="64">
        <v>16.21</v>
      </c>
      <c r="D57" s="64">
        <v>16.75</v>
      </c>
      <c r="E57" s="64">
        <v>5.15</v>
      </c>
      <c r="F57" s="64">
        <v>4.49</v>
      </c>
      <c r="G57" s="64">
        <v>37.22</v>
      </c>
      <c r="H57" s="64">
        <v>4.99</v>
      </c>
      <c r="I57" s="64">
        <v>1.4</v>
      </c>
      <c r="J57" s="64">
        <v>0.56999999999999995</v>
      </c>
      <c r="K57" s="64">
        <v>291.55</v>
      </c>
      <c r="L57" s="64">
        <v>26.6</v>
      </c>
      <c r="M57" s="64">
        <v>89.76</v>
      </c>
      <c r="N57" s="64">
        <v>169.4</v>
      </c>
      <c r="O57" s="64">
        <v>0</v>
      </c>
      <c r="P57" s="64">
        <v>0.41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3" t="s">
        <v>293</v>
      </c>
      <c r="B58" s="64">
        <v>9.11</v>
      </c>
      <c r="C58" s="64">
        <v>17.23</v>
      </c>
      <c r="D58" s="64">
        <v>16.309999999999999</v>
      </c>
      <c r="E58" s="64">
        <v>4.93</v>
      </c>
      <c r="F58" s="64">
        <v>4.05</v>
      </c>
      <c r="G58" s="64">
        <v>37.22</v>
      </c>
      <c r="H58" s="64">
        <v>4.99</v>
      </c>
      <c r="I58" s="64">
        <v>1.41</v>
      </c>
      <c r="J58" s="64">
        <v>0.66</v>
      </c>
      <c r="K58" s="64">
        <v>285.81</v>
      </c>
      <c r="L58" s="64">
        <v>26.62</v>
      </c>
      <c r="M58" s="64">
        <v>90.14</v>
      </c>
      <c r="N58" s="64">
        <v>302.60000000000002</v>
      </c>
      <c r="O58" s="64">
        <v>0</v>
      </c>
      <c r="P58" s="64">
        <v>0.4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3" t="s">
        <v>294</v>
      </c>
      <c r="B59" s="64">
        <v>8.73</v>
      </c>
      <c r="C59" s="64">
        <v>17.940000000000001</v>
      </c>
      <c r="D59" s="64">
        <v>16.38</v>
      </c>
      <c r="E59" s="64">
        <v>4.58</v>
      </c>
      <c r="F59" s="64">
        <v>4.07</v>
      </c>
      <c r="G59" s="64">
        <v>37.07</v>
      </c>
      <c r="H59" s="64">
        <v>7.14</v>
      </c>
      <c r="I59" s="64">
        <v>1.38</v>
      </c>
      <c r="J59" s="64">
        <v>0.56999999999999995</v>
      </c>
      <c r="K59" s="64">
        <v>287.41000000000003</v>
      </c>
      <c r="L59" s="64">
        <v>27.3</v>
      </c>
      <c r="M59" s="64">
        <v>87.19</v>
      </c>
      <c r="N59" s="64">
        <v>406.6</v>
      </c>
      <c r="O59" s="64">
        <v>0</v>
      </c>
      <c r="P59" s="64">
        <v>0.4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3" t="s">
        <v>295</v>
      </c>
      <c r="B60" s="64">
        <v>8.66</v>
      </c>
      <c r="C60" s="64">
        <v>17.88</v>
      </c>
      <c r="D60" s="64">
        <v>16.29</v>
      </c>
      <c r="E60" s="64">
        <v>4.95</v>
      </c>
      <c r="F60" s="64">
        <v>3.47</v>
      </c>
      <c r="G60" s="64">
        <v>37.020000000000003</v>
      </c>
      <c r="H60" s="64">
        <v>7.83</v>
      </c>
      <c r="I60" s="64">
        <v>1.33</v>
      </c>
      <c r="J60" s="64">
        <v>0.66</v>
      </c>
      <c r="K60" s="64">
        <v>289.33</v>
      </c>
      <c r="L60" s="64">
        <v>28.03</v>
      </c>
      <c r="M60" s="64">
        <v>84.37</v>
      </c>
      <c r="N60" s="64">
        <v>445.1</v>
      </c>
      <c r="O60" s="64">
        <v>0</v>
      </c>
      <c r="P60" s="64">
        <v>0.37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3" t="s">
        <v>296</v>
      </c>
      <c r="B61" s="64">
        <v>7.7</v>
      </c>
      <c r="C61" s="64">
        <v>17.98</v>
      </c>
      <c r="D61" s="64">
        <v>15.56</v>
      </c>
      <c r="E61" s="64">
        <v>4.97</v>
      </c>
      <c r="F61" s="64">
        <v>4.37</v>
      </c>
      <c r="G61" s="64">
        <v>37.020000000000003</v>
      </c>
      <c r="H61" s="64">
        <v>7.83</v>
      </c>
      <c r="I61" s="64">
        <v>1.31</v>
      </c>
      <c r="J61" s="64">
        <v>0.73</v>
      </c>
      <c r="K61" s="64">
        <v>290.04000000000002</v>
      </c>
      <c r="L61" s="64">
        <v>27.26</v>
      </c>
      <c r="M61" s="64">
        <v>87.1</v>
      </c>
      <c r="N61" s="64">
        <v>360.4</v>
      </c>
      <c r="O61" s="64">
        <v>0</v>
      </c>
      <c r="P61" s="64">
        <v>0.34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13" t="s">
        <v>297</v>
      </c>
      <c r="B62" s="64">
        <v>6.63</v>
      </c>
      <c r="C62" s="64">
        <v>18.03</v>
      </c>
      <c r="D62" s="64">
        <v>14.74</v>
      </c>
      <c r="E62" s="64">
        <v>5.38</v>
      </c>
      <c r="F62" s="64">
        <v>3.95</v>
      </c>
      <c r="G62" s="64">
        <v>37.020000000000003</v>
      </c>
      <c r="H62" s="64">
        <v>7.83</v>
      </c>
      <c r="I62" s="64">
        <v>1.28</v>
      </c>
      <c r="J62" s="64">
        <v>0.53</v>
      </c>
      <c r="K62" s="64">
        <v>287.95999999999998</v>
      </c>
      <c r="L62" s="64">
        <v>27.61</v>
      </c>
      <c r="M62" s="64">
        <v>86.31</v>
      </c>
      <c r="N62" s="64">
        <v>359.2</v>
      </c>
      <c r="O62" s="64">
        <v>0</v>
      </c>
      <c r="P62" s="64">
        <v>0.33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3" t="s">
        <v>298</v>
      </c>
      <c r="B63" s="64">
        <v>6.12</v>
      </c>
      <c r="C63" s="64">
        <v>17.66</v>
      </c>
      <c r="D63" s="64">
        <v>14.14</v>
      </c>
      <c r="E63" s="64">
        <v>4.79</v>
      </c>
      <c r="F63" s="64">
        <v>4.32</v>
      </c>
      <c r="G63" s="64">
        <v>35.799999999999997</v>
      </c>
      <c r="H63" s="64">
        <v>6.69</v>
      </c>
      <c r="I63" s="64">
        <v>1.24</v>
      </c>
      <c r="J63" s="64">
        <v>0.77</v>
      </c>
      <c r="K63" s="64">
        <v>288.42</v>
      </c>
      <c r="L63" s="64">
        <v>27.26</v>
      </c>
      <c r="M63" s="64">
        <v>88.15</v>
      </c>
      <c r="N63" s="64">
        <v>263.7</v>
      </c>
      <c r="O63" s="64">
        <v>0</v>
      </c>
      <c r="P63" s="64">
        <v>0.33</v>
      </c>
      <c r="Q63" s="64">
        <v>9.1</v>
      </c>
      <c r="R63" s="198"/>
      <c r="S63" s="198"/>
      <c r="T63" s="198"/>
      <c r="U63" s="198"/>
    </row>
    <row r="64" spans="1:21" s="12" customFormat="1" x14ac:dyDescent="0.25">
      <c r="A64" s="213" t="s">
        <v>299</v>
      </c>
      <c r="B64" s="64">
        <v>6.29</v>
      </c>
      <c r="C64" s="64">
        <v>17.53</v>
      </c>
      <c r="D64" s="64">
        <v>14.2</v>
      </c>
      <c r="E64" s="64">
        <v>5.0199999999999996</v>
      </c>
      <c r="F64" s="64">
        <v>3.7</v>
      </c>
      <c r="G64" s="64">
        <v>35.43</v>
      </c>
      <c r="H64" s="64">
        <v>6.33</v>
      </c>
      <c r="I64" s="64">
        <v>1.19</v>
      </c>
      <c r="J64" s="64">
        <v>0.56000000000000005</v>
      </c>
      <c r="K64" s="64">
        <v>288.32</v>
      </c>
      <c r="L64" s="64">
        <v>26.65</v>
      </c>
      <c r="M64" s="64">
        <v>90.98</v>
      </c>
      <c r="N64" s="64">
        <v>221</v>
      </c>
      <c r="O64" s="64">
        <v>0</v>
      </c>
      <c r="P64" s="64">
        <v>0.3</v>
      </c>
      <c r="Q64" s="64">
        <v>9.09</v>
      </c>
      <c r="R64" s="198"/>
      <c r="S64" s="198"/>
      <c r="T64" s="198"/>
      <c r="U64" s="198"/>
    </row>
    <row r="65" spans="1:21" s="12" customFormat="1" x14ac:dyDescent="0.25">
      <c r="A65" s="213" t="s">
        <v>300</v>
      </c>
      <c r="B65" s="64">
        <v>7.18</v>
      </c>
      <c r="C65" s="64">
        <v>16.03</v>
      </c>
      <c r="D65" s="64">
        <v>14.13</v>
      </c>
      <c r="E65" s="64">
        <v>4.5199999999999996</v>
      </c>
      <c r="F65" s="64">
        <v>4.63</v>
      </c>
      <c r="G65" s="64">
        <v>35.43</v>
      </c>
      <c r="H65" s="64">
        <v>6.33</v>
      </c>
      <c r="I65" s="64">
        <v>1.1200000000000001</v>
      </c>
      <c r="J65" s="64">
        <v>0.56999999999999995</v>
      </c>
      <c r="K65" s="64">
        <v>293.36</v>
      </c>
      <c r="L65" s="64">
        <v>27.04</v>
      </c>
      <c r="M65" s="64">
        <v>90.63</v>
      </c>
      <c r="N65" s="64">
        <v>354</v>
      </c>
      <c r="O65" s="64">
        <v>0</v>
      </c>
      <c r="P65" s="64">
        <v>0.32</v>
      </c>
      <c r="Q65" s="64">
        <v>9.09</v>
      </c>
      <c r="R65" s="198"/>
      <c r="S65" s="198"/>
      <c r="T65" s="198"/>
      <c r="U65" s="198"/>
    </row>
    <row r="66" spans="1:21" s="12" customFormat="1" x14ac:dyDescent="0.25">
      <c r="A66" s="213" t="s">
        <v>301</v>
      </c>
      <c r="B66" s="64">
        <v>7.08</v>
      </c>
      <c r="C66" s="64">
        <v>16.78</v>
      </c>
      <c r="D66" s="64">
        <v>14.45</v>
      </c>
      <c r="E66" s="64">
        <v>5.14</v>
      </c>
      <c r="F66" s="64">
        <v>3.25</v>
      </c>
      <c r="G66" s="64">
        <v>35.43</v>
      </c>
      <c r="H66" s="64">
        <v>6.33</v>
      </c>
      <c r="I66" s="64">
        <v>1.08</v>
      </c>
      <c r="J66" s="64">
        <v>0.46</v>
      </c>
      <c r="K66" s="64">
        <v>292.12</v>
      </c>
      <c r="L66" s="64">
        <v>27.54</v>
      </c>
      <c r="M66" s="64">
        <v>88.54</v>
      </c>
      <c r="N66" s="64">
        <v>316.2</v>
      </c>
      <c r="O66" s="64">
        <v>0</v>
      </c>
      <c r="P66" s="64">
        <v>0.32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13" t="s">
        <v>302</v>
      </c>
      <c r="B67" s="64">
        <v>7.48</v>
      </c>
      <c r="C67" s="64">
        <v>16.79</v>
      </c>
      <c r="D67" s="64">
        <v>14.77</v>
      </c>
      <c r="E67" s="64">
        <v>5.05</v>
      </c>
      <c r="F67" s="64">
        <v>4.41</v>
      </c>
      <c r="G67" s="64">
        <v>38.020000000000003</v>
      </c>
      <c r="H67" s="64">
        <v>7.86</v>
      </c>
      <c r="I67" s="64">
        <v>1.07</v>
      </c>
      <c r="J67" s="64">
        <v>0.66</v>
      </c>
      <c r="K67" s="64">
        <v>296.17</v>
      </c>
      <c r="L67" s="64">
        <v>27.8</v>
      </c>
      <c r="M67" s="64">
        <v>87.62</v>
      </c>
      <c r="N67" s="64">
        <v>268.60000000000002</v>
      </c>
      <c r="O67" s="64">
        <v>0</v>
      </c>
      <c r="P67" s="64">
        <v>0.31</v>
      </c>
      <c r="Q67" s="64">
        <v>9.11</v>
      </c>
      <c r="R67" s="198"/>
      <c r="S67" s="198"/>
      <c r="T67" s="198"/>
      <c r="U67" s="198"/>
    </row>
    <row r="68" spans="1:21" s="12" customFormat="1" x14ac:dyDescent="0.25">
      <c r="A68" s="213" t="s">
        <v>303</v>
      </c>
      <c r="B68" s="64">
        <v>6.92</v>
      </c>
      <c r="C68" s="64">
        <v>17.25</v>
      </c>
      <c r="D68" s="64">
        <v>14.56</v>
      </c>
      <c r="E68" s="64">
        <v>4.8899999999999997</v>
      </c>
      <c r="F68" s="64">
        <v>4.32</v>
      </c>
      <c r="G68" s="64">
        <v>38.81</v>
      </c>
      <c r="H68" s="64">
        <v>8.33</v>
      </c>
      <c r="I68" s="64">
        <v>1.07</v>
      </c>
      <c r="J68" s="64">
        <v>0.66</v>
      </c>
      <c r="K68" s="64">
        <v>289.25</v>
      </c>
      <c r="L68" s="64">
        <v>27.37</v>
      </c>
      <c r="M68" s="64">
        <v>87.02</v>
      </c>
      <c r="N68" s="64">
        <v>182.6</v>
      </c>
      <c r="O68" s="64">
        <v>0</v>
      </c>
      <c r="P68" s="64">
        <v>0.32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3" t="s">
        <v>304</v>
      </c>
      <c r="B69" s="64">
        <v>6.43</v>
      </c>
      <c r="C69" s="64">
        <v>17.47</v>
      </c>
      <c r="D69" s="64">
        <v>14.28</v>
      </c>
      <c r="E69" s="64">
        <v>4.92</v>
      </c>
      <c r="F69" s="64">
        <v>3.33</v>
      </c>
      <c r="G69" s="64">
        <v>38.81</v>
      </c>
      <c r="H69" s="64">
        <v>8.33</v>
      </c>
      <c r="I69" s="64">
        <v>1.05</v>
      </c>
      <c r="J69" s="64">
        <v>0.67</v>
      </c>
      <c r="K69" s="64">
        <v>294.91000000000003</v>
      </c>
      <c r="L69" s="64">
        <v>27.12</v>
      </c>
      <c r="M69" s="64">
        <v>87.61</v>
      </c>
      <c r="N69" s="64">
        <v>192.7</v>
      </c>
      <c r="O69" s="64">
        <v>0</v>
      </c>
      <c r="P69" s="64">
        <v>0.3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3" t="s">
        <v>305</v>
      </c>
      <c r="B70" s="64">
        <v>7.08</v>
      </c>
      <c r="C70" s="64">
        <v>17.850000000000001</v>
      </c>
      <c r="D70" s="64">
        <v>15</v>
      </c>
      <c r="E70" s="64">
        <v>4.8099999999999996</v>
      </c>
      <c r="F70" s="64">
        <v>4.3</v>
      </c>
      <c r="G70" s="64">
        <v>38.81</v>
      </c>
      <c r="H70" s="64">
        <v>8.33</v>
      </c>
      <c r="I70" s="64">
        <v>1.02</v>
      </c>
      <c r="J70" s="64">
        <v>0.75</v>
      </c>
      <c r="K70" s="64">
        <v>297.7</v>
      </c>
      <c r="L70" s="64">
        <v>27.54</v>
      </c>
      <c r="M70" s="64">
        <v>85.83</v>
      </c>
      <c r="N70" s="64">
        <v>189.2</v>
      </c>
      <c r="O70" s="64">
        <v>0</v>
      </c>
      <c r="P70" s="64">
        <v>0.28999999999999998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3" t="s">
        <v>306</v>
      </c>
      <c r="B71" s="64">
        <v>6.73</v>
      </c>
      <c r="C71" s="64">
        <v>18.12</v>
      </c>
      <c r="D71" s="64">
        <v>14.87</v>
      </c>
      <c r="E71" s="64">
        <v>4.9000000000000004</v>
      </c>
      <c r="F71" s="64">
        <v>4.09</v>
      </c>
      <c r="G71" s="64">
        <v>38.25</v>
      </c>
      <c r="H71" s="64">
        <v>8.39</v>
      </c>
      <c r="I71" s="64">
        <v>1</v>
      </c>
      <c r="J71" s="64">
        <v>0.61</v>
      </c>
      <c r="K71" s="64">
        <v>291.01</v>
      </c>
      <c r="L71" s="64">
        <v>27.05</v>
      </c>
      <c r="M71" s="64">
        <v>87.78</v>
      </c>
      <c r="N71" s="64">
        <v>170.6</v>
      </c>
      <c r="O71" s="64">
        <v>0</v>
      </c>
      <c r="P71" s="64">
        <v>0.28999999999999998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3" t="s">
        <v>307</v>
      </c>
      <c r="B72" s="64">
        <v>6.36</v>
      </c>
      <c r="C72" s="64">
        <v>18.190000000000001</v>
      </c>
      <c r="D72" s="64">
        <v>14.6</v>
      </c>
      <c r="E72" s="64">
        <v>4.05</v>
      </c>
      <c r="F72" s="64">
        <v>4.83</v>
      </c>
      <c r="G72" s="64">
        <v>38.07</v>
      </c>
      <c r="H72" s="64">
        <v>8.4</v>
      </c>
      <c r="I72" s="64">
        <v>0.96</v>
      </c>
      <c r="J72" s="64">
        <v>0.51</v>
      </c>
      <c r="K72" s="64">
        <v>292.60000000000002</v>
      </c>
      <c r="L72" s="64">
        <v>27.05</v>
      </c>
      <c r="M72" s="64">
        <v>89.15</v>
      </c>
      <c r="N72" s="64">
        <v>152.30000000000001</v>
      </c>
      <c r="O72" s="64">
        <v>0</v>
      </c>
      <c r="P72" s="64">
        <v>0.3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3" t="s">
        <v>308</v>
      </c>
      <c r="B73" s="64">
        <v>6.16</v>
      </c>
      <c r="C73" s="64">
        <v>18.09</v>
      </c>
      <c r="D73" s="64">
        <v>14.39</v>
      </c>
      <c r="E73" s="64">
        <v>4.3899999999999997</v>
      </c>
      <c r="F73" s="64">
        <v>4.18</v>
      </c>
      <c r="G73" s="64">
        <v>38.07</v>
      </c>
      <c r="H73" s="64">
        <v>8.4</v>
      </c>
      <c r="I73" s="64">
        <v>0.96</v>
      </c>
      <c r="J73" s="64">
        <v>0.46</v>
      </c>
      <c r="K73" s="64">
        <v>292.2</v>
      </c>
      <c r="L73" s="64">
        <v>26.59</v>
      </c>
      <c r="M73" s="64">
        <v>90.92</v>
      </c>
      <c r="N73" s="64">
        <v>170</v>
      </c>
      <c r="O73" s="64">
        <v>0</v>
      </c>
      <c r="P73" s="64">
        <v>0.35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3" t="s">
        <v>309</v>
      </c>
      <c r="B74" s="64">
        <v>6.47</v>
      </c>
      <c r="C74" s="64">
        <v>18.5</v>
      </c>
      <c r="D74" s="64">
        <v>14.85</v>
      </c>
      <c r="E74" s="64">
        <v>4.42</v>
      </c>
      <c r="F74" s="64">
        <v>4.22</v>
      </c>
      <c r="G74" s="64">
        <v>38.07</v>
      </c>
      <c r="H74" s="64">
        <v>8.4</v>
      </c>
      <c r="I74" s="64">
        <v>1.01</v>
      </c>
      <c r="J74" s="64">
        <v>0.38</v>
      </c>
      <c r="K74" s="64">
        <v>298.18</v>
      </c>
      <c r="L74" s="64">
        <v>26.71</v>
      </c>
      <c r="M74" s="64">
        <v>90.38</v>
      </c>
      <c r="N74" s="64">
        <v>106.1</v>
      </c>
      <c r="O74" s="64">
        <v>0</v>
      </c>
      <c r="P74" s="64">
        <v>0.36</v>
      </c>
      <c r="Q74" s="64">
        <v>9.1300000000000008</v>
      </c>
      <c r="R74" s="198"/>
      <c r="S74" s="198"/>
      <c r="T74" s="198"/>
      <c r="U74" s="198"/>
    </row>
    <row r="75" spans="1:21" s="12" customFormat="1" x14ac:dyDescent="0.25">
      <c r="A75" s="213" t="s">
        <v>310</v>
      </c>
      <c r="B75" s="64">
        <v>6.84</v>
      </c>
      <c r="C75" s="64">
        <v>19.260000000000002</v>
      </c>
      <c r="D75" s="64">
        <v>15.55</v>
      </c>
      <c r="E75" s="64">
        <v>4.53</v>
      </c>
      <c r="F75" s="64">
        <v>4.1100000000000003</v>
      </c>
      <c r="G75" s="64">
        <v>38.67</v>
      </c>
      <c r="H75" s="64">
        <v>7.12</v>
      </c>
      <c r="I75" s="64">
        <v>1.05</v>
      </c>
      <c r="J75" s="64">
        <v>0.51</v>
      </c>
      <c r="K75" s="64">
        <v>299.04000000000002</v>
      </c>
      <c r="L75" s="64">
        <v>26.16</v>
      </c>
      <c r="M75" s="64">
        <v>91.7</v>
      </c>
      <c r="N75" s="64">
        <v>74</v>
      </c>
      <c r="O75" s="64">
        <v>0</v>
      </c>
      <c r="P75" s="64">
        <v>0.36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3" t="s">
        <v>311</v>
      </c>
      <c r="B76" s="64">
        <v>6.53</v>
      </c>
      <c r="C76" s="64">
        <v>18.05</v>
      </c>
      <c r="D76" s="64">
        <v>14.67</v>
      </c>
      <c r="E76" s="64">
        <v>4.4800000000000004</v>
      </c>
      <c r="F76" s="64">
        <v>3.91</v>
      </c>
      <c r="G76" s="64">
        <v>38.85</v>
      </c>
      <c r="H76" s="64">
        <v>6.73</v>
      </c>
      <c r="I76" s="64">
        <v>1.06</v>
      </c>
      <c r="J76" s="64">
        <v>0.34</v>
      </c>
      <c r="K76" s="64">
        <v>298.48</v>
      </c>
      <c r="L76" s="64">
        <v>25.94</v>
      </c>
      <c r="M76" s="64">
        <v>93.08</v>
      </c>
      <c r="N76" s="64">
        <v>78.599999999999994</v>
      </c>
      <c r="O76" s="64">
        <v>0</v>
      </c>
      <c r="P76" s="64">
        <v>0.37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13" t="s">
        <v>312</v>
      </c>
      <c r="B77" s="64">
        <v>6.67</v>
      </c>
      <c r="C77" s="64">
        <v>18</v>
      </c>
      <c r="D77" s="64">
        <v>14.75</v>
      </c>
      <c r="E77" s="64">
        <v>4.34</v>
      </c>
      <c r="F77" s="64">
        <v>3.56</v>
      </c>
      <c r="G77" s="64">
        <v>38.85</v>
      </c>
      <c r="H77" s="64">
        <v>6.73</v>
      </c>
      <c r="I77" s="64">
        <v>1.05</v>
      </c>
      <c r="J77" s="64">
        <v>0.3</v>
      </c>
      <c r="K77" s="64">
        <v>301.94</v>
      </c>
      <c r="L77" s="64">
        <v>25.89</v>
      </c>
      <c r="M77" s="64">
        <v>93.24</v>
      </c>
      <c r="N77" s="64">
        <v>96.1</v>
      </c>
      <c r="O77" s="64">
        <v>0</v>
      </c>
      <c r="P77" s="64">
        <v>0.37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3" t="s">
        <v>313</v>
      </c>
      <c r="B78" s="64">
        <v>6.9</v>
      </c>
      <c r="C78" s="64">
        <v>17.27</v>
      </c>
      <c r="D78" s="64">
        <v>14.56</v>
      </c>
      <c r="E78" s="64">
        <v>4.59</v>
      </c>
      <c r="F78" s="64">
        <v>3.99</v>
      </c>
      <c r="G78" s="64">
        <v>38.85</v>
      </c>
      <c r="H78" s="64">
        <v>6.73</v>
      </c>
      <c r="I78" s="64">
        <v>1.06</v>
      </c>
      <c r="J78" s="64">
        <v>0.2</v>
      </c>
      <c r="K78" s="64">
        <v>305.38</v>
      </c>
      <c r="L78" s="64">
        <v>25.99</v>
      </c>
      <c r="M78" s="64">
        <v>93.74</v>
      </c>
      <c r="N78" s="64">
        <v>113.7</v>
      </c>
      <c r="O78" s="64">
        <v>0</v>
      </c>
      <c r="P78" s="64">
        <v>0.4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3" t="s">
        <v>314</v>
      </c>
      <c r="B79" s="64">
        <v>7.02</v>
      </c>
      <c r="C79" s="64">
        <v>17.22</v>
      </c>
      <c r="D79" s="64">
        <v>14.63</v>
      </c>
      <c r="E79" s="64">
        <v>4.58</v>
      </c>
      <c r="F79" s="64">
        <v>3.27</v>
      </c>
      <c r="G79" s="64">
        <v>39.729999999999997</v>
      </c>
      <c r="H79" s="64">
        <v>5.2</v>
      </c>
      <c r="I79" s="64">
        <v>1.0900000000000001</v>
      </c>
      <c r="J79" s="64">
        <v>0.18</v>
      </c>
      <c r="K79" s="64">
        <v>327.32</v>
      </c>
      <c r="L79" s="64">
        <v>25.69</v>
      </c>
      <c r="M79" s="64">
        <v>95.52</v>
      </c>
      <c r="N79" s="64">
        <v>81.7</v>
      </c>
      <c r="O79" s="64">
        <v>0</v>
      </c>
      <c r="P79" s="64">
        <v>0.41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3" t="s">
        <v>315</v>
      </c>
      <c r="B80" s="64">
        <v>6.92</v>
      </c>
      <c r="C80" s="64">
        <v>16.899999999999999</v>
      </c>
      <c r="D80" s="64">
        <v>14.38</v>
      </c>
      <c r="E80" s="64">
        <v>4.58</v>
      </c>
      <c r="F80" s="64">
        <v>4.63</v>
      </c>
      <c r="G80" s="64">
        <v>40</v>
      </c>
      <c r="H80" s="64">
        <v>4.71</v>
      </c>
      <c r="I80" s="64">
        <v>1.17</v>
      </c>
      <c r="J80" s="64">
        <v>0.23</v>
      </c>
      <c r="K80" s="64">
        <v>328.47</v>
      </c>
      <c r="L80" s="64">
        <v>25.31</v>
      </c>
      <c r="M80" s="64">
        <v>97.36</v>
      </c>
      <c r="N80" s="64">
        <v>75.400000000000006</v>
      </c>
      <c r="O80" s="64">
        <v>0</v>
      </c>
      <c r="P80" s="64">
        <v>0.43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3" t="s">
        <v>316</v>
      </c>
      <c r="B81" s="64">
        <v>6.64</v>
      </c>
      <c r="C81" s="64">
        <v>16.98</v>
      </c>
      <c r="D81" s="64">
        <v>14.19</v>
      </c>
      <c r="E81" s="64">
        <v>4.5</v>
      </c>
      <c r="F81" s="64">
        <v>2.75</v>
      </c>
      <c r="G81" s="64">
        <v>40</v>
      </c>
      <c r="H81" s="64">
        <v>4.71</v>
      </c>
      <c r="I81" s="64">
        <v>1.23</v>
      </c>
      <c r="J81" s="64">
        <v>0.24</v>
      </c>
      <c r="K81" s="64">
        <v>323.18</v>
      </c>
      <c r="L81" s="64">
        <v>25.1</v>
      </c>
      <c r="M81" s="64">
        <v>97.61</v>
      </c>
      <c r="N81" s="64">
        <v>64.900000000000006</v>
      </c>
      <c r="O81" s="64">
        <v>0</v>
      </c>
      <c r="P81" s="64">
        <v>0.42</v>
      </c>
      <c r="Q81" s="64">
        <v>9.11</v>
      </c>
      <c r="R81" s="198"/>
      <c r="S81" s="198"/>
      <c r="T81" s="198"/>
      <c r="U81" s="198"/>
    </row>
    <row r="82" spans="1:26" s="12" customFormat="1" x14ac:dyDescent="0.25">
      <c r="A82" s="213" t="s">
        <v>317</v>
      </c>
      <c r="B82" s="64">
        <v>6.6</v>
      </c>
      <c r="C82" s="64">
        <v>16.8</v>
      </c>
      <c r="D82" s="64">
        <v>14.07</v>
      </c>
      <c r="E82" s="64">
        <v>4.2699999999999996</v>
      </c>
      <c r="F82" s="64">
        <v>4.1399999999999997</v>
      </c>
      <c r="G82" s="64">
        <v>40</v>
      </c>
      <c r="H82" s="64">
        <v>4.71</v>
      </c>
      <c r="I82" s="64">
        <v>1.26</v>
      </c>
      <c r="J82" s="64">
        <v>0.24</v>
      </c>
      <c r="K82" s="64">
        <v>322.7</v>
      </c>
      <c r="L82" s="64">
        <v>24.96</v>
      </c>
      <c r="M82" s="64">
        <v>97.63</v>
      </c>
      <c r="N82" s="64">
        <v>56.1</v>
      </c>
      <c r="O82" s="64">
        <v>0</v>
      </c>
      <c r="P82" s="64">
        <v>0.41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3" t="s">
        <v>318</v>
      </c>
      <c r="B83" s="64">
        <v>6.49</v>
      </c>
      <c r="C83" s="64">
        <v>16.54</v>
      </c>
      <c r="D83" s="64">
        <v>13.85</v>
      </c>
      <c r="E83" s="64">
        <v>4.57</v>
      </c>
      <c r="F83" s="64">
        <v>3.08</v>
      </c>
      <c r="G83" s="64">
        <v>38.75</v>
      </c>
      <c r="H83" s="64">
        <v>9.15</v>
      </c>
      <c r="I83" s="64">
        <v>1.25</v>
      </c>
      <c r="J83" s="64">
        <v>0.22</v>
      </c>
      <c r="K83" s="64">
        <v>331.89</v>
      </c>
      <c r="L83" s="64">
        <v>24.74</v>
      </c>
      <c r="M83" s="64">
        <v>97.63</v>
      </c>
      <c r="N83" s="64">
        <v>50.7</v>
      </c>
      <c r="O83" s="64">
        <v>0</v>
      </c>
      <c r="P83" s="64">
        <v>0.41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3" t="s">
        <v>319</v>
      </c>
      <c r="B84" s="64">
        <v>6.43</v>
      </c>
      <c r="C84" s="64">
        <v>16.239999999999998</v>
      </c>
      <c r="D84" s="64">
        <v>13.64</v>
      </c>
      <c r="E84" s="64">
        <v>4.79</v>
      </c>
      <c r="F84" s="64">
        <v>3.83</v>
      </c>
      <c r="G84" s="64">
        <v>38.369999999999997</v>
      </c>
      <c r="H84" s="64">
        <v>10.59</v>
      </c>
      <c r="I84" s="64">
        <v>1.24</v>
      </c>
      <c r="J84" s="64">
        <v>0.21</v>
      </c>
      <c r="K84" s="64">
        <v>336.85</v>
      </c>
      <c r="L84" s="64">
        <v>24.6</v>
      </c>
      <c r="M84" s="64">
        <v>97.63</v>
      </c>
      <c r="N84" s="64">
        <v>49.7</v>
      </c>
      <c r="O84" s="64">
        <v>0</v>
      </c>
      <c r="P84" s="64">
        <v>0.4</v>
      </c>
      <c r="Q84" s="64">
        <v>9.1</v>
      </c>
      <c r="R84" s="198"/>
      <c r="S84" s="198"/>
      <c r="T84" s="198"/>
      <c r="U84" s="198"/>
    </row>
    <row r="85" spans="1:26" s="12" customFormat="1" x14ac:dyDescent="0.25">
      <c r="A85" s="213" t="s">
        <v>320</v>
      </c>
      <c r="B85" s="64">
        <v>6.51</v>
      </c>
      <c r="C85" s="64">
        <v>16.12</v>
      </c>
      <c r="D85" s="64">
        <v>13.64</v>
      </c>
      <c r="E85" s="64">
        <v>4.6399999999999997</v>
      </c>
      <c r="F85" s="64">
        <v>3.06</v>
      </c>
      <c r="G85" s="64">
        <v>38.369999999999997</v>
      </c>
      <c r="H85" s="64">
        <v>10.59</v>
      </c>
      <c r="I85" s="64">
        <v>1.23</v>
      </c>
      <c r="J85" s="64">
        <v>0.2</v>
      </c>
      <c r="K85" s="64">
        <v>328.23</v>
      </c>
      <c r="L85" s="64">
        <v>24.55</v>
      </c>
      <c r="M85" s="64">
        <v>97.65</v>
      </c>
      <c r="N85" s="64">
        <v>49.5</v>
      </c>
      <c r="O85" s="64">
        <v>0</v>
      </c>
      <c r="P85" s="64">
        <v>0.33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3" t="s">
        <v>321</v>
      </c>
      <c r="B86" s="64">
        <v>7.98</v>
      </c>
      <c r="C86" s="64">
        <v>16.88</v>
      </c>
      <c r="D86" s="64">
        <v>15.22</v>
      </c>
      <c r="E86" s="64">
        <v>4.9000000000000004</v>
      </c>
      <c r="F86" s="64">
        <v>4.37</v>
      </c>
      <c r="G86" s="64">
        <v>38.369999999999997</v>
      </c>
      <c r="H86" s="64">
        <v>10.59</v>
      </c>
      <c r="I86" s="64">
        <v>1.21</v>
      </c>
      <c r="J86" s="64">
        <v>0.14000000000000001</v>
      </c>
      <c r="K86" s="64">
        <v>330.72</v>
      </c>
      <c r="L86" s="64">
        <v>24.41</v>
      </c>
      <c r="M86" s="64">
        <v>97.65</v>
      </c>
      <c r="N86" s="64">
        <v>49.4</v>
      </c>
      <c r="O86" s="64">
        <v>0</v>
      </c>
      <c r="P86" s="64">
        <v>0.37</v>
      </c>
      <c r="Q86" s="64">
        <v>9.11</v>
      </c>
      <c r="R86" s="198"/>
      <c r="S86" s="198"/>
      <c r="T86" s="198"/>
      <c r="U86" s="198"/>
    </row>
    <row r="87" spans="1:26" s="12" customFormat="1" x14ac:dyDescent="0.25">
      <c r="A87" s="213" t="s">
        <v>322</v>
      </c>
      <c r="B87" s="64">
        <v>9.18</v>
      </c>
      <c r="C87" s="64">
        <v>15.69</v>
      </c>
      <c r="D87" s="64">
        <v>15.56</v>
      </c>
      <c r="E87" s="64">
        <v>4.5</v>
      </c>
      <c r="F87" s="64">
        <v>3.56</v>
      </c>
      <c r="G87" s="64">
        <v>38.01</v>
      </c>
      <c r="H87" s="64">
        <v>8.5399999999999991</v>
      </c>
      <c r="I87" s="64">
        <v>1.19</v>
      </c>
      <c r="J87" s="64">
        <v>0.16</v>
      </c>
      <c r="K87" s="64">
        <v>351.15</v>
      </c>
      <c r="L87" s="64">
        <v>24.34</v>
      </c>
      <c r="M87" s="64">
        <v>97.65</v>
      </c>
      <c r="N87" s="64">
        <v>49.4</v>
      </c>
      <c r="O87" s="64">
        <v>0</v>
      </c>
      <c r="P87" s="64">
        <v>0.38</v>
      </c>
      <c r="Q87" s="64">
        <v>9.1300000000000008</v>
      </c>
      <c r="R87" s="198"/>
      <c r="S87" s="198"/>
      <c r="T87" s="198"/>
      <c r="U87" s="198"/>
    </row>
    <row r="88" spans="1:26" s="12" customFormat="1" x14ac:dyDescent="0.25">
      <c r="A88" s="213" t="s">
        <v>323</v>
      </c>
      <c r="B88" s="64">
        <v>9.3699999999999992</v>
      </c>
      <c r="C88" s="64">
        <v>15.49</v>
      </c>
      <c r="D88" s="64">
        <v>15.6</v>
      </c>
      <c r="E88" s="64">
        <v>4.8099999999999996</v>
      </c>
      <c r="F88" s="64">
        <v>3.94</v>
      </c>
      <c r="G88" s="64">
        <v>37.9</v>
      </c>
      <c r="H88" s="64">
        <v>7.92</v>
      </c>
      <c r="I88" s="64">
        <v>1.2</v>
      </c>
      <c r="J88" s="64">
        <v>0.16</v>
      </c>
      <c r="K88" s="64">
        <v>331.73</v>
      </c>
      <c r="L88" s="64">
        <v>24.27</v>
      </c>
      <c r="M88" s="64">
        <v>97.65</v>
      </c>
      <c r="N88" s="64">
        <v>49.3</v>
      </c>
      <c r="O88" s="64">
        <v>0</v>
      </c>
      <c r="P88" s="64">
        <v>0.39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3" t="s">
        <v>324</v>
      </c>
      <c r="B89" s="64">
        <v>8.8699999999999992</v>
      </c>
      <c r="C89" s="64">
        <v>15.57</v>
      </c>
      <c r="D89" s="64">
        <v>15.25</v>
      </c>
      <c r="E89" s="64">
        <v>4.43</v>
      </c>
      <c r="F89" s="64">
        <v>3.9</v>
      </c>
      <c r="G89" s="64">
        <v>37.9</v>
      </c>
      <c r="H89" s="64">
        <v>7.92</v>
      </c>
      <c r="I89" s="64">
        <v>1.22</v>
      </c>
      <c r="J89" s="64">
        <v>0.2</v>
      </c>
      <c r="K89" s="64">
        <v>339.41</v>
      </c>
      <c r="L89" s="64">
        <v>24.21</v>
      </c>
      <c r="M89" s="64">
        <v>97.65</v>
      </c>
      <c r="N89" s="64">
        <v>49</v>
      </c>
      <c r="O89" s="64">
        <v>0</v>
      </c>
      <c r="P89" s="64">
        <v>0.37</v>
      </c>
      <c r="Q89" s="64">
        <v>9.17</v>
      </c>
      <c r="R89" s="198"/>
      <c r="S89" s="198"/>
      <c r="T89" s="198"/>
      <c r="U89" s="198"/>
    </row>
    <row r="90" spans="1:26" s="12" customFormat="1" x14ac:dyDescent="0.25">
      <c r="A90" s="213" t="s">
        <v>325</v>
      </c>
      <c r="B90" s="64">
        <v>8.18</v>
      </c>
      <c r="C90" s="64">
        <v>15.18</v>
      </c>
      <c r="D90" s="64">
        <v>14.49</v>
      </c>
      <c r="E90" s="64">
        <v>4.7</v>
      </c>
      <c r="F90" s="64">
        <v>3.56</v>
      </c>
      <c r="G90" s="64">
        <v>37.9</v>
      </c>
      <c r="H90" s="64">
        <v>7.92</v>
      </c>
      <c r="I90" s="64">
        <v>1.24</v>
      </c>
      <c r="J90" s="64">
        <v>0.17</v>
      </c>
      <c r="K90" s="64">
        <v>340.85</v>
      </c>
      <c r="L90" s="64">
        <v>24.2</v>
      </c>
      <c r="M90" s="64">
        <v>97.66</v>
      </c>
      <c r="N90" s="64">
        <v>49.2</v>
      </c>
      <c r="O90" s="64">
        <v>0</v>
      </c>
      <c r="P90" s="64">
        <v>0.38</v>
      </c>
      <c r="Q90" s="64">
        <v>9.17</v>
      </c>
      <c r="R90" s="198"/>
      <c r="S90" s="198"/>
      <c r="T90" s="198"/>
      <c r="U90" s="198"/>
    </row>
    <row r="91" spans="1:26" s="12" customFormat="1" x14ac:dyDescent="0.25">
      <c r="A91" s="213" t="s">
        <v>326</v>
      </c>
      <c r="B91" s="64">
        <v>7.97</v>
      </c>
      <c r="C91" s="64">
        <v>15.31</v>
      </c>
      <c r="D91" s="64">
        <v>14.39</v>
      </c>
      <c r="E91" s="64">
        <v>4.71</v>
      </c>
      <c r="F91" s="64">
        <v>3.36</v>
      </c>
      <c r="G91" s="64">
        <v>35.82</v>
      </c>
      <c r="H91" s="64">
        <v>6.3</v>
      </c>
      <c r="I91" s="64">
        <v>1.26</v>
      </c>
      <c r="J91" s="64">
        <v>0.15</v>
      </c>
      <c r="K91" s="64">
        <v>341.73</v>
      </c>
      <c r="L91" s="64">
        <v>24.15</v>
      </c>
      <c r="M91" s="64">
        <v>97.66</v>
      </c>
      <c r="N91" s="64">
        <v>49.2</v>
      </c>
      <c r="O91" s="64">
        <v>0</v>
      </c>
      <c r="P91" s="64">
        <v>0.37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3" t="s">
        <v>327</v>
      </c>
      <c r="B92" s="64">
        <v>8.5299999999999994</v>
      </c>
      <c r="C92" s="64">
        <v>16.16</v>
      </c>
      <c r="D92" s="64">
        <v>15.28</v>
      </c>
      <c r="E92" s="64">
        <v>4.4800000000000004</v>
      </c>
      <c r="F92" s="64">
        <v>4.37</v>
      </c>
      <c r="G92" s="64">
        <v>35.19</v>
      </c>
      <c r="H92" s="64">
        <v>5.78</v>
      </c>
      <c r="I92" s="64">
        <v>1.25</v>
      </c>
      <c r="J92" s="64">
        <v>0.15</v>
      </c>
      <c r="K92" s="64">
        <v>345.75</v>
      </c>
      <c r="L92" s="64">
        <v>24.18</v>
      </c>
      <c r="M92" s="64">
        <v>97.67</v>
      </c>
      <c r="N92" s="64">
        <v>49.2</v>
      </c>
      <c r="O92" s="64">
        <v>0</v>
      </c>
      <c r="P92" s="64">
        <v>0.38</v>
      </c>
      <c r="Q92" s="64">
        <v>9.17</v>
      </c>
      <c r="R92" s="198"/>
      <c r="S92" s="198"/>
      <c r="T92" s="198"/>
      <c r="U92" s="198"/>
    </row>
    <row r="93" spans="1:26" s="12" customFormat="1" x14ac:dyDescent="0.25">
      <c r="A93" s="213" t="s">
        <v>328</v>
      </c>
      <c r="B93" s="64">
        <v>9.0399999999999991</v>
      </c>
      <c r="C93" s="64">
        <v>15.71</v>
      </c>
      <c r="D93" s="64">
        <v>15.45</v>
      </c>
      <c r="E93" s="64">
        <v>4.7300000000000004</v>
      </c>
      <c r="F93" s="64">
        <v>4.03</v>
      </c>
      <c r="G93" s="64">
        <v>35.19</v>
      </c>
      <c r="H93" s="64">
        <v>5.78</v>
      </c>
      <c r="I93" s="64">
        <v>1.23</v>
      </c>
      <c r="J93" s="64">
        <v>0.13</v>
      </c>
      <c r="K93" s="64">
        <v>330.84</v>
      </c>
      <c r="L93" s="64">
        <v>24.09</v>
      </c>
      <c r="M93" s="64">
        <v>97.68</v>
      </c>
      <c r="N93" s="64">
        <v>49.2</v>
      </c>
      <c r="O93" s="64">
        <v>0</v>
      </c>
      <c r="P93" s="64">
        <v>0.38</v>
      </c>
      <c r="Q93" s="64">
        <v>9.17</v>
      </c>
      <c r="R93" s="198"/>
      <c r="S93" s="198"/>
      <c r="T93" s="198"/>
      <c r="U93" s="198"/>
    </row>
    <row r="94" spans="1:26" s="12" customFormat="1" x14ac:dyDescent="0.25">
      <c r="A94" s="213" t="s">
        <v>329</v>
      </c>
      <c r="B94" s="64">
        <v>8.43</v>
      </c>
      <c r="C94" s="64">
        <v>14.36</v>
      </c>
      <c r="D94" s="64">
        <v>14.26</v>
      </c>
      <c r="E94" s="64">
        <v>4.72</v>
      </c>
      <c r="F94" s="64">
        <v>4.5</v>
      </c>
      <c r="G94" s="64">
        <v>35.19</v>
      </c>
      <c r="H94" s="64">
        <v>5.78</v>
      </c>
      <c r="I94" s="64">
        <v>1.22</v>
      </c>
      <c r="J94" s="64">
        <v>0.14000000000000001</v>
      </c>
      <c r="K94" s="64">
        <v>350.64</v>
      </c>
      <c r="L94" s="64">
        <v>24.09</v>
      </c>
      <c r="M94" s="64">
        <v>97.69</v>
      </c>
      <c r="N94" s="64">
        <v>49.4</v>
      </c>
      <c r="O94" s="64">
        <v>0</v>
      </c>
      <c r="P94" s="64">
        <v>0.37</v>
      </c>
      <c r="Q94" s="64">
        <v>9.16</v>
      </c>
      <c r="R94" s="198"/>
      <c r="S94" s="198"/>
      <c r="T94" s="198"/>
      <c r="U94" s="198"/>
    </row>
    <row r="95" spans="1:26" s="12" customFormat="1" x14ac:dyDescent="0.25">
      <c r="A95" s="213" t="s">
        <v>330</v>
      </c>
      <c r="B95" s="64">
        <v>10.73</v>
      </c>
      <c r="C95" s="64">
        <v>13.41</v>
      </c>
      <c r="D95" s="64">
        <v>15.26</v>
      </c>
      <c r="E95" s="64">
        <v>4.8</v>
      </c>
      <c r="F95" s="64">
        <v>2.76</v>
      </c>
      <c r="G95" s="64">
        <v>33.5</v>
      </c>
      <c r="H95" s="64">
        <v>5.62</v>
      </c>
      <c r="I95" s="64">
        <v>1.22</v>
      </c>
      <c r="J95" s="64">
        <v>0.09</v>
      </c>
      <c r="K95" s="64">
        <v>330.54</v>
      </c>
      <c r="L95" s="64">
        <v>24.07</v>
      </c>
      <c r="M95" s="64">
        <v>97.69</v>
      </c>
      <c r="N95" s="64">
        <v>49.4</v>
      </c>
      <c r="O95" s="64">
        <v>0</v>
      </c>
      <c r="P95" s="64">
        <v>0.37</v>
      </c>
      <c r="Q95" s="64">
        <v>9.16</v>
      </c>
      <c r="R95" s="198"/>
      <c r="S95" s="198"/>
      <c r="T95" s="198"/>
      <c r="U95" s="198"/>
    </row>
    <row r="96" spans="1:26" s="12" customFormat="1" x14ac:dyDescent="0.25">
      <c r="A96" s="213" t="s">
        <v>331</v>
      </c>
      <c r="B96" s="64">
        <v>9.16</v>
      </c>
      <c r="C96" s="64">
        <v>13.47</v>
      </c>
      <c r="D96" s="64">
        <v>14.38</v>
      </c>
      <c r="E96" s="64">
        <v>5.07</v>
      </c>
      <c r="F96" s="64">
        <v>3.98</v>
      </c>
      <c r="G96" s="64">
        <v>32.96</v>
      </c>
      <c r="H96" s="64">
        <v>5.57</v>
      </c>
      <c r="I96" s="64">
        <v>1.21</v>
      </c>
      <c r="J96" s="64">
        <v>0.11</v>
      </c>
      <c r="K96" s="64">
        <v>347.55</v>
      </c>
      <c r="L96" s="64">
        <v>24.04</v>
      </c>
      <c r="M96" s="64">
        <v>97.71</v>
      </c>
      <c r="N96" s="64">
        <v>49.4</v>
      </c>
      <c r="O96" s="64">
        <v>0</v>
      </c>
      <c r="P96" s="64">
        <v>0.37</v>
      </c>
      <c r="Q96" s="64">
        <v>9.16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332</v>
      </c>
      <c r="B97" s="64">
        <v>9.33</v>
      </c>
      <c r="C97" s="64">
        <v>13.06</v>
      </c>
      <c r="D97" s="64">
        <v>14.3</v>
      </c>
      <c r="E97" s="64">
        <v>4.78</v>
      </c>
      <c r="F97" s="64">
        <v>2.65</v>
      </c>
      <c r="G97" s="64">
        <v>32.96</v>
      </c>
      <c r="H97" s="64">
        <v>5.57</v>
      </c>
      <c r="I97" s="64">
        <v>1.19</v>
      </c>
      <c r="J97" s="64">
        <v>0.15</v>
      </c>
      <c r="K97" s="64">
        <v>345.02</v>
      </c>
      <c r="L97" s="64">
        <v>24.01</v>
      </c>
      <c r="M97" s="64">
        <v>97.71</v>
      </c>
      <c r="N97" s="64">
        <v>49.4</v>
      </c>
      <c r="O97" s="64">
        <v>0</v>
      </c>
      <c r="P97" s="64">
        <v>0.36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3" t="s">
        <v>333</v>
      </c>
      <c r="B98" s="64">
        <v>9.1999999999999993</v>
      </c>
      <c r="C98" s="64">
        <v>12.87</v>
      </c>
      <c r="D98" s="64">
        <v>14.1</v>
      </c>
      <c r="E98" s="64">
        <v>4.6900000000000004</v>
      </c>
      <c r="F98" s="64">
        <v>3.75</v>
      </c>
      <c r="G98" s="64">
        <v>32.96</v>
      </c>
      <c r="H98" s="64">
        <v>5.57</v>
      </c>
      <c r="I98" s="64">
        <v>1.18</v>
      </c>
      <c r="J98" s="64">
        <v>0.13</v>
      </c>
      <c r="K98" s="64">
        <v>343.05</v>
      </c>
      <c r="L98" s="64">
        <v>23.99</v>
      </c>
      <c r="M98" s="64">
        <v>97.72</v>
      </c>
      <c r="N98" s="64">
        <v>49.4</v>
      </c>
      <c r="O98" s="64">
        <v>0</v>
      </c>
      <c r="P98" s="64">
        <v>0.35</v>
      </c>
      <c r="Q98" s="64">
        <v>9.15</v>
      </c>
      <c r="R98" s="198"/>
      <c r="S98" s="198"/>
      <c r="T98" s="198"/>
      <c r="U98" s="198"/>
    </row>
    <row r="99" spans="1:33" s="12" customFormat="1" x14ac:dyDescent="0.25">
      <c r="A99" s="213" t="s">
        <v>334</v>
      </c>
      <c r="B99" s="64">
        <v>8.9499999999999993</v>
      </c>
      <c r="C99" s="64">
        <v>12.99</v>
      </c>
      <c r="D99" s="64">
        <v>13.97</v>
      </c>
      <c r="E99" s="64">
        <v>4.75</v>
      </c>
      <c r="F99" s="64">
        <v>2.9</v>
      </c>
      <c r="G99" s="64">
        <v>36.799999999999997</v>
      </c>
      <c r="H99" s="64">
        <v>6.4</v>
      </c>
      <c r="I99" s="64">
        <v>1.17</v>
      </c>
      <c r="J99" s="64">
        <v>0.15</v>
      </c>
      <c r="K99" s="64">
        <v>318</v>
      </c>
      <c r="L99" s="64">
        <v>23.95</v>
      </c>
      <c r="M99" s="64">
        <v>97.72</v>
      </c>
      <c r="N99" s="64">
        <v>49.4</v>
      </c>
      <c r="O99" s="64">
        <v>0</v>
      </c>
      <c r="P99" s="64">
        <v>0.34</v>
      </c>
      <c r="Q99" s="64">
        <v>9.15</v>
      </c>
      <c r="R99" s="198"/>
      <c r="S99" s="198"/>
      <c r="T99" s="198"/>
      <c r="U99" s="198"/>
    </row>
    <row r="100" spans="1:33" s="12" customFormat="1" x14ac:dyDescent="0.25">
      <c r="A100" s="213" t="s">
        <v>335</v>
      </c>
      <c r="B100" s="64">
        <v>8.82</v>
      </c>
      <c r="C100" s="64">
        <v>12.9</v>
      </c>
      <c r="D100" s="64">
        <v>13.81</v>
      </c>
      <c r="E100" s="64">
        <v>4.76</v>
      </c>
      <c r="F100" s="64">
        <v>3.36</v>
      </c>
      <c r="G100" s="64">
        <v>37.97</v>
      </c>
      <c r="H100" s="64">
        <v>6.66</v>
      </c>
      <c r="I100" s="64">
        <v>1.1399999999999999</v>
      </c>
      <c r="J100" s="64">
        <v>0.11</v>
      </c>
      <c r="K100" s="64">
        <v>330.26</v>
      </c>
      <c r="L100" s="64">
        <v>23.99</v>
      </c>
      <c r="M100" s="64">
        <v>97.73</v>
      </c>
      <c r="N100" s="64">
        <v>49.4</v>
      </c>
      <c r="O100" s="64">
        <v>0</v>
      </c>
      <c r="P100" s="64">
        <v>0.32</v>
      </c>
      <c r="Q100" s="64">
        <v>9.1300000000000008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336</v>
      </c>
      <c r="B101" s="64">
        <v>8.6</v>
      </c>
      <c r="C101" s="64">
        <v>12.7</v>
      </c>
      <c r="D101" s="64">
        <v>13.53</v>
      </c>
      <c r="E101" s="64">
        <v>4.59</v>
      </c>
      <c r="F101" s="64">
        <v>3.27</v>
      </c>
      <c r="G101" s="64">
        <v>37.97</v>
      </c>
      <c r="H101" s="64">
        <v>6.66</v>
      </c>
      <c r="I101" s="64">
        <v>1.1200000000000001</v>
      </c>
      <c r="J101" s="64">
        <v>0.1</v>
      </c>
      <c r="K101" s="64">
        <v>293.74</v>
      </c>
      <c r="L101" s="64">
        <v>23.87</v>
      </c>
      <c r="M101" s="64">
        <v>97.75</v>
      </c>
      <c r="N101" s="64">
        <v>49.4</v>
      </c>
      <c r="O101" s="64">
        <v>0</v>
      </c>
      <c r="P101" s="64">
        <v>0.31</v>
      </c>
      <c r="Q101" s="64">
        <v>9.1300000000000008</v>
      </c>
      <c r="R101" s="198"/>
      <c r="S101" s="198"/>
      <c r="T101" s="198"/>
      <c r="U101" s="198"/>
    </row>
    <row r="102" spans="1:33" s="12" customFormat="1" x14ac:dyDescent="0.25">
      <c r="A102" s="213" t="s">
        <v>337</v>
      </c>
      <c r="B102" s="64">
        <v>8.31</v>
      </c>
      <c r="C102" s="64">
        <v>12.7</v>
      </c>
      <c r="D102" s="64">
        <v>13.3</v>
      </c>
      <c r="E102" s="64">
        <v>4.6500000000000004</v>
      </c>
      <c r="F102" s="64">
        <v>3.54</v>
      </c>
      <c r="G102" s="64">
        <v>37.97</v>
      </c>
      <c r="H102" s="64">
        <v>6.66</v>
      </c>
      <c r="I102" s="64">
        <v>1.1000000000000001</v>
      </c>
      <c r="J102" s="64">
        <v>0.09</v>
      </c>
      <c r="K102" s="64">
        <v>297.42</v>
      </c>
      <c r="L102" s="64">
        <v>23.86</v>
      </c>
      <c r="M102" s="64">
        <v>97.75</v>
      </c>
      <c r="N102" s="64">
        <v>49.5</v>
      </c>
      <c r="O102" s="64">
        <v>0</v>
      </c>
      <c r="P102" s="64">
        <v>0.28000000000000003</v>
      </c>
      <c r="Q102" s="64">
        <v>9.1199999999999992</v>
      </c>
      <c r="R102" s="198"/>
      <c r="S102" s="198"/>
      <c r="T102" s="198"/>
      <c r="U102" s="198"/>
    </row>
    <row r="103" spans="1:33" s="12" customFormat="1" x14ac:dyDescent="0.25">
      <c r="A103" s="213" t="s">
        <v>338</v>
      </c>
      <c r="B103" s="64">
        <v>8.23</v>
      </c>
      <c r="C103" s="64">
        <v>12.29</v>
      </c>
      <c r="D103" s="64">
        <v>13.02</v>
      </c>
      <c r="E103" s="64">
        <v>4.46</v>
      </c>
      <c r="F103" s="64">
        <v>4.1100000000000003</v>
      </c>
      <c r="G103" s="64">
        <v>29.25</v>
      </c>
      <c r="H103" s="64">
        <v>5.4</v>
      </c>
      <c r="I103" s="64">
        <v>1.06</v>
      </c>
      <c r="J103" s="64">
        <v>0.11</v>
      </c>
      <c r="K103" s="64">
        <v>310.32</v>
      </c>
      <c r="L103" s="64">
        <v>23.82</v>
      </c>
      <c r="M103" s="64">
        <v>97.75</v>
      </c>
      <c r="N103" s="64">
        <v>49.5</v>
      </c>
      <c r="O103" s="64">
        <v>0</v>
      </c>
      <c r="P103" s="64">
        <v>0.3</v>
      </c>
      <c r="Q103" s="64">
        <v>9.11</v>
      </c>
      <c r="R103" s="198"/>
      <c r="S103" s="198"/>
      <c r="T103" s="198"/>
      <c r="U103" s="198"/>
    </row>
    <row r="104" spans="1:33" s="12" customFormat="1" x14ac:dyDescent="0.25">
      <c r="A104" s="213" t="s">
        <v>339</v>
      </c>
      <c r="B104" s="64">
        <v>7.42</v>
      </c>
      <c r="C104" s="64">
        <v>11.78</v>
      </c>
      <c r="D104" s="64">
        <v>12.1</v>
      </c>
      <c r="E104" s="64">
        <v>5.14</v>
      </c>
      <c r="F104" s="64">
        <v>4.26</v>
      </c>
      <c r="G104" s="64">
        <v>26.6</v>
      </c>
      <c r="H104" s="64">
        <v>5.0199999999999996</v>
      </c>
      <c r="I104" s="64">
        <v>1.02</v>
      </c>
      <c r="J104" s="64">
        <v>0.13</v>
      </c>
      <c r="K104" s="64">
        <v>303.51</v>
      </c>
      <c r="L104" s="64">
        <v>23.8</v>
      </c>
      <c r="M104" s="64">
        <v>97.75</v>
      </c>
      <c r="N104" s="64">
        <v>49.4</v>
      </c>
      <c r="O104" s="64">
        <v>0</v>
      </c>
      <c r="P104" s="64">
        <v>0.22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5.81</v>
      </c>
      <c r="C106" s="67">
        <f>MIN(C9:C104)</f>
        <v>11.32</v>
      </c>
      <c r="D106" s="67">
        <f t="shared" ref="D106:Q106" si="0">MIN(D9:D104)</f>
        <v>10.76</v>
      </c>
      <c r="E106" s="67">
        <f t="shared" si="0"/>
        <v>4.05</v>
      </c>
      <c r="F106" s="67">
        <f t="shared" si="0"/>
        <v>2.36</v>
      </c>
      <c r="G106" s="67">
        <f t="shared" si="0"/>
        <v>12.51</v>
      </c>
      <c r="H106" s="67">
        <f t="shared" si="0"/>
        <v>1.25</v>
      </c>
      <c r="I106" s="67">
        <f t="shared" si="0"/>
        <v>0.67</v>
      </c>
      <c r="J106" s="67">
        <f t="shared" si="0"/>
        <v>0.09</v>
      </c>
      <c r="K106" s="67">
        <f t="shared" si="0"/>
        <v>282.7</v>
      </c>
      <c r="L106" s="67">
        <f t="shared" si="0"/>
        <v>22</v>
      </c>
      <c r="M106" s="67">
        <f t="shared" si="0"/>
        <v>84.37</v>
      </c>
      <c r="N106" s="67">
        <f t="shared" si="0"/>
        <v>49</v>
      </c>
      <c r="O106" s="67">
        <f t="shared" si="0"/>
        <v>0</v>
      </c>
      <c r="P106" s="67">
        <f t="shared" si="0"/>
        <v>0.18</v>
      </c>
      <c r="Q106" s="67">
        <f t="shared" si="0"/>
        <v>8.99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12.94</v>
      </c>
      <c r="C107" s="66">
        <f t="shared" ref="C107:Q107" si="1">MAX(C9:C104)</f>
        <v>19.260000000000002</v>
      </c>
      <c r="D107" s="66">
        <f t="shared" si="1"/>
        <v>17.920000000000002</v>
      </c>
      <c r="E107" s="66">
        <f t="shared" si="1"/>
        <v>5.42</v>
      </c>
      <c r="F107" s="66">
        <f t="shared" si="1"/>
        <v>4.96</v>
      </c>
      <c r="G107" s="66">
        <f t="shared" si="1"/>
        <v>40</v>
      </c>
      <c r="H107" s="66">
        <f t="shared" si="1"/>
        <v>10.59</v>
      </c>
      <c r="I107" s="66">
        <f t="shared" si="1"/>
        <v>1.74</v>
      </c>
      <c r="J107" s="66">
        <f t="shared" si="1"/>
        <v>0.77</v>
      </c>
      <c r="K107" s="66">
        <f t="shared" si="1"/>
        <v>351.15</v>
      </c>
      <c r="L107" s="66">
        <f t="shared" si="1"/>
        <v>28.25</v>
      </c>
      <c r="M107" s="66">
        <f t="shared" si="1"/>
        <v>97.75</v>
      </c>
      <c r="N107" s="66">
        <f t="shared" si="1"/>
        <v>554.1</v>
      </c>
      <c r="O107" s="66">
        <f t="shared" si="1"/>
        <v>2</v>
      </c>
      <c r="P107" s="66">
        <f t="shared" si="1"/>
        <v>0.55000000000000004</v>
      </c>
      <c r="Q107" s="66">
        <f t="shared" si="1"/>
        <v>9.25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8.1242708333333322</v>
      </c>
      <c r="C108" s="67">
        <f t="shared" ref="C108:Q108" si="2">AVERAGE(C9:C104)</f>
        <v>14.534374999999999</v>
      </c>
      <c r="D108" s="67">
        <f t="shared" si="2"/>
        <v>14.10489583333333</v>
      </c>
      <c r="E108" s="67">
        <f t="shared" si="2"/>
        <v>4.8896874999999982</v>
      </c>
      <c r="F108" s="67">
        <f t="shared" si="2"/>
        <v>3.7340624999999998</v>
      </c>
      <c r="G108" s="67">
        <f t="shared" si="2"/>
        <v>30.315729166666667</v>
      </c>
      <c r="H108" s="67">
        <f t="shared" si="2"/>
        <v>5.1755208333333327</v>
      </c>
      <c r="I108" s="67">
        <f t="shared" si="2"/>
        <v>1.1264583333333331</v>
      </c>
      <c r="J108" s="67">
        <f t="shared" si="2"/>
        <v>0.3035416666666666</v>
      </c>
      <c r="K108" s="67">
        <f t="shared" si="2"/>
        <v>305.69010416666657</v>
      </c>
      <c r="L108" s="67">
        <f t="shared" si="2"/>
        <v>24.798854166666661</v>
      </c>
      <c r="M108" s="67">
        <f t="shared" si="2"/>
        <v>94.903124999999946</v>
      </c>
      <c r="N108" s="67">
        <f t="shared" si="2"/>
        <v>141.58229166666672</v>
      </c>
      <c r="O108" s="67">
        <f t="shared" si="2"/>
        <v>4.1666666666666664E-2</v>
      </c>
      <c r="P108" s="67">
        <f t="shared" si="2"/>
        <v>0.3372916666666666</v>
      </c>
      <c r="Q108" s="67">
        <f t="shared" si="2"/>
        <v>9.1207291666666652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1.7874732208765871</v>
      </c>
      <c r="C109" s="67">
        <f t="shared" ref="C109:Q109" si="3">STDEV(C9:C104)</f>
        <v>2.3648179244477867</v>
      </c>
      <c r="D109" s="67">
        <f t="shared" si="3"/>
        <v>1.8934557628519837</v>
      </c>
      <c r="E109" s="67">
        <f t="shared" si="3"/>
        <v>0.28286300617641374</v>
      </c>
      <c r="F109" s="67">
        <f t="shared" si="3"/>
        <v>0.55852169184657985</v>
      </c>
      <c r="G109" s="67">
        <f t="shared" si="3"/>
        <v>8.5383735348492493</v>
      </c>
      <c r="H109" s="67">
        <f t="shared" si="3"/>
        <v>2.3673208795872633</v>
      </c>
      <c r="I109" s="67">
        <f t="shared" si="3"/>
        <v>0.23901983695112175</v>
      </c>
      <c r="J109" s="67">
        <f t="shared" si="3"/>
        <v>0.20260399105886973</v>
      </c>
      <c r="K109" s="67">
        <f t="shared" si="3"/>
        <v>18.308240623442693</v>
      </c>
      <c r="L109" s="67">
        <f t="shared" si="3"/>
        <v>1.7685949640688865</v>
      </c>
      <c r="M109" s="67">
        <f t="shared" si="3"/>
        <v>4.0905231456701427</v>
      </c>
      <c r="N109" s="67">
        <f t="shared" si="3"/>
        <v>117.5857563830188</v>
      </c>
      <c r="O109" s="67">
        <f t="shared" si="3"/>
        <v>0.26264511444218963</v>
      </c>
      <c r="P109" s="67">
        <f t="shared" si="3"/>
        <v>8.5118853952844589E-2</v>
      </c>
      <c r="Q109" s="67">
        <f t="shared" si="3"/>
        <v>6.2731588478074307E-2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G126" sqref="G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340</v>
      </c>
      <c r="B9" s="64">
        <v>7.61</v>
      </c>
      <c r="C9" s="64">
        <v>11.73</v>
      </c>
      <c r="D9" s="64">
        <v>12.23</v>
      </c>
      <c r="E9" s="64">
        <v>5.04</v>
      </c>
      <c r="F9" s="64">
        <v>3.67</v>
      </c>
      <c r="G9" s="64">
        <v>26.6</v>
      </c>
      <c r="H9" s="64">
        <v>5.0199999999999996</v>
      </c>
      <c r="I9" s="64">
        <v>1</v>
      </c>
      <c r="J9" s="64">
        <v>0.14000000000000001</v>
      </c>
      <c r="K9" s="64">
        <v>317.52</v>
      </c>
      <c r="L9" s="64">
        <v>23.8</v>
      </c>
      <c r="M9" s="64">
        <v>97.75</v>
      </c>
      <c r="N9" s="64">
        <v>49.4</v>
      </c>
      <c r="O9" s="64">
        <v>0</v>
      </c>
      <c r="P9" s="64">
        <v>0.24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3" t="s">
        <v>341</v>
      </c>
      <c r="B10" s="64">
        <v>7.4</v>
      </c>
      <c r="C10" s="64">
        <v>11.8</v>
      </c>
      <c r="D10" s="64">
        <v>12.1</v>
      </c>
      <c r="E10" s="64">
        <v>5.28</v>
      </c>
      <c r="F10" s="64">
        <v>4.28</v>
      </c>
      <c r="G10" s="64">
        <v>26.6</v>
      </c>
      <c r="H10" s="64">
        <v>5.0199999999999996</v>
      </c>
      <c r="I10" s="64">
        <v>0.97</v>
      </c>
      <c r="J10" s="64">
        <v>0.12</v>
      </c>
      <c r="K10" s="64">
        <v>322.64999999999998</v>
      </c>
      <c r="L10" s="64">
        <v>23.78</v>
      </c>
      <c r="M10" s="64">
        <v>97.75</v>
      </c>
      <c r="N10" s="64">
        <v>49.5</v>
      </c>
      <c r="O10" s="64">
        <v>0</v>
      </c>
      <c r="P10" s="64">
        <v>0.24</v>
      </c>
      <c r="Q10" s="64">
        <v>9.1</v>
      </c>
      <c r="R10" s="198"/>
      <c r="S10" s="198"/>
      <c r="T10" s="198"/>
      <c r="U10" s="198"/>
    </row>
    <row r="11" spans="1:21" s="12" customFormat="1" x14ac:dyDescent="0.25">
      <c r="A11" s="213" t="s">
        <v>342</v>
      </c>
      <c r="B11" s="64">
        <v>7.15</v>
      </c>
      <c r="C11" s="64">
        <v>11.65</v>
      </c>
      <c r="D11" s="64">
        <v>11.82</v>
      </c>
      <c r="E11" s="64">
        <v>5.15</v>
      </c>
      <c r="F11" s="64">
        <v>3.98</v>
      </c>
      <c r="G11" s="64">
        <v>27.06</v>
      </c>
      <c r="H11" s="64">
        <v>13.66</v>
      </c>
      <c r="I11" s="64">
        <v>0.92</v>
      </c>
      <c r="J11" s="64">
        <v>0.14000000000000001</v>
      </c>
      <c r="K11" s="64">
        <v>322.66000000000003</v>
      </c>
      <c r="L11" s="64">
        <v>23.76</v>
      </c>
      <c r="M11" s="64">
        <v>97.75</v>
      </c>
      <c r="N11" s="64">
        <v>49.5</v>
      </c>
      <c r="O11" s="64">
        <v>0</v>
      </c>
      <c r="P11" s="64">
        <v>0.22</v>
      </c>
      <c r="Q11" s="64">
        <v>9.09</v>
      </c>
      <c r="R11" s="198"/>
      <c r="S11" s="198"/>
      <c r="T11" s="198"/>
      <c r="U11" s="198"/>
    </row>
    <row r="12" spans="1:21" s="12" customFormat="1" x14ac:dyDescent="0.25">
      <c r="A12" s="213" t="s">
        <v>343</v>
      </c>
      <c r="B12" s="64">
        <v>6.94</v>
      </c>
      <c r="C12" s="64">
        <v>11.51</v>
      </c>
      <c r="D12" s="64">
        <v>11.58</v>
      </c>
      <c r="E12" s="64">
        <v>5.09</v>
      </c>
      <c r="F12" s="64">
        <v>4.51</v>
      </c>
      <c r="G12" s="64">
        <v>27.2</v>
      </c>
      <c r="H12" s="64">
        <v>16.45</v>
      </c>
      <c r="I12" s="64">
        <v>0.88</v>
      </c>
      <c r="J12" s="64">
        <v>0.18</v>
      </c>
      <c r="K12" s="64">
        <v>312.99</v>
      </c>
      <c r="L12" s="64">
        <v>23.78</v>
      </c>
      <c r="M12" s="64">
        <v>97.75</v>
      </c>
      <c r="N12" s="64">
        <v>49.6</v>
      </c>
      <c r="O12" s="64">
        <v>0</v>
      </c>
      <c r="P12" s="64">
        <v>0.21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3" t="s">
        <v>344</v>
      </c>
      <c r="B13" s="64">
        <v>6.7</v>
      </c>
      <c r="C13" s="64">
        <v>11.47</v>
      </c>
      <c r="D13" s="64">
        <v>11.36</v>
      </c>
      <c r="E13" s="64">
        <v>4.84</v>
      </c>
      <c r="F13" s="64">
        <v>3.61</v>
      </c>
      <c r="G13" s="64">
        <v>27.2</v>
      </c>
      <c r="H13" s="64">
        <v>16.45</v>
      </c>
      <c r="I13" s="64">
        <v>0.84</v>
      </c>
      <c r="J13" s="64">
        <v>0.16</v>
      </c>
      <c r="K13" s="64">
        <v>307.23</v>
      </c>
      <c r="L13" s="64">
        <v>23.82</v>
      </c>
      <c r="M13" s="64">
        <v>97.76</v>
      </c>
      <c r="N13" s="64">
        <v>49.6</v>
      </c>
      <c r="O13" s="64">
        <v>0</v>
      </c>
      <c r="P13" s="64">
        <v>0.19</v>
      </c>
      <c r="Q13" s="64">
        <v>9.08</v>
      </c>
      <c r="R13" s="198"/>
      <c r="S13" s="198"/>
      <c r="T13" s="198"/>
      <c r="U13" s="198"/>
    </row>
    <row r="14" spans="1:21" s="12" customFormat="1" x14ac:dyDescent="0.25">
      <c r="A14" s="213" t="s">
        <v>345</v>
      </c>
      <c r="B14" s="64">
        <v>6.45</v>
      </c>
      <c r="C14" s="64">
        <v>11.27</v>
      </c>
      <c r="D14" s="64">
        <v>11.06</v>
      </c>
      <c r="E14" s="64">
        <v>4.97</v>
      </c>
      <c r="F14" s="64">
        <v>3.42</v>
      </c>
      <c r="G14" s="64">
        <v>27.2</v>
      </c>
      <c r="H14" s="64">
        <v>16.45</v>
      </c>
      <c r="I14" s="64">
        <v>0.88</v>
      </c>
      <c r="J14" s="64">
        <v>0.22</v>
      </c>
      <c r="K14" s="64">
        <v>298.86</v>
      </c>
      <c r="L14" s="64">
        <v>23.82</v>
      </c>
      <c r="M14" s="64">
        <v>97.78</v>
      </c>
      <c r="N14" s="64">
        <v>49.7</v>
      </c>
      <c r="O14" s="64">
        <v>0</v>
      </c>
      <c r="P14" s="64">
        <v>0.19</v>
      </c>
      <c r="Q14" s="64">
        <v>9.07</v>
      </c>
      <c r="R14" s="198"/>
      <c r="S14" s="198"/>
      <c r="T14" s="198"/>
      <c r="U14" s="198"/>
    </row>
    <row r="15" spans="1:21" s="12" customFormat="1" x14ac:dyDescent="0.25">
      <c r="A15" s="213" t="s">
        <v>346</v>
      </c>
      <c r="B15" s="64">
        <v>6.11</v>
      </c>
      <c r="C15" s="64">
        <v>11.47</v>
      </c>
      <c r="D15" s="64">
        <v>10.9</v>
      </c>
      <c r="E15" s="64">
        <v>5.18</v>
      </c>
      <c r="F15" s="64">
        <v>3.86</v>
      </c>
      <c r="G15" s="64">
        <v>20.89</v>
      </c>
      <c r="H15" s="64">
        <v>12.51</v>
      </c>
      <c r="I15" s="64">
        <v>0.9</v>
      </c>
      <c r="J15" s="64">
        <v>0.23</v>
      </c>
      <c r="K15" s="64">
        <v>298.62</v>
      </c>
      <c r="L15" s="64">
        <v>23.74</v>
      </c>
      <c r="M15" s="64">
        <v>97.78</v>
      </c>
      <c r="N15" s="64">
        <v>49.8</v>
      </c>
      <c r="O15" s="64">
        <v>0</v>
      </c>
      <c r="P15" s="64">
        <v>0.19</v>
      </c>
      <c r="Q15" s="64">
        <v>9.06</v>
      </c>
      <c r="R15" s="198"/>
      <c r="S15" s="198"/>
      <c r="T15" s="198"/>
      <c r="U15" s="198"/>
    </row>
    <row r="16" spans="1:21" s="12" customFormat="1" x14ac:dyDescent="0.25">
      <c r="A16" s="213" t="s">
        <v>347</v>
      </c>
      <c r="B16" s="64">
        <v>5.8</v>
      </c>
      <c r="C16" s="64">
        <v>12.2</v>
      </c>
      <c r="D16" s="64">
        <v>11.03</v>
      </c>
      <c r="E16" s="64">
        <v>5.46</v>
      </c>
      <c r="F16" s="64">
        <v>3.21</v>
      </c>
      <c r="G16" s="64">
        <v>18.850000000000001</v>
      </c>
      <c r="H16" s="64">
        <v>11.23</v>
      </c>
      <c r="I16" s="64">
        <v>0.85</v>
      </c>
      <c r="J16" s="64">
        <v>0.23</v>
      </c>
      <c r="K16" s="64">
        <v>297.87</v>
      </c>
      <c r="L16" s="64">
        <v>23.66</v>
      </c>
      <c r="M16" s="64">
        <v>97.8</v>
      </c>
      <c r="N16" s="64">
        <v>49.7</v>
      </c>
      <c r="O16" s="64">
        <v>0</v>
      </c>
      <c r="P16" s="64">
        <v>0.18</v>
      </c>
      <c r="Q16" s="64">
        <v>9.0299999999999994</v>
      </c>
      <c r="R16" s="198"/>
      <c r="S16" s="198"/>
      <c r="T16" s="198"/>
      <c r="U16" s="198"/>
    </row>
    <row r="17" spans="1:21" s="12" customFormat="1" x14ac:dyDescent="0.25">
      <c r="A17" s="213" t="s">
        <v>348</v>
      </c>
      <c r="B17" s="64">
        <v>5.59</v>
      </c>
      <c r="C17" s="64">
        <v>12.13</v>
      </c>
      <c r="D17" s="64">
        <v>10.82</v>
      </c>
      <c r="E17" s="64">
        <v>5.29</v>
      </c>
      <c r="F17" s="64">
        <v>3.87</v>
      </c>
      <c r="G17" s="64">
        <v>18.850000000000001</v>
      </c>
      <c r="H17" s="64">
        <v>11.23</v>
      </c>
      <c r="I17" s="64">
        <v>0.81</v>
      </c>
      <c r="J17" s="64">
        <v>0.23</v>
      </c>
      <c r="K17" s="64">
        <v>295.26</v>
      </c>
      <c r="L17" s="64">
        <v>23.68</v>
      </c>
      <c r="M17" s="64">
        <v>97.8</v>
      </c>
      <c r="N17" s="64">
        <v>49.7</v>
      </c>
      <c r="O17" s="64">
        <v>0</v>
      </c>
      <c r="P17" s="64">
        <v>0.16</v>
      </c>
      <c r="Q17" s="64">
        <v>9.02</v>
      </c>
      <c r="R17" s="198"/>
      <c r="S17" s="198"/>
      <c r="T17" s="198"/>
      <c r="U17" s="198"/>
    </row>
    <row r="18" spans="1:21" s="12" customFormat="1" x14ac:dyDescent="0.25">
      <c r="A18" s="213" t="s">
        <v>349</v>
      </c>
      <c r="B18" s="64">
        <v>5.42</v>
      </c>
      <c r="C18" s="64">
        <v>11.95</v>
      </c>
      <c r="D18" s="64">
        <v>10.59</v>
      </c>
      <c r="E18" s="64">
        <v>5.19</v>
      </c>
      <c r="F18" s="64">
        <v>3.04</v>
      </c>
      <c r="G18" s="64">
        <v>18.850000000000001</v>
      </c>
      <c r="H18" s="64">
        <v>11.23</v>
      </c>
      <c r="I18" s="64">
        <v>0.77</v>
      </c>
      <c r="J18" s="64">
        <v>0.23</v>
      </c>
      <c r="K18" s="64">
        <v>300.85000000000002</v>
      </c>
      <c r="L18" s="64">
        <v>23.63</v>
      </c>
      <c r="M18" s="64">
        <v>97.8</v>
      </c>
      <c r="N18" s="64">
        <v>49.8</v>
      </c>
      <c r="O18" s="64">
        <v>0</v>
      </c>
      <c r="P18" s="64">
        <v>0.15</v>
      </c>
      <c r="Q18" s="64">
        <v>8.99</v>
      </c>
      <c r="R18" s="198"/>
      <c r="S18" s="198"/>
      <c r="T18" s="198"/>
      <c r="U18" s="198"/>
    </row>
    <row r="19" spans="1:21" s="12" customFormat="1" x14ac:dyDescent="0.25">
      <c r="A19" s="213" t="s">
        <v>350</v>
      </c>
      <c r="B19" s="64">
        <v>5.3</v>
      </c>
      <c r="C19" s="64">
        <v>11.55</v>
      </c>
      <c r="D19" s="64">
        <v>10.29</v>
      </c>
      <c r="E19" s="64">
        <v>4.87</v>
      </c>
      <c r="F19" s="64">
        <v>4.05</v>
      </c>
      <c r="G19" s="64">
        <v>19.260000000000002</v>
      </c>
      <c r="H19" s="64">
        <v>11.2</v>
      </c>
      <c r="I19" s="64">
        <v>0.75</v>
      </c>
      <c r="J19" s="64">
        <v>0.26</v>
      </c>
      <c r="K19" s="64">
        <v>298</v>
      </c>
      <c r="L19" s="64">
        <v>23.53</v>
      </c>
      <c r="M19" s="64">
        <v>97.78</v>
      </c>
      <c r="N19" s="64">
        <v>50</v>
      </c>
      <c r="O19" s="64">
        <v>0</v>
      </c>
      <c r="P19" s="64">
        <v>0.14000000000000001</v>
      </c>
      <c r="Q19" s="64">
        <v>8.99</v>
      </c>
      <c r="R19" s="198"/>
      <c r="S19" s="198"/>
      <c r="T19" s="198"/>
      <c r="U19" s="198"/>
    </row>
    <row r="20" spans="1:21" s="12" customFormat="1" x14ac:dyDescent="0.25">
      <c r="A20" s="213" t="s">
        <v>351</v>
      </c>
      <c r="B20" s="64">
        <v>5.19</v>
      </c>
      <c r="C20" s="64">
        <v>11.82</v>
      </c>
      <c r="D20" s="64">
        <v>10.34</v>
      </c>
      <c r="E20" s="64">
        <v>5.09</v>
      </c>
      <c r="F20" s="64">
        <v>3.53</v>
      </c>
      <c r="G20" s="64">
        <v>19.399999999999999</v>
      </c>
      <c r="H20" s="64">
        <v>11.18</v>
      </c>
      <c r="I20" s="64">
        <v>0.71</v>
      </c>
      <c r="J20" s="64">
        <v>0.28000000000000003</v>
      </c>
      <c r="K20" s="64">
        <v>294.10000000000002</v>
      </c>
      <c r="L20" s="64">
        <v>23.43</v>
      </c>
      <c r="M20" s="64">
        <v>97.78</v>
      </c>
      <c r="N20" s="64">
        <v>50</v>
      </c>
      <c r="O20" s="64">
        <v>0</v>
      </c>
      <c r="P20" s="64">
        <v>0.15</v>
      </c>
      <c r="Q20" s="64">
        <v>8.99</v>
      </c>
      <c r="R20" s="198"/>
      <c r="S20" s="198"/>
      <c r="T20" s="198"/>
      <c r="U20" s="198"/>
    </row>
    <row r="21" spans="1:21" s="12" customFormat="1" x14ac:dyDescent="0.25">
      <c r="A21" s="213" t="s">
        <v>352</v>
      </c>
      <c r="B21" s="64">
        <v>5.22</v>
      </c>
      <c r="C21" s="64">
        <v>12.08</v>
      </c>
      <c r="D21" s="64">
        <v>10.49</v>
      </c>
      <c r="E21" s="64">
        <v>5.38</v>
      </c>
      <c r="F21" s="64">
        <v>3.38</v>
      </c>
      <c r="G21" s="64">
        <v>19.399999999999999</v>
      </c>
      <c r="H21" s="64">
        <v>11.18</v>
      </c>
      <c r="I21" s="64">
        <v>0.69</v>
      </c>
      <c r="J21" s="64">
        <v>0.19</v>
      </c>
      <c r="K21" s="64">
        <v>292.52</v>
      </c>
      <c r="L21" s="64">
        <v>23.37</v>
      </c>
      <c r="M21" s="64">
        <v>97.78</v>
      </c>
      <c r="N21" s="64">
        <v>50.1</v>
      </c>
      <c r="O21" s="64">
        <v>0</v>
      </c>
      <c r="P21" s="64">
        <v>0.14000000000000001</v>
      </c>
      <c r="Q21" s="64">
        <v>8.99</v>
      </c>
      <c r="R21" s="198"/>
      <c r="S21" s="198"/>
      <c r="T21" s="198"/>
      <c r="U21" s="198"/>
    </row>
    <row r="22" spans="1:21" s="12" customFormat="1" x14ac:dyDescent="0.25">
      <c r="A22" s="213" t="s">
        <v>353</v>
      </c>
      <c r="B22" s="64">
        <v>5.31</v>
      </c>
      <c r="C22" s="64">
        <v>12.11</v>
      </c>
      <c r="D22" s="64">
        <v>10.59</v>
      </c>
      <c r="E22" s="64">
        <v>5.0999999999999996</v>
      </c>
      <c r="F22" s="64">
        <v>3.2</v>
      </c>
      <c r="G22" s="64">
        <v>19.399999999999999</v>
      </c>
      <c r="H22" s="64">
        <v>11.18</v>
      </c>
      <c r="I22" s="64">
        <v>0.71</v>
      </c>
      <c r="J22" s="64">
        <v>0.09</v>
      </c>
      <c r="K22" s="64">
        <v>291.11</v>
      </c>
      <c r="L22" s="64">
        <v>23.2</v>
      </c>
      <c r="M22" s="64">
        <v>97.78</v>
      </c>
      <c r="N22" s="64">
        <v>50.1</v>
      </c>
      <c r="O22" s="64">
        <v>0</v>
      </c>
      <c r="P22" s="64">
        <v>0.17</v>
      </c>
      <c r="Q22" s="64">
        <v>8.98</v>
      </c>
      <c r="R22" s="198"/>
      <c r="S22" s="198"/>
      <c r="T22" s="198"/>
      <c r="U22" s="198"/>
    </row>
    <row r="23" spans="1:21" s="12" customFormat="1" x14ac:dyDescent="0.25">
      <c r="A23" s="213" t="s">
        <v>354</v>
      </c>
      <c r="B23" s="64">
        <v>5.37</v>
      </c>
      <c r="C23" s="64">
        <v>13.03</v>
      </c>
      <c r="D23" s="64">
        <v>11.11</v>
      </c>
      <c r="E23" s="64">
        <v>4.97</v>
      </c>
      <c r="F23" s="64">
        <v>4</v>
      </c>
      <c r="G23" s="64">
        <v>24.31</v>
      </c>
      <c r="H23" s="64">
        <v>9.6999999999999993</v>
      </c>
      <c r="I23" s="64">
        <v>0.78</v>
      </c>
      <c r="J23" s="64">
        <v>0.09</v>
      </c>
      <c r="K23" s="64">
        <v>300.05</v>
      </c>
      <c r="L23" s="64">
        <v>23.12</v>
      </c>
      <c r="M23" s="64">
        <v>97.78</v>
      </c>
      <c r="N23" s="64">
        <v>50</v>
      </c>
      <c r="O23" s="64">
        <v>0</v>
      </c>
      <c r="P23" s="64">
        <v>0.19</v>
      </c>
      <c r="Q23" s="64">
        <v>8.99</v>
      </c>
      <c r="R23" s="198"/>
      <c r="S23" s="198"/>
      <c r="T23" s="198"/>
      <c r="U23" s="198"/>
    </row>
    <row r="24" spans="1:21" s="12" customFormat="1" x14ac:dyDescent="0.25">
      <c r="A24" s="213" t="s">
        <v>355</v>
      </c>
      <c r="B24" s="64">
        <v>5.91</v>
      </c>
      <c r="C24" s="64">
        <v>12.13</v>
      </c>
      <c r="D24" s="64">
        <v>11.08</v>
      </c>
      <c r="E24" s="64">
        <v>5.27</v>
      </c>
      <c r="F24" s="64">
        <v>3.39</v>
      </c>
      <c r="G24" s="64">
        <v>25.9</v>
      </c>
      <c r="H24" s="64">
        <v>9.2100000000000009</v>
      </c>
      <c r="I24" s="64">
        <v>0.87</v>
      </c>
      <c r="J24" s="64">
        <v>0.12</v>
      </c>
      <c r="K24" s="64">
        <v>286.17</v>
      </c>
      <c r="L24" s="64">
        <v>23.11</v>
      </c>
      <c r="M24" s="64">
        <v>97.8</v>
      </c>
      <c r="N24" s="64">
        <v>50.1</v>
      </c>
      <c r="O24" s="64">
        <v>0</v>
      </c>
      <c r="P24" s="64">
        <v>0.19</v>
      </c>
      <c r="Q24" s="64">
        <v>8.99</v>
      </c>
      <c r="R24" s="198"/>
      <c r="S24" s="198"/>
      <c r="T24" s="198"/>
      <c r="U24" s="198"/>
    </row>
    <row r="25" spans="1:21" s="12" customFormat="1" x14ac:dyDescent="0.25">
      <c r="A25" s="213" t="s">
        <v>356</v>
      </c>
      <c r="B25" s="64">
        <v>6.47</v>
      </c>
      <c r="C25" s="64">
        <v>12.52</v>
      </c>
      <c r="D25" s="64">
        <v>11.73</v>
      </c>
      <c r="E25" s="64">
        <v>5.23</v>
      </c>
      <c r="F25" s="64">
        <v>2.88</v>
      </c>
      <c r="G25" s="64">
        <v>25.9</v>
      </c>
      <c r="H25" s="64">
        <v>9.2100000000000009</v>
      </c>
      <c r="I25" s="64">
        <v>0.99</v>
      </c>
      <c r="J25" s="64">
        <v>0.17</v>
      </c>
      <c r="K25" s="64">
        <v>291.43</v>
      </c>
      <c r="L25" s="64">
        <v>23.13</v>
      </c>
      <c r="M25" s="64">
        <v>97.8</v>
      </c>
      <c r="N25" s="64">
        <v>50.1</v>
      </c>
      <c r="O25" s="64">
        <v>0</v>
      </c>
      <c r="P25" s="64">
        <v>0.25</v>
      </c>
      <c r="Q25" s="64">
        <v>9.01</v>
      </c>
      <c r="R25" s="198"/>
      <c r="S25" s="198"/>
      <c r="T25" s="198"/>
      <c r="U25" s="198"/>
    </row>
    <row r="26" spans="1:21" s="12" customFormat="1" x14ac:dyDescent="0.25">
      <c r="A26" s="213" t="s">
        <v>357</v>
      </c>
      <c r="B26" s="64">
        <v>7.08</v>
      </c>
      <c r="C26" s="64">
        <v>13.04</v>
      </c>
      <c r="D26" s="64">
        <v>12.49</v>
      </c>
      <c r="E26" s="64">
        <v>5.2</v>
      </c>
      <c r="F26" s="64">
        <v>2.92</v>
      </c>
      <c r="G26" s="64">
        <v>25.9</v>
      </c>
      <c r="H26" s="64">
        <v>9.2100000000000009</v>
      </c>
      <c r="I26" s="64">
        <v>1.23</v>
      </c>
      <c r="J26" s="64">
        <v>0.31</v>
      </c>
      <c r="K26" s="64">
        <v>291.58</v>
      </c>
      <c r="L26" s="64">
        <v>23.25</v>
      </c>
      <c r="M26" s="64">
        <v>97.8</v>
      </c>
      <c r="N26" s="64">
        <v>49.9</v>
      </c>
      <c r="O26" s="64">
        <v>0</v>
      </c>
      <c r="P26" s="64">
        <v>0.32</v>
      </c>
      <c r="Q26" s="64">
        <v>9.0500000000000007</v>
      </c>
      <c r="R26" s="198"/>
      <c r="S26" s="198"/>
      <c r="T26" s="198"/>
      <c r="U26" s="198"/>
    </row>
    <row r="27" spans="1:21" s="12" customFormat="1" x14ac:dyDescent="0.25">
      <c r="A27" s="213" t="s">
        <v>358</v>
      </c>
      <c r="B27" s="64">
        <v>7.78</v>
      </c>
      <c r="C27" s="64">
        <v>14.64</v>
      </c>
      <c r="D27" s="64">
        <v>13.89</v>
      </c>
      <c r="E27" s="64">
        <v>5.31</v>
      </c>
      <c r="F27" s="64">
        <v>2.97</v>
      </c>
      <c r="G27" s="64">
        <v>30.09</v>
      </c>
      <c r="H27" s="64">
        <v>9.11</v>
      </c>
      <c r="I27" s="64">
        <v>1.58</v>
      </c>
      <c r="J27" s="64">
        <v>0.37</v>
      </c>
      <c r="K27" s="64">
        <v>300.32</v>
      </c>
      <c r="L27" s="64">
        <v>23.29</v>
      </c>
      <c r="M27" s="64">
        <v>97.8</v>
      </c>
      <c r="N27" s="64">
        <v>49.9</v>
      </c>
      <c r="O27" s="64">
        <v>0</v>
      </c>
      <c r="P27" s="64">
        <v>0.46</v>
      </c>
      <c r="Q27" s="64">
        <v>9.08</v>
      </c>
      <c r="R27" s="198"/>
      <c r="S27" s="198"/>
      <c r="T27" s="198"/>
      <c r="U27" s="198"/>
    </row>
    <row r="28" spans="1:21" s="12" customFormat="1" x14ac:dyDescent="0.25">
      <c r="A28" s="213" t="s">
        <v>359</v>
      </c>
      <c r="B28" s="64">
        <v>8.0399999999999991</v>
      </c>
      <c r="C28" s="64">
        <v>13.32</v>
      </c>
      <c r="D28" s="64">
        <v>13.4</v>
      </c>
      <c r="E28" s="64">
        <v>5.1100000000000003</v>
      </c>
      <c r="F28" s="64">
        <v>3.38</v>
      </c>
      <c r="G28" s="64">
        <v>31.44</v>
      </c>
      <c r="H28" s="64">
        <v>9.07</v>
      </c>
      <c r="I28" s="64">
        <v>2.4900000000000002</v>
      </c>
      <c r="J28" s="64">
        <v>0.43</v>
      </c>
      <c r="K28" s="64">
        <v>290.91000000000003</v>
      </c>
      <c r="L28" s="64">
        <v>23.29</v>
      </c>
      <c r="M28" s="64">
        <v>97.8</v>
      </c>
      <c r="N28" s="64">
        <v>49.9</v>
      </c>
      <c r="O28" s="64">
        <v>0</v>
      </c>
      <c r="P28" s="64">
        <v>0.45</v>
      </c>
      <c r="Q28" s="64">
        <v>9.09</v>
      </c>
      <c r="R28" s="198"/>
      <c r="S28" s="198"/>
      <c r="T28" s="198"/>
      <c r="U28" s="198"/>
    </row>
    <row r="29" spans="1:21" s="12" customFormat="1" x14ac:dyDescent="0.25">
      <c r="A29" s="213" t="s">
        <v>360</v>
      </c>
      <c r="B29" s="64">
        <v>8.0399999999999991</v>
      </c>
      <c r="C29" s="64">
        <v>12.77</v>
      </c>
      <c r="D29" s="64">
        <v>13.12</v>
      </c>
      <c r="E29" s="64">
        <v>5.12</v>
      </c>
      <c r="F29" s="64">
        <v>3.18</v>
      </c>
      <c r="G29" s="64">
        <v>31.44</v>
      </c>
      <c r="H29" s="64">
        <v>9.07</v>
      </c>
      <c r="I29" s="64">
        <v>3.49</v>
      </c>
      <c r="J29" s="64">
        <v>0.33</v>
      </c>
      <c r="K29" s="64">
        <v>293.44</v>
      </c>
      <c r="L29" s="64">
        <v>23.22</v>
      </c>
      <c r="M29" s="64">
        <v>97.8</v>
      </c>
      <c r="N29" s="64">
        <v>50.5</v>
      </c>
      <c r="O29" s="64">
        <v>0.2</v>
      </c>
      <c r="P29" s="64">
        <v>0.42</v>
      </c>
      <c r="Q29" s="64">
        <v>9.11</v>
      </c>
      <c r="R29" s="198"/>
      <c r="S29" s="198"/>
      <c r="T29" s="198"/>
      <c r="U29" s="198"/>
    </row>
    <row r="30" spans="1:21" s="12" customFormat="1" x14ac:dyDescent="0.25">
      <c r="A30" s="213" t="s">
        <v>361</v>
      </c>
      <c r="B30" s="64">
        <v>7.9</v>
      </c>
      <c r="C30" s="64">
        <v>12.61</v>
      </c>
      <c r="D30" s="64">
        <v>12.92</v>
      </c>
      <c r="E30" s="64">
        <v>5.31</v>
      </c>
      <c r="F30" s="64">
        <v>3.39</v>
      </c>
      <c r="G30" s="64">
        <v>31.44</v>
      </c>
      <c r="H30" s="64">
        <v>9.07</v>
      </c>
      <c r="I30" s="64">
        <v>3.67</v>
      </c>
      <c r="J30" s="64">
        <v>0.35</v>
      </c>
      <c r="K30" s="64">
        <v>287.12</v>
      </c>
      <c r="L30" s="64">
        <v>22.94</v>
      </c>
      <c r="M30" s="64">
        <v>97.85</v>
      </c>
      <c r="N30" s="64">
        <v>51.5</v>
      </c>
      <c r="O30" s="64">
        <v>0</v>
      </c>
      <c r="P30" s="64">
        <v>0.4</v>
      </c>
      <c r="Q30" s="64">
        <v>9.1300000000000008</v>
      </c>
      <c r="R30" s="198"/>
      <c r="S30" s="198"/>
      <c r="T30" s="198"/>
      <c r="U30" s="198"/>
    </row>
    <row r="31" spans="1:21" s="12" customFormat="1" x14ac:dyDescent="0.25">
      <c r="A31" s="213" t="s">
        <v>362</v>
      </c>
      <c r="B31" s="64">
        <v>7.95</v>
      </c>
      <c r="C31" s="64">
        <v>12.71</v>
      </c>
      <c r="D31" s="64">
        <v>13.01</v>
      </c>
      <c r="E31" s="64">
        <v>5.0599999999999996</v>
      </c>
      <c r="F31" s="64">
        <v>4.18</v>
      </c>
      <c r="G31" s="64">
        <v>29.53</v>
      </c>
      <c r="H31" s="64">
        <v>10.43</v>
      </c>
      <c r="I31" s="64">
        <v>3.41</v>
      </c>
      <c r="J31" s="64">
        <v>0.31</v>
      </c>
      <c r="K31" s="64">
        <v>290.02999999999997</v>
      </c>
      <c r="L31" s="64">
        <v>23.02</v>
      </c>
      <c r="M31" s="64">
        <v>97.83</v>
      </c>
      <c r="N31" s="64">
        <v>55.1</v>
      </c>
      <c r="O31" s="64">
        <v>0</v>
      </c>
      <c r="P31" s="64">
        <v>0.36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3" t="s">
        <v>363</v>
      </c>
      <c r="B32" s="64">
        <v>8.2899999999999991</v>
      </c>
      <c r="C32" s="64">
        <v>12.66</v>
      </c>
      <c r="D32" s="64">
        <v>13.26</v>
      </c>
      <c r="E32" s="64">
        <v>5.25</v>
      </c>
      <c r="F32" s="64">
        <v>2.8</v>
      </c>
      <c r="G32" s="64">
        <v>28.92</v>
      </c>
      <c r="H32" s="64">
        <v>10.87</v>
      </c>
      <c r="I32" s="64">
        <v>3.19</v>
      </c>
      <c r="J32" s="64">
        <v>0.31</v>
      </c>
      <c r="K32" s="64">
        <v>294.79000000000002</v>
      </c>
      <c r="L32" s="64">
        <v>23.19</v>
      </c>
      <c r="M32" s="64">
        <v>97.85</v>
      </c>
      <c r="N32" s="64">
        <v>59.2</v>
      </c>
      <c r="O32" s="64">
        <v>0</v>
      </c>
      <c r="P32" s="64">
        <v>0.35</v>
      </c>
      <c r="Q32" s="64">
        <v>9.1300000000000008</v>
      </c>
      <c r="R32" s="198"/>
      <c r="S32" s="198"/>
      <c r="T32" s="198"/>
      <c r="U32" s="198"/>
    </row>
    <row r="33" spans="1:21" s="12" customFormat="1" x14ac:dyDescent="0.25">
      <c r="A33" s="213" t="s">
        <v>364</v>
      </c>
      <c r="B33" s="64">
        <v>8.4600000000000009</v>
      </c>
      <c r="C33" s="64">
        <v>12.26</v>
      </c>
      <c r="D33" s="64">
        <v>13.19</v>
      </c>
      <c r="E33" s="64">
        <v>5.16</v>
      </c>
      <c r="F33" s="64">
        <v>3.78</v>
      </c>
      <c r="G33" s="64">
        <v>28.92</v>
      </c>
      <c r="H33" s="64">
        <v>10.87</v>
      </c>
      <c r="I33" s="64">
        <v>3</v>
      </c>
      <c r="J33" s="64">
        <v>0.33</v>
      </c>
      <c r="K33" s="64">
        <v>285.98</v>
      </c>
      <c r="L33" s="64">
        <v>23.32</v>
      </c>
      <c r="M33" s="64">
        <v>97.85</v>
      </c>
      <c r="N33" s="64">
        <v>62.6</v>
      </c>
      <c r="O33" s="64">
        <v>0</v>
      </c>
      <c r="P33" s="64">
        <v>0.37</v>
      </c>
      <c r="Q33" s="64">
        <v>9.1199999999999992</v>
      </c>
      <c r="R33" s="198"/>
      <c r="S33" s="198"/>
      <c r="T33" s="198"/>
      <c r="U33" s="198"/>
    </row>
    <row r="34" spans="1:21" s="12" customFormat="1" x14ac:dyDescent="0.25">
      <c r="A34" s="213" t="s">
        <v>365</v>
      </c>
      <c r="B34" s="64">
        <v>8.68</v>
      </c>
      <c r="C34" s="64">
        <v>12.34</v>
      </c>
      <c r="D34" s="64">
        <v>13.41</v>
      </c>
      <c r="E34" s="64">
        <v>5.18</v>
      </c>
      <c r="F34" s="64">
        <v>3.36</v>
      </c>
      <c r="G34" s="64">
        <v>28.92</v>
      </c>
      <c r="H34" s="64">
        <v>10.87</v>
      </c>
      <c r="I34" s="64">
        <v>2.86</v>
      </c>
      <c r="J34" s="64">
        <v>0.27</v>
      </c>
      <c r="K34" s="64">
        <v>293</v>
      </c>
      <c r="L34" s="64">
        <v>23.44</v>
      </c>
      <c r="M34" s="64">
        <v>97.87</v>
      </c>
      <c r="N34" s="64">
        <v>71.7</v>
      </c>
      <c r="O34" s="64">
        <v>0</v>
      </c>
      <c r="P34" s="64">
        <v>0.39</v>
      </c>
      <c r="Q34" s="64">
        <v>9.1199999999999992</v>
      </c>
      <c r="R34" s="198"/>
      <c r="S34" s="198"/>
      <c r="T34" s="198"/>
      <c r="U34" s="198"/>
    </row>
    <row r="35" spans="1:21" s="12" customFormat="1" x14ac:dyDescent="0.25">
      <c r="A35" s="213" t="s">
        <v>366</v>
      </c>
      <c r="B35" s="64">
        <v>9.1300000000000008</v>
      </c>
      <c r="C35" s="64">
        <v>18</v>
      </c>
      <c r="D35" s="64">
        <v>16.73</v>
      </c>
      <c r="E35" s="64">
        <v>5.38</v>
      </c>
      <c r="F35" s="64">
        <v>3.36</v>
      </c>
      <c r="G35" s="64">
        <v>22.65</v>
      </c>
      <c r="H35" s="64">
        <v>8.6</v>
      </c>
      <c r="I35" s="64">
        <v>2.72</v>
      </c>
      <c r="J35" s="64">
        <v>0.2</v>
      </c>
      <c r="K35" s="64">
        <v>287.11</v>
      </c>
      <c r="L35" s="64">
        <v>23.65</v>
      </c>
      <c r="M35" s="64">
        <v>97.86</v>
      </c>
      <c r="N35" s="64">
        <v>84.7</v>
      </c>
      <c r="O35" s="64">
        <v>0</v>
      </c>
      <c r="P35" s="64">
        <v>0.47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3" t="s">
        <v>367</v>
      </c>
      <c r="B36" s="64">
        <v>16.66</v>
      </c>
      <c r="C36" s="64">
        <v>19.37</v>
      </c>
      <c r="D36" s="64">
        <v>23.48</v>
      </c>
      <c r="E36" s="64">
        <v>5.37</v>
      </c>
      <c r="F36" s="64">
        <v>4.08</v>
      </c>
      <c r="G36" s="64">
        <v>20.62</v>
      </c>
      <c r="H36" s="64">
        <v>7.86</v>
      </c>
      <c r="I36" s="64">
        <v>2.62</v>
      </c>
      <c r="J36" s="64">
        <v>0.13</v>
      </c>
      <c r="K36" s="64">
        <v>280.94</v>
      </c>
      <c r="L36" s="64">
        <v>23.71</v>
      </c>
      <c r="M36" s="64">
        <v>97.88</v>
      </c>
      <c r="N36" s="64">
        <v>98.2</v>
      </c>
      <c r="O36" s="64">
        <v>0</v>
      </c>
      <c r="P36" s="64">
        <v>0.91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3" t="s">
        <v>368</v>
      </c>
      <c r="B37" s="64">
        <v>19.649999999999999</v>
      </c>
      <c r="C37" s="64">
        <v>17.66</v>
      </c>
      <c r="D37" s="64">
        <v>24.99</v>
      </c>
      <c r="E37" s="64">
        <v>5.12</v>
      </c>
      <c r="F37" s="64">
        <v>2.27</v>
      </c>
      <c r="G37" s="64">
        <v>20.62</v>
      </c>
      <c r="H37" s="64">
        <v>7.86</v>
      </c>
      <c r="I37" s="64">
        <v>3.8</v>
      </c>
      <c r="J37" s="64">
        <v>0.15</v>
      </c>
      <c r="K37" s="64">
        <v>288.05</v>
      </c>
      <c r="L37" s="64">
        <v>23.82</v>
      </c>
      <c r="M37" s="64">
        <v>97.88</v>
      </c>
      <c r="N37" s="64">
        <v>106.2</v>
      </c>
      <c r="O37" s="64">
        <v>0</v>
      </c>
      <c r="P37" s="64">
        <v>0.75</v>
      </c>
      <c r="Q37" s="64">
        <v>9.4499999999999993</v>
      </c>
      <c r="R37" s="198"/>
      <c r="S37" s="198"/>
      <c r="T37" s="198"/>
      <c r="U37" s="198"/>
    </row>
    <row r="38" spans="1:21" s="12" customFormat="1" x14ac:dyDescent="0.25">
      <c r="A38" s="213" t="s">
        <v>369</v>
      </c>
      <c r="B38" s="64">
        <v>20.61</v>
      </c>
      <c r="C38" s="64">
        <v>15.15</v>
      </c>
      <c r="D38" s="64">
        <v>24.44</v>
      </c>
      <c r="E38" s="64">
        <v>5.39</v>
      </c>
      <c r="F38" s="64">
        <v>3.8</v>
      </c>
      <c r="G38" s="64">
        <v>20.62</v>
      </c>
      <c r="H38" s="64">
        <v>7.86</v>
      </c>
      <c r="I38" s="64">
        <v>6.05</v>
      </c>
      <c r="J38" s="64">
        <v>0.23</v>
      </c>
      <c r="K38" s="64">
        <v>282.81</v>
      </c>
      <c r="L38" s="64">
        <v>24.05</v>
      </c>
      <c r="M38" s="64">
        <v>97.88</v>
      </c>
      <c r="N38" s="64">
        <v>116.1</v>
      </c>
      <c r="O38" s="64">
        <v>0</v>
      </c>
      <c r="P38" s="64">
        <v>0.77</v>
      </c>
      <c r="Q38" s="64">
        <v>9.52</v>
      </c>
      <c r="R38" s="198"/>
      <c r="S38" s="198"/>
      <c r="T38" s="198"/>
      <c r="U38" s="198"/>
    </row>
    <row r="39" spans="1:21" s="12" customFormat="1" x14ac:dyDescent="0.25">
      <c r="A39" s="213" t="s">
        <v>370</v>
      </c>
      <c r="B39" s="64">
        <v>20.51</v>
      </c>
      <c r="C39" s="64">
        <v>13.21</v>
      </c>
      <c r="D39" s="64">
        <v>23.35</v>
      </c>
      <c r="E39" s="64">
        <v>5.26</v>
      </c>
      <c r="F39" s="64">
        <v>3.35</v>
      </c>
      <c r="G39" s="64">
        <v>39.520000000000003</v>
      </c>
      <c r="H39" s="64">
        <v>11.92</v>
      </c>
      <c r="I39" s="64">
        <v>7.03</v>
      </c>
      <c r="J39" s="64">
        <v>0.23</v>
      </c>
      <c r="K39" s="64">
        <v>286.31</v>
      </c>
      <c r="L39" s="64">
        <v>24.29</v>
      </c>
      <c r="M39" s="64">
        <v>97.88</v>
      </c>
      <c r="N39" s="64">
        <v>118.2</v>
      </c>
      <c r="O39" s="64">
        <v>0</v>
      </c>
      <c r="P39" s="64">
        <v>0.76</v>
      </c>
      <c r="Q39" s="64">
        <v>9.5500000000000007</v>
      </c>
      <c r="R39" s="198"/>
      <c r="S39" s="198"/>
      <c r="T39" s="198"/>
      <c r="U39" s="198"/>
    </row>
    <row r="40" spans="1:21" s="12" customFormat="1" x14ac:dyDescent="0.25">
      <c r="A40" s="213" t="s">
        <v>371</v>
      </c>
      <c r="B40" s="64">
        <v>21.13</v>
      </c>
      <c r="C40" s="64">
        <v>11.91</v>
      </c>
      <c r="D40" s="64">
        <v>23.17</v>
      </c>
      <c r="E40" s="64">
        <v>4.25</v>
      </c>
      <c r="F40" s="64">
        <v>3.17</v>
      </c>
      <c r="G40" s="64">
        <v>45.64</v>
      </c>
      <c r="H40" s="64">
        <v>13.23</v>
      </c>
      <c r="I40" s="64">
        <v>6.91</v>
      </c>
      <c r="J40" s="64">
        <v>0.24</v>
      </c>
      <c r="K40" s="64">
        <v>286.04000000000002</v>
      </c>
      <c r="L40" s="64">
        <v>24.53</v>
      </c>
      <c r="M40" s="64">
        <v>97.9</v>
      </c>
      <c r="N40" s="64">
        <v>109.1</v>
      </c>
      <c r="O40" s="64">
        <v>0</v>
      </c>
      <c r="P40" s="64">
        <v>0.74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13" t="s">
        <v>372</v>
      </c>
      <c r="B41" s="64">
        <v>21.3</v>
      </c>
      <c r="C41" s="64">
        <v>10.99</v>
      </c>
      <c r="D41" s="64">
        <v>22.82</v>
      </c>
      <c r="E41" s="64">
        <v>4.59</v>
      </c>
      <c r="F41" s="64">
        <v>3.85</v>
      </c>
      <c r="G41" s="64">
        <v>45.64</v>
      </c>
      <c r="H41" s="64">
        <v>13.23</v>
      </c>
      <c r="I41" s="64">
        <v>6.78</v>
      </c>
      <c r="J41" s="64">
        <v>0.19</v>
      </c>
      <c r="K41" s="64">
        <v>287.17</v>
      </c>
      <c r="L41" s="64">
        <v>24.6</v>
      </c>
      <c r="M41" s="64">
        <v>97.9</v>
      </c>
      <c r="N41" s="64">
        <v>108.1</v>
      </c>
      <c r="O41" s="64">
        <v>0</v>
      </c>
      <c r="P41" s="64">
        <v>0.74</v>
      </c>
      <c r="Q41" s="64">
        <v>9.5399999999999991</v>
      </c>
      <c r="R41" s="198"/>
      <c r="S41" s="198"/>
      <c r="T41" s="198"/>
      <c r="U41" s="198"/>
    </row>
    <row r="42" spans="1:21" s="12" customFormat="1" x14ac:dyDescent="0.25">
      <c r="A42" s="213" t="s">
        <v>373</v>
      </c>
      <c r="B42" s="64">
        <v>21.74</v>
      </c>
      <c r="C42" s="64">
        <v>10.17</v>
      </c>
      <c r="D42" s="64">
        <v>22.75</v>
      </c>
      <c r="E42" s="64">
        <v>4.62</v>
      </c>
      <c r="F42" s="64">
        <v>2.67</v>
      </c>
      <c r="G42" s="64">
        <v>45.64</v>
      </c>
      <c r="H42" s="64">
        <v>13.23</v>
      </c>
      <c r="I42" s="64">
        <v>6.73</v>
      </c>
      <c r="J42" s="64">
        <v>0.2</v>
      </c>
      <c r="K42" s="64">
        <v>283.12</v>
      </c>
      <c r="L42" s="64">
        <v>24.57</v>
      </c>
      <c r="M42" s="64">
        <v>97.9</v>
      </c>
      <c r="N42" s="64">
        <v>143.6</v>
      </c>
      <c r="O42" s="64">
        <v>0</v>
      </c>
      <c r="P42" s="64">
        <v>0.73</v>
      </c>
      <c r="Q42" s="64">
        <v>9.5399999999999991</v>
      </c>
      <c r="R42" s="198"/>
      <c r="S42" s="198"/>
      <c r="T42" s="198"/>
      <c r="U42" s="198"/>
    </row>
    <row r="43" spans="1:21" s="12" customFormat="1" x14ac:dyDescent="0.25">
      <c r="A43" s="213" t="s">
        <v>374</v>
      </c>
      <c r="B43" s="64">
        <v>22.07</v>
      </c>
      <c r="C43" s="64">
        <v>10.68</v>
      </c>
      <c r="D43" s="64">
        <v>23.28</v>
      </c>
      <c r="E43" s="64">
        <v>4.72</v>
      </c>
      <c r="F43" s="64">
        <v>3.38</v>
      </c>
      <c r="G43" s="64">
        <v>51.9</v>
      </c>
      <c r="H43" s="64">
        <v>12.09</v>
      </c>
      <c r="I43" s="64">
        <v>6.7</v>
      </c>
      <c r="J43" s="64">
        <v>0.27</v>
      </c>
      <c r="K43" s="64">
        <v>283.67</v>
      </c>
      <c r="L43" s="64">
        <v>24.94</v>
      </c>
      <c r="M43" s="64">
        <v>97.88</v>
      </c>
      <c r="N43" s="64">
        <v>250.7</v>
      </c>
      <c r="O43" s="64">
        <v>0</v>
      </c>
      <c r="P43" s="64">
        <v>0.67</v>
      </c>
      <c r="Q43" s="64">
        <v>9.5500000000000007</v>
      </c>
      <c r="R43" s="198"/>
      <c r="S43" s="198"/>
      <c r="T43" s="198"/>
      <c r="U43" s="198"/>
    </row>
    <row r="44" spans="1:21" s="12" customFormat="1" x14ac:dyDescent="0.25">
      <c r="A44" s="213" t="s">
        <v>375</v>
      </c>
      <c r="B44" s="64">
        <v>21.31</v>
      </c>
      <c r="C44" s="64">
        <v>11.34</v>
      </c>
      <c r="D44" s="64">
        <v>23.01</v>
      </c>
      <c r="E44" s="64">
        <v>4.66</v>
      </c>
      <c r="F44" s="64">
        <v>3.63</v>
      </c>
      <c r="G44" s="64">
        <v>53.93</v>
      </c>
      <c r="H44" s="64">
        <v>11.73</v>
      </c>
      <c r="I44" s="64">
        <v>6.61</v>
      </c>
      <c r="J44" s="64">
        <v>0.3</v>
      </c>
      <c r="K44" s="64">
        <v>281.76</v>
      </c>
      <c r="L44" s="64">
        <v>25.19</v>
      </c>
      <c r="M44" s="64">
        <v>97.87</v>
      </c>
      <c r="N44" s="64">
        <v>190.8</v>
      </c>
      <c r="O44" s="64">
        <v>0</v>
      </c>
      <c r="P44" s="64">
        <v>0.64</v>
      </c>
      <c r="Q44" s="64">
        <v>9.5500000000000007</v>
      </c>
      <c r="R44" s="198"/>
      <c r="S44" s="198"/>
      <c r="T44" s="198"/>
      <c r="U44" s="198"/>
    </row>
    <row r="45" spans="1:21" s="12" customFormat="1" x14ac:dyDescent="0.25">
      <c r="A45" s="213" t="s">
        <v>376</v>
      </c>
      <c r="B45" s="64">
        <v>20.96</v>
      </c>
      <c r="C45" s="64">
        <v>10.88</v>
      </c>
      <c r="D45" s="64">
        <v>22.5</v>
      </c>
      <c r="E45" s="64">
        <v>4.74</v>
      </c>
      <c r="F45" s="64">
        <v>3.68</v>
      </c>
      <c r="G45" s="64">
        <v>53.93</v>
      </c>
      <c r="H45" s="64">
        <v>11.73</v>
      </c>
      <c r="I45" s="64">
        <v>6.37</v>
      </c>
      <c r="J45" s="64">
        <v>0.28999999999999998</v>
      </c>
      <c r="K45" s="64">
        <v>285.57</v>
      </c>
      <c r="L45" s="64">
        <v>24.95</v>
      </c>
      <c r="M45" s="64">
        <v>97.88</v>
      </c>
      <c r="N45" s="64">
        <v>168.9</v>
      </c>
      <c r="O45" s="64">
        <v>0</v>
      </c>
      <c r="P45" s="64">
        <v>0.62</v>
      </c>
      <c r="Q45" s="64">
        <v>9.5500000000000007</v>
      </c>
      <c r="R45" s="198"/>
      <c r="S45" s="198"/>
      <c r="T45" s="198"/>
      <c r="U45" s="198"/>
    </row>
    <row r="46" spans="1:21" s="12" customFormat="1" x14ac:dyDescent="0.25">
      <c r="A46" s="213" t="s">
        <v>377</v>
      </c>
      <c r="B46" s="64">
        <v>20.43</v>
      </c>
      <c r="C46" s="64">
        <v>10.85</v>
      </c>
      <c r="D46" s="64">
        <v>22.05</v>
      </c>
      <c r="E46" s="64">
        <v>4.4800000000000004</v>
      </c>
      <c r="F46" s="64">
        <v>3.36</v>
      </c>
      <c r="G46" s="64">
        <v>53.93</v>
      </c>
      <c r="H46" s="64">
        <v>11.73</v>
      </c>
      <c r="I46" s="64">
        <v>6.05</v>
      </c>
      <c r="J46" s="64">
        <v>0.26</v>
      </c>
      <c r="K46" s="64">
        <v>281.24</v>
      </c>
      <c r="L46" s="64">
        <v>24.9</v>
      </c>
      <c r="M46" s="64">
        <v>97.88</v>
      </c>
      <c r="N46" s="64">
        <v>202.6</v>
      </c>
      <c r="O46" s="64">
        <v>0</v>
      </c>
      <c r="P46" s="64">
        <v>0.57999999999999996</v>
      </c>
      <c r="Q46" s="64">
        <v>9.5500000000000007</v>
      </c>
      <c r="R46" s="198"/>
      <c r="S46" s="198"/>
      <c r="T46" s="198"/>
      <c r="U46" s="198"/>
    </row>
    <row r="47" spans="1:21" s="12" customFormat="1" x14ac:dyDescent="0.25">
      <c r="A47" s="213" t="s">
        <v>378</v>
      </c>
      <c r="B47" s="64">
        <v>19.350000000000001</v>
      </c>
      <c r="C47" s="64">
        <v>11.56</v>
      </c>
      <c r="D47" s="64">
        <v>21.55</v>
      </c>
      <c r="E47" s="64">
        <v>4.78</v>
      </c>
      <c r="F47" s="64">
        <v>4.04</v>
      </c>
      <c r="G47" s="64">
        <v>51.99</v>
      </c>
      <c r="H47" s="64">
        <v>14.69</v>
      </c>
      <c r="I47" s="64">
        <v>5.78</v>
      </c>
      <c r="J47" s="64">
        <v>0.27</v>
      </c>
      <c r="K47" s="64">
        <v>288.31</v>
      </c>
      <c r="L47" s="64">
        <v>24.81</v>
      </c>
      <c r="M47" s="64">
        <v>97.9</v>
      </c>
      <c r="N47" s="64">
        <v>164.6</v>
      </c>
      <c r="O47" s="64">
        <v>0</v>
      </c>
      <c r="P47" s="64">
        <v>0.53</v>
      </c>
      <c r="Q47" s="64">
        <v>9.5399999999999991</v>
      </c>
      <c r="R47" s="198"/>
      <c r="S47" s="198"/>
      <c r="T47" s="198"/>
      <c r="U47" s="198"/>
    </row>
    <row r="48" spans="1:21" s="12" customFormat="1" x14ac:dyDescent="0.25">
      <c r="A48" s="213" t="s">
        <v>379</v>
      </c>
      <c r="B48" s="64">
        <v>18.61</v>
      </c>
      <c r="C48" s="64">
        <v>11.66</v>
      </c>
      <c r="D48" s="64">
        <v>21.01</v>
      </c>
      <c r="E48" s="64">
        <v>4.45</v>
      </c>
      <c r="F48" s="64">
        <v>3.41</v>
      </c>
      <c r="G48" s="64">
        <v>51.36</v>
      </c>
      <c r="H48" s="64">
        <v>15.65</v>
      </c>
      <c r="I48" s="64">
        <v>5.43</v>
      </c>
      <c r="J48" s="64">
        <v>0.37</v>
      </c>
      <c r="K48" s="64">
        <v>282.02</v>
      </c>
      <c r="L48" s="64">
        <v>25.11</v>
      </c>
      <c r="M48" s="64">
        <v>97.9</v>
      </c>
      <c r="N48" s="64">
        <v>175.5</v>
      </c>
      <c r="O48" s="64">
        <v>0</v>
      </c>
      <c r="P48" s="64">
        <v>0.52</v>
      </c>
      <c r="Q48" s="64">
        <v>9.51</v>
      </c>
      <c r="R48" s="198"/>
      <c r="S48" s="198"/>
      <c r="T48" s="198"/>
      <c r="U48" s="198"/>
    </row>
    <row r="49" spans="1:21" s="12" customFormat="1" x14ac:dyDescent="0.25">
      <c r="A49" s="213" t="s">
        <v>380</v>
      </c>
      <c r="B49" s="64">
        <v>18.41</v>
      </c>
      <c r="C49" s="64">
        <v>11.52</v>
      </c>
      <c r="D49" s="64">
        <v>20.78</v>
      </c>
      <c r="E49" s="64">
        <v>4.3899999999999997</v>
      </c>
      <c r="F49" s="64">
        <v>3.16</v>
      </c>
      <c r="G49" s="64">
        <v>51.36</v>
      </c>
      <c r="H49" s="64">
        <v>15.65</v>
      </c>
      <c r="I49" s="64">
        <v>5.08</v>
      </c>
      <c r="J49" s="64">
        <v>0.33</v>
      </c>
      <c r="K49" s="64">
        <v>285.14999999999998</v>
      </c>
      <c r="L49" s="64">
        <v>25.41</v>
      </c>
      <c r="M49" s="64">
        <v>97.85</v>
      </c>
      <c r="N49" s="64">
        <v>198.5</v>
      </c>
      <c r="O49" s="64">
        <v>0</v>
      </c>
      <c r="P49" s="64">
        <v>0.51</v>
      </c>
      <c r="Q49" s="64">
        <v>9.5</v>
      </c>
      <c r="R49" s="198"/>
      <c r="S49" s="198"/>
      <c r="T49" s="198"/>
      <c r="U49" s="198"/>
    </row>
    <row r="50" spans="1:21" s="12" customFormat="1" x14ac:dyDescent="0.25">
      <c r="A50" s="213" t="s">
        <v>381</v>
      </c>
      <c r="B50" s="64">
        <v>19.11</v>
      </c>
      <c r="C50" s="64">
        <v>12.02</v>
      </c>
      <c r="D50" s="64">
        <v>21.61</v>
      </c>
      <c r="E50" s="64">
        <v>4.54</v>
      </c>
      <c r="F50" s="64">
        <v>3.3</v>
      </c>
      <c r="G50" s="64">
        <v>51.36</v>
      </c>
      <c r="H50" s="64">
        <v>15.65</v>
      </c>
      <c r="I50" s="64">
        <v>4.8099999999999996</v>
      </c>
      <c r="J50" s="64">
        <v>0.33</v>
      </c>
      <c r="K50" s="64">
        <v>288.39</v>
      </c>
      <c r="L50" s="64">
        <v>25.23</v>
      </c>
      <c r="M50" s="64">
        <v>97.9</v>
      </c>
      <c r="N50" s="64">
        <v>141.4</v>
      </c>
      <c r="O50" s="64">
        <v>0</v>
      </c>
      <c r="P50" s="64">
        <v>0.5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13" t="s">
        <v>382</v>
      </c>
      <c r="B51" s="64">
        <v>17.55</v>
      </c>
      <c r="C51" s="64">
        <v>14.65</v>
      </c>
      <c r="D51" s="64">
        <v>21.72</v>
      </c>
      <c r="E51" s="64">
        <v>4.6900000000000004</v>
      </c>
      <c r="F51" s="64">
        <v>4.45</v>
      </c>
      <c r="G51" s="64">
        <v>50.02</v>
      </c>
      <c r="H51" s="64">
        <v>15.67</v>
      </c>
      <c r="I51" s="64">
        <v>4.63</v>
      </c>
      <c r="J51" s="64">
        <v>0.31</v>
      </c>
      <c r="K51" s="64">
        <v>288.77</v>
      </c>
      <c r="L51" s="64">
        <v>25.09</v>
      </c>
      <c r="M51" s="64">
        <v>97.91</v>
      </c>
      <c r="N51" s="64">
        <v>164.1</v>
      </c>
      <c r="O51" s="64">
        <v>0</v>
      </c>
      <c r="P51" s="64">
        <v>0.56999999999999995</v>
      </c>
      <c r="Q51" s="64">
        <v>9.4700000000000006</v>
      </c>
      <c r="R51" s="198"/>
      <c r="S51" s="198"/>
      <c r="T51" s="198"/>
      <c r="U51" s="198"/>
    </row>
    <row r="52" spans="1:21" s="12" customFormat="1" x14ac:dyDescent="0.25">
      <c r="A52" s="213" t="s">
        <v>383</v>
      </c>
      <c r="B52" s="64">
        <v>16.36</v>
      </c>
      <c r="C52" s="64">
        <v>17.989999999999998</v>
      </c>
      <c r="D52" s="64">
        <v>22.51</v>
      </c>
      <c r="E52" s="64">
        <v>4.76</v>
      </c>
      <c r="F52" s="64">
        <v>2.4300000000000002</v>
      </c>
      <c r="G52" s="64">
        <v>49.58</v>
      </c>
      <c r="H52" s="64">
        <v>15.67</v>
      </c>
      <c r="I52" s="64">
        <v>4.5</v>
      </c>
      <c r="J52" s="64">
        <v>0.38</v>
      </c>
      <c r="K52" s="64">
        <v>288.89999999999998</v>
      </c>
      <c r="L52" s="64">
        <v>25.55</v>
      </c>
      <c r="M52" s="64">
        <v>97.58</v>
      </c>
      <c r="N52" s="64">
        <v>246.5</v>
      </c>
      <c r="O52" s="64">
        <v>0</v>
      </c>
      <c r="P52" s="64">
        <v>0.59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3" t="s">
        <v>384</v>
      </c>
      <c r="B53" s="64">
        <v>15.26</v>
      </c>
      <c r="C53" s="64">
        <v>19.61</v>
      </c>
      <c r="D53" s="64">
        <v>22.48</v>
      </c>
      <c r="E53" s="64">
        <v>4.83</v>
      </c>
      <c r="F53" s="64">
        <v>3.31</v>
      </c>
      <c r="G53" s="64">
        <v>49.58</v>
      </c>
      <c r="H53" s="64">
        <v>15.67</v>
      </c>
      <c r="I53" s="64">
        <v>4.34</v>
      </c>
      <c r="J53" s="64">
        <v>0.66</v>
      </c>
      <c r="K53" s="64">
        <v>290.36</v>
      </c>
      <c r="L53" s="64">
        <v>25.67</v>
      </c>
      <c r="M53" s="64">
        <v>96.09</v>
      </c>
      <c r="N53" s="64">
        <v>237.5</v>
      </c>
      <c r="O53" s="64">
        <v>0</v>
      </c>
      <c r="P53" s="64">
        <v>0.52</v>
      </c>
      <c r="Q53" s="64">
        <v>9.43</v>
      </c>
      <c r="R53" s="198"/>
      <c r="S53" s="198"/>
      <c r="T53" s="198"/>
      <c r="U53" s="198"/>
    </row>
    <row r="54" spans="1:21" s="12" customFormat="1" x14ac:dyDescent="0.25">
      <c r="A54" s="213" t="s">
        <v>385</v>
      </c>
      <c r="B54" s="64">
        <v>12.55</v>
      </c>
      <c r="C54" s="64">
        <v>20.37</v>
      </c>
      <c r="D54" s="64">
        <v>20.71</v>
      </c>
      <c r="E54" s="64">
        <v>4.38</v>
      </c>
      <c r="F54" s="64">
        <v>3.85</v>
      </c>
      <c r="G54" s="64">
        <v>49.58</v>
      </c>
      <c r="H54" s="64">
        <v>15.67</v>
      </c>
      <c r="I54" s="64">
        <v>4.08</v>
      </c>
      <c r="J54" s="64">
        <v>0.48</v>
      </c>
      <c r="K54" s="64">
        <v>286.51</v>
      </c>
      <c r="L54" s="64">
        <v>25.68</v>
      </c>
      <c r="M54" s="64">
        <v>95.39</v>
      </c>
      <c r="N54" s="64">
        <v>194</v>
      </c>
      <c r="O54" s="64">
        <v>0</v>
      </c>
      <c r="P54" s="64">
        <v>0.44</v>
      </c>
      <c r="Q54" s="64">
        <v>9.36</v>
      </c>
      <c r="R54" s="198"/>
      <c r="S54" s="198"/>
      <c r="T54" s="198"/>
      <c r="U54" s="198"/>
    </row>
    <row r="55" spans="1:21" s="12" customFormat="1" x14ac:dyDescent="0.25">
      <c r="A55" s="213" t="s">
        <v>386</v>
      </c>
      <c r="B55" s="64">
        <v>10.220000000000001</v>
      </c>
      <c r="C55" s="64">
        <v>20.69</v>
      </c>
      <c r="D55" s="64">
        <v>19.010000000000002</v>
      </c>
      <c r="E55" s="64">
        <v>4.7</v>
      </c>
      <c r="F55" s="64">
        <v>3.01</v>
      </c>
      <c r="G55" s="64">
        <v>49.18</v>
      </c>
      <c r="H55" s="64">
        <v>12.24</v>
      </c>
      <c r="I55" s="64">
        <v>3.64</v>
      </c>
      <c r="J55" s="64">
        <v>0.51</v>
      </c>
      <c r="K55" s="64">
        <v>284.01</v>
      </c>
      <c r="L55" s="64">
        <v>25.35</v>
      </c>
      <c r="M55" s="64">
        <v>97.57</v>
      </c>
      <c r="N55" s="64">
        <v>210</v>
      </c>
      <c r="O55" s="64">
        <v>0</v>
      </c>
      <c r="P55" s="64">
        <v>0.36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3" t="s">
        <v>387</v>
      </c>
      <c r="B56" s="64">
        <v>8.58</v>
      </c>
      <c r="C56" s="64">
        <v>20.56</v>
      </c>
      <c r="D56" s="64">
        <v>17.62</v>
      </c>
      <c r="E56" s="64">
        <v>4.33</v>
      </c>
      <c r="F56" s="64">
        <v>4.3600000000000003</v>
      </c>
      <c r="G56" s="64">
        <v>49.05</v>
      </c>
      <c r="H56" s="64">
        <v>11.12</v>
      </c>
      <c r="I56" s="64">
        <v>3.09</v>
      </c>
      <c r="J56" s="64">
        <v>0.52</v>
      </c>
      <c r="K56" s="64">
        <v>287.64999999999998</v>
      </c>
      <c r="L56" s="64">
        <v>25.03</v>
      </c>
      <c r="M56" s="64">
        <v>97.96</v>
      </c>
      <c r="N56" s="64">
        <v>212.9</v>
      </c>
      <c r="O56" s="64">
        <v>0</v>
      </c>
      <c r="P56" s="64">
        <v>0.32</v>
      </c>
      <c r="Q56" s="64">
        <v>9.23</v>
      </c>
      <c r="R56" s="198"/>
      <c r="S56" s="198"/>
      <c r="T56" s="198"/>
      <c r="U56" s="198"/>
    </row>
    <row r="57" spans="1:21" s="12" customFormat="1" x14ac:dyDescent="0.25">
      <c r="A57" s="213" t="s">
        <v>388</v>
      </c>
      <c r="B57" s="64">
        <v>8.19</v>
      </c>
      <c r="C57" s="64">
        <v>19.739999999999998</v>
      </c>
      <c r="D57" s="64">
        <v>16.88</v>
      </c>
      <c r="E57" s="64">
        <v>4.57</v>
      </c>
      <c r="F57" s="64">
        <v>3.33</v>
      </c>
      <c r="G57" s="64">
        <v>49.05</v>
      </c>
      <c r="H57" s="64">
        <v>11.12</v>
      </c>
      <c r="I57" s="64">
        <v>2.6</v>
      </c>
      <c r="J57" s="64">
        <v>0.39</v>
      </c>
      <c r="K57" s="64">
        <v>285.77</v>
      </c>
      <c r="L57" s="64">
        <v>24.79</v>
      </c>
      <c r="M57" s="64">
        <v>97.98</v>
      </c>
      <c r="N57" s="64">
        <v>192.2</v>
      </c>
      <c r="O57" s="64">
        <v>0.2</v>
      </c>
      <c r="P57" s="64">
        <v>0.33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13" t="s">
        <v>389</v>
      </c>
      <c r="B58" s="64">
        <v>8.7799999999999994</v>
      </c>
      <c r="C58" s="64">
        <v>18.78</v>
      </c>
      <c r="D58" s="64">
        <v>16.850000000000001</v>
      </c>
      <c r="E58" s="64">
        <v>4.57</v>
      </c>
      <c r="F58" s="64">
        <v>3.89</v>
      </c>
      <c r="G58" s="64">
        <v>49.05</v>
      </c>
      <c r="H58" s="64">
        <v>11.12</v>
      </c>
      <c r="I58" s="64">
        <v>2.29</v>
      </c>
      <c r="J58" s="64">
        <v>0.31</v>
      </c>
      <c r="K58" s="64">
        <v>285.52999999999997</v>
      </c>
      <c r="L58" s="64">
        <v>24.44</v>
      </c>
      <c r="M58" s="64">
        <v>97.98</v>
      </c>
      <c r="N58" s="64">
        <v>156.9</v>
      </c>
      <c r="O58" s="64">
        <v>0</v>
      </c>
      <c r="P58" s="64">
        <v>0.42</v>
      </c>
      <c r="Q58" s="64">
        <v>9.19</v>
      </c>
      <c r="R58" s="198"/>
      <c r="S58" s="198"/>
      <c r="T58" s="198"/>
      <c r="U58" s="198"/>
    </row>
    <row r="59" spans="1:21" s="12" customFormat="1" x14ac:dyDescent="0.25">
      <c r="A59" s="213" t="s">
        <v>390</v>
      </c>
      <c r="B59" s="64">
        <v>10.18</v>
      </c>
      <c r="C59" s="64">
        <v>18.32</v>
      </c>
      <c r="D59" s="64">
        <v>17.73</v>
      </c>
      <c r="E59" s="64">
        <v>4.59</v>
      </c>
      <c r="F59" s="64">
        <v>3.42</v>
      </c>
      <c r="G59" s="64">
        <v>36.08</v>
      </c>
      <c r="H59" s="64">
        <v>14.75</v>
      </c>
      <c r="I59" s="64">
        <v>2.27</v>
      </c>
      <c r="J59" s="64">
        <v>0.36</v>
      </c>
      <c r="K59" s="64">
        <v>292.95999999999998</v>
      </c>
      <c r="L59" s="64">
        <v>24.62</v>
      </c>
      <c r="M59" s="64">
        <v>97.98</v>
      </c>
      <c r="N59" s="64">
        <v>188.9</v>
      </c>
      <c r="O59" s="64">
        <v>0</v>
      </c>
      <c r="P59" s="64">
        <v>0.49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3" t="s">
        <v>391</v>
      </c>
      <c r="B60" s="64">
        <v>12.31</v>
      </c>
      <c r="C60" s="64">
        <v>19.54</v>
      </c>
      <c r="D60" s="64">
        <v>20.079999999999998</v>
      </c>
      <c r="E60" s="64">
        <v>4.5599999999999996</v>
      </c>
      <c r="F60" s="64">
        <v>3.66</v>
      </c>
      <c r="G60" s="64">
        <v>31.88</v>
      </c>
      <c r="H60" s="64">
        <v>15.92</v>
      </c>
      <c r="I60" s="64">
        <v>2.57</v>
      </c>
      <c r="J60" s="64">
        <v>0.23</v>
      </c>
      <c r="K60" s="64">
        <v>281.17</v>
      </c>
      <c r="L60" s="64">
        <v>24.8</v>
      </c>
      <c r="M60" s="64">
        <v>97.98</v>
      </c>
      <c r="N60" s="64">
        <v>149.4</v>
      </c>
      <c r="O60" s="64">
        <v>0</v>
      </c>
      <c r="P60" s="64">
        <v>0.54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3" t="s">
        <v>392</v>
      </c>
      <c r="B61" s="64">
        <v>14.19</v>
      </c>
      <c r="C61" s="64">
        <v>19.37</v>
      </c>
      <c r="D61" s="64">
        <v>21.5</v>
      </c>
      <c r="E61" s="64">
        <v>4.53</v>
      </c>
      <c r="F61" s="64">
        <v>3.8</v>
      </c>
      <c r="G61" s="64">
        <v>31.88</v>
      </c>
      <c r="H61" s="64">
        <v>15.92</v>
      </c>
      <c r="I61" s="64">
        <v>3.09</v>
      </c>
      <c r="J61" s="64">
        <v>0.23</v>
      </c>
      <c r="K61" s="64">
        <v>284.29000000000002</v>
      </c>
      <c r="L61" s="64">
        <v>24.55</v>
      </c>
      <c r="M61" s="64">
        <v>97.99</v>
      </c>
      <c r="N61" s="64">
        <v>123.9</v>
      </c>
      <c r="O61" s="64">
        <v>0</v>
      </c>
      <c r="P61" s="64">
        <v>0.56999999999999995</v>
      </c>
      <c r="Q61" s="64">
        <v>9.32</v>
      </c>
      <c r="R61" s="198"/>
      <c r="S61" s="198"/>
      <c r="T61" s="198"/>
      <c r="U61" s="198"/>
    </row>
    <row r="62" spans="1:21" s="12" customFormat="1" x14ac:dyDescent="0.25">
      <c r="A62" s="213" t="s">
        <v>393</v>
      </c>
      <c r="B62" s="64">
        <v>15.04</v>
      </c>
      <c r="C62" s="64">
        <v>19.14</v>
      </c>
      <c r="D62" s="64">
        <v>22.06</v>
      </c>
      <c r="E62" s="64">
        <v>4.22</v>
      </c>
      <c r="F62" s="64">
        <v>4.7</v>
      </c>
      <c r="G62" s="64">
        <v>31.88</v>
      </c>
      <c r="H62" s="64">
        <v>15.92</v>
      </c>
      <c r="I62" s="64">
        <v>3.68</v>
      </c>
      <c r="J62" s="64">
        <v>0.2</v>
      </c>
      <c r="K62" s="64">
        <v>281.62</v>
      </c>
      <c r="L62" s="64">
        <v>24.45</v>
      </c>
      <c r="M62" s="64">
        <v>97.99</v>
      </c>
      <c r="N62" s="64">
        <v>123.1</v>
      </c>
      <c r="O62" s="64">
        <v>0.2</v>
      </c>
      <c r="P62" s="64">
        <v>0.56000000000000005</v>
      </c>
      <c r="Q62" s="64">
        <v>9.36</v>
      </c>
      <c r="R62" s="198"/>
      <c r="S62" s="198"/>
      <c r="T62" s="198"/>
      <c r="U62" s="198"/>
    </row>
    <row r="63" spans="1:21" s="12" customFormat="1" x14ac:dyDescent="0.25">
      <c r="A63" s="213" t="s">
        <v>394</v>
      </c>
      <c r="B63" s="64">
        <v>14.02</v>
      </c>
      <c r="C63" s="64">
        <v>19.13</v>
      </c>
      <c r="D63" s="64">
        <v>21.24</v>
      </c>
      <c r="E63" s="64">
        <v>4.74</v>
      </c>
      <c r="F63" s="64">
        <v>6.55</v>
      </c>
      <c r="G63" s="64">
        <v>43.01</v>
      </c>
      <c r="H63" s="64">
        <v>25.87</v>
      </c>
      <c r="I63" s="64">
        <v>3.91</v>
      </c>
      <c r="J63" s="64">
        <v>0.14000000000000001</v>
      </c>
      <c r="K63" s="64">
        <v>285.42</v>
      </c>
      <c r="L63" s="64">
        <v>24.12</v>
      </c>
      <c r="M63" s="64">
        <v>98.03</v>
      </c>
      <c r="N63" s="64">
        <v>146.4</v>
      </c>
      <c r="O63" s="64">
        <v>0.2</v>
      </c>
      <c r="P63" s="64">
        <v>0.49</v>
      </c>
      <c r="Q63" s="64">
        <v>9.3699999999999992</v>
      </c>
      <c r="R63" s="198"/>
      <c r="S63" s="198"/>
      <c r="T63" s="198"/>
      <c r="U63" s="198"/>
    </row>
    <row r="64" spans="1:21" s="12" customFormat="1" x14ac:dyDescent="0.25">
      <c r="A64" s="213" t="s">
        <v>395</v>
      </c>
      <c r="B64" s="64">
        <v>13.23</v>
      </c>
      <c r="C64" s="64">
        <v>17.16</v>
      </c>
      <c r="D64" s="64">
        <v>19.57</v>
      </c>
      <c r="E64" s="64">
        <v>4.67</v>
      </c>
      <c r="F64" s="64">
        <v>4.4400000000000004</v>
      </c>
      <c r="G64" s="64">
        <v>46.61</v>
      </c>
      <c r="H64" s="64">
        <v>29.09</v>
      </c>
      <c r="I64" s="64">
        <v>3.83</v>
      </c>
      <c r="J64" s="64">
        <v>0.22</v>
      </c>
      <c r="K64" s="64">
        <v>284</v>
      </c>
      <c r="L64" s="64">
        <v>24.22</v>
      </c>
      <c r="M64" s="64">
        <v>98.03</v>
      </c>
      <c r="N64" s="64">
        <v>208.5</v>
      </c>
      <c r="O64" s="64">
        <v>0</v>
      </c>
      <c r="P64" s="64">
        <v>0.51</v>
      </c>
      <c r="Q64" s="64">
        <v>9.39</v>
      </c>
      <c r="R64" s="198"/>
      <c r="S64" s="198"/>
      <c r="T64" s="198"/>
      <c r="U64" s="198"/>
    </row>
    <row r="65" spans="1:21" s="12" customFormat="1" x14ac:dyDescent="0.25">
      <c r="A65" s="213" t="s">
        <v>396</v>
      </c>
      <c r="B65" s="64">
        <v>13.81</v>
      </c>
      <c r="C65" s="64">
        <v>16.670000000000002</v>
      </c>
      <c r="D65" s="64">
        <v>19.78</v>
      </c>
      <c r="E65" s="64">
        <v>4.4800000000000004</v>
      </c>
      <c r="F65" s="64">
        <v>6.24</v>
      </c>
      <c r="G65" s="64">
        <v>46.61</v>
      </c>
      <c r="H65" s="64">
        <v>29.09</v>
      </c>
      <c r="I65" s="64">
        <v>3.72</v>
      </c>
      <c r="J65" s="64">
        <v>0.19</v>
      </c>
      <c r="K65" s="64">
        <v>288.04000000000002</v>
      </c>
      <c r="L65" s="64">
        <v>24.51</v>
      </c>
      <c r="M65" s="64">
        <v>98.03</v>
      </c>
      <c r="N65" s="64">
        <v>166.4</v>
      </c>
      <c r="O65" s="64">
        <v>0</v>
      </c>
      <c r="P65" s="64">
        <v>0.51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3" t="s">
        <v>397</v>
      </c>
      <c r="B66" s="64">
        <v>18.2</v>
      </c>
      <c r="C66" s="64">
        <v>17.71</v>
      </c>
      <c r="D66" s="64">
        <v>23.85</v>
      </c>
      <c r="E66" s="64">
        <v>4.4400000000000004</v>
      </c>
      <c r="F66" s="64">
        <v>7.01</v>
      </c>
      <c r="G66" s="64">
        <v>46.61</v>
      </c>
      <c r="H66" s="64">
        <v>29.09</v>
      </c>
      <c r="I66" s="64">
        <v>3.41</v>
      </c>
      <c r="J66" s="64">
        <v>0.13</v>
      </c>
      <c r="K66" s="64">
        <v>286.19</v>
      </c>
      <c r="L66" s="64">
        <v>24.47</v>
      </c>
      <c r="M66" s="64">
        <v>98.03</v>
      </c>
      <c r="N66" s="64">
        <v>152</v>
      </c>
      <c r="O66" s="64">
        <v>0.4</v>
      </c>
      <c r="P66" s="64">
        <v>0.5</v>
      </c>
      <c r="Q66" s="64">
        <v>9.3699999999999992</v>
      </c>
      <c r="R66" s="198"/>
      <c r="S66" s="198"/>
      <c r="T66" s="198"/>
      <c r="U66" s="198"/>
    </row>
    <row r="67" spans="1:21" s="12" customFormat="1" x14ac:dyDescent="0.25">
      <c r="A67" s="213" t="s">
        <v>398</v>
      </c>
      <c r="B67" s="64">
        <v>14.46</v>
      </c>
      <c r="C67" s="64">
        <v>18.72</v>
      </c>
      <c r="D67" s="64">
        <v>21.38</v>
      </c>
      <c r="E67" s="64">
        <v>4.6100000000000003</v>
      </c>
      <c r="F67" s="64">
        <v>5.52</v>
      </c>
      <c r="G67" s="64">
        <v>38.340000000000003</v>
      </c>
      <c r="H67" s="64">
        <v>25.84</v>
      </c>
      <c r="I67" s="64">
        <v>3.33</v>
      </c>
      <c r="J67" s="64">
        <v>0.14000000000000001</v>
      </c>
      <c r="K67" s="64">
        <v>300.7</v>
      </c>
      <c r="L67" s="64">
        <v>23.95</v>
      </c>
      <c r="M67" s="64">
        <v>98.03</v>
      </c>
      <c r="N67" s="64">
        <v>148.69999999999999</v>
      </c>
      <c r="O67" s="64">
        <v>0.6</v>
      </c>
      <c r="P67" s="64">
        <v>0.5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3" t="s">
        <v>399</v>
      </c>
      <c r="B68" s="64">
        <v>13.9</v>
      </c>
      <c r="C68" s="64">
        <v>15.92</v>
      </c>
      <c r="D68" s="64">
        <v>19.46</v>
      </c>
      <c r="E68" s="64">
        <v>4.8499999999999996</v>
      </c>
      <c r="F68" s="64">
        <v>4.54</v>
      </c>
      <c r="G68" s="64">
        <v>35.82</v>
      </c>
      <c r="H68" s="64">
        <v>24.79</v>
      </c>
      <c r="I68" s="64">
        <v>3.25</v>
      </c>
      <c r="J68" s="64">
        <v>0.14000000000000001</v>
      </c>
      <c r="K68" s="64">
        <v>289.10000000000002</v>
      </c>
      <c r="L68" s="64">
        <v>23.88</v>
      </c>
      <c r="M68" s="64">
        <v>98.07</v>
      </c>
      <c r="N68" s="64">
        <v>197.7</v>
      </c>
      <c r="O68" s="64">
        <v>0.2</v>
      </c>
      <c r="P68" s="64">
        <v>0.49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3" t="s">
        <v>400</v>
      </c>
      <c r="B69" s="64">
        <v>13.71</v>
      </c>
      <c r="C69" s="64">
        <v>14.36</v>
      </c>
      <c r="D69" s="64">
        <v>18.489999999999998</v>
      </c>
      <c r="E69" s="64">
        <v>4.9000000000000004</v>
      </c>
      <c r="F69" s="64">
        <v>3.53</v>
      </c>
      <c r="G69" s="64">
        <v>35.82</v>
      </c>
      <c r="H69" s="64">
        <v>24.79</v>
      </c>
      <c r="I69" s="64">
        <v>3.26</v>
      </c>
      <c r="J69" s="64">
        <v>0.16</v>
      </c>
      <c r="K69" s="64">
        <v>304.38</v>
      </c>
      <c r="L69" s="64">
        <v>24.07</v>
      </c>
      <c r="M69" s="64">
        <v>98.1</v>
      </c>
      <c r="N69" s="64">
        <v>229.6</v>
      </c>
      <c r="O69" s="64">
        <v>0</v>
      </c>
      <c r="P69" s="64">
        <v>0.48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3" t="s">
        <v>401</v>
      </c>
      <c r="B70" s="64">
        <v>11.73</v>
      </c>
      <c r="C70" s="64">
        <v>17.11</v>
      </c>
      <c r="D70" s="64">
        <v>18.34</v>
      </c>
      <c r="E70" s="64">
        <v>4.55</v>
      </c>
      <c r="F70" s="64">
        <v>3.99</v>
      </c>
      <c r="G70" s="64">
        <v>35.82</v>
      </c>
      <c r="H70" s="64">
        <v>24.79</v>
      </c>
      <c r="I70" s="64">
        <v>3.09</v>
      </c>
      <c r="J70" s="64">
        <v>0.13</v>
      </c>
      <c r="K70" s="64">
        <v>293.08999999999997</v>
      </c>
      <c r="L70" s="64">
        <v>24.22</v>
      </c>
      <c r="M70" s="64">
        <v>98.08</v>
      </c>
      <c r="N70" s="64">
        <v>179.8</v>
      </c>
      <c r="O70" s="64">
        <v>0</v>
      </c>
      <c r="P70" s="64">
        <v>0.42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3" t="s">
        <v>402</v>
      </c>
      <c r="B71" s="64">
        <v>10.24</v>
      </c>
      <c r="C71" s="64">
        <v>19.329999999999998</v>
      </c>
      <c r="D71" s="64">
        <v>18.309999999999999</v>
      </c>
      <c r="E71" s="64">
        <v>4.8099999999999996</v>
      </c>
      <c r="F71" s="64">
        <v>4.16</v>
      </c>
      <c r="G71" s="64">
        <v>29.65</v>
      </c>
      <c r="H71" s="64">
        <v>22.23</v>
      </c>
      <c r="I71" s="64">
        <v>2.67</v>
      </c>
      <c r="J71" s="64">
        <v>0.12</v>
      </c>
      <c r="K71" s="64">
        <v>298.89</v>
      </c>
      <c r="L71" s="64">
        <v>24.19</v>
      </c>
      <c r="M71" s="64">
        <v>98.06</v>
      </c>
      <c r="N71" s="64">
        <v>187.9</v>
      </c>
      <c r="O71" s="64">
        <v>0</v>
      </c>
      <c r="P71" s="64">
        <v>0.36</v>
      </c>
      <c r="Q71" s="64">
        <v>9.26</v>
      </c>
      <c r="R71" s="198"/>
      <c r="S71" s="198"/>
      <c r="T71" s="198"/>
      <c r="U71" s="198"/>
    </row>
    <row r="72" spans="1:21" s="12" customFormat="1" x14ac:dyDescent="0.25">
      <c r="A72" s="213" t="s">
        <v>403</v>
      </c>
      <c r="B72" s="64">
        <v>9.7799999999999994</v>
      </c>
      <c r="C72" s="64">
        <v>20.59</v>
      </c>
      <c r="D72" s="64">
        <v>18.600000000000001</v>
      </c>
      <c r="E72" s="64">
        <v>4.59</v>
      </c>
      <c r="F72" s="64">
        <v>4.76</v>
      </c>
      <c r="G72" s="64">
        <v>27.77</v>
      </c>
      <c r="H72" s="64">
        <v>21.4</v>
      </c>
      <c r="I72" s="64">
        <v>2.31</v>
      </c>
      <c r="J72" s="64">
        <v>0.1</v>
      </c>
      <c r="K72" s="64">
        <v>289.89999999999998</v>
      </c>
      <c r="L72" s="64">
        <v>24.32</v>
      </c>
      <c r="M72" s="64">
        <v>98.06</v>
      </c>
      <c r="N72" s="64">
        <v>195.4</v>
      </c>
      <c r="O72" s="64">
        <v>0</v>
      </c>
      <c r="P72" s="64">
        <v>0.33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3" t="s">
        <v>404</v>
      </c>
      <c r="B73" s="64">
        <v>8.99</v>
      </c>
      <c r="C73" s="64">
        <v>19.96</v>
      </c>
      <c r="D73" s="64">
        <v>17.64</v>
      </c>
      <c r="E73" s="64">
        <v>5.2</v>
      </c>
      <c r="F73" s="64">
        <v>5.98</v>
      </c>
      <c r="G73" s="64">
        <v>27.77</v>
      </c>
      <c r="H73" s="64">
        <v>21.4</v>
      </c>
      <c r="I73" s="64">
        <v>2.0099999999999998</v>
      </c>
      <c r="J73" s="64">
        <v>0.13</v>
      </c>
      <c r="K73" s="64">
        <v>257.60000000000002</v>
      </c>
      <c r="L73" s="64">
        <v>24.52</v>
      </c>
      <c r="M73" s="64">
        <v>98.08</v>
      </c>
      <c r="N73" s="64">
        <v>218.1</v>
      </c>
      <c r="O73" s="64">
        <v>0</v>
      </c>
      <c r="P73" s="64">
        <v>0.31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3" t="s">
        <v>405</v>
      </c>
      <c r="B74" s="64">
        <v>8.9499999999999993</v>
      </c>
      <c r="C74" s="64">
        <v>18.71</v>
      </c>
      <c r="D74" s="64">
        <v>16.95</v>
      </c>
      <c r="E74" s="64">
        <v>4.82</v>
      </c>
      <c r="F74" s="64">
        <v>4.8899999999999997</v>
      </c>
      <c r="G74" s="64">
        <v>27.77</v>
      </c>
      <c r="H74" s="64">
        <v>21.4</v>
      </c>
      <c r="I74" s="64">
        <v>1.84</v>
      </c>
      <c r="J74" s="64">
        <v>7.0000000000000007E-2</v>
      </c>
      <c r="K74" s="64">
        <v>232.41</v>
      </c>
      <c r="L74" s="64">
        <v>24.64</v>
      </c>
      <c r="M74" s="64">
        <v>98.09</v>
      </c>
      <c r="N74" s="64">
        <v>148.69999999999999</v>
      </c>
      <c r="O74" s="64">
        <v>0</v>
      </c>
      <c r="P74" s="64">
        <v>0.33</v>
      </c>
      <c r="Q74" s="64">
        <v>9.2100000000000009</v>
      </c>
      <c r="R74" s="198"/>
      <c r="S74" s="198"/>
      <c r="T74" s="198"/>
      <c r="U74" s="198"/>
    </row>
    <row r="75" spans="1:21" s="12" customFormat="1" x14ac:dyDescent="0.25">
      <c r="A75" s="213" t="s">
        <v>406</v>
      </c>
      <c r="B75" s="64">
        <v>8.9700000000000006</v>
      </c>
      <c r="C75" s="64">
        <v>17.68</v>
      </c>
      <c r="D75" s="64">
        <v>16.43</v>
      </c>
      <c r="E75" s="64">
        <v>4.9800000000000004</v>
      </c>
      <c r="F75" s="64">
        <v>4.2300000000000004</v>
      </c>
      <c r="G75" s="64">
        <v>27.96</v>
      </c>
      <c r="H75" s="64">
        <v>16.579999999999998</v>
      </c>
      <c r="I75" s="64">
        <v>1.79</v>
      </c>
      <c r="J75" s="64">
        <v>0.05</v>
      </c>
      <c r="K75" s="64">
        <v>264.77999999999997</v>
      </c>
      <c r="L75" s="64">
        <v>24.51</v>
      </c>
      <c r="M75" s="64">
        <v>98.1</v>
      </c>
      <c r="N75" s="64">
        <v>122.7</v>
      </c>
      <c r="O75" s="64">
        <v>0</v>
      </c>
      <c r="P75" s="64">
        <v>0.28999999999999998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3" t="s">
        <v>407</v>
      </c>
      <c r="B76" s="64">
        <v>10.35</v>
      </c>
      <c r="C76" s="64">
        <v>16.13</v>
      </c>
      <c r="D76" s="64">
        <v>16.73</v>
      </c>
      <c r="E76" s="64">
        <v>5.18</v>
      </c>
      <c r="F76" s="64">
        <v>4.3099999999999996</v>
      </c>
      <c r="G76" s="64">
        <v>28.02</v>
      </c>
      <c r="H76" s="64">
        <v>15.02</v>
      </c>
      <c r="I76" s="64">
        <v>1.76</v>
      </c>
      <c r="J76" s="64">
        <v>0.12</v>
      </c>
      <c r="K76" s="64">
        <v>275.35000000000002</v>
      </c>
      <c r="L76" s="64">
        <v>24.49</v>
      </c>
      <c r="M76" s="64">
        <v>98.1</v>
      </c>
      <c r="N76" s="64">
        <v>145.4</v>
      </c>
      <c r="O76" s="64">
        <v>0</v>
      </c>
      <c r="P76" s="64">
        <v>0.28999999999999998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3" t="s">
        <v>408</v>
      </c>
      <c r="B77" s="64">
        <v>9.4499999999999993</v>
      </c>
      <c r="C77" s="64">
        <v>14.78</v>
      </c>
      <c r="D77" s="64">
        <v>15.3</v>
      </c>
      <c r="E77" s="64">
        <v>4.9000000000000004</v>
      </c>
      <c r="F77" s="64">
        <v>4.1100000000000003</v>
      </c>
      <c r="G77" s="64">
        <v>28.02</v>
      </c>
      <c r="H77" s="64">
        <v>15.02</v>
      </c>
      <c r="I77" s="64">
        <v>1.74</v>
      </c>
      <c r="J77" s="64">
        <v>0.11</v>
      </c>
      <c r="K77" s="64">
        <v>275.44</v>
      </c>
      <c r="L77" s="64">
        <v>24.58</v>
      </c>
      <c r="M77" s="64">
        <v>98.12</v>
      </c>
      <c r="N77" s="64">
        <v>138.4</v>
      </c>
      <c r="O77" s="64">
        <v>0</v>
      </c>
      <c r="P77" s="64">
        <v>0.3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3" t="s">
        <v>409</v>
      </c>
      <c r="B78" s="64">
        <v>11.3</v>
      </c>
      <c r="C78" s="64">
        <v>16.64</v>
      </c>
      <c r="D78" s="64">
        <v>17.760000000000002</v>
      </c>
      <c r="E78" s="64">
        <v>4.84</v>
      </c>
      <c r="F78" s="64">
        <v>7.25</v>
      </c>
      <c r="G78" s="64">
        <v>28.02</v>
      </c>
      <c r="H78" s="64">
        <v>15.02</v>
      </c>
      <c r="I78" s="64">
        <v>1.7</v>
      </c>
      <c r="J78" s="64">
        <v>0.09</v>
      </c>
      <c r="K78" s="64">
        <v>311.95999999999998</v>
      </c>
      <c r="L78" s="64">
        <v>24.64</v>
      </c>
      <c r="M78" s="64">
        <v>98.11</v>
      </c>
      <c r="N78" s="64">
        <v>125.6</v>
      </c>
      <c r="O78" s="64">
        <v>0</v>
      </c>
      <c r="P78" s="64">
        <v>0.36</v>
      </c>
      <c r="Q78" s="64">
        <v>9.19</v>
      </c>
      <c r="R78" s="198"/>
      <c r="S78" s="198"/>
      <c r="T78" s="198"/>
      <c r="U78" s="198"/>
    </row>
    <row r="79" spans="1:21" s="12" customFormat="1" x14ac:dyDescent="0.25">
      <c r="A79" s="213" t="s">
        <v>410</v>
      </c>
      <c r="B79" s="64">
        <v>9.51</v>
      </c>
      <c r="C79" s="64">
        <v>15.43</v>
      </c>
      <c r="D79" s="64">
        <v>15.69</v>
      </c>
      <c r="E79" s="64">
        <v>4.9400000000000004</v>
      </c>
      <c r="F79" s="64">
        <v>10.61</v>
      </c>
      <c r="G79" s="64">
        <v>26.68</v>
      </c>
      <c r="H79" s="64">
        <v>14.53</v>
      </c>
      <c r="I79" s="64">
        <v>1.67</v>
      </c>
      <c r="J79" s="64">
        <v>7.0000000000000007E-2</v>
      </c>
      <c r="K79" s="64">
        <v>244.12</v>
      </c>
      <c r="L79" s="64">
        <v>24.58</v>
      </c>
      <c r="M79" s="64">
        <v>98.09</v>
      </c>
      <c r="N79" s="64">
        <v>109.1</v>
      </c>
      <c r="O79" s="64">
        <v>0</v>
      </c>
      <c r="P79" s="64">
        <v>0.24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3" t="s">
        <v>411</v>
      </c>
      <c r="B80" s="64">
        <v>11.56</v>
      </c>
      <c r="C80" s="64">
        <v>18.07</v>
      </c>
      <c r="D80" s="64">
        <v>18.71</v>
      </c>
      <c r="E80" s="64">
        <v>5.43</v>
      </c>
      <c r="F80" s="64">
        <v>8.14</v>
      </c>
      <c r="G80" s="64">
        <v>26.24</v>
      </c>
      <c r="H80" s="64">
        <v>14.38</v>
      </c>
      <c r="I80" s="64">
        <v>1.65</v>
      </c>
      <c r="J80" s="64">
        <v>0.09</v>
      </c>
      <c r="K80" s="64">
        <v>289.99</v>
      </c>
      <c r="L80" s="64">
        <v>24.6</v>
      </c>
      <c r="M80" s="64">
        <v>98.08</v>
      </c>
      <c r="N80" s="64">
        <v>94.8</v>
      </c>
      <c r="O80" s="64">
        <v>0</v>
      </c>
      <c r="P80" s="64">
        <v>0.37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3" t="s">
        <v>412</v>
      </c>
      <c r="B81" s="64">
        <v>11.3</v>
      </c>
      <c r="C81" s="64">
        <v>16.5</v>
      </c>
      <c r="D81" s="64">
        <v>17.690000000000001</v>
      </c>
      <c r="E81" s="64">
        <v>5.04</v>
      </c>
      <c r="F81" s="64">
        <v>5.36</v>
      </c>
      <c r="G81" s="64">
        <v>26.24</v>
      </c>
      <c r="H81" s="64">
        <v>14.38</v>
      </c>
      <c r="I81" s="64">
        <v>1.64</v>
      </c>
      <c r="J81" s="64">
        <v>0.12</v>
      </c>
      <c r="K81" s="64">
        <v>301.94</v>
      </c>
      <c r="L81" s="64">
        <v>24.45</v>
      </c>
      <c r="M81" s="64">
        <v>98.08</v>
      </c>
      <c r="N81" s="64">
        <v>89.5</v>
      </c>
      <c r="O81" s="64">
        <v>0</v>
      </c>
      <c r="P81" s="64">
        <v>0.33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3" t="s">
        <v>413</v>
      </c>
      <c r="B82" s="64">
        <v>9.15</v>
      </c>
      <c r="C82" s="64">
        <v>15.18</v>
      </c>
      <c r="D82" s="64">
        <v>15.27</v>
      </c>
      <c r="E82" s="64">
        <v>5.33</v>
      </c>
      <c r="F82" s="64">
        <v>8.67</v>
      </c>
      <c r="G82" s="64">
        <v>26.24</v>
      </c>
      <c r="H82" s="64">
        <v>14.38</v>
      </c>
      <c r="I82" s="64">
        <v>1.64</v>
      </c>
      <c r="J82" s="64">
        <v>0.08</v>
      </c>
      <c r="K82" s="64">
        <v>276.64</v>
      </c>
      <c r="L82" s="64">
        <v>24.37</v>
      </c>
      <c r="M82" s="64">
        <v>98.08</v>
      </c>
      <c r="N82" s="64">
        <v>82.4</v>
      </c>
      <c r="O82" s="64">
        <v>0</v>
      </c>
      <c r="P82" s="64">
        <v>0.28000000000000003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3" t="s">
        <v>414</v>
      </c>
      <c r="B83" s="64">
        <v>9.0399999999999991</v>
      </c>
      <c r="C83" s="64">
        <v>15.14</v>
      </c>
      <c r="D83" s="64">
        <v>15.16</v>
      </c>
      <c r="E83" s="64">
        <v>5.55</v>
      </c>
      <c r="F83" s="64">
        <v>8.7899999999999991</v>
      </c>
      <c r="G83" s="64">
        <v>27.41</v>
      </c>
      <c r="H83" s="64">
        <v>11.12</v>
      </c>
      <c r="I83" s="64">
        <v>1.63</v>
      </c>
      <c r="J83" s="64">
        <v>0.08</v>
      </c>
      <c r="K83" s="64">
        <v>276.41000000000003</v>
      </c>
      <c r="L83" s="64">
        <v>24.26</v>
      </c>
      <c r="M83" s="64">
        <v>98.05</v>
      </c>
      <c r="N83" s="64">
        <v>76</v>
      </c>
      <c r="O83" s="64">
        <v>0</v>
      </c>
      <c r="P83" s="64">
        <v>0.26</v>
      </c>
      <c r="Q83" s="64">
        <v>9.24</v>
      </c>
      <c r="R83" s="198"/>
      <c r="S83" s="198"/>
      <c r="T83" s="198"/>
      <c r="U83" s="198"/>
    </row>
    <row r="84" spans="1:26" s="12" customFormat="1" x14ac:dyDescent="0.25">
      <c r="A84" s="213" t="s">
        <v>415</v>
      </c>
      <c r="B84" s="64">
        <v>9.3699999999999992</v>
      </c>
      <c r="C84" s="64">
        <v>15.27</v>
      </c>
      <c r="D84" s="64">
        <v>15.49</v>
      </c>
      <c r="E84" s="64">
        <v>5.44</v>
      </c>
      <c r="F84" s="64">
        <v>7.2</v>
      </c>
      <c r="G84" s="64">
        <v>27.77</v>
      </c>
      <c r="H84" s="64">
        <v>10.06</v>
      </c>
      <c r="I84" s="64">
        <v>1.62</v>
      </c>
      <c r="J84" s="64">
        <v>0.1</v>
      </c>
      <c r="K84" s="64">
        <v>294.3</v>
      </c>
      <c r="L84" s="64">
        <v>24.17</v>
      </c>
      <c r="M84" s="64">
        <v>98.05</v>
      </c>
      <c r="N84" s="64">
        <v>71.8</v>
      </c>
      <c r="O84" s="64">
        <v>0</v>
      </c>
      <c r="P84" s="64">
        <v>0.3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3" t="s">
        <v>416</v>
      </c>
      <c r="B85" s="64">
        <v>9</v>
      </c>
      <c r="C85" s="64">
        <v>13.89</v>
      </c>
      <c r="D85" s="64">
        <v>14.48</v>
      </c>
      <c r="E85" s="64">
        <v>5.15</v>
      </c>
      <c r="F85" s="64">
        <v>6.63</v>
      </c>
      <c r="G85" s="64">
        <v>27.77</v>
      </c>
      <c r="H85" s="64">
        <v>10.06</v>
      </c>
      <c r="I85" s="64">
        <v>1.59</v>
      </c>
      <c r="J85" s="64">
        <v>0.06</v>
      </c>
      <c r="K85" s="64">
        <v>285.82</v>
      </c>
      <c r="L85" s="64">
        <v>24.1</v>
      </c>
      <c r="M85" s="64">
        <v>98.05</v>
      </c>
      <c r="N85" s="64">
        <v>70.3</v>
      </c>
      <c r="O85" s="64">
        <v>0</v>
      </c>
      <c r="P85" s="64">
        <v>0.28999999999999998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13" t="s">
        <v>417</v>
      </c>
      <c r="B86" s="64">
        <v>9.75</v>
      </c>
      <c r="C86" s="64">
        <v>12.24</v>
      </c>
      <c r="D86" s="64">
        <v>14.21</v>
      </c>
      <c r="E86" s="64">
        <v>5.51</v>
      </c>
      <c r="F86" s="64">
        <v>3.31</v>
      </c>
      <c r="G86" s="64">
        <v>27.77</v>
      </c>
      <c r="H86" s="64">
        <v>10.06</v>
      </c>
      <c r="I86" s="64">
        <v>1.56</v>
      </c>
      <c r="J86" s="64">
        <v>0.09</v>
      </c>
      <c r="K86" s="64">
        <v>324.12</v>
      </c>
      <c r="L86" s="64">
        <v>24.03</v>
      </c>
      <c r="M86" s="64">
        <v>98.07</v>
      </c>
      <c r="N86" s="64">
        <v>70.5</v>
      </c>
      <c r="O86" s="64">
        <v>0</v>
      </c>
      <c r="P86" s="64">
        <v>0.35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3" t="s">
        <v>418</v>
      </c>
      <c r="B87" s="64">
        <v>12.14</v>
      </c>
      <c r="C87" s="64">
        <v>14.14</v>
      </c>
      <c r="D87" s="64">
        <v>17.12</v>
      </c>
      <c r="E87" s="64">
        <v>5.47</v>
      </c>
      <c r="F87" s="64">
        <v>3.94</v>
      </c>
      <c r="G87" s="64">
        <v>25.21</v>
      </c>
      <c r="H87" s="64">
        <v>10.38</v>
      </c>
      <c r="I87" s="64">
        <v>1.54</v>
      </c>
      <c r="J87" s="64">
        <v>0.08</v>
      </c>
      <c r="K87" s="64">
        <v>315.07</v>
      </c>
      <c r="L87" s="64">
        <v>24.01</v>
      </c>
      <c r="M87" s="64">
        <v>98.08</v>
      </c>
      <c r="N87" s="64">
        <v>71.599999999999994</v>
      </c>
      <c r="O87" s="64">
        <v>0</v>
      </c>
      <c r="P87" s="64">
        <v>0.42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3" t="s">
        <v>419</v>
      </c>
      <c r="B88" s="64">
        <v>11.15</v>
      </c>
      <c r="C88" s="64">
        <v>13.35</v>
      </c>
      <c r="D88" s="64">
        <v>15.91</v>
      </c>
      <c r="E88" s="64">
        <v>5.49</v>
      </c>
      <c r="F88" s="64">
        <v>4.3</v>
      </c>
      <c r="G88" s="64">
        <v>24.38</v>
      </c>
      <c r="H88" s="64">
        <v>10.49</v>
      </c>
      <c r="I88" s="64">
        <v>1.52</v>
      </c>
      <c r="J88" s="64">
        <v>0.05</v>
      </c>
      <c r="K88" s="64">
        <v>304.81</v>
      </c>
      <c r="L88" s="64">
        <v>23.99</v>
      </c>
      <c r="M88" s="64">
        <v>98.08</v>
      </c>
      <c r="N88" s="64">
        <v>71.7</v>
      </c>
      <c r="O88" s="64">
        <v>0</v>
      </c>
      <c r="P88" s="64">
        <v>0.36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3" t="s">
        <v>420</v>
      </c>
      <c r="B89" s="64">
        <v>10.73</v>
      </c>
      <c r="C89" s="64">
        <v>11.62</v>
      </c>
      <c r="D89" s="64">
        <v>14.67</v>
      </c>
      <c r="E89" s="64">
        <v>5.36</v>
      </c>
      <c r="F89" s="64">
        <v>3.68</v>
      </c>
      <c r="G89" s="64">
        <v>24.38</v>
      </c>
      <c r="H89" s="64">
        <v>10.49</v>
      </c>
      <c r="I89" s="64">
        <v>1.52</v>
      </c>
      <c r="J89" s="64">
        <v>0.06</v>
      </c>
      <c r="K89" s="64">
        <v>289.54000000000002</v>
      </c>
      <c r="L89" s="64">
        <v>23.96</v>
      </c>
      <c r="M89" s="64">
        <v>98.08</v>
      </c>
      <c r="N89" s="64">
        <v>71.5</v>
      </c>
      <c r="O89" s="64">
        <v>0</v>
      </c>
      <c r="P89" s="64">
        <v>0.37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3" t="s">
        <v>421</v>
      </c>
      <c r="B90" s="64">
        <v>10.3</v>
      </c>
      <c r="C90" s="64">
        <v>12.58</v>
      </c>
      <c r="D90" s="64">
        <v>14.83</v>
      </c>
      <c r="E90" s="64">
        <v>5.12</v>
      </c>
      <c r="F90" s="64">
        <v>4.62</v>
      </c>
      <c r="G90" s="64">
        <v>24.38</v>
      </c>
      <c r="H90" s="64">
        <v>10.49</v>
      </c>
      <c r="I90" s="64">
        <v>1.53</v>
      </c>
      <c r="J90" s="64">
        <v>0.08</v>
      </c>
      <c r="K90" s="64">
        <v>274.07</v>
      </c>
      <c r="L90" s="64">
        <v>23.9</v>
      </c>
      <c r="M90" s="64">
        <v>98.08</v>
      </c>
      <c r="N90" s="64">
        <v>71.7</v>
      </c>
      <c r="O90" s="64">
        <v>0</v>
      </c>
      <c r="P90" s="64">
        <v>0.35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3" t="s">
        <v>422</v>
      </c>
      <c r="B91" s="64">
        <v>10.66</v>
      </c>
      <c r="C91" s="64">
        <v>11.4</v>
      </c>
      <c r="D91" s="64">
        <v>14.51</v>
      </c>
      <c r="E91" s="64">
        <v>5.43</v>
      </c>
      <c r="F91" s="64">
        <v>3.86</v>
      </c>
      <c r="G91" s="64">
        <v>24.51</v>
      </c>
      <c r="H91" s="64">
        <v>8.11</v>
      </c>
      <c r="I91" s="64">
        <v>1.52</v>
      </c>
      <c r="J91" s="64">
        <v>7.0000000000000007E-2</v>
      </c>
      <c r="K91" s="64">
        <v>295.42</v>
      </c>
      <c r="L91" s="64">
        <v>23.88</v>
      </c>
      <c r="M91" s="64">
        <v>98.08</v>
      </c>
      <c r="N91" s="64">
        <v>71.900000000000006</v>
      </c>
      <c r="O91" s="64">
        <v>0</v>
      </c>
      <c r="P91" s="64">
        <v>0.37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3" t="s">
        <v>423</v>
      </c>
      <c r="B92" s="64">
        <v>10.53</v>
      </c>
      <c r="C92" s="64">
        <v>12.2</v>
      </c>
      <c r="D92" s="64">
        <v>14.82</v>
      </c>
      <c r="E92" s="64">
        <v>5.13</v>
      </c>
      <c r="F92" s="64">
        <v>4.21</v>
      </c>
      <c r="G92" s="64">
        <v>24.55</v>
      </c>
      <c r="H92" s="64">
        <v>7.34</v>
      </c>
      <c r="I92" s="64">
        <v>1.51</v>
      </c>
      <c r="J92" s="64">
        <v>0.06</v>
      </c>
      <c r="K92" s="64">
        <v>238.04</v>
      </c>
      <c r="L92" s="64">
        <v>23.87</v>
      </c>
      <c r="M92" s="64">
        <v>98.09</v>
      </c>
      <c r="N92" s="64">
        <v>72.2</v>
      </c>
      <c r="O92" s="64">
        <v>0</v>
      </c>
      <c r="P92" s="64">
        <v>0.35</v>
      </c>
      <c r="Q92" s="64">
        <v>9.17</v>
      </c>
      <c r="R92" s="198"/>
      <c r="S92" s="198"/>
      <c r="T92" s="198"/>
      <c r="U92" s="198"/>
    </row>
    <row r="93" spans="1:26" s="12" customFormat="1" x14ac:dyDescent="0.25">
      <c r="A93" s="213" t="s">
        <v>424</v>
      </c>
      <c r="B93" s="64">
        <v>12.41</v>
      </c>
      <c r="C93" s="64">
        <v>14.6</v>
      </c>
      <c r="D93" s="64">
        <v>17.579999999999998</v>
      </c>
      <c r="E93" s="64">
        <v>5.44</v>
      </c>
      <c r="F93" s="64">
        <v>6.04</v>
      </c>
      <c r="G93" s="64">
        <v>24.55</v>
      </c>
      <c r="H93" s="64">
        <v>7.34</v>
      </c>
      <c r="I93" s="64">
        <v>1.49</v>
      </c>
      <c r="J93" s="64">
        <v>0.02</v>
      </c>
      <c r="K93" s="64">
        <v>256.35000000000002</v>
      </c>
      <c r="L93" s="64">
        <v>23.83</v>
      </c>
      <c r="M93" s="64">
        <v>98.08</v>
      </c>
      <c r="N93" s="64">
        <v>72.8</v>
      </c>
      <c r="O93" s="64">
        <v>0</v>
      </c>
      <c r="P93" s="64">
        <v>0.34</v>
      </c>
      <c r="Q93" s="64">
        <v>9.18</v>
      </c>
      <c r="R93" s="198"/>
      <c r="S93" s="198"/>
      <c r="T93" s="198"/>
      <c r="U93" s="198"/>
    </row>
    <row r="94" spans="1:26" s="12" customFormat="1" x14ac:dyDescent="0.25">
      <c r="A94" s="213" t="s">
        <v>425</v>
      </c>
      <c r="B94" s="64">
        <v>11.06</v>
      </c>
      <c r="C94" s="64">
        <v>11.64</v>
      </c>
      <c r="D94" s="64">
        <v>14.95</v>
      </c>
      <c r="E94" s="64">
        <v>5.52</v>
      </c>
      <c r="F94" s="64">
        <v>3.84</v>
      </c>
      <c r="G94" s="64">
        <v>24.55</v>
      </c>
      <c r="H94" s="64">
        <v>7.34</v>
      </c>
      <c r="I94" s="64">
        <v>1.48</v>
      </c>
      <c r="J94" s="64">
        <v>0.1</v>
      </c>
      <c r="K94" s="64">
        <v>307.95</v>
      </c>
      <c r="L94" s="64">
        <v>23.79</v>
      </c>
      <c r="M94" s="64">
        <v>98.1</v>
      </c>
      <c r="N94" s="64">
        <v>73</v>
      </c>
      <c r="O94" s="64">
        <v>0</v>
      </c>
      <c r="P94" s="64">
        <v>0.36</v>
      </c>
      <c r="Q94" s="64">
        <v>9.17</v>
      </c>
      <c r="R94" s="198"/>
      <c r="S94" s="198"/>
      <c r="T94" s="198"/>
      <c r="U94" s="198"/>
    </row>
    <row r="95" spans="1:26" s="12" customFormat="1" x14ac:dyDescent="0.25">
      <c r="A95" s="213" t="s">
        <v>426</v>
      </c>
      <c r="B95" s="64">
        <v>10.92</v>
      </c>
      <c r="C95" s="64">
        <v>11.29</v>
      </c>
      <c r="D95" s="64">
        <v>14.65</v>
      </c>
      <c r="E95" s="64">
        <v>5.0999999999999996</v>
      </c>
      <c r="F95" s="64">
        <v>3.48</v>
      </c>
      <c r="G95" s="64">
        <v>25.8</v>
      </c>
      <c r="H95" s="64">
        <v>5.68</v>
      </c>
      <c r="I95" s="64">
        <v>1.46</v>
      </c>
      <c r="J95" s="64">
        <v>0.08</v>
      </c>
      <c r="K95" s="64">
        <v>302.37</v>
      </c>
      <c r="L95" s="64">
        <v>23.76</v>
      </c>
      <c r="M95" s="64">
        <v>98.1</v>
      </c>
      <c r="N95" s="64">
        <v>72.900000000000006</v>
      </c>
      <c r="O95" s="64">
        <v>0</v>
      </c>
      <c r="P95" s="64">
        <v>0.34</v>
      </c>
      <c r="Q95" s="64">
        <v>9.18</v>
      </c>
      <c r="R95" s="198"/>
      <c r="S95" s="198"/>
      <c r="T95" s="198"/>
      <c r="U95" s="198"/>
    </row>
    <row r="96" spans="1:26" s="12" customFormat="1" x14ac:dyDescent="0.25">
      <c r="A96" s="213" t="s">
        <v>427</v>
      </c>
      <c r="B96" s="64">
        <v>9.67</v>
      </c>
      <c r="C96" s="64">
        <v>11.99</v>
      </c>
      <c r="D96" s="64">
        <v>14.02</v>
      </c>
      <c r="E96" s="64">
        <v>5.24</v>
      </c>
      <c r="F96" s="64">
        <v>6.3</v>
      </c>
      <c r="G96" s="64">
        <v>26.2</v>
      </c>
      <c r="H96" s="64">
        <v>5.14</v>
      </c>
      <c r="I96" s="64">
        <v>1.45</v>
      </c>
      <c r="J96" s="64">
        <v>0.1</v>
      </c>
      <c r="K96" s="64">
        <v>302.83999999999997</v>
      </c>
      <c r="L96" s="64">
        <v>23.76</v>
      </c>
      <c r="M96" s="64">
        <v>98.1</v>
      </c>
      <c r="N96" s="64">
        <v>73.3</v>
      </c>
      <c r="O96" s="64">
        <v>0</v>
      </c>
      <c r="P96" s="64">
        <v>0.28999999999999998</v>
      </c>
      <c r="Q96" s="64">
        <v>9.17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428</v>
      </c>
      <c r="B97" s="64">
        <v>9.3699999999999992</v>
      </c>
      <c r="C97" s="64">
        <v>12.82</v>
      </c>
      <c r="D97" s="64">
        <v>14.21</v>
      </c>
      <c r="E97" s="64">
        <v>5.08</v>
      </c>
      <c r="F97" s="64">
        <v>4.93</v>
      </c>
      <c r="G97" s="64">
        <v>26.2</v>
      </c>
      <c r="H97" s="64">
        <v>5.14</v>
      </c>
      <c r="I97" s="64">
        <v>1.41</v>
      </c>
      <c r="J97" s="64">
        <v>0.09</v>
      </c>
      <c r="K97" s="64">
        <v>316.26</v>
      </c>
      <c r="L97" s="64">
        <v>23.76</v>
      </c>
      <c r="M97" s="64">
        <v>98.1</v>
      </c>
      <c r="N97" s="64">
        <v>77.2</v>
      </c>
      <c r="O97" s="64">
        <v>0</v>
      </c>
      <c r="P97" s="64">
        <v>0.31</v>
      </c>
      <c r="Q97" s="64">
        <v>9.19</v>
      </c>
      <c r="R97" s="198"/>
      <c r="S97" s="198"/>
      <c r="T97" s="198"/>
      <c r="U97" s="198"/>
    </row>
    <row r="98" spans="1:33" s="12" customFormat="1" x14ac:dyDescent="0.25">
      <c r="A98" s="213" t="s">
        <v>429</v>
      </c>
      <c r="B98" s="64">
        <v>10.63</v>
      </c>
      <c r="C98" s="64">
        <v>13.92</v>
      </c>
      <c r="D98" s="64">
        <v>15.79</v>
      </c>
      <c r="E98" s="64">
        <v>5.2</v>
      </c>
      <c r="F98" s="64">
        <v>6.62</v>
      </c>
      <c r="G98" s="64">
        <v>26.2</v>
      </c>
      <c r="H98" s="64">
        <v>5.14</v>
      </c>
      <c r="I98" s="64">
        <v>1.38</v>
      </c>
      <c r="J98" s="64">
        <v>0.1</v>
      </c>
      <c r="K98" s="64">
        <v>301.58</v>
      </c>
      <c r="L98" s="64">
        <v>23.75</v>
      </c>
      <c r="M98" s="64">
        <v>98.1</v>
      </c>
      <c r="N98" s="64">
        <v>78.5</v>
      </c>
      <c r="O98" s="64">
        <v>0</v>
      </c>
      <c r="P98" s="64">
        <v>0.28999999999999998</v>
      </c>
      <c r="Q98" s="64">
        <v>9.1999999999999993</v>
      </c>
      <c r="R98" s="198"/>
      <c r="S98" s="198"/>
      <c r="T98" s="198"/>
      <c r="U98" s="198"/>
    </row>
    <row r="99" spans="1:33" s="12" customFormat="1" x14ac:dyDescent="0.25">
      <c r="A99" s="213" t="s">
        <v>430</v>
      </c>
      <c r="B99" s="64">
        <v>8.49</v>
      </c>
      <c r="C99" s="64">
        <v>12.5</v>
      </c>
      <c r="D99" s="64">
        <v>13.34</v>
      </c>
      <c r="E99" s="64">
        <v>5.34</v>
      </c>
      <c r="F99" s="64">
        <v>3.95</v>
      </c>
      <c r="G99" s="64">
        <v>26.3</v>
      </c>
      <c r="H99" s="64">
        <v>4.1399999999999997</v>
      </c>
      <c r="I99" s="64">
        <v>1.35</v>
      </c>
      <c r="J99" s="64">
        <v>0.12</v>
      </c>
      <c r="K99" s="64">
        <v>328.25</v>
      </c>
      <c r="L99" s="64">
        <v>23.7</v>
      </c>
      <c r="M99" s="64">
        <v>98.1</v>
      </c>
      <c r="N99" s="64">
        <v>79</v>
      </c>
      <c r="O99" s="64">
        <v>0</v>
      </c>
      <c r="P99" s="64">
        <v>0.31</v>
      </c>
      <c r="Q99" s="64">
        <v>9.2100000000000009</v>
      </c>
      <c r="R99" s="198"/>
      <c r="S99" s="198"/>
      <c r="T99" s="198"/>
      <c r="U99" s="198"/>
    </row>
    <row r="100" spans="1:33" s="12" customFormat="1" x14ac:dyDescent="0.25">
      <c r="A100" s="213" t="s">
        <v>431</v>
      </c>
      <c r="B100" s="64">
        <v>8.98</v>
      </c>
      <c r="C100" s="64">
        <v>12.69</v>
      </c>
      <c r="D100" s="64">
        <v>13.83</v>
      </c>
      <c r="E100" s="64">
        <v>5.25</v>
      </c>
      <c r="F100" s="64">
        <v>8.02</v>
      </c>
      <c r="G100" s="64">
        <v>26.33</v>
      </c>
      <c r="H100" s="64">
        <v>3.81</v>
      </c>
      <c r="I100" s="64">
        <v>1.33</v>
      </c>
      <c r="J100" s="64">
        <v>7.0000000000000007E-2</v>
      </c>
      <c r="K100" s="64">
        <v>304.41000000000003</v>
      </c>
      <c r="L100" s="64">
        <v>23.71</v>
      </c>
      <c r="M100" s="64">
        <v>98.1</v>
      </c>
      <c r="N100" s="64">
        <v>79</v>
      </c>
      <c r="O100" s="64">
        <v>0</v>
      </c>
      <c r="P100" s="64">
        <v>0.27</v>
      </c>
      <c r="Q100" s="64">
        <v>9.2100000000000009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432</v>
      </c>
      <c r="B101" s="64">
        <v>7.75</v>
      </c>
      <c r="C101" s="64">
        <v>13</v>
      </c>
      <c r="D101" s="64">
        <v>13</v>
      </c>
      <c r="E101" s="64">
        <v>5.4</v>
      </c>
      <c r="F101" s="64">
        <v>7.4</v>
      </c>
      <c r="G101" s="64">
        <v>26.33</v>
      </c>
      <c r="H101" s="64">
        <v>3.81</v>
      </c>
      <c r="I101" s="64">
        <v>1.32</v>
      </c>
      <c r="J101" s="64">
        <v>0.08</v>
      </c>
      <c r="K101" s="64">
        <v>320.73</v>
      </c>
      <c r="L101" s="64">
        <v>23.75</v>
      </c>
      <c r="M101" s="64">
        <v>98.1</v>
      </c>
      <c r="N101" s="64">
        <v>79</v>
      </c>
      <c r="O101" s="64">
        <v>0</v>
      </c>
      <c r="P101" s="64">
        <v>0.27</v>
      </c>
      <c r="Q101" s="64">
        <v>9.2200000000000006</v>
      </c>
      <c r="R101" s="198"/>
      <c r="S101" s="198"/>
      <c r="T101" s="198"/>
      <c r="U101" s="198"/>
    </row>
    <row r="102" spans="1:33" s="12" customFormat="1" x14ac:dyDescent="0.25">
      <c r="A102" s="213" t="s">
        <v>433</v>
      </c>
      <c r="B102" s="64">
        <v>8.69</v>
      </c>
      <c r="C102" s="64">
        <v>12.26</v>
      </c>
      <c r="D102" s="64">
        <v>13.37</v>
      </c>
      <c r="E102" s="64">
        <v>5.49</v>
      </c>
      <c r="F102" s="64">
        <v>6.02</v>
      </c>
      <c r="G102" s="64">
        <v>26.33</v>
      </c>
      <c r="H102" s="64">
        <v>3.81</v>
      </c>
      <c r="I102" s="64">
        <v>1.3</v>
      </c>
      <c r="J102" s="64">
        <v>0.11</v>
      </c>
      <c r="K102" s="64">
        <v>298.58999999999997</v>
      </c>
      <c r="L102" s="64">
        <v>23.82</v>
      </c>
      <c r="M102" s="64">
        <v>98.1</v>
      </c>
      <c r="N102" s="64">
        <v>79.2</v>
      </c>
      <c r="O102" s="64">
        <v>0</v>
      </c>
      <c r="P102" s="64">
        <v>0.26</v>
      </c>
      <c r="Q102" s="64">
        <v>9.2200000000000006</v>
      </c>
      <c r="R102" s="198"/>
      <c r="S102" s="198"/>
      <c r="T102" s="198"/>
      <c r="U102" s="198"/>
    </row>
    <row r="103" spans="1:33" s="12" customFormat="1" x14ac:dyDescent="0.25">
      <c r="A103" s="213" t="s">
        <v>434</v>
      </c>
      <c r="B103" s="64">
        <v>7.97</v>
      </c>
      <c r="C103" s="64">
        <v>11.21</v>
      </c>
      <c r="D103" s="64">
        <v>12.25</v>
      </c>
      <c r="E103" s="64">
        <v>5.44</v>
      </c>
      <c r="F103" s="64">
        <v>7.14</v>
      </c>
      <c r="G103" s="64">
        <v>23.88</v>
      </c>
      <c r="H103" s="64">
        <v>5.48</v>
      </c>
      <c r="I103" s="64">
        <v>1.27</v>
      </c>
      <c r="J103" s="64">
        <v>0.09</v>
      </c>
      <c r="K103" s="64">
        <v>307.75</v>
      </c>
      <c r="L103" s="64">
        <v>23.81</v>
      </c>
      <c r="M103" s="64">
        <v>98.1</v>
      </c>
      <c r="N103" s="64">
        <v>79.3</v>
      </c>
      <c r="O103" s="64">
        <v>0</v>
      </c>
      <c r="P103" s="64">
        <v>0.21</v>
      </c>
      <c r="Q103" s="64">
        <v>9.2100000000000009</v>
      </c>
      <c r="R103" s="198"/>
      <c r="S103" s="198"/>
      <c r="T103" s="198"/>
      <c r="U103" s="198"/>
    </row>
    <row r="104" spans="1:33" s="12" customFormat="1" x14ac:dyDescent="0.25">
      <c r="A104" s="213" t="s">
        <v>435</v>
      </c>
      <c r="B104" s="64">
        <v>9.6999999999999993</v>
      </c>
      <c r="C104" s="64">
        <v>10.210000000000001</v>
      </c>
      <c r="D104" s="64">
        <v>13.11</v>
      </c>
      <c r="E104" s="64">
        <v>5.63</v>
      </c>
      <c r="F104" s="64">
        <v>3.61</v>
      </c>
      <c r="G104" s="64">
        <v>23.13</v>
      </c>
      <c r="H104" s="64">
        <v>6.02</v>
      </c>
      <c r="I104" s="64">
        <v>1.24</v>
      </c>
      <c r="J104" s="64">
        <v>0.08</v>
      </c>
      <c r="K104" s="64">
        <v>306.38</v>
      </c>
      <c r="L104" s="64">
        <v>23.79</v>
      </c>
      <c r="M104" s="64">
        <v>98.13</v>
      </c>
      <c r="N104" s="64">
        <v>82.4</v>
      </c>
      <c r="O104" s="64">
        <v>0</v>
      </c>
      <c r="P104" s="64">
        <v>0.31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5.19</v>
      </c>
      <c r="C106" s="67">
        <f>MIN(C9:C104)</f>
        <v>10.17</v>
      </c>
      <c r="D106" s="67">
        <f t="shared" ref="D106:Q106" si="0">MIN(D9:D104)</f>
        <v>10.29</v>
      </c>
      <c r="E106" s="67">
        <f t="shared" si="0"/>
        <v>4.22</v>
      </c>
      <c r="F106" s="67">
        <f t="shared" si="0"/>
        <v>2.27</v>
      </c>
      <c r="G106" s="67">
        <f t="shared" si="0"/>
        <v>18.850000000000001</v>
      </c>
      <c r="H106" s="67">
        <f t="shared" si="0"/>
        <v>3.81</v>
      </c>
      <c r="I106" s="67">
        <f t="shared" si="0"/>
        <v>0.69</v>
      </c>
      <c r="J106" s="67">
        <f t="shared" si="0"/>
        <v>0.02</v>
      </c>
      <c r="K106" s="67">
        <f t="shared" si="0"/>
        <v>232.41</v>
      </c>
      <c r="L106" s="67">
        <f t="shared" si="0"/>
        <v>22.94</v>
      </c>
      <c r="M106" s="67">
        <f t="shared" si="0"/>
        <v>95.39</v>
      </c>
      <c r="N106" s="67">
        <f t="shared" si="0"/>
        <v>49.4</v>
      </c>
      <c r="O106" s="67">
        <f t="shared" si="0"/>
        <v>0</v>
      </c>
      <c r="P106" s="67">
        <f t="shared" si="0"/>
        <v>0.14000000000000001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22.07</v>
      </c>
      <c r="C107" s="66">
        <f t="shared" ref="C107:Q107" si="1">MAX(C9:C104)</f>
        <v>20.69</v>
      </c>
      <c r="D107" s="66">
        <f t="shared" si="1"/>
        <v>24.99</v>
      </c>
      <c r="E107" s="66">
        <f t="shared" si="1"/>
        <v>5.63</v>
      </c>
      <c r="F107" s="66">
        <f t="shared" si="1"/>
        <v>10.61</v>
      </c>
      <c r="G107" s="66">
        <f t="shared" si="1"/>
        <v>53.93</v>
      </c>
      <c r="H107" s="66">
        <f t="shared" si="1"/>
        <v>29.09</v>
      </c>
      <c r="I107" s="66">
        <f t="shared" si="1"/>
        <v>7.03</v>
      </c>
      <c r="J107" s="66">
        <f t="shared" si="1"/>
        <v>0.66</v>
      </c>
      <c r="K107" s="66">
        <f t="shared" si="1"/>
        <v>328.25</v>
      </c>
      <c r="L107" s="66">
        <f t="shared" si="1"/>
        <v>25.68</v>
      </c>
      <c r="M107" s="66">
        <f t="shared" si="1"/>
        <v>98.13</v>
      </c>
      <c r="N107" s="66">
        <f t="shared" si="1"/>
        <v>250.7</v>
      </c>
      <c r="O107" s="66">
        <f t="shared" si="1"/>
        <v>0.6</v>
      </c>
      <c r="P107" s="66">
        <f t="shared" si="1"/>
        <v>0.91</v>
      </c>
      <c r="Q107" s="66">
        <f t="shared" si="1"/>
        <v>9.5500000000000007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11.325729166666667</v>
      </c>
      <c r="C108" s="67">
        <f t="shared" ref="C108:Q108" si="2">AVERAGE(C9:C104)</f>
        <v>14.377500000000005</v>
      </c>
      <c r="D108" s="67">
        <f t="shared" si="2"/>
        <v>16.593437499999997</v>
      </c>
      <c r="E108" s="67">
        <f t="shared" si="2"/>
        <v>5.0067708333333325</v>
      </c>
      <c r="F108" s="67">
        <f t="shared" si="2"/>
        <v>4.4035416666666665</v>
      </c>
      <c r="G108" s="67">
        <f t="shared" si="2"/>
        <v>32.186874999999993</v>
      </c>
      <c r="H108" s="67">
        <f t="shared" si="2"/>
        <v>12.7575</v>
      </c>
      <c r="I108" s="67">
        <f t="shared" si="2"/>
        <v>2.6221874999999994</v>
      </c>
      <c r="J108" s="67">
        <f t="shared" si="2"/>
        <v>0.19614583333333332</v>
      </c>
      <c r="K108" s="67">
        <f t="shared" si="2"/>
        <v>291.15895833333326</v>
      </c>
      <c r="L108" s="67">
        <f t="shared" si="2"/>
        <v>24.123229166666675</v>
      </c>
      <c r="M108" s="67">
        <f t="shared" si="2"/>
        <v>97.901875000000004</v>
      </c>
      <c r="N108" s="67">
        <f t="shared" si="2"/>
        <v>110.99479166666661</v>
      </c>
      <c r="O108" s="67">
        <f t="shared" si="2"/>
        <v>2.0833333333333339E-2</v>
      </c>
      <c r="P108" s="67">
        <f t="shared" si="2"/>
        <v>0.39104166666666673</v>
      </c>
      <c r="Q108" s="67">
        <f t="shared" si="2"/>
        <v>9.241979166666674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4.6948354031551842</v>
      </c>
      <c r="C109" s="67">
        <f t="shared" ref="C109:Q109" si="3">STDEV(C9:C104)</f>
        <v>3.0947915498207612</v>
      </c>
      <c r="D109" s="67">
        <f t="shared" si="3"/>
        <v>4.1819209456962074</v>
      </c>
      <c r="E109" s="67">
        <f t="shared" si="3"/>
        <v>0.35293206381209791</v>
      </c>
      <c r="F109" s="67">
        <f t="shared" si="3"/>
        <v>1.5715717771954272</v>
      </c>
      <c r="G109" s="67">
        <f t="shared" si="3"/>
        <v>10.540882347218153</v>
      </c>
      <c r="H109" s="67">
        <f t="shared" si="3"/>
        <v>5.8216329776374316</v>
      </c>
      <c r="I109" s="67">
        <f t="shared" si="3"/>
        <v>1.7539598525832016</v>
      </c>
      <c r="J109" s="67">
        <f t="shared" si="3"/>
        <v>0.12300081122254239</v>
      </c>
      <c r="K109" s="67">
        <f t="shared" si="3"/>
        <v>16.238259012148255</v>
      </c>
      <c r="L109" s="67">
        <f t="shared" si="3"/>
        <v>0.63637872668084239</v>
      </c>
      <c r="M109" s="67">
        <f t="shared" si="3"/>
        <v>0.34861021061834657</v>
      </c>
      <c r="N109" s="67">
        <f t="shared" si="3"/>
        <v>58.939886181719473</v>
      </c>
      <c r="O109" s="67">
        <f t="shared" si="3"/>
        <v>8.4500596904359099E-2</v>
      </c>
      <c r="P109" s="67">
        <f t="shared" si="3"/>
        <v>0.1652906796281319</v>
      </c>
      <c r="Q109" s="67">
        <f t="shared" si="3"/>
        <v>0.16110552142955167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436</v>
      </c>
      <c r="B9" s="64">
        <v>9.92</v>
      </c>
      <c r="C9" s="64">
        <v>10.15</v>
      </c>
      <c r="D9" s="64">
        <v>13.26</v>
      </c>
      <c r="E9" s="64">
        <v>5.28</v>
      </c>
      <c r="F9" s="64">
        <v>3.59</v>
      </c>
      <c r="G9" s="64">
        <v>23.13</v>
      </c>
      <c r="H9" s="64">
        <v>6.02</v>
      </c>
      <c r="I9" s="64">
        <v>1.22</v>
      </c>
      <c r="J9" s="64">
        <v>0.1</v>
      </c>
      <c r="K9" s="64">
        <v>321.88</v>
      </c>
      <c r="L9" s="64">
        <v>23.74</v>
      </c>
      <c r="M9" s="64">
        <v>98.15</v>
      </c>
      <c r="N9" s="64">
        <v>87.4</v>
      </c>
      <c r="O9" s="64">
        <v>0</v>
      </c>
      <c r="P9" s="64">
        <v>0.28999999999999998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3" t="s">
        <v>437</v>
      </c>
      <c r="B10" s="64">
        <v>9.6300000000000008</v>
      </c>
      <c r="C10" s="64">
        <v>10.36</v>
      </c>
      <c r="D10" s="64">
        <v>13.14</v>
      </c>
      <c r="E10" s="64">
        <v>5.17</v>
      </c>
      <c r="F10" s="64">
        <v>2.91</v>
      </c>
      <c r="G10" s="64">
        <v>23.13</v>
      </c>
      <c r="H10" s="64">
        <v>6.02</v>
      </c>
      <c r="I10" s="64">
        <v>1.19</v>
      </c>
      <c r="J10" s="64">
        <v>0.13</v>
      </c>
      <c r="K10" s="64">
        <v>301.82</v>
      </c>
      <c r="L10" s="64">
        <v>23.72</v>
      </c>
      <c r="M10" s="64">
        <v>98.12</v>
      </c>
      <c r="N10" s="64">
        <v>86.4</v>
      </c>
      <c r="O10" s="64">
        <v>0</v>
      </c>
      <c r="P10" s="64">
        <v>0.27</v>
      </c>
      <c r="Q10" s="64">
        <v>9.15</v>
      </c>
      <c r="R10" s="198"/>
      <c r="S10" s="198"/>
      <c r="T10" s="198"/>
      <c r="U10" s="198"/>
    </row>
    <row r="11" spans="1:21" s="12" customFormat="1" x14ac:dyDescent="0.25">
      <c r="A11" s="213" t="s">
        <v>438</v>
      </c>
      <c r="B11" s="64">
        <v>9.32</v>
      </c>
      <c r="C11" s="64">
        <v>10.3</v>
      </c>
      <c r="D11" s="64">
        <v>12.86</v>
      </c>
      <c r="E11" s="64">
        <v>5.65</v>
      </c>
      <c r="F11" s="64">
        <v>3.42</v>
      </c>
      <c r="G11" s="64">
        <v>22.8</v>
      </c>
      <c r="H11" s="64">
        <v>4.7699999999999996</v>
      </c>
      <c r="I11" s="64">
        <v>1.1499999999999999</v>
      </c>
      <c r="J11" s="64">
        <v>0.13</v>
      </c>
      <c r="K11" s="64">
        <v>300.72000000000003</v>
      </c>
      <c r="L11" s="64">
        <v>23.68</v>
      </c>
      <c r="M11" s="64">
        <v>97.87</v>
      </c>
      <c r="N11" s="64">
        <v>85.5</v>
      </c>
      <c r="O11" s="64">
        <v>0</v>
      </c>
      <c r="P11" s="64">
        <v>0.25</v>
      </c>
      <c r="Q11" s="64">
        <v>9.1300000000000008</v>
      </c>
      <c r="R11" s="198"/>
      <c r="S11" s="198"/>
      <c r="T11" s="198"/>
      <c r="U11" s="198"/>
    </row>
    <row r="12" spans="1:21" s="12" customFormat="1" x14ac:dyDescent="0.25">
      <c r="A12" s="213" t="s">
        <v>439</v>
      </c>
      <c r="B12" s="64">
        <v>8.98</v>
      </c>
      <c r="C12" s="64">
        <v>10.51</v>
      </c>
      <c r="D12" s="64">
        <v>12.69</v>
      </c>
      <c r="E12" s="64">
        <v>5.32</v>
      </c>
      <c r="F12" s="64">
        <v>3.68</v>
      </c>
      <c r="G12" s="64">
        <v>22.7</v>
      </c>
      <c r="H12" s="64">
        <v>4.3600000000000003</v>
      </c>
      <c r="I12" s="64">
        <v>1.1000000000000001</v>
      </c>
      <c r="J12" s="64">
        <v>0.11</v>
      </c>
      <c r="K12" s="64">
        <v>315.52999999999997</v>
      </c>
      <c r="L12" s="64">
        <v>23.66</v>
      </c>
      <c r="M12" s="64">
        <v>97.58</v>
      </c>
      <c r="N12" s="64">
        <v>88</v>
      </c>
      <c r="O12" s="64">
        <v>0</v>
      </c>
      <c r="P12" s="64">
        <v>0.26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3" t="s">
        <v>440</v>
      </c>
      <c r="B13" s="64">
        <v>8.73</v>
      </c>
      <c r="C13" s="64">
        <v>10.5</v>
      </c>
      <c r="D13" s="64">
        <v>12.48</v>
      </c>
      <c r="E13" s="64">
        <v>5.08</v>
      </c>
      <c r="F13" s="64">
        <v>3.38</v>
      </c>
      <c r="G13" s="64">
        <v>22.7</v>
      </c>
      <c r="H13" s="64">
        <v>4.3600000000000003</v>
      </c>
      <c r="I13" s="64">
        <v>1.06</v>
      </c>
      <c r="J13" s="64">
        <v>0.12</v>
      </c>
      <c r="K13" s="64">
        <v>307.19</v>
      </c>
      <c r="L13" s="64">
        <v>23.51</v>
      </c>
      <c r="M13" s="64">
        <v>98.17</v>
      </c>
      <c r="N13" s="64">
        <v>91.1</v>
      </c>
      <c r="O13" s="64">
        <v>0</v>
      </c>
      <c r="P13" s="64">
        <v>0.28000000000000003</v>
      </c>
      <c r="Q13" s="64">
        <v>9.08</v>
      </c>
      <c r="R13" s="198"/>
      <c r="S13" s="198"/>
      <c r="T13" s="198"/>
      <c r="U13" s="198"/>
    </row>
    <row r="14" spans="1:21" s="12" customFormat="1" x14ac:dyDescent="0.25">
      <c r="A14" s="213" t="s">
        <v>441</v>
      </c>
      <c r="B14" s="64">
        <v>8.34</v>
      </c>
      <c r="C14" s="64">
        <v>10.55</v>
      </c>
      <c r="D14" s="64">
        <v>12.2</v>
      </c>
      <c r="E14" s="64">
        <v>5.22</v>
      </c>
      <c r="F14" s="64">
        <v>3.39</v>
      </c>
      <c r="G14" s="64">
        <v>22.7</v>
      </c>
      <c r="H14" s="64">
        <v>4.3600000000000003</v>
      </c>
      <c r="I14" s="64">
        <v>1.03</v>
      </c>
      <c r="J14" s="64">
        <v>0.13</v>
      </c>
      <c r="K14" s="64">
        <v>315.24</v>
      </c>
      <c r="L14" s="64">
        <v>23.32</v>
      </c>
      <c r="M14" s="64">
        <v>97.62</v>
      </c>
      <c r="N14" s="64">
        <v>98.4</v>
      </c>
      <c r="O14" s="64">
        <v>0</v>
      </c>
      <c r="P14" s="64">
        <v>0.27</v>
      </c>
      <c r="Q14" s="64">
        <v>9.08</v>
      </c>
      <c r="R14" s="198"/>
      <c r="S14" s="198"/>
      <c r="T14" s="198"/>
      <c r="U14" s="198"/>
    </row>
    <row r="15" spans="1:21" s="12" customFormat="1" x14ac:dyDescent="0.25">
      <c r="A15" s="213" t="s">
        <v>442</v>
      </c>
      <c r="B15" s="64">
        <v>7.9</v>
      </c>
      <c r="C15" s="64">
        <v>10.51</v>
      </c>
      <c r="D15" s="64">
        <v>11.82</v>
      </c>
      <c r="E15" s="64">
        <v>4.8099999999999996</v>
      </c>
      <c r="F15" s="64">
        <v>4.0599999999999996</v>
      </c>
      <c r="G15" s="64">
        <v>18.329999999999998</v>
      </c>
      <c r="H15" s="64">
        <v>5.01</v>
      </c>
      <c r="I15" s="64">
        <v>1</v>
      </c>
      <c r="J15" s="64">
        <v>0.12</v>
      </c>
      <c r="K15" s="64">
        <v>305.22000000000003</v>
      </c>
      <c r="L15" s="64">
        <v>23.27</v>
      </c>
      <c r="M15" s="64">
        <v>97.56</v>
      </c>
      <c r="N15" s="64">
        <v>98.3</v>
      </c>
      <c r="O15" s="64">
        <v>0</v>
      </c>
      <c r="P15" s="64">
        <v>0.27</v>
      </c>
      <c r="Q15" s="64">
        <v>9.06</v>
      </c>
      <c r="R15" s="198"/>
      <c r="S15" s="198"/>
      <c r="T15" s="198"/>
      <c r="U15" s="198"/>
    </row>
    <row r="16" spans="1:21" s="12" customFormat="1" x14ac:dyDescent="0.25">
      <c r="A16" s="213" t="s">
        <v>443</v>
      </c>
      <c r="B16" s="64">
        <v>7.6</v>
      </c>
      <c r="C16" s="64">
        <v>10.66</v>
      </c>
      <c r="D16" s="64">
        <v>11.67</v>
      </c>
      <c r="E16" s="64">
        <v>5.27</v>
      </c>
      <c r="F16" s="64">
        <v>2.95</v>
      </c>
      <c r="G16" s="64">
        <v>16.920000000000002</v>
      </c>
      <c r="H16" s="64">
        <v>5.22</v>
      </c>
      <c r="I16" s="64">
        <v>0.95</v>
      </c>
      <c r="J16" s="64">
        <v>0.14000000000000001</v>
      </c>
      <c r="K16" s="64">
        <v>304.06</v>
      </c>
      <c r="L16" s="64">
        <v>23.41</v>
      </c>
      <c r="M16" s="64">
        <v>97.48</v>
      </c>
      <c r="N16" s="64">
        <v>97.6</v>
      </c>
      <c r="O16" s="64">
        <v>0</v>
      </c>
      <c r="P16" s="64">
        <v>0.25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3" t="s">
        <v>444</v>
      </c>
      <c r="B17" s="64">
        <v>7.34</v>
      </c>
      <c r="C17" s="64">
        <v>10.65</v>
      </c>
      <c r="D17" s="64">
        <v>11.44</v>
      </c>
      <c r="E17" s="64">
        <v>5.43</v>
      </c>
      <c r="F17" s="64">
        <v>4.1399999999999997</v>
      </c>
      <c r="G17" s="64">
        <v>16.920000000000002</v>
      </c>
      <c r="H17" s="64">
        <v>5.22</v>
      </c>
      <c r="I17" s="64">
        <v>0.92</v>
      </c>
      <c r="J17" s="64">
        <v>0.13</v>
      </c>
      <c r="K17" s="64">
        <v>294.41000000000003</v>
      </c>
      <c r="L17" s="64">
        <v>23.37</v>
      </c>
      <c r="M17" s="64">
        <v>97.97</v>
      </c>
      <c r="N17" s="64">
        <v>100.1</v>
      </c>
      <c r="O17" s="64">
        <v>0</v>
      </c>
      <c r="P17" s="64">
        <v>0.24</v>
      </c>
      <c r="Q17" s="64">
        <v>9.0500000000000007</v>
      </c>
      <c r="R17" s="198"/>
      <c r="S17" s="198"/>
      <c r="T17" s="198"/>
      <c r="U17" s="198"/>
    </row>
    <row r="18" spans="1:21" s="12" customFormat="1" x14ac:dyDescent="0.25">
      <c r="A18" s="213" t="s">
        <v>445</v>
      </c>
      <c r="B18" s="64">
        <v>6.83</v>
      </c>
      <c r="C18" s="64">
        <v>10.43</v>
      </c>
      <c r="D18" s="64">
        <v>10.92</v>
      </c>
      <c r="E18" s="64">
        <v>5.04</v>
      </c>
      <c r="F18" s="64">
        <v>3.8</v>
      </c>
      <c r="G18" s="64">
        <v>16.920000000000002</v>
      </c>
      <c r="H18" s="64">
        <v>5.22</v>
      </c>
      <c r="I18" s="64">
        <v>0.89</v>
      </c>
      <c r="J18" s="64">
        <v>0.15</v>
      </c>
      <c r="K18" s="64">
        <v>305.67</v>
      </c>
      <c r="L18" s="64">
        <v>23.4</v>
      </c>
      <c r="M18" s="64">
        <v>97.43</v>
      </c>
      <c r="N18" s="64">
        <v>85.9</v>
      </c>
      <c r="O18" s="64">
        <v>0</v>
      </c>
      <c r="P18" s="64">
        <v>0.21</v>
      </c>
      <c r="Q18" s="64">
        <v>9.0399999999999991</v>
      </c>
      <c r="R18" s="198"/>
      <c r="S18" s="198"/>
      <c r="T18" s="198"/>
      <c r="U18" s="198"/>
    </row>
    <row r="19" spans="1:21" s="12" customFormat="1" x14ac:dyDescent="0.25">
      <c r="A19" s="213" t="s">
        <v>446</v>
      </c>
      <c r="B19" s="64">
        <v>6.25</v>
      </c>
      <c r="C19" s="64">
        <v>10.33</v>
      </c>
      <c r="D19" s="64">
        <v>10.41</v>
      </c>
      <c r="E19" s="64">
        <v>4.97</v>
      </c>
      <c r="F19" s="64">
        <v>4.88</v>
      </c>
      <c r="G19" s="64">
        <v>19.23</v>
      </c>
      <c r="H19" s="64">
        <v>5.37</v>
      </c>
      <c r="I19" s="64">
        <v>0.9</v>
      </c>
      <c r="J19" s="64">
        <v>0.15</v>
      </c>
      <c r="K19" s="64">
        <v>291.38</v>
      </c>
      <c r="L19" s="64">
        <v>23.41</v>
      </c>
      <c r="M19" s="64">
        <v>97.42</v>
      </c>
      <c r="N19" s="64">
        <v>84.5</v>
      </c>
      <c r="O19" s="64">
        <v>0</v>
      </c>
      <c r="P19" s="64">
        <v>0.18</v>
      </c>
      <c r="Q19" s="64">
        <v>9.0500000000000007</v>
      </c>
      <c r="R19" s="198"/>
      <c r="S19" s="198"/>
      <c r="T19" s="198"/>
      <c r="U19" s="198"/>
    </row>
    <row r="20" spans="1:21" s="12" customFormat="1" x14ac:dyDescent="0.25">
      <c r="A20" s="213" t="s">
        <v>447</v>
      </c>
      <c r="B20" s="64">
        <v>6.28</v>
      </c>
      <c r="C20" s="64">
        <v>10.65</v>
      </c>
      <c r="D20" s="64">
        <v>10.6</v>
      </c>
      <c r="E20" s="64">
        <v>5.0599999999999996</v>
      </c>
      <c r="F20" s="64">
        <v>3.64</v>
      </c>
      <c r="G20" s="64">
        <v>19.97</v>
      </c>
      <c r="H20" s="64">
        <v>5.41</v>
      </c>
      <c r="I20" s="64">
        <v>0.9</v>
      </c>
      <c r="J20" s="64">
        <v>0.2</v>
      </c>
      <c r="K20" s="64">
        <v>295.07</v>
      </c>
      <c r="L20" s="64">
        <v>23.52</v>
      </c>
      <c r="M20" s="64">
        <v>97.43</v>
      </c>
      <c r="N20" s="64">
        <v>81.400000000000006</v>
      </c>
      <c r="O20" s="64">
        <v>0</v>
      </c>
      <c r="P20" s="64">
        <v>0.2</v>
      </c>
      <c r="Q20" s="64">
        <v>9.06</v>
      </c>
      <c r="R20" s="198"/>
      <c r="S20" s="198"/>
      <c r="T20" s="198"/>
      <c r="U20" s="198"/>
    </row>
    <row r="21" spans="1:21" s="12" customFormat="1" x14ac:dyDescent="0.25">
      <c r="A21" s="213" t="s">
        <v>448</v>
      </c>
      <c r="B21" s="64">
        <v>6.01</v>
      </c>
      <c r="C21" s="64">
        <v>10.84</v>
      </c>
      <c r="D21" s="64">
        <v>10.49</v>
      </c>
      <c r="E21" s="64">
        <v>4.7</v>
      </c>
      <c r="F21" s="64">
        <v>3.61</v>
      </c>
      <c r="G21" s="64">
        <v>19.97</v>
      </c>
      <c r="H21" s="64">
        <v>5.41</v>
      </c>
      <c r="I21" s="64">
        <v>0.87</v>
      </c>
      <c r="J21" s="64">
        <v>0.2</v>
      </c>
      <c r="K21" s="64">
        <v>292.51</v>
      </c>
      <c r="L21" s="64">
        <v>23.39</v>
      </c>
      <c r="M21" s="64">
        <v>97.99</v>
      </c>
      <c r="N21" s="64">
        <v>81</v>
      </c>
      <c r="O21" s="64">
        <v>0</v>
      </c>
      <c r="P21" s="64">
        <v>0.19</v>
      </c>
      <c r="Q21" s="64">
        <v>9.0500000000000007</v>
      </c>
      <c r="R21" s="198"/>
      <c r="S21" s="198"/>
      <c r="T21" s="198"/>
      <c r="U21" s="198"/>
    </row>
    <row r="22" spans="1:21" s="12" customFormat="1" x14ac:dyDescent="0.25">
      <c r="A22" s="213" t="s">
        <v>449</v>
      </c>
      <c r="B22" s="64">
        <v>5.84</v>
      </c>
      <c r="C22" s="64">
        <v>10.88</v>
      </c>
      <c r="D22" s="64">
        <v>10.37</v>
      </c>
      <c r="E22" s="64">
        <v>5.14</v>
      </c>
      <c r="F22" s="64">
        <v>3.74</v>
      </c>
      <c r="G22" s="64">
        <v>19.97</v>
      </c>
      <c r="H22" s="64">
        <v>5.41</v>
      </c>
      <c r="I22" s="64">
        <v>0.84</v>
      </c>
      <c r="J22" s="64">
        <v>0.2</v>
      </c>
      <c r="K22" s="64">
        <v>295.54000000000002</v>
      </c>
      <c r="L22" s="64">
        <v>23.33</v>
      </c>
      <c r="M22" s="64">
        <v>97.45</v>
      </c>
      <c r="N22" s="64">
        <v>81</v>
      </c>
      <c r="O22" s="64">
        <v>0</v>
      </c>
      <c r="P22" s="64">
        <v>0.18</v>
      </c>
      <c r="Q22" s="64">
        <v>9.0399999999999991</v>
      </c>
      <c r="R22" s="198"/>
      <c r="S22" s="198"/>
      <c r="T22" s="198"/>
      <c r="U22" s="198"/>
    </row>
    <row r="23" spans="1:21" s="12" customFormat="1" x14ac:dyDescent="0.25">
      <c r="A23" s="213" t="s">
        <v>450</v>
      </c>
      <c r="B23" s="64">
        <v>5.59</v>
      </c>
      <c r="C23" s="64">
        <v>10.89</v>
      </c>
      <c r="D23" s="64">
        <v>10.17</v>
      </c>
      <c r="E23" s="64">
        <v>5.07</v>
      </c>
      <c r="F23" s="64">
        <v>4.17</v>
      </c>
      <c r="G23" s="64">
        <v>17.14</v>
      </c>
      <c r="H23" s="64">
        <v>6.24</v>
      </c>
      <c r="I23" s="64">
        <v>0.8</v>
      </c>
      <c r="J23" s="64">
        <v>0.2</v>
      </c>
      <c r="K23" s="64">
        <v>293.24</v>
      </c>
      <c r="L23" s="64">
        <v>23.32</v>
      </c>
      <c r="M23" s="64">
        <v>97.44</v>
      </c>
      <c r="N23" s="64">
        <v>81.900000000000006</v>
      </c>
      <c r="O23" s="64">
        <v>0</v>
      </c>
      <c r="P23" s="64">
        <v>0.17</v>
      </c>
      <c r="Q23" s="64">
        <v>9.0399999999999991</v>
      </c>
      <c r="R23" s="198"/>
      <c r="S23" s="198"/>
      <c r="T23" s="198"/>
      <c r="U23" s="198"/>
    </row>
    <row r="24" spans="1:21" s="12" customFormat="1" x14ac:dyDescent="0.25">
      <c r="A24" s="213" t="s">
        <v>451</v>
      </c>
      <c r="B24" s="64">
        <v>5.35</v>
      </c>
      <c r="C24" s="64">
        <v>10.96</v>
      </c>
      <c r="D24" s="64">
        <v>10.02</v>
      </c>
      <c r="E24" s="64">
        <v>5.22</v>
      </c>
      <c r="F24" s="64">
        <v>3.35</v>
      </c>
      <c r="G24" s="64">
        <v>16.22</v>
      </c>
      <c r="H24" s="64">
        <v>6.51</v>
      </c>
      <c r="I24" s="64">
        <v>0.75</v>
      </c>
      <c r="J24" s="64">
        <v>0.17</v>
      </c>
      <c r="K24" s="64">
        <v>289.52999999999997</v>
      </c>
      <c r="L24" s="64">
        <v>23.37</v>
      </c>
      <c r="M24" s="64">
        <v>97.46</v>
      </c>
      <c r="N24" s="64">
        <v>86.4</v>
      </c>
      <c r="O24" s="64">
        <v>0</v>
      </c>
      <c r="P24" s="64">
        <v>0.16</v>
      </c>
      <c r="Q24" s="64">
        <v>9.0399999999999991</v>
      </c>
      <c r="R24" s="198"/>
      <c r="S24" s="198"/>
      <c r="T24" s="198"/>
      <c r="U24" s="198"/>
    </row>
    <row r="25" spans="1:21" s="12" customFormat="1" x14ac:dyDescent="0.25">
      <c r="A25" s="213" t="s">
        <v>452</v>
      </c>
      <c r="B25" s="64">
        <v>5.42</v>
      </c>
      <c r="C25" s="64">
        <v>10.95</v>
      </c>
      <c r="D25" s="64">
        <v>10.07</v>
      </c>
      <c r="E25" s="64">
        <v>5.21</v>
      </c>
      <c r="F25" s="64">
        <v>3.97</v>
      </c>
      <c r="G25" s="64">
        <v>16.22</v>
      </c>
      <c r="H25" s="64">
        <v>6.51</v>
      </c>
      <c r="I25" s="64">
        <v>0.71</v>
      </c>
      <c r="J25" s="64">
        <v>0.16</v>
      </c>
      <c r="K25" s="64">
        <v>302.68</v>
      </c>
      <c r="L25" s="64">
        <v>23.22</v>
      </c>
      <c r="M25" s="64">
        <v>98</v>
      </c>
      <c r="N25" s="64">
        <v>86.2</v>
      </c>
      <c r="O25" s="64">
        <v>0</v>
      </c>
      <c r="P25" s="64">
        <v>0.17</v>
      </c>
      <c r="Q25" s="64">
        <v>9.0299999999999994</v>
      </c>
      <c r="R25" s="198"/>
      <c r="S25" s="198"/>
      <c r="T25" s="198"/>
      <c r="U25" s="198"/>
    </row>
    <row r="26" spans="1:21" s="12" customFormat="1" x14ac:dyDescent="0.25">
      <c r="A26" s="213" t="s">
        <v>453</v>
      </c>
      <c r="B26" s="64">
        <v>5.53</v>
      </c>
      <c r="C26" s="64">
        <v>10.86</v>
      </c>
      <c r="D26" s="64">
        <v>10.11</v>
      </c>
      <c r="E26" s="64">
        <v>4.99</v>
      </c>
      <c r="F26" s="64">
        <v>3.62</v>
      </c>
      <c r="G26" s="64">
        <v>16.22</v>
      </c>
      <c r="H26" s="64">
        <v>6.51</v>
      </c>
      <c r="I26" s="64">
        <v>0.7</v>
      </c>
      <c r="J26" s="64">
        <v>0.19</v>
      </c>
      <c r="K26" s="64">
        <v>298.51</v>
      </c>
      <c r="L26" s="64">
        <v>23.22</v>
      </c>
      <c r="M26" s="64">
        <v>97.5</v>
      </c>
      <c r="N26" s="64">
        <v>90.6</v>
      </c>
      <c r="O26" s="64">
        <v>0</v>
      </c>
      <c r="P26" s="64">
        <v>0.17</v>
      </c>
      <c r="Q26" s="64">
        <v>9.01</v>
      </c>
      <c r="R26" s="198"/>
      <c r="S26" s="198"/>
      <c r="T26" s="198"/>
      <c r="U26" s="198"/>
    </row>
    <row r="27" spans="1:21" s="12" customFormat="1" x14ac:dyDescent="0.25">
      <c r="A27" s="213" t="s">
        <v>454</v>
      </c>
      <c r="B27" s="64">
        <v>5.58</v>
      </c>
      <c r="C27" s="64">
        <v>10.89</v>
      </c>
      <c r="D27" s="64">
        <v>10.17</v>
      </c>
      <c r="E27" s="64">
        <v>5.29</v>
      </c>
      <c r="F27" s="64">
        <v>3.51</v>
      </c>
      <c r="G27" s="64">
        <v>14.27</v>
      </c>
      <c r="H27" s="64">
        <v>5.03</v>
      </c>
      <c r="I27" s="64">
        <v>0.68</v>
      </c>
      <c r="J27" s="64">
        <v>0.2</v>
      </c>
      <c r="K27" s="64">
        <v>287.38</v>
      </c>
      <c r="L27" s="64">
        <v>23.22</v>
      </c>
      <c r="M27" s="64">
        <v>97.45</v>
      </c>
      <c r="N27" s="64">
        <v>90.6</v>
      </c>
      <c r="O27" s="64">
        <v>0</v>
      </c>
      <c r="P27" s="64">
        <v>0.15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3" t="s">
        <v>455</v>
      </c>
      <c r="B28" s="64">
        <v>5.58</v>
      </c>
      <c r="C28" s="64">
        <v>10.85</v>
      </c>
      <c r="D28" s="64">
        <v>10.14</v>
      </c>
      <c r="E28" s="64">
        <v>4.9800000000000004</v>
      </c>
      <c r="F28" s="64">
        <v>3.45</v>
      </c>
      <c r="G28" s="64">
        <v>13.64</v>
      </c>
      <c r="H28" s="64">
        <v>4.5599999999999996</v>
      </c>
      <c r="I28" s="64">
        <v>0.65</v>
      </c>
      <c r="J28" s="64">
        <v>0.22</v>
      </c>
      <c r="K28" s="64">
        <v>292.16000000000003</v>
      </c>
      <c r="L28" s="64">
        <v>23.31</v>
      </c>
      <c r="M28" s="64">
        <v>97.46</v>
      </c>
      <c r="N28" s="64">
        <v>90.8</v>
      </c>
      <c r="O28" s="64">
        <v>0</v>
      </c>
      <c r="P28" s="64">
        <v>0.16</v>
      </c>
      <c r="Q28" s="64">
        <v>8.98</v>
      </c>
      <c r="R28" s="198"/>
      <c r="S28" s="198"/>
      <c r="T28" s="198"/>
      <c r="U28" s="198"/>
    </row>
    <row r="29" spans="1:21" s="12" customFormat="1" x14ac:dyDescent="0.25">
      <c r="A29" s="213" t="s">
        <v>456</v>
      </c>
      <c r="B29" s="64">
        <v>5.65</v>
      </c>
      <c r="C29" s="64">
        <v>11.09</v>
      </c>
      <c r="D29" s="64">
        <v>10.33</v>
      </c>
      <c r="E29" s="64">
        <v>5.27</v>
      </c>
      <c r="F29" s="64">
        <v>2.74</v>
      </c>
      <c r="G29" s="64">
        <v>13.64</v>
      </c>
      <c r="H29" s="64">
        <v>4.5599999999999996</v>
      </c>
      <c r="I29" s="64">
        <v>0.63</v>
      </c>
      <c r="J29" s="64">
        <v>0.16</v>
      </c>
      <c r="K29" s="64">
        <v>296.95</v>
      </c>
      <c r="L29" s="64">
        <v>23.23</v>
      </c>
      <c r="M29" s="64">
        <v>98.03</v>
      </c>
      <c r="N29" s="64">
        <v>91.6</v>
      </c>
      <c r="O29" s="64">
        <v>0</v>
      </c>
      <c r="P29" s="64">
        <v>0.15</v>
      </c>
      <c r="Q29" s="64">
        <v>9</v>
      </c>
      <c r="R29" s="198"/>
      <c r="S29" s="198"/>
      <c r="T29" s="198"/>
      <c r="U29" s="198"/>
    </row>
    <row r="30" spans="1:21" s="12" customFormat="1" x14ac:dyDescent="0.25">
      <c r="A30" s="213" t="s">
        <v>457</v>
      </c>
      <c r="B30" s="64">
        <v>5.78</v>
      </c>
      <c r="C30" s="64">
        <v>11.05</v>
      </c>
      <c r="D30" s="64">
        <v>10.41</v>
      </c>
      <c r="E30" s="64">
        <v>5.04</v>
      </c>
      <c r="F30" s="64">
        <v>3.92</v>
      </c>
      <c r="G30" s="64">
        <v>13.64</v>
      </c>
      <c r="H30" s="64">
        <v>4.5599999999999996</v>
      </c>
      <c r="I30" s="64">
        <v>0.61</v>
      </c>
      <c r="J30" s="64">
        <v>0.16</v>
      </c>
      <c r="K30" s="64">
        <v>289.89</v>
      </c>
      <c r="L30" s="64">
        <v>23.22</v>
      </c>
      <c r="M30" s="64">
        <v>97.34</v>
      </c>
      <c r="N30" s="64">
        <v>98.5</v>
      </c>
      <c r="O30" s="64">
        <v>0</v>
      </c>
      <c r="P30" s="64">
        <v>0.16</v>
      </c>
      <c r="Q30" s="64">
        <v>9</v>
      </c>
      <c r="R30" s="198"/>
      <c r="S30" s="198"/>
      <c r="T30" s="198"/>
      <c r="U30" s="198"/>
    </row>
    <row r="31" spans="1:21" s="12" customFormat="1" x14ac:dyDescent="0.25">
      <c r="A31" s="213" t="s">
        <v>458</v>
      </c>
      <c r="B31" s="64">
        <v>5.89</v>
      </c>
      <c r="C31" s="64">
        <v>11.27</v>
      </c>
      <c r="D31" s="64">
        <v>10.62</v>
      </c>
      <c r="E31" s="64">
        <v>4.8899999999999997</v>
      </c>
      <c r="F31" s="64">
        <v>2.64</v>
      </c>
      <c r="G31" s="64">
        <v>13.67</v>
      </c>
      <c r="H31" s="64">
        <v>3.52</v>
      </c>
      <c r="I31" s="64">
        <v>0.61</v>
      </c>
      <c r="J31" s="64">
        <v>0.15</v>
      </c>
      <c r="K31" s="64">
        <v>287.52999999999997</v>
      </c>
      <c r="L31" s="64">
        <v>23.32</v>
      </c>
      <c r="M31" s="64">
        <v>97.8</v>
      </c>
      <c r="N31" s="64">
        <v>108.4</v>
      </c>
      <c r="O31" s="64">
        <v>0</v>
      </c>
      <c r="P31" s="64">
        <v>0.15</v>
      </c>
      <c r="Q31" s="64">
        <v>9</v>
      </c>
      <c r="R31" s="198"/>
      <c r="S31" s="198"/>
      <c r="T31" s="198"/>
      <c r="U31" s="198"/>
    </row>
    <row r="32" spans="1:21" s="12" customFormat="1" x14ac:dyDescent="0.25">
      <c r="A32" s="213" t="s">
        <v>459</v>
      </c>
      <c r="B32" s="64">
        <v>6.19</v>
      </c>
      <c r="C32" s="64">
        <v>11.2</v>
      </c>
      <c r="D32" s="64">
        <v>10.81</v>
      </c>
      <c r="E32" s="64">
        <v>4.92</v>
      </c>
      <c r="F32" s="64">
        <v>3.57</v>
      </c>
      <c r="G32" s="64">
        <v>13.69</v>
      </c>
      <c r="H32" s="64">
        <v>3.19</v>
      </c>
      <c r="I32" s="64">
        <v>0.62</v>
      </c>
      <c r="J32" s="64">
        <v>0.18</v>
      </c>
      <c r="K32" s="64">
        <v>289.29000000000002</v>
      </c>
      <c r="L32" s="64">
        <v>23.32</v>
      </c>
      <c r="M32" s="64">
        <v>97.77</v>
      </c>
      <c r="N32" s="64">
        <v>97.5</v>
      </c>
      <c r="O32" s="64">
        <v>0</v>
      </c>
      <c r="P32" s="64">
        <v>0.15</v>
      </c>
      <c r="Q32" s="64">
        <v>9</v>
      </c>
      <c r="R32" s="198"/>
      <c r="S32" s="198"/>
      <c r="T32" s="198"/>
      <c r="U32" s="198"/>
    </row>
    <row r="33" spans="1:21" s="12" customFormat="1" x14ac:dyDescent="0.25">
      <c r="A33" s="213" t="s">
        <v>460</v>
      </c>
      <c r="B33" s="64">
        <v>6.46</v>
      </c>
      <c r="C33" s="64">
        <v>11.46</v>
      </c>
      <c r="D33" s="64">
        <v>11.17</v>
      </c>
      <c r="E33" s="64">
        <v>4.99</v>
      </c>
      <c r="F33" s="64">
        <v>2.76</v>
      </c>
      <c r="G33" s="64">
        <v>13.69</v>
      </c>
      <c r="H33" s="64">
        <v>3.19</v>
      </c>
      <c r="I33" s="64">
        <v>0.63</v>
      </c>
      <c r="J33" s="64">
        <v>0.19</v>
      </c>
      <c r="K33" s="64">
        <v>293.36</v>
      </c>
      <c r="L33" s="64">
        <v>23.29</v>
      </c>
      <c r="M33" s="64">
        <v>97.77</v>
      </c>
      <c r="N33" s="64">
        <v>99.7</v>
      </c>
      <c r="O33" s="64">
        <v>0</v>
      </c>
      <c r="P33" s="64">
        <v>0.17</v>
      </c>
      <c r="Q33" s="64">
        <v>9</v>
      </c>
      <c r="R33" s="198"/>
      <c r="S33" s="198"/>
      <c r="T33" s="198"/>
      <c r="U33" s="198"/>
    </row>
    <row r="34" spans="1:21" s="12" customFormat="1" x14ac:dyDescent="0.25">
      <c r="A34" s="213" t="s">
        <v>461</v>
      </c>
      <c r="B34" s="64">
        <v>6.74</v>
      </c>
      <c r="C34" s="64">
        <v>11.51</v>
      </c>
      <c r="D34" s="64">
        <v>11.42</v>
      </c>
      <c r="E34" s="64">
        <v>4.91</v>
      </c>
      <c r="F34" s="64">
        <v>3.53</v>
      </c>
      <c r="G34" s="64">
        <v>13.69</v>
      </c>
      <c r="H34" s="64">
        <v>3.19</v>
      </c>
      <c r="I34" s="64">
        <v>0.64</v>
      </c>
      <c r="J34" s="64">
        <v>0.23</v>
      </c>
      <c r="K34" s="64">
        <v>290.3</v>
      </c>
      <c r="L34" s="64">
        <v>23.21</v>
      </c>
      <c r="M34" s="64">
        <v>97.73</v>
      </c>
      <c r="N34" s="64">
        <v>103.7</v>
      </c>
      <c r="O34" s="64">
        <v>0</v>
      </c>
      <c r="P34" s="64">
        <v>0.16</v>
      </c>
      <c r="Q34" s="64">
        <v>9.02</v>
      </c>
      <c r="R34" s="198"/>
      <c r="S34" s="198"/>
      <c r="T34" s="198"/>
      <c r="U34" s="198"/>
    </row>
    <row r="35" spans="1:21" s="12" customFormat="1" x14ac:dyDescent="0.25">
      <c r="A35" s="213" t="s">
        <v>462</v>
      </c>
      <c r="B35" s="64">
        <v>6.66</v>
      </c>
      <c r="C35" s="64">
        <v>11.59</v>
      </c>
      <c r="D35" s="64">
        <v>11.4</v>
      </c>
      <c r="E35" s="64">
        <v>5.15</v>
      </c>
      <c r="F35" s="64">
        <v>3.43</v>
      </c>
      <c r="G35" s="64">
        <v>15.43</v>
      </c>
      <c r="H35" s="64">
        <v>2.4700000000000002</v>
      </c>
      <c r="I35" s="64">
        <v>0.65</v>
      </c>
      <c r="J35" s="64">
        <v>0.18</v>
      </c>
      <c r="K35" s="64">
        <v>285.36</v>
      </c>
      <c r="L35" s="64">
        <v>23.13</v>
      </c>
      <c r="M35" s="64">
        <v>97.76</v>
      </c>
      <c r="N35" s="64">
        <v>112.8</v>
      </c>
      <c r="O35" s="64">
        <v>0</v>
      </c>
      <c r="P35" s="64">
        <v>0.18</v>
      </c>
      <c r="Q35" s="64">
        <v>9.02</v>
      </c>
      <c r="R35" s="198"/>
      <c r="S35" s="198"/>
      <c r="T35" s="198"/>
      <c r="U35" s="198"/>
    </row>
    <row r="36" spans="1:21" s="12" customFormat="1" x14ac:dyDescent="0.25">
      <c r="A36" s="213" t="s">
        <v>463</v>
      </c>
      <c r="B36" s="64">
        <v>6.69</v>
      </c>
      <c r="C36" s="64">
        <v>11.82</v>
      </c>
      <c r="D36" s="64">
        <v>11.54</v>
      </c>
      <c r="E36" s="64">
        <v>5.32</v>
      </c>
      <c r="F36" s="64">
        <v>3.47</v>
      </c>
      <c r="G36" s="64">
        <v>16</v>
      </c>
      <c r="H36" s="64">
        <v>2.23</v>
      </c>
      <c r="I36" s="64">
        <v>0.67</v>
      </c>
      <c r="J36" s="64">
        <v>0.16</v>
      </c>
      <c r="K36" s="64">
        <v>290.20999999999998</v>
      </c>
      <c r="L36" s="64">
        <v>23.01</v>
      </c>
      <c r="M36" s="64">
        <v>97.75</v>
      </c>
      <c r="N36" s="64">
        <v>100.3</v>
      </c>
      <c r="O36" s="64">
        <v>0</v>
      </c>
      <c r="P36" s="64">
        <v>0.17</v>
      </c>
      <c r="Q36" s="64">
        <v>9.0500000000000007</v>
      </c>
      <c r="R36" s="198"/>
      <c r="S36" s="198"/>
      <c r="T36" s="198"/>
      <c r="U36" s="198"/>
    </row>
    <row r="37" spans="1:21" s="12" customFormat="1" x14ac:dyDescent="0.25">
      <c r="A37" s="213" t="s">
        <v>464</v>
      </c>
      <c r="B37" s="64">
        <v>6.8</v>
      </c>
      <c r="C37" s="64">
        <v>11.63</v>
      </c>
      <c r="D37" s="64">
        <v>11.53</v>
      </c>
      <c r="E37" s="64">
        <v>4.8499999999999996</v>
      </c>
      <c r="F37" s="64">
        <v>3.49</v>
      </c>
      <c r="G37" s="64">
        <v>16</v>
      </c>
      <c r="H37" s="64">
        <v>2.23</v>
      </c>
      <c r="I37" s="64">
        <v>0.68</v>
      </c>
      <c r="J37" s="64">
        <v>0.2</v>
      </c>
      <c r="K37" s="64">
        <v>290.92</v>
      </c>
      <c r="L37" s="64">
        <v>23</v>
      </c>
      <c r="M37" s="64">
        <v>97.76</v>
      </c>
      <c r="N37" s="64">
        <v>112.9</v>
      </c>
      <c r="O37" s="64">
        <v>0</v>
      </c>
      <c r="P37" s="64">
        <v>0.15</v>
      </c>
      <c r="Q37" s="64">
        <v>9.07</v>
      </c>
      <c r="R37" s="198"/>
      <c r="S37" s="198"/>
      <c r="T37" s="198"/>
      <c r="U37" s="198"/>
    </row>
    <row r="38" spans="1:21" s="12" customFormat="1" x14ac:dyDescent="0.25">
      <c r="A38" s="213" t="s">
        <v>465</v>
      </c>
      <c r="B38" s="64">
        <v>7.1</v>
      </c>
      <c r="C38" s="64">
        <v>12.03</v>
      </c>
      <c r="D38" s="64">
        <v>11.98</v>
      </c>
      <c r="E38" s="64">
        <v>4.9000000000000004</v>
      </c>
      <c r="F38" s="64">
        <v>3.54</v>
      </c>
      <c r="G38" s="64">
        <v>16</v>
      </c>
      <c r="H38" s="64">
        <v>2.23</v>
      </c>
      <c r="I38" s="64">
        <v>0.71</v>
      </c>
      <c r="J38" s="64">
        <v>0.21</v>
      </c>
      <c r="K38" s="64">
        <v>284.38</v>
      </c>
      <c r="L38" s="64">
        <v>23</v>
      </c>
      <c r="M38" s="64">
        <v>97.76</v>
      </c>
      <c r="N38" s="64">
        <v>118.3</v>
      </c>
      <c r="O38" s="64">
        <v>0</v>
      </c>
      <c r="P38" s="64">
        <v>0.19</v>
      </c>
      <c r="Q38" s="64">
        <v>9.08</v>
      </c>
      <c r="R38" s="198"/>
      <c r="S38" s="198"/>
      <c r="T38" s="198"/>
      <c r="U38" s="198"/>
    </row>
    <row r="39" spans="1:21" s="12" customFormat="1" x14ac:dyDescent="0.25">
      <c r="A39" s="213" t="s">
        <v>466</v>
      </c>
      <c r="B39" s="64">
        <v>7.18</v>
      </c>
      <c r="C39" s="64">
        <v>12.02</v>
      </c>
      <c r="D39" s="64">
        <v>12.04</v>
      </c>
      <c r="E39" s="64">
        <v>5.22</v>
      </c>
      <c r="F39" s="64">
        <v>3.46</v>
      </c>
      <c r="G39" s="64">
        <v>18.38</v>
      </c>
      <c r="H39" s="64">
        <v>5.84</v>
      </c>
      <c r="I39" s="64">
        <v>0.73</v>
      </c>
      <c r="J39" s="64">
        <v>0.26</v>
      </c>
      <c r="K39" s="64">
        <v>292.67</v>
      </c>
      <c r="L39" s="64">
        <v>23.01</v>
      </c>
      <c r="M39" s="64">
        <v>97.75</v>
      </c>
      <c r="N39" s="64">
        <v>118.3</v>
      </c>
      <c r="O39" s="64">
        <v>0</v>
      </c>
      <c r="P39" s="64">
        <v>0.19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3" t="s">
        <v>467</v>
      </c>
      <c r="B40" s="64">
        <v>7.02</v>
      </c>
      <c r="C40" s="64">
        <v>12.08</v>
      </c>
      <c r="D40" s="64">
        <v>11.94</v>
      </c>
      <c r="E40" s="64">
        <v>3.15</v>
      </c>
      <c r="F40" s="64">
        <v>3.32</v>
      </c>
      <c r="G40" s="64">
        <v>19.149999999999999</v>
      </c>
      <c r="H40" s="64">
        <v>7.01</v>
      </c>
      <c r="I40" s="64">
        <v>0.75</v>
      </c>
      <c r="J40" s="64">
        <v>0.3</v>
      </c>
      <c r="K40" s="64">
        <v>289.5</v>
      </c>
      <c r="L40" s="64">
        <v>23.14</v>
      </c>
      <c r="M40" s="64">
        <v>97.77</v>
      </c>
      <c r="N40" s="64">
        <v>139.9</v>
      </c>
      <c r="O40" s="64">
        <v>0</v>
      </c>
      <c r="P40" s="64">
        <v>0.19</v>
      </c>
      <c r="Q40" s="64">
        <v>9.08</v>
      </c>
      <c r="R40" s="198"/>
      <c r="S40" s="198"/>
      <c r="T40" s="198"/>
      <c r="U40" s="198"/>
    </row>
    <row r="41" spans="1:21" s="12" customFormat="1" x14ac:dyDescent="0.25">
      <c r="A41" s="213" t="s">
        <v>468</v>
      </c>
      <c r="B41" s="64">
        <v>6.82</v>
      </c>
      <c r="C41" s="64">
        <v>12.4</v>
      </c>
      <c r="D41" s="64">
        <v>11.95</v>
      </c>
      <c r="E41" s="64">
        <v>3.56</v>
      </c>
      <c r="F41" s="64">
        <v>3.4</v>
      </c>
      <c r="G41" s="64">
        <v>19.149999999999999</v>
      </c>
      <c r="H41" s="64">
        <v>7.01</v>
      </c>
      <c r="I41" s="64">
        <v>0.77</v>
      </c>
      <c r="J41" s="64">
        <v>0.27</v>
      </c>
      <c r="K41" s="64">
        <v>287.92</v>
      </c>
      <c r="L41" s="64">
        <v>23.23</v>
      </c>
      <c r="M41" s="64">
        <v>97.77</v>
      </c>
      <c r="N41" s="64">
        <v>139.19999999999999</v>
      </c>
      <c r="O41" s="64">
        <v>0</v>
      </c>
      <c r="P41" s="64">
        <v>0.21</v>
      </c>
      <c r="Q41" s="64">
        <v>9.09</v>
      </c>
      <c r="R41" s="198"/>
      <c r="S41" s="198"/>
      <c r="T41" s="198"/>
      <c r="U41" s="198"/>
    </row>
    <row r="42" spans="1:21" s="12" customFormat="1" x14ac:dyDescent="0.25">
      <c r="A42" s="213" t="s">
        <v>469</v>
      </c>
      <c r="B42" s="64">
        <v>6.69</v>
      </c>
      <c r="C42" s="64">
        <v>12.6</v>
      </c>
      <c r="D42" s="64">
        <v>11.94</v>
      </c>
      <c r="E42" s="64">
        <v>3.67</v>
      </c>
      <c r="F42" s="64">
        <v>3.7</v>
      </c>
      <c r="G42" s="64">
        <v>19.149999999999999</v>
      </c>
      <c r="H42" s="64">
        <v>7.01</v>
      </c>
      <c r="I42" s="64">
        <v>0.78</v>
      </c>
      <c r="J42" s="64">
        <v>0.25</v>
      </c>
      <c r="K42" s="64">
        <v>292.12</v>
      </c>
      <c r="L42" s="64">
        <v>23.22</v>
      </c>
      <c r="M42" s="64">
        <v>97.78</v>
      </c>
      <c r="N42" s="64">
        <v>121.7</v>
      </c>
      <c r="O42" s="64">
        <v>0.2</v>
      </c>
      <c r="P42" s="64">
        <v>0.21</v>
      </c>
      <c r="Q42" s="64">
        <v>9.09</v>
      </c>
      <c r="R42" s="198"/>
      <c r="S42" s="198"/>
      <c r="T42" s="198"/>
      <c r="U42" s="198"/>
    </row>
    <row r="43" spans="1:21" s="12" customFormat="1" x14ac:dyDescent="0.25">
      <c r="A43" s="213" t="s">
        <v>470</v>
      </c>
      <c r="B43" s="64">
        <v>6.58</v>
      </c>
      <c r="C43" s="64">
        <v>12.78</v>
      </c>
      <c r="D43" s="64">
        <v>11.96</v>
      </c>
      <c r="E43" s="64">
        <v>3.71</v>
      </c>
      <c r="F43" s="64">
        <v>3.85</v>
      </c>
      <c r="G43" s="64">
        <v>17.5</v>
      </c>
      <c r="H43" s="64">
        <v>5.42</v>
      </c>
      <c r="I43" s="64">
        <v>0.79</v>
      </c>
      <c r="J43" s="64">
        <v>0.25</v>
      </c>
      <c r="K43" s="64">
        <v>293.70999999999998</v>
      </c>
      <c r="L43" s="64">
        <v>23.21</v>
      </c>
      <c r="M43" s="64">
        <v>97.78</v>
      </c>
      <c r="N43" s="64">
        <v>121.3</v>
      </c>
      <c r="O43" s="64">
        <v>0</v>
      </c>
      <c r="P43" s="64">
        <v>0.23</v>
      </c>
      <c r="Q43" s="64">
        <v>9.07</v>
      </c>
      <c r="R43" s="198"/>
      <c r="S43" s="198"/>
      <c r="T43" s="198"/>
      <c r="U43" s="198"/>
    </row>
    <row r="44" spans="1:21" s="12" customFormat="1" x14ac:dyDescent="0.25">
      <c r="A44" s="213" t="s">
        <v>471</v>
      </c>
      <c r="B44" s="64">
        <v>6.72</v>
      </c>
      <c r="C44" s="64">
        <v>12.94</v>
      </c>
      <c r="D44" s="64">
        <v>12.15</v>
      </c>
      <c r="E44" s="64">
        <v>3.4</v>
      </c>
      <c r="F44" s="64">
        <v>3.06</v>
      </c>
      <c r="G44" s="64">
        <v>16.96</v>
      </c>
      <c r="H44" s="64">
        <v>4.91</v>
      </c>
      <c r="I44" s="64">
        <v>0.82</v>
      </c>
      <c r="J44" s="64">
        <v>0.23</v>
      </c>
      <c r="K44" s="64">
        <v>296.98</v>
      </c>
      <c r="L44" s="64">
        <v>23.26</v>
      </c>
      <c r="M44" s="64">
        <v>97.78</v>
      </c>
      <c r="N44" s="64">
        <v>115</v>
      </c>
      <c r="O44" s="64">
        <v>0</v>
      </c>
      <c r="P44" s="64">
        <v>0.22</v>
      </c>
      <c r="Q44" s="64">
        <v>9.0500000000000007</v>
      </c>
      <c r="R44" s="198"/>
      <c r="S44" s="198"/>
      <c r="T44" s="198"/>
      <c r="U44" s="198"/>
    </row>
    <row r="45" spans="1:21" s="12" customFormat="1" x14ac:dyDescent="0.25">
      <c r="A45" s="213" t="s">
        <v>472</v>
      </c>
      <c r="B45" s="64">
        <v>6.97</v>
      </c>
      <c r="C45" s="64">
        <v>12.58</v>
      </c>
      <c r="D45" s="64">
        <v>12.16</v>
      </c>
      <c r="E45" s="64">
        <v>3.59</v>
      </c>
      <c r="F45" s="64">
        <v>3.97</v>
      </c>
      <c r="G45" s="64">
        <v>16.96</v>
      </c>
      <c r="H45" s="64">
        <v>4.91</v>
      </c>
      <c r="I45" s="64">
        <v>0.84</v>
      </c>
      <c r="J45" s="64">
        <v>0.21</v>
      </c>
      <c r="K45" s="64">
        <v>294.88</v>
      </c>
      <c r="L45" s="64">
        <v>23.24</v>
      </c>
      <c r="M45" s="64">
        <v>97.79</v>
      </c>
      <c r="N45" s="64">
        <v>114.9</v>
      </c>
      <c r="O45" s="64">
        <v>0</v>
      </c>
      <c r="P45" s="64">
        <v>0.22</v>
      </c>
      <c r="Q45" s="64">
        <v>9.0500000000000007</v>
      </c>
      <c r="R45" s="198"/>
      <c r="S45" s="198"/>
      <c r="T45" s="198"/>
      <c r="U45" s="198"/>
    </row>
    <row r="46" spans="1:21" s="12" customFormat="1" x14ac:dyDescent="0.25">
      <c r="A46" s="213" t="s">
        <v>473</v>
      </c>
      <c r="B46" s="64">
        <v>7.31</v>
      </c>
      <c r="C46" s="64">
        <v>12.38</v>
      </c>
      <c r="D46" s="64">
        <v>12.33</v>
      </c>
      <c r="E46" s="64">
        <v>3.43</v>
      </c>
      <c r="F46" s="64">
        <v>3.22</v>
      </c>
      <c r="G46" s="64">
        <v>16.96</v>
      </c>
      <c r="H46" s="64">
        <v>4.91</v>
      </c>
      <c r="I46" s="64">
        <v>0.85</v>
      </c>
      <c r="J46" s="64">
        <v>0.21</v>
      </c>
      <c r="K46" s="64">
        <v>292.45999999999998</v>
      </c>
      <c r="L46" s="64">
        <v>23.27</v>
      </c>
      <c r="M46" s="64">
        <v>97.8</v>
      </c>
      <c r="N46" s="64">
        <v>112.5</v>
      </c>
      <c r="O46" s="64">
        <v>0.2</v>
      </c>
      <c r="P46" s="64">
        <v>0.24</v>
      </c>
      <c r="Q46" s="64">
        <v>9.0500000000000007</v>
      </c>
      <c r="R46" s="198"/>
      <c r="S46" s="198"/>
      <c r="T46" s="198"/>
      <c r="U46" s="198"/>
    </row>
    <row r="47" spans="1:21" s="12" customFormat="1" x14ac:dyDescent="0.25">
      <c r="A47" s="213" t="s">
        <v>474</v>
      </c>
      <c r="B47" s="64">
        <v>7.76</v>
      </c>
      <c r="C47" s="64">
        <v>12.32</v>
      </c>
      <c r="D47" s="64">
        <v>12.66</v>
      </c>
      <c r="E47" s="64">
        <v>3.38</v>
      </c>
      <c r="F47" s="64">
        <v>3.47</v>
      </c>
      <c r="G47" s="64">
        <v>16.93</v>
      </c>
      <c r="H47" s="64">
        <v>6.71</v>
      </c>
      <c r="I47" s="64">
        <v>0.88</v>
      </c>
      <c r="J47" s="64">
        <v>0.18</v>
      </c>
      <c r="K47" s="64">
        <v>292.99</v>
      </c>
      <c r="L47" s="64">
        <v>23.24</v>
      </c>
      <c r="M47" s="64">
        <v>97.79</v>
      </c>
      <c r="N47" s="64">
        <v>111.8</v>
      </c>
      <c r="O47" s="64">
        <v>0</v>
      </c>
      <c r="P47" s="64">
        <v>0.24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3" t="s">
        <v>475</v>
      </c>
      <c r="B48" s="64">
        <v>8.01</v>
      </c>
      <c r="C48" s="64">
        <v>12</v>
      </c>
      <c r="D48" s="64">
        <v>12.69</v>
      </c>
      <c r="E48" s="64">
        <v>3.45</v>
      </c>
      <c r="F48" s="64">
        <v>3.36</v>
      </c>
      <c r="G48" s="64">
        <v>16.91</v>
      </c>
      <c r="H48" s="64">
        <v>7.29</v>
      </c>
      <c r="I48" s="64">
        <v>0.9</v>
      </c>
      <c r="J48" s="64">
        <v>0.16</v>
      </c>
      <c r="K48" s="64">
        <v>292.83999999999997</v>
      </c>
      <c r="L48" s="64">
        <v>23.21</v>
      </c>
      <c r="M48" s="64">
        <v>97.8</v>
      </c>
      <c r="N48" s="64">
        <v>111.8</v>
      </c>
      <c r="O48" s="64">
        <v>0</v>
      </c>
      <c r="P48" s="64">
        <v>0.27</v>
      </c>
      <c r="Q48" s="64">
        <v>9.07</v>
      </c>
      <c r="R48" s="198"/>
      <c r="S48" s="198"/>
      <c r="T48" s="198"/>
      <c r="U48" s="198"/>
    </row>
    <row r="49" spans="1:21" s="12" customFormat="1" x14ac:dyDescent="0.25">
      <c r="A49" s="213" t="s">
        <v>476</v>
      </c>
      <c r="B49" s="64">
        <v>8.5299999999999994</v>
      </c>
      <c r="C49" s="64">
        <v>12.04</v>
      </c>
      <c r="D49" s="64">
        <v>13.13</v>
      </c>
      <c r="E49" s="64">
        <v>3.41</v>
      </c>
      <c r="F49" s="64">
        <v>3.03</v>
      </c>
      <c r="G49" s="64">
        <v>16.91</v>
      </c>
      <c r="H49" s="64">
        <v>7.29</v>
      </c>
      <c r="I49" s="64">
        <v>0.92</v>
      </c>
      <c r="J49" s="64">
        <v>0.18</v>
      </c>
      <c r="K49" s="64">
        <v>281.24</v>
      </c>
      <c r="L49" s="64">
        <v>23.18</v>
      </c>
      <c r="M49" s="64">
        <v>97.8</v>
      </c>
      <c r="N49" s="64">
        <v>111.3</v>
      </c>
      <c r="O49" s="64">
        <v>0</v>
      </c>
      <c r="P49" s="64">
        <v>0.26</v>
      </c>
      <c r="Q49" s="64">
        <v>9.08</v>
      </c>
      <c r="R49" s="198"/>
      <c r="S49" s="198"/>
      <c r="T49" s="198"/>
      <c r="U49" s="198"/>
    </row>
    <row r="50" spans="1:21" s="12" customFormat="1" x14ac:dyDescent="0.25">
      <c r="A50" s="213" t="s">
        <v>477</v>
      </c>
      <c r="B50" s="64">
        <v>8.59</v>
      </c>
      <c r="C50" s="64">
        <v>11.94</v>
      </c>
      <c r="D50" s="64">
        <v>13.13</v>
      </c>
      <c r="E50" s="64">
        <v>3.68</v>
      </c>
      <c r="F50" s="64">
        <v>3.95</v>
      </c>
      <c r="G50" s="64">
        <v>16.91</v>
      </c>
      <c r="H50" s="64">
        <v>7.29</v>
      </c>
      <c r="I50" s="64">
        <v>0.97</v>
      </c>
      <c r="J50" s="64">
        <v>0.18</v>
      </c>
      <c r="K50" s="64">
        <v>288.67</v>
      </c>
      <c r="L50" s="64">
        <v>23.16</v>
      </c>
      <c r="M50" s="64">
        <v>97.81</v>
      </c>
      <c r="N50" s="64">
        <v>112.6</v>
      </c>
      <c r="O50" s="64">
        <v>0.2</v>
      </c>
      <c r="P50" s="64">
        <v>0.28000000000000003</v>
      </c>
      <c r="Q50" s="64">
        <v>9.09</v>
      </c>
      <c r="R50" s="198"/>
      <c r="S50" s="198"/>
      <c r="T50" s="198"/>
      <c r="U50" s="198"/>
    </row>
    <row r="51" spans="1:21" s="12" customFormat="1" x14ac:dyDescent="0.25">
      <c r="A51" s="213" t="s">
        <v>478</v>
      </c>
      <c r="B51" s="64">
        <v>8.81</v>
      </c>
      <c r="C51" s="64">
        <v>12.18</v>
      </c>
      <c r="D51" s="64">
        <v>13.43</v>
      </c>
      <c r="E51" s="64">
        <v>3.66</v>
      </c>
      <c r="F51" s="64">
        <v>3.03</v>
      </c>
      <c r="G51" s="64">
        <v>16.12</v>
      </c>
      <c r="H51" s="64">
        <v>7.15</v>
      </c>
      <c r="I51" s="64">
        <v>0.99</v>
      </c>
      <c r="J51" s="64">
        <v>0.23</v>
      </c>
      <c r="K51" s="64">
        <v>291.83</v>
      </c>
      <c r="L51" s="64">
        <v>23.17</v>
      </c>
      <c r="M51" s="64">
        <v>97.8</v>
      </c>
      <c r="N51" s="64">
        <v>114.3</v>
      </c>
      <c r="O51" s="64">
        <v>0</v>
      </c>
      <c r="P51" s="64">
        <v>0.28999999999999998</v>
      </c>
      <c r="Q51" s="64">
        <v>9.1</v>
      </c>
      <c r="R51" s="198"/>
      <c r="S51" s="198"/>
      <c r="T51" s="198"/>
      <c r="U51" s="198"/>
    </row>
    <row r="52" spans="1:21" s="12" customFormat="1" x14ac:dyDescent="0.25">
      <c r="A52" s="213" t="s">
        <v>479</v>
      </c>
      <c r="B52" s="64">
        <v>9.2799999999999994</v>
      </c>
      <c r="C52" s="64">
        <v>12.05</v>
      </c>
      <c r="D52" s="64">
        <v>13.74</v>
      </c>
      <c r="E52" s="64">
        <v>3.4</v>
      </c>
      <c r="F52" s="64">
        <v>4.04</v>
      </c>
      <c r="G52" s="64">
        <v>15.86</v>
      </c>
      <c r="H52" s="64">
        <v>7.11</v>
      </c>
      <c r="I52" s="64">
        <v>0.94</v>
      </c>
      <c r="J52" s="64">
        <v>0.18</v>
      </c>
      <c r="K52" s="64">
        <v>281.89999999999998</v>
      </c>
      <c r="L52" s="64">
        <v>23.2</v>
      </c>
      <c r="M52" s="64">
        <v>97.8</v>
      </c>
      <c r="N52" s="64">
        <v>112.8</v>
      </c>
      <c r="O52" s="64">
        <v>0.2</v>
      </c>
      <c r="P52" s="64">
        <v>0.31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13" t="s">
        <v>480</v>
      </c>
      <c r="B53" s="64">
        <v>12.29</v>
      </c>
      <c r="C53" s="64">
        <v>14.34</v>
      </c>
      <c r="D53" s="64">
        <v>17.350000000000001</v>
      </c>
      <c r="E53" s="64">
        <v>3.46</v>
      </c>
      <c r="F53" s="64">
        <v>4.43</v>
      </c>
      <c r="G53" s="64">
        <v>15.86</v>
      </c>
      <c r="H53" s="64">
        <v>7.11</v>
      </c>
      <c r="I53" s="64">
        <v>0.91</v>
      </c>
      <c r="J53" s="64">
        <v>0.16</v>
      </c>
      <c r="K53" s="64">
        <v>284.76</v>
      </c>
      <c r="L53" s="64">
        <v>23.19</v>
      </c>
      <c r="M53" s="64">
        <v>97.79</v>
      </c>
      <c r="N53" s="64">
        <v>113.8</v>
      </c>
      <c r="O53" s="64">
        <v>0</v>
      </c>
      <c r="P53" s="64">
        <v>0.38</v>
      </c>
      <c r="Q53" s="64">
        <v>9.1300000000000008</v>
      </c>
      <c r="R53" s="198"/>
      <c r="S53" s="198"/>
      <c r="T53" s="198"/>
      <c r="U53" s="198"/>
    </row>
    <row r="54" spans="1:21" s="12" customFormat="1" x14ac:dyDescent="0.25">
      <c r="A54" s="213" t="s">
        <v>481</v>
      </c>
      <c r="B54" s="64">
        <v>13.68</v>
      </c>
      <c r="C54" s="64">
        <v>13.37</v>
      </c>
      <c r="D54" s="64">
        <v>17.95</v>
      </c>
      <c r="E54" s="64">
        <v>3.35</v>
      </c>
      <c r="F54" s="64">
        <v>4.37</v>
      </c>
      <c r="G54" s="64">
        <v>15.86</v>
      </c>
      <c r="H54" s="64">
        <v>7.11</v>
      </c>
      <c r="I54" s="64">
        <v>0.94</v>
      </c>
      <c r="J54" s="64">
        <v>0.15</v>
      </c>
      <c r="K54" s="64">
        <v>285.33999999999997</v>
      </c>
      <c r="L54" s="64">
        <v>23.15</v>
      </c>
      <c r="M54" s="64">
        <v>97.78</v>
      </c>
      <c r="N54" s="64">
        <v>116.1</v>
      </c>
      <c r="O54" s="64">
        <v>0.4</v>
      </c>
      <c r="P54" s="64">
        <v>0.37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3" t="s">
        <v>482</v>
      </c>
      <c r="B55" s="64">
        <v>12.33</v>
      </c>
      <c r="C55" s="64">
        <v>13.32</v>
      </c>
      <c r="D55" s="64">
        <v>16.84</v>
      </c>
      <c r="E55" s="64">
        <v>3.68</v>
      </c>
      <c r="F55" s="64">
        <v>4.38</v>
      </c>
      <c r="G55" s="64">
        <v>19.670000000000002</v>
      </c>
      <c r="H55" s="64">
        <v>11.55</v>
      </c>
      <c r="I55" s="64">
        <v>0.98</v>
      </c>
      <c r="J55" s="64">
        <v>0.19</v>
      </c>
      <c r="K55" s="64">
        <v>286.33999999999997</v>
      </c>
      <c r="L55" s="64">
        <v>23.15</v>
      </c>
      <c r="M55" s="64">
        <v>97.79</v>
      </c>
      <c r="N55" s="64">
        <v>110.9</v>
      </c>
      <c r="O55" s="64">
        <v>0</v>
      </c>
      <c r="P55" s="64">
        <v>0.35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3" t="s">
        <v>483</v>
      </c>
      <c r="B56" s="64">
        <v>12.51</v>
      </c>
      <c r="C56" s="64">
        <v>12.98</v>
      </c>
      <c r="D56" s="64">
        <v>16.809999999999999</v>
      </c>
      <c r="E56" s="64">
        <v>3.53</v>
      </c>
      <c r="F56" s="64">
        <v>4.0999999999999996</v>
      </c>
      <c r="G56" s="64">
        <v>20.9</v>
      </c>
      <c r="H56" s="64">
        <v>11.55</v>
      </c>
      <c r="I56" s="64">
        <v>0.99</v>
      </c>
      <c r="J56" s="64">
        <v>0.13</v>
      </c>
      <c r="K56" s="64">
        <v>306.89999999999998</v>
      </c>
      <c r="L56" s="64">
        <v>23.12</v>
      </c>
      <c r="M56" s="64">
        <v>97.59</v>
      </c>
      <c r="N56" s="64">
        <v>105.8</v>
      </c>
      <c r="O56" s="64">
        <v>0.2</v>
      </c>
      <c r="P56" s="64">
        <v>0.33</v>
      </c>
      <c r="Q56" s="64">
        <v>9.23</v>
      </c>
      <c r="R56" s="198"/>
      <c r="S56" s="198"/>
      <c r="T56" s="198"/>
      <c r="U56" s="198"/>
    </row>
    <row r="57" spans="1:21" s="12" customFormat="1" x14ac:dyDescent="0.25">
      <c r="A57" s="213" t="s">
        <v>484</v>
      </c>
      <c r="B57" s="64">
        <v>13.55</v>
      </c>
      <c r="C57" s="64">
        <v>13.03</v>
      </c>
      <c r="D57" s="64">
        <v>17.670000000000002</v>
      </c>
      <c r="E57" s="64">
        <v>3.44</v>
      </c>
      <c r="F57" s="64">
        <v>4.84</v>
      </c>
      <c r="G57" s="64">
        <v>20.9</v>
      </c>
      <c r="H57" s="64">
        <v>11.55</v>
      </c>
      <c r="I57" s="64">
        <v>1</v>
      </c>
      <c r="J57" s="64">
        <v>0.15</v>
      </c>
      <c r="K57" s="64">
        <v>291.54000000000002</v>
      </c>
      <c r="L57" s="64">
        <v>23.13</v>
      </c>
      <c r="M57" s="64">
        <v>97.55</v>
      </c>
      <c r="N57" s="64">
        <v>104.1</v>
      </c>
      <c r="O57" s="64">
        <v>0</v>
      </c>
      <c r="P57" s="64">
        <v>0.37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3" t="s">
        <v>485</v>
      </c>
      <c r="B58" s="64">
        <v>16.440000000000001</v>
      </c>
      <c r="C58" s="64">
        <v>14.55</v>
      </c>
      <c r="D58" s="64">
        <v>20.79</v>
      </c>
      <c r="E58" s="64">
        <v>3.62</v>
      </c>
      <c r="F58" s="64">
        <v>4.4400000000000004</v>
      </c>
      <c r="G58" s="64">
        <v>20.9</v>
      </c>
      <c r="H58" s="64">
        <v>11.55</v>
      </c>
      <c r="I58" s="64">
        <v>1</v>
      </c>
      <c r="J58" s="64">
        <v>0.14000000000000001</v>
      </c>
      <c r="K58" s="64">
        <v>294.12</v>
      </c>
      <c r="L58" s="64">
        <v>23.17</v>
      </c>
      <c r="M58" s="64">
        <v>97.56</v>
      </c>
      <c r="N58" s="64">
        <v>118</v>
      </c>
      <c r="O58" s="64">
        <v>0.2</v>
      </c>
      <c r="P58" s="64">
        <v>0.43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3" t="s">
        <v>486</v>
      </c>
      <c r="B59" s="64">
        <v>14.06</v>
      </c>
      <c r="C59" s="64">
        <v>12.64</v>
      </c>
      <c r="D59" s="64">
        <v>17.88</v>
      </c>
      <c r="E59" s="64">
        <v>3.52</v>
      </c>
      <c r="F59" s="64">
        <v>5.21</v>
      </c>
      <c r="G59" s="64">
        <v>21.98</v>
      </c>
      <c r="H59" s="64">
        <v>11.55</v>
      </c>
      <c r="I59" s="64">
        <v>1</v>
      </c>
      <c r="J59" s="64">
        <v>0.12</v>
      </c>
      <c r="K59" s="64">
        <v>286.94</v>
      </c>
      <c r="L59" s="64">
        <v>23.26</v>
      </c>
      <c r="M59" s="64">
        <v>97.56</v>
      </c>
      <c r="N59" s="64">
        <v>129.30000000000001</v>
      </c>
      <c r="O59" s="64">
        <v>0</v>
      </c>
      <c r="P59" s="64">
        <v>0.36</v>
      </c>
      <c r="Q59" s="64">
        <v>9.2799999999999994</v>
      </c>
      <c r="R59" s="198"/>
      <c r="S59" s="198"/>
      <c r="T59" s="198"/>
      <c r="U59" s="198"/>
    </row>
    <row r="60" spans="1:21" s="12" customFormat="1" x14ac:dyDescent="0.25">
      <c r="A60" s="213" t="s">
        <v>487</v>
      </c>
      <c r="B60" s="64">
        <v>15.61</v>
      </c>
      <c r="C60" s="64">
        <v>12.78</v>
      </c>
      <c r="D60" s="64">
        <v>19.190000000000001</v>
      </c>
      <c r="E60" s="64">
        <v>3.77</v>
      </c>
      <c r="F60" s="64">
        <v>4.4000000000000004</v>
      </c>
      <c r="G60" s="64">
        <v>22.33</v>
      </c>
      <c r="H60" s="64">
        <v>11.55</v>
      </c>
      <c r="I60" s="64">
        <v>1.03</v>
      </c>
      <c r="J60" s="64">
        <v>0.1</v>
      </c>
      <c r="K60" s="64">
        <v>277.39999999999998</v>
      </c>
      <c r="L60" s="64">
        <v>23.28</v>
      </c>
      <c r="M60" s="64">
        <v>97.56</v>
      </c>
      <c r="N60" s="64">
        <v>125.9</v>
      </c>
      <c r="O60" s="64">
        <v>0.2</v>
      </c>
      <c r="P60" s="64">
        <v>0.38</v>
      </c>
      <c r="Q60" s="64">
        <v>9.31</v>
      </c>
      <c r="R60" s="198"/>
      <c r="S60" s="198"/>
      <c r="T60" s="198"/>
      <c r="U60" s="198"/>
    </row>
    <row r="61" spans="1:21" s="12" customFormat="1" x14ac:dyDescent="0.25">
      <c r="A61" s="213" t="s">
        <v>488</v>
      </c>
      <c r="B61" s="64">
        <v>14.67</v>
      </c>
      <c r="C61" s="64">
        <v>11.14</v>
      </c>
      <c r="D61" s="64">
        <v>17.579999999999998</v>
      </c>
      <c r="E61" s="64">
        <v>3.99</v>
      </c>
      <c r="F61" s="64">
        <v>3.44</v>
      </c>
      <c r="G61" s="64">
        <v>22.33</v>
      </c>
      <c r="H61" s="64">
        <v>11.55</v>
      </c>
      <c r="I61" s="64">
        <v>1.05</v>
      </c>
      <c r="J61" s="64">
        <v>0.1</v>
      </c>
      <c r="K61" s="64">
        <v>296.10000000000002</v>
      </c>
      <c r="L61" s="64">
        <v>23.29</v>
      </c>
      <c r="M61" s="64">
        <v>97.56</v>
      </c>
      <c r="N61" s="64">
        <v>152.4</v>
      </c>
      <c r="O61" s="64">
        <v>0</v>
      </c>
      <c r="P61" s="64">
        <v>0.35</v>
      </c>
      <c r="Q61" s="64">
        <v>9.2899999999999991</v>
      </c>
      <c r="R61" s="198"/>
      <c r="S61" s="198"/>
      <c r="T61" s="198"/>
      <c r="U61" s="198"/>
    </row>
    <row r="62" spans="1:21" s="12" customFormat="1" x14ac:dyDescent="0.25">
      <c r="A62" s="213" t="s">
        <v>489</v>
      </c>
      <c r="B62" s="64">
        <v>13.84</v>
      </c>
      <c r="C62" s="64">
        <v>11.11</v>
      </c>
      <c r="D62" s="64">
        <v>16.899999999999999</v>
      </c>
      <c r="E62" s="64">
        <v>3.93</v>
      </c>
      <c r="F62" s="64">
        <v>3.4</v>
      </c>
      <c r="G62" s="64">
        <v>22.33</v>
      </c>
      <c r="H62" s="64">
        <v>11.55</v>
      </c>
      <c r="I62" s="64">
        <v>1.04</v>
      </c>
      <c r="J62" s="64">
        <v>0.11</v>
      </c>
      <c r="K62" s="64">
        <v>282.91000000000003</v>
      </c>
      <c r="L62" s="64">
        <v>23.54</v>
      </c>
      <c r="M62" s="64">
        <v>97.57</v>
      </c>
      <c r="N62" s="64">
        <v>210.1</v>
      </c>
      <c r="O62" s="64">
        <v>0</v>
      </c>
      <c r="P62" s="64">
        <v>0.35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3" t="s">
        <v>490</v>
      </c>
      <c r="B63" s="64">
        <v>13.41</v>
      </c>
      <c r="C63" s="64">
        <v>10.78</v>
      </c>
      <c r="D63" s="64">
        <v>16.38</v>
      </c>
      <c r="E63" s="64">
        <v>4.0199999999999996</v>
      </c>
      <c r="F63" s="64">
        <v>3.92</v>
      </c>
      <c r="G63" s="64">
        <v>18.52</v>
      </c>
      <c r="H63" s="64">
        <v>17.37</v>
      </c>
      <c r="I63" s="64">
        <v>1.03</v>
      </c>
      <c r="J63" s="64">
        <v>0.24</v>
      </c>
      <c r="K63" s="64">
        <v>290.49</v>
      </c>
      <c r="L63" s="64">
        <v>23.77</v>
      </c>
      <c r="M63" s="64">
        <v>97.55</v>
      </c>
      <c r="N63" s="64">
        <v>214.4</v>
      </c>
      <c r="O63" s="64">
        <v>0</v>
      </c>
      <c r="P63" s="64">
        <v>0.36</v>
      </c>
      <c r="Q63" s="64">
        <v>9.25</v>
      </c>
      <c r="R63" s="198"/>
      <c r="S63" s="198"/>
      <c r="T63" s="198"/>
      <c r="U63" s="198"/>
    </row>
    <row r="64" spans="1:21" s="12" customFormat="1" x14ac:dyDescent="0.25">
      <c r="A64" s="213" t="s">
        <v>491</v>
      </c>
      <c r="B64" s="64">
        <v>13.04</v>
      </c>
      <c r="C64" s="64">
        <v>11.23</v>
      </c>
      <c r="D64" s="64">
        <v>16.329999999999998</v>
      </c>
      <c r="E64" s="64">
        <v>3.67</v>
      </c>
      <c r="F64" s="64">
        <v>2.98</v>
      </c>
      <c r="G64" s="64">
        <v>17.29</v>
      </c>
      <c r="H64" s="64">
        <v>15.65</v>
      </c>
      <c r="I64" s="64">
        <v>1.01</v>
      </c>
      <c r="J64" s="64">
        <v>0.21</v>
      </c>
      <c r="K64" s="64">
        <v>278.04000000000002</v>
      </c>
      <c r="L64" s="64">
        <v>23.99</v>
      </c>
      <c r="M64" s="64">
        <v>97.55</v>
      </c>
      <c r="N64" s="64">
        <v>187.6</v>
      </c>
      <c r="O64" s="64">
        <v>0</v>
      </c>
      <c r="P64" s="64">
        <v>0.34</v>
      </c>
      <c r="Q64" s="64">
        <v>9.25</v>
      </c>
      <c r="R64" s="198"/>
      <c r="S64" s="198"/>
      <c r="T64" s="198"/>
      <c r="U64" s="198"/>
    </row>
    <row r="65" spans="1:21" s="12" customFormat="1" x14ac:dyDescent="0.25">
      <c r="A65" s="213" t="s">
        <v>492</v>
      </c>
      <c r="B65" s="64">
        <v>12.48</v>
      </c>
      <c r="C65" s="64">
        <v>11.28</v>
      </c>
      <c r="D65" s="64">
        <v>15.9</v>
      </c>
      <c r="E65" s="64">
        <v>3.32</v>
      </c>
      <c r="F65" s="64">
        <v>4.21</v>
      </c>
      <c r="G65" s="64">
        <v>17.29</v>
      </c>
      <c r="H65" s="64">
        <v>15.65</v>
      </c>
      <c r="I65" s="64">
        <v>1</v>
      </c>
      <c r="J65" s="64">
        <v>0.16</v>
      </c>
      <c r="K65" s="64">
        <v>278.70999999999998</v>
      </c>
      <c r="L65" s="64">
        <v>23.91</v>
      </c>
      <c r="M65" s="64">
        <v>97.58</v>
      </c>
      <c r="N65" s="64">
        <v>208.5</v>
      </c>
      <c r="O65" s="64">
        <v>0</v>
      </c>
      <c r="P65" s="64">
        <v>0.34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3" t="s">
        <v>493</v>
      </c>
      <c r="B66" s="64">
        <v>11.86</v>
      </c>
      <c r="C66" s="64">
        <v>11.49</v>
      </c>
      <c r="D66" s="64">
        <v>15.51</v>
      </c>
      <c r="E66" s="64">
        <v>3.49</v>
      </c>
      <c r="F66" s="64">
        <v>3.05</v>
      </c>
      <c r="G66" s="64">
        <v>17.29</v>
      </c>
      <c r="H66" s="64">
        <v>15.65</v>
      </c>
      <c r="I66" s="64">
        <v>0.99</v>
      </c>
      <c r="J66" s="64">
        <v>0.09</v>
      </c>
      <c r="K66" s="64">
        <v>239.35</v>
      </c>
      <c r="L66" s="64">
        <v>23.94</v>
      </c>
      <c r="M66" s="64">
        <v>97.58</v>
      </c>
      <c r="N66" s="64">
        <v>143.1</v>
      </c>
      <c r="O66" s="64">
        <v>0</v>
      </c>
      <c r="P66" s="64">
        <v>0.31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3" t="s">
        <v>494</v>
      </c>
      <c r="B67" s="64">
        <v>11.44</v>
      </c>
      <c r="C67" s="64">
        <v>11.4</v>
      </c>
      <c r="D67" s="64">
        <v>15.14</v>
      </c>
      <c r="E67" s="64">
        <v>3.62</v>
      </c>
      <c r="F67" s="64">
        <v>3.89</v>
      </c>
      <c r="G67" s="64">
        <v>17.8</v>
      </c>
      <c r="H67" s="64">
        <v>15.65</v>
      </c>
      <c r="I67" s="64">
        <v>0.96</v>
      </c>
      <c r="J67" s="64">
        <v>0.16</v>
      </c>
      <c r="K67" s="64">
        <v>276.43</v>
      </c>
      <c r="L67" s="64">
        <v>23.83</v>
      </c>
      <c r="M67" s="64">
        <v>97.58</v>
      </c>
      <c r="N67" s="64">
        <v>169.6</v>
      </c>
      <c r="O67" s="64">
        <v>0</v>
      </c>
      <c r="P67" s="64">
        <v>0.32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3" t="s">
        <v>495</v>
      </c>
      <c r="B68" s="64">
        <v>11.47</v>
      </c>
      <c r="C68" s="64">
        <v>11.46</v>
      </c>
      <c r="D68" s="64">
        <v>15.19</v>
      </c>
      <c r="E68" s="64">
        <v>3.82</v>
      </c>
      <c r="F68" s="64">
        <v>2.63</v>
      </c>
      <c r="G68" s="64">
        <v>17.96</v>
      </c>
      <c r="H68" s="64">
        <v>15.65</v>
      </c>
      <c r="I68" s="64">
        <v>0.93</v>
      </c>
      <c r="J68" s="64">
        <v>0.23</v>
      </c>
      <c r="K68" s="64">
        <v>286.83</v>
      </c>
      <c r="L68" s="64">
        <v>24.27</v>
      </c>
      <c r="M68" s="64">
        <v>97.59</v>
      </c>
      <c r="N68" s="64">
        <v>227.1</v>
      </c>
      <c r="O68" s="64">
        <v>0</v>
      </c>
      <c r="P68" s="64">
        <v>0.32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3" t="s">
        <v>496</v>
      </c>
      <c r="B69" s="64">
        <v>11.3</v>
      </c>
      <c r="C69" s="64">
        <v>11.65</v>
      </c>
      <c r="D69" s="64">
        <v>15.15</v>
      </c>
      <c r="E69" s="64">
        <v>3.74</v>
      </c>
      <c r="F69" s="64">
        <v>3.73</v>
      </c>
      <c r="G69" s="64">
        <v>17.96</v>
      </c>
      <c r="H69" s="64">
        <v>15.65</v>
      </c>
      <c r="I69" s="64">
        <v>0.92</v>
      </c>
      <c r="J69" s="64">
        <v>0.18</v>
      </c>
      <c r="K69" s="64">
        <v>279.51</v>
      </c>
      <c r="L69" s="64">
        <v>24.56</v>
      </c>
      <c r="M69" s="64">
        <v>97.58</v>
      </c>
      <c r="N69" s="64">
        <v>179</v>
      </c>
      <c r="O69" s="64">
        <v>0</v>
      </c>
      <c r="P69" s="64">
        <v>0.31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3" t="s">
        <v>497</v>
      </c>
      <c r="B70" s="64">
        <v>10.92</v>
      </c>
      <c r="C70" s="64">
        <v>11.99</v>
      </c>
      <c r="D70" s="64">
        <v>15.02</v>
      </c>
      <c r="E70" s="64">
        <v>3.56</v>
      </c>
      <c r="F70" s="64">
        <v>2.99</v>
      </c>
      <c r="G70" s="64">
        <v>17.96</v>
      </c>
      <c r="H70" s="64">
        <v>15.65</v>
      </c>
      <c r="I70" s="64">
        <v>0.92</v>
      </c>
      <c r="J70" s="64">
        <v>0.27</v>
      </c>
      <c r="K70" s="64">
        <v>281.17</v>
      </c>
      <c r="L70" s="64">
        <v>24.85</v>
      </c>
      <c r="M70" s="64">
        <v>97.57</v>
      </c>
      <c r="N70" s="64">
        <v>167.8</v>
      </c>
      <c r="O70" s="64">
        <v>0</v>
      </c>
      <c r="P70" s="64">
        <v>0.33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3" t="s">
        <v>498</v>
      </c>
      <c r="B71" s="64">
        <v>10.9</v>
      </c>
      <c r="C71" s="64">
        <v>12.4</v>
      </c>
      <c r="D71" s="64">
        <v>15.21</v>
      </c>
      <c r="E71" s="64">
        <v>3.45</v>
      </c>
      <c r="F71" s="64">
        <v>3.76</v>
      </c>
      <c r="G71" s="64">
        <v>23.49</v>
      </c>
      <c r="H71" s="64">
        <v>15.65</v>
      </c>
      <c r="I71" s="64">
        <v>0.92</v>
      </c>
      <c r="J71" s="64">
        <v>0.3</v>
      </c>
      <c r="K71" s="64">
        <v>293.57</v>
      </c>
      <c r="L71" s="64">
        <v>24.8</v>
      </c>
      <c r="M71" s="64">
        <v>97.56</v>
      </c>
      <c r="N71" s="64">
        <v>184.3</v>
      </c>
      <c r="O71" s="64">
        <v>0</v>
      </c>
      <c r="P71" s="64">
        <v>0.3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13" t="s">
        <v>499</v>
      </c>
      <c r="B72" s="64">
        <v>10.039999999999999</v>
      </c>
      <c r="C72" s="64">
        <v>13.41</v>
      </c>
      <c r="D72" s="64">
        <v>15.05</v>
      </c>
      <c r="E72" s="64">
        <v>4</v>
      </c>
      <c r="F72" s="64">
        <v>5.07</v>
      </c>
      <c r="G72" s="64">
        <v>25.17</v>
      </c>
      <c r="H72" s="64">
        <v>4.45</v>
      </c>
      <c r="I72" s="64">
        <v>0.92</v>
      </c>
      <c r="J72" s="64">
        <v>0.19</v>
      </c>
      <c r="K72" s="64">
        <v>287.54000000000002</v>
      </c>
      <c r="L72" s="64">
        <v>24.98</v>
      </c>
      <c r="M72" s="64">
        <v>97.55</v>
      </c>
      <c r="N72" s="64">
        <v>205.2</v>
      </c>
      <c r="O72" s="64">
        <v>0</v>
      </c>
      <c r="P72" s="64">
        <v>0.3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3" t="s">
        <v>500</v>
      </c>
      <c r="B73" s="64">
        <v>9.6</v>
      </c>
      <c r="C73" s="64">
        <v>15.47</v>
      </c>
      <c r="D73" s="64">
        <v>15.78</v>
      </c>
      <c r="E73" s="64">
        <v>4.37</v>
      </c>
      <c r="F73" s="64">
        <v>4.18</v>
      </c>
      <c r="G73" s="64">
        <v>25.17</v>
      </c>
      <c r="H73" s="64">
        <v>4.45</v>
      </c>
      <c r="I73" s="64">
        <v>0.89</v>
      </c>
      <c r="J73" s="64">
        <v>0.21</v>
      </c>
      <c r="K73" s="64">
        <v>284.43</v>
      </c>
      <c r="L73" s="64">
        <v>25.11</v>
      </c>
      <c r="M73" s="64">
        <v>97.55</v>
      </c>
      <c r="N73" s="64">
        <v>172.4</v>
      </c>
      <c r="O73" s="64">
        <v>0</v>
      </c>
      <c r="P73" s="64">
        <v>0.31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3" t="s">
        <v>501</v>
      </c>
      <c r="B74" s="64">
        <v>9.3800000000000008</v>
      </c>
      <c r="C74" s="64">
        <v>15.47</v>
      </c>
      <c r="D74" s="64">
        <v>15.61</v>
      </c>
      <c r="E74" s="64">
        <v>4.3600000000000003</v>
      </c>
      <c r="F74" s="64">
        <v>4.12</v>
      </c>
      <c r="G74" s="64">
        <v>25.17</v>
      </c>
      <c r="H74" s="64">
        <v>4.45</v>
      </c>
      <c r="I74" s="64">
        <v>0.87</v>
      </c>
      <c r="J74" s="64">
        <v>0.18</v>
      </c>
      <c r="K74" s="64">
        <v>290.37</v>
      </c>
      <c r="L74" s="64">
        <v>24.94</v>
      </c>
      <c r="M74" s="64">
        <v>97.59</v>
      </c>
      <c r="N74" s="64">
        <v>160.30000000000001</v>
      </c>
      <c r="O74" s="64">
        <v>0</v>
      </c>
      <c r="P74" s="64">
        <v>0.3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3" t="s">
        <v>502</v>
      </c>
      <c r="B75" s="64">
        <v>15.21</v>
      </c>
      <c r="C75" s="64">
        <v>17.8</v>
      </c>
      <c r="D75" s="64">
        <v>21.5</v>
      </c>
      <c r="E75" s="64">
        <v>4.32</v>
      </c>
      <c r="F75" s="64">
        <v>6.77</v>
      </c>
      <c r="G75" s="64">
        <v>26.22</v>
      </c>
      <c r="H75" s="64">
        <v>1.22</v>
      </c>
      <c r="I75" s="64">
        <v>0.86</v>
      </c>
      <c r="J75" s="64">
        <v>0.12</v>
      </c>
      <c r="K75" s="64">
        <v>285.74</v>
      </c>
      <c r="L75" s="64">
        <v>25</v>
      </c>
      <c r="M75" s="64">
        <v>97.72</v>
      </c>
      <c r="N75" s="64">
        <v>148</v>
      </c>
      <c r="O75" s="64">
        <v>0</v>
      </c>
      <c r="P75" s="64">
        <v>0.39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3" t="s">
        <v>503</v>
      </c>
      <c r="B76" s="64">
        <v>8.99</v>
      </c>
      <c r="C76" s="64">
        <v>17.399999999999999</v>
      </c>
      <c r="D76" s="64">
        <v>16.3</v>
      </c>
      <c r="E76" s="64">
        <v>4.66</v>
      </c>
      <c r="F76" s="64">
        <v>6.36</v>
      </c>
      <c r="G76" s="64">
        <v>26.54</v>
      </c>
      <c r="H76" s="64">
        <v>0.17</v>
      </c>
      <c r="I76" s="64">
        <v>0.87</v>
      </c>
      <c r="J76" s="64">
        <v>0.12</v>
      </c>
      <c r="K76" s="64">
        <v>291.27</v>
      </c>
      <c r="L76" s="64">
        <v>24.96</v>
      </c>
      <c r="M76" s="64">
        <v>97.78</v>
      </c>
      <c r="N76" s="64">
        <v>131.9</v>
      </c>
      <c r="O76" s="64">
        <v>0</v>
      </c>
      <c r="P76" s="64">
        <v>0.32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3" t="s">
        <v>504</v>
      </c>
      <c r="B77" s="64">
        <v>10.36</v>
      </c>
      <c r="C77" s="64">
        <v>15.59</v>
      </c>
      <c r="D77" s="64">
        <v>16.45</v>
      </c>
      <c r="E77" s="64">
        <v>4.68</v>
      </c>
      <c r="F77" s="64">
        <v>6.43</v>
      </c>
      <c r="G77" s="64">
        <v>26.54</v>
      </c>
      <c r="H77" s="64">
        <v>0.17</v>
      </c>
      <c r="I77" s="64">
        <v>0.89</v>
      </c>
      <c r="J77" s="64">
        <v>0.13</v>
      </c>
      <c r="K77" s="64">
        <v>299.58999999999997</v>
      </c>
      <c r="L77" s="64">
        <v>25.06</v>
      </c>
      <c r="M77" s="64">
        <v>97.8</v>
      </c>
      <c r="N77" s="64">
        <v>123.4</v>
      </c>
      <c r="O77" s="64">
        <v>0</v>
      </c>
      <c r="P77" s="64">
        <v>0.36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3" t="s">
        <v>505</v>
      </c>
      <c r="B78" s="64">
        <v>10.72</v>
      </c>
      <c r="C78" s="64">
        <v>14.2</v>
      </c>
      <c r="D78" s="64">
        <v>16.02</v>
      </c>
      <c r="E78" s="64">
        <v>4.72</v>
      </c>
      <c r="F78" s="64">
        <v>5.12</v>
      </c>
      <c r="G78" s="64">
        <v>26.54</v>
      </c>
      <c r="H78" s="64">
        <v>0.17</v>
      </c>
      <c r="I78" s="64">
        <v>0.9</v>
      </c>
      <c r="J78" s="64">
        <v>0.11</v>
      </c>
      <c r="K78" s="64">
        <v>290.98</v>
      </c>
      <c r="L78" s="64">
        <v>25.15</v>
      </c>
      <c r="M78" s="64">
        <v>97.81</v>
      </c>
      <c r="N78" s="64">
        <v>129.1</v>
      </c>
      <c r="O78" s="64">
        <v>0</v>
      </c>
      <c r="P78" s="64">
        <v>0.36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3" t="s">
        <v>506</v>
      </c>
      <c r="B79" s="64">
        <v>10.32</v>
      </c>
      <c r="C79" s="64">
        <v>15.12</v>
      </c>
      <c r="D79" s="64">
        <v>16.18</v>
      </c>
      <c r="E79" s="64">
        <v>4.5</v>
      </c>
      <c r="F79" s="64">
        <v>3.67</v>
      </c>
      <c r="G79" s="64">
        <v>39.020000000000003</v>
      </c>
      <c r="H79" s="64">
        <v>4.5</v>
      </c>
      <c r="I79" s="64">
        <v>0.92</v>
      </c>
      <c r="J79" s="64">
        <v>0.08</v>
      </c>
      <c r="K79" s="64">
        <v>306.69</v>
      </c>
      <c r="L79" s="64">
        <v>25.17</v>
      </c>
      <c r="M79" s="64">
        <v>97.82</v>
      </c>
      <c r="N79" s="64">
        <v>131.19999999999999</v>
      </c>
      <c r="O79" s="64">
        <v>0</v>
      </c>
      <c r="P79" s="64">
        <v>0.35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3" t="s">
        <v>507</v>
      </c>
      <c r="B80" s="64">
        <v>10.220000000000001</v>
      </c>
      <c r="C80" s="64">
        <v>14.45</v>
      </c>
      <c r="D80" s="64">
        <v>15.74</v>
      </c>
      <c r="E80" s="64">
        <v>4.6399999999999997</v>
      </c>
      <c r="F80" s="64">
        <v>4.3899999999999997</v>
      </c>
      <c r="G80" s="64">
        <v>43.06</v>
      </c>
      <c r="H80" s="64">
        <v>5.9</v>
      </c>
      <c r="I80" s="64">
        <v>0.94</v>
      </c>
      <c r="J80" s="64">
        <v>0.06</v>
      </c>
      <c r="K80" s="64">
        <v>310.81</v>
      </c>
      <c r="L80" s="64">
        <v>25.16</v>
      </c>
      <c r="M80" s="64">
        <v>97.82</v>
      </c>
      <c r="N80" s="64">
        <v>111.6</v>
      </c>
      <c r="O80" s="64">
        <v>0</v>
      </c>
      <c r="P80" s="64">
        <v>0.36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3" t="s">
        <v>508</v>
      </c>
      <c r="B81" s="64">
        <v>9.5399999999999991</v>
      </c>
      <c r="C81" s="64">
        <v>13.64</v>
      </c>
      <c r="D81" s="64">
        <v>14.78</v>
      </c>
      <c r="E81" s="64">
        <v>4.5</v>
      </c>
      <c r="F81" s="64">
        <v>3.9</v>
      </c>
      <c r="G81" s="64">
        <v>43.06</v>
      </c>
      <c r="H81" s="64">
        <v>5.9</v>
      </c>
      <c r="I81" s="64">
        <v>0.97</v>
      </c>
      <c r="J81" s="64">
        <v>0.09</v>
      </c>
      <c r="K81" s="64">
        <v>320.25</v>
      </c>
      <c r="L81" s="64">
        <v>24.98</v>
      </c>
      <c r="M81" s="64">
        <v>97.85</v>
      </c>
      <c r="N81" s="64">
        <v>85.9</v>
      </c>
      <c r="O81" s="64">
        <v>0</v>
      </c>
      <c r="P81" s="64">
        <v>0.37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3" t="s">
        <v>509</v>
      </c>
      <c r="B82" s="64">
        <v>9.5299999999999994</v>
      </c>
      <c r="C82" s="64">
        <v>14.86</v>
      </c>
      <c r="D82" s="64">
        <v>15.4</v>
      </c>
      <c r="E82" s="64">
        <v>4.1900000000000004</v>
      </c>
      <c r="F82" s="64">
        <v>3.77</v>
      </c>
      <c r="G82" s="64">
        <v>43.06</v>
      </c>
      <c r="H82" s="64">
        <v>5.9</v>
      </c>
      <c r="I82" s="64">
        <v>0.99</v>
      </c>
      <c r="J82" s="64">
        <v>0.06</v>
      </c>
      <c r="K82" s="64">
        <v>323.39999999999998</v>
      </c>
      <c r="L82" s="64">
        <v>24.84</v>
      </c>
      <c r="M82" s="64">
        <v>97.88</v>
      </c>
      <c r="N82" s="64">
        <v>74.599999999999994</v>
      </c>
      <c r="O82" s="64">
        <v>0</v>
      </c>
      <c r="P82" s="64">
        <v>0.37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3" t="s">
        <v>510</v>
      </c>
      <c r="B83" s="64">
        <v>9.31</v>
      </c>
      <c r="C83" s="64">
        <v>13.54</v>
      </c>
      <c r="D83" s="64">
        <v>14.54</v>
      </c>
      <c r="E83" s="64">
        <v>4.3099999999999996</v>
      </c>
      <c r="F83" s="64">
        <v>4.6900000000000004</v>
      </c>
      <c r="G83" s="64">
        <v>43.6</v>
      </c>
      <c r="H83" s="64">
        <v>19.989999999999998</v>
      </c>
      <c r="I83" s="64">
        <v>1.02</v>
      </c>
      <c r="J83" s="64">
        <v>0.06</v>
      </c>
      <c r="K83" s="64">
        <v>318.37</v>
      </c>
      <c r="L83" s="64">
        <v>24.72</v>
      </c>
      <c r="M83" s="64">
        <v>97.88</v>
      </c>
      <c r="N83" s="64">
        <v>69.599999999999994</v>
      </c>
      <c r="O83" s="64">
        <v>0</v>
      </c>
      <c r="P83" s="64">
        <v>0.37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3" t="s">
        <v>511</v>
      </c>
      <c r="B84" s="64">
        <v>10.77</v>
      </c>
      <c r="C84" s="64">
        <v>14.64</v>
      </c>
      <c r="D84" s="64">
        <v>16.29</v>
      </c>
      <c r="E84" s="64">
        <v>4.49</v>
      </c>
      <c r="F84" s="64">
        <v>3.47</v>
      </c>
      <c r="G84" s="64">
        <v>43.76</v>
      </c>
      <c r="H84" s="64">
        <v>24.55</v>
      </c>
      <c r="I84" s="64">
        <v>1.03</v>
      </c>
      <c r="J84" s="64">
        <v>7.0000000000000007E-2</v>
      </c>
      <c r="K84" s="64">
        <v>330.97</v>
      </c>
      <c r="L84" s="64">
        <v>24.64</v>
      </c>
      <c r="M84" s="64">
        <v>97.89</v>
      </c>
      <c r="N84" s="64">
        <v>68.5</v>
      </c>
      <c r="O84" s="64">
        <v>0</v>
      </c>
      <c r="P84" s="64">
        <v>0.41</v>
      </c>
      <c r="Q84" s="64">
        <v>9.1300000000000008</v>
      </c>
      <c r="R84" s="198"/>
      <c r="S84" s="198"/>
      <c r="T84" s="198"/>
      <c r="U84" s="198"/>
    </row>
    <row r="85" spans="1:26" s="12" customFormat="1" x14ac:dyDescent="0.25">
      <c r="A85" s="213" t="s">
        <v>512</v>
      </c>
      <c r="B85" s="64">
        <v>10.49</v>
      </c>
      <c r="C85" s="64">
        <v>14.75</v>
      </c>
      <c r="D85" s="64">
        <v>16.12</v>
      </c>
      <c r="E85" s="64">
        <v>4.5199999999999996</v>
      </c>
      <c r="F85" s="64">
        <v>4.07</v>
      </c>
      <c r="G85" s="64">
        <v>43.76</v>
      </c>
      <c r="H85" s="64">
        <v>24.55</v>
      </c>
      <c r="I85" s="64">
        <v>1.03</v>
      </c>
      <c r="J85" s="64">
        <v>0.03</v>
      </c>
      <c r="K85" s="64">
        <v>289.43</v>
      </c>
      <c r="L85" s="64">
        <v>24.57</v>
      </c>
      <c r="M85" s="64">
        <v>97.91</v>
      </c>
      <c r="N85" s="64">
        <v>68.3</v>
      </c>
      <c r="O85" s="64">
        <v>0</v>
      </c>
      <c r="P85" s="64">
        <v>0.38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3" t="s">
        <v>513</v>
      </c>
      <c r="B86" s="64">
        <v>9.4</v>
      </c>
      <c r="C86" s="64">
        <v>13.25</v>
      </c>
      <c r="D86" s="64">
        <v>14.46</v>
      </c>
      <c r="E86" s="64">
        <v>4.47</v>
      </c>
      <c r="F86" s="64">
        <v>4.8</v>
      </c>
      <c r="G86" s="64">
        <v>43.76</v>
      </c>
      <c r="H86" s="64">
        <v>24.55</v>
      </c>
      <c r="I86" s="64">
        <v>1.06</v>
      </c>
      <c r="J86" s="64">
        <v>0.02</v>
      </c>
      <c r="K86" s="64">
        <v>176</v>
      </c>
      <c r="L86" s="64">
        <v>24.48</v>
      </c>
      <c r="M86" s="64">
        <v>97.87</v>
      </c>
      <c r="N86" s="64">
        <v>68.2</v>
      </c>
      <c r="O86" s="64">
        <v>0</v>
      </c>
      <c r="P86" s="64">
        <v>0.38</v>
      </c>
      <c r="Q86" s="64">
        <v>9.1300000000000008</v>
      </c>
      <c r="R86" s="198"/>
      <c r="S86" s="198"/>
      <c r="T86" s="198"/>
      <c r="U86" s="198"/>
    </row>
    <row r="87" spans="1:26" s="12" customFormat="1" x14ac:dyDescent="0.25">
      <c r="A87" s="213" t="s">
        <v>514</v>
      </c>
      <c r="B87" s="64">
        <v>8.4600000000000009</v>
      </c>
      <c r="C87" s="64">
        <v>14.53</v>
      </c>
      <c r="D87" s="64">
        <v>14.38</v>
      </c>
      <c r="E87" s="64">
        <v>4.4800000000000004</v>
      </c>
      <c r="F87" s="64">
        <v>5.82</v>
      </c>
      <c r="G87" s="64">
        <v>44.35</v>
      </c>
      <c r="H87" s="64">
        <v>8.32</v>
      </c>
      <c r="I87" s="64">
        <v>1.1000000000000001</v>
      </c>
      <c r="J87" s="64">
        <v>0.04</v>
      </c>
      <c r="K87" s="64">
        <v>177.56</v>
      </c>
      <c r="L87" s="64">
        <v>24.39</v>
      </c>
      <c r="M87" s="64">
        <v>97.76</v>
      </c>
      <c r="N87" s="64">
        <v>68.3</v>
      </c>
      <c r="O87" s="64">
        <v>0</v>
      </c>
      <c r="P87" s="64">
        <v>0.38</v>
      </c>
      <c r="Q87" s="64">
        <v>9.1300000000000008</v>
      </c>
      <c r="R87" s="198"/>
      <c r="S87" s="198"/>
      <c r="T87" s="198"/>
      <c r="U87" s="198"/>
    </row>
    <row r="88" spans="1:26" s="12" customFormat="1" x14ac:dyDescent="0.25">
      <c r="A88" s="213" t="s">
        <v>515</v>
      </c>
      <c r="B88" s="64">
        <v>9.99</v>
      </c>
      <c r="C88" s="64">
        <v>17.940000000000001</v>
      </c>
      <c r="D88" s="64">
        <v>17.38</v>
      </c>
      <c r="E88" s="64">
        <v>4.5199999999999996</v>
      </c>
      <c r="F88" s="64">
        <v>5.84</v>
      </c>
      <c r="G88" s="64">
        <v>44.53</v>
      </c>
      <c r="H88" s="64">
        <v>3.07</v>
      </c>
      <c r="I88" s="64">
        <v>1.1200000000000001</v>
      </c>
      <c r="J88" s="64">
        <v>0.04</v>
      </c>
      <c r="K88" s="64">
        <v>241.29</v>
      </c>
      <c r="L88" s="64">
        <v>24.3</v>
      </c>
      <c r="M88" s="64">
        <v>97.8</v>
      </c>
      <c r="N88" s="64">
        <v>68.400000000000006</v>
      </c>
      <c r="O88" s="64">
        <v>0</v>
      </c>
      <c r="P88" s="64">
        <v>0.41</v>
      </c>
      <c r="Q88" s="64">
        <v>9.14</v>
      </c>
      <c r="R88" s="198"/>
      <c r="S88" s="198"/>
      <c r="T88" s="198"/>
      <c r="U88" s="198"/>
    </row>
    <row r="89" spans="1:26" s="12" customFormat="1" x14ac:dyDescent="0.25">
      <c r="A89" s="213" t="s">
        <v>516</v>
      </c>
      <c r="B89" s="64">
        <v>10.24</v>
      </c>
      <c r="C89" s="64">
        <v>19.77</v>
      </c>
      <c r="D89" s="64">
        <v>18.54</v>
      </c>
      <c r="E89" s="64">
        <v>4.62</v>
      </c>
      <c r="F89" s="64">
        <v>7.83</v>
      </c>
      <c r="G89" s="64">
        <v>44.53</v>
      </c>
      <c r="H89" s="64">
        <v>3.07</v>
      </c>
      <c r="I89" s="64">
        <v>1.1299999999999999</v>
      </c>
      <c r="J89" s="64">
        <v>0.04</v>
      </c>
      <c r="K89" s="64">
        <v>224.79</v>
      </c>
      <c r="L89" s="64">
        <v>24.19</v>
      </c>
      <c r="M89" s="64">
        <v>97.82</v>
      </c>
      <c r="N89" s="64">
        <v>68.3</v>
      </c>
      <c r="O89" s="64">
        <v>0</v>
      </c>
      <c r="P89" s="64">
        <v>0.37</v>
      </c>
      <c r="Q89" s="64">
        <v>9.17</v>
      </c>
      <c r="R89" s="198"/>
      <c r="S89" s="198"/>
      <c r="T89" s="198"/>
      <c r="U89" s="198"/>
    </row>
    <row r="90" spans="1:26" s="12" customFormat="1" x14ac:dyDescent="0.25">
      <c r="A90" s="213" t="s">
        <v>517</v>
      </c>
      <c r="B90" s="64">
        <v>10.08</v>
      </c>
      <c r="C90" s="64">
        <v>17.600000000000001</v>
      </c>
      <c r="D90" s="64">
        <v>17.28</v>
      </c>
      <c r="E90" s="64">
        <v>4.5</v>
      </c>
      <c r="F90" s="64">
        <v>8.99</v>
      </c>
      <c r="G90" s="64">
        <v>44.53</v>
      </c>
      <c r="H90" s="64">
        <v>3.07</v>
      </c>
      <c r="I90" s="64">
        <v>1.1399999999999999</v>
      </c>
      <c r="J90" s="64">
        <v>0.05</v>
      </c>
      <c r="K90" s="64">
        <v>194.4</v>
      </c>
      <c r="L90" s="64">
        <v>24.09</v>
      </c>
      <c r="M90" s="64">
        <v>97.85</v>
      </c>
      <c r="N90" s="64">
        <v>68.099999999999994</v>
      </c>
      <c r="O90" s="64">
        <v>0</v>
      </c>
      <c r="P90" s="64">
        <v>0.36</v>
      </c>
      <c r="Q90" s="64">
        <v>9.18</v>
      </c>
      <c r="R90" s="198"/>
      <c r="S90" s="198"/>
      <c r="T90" s="198"/>
      <c r="U90" s="198"/>
    </row>
    <row r="91" spans="1:26" s="12" customFormat="1" x14ac:dyDescent="0.25">
      <c r="A91" s="213" t="s">
        <v>518</v>
      </c>
      <c r="B91" s="64">
        <v>10.59</v>
      </c>
      <c r="C91" s="64">
        <v>20.2</v>
      </c>
      <c r="D91" s="64">
        <v>19.05</v>
      </c>
      <c r="E91" s="64">
        <v>4.3899999999999997</v>
      </c>
      <c r="F91" s="64">
        <v>7.35</v>
      </c>
      <c r="G91" s="64">
        <v>42.69</v>
      </c>
      <c r="H91" s="64">
        <v>2.1800000000000002</v>
      </c>
      <c r="I91" s="64">
        <v>1.1499999999999999</v>
      </c>
      <c r="J91" s="64">
        <v>0.1</v>
      </c>
      <c r="K91" s="64">
        <v>155.49</v>
      </c>
      <c r="L91" s="64">
        <v>24.01</v>
      </c>
      <c r="M91" s="64">
        <v>97.86</v>
      </c>
      <c r="N91" s="64">
        <v>68.099999999999994</v>
      </c>
      <c r="O91" s="64">
        <v>0</v>
      </c>
      <c r="P91" s="64">
        <v>0.32</v>
      </c>
      <c r="Q91" s="64">
        <v>9.1999999999999993</v>
      </c>
      <c r="R91" s="198"/>
      <c r="S91" s="198"/>
      <c r="T91" s="198"/>
      <c r="U91" s="198"/>
    </row>
    <row r="92" spans="1:26" s="12" customFormat="1" x14ac:dyDescent="0.25">
      <c r="A92" s="213" t="s">
        <v>519</v>
      </c>
      <c r="B92" s="64">
        <v>10.69</v>
      </c>
      <c r="C92" s="64">
        <v>18.18</v>
      </c>
      <c r="D92" s="64">
        <v>18.07</v>
      </c>
      <c r="E92" s="64">
        <v>4.51</v>
      </c>
      <c r="F92" s="64">
        <v>8.1199999999999992</v>
      </c>
      <c r="G92" s="64">
        <v>42.13</v>
      </c>
      <c r="H92" s="64">
        <v>1.89</v>
      </c>
      <c r="I92" s="64">
        <v>1.1599999999999999</v>
      </c>
      <c r="J92" s="64">
        <v>0.02</v>
      </c>
      <c r="K92" s="64">
        <v>105.71</v>
      </c>
      <c r="L92" s="64">
        <v>23.99</v>
      </c>
      <c r="M92" s="64">
        <v>97.84</v>
      </c>
      <c r="N92" s="64">
        <v>68.099999999999994</v>
      </c>
      <c r="O92" s="64">
        <v>0</v>
      </c>
      <c r="P92" s="64">
        <v>0.38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3" t="s">
        <v>520</v>
      </c>
      <c r="B93" s="64">
        <v>8.4499999999999993</v>
      </c>
      <c r="C93" s="64">
        <v>17.2</v>
      </c>
      <c r="D93" s="64">
        <v>15.76</v>
      </c>
      <c r="E93" s="64">
        <v>4.79</v>
      </c>
      <c r="F93" s="64">
        <v>9.42</v>
      </c>
      <c r="G93" s="64">
        <v>42.13</v>
      </c>
      <c r="H93" s="64">
        <v>1.89</v>
      </c>
      <c r="I93" s="64">
        <v>1.17</v>
      </c>
      <c r="J93" s="64">
        <v>0.5</v>
      </c>
      <c r="K93" s="64">
        <v>142.25</v>
      </c>
      <c r="L93" s="64">
        <v>24.01</v>
      </c>
      <c r="M93" s="64">
        <v>97.83</v>
      </c>
      <c r="N93" s="64">
        <v>68.099999999999994</v>
      </c>
      <c r="O93" s="64">
        <v>0</v>
      </c>
      <c r="P93" s="64">
        <v>0.3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3" t="s">
        <v>521</v>
      </c>
      <c r="B94" s="64">
        <v>10.27</v>
      </c>
      <c r="C94" s="64">
        <v>18.760000000000002</v>
      </c>
      <c r="D94" s="64">
        <v>18.04</v>
      </c>
      <c r="E94" s="64">
        <v>4.6100000000000003</v>
      </c>
      <c r="F94" s="64">
        <v>8.77</v>
      </c>
      <c r="G94" s="64">
        <v>42.13</v>
      </c>
      <c r="H94" s="64">
        <v>1.89</v>
      </c>
      <c r="I94" s="64">
        <v>1.18</v>
      </c>
      <c r="J94" s="64">
        <v>7.0000000000000007E-2</v>
      </c>
      <c r="K94" s="64">
        <v>176.56</v>
      </c>
      <c r="L94" s="64">
        <v>24.01</v>
      </c>
      <c r="M94" s="64">
        <v>97.78</v>
      </c>
      <c r="N94" s="64">
        <v>68.5</v>
      </c>
      <c r="O94" s="64">
        <v>0</v>
      </c>
      <c r="P94" s="64">
        <v>0.41</v>
      </c>
      <c r="Q94" s="64">
        <v>9.23</v>
      </c>
      <c r="R94" s="198"/>
      <c r="S94" s="198"/>
      <c r="T94" s="198"/>
      <c r="U94" s="198"/>
    </row>
    <row r="95" spans="1:26" s="12" customFormat="1" x14ac:dyDescent="0.25">
      <c r="A95" s="213" t="s">
        <v>522</v>
      </c>
      <c r="B95" s="64">
        <v>15.08</v>
      </c>
      <c r="C95" s="64">
        <v>19.16</v>
      </c>
      <c r="D95" s="64">
        <v>22.1</v>
      </c>
      <c r="E95" s="64">
        <v>4.55</v>
      </c>
      <c r="F95" s="64">
        <v>7.41</v>
      </c>
      <c r="G95" s="64">
        <v>42.26</v>
      </c>
      <c r="H95" s="64">
        <v>0.63</v>
      </c>
      <c r="I95" s="64">
        <v>1.17</v>
      </c>
      <c r="J95" s="64">
        <v>0.01</v>
      </c>
      <c r="K95" s="64">
        <v>335.58</v>
      </c>
      <c r="L95" s="64">
        <v>24.02</v>
      </c>
      <c r="M95" s="64">
        <v>97.87</v>
      </c>
      <c r="N95" s="64">
        <v>68.5</v>
      </c>
      <c r="O95" s="64">
        <v>0</v>
      </c>
      <c r="P95" s="64">
        <v>0.43</v>
      </c>
      <c r="Q95" s="64">
        <v>9.23</v>
      </c>
      <c r="R95" s="198"/>
      <c r="S95" s="198"/>
      <c r="T95" s="198"/>
      <c r="U95" s="198"/>
    </row>
    <row r="96" spans="1:26" s="12" customFormat="1" x14ac:dyDescent="0.25">
      <c r="A96" s="213" t="s">
        <v>523</v>
      </c>
      <c r="B96" s="64">
        <v>14.68</v>
      </c>
      <c r="C96" s="64">
        <v>13.62</v>
      </c>
      <c r="D96" s="64">
        <v>18.89</v>
      </c>
      <c r="E96" s="64">
        <v>4.9400000000000004</v>
      </c>
      <c r="F96" s="64">
        <v>3.75</v>
      </c>
      <c r="G96" s="64">
        <v>42.3</v>
      </c>
      <c r="H96" s="64">
        <v>0.23</v>
      </c>
      <c r="I96" s="64">
        <v>1.1599999999999999</v>
      </c>
      <c r="J96" s="64">
        <v>0.01</v>
      </c>
      <c r="K96" s="64">
        <v>11.29</v>
      </c>
      <c r="L96" s="64">
        <v>24.07</v>
      </c>
      <c r="M96" s="64">
        <v>97.88</v>
      </c>
      <c r="N96" s="64">
        <v>68.5</v>
      </c>
      <c r="O96" s="64">
        <v>0</v>
      </c>
      <c r="P96" s="64">
        <v>0.4</v>
      </c>
      <c r="Q96" s="64">
        <v>9.23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524</v>
      </c>
      <c r="B97" s="64">
        <v>12.44</v>
      </c>
      <c r="C97" s="64">
        <v>18.649999999999999</v>
      </c>
      <c r="D97" s="64">
        <v>19.72</v>
      </c>
      <c r="E97" s="64">
        <v>4.63</v>
      </c>
      <c r="F97" s="64">
        <v>5.98</v>
      </c>
      <c r="G97" s="64">
        <v>42.3</v>
      </c>
      <c r="H97" s="64">
        <v>0.23</v>
      </c>
      <c r="I97" s="64">
        <v>1.17</v>
      </c>
      <c r="J97" s="64">
        <v>0.03</v>
      </c>
      <c r="K97" s="64">
        <v>203.97</v>
      </c>
      <c r="L97" s="64">
        <v>24.11</v>
      </c>
      <c r="M97" s="64">
        <v>97.88</v>
      </c>
      <c r="N97" s="64">
        <v>68.5</v>
      </c>
      <c r="O97" s="64">
        <v>0</v>
      </c>
      <c r="P97" s="64">
        <v>0.36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3" t="s">
        <v>525</v>
      </c>
      <c r="B98" s="64">
        <v>11.32</v>
      </c>
      <c r="C98" s="64">
        <v>15.17</v>
      </c>
      <c r="D98" s="64">
        <v>17</v>
      </c>
      <c r="E98" s="64">
        <v>4.75</v>
      </c>
      <c r="F98" s="64">
        <v>5.38</v>
      </c>
      <c r="G98" s="64">
        <v>42.3</v>
      </c>
      <c r="H98" s="64">
        <v>0.23</v>
      </c>
      <c r="I98" s="64">
        <v>1.18</v>
      </c>
      <c r="J98" s="64">
        <v>0.06</v>
      </c>
      <c r="K98" s="64">
        <v>215.44</v>
      </c>
      <c r="L98" s="64">
        <v>24.09</v>
      </c>
      <c r="M98" s="64">
        <v>97.87</v>
      </c>
      <c r="N98" s="64">
        <v>68.5</v>
      </c>
      <c r="O98" s="64">
        <v>0</v>
      </c>
      <c r="P98" s="64">
        <v>0.37</v>
      </c>
      <c r="Q98" s="64">
        <v>9.24</v>
      </c>
      <c r="R98" s="198"/>
      <c r="S98" s="198"/>
      <c r="T98" s="198"/>
      <c r="U98" s="198"/>
    </row>
    <row r="99" spans="1:33" s="12" customFormat="1" x14ac:dyDescent="0.25">
      <c r="A99" s="213" t="s">
        <v>526</v>
      </c>
      <c r="B99" s="64">
        <v>9.57</v>
      </c>
      <c r="C99" s="64">
        <v>15.4</v>
      </c>
      <c r="D99" s="64">
        <v>15.72</v>
      </c>
      <c r="E99" s="64">
        <v>4.7</v>
      </c>
      <c r="F99" s="64">
        <v>5.84</v>
      </c>
      <c r="G99" s="64">
        <v>41.86</v>
      </c>
      <c r="H99" s="64">
        <v>11.38</v>
      </c>
      <c r="I99" s="64">
        <v>1.17</v>
      </c>
      <c r="J99" s="64">
        <v>0.06</v>
      </c>
      <c r="K99" s="64">
        <v>203.63</v>
      </c>
      <c r="L99" s="64">
        <v>24.08</v>
      </c>
      <c r="M99" s="64">
        <v>97.9</v>
      </c>
      <c r="N99" s="64">
        <v>68.7</v>
      </c>
      <c r="O99" s="64">
        <v>0</v>
      </c>
      <c r="P99" s="64">
        <v>0.35</v>
      </c>
      <c r="Q99" s="64">
        <v>9.24</v>
      </c>
      <c r="R99" s="198"/>
      <c r="S99" s="198"/>
      <c r="T99" s="198"/>
      <c r="U99" s="198"/>
    </row>
    <row r="100" spans="1:33" s="12" customFormat="1" x14ac:dyDescent="0.25">
      <c r="A100" s="213" t="s">
        <v>527</v>
      </c>
      <c r="B100" s="64">
        <v>14.71</v>
      </c>
      <c r="C100" s="64">
        <v>12.9</v>
      </c>
      <c r="D100" s="64">
        <v>18.54</v>
      </c>
      <c r="E100" s="64">
        <v>4.4800000000000004</v>
      </c>
      <c r="F100" s="64">
        <v>4.55</v>
      </c>
      <c r="G100" s="64">
        <v>41.72</v>
      </c>
      <c r="H100" s="64">
        <v>14.78</v>
      </c>
      <c r="I100" s="64">
        <v>1.18</v>
      </c>
      <c r="J100" s="64">
        <v>0.04</v>
      </c>
      <c r="K100" s="64">
        <v>43</v>
      </c>
      <c r="L100" s="64">
        <v>24.06</v>
      </c>
      <c r="M100" s="64">
        <v>97.91</v>
      </c>
      <c r="N100" s="64">
        <v>68.900000000000006</v>
      </c>
      <c r="O100" s="64">
        <v>0</v>
      </c>
      <c r="P100" s="64">
        <v>0.37</v>
      </c>
      <c r="Q100" s="64">
        <v>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528</v>
      </c>
      <c r="B101" s="64">
        <v>12.28</v>
      </c>
      <c r="C101" s="64">
        <v>14.18</v>
      </c>
      <c r="D101" s="64">
        <v>17.25</v>
      </c>
      <c r="E101" s="64">
        <v>4.3499999999999996</v>
      </c>
      <c r="F101" s="64">
        <v>6.35</v>
      </c>
      <c r="G101" s="64">
        <v>41.72</v>
      </c>
      <c r="H101" s="64">
        <v>14.78</v>
      </c>
      <c r="I101" s="64">
        <v>1.18</v>
      </c>
      <c r="J101" s="64">
        <v>0.05</v>
      </c>
      <c r="K101" s="64">
        <v>139.54</v>
      </c>
      <c r="L101" s="64">
        <v>24.01</v>
      </c>
      <c r="M101" s="64">
        <v>97.91</v>
      </c>
      <c r="N101" s="64">
        <v>69.099999999999994</v>
      </c>
      <c r="O101" s="64">
        <v>0</v>
      </c>
      <c r="P101" s="64">
        <v>0.32</v>
      </c>
      <c r="Q101" s="64">
        <v>9.25</v>
      </c>
      <c r="R101" s="198"/>
      <c r="S101" s="198"/>
      <c r="T101" s="198"/>
      <c r="U101" s="198"/>
    </row>
    <row r="102" spans="1:33" s="12" customFormat="1" x14ac:dyDescent="0.25">
      <c r="A102" s="213" t="s">
        <v>529</v>
      </c>
      <c r="B102" s="64">
        <v>12.32</v>
      </c>
      <c r="C102" s="64">
        <v>11.96</v>
      </c>
      <c r="D102" s="64">
        <v>16.13</v>
      </c>
      <c r="E102" s="64">
        <v>4.25</v>
      </c>
      <c r="F102" s="64">
        <v>4.91</v>
      </c>
      <c r="G102" s="64">
        <v>41.72</v>
      </c>
      <c r="H102" s="64">
        <v>14.78</v>
      </c>
      <c r="I102" s="64">
        <v>1.17</v>
      </c>
      <c r="J102" s="64">
        <v>0.04</v>
      </c>
      <c r="K102" s="64">
        <v>235.39</v>
      </c>
      <c r="L102" s="64">
        <v>23.95</v>
      </c>
      <c r="M102" s="64">
        <v>97.91</v>
      </c>
      <c r="N102" s="64">
        <v>69.599999999999994</v>
      </c>
      <c r="O102" s="64">
        <v>0</v>
      </c>
      <c r="P102" s="64">
        <v>0.37</v>
      </c>
      <c r="Q102" s="64">
        <v>9.24</v>
      </c>
      <c r="R102" s="198"/>
      <c r="S102" s="198"/>
      <c r="T102" s="198"/>
      <c r="U102" s="198"/>
    </row>
    <row r="103" spans="1:33" s="12" customFormat="1" x14ac:dyDescent="0.25">
      <c r="A103" s="213" t="s">
        <v>530</v>
      </c>
      <c r="B103" s="64">
        <v>10.039999999999999</v>
      </c>
      <c r="C103" s="64">
        <v>12.07</v>
      </c>
      <c r="D103" s="64">
        <v>14.36</v>
      </c>
      <c r="E103" s="64">
        <v>4.57</v>
      </c>
      <c r="F103" s="64">
        <v>6.55</v>
      </c>
      <c r="G103" s="64">
        <v>42.2</v>
      </c>
      <c r="H103" s="64">
        <v>13.8</v>
      </c>
      <c r="I103" s="64">
        <v>1.1599999999999999</v>
      </c>
      <c r="J103" s="64">
        <v>0.15</v>
      </c>
      <c r="K103" s="64">
        <v>128.44999999999999</v>
      </c>
      <c r="L103" s="64">
        <v>23.87</v>
      </c>
      <c r="M103" s="64">
        <v>97.88</v>
      </c>
      <c r="N103" s="64">
        <v>69.7</v>
      </c>
      <c r="O103" s="64">
        <v>0</v>
      </c>
      <c r="P103" s="64">
        <v>0.31</v>
      </c>
      <c r="Q103" s="64">
        <v>9.24</v>
      </c>
      <c r="R103" s="198"/>
      <c r="S103" s="198"/>
      <c r="T103" s="198"/>
      <c r="U103" s="198"/>
    </row>
    <row r="104" spans="1:33" s="12" customFormat="1" x14ac:dyDescent="0.25">
      <c r="A104" s="213" t="s">
        <v>531</v>
      </c>
      <c r="B104" s="64">
        <v>11.14</v>
      </c>
      <c r="C104" s="64">
        <v>10.9</v>
      </c>
      <c r="D104" s="64">
        <v>14.63</v>
      </c>
      <c r="E104" s="64">
        <v>4.9800000000000004</v>
      </c>
      <c r="F104" s="64">
        <v>4.71</v>
      </c>
      <c r="G104" s="64">
        <v>42.34</v>
      </c>
      <c r="H104" s="64">
        <v>13.48</v>
      </c>
      <c r="I104" s="64">
        <v>1.1399999999999999</v>
      </c>
      <c r="J104" s="64">
        <v>0.06</v>
      </c>
      <c r="K104" s="64">
        <v>127.37</v>
      </c>
      <c r="L104" s="64">
        <v>23.79</v>
      </c>
      <c r="M104" s="64">
        <v>97.92</v>
      </c>
      <c r="N104" s="64">
        <v>69.900000000000006</v>
      </c>
      <c r="O104" s="64">
        <v>0</v>
      </c>
      <c r="P104" s="64">
        <v>0.31</v>
      </c>
      <c r="Q104" s="64">
        <v>9.24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5.35</v>
      </c>
      <c r="C106" s="67">
        <f>MIN(C9:C104)</f>
        <v>10.15</v>
      </c>
      <c r="D106" s="67">
        <f t="shared" ref="D106:Q106" si="0">MIN(D9:D104)</f>
        <v>10.02</v>
      </c>
      <c r="E106" s="67">
        <f t="shared" si="0"/>
        <v>3.15</v>
      </c>
      <c r="F106" s="67">
        <f t="shared" si="0"/>
        <v>2.63</v>
      </c>
      <c r="G106" s="67">
        <f t="shared" si="0"/>
        <v>13.64</v>
      </c>
      <c r="H106" s="67">
        <f t="shared" si="0"/>
        <v>0.17</v>
      </c>
      <c r="I106" s="67">
        <f t="shared" si="0"/>
        <v>0.61</v>
      </c>
      <c r="J106" s="67">
        <f t="shared" si="0"/>
        <v>0.01</v>
      </c>
      <c r="K106" s="67">
        <f t="shared" si="0"/>
        <v>11.29</v>
      </c>
      <c r="L106" s="67">
        <f t="shared" si="0"/>
        <v>23</v>
      </c>
      <c r="M106" s="67">
        <f t="shared" si="0"/>
        <v>97.34</v>
      </c>
      <c r="N106" s="67">
        <f t="shared" si="0"/>
        <v>68.099999999999994</v>
      </c>
      <c r="O106" s="67">
        <f t="shared" si="0"/>
        <v>0</v>
      </c>
      <c r="P106" s="67">
        <f t="shared" si="0"/>
        <v>0.15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16.440000000000001</v>
      </c>
      <c r="C107" s="66">
        <f t="shared" ref="C107:Q107" si="1">MAX(C9:C104)</f>
        <v>20.2</v>
      </c>
      <c r="D107" s="66">
        <f t="shared" si="1"/>
        <v>22.1</v>
      </c>
      <c r="E107" s="66">
        <f t="shared" si="1"/>
        <v>5.65</v>
      </c>
      <c r="F107" s="66">
        <f t="shared" si="1"/>
        <v>9.42</v>
      </c>
      <c r="G107" s="66">
        <f t="shared" si="1"/>
        <v>44.53</v>
      </c>
      <c r="H107" s="66">
        <f t="shared" si="1"/>
        <v>24.55</v>
      </c>
      <c r="I107" s="66">
        <f t="shared" si="1"/>
        <v>1.22</v>
      </c>
      <c r="J107" s="66">
        <f t="shared" si="1"/>
        <v>0.5</v>
      </c>
      <c r="K107" s="66">
        <f t="shared" si="1"/>
        <v>335.58</v>
      </c>
      <c r="L107" s="66">
        <f t="shared" si="1"/>
        <v>25.17</v>
      </c>
      <c r="M107" s="66">
        <f t="shared" si="1"/>
        <v>98.17</v>
      </c>
      <c r="N107" s="66">
        <f t="shared" si="1"/>
        <v>227.1</v>
      </c>
      <c r="O107" s="66">
        <f t="shared" si="1"/>
        <v>0.4</v>
      </c>
      <c r="P107" s="66">
        <f t="shared" si="1"/>
        <v>0.43</v>
      </c>
      <c r="Q107" s="66">
        <f t="shared" si="1"/>
        <v>9.31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9.5237500000000033</v>
      </c>
      <c r="C108" s="67">
        <f t="shared" ref="C108:Q108" si="2">AVERAGE(C9:C104)</f>
        <v>12.962500000000004</v>
      </c>
      <c r="D108" s="67">
        <f t="shared" si="2"/>
        <v>14.409791666666665</v>
      </c>
      <c r="E108" s="67">
        <f t="shared" si="2"/>
        <v>4.3977083333333349</v>
      </c>
      <c r="F108" s="67">
        <f t="shared" si="2"/>
        <v>4.3516666666666675</v>
      </c>
      <c r="G108" s="67">
        <f t="shared" si="2"/>
        <v>25.304062500000004</v>
      </c>
      <c r="H108" s="67">
        <f t="shared" si="2"/>
        <v>7.4849999999999968</v>
      </c>
      <c r="I108" s="67">
        <f t="shared" si="2"/>
        <v>0.94062500000000016</v>
      </c>
      <c r="J108" s="67">
        <f t="shared" si="2"/>
        <v>0.14739583333333331</v>
      </c>
      <c r="K108" s="67">
        <f t="shared" si="2"/>
        <v>269.18375000000009</v>
      </c>
      <c r="L108" s="67">
        <f t="shared" si="2"/>
        <v>23.769375000000007</v>
      </c>
      <c r="M108" s="67">
        <f t="shared" si="2"/>
        <v>97.736250000000041</v>
      </c>
      <c r="N108" s="67">
        <f t="shared" si="2"/>
        <v>108.60416666666673</v>
      </c>
      <c r="O108" s="67">
        <f t="shared" si="2"/>
        <v>1.8749999999999999E-2</v>
      </c>
      <c r="P108" s="67">
        <f t="shared" si="2"/>
        <v>0.28916666666666668</v>
      </c>
      <c r="Q108" s="67">
        <f t="shared" si="2"/>
        <v>9.1355208333333309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2.8131657574603253</v>
      </c>
      <c r="C109" s="67">
        <f t="shared" ref="C109:Q109" si="3">STDEV(C9:C104)</f>
        <v>2.4485454328727529</v>
      </c>
      <c r="D109" s="67">
        <f t="shared" si="3"/>
        <v>2.9822587621736205</v>
      </c>
      <c r="E109" s="67">
        <f t="shared" si="3"/>
        <v>0.66086463167844767</v>
      </c>
      <c r="F109" s="67">
        <f t="shared" si="3"/>
        <v>1.4474934172501299</v>
      </c>
      <c r="G109" s="67">
        <f t="shared" si="3"/>
        <v>11.118101464030316</v>
      </c>
      <c r="H109" s="67">
        <f t="shared" si="3"/>
        <v>5.6173561865272399</v>
      </c>
      <c r="I109" s="67">
        <f t="shared" si="3"/>
        <v>0.16680787877391204</v>
      </c>
      <c r="J109" s="67">
        <f t="shared" si="3"/>
        <v>7.8930279583235535E-2</v>
      </c>
      <c r="K109" s="67">
        <f t="shared" si="3"/>
        <v>59.771989906380085</v>
      </c>
      <c r="L109" s="67">
        <f t="shared" si="3"/>
        <v>0.64807863801596743</v>
      </c>
      <c r="M109" s="67">
        <f t="shared" si="3"/>
        <v>0.17478558292948523</v>
      </c>
      <c r="N109" s="67">
        <f t="shared" si="3"/>
        <v>38.636669020277211</v>
      </c>
      <c r="O109" s="67">
        <f t="shared" si="3"/>
        <v>6.539354547257463E-2</v>
      </c>
      <c r="P109" s="67">
        <f t="shared" si="3"/>
        <v>8.2547168865559933E-2</v>
      </c>
      <c r="Q109" s="67">
        <f t="shared" si="3"/>
        <v>8.4888407139412522E-2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532</v>
      </c>
      <c r="B9" s="64">
        <v>10.42</v>
      </c>
      <c r="C9" s="64">
        <v>11.48</v>
      </c>
      <c r="D9" s="64">
        <v>14.36</v>
      </c>
      <c r="E9" s="64">
        <v>4.71</v>
      </c>
      <c r="F9" s="64">
        <v>6.2</v>
      </c>
      <c r="G9" s="64">
        <v>42.34</v>
      </c>
      <c r="H9" s="64">
        <v>13.48</v>
      </c>
      <c r="I9" s="64">
        <v>1.1200000000000001</v>
      </c>
      <c r="J9" s="64">
        <v>0.03</v>
      </c>
      <c r="K9" s="64">
        <v>298.23</v>
      </c>
      <c r="L9" s="64">
        <v>23.77</v>
      </c>
      <c r="M9" s="64">
        <v>97.99</v>
      </c>
      <c r="N9" s="64">
        <v>70</v>
      </c>
      <c r="O9" s="64">
        <v>0</v>
      </c>
      <c r="P9" s="64">
        <v>0.28999999999999998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13" t="s">
        <v>533</v>
      </c>
      <c r="B10" s="64">
        <v>9.61</v>
      </c>
      <c r="C10" s="64">
        <v>10.83</v>
      </c>
      <c r="D10" s="64">
        <v>13.36</v>
      </c>
      <c r="E10" s="64">
        <v>5</v>
      </c>
      <c r="F10" s="64">
        <v>7.6</v>
      </c>
      <c r="G10" s="64">
        <v>42.34</v>
      </c>
      <c r="H10" s="64">
        <v>13.48</v>
      </c>
      <c r="I10" s="64">
        <v>1.1000000000000001</v>
      </c>
      <c r="J10" s="64">
        <v>7.0000000000000007E-2</v>
      </c>
      <c r="K10" s="64">
        <v>315.35000000000002</v>
      </c>
      <c r="L10" s="64">
        <v>23.8</v>
      </c>
      <c r="M10" s="64">
        <v>98.01</v>
      </c>
      <c r="N10" s="64">
        <v>70</v>
      </c>
      <c r="O10" s="64">
        <v>0</v>
      </c>
      <c r="P10" s="64">
        <v>0.26</v>
      </c>
      <c r="Q10" s="64">
        <v>9.24</v>
      </c>
      <c r="R10" s="198"/>
      <c r="S10" s="198"/>
      <c r="T10" s="198"/>
      <c r="U10" s="198"/>
    </row>
    <row r="11" spans="1:21" s="12" customFormat="1" x14ac:dyDescent="0.25">
      <c r="A11" s="213" t="s">
        <v>534</v>
      </c>
      <c r="B11" s="64">
        <v>9.3000000000000007</v>
      </c>
      <c r="C11" s="64">
        <v>10.72</v>
      </c>
      <c r="D11" s="64">
        <v>13.06</v>
      </c>
      <c r="E11" s="64">
        <v>5.19</v>
      </c>
      <c r="F11" s="64">
        <v>7.91</v>
      </c>
      <c r="G11" s="64">
        <v>38.25</v>
      </c>
      <c r="H11" s="64">
        <v>10.59</v>
      </c>
      <c r="I11" s="64">
        <v>1.08</v>
      </c>
      <c r="J11" s="64">
        <v>0.09</v>
      </c>
      <c r="K11" s="64">
        <v>307.76</v>
      </c>
      <c r="L11" s="64">
        <v>23.81</v>
      </c>
      <c r="M11" s="64">
        <v>98.05</v>
      </c>
      <c r="N11" s="64">
        <v>70</v>
      </c>
      <c r="O11" s="64">
        <v>0</v>
      </c>
      <c r="P11" s="64">
        <v>0.26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3" t="s">
        <v>535</v>
      </c>
      <c r="B12" s="64">
        <v>10.89</v>
      </c>
      <c r="C12" s="64">
        <v>9.98</v>
      </c>
      <c r="D12" s="64">
        <v>13.95</v>
      </c>
      <c r="E12" s="64">
        <v>5</v>
      </c>
      <c r="F12" s="64">
        <v>3.68</v>
      </c>
      <c r="G12" s="64">
        <v>37</v>
      </c>
      <c r="H12" s="64">
        <v>9.65</v>
      </c>
      <c r="I12" s="64">
        <v>1.05</v>
      </c>
      <c r="J12" s="64">
        <v>0.19</v>
      </c>
      <c r="K12" s="64">
        <v>311.64</v>
      </c>
      <c r="L12" s="64">
        <v>23.89</v>
      </c>
      <c r="M12" s="64">
        <v>98.04</v>
      </c>
      <c r="N12" s="64">
        <v>70</v>
      </c>
      <c r="O12" s="64">
        <v>0</v>
      </c>
      <c r="P12" s="64">
        <v>0.31</v>
      </c>
      <c r="Q12" s="64">
        <v>9.23</v>
      </c>
      <c r="R12" s="198"/>
      <c r="S12" s="198"/>
      <c r="T12" s="198"/>
      <c r="U12" s="198"/>
    </row>
    <row r="13" spans="1:21" s="12" customFormat="1" x14ac:dyDescent="0.25">
      <c r="A13" s="213" t="s">
        <v>536</v>
      </c>
      <c r="B13" s="64">
        <v>10.31</v>
      </c>
      <c r="C13" s="64">
        <v>10.42</v>
      </c>
      <c r="D13" s="64">
        <v>13.71</v>
      </c>
      <c r="E13" s="64">
        <v>4.8</v>
      </c>
      <c r="F13" s="64">
        <v>3.69</v>
      </c>
      <c r="G13" s="64">
        <v>37</v>
      </c>
      <c r="H13" s="64">
        <v>9.65</v>
      </c>
      <c r="I13" s="64">
        <v>1.02</v>
      </c>
      <c r="J13" s="64">
        <v>0.21</v>
      </c>
      <c r="K13" s="64">
        <v>305.52999999999997</v>
      </c>
      <c r="L13" s="64">
        <v>23.94</v>
      </c>
      <c r="M13" s="64">
        <v>98.01</v>
      </c>
      <c r="N13" s="64">
        <v>69.900000000000006</v>
      </c>
      <c r="O13" s="64">
        <v>0</v>
      </c>
      <c r="P13" s="64">
        <v>0.27</v>
      </c>
      <c r="Q13" s="64">
        <v>9.1999999999999993</v>
      </c>
      <c r="R13" s="198"/>
      <c r="S13" s="198"/>
      <c r="T13" s="198"/>
      <c r="U13" s="198"/>
    </row>
    <row r="14" spans="1:21" s="12" customFormat="1" x14ac:dyDescent="0.25">
      <c r="A14" s="213" t="s">
        <v>537</v>
      </c>
      <c r="B14" s="64">
        <v>8.6199999999999992</v>
      </c>
      <c r="C14" s="64">
        <v>11.29</v>
      </c>
      <c r="D14" s="64">
        <v>12.81</v>
      </c>
      <c r="E14" s="64">
        <v>4.91</v>
      </c>
      <c r="F14" s="64">
        <v>3.69</v>
      </c>
      <c r="G14" s="64">
        <v>37</v>
      </c>
      <c r="H14" s="64">
        <v>9.65</v>
      </c>
      <c r="I14" s="64">
        <v>0.96</v>
      </c>
      <c r="J14" s="64">
        <v>0.21</v>
      </c>
      <c r="K14" s="64">
        <v>304.18</v>
      </c>
      <c r="L14" s="64">
        <v>23.75</v>
      </c>
      <c r="M14" s="64">
        <v>98</v>
      </c>
      <c r="N14" s="64">
        <v>69.599999999999994</v>
      </c>
      <c r="O14" s="64">
        <v>0</v>
      </c>
      <c r="P14" s="64">
        <v>0.26</v>
      </c>
      <c r="Q14" s="64">
        <v>9.16</v>
      </c>
      <c r="R14" s="198"/>
      <c r="S14" s="198"/>
      <c r="T14" s="198"/>
      <c r="U14" s="198"/>
    </row>
    <row r="15" spans="1:21" s="12" customFormat="1" x14ac:dyDescent="0.25">
      <c r="A15" s="213" t="s">
        <v>538</v>
      </c>
      <c r="B15" s="64">
        <v>7.2</v>
      </c>
      <c r="C15" s="64">
        <v>11.6</v>
      </c>
      <c r="D15" s="64">
        <v>11.83</v>
      </c>
      <c r="E15" s="64">
        <v>5.14</v>
      </c>
      <c r="F15" s="64">
        <v>3.94</v>
      </c>
      <c r="G15" s="64">
        <v>32.61</v>
      </c>
      <c r="H15" s="64">
        <v>4.8099999999999996</v>
      </c>
      <c r="I15" s="64">
        <v>0.88</v>
      </c>
      <c r="J15" s="64">
        <v>0.18</v>
      </c>
      <c r="K15" s="64">
        <v>307.11</v>
      </c>
      <c r="L15" s="64">
        <v>23.62</v>
      </c>
      <c r="M15" s="64">
        <v>97.95</v>
      </c>
      <c r="N15" s="64">
        <v>70.3</v>
      </c>
      <c r="O15" s="64">
        <v>0</v>
      </c>
      <c r="P15" s="64">
        <v>0.24</v>
      </c>
      <c r="Q15" s="64">
        <v>9.11</v>
      </c>
      <c r="R15" s="198"/>
      <c r="S15" s="198"/>
      <c r="T15" s="198"/>
      <c r="U15" s="198"/>
    </row>
    <row r="16" spans="1:21" s="12" customFormat="1" x14ac:dyDescent="0.25">
      <c r="A16" s="213" t="s">
        <v>539</v>
      </c>
      <c r="B16" s="64">
        <v>6.3</v>
      </c>
      <c r="C16" s="64">
        <v>11.77</v>
      </c>
      <c r="D16" s="64">
        <v>11.2</v>
      </c>
      <c r="E16" s="64">
        <v>4.84</v>
      </c>
      <c r="F16" s="64">
        <v>3.98</v>
      </c>
      <c r="G16" s="64">
        <v>31.19</v>
      </c>
      <c r="H16" s="64">
        <v>3.24</v>
      </c>
      <c r="I16" s="64">
        <v>0.8</v>
      </c>
      <c r="J16" s="64">
        <v>0.23</v>
      </c>
      <c r="K16" s="64">
        <v>303.33</v>
      </c>
      <c r="L16" s="64">
        <v>23.5</v>
      </c>
      <c r="M16" s="64">
        <v>97.95</v>
      </c>
      <c r="N16" s="64">
        <v>70.8</v>
      </c>
      <c r="O16" s="64">
        <v>0</v>
      </c>
      <c r="P16" s="64">
        <v>0.22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3" t="s">
        <v>540</v>
      </c>
      <c r="B17" s="64">
        <v>5.62</v>
      </c>
      <c r="C17" s="64">
        <v>11.64</v>
      </c>
      <c r="D17" s="64">
        <v>10.58</v>
      </c>
      <c r="E17" s="64">
        <v>4.92</v>
      </c>
      <c r="F17" s="64">
        <v>4.28</v>
      </c>
      <c r="G17" s="64">
        <v>31.19</v>
      </c>
      <c r="H17" s="64">
        <v>3.24</v>
      </c>
      <c r="I17" s="64">
        <v>0.8</v>
      </c>
      <c r="J17" s="64">
        <v>0.19</v>
      </c>
      <c r="K17" s="64">
        <v>293.5</v>
      </c>
      <c r="L17" s="64">
        <v>23.41</v>
      </c>
      <c r="M17" s="64">
        <v>97.95</v>
      </c>
      <c r="N17" s="64">
        <v>71</v>
      </c>
      <c r="O17" s="64">
        <v>0</v>
      </c>
      <c r="P17" s="64">
        <v>0.21</v>
      </c>
      <c r="Q17" s="64">
        <v>9.0500000000000007</v>
      </c>
      <c r="R17" s="198"/>
      <c r="S17" s="198"/>
      <c r="T17" s="198"/>
      <c r="U17" s="198"/>
    </row>
    <row r="18" spans="1:21" s="12" customFormat="1" x14ac:dyDescent="0.25">
      <c r="A18" s="213" t="s">
        <v>541</v>
      </c>
      <c r="B18" s="64">
        <v>5.3</v>
      </c>
      <c r="C18" s="64">
        <v>11.76</v>
      </c>
      <c r="D18" s="64">
        <v>10.39</v>
      </c>
      <c r="E18" s="64">
        <v>4.8099999999999996</v>
      </c>
      <c r="F18" s="64">
        <v>4.01</v>
      </c>
      <c r="G18" s="64">
        <v>31.19</v>
      </c>
      <c r="H18" s="64">
        <v>3.24</v>
      </c>
      <c r="I18" s="64">
        <v>0.8</v>
      </c>
      <c r="J18" s="64">
        <v>0.22</v>
      </c>
      <c r="K18" s="64">
        <v>303.33999999999997</v>
      </c>
      <c r="L18" s="64">
        <v>23.36</v>
      </c>
      <c r="M18" s="64">
        <v>97.96</v>
      </c>
      <c r="N18" s="64">
        <v>71.099999999999994</v>
      </c>
      <c r="O18" s="64">
        <v>0</v>
      </c>
      <c r="P18" s="64">
        <v>0.21</v>
      </c>
      <c r="Q18" s="64">
        <v>9.01</v>
      </c>
      <c r="R18" s="198"/>
      <c r="S18" s="198"/>
      <c r="T18" s="198"/>
      <c r="U18" s="198"/>
    </row>
    <row r="19" spans="1:21" s="12" customFormat="1" x14ac:dyDescent="0.25">
      <c r="A19" s="213" t="s">
        <v>542</v>
      </c>
      <c r="B19" s="64">
        <v>5.12</v>
      </c>
      <c r="C19" s="64">
        <v>11.65</v>
      </c>
      <c r="D19" s="64">
        <v>10.199999999999999</v>
      </c>
      <c r="E19" s="64">
        <v>4.74</v>
      </c>
      <c r="F19" s="64">
        <v>3.4</v>
      </c>
      <c r="G19" s="64">
        <v>26</v>
      </c>
      <c r="H19" s="64">
        <v>4.37</v>
      </c>
      <c r="I19" s="64">
        <v>0.74</v>
      </c>
      <c r="J19" s="64">
        <v>0.21</v>
      </c>
      <c r="K19" s="64">
        <v>301.58999999999997</v>
      </c>
      <c r="L19" s="64">
        <v>23.34</v>
      </c>
      <c r="M19" s="64">
        <v>97.97</v>
      </c>
      <c r="N19" s="64">
        <v>71.400000000000006</v>
      </c>
      <c r="O19" s="64">
        <v>0</v>
      </c>
      <c r="P19" s="64">
        <v>0.18</v>
      </c>
      <c r="Q19" s="64">
        <v>9</v>
      </c>
      <c r="R19" s="198"/>
      <c r="S19" s="198"/>
      <c r="T19" s="198"/>
      <c r="U19" s="198"/>
    </row>
    <row r="20" spans="1:21" s="12" customFormat="1" x14ac:dyDescent="0.25">
      <c r="A20" s="213" t="s">
        <v>543</v>
      </c>
      <c r="B20" s="64">
        <v>4.92</v>
      </c>
      <c r="C20" s="64">
        <v>11.11</v>
      </c>
      <c r="D20" s="64">
        <v>9.75</v>
      </c>
      <c r="E20" s="64">
        <v>4.8899999999999997</v>
      </c>
      <c r="F20" s="64">
        <v>3.81</v>
      </c>
      <c r="G20" s="64">
        <v>24.33</v>
      </c>
      <c r="H20" s="64">
        <v>4.7300000000000004</v>
      </c>
      <c r="I20" s="64">
        <v>0.7</v>
      </c>
      <c r="J20" s="64">
        <v>0.21</v>
      </c>
      <c r="K20" s="64">
        <v>308.58</v>
      </c>
      <c r="L20" s="64">
        <v>23.3</v>
      </c>
      <c r="M20" s="64">
        <v>98.02</v>
      </c>
      <c r="N20" s="64">
        <v>71.900000000000006</v>
      </c>
      <c r="O20" s="64">
        <v>0</v>
      </c>
      <c r="P20" s="64">
        <v>0.19</v>
      </c>
      <c r="Q20" s="64">
        <v>8.99</v>
      </c>
      <c r="R20" s="198"/>
      <c r="S20" s="198"/>
      <c r="T20" s="198"/>
      <c r="U20" s="198"/>
    </row>
    <row r="21" spans="1:21" s="12" customFormat="1" x14ac:dyDescent="0.25">
      <c r="A21" s="213" t="s">
        <v>544</v>
      </c>
      <c r="B21" s="64">
        <v>4.87</v>
      </c>
      <c r="C21" s="64">
        <v>10.92</v>
      </c>
      <c r="D21" s="64">
        <v>9.61</v>
      </c>
      <c r="E21" s="64">
        <v>4.6100000000000003</v>
      </c>
      <c r="F21" s="64">
        <v>3.5</v>
      </c>
      <c r="G21" s="64">
        <v>24.33</v>
      </c>
      <c r="H21" s="64">
        <v>4.7300000000000004</v>
      </c>
      <c r="I21" s="64">
        <v>0.66</v>
      </c>
      <c r="J21" s="64">
        <v>0.13</v>
      </c>
      <c r="K21" s="64">
        <v>304.64</v>
      </c>
      <c r="L21" s="64">
        <v>23.28</v>
      </c>
      <c r="M21" s="64">
        <v>98</v>
      </c>
      <c r="N21" s="64">
        <v>72.2</v>
      </c>
      <c r="O21" s="64">
        <v>0</v>
      </c>
      <c r="P21" s="64">
        <v>0.16</v>
      </c>
      <c r="Q21" s="64">
        <v>8.98</v>
      </c>
      <c r="R21" s="198"/>
      <c r="S21" s="198"/>
      <c r="T21" s="198"/>
      <c r="U21" s="198"/>
    </row>
    <row r="22" spans="1:21" s="12" customFormat="1" x14ac:dyDescent="0.25">
      <c r="A22" s="213" t="s">
        <v>545</v>
      </c>
      <c r="B22" s="64">
        <v>4.97</v>
      </c>
      <c r="C22" s="64">
        <v>10.62</v>
      </c>
      <c r="D22" s="64">
        <v>9.5299999999999994</v>
      </c>
      <c r="E22" s="64">
        <v>4.6399999999999997</v>
      </c>
      <c r="F22" s="64">
        <v>3.85</v>
      </c>
      <c r="G22" s="64">
        <v>24.33</v>
      </c>
      <c r="H22" s="64">
        <v>4.7300000000000004</v>
      </c>
      <c r="I22" s="64">
        <v>0.64</v>
      </c>
      <c r="J22" s="64">
        <v>0.13</v>
      </c>
      <c r="K22" s="64">
        <v>296.37</v>
      </c>
      <c r="L22" s="64">
        <v>23.22</v>
      </c>
      <c r="M22" s="64">
        <v>97.98</v>
      </c>
      <c r="N22" s="64">
        <v>72.3</v>
      </c>
      <c r="O22" s="64">
        <v>0</v>
      </c>
      <c r="P22" s="64">
        <v>0.16</v>
      </c>
      <c r="Q22" s="64">
        <v>8.9600000000000009</v>
      </c>
      <c r="R22" s="198"/>
      <c r="S22" s="198"/>
      <c r="T22" s="198"/>
      <c r="U22" s="198"/>
    </row>
    <row r="23" spans="1:21" s="12" customFormat="1" x14ac:dyDescent="0.25">
      <c r="A23" s="213" t="s">
        <v>546</v>
      </c>
      <c r="B23" s="64">
        <v>5.01</v>
      </c>
      <c r="C23" s="64">
        <v>10.72</v>
      </c>
      <c r="D23" s="64">
        <v>9.6199999999999992</v>
      </c>
      <c r="E23" s="64">
        <v>4.8099999999999996</v>
      </c>
      <c r="F23" s="64">
        <v>3.49</v>
      </c>
      <c r="G23" s="64">
        <v>22.88</v>
      </c>
      <c r="H23" s="64">
        <v>4</v>
      </c>
      <c r="I23" s="64">
        <v>0.61</v>
      </c>
      <c r="J23" s="64">
        <v>0.18</v>
      </c>
      <c r="K23" s="64">
        <v>309.68</v>
      </c>
      <c r="L23" s="64">
        <v>23.16</v>
      </c>
      <c r="M23" s="64">
        <v>97.97</v>
      </c>
      <c r="N23" s="64">
        <v>72.5</v>
      </c>
      <c r="O23" s="64">
        <v>0</v>
      </c>
      <c r="P23" s="64">
        <v>0.16</v>
      </c>
      <c r="Q23" s="64">
        <v>8.9600000000000009</v>
      </c>
      <c r="R23" s="198"/>
      <c r="S23" s="198"/>
      <c r="T23" s="198"/>
      <c r="U23" s="198"/>
    </row>
    <row r="24" spans="1:21" s="12" customFormat="1" x14ac:dyDescent="0.25">
      <c r="A24" s="213" t="s">
        <v>547</v>
      </c>
      <c r="B24" s="64">
        <v>5</v>
      </c>
      <c r="C24" s="64">
        <v>10.56</v>
      </c>
      <c r="D24" s="64">
        <v>9.5299999999999994</v>
      </c>
      <c r="E24" s="64">
        <v>4.6399999999999997</v>
      </c>
      <c r="F24" s="64">
        <v>3.91</v>
      </c>
      <c r="G24" s="64">
        <v>22.42</v>
      </c>
      <c r="H24" s="64">
        <v>3.76</v>
      </c>
      <c r="I24" s="64">
        <v>0.59</v>
      </c>
      <c r="J24" s="64">
        <v>0.19</v>
      </c>
      <c r="K24" s="64">
        <v>295.04000000000002</v>
      </c>
      <c r="L24" s="64">
        <v>23.14</v>
      </c>
      <c r="M24" s="64">
        <v>98.02</v>
      </c>
      <c r="N24" s="64">
        <v>73</v>
      </c>
      <c r="O24" s="64">
        <v>0</v>
      </c>
      <c r="P24" s="64">
        <v>0.16</v>
      </c>
      <c r="Q24" s="64">
        <v>8.9600000000000009</v>
      </c>
      <c r="R24" s="198"/>
      <c r="S24" s="198"/>
      <c r="T24" s="198"/>
      <c r="U24" s="198"/>
    </row>
    <row r="25" spans="1:21" s="12" customFormat="1" x14ac:dyDescent="0.25">
      <c r="A25" s="213" t="s">
        <v>548</v>
      </c>
      <c r="B25" s="64">
        <v>4.93</v>
      </c>
      <c r="C25" s="64">
        <v>10.7</v>
      </c>
      <c r="D25" s="64">
        <v>9.5399999999999991</v>
      </c>
      <c r="E25" s="64">
        <v>4.92</v>
      </c>
      <c r="F25" s="64">
        <v>3.29</v>
      </c>
      <c r="G25" s="64">
        <v>22.42</v>
      </c>
      <c r="H25" s="64">
        <v>3.76</v>
      </c>
      <c r="I25" s="64">
        <v>0.57999999999999996</v>
      </c>
      <c r="J25" s="64">
        <v>0.13</v>
      </c>
      <c r="K25" s="64">
        <v>285.82</v>
      </c>
      <c r="L25" s="64">
        <v>23.01</v>
      </c>
      <c r="M25" s="64">
        <v>97.99</v>
      </c>
      <c r="N25" s="64">
        <v>73.400000000000006</v>
      </c>
      <c r="O25" s="64">
        <v>0</v>
      </c>
      <c r="P25" s="64">
        <v>0.14000000000000001</v>
      </c>
      <c r="Q25" s="64">
        <v>8.9600000000000009</v>
      </c>
      <c r="R25" s="198"/>
      <c r="S25" s="198"/>
      <c r="T25" s="198"/>
      <c r="U25" s="198"/>
    </row>
    <row r="26" spans="1:21" s="12" customFormat="1" x14ac:dyDescent="0.25">
      <c r="A26" s="213" t="s">
        <v>549</v>
      </c>
      <c r="B26" s="64">
        <v>4.92</v>
      </c>
      <c r="C26" s="64">
        <v>10.57</v>
      </c>
      <c r="D26" s="64">
        <v>9.4600000000000009</v>
      </c>
      <c r="E26" s="64">
        <v>4.75</v>
      </c>
      <c r="F26" s="64">
        <v>3.92</v>
      </c>
      <c r="G26" s="64">
        <v>22.42</v>
      </c>
      <c r="H26" s="64">
        <v>3.76</v>
      </c>
      <c r="I26" s="64">
        <v>0.57999999999999996</v>
      </c>
      <c r="J26" s="64">
        <v>0.17</v>
      </c>
      <c r="K26" s="64">
        <v>288.31</v>
      </c>
      <c r="L26" s="64">
        <v>22.9</v>
      </c>
      <c r="M26" s="64">
        <v>97.97</v>
      </c>
      <c r="N26" s="64">
        <v>73.599999999999994</v>
      </c>
      <c r="O26" s="64">
        <v>0</v>
      </c>
      <c r="P26" s="64">
        <v>0.15</v>
      </c>
      <c r="Q26" s="64">
        <v>8.94</v>
      </c>
      <c r="R26" s="198"/>
      <c r="S26" s="198"/>
      <c r="T26" s="198"/>
      <c r="U26" s="198"/>
    </row>
    <row r="27" spans="1:21" s="12" customFormat="1" x14ac:dyDescent="0.25">
      <c r="A27" s="213" t="s">
        <v>550</v>
      </c>
      <c r="B27" s="64">
        <v>4.8499999999999996</v>
      </c>
      <c r="C27" s="64">
        <v>10.67</v>
      </c>
      <c r="D27" s="64">
        <v>9.4600000000000009</v>
      </c>
      <c r="E27" s="64">
        <v>4.88</v>
      </c>
      <c r="F27" s="64">
        <v>3.14</v>
      </c>
      <c r="G27" s="64">
        <v>21.5</v>
      </c>
      <c r="H27" s="64">
        <v>1.98</v>
      </c>
      <c r="I27" s="64">
        <v>0.56000000000000005</v>
      </c>
      <c r="J27" s="64">
        <v>0.16</v>
      </c>
      <c r="K27" s="64">
        <v>299.39999999999998</v>
      </c>
      <c r="L27" s="64">
        <v>22.85</v>
      </c>
      <c r="M27" s="64">
        <v>97.97</v>
      </c>
      <c r="N27" s="64">
        <v>74</v>
      </c>
      <c r="O27" s="64">
        <v>0</v>
      </c>
      <c r="P27" s="64">
        <v>0.13</v>
      </c>
      <c r="Q27" s="64">
        <v>8.9499999999999993</v>
      </c>
      <c r="R27" s="198"/>
      <c r="S27" s="198"/>
      <c r="T27" s="198"/>
      <c r="U27" s="198"/>
    </row>
    <row r="28" spans="1:21" s="12" customFormat="1" x14ac:dyDescent="0.25">
      <c r="A28" s="213" t="s">
        <v>551</v>
      </c>
      <c r="B28" s="64">
        <v>4.7300000000000004</v>
      </c>
      <c r="C28" s="64">
        <v>10.67</v>
      </c>
      <c r="D28" s="64">
        <v>9.3699999999999992</v>
      </c>
      <c r="E28" s="64">
        <v>4.8600000000000003</v>
      </c>
      <c r="F28" s="64">
        <v>4.4400000000000004</v>
      </c>
      <c r="G28" s="64">
        <v>21.2</v>
      </c>
      <c r="H28" s="64">
        <v>1.41</v>
      </c>
      <c r="I28" s="64">
        <v>0.54</v>
      </c>
      <c r="J28" s="64">
        <v>0.15</v>
      </c>
      <c r="K28" s="64">
        <v>286.27</v>
      </c>
      <c r="L28" s="64">
        <v>22.88</v>
      </c>
      <c r="M28" s="64">
        <v>97.93</v>
      </c>
      <c r="N28" s="64">
        <v>74.3</v>
      </c>
      <c r="O28" s="64">
        <v>0</v>
      </c>
      <c r="P28" s="64">
        <v>0.12</v>
      </c>
      <c r="Q28" s="64">
        <v>8.9600000000000009</v>
      </c>
      <c r="R28" s="198"/>
      <c r="S28" s="198"/>
      <c r="T28" s="198"/>
      <c r="U28" s="198"/>
    </row>
    <row r="29" spans="1:21" s="12" customFormat="1" x14ac:dyDescent="0.25">
      <c r="A29" s="213" t="s">
        <v>552</v>
      </c>
      <c r="B29" s="64">
        <v>5.3</v>
      </c>
      <c r="C29" s="64">
        <v>13.09</v>
      </c>
      <c r="D29" s="64">
        <v>11.09</v>
      </c>
      <c r="E29" s="64">
        <v>4.6500000000000004</v>
      </c>
      <c r="F29" s="64">
        <v>3.82</v>
      </c>
      <c r="G29" s="64">
        <v>21.2</v>
      </c>
      <c r="H29" s="64">
        <v>1.41</v>
      </c>
      <c r="I29" s="64">
        <v>0.52</v>
      </c>
      <c r="J29" s="64">
        <v>0.16</v>
      </c>
      <c r="K29" s="64">
        <v>299.97000000000003</v>
      </c>
      <c r="L29" s="64">
        <v>22.85</v>
      </c>
      <c r="M29" s="64">
        <v>97.93</v>
      </c>
      <c r="N29" s="64">
        <v>74.900000000000006</v>
      </c>
      <c r="O29" s="64">
        <v>0</v>
      </c>
      <c r="P29" s="64">
        <v>0.12</v>
      </c>
      <c r="Q29" s="64">
        <v>8.9700000000000006</v>
      </c>
      <c r="R29" s="198"/>
      <c r="S29" s="198"/>
      <c r="T29" s="198"/>
      <c r="U29" s="198"/>
    </row>
    <row r="30" spans="1:21" s="12" customFormat="1" x14ac:dyDescent="0.25">
      <c r="A30" s="213" t="s">
        <v>553</v>
      </c>
      <c r="B30" s="64">
        <v>5.55</v>
      </c>
      <c r="C30" s="64">
        <v>13.13</v>
      </c>
      <c r="D30" s="64">
        <v>11.31</v>
      </c>
      <c r="E30" s="64">
        <v>4.83</v>
      </c>
      <c r="F30" s="64">
        <v>3.66</v>
      </c>
      <c r="G30" s="64">
        <v>21.2</v>
      </c>
      <c r="H30" s="64">
        <v>1.41</v>
      </c>
      <c r="I30" s="64">
        <v>0.51</v>
      </c>
      <c r="J30" s="64">
        <v>0.22</v>
      </c>
      <c r="K30" s="64">
        <v>284.64</v>
      </c>
      <c r="L30" s="64">
        <v>22.84</v>
      </c>
      <c r="M30" s="64">
        <v>97.92</v>
      </c>
      <c r="N30" s="64">
        <v>76.400000000000006</v>
      </c>
      <c r="O30" s="64">
        <v>0</v>
      </c>
      <c r="P30" s="64">
        <v>0.13</v>
      </c>
      <c r="Q30" s="64">
        <v>8.99</v>
      </c>
      <c r="R30" s="198"/>
      <c r="S30" s="198"/>
      <c r="T30" s="198"/>
      <c r="U30" s="198"/>
    </row>
    <row r="31" spans="1:21" s="12" customFormat="1" x14ac:dyDescent="0.25">
      <c r="A31" s="213" t="s">
        <v>554</v>
      </c>
      <c r="B31" s="64">
        <v>5.79</v>
      </c>
      <c r="C31" s="64">
        <v>12.3</v>
      </c>
      <c r="D31" s="64">
        <v>11.07</v>
      </c>
      <c r="E31" s="64">
        <v>4.54</v>
      </c>
      <c r="F31" s="64">
        <v>4.4000000000000004</v>
      </c>
      <c r="G31" s="64">
        <v>16.489999999999998</v>
      </c>
      <c r="H31" s="64">
        <v>0.64</v>
      </c>
      <c r="I31" s="64">
        <v>0.5</v>
      </c>
      <c r="J31" s="64">
        <v>0.2</v>
      </c>
      <c r="K31" s="64">
        <v>291.86</v>
      </c>
      <c r="L31" s="64">
        <v>22.93</v>
      </c>
      <c r="M31" s="64">
        <v>97.91</v>
      </c>
      <c r="N31" s="64">
        <v>80.599999999999994</v>
      </c>
      <c r="O31" s="64">
        <v>0</v>
      </c>
      <c r="P31" s="64">
        <v>0.13</v>
      </c>
      <c r="Q31" s="64">
        <v>8.99</v>
      </c>
      <c r="R31" s="198"/>
      <c r="S31" s="198"/>
      <c r="T31" s="198"/>
      <c r="U31" s="198"/>
    </row>
    <row r="32" spans="1:21" s="12" customFormat="1" x14ac:dyDescent="0.25">
      <c r="A32" s="213" t="s">
        <v>555</v>
      </c>
      <c r="B32" s="64">
        <v>5.66</v>
      </c>
      <c r="C32" s="64">
        <v>11.87</v>
      </c>
      <c r="D32" s="64">
        <v>10.74</v>
      </c>
      <c r="E32" s="64">
        <v>4.7300000000000004</v>
      </c>
      <c r="F32" s="64">
        <v>3.97</v>
      </c>
      <c r="G32" s="64">
        <v>14.96</v>
      </c>
      <c r="H32" s="64">
        <v>0.39</v>
      </c>
      <c r="I32" s="64">
        <v>0.5</v>
      </c>
      <c r="J32" s="64">
        <v>0.2</v>
      </c>
      <c r="K32" s="64">
        <v>296.48</v>
      </c>
      <c r="L32" s="64">
        <v>22.97</v>
      </c>
      <c r="M32" s="64">
        <v>97.89</v>
      </c>
      <c r="N32" s="64">
        <v>88.5</v>
      </c>
      <c r="O32" s="64">
        <v>0</v>
      </c>
      <c r="P32" s="64">
        <v>0.13</v>
      </c>
      <c r="Q32" s="64">
        <v>9</v>
      </c>
      <c r="R32" s="198"/>
      <c r="S32" s="198"/>
      <c r="T32" s="198"/>
      <c r="U32" s="198"/>
    </row>
    <row r="33" spans="1:21" s="12" customFormat="1" x14ac:dyDescent="0.25">
      <c r="A33" s="213" t="s">
        <v>556</v>
      </c>
      <c r="B33" s="64">
        <v>5.8</v>
      </c>
      <c r="C33" s="64">
        <v>12.08</v>
      </c>
      <c r="D33" s="64">
        <v>10.96</v>
      </c>
      <c r="E33" s="64">
        <v>4.84</v>
      </c>
      <c r="F33" s="64">
        <v>3.78</v>
      </c>
      <c r="G33" s="64">
        <v>14.96</v>
      </c>
      <c r="H33" s="64">
        <v>0.39</v>
      </c>
      <c r="I33" s="64">
        <v>0.51</v>
      </c>
      <c r="J33" s="64">
        <v>0.18</v>
      </c>
      <c r="K33" s="64">
        <v>299.76</v>
      </c>
      <c r="L33" s="64">
        <v>23.04</v>
      </c>
      <c r="M33" s="64">
        <v>97.85</v>
      </c>
      <c r="N33" s="64">
        <v>94.4</v>
      </c>
      <c r="O33" s="64">
        <v>0</v>
      </c>
      <c r="P33" s="64">
        <v>0.14000000000000001</v>
      </c>
      <c r="Q33" s="64">
        <v>9.01</v>
      </c>
      <c r="R33" s="198"/>
      <c r="S33" s="198"/>
      <c r="T33" s="198"/>
      <c r="U33" s="198"/>
    </row>
    <row r="34" spans="1:21" s="12" customFormat="1" x14ac:dyDescent="0.25">
      <c r="A34" s="213" t="s">
        <v>557</v>
      </c>
      <c r="B34" s="64">
        <v>5.81</v>
      </c>
      <c r="C34" s="64">
        <v>12.46</v>
      </c>
      <c r="D34" s="64">
        <v>11.17</v>
      </c>
      <c r="E34" s="64">
        <v>4.99</v>
      </c>
      <c r="F34" s="64">
        <v>3.89</v>
      </c>
      <c r="G34" s="64">
        <v>14.96</v>
      </c>
      <c r="H34" s="64">
        <v>0.39</v>
      </c>
      <c r="I34" s="64">
        <v>0.52</v>
      </c>
      <c r="J34" s="64">
        <v>0.18</v>
      </c>
      <c r="K34" s="64">
        <v>294.13</v>
      </c>
      <c r="L34" s="64">
        <v>23.11</v>
      </c>
      <c r="M34" s="64">
        <v>97.85</v>
      </c>
      <c r="N34" s="64">
        <v>103.2</v>
      </c>
      <c r="O34" s="64">
        <v>0</v>
      </c>
      <c r="P34" s="64">
        <v>0.14000000000000001</v>
      </c>
      <c r="Q34" s="64">
        <v>9.02</v>
      </c>
      <c r="R34" s="198"/>
      <c r="S34" s="198"/>
      <c r="T34" s="198"/>
      <c r="U34" s="198"/>
    </row>
    <row r="35" spans="1:21" s="12" customFormat="1" x14ac:dyDescent="0.25">
      <c r="A35" s="213" t="s">
        <v>558</v>
      </c>
      <c r="B35" s="64">
        <v>6.99</v>
      </c>
      <c r="C35" s="64">
        <v>14.52</v>
      </c>
      <c r="D35" s="64">
        <v>13.2</v>
      </c>
      <c r="E35" s="64">
        <v>4.71</v>
      </c>
      <c r="F35" s="64">
        <v>3.63</v>
      </c>
      <c r="G35" s="64">
        <v>12.35</v>
      </c>
      <c r="H35" s="64">
        <v>0.19</v>
      </c>
      <c r="I35" s="64">
        <v>0.53</v>
      </c>
      <c r="J35" s="64">
        <v>0.19</v>
      </c>
      <c r="K35" s="64">
        <v>289.81</v>
      </c>
      <c r="L35" s="64">
        <v>23.18</v>
      </c>
      <c r="M35" s="64">
        <v>97.85</v>
      </c>
      <c r="N35" s="64">
        <v>110.7</v>
      </c>
      <c r="O35" s="64">
        <v>0</v>
      </c>
      <c r="P35" s="64">
        <v>0.15</v>
      </c>
      <c r="Q35" s="64">
        <v>9.0299999999999994</v>
      </c>
      <c r="R35" s="198"/>
      <c r="S35" s="198"/>
      <c r="T35" s="198"/>
      <c r="U35" s="198"/>
    </row>
    <row r="36" spans="1:21" s="12" customFormat="1" x14ac:dyDescent="0.25">
      <c r="A36" s="213" t="s">
        <v>559</v>
      </c>
      <c r="B36" s="64">
        <v>6.33</v>
      </c>
      <c r="C36" s="64">
        <v>12.27</v>
      </c>
      <c r="D36" s="64">
        <v>11.49</v>
      </c>
      <c r="E36" s="64">
        <v>4.58</v>
      </c>
      <c r="F36" s="64">
        <v>3.43</v>
      </c>
      <c r="G36" s="64">
        <v>11.5</v>
      </c>
      <c r="H36" s="64">
        <v>0.12</v>
      </c>
      <c r="I36" s="64">
        <v>0.56000000000000005</v>
      </c>
      <c r="J36" s="64">
        <v>0.26</v>
      </c>
      <c r="K36" s="64">
        <v>290.8</v>
      </c>
      <c r="L36" s="64">
        <v>23.29</v>
      </c>
      <c r="M36" s="64">
        <v>97.87</v>
      </c>
      <c r="N36" s="64">
        <v>124.6</v>
      </c>
      <c r="O36" s="64">
        <v>0</v>
      </c>
      <c r="P36" s="64">
        <v>0.16</v>
      </c>
      <c r="Q36" s="64">
        <v>9.01</v>
      </c>
      <c r="R36" s="198"/>
      <c r="S36" s="198"/>
      <c r="T36" s="198"/>
      <c r="U36" s="198"/>
    </row>
    <row r="37" spans="1:21" s="12" customFormat="1" x14ac:dyDescent="0.25">
      <c r="A37" s="213" t="s">
        <v>560</v>
      </c>
      <c r="B37" s="64">
        <v>6.24</v>
      </c>
      <c r="C37" s="64">
        <v>12.21</v>
      </c>
      <c r="D37" s="64">
        <v>11.39</v>
      </c>
      <c r="E37" s="64">
        <v>4.45</v>
      </c>
      <c r="F37" s="64">
        <v>3.77</v>
      </c>
      <c r="G37" s="64">
        <v>11.5</v>
      </c>
      <c r="H37" s="64">
        <v>0.12</v>
      </c>
      <c r="I37" s="64">
        <v>0.56000000000000005</v>
      </c>
      <c r="J37" s="64">
        <v>0.28000000000000003</v>
      </c>
      <c r="K37" s="64">
        <v>289.45999999999998</v>
      </c>
      <c r="L37" s="64">
        <v>23.41</v>
      </c>
      <c r="M37" s="64">
        <v>97.83</v>
      </c>
      <c r="N37" s="64">
        <v>131.30000000000001</v>
      </c>
      <c r="O37" s="64">
        <v>0</v>
      </c>
      <c r="P37" s="64">
        <v>0.16</v>
      </c>
      <c r="Q37" s="64">
        <v>9.02</v>
      </c>
      <c r="R37" s="198"/>
      <c r="S37" s="198"/>
      <c r="T37" s="198"/>
      <c r="U37" s="198"/>
    </row>
    <row r="38" spans="1:21" s="12" customFormat="1" x14ac:dyDescent="0.25">
      <c r="A38" s="213" t="s">
        <v>561</v>
      </c>
      <c r="B38" s="64">
        <v>6.38</v>
      </c>
      <c r="C38" s="64">
        <v>12.25</v>
      </c>
      <c r="D38" s="64">
        <v>11.51</v>
      </c>
      <c r="E38" s="64">
        <v>4.7300000000000004</v>
      </c>
      <c r="F38" s="64">
        <v>3.46</v>
      </c>
      <c r="G38" s="64">
        <v>11.5</v>
      </c>
      <c r="H38" s="64">
        <v>0.12</v>
      </c>
      <c r="I38" s="64">
        <v>0.59</v>
      </c>
      <c r="J38" s="64">
        <v>0.33</v>
      </c>
      <c r="K38" s="64">
        <v>288.27</v>
      </c>
      <c r="L38" s="64">
        <v>23.64</v>
      </c>
      <c r="M38" s="64">
        <v>97.82</v>
      </c>
      <c r="N38" s="64">
        <v>135.6</v>
      </c>
      <c r="O38" s="64">
        <v>0</v>
      </c>
      <c r="P38" s="64">
        <v>0.21</v>
      </c>
      <c r="Q38" s="64">
        <v>9.02</v>
      </c>
      <c r="R38" s="198"/>
      <c r="S38" s="198"/>
      <c r="T38" s="198"/>
      <c r="U38" s="198"/>
    </row>
    <row r="39" spans="1:21" s="12" customFormat="1" x14ac:dyDescent="0.25">
      <c r="A39" s="213" t="s">
        <v>562</v>
      </c>
      <c r="B39" s="64">
        <v>6.39</v>
      </c>
      <c r="C39" s="64">
        <v>12.49</v>
      </c>
      <c r="D39" s="64">
        <v>11.65</v>
      </c>
      <c r="E39" s="64">
        <v>4.72</v>
      </c>
      <c r="F39" s="64">
        <v>3.58</v>
      </c>
      <c r="G39" s="64">
        <v>17.82</v>
      </c>
      <c r="H39" s="64">
        <v>15.9</v>
      </c>
      <c r="I39" s="64">
        <v>0.63</v>
      </c>
      <c r="J39" s="64">
        <v>0.27</v>
      </c>
      <c r="K39" s="64">
        <v>292.83</v>
      </c>
      <c r="L39" s="64">
        <v>23.84</v>
      </c>
      <c r="M39" s="64">
        <v>97.77</v>
      </c>
      <c r="N39" s="64">
        <v>203.7</v>
      </c>
      <c r="O39" s="64">
        <v>0</v>
      </c>
      <c r="P39" s="64">
        <v>0.21</v>
      </c>
      <c r="Q39" s="64">
        <v>9.02</v>
      </c>
      <c r="R39" s="198"/>
      <c r="S39" s="198"/>
      <c r="T39" s="198"/>
      <c r="U39" s="198"/>
    </row>
    <row r="40" spans="1:21" s="12" customFormat="1" x14ac:dyDescent="0.25">
      <c r="A40" s="213" t="s">
        <v>563</v>
      </c>
      <c r="B40" s="64">
        <v>6.63</v>
      </c>
      <c r="C40" s="64">
        <v>12.68</v>
      </c>
      <c r="D40" s="64">
        <v>11.94</v>
      </c>
      <c r="E40" s="64">
        <v>3.66</v>
      </c>
      <c r="F40" s="64">
        <v>3.34</v>
      </c>
      <c r="G40" s="64">
        <v>19.86</v>
      </c>
      <c r="H40" s="64">
        <v>15.9</v>
      </c>
      <c r="I40" s="64">
        <v>0.64</v>
      </c>
      <c r="J40" s="64">
        <v>0.31</v>
      </c>
      <c r="K40" s="64">
        <v>291.98</v>
      </c>
      <c r="L40" s="64">
        <v>24.2</v>
      </c>
      <c r="M40" s="64">
        <v>97.84</v>
      </c>
      <c r="N40" s="64">
        <v>214.5</v>
      </c>
      <c r="O40" s="64">
        <v>0</v>
      </c>
      <c r="P40" s="64">
        <v>0.22</v>
      </c>
      <c r="Q40" s="64">
        <v>9.02</v>
      </c>
      <c r="R40" s="198"/>
      <c r="S40" s="198"/>
      <c r="T40" s="198"/>
      <c r="U40" s="198"/>
    </row>
    <row r="41" spans="1:21" s="12" customFormat="1" x14ac:dyDescent="0.25">
      <c r="A41" s="213" t="s">
        <v>564</v>
      </c>
      <c r="B41" s="64">
        <v>6.82</v>
      </c>
      <c r="C41" s="64">
        <v>13</v>
      </c>
      <c r="D41" s="64">
        <v>12.26</v>
      </c>
      <c r="E41" s="64">
        <v>4.47</v>
      </c>
      <c r="F41" s="64">
        <v>3.38</v>
      </c>
      <c r="G41" s="64">
        <v>19.86</v>
      </c>
      <c r="H41" s="64">
        <v>15.9</v>
      </c>
      <c r="I41" s="64">
        <v>0.68</v>
      </c>
      <c r="J41" s="64">
        <v>0.35</v>
      </c>
      <c r="K41" s="64">
        <v>283.57</v>
      </c>
      <c r="L41" s="64">
        <v>24.42</v>
      </c>
      <c r="M41" s="64">
        <v>97.85</v>
      </c>
      <c r="N41" s="64">
        <v>227.7</v>
      </c>
      <c r="O41" s="64">
        <v>0</v>
      </c>
      <c r="P41" s="64">
        <v>0.21</v>
      </c>
      <c r="Q41" s="64">
        <v>9.0299999999999994</v>
      </c>
      <c r="R41" s="198"/>
      <c r="S41" s="198"/>
      <c r="T41" s="198"/>
      <c r="U41" s="198"/>
    </row>
    <row r="42" spans="1:21" s="12" customFormat="1" x14ac:dyDescent="0.25">
      <c r="A42" s="213" t="s">
        <v>565</v>
      </c>
      <c r="B42" s="64">
        <v>6.53</v>
      </c>
      <c r="C42" s="64">
        <v>13.17</v>
      </c>
      <c r="D42" s="64">
        <v>12.11</v>
      </c>
      <c r="E42" s="64">
        <v>4.0599999999999996</v>
      </c>
      <c r="F42" s="64">
        <v>4.12</v>
      </c>
      <c r="G42" s="64">
        <v>19.86</v>
      </c>
      <c r="H42" s="64">
        <v>15.9</v>
      </c>
      <c r="I42" s="64">
        <v>0.71</v>
      </c>
      <c r="J42" s="64">
        <v>0.3</v>
      </c>
      <c r="K42" s="64">
        <v>289.52999999999997</v>
      </c>
      <c r="L42" s="64">
        <v>24.56</v>
      </c>
      <c r="M42" s="64">
        <v>97.84</v>
      </c>
      <c r="N42" s="64">
        <v>250.8</v>
      </c>
      <c r="O42" s="64">
        <v>0</v>
      </c>
      <c r="P42" s="64">
        <v>0.25</v>
      </c>
      <c r="Q42" s="64">
        <v>9.01</v>
      </c>
      <c r="R42" s="198"/>
      <c r="S42" s="198"/>
      <c r="T42" s="198"/>
      <c r="U42" s="198"/>
    </row>
    <row r="43" spans="1:21" s="12" customFormat="1" x14ac:dyDescent="0.25">
      <c r="A43" s="213" t="s">
        <v>566</v>
      </c>
      <c r="B43" s="64">
        <v>6.18</v>
      </c>
      <c r="C43" s="64">
        <v>13.52</v>
      </c>
      <c r="D43" s="64">
        <v>12.02</v>
      </c>
      <c r="E43" s="64">
        <v>4.17</v>
      </c>
      <c r="F43" s="64">
        <v>2.8</v>
      </c>
      <c r="G43" s="64">
        <v>19.5</v>
      </c>
      <c r="H43" s="64">
        <v>11.98</v>
      </c>
      <c r="I43" s="64">
        <v>0.71</v>
      </c>
      <c r="J43" s="64">
        <v>0.3</v>
      </c>
      <c r="K43" s="64">
        <v>288.02999999999997</v>
      </c>
      <c r="L43" s="64">
        <v>24.82</v>
      </c>
      <c r="M43" s="64">
        <v>97.41</v>
      </c>
      <c r="N43" s="64">
        <v>269.7</v>
      </c>
      <c r="O43" s="64">
        <v>0</v>
      </c>
      <c r="P43" s="64">
        <v>0.22</v>
      </c>
      <c r="Q43" s="64">
        <v>9.01</v>
      </c>
      <c r="R43" s="198"/>
      <c r="S43" s="198"/>
      <c r="T43" s="198"/>
      <c r="U43" s="198"/>
    </row>
    <row r="44" spans="1:21" s="12" customFormat="1" x14ac:dyDescent="0.25">
      <c r="A44" s="213" t="s">
        <v>567</v>
      </c>
      <c r="B44" s="64">
        <v>6</v>
      </c>
      <c r="C44" s="64">
        <v>13.75</v>
      </c>
      <c r="D44" s="64">
        <v>12</v>
      </c>
      <c r="E44" s="64">
        <v>4.22</v>
      </c>
      <c r="F44" s="64">
        <v>4.37</v>
      </c>
      <c r="G44" s="64">
        <v>19.39</v>
      </c>
      <c r="H44" s="64">
        <v>11.98</v>
      </c>
      <c r="I44" s="64">
        <v>0.71</v>
      </c>
      <c r="J44" s="64">
        <v>0.28000000000000003</v>
      </c>
      <c r="K44" s="64">
        <v>287.08999999999997</v>
      </c>
      <c r="L44" s="64">
        <v>24.98</v>
      </c>
      <c r="M44" s="64">
        <v>96.35</v>
      </c>
      <c r="N44" s="64">
        <v>250.2</v>
      </c>
      <c r="O44" s="64">
        <v>0</v>
      </c>
      <c r="P44" s="64">
        <v>0.23</v>
      </c>
      <c r="Q44" s="64">
        <v>9.01</v>
      </c>
      <c r="R44" s="198"/>
      <c r="S44" s="198"/>
      <c r="T44" s="198"/>
      <c r="U44" s="198"/>
    </row>
    <row r="45" spans="1:21" s="12" customFormat="1" x14ac:dyDescent="0.25">
      <c r="A45" s="213" t="s">
        <v>568</v>
      </c>
      <c r="B45" s="64">
        <v>5.75</v>
      </c>
      <c r="C45" s="64">
        <v>13.85</v>
      </c>
      <c r="D45" s="64">
        <v>11.85</v>
      </c>
      <c r="E45" s="64">
        <v>4.3600000000000003</v>
      </c>
      <c r="F45" s="64">
        <v>3.76</v>
      </c>
      <c r="G45" s="64">
        <v>19.39</v>
      </c>
      <c r="H45" s="64">
        <v>11.98</v>
      </c>
      <c r="I45" s="64">
        <v>0.71</v>
      </c>
      <c r="J45" s="64">
        <v>0.36</v>
      </c>
      <c r="K45" s="64">
        <v>292.93</v>
      </c>
      <c r="L45" s="64">
        <v>24.97</v>
      </c>
      <c r="M45" s="64">
        <v>95.75</v>
      </c>
      <c r="N45" s="64">
        <v>301.2</v>
      </c>
      <c r="O45" s="64">
        <v>0</v>
      </c>
      <c r="P45" s="64">
        <v>0.23</v>
      </c>
      <c r="Q45" s="64">
        <v>9.01</v>
      </c>
      <c r="R45" s="198"/>
      <c r="S45" s="198"/>
      <c r="T45" s="198"/>
      <c r="U45" s="198"/>
    </row>
    <row r="46" spans="1:21" s="12" customFormat="1" x14ac:dyDescent="0.25">
      <c r="A46" s="213" t="s">
        <v>569</v>
      </c>
      <c r="B46" s="64">
        <v>5.44</v>
      </c>
      <c r="C46" s="64">
        <v>14.45</v>
      </c>
      <c r="D46" s="64">
        <v>11.91</v>
      </c>
      <c r="E46" s="64">
        <v>4.7300000000000004</v>
      </c>
      <c r="F46" s="64">
        <v>4.34</v>
      </c>
      <c r="G46" s="64">
        <v>19.39</v>
      </c>
      <c r="H46" s="64">
        <v>11.98</v>
      </c>
      <c r="I46" s="64">
        <v>0.71</v>
      </c>
      <c r="J46" s="64">
        <v>0.34</v>
      </c>
      <c r="K46" s="64">
        <v>291.83999999999997</v>
      </c>
      <c r="L46" s="64">
        <v>25.22</v>
      </c>
      <c r="M46" s="64">
        <v>94.75</v>
      </c>
      <c r="N46" s="64">
        <v>275.10000000000002</v>
      </c>
      <c r="O46" s="64">
        <v>0</v>
      </c>
      <c r="P46" s="64">
        <v>0.23</v>
      </c>
      <c r="Q46" s="64">
        <v>9.0299999999999994</v>
      </c>
      <c r="R46" s="198"/>
      <c r="S46" s="198"/>
      <c r="T46" s="198"/>
      <c r="U46" s="198"/>
    </row>
    <row r="47" spans="1:21" s="12" customFormat="1" x14ac:dyDescent="0.25">
      <c r="A47" s="213" t="s">
        <v>570</v>
      </c>
      <c r="B47" s="64">
        <v>5.21</v>
      </c>
      <c r="C47" s="64">
        <v>14.37</v>
      </c>
      <c r="D47" s="64">
        <v>11.68</v>
      </c>
      <c r="E47" s="64">
        <v>4.4000000000000004</v>
      </c>
      <c r="F47" s="64">
        <v>4.45</v>
      </c>
      <c r="G47" s="64">
        <v>25.75</v>
      </c>
      <c r="H47" s="64">
        <v>11.98</v>
      </c>
      <c r="I47" s="64">
        <v>0.69</v>
      </c>
      <c r="J47" s="64">
        <v>0.32</v>
      </c>
      <c r="K47" s="64">
        <v>293.25</v>
      </c>
      <c r="L47" s="64">
        <v>25.55</v>
      </c>
      <c r="M47" s="64">
        <v>94.03</v>
      </c>
      <c r="N47" s="64">
        <v>223.2</v>
      </c>
      <c r="O47" s="64">
        <v>0</v>
      </c>
      <c r="P47" s="64">
        <v>0.24</v>
      </c>
      <c r="Q47" s="64">
        <v>9.0299999999999994</v>
      </c>
      <c r="R47" s="198"/>
      <c r="S47" s="198"/>
      <c r="T47" s="198"/>
      <c r="U47" s="198"/>
    </row>
    <row r="48" spans="1:21" s="12" customFormat="1" x14ac:dyDescent="0.25">
      <c r="A48" s="213" t="s">
        <v>571</v>
      </c>
      <c r="B48" s="64">
        <v>5.44</v>
      </c>
      <c r="C48" s="64">
        <v>14.8</v>
      </c>
      <c r="D48" s="64">
        <v>12.1</v>
      </c>
      <c r="E48" s="64">
        <v>4.22</v>
      </c>
      <c r="F48" s="64">
        <v>4.18</v>
      </c>
      <c r="G48" s="64">
        <v>27.81</v>
      </c>
      <c r="H48" s="64">
        <v>13.64</v>
      </c>
      <c r="I48" s="64">
        <v>0.68</v>
      </c>
      <c r="J48" s="64">
        <v>0.38</v>
      </c>
      <c r="K48" s="64">
        <v>292.85000000000002</v>
      </c>
      <c r="L48" s="64">
        <v>25.33</v>
      </c>
      <c r="M48" s="64">
        <v>94.53</v>
      </c>
      <c r="N48" s="64">
        <v>194.4</v>
      </c>
      <c r="O48" s="64">
        <v>0</v>
      </c>
      <c r="P48" s="64">
        <v>0.26</v>
      </c>
      <c r="Q48" s="64">
        <v>9.0299999999999994</v>
      </c>
      <c r="R48" s="198"/>
      <c r="S48" s="198"/>
      <c r="T48" s="198"/>
      <c r="U48" s="198"/>
    </row>
    <row r="49" spans="1:21" s="12" customFormat="1" x14ac:dyDescent="0.25">
      <c r="A49" s="213" t="s">
        <v>572</v>
      </c>
      <c r="B49" s="64">
        <v>5.96</v>
      </c>
      <c r="C49" s="64">
        <v>15.08</v>
      </c>
      <c r="D49" s="64">
        <v>12.66</v>
      </c>
      <c r="E49" s="64">
        <v>4.3600000000000003</v>
      </c>
      <c r="F49" s="64">
        <v>3.81</v>
      </c>
      <c r="G49" s="64">
        <v>27.81</v>
      </c>
      <c r="H49" s="64">
        <v>13.64</v>
      </c>
      <c r="I49" s="64">
        <v>0.7</v>
      </c>
      <c r="J49" s="64">
        <v>0.36</v>
      </c>
      <c r="K49" s="64">
        <v>285.57</v>
      </c>
      <c r="L49" s="64">
        <v>25.46</v>
      </c>
      <c r="M49" s="64">
        <v>94.33</v>
      </c>
      <c r="N49" s="64">
        <v>269.89999999999998</v>
      </c>
      <c r="O49" s="64">
        <v>0</v>
      </c>
      <c r="P49" s="64">
        <v>0.27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3" t="s">
        <v>573</v>
      </c>
      <c r="B50" s="64">
        <v>5.97</v>
      </c>
      <c r="C50" s="64">
        <v>15.24</v>
      </c>
      <c r="D50" s="64">
        <v>12.75</v>
      </c>
      <c r="E50" s="64">
        <v>4.3</v>
      </c>
      <c r="F50" s="64">
        <v>3.82</v>
      </c>
      <c r="G50" s="64">
        <v>27.81</v>
      </c>
      <c r="H50" s="64">
        <v>13.64</v>
      </c>
      <c r="I50" s="64">
        <v>0.72</v>
      </c>
      <c r="J50" s="64">
        <v>0.38</v>
      </c>
      <c r="K50" s="64">
        <v>284.08</v>
      </c>
      <c r="L50" s="64">
        <v>25.69</v>
      </c>
      <c r="M50" s="64">
        <v>93.37</v>
      </c>
      <c r="N50" s="64">
        <v>301.8</v>
      </c>
      <c r="O50" s="64">
        <v>0</v>
      </c>
      <c r="P50" s="64">
        <v>0.27</v>
      </c>
      <c r="Q50" s="64">
        <v>9.07</v>
      </c>
      <c r="R50" s="198"/>
      <c r="S50" s="198"/>
      <c r="T50" s="198"/>
      <c r="U50" s="198"/>
    </row>
    <row r="51" spans="1:21" s="12" customFormat="1" x14ac:dyDescent="0.25">
      <c r="A51" s="213" t="s">
        <v>574</v>
      </c>
      <c r="B51" s="64">
        <v>6.07</v>
      </c>
      <c r="C51" s="64">
        <v>15.67</v>
      </c>
      <c r="D51" s="64">
        <v>13.06</v>
      </c>
      <c r="E51" s="64">
        <v>4.37</v>
      </c>
      <c r="F51" s="64">
        <v>3.91</v>
      </c>
      <c r="G51" s="64">
        <v>32.99</v>
      </c>
      <c r="H51" s="64">
        <v>20.92</v>
      </c>
      <c r="I51" s="64">
        <v>0.69</v>
      </c>
      <c r="J51" s="64">
        <v>0.27</v>
      </c>
      <c r="K51" s="64">
        <v>291.23</v>
      </c>
      <c r="L51" s="64">
        <v>25.76</v>
      </c>
      <c r="M51" s="64">
        <v>93.53</v>
      </c>
      <c r="N51" s="64">
        <v>225.3</v>
      </c>
      <c r="O51" s="64">
        <v>0</v>
      </c>
      <c r="P51" s="64">
        <v>0.28999999999999998</v>
      </c>
      <c r="Q51" s="64">
        <v>9.08</v>
      </c>
      <c r="R51" s="198"/>
      <c r="S51" s="198"/>
      <c r="T51" s="198"/>
      <c r="U51" s="198"/>
    </row>
    <row r="52" spans="1:21" s="12" customFormat="1" x14ac:dyDescent="0.25">
      <c r="A52" s="213" t="s">
        <v>575</v>
      </c>
      <c r="B52" s="64">
        <v>6.09</v>
      </c>
      <c r="C52" s="64">
        <v>16.39</v>
      </c>
      <c r="D52" s="64">
        <v>13.45</v>
      </c>
      <c r="E52" s="64">
        <v>4.42</v>
      </c>
      <c r="F52" s="64">
        <v>4.04</v>
      </c>
      <c r="G52" s="64">
        <v>34.659999999999997</v>
      </c>
      <c r="H52" s="64">
        <v>23.28</v>
      </c>
      <c r="I52" s="64">
        <v>0.66</v>
      </c>
      <c r="J52" s="64">
        <v>0.3</v>
      </c>
      <c r="K52" s="64">
        <v>298.17</v>
      </c>
      <c r="L52" s="64">
        <v>25.59</v>
      </c>
      <c r="M52" s="64">
        <v>94.11</v>
      </c>
      <c r="N52" s="64">
        <v>191.6</v>
      </c>
      <c r="O52" s="64">
        <v>0</v>
      </c>
      <c r="P52" s="64">
        <v>0.31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3" t="s">
        <v>576</v>
      </c>
      <c r="B53" s="64">
        <v>6.24</v>
      </c>
      <c r="C53" s="64">
        <v>17.48</v>
      </c>
      <c r="D53" s="64">
        <v>14.13</v>
      </c>
      <c r="E53" s="64">
        <v>4.62</v>
      </c>
      <c r="F53" s="64">
        <v>4.22</v>
      </c>
      <c r="G53" s="64">
        <v>34.659999999999997</v>
      </c>
      <c r="H53" s="64">
        <v>23.28</v>
      </c>
      <c r="I53" s="64">
        <v>0.69</v>
      </c>
      <c r="J53" s="64">
        <v>0.41</v>
      </c>
      <c r="K53" s="64">
        <v>287.89</v>
      </c>
      <c r="L53" s="64">
        <v>26.2</v>
      </c>
      <c r="M53" s="64">
        <v>91.07</v>
      </c>
      <c r="N53" s="64">
        <v>343</v>
      </c>
      <c r="O53" s="64">
        <v>0</v>
      </c>
      <c r="P53" s="64">
        <v>0.32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3" t="s">
        <v>577</v>
      </c>
      <c r="B54" s="64">
        <v>6.34</v>
      </c>
      <c r="C54" s="64">
        <v>18.23</v>
      </c>
      <c r="D54" s="64">
        <v>14.61</v>
      </c>
      <c r="E54" s="64">
        <v>4.5</v>
      </c>
      <c r="F54" s="64">
        <v>4.29</v>
      </c>
      <c r="G54" s="64">
        <v>34.659999999999997</v>
      </c>
      <c r="H54" s="64">
        <v>23.28</v>
      </c>
      <c r="I54" s="64">
        <v>0.72</v>
      </c>
      <c r="J54" s="64">
        <v>0.39</v>
      </c>
      <c r="K54" s="64">
        <v>291.73</v>
      </c>
      <c r="L54" s="64">
        <v>26.58</v>
      </c>
      <c r="M54" s="64">
        <v>89.49</v>
      </c>
      <c r="N54" s="64">
        <v>338.2</v>
      </c>
      <c r="O54" s="64">
        <v>0</v>
      </c>
      <c r="P54" s="64">
        <v>0.32</v>
      </c>
      <c r="Q54" s="64">
        <v>9.06</v>
      </c>
      <c r="R54" s="198"/>
      <c r="S54" s="198"/>
      <c r="T54" s="198"/>
      <c r="U54" s="198"/>
    </row>
    <row r="55" spans="1:21" s="12" customFormat="1" x14ac:dyDescent="0.25">
      <c r="A55" s="213" t="s">
        <v>578</v>
      </c>
      <c r="B55" s="64">
        <v>5.88</v>
      </c>
      <c r="C55" s="64">
        <v>19.3</v>
      </c>
      <c r="D55" s="64">
        <v>14.8</v>
      </c>
      <c r="E55" s="64">
        <v>4.4400000000000004</v>
      </c>
      <c r="F55" s="64">
        <v>5.38</v>
      </c>
      <c r="G55" s="64">
        <v>40.08</v>
      </c>
      <c r="H55" s="64">
        <v>14.36</v>
      </c>
      <c r="I55" s="64">
        <v>0.74</v>
      </c>
      <c r="J55" s="64">
        <v>0.37</v>
      </c>
      <c r="K55" s="64">
        <v>282.83</v>
      </c>
      <c r="L55" s="64">
        <v>26.68</v>
      </c>
      <c r="M55" s="64">
        <v>88.7</v>
      </c>
      <c r="N55" s="64">
        <v>262.60000000000002</v>
      </c>
      <c r="O55" s="64">
        <v>0</v>
      </c>
      <c r="P55" s="64">
        <v>0.33</v>
      </c>
      <c r="Q55" s="64">
        <v>9.07</v>
      </c>
      <c r="R55" s="198"/>
      <c r="S55" s="198"/>
      <c r="T55" s="198"/>
      <c r="U55" s="198"/>
    </row>
    <row r="56" spans="1:21" s="12" customFormat="1" x14ac:dyDescent="0.25">
      <c r="A56" s="213" t="s">
        <v>579</v>
      </c>
      <c r="B56" s="64">
        <v>5.07</v>
      </c>
      <c r="C56" s="64">
        <v>19.23</v>
      </c>
      <c r="D56" s="64">
        <v>14.12</v>
      </c>
      <c r="E56" s="64">
        <v>4.4400000000000004</v>
      </c>
      <c r="F56" s="64">
        <v>5.21</v>
      </c>
      <c r="G56" s="64">
        <v>41.83</v>
      </c>
      <c r="H56" s="64">
        <v>11.47</v>
      </c>
      <c r="I56" s="64">
        <v>0.75</v>
      </c>
      <c r="J56" s="64">
        <v>0.34</v>
      </c>
      <c r="K56" s="64">
        <v>290.62</v>
      </c>
      <c r="L56" s="64">
        <v>26.55</v>
      </c>
      <c r="M56" s="64">
        <v>89.68</v>
      </c>
      <c r="N56" s="64">
        <v>336.6</v>
      </c>
      <c r="O56" s="64">
        <v>0</v>
      </c>
      <c r="P56" s="64">
        <v>0.33</v>
      </c>
      <c r="Q56" s="64">
        <v>9.0500000000000007</v>
      </c>
      <c r="R56" s="198"/>
      <c r="S56" s="198"/>
      <c r="T56" s="198"/>
      <c r="U56" s="198"/>
    </row>
    <row r="57" spans="1:21" s="12" customFormat="1" x14ac:dyDescent="0.25">
      <c r="A57" s="213" t="s">
        <v>580</v>
      </c>
      <c r="B57" s="64">
        <v>4.9800000000000004</v>
      </c>
      <c r="C57" s="64">
        <v>18.89</v>
      </c>
      <c r="D57" s="64">
        <v>13.87</v>
      </c>
      <c r="E57" s="64">
        <v>4.13</v>
      </c>
      <c r="F57" s="64">
        <v>3.44</v>
      </c>
      <c r="G57" s="64">
        <v>41.83</v>
      </c>
      <c r="H57" s="64">
        <v>11.47</v>
      </c>
      <c r="I57" s="64">
        <v>0.78</v>
      </c>
      <c r="J57" s="64">
        <v>0.28999999999999998</v>
      </c>
      <c r="K57" s="64">
        <v>294.87</v>
      </c>
      <c r="L57" s="64">
        <v>26.57</v>
      </c>
      <c r="M57" s="64">
        <v>88.5</v>
      </c>
      <c r="N57" s="64">
        <v>191.7</v>
      </c>
      <c r="O57" s="64">
        <v>0</v>
      </c>
      <c r="P57" s="64">
        <v>0.32</v>
      </c>
      <c r="Q57" s="64">
        <v>9.0399999999999991</v>
      </c>
      <c r="R57" s="198"/>
      <c r="S57" s="198"/>
      <c r="T57" s="198"/>
      <c r="U57" s="198"/>
    </row>
    <row r="58" spans="1:21" s="12" customFormat="1" x14ac:dyDescent="0.25">
      <c r="A58" s="213" t="s">
        <v>581</v>
      </c>
      <c r="B58" s="64">
        <v>5.27</v>
      </c>
      <c r="C58" s="64">
        <v>18.27</v>
      </c>
      <c r="D58" s="64">
        <v>13.77</v>
      </c>
      <c r="E58" s="64">
        <v>4.57</v>
      </c>
      <c r="F58" s="64">
        <v>4.8499999999999996</v>
      </c>
      <c r="G58" s="64">
        <v>41.83</v>
      </c>
      <c r="H58" s="64">
        <v>11.47</v>
      </c>
      <c r="I58" s="64">
        <v>0.83</v>
      </c>
      <c r="J58" s="64">
        <v>0.34</v>
      </c>
      <c r="K58" s="64">
        <v>289.51</v>
      </c>
      <c r="L58" s="64">
        <v>26.77</v>
      </c>
      <c r="M58" s="64">
        <v>88.09</v>
      </c>
      <c r="N58" s="64">
        <v>179.1</v>
      </c>
      <c r="O58" s="64">
        <v>0</v>
      </c>
      <c r="P58" s="64">
        <v>0.33</v>
      </c>
      <c r="Q58" s="64">
        <v>9.0299999999999994</v>
      </c>
      <c r="R58" s="198"/>
      <c r="S58" s="198"/>
      <c r="T58" s="198"/>
      <c r="U58" s="198"/>
    </row>
    <row r="59" spans="1:21" s="12" customFormat="1" x14ac:dyDescent="0.25">
      <c r="A59" s="213" t="s">
        <v>582</v>
      </c>
      <c r="B59" s="64">
        <v>5.34</v>
      </c>
      <c r="C59" s="64">
        <v>18.440000000000001</v>
      </c>
      <c r="D59" s="64">
        <v>13.91</v>
      </c>
      <c r="E59" s="64">
        <v>4.42</v>
      </c>
      <c r="F59" s="64">
        <v>5.23</v>
      </c>
      <c r="G59" s="64">
        <v>44.1</v>
      </c>
      <c r="H59" s="64">
        <v>8.74</v>
      </c>
      <c r="I59" s="64">
        <v>0.88</v>
      </c>
      <c r="J59" s="64">
        <v>0.4</v>
      </c>
      <c r="K59" s="64">
        <v>288.62</v>
      </c>
      <c r="L59" s="64">
        <v>26.5</v>
      </c>
      <c r="M59" s="64">
        <v>88.38</v>
      </c>
      <c r="N59" s="64">
        <v>188.8</v>
      </c>
      <c r="O59" s="64">
        <v>0</v>
      </c>
      <c r="P59" s="64">
        <v>0.35</v>
      </c>
      <c r="Q59" s="64">
        <v>9.0399999999999991</v>
      </c>
      <c r="R59" s="198"/>
      <c r="S59" s="198"/>
      <c r="T59" s="198"/>
      <c r="U59" s="198"/>
    </row>
    <row r="60" spans="1:21" s="12" customFormat="1" x14ac:dyDescent="0.25">
      <c r="A60" s="213" t="s">
        <v>583</v>
      </c>
      <c r="B60" s="64">
        <v>5.28</v>
      </c>
      <c r="C60" s="64">
        <v>19.16</v>
      </c>
      <c r="D60" s="64">
        <v>14.25</v>
      </c>
      <c r="E60" s="64">
        <v>4.13</v>
      </c>
      <c r="F60" s="64">
        <v>4.59</v>
      </c>
      <c r="G60" s="64">
        <v>44.83</v>
      </c>
      <c r="H60" s="64">
        <v>7.86</v>
      </c>
      <c r="I60" s="64">
        <v>0.92</v>
      </c>
      <c r="J60" s="64">
        <v>0.43</v>
      </c>
      <c r="K60" s="64">
        <v>282.61</v>
      </c>
      <c r="L60" s="64">
        <v>27.07</v>
      </c>
      <c r="M60" s="64">
        <v>84.16</v>
      </c>
      <c r="N60" s="64">
        <v>309.39999999999998</v>
      </c>
      <c r="O60" s="64">
        <v>0</v>
      </c>
      <c r="P60" s="64">
        <v>0.38</v>
      </c>
      <c r="Q60" s="64">
        <v>9.0399999999999991</v>
      </c>
      <c r="R60" s="198"/>
      <c r="S60" s="198"/>
      <c r="T60" s="198"/>
      <c r="U60" s="198"/>
    </row>
    <row r="61" spans="1:21" s="12" customFormat="1" x14ac:dyDescent="0.25">
      <c r="A61" s="213" t="s">
        <v>584</v>
      </c>
      <c r="B61" s="64">
        <v>5.7</v>
      </c>
      <c r="C61" s="64">
        <v>19.38</v>
      </c>
      <c r="D61" s="64">
        <v>14.7</v>
      </c>
      <c r="E61" s="64">
        <v>4.3899999999999997</v>
      </c>
      <c r="F61" s="64">
        <v>4.8600000000000003</v>
      </c>
      <c r="G61" s="64">
        <v>44.83</v>
      </c>
      <c r="H61" s="64">
        <v>7.86</v>
      </c>
      <c r="I61" s="64">
        <v>0.96</v>
      </c>
      <c r="J61" s="64">
        <v>0.37</v>
      </c>
      <c r="K61" s="64">
        <v>287.05</v>
      </c>
      <c r="L61" s="64">
        <v>27.33</v>
      </c>
      <c r="M61" s="64">
        <v>83.09</v>
      </c>
      <c r="N61" s="64">
        <v>200.4</v>
      </c>
      <c r="O61" s="64">
        <v>0</v>
      </c>
      <c r="P61" s="64">
        <v>0.28999999999999998</v>
      </c>
      <c r="Q61" s="64">
        <v>9.07</v>
      </c>
      <c r="R61" s="198"/>
      <c r="S61" s="198"/>
      <c r="T61" s="198"/>
      <c r="U61" s="198"/>
    </row>
    <row r="62" spans="1:21" s="12" customFormat="1" x14ac:dyDescent="0.25">
      <c r="A62" s="213" t="s">
        <v>585</v>
      </c>
      <c r="B62" s="64">
        <v>5.69</v>
      </c>
      <c r="C62" s="64">
        <v>18.78</v>
      </c>
      <c r="D62" s="64">
        <v>14.37</v>
      </c>
      <c r="E62" s="64">
        <v>4.32</v>
      </c>
      <c r="F62" s="64">
        <v>3.71</v>
      </c>
      <c r="G62" s="64">
        <v>44.83</v>
      </c>
      <c r="H62" s="64">
        <v>7.86</v>
      </c>
      <c r="I62" s="64">
        <v>1.03</v>
      </c>
      <c r="J62" s="64">
        <v>0.44</v>
      </c>
      <c r="K62" s="64">
        <v>285.17</v>
      </c>
      <c r="L62" s="64">
        <v>27</v>
      </c>
      <c r="M62" s="64">
        <v>85.52</v>
      </c>
      <c r="N62" s="64">
        <v>181</v>
      </c>
      <c r="O62" s="64">
        <v>0</v>
      </c>
      <c r="P62" s="64">
        <v>0.32</v>
      </c>
      <c r="Q62" s="64">
        <v>9.1</v>
      </c>
      <c r="R62" s="198"/>
      <c r="S62" s="198"/>
      <c r="T62" s="198"/>
      <c r="U62" s="198"/>
    </row>
    <row r="63" spans="1:21" s="12" customFormat="1" x14ac:dyDescent="0.25">
      <c r="A63" s="213" t="s">
        <v>586</v>
      </c>
      <c r="B63" s="64">
        <v>6.76</v>
      </c>
      <c r="C63" s="64">
        <v>19.97</v>
      </c>
      <c r="D63" s="64">
        <v>15.85</v>
      </c>
      <c r="E63" s="64">
        <v>4.84</v>
      </c>
      <c r="F63" s="64">
        <v>4.1500000000000004</v>
      </c>
      <c r="G63" s="64">
        <v>58.65</v>
      </c>
      <c r="H63" s="64">
        <v>18.2</v>
      </c>
      <c r="I63" s="64">
        <v>1.08</v>
      </c>
      <c r="J63" s="64">
        <v>0.3</v>
      </c>
      <c r="K63" s="64">
        <v>289.36</v>
      </c>
      <c r="L63" s="64">
        <v>26.4</v>
      </c>
      <c r="M63" s="64">
        <v>90.58</v>
      </c>
      <c r="N63" s="64">
        <v>126.7</v>
      </c>
      <c r="O63" s="64">
        <v>0</v>
      </c>
      <c r="P63" s="64">
        <v>0.34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3" t="s">
        <v>587</v>
      </c>
      <c r="B64" s="64">
        <v>6.71</v>
      </c>
      <c r="C64" s="64">
        <v>18.32</v>
      </c>
      <c r="D64" s="64">
        <v>14.95</v>
      </c>
      <c r="E64" s="64">
        <v>4.6500000000000004</v>
      </c>
      <c r="F64" s="64">
        <v>4.3</v>
      </c>
      <c r="G64" s="64">
        <v>63.12</v>
      </c>
      <c r="H64" s="64">
        <v>21.54</v>
      </c>
      <c r="I64" s="64">
        <v>1.1100000000000001</v>
      </c>
      <c r="J64" s="64">
        <v>0.27</v>
      </c>
      <c r="K64" s="64">
        <v>287.62</v>
      </c>
      <c r="L64" s="64">
        <v>25.89</v>
      </c>
      <c r="M64" s="64">
        <v>94.22</v>
      </c>
      <c r="N64" s="64">
        <v>108.3</v>
      </c>
      <c r="O64" s="64">
        <v>0</v>
      </c>
      <c r="P64" s="64">
        <v>0.32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3" t="s">
        <v>588</v>
      </c>
      <c r="B65" s="64">
        <v>7.15</v>
      </c>
      <c r="C65" s="64">
        <v>18.02</v>
      </c>
      <c r="D65" s="64">
        <v>15.15</v>
      </c>
      <c r="E65" s="64">
        <v>4.45</v>
      </c>
      <c r="F65" s="64">
        <v>4.91</v>
      </c>
      <c r="G65" s="64">
        <v>63.12</v>
      </c>
      <c r="H65" s="64">
        <v>21.54</v>
      </c>
      <c r="I65" s="64">
        <v>1.1399999999999999</v>
      </c>
      <c r="J65" s="64">
        <v>0.32</v>
      </c>
      <c r="K65" s="64">
        <v>286.58999999999997</v>
      </c>
      <c r="L65" s="64">
        <v>26.15</v>
      </c>
      <c r="M65" s="64">
        <v>92.47</v>
      </c>
      <c r="N65" s="64">
        <v>178.4</v>
      </c>
      <c r="O65" s="64">
        <v>0</v>
      </c>
      <c r="P65" s="64">
        <v>0.33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3" t="s">
        <v>589</v>
      </c>
      <c r="B66" s="64">
        <v>7.27</v>
      </c>
      <c r="C66" s="64">
        <v>18.11</v>
      </c>
      <c r="D66" s="64">
        <v>15.29</v>
      </c>
      <c r="E66" s="64">
        <v>4.3499999999999996</v>
      </c>
      <c r="F66" s="64">
        <v>3.97</v>
      </c>
      <c r="G66" s="64">
        <v>63.12</v>
      </c>
      <c r="H66" s="64">
        <v>21.54</v>
      </c>
      <c r="I66" s="64">
        <v>1.1499999999999999</v>
      </c>
      <c r="J66" s="64">
        <v>0.34</v>
      </c>
      <c r="K66" s="64">
        <v>285.47000000000003</v>
      </c>
      <c r="L66" s="64">
        <v>26.51</v>
      </c>
      <c r="M66" s="64">
        <v>89.39</v>
      </c>
      <c r="N66" s="64">
        <v>172.1</v>
      </c>
      <c r="O66" s="64">
        <v>0</v>
      </c>
      <c r="P66" s="64">
        <v>0.35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3" t="s">
        <v>590</v>
      </c>
      <c r="B67" s="64">
        <v>7.54</v>
      </c>
      <c r="C67" s="64">
        <v>16.95</v>
      </c>
      <c r="D67" s="64">
        <v>14.9</v>
      </c>
      <c r="E67" s="64">
        <v>4.43</v>
      </c>
      <c r="F67" s="64">
        <v>4.47</v>
      </c>
      <c r="G67" s="64">
        <v>63.29</v>
      </c>
      <c r="H67" s="64">
        <v>13.2</v>
      </c>
      <c r="I67" s="64">
        <v>1.1599999999999999</v>
      </c>
      <c r="J67" s="64">
        <v>0.38</v>
      </c>
      <c r="K67" s="64">
        <v>294.76</v>
      </c>
      <c r="L67" s="64">
        <v>26.36</v>
      </c>
      <c r="M67" s="64">
        <v>90.29</v>
      </c>
      <c r="N67" s="64">
        <v>199.1</v>
      </c>
      <c r="O67" s="64">
        <v>0</v>
      </c>
      <c r="P67" s="64">
        <v>0.34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3" t="s">
        <v>591</v>
      </c>
      <c r="B68" s="64">
        <v>9.18</v>
      </c>
      <c r="C68" s="64">
        <v>16.329999999999998</v>
      </c>
      <c r="D68" s="64">
        <v>15.89</v>
      </c>
      <c r="E68" s="64">
        <v>4.34</v>
      </c>
      <c r="F68" s="64">
        <v>4.7</v>
      </c>
      <c r="G68" s="64">
        <v>63.34</v>
      </c>
      <c r="H68" s="64">
        <v>10.5</v>
      </c>
      <c r="I68" s="64">
        <v>1.22</v>
      </c>
      <c r="J68" s="64">
        <v>0.28000000000000003</v>
      </c>
      <c r="K68" s="64">
        <v>285.95999999999998</v>
      </c>
      <c r="L68" s="64">
        <v>26.58</v>
      </c>
      <c r="M68" s="64">
        <v>89.74</v>
      </c>
      <c r="N68" s="64">
        <v>158.1</v>
      </c>
      <c r="O68" s="64">
        <v>0</v>
      </c>
      <c r="P68" s="64">
        <v>0.36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3" t="s">
        <v>592</v>
      </c>
      <c r="B69" s="64">
        <v>8.74</v>
      </c>
      <c r="C69" s="64">
        <v>17.100000000000001</v>
      </c>
      <c r="D69" s="64">
        <v>15.94</v>
      </c>
      <c r="E69" s="64">
        <v>4.12</v>
      </c>
      <c r="F69" s="64">
        <v>4.08</v>
      </c>
      <c r="G69" s="64">
        <v>63.34</v>
      </c>
      <c r="H69" s="64">
        <v>10.5</v>
      </c>
      <c r="I69" s="64">
        <v>1.27</v>
      </c>
      <c r="J69" s="64">
        <v>0.24</v>
      </c>
      <c r="K69" s="64">
        <v>290.64999999999998</v>
      </c>
      <c r="L69" s="64">
        <v>26.14</v>
      </c>
      <c r="M69" s="64">
        <v>91.35</v>
      </c>
      <c r="N69" s="64">
        <v>122.1</v>
      </c>
      <c r="O69" s="64">
        <v>0</v>
      </c>
      <c r="P69" s="64">
        <v>0.35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3" t="s">
        <v>593</v>
      </c>
      <c r="B70" s="64">
        <v>7.13</v>
      </c>
      <c r="C70" s="64">
        <v>16.46</v>
      </c>
      <c r="D70" s="64">
        <v>14.32</v>
      </c>
      <c r="E70" s="64">
        <v>4.41</v>
      </c>
      <c r="F70" s="64">
        <v>3.81</v>
      </c>
      <c r="G70" s="64">
        <v>63.34</v>
      </c>
      <c r="H70" s="64">
        <v>10.5</v>
      </c>
      <c r="I70" s="64">
        <v>1.28</v>
      </c>
      <c r="J70" s="64">
        <v>0.28000000000000003</v>
      </c>
      <c r="K70" s="64">
        <v>289.36</v>
      </c>
      <c r="L70" s="64">
        <v>25.87</v>
      </c>
      <c r="M70" s="64">
        <v>92.27</v>
      </c>
      <c r="N70" s="64">
        <v>118.2</v>
      </c>
      <c r="O70" s="64">
        <v>0</v>
      </c>
      <c r="P70" s="64">
        <v>0.33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3" t="s">
        <v>594</v>
      </c>
      <c r="B71" s="64">
        <v>6.74</v>
      </c>
      <c r="C71" s="64">
        <v>16.13</v>
      </c>
      <c r="D71" s="64">
        <v>13.84</v>
      </c>
      <c r="E71" s="64">
        <v>4.3899999999999997</v>
      </c>
      <c r="F71" s="64">
        <v>4.53</v>
      </c>
      <c r="G71" s="64">
        <v>58.42</v>
      </c>
      <c r="H71" s="64">
        <v>15.36</v>
      </c>
      <c r="I71" s="64">
        <v>1.26</v>
      </c>
      <c r="J71" s="64">
        <v>0.34</v>
      </c>
      <c r="K71" s="64">
        <v>293.08</v>
      </c>
      <c r="L71" s="64">
        <v>25.87</v>
      </c>
      <c r="M71" s="64">
        <v>90.41</v>
      </c>
      <c r="N71" s="64">
        <v>81.8</v>
      </c>
      <c r="O71" s="64">
        <v>0.2</v>
      </c>
      <c r="P71" s="64">
        <v>0.34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3" t="s">
        <v>595</v>
      </c>
      <c r="B72" s="64">
        <v>6.79</v>
      </c>
      <c r="C72" s="64">
        <v>15.78</v>
      </c>
      <c r="D72" s="64">
        <v>13.69</v>
      </c>
      <c r="E72" s="64">
        <v>4.78</v>
      </c>
      <c r="F72" s="64">
        <v>2.36</v>
      </c>
      <c r="G72" s="64">
        <v>56.83</v>
      </c>
      <c r="H72" s="64">
        <v>16.93</v>
      </c>
      <c r="I72" s="64">
        <v>1.2</v>
      </c>
      <c r="J72" s="64">
        <v>0.53</v>
      </c>
      <c r="K72" s="64">
        <v>307.95999999999998</v>
      </c>
      <c r="L72" s="64">
        <v>24.88</v>
      </c>
      <c r="M72" s="64">
        <v>97.53</v>
      </c>
      <c r="N72" s="64">
        <v>77.8</v>
      </c>
      <c r="O72" s="64">
        <v>0.8</v>
      </c>
      <c r="P72" s="64">
        <v>0.32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3" t="s">
        <v>596</v>
      </c>
      <c r="B73" s="64">
        <v>7.38</v>
      </c>
      <c r="C73" s="64">
        <v>14.65</v>
      </c>
      <c r="D73" s="64">
        <v>13.57</v>
      </c>
      <c r="E73" s="64">
        <v>3.99</v>
      </c>
      <c r="F73" s="64">
        <v>3.74</v>
      </c>
      <c r="G73" s="64">
        <v>56.83</v>
      </c>
      <c r="H73" s="64">
        <v>16.93</v>
      </c>
      <c r="I73" s="64">
        <v>1.1499999999999999</v>
      </c>
      <c r="J73" s="64">
        <v>0.24</v>
      </c>
      <c r="K73" s="64">
        <v>301.82</v>
      </c>
      <c r="L73" s="64">
        <v>24.14</v>
      </c>
      <c r="M73" s="64">
        <v>97.95</v>
      </c>
      <c r="N73" s="64">
        <v>108.7</v>
      </c>
      <c r="O73" s="64">
        <v>0</v>
      </c>
      <c r="P73" s="64">
        <v>0.33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3" t="s">
        <v>597</v>
      </c>
      <c r="B74" s="64">
        <v>7.52</v>
      </c>
      <c r="C74" s="64">
        <v>14.58</v>
      </c>
      <c r="D74" s="64">
        <v>13.64</v>
      </c>
      <c r="E74" s="64">
        <v>3.66</v>
      </c>
      <c r="F74" s="64">
        <v>2.95</v>
      </c>
      <c r="G74" s="64">
        <v>56.83</v>
      </c>
      <c r="H74" s="64">
        <v>16.93</v>
      </c>
      <c r="I74" s="64">
        <v>1.1499999999999999</v>
      </c>
      <c r="J74" s="64">
        <v>0.3</v>
      </c>
      <c r="K74" s="64">
        <v>297.36</v>
      </c>
      <c r="L74" s="64">
        <v>24.19</v>
      </c>
      <c r="M74" s="64">
        <v>97.95</v>
      </c>
      <c r="N74" s="64">
        <v>81.400000000000006</v>
      </c>
      <c r="O74" s="64">
        <v>0</v>
      </c>
      <c r="P74" s="64">
        <v>0.35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3" t="s">
        <v>598</v>
      </c>
      <c r="B75" s="64">
        <v>8.07</v>
      </c>
      <c r="C75" s="64">
        <v>15.14</v>
      </c>
      <c r="D75" s="64">
        <v>14.38</v>
      </c>
      <c r="E75" s="64">
        <v>4.17</v>
      </c>
      <c r="F75" s="64">
        <v>3.46</v>
      </c>
      <c r="G75" s="64">
        <v>50.14</v>
      </c>
      <c r="H75" s="64">
        <v>11.25</v>
      </c>
      <c r="I75" s="64">
        <v>1.18</v>
      </c>
      <c r="J75" s="64">
        <v>0.31</v>
      </c>
      <c r="K75" s="64">
        <v>297.68</v>
      </c>
      <c r="L75" s="64">
        <v>24.19</v>
      </c>
      <c r="M75" s="64">
        <v>97.95</v>
      </c>
      <c r="N75" s="64">
        <v>143.69999999999999</v>
      </c>
      <c r="O75" s="64">
        <v>0</v>
      </c>
      <c r="P75" s="64">
        <v>0.35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3" t="s">
        <v>599</v>
      </c>
      <c r="B76" s="64">
        <v>8.26</v>
      </c>
      <c r="C76" s="64">
        <v>15.19</v>
      </c>
      <c r="D76" s="64">
        <v>14.56</v>
      </c>
      <c r="E76" s="64">
        <v>3.87</v>
      </c>
      <c r="F76" s="64">
        <v>3.42</v>
      </c>
      <c r="G76" s="64">
        <v>47.98</v>
      </c>
      <c r="H76" s="64">
        <v>9.52</v>
      </c>
      <c r="I76" s="64">
        <v>1.24</v>
      </c>
      <c r="J76" s="64">
        <v>0.27</v>
      </c>
      <c r="K76" s="64">
        <v>297.10000000000002</v>
      </c>
      <c r="L76" s="64">
        <v>24.64</v>
      </c>
      <c r="M76" s="64">
        <v>97.94</v>
      </c>
      <c r="N76" s="64">
        <v>161.9</v>
      </c>
      <c r="O76" s="64">
        <v>0</v>
      </c>
      <c r="P76" s="64">
        <v>0.39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13" t="s">
        <v>600</v>
      </c>
      <c r="B77" s="64">
        <v>9.6999999999999993</v>
      </c>
      <c r="C77" s="64">
        <v>16.649999999999999</v>
      </c>
      <c r="D77" s="64">
        <v>16.48</v>
      </c>
      <c r="E77" s="64">
        <v>3.96</v>
      </c>
      <c r="F77" s="64">
        <v>2.4700000000000002</v>
      </c>
      <c r="G77" s="64">
        <v>47.98</v>
      </c>
      <c r="H77" s="64">
        <v>9.52</v>
      </c>
      <c r="I77" s="64">
        <v>1.31</v>
      </c>
      <c r="J77" s="64">
        <v>0.27</v>
      </c>
      <c r="K77" s="64">
        <v>304.14999999999998</v>
      </c>
      <c r="L77" s="64">
        <v>24.83</v>
      </c>
      <c r="M77" s="64">
        <v>97.86</v>
      </c>
      <c r="N77" s="64">
        <v>125.9</v>
      </c>
      <c r="O77" s="64">
        <v>0</v>
      </c>
      <c r="P77" s="64">
        <v>0.43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3" t="s">
        <v>601</v>
      </c>
      <c r="B78" s="64">
        <v>11.15</v>
      </c>
      <c r="C78" s="64">
        <v>14.88</v>
      </c>
      <c r="D78" s="64">
        <v>16.71</v>
      </c>
      <c r="E78" s="64">
        <v>3.95</v>
      </c>
      <c r="F78" s="64">
        <v>3.7</v>
      </c>
      <c r="G78" s="64">
        <v>47.98</v>
      </c>
      <c r="H78" s="64">
        <v>9.52</v>
      </c>
      <c r="I78" s="64">
        <v>1.58</v>
      </c>
      <c r="J78" s="64">
        <v>0.2</v>
      </c>
      <c r="K78" s="64">
        <v>299.60000000000002</v>
      </c>
      <c r="L78" s="64">
        <v>24.89</v>
      </c>
      <c r="M78" s="64">
        <v>97.85</v>
      </c>
      <c r="N78" s="64">
        <v>96</v>
      </c>
      <c r="O78" s="64">
        <v>0</v>
      </c>
      <c r="P78" s="64">
        <v>0.47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3" t="s">
        <v>602</v>
      </c>
      <c r="B79" s="64">
        <v>14.11</v>
      </c>
      <c r="C79" s="64">
        <v>14.99</v>
      </c>
      <c r="D79" s="64">
        <v>19.149999999999999</v>
      </c>
      <c r="E79" s="64">
        <v>3.96</v>
      </c>
      <c r="F79" s="64">
        <v>2.84</v>
      </c>
      <c r="G79" s="64">
        <v>50.46</v>
      </c>
      <c r="H79" s="64">
        <v>9.6999999999999993</v>
      </c>
      <c r="I79" s="64">
        <v>1.91</v>
      </c>
      <c r="J79" s="64">
        <v>0.08</v>
      </c>
      <c r="K79" s="64">
        <v>299.97000000000003</v>
      </c>
      <c r="L79" s="64">
        <v>24.9</v>
      </c>
      <c r="M79" s="64">
        <v>97.85</v>
      </c>
      <c r="N79" s="64">
        <v>98</v>
      </c>
      <c r="O79" s="64">
        <v>0</v>
      </c>
      <c r="P79" s="64">
        <v>0.59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3" t="s">
        <v>603</v>
      </c>
      <c r="B80" s="64">
        <v>16.27</v>
      </c>
      <c r="C80" s="64">
        <v>18.32</v>
      </c>
      <c r="D80" s="64">
        <v>22.62</v>
      </c>
      <c r="E80" s="64">
        <v>4.2</v>
      </c>
      <c r="F80" s="64">
        <v>4.53</v>
      </c>
      <c r="G80" s="64">
        <v>51.22</v>
      </c>
      <c r="H80" s="64">
        <v>9.76</v>
      </c>
      <c r="I80" s="64">
        <v>2.16</v>
      </c>
      <c r="J80" s="64">
        <v>0.05</v>
      </c>
      <c r="K80" s="64">
        <v>306.99</v>
      </c>
      <c r="L80" s="64">
        <v>24.76</v>
      </c>
      <c r="M80" s="64">
        <v>97.86</v>
      </c>
      <c r="N80" s="64">
        <v>83.3</v>
      </c>
      <c r="O80" s="64">
        <v>0</v>
      </c>
      <c r="P80" s="64">
        <v>1.1599999999999999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3" t="s">
        <v>604</v>
      </c>
      <c r="B81" s="64">
        <v>26.36</v>
      </c>
      <c r="C81" s="64">
        <v>19.559999999999999</v>
      </c>
      <c r="D81" s="64">
        <v>31.36</v>
      </c>
      <c r="E81" s="64">
        <v>4.12</v>
      </c>
      <c r="F81" s="64">
        <v>7.5</v>
      </c>
      <c r="G81" s="64">
        <v>51.22</v>
      </c>
      <c r="H81" s="64">
        <v>9.76</v>
      </c>
      <c r="I81" s="64">
        <v>2.33</v>
      </c>
      <c r="J81" s="64">
        <v>7.0000000000000007E-2</v>
      </c>
      <c r="K81" s="64">
        <v>290.01</v>
      </c>
      <c r="L81" s="64">
        <v>24.84</v>
      </c>
      <c r="M81" s="64">
        <v>97.86</v>
      </c>
      <c r="N81" s="64">
        <v>74.2</v>
      </c>
      <c r="O81" s="64">
        <v>0</v>
      </c>
      <c r="P81" s="64">
        <v>1.1299999999999999</v>
      </c>
      <c r="Q81" s="64">
        <v>9.32</v>
      </c>
      <c r="R81" s="198"/>
      <c r="S81" s="198"/>
      <c r="T81" s="198"/>
      <c r="U81" s="198"/>
    </row>
    <row r="82" spans="1:26" s="12" customFormat="1" x14ac:dyDescent="0.25">
      <c r="A82" s="213" t="s">
        <v>605</v>
      </c>
      <c r="B82" s="64">
        <v>13.69</v>
      </c>
      <c r="C82" s="64">
        <v>19.190000000000001</v>
      </c>
      <c r="D82" s="64">
        <v>21</v>
      </c>
      <c r="E82" s="64">
        <v>4.0599999999999996</v>
      </c>
      <c r="F82" s="64">
        <v>5.56</v>
      </c>
      <c r="G82" s="64">
        <v>51.22</v>
      </c>
      <c r="H82" s="64">
        <v>9.76</v>
      </c>
      <c r="I82" s="64">
        <v>2.5</v>
      </c>
      <c r="J82" s="64">
        <v>0.08</v>
      </c>
      <c r="K82" s="64">
        <v>325.42</v>
      </c>
      <c r="L82" s="64">
        <v>24.66</v>
      </c>
      <c r="M82" s="64">
        <v>97.85</v>
      </c>
      <c r="N82" s="64">
        <v>55.3</v>
      </c>
      <c r="O82" s="64">
        <v>0</v>
      </c>
      <c r="P82" s="64">
        <v>0.66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3" t="s">
        <v>606</v>
      </c>
      <c r="B83" s="64">
        <v>22.24</v>
      </c>
      <c r="C83" s="64">
        <v>17.93</v>
      </c>
      <c r="D83" s="64">
        <v>27.2</v>
      </c>
      <c r="E83" s="64">
        <v>3.93</v>
      </c>
      <c r="F83" s="64">
        <v>7.73</v>
      </c>
      <c r="G83" s="64">
        <v>60.72</v>
      </c>
      <c r="H83" s="64">
        <v>17.84</v>
      </c>
      <c r="I83" s="64">
        <v>2.66</v>
      </c>
      <c r="J83" s="64">
        <v>0.06</v>
      </c>
      <c r="K83" s="64">
        <v>320.42</v>
      </c>
      <c r="L83" s="64">
        <v>24.58</v>
      </c>
      <c r="M83" s="64">
        <v>97.86</v>
      </c>
      <c r="N83" s="64">
        <v>46.7</v>
      </c>
      <c r="O83" s="64">
        <v>0</v>
      </c>
      <c r="P83" s="64">
        <v>0.79</v>
      </c>
      <c r="Q83" s="64">
        <v>9.3800000000000008</v>
      </c>
      <c r="R83" s="198"/>
      <c r="S83" s="198"/>
      <c r="T83" s="198"/>
      <c r="U83" s="198"/>
    </row>
    <row r="84" spans="1:26" s="12" customFormat="1" x14ac:dyDescent="0.25">
      <c r="A84" s="213" t="s">
        <v>607</v>
      </c>
      <c r="B84" s="64">
        <v>16.260000000000002</v>
      </c>
      <c r="C84" s="64">
        <v>20.32</v>
      </c>
      <c r="D84" s="64">
        <v>23.66</v>
      </c>
      <c r="E84" s="64">
        <v>4.08</v>
      </c>
      <c r="F84" s="64">
        <v>7.52</v>
      </c>
      <c r="G84" s="64">
        <v>63.79</v>
      </c>
      <c r="H84" s="64">
        <v>20.29</v>
      </c>
      <c r="I84" s="64">
        <v>2.69</v>
      </c>
      <c r="J84" s="64">
        <v>0.05</v>
      </c>
      <c r="K84" s="64">
        <v>324.91000000000003</v>
      </c>
      <c r="L84" s="64">
        <v>24.43</v>
      </c>
      <c r="M84" s="64">
        <v>97.88</v>
      </c>
      <c r="N84" s="64">
        <v>44.3</v>
      </c>
      <c r="O84" s="64">
        <v>0</v>
      </c>
      <c r="P84" s="64">
        <v>0.65</v>
      </c>
      <c r="Q84" s="64">
        <v>9.39</v>
      </c>
      <c r="R84" s="198"/>
      <c r="S84" s="198"/>
      <c r="T84" s="198"/>
      <c r="U84" s="198"/>
    </row>
    <row r="85" spans="1:26" s="12" customFormat="1" x14ac:dyDescent="0.25">
      <c r="A85" s="213" t="s">
        <v>608</v>
      </c>
      <c r="B85" s="64">
        <v>12.13</v>
      </c>
      <c r="C85" s="64">
        <v>19.36</v>
      </c>
      <c r="D85" s="64">
        <v>19.850000000000001</v>
      </c>
      <c r="E85" s="64">
        <v>4.32</v>
      </c>
      <c r="F85" s="64">
        <v>6.56</v>
      </c>
      <c r="G85" s="64">
        <v>63.79</v>
      </c>
      <c r="H85" s="64">
        <v>20.29</v>
      </c>
      <c r="I85" s="64">
        <v>2.5499999999999998</v>
      </c>
      <c r="J85" s="64">
        <v>0.03</v>
      </c>
      <c r="K85" s="64">
        <v>326.52999999999997</v>
      </c>
      <c r="L85" s="64">
        <v>24.34</v>
      </c>
      <c r="M85" s="64">
        <v>97.94</v>
      </c>
      <c r="N85" s="64">
        <v>43.8</v>
      </c>
      <c r="O85" s="64">
        <v>0.2</v>
      </c>
      <c r="P85" s="64">
        <v>0.59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3" t="s">
        <v>609</v>
      </c>
      <c r="B86" s="64">
        <v>13.52</v>
      </c>
      <c r="C86" s="64">
        <v>18.61</v>
      </c>
      <c r="D86" s="64">
        <v>20.56</v>
      </c>
      <c r="E86" s="64">
        <v>4.3899999999999997</v>
      </c>
      <c r="F86" s="64">
        <v>6.07</v>
      </c>
      <c r="G86" s="64">
        <v>63.79</v>
      </c>
      <c r="H86" s="64">
        <v>20.29</v>
      </c>
      <c r="I86" s="64">
        <v>2.4700000000000002</v>
      </c>
      <c r="J86" s="64">
        <v>0.09</v>
      </c>
      <c r="K86" s="64">
        <v>332.07</v>
      </c>
      <c r="L86" s="64">
        <v>24.27</v>
      </c>
      <c r="M86" s="64">
        <v>97.96</v>
      </c>
      <c r="N86" s="64">
        <v>43.8</v>
      </c>
      <c r="O86" s="64">
        <v>0</v>
      </c>
      <c r="P86" s="64">
        <v>0.65</v>
      </c>
      <c r="Q86" s="64">
        <v>9.39</v>
      </c>
      <c r="R86" s="198"/>
      <c r="S86" s="198"/>
      <c r="T86" s="198"/>
      <c r="U86" s="198"/>
    </row>
    <row r="87" spans="1:26" s="12" customFormat="1" x14ac:dyDescent="0.25">
      <c r="A87" s="213" t="s">
        <v>610</v>
      </c>
      <c r="B87" s="64">
        <v>21.22</v>
      </c>
      <c r="C87" s="64">
        <v>16.71</v>
      </c>
      <c r="D87" s="64">
        <v>25.74</v>
      </c>
      <c r="E87" s="64">
        <v>4.3499999999999996</v>
      </c>
      <c r="F87" s="64">
        <v>7.35</v>
      </c>
      <c r="G87" s="64">
        <v>45.06</v>
      </c>
      <c r="H87" s="64">
        <v>14.04</v>
      </c>
      <c r="I87" s="64">
        <v>2.46</v>
      </c>
      <c r="J87" s="64">
        <v>0.12</v>
      </c>
      <c r="K87" s="64">
        <v>312.62</v>
      </c>
      <c r="L87" s="64">
        <v>24.27</v>
      </c>
      <c r="M87" s="64">
        <v>97.95</v>
      </c>
      <c r="N87" s="64">
        <v>43.8</v>
      </c>
      <c r="O87" s="64">
        <v>0</v>
      </c>
      <c r="P87" s="64">
        <v>0.86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3" t="s">
        <v>611</v>
      </c>
      <c r="B88" s="64">
        <v>17.510000000000002</v>
      </c>
      <c r="C88" s="64">
        <v>12.27</v>
      </c>
      <c r="D88" s="64">
        <v>20.45</v>
      </c>
      <c r="E88" s="64">
        <v>4.33</v>
      </c>
      <c r="F88" s="64">
        <v>3.51</v>
      </c>
      <c r="G88" s="64">
        <v>39.36</v>
      </c>
      <c r="H88" s="64">
        <v>12.02</v>
      </c>
      <c r="I88" s="64">
        <v>2.44</v>
      </c>
      <c r="J88" s="64">
        <v>0.15</v>
      </c>
      <c r="K88" s="64">
        <v>313.95</v>
      </c>
      <c r="L88" s="64">
        <v>24.23</v>
      </c>
      <c r="M88" s="64">
        <v>97.96</v>
      </c>
      <c r="N88" s="64">
        <v>43.8</v>
      </c>
      <c r="O88" s="64">
        <v>0</v>
      </c>
      <c r="P88" s="64">
        <v>0.69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3" t="s">
        <v>612</v>
      </c>
      <c r="B89" s="64">
        <v>18.32</v>
      </c>
      <c r="C89" s="64">
        <v>11.69</v>
      </c>
      <c r="D89" s="64">
        <v>20.8</v>
      </c>
      <c r="E89" s="64">
        <v>4.34</v>
      </c>
      <c r="F89" s="64">
        <v>2.87</v>
      </c>
      <c r="G89" s="64">
        <v>39.36</v>
      </c>
      <c r="H89" s="64">
        <v>12.02</v>
      </c>
      <c r="I89" s="64">
        <v>2.44</v>
      </c>
      <c r="J89" s="64">
        <v>0.08</v>
      </c>
      <c r="K89" s="64">
        <v>323.77999999999997</v>
      </c>
      <c r="L89" s="64">
        <v>24.27</v>
      </c>
      <c r="M89" s="64">
        <v>97.97</v>
      </c>
      <c r="N89" s="64">
        <v>43.8</v>
      </c>
      <c r="O89" s="64">
        <v>0</v>
      </c>
      <c r="P89" s="64">
        <v>0.7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3" t="s">
        <v>613</v>
      </c>
      <c r="B90" s="64">
        <v>18.600000000000001</v>
      </c>
      <c r="C90" s="64">
        <v>11.44</v>
      </c>
      <c r="D90" s="64">
        <v>20.89</v>
      </c>
      <c r="E90" s="64">
        <v>4.08</v>
      </c>
      <c r="F90" s="64">
        <v>3.83</v>
      </c>
      <c r="G90" s="64">
        <v>39.36</v>
      </c>
      <c r="H90" s="64">
        <v>12.02</v>
      </c>
      <c r="I90" s="64">
        <v>2.4300000000000002</v>
      </c>
      <c r="J90" s="64">
        <v>7.0000000000000007E-2</v>
      </c>
      <c r="K90" s="64">
        <v>333.31</v>
      </c>
      <c r="L90" s="64">
        <v>24.35</v>
      </c>
      <c r="M90" s="64">
        <v>97.96</v>
      </c>
      <c r="N90" s="64">
        <v>43.8</v>
      </c>
      <c r="O90" s="64">
        <v>0</v>
      </c>
      <c r="P90" s="64">
        <v>0.69</v>
      </c>
      <c r="Q90" s="64">
        <v>9.42</v>
      </c>
      <c r="R90" s="198"/>
      <c r="S90" s="198"/>
      <c r="T90" s="198"/>
      <c r="U90" s="198"/>
    </row>
    <row r="91" spans="1:26" s="12" customFormat="1" x14ac:dyDescent="0.25">
      <c r="A91" s="213" t="s">
        <v>614</v>
      </c>
      <c r="B91" s="64">
        <v>20.81</v>
      </c>
      <c r="C91" s="64">
        <v>10.01</v>
      </c>
      <c r="D91" s="64">
        <v>21.92</v>
      </c>
      <c r="E91" s="64">
        <v>4.22</v>
      </c>
      <c r="F91" s="64">
        <v>3.43</v>
      </c>
      <c r="G91" s="64">
        <v>61.39</v>
      </c>
      <c r="H91" s="64">
        <v>11.15</v>
      </c>
      <c r="I91" s="64">
        <v>2.41</v>
      </c>
      <c r="J91" s="64">
        <v>0.11</v>
      </c>
      <c r="K91" s="64">
        <v>316.44</v>
      </c>
      <c r="L91" s="64">
        <v>24.32</v>
      </c>
      <c r="M91" s="64">
        <v>97.99</v>
      </c>
      <c r="N91" s="64">
        <v>43.8</v>
      </c>
      <c r="O91" s="64">
        <v>0</v>
      </c>
      <c r="P91" s="64">
        <v>0.72</v>
      </c>
      <c r="Q91" s="64">
        <v>9.43</v>
      </c>
      <c r="R91" s="198"/>
      <c r="S91" s="198"/>
      <c r="T91" s="198"/>
      <c r="U91" s="198"/>
    </row>
    <row r="92" spans="1:26" s="12" customFormat="1" x14ac:dyDescent="0.25">
      <c r="A92" s="213" t="s">
        <v>615</v>
      </c>
      <c r="B92" s="64">
        <v>23.69</v>
      </c>
      <c r="C92" s="64">
        <v>12.33</v>
      </c>
      <c r="D92" s="64">
        <v>25.44</v>
      </c>
      <c r="E92" s="64">
        <v>4.22</v>
      </c>
      <c r="F92" s="64">
        <v>3.33</v>
      </c>
      <c r="G92" s="64">
        <v>68.09</v>
      </c>
      <c r="H92" s="64">
        <v>10.87</v>
      </c>
      <c r="I92" s="64">
        <v>2.39</v>
      </c>
      <c r="J92" s="64">
        <v>0.04</v>
      </c>
      <c r="K92" s="64">
        <v>325.95</v>
      </c>
      <c r="L92" s="64">
        <v>24.33</v>
      </c>
      <c r="M92" s="64">
        <v>97.99</v>
      </c>
      <c r="N92" s="64">
        <v>43.9</v>
      </c>
      <c r="O92" s="64">
        <v>0</v>
      </c>
      <c r="P92" s="64">
        <v>0.79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3" t="s">
        <v>616</v>
      </c>
      <c r="B93" s="64">
        <v>23.5</v>
      </c>
      <c r="C93" s="64">
        <v>11.74</v>
      </c>
      <c r="D93" s="64">
        <v>24.98</v>
      </c>
      <c r="E93" s="64">
        <v>4.1399999999999997</v>
      </c>
      <c r="F93" s="64">
        <v>3.31</v>
      </c>
      <c r="G93" s="64">
        <v>68.09</v>
      </c>
      <c r="H93" s="64">
        <v>10.87</v>
      </c>
      <c r="I93" s="64">
        <v>2.39</v>
      </c>
      <c r="J93" s="64">
        <v>7.0000000000000007E-2</v>
      </c>
      <c r="K93" s="64">
        <v>323.47000000000003</v>
      </c>
      <c r="L93" s="64">
        <v>24.26</v>
      </c>
      <c r="M93" s="64">
        <v>98.02</v>
      </c>
      <c r="N93" s="64">
        <v>44</v>
      </c>
      <c r="O93" s="64">
        <v>0</v>
      </c>
      <c r="P93" s="64">
        <v>0.7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13" t="s">
        <v>617</v>
      </c>
      <c r="B94" s="64">
        <v>20.05</v>
      </c>
      <c r="C94" s="64">
        <v>11.33</v>
      </c>
      <c r="D94" s="64">
        <v>22</v>
      </c>
      <c r="E94" s="64">
        <v>4.21</v>
      </c>
      <c r="F94" s="64">
        <v>3.48</v>
      </c>
      <c r="G94" s="64">
        <v>68.09</v>
      </c>
      <c r="H94" s="64">
        <v>10.87</v>
      </c>
      <c r="I94" s="64">
        <v>2.39</v>
      </c>
      <c r="J94" s="64">
        <v>7.0000000000000007E-2</v>
      </c>
      <c r="K94" s="64">
        <v>308.97000000000003</v>
      </c>
      <c r="L94" s="64">
        <v>24.18</v>
      </c>
      <c r="M94" s="64">
        <v>98.01</v>
      </c>
      <c r="N94" s="64">
        <v>44.2</v>
      </c>
      <c r="O94" s="64">
        <v>0</v>
      </c>
      <c r="P94" s="64">
        <v>0.67</v>
      </c>
      <c r="Q94" s="64">
        <v>9.4600000000000009</v>
      </c>
      <c r="R94" s="198"/>
      <c r="S94" s="198"/>
      <c r="T94" s="198"/>
      <c r="U94" s="198"/>
    </row>
    <row r="95" spans="1:26" s="12" customFormat="1" x14ac:dyDescent="0.25">
      <c r="A95" s="213" t="s">
        <v>618</v>
      </c>
      <c r="B95" s="64">
        <v>18.68</v>
      </c>
      <c r="C95" s="64">
        <v>10.62</v>
      </c>
      <c r="D95" s="64">
        <v>20.53</v>
      </c>
      <c r="E95" s="64">
        <v>4.25</v>
      </c>
      <c r="F95" s="64">
        <v>3.74</v>
      </c>
      <c r="G95" s="64">
        <v>68.3</v>
      </c>
      <c r="H95" s="64">
        <v>9.91</v>
      </c>
      <c r="I95" s="64">
        <v>2.3199999999999998</v>
      </c>
      <c r="J95" s="64">
        <v>7.0000000000000007E-2</v>
      </c>
      <c r="K95" s="64">
        <v>329.21</v>
      </c>
      <c r="L95" s="64">
        <v>23.76</v>
      </c>
      <c r="M95" s="64">
        <v>98.03</v>
      </c>
      <c r="N95" s="64">
        <v>43.6</v>
      </c>
      <c r="O95" s="64">
        <v>0</v>
      </c>
      <c r="P95" s="64">
        <v>0.64</v>
      </c>
      <c r="Q95" s="64">
        <v>9.44</v>
      </c>
      <c r="R95" s="198"/>
      <c r="S95" s="198"/>
      <c r="T95" s="198"/>
      <c r="U95" s="198"/>
    </row>
    <row r="96" spans="1:26" s="12" customFormat="1" x14ac:dyDescent="0.25">
      <c r="A96" s="213" t="s">
        <v>619</v>
      </c>
      <c r="B96" s="64">
        <v>18.010000000000002</v>
      </c>
      <c r="C96" s="64">
        <v>10.09</v>
      </c>
      <c r="D96" s="64">
        <v>19.71</v>
      </c>
      <c r="E96" s="64">
        <v>4.03</v>
      </c>
      <c r="F96" s="64">
        <v>4.05</v>
      </c>
      <c r="G96" s="64">
        <v>68.37</v>
      </c>
      <c r="H96" s="64">
        <v>9.6</v>
      </c>
      <c r="I96" s="64">
        <v>2.25</v>
      </c>
      <c r="J96" s="64">
        <v>0.02</v>
      </c>
      <c r="K96" s="64">
        <v>326.85000000000002</v>
      </c>
      <c r="L96" s="64">
        <v>23.66</v>
      </c>
      <c r="M96" s="64">
        <v>98.08</v>
      </c>
      <c r="N96" s="64">
        <v>43.9</v>
      </c>
      <c r="O96" s="64">
        <v>0</v>
      </c>
      <c r="P96" s="64">
        <v>0.62</v>
      </c>
      <c r="Q96" s="64">
        <v>9.43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620</v>
      </c>
      <c r="B97" s="64">
        <v>16.32</v>
      </c>
      <c r="C97" s="64">
        <v>10.5</v>
      </c>
      <c r="D97" s="64">
        <v>18.579999999999998</v>
      </c>
      <c r="E97" s="64">
        <v>4.12</v>
      </c>
      <c r="F97" s="64">
        <v>3.2</v>
      </c>
      <c r="G97" s="64">
        <v>68.37</v>
      </c>
      <c r="H97" s="64">
        <v>9.6</v>
      </c>
      <c r="I97" s="64">
        <v>2.19</v>
      </c>
      <c r="J97" s="64">
        <v>0.01</v>
      </c>
      <c r="K97" s="64">
        <v>83.51</v>
      </c>
      <c r="L97" s="64">
        <v>23.7</v>
      </c>
      <c r="M97" s="64">
        <v>98.13</v>
      </c>
      <c r="N97" s="64">
        <v>44.1</v>
      </c>
      <c r="O97" s="64">
        <v>0</v>
      </c>
      <c r="P97" s="64">
        <v>0.56000000000000005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13" t="s">
        <v>621</v>
      </c>
      <c r="B98" s="64">
        <v>11.02</v>
      </c>
      <c r="C98" s="64">
        <v>14.67</v>
      </c>
      <c r="D98" s="64">
        <v>16.5</v>
      </c>
      <c r="E98" s="64">
        <v>4.1500000000000004</v>
      </c>
      <c r="F98" s="64">
        <v>6.92</v>
      </c>
      <c r="G98" s="64">
        <v>68.37</v>
      </c>
      <c r="H98" s="64">
        <v>9.6</v>
      </c>
      <c r="I98" s="64">
        <v>2.14</v>
      </c>
      <c r="J98" s="64">
        <v>0.02</v>
      </c>
      <c r="K98" s="64">
        <v>243.76</v>
      </c>
      <c r="L98" s="64">
        <v>23.72</v>
      </c>
      <c r="M98" s="64">
        <v>98.2</v>
      </c>
      <c r="N98" s="64">
        <v>44.2</v>
      </c>
      <c r="O98" s="64">
        <v>0</v>
      </c>
      <c r="P98" s="64">
        <v>0.35</v>
      </c>
      <c r="Q98" s="64">
        <v>9.42</v>
      </c>
      <c r="R98" s="198"/>
      <c r="S98" s="198"/>
      <c r="T98" s="198"/>
      <c r="U98" s="198"/>
    </row>
    <row r="99" spans="1:33" s="12" customFormat="1" x14ac:dyDescent="0.25">
      <c r="A99" s="213" t="s">
        <v>622</v>
      </c>
      <c r="B99" s="64">
        <v>15.8</v>
      </c>
      <c r="C99" s="64">
        <v>16.04</v>
      </c>
      <c r="D99" s="64">
        <v>21.05</v>
      </c>
      <c r="E99" s="64">
        <v>4.13</v>
      </c>
      <c r="F99" s="64">
        <v>6.15</v>
      </c>
      <c r="G99" s="64">
        <v>49.63</v>
      </c>
      <c r="H99" s="64">
        <v>7.72</v>
      </c>
      <c r="I99" s="64">
        <v>2.09</v>
      </c>
      <c r="J99" s="64">
        <v>0.03</v>
      </c>
      <c r="K99" s="64">
        <v>279.73</v>
      </c>
      <c r="L99" s="64">
        <v>23.76</v>
      </c>
      <c r="M99" s="64">
        <v>98.08</v>
      </c>
      <c r="N99" s="64">
        <v>44.2</v>
      </c>
      <c r="O99" s="64">
        <v>0</v>
      </c>
      <c r="P99" s="64">
        <v>0.32</v>
      </c>
      <c r="Q99" s="64">
        <v>9.41</v>
      </c>
      <c r="R99" s="198"/>
      <c r="S99" s="198"/>
      <c r="T99" s="198"/>
      <c r="U99" s="198"/>
    </row>
    <row r="100" spans="1:33" s="12" customFormat="1" x14ac:dyDescent="0.25">
      <c r="A100" s="213" t="s">
        <v>623</v>
      </c>
      <c r="B100" s="64">
        <v>13.71</v>
      </c>
      <c r="C100" s="64">
        <v>15.6</v>
      </c>
      <c r="D100" s="64">
        <v>19.14</v>
      </c>
      <c r="E100" s="64">
        <v>3.9</v>
      </c>
      <c r="F100" s="64">
        <v>7.63</v>
      </c>
      <c r="G100" s="64">
        <v>43.93</v>
      </c>
      <c r="H100" s="64">
        <v>7.15</v>
      </c>
      <c r="I100" s="64">
        <v>2.02</v>
      </c>
      <c r="J100" s="64">
        <v>0.01</v>
      </c>
      <c r="K100" s="64">
        <v>311.26</v>
      </c>
      <c r="L100" s="64">
        <v>23.84</v>
      </c>
      <c r="M100" s="64">
        <v>97.95</v>
      </c>
      <c r="N100" s="64">
        <v>43.8</v>
      </c>
      <c r="O100" s="64">
        <v>0</v>
      </c>
      <c r="P100" s="64">
        <v>0.37</v>
      </c>
      <c r="Q100" s="64">
        <v>9.41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624</v>
      </c>
      <c r="B101" s="64">
        <v>10.59</v>
      </c>
      <c r="C101" s="64">
        <v>14.81</v>
      </c>
      <c r="D101" s="64">
        <v>16.23</v>
      </c>
      <c r="E101" s="64">
        <v>3.84</v>
      </c>
      <c r="F101" s="64">
        <v>6.67</v>
      </c>
      <c r="G101" s="64">
        <v>43.93</v>
      </c>
      <c r="H101" s="64">
        <v>7.15</v>
      </c>
      <c r="I101" s="64">
        <v>1.93</v>
      </c>
      <c r="J101" s="64">
        <v>0.05</v>
      </c>
      <c r="K101" s="64">
        <v>322.02999999999997</v>
      </c>
      <c r="L101" s="64">
        <v>23.83</v>
      </c>
      <c r="M101" s="64">
        <v>97.96</v>
      </c>
      <c r="N101" s="64">
        <v>43.5</v>
      </c>
      <c r="O101" s="64">
        <v>0</v>
      </c>
      <c r="P101" s="64">
        <v>0.33</v>
      </c>
      <c r="Q101" s="64">
        <v>9.41</v>
      </c>
      <c r="R101" s="198"/>
      <c r="S101" s="198"/>
      <c r="T101" s="198"/>
      <c r="U101" s="198"/>
    </row>
    <row r="102" spans="1:33" s="12" customFormat="1" x14ac:dyDescent="0.25">
      <c r="A102" s="213" t="s">
        <v>625</v>
      </c>
      <c r="B102" s="64">
        <v>11.57</v>
      </c>
      <c r="C102" s="64">
        <v>14.09</v>
      </c>
      <c r="D102" s="64">
        <v>16.64</v>
      </c>
      <c r="E102" s="64">
        <v>4.3499999999999996</v>
      </c>
      <c r="F102" s="64">
        <v>7.49</v>
      </c>
      <c r="G102" s="64">
        <v>43.93</v>
      </c>
      <c r="H102" s="64">
        <v>7.15</v>
      </c>
      <c r="I102" s="64">
        <v>1.88</v>
      </c>
      <c r="J102" s="64">
        <v>0.04</v>
      </c>
      <c r="K102" s="64">
        <v>330.86</v>
      </c>
      <c r="L102" s="64">
        <v>23.89</v>
      </c>
      <c r="M102" s="64">
        <v>97.98</v>
      </c>
      <c r="N102" s="64">
        <v>44.1</v>
      </c>
      <c r="O102" s="64">
        <v>0</v>
      </c>
      <c r="P102" s="64">
        <v>0.33</v>
      </c>
      <c r="Q102" s="64">
        <v>9.41</v>
      </c>
      <c r="R102" s="198"/>
      <c r="S102" s="198"/>
      <c r="T102" s="198"/>
      <c r="U102" s="198"/>
    </row>
    <row r="103" spans="1:33" s="12" customFormat="1" x14ac:dyDescent="0.25">
      <c r="A103" s="213" t="s">
        <v>626</v>
      </c>
      <c r="B103" s="64">
        <v>14.8</v>
      </c>
      <c r="C103" s="64">
        <v>17.850000000000001</v>
      </c>
      <c r="D103" s="64">
        <v>21.2</v>
      </c>
      <c r="E103" s="64">
        <v>4.54</v>
      </c>
      <c r="F103" s="64">
        <v>6.02</v>
      </c>
      <c r="G103" s="64">
        <v>58.57</v>
      </c>
      <c r="H103" s="64">
        <v>10.01</v>
      </c>
      <c r="I103" s="64">
        <v>1.83</v>
      </c>
      <c r="J103" s="64">
        <v>0.02</v>
      </c>
      <c r="K103" s="64">
        <v>137.52000000000001</v>
      </c>
      <c r="L103" s="64">
        <v>23.87</v>
      </c>
      <c r="M103" s="64">
        <v>98.01</v>
      </c>
      <c r="N103" s="64">
        <v>44.2</v>
      </c>
      <c r="O103" s="64">
        <v>0</v>
      </c>
      <c r="P103" s="64">
        <v>0.26</v>
      </c>
      <c r="Q103" s="64">
        <v>9.41</v>
      </c>
      <c r="R103" s="198"/>
      <c r="S103" s="198"/>
      <c r="T103" s="198"/>
      <c r="U103" s="198"/>
    </row>
    <row r="104" spans="1:33" s="12" customFormat="1" x14ac:dyDescent="0.25">
      <c r="A104" s="213" t="s">
        <v>627</v>
      </c>
      <c r="B104" s="64">
        <v>18.8</v>
      </c>
      <c r="C104" s="64">
        <v>18.670000000000002</v>
      </c>
      <c r="D104" s="64">
        <v>24.83</v>
      </c>
      <c r="E104" s="64">
        <v>4.05</v>
      </c>
      <c r="F104" s="64">
        <v>5.36</v>
      </c>
      <c r="G104" s="64">
        <v>63.31</v>
      </c>
      <c r="H104" s="64">
        <v>10.88</v>
      </c>
      <c r="I104" s="64">
        <v>1.8</v>
      </c>
      <c r="J104" s="64">
        <v>0.03</v>
      </c>
      <c r="K104" s="64">
        <v>277.47000000000003</v>
      </c>
      <c r="L104" s="64">
        <v>23.86</v>
      </c>
      <c r="M104" s="64">
        <v>98.03</v>
      </c>
      <c r="N104" s="64">
        <v>44.2</v>
      </c>
      <c r="O104" s="64">
        <v>0</v>
      </c>
      <c r="P104" s="64">
        <v>0.37</v>
      </c>
      <c r="Q104" s="64">
        <v>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4.7300000000000004</v>
      </c>
      <c r="C106" s="67">
        <f>MIN(C9:C104)</f>
        <v>9.98</v>
      </c>
      <c r="D106" s="67">
        <f t="shared" ref="D106:Q106" si="0">MIN(D9:D104)</f>
        <v>9.3699999999999992</v>
      </c>
      <c r="E106" s="67">
        <f t="shared" si="0"/>
        <v>3.66</v>
      </c>
      <c r="F106" s="67">
        <f t="shared" si="0"/>
        <v>2.36</v>
      </c>
      <c r="G106" s="67">
        <f t="shared" si="0"/>
        <v>11.5</v>
      </c>
      <c r="H106" s="67">
        <f t="shared" si="0"/>
        <v>0.12</v>
      </c>
      <c r="I106" s="67">
        <f t="shared" si="0"/>
        <v>0.5</v>
      </c>
      <c r="J106" s="67">
        <f t="shared" si="0"/>
        <v>0.01</v>
      </c>
      <c r="K106" s="67">
        <f t="shared" si="0"/>
        <v>83.51</v>
      </c>
      <c r="L106" s="67">
        <f t="shared" si="0"/>
        <v>22.84</v>
      </c>
      <c r="M106" s="67">
        <f t="shared" si="0"/>
        <v>83.09</v>
      </c>
      <c r="N106" s="67">
        <f t="shared" si="0"/>
        <v>43.5</v>
      </c>
      <c r="O106" s="67">
        <f t="shared" si="0"/>
        <v>0</v>
      </c>
      <c r="P106" s="67">
        <f t="shared" si="0"/>
        <v>0.12</v>
      </c>
      <c r="Q106" s="67">
        <f t="shared" si="0"/>
        <v>8.94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26.36</v>
      </c>
      <c r="C107" s="66">
        <f t="shared" ref="C107:Q107" si="1">MAX(C9:C104)</f>
        <v>20.32</v>
      </c>
      <c r="D107" s="66">
        <f t="shared" si="1"/>
        <v>31.36</v>
      </c>
      <c r="E107" s="66">
        <f t="shared" si="1"/>
        <v>5.19</v>
      </c>
      <c r="F107" s="66">
        <f t="shared" si="1"/>
        <v>7.91</v>
      </c>
      <c r="G107" s="66">
        <f t="shared" si="1"/>
        <v>68.37</v>
      </c>
      <c r="H107" s="66">
        <f t="shared" si="1"/>
        <v>23.28</v>
      </c>
      <c r="I107" s="66">
        <f t="shared" si="1"/>
        <v>2.69</v>
      </c>
      <c r="J107" s="66">
        <f t="shared" si="1"/>
        <v>0.53</v>
      </c>
      <c r="K107" s="66">
        <f t="shared" si="1"/>
        <v>333.31</v>
      </c>
      <c r="L107" s="66">
        <f t="shared" si="1"/>
        <v>27.33</v>
      </c>
      <c r="M107" s="66">
        <f t="shared" si="1"/>
        <v>98.2</v>
      </c>
      <c r="N107" s="66">
        <f t="shared" si="1"/>
        <v>343</v>
      </c>
      <c r="O107" s="66">
        <f t="shared" si="1"/>
        <v>0.8</v>
      </c>
      <c r="P107" s="66">
        <f t="shared" si="1"/>
        <v>1.1599999999999999</v>
      </c>
      <c r="Q107" s="66">
        <f t="shared" si="1"/>
        <v>9.4700000000000006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9.4445833333333322</v>
      </c>
      <c r="C108" s="67">
        <f t="shared" ref="C108:Q108" si="2">AVERAGE(C9:C104)</f>
        <v>14.42166666666666</v>
      </c>
      <c r="D108" s="67">
        <f t="shared" si="2"/>
        <v>15.108437500000006</v>
      </c>
      <c r="E108" s="67">
        <f t="shared" si="2"/>
        <v>4.4291666666666654</v>
      </c>
      <c r="F108" s="67">
        <f t="shared" si="2"/>
        <v>4.3842708333333329</v>
      </c>
      <c r="G108" s="67">
        <f t="shared" si="2"/>
        <v>40.35385416666665</v>
      </c>
      <c r="H108" s="67">
        <f t="shared" si="2"/>
        <v>10.349062499999997</v>
      </c>
      <c r="I108" s="67">
        <f t="shared" si="2"/>
        <v>1.2249999999999999</v>
      </c>
      <c r="J108" s="67">
        <f t="shared" si="2"/>
        <v>0.21010416666666662</v>
      </c>
      <c r="K108" s="67">
        <f t="shared" si="2"/>
        <v>295.10656249999994</v>
      </c>
      <c r="L108" s="67">
        <f t="shared" si="2"/>
        <v>24.512916666666666</v>
      </c>
      <c r="M108" s="67">
        <f t="shared" si="2"/>
        <v>95.913541666666674</v>
      </c>
      <c r="N108" s="67">
        <f t="shared" si="2"/>
        <v>122.10312499999998</v>
      </c>
      <c r="O108" s="67">
        <f t="shared" si="2"/>
        <v>1.2499999999999999E-2</v>
      </c>
      <c r="P108" s="67">
        <f t="shared" si="2"/>
        <v>0.35593749999999985</v>
      </c>
      <c r="Q108" s="67">
        <f t="shared" si="2"/>
        <v>9.1590624999999921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5.3908046302387485</v>
      </c>
      <c r="C109" s="67">
        <f t="shared" ref="C109:Q109" si="3">STDEV(C9:C104)</f>
        <v>3.0677636863174373</v>
      </c>
      <c r="D109" s="67">
        <f t="shared" si="3"/>
        <v>4.6717451552982174</v>
      </c>
      <c r="E109" s="67">
        <f t="shared" si="3"/>
        <v>0.33940401841949108</v>
      </c>
      <c r="F109" s="67">
        <f t="shared" si="3"/>
        <v>1.3060641918549101</v>
      </c>
      <c r="G109" s="67">
        <f t="shared" si="3"/>
        <v>17.504960642466436</v>
      </c>
      <c r="H109" s="67">
        <f t="shared" si="3"/>
        <v>6.0414581854531688</v>
      </c>
      <c r="I109" s="67">
        <f t="shared" si="3"/>
        <v>0.69156725136308639</v>
      </c>
      <c r="J109" s="67">
        <f t="shared" si="3"/>
        <v>0.12464260310492532</v>
      </c>
      <c r="K109" s="67">
        <f t="shared" si="3"/>
        <v>31.093494524473257</v>
      </c>
      <c r="L109" s="67">
        <f t="shared" si="3"/>
        <v>1.2070816626686354</v>
      </c>
      <c r="M109" s="67">
        <f t="shared" si="3"/>
        <v>3.6455648552775863</v>
      </c>
      <c r="N109" s="67">
        <f t="shared" si="3"/>
        <v>83.605724373551766</v>
      </c>
      <c r="O109" s="67">
        <f t="shared" si="3"/>
        <v>8.6145531698277586E-2</v>
      </c>
      <c r="P109" s="67">
        <f t="shared" si="3"/>
        <v>0.21356413125310816</v>
      </c>
      <c r="Q109" s="67">
        <f t="shared" si="3"/>
        <v>0.16477786083407156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628</v>
      </c>
      <c r="B9" s="64">
        <v>12.27</v>
      </c>
      <c r="C9" s="64">
        <v>14.5</v>
      </c>
      <c r="D9" s="64">
        <v>17.41</v>
      </c>
      <c r="E9" s="64">
        <v>4.4000000000000004</v>
      </c>
      <c r="F9" s="64">
        <v>4.9000000000000004</v>
      </c>
      <c r="G9" s="64">
        <v>63.31</v>
      </c>
      <c r="H9" s="64">
        <v>10.88</v>
      </c>
      <c r="I9" s="64">
        <v>1.78</v>
      </c>
      <c r="J9" s="64">
        <v>0.05</v>
      </c>
      <c r="K9" s="64">
        <v>296.64</v>
      </c>
      <c r="L9" s="64">
        <v>23.82</v>
      </c>
      <c r="M9" s="64">
        <v>98</v>
      </c>
      <c r="N9" s="64">
        <v>44.2</v>
      </c>
      <c r="O9" s="64">
        <v>0.2</v>
      </c>
      <c r="P9" s="64">
        <v>0.28999999999999998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3" t="s">
        <v>629</v>
      </c>
      <c r="B10" s="64">
        <v>15.3</v>
      </c>
      <c r="C10" s="64">
        <v>10.119999999999999</v>
      </c>
      <c r="D10" s="64">
        <v>17.559999999999999</v>
      </c>
      <c r="E10" s="64">
        <v>4.24</v>
      </c>
      <c r="F10" s="64">
        <v>3.79</v>
      </c>
      <c r="G10" s="64">
        <v>63.31</v>
      </c>
      <c r="H10" s="64">
        <v>10.88</v>
      </c>
      <c r="I10" s="64">
        <v>1.75</v>
      </c>
      <c r="J10" s="64">
        <v>0.05</v>
      </c>
      <c r="K10" s="64">
        <v>329.13</v>
      </c>
      <c r="L10" s="64">
        <v>23.7</v>
      </c>
      <c r="M10" s="64">
        <v>97.99</v>
      </c>
      <c r="N10" s="64">
        <v>43.9</v>
      </c>
      <c r="O10" s="64">
        <v>0</v>
      </c>
      <c r="P10" s="64">
        <v>0.49</v>
      </c>
      <c r="Q10" s="64">
        <v>9.42</v>
      </c>
      <c r="R10" s="198"/>
      <c r="S10" s="198"/>
      <c r="T10" s="198"/>
      <c r="U10" s="198"/>
    </row>
    <row r="11" spans="1:21" s="12" customFormat="1" x14ac:dyDescent="0.25">
      <c r="A11" s="213" t="s">
        <v>630</v>
      </c>
      <c r="B11" s="64">
        <v>15.3</v>
      </c>
      <c r="C11" s="64">
        <v>9.3699999999999992</v>
      </c>
      <c r="D11" s="64">
        <v>17.16</v>
      </c>
      <c r="E11" s="64">
        <v>4.46</v>
      </c>
      <c r="F11" s="64">
        <v>3.01</v>
      </c>
      <c r="G11" s="64">
        <v>54.99</v>
      </c>
      <c r="H11" s="64">
        <v>8.31</v>
      </c>
      <c r="I11" s="64">
        <v>1.7</v>
      </c>
      <c r="J11" s="64">
        <v>7.0000000000000007E-2</v>
      </c>
      <c r="K11" s="64">
        <v>320.07</v>
      </c>
      <c r="L11" s="64">
        <v>23.7</v>
      </c>
      <c r="M11" s="64">
        <v>98.03</v>
      </c>
      <c r="N11" s="64">
        <v>44.4</v>
      </c>
      <c r="O11" s="64">
        <v>0</v>
      </c>
      <c r="P11" s="64">
        <v>0.41</v>
      </c>
      <c r="Q11" s="64">
        <v>9.41</v>
      </c>
      <c r="R11" s="198"/>
      <c r="S11" s="198"/>
      <c r="T11" s="198"/>
      <c r="U11" s="198"/>
    </row>
    <row r="12" spans="1:21" s="12" customFormat="1" x14ac:dyDescent="0.25">
      <c r="A12" s="213" t="s">
        <v>631</v>
      </c>
      <c r="B12" s="64">
        <v>13.83</v>
      </c>
      <c r="C12" s="64">
        <v>9.2100000000000009</v>
      </c>
      <c r="D12" s="64">
        <v>15.9</v>
      </c>
      <c r="E12" s="64">
        <v>4.66</v>
      </c>
      <c r="F12" s="64">
        <v>4.22</v>
      </c>
      <c r="G12" s="64">
        <v>52.46</v>
      </c>
      <c r="H12" s="64">
        <v>7.52</v>
      </c>
      <c r="I12" s="64">
        <v>1.63</v>
      </c>
      <c r="J12" s="64">
        <v>7.0000000000000007E-2</v>
      </c>
      <c r="K12" s="64">
        <v>335.6</v>
      </c>
      <c r="L12" s="64">
        <v>23.72</v>
      </c>
      <c r="M12" s="64">
        <v>98.05</v>
      </c>
      <c r="N12" s="64">
        <v>44.4</v>
      </c>
      <c r="O12" s="64">
        <v>0</v>
      </c>
      <c r="P12" s="64">
        <v>0.4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3" t="s">
        <v>632</v>
      </c>
      <c r="B13" s="64">
        <v>15.03</v>
      </c>
      <c r="C13" s="64">
        <v>8.65</v>
      </c>
      <c r="D13" s="64">
        <v>16.57</v>
      </c>
      <c r="E13" s="64">
        <v>4.12</v>
      </c>
      <c r="F13" s="64">
        <v>3.64</v>
      </c>
      <c r="G13" s="64">
        <v>52.46</v>
      </c>
      <c r="H13" s="64">
        <v>7.52</v>
      </c>
      <c r="I13" s="64">
        <v>1.57</v>
      </c>
      <c r="J13" s="64">
        <v>0.09</v>
      </c>
      <c r="K13" s="64">
        <v>316.82</v>
      </c>
      <c r="L13" s="64">
        <v>23.71</v>
      </c>
      <c r="M13" s="64">
        <v>97.96</v>
      </c>
      <c r="N13" s="64">
        <v>44.5</v>
      </c>
      <c r="O13" s="64">
        <v>0</v>
      </c>
      <c r="P13" s="64">
        <v>0.45</v>
      </c>
      <c r="Q13" s="64">
        <v>9.35</v>
      </c>
      <c r="R13" s="198"/>
      <c r="S13" s="198"/>
      <c r="T13" s="198"/>
      <c r="U13" s="198"/>
    </row>
    <row r="14" spans="1:21" s="12" customFormat="1" x14ac:dyDescent="0.25">
      <c r="A14" s="213" t="s">
        <v>633</v>
      </c>
      <c r="B14" s="64">
        <v>13.73</v>
      </c>
      <c r="C14" s="64">
        <v>9.32</v>
      </c>
      <c r="D14" s="64">
        <v>15.88</v>
      </c>
      <c r="E14" s="64">
        <v>4.09</v>
      </c>
      <c r="F14" s="64">
        <v>4.07</v>
      </c>
      <c r="G14" s="64">
        <v>52.46</v>
      </c>
      <c r="H14" s="64">
        <v>7.52</v>
      </c>
      <c r="I14" s="64">
        <v>1.5</v>
      </c>
      <c r="J14" s="64">
        <v>0.06</v>
      </c>
      <c r="K14" s="64">
        <v>337.89</v>
      </c>
      <c r="L14" s="64">
        <v>23.65</v>
      </c>
      <c r="M14" s="64">
        <v>97.91</v>
      </c>
      <c r="N14" s="64">
        <v>44.5</v>
      </c>
      <c r="O14" s="64">
        <v>0</v>
      </c>
      <c r="P14" s="64">
        <v>0.38</v>
      </c>
      <c r="Q14" s="64">
        <v>9.34</v>
      </c>
      <c r="R14" s="198"/>
      <c r="S14" s="198"/>
      <c r="T14" s="198"/>
      <c r="U14" s="198"/>
    </row>
    <row r="15" spans="1:21" s="12" customFormat="1" x14ac:dyDescent="0.25">
      <c r="A15" s="213" t="s">
        <v>634</v>
      </c>
      <c r="B15" s="64">
        <v>13.01</v>
      </c>
      <c r="C15" s="64">
        <v>9.36</v>
      </c>
      <c r="D15" s="64">
        <v>15.32</v>
      </c>
      <c r="E15" s="64">
        <v>4.34</v>
      </c>
      <c r="F15" s="64">
        <v>3.98</v>
      </c>
      <c r="G15" s="64">
        <v>36</v>
      </c>
      <c r="H15" s="64">
        <v>6.07</v>
      </c>
      <c r="I15" s="64">
        <v>1.45</v>
      </c>
      <c r="J15" s="64">
        <v>0.06</v>
      </c>
      <c r="K15" s="64">
        <v>324.77</v>
      </c>
      <c r="L15" s="64">
        <v>23.59</v>
      </c>
      <c r="M15" s="64">
        <v>97.88</v>
      </c>
      <c r="N15" s="64">
        <v>44.4</v>
      </c>
      <c r="O15" s="64">
        <v>0</v>
      </c>
      <c r="P15" s="64">
        <v>0.41</v>
      </c>
      <c r="Q15" s="64">
        <v>9.2899999999999991</v>
      </c>
      <c r="R15" s="198"/>
      <c r="S15" s="198"/>
      <c r="T15" s="198"/>
      <c r="U15" s="198"/>
    </row>
    <row r="16" spans="1:21" s="12" customFormat="1" x14ac:dyDescent="0.25">
      <c r="A16" s="213" t="s">
        <v>635</v>
      </c>
      <c r="B16" s="64">
        <v>13</v>
      </c>
      <c r="C16" s="64">
        <v>9.39</v>
      </c>
      <c r="D16" s="64">
        <v>15.33</v>
      </c>
      <c r="E16" s="64">
        <v>4.47</v>
      </c>
      <c r="F16" s="64">
        <v>3.75</v>
      </c>
      <c r="G16" s="64">
        <v>30.67</v>
      </c>
      <c r="H16" s="64">
        <v>5.61</v>
      </c>
      <c r="I16" s="64">
        <v>1.39</v>
      </c>
      <c r="J16" s="64">
        <v>7.0000000000000007E-2</v>
      </c>
      <c r="K16" s="64">
        <v>320.08999999999997</v>
      </c>
      <c r="L16" s="64">
        <v>23.58</v>
      </c>
      <c r="M16" s="64">
        <v>97.92</v>
      </c>
      <c r="N16" s="64">
        <v>44.5</v>
      </c>
      <c r="O16" s="64">
        <v>0</v>
      </c>
      <c r="P16" s="64">
        <v>0.39</v>
      </c>
      <c r="Q16" s="64">
        <v>9.26</v>
      </c>
      <c r="R16" s="198"/>
      <c r="S16" s="198"/>
      <c r="T16" s="198"/>
      <c r="U16" s="198"/>
    </row>
    <row r="17" spans="1:21" s="12" customFormat="1" x14ac:dyDescent="0.25">
      <c r="A17" s="213" t="s">
        <v>636</v>
      </c>
      <c r="B17" s="64">
        <v>11.84</v>
      </c>
      <c r="C17" s="64">
        <v>9.8800000000000008</v>
      </c>
      <c r="D17" s="64">
        <v>14.66</v>
      </c>
      <c r="E17" s="64">
        <v>4.21</v>
      </c>
      <c r="F17" s="64">
        <v>4.17</v>
      </c>
      <c r="G17" s="64">
        <v>30.67</v>
      </c>
      <c r="H17" s="64">
        <v>5.61</v>
      </c>
      <c r="I17" s="64">
        <v>1.34</v>
      </c>
      <c r="J17" s="64">
        <v>0.09</v>
      </c>
      <c r="K17" s="64">
        <v>318.92</v>
      </c>
      <c r="L17" s="64">
        <v>23.59</v>
      </c>
      <c r="M17" s="64">
        <v>97.94</v>
      </c>
      <c r="N17" s="64">
        <v>44.5</v>
      </c>
      <c r="O17" s="64">
        <v>0</v>
      </c>
      <c r="P17" s="64">
        <v>0.33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3" t="s">
        <v>637</v>
      </c>
      <c r="B18" s="64">
        <v>12.35</v>
      </c>
      <c r="C18" s="64">
        <v>9.33</v>
      </c>
      <c r="D18" s="64">
        <v>14.78</v>
      </c>
      <c r="E18" s="64">
        <v>4.2699999999999996</v>
      </c>
      <c r="F18" s="64">
        <v>4.2699999999999996</v>
      </c>
      <c r="G18" s="64">
        <v>30.67</v>
      </c>
      <c r="H18" s="64">
        <v>5.61</v>
      </c>
      <c r="I18" s="64">
        <v>1.29</v>
      </c>
      <c r="J18" s="64">
        <v>0.12</v>
      </c>
      <c r="K18" s="64">
        <v>304.41000000000003</v>
      </c>
      <c r="L18" s="64">
        <v>23.62</v>
      </c>
      <c r="M18" s="64">
        <v>97.99</v>
      </c>
      <c r="N18" s="64">
        <v>44.5</v>
      </c>
      <c r="O18" s="64">
        <v>0</v>
      </c>
      <c r="P18" s="64">
        <v>0.36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13" t="s">
        <v>638</v>
      </c>
      <c r="B19" s="64">
        <v>12.07</v>
      </c>
      <c r="C19" s="64">
        <v>9.33</v>
      </c>
      <c r="D19" s="64">
        <v>14.55</v>
      </c>
      <c r="E19" s="64">
        <v>4.17</v>
      </c>
      <c r="F19" s="64">
        <v>2.98</v>
      </c>
      <c r="G19" s="64">
        <v>25</v>
      </c>
      <c r="H19" s="64">
        <v>4.47</v>
      </c>
      <c r="I19" s="64">
        <v>1.24</v>
      </c>
      <c r="J19" s="64">
        <v>0.14000000000000001</v>
      </c>
      <c r="K19" s="64">
        <v>311.85000000000002</v>
      </c>
      <c r="L19" s="64">
        <v>23.67</v>
      </c>
      <c r="M19" s="64">
        <v>98</v>
      </c>
      <c r="N19" s="64">
        <v>44.5</v>
      </c>
      <c r="O19" s="64">
        <v>0</v>
      </c>
      <c r="P19" s="64">
        <v>0.34</v>
      </c>
      <c r="Q19" s="64">
        <v>9.2200000000000006</v>
      </c>
      <c r="R19" s="198"/>
      <c r="S19" s="198"/>
      <c r="T19" s="198"/>
      <c r="U19" s="198"/>
    </row>
    <row r="20" spans="1:21" s="12" customFormat="1" x14ac:dyDescent="0.25">
      <c r="A20" s="213" t="s">
        <v>639</v>
      </c>
      <c r="B20" s="64">
        <v>11.04</v>
      </c>
      <c r="C20" s="64">
        <v>9.93</v>
      </c>
      <c r="D20" s="64">
        <v>14.04</v>
      </c>
      <c r="E20" s="64">
        <v>4.13</v>
      </c>
      <c r="F20" s="64">
        <v>3.24</v>
      </c>
      <c r="G20" s="64">
        <v>23.17</v>
      </c>
      <c r="H20" s="64">
        <v>4.1100000000000003</v>
      </c>
      <c r="I20" s="64">
        <v>1.19</v>
      </c>
      <c r="J20" s="64">
        <v>0.19</v>
      </c>
      <c r="K20" s="64">
        <v>298.48</v>
      </c>
      <c r="L20" s="64">
        <v>23.71</v>
      </c>
      <c r="M20" s="64">
        <v>98.01</v>
      </c>
      <c r="N20" s="64">
        <v>44.5</v>
      </c>
      <c r="O20" s="64">
        <v>0</v>
      </c>
      <c r="P20" s="64">
        <v>0.3</v>
      </c>
      <c r="Q20" s="64">
        <v>9.2100000000000009</v>
      </c>
      <c r="R20" s="198"/>
      <c r="S20" s="198"/>
      <c r="T20" s="198"/>
      <c r="U20" s="198"/>
    </row>
    <row r="21" spans="1:21" s="12" customFormat="1" x14ac:dyDescent="0.25">
      <c r="A21" s="213" t="s">
        <v>640</v>
      </c>
      <c r="B21" s="64">
        <v>9.66</v>
      </c>
      <c r="C21" s="64">
        <v>10.41</v>
      </c>
      <c r="D21" s="64">
        <v>13.19</v>
      </c>
      <c r="E21" s="64">
        <v>4.22</v>
      </c>
      <c r="F21" s="64">
        <v>3.63</v>
      </c>
      <c r="G21" s="64">
        <v>23.17</v>
      </c>
      <c r="H21" s="64">
        <v>4.1100000000000003</v>
      </c>
      <c r="I21" s="64">
        <v>1.1299999999999999</v>
      </c>
      <c r="J21" s="64">
        <v>0.19</v>
      </c>
      <c r="K21" s="64">
        <v>299.77</v>
      </c>
      <c r="L21" s="64">
        <v>23.65</v>
      </c>
      <c r="M21" s="64">
        <v>97.93</v>
      </c>
      <c r="N21" s="64">
        <v>44.5</v>
      </c>
      <c r="O21" s="64">
        <v>0</v>
      </c>
      <c r="P21" s="64">
        <v>0.27</v>
      </c>
      <c r="Q21" s="64">
        <v>9.18</v>
      </c>
      <c r="R21" s="198"/>
      <c r="S21" s="198"/>
      <c r="T21" s="198"/>
      <c r="U21" s="198"/>
    </row>
    <row r="22" spans="1:21" s="12" customFormat="1" x14ac:dyDescent="0.25">
      <c r="A22" s="213" t="s">
        <v>641</v>
      </c>
      <c r="B22" s="64">
        <v>8.69</v>
      </c>
      <c r="C22" s="64">
        <v>10.71</v>
      </c>
      <c r="D22" s="64">
        <v>12.57</v>
      </c>
      <c r="E22" s="64">
        <v>4.1500000000000004</v>
      </c>
      <c r="F22" s="64">
        <v>2.86</v>
      </c>
      <c r="G22" s="64">
        <v>23.17</v>
      </c>
      <c r="H22" s="64">
        <v>4.1100000000000003</v>
      </c>
      <c r="I22" s="64">
        <v>1.03</v>
      </c>
      <c r="J22" s="64">
        <v>0.24</v>
      </c>
      <c r="K22" s="64">
        <v>293.63</v>
      </c>
      <c r="L22" s="64">
        <v>23.51</v>
      </c>
      <c r="M22" s="64">
        <v>97.94</v>
      </c>
      <c r="N22" s="64">
        <v>44.1</v>
      </c>
      <c r="O22" s="64">
        <v>0</v>
      </c>
      <c r="P22" s="64">
        <v>0.27</v>
      </c>
      <c r="Q22" s="64">
        <v>9.16</v>
      </c>
      <c r="R22" s="198"/>
      <c r="S22" s="198"/>
      <c r="T22" s="198"/>
      <c r="U22" s="198"/>
    </row>
    <row r="23" spans="1:21" s="12" customFormat="1" x14ac:dyDescent="0.25">
      <c r="A23" s="213" t="s">
        <v>642</v>
      </c>
      <c r="B23" s="64">
        <v>7.77</v>
      </c>
      <c r="C23" s="64">
        <v>11.03</v>
      </c>
      <c r="D23" s="64">
        <v>11.99</v>
      </c>
      <c r="E23" s="64">
        <v>3.86</v>
      </c>
      <c r="F23" s="64">
        <v>3.6</v>
      </c>
      <c r="G23" s="64">
        <v>21.57</v>
      </c>
      <c r="H23" s="64">
        <v>3.24</v>
      </c>
      <c r="I23" s="64">
        <v>0.95</v>
      </c>
      <c r="J23" s="64">
        <v>0.16</v>
      </c>
      <c r="K23" s="64">
        <v>281.19</v>
      </c>
      <c r="L23" s="64">
        <v>23.17</v>
      </c>
      <c r="M23" s="64">
        <v>97.95</v>
      </c>
      <c r="N23" s="64">
        <v>43.7</v>
      </c>
      <c r="O23" s="64">
        <v>0</v>
      </c>
      <c r="P23" s="64">
        <v>0.24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3" t="s">
        <v>643</v>
      </c>
      <c r="B24" s="64">
        <v>7.04</v>
      </c>
      <c r="C24" s="64">
        <v>11.09</v>
      </c>
      <c r="D24" s="64">
        <v>11.44</v>
      </c>
      <c r="E24" s="64">
        <v>4.03</v>
      </c>
      <c r="F24" s="64">
        <v>3.66</v>
      </c>
      <c r="G24" s="64">
        <v>21.06</v>
      </c>
      <c r="H24" s="64">
        <v>2.96</v>
      </c>
      <c r="I24" s="64">
        <v>0.95</v>
      </c>
      <c r="J24" s="64">
        <v>0.12</v>
      </c>
      <c r="K24" s="64">
        <v>298.48</v>
      </c>
      <c r="L24" s="64">
        <v>23.04</v>
      </c>
      <c r="M24" s="64">
        <v>97.98</v>
      </c>
      <c r="N24" s="64">
        <v>43.7</v>
      </c>
      <c r="O24" s="64">
        <v>0</v>
      </c>
      <c r="P24" s="64">
        <v>0.22</v>
      </c>
      <c r="Q24" s="64">
        <v>9.11</v>
      </c>
      <c r="R24" s="198"/>
      <c r="S24" s="198"/>
      <c r="T24" s="198"/>
      <c r="U24" s="198"/>
    </row>
    <row r="25" spans="1:21" s="12" customFormat="1" x14ac:dyDescent="0.25">
      <c r="A25" s="213" t="s">
        <v>644</v>
      </c>
      <c r="B25" s="64">
        <v>6.59</v>
      </c>
      <c r="C25" s="64">
        <v>11.13</v>
      </c>
      <c r="D25" s="64">
        <v>11.1</v>
      </c>
      <c r="E25" s="64">
        <v>4.33</v>
      </c>
      <c r="F25" s="64">
        <v>3.65</v>
      </c>
      <c r="G25" s="64">
        <v>21.06</v>
      </c>
      <c r="H25" s="64">
        <v>2.96</v>
      </c>
      <c r="I25" s="64">
        <v>0.95</v>
      </c>
      <c r="J25" s="64">
        <v>0.17</v>
      </c>
      <c r="K25" s="64">
        <v>295.07</v>
      </c>
      <c r="L25" s="64">
        <v>22.91</v>
      </c>
      <c r="M25" s="64">
        <v>98</v>
      </c>
      <c r="N25" s="64">
        <v>43.8</v>
      </c>
      <c r="O25" s="64">
        <v>0</v>
      </c>
      <c r="P25" s="64">
        <v>0.22</v>
      </c>
      <c r="Q25" s="64">
        <v>9.1</v>
      </c>
      <c r="R25" s="198"/>
      <c r="S25" s="198"/>
      <c r="T25" s="198"/>
      <c r="U25" s="198"/>
    </row>
    <row r="26" spans="1:21" s="12" customFormat="1" x14ac:dyDescent="0.25">
      <c r="A26" s="213" t="s">
        <v>645</v>
      </c>
      <c r="B26" s="64">
        <v>6.19</v>
      </c>
      <c r="C26" s="64">
        <v>11.02</v>
      </c>
      <c r="D26" s="64">
        <v>10.73</v>
      </c>
      <c r="E26" s="64">
        <v>4.2300000000000004</v>
      </c>
      <c r="F26" s="64">
        <v>3.68</v>
      </c>
      <c r="G26" s="64">
        <v>21.06</v>
      </c>
      <c r="H26" s="64">
        <v>2.96</v>
      </c>
      <c r="I26" s="64">
        <v>0.91</v>
      </c>
      <c r="J26" s="64">
        <v>0.15</v>
      </c>
      <c r="K26" s="64">
        <v>318.08999999999997</v>
      </c>
      <c r="L26" s="64">
        <v>22.83</v>
      </c>
      <c r="M26" s="64">
        <v>98.03</v>
      </c>
      <c r="N26" s="64">
        <v>44</v>
      </c>
      <c r="O26" s="64">
        <v>0</v>
      </c>
      <c r="P26" s="64">
        <v>0.2</v>
      </c>
      <c r="Q26" s="64">
        <v>9.08</v>
      </c>
      <c r="R26" s="198"/>
      <c r="S26" s="198"/>
      <c r="T26" s="198"/>
      <c r="U26" s="198"/>
    </row>
    <row r="27" spans="1:21" s="12" customFormat="1" x14ac:dyDescent="0.25">
      <c r="A27" s="213" t="s">
        <v>646</v>
      </c>
      <c r="B27" s="64">
        <v>5.98</v>
      </c>
      <c r="C27" s="64">
        <v>11.1</v>
      </c>
      <c r="D27" s="64">
        <v>10.59</v>
      </c>
      <c r="E27" s="64">
        <v>4.2300000000000004</v>
      </c>
      <c r="F27" s="64">
        <v>3.87</v>
      </c>
      <c r="G27" s="64">
        <v>15.56</v>
      </c>
      <c r="H27" s="64">
        <v>2.54</v>
      </c>
      <c r="I27" s="64">
        <v>0.88</v>
      </c>
      <c r="J27" s="64">
        <v>0.22</v>
      </c>
      <c r="K27" s="64">
        <v>295.45999999999998</v>
      </c>
      <c r="L27" s="64">
        <v>22.84</v>
      </c>
      <c r="M27" s="64">
        <v>98.04</v>
      </c>
      <c r="N27" s="64">
        <v>44</v>
      </c>
      <c r="O27" s="64">
        <v>0</v>
      </c>
      <c r="P27" s="64">
        <v>0.19</v>
      </c>
      <c r="Q27" s="64">
        <v>9.06</v>
      </c>
      <c r="R27" s="198"/>
      <c r="S27" s="198"/>
      <c r="T27" s="198"/>
      <c r="U27" s="198"/>
    </row>
    <row r="28" spans="1:21" s="12" customFormat="1" x14ac:dyDescent="0.25">
      <c r="A28" s="213" t="s">
        <v>647</v>
      </c>
      <c r="B28" s="64">
        <v>5.84</v>
      </c>
      <c r="C28" s="64">
        <v>11.19</v>
      </c>
      <c r="D28" s="64">
        <v>10.53</v>
      </c>
      <c r="E28" s="64">
        <v>4.1500000000000004</v>
      </c>
      <c r="F28" s="64">
        <v>3.87</v>
      </c>
      <c r="G28" s="64">
        <v>13.78</v>
      </c>
      <c r="H28" s="64">
        <v>2.41</v>
      </c>
      <c r="I28" s="64">
        <v>0.85</v>
      </c>
      <c r="J28" s="64">
        <v>0.17</v>
      </c>
      <c r="K28" s="64">
        <v>298.73</v>
      </c>
      <c r="L28" s="64">
        <v>22.67</v>
      </c>
      <c r="M28" s="64">
        <v>98.11</v>
      </c>
      <c r="N28" s="64">
        <v>43.8</v>
      </c>
      <c r="O28" s="64">
        <v>0.4</v>
      </c>
      <c r="P28" s="64">
        <v>0.19</v>
      </c>
      <c r="Q28" s="64">
        <v>9.0299999999999994</v>
      </c>
      <c r="R28" s="198"/>
      <c r="S28" s="198"/>
      <c r="T28" s="198"/>
      <c r="U28" s="198"/>
    </row>
    <row r="29" spans="1:21" s="12" customFormat="1" x14ac:dyDescent="0.25">
      <c r="A29" s="213" t="s">
        <v>648</v>
      </c>
      <c r="B29" s="64">
        <v>5.75</v>
      </c>
      <c r="C29" s="64">
        <v>11.34</v>
      </c>
      <c r="D29" s="64">
        <v>10.54</v>
      </c>
      <c r="E29" s="64">
        <v>4.1399999999999997</v>
      </c>
      <c r="F29" s="64">
        <v>3.37</v>
      </c>
      <c r="G29" s="64">
        <v>13.78</v>
      </c>
      <c r="H29" s="64">
        <v>2.41</v>
      </c>
      <c r="I29" s="64">
        <v>0.78</v>
      </c>
      <c r="J29" s="64">
        <v>0.12</v>
      </c>
      <c r="K29" s="64">
        <v>289.32</v>
      </c>
      <c r="L29" s="64">
        <v>22.43</v>
      </c>
      <c r="M29" s="64">
        <v>98.14</v>
      </c>
      <c r="N29" s="64">
        <v>44.8</v>
      </c>
      <c r="O29" s="64">
        <v>1.8</v>
      </c>
      <c r="P29" s="64">
        <v>0.17</v>
      </c>
      <c r="Q29" s="64">
        <v>9.02</v>
      </c>
      <c r="R29" s="198"/>
      <c r="S29" s="198"/>
      <c r="T29" s="198"/>
      <c r="U29" s="198"/>
    </row>
    <row r="30" spans="1:21" s="12" customFormat="1" x14ac:dyDescent="0.25">
      <c r="A30" s="213" t="s">
        <v>649</v>
      </c>
      <c r="B30" s="64">
        <v>5.76</v>
      </c>
      <c r="C30" s="64">
        <v>10.74</v>
      </c>
      <c r="D30" s="64">
        <v>10.23</v>
      </c>
      <c r="E30" s="64">
        <v>4.0599999999999996</v>
      </c>
      <c r="F30" s="64">
        <v>4.16</v>
      </c>
      <c r="G30" s="64">
        <v>13.78</v>
      </c>
      <c r="H30" s="64">
        <v>2.41</v>
      </c>
      <c r="I30" s="64">
        <v>0.74</v>
      </c>
      <c r="J30" s="64">
        <v>0.11</v>
      </c>
      <c r="K30" s="64">
        <v>304.12</v>
      </c>
      <c r="L30" s="64">
        <v>22.02</v>
      </c>
      <c r="M30" s="64">
        <v>98.21</v>
      </c>
      <c r="N30" s="64">
        <v>45</v>
      </c>
      <c r="O30" s="64">
        <v>0.6</v>
      </c>
      <c r="P30" s="64">
        <v>0.18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3" t="s">
        <v>650</v>
      </c>
      <c r="B31" s="64">
        <v>5.77</v>
      </c>
      <c r="C31" s="64">
        <v>10.76</v>
      </c>
      <c r="D31" s="64">
        <v>10.25</v>
      </c>
      <c r="E31" s="64">
        <v>3.99</v>
      </c>
      <c r="F31" s="64">
        <v>2.8</v>
      </c>
      <c r="G31" s="64">
        <v>11.22</v>
      </c>
      <c r="H31" s="64">
        <v>1.98</v>
      </c>
      <c r="I31" s="64">
        <v>0.73</v>
      </c>
      <c r="J31" s="64">
        <v>0.12</v>
      </c>
      <c r="K31" s="64">
        <v>294.74</v>
      </c>
      <c r="L31" s="64">
        <v>21.95</v>
      </c>
      <c r="M31" s="64">
        <v>98.23</v>
      </c>
      <c r="N31" s="64">
        <v>50</v>
      </c>
      <c r="O31" s="64">
        <v>0</v>
      </c>
      <c r="P31" s="64">
        <v>0.17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3" t="s">
        <v>651</v>
      </c>
      <c r="B32" s="64">
        <v>5.68</v>
      </c>
      <c r="C32" s="64">
        <v>10.67</v>
      </c>
      <c r="D32" s="64">
        <v>10.130000000000001</v>
      </c>
      <c r="E32" s="64">
        <v>4.2</v>
      </c>
      <c r="F32" s="64">
        <v>4.05</v>
      </c>
      <c r="G32" s="64">
        <v>10.39</v>
      </c>
      <c r="H32" s="64">
        <v>1.85</v>
      </c>
      <c r="I32" s="64">
        <v>0.71</v>
      </c>
      <c r="J32" s="64">
        <v>0.12</v>
      </c>
      <c r="K32" s="64">
        <v>310.47000000000003</v>
      </c>
      <c r="L32" s="64">
        <v>22.03</v>
      </c>
      <c r="M32" s="64">
        <v>98.24</v>
      </c>
      <c r="N32" s="64">
        <v>54.7</v>
      </c>
      <c r="O32" s="64">
        <v>0</v>
      </c>
      <c r="P32" s="64">
        <v>0.17</v>
      </c>
      <c r="Q32" s="64">
        <v>9</v>
      </c>
      <c r="R32" s="198"/>
      <c r="S32" s="198"/>
      <c r="T32" s="198"/>
      <c r="U32" s="198"/>
    </row>
    <row r="33" spans="1:21" s="12" customFormat="1" x14ac:dyDescent="0.25">
      <c r="A33" s="213" t="s">
        <v>652</v>
      </c>
      <c r="B33" s="64">
        <v>5.68</v>
      </c>
      <c r="C33" s="64">
        <v>10.9</v>
      </c>
      <c r="D33" s="64">
        <v>10.25</v>
      </c>
      <c r="E33" s="64">
        <v>3.99</v>
      </c>
      <c r="F33" s="64">
        <v>2.54</v>
      </c>
      <c r="G33" s="64">
        <v>10.39</v>
      </c>
      <c r="H33" s="64">
        <v>1.85</v>
      </c>
      <c r="I33" s="64">
        <v>0.7</v>
      </c>
      <c r="J33" s="64">
        <v>0.08</v>
      </c>
      <c r="K33" s="64">
        <v>315.25</v>
      </c>
      <c r="L33" s="64">
        <v>22.13</v>
      </c>
      <c r="M33" s="64">
        <v>98.26</v>
      </c>
      <c r="N33" s="64">
        <v>62.9</v>
      </c>
      <c r="O33" s="64">
        <v>0</v>
      </c>
      <c r="P33" s="64">
        <v>0.15</v>
      </c>
      <c r="Q33" s="64">
        <v>8.99</v>
      </c>
      <c r="R33" s="198"/>
      <c r="S33" s="198"/>
      <c r="T33" s="198"/>
      <c r="U33" s="198"/>
    </row>
    <row r="34" spans="1:21" s="12" customFormat="1" x14ac:dyDescent="0.25">
      <c r="A34" s="213" t="s">
        <v>653</v>
      </c>
      <c r="B34" s="64">
        <v>5.73</v>
      </c>
      <c r="C34" s="64">
        <v>11.17</v>
      </c>
      <c r="D34" s="64">
        <v>10.44</v>
      </c>
      <c r="E34" s="64">
        <v>4.13</v>
      </c>
      <c r="F34" s="64">
        <v>4.13</v>
      </c>
      <c r="G34" s="64">
        <v>10.39</v>
      </c>
      <c r="H34" s="64">
        <v>1.85</v>
      </c>
      <c r="I34" s="64">
        <v>0.69</v>
      </c>
      <c r="J34" s="64">
        <v>7.0000000000000007E-2</v>
      </c>
      <c r="K34" s="64">
        <v>304.73</v>
      </c>
      <c r="L34" s="64">
        <v>22.23</v>
      </c>
      <c r="M34" s="64">
        <v>98.26</v>
      </c>
      <c r="N34" s="64">
        <v>74.099999999999994</v>
      </c>
      <c r="O34" s="64">
        <v>0</v>
      </c>
      <c r="P34" s="64">
        <v>0.14000000000000001</v>
      </c>
      <c r="Q34" s="64">
        <v>9</v>
      </c>
      <c r="R34" s="198"/>
      <c r="S34" s="198"/>
      <c r="T34" s="198"/>
      <c r="U34" s="198"/>
    </row>
    <row r="35" spans="1:21" s="12" customFormat="1" x14ac:dyDescent="0.25">
      <c r="A35" s="213" t="s">
        <v>654</v>
      </c>
      <c r="B35" s="64">
        <v>5.89</v>
      </c>
      <c r="C35" s="64">
        <v>10.92</v>
      </c>
      <c r="D35" s="64">
        <v>10.43</v>
      </c>
      <c r="E35" s="64">
        <v>4.12</v>
      </c>
      <c r="F35" s="64">
        <v>3.4</v>
      </c>
      <c r="G35" s="64">
        <v>12.3</v>
      </c>
      <c r="H35" s="64">
        <v>3.38</v>
      </c>
      <c r="I35" s="64">
        <v>0.67</v>
      </c>
      <c r="J35" s="64">
        <v>0.13</v>
      </c>
      <c r="K35" s="64">
        <v>300.74</v>
      </c>
      <c r="L35" s="64">
        <v>22.45</v>
      </c>
      <c r="M35" s="64">
        <v>98.26</v>
      </c>
      <c r="N35" s="64">
        <v>98.9</v>
      </c>
      <c r="O35" s="64">
        <v>0</v>
      </c>
      <c r="P35" s="64">
        <v>0.16</v>
      </c>
      <c r="Q35" s="64">
        <v>8.99</v>
      </c>
      <c r="R35" s="198"/>
      <c r="S35" s="198"/>
      <c r="T35" s="198"/>
      <c r="U35" s="198"/>
    </row>
    <row r="36" spans="1:21" s="12" customFormat="1" x14ac:dyDescent="0.25">
      <c r="A36" s="213" t="s">
        <v>655</v>
      </c>
      <c r="B36" s="64">
        <v>6.13</v>
      </c>
      <c r="C36" s="64">
        <v>11.43</v>
      </c>
      <c r="D36" s="64">
        <v>10.89</v>
      </c>
      <c r="E36" s="64">
        <v>3.8</v>
      </c>
      <c r="F36" s="64">
        <v>3.06</v>
      </c>
      <c r="G36" s="64">
        <v>12.92</v>
      </c>
      <c r="H36" s="64">
        <v>3.87</v>
      </c>
      <c r="I36" s="64">
        <v>0.68</v>
      </c>
      <c r="J36" s="64">
        <v>0.16</v>
      </c>
      <c r="K36" s="64">
        <v>301.97000000000003</v>
      </c>
      <c r="L36" s="64">
        <v>22.71</v>
      </c>
      <c r="M36" s="64">
        <v>98.25</v>
      </c>
      <c r="N36" s="64">
        <v>122</v>
      </c>
      <c r="O36" s="64">
        <v>0</v>
      </c>
      <c r="P36" s="64">
        <v>0.15</v>
      </c>
      <c r="Q36" s="64">
        <v>9</v>
      </c>
      <c r="R36" s="198"/>
      <c r="S36" s="198"/>
      <c r="T36" s="198"/>
      <c r="U36" s="198"/>
    </row>
    <row r="37" spans="1:21" s="12" customFormat="1" x14ac:dyDescent="0.25">
      <c r="A37" s="213" t="s">
        <v>656</v>
      </c>
      <c r="B37" s="64">
        <v>6.41</v>
      </c>
      <c r="C37" s="64">
        <v>11.54</v>
      </c>
      <c r="D37" s="64">
        <v>11.17</v>
      </c>
      <c r="E37" s="64">
        <v>3.98</v>
      </c>
      <c r="F37" s="64">
        <v>3.53</v>
      </c>
      <c r="G37" s="64">
        <v>12.92</v>
      </c>
      <c r="H37" s="64">
        <v>3.87</v>
      </c>
      <c r="I37" s="64">
        <v>0.7</v>
      </c>
      <c r="J37" s="64">
        <v>0.21</v>
      </c>
      <c r="K37" s="64">
        <v>301.39</v>
      </c>
      <c r="L37" s="64">
        <v>22.94</v>
      </c>
      <c r="M37" s="64">
        <v>98.27</v>
      </c>
      <c r="N37" s="64">
        <v>119.5</v>
      </c>
      <c r="O37" s="64">
        <v>0</v>
      </c>
      <c r="P37" s="64">
        <v>0.15</v>
      </c>
      <c r="Q37" s="64">
        <v>9.02</v>
      </c>
      <c r="R37" s="198"/>
      <c r="S37" s="198"/>
      <c r="T37" s="198"/>
      <c r="U37" s="198"/>
    </row>
    <row r="38" spans="1:21" s="12" customFormat="1" x14ac:dyDescent="0.25">
      <c r="A38" s="213" t="s">
        <v>657</v>
      </c>
      <c r="B38" s="64">
        <v>7.12</v>
      </c>
      <c r="C38" s="64">
        <v>12.35</v>
      </c>
      <c r="D38" s="64">
        <v>12.16</v>
      </c>
      <c r="E38" s="64">
        <v>4.17</v>
      </c>
      <c r="F38" s="64">
        <v>3.24</v>
      </c>
      <c r="G38" s="64">
        <v>12.92</v>
      </c>
      <c r="H38" s="64">
        <v>3.87</v>
      </c>
      <c r="I38" s="64">
        <v>0.71</v>
      </c>
      <c r="J38" s="64">
        <v>0.18</v>
      </c>
      <c r="K38" s="64">
        <v>291.45999999999998</v>
      </c>
      <c r="L38" s="64">
        <v>23.18</v>
      </c>
      <c r="M38" s="64">
        <v>98.2</v>
      </c>
      <c r="N38" s="64">
        <v>154.4</v>
      </c>
      <c r="O38" s="64">
        <v>0</v>
      </c>
      <c r="P38" s="64">
        <v>0.17</v>
      </c>
      <c r="Q38" s="64">
        <v>9.0500000000000007</v>
      </c>
      <c r="R38" s="198"/>
      <c r="S38" s="198"/>
      <c r="T38" s="198"/>
      <c r="U38" s="198"/>
    </row>
    <row r="39" spans="1:21" s="12" customFormat="1" x14ac:dyDescent="0.25">
      <c r="A39" s="213" t="s">
        <v>658</v>
      </c>
      <c r="B39" s="64">
        <v>7.67</v>
      </c>
      <c r="C39" s="64">
        <v>12.69</v>
      </c>
      <c r="D39" s="64">
        <v>12.78</v>
      </c>
      <c r="E39" s="64">
        <v>4.1399999999999997</v>
      </c>
      <c r="F39" s="64">
        <v>3.57</v>
      </c>
      <c r="G39" s="64">
        <v>13.79</v>
      </c>
      <c r="H39" s="64">
        <v>3.86</v>
      </c>
      <c r="I39" s="64">
        <v>0.73</v>
      </c>
      <c r="J39" s="64">
        <v>0.15</v>
      </c>
      <c r="K39" s="64">
        <v>299.55</v>
      </c>
      <c r="L39" s="64">
        <v>23.3</v>
      </c>
      <c r="M39" s="64">
        <v>98.14</v>
      </c>
      <c r="N39" s="64">
        <v>161.6</v>
      </c>
      <c r="O39" s="64">
        <v>0</v>
      </c>
      <c r="P39" s="64">
        <v>0.19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3" t="s">
        <v>659</v>
      </c>
      <c r="B40" s="64">
        <v>8.27</v>
      </c>
      <c r="C40" s="64">
        <v>13.05</v>
      </c>
      <c r="D40" s="64">
        <v>13.45</v>
      </c>
      <c r="E40" s="64">
        <v>4.8499999999999996</v>
      </c>
      <c r="F40" s="64">
        <v>3.55</v>
      </c>
      <c r="G40" s="64">
        <v>14.07</v>
      </c>
      <c r="H40" s="64">
        <v>3.86</v>
      </c>
      <c r="I40" s="64">
        <v>0.76</v>
      </c>
      <c r="J40" s="64">
        <v>0.16</v>
      </c>
      <c r="K40" s="64">
        <v>293.14</v>
      </c>
      <c r="L40" s="64">
        <v>23.52</v>
      </c>
      <c r="M40" s="64">
        <v>98.17</v>
      </c>
      <c r="N40" s="64">
        <v>176</v>
      </c>
      <c r="O40" s="64">
        <v>0</v>
      </c>
      <c r="P40" s="64">
        <v>0.19</v>
      </c>
      <c r="Q40" s="64">
        <v>9.1</v>
      </c>
      <c r="R40" s="198"/>
      <c r="S40" s="198"/>
      <c r="T40" s="198"/>
      <c r="U40" s="198"/>
    </row>
    <row r="41" spans="1:21" s="12" customFormat="1" x14ac:dyDescent="0.25">
      <c r="A41" s="213" t="s">
        <v>660</v>
      </c>
      <c r="B41" s="64">
        <v>7.89</v>
      </c>
      <c r="C41" s="64">
        <v>12.37</v>
      </c>
      <c r="D41" s="64">
        <v>12.79</v>
      </c>
      <c r="E41" s="64">
        <v>5.2</v>
      </c>
      <c r="F41" s="64">
        <v>3.3</v>
      </c>
      <c r="G41" s="64">
        <v>14.07</v>
      </c>
      <c r="H41" s="64">
        <v>3.86</v>
      </c>
      <c r="I41" s="64">
        <v>0.79</v>
      </c>
      <c r="J41" s="64">
        <v>0.22</v>
      </c>
      <c r="K41" s="64">
        <v>288.20999999999998</v>
      </c>
      <c r="L41" s="64">
        <v>23.74</v>
      </c>
      <c r="M41" s="64">
        <v>98.17</v>
      </c>
      <c r="N41" s="64">
        <v>202.2</v>
      </c>
      <c r="O41" s="64">
        <v>0</v>
      </c>
      <c r="P41" s="64">
        <v>0.19</v>
      </c>
      <c r="Q41" s="64">
        <v>9.1199999999999992</v>
      </c>
      <c r="R41" s="198"/>
      <c r="S41" s="198"/>
      <c r="T41" s="198"/>
      <c r="U41" s="198"/>
    </row>
    <row r="42" spans="1:21" s="12" customFormat="1" x14ac:dyDescent="0.25">
      <c r="A42" s="213" t="s">
        <v>661</v>
      </c>
      <c r="B42" s="64">
        <v>7.69</v>
      </c>
      <c r="C42" s="64">
        <v>12.9</v>
      </c>
      <c r="D42" s="64">
        <v>12.9</v>
      </c>
      <c r="E42" s="64">
        <v>5.52</v>
      </c>
      <c r="F42" s="64">
        <v>3.44</v>
      </c>
      <c r="G42" s="64">
        <v>14.07</v>
      </c>
      <c r="H42" s="64">
        <v>3.86</v>
      </c>
      <c r="I42" s="64">
        <v>0.81</v>
      </c>
      <c r="J42" s="64">
        <v>0.27</v>
      </c>
      <c r="K42" s="64">
        <v>287.82</v>
      </c>
      <c r="L42" s="64">
        <v>24.01</v>
      </c>
      <c r="M42" s="64">
        <v>98.16</v>
      </c>
      <c r="N42" s="64">
        <v>244.6</v>
      </c>
      <c r="O42" s="64">
        <v>0</v>
      </c>
      <c r="P42" s="64">
        <v>0.2</v>
      </c>
      <c r="Q42" s="64">
        <v>9.1</v>
      </c>
      <c r="R42" s="198"/>
      <c r="S42" s="198"/>
      <c r="T42" s="198"/>
      <c r="U42" s="198"/>
    </row>
    <row r="43" spans="1:21" s="12" customFormat="1" x14ac:dyDescent="0.25">
      <c r="A43" s="213" t="s">
        <v>662</v>
      </c>
      <c r="B43" s="64">
        <v>7.61</v>
      </c>
      <c r="C43" s="64">
        <v>13.28</v>
      </c>
      <c r="D43" s="64">
        <v>13.05</v>
      </c>
      <c r="E43" s="64">
        <v>5.29</v>
      </c>
      <c r="F43" s="64">
        <v>3.18</v>
      </c>
      <c r="G43" s="64">
        <v>20.72</v>
      </c>
      <c r="H43" s="64">
        <v>3.36</v>
      </c>
      <c r="I43" s="64">
        <v>0.82</v>
      </c>
      <c r="J43" s="64">
        <v>0.3</v>
      </c>
      <c r="K43" s="64">
        <v>289.74</v>
      </c>
      <c r="L43" s="64">
        <v>24.36</v>
      </c>
      <c r="M43" s="64">
        <v>98.18</v>
      </c>
      <c r="N43" s="64">
        <v>302.39999999999998</v>
      </c>
      <c r="O43" s="64">
        <v>0</v>
      </c>
      <c r="P43" s="64">
        <v>0.21</v>
      </c>
      <c r="Q43" s="64">
        <v>9.11</v>
      </c>
      <c r="R43" s="198"/>
      <c r="S43" s="198"/>
      <c r="T43" s="198"/>
      <c r="U43" s="198"/>
    </row>
    <row r="44" spans="1:21" s="12" customFormat="1" x14ac:dyDescent="0.25">
      <c r="A44" s="213" t="s">
        <v>663</v>
      </c>
      <c r="B44" s="64">
        <v>7.26</v>
      </c>
      <c r="C44" s="64">
        <v>13.56</v>
      </c>
      <c r="D44" s="64">
        <v>12.91</v>
      </c>
      <c r="E44" s="64">
        <v>5.37</v>
      </c>
      <c r="F44" s="64">
        <v>3.26</v>
      </c>
      <c r="G44" s="64">
        <v>22.88</v>
      </c>
      <c r="H44" s="64">
        <v>3.2</v>
      </c>
      <c r="I44" s="64">
        <v>0.83</v>
      </c>
      <c r="J44" s="64">
        <v>0.33</v>
      </c>
      <c r="K44" s="64">
        <v>280.61</v>
      </c>
      <c r="L44" s="64">
        <v>24.82</v>
      </c>
      <c r="M44" s="64">
        <v>98.17</v>
      </c>
      <c r="N44" s="64">
        <v>308.60000000000002</v>
      </c>
      <c r="O44" s="64">
        <v>0</v>
      </c>
      <c r="P44" s="64">
        <v>0.21</v>
      </c>
      <c r="Q44" s="64">
        <v>9.11</v>
      </c>
      <c r="R44" s="198"/>
      <c r="S44" s="198"/>
      <c r="T44" s="198"/>
      <c r="U44" s="198"/>
    </row>
    <row r="45" spans="1:21" s="12" customFormat="1" x14ac:dyDescent="0.25">
      <c r="A45" s="213" t="s">
        <v>664</v>
      </c>
      <c r="B45" s="64">
        <v>6.74</v>
      </c>
      <c r="C45" s="64">
        <v>14.16</v>
      </c>
      <c r="D45" s="64">
        <v>12.8</v>
      </c>
      <c r="E45" s="64">
        <v>5.27</v>
      </c>
      <c r="F45" s="64">
        <v>4.28</v>
      </c>
      <c r="G45" s="64">
        <v>22.88</v>
      </c>
      <c r="H45" s="64">
        <v>3.2</v>
      </c>
      <c r="I45" s="64">
        <v>0.82</v>
      </c>
      <c r="J45" s="64">
        <v>0.3</v>
      </c>
      <c r="K45" s="64">
        <v>290.14</v>
      </c>
      <c r="L45" s="64">
        <v>24.82</v>
      </c>
      <c r="M45" s="64">
        <v>98.08</v>
      </c>
      <c r="N45" s="64">
        <v>335.2</v>
      </c>
      <c r="O45" s="64">
        <v>0</v>
      </c>
      <c r="P45" s="64">
        <v>0.21</v>
      </c>
      <c r="Q45" s="64">
        <v>9.09</v>
      </c>
      <c r="R45" s="198"/>
      <c r="S45" s="198"/>
      <c r="T45" s="198"/>
      <c r="U45" s="198"/>
    </row>
    <row r="46" spans="1:21" s="12" customFormat="1" x14ac:dyDescent="0.25">
      <c r="A46" s="213" t="s">
        <v>665</v>
      </c>
      <c r="B46" s="64">
        <v>6.45</v>
      </c>
      <c r="C46" s="64">
        <v>14.38</v>
      </c>
      <c r="D46" s="64">
        <v>12.69</v>
      </c>
      <c r="E46" s="64">
        <v>5.37</v>
      </c>
      <c r="F46" s="64">
        <v>3.11</v>
      </c>
      <c r="G46" s="64">
        <v>22.88</v>
      </c>
      <c r="H46" s="64">
        <v>3.2</v>
      </c>
      <c r="I46" s="64">
        <v>0.81</v>
      </c>
      <c r="J46" s="64">
        <v>0.28000000000000003</v>
      </c>
      <c r="K46" s="64">
        <v>295</v>
      </c>
      <c r="L46" s="64">
        <v>25.31</v>
      </c>
      <c r="M46" s="64">
        <v>96.93</v>
      </c>
      <c r="N46" s="64">
        <v>438.5</v>
      </c>
      <c r="O46" s="64">
        <v>0</v>
      </c>
      <c r="P46" s="64">
        <v>0.21</v>
      </c>
      <c r="Q46" s="64">
        <v>9.08</v>
      </c>
      <c r="R46" s="198"/>
      <c r="S46" s="198"/>
      <c r="T46" s="198"/>
      <c r="U46" s="198"/>
    </row>
    <row r="47" spans="1:21" s="12" customFormat="1" x14ac:dyDescent="0.25">
      <c r="A47" s="213" t="s">
        <v>666</v>
      </c>
      <c r="B47" s="64">
        <v>6.32</v>
      </c>
      <c r="C47" s="64">
        <v>14.21</v>
      </c>
      <c r="D47" s="64">
        <v>12.49</v>
      </c>
      <c r="E47" s="64">
        <v>5.59</v>
      </c>
      <c r="F47" s="64">
        <v>4.16</v>
      </c>
      <c r="G47" s="64">
        <v>26.86</v>
      </c>
      <c r="H47" s="64">
        <v>2.8</v>
      </c>
      <c r="I47" s="64">
        <v>0.79</v>
      </c>
      <c r="J47" s="64">
        <v>0.42</v>
      </c>
      <c r="K47" s="64">
        <v>291.93</v>
      </c>
      <c r="L47" s="64">
        <v>25.92</v>
      </c>
      <c r="M47" s="64">
        <v>94.29</v>
      </c>
      <c r="N47" s="64">
        <v>460.9</v>
      </c>
      <c r="O47" s="64">
        <v>0</v>
      </c>
      <c r="P47" s="64">
        <v>0.21</v>
      </c>
      <c r="Q47" s="64">
        <v>9.0500000000000007</v>
      </c>
      <c r="R47" s="198"/>
      <c r="S47" s="198"/>
      <c r="T47" s="198"/>
      <c r="U47" s="198"/>
    </row>
    <row r="48" spans="1:21" s="12" customFormat="1" x14ac:dyDescent="0.25">
      <c r="A48" s="213" t="s">
        <v>667</v>
      </c>
      <c r="B48" s="64">
        <v>6.11</v>
      </c>
      <c r="C48" s="64">
        <v>14.21</v>
      </c>
      <c r="D48" s="64">
        <v>12.32</v>
      </c>
      <c r="E48" s="64">
        <v>5.23</v>
      </c>
      <c r="F48" s="64">
        <v>3.62</v>
      </c>
      <c r="G48" s="64">
        <v>28.15</v>
      </c>
      <c r="H48" s="64">
        <v>2.68</v>
      </c>
      <c r="I48" s="64">
        <v>0.73</v>
      </c>
      <c r="J48" s="64">
        <v>0.42</v>
      </c>
      <c r="K48" s="64">
        <v>290.06</v>
      </c>
      <c r="L48" s="64">
        <v>26.11</v>
      </c>
      <c r="M48" s="64">
        <v>93.05</v>
      </c>
      <c r="N48" s="64">
        <v>579.9</v>
      </c>
      <c r="O48" s="64">
        <v>0</v>
      </c>
      <c r="P48" s="64">
        <v>0.24</v>
      </c>
      <c r="Q48" s="64">
        <v>9.0399999999999991</v>
      </c>
      <c r="R48" s="198"/>
      <c r="S48" s="198"/>
      <c r="T48" s="198"/>
      <c r="U48" s="198"/>
    </row>
    <row r="49" spans="1:21" s="12" customFormat="1" x14ac:dyDescent="0.25">
      <c r="A49" s="213" t="s">
        <v>668</v>
      </c>
      <c r="B49" s="64">
        <v>6.2</v>
      </c>
      <c r="C49" s="64">
        <v>14.06</v>
      </c>
      <c r="D49" s="64">
        <v>12.32</v>
      </c>
      <c r="E49" s="64">
        <v>5.48</v>
      </c>
      <c r="F49" s="64">
        <v>3.84</v>
      </c>
      <c r="G49" s="64">
        <v>28.15</v>
      </c>
      <c r="H49" s="64">
        <v>2.68</v>
      </c>
      <c r="I49" s="64">
        <v>0.76</v>
      </c>
      <c r="J49" s="64">
        <v>0.49</v>
      </c>
      <c r="K49" s="64">
        <v>283</v>
      </c>
      <c r="L49" s="64">
        <v>27.1</v>
      </c>
      <c r="M49" s="64">
        <v>88.01</v>
      </c>
      <c r="N49" s="64">
        <v>341.7</v>
      </c>
      <c r="O49" s="64">
        <v>0</v>
      </c>
      <c r="P49" s="64">
        <v>0.22</v>
      </c>
      <c r="Q49" s="64">
        <v>9.0399999999999991</v>
      </c>
      <c r="R49" s="198"/>
      <c r="S49" s="198"/>
      <c r="T49" s="198"/>
      <c r="U49" s="198"/>
    </row>
    <row r="50" spans="1:21" s="12" customFormat="1" x14ac:dyDescent="0.25">
      <c r="A50" s="213" t="s">
        <v>669</v>
      </c>
      <c r="B50" s="64">
        <v>6.28</v>
      </c>
      <c r="C50" s="64">
        <v>14.76</v>
      </c>
      <c r="D50" s="64">
        <v>12.75</v>
      </c>
      <c r="E50" s="64">
        <v>5.0999999999999996</v>
      </c>
      <c r="F50" s="64">
        <v>4.58</v>
      </c>
      <c r="G50" s="64">
        <v>28.15</v>
      </c>
      <c r="H50" s="64">
        <v>2.68</v>
      </c>
      <c r="I50" s="64">
        <v>0.81</v>
      </c>
      <c r="J50" s="64">
        <v>0.39</v>
      </c>
      <c r="K50" s="64">
        <v>283.57</v>
      </c>
      <c r="L50" s="64">
        <v>26.65</v>
      </c>
      <c r="M50" s="64">
        <v>90.07</v>
      </c>
      <c r="N50" s="64">
        <v>276.39999999999998</v>
      </c>
      <c r="O50" s="64">
        <v>0</v>
      </c>
      <c r="P50" s="64">
        <v>0.23</v>
      </c>
      <c r="Q50" s="64">
        <v>9.0500000000000007</v>
      </c>
      <c r="R50" s="198"/>
      <c r="S50" s="198"/>
      <c r="T50" s="198"/>
      <c r="U50" s="198"/>
    </row>
    <row r="51" spans="1:21" s="12" customFormat="1" x14ac:dyDescent="0.25">
      <c r="A51" s="213" t="s">
        <v>670</v>
      </c>
      <c r="B51" s="64">
        <v>6.11</v>
      </c>
      <c r="C51" s="64">
        <v>15.18</v>
      </c>
      <c r="D51" s="64">
        <v>12.83</v>
      </c>
      <c r="E51" s="64">
        <v>5.23</v>
      </c>
      <c r="F51" s="64">
        <v>3.6</v>
      </c>
      <c r="G51" s="64">
        <v>32.07</v>
      </c>
      <c r="H51" s="64">
        <v>4.7300000000000004</v>
      </c>
      <c r="I51" s="64">
        <v>0.75</v>
      </c>
      <c r="J51" s="64">
        <v>0.36</v>
      </c>
      <c r="K51" s="64">
        <v>287.79000000000002</v>
      </c>
      <c r="L51" s="64">
        <v>26.13</v>
      </c>
      <c r="M51" s="64">
        <v>91.75</v>
      </c>
      <c r="N51" s="64">
        <v>356.3</v>
      </c>
      <c r="O51" s="64">
        <v>0</v>
      </c>
      <c r="P51" s="64">
        <v>0.24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671</v>
      </c>
      <c r="B52" s="64">
        <v>5.59</v>
      </c>
      <c r="C52" s="64">
        <v>15.45</v>
      </c>
      <c r="D52" s="64">
        <v>12.56</v>
      </c>
      <c r="E52" s="64">
        <v>5.08</v>
      </c>
      <c r="F52" s="64">
        <v>4.1500000000000004</v>
      </c>
      <c r="G52" s="64">
        <v>33.340000000000003</v>
      </c>
      <c r="H52" s="64">
        <v>5.39</v>
      </c>
      <c r="I52" s="64">
        <v>0.72</v>
      </c>
      <c r="J52" s="64">
        <v>0.32</v>
      </c>
      <c r="K52" s="64">
        <v>281.61</v>
      </c>
      <c r="L52" s="64">
        <v>26.05</v>
      </c>
      <c r="M52" s="64">
        <v>92.4</v>
      </c>
      <c r="N52" s="64">
        <v>258.7</v>
      </c>
      <c r="O52" s="64">
        <v>0</v>
      </c>
      <c r="P52" s="64">
        <v>0.23</v>
      </c>
      <c r="Q52" s="64">
        <v>9.0399999999999991</v>
      </c>
      <c r="R52" s="198"/>
      <c r="S52" s="198"/>
      <c r="T52" s="198"/>
      <c r="U52" s="198"/>
    </row>
    <row r="53" spans="1:21" s="12" customFormat="1" x14ac:dyDescent="0.25">
      <c r="A53" s="213" t="s">
        <v>672</v>
      </c>
      <c r="B53" s="64">
        <v>5.32</v>
      </c>
      <c r="C53" s="64">
        <v>15.75</v>
      </c>
      <c r="D53" s="64">
        <v>12.5</v>
      </c>
      <c r="E53" s="64">
        <v>5.28</v>
      </c>
      <c r="F53" s="64">
        <v>4.28</v>
      </c>
      <c r="G53" s="64">
        <v>33.340000000000003</v>
      </c>
      <c r="H53" s="64">
        <v>5.39</v>
      </c>
      <c r="I53" s="64">
        <v>0.72</v>
      </c>
      <c r="J53" s="64">
        <v>0.41</v>
      </c>
      <c r="K53" s="64">
        <v>281.76</v>
      </c>
      <c r="L53" s="64">
        <v>26.21</v>
      </c>
      <c r="M53" s="64">
        <v>91.27</v>
      </c>
      <c r="N53" s="64">
        <v>200.5</v>
      </c>
      <c r="O53" s="64">
        <v>0</v>
      </c>
      <c r="P53" s="64">
        <v>0.24</v>
      </c>
      <c r="Q53" s="64">
        <v>9.0299999999999994</v>
      </c>
      <c r="R53" s="198"/>
      <c r="S53" s="198"/>
      <c r="T53" s="198"/>
      <c r="U53" s="198"/>
    </row>
    <row r="54" spans="1:21" s="12" customFormat="1" x14ac:dyDescent="0.25">
      <c r="A54" s="213" t="s">
        <v>673</v>
      </c>
      <c r="B54" s="64">
        <v>5.48</v>
      </c>
      <c r="C54" s="64">
        <v>15.87</v>
      </c>
      <c r="D54" s="64">
        <v>12.69</v>
      </c>
      <c r="E54" s="64">
        <v>5.14</v>
      </c>
      <c r="F54" s="64">
        <v>4.1100000000000003</v>
      </c>
      <c r="G54" s="64">
        <v>33.340000000000003</v>
      </c>
      <c r="H54" s="64">
        <v>5.39</v>
      </c>
      <c r="I54" s="64">
        <v>0.72</v>
      </c>
      <c r="J54" s="64">
        <v>0.33</v>
      </c>
      <c r="K54" s="64">
        <v>287.73</v>
      </c>
      <c r="L54" s="64">
        <v>26.11</v>
      </c>
      <c r="M54" s="64">
        <v>93.18</v>
      </c>
      <c r="N54" s="64">
        <v>195</v>
      </c>
      <c r="O54" s="64">
        <v>0</v>
      </c>
      <c r="P54" s="64">
        <v>0.26</v>
      </c>
      <c r="Q54" s="64">
        <v>9.02</v>
      </c>
      <c r="R54" s="198"/>
      <c r="S54" s="198"/>
      <c r="T54" s="198"/>
      <c r="U54" s="198"/>
    </row>
    <row r="55" spans="1:21" s="12" customFormat="1" x14ac:dyDescent="0.25">
      <c r="A55" s="213" t="s">
        <v>674</v>
      </c>
      <c r="B55" s="64">
        <v>7.47</v>
      </c>
      <c r="C55" s="64">
        <v>16.989999999999998</v>
      </c>
      <c r="D55" s="64">
        <v>14.86</v>
      </c>
      <c r="E55" s="64">
        <v>5.24</v>
      </c>
      <c r="F55" s="64">
        <v>4.29</v>
      </c>
      <c r="G55" s="64">
        <v>41.69</v>
      </c>
      <c r="H55" s="64">
        <v>6.86</v>
      </c>
      <c r="I55" s="64">
        <v>0.72</v>
      </c>
      <c r="J55" s="64">
        <v>0.21</v>
      </c>
      <c r="K55" s="64">
        <v>301.60000000000002</v>
      </c>
      <c r="L55" s="64">
        <v>25.69</v>
      </c>
      <c r="M55" s="64">
        <v>95.9</v>
      </c>
      <c r="N55" s="64">
        <v>122.7</v>
      </c>
      <c r="O55" s="64">
        <v>0</v>
      </c>
      <c r="P55" s="64">
        <v>0.27</v>
      </c>
      <c r="Q55" s="64">
        <v>9.0399999999999991</v>
      </c>
      <c r="R55" s="198"/>
      <c r="S55" s="198"/>
      <c r="T55" s="198"/>
      <c r="U55" s="198"/>
    </row>
    <row r="56" spans="1:21" s="12" customFormat="1" x14ac:dyDescent="0.25">
      <c r="A56" s="213" t="s">
        <v>675</v>
      </c>
      <c r="B56" s="64">
        <v>6.78</v>
      </c>
      <c r="C56" s="64">
        <v>15.17</v>
      </c>
      <c r="D56" s="64">
        <v>13.36</v>
      </c>
      <c r="E56" s="64">
        <v>4.8499999999999996</v>
      </c>
      <c r="F56" s="64">
        <v>4.91</v>
      </c>
      <c r="G56" s="64">
        <v>44.38</v>
      </c>
      <c r="H56" s="64">
        <v>7.34</v>
      </c>
      <c r="I56" s="64">
        <v>0.74</v>
      </c>
      <c r="J56" s="64">
        <v>0.24</v>
      </c>
      <c r="K56" s="64">
        <v>287.47000000000003</v>
      </c>
      <c r="L56" s="64">
        <v>25.24</v>
      </c>
      <c r="M56" s="64">
        <v>97.95</v>
      </c>
      <c r="N56" s="64">
        <v>113.9</v>
      </c>
      <c r="O56" s="64">
        <v>0.2</v>
      </c>
      <c r="P56" s="64">
        <v>0.27</v>
      </c>
      <c r="Q56" s="64">
        <v>9.0500000000000007</v>
      </c>
      <c r="R56" s="198"/>
      <c r="S56" s="198"/>
      <c r="T56" s="198"/>
      <c r="U56" s="198"/>
    </row>
    <row r="57" spans="1:21" s="12" customFormat="1" x14ac:dyDescent="0.25">
      <c r="A57" s="213" t="s">
        <v>676</v>
      </c>
      <c r="B57" s="64">
        <v>7.12</v>
      </c>
      <c r="C57" s="64">
        <v>13.63</v>
      </c>
      <c r="D57" s="64">
        <v>12.83</v>
      </c>
      <c r="E57" s="64">
        <v>5.28</v>
      </c>
      <c r="F57" s="64">
        <v>4.0199999999999996</v>
      </c>
      <c r="G57" s="64">
        <v>44.38</v>
      </c>
      <c r="H57" s="64">
        <v>7.34</v>
      </c>
      <c r="I57" s="64">
        <v>0.76</v>
      </c>
      <c r="J57" s="64">
        <v>0.28000000000000003</v>
      </c>
      <c r="K57" s="64">
        <v>292.55</v>
      </c>
      <c r="L57" s="64">
        <v>24.51</v>
      </c>
      <c r="M57" s="64">
        <v>98.21</v>
      </c>
      <c r="N57" s="64">
        <v>115.8</v>
      </c>
      <c r="O57" s="64">
        <v>0.6</v>
      </c>
      <c r="P57" s="64">
        <v>0.27</v>
      </c>
      <c r="Q57" s="64">
        <v>9.08</v>
      </c>
      <c r="R57" s="198"/>
      <c r="S57" s="198"/>
      <c r="T57" s="198"/>
      <c r="U57" s="198"/>
    </row>
    <row r="58" spans="1:21" s="12" customFormat="1" x14ac:dyDescent="0.25">
      <c r="A58" s="213" t="s">
        <v>677</v>
      </c>
      <c r="B58" s="64">
        <v>12.07</v>
      </c>
      <c r="C58" s="64">
        <v>14.87</v>
      </c>
      <c r="D58" s="64">
        <v>17.45</v>
      </c>
      <c r="E58" s="64">
        <v>5.22</v>
      </c>
      <c r="F58" s="64">
        <v>7.9</v>
      </c>
      <c r="G58" s="64">
        <v>44.38</v>
      </c>
      <c r="H58" s="64">
        <v>7.34</v>
      </c>
      <c r="I58" s="64">
        <v>0.78</v>
      </c>
      <c r="J58" s="64">
        <v>0.13</v>
      </c>
      <c r="K58" s="64">
        <v>302.51</v>
      </c>
      <c r="L58" s="64">
        <v>24.28</v>
      </c>
      <c r="M58" s="64">
        <v>98.31</v>
      </c>
      <c r="N58" s="64">
        <v>191.3</v>
      </c>
      <c r="O58" s="64">
        <v>0</v>
      </c>
      <c r="P58" s="64">
        <v>0.35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13" t="s">
        <v>678</v>
      </c>
      <c r="B59" s="64">
        <v>11.3</v>
      </c>
      <c r="C59" s="64">
        <v>15.83</v>
      </c>
      <c r="D59" s="64">
        <v>17.34</v>
      </c>
      <c r="E59" s="64">
        <v>5.23</v>
      </c>
      <c r="F59" s="64">
        <v>6.06</v>
      </c>
      <c r="G59" s="64">
        <v>40.880000000000003</v>
      </c>
      <c r="H59" s="64">
        <v>5.87</v>
      </c>
      <c r="I59" s="64">
        <v>0.79</v>
      </c>
      <c r="J59" s="64">
        <v>0.17</v>
      </c>
      <c r="K59" s="64">
        <v>287.58</v>
      </c>
      <c r="L59" s="64">
        <v>24.68</v>
      </c>
      <c r="M59" s="64">
        <v>98.32</v>
      </c>
      <c r="N59" s="64">
        <v>186.8</v>
      </c>
      <c r="O59" s="64">
        <v>0</v>
      </c>
      <c r="P59" s="64">
        <v>0.38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3" t="s">
        <v>679</v>
      </c>
      <c r="B60" s="64">
        <v>8.64</v>
      </c>
      <c r="C60" s="64">
        <v>14.32</v>
      </c>
      <c r="D60" s="64">
        <v>14.41</v>
      </c>
      <c r="E60" s="64">
        <v>5.18</v>
      </c>
      <c r="F60" s="64">
        <v>3.73</v>
      </c>
      <c r="G60" s="64">
        <v>39.81</v>
      </c>
      <c r="H60" s="64">
        <v>5.4</v>
      </c>
      <c r="I60" s="64">
        <v>0.79</v>
      </c>
      <c r="J60" s="64">
        <v>0.28999999999999998</v>
      </c>
      <c r="K60" s="64">
        <v>284.18</v>
      </c>
      <c r="L60" s="64">
        <v>24.77</v>
      </c>
      <c r="M60" s="64">
        <v>98.16</v>
      </c>
      <c r="N60" s="64">
        <v>180.8</v>
      </c>
      <c r="O60" s="64">
        <v>0.2</v>
      </c>
      <c r="P60" s="64">
        <v>0.3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3" t="s">
        <v>680</v>
      </c>
      <c r="B61" s="64">
        <v>9.7100000000000009</v>
      </c>
      <c r="C61" s="64">
        <v>14.83</v>
      </c>
      <c r="D61" s="64">
        <v>15.54</v>
      </c>
      <c r="E61" s="64">
        <v>5.37</v>
      </c>
      <c r="F61" s="64">
        <v>3.64</v>
      </c>
      <c r="G61" s="64">
        <v>39.81</v>
      </c>
      <c r="H61" s="64">
        <v>5.4</v>
      </c>
      <c r="I61" s="64">
        <v>0.82</v>
      </c>
      <c r="J61" s="64">
        <v>0.28999999999999998</v>
      </c>
      <c r="K61" s="64">
        <v>291.72000000000003</v>
      </c>
      <c r="L61" s="64">
        <v>24.98</v>
      </c>
      <c r="M61" s="64">
        <v>98.13</v>
      </c>
      <c r="N61" s="64">
        <v>264.39999999999998</v>
      </c>
      <c r="O61" s="64">
        <v>0</v>
      </c>
      <c r="P61" s="64">
        <v>0.3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3" t="s">
        <v>681</v>
      </c>
      <c r="B62" s="64">
        <v>10.18</v>
      </c>
      <c r="C62" s="64">
        <v>14.86</v>
      </c>
      <c r="D62" s="64">
        <v>15.92</v>
      </c>
      <c r="E62" s="64">
        <v>5.09</v>
      </c>
      <c r="F62" s="64">
        <v>3.65</v>
      </c>
      <c r="G62" s="64">
        <v>39.81</v>
      </c>
      <c r="H62" s="64">
        <v>5.4</v>
      </c>
      <c r="I62" s="64">
        <v>0.88</v>
      </c>
      <c r="J62" s="64">
        <v>0.31</v>
      </c>
      <c r="K62" s="64">
        <v>287.66000000000003</v>
      </c>
      <c r="L62" s="64">
        <v>25.35</v>
      </c>
      <c r="M62" s="64">
        <v>98.13</v>
      </c>
      <c r="N62" s="64">
        <v>412</v>
      </c>
      <c r="O62" s="64">
        <v>0</v>
      </c>
      <c r="P62" s="64">
        <v>0.36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3" t="s">
        <v>682</v>
      </c>
      <c r="B63" s="64">
        <v>8.02</v>
      </c>
      <c r="C63" s="64">
        <v>15.42</v>
      </c>
      <c r="D63" s="64">
        <v>14.49</v>
      </c>
      <c r="E63" s="64">
        <v>5.67</v>
      </c>
      <c r="F63" s="64">
        <v>4.32</v>
      </c>
      <c r="G63" s="64">
        <v>36.53</v>
      </c>
      <c r="H63" s="64">
        <v>6.68</v>
      </c>
      <c r="I63" s="64">
        <v>1.04</v>
      </c>
      <c r="J63" s="64">
        <v>0.44</v>
      </c>
      <c r="K63" s="64">
        <v>286.2</v>
      </c>
      <c r="L63" s="64">
        <v>25.69</v>
      </c>
      <c r="M63" s="64">
        <v>97.3</v>
      </c>
      <c r="N63" s="64">
        <v>306.7</v>
      </c>
      <c r="O63" s="64">
        <v>0</v>
      </c>
      <c r="P63" s="64">
        <v>0.38</v>
      </c>
      <c r="Q63" s="64">
        <v>9.16</v>
      </c>
      <c r="R63" s="198"/>
      <c r="S63" s="198"/>
      <c r="T63" s="198"/>
      <c r="U63" s="198"/>
    </row>
    <row r="64" spans="1:21" s="12" customFormat="1" x14ac:dyDescent="0.25">
      <c r="A64" s="213" t="s">
        <v>683</v>
      </c>
      <c r="B64" s="64">
        <v>7.03</v>
      </c>
      <c r="C64" s="64">
        <v>16.62</v>
      </c>
      <c r="D64" s="64">
        <v>14.32</v>
      </c>
      <c r="E64" s="64">
        <v>5.66</v>
      </c>
      <c r="F64" s="64">
        <v>3.07</v>
      </c>
      <c r="G64" s="64">
        <v>35.46</v>
      </c>
      <c r="H64" s="64">
        <v>7.09</v>
      </c>
      <c r="I64" s="64">
        <v>1.2</v>
      </c>
      <c r="J64" s="64">
        <v>0.47</v>
      </c>
      <c r="K64" s="64">
        <v>285.86</v>
      </c>
      <c r="L64" s="64">
        <v>25.94</v>
      </c>
      <c r="M64" s="64">
        <v>94.33</v>
      </c>
      <c r="N64" s="64">
        <v>249.1</v>
      </c>
      <c r="O64" s="64">
        <v>0</v>
      </c>
      <c r="P64" s="64">
        <v>0.34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3" t="s">
        <v>684</v>
      </c>
      <c r="B65" s="64">
        <v>6.44</v>
      </c>
      <c r="C65" s="64">
        <v>17.07</v>
      </c>
      <c r="D65" s="64">
        <v>14.08</v>
      </c>
      <c r="E65" s="64">
        <v>5.42</v>
      </c>
      <c r="F65" s="64">
        <v>4.79</v>
      </c>
      <c r="G65" s="64">
        <v>35.46</v>
      </c>
      <c r="H65" s="64">
        <v>7.09</v>
      </c>
      <c r="I65" s="64">
        <v>1.2</v>
      </c>
      <c r="J65" s="64">
        <v>0.47</v>
      </c>
      <c r="K65" s="64">
        <v>291.51</v>
      </c>
      <c r="L65" s="64">
        <v>26.27</v>
      </c>
      <c r="M65" s="64">
        <v>93.49</v>
      </c>
      <c r="N65" s="64">
        <v>199.3</v>
      </c>
      <c r="O65" s="64">
        <v>0</v>
      </c>
      <c r="P65" s="64">
        <v>0.31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3" t="s">
        <v>685</v>
      </c>
      <c r="B66" s="64">
        <v>6.25</v>
      </c>
      <c r="C66" s="64">
        <v>16.170000000000002</v>
      </c>
      <c r="D66" s="64">
        <v>13.46</v>
      </c>
      <c r="E66" s="64">
        <v>5.21</v>
      </c>
      <c r="F66" s="64">
        <v>3.69</v>
      </c>
      <c r="G66" s="64">
        <v>35.46</v>
      </c>
      <c r="H66" s="64">
        <v>7.09</v>
      </c>
      <c r="I66" s="64">
        <v>1.1000000000000001</v>
      </c>
      <c r="J66" s="64">
        <v>0.36</v>
      </c>
      <c r="K66" s="64">
        <v>288.69</v>
      </c>
      <c r="L66" s="64">
        <v>26.19</v>
      </c>
      <c r="M66" s="64">
        <v>93.78</v>
      </c>
      <c r="N66" s="64">
        <v>125.4</v>
      </c>
      <c r="O66" s="64">
        <v>0</v>
      </c>
      <c r="P66" s="64">
        <v>0.32</v>
      </c>
      <c r="Q66" s="64">
        <v>9.09</v>
      </c>
      <c r="R66" s="198"/>
      <c r="S66" s="198"/>
      <c r="T66" s="198"/>
      <c r="U66" s="198"/>
    </row>
    <row r="67" spans="1:21" s="12" customFormat="1" x14ac:dyDescent="0.25">
      <c r="A67" s="213" t="s">
        <v>686</v>
      </c>
      <c r="B67" s="64">
        <v>6.77</v>
      </c>
      <c r="C67" s="64">
        <v>15.74</v>
      </c>
      <c r="D67" s="64">
        <v>13.66</v>
      </c>
      <c r="E67" s="64">
        <v>5.53</v>
      </c>
      <c r="F67" s="64">
        <v>3.73</v>
      </c>
      <c r="G67" s="64">
        <v>44.74</v>
      </c>
      <c r="H67" s="64">
        <v>7.94</v>
      </c>
      <c r="I67" s="64">
        <v>1.03</v>
      </c>
      <c r="J67" s="64">
        <v>0.54</v>
      </c>
      <c r="K67" s="64">
        <v>291.31</v>
      </c>
      <c r="L67" s="64">
        <v>26.09</v>
      </c>
      <c r="M67" s="64">
        <v>90.91</v>
      </c>
      <c r="N67" s="64">
        <v>203.6</v>
      </c>
      <c r="O67" s="64">
        <v>0</v>
      </c>
      <c r="P67" s="64">
        <v>0.32</v>
      </c>
      <c r="Q67" s="64">
        <v>9.09</v>
      </c>
      <c r="R67" s="198"/>
      <c r="S67" s="198"/>
      <c r="T67" s="198"/>
      <c r="U67" s="198"/>
    </row>
    <row r="68" spans="1:21" s="12" customFormat="1" x14ac:dyDescent="0.25">
      <c r="A68" s="213" t="s">
        <v>687</v>
      </c>
      <c r="B68" s="64">
        <v>6.54</v>
      </c>
      <c r="C68" s="64">
        <v>16.079999999999998</v>
      </c>
      <c r="D68" s="64">
        <v>13.65</v>
      </c>
      <c r="E68" s="64">
        <v>5.17</v>
      </c>
      <c r="F68" s="64">
        <v>4.8099999999999996</v>
      </c>
      <c r="G68" s="64">
        <v>47.74</v>
      </c>
      <c r="H68" s="64">
        <v>8.1999999999999993</v>
      </c>
      <c r="I68" s="64">
        <v>1.04</v>
      </c>
      <c r="J68" s="64">
        <v>0.45</v>
      </c>
      <c r="K68" s="64">
        <v>291.18</v>
      </c>
      <c r="L68" s="64">
        <v>26.47</v>
      </c>
      <c r="M68" s="64">
        <v>89.46</v>
      </c>
      <c r="N68" s="64">
        <v>212.8</v>
      </c>
      <c r="O68" s="64">
        <v>0</v>
      </c>
      <c r="P68" s="64">
        <v>0.37</v>
      </c>
      <c r="Q68" s="64">
        <v>9.09</v>
      </c>
      <c r="R68" s="198"/>
      <c r="S68" s="198"/>
      <c r="T68" s="198"/>
      <c r="U68" s="198"/>
    </row>
    <row r="69" spans="1:21" s="12" customFormat="1" x14ac:dyDescent="0.25">
      <c r="A69" s="213" t="s">
        <v>688</v>
      </c>
      <c r="B69" s="64">
        <v>6.9</v>
      </c>
      <c r="C69" s="64">
        <v>15.81</v>
      </c>
      <c r="D69" s="64">
        <v>13.79</v>
      </c>
      <c r="E69" s="64">
        <v>5.37</v>
      </c>
      <c r="F69" s="64">
        <v>3.47</v>
      </c>
      <c r="G69" s="64">
        <v>47.74</v>
      </c>
      <c r="H69" s="64">
        <v>8.1999999999999993</v>
      </c>
      <c r="I69" s="64">
        <v>1.08</v>
      </c>
      <c r="J69" s="64">
        <v>0.31</v>
      </c>
      <c r="K69" s="64">
        <v>295.07</v>
      </c>
      <c r="L69" s="64">
        <v>26.33</v>
      </c>
      <c r="M69" s="64">
        <v>91.14</v>
      </c>
      <c r="N69" s="64">
        <v>187.9</v>
      </c>
      <c r="O69" s="64">
        <v>0</v>
      </c>
      <c r="P69" s="64">
        <v>0.37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3" t="s">
        <v>689</v>
      </c>
      <c r="B70" s="64">
        <v>7.63</v>
      </c>
      <c r="C70" s="64">
        <v>15.4</v>
      </c>
      <c r="D70" s="64">
        <v>14.16</v>
      </c>
      <c r="E70" s="64">
        <v>5.43</v>
      </c>
      <c r="F70" s="64">
        <v>3.96</v>
      </c>
      <c r="G70" s="64">
        <v>47.74</v>
      </c>
      <c r="H70" s="64">
        <v>8.1999999999999993</v>
      </c>
      <c r="I70" s="64">
        <v>1.1299999999999999</v>
      </c>
      <c r="J70" s="64">
        <v>0.32</v>
      </c>
      <c r="K70" s="64">
        <v>289.94</v>
      </c>
      <c r="L70" s="64">
        <v>26.26</v>
      </c>
      <c r="M70" s="64">
        <v>91.09</v>
      </c>
      <c r="N70" s="64">
        <v>153.5</v>
      </c>
      <c r="O70" s="64">
        <v>0</v>
      </c>
      <c r="P70" s="64">
        <v>0.37</v>
      </c>
      <c r="Q70" s="64">
        <v>9.09</v>
      </c>
      <c r="R70" s="198"/>
      <c r="S70" s="198"/>
      <c r="T70" s="198"/>
      <c r="U70" s="198"/>
    </row>
    <row r="71" spans="1:21" s="12" customFormat="1" x14ac:dyDescent="0.25">
      <c r="A71" s="213" t="s">
        <v>690</v>
      </c>
      <c r="B71" s="64">
        <v>7.24</v>
      </c>
      <c r="C71" s="64">
        <v>15.86</v>
      </c>
      <c r="D71" s="64">
        <v>14.09</v>
      </c>
      <c r="E71" s="64">
        <v>5.28</v>
      </c>
      <c r="F71" s="64">
        <v>3.84</v>
      </c>
      <c r="G71" s="64">
        <v>50.16</v>
      </c>
      <c r="H71" s="64">
        <v>7.49</v>
      </c>
      <c r="I71" s="64">
        <v>1.1399999999999999</v>
      </c>
      <c r="J71" s="64">
        <v>0.32</v>
      </c>
      <c r="K71" s="64">
        <v>290.87</v>
      </c>
      <c r="L71" s="64">
        <v>26.17</v>
      </c>
      <c r="M71" s="64">
        <v>91.53</v>
      </c>
      <c r="N71" s="64">
        <v>129.80000000000001</v>
      </c>
      <c r="O71" s="64">
        <v>0</v>
      </c>
      <c r="P71" s="64">
        <v>0.38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3" t="s">
        <v>691</v>
      </c>
      <c r="B72" s="64">
        <v>8.08</v>
      </c>
      <c r="C72" s="64">
        <v>16.96</v>
      </c>
      <c r="D72" s="64">
        <v>15.34</v>
      </c>
      <c r="E72" s="64">
        <v>4.5199999999999996</v>
      </c>
      <c r="F72" s="64">
        <v>4.87</v>
      </c>
      <c r="G72" s="64">
        <v>50.94</v>
      </c>
      <c r="H72" s="64">
        <v>7.26</v>
      </c>
      <c r="I72" s="64">
        <v>1.1200000000000001</v>
      </c>
      <c r="J72" s="64">
        <v>0.21</v>
      </c>
      <c r="K72" s="64">
        <v>291.64</v>
      </c>
      <c r="L72" s="64">
        <v>26.3</v>
      </c>
      <c r="M72" s="64">
        <v>91.22</v>
      </c>
      <c r="N72" s="64">
        <v>133.6</v>
      </c>
      <c r="O72" s="64">
        <v>0</v>
      </c>
      <c r="P72" s="64">
        <v>0.38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3" t="s">
        <v>692</v>
      </c>
      <c r="B73" s="64">
        <v>10.94</v>
      </c>
      <c r="C73" s="64">
        <v>19.02</v>
      </c>
      <c r="D73" s="64">
        <v>18.71</v>
      </c>
      <c r="E73" s="64">
        <v>5.18</v>
      </c>
      <c r="F73" s="64">
        <v>5.59</v>
      </c>
      <c r="G73" s="64">
        <v>50.94</v>
      </c>
      <c r="H73" s="64">
        <v>7.26</v>
      </c>
      <c r="I73" s="64">
        <v>1.1200000000000001</v>
      </c>
      <c r="J73" s="64">
        <v>0.2</v>
      </c>
      <c r="K73" s="64">
        <v>291.64</v>
      </c>
      <c r="L73" s="64">
        <v>26.28</v>
      </c>
      <c r="M73" s="64">
        <v>90.7</v>
      </c>
      <c r="N73" s="64">
        <v>112.8</v>
      </c>
      <c r="O73" s="64">
        <v>0</v>
      </c>
      <c r="P73" s="64">
        <v>0.5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3" t="s">
        <v>693</v>
      </c>
      <c r="B74" s="64">
        <v>16.309999999999999</v>
      </c>
      <c r="C74" s="64">
        <v>23.12</v>
      </c>
      <c r="D74" s="64">
        <v>25.16</v>
      </c>
      <c r="E74" s="64">
        <v>4.8899999999999997</v>
      </c>
      <c r="F74" s="64">
        <v>6.81</v>
      </c>
      <c r="G74" s="64">
        <v>50.94</v>
      </c>
      <c r="H74" s="64">
        <v>7.26</v>
      </c>
      <c r="I74" s="64">
        <v>1.1299999999999999</v>
      </c>
      <c r="J74" s="64">
        <v>0.2</v>
      </c>
      <c r="K74" s="64">
        <v>308.41000000000003</v>
      </c>
      <c r="L74" s="64">
        <v>26.14</v>
      </c>
      <c r="M74" s="64">
        <v>92.17</v>
      </c>
      <c r="N74" s="64">
        <v>90.3</v>
      </c>
      <c r="O74" s="64">
        <v>0</v>
      </c>
      <c r="P74" s="64">
        <v>0.69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3" t="s">
        <v>694</v>
      </c>
      <c r="B75" s="64">
        <v>11.78</v>
      </c>
      <c r="C75" s="64">
        <v>17.38</v>
      </c>
      <c r="D75" s="64">
        <v>18.53</v>
      </c>
      <c r="E75" s="64">
        <v>5.0599999999999996</v>
      </c>
      <c r="F75" s="64">
        <v>6.34</v>
      </c>
      <c r="G75" s="64">
        <v>63.02</v>
      </c>
      <c r="H75" s="64">
        <v>10.92</v>
      </c>
      <c r="I75" s="64">
        <v>1.24</v>
      </c>
      <c r="J75" s="64">
        <v>0.26</v>
      </c>
      <c r="K75" s="64">
        <v>306.3</v>
      </c>
      <c r="L75" s="64">
        <v>25.96</v>
      </c>
      <c r="M75" s="64">
        <v>92.17</v>
      </c>
      <c r="N75" s="64">
        <v>85.2</v>
      </c>
      <c r="O75" s="64">
        <v>0</v>
      </c>
      <c r="P75" s="64">
        <v>0.5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3" t="s">
        <v>695</v>
      </c>
      <c r="B76" s="64">
        <v>19.489999999999998</v>
      </c>
      <c r="C76" s="64">
        <v>20.63</v>
      </c>
      <c r="D76" s="64">
        <v>26.41</v>
      </c>
      <c r="E76" s="64">
        <v>4.96</v>
      </c>
      <c r="F76" s="64">
        <v>9.15</v>
      </c>
      <c r="G76" s="64">
        <v>66.930000000000007</v>
      </c>
      <c r="H76" s="64">
        <v>12.1</v>
      </c>
      <c r="I76" s="64">
        <v>1.37</v>
      </c>
      <c r="J76" s="64">
        <v>0.21</v>
      </c>
      <c r="K76" s="64">
        <v>314.27</v>
      </c>
      <c r="L76" s="64">
        <v>25.91</v>
      </c>
      <c r="M76" s="64">
        <v>92.33</v>
      </c>
      <c r="N76" s="64">
        <v>82.9</v>
      </c>
      <c r="O76" s="64">
        <v>0</v>
      </c>
      <c r="P76" s="64">
        <v>0.61</v>
      </c>
      <c r="Q76" s="64">
        <v>9.2100000000000009</v>
      </c>
      <c r="R76" s="198"/>
      <c r="S76" s="198"/>
      <c r="T76" s="198"/>
      <c r="U76" s="198"/>
    </row>
    <row r="77" spans="1:21" s="12" customFormat="1" x14ac:dyDescent="0.25">
      <c r="A77" s="213" t="s">
        <v>696</v>
      </c>
      <c r="B77" s="64">
        <v>25.88</v>
      </c>
      <c r="C77" s="64">
        <v>18.11</v>
      </c>
      <c r="D77" s="64">
        <v>30.21</v>
      </c>
      <c r="E77" s="64">
        <v>5.25</v>
      </c>
      <c r="F77" s="64">
        <v>7.4</v>
      </c>
      <c r="G77" s="64">
        <v>66.930000000000007</v>
      </c>
      <c r="H77" s="64">
        <v>12.1</v>
      </c>
      <c r="I77" s="64">
        <v>1.42</v>
      </c>
      <c r="J77" s="64">
        <v>0.47</v>
      </c>
      <c r="K77" s="64">
        <v>316.63</v>
      </c>
      <c r="L77" s="64">
        <v>25.89</v>
      </c>
      <c r="M77" s="64">
        <v>92.9</v>
      </c>
      <c r="N77" s="64">
        <v>84.8</v>
      </c>
      <c r="O77" s="64">
        <v>0</v>
      </c>
      <c r="P77" s="64">
        <v>0.66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3" t="s">
        <v>697</v>
      </c>
      <c r="B78" s="64">
        <v>18.02</v>
      </c>
      <c r="C78" s="64">
        <v>18.77</v>
      </c>
      <c r="D78" s="64">
        <v>24.26</v>
      </c>
      <c r="E78" s="64">
        <v>5.45</v>
      </c>
      <c r="F78" s="64">
        <v>6.39</v>
      </c>
      <c r="G78" s="64">
        <v>66.930000000000007</v>
      </c>
      <c r="H78" s="64">
        <v>12.1</v>
      </c>
      <c r="I78" s="64">
        <v>1.45</v>
      </c>
      <c r="J78" s="64">
        <v>0.57999999999999996</v>
      </c>
      <c r="K78" s="64">
        <v>322.51</v>
      </c>
      <c r="L78" s="64">
        <v>25.86</v>
      </c>
      <c r="M78" s="64">
        <v>92.58</v>
      </c>
      <c r="N78" s="64">
        <v>91.3</v>
      </c>
      <c r="O78" s="64">
        <v>0</v>
      </c>
      <c r="P78" s="64">
        <v>0.55000000000000004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3" t="s">
        <v>698</v>
      </c>
      <c r="B79" s="64">
        <v>21.82</v>
      </c>
      <c r="C79" s="64">
        <v>15.8</v>
      </c>
      <c r="D79" s="64">
        <v>25.06</v>
      </c>
      <c r="E79" s="64">
        <v>5.13</v>
      </c>
      <c r="F79" s="64">
        <v>6.95</v>
      </c>
      <c r="G79" s="64">
        <v>72.760000000000005</v>
      </c>
      <c r="H79" s="64">
        <v>9.3800000000000008</v>
      </c>
      <c r="I79" s="64">
        <v>1.48</v>
      </c>
      <c r="J79" s="64">
        <v>0.49</v>
      </c>
      <c r="K79" s="64">
        <v>320.26</v>
      </c>
      <c r="L79" s="64">
        <v>25.86</v>
      </c>
      <c r="M79" s="64">
        <v>93.05</v>
      </c>
      <c r="N79" s="64">
        <v>88.5</v>
      </c>
      <c r="O79" s="64">
        <v>0</v>
      </c>
      <c r="P79" s="64">
        <v>0.55000000000000004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3" t="s">
        <v>699</v>
      </c>
      <c r="B80" s="64">
        <v>16.22</v>
      </c>
      <c r="C80" s="64">
        <v>13.83</v>
      </c>
      <c r="D80" s="64">
        <v>20.239999999999998</v>
      </c>
      <c r="E80" s="64">
        <v>5.1100000000000003</v>
      </c>
      <c r="F80" s="64">
        <v>3.72</v>
      </c>
      <c r="G80" s="64">
        <v>74.64</v>
      </c>
      <c r="H80" s="64">
        <v>8.5</v>
      </c>
      <c r="I80" s="64">
        <v>1.52</v>
      </c>
      <c r="J80" s="64">
        <v>0.15</v>
      </c>
      <c r="K80" s="64">
        <v>309.45</v>
      </c>
      <c r="L80" s="64">
        <v>25.63</v>
      </c>
      <c r="M80" s="64">
        <v>95.23</v>
      </c>
      <c r="N80" s="64">
        <v>85.9</v>
      </c>
      <c r="O80" s="64">
        <v>0</v>
      </c>
      <c r="P80" s="64">
        <v>0.52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3" t="s">
        <v>700</v>
      </c>
      <c r="B81" s="64">
        <v>16.329999999999998</v>
      </c>
      <c r="C81" s="64">
        <v>14.31</v>
      </c>
      <c r="D81" s="64">
        <v>20.57</v>
      </c>
      <c r="E81" s="64">
        <v>5.28</v>
      </c>
      <c r="F81" s="64">
        <v>3.92</v>
      </c>
      <c r="G81" s="64">
        <v>74.64</v>
      </c>
      <c r="H81" s="64">
        <v>8.5</v>
      </c>
      <c r="I81" s="64">
        <v>1.54</v>
      </c>
      <c r="J81" s="64">
        <v>0.23</v>
      </c>
      <c r="K81" s="64">
        <v>305.81</v>
      </c>
      <c r="L81" s="64">
        <v>25.4</v>
      </c>
      <c r="M81" s="64">
        <v>96.99</v>
      </c>
      <c r="N81" s="64">
        <v>101.2</v>
      </c>
      <c r="O81" s="64">
        <v>0</v>
      </c>
      <c r="P81" s="64">
        <v>0.53</v>
      </c>
      <c r="Q81" s="64">
        <v>9.36</v>
      </c>
      <c r="R81" s="198"/>
      <c r="S81" s="198"/>
      <c r="T81" s="198"/>
      <c r="U81" s="198"/>
    </row>
    <row r="82" spans="1:26" s="12" customFormat="1" x14ac:dyDescent="0.25">
      <c r="A82" s="213" t="s">
        <v>701</v>
      </c>
      <c r="B82" s="64">
        <v>15.8</v>
      </c>
      <c r="C82" s="64">
        <v>13.26</v>
      </c>
      <c r="D82" s="64">
        <v>19.600000000000001</v>
      </c>
      <c r="E82" s="64">
        <v>5.38</v>
      </c>
      <c r="F82" s="64">
        <v>2.95</v>
      </c>
      <c r="G82" s="64">
        <v>74.64</v>
      </c>
      <c r="H82" s="64">
        <v>8.5</v>
      </c>
      <c r="I82" s="64">
        <v>1.53</v>
      </c>
      <c r="J82" s="64">
        <v>0.33</v>
      </c>
      <c r="K82" s="64">
        <v>314.14999999999998</v>
      </c>
      <c r="L82" s="64">
        <v>24.57</v>
      </c>
      <c r="M82" s="64">
        <v>97.98</v>
      </c>
      <c r="N82" s="64">
        <v>100.5</v>
      </c>
      <c r="O82" s="64">
        <v>0.2</v>
      </c>
      <c r="P82" s="64">
        <v>0.5</v>
      </c>
      <c r="Q82" s="64">
        <v>9.3800000000000008</v>
      </c>
      <c r="R82" s="198"/>
      <c r="S82" s="198"/>
      <c r="T82" s="198"/>
      <c r="U82" s="198"/>
    </row>
    <row r="83" spans="1:26" s="12" customFormat="1" x14ac:dyDescent="0.25">
      <c r="A83" s="213" t="s">
        <v>702</v>
      </c>
      <c r="B83" s="64">
        <v>14.17</v>
      </c>
      <c r="C83" s="64">
        <v>13.92</v>
      </c>
      <c r="D83" s="64">
        <v>18.64</v>
      </c>
      <c r="E83" s="64">
        <v>5.29</v>
      </c>
      <c r="F83" s="64">
        <v>4.29</v>
      </c>
      <c r="G83" s="64">
        <v>69.400000000000006</v>
      </c>
      <c r="H83" s="64">
        <v>12.74</v>
      </c>
      <c r="I83" s="64">
        <v>1.57</v>
      </c>
      <c r="J83" s="64">
        <v>0.25</v>
      </c>
      <c r="K83" s="64">
        <v>315.94</v>
      </c>
      <c r="L83" s="64">
        <v>23.96</v>
      </c>
      <c r="M83" s="64">
        <v>98</v>
      </c>
      <c r="N83" s="64">
        <v>100.2</v>
      </c>
      <c r="O83" s="64">
        <v>0</v>
      </c>
      <c r="P83" s="64">
        <v>0.49</v>
      </c>
      <c r="Q83" s="64">
        <v>9.34</v>
      </c>
      <c r="R83" s="198"/>
      <c r="S83" s="198"/>
      <c r="T83" s="198"/>
      <c r="U83" s="198"/>
    </row>
    <row r="84" spans="1:26" s="12" customFormat="1" x14ac:dyDescent="0.25">
      <c r="A84" s="213" t="s">
        <v>703</v>
      </c>
      <c r="B84" s="64">
        <v>13.3</v>
      </c>
      <c r="C84" s="64">
        <v>14.51</v>
      </c>
      <c r="D84" s="64">
        <v>18.239999999999998</v>
      </c>
      <c r="E84" s="64">
        <v>4.97</v>
      </c>
      <c r="F84" s="64">
        <v>2.8</v>
      </c>
      <c r="G84" s="64">
        <v>67.8</v>
      </c>
      <c r="H84" s="64">
        <v>14.11</v>
      </c>
      <c r="I84" s="64">
        <v>1.59</v>
      </c>
      <c r="J84" s="64">
        <v>0.27</v>
      </c>
      <c r="K84" s="64">
        <v>309.64</v>
      </c>
      <c r="L84" s="64">
        <v>24.03</v>
      </c>
      <c r="M84" s="64">
        <v>98</v>
      </c>
      <c r="N84" s="64">
        <v>98.3</v>
      </c>
      <c r="O84" s="64">
        <v>0</v>
      </c>
      <c r="P84" s="64">
        <v>0.48</v>
      </c>
      <c r="Q84" s="64">
        <v>9.31</v>
      </c>
      <c r="R84" s="198"/>
      <c r="S84" s="198"/>
      <c r="T84" s="198"/>
      <c r="U84" s="198"/>
    </row>
    <row r="85" spans="1:26" s="12" customFormat="1" x14ac:dyDescent="0.25">
      <c r="A85" s="213" t="s">
        <v>704</v>
      </c>
      <c r="B85" s="64">
        <v>15.09</v>
      </c>
      <c r="C85" s="64">
        <v>14.81</v>
      </c>
      <c r="D85" s="64">
        <v>19.84</v>
      </c>
      <c r="E85" s="64">
        <v>5.0199999999999996</v>
      </c>
      <c r="F85" s="64">
        <v>3.14</v>
      </c>
      <c r="G85" s="64">
        <v>67.8</v>
      </c>
      <c r="H85" s="64">
        <v>14.11</v>
      </c>
      <c r="I85" s="64">
        <v>1.56</v>
      </c>
      <c r="J85" s="64">
        <v>0.25</v>
      </c>
      <c r="K85" s="64">
        <v>308.08999999999997</v>
      </c>
      <c r="L85" s="64">
        <v>24.19</v>
      </c>
      <c r="M85" s="64">
        <v>98</v>
      </c>
      <c r="N85" s="64">
        <v>99</v>
      </c>
      <c r="O85" s="64">
        <v>0</v>
      </c>
      <c r="P85" s="64">
        <v>0.45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13" t="s">
        <v>705</v>
      </c>
      <c r="B86" s="64">
        <v>14.21</v>
      </c>
      <c r="C86" s="64">
        <v>14.11</v>
      </c>
      <c r="D86" s="64">
        <v>18.760000000000002</v>
      </c>
      <c r="E86" s="64">
        <v>4.8</v>
      </c>
      <c r="F86" s="64">
        <v>4.1399999999999997</v>
      </c>
      <c r="G86" s="64">
        <v>67.8</v>
      </c>
      <c r="H86" s="64">
        <v>14.11</v>
      </c>
      <c r="I86" s="64">
        <v>1.57</v>
      </c>
      <c r="J86" s="64">
        <v>0.13</v>
      </c>
      <c r="K86" s="64">
        <v>322.62</v>
      </c>
      <c r="L86" s="64">
        <v>24.2</v>
      </c>
      <c r="M86" s="64">
        <v>98.02</v>
      </c>
      <c r="N86" s="64">
        <v>97.1</v>
      </c>
      <c r="O86" s="64">
        <v>0</v>
      </c>
      <c r="P86" s="64">
        <v>0.5</v>
      </c>
      <c r="Q86" s="64">
        <v>9.31</v>
      </c>
      <c r="R86" s="198"/>
      <c r="S86" s="198"/>
      <c r="T86" s="198"/>
      <c r="U86" s="198"/>
    </row>
    <row r="87" spans="1:26" s="12" customFormat="1" x14ac:dyDescent="0.25">
      <c r="A87" s="213" t="s">
        <v>706</v>
      </c>
      <c r="B87" s="64">
        <v>13.96</v>
      </c>
      <c r="C87" s="64">
        <v>13.76</v>
      </c>
      <c r="D87" s="64">
        <v>18.39</v>
      </c>
      <c r="E87" s="64">
        <v>4.82</v>
      </c>
      <c r="F87" s="64">
        <v>2.65</v>
      </c>
      <c r="G87" s="64">
        <v>56.59</v>
      </c>
      <c r="H87" s="64">
        <v>14.63</v>
      </c>
      <c r="I87" s="64">
        <v>1.56</v>
      </c>
      <c r="J87" s="64">
        <v>0.13</v>
      </c>
      <c r="K87" s="64">
        <v>352.76</v>
      </c>
      <c r="L87" s="64">
        <v>24.11</v>
      </c>
      <c r="M87" s="64">
        <v>98.02</v>
      </c>
      <c r="N87" s="64">
        <v>90.9</v>
      </c>
      <c r="O87" s="64">
        <v>0</v>
      </c>
      <c r="P87" s="64">
        <v>0.5</v>
      </c>
      <c r="Q87" s="64">
        <v>9.31</v>
      </c>
      <c r="R87" s="198"/>
      <c r="S87" s="198"/>
      <c r="T87" s="198"/>
      <c r="U87" s="198"/>
    </row>
    <row r="88" spans="1:26" s="12" customFormat="1" x14ac:dyDescent="0.25">
      <c r="A88" s="213" t="s">
        <v>707</v>
      </c>
      <c r="B88" s="64">
        <v>13.77</v>
      </c>
      <c r="C88" s="64">
        <v>14.11</v>
      </c>
      <c r="D88" s="64">
        <v>18.41</v>
      </c>
      <c r="E88" s="64">
        <v>4.84</v>
      </c>
      <c r="F88" s="64">
        <v>3.58</v>
      </c>
      <c r="G88" s="64">
        <v>53.18</v>
      </c>
      <c r="H88" s="64">
        <v>14.8</v>
      </c>
      <c r="I88" s="64">
        <v>1.58</v>
      </c>
      <c r="J88" s="64">
        <v>0.08</v>
      </c>
      <c r="K88" s="64">
        <v>339.33</v>
      </c>
      <c r="L88" s="64">
        <v>24.07</v>
      </c>
      <c r="M88" s="64">
        <v>98.03</v>
      </c>
      <c r="N88" s="64">
        <v>78.7</v>
      </c>
      <c r="O88" s="64">
        <v>0</v>
      </c>
      <c r="P88" s="64">
        <v>0.5</v>
      </c>
      <c r="Q88" s="64">
        <v>9.31</v>
      </c>
      <c r="R88" s="198"/>
      <c r="S88" s="198"/>
      <c r="T88" s="198"/>
      <c r="U88" s="198"/>
    </row>
    <row r="89" spans="1:26" s="12" customFormat="1" x14ac:dyDescent="0.25">
      <c r="A89" s="213" t="s">
        <v>708</v>
      </c>
      <c r="B89" s="64">
        <v>13.72</v>
      </c>
      <c r="C89" s="64">
        <v>13.51</v>
      </c>
      <c r="D89" s="64">
        <v>18.059999999999999</v>
      </c>
      <c r="E89" s="64">
        <v>5</v>
      </c>
      <c r="F89" s="64">
        <v>3.16</v>
      </c>
      <c r="G89" s="64">
        <v>53.18</v>
      </c>
      <c r="H89" s="64">
        <v>14.8</v>
      </c>
      <c r="I89" s="64">
        <v>1.63</v>
      </c>
      <c r="J89" s="64">
        <v>0.11</v>
      </c>
      <c r="K89" s="64">
        <v>335.5</v>
      </c>
      <c r="L89" s="64">
        <v>23.76</v>
      </c>
      <c r="M89" s="64">
        <v>98.06</v>
      </c>
      <c r="N89" s="64">
        <v>76.8</v>
      </c>
      <c r="O89" s="64">
        <v>0</v>
      </c>
      <c r="P89" s="64">
        <v>0.53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13" t="s">
        <v>709</v>
      </c>
      <c r="B90" s="64">
        <v>13.47</v>
      </c>
      <c r="C90" s="64">
        <v>14.14</v>
      </c>
      <c r="D90" s="64">
        <v>18.190000000000001</v>
      </c>
      <c r="E90" s="64">
        <v>5.19</v>
      </c>
      <c r="F90" s="64">
        <v>3.24</v>
      </c>
      <c r="G90" s="64">
        <v>53.18</v>
      </c>
      <c r="H90" s="64">
        <v>14.8</v>
      </c>
      <c r="I90" s="64">
        <v>1.73</v>
      </c>
      <c r="J90" s="64">
        <v>0.21</v>
      </c>
      <c r="K90" s="64">
        <v>336.89</v>
      </c>
      <c r="L90" s="64">
        <v>23.61</v>
      </c>
      <c r="M90" s="64">
        <v>98.05</v>
      </c>
      <c r="N90" s="64">
        <v>80</v>
      </c>
      <c r="O90" s="64">
        <v>0</v>
      </c>
      <c r="P90" s="64">
        <v>0.55000000000000004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3" t="s">
        <v>710</v>
      </c>
      <c r="B91" s="64">
        <v>15.82</v>
      </c>
      <c r="C91" s="64">
        <v>14.72</v>
      </c>
      <c r="D91" s="64">
        <v>20.38</v>
      </c>
      <c r="E91" s="64">
        <v>4.9000000000000004</v>
      </c>
      <c r="F91" s="64">
        <v>4.24</v>
      </c>
      <c r="G91" s="64">
        <v>51.1</v>
      </c>
      <c r="H91" s="64">
        <v>11.84</v>
      </c>
      <c r="I91" s="64">
        <v>1.93</v>
      </c>
      <c r="J91" s="64">
        <v>0.18</v>
      </c>
      <c r="K91" s="64">
        <v>318.7</v>
      </c>
      <c r="L91" s="64">
        <v>23.63</v>
      </c>
      <c r="M91" s="64">
        <v>98.05</v>
      </c>
      <c r="N91" s="64">
        <v>83.9</v>
      </c>
      <c r="O91" s="64">
        <v>0</v>
      </c>
      <c r="P91" s="64">
        <v>0.55000000000000004</v>
      </c>
      <c r="Q91" s="64">
        <v>9.31</v>
      </c>
      <c r="R91" s="198"/>
      <c r="S91" s="198"/>
      <c r="T91" s="198"/>
      <c r="U91" s="198"/>
    </row>
    <row r="92" spans="1:26" s="12" customFormat="1" x14ac:dyDescent="0.25">
      <c r="A92" s="213" t="s">
        <v>711</v>
      </c>
      <c r="B92" s="64">
        <v>15.21</v>
      </c>
      <c r="C92" s="64">
        <v>13.45</v>
      </c>
      <c r="D92" s="64">
        <v>19.23</v>
      </c>
      <c r="E92" s="64">
        <v>5.18</v>
      </c>
      <c r="F92" s="64">
        <v>3.58</v>
      </c>
      <c r="G92" s="64">
        <v>50.43</v>
      </c>
      <c r="H92" s="64">
        <v>10.88</v>
      </c>
      <c r="I92" s="64">
        <v>2.08</v>
      </c>
      <c r="J92" s="64">
        <v>0.21</v>
      </c>
      <c r="K92" s="64">
        <v>324.19</v>
      </c>
      <c r="L92" s="64">
        <v>23.63</v>
      </c>
      <c r="M92" s="64">
        <v>98.05</v>
      </c>
      <c r="N92" s="64">
        <v>83.7</v>
      </c>
      <c r="O92" s="64">
        <v>0</v>
      </c>
      <c r="P92" s="64">
        <v>0.57999999999999996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3" t="s">
        <v>712</v>
      </c>
      <c r="B93" s="64">
        <v>15.37</v>
      </c>
      <c r="C93" s="64">
        <v>15.22</v>
      </c>
      <c r="D93" s="64">
        <v>20.28</v>
      </c>
      <c r="E93" s="64">
        <v>5.1100000000000003</v>
      </c>
      <c r="F93" s="64">
        <v>4.3600000000000003</v>
      </c>
      <c r="G93" s="64">
        <v>50.43</v>
      </c>
      <c r="H93" s="64">
        <v>10.88</v>
      </c>
      <c r="I93" s="64">
        <v>2.12</v>
      </c>
      <c r="J93" s="64">
        <v>0.11</v>
      </c>
      <c r="K93" s="64">
        <v>324.05</v>
      </c>
      <c r="L93" s="64">
        <v>23.6</v>
      </c>
      <c r="M93" s="64">
        <v>98.05</v>
      </c>
      <c r="N93" s="64">
        <v>83.6</v>
      </c>
      <c r="O93" s="64">
        <v>0</v>
      </c>
      <c r="P93" s="64">
        <v>0.62</v>
      </c>
      <c r="Q93" s="64">
        <v>9.33</v>
      </c>
      <c r="R93" s="198"/>
      <c r="S93" s="198"/>
      <c r="T93" s="198"/>
      <c r="U93" s="198"/>
    </row>
    <row r="94" spans="1:26" s="12" customFormat="1" x14ac:dyDescent="0.25">
      <c r="A94" s="213" t="s">
        <v>713</v>
      </c>
      <c r="B94" s="64">
        <v>17.489999999999998</v>
      </c>
      <c r="C94" s="64">
        <v>17.79</v>
      </c>
      <c r="D94" s="64">
        <v>23.32</v>
      </c>
      <c r="E94" s="64">
        <v>5.01</v>
      </c>
      <c r="F94" s="64">
        <v>7.38</v>
      </c>
      <c r="G94" s="64">
        <v>50.43</v>
      </c>
      <c r="H94" s="64">
        <v>10.88</v>
      </c>
      <c r="I94" s="64">
        <v>2.1</v>
      </c>
      <c r="J94" s="64">
        <v>0.11</v>
      </c>
      <c r="K94" s="64">
        <v>330.1</v>
      </c>
      <c r="L94" s="64">
        <v>23.65</v>
      </c>
      <c r="M94" s="64">
        <v>98.05</v>
      </c>
      <c r="N94" s="64">
        <v>84.5</v>
      </c>
      <c r="O94" s="64">
        <v>0</v>
      </c>
      <c r="P94" s="64">
        <v>0.69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3" t="s">
        <v>714</v>
      </c>
      <c r="B95" s="64">
        <v>24.39</v>
      </c>
      <c r="C95" s="64">
        <v>17.53</v>
      </c>
      <c r="D95" s="64">
        <v>28.67</v>
      </c>
      <c r="E95" s="64">
        <v>5.12</v>
      </c>
      <c r="F95" s="64">
        <v>7.01</v>
      </c>
      <c r="G95" s="64">
        <v>37.56</v>
      </c>
      <c r="H95" s="64">
        <v>8.76</v>
      </c>
      <c r="I95" s="64">
        <v>2.08</v>
      </c>
      <c r="J95" s="64">
        <v>0.12</v>
      </c>
      <c r="K95" s="64">
        <v>310.56</v>
      </c>
      <c r="L95" s="64">
        <v>23.66</v>
      </c>
      <c r="M95" s="64">
        <v>98.05</v>
      </c>
      <c r="N95" s="64">
        <v>83.8</v>
      </c>
      <c r="O95" s="64">
        <v>0</v>
      </c>
      <c r="P95" s="64">
        <v>0.81</v>
      </c>
      <c r="Q95" s="64">
        <v>9.3699999999999992</v>
      </c>
      <c r="R95" s="198"/>
      <c r="S95" s="198"/>
      <c r="T95" s="198"/>
      <c r="U95" s="198"/>
    </row>
    <row r="96" spans="1:26" s="12" customFormat="1" x14ac:dyDescent="0.25">
      <c r="A96" s="213" t="s">
        <v>715</v>
      </c>
      <c r="B96" s="64">
        <v>24.55</v>
      </c>
      <c r="C96" s="64">
        <v>18.78</v>
      </c>
      <c r="D96" s="64">
        <v>29.5</v>
      </c>
      <c r="E96" s="64">
        <v>5.3</v>
      </c>
      <c r="F96" s="64">
        <v>6.43</v>
      </c>
      <c r="G96" s="64">
        <v>33.64</v>
      </c>
      <c r="H96" s="64">
        <v>8.08</v>
      </c>
      <c r="I96" s="64">
        <v>2.0699999999999998</v>
      </c>
      <c r="J96" s="64">
        <v>0.12</v>
      </c>
      <c r="K96" s="64">
        <v>310.57</v>
      </c>
      <c r="L96" s="64">
        <v>23.65</v>
      </c>
      <c r="M96" s="64">
        <v>98.05</v>
      </c>
      <c r="N96" s="64">
        <v>83.9</v>
      </c>
      <c r="O96" s="64">
        <v>0</v>
      </c>
      <c r="P96" s="64">
        <v>0.67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716</v>
      </c>
      <c r="B97" s="64">
        <v>15.81</v>
      </c>
      <c r="C97" s="64">
        <v>15.81</v>
      </c>
      <c r="D97" s="64">
        <v>20.94</v>
      </c>
      <c r="E97" s="64">
        <v>5.48</v>
      </c>
      <c r="F97" s="64">
        <v>5.58</v>
      </c>
      <c r="G97" s="64">
        <v>33.64</v>
      </c>
      <c r="H97" s="64">
        <v>8.08</v>
      </c>
      <c r="I97" s="64">
        <v>2.06</v>
      </c>
      <c r="J97" s="64">
        <v>0.06</v>
      </c>
      <c r="K97" s="64">
        <v>315.10000000000002</v>
      </c>
      <c r="L97" s="64">
        <v>23.61</v>
      </c>
      <c r="M97" s="64">
        <v>98.05</v>
      </c>
      <c r="N97" s="64">
        <v>85.7</v>
      </c>
      <c r="O97" s="64">
        <v>0</v>
      </c>
      <c r="P97" s="64">
        <v>0.56000000000000005</v>
      </c>
      <c r="Q97" s="64">
        <v>9.44</v>
      </c>
      <c r="R97" s="198"/>
      <c r="S97" s="198"/>
      <c r="T97" s="198"/>
      <c r="U97" s="198"/>
    </row>
    <row r="98" spans="1:33" s="12" customFormat="1" x14ac:dyDescent="0.25">
      <c r="A98" s="213" t="s">
        <v>717</v>
      </c>
      <c r="B98" s="64">
        <v>15.72</v>
      </c>
      <c r="C98" s="64">
        <v>12.82</v>
      </c>
      <c r="D98" s="64">
        <v>19.3</v>
      </c>
      <c r="E98" s="64">
        <v>5.12</v>
      </c>
      <c r="F98" s="64">
        <v>4.46</v>
      </c>
      <c r="G98" s="64">
        <v>33.64</v>
      </c>
      <c r="H98" s="64">
        <v>8.08</v>
      </c>
      <c r="I98" s="64">
        <v>2.0499999999999998</v>
      </c>
      <c r="J98" s="64">
        <v>0.08</v>
      </c>
      <c r="K98" s="64">
        <v>212.56</v>
      </c>
      <c r="L98" s="64">
        <v>23.47</v>
      </c>
      <c r="M98" s="64">
        <v>98.09</v>
      </c>
      <c r="N98" s="64">
        <v>99.1</v>
      </c>
      <c r="O98" s="64">
        <v>0</v>
      </c>
      <c r="P98" s="64">
        <v>0.61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3" t="s">
        <v>718</v>
      </c>
      <c r="B99" s="64">
        <v>16.22</v>
      </c>
      <c r="C99" s="64">
        <v>13.12</v>
      </c>
      <c r="D99" s="64">
        <v>19.86</v>
      </c>
      <c r="E99" s="64">
        <v>5.42</v>
      </c>
      <c r="F99" s="64">
        <v>3.99</v>
      </c>
      <c r="G99" s="64">
        <v>36.700000000000003</v>
      </c>
      <c r="H99" s="64">
        <v>6.37</v>
      </c>
      <c r="I99" s="64">
        <v>2.0299999999999998</v>
      </c>
      <c r="J99" s="64">
        <v>0.04</v>
      </c>
      <c r="K99" s="64">
        <v>39</v>
      </c>
      <c r="L99" s="64">
        <v>23.38</v>
      </c>
      <c r="M99" s="64">
        <v>98.12</v>
      </c>
      <c r="N99" s="64">
        <v>92.5</v>
      </c>
      <c r="O99" s="64">
        <v>0</v>
      </c>
      <c r="P99" s="64">
        <v>0.78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3" t="s">
        <v>719</v>
      </c>
      <c r="B100" s="64">
        <v>16.190000000000001</v>
      </c>
      <c r="C100" s="64">
        <v>12.13</v>
      </c>
      <c r="D100" s="64">
        <v>19.329999999999998</v>
      </c>
      <c r="E100" s="64">
        <v>5.1100000000000003</v>
      </c>
      <c r="F100" s="64">
        <v>3.79</v>
      </c>
      <c r="G100" s="64">
        <v>37.630000000000003</v>
      </c>
      <c r="H100" s="64">
        <v>5.82</v>
      </c>
      <c r="I100" s="64">
        <v>2.08</v>
      </c>
      <c r="J100" s="64">
        <v>0.1</v>
      </c>
      <c r="K100" s="64">
        <v>312.54000000000002</v>
      </c>
      <c r="L100" s="64">
        <v>23.36</v>
      </c>
      <c r="M100" s="64">
        <v>98.13</v>
      </c>
      <c r="N100" s="64">
        <v>84.5</v>
      </c>
      <c r="O100" s="64">
        <v>0</v>
      </c>
      <c r="P100" s="64">
        <v>0.66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720</v>
      </c>
      <c r="B101" s="64">
        <v>16.010000000000002</v>
      </c>
      <c r="C101" s="64">
        <v>10.93</v>
      </c>
      <c r="D101" s="64">
        <v>18.55</v>
      </c>
      <c r="E101" s="64">
        <v>5.01</v>
      </c>
      <c r="F101" s="64">
        <v>3.2</v>
      </c>
      <c r="G101" s="64">
        <v>37.630000000000003</v>
      </c>
      <c r="H101" s="64">
        <v>5.82</v>
      </c>
      <c r="I101" s="64">
        <v>2.2999999999999998</v>
      </c>
      <c r="J101" s="64">
        <v>0.15</v>
      </c>
      <c r="K101" s="64">
        <v>321.89999999999998</v>
      </c>
      <c r="L101" s="64">
        <v>23.44</v>
      </c>
      <c r="M101" s="64">
        <v>98.12</v>
      </c>
      <c r="N101" s="64">
        <v>91.5</v>
      </c>
      <c r="O101" s="64">
        <v>0</v>
      </c>
      <c r="P101" s="64">
        <v>0.62</v>
      </c>
      <c r="Q101" s="64">
        <v>9.39</v>
      </c>
      <c r="R101" s="198"/>
      <c r="S101" s="198"/>
      <c r="T101" s="198"/>
      <c r="U101" s="198"/>
    </row>
    <row r="102" spans="1:33" s="12" customFormat="1" x14ac:dyDescent="0.25">
      <c r="A102" s="213" t="s">
        <v>721</v>
      </c>
      <c r="B102" s="64">
        <v>15.12</v>
      </c>
      <c r="C102" s="64">
        <v>11.14</v>
      </c>
      <c r="D102" s="64">
        <v>17.95</v>
      </c>
      <c r="E102" s="64">
        <v>5.07</v>
      </c>
      <c r="F102" s="64">
        <v>2.72</v>
      </c>
      <c r="G102" s="64">
        <v>37.630000000000003</v>
      </c>
      <c r="H102" s="64">
        <v>5.82</v>
      </c>
      <c r="I102" s="64">
        <v>2.41</v>
      </c>
      <c r="J102" s="64">
        <v>0.15</v>
      </c>
      <c r="K102" s="64">
        <v>339.21</v>
      </c>
      <c r="L102" s="64">
        <v>23.43</v>
      </c>
      <c r="M102" s="64">
        <v>98.1</v>
      </c>
      <c r="N102" s="64">
        <v>97.9</v>
      </c>
      <c r="O102" s="64">
        <v>0</v>
      </c>
      <c r="P102" s="64">
        <v>0.56999999999999995</v>
      </c>
      <c r="Q102" s="64">
        <v>9.35</v>
      </c>
      <c r="R102" s="198"/>
      <c r="S102" s="198"/>
      <c r="T102" s="198"/>
      <c r="U102" s="198"/>
    </row>
    <row r="103" spans="1:33" s="12" customFormat="1" x14ac:dyDescent="0.25">
      <c r="A103" s="213" t="s">
        <v>722</v>
      </c>
      <c r="B103" s="64">
        <v>13.59</v>
      </c>
      <c r="C103" s="64">
        <v>11.43</v>
      </c>
      <c r="D103" s="64">
        <v>16.87</v>
      </c>
      <c r="E103" s="64">
        <v>4.8099999999999996</v>
      </c>
      <c r="F103" s="64">
        <v>4.0599999999999996</v>
      </c>
      <c r="G103" s="64">
        <v>28.29</v>
      </c>
      <c r="H103" s="64">
        <v>4.5</v>
      </c>
      <c r="I103" s="64">
        <v>2.33</v>
      </c>
      <c r="J103" s="64">
        <v>0.16</v>
      </c>
      <c r="K103" s="64">
        <v>328.28</v>
      </c>
      <c r="L103" s="64">
        <v>23.41</v>
      </c>
      <c r="M103" s="64">
        <v>98.1</v>
      </c>
      <c r="N103" s="64">
        <v>99.4</v>
      </c>
      <c r="O103" s="64">
        <v>0</v>
      </c>
      <c r="P103" s="64">
        <v>0.54</v>
      </c>
      <c r="Q103" s="64">
        <v>9.3000000000000007</v>
      </c>
      <c r="R103" s="198"/>
      <c r="S103" s="198"/>
      <c r="T103" s="198"/>
      <c r="U103" s="198"/>
    </row>
    <row r="104" spans="1:33" s="12" customFormat="1" x14ac:dyDescent="0.25">
      <c r="A104" s="213" t="s">
        <v>723</v>
      </c>
      <c r="B104" s="64">
        <v>12.12</v>
      </c>
      <c r="C104" s="64">
        <v>11.69</v>
      </c>
      <c r="D104" s="64">
        <v>15.82</v>
      </c>
      <c r="E104" s="64">
        <v>4.1500000000000004</v>
      </c>
      <c r="F104" s="64">
        <v>3.29</v>
      </c>
      <c r="G104" s="64">
        <v>25.45</v>
      </c>
      <c r="H104" s="64">
        <v>4.07</v>
      </c>
      <c r="I104" s="64">
        <v>2.16</v>
      </c>
      <c r="J104" s="64">
        <v>0.17</v>
      </c>
      <c r="K104" s="64">
        <v>334.78</v>
      </c>
      <c r="L104" s="64">
        <v>23.36</v>
      </c>
      <c r="M104" s="64">
        <v>98.13</v>
      </c>
      <c r="N104" s="64">
        <v>99.7</v>
      </c>
      <c r="O104" s="64">
        <v>0</v>
      </c>
      <c r="P104" s="64">
        <v>0.49</v>
      </c>
      <c r="Q104" s="64">
        <v>9.26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5.32</v>
      </c>
      <c r="C106" s="67">
        <f>MIN(C9:C104)</f>
        <v>8.65</v>
      </c>
      <c r="D106" s="67">
        <f t="shared" ref="D106:Q106" si="0">MIN(D9:D104)</f>
        <v>10.130000000000001</v>
      </c>
      <c r="E106" s="67">
        <f t="shared" si="0"/>
        <v>3.8</v>
      </c>
      <c r="F106" s="67">
        <f t="shared" si="0"/>
        <v>2.54</v>
      </c>
      <c r="G106" s="67">
        <f t="shared" si="0"/>
        <v>10.39</v>
      </c>
      <c r="H106" s="67">
        <f t="shared" si="0"/>
        <v>1.85</v>
      </c>
      <c r="I106" s="67">
        <f t="shared" si="0"/>
        <v>0.67</v>
      </c>
      <c r="J106" s="67">
        <f t="shared" si="0"/>
        <v>0.04</v>
      </c>
      <c r="K106" s="67">
        <f t="shared" si="0"/>
        <v>39</v>
      </c>
      <c r="L106" s="67">
        <f t="shared" si="0"/>
        <v>21.95</v>
      </c>
      <c r="M106" s="67">
        <f t="shared" si="0"/>
        <v>88.01</v>
      </c>
      <c r="N106" s="67">
        <f t="shared" si="0"/>
        <v>43.7</v>
      </c>
      <c r="O106" s="67">
        <f t="shared" si="0"/>
        <v>0</v>
      </c>
      <c r="P106" s="67">
        <f t="shared" si="0"/>
        <v>0.14000000000000001</v>
      </c>
      <c r="Q106" s="67">
        <f t="shared" si="0"/>
        <v>8.99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25.88</v>
      </c>
      <c r="C107" s="66">
        <f t="shared" ref="C107:Q107" si="1">MAX(C9:C104)</f>
        <v>23.12</v>
      </c>
      <c r="D107" s="66">
        <f t="shared" si="1"/>
        <v>30.21</v>
      </c>
      <c r="E107" s="66">
        <f t="shared" si="1"/>
        <v>5.67</v>
      </c>
      <c r="F107" s="66">
        <f t="shared" si="1"/>
        <v>9.15</v>
      </c>
      <c r="G107" s="66">
        <f t="shared" si="1"/>
        <v>74.64</v>
      </c>
      <c r="H107" s="66">
        <f t="shared" si="1"/>
        <v>14.8</v>
      </c>
      <c r="I107" s="66">
        <f t="shared" si="1"/>
        <v>2.41</v>
      </c>
      <c r="J107" s="66">
        <f t="shared" si="1"/>
        <v>0.57999999999999996</v>
      </c>
      <c r="K107" s="66">
        <f t="shared" si="1"/>
        <v>352.76</v>
      </c>
      <c r="L107" s="66">
        <f t="shared" si="1"/>
        <v>27.1</v>
      </c>
      <c r="M107" s="66">
        <f t="shared" si="1"/>
        <v>98.32</v>
      </c>
      <c r="N107" s="66">
        <f t="shared" si="1"/>
        <v>579.9</v>
      </c>
      <c r="O107" s="66">
        <f t="shared" si="1"/>
        <v>1.8</v>
      </c>
      <c r="P107" s="66">
        <f t="shared" si="1"/>
        <v>0.81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10.890625</v>
      </c>
      <c r="C108" s="67">
        <f t="shared" ref="C108:Q108" si="2">AVERAGE(C9:C104)</f>
        <v>13.636041666666666</v>
      </c>
      <c r="D108" s="67">
        <f t="shared" si="2"/>
        <v>15.850520833333333</v>
      </c>
      <c r="E108" s="67">
        <f t="shared" si="2"/>
        <v>4.8501041666666653</v>
      </c>
      <c r="F108" s="67">
        <f t="shared" si="2"/>
        <v>4.1480208333333328</v>
      </c>
      <c r="G108" s="67">
        <f t="shared" si="2"/>
        <v>37.999791666666653</v>
      </c>
      <c r="H108" s="67">
        <f t="shared" si="2"/>
        <v>6.7048958333333362</v>
      </c>
      <c r="I108" s="67">
        <f t="shared" si="2"/>
        <v>1.2365624999999998</v>
      </c>
      <c r="J108" s="67">
        <f t="shared" si="2"/>
        <v>0.21927083333333319</v>
      </c>
      <c r="K108" s="67">
        <f t="shared" si="2"/>
        <v>301.14812499999982</v>
      </c>
      <c r="L108" s="67">
        <f t="shared" si="2"/>
        <v>24.341979166666672</v>
      </c>
      <c r="M108" s="67">
        <f t="shared" si="2"/>
        <v>96.466458333333321</v>
      </c>
      <c r="N108" s="67">
        <f t="shared" si="2"/>
        <v>134.75729166666662</v>
      </c>
      <c r="O108" s="67">
        <f t="shared" si="2"/>
        <v>4.3750000000000011E-2</v>
      </c>
      <c r="P108" s="67">
        <f t="shared" si="2"/>
        <v>0.37333333333333335</v>
      </c>
      <c r="Q108" s="67">
        <f t="shared" si="2"/>
        <v>9.1878125000000015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4.8527858114261475</v>
      </c>
      <c r="C109" s="67">
        <f t="shared" ref="C109:Q109" si="3">STDEV(C9:C104)</f>
        <v>2.8185037012633294</v>
      </c>
      <c r="D109" s="67">
        <f t="shared" si="3"/>
        <v>4.4579099114393195</v>
      </c>
      <c r="E109" s="67">
        <f t="shared" si="3"/>
        <v>0.5228333633933544</v>
      </c>
      <c r="F109" s="67">
        <f t="shared" si="3"/>
        <v>1.2372419410180207</v>
      </c>
      <c r="G109" s="67">
        <f t="shared" si="3"/>
        <v>18.093983820111511</v>
      </c>
      <c r="H109" s="67">
        <f t="shared" si="3"/>
        <v>3.5232499933088532</v>
      </c>
      <c r="I109" s="67">
        <f t="shared" si="3"/>
        <v>0.49024983561016128</v>
      </c>
      <c r="J109" s="67">
        <f t="shared" si="3"/>
        <v>0.12768583807773712</v>
      </c>
      <c r="K109" s="67">
        <f t="shared" si="3"/>
        <v>33.107588899877427</v>
      </c>
      <c r="L109" s="67">
        <f t="shared" si="3"/>
        <v>1.3143672640569544</v>
      </c>
      <c r="M109" s="67">
        <f t="shared" si="3"/>
        <v>2.7545881263110896</v>
      </c>
      <c r="N109" s="67">
        <f t="shared" si="3"/>
        <v>106.74262577245447</v>
      </c>
      <c r="O109" s="67">
        <f t="shared" si="3"/>
        <v>0.20764975572495042</v>
      </c>
      <c r="P109" s="67">
        <f t="shared" si="3"/>
        <v>0.16692050844743692</v>
      </c>
      <c r="Q109" s="67">
        <f t="shared" si="3"/>
        <v>0.13755919778312484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724</v>
      </c>
      <c r="B9" s="64">
        <v>10.77</v>
      </c>
      <c r="C9" s="64">
        <v>11.98</v>
      </c>
      <c r="D9" s="64">
        <v>14.9</v>
      </c>
      <c r="E9" s="64">
        <v>4.58</v>
      </c>
      <c r="F9" s="64">
        <v>3.6</v>
      </c>
      <c r="G9" s="64">
        <v>25.45</v>
      </c>
      <c r="H9" s="64">
        <v>4.07</v>
      </c>
      <c r="I9" s="64">
        <v>2.0099999999999998</v>
      </c>
      <c r="J9" s="64">
        <v>0.15</v>
      </c>
      <c r="K9" s="64">
        <v>322.07</v>
      </c>
      <c r="L9" s="64">
        <v>23.35</v>
      </c>
      <c r="M9" s="64">
        <v>98.15</v>
      </c>
      <c r="N9" s="64">
        <v>100.5</v>
      </c>
      <c r="O9" s="64">
        <v>0</v>
      </c>
      <c r="P9" s="64">
        <v>0.44</v>
      </c>
      <c r="Q9" s="64">
        <v>9.2200000000000006</v>
      </c>
      <c r="R9" s="198"/>
      <c r="S9" s="198"/>
      <c r="T9" s="198"/>
      <c r="U9" s="198"/>
    </row>
    <row r="10" spans="1:21" s="12" customFormat="1" x14ac:dyDescent="0.25">
      <c r="A10" s="213" t="s">
        <v>725</v>
      </c>
      <c r="B10" s="64">
        <v>9.84</v>
      </c>
      <c r="C10" s="64">
        <v>12</v>
      </c>
      <c r="D10" s="64">
        <v>14.16</v>
      </c>
      <c r="E10" s="64">
        <v>4.6500000000000004</v>
      </c>
      <c r="F10" s="64">
        <v>3.4</v>
      </c>
      <c r="G10" s="64">
        <v>25.45</v>
      </c>
      <c r="H10" s="64">
        <v>4.07</v>
      </c>
      <c r="I10" s="64">
        <v>1.87</v>
      </c>
      <c r="J10" s="64">
        <v>0.13</v>
      </c>
      <c r="K10" s="64">
        <v>324.27999999999997</v>
      </c>
      <c r="L10" s="64">
        <v>23.39</v>
      </c>
      <c r="M10" s="64">
        <v>98.14</v>
      </c>
      <c r="N10" s="64">
        <v>101.4</v>
      </c>
      <c r="O10" s="64">
        <v>0</v>
      </c>
      <c r="P10" s="64">
        <v>0.42</v>
      </c>
      <c r="Q10" s="64">
        <v>9.17</v>
      </c>
      <c r="R10" s="198"/>
      <c r="S10" s="198"/>
      <c r="T10" s="198"/>
      <c r="U10" s="198"/>
    </row>
    <row r="11" spans="1:21" s="12" customFormat="1" x14ac:dyDescent="0.25">
      <c r="A11" s="213" t="s">
        <v>726</v>
      </c>
      <c r="B11" s="64">
        <v>9.18</v>
      </c>
      <c r="C11" s="64">
        <v>12.19</v>
      </c>
      <c r="D11" s="64">
        <v>13.73</v>
      </c>
      <c r="E11" s="64">
        <v>4.74</v>
      </c>
      <c r="F11" s="64">
        <v>3.28</v>
      </c>
      <c r="G11" s="64">
        <v>19.47</v>
      </c>
      <c r="H11" s="64">
        <v>3.14</v>
      </c>
      <c r="I11" s="64">
        <v>1.73</v>
      </c>
      <c r="J11" s="64">
        <v>0.19</v>
      </c>
      <c r="K11" s="64">
        <v>313.56</v>
      </c>
      <c r="L11" s="64">
        <v>23.4</v>
      </c>
      <c r="M11" s="64">
        <v>98.14</v>
      </c>
      <c r="N11" s="64">
        <v>101.7</v>
      </c>
      <c r="O11" s="64">
        <v>0</v>
      </c>
      <c r="P11" s="64">
        <v>0.38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3" t="s">
        <v>727</v>
      </c>
      <c r="B12" s="64">
        <v>8.2200000000000006</v>
      </c>
      <c r="C12" s="64">
        <v>12.19</v>
      </c>
      <c r="D12" s="64">
        <v>12.96</v>
      </c>
      <c r="E12" s="64">
        <v>4.32</v>
      </c>
      <c r="F12" s="64">
        <v>3.51</v>
      </c>
      <c r="G12" s="64">
        <v>17.53</v>
      </c>
      <c r="H12" s="64">
        <v>2.85</v>
      </c>
      <c r="I12" s="64">
        <v>1.64</v>
      </c>
      <c r="J12" s="64">
        <v>0.18</v>
      </c>
      <c r="K12" s="64">
        <v>305.75</v>
      </c>
      <c r="L12" s="64">
        <v>23.43</v>
      </c>
      <c r="M12" s="64">
        <v>98.16</v>
      </c>
      <c r="N12" s="64">
        <v>101.6</v>
      </c>
      <c r="O12" s="64">
        <v>0</v>
      </c>
      <c r="P12" s="64">
        <v>0.35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3" t="s">
        <v>728</v>
      </c>
      <c r="B13" s="64">
        <v>7.33</v>
      </c>
      <c r="C13" s="64">
        <v>11.97</v>
      </c>
      <c r="D13" s="64">
        <v>12.13</v>
      </c>
      <c r="E13" s="64">
        <v>4.33</v>
      </c>
      <c r="F13" s="64">
        <v>3.01</v>
      </c>
      <c r="G13" s="64">
        <v>17.53</v>
      </c>
      <c r="H13" s="64">
        <v>2.85</v>
      </c>
      <c r="I13" s="64">
        <v>1.64</v>
      </c>
      <c r="J13" s="64">
        <v>0.21</v>
      </c>
      <c r="K13" s="64">
        <v>305.08999999999997</v>
      </c>
      <c r="L13" s="64">
        <v>23.5</v>
      </c>
      <c r="M13" s="64">
        <v>98.21</v>
      </c>
      <c r="N13" s="64">
        <v>101.5</v>
      </c>
      <c r="O13" s="64">
        <v>0</v>
      </c>
      <c r="P13" s="64">
        <v>0.33</v>
      </c>
      <c r="Q13" s="64">
        <v>9.1</v>
      </c>
      <c r="R13" s="198"/>
      <c r="S13" s="198"/>
      <c r="T13" s="198"/>
      <c r="U13" s="198"/>
    </row>
    <row r="14" spans="1:21" s="12" customFormat="1" x14ac:dyDescent="0.25">
      <c r="A14" s="213" t="s">
        <v>729</v>
      </c>
      <c r="B14" s="64">
        <v>6.54</v>
      </c>
      <c r="C14" s="64">
        <v>12</v>
      </c>
      <c r="D14" s="64">
        <v>11.51</v>
      </c>
      <c r="E14" s="64">
        <v>4</v>
      </c>
      <c r="F14" s="64">
        <v>3.27</v>
      </c>
      <c r="G14" s="64">
        <v>17.53</v>
      </c>
      <c r="H14" s="64">
        <v>2.85</v>
      </c>
      <c r="I14" s="64">
        <v>1.59</v>
      </c>
      <c r="J14" s="64">
        <v>0.4</v>
      </c>
      <c r="K14" s="64">
        <v>295.08999999999997</v>
      </c>
      <c r="L14" s="64">
        <v>23.59</v>
      </c>
      <c r="M14" s="64">
        <v>98.21</v>
      </c>
      <c r="N14" s="64">
        <v>101.9</v>
      </c>
      <c r="O14" s="64">
        <v>0</v>
      </c>
      <c r="P14" s="64">
        <v>0.34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3" t="s">
        <v>730</v>
      </c>
      <c r="B15" s="64">
        <v>5.65</v>
      </c>
      <c r="C15" s="64">
        <v>12.64</v>
      </c>
      <c r="D15" s="64">
        <v>11.14</v>
      </c>
      <c r="E15" s="64">
        <v>4.2300000000000004</v>
      </c>
      <c r="F15" s="64">
        <v>3.71</v>
      </c>
      <c r="G15" s="64">
        <v>14.74</v>
      </c>
      <c r="H15" s="64">
        <v>9.98</v>
      </c>
      <c r="I15" s="64">
        <v>1.46</v>
      </c>
      <c r="J15" s="64">
        <v>0.54</v>
      </c>
      <c r="K15" s="64">
        <v>291.8</v>
      </c>
      <c r="L15" s="64">
        <v>23.54</v>
      </c>
      <c r="M15" s="64">
        <v>98.14</v>
      </c>
      <c r="N15" s="64">
        <v>101.8</v>
      </c>
      <c r="O15" s="64">
        <v>0</v>
      </c>
      <c r="P15" s="64">
        <v>0.37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3" t="s">
        <v>731</v>
      </c>
      <c r="B16" s="64">
        <v>4.87</v>
      </c>
      <c r="C16" s="64">
        <v>13.57</v>
      </c>
      <c r="D16" s="64">
        <v>10.99</v>
      </c>
      <c r="E16" s="64">
        <v>4.54</v>
      </c>
      <c r="F16" s="64">
        <v>4.1399999999999997</v>
      </c>
      <c r="G16" s="64">
        <v>13.84</v>
      </c>
      <c r="H16" s="64">
        <v>12.28</v>
      </c>
      <c r="I16" s="64">
        <v>1.43</v>
      </c>
      <c r="J16" s="64">
        <v>0.41</v>
      </c>
      <c r="K16" s="64">
        <v>288.77999999999997</v>
      </c>
      <c r="L16" s="64">
        <v>23.41</v>
      </c>
      <c r="M16" s="64">
        <v>98.13</v>
      </c>
      <c r="N16" s="64">
        <v>102.4</v>
      </c>
      <c r="O16" s="64">
        <v>0</v>
      </c>
      <c r="P16" s="64">
        <v>0.4</v>
      </c>
      <c r="Q16" s="64">
        <v>9.0500000000000007</v>
      </c>
      <c r="R16" s="198"/>
      <c r="S16" s="198"/>
      <c r="T16" s="198"/>
      <c r="U16" s="198"/>
    </row>
    <row r="17" spans="1:21" s="12" customFormat="1" x14ac:dyDescent="0.25">
      <c r="A17" s="213" t="s">
        <v>732</v>
      </c>
      <c r="B17" s="64">
        <v>4.3899999999999997</v>
      </c>
      <c r="C17" s="64">
        <v>14.92</v>
      </c>
      <c r="D17" s="64">
        <v>11.32</v>
      </c>
      <c r="E17" s="64">
        <v>4.38</v>
      </c>
      <c r="F17" s="64">
        <v>3.63</v>
      </c>
      <c r="G17" s="64">
        <v>13.84</v>
      </c>
      <c r="H17" s="64">
        <v>12.28</v>
      </c>
      <c r="I17" s="64">
        <v>1.52</v>
      </c>
      <c r="J17" s="64">
        <v>0.4</v>
      </c>
      <c r="K17" s="64">
        <v>291.81</v>
      </c>
      <c r="L17" s="64">
        <v>23.14</v>
      </c>
      <c r="M17" s="64">
        <v>98.17</v>
      </c>
      <c r="N17" s="64">
        <v>106.2</v>
      </c>
      <c r="O17" s="64">
        <v>0</v>
      </c>
      <c r="P17" s="64">
        <v>0.49</v>
      </c>
      <c r="Q17" s="64">
        <v>9.0500000000000007</v>
      </c>
      <c r="R17" s="198"/>
      <c r="S17" s="198"/>
      <c r="T17" s="198"/>
      <c r="U17" s="198"/>
    </row>
    <row r="18" spans="1:21" s="12" customFormat="1" x14ac:dyDescent="0.25">
      <c r="A18" s="213" t="s">
        <v>733</v>
      </c>
      <c r="B18" s="64">
        <v>4.3</v>
      </c>
      <c r="C18" s="64">
        <v>16.71</v>
      </c>
      <c r="D18" s="64">
        <v>12.18</v>
      </c>
      <c r="E18" s="64">
        <v>4.28</v>
      </c>
      <c r="F18" s="64">
        <v>3.67</v>
      </c>
      <c r="G18" s="64">
        <v>13.84</v>
      </c>
      <c r="H18" s="64">
        <v>12.28</v>
      </c>
      <c r="I18" s="64">
        <v>1.92</v>
      </c>
      <c r="J18" s="64">
        <v>0.48</v>
      </c>
      <c r="K18" s="64">
        <v>287.01</v>
      </c>
      <c r="L18" s="64">
        <v>23.19</v>
      </c>
      <c r="M18" s="64">
        <v>98.17</v>
      </c>
      <c r="N18" s="64">
        <v>104.6</v>
      </c>
      <c r="O18" s="64">
        <v>0</v>
      </c>
      <c r="P18" s="64">
        <v>0.66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3" t="s">
        <v>734</v>
      </c>
      <c r="B19" s="64">
        <v>4.3600000000000003</v>
      </c>
      <c r="C19" s="64">
        <v>18.37</v>
      </c>
      <c r="D19" s="64">
        <v>13.1</v>
      </c>
      <c r="E19" s="64">
        <v>4.3</v>
      </c>
      <c r="F19" s="64">
        <v>3.61</v>
      </c>
      <c r="G19" s="64">
        <v>13.04</v>
      </c>
      <c r="H19" s="64">
        <v>9.2200000000000006</v>
      </c>
      <c r="I19" s="64">
        <v>2.61</v>
      </c>
      <c r="J19" s="64">
        <v>0.34</v>
      </c>
      <c r="K19" s="64">
        <v>297.44</v>
      </c>
      <c r="L19" s="64">
        <v>23.03</v>
      </c>
      <c r="M19" s="64">
        <v>98.18</v>
      </c>
      <c r="N19" s="64">
        <v>103.5</v>
      </c>
      <c r="O19" s="64">
        <v>0</v>
      </c>
      <c r="P19" s="64">
        <v>0.8</v>
      </c>
      <c r="Q19" s="64">
        <v>9.06</v>
      </c>
      <c r="R19" s="198"/>
      <c r="S19" s="198"/>
      <c r="T19" s="198"/>
      <c r="U19" s="198"/>
    </row>
    <row r="20" spans="1:21" s="12" customFormat="1" x14ac:dyDescent="0.25">
      <c r="A20" s="213" t="s">
        <v>735</v>
      </c>
      <c r="B20" s="64">
        <v>4.49</v>
      </c>
      <c r="C20" s="64">
        <v>17.760000000000002</v>
      </c>
      <c r="D20" s="64">
        <v>12.88</v>
      </c>
      <c r="E20" s="64">
        <v>4.37</v>
      </c>
      <c r="F20" s="64">
        <v>4.3499999999999996</v>
      </c>
      <c r="G20" s="64">
        <v>12.77</v>
      </c>
      <c r="H20" s="64">
        <v>8.23</v>
      </c>
      <c r="I20" s="64">
        <v>3.28</v>
      </c>
      <c r="J20" s="64">
        <v>0.26</v>
      </c>
      <c r="K20" s="64">
        <v>301.54000000000002</v>
      </c>
      <c r="L20" s="64">
        <v>22.67</v>
      </c>
      <c r="M20" s="64">
        <v>98.23</v>
      </c>
      <c r="N20" s="64">
        <v>103.2</v>
      </c>
      <c r="O20" s="64">
        <v>0</v>
      </c>
      <c r="P20" s="64">
        <v>0.77</v>
      </c>
      <c r="Q20" s="64">
        <v>9.06</v>
      </c>
      <c r="R20" s="198"/>
      <c r="S20" s="198"/>
      <c r="T20" s="198"/>
      <c r="U20" s="198"/>
    </row>
    <row r="21" spans="1:21" s="12" customFormat="1" x14ac:dyDescent="0.25">
      <c r="A21" s="213" t="s">
        <v>736</v>
      </c>
      <c r="B21" s="64">
        <v>4.41</v>
      </c>
      <c r="C21" s="64">
        <v>15.75</v>
      </c>
      <c r="D21" s="64">
        <v>11.77</v>
      </c>
      <c r="E21" s="64">
        <v>4.46</v>
      </c>
      <c r="F21" s="64">
        <v>3.3</v>
      </c>
      <c r="G21" s="64">
        <v>12.77</v>
      </c>
      <c r="H21" s="64">
        <v>8.23</v>
      </c>
      <c r="I21" s="64">
        <v>3.46</v>
      </c>
      <c r="J21" s="64">
        <v>0.19</v>
      </c>
      <c r="K21" s="64">
        <v>298.55</v>
      </c>
      <c r="L21" s="64">
        <v>22.54</v>
      </c>
      <c r="M21" s="64">
        <v>98.22</v>
      </c>
      <c r="N21" s="64">
        <v>103.6</v>
      </c>
      <c r="O21" s="64">
        <v>0</v>
      </c>
      <c r="P21" s="64">
        <v>0.67</v>
      </c>
      <c r="Q21" s="64">
        <v>9.0500000000000007</v>
      </c>
      <c r="R21" s="198"/>
      <c r="S21" s="198"/>
      <c r="T21" s="198"/>
      <c r="U21" s="198"/>
    </row>
    <row r="22" spans="1:21" s="12" customFormat="1" x14ac:dyDescent="0.25">
      <c r="A22" s="213" t="s">
        <v>737</v>
      </c>
      <c r="B22" s="64">
        <v>4.29</v>
      </c>
      <c r="C22" s="64">
        <v>13.97</v>
      </c>
      <c r="D22" s="64">
        <v>10.74</v>
      </c>
      <c r="E22" s="64">
        <v>4.17</v>
      </c>
      <c r="F22" s="64">
        <v>4.0199999999999996</v>
      </c>
      <c r="G22" s="64">
        <v>12.77</v>
      </c>
      <c r="H22" s="64">
        <v>8.23</v>
      </c>
      <c r="I22" s="64">
        <v>3.14</v>
      </c>
      <c r="J22" s="64">
        <v>0.18</v>
      </c>
      <c r="K22" s="64">
        <v>304.33999999999997</v>
      </c>
      <c r="L22" s="64">
        <v>22.53</v>
      </c>
      <c r="M22" s="64">
        <v>98.23</v>
      </c>
      <c r="N22" s="64">
        <v>104.9</v>
      </c>
      <c r="O22" s="64">
        <v>0</v>
      </c>
      <c r="P22" s="64">
        <v>0.6</v>
      </c>
      <c r="Q22" s="64">
        <v>9.0299999999999994</v>
      </c>
      <c r="R22" s="198"/>
      <c r="S22" s="198"/>
      <c r="T22" s="198"/>
      <c r="U22" s="198"/>
    </row>
    <row r="23" spans="1:21" s="12" customFormat="1" x14ac:dyDescent="0.25">
      <c r="A23" s="213" t="s">
        <v>738</v>
      </c>
      <c r="B23" s="64">
        <v>4.1900000000000004</v>
      </c>
      <c r="C23" s="64">
        <v>12.9</v>
      </c>
      <c r="D23" s="64">
        <v>10.1</v>
      </c>
      <c r="E23" s="64">
        <v>4.43</v>
      </c>
      <c r="F23" s="64">
        <v>3.91</v>
      </c>
      <c r="G23" s="64">
        <v>15.15</v>
      </c>
      <c r="H23" s="64">
        <v>8.61</v>
      </c>
      <c r="I23" s="64">
        <v>2.77</v>
      </c>
      <c r="J23" s="64">
        <v>0.14000000000000001</v>
      </c>
      <c r="K23" s="64">
        <v>293.27</v>
      </c>
      <c r="L23" s="64">
        <v>22.57</v>
      </c>
      <c r="M23" s="64">
        <v>98.23</v>
      </c>
      <c r="N23" s="64">
        <v>106.8</v>
      </c>
      <c r="O23" s="64">
        <v>0</v>
      </c>
      <c r="P23" s="64">
        <v>0.54</v>
      </c>
      <c r="Q23" s="64">
        <v>9</v>
      </c>
      <c r="R23" s="198"/>
      <c r="S23" s="198"/>
      <c r="T23" s="198"/>
      <c r="U23" s="198"/>
    </row>
    <row r="24" spans="1:21" s="12" customFormat="1" x14ac:dyDescent="0.25">
      <c r="A24" s="213" t="s">
        <v>739</v>
      </c>
      <c r="B24" s="64">
        <v>4.22</v>
      </c>
      <c r="C24" s="64">
        <v>12.18</v>
      </c>
      <c r="D24" s="64">
        <v>9.75</v>
      </c>
      <c r="E24" s="64">
        <v>4.32</v>
      </c>
      <c r="F24" s="64">
        <v>3.94</v>
      </c>
      <c r="G24" s="64">
        <v>15.91</v>
      </c>
      <c r="H24" s="64">
        <v>8.73</v>
      </c>
      <c r="I24" s="64">
        <v>2.52</v>
      </c>
      <c r="J24" s="64">
        <v>0.2</v>
      </c>
      <c r="K24" s="64">
        <v>297.33</v>
      </c>
      <c r="L24" s="64">
        <v>22.67</v>
      </c>
      <c r="M24" s="64">
        <v>98.22</v>
      </c>
      <c r="N24" s="64">
        <v>105</v>
      </c>
      <c r="O24" s="64">
        <v>0</v>
      </c>
      <c r="P24" s="64">
        <v>0.49</v>
      </c>
      <c r="Q24" s="64">
        <v>8.98</v>
      </c>
      <c r="R24" s="198"/>
      <c r="S24" s="198"/>
      <c r="T24" s="198"/>
      <c r="U24" s="198"/>
    </row>
    <row r="25" spans="1:21" s="12" customFormat="1" x14ac:dyDescent="0.25">
      <c r="A25" s="213" t="s">
        <v>740</v>
      </c>
      <c r="B25" s="64">
        <v>4.28</v>
      </c>
      <c r="C25" s="64">
        <v>11.83</v>
      </c>
      <c r="D25" s="64">
        <v>9.61</v>
      </c>
      <c r="E25" s="64">
        <v>4.1399999999999997</v>
      </c>
      <c r="F25" s="64">
        <v>4.28</v>
      </c>
      <c r="G25" s="64">
        <v>15.91</v>
      </c>
      <c r="H25" s="64">
        <v>8.73</v>
      </c>
      <c r="I25" s="64">
        <v>2.3199999999999998</v>
      </c>
      <c r="J25" s="64">
        <v>0.2</v>
      </c>
      <c r="K25" s="64">
        <v>293.33999999999997</v>
      </c>
      <c r="L25" s="64">
        <v>22.79</v>
      </c>
      <c r="M25" s="64">
        <v>98.2</v>
      </c>
      <c r="N25" s="64">
        <v>75.2</v>
      </c>
      <c r="O25" s="64">
        <v>0</v>
      </c>
      <c r="P25" s="64">
        <v>0.45</v>
      </c>
      <c r="Q25" s="64">
        <v>8.9700000000000006</v>
      </c>
      <c r="R25" s="198"/>
      <c r="S25" s="198"/>
      <c r="T25" s="198"/>
      <c r="U25" s="198"/>
    </row>
    <row r="26" spans="1:21" s="12" customFormat="1" x14ac:dyDescent="0.25">
      <c r="A26" s="213" t="s">
        <v>741</v>
      </c>
      <c r="B26" s="64">
        <v>4.29</v>
      </c>
      <c r="C26" s="64">
        <v>11.72</v>
      </c>
      <c r="D26" s="64">
        <v>9.56</v>
      </c>
      <c r="E26" s="64">
        <v>4.32</v>
      </c>
      <c r="F26" s="64">
        <v>3.83</v>
      </c>
      <c r="G26" s="64">
        <v>15.91</v>
      </c>
      <c r="H26" s="64">
        <v>8.73</v>
      </c>
      <c r="I26" s="64">
        <v>2.11</v>
      </c>
      <c r="J26" s="64">
        <v>0.24</v>
      </c>
      <c r="K26" s="64">
        <v>294.63</v>
      </c>
      <c r="L26" s="64">
        <v>22.83</v>
      </c>
      <c r="M26" s="64">
        <v>98.22</v>
      </c>
      <c r="N26" s="64">
        <v>65.900000000000006</v>
      </c>
      <c r="O26" s="64">
        <v>0</v>
      </c>
      <c r="P26" s="64">
        <v>0.41</v>
      </c>
      <c r="Q26" s="64">
        <v>8.9600000000000009</v>
      </c>
      <c r="R26" s="198"/>
      <c r="S26" s="198"/>
      <c r="T26" s="198"/>
      <c r="U26" s="198"/>
    </row>
    <row r="27" spans="1:21" s="12" customFormat="1" x14ac:dyDescent="0.25">
      <c r="A27" s="213" t="s">
        <v>742</v>
      </c>
      <c r="B27" s="64">
        <v>4.3099999999999996</v>
      </c>
      <c r="C27" s="64">
        <v>11.48</v>
      </c>
      <c r="D27" s="64">
        <v>9.4499999999999993</v>
      </c>
      <c r="E27" s="64">
        <v>4.26</v>
      </c>
      <c r="F27" s="64">
        <v>3.85</v>
      </c>
      <c r="G27" s="64">
        <v>12.54</v>
      </c>
      <c r="H27" s="64">
        <v>8.73</v>
      </c>
      <c r="I27" s="64">
        <v>1.92</v>
      </c>
      <c r="J27" s="64">
        <v>0.28000000000000003</v>
      </c>
      <c r="K27" s="64">
        <v>301.43</v>
      </c>
      <c r="L27" s="64">
        <v>22.81</v>
      </c>
      <c r="M27" s="64">
        <v>98.2</v>
      </c>
      <c r="N27" s="64">
        <v>69.400000000000006</v>
      </c>
      <c r="O27" s="64">
        <v>0</v>
      </c>
      <c r="P27" s="64">
        <v>0.36</v>
      </c>
      <c r="Q27" s="64">
        <v>8.9600000000000009</v>
      </c>
      <c r="R27" s="198"/>
      <c r="S27" s="198"/>
      <c r="T27" s="198"/>
      <c r="U27" s="198"/>
    </row>
    <row r="28" spans="1:21" s="12" customFormat="1" x14ac:dyDescent="0.25">
      <c r="A28" s="213" t="s">
        <v>743</v>
      </c>
      <c r="B28" s="64">
        <v>4.33</v>
      </c>
      <c r="C28" s="64">
        <v>11.49</v>
      </c>
      <c r="D28" s="64">
        <v>9.4700000000000006</v>
      </c>
      <c r="E28" s="64">
        <v>4.34</v>
      </c>
      <c r="F28" s="64">
        <v>3.79</v>
      </c>
      <c r="G28" s="64">
        <v>11.45</v>
      </c>
      <c r="H28" s="64">
        <v>8.73</v>
      </c>
      <c r="I28" s="64">
        <v>1.72</v>
      </c>
      <c r="J28" s="64">
        <v>0.32</v>
      </c>
      <c r="K28" s="64">
        <v>291.04000000000002</v>
      </c>
      <c r="L28" s="64">
        <v>22.73</v>
      </c>
      <c r="M28" s="64">
        <v>98.2</v>
      </c>
      <c r="N28" s="64">
        <v>70.3</v>
      </c>
      <c r="O28" s="64">
        <v>0</v>
      </c>
      <c r="P28" s="64">
        <v>0.33</v>
      </c>
      <c r="Q28" s="64">
        <v>8.9600000000000009</v>
      </c>
      <c r="R28" s="198"/>
      <c r="S28" s="198"/>
      <c r="T28" s="198"/>
      <c r="U28" s="198"/>
    </row>
    <row r="29" spans="1:21" s="12" customFormat="1" x14ac:dyDescent="0.25">
      <c r="A29" s="213" t="s">
        <v>744</v>
      </c>
      <c r="B29" s="64">
        <v>4.4000000000000004</v>
      </c>
      <c r="C29" s="64">
        <v>11.85</v>
      </c>
      <c r="D29" s="64">
        <v>9.7200000000000006</v>
      </c>
      <c r="E29" s="64">
        <v>4.4800000000000004</v>
      </c>
      <c r="F29" s="64">
        <v>3.59</v>
      </c>
      <c r="G29" s="64">
        <v>11.45</v>
      </c>
      <c r="H29" s="64">
        <v>8.73</v>
      </c>
      <c r="I29" s="64">
        <v>1.54</v>
      </c>
      <c r="J29" s="64">
        <v>0.23</v>
      </c>
      <c r="K29" s="64">
        <v>291.18</v>
      </c>
      <c r="L29" s="64">
        <v>22.6</v>
      </c>
      <c r="M29" s="64">
        <v>98.2</v>
      </c>
      <c r="N29" s="64">
        <v>71.2</v>
      </c>
      <c r="O29" s="64">
        <v>0.2</v>
      </c>
      <c r="P29" s="64">
        <v>0.28000000000000003</v>
      </c>
      <c r="Q29" s="64">
        <v>8.9600000000000009</v>
      </c>
      <c r="R29" s="198"/>
      <c r="S29" s="198"/>
      <c r="T29" s="198"/>
      <c r="U29" s="198"/>
    </row>
    <row r="30" spans="1:21" s="12" customFormat="1" x14ac:dyDescent="0.25">
      <c r="A30" s="213" t="s">
        <v>745</v>
      </c>
      <c r="B30" s="64">
        <v>4.53</v>
      </c>
      <c r="C30" s="64">
        <v>11.94</v>
      </c>
      <c r="D30" s="64">
        <v>9.8699999999999992</v>
      </c>
      <c r="E30" s="64">
        <v>4.0599999999999996</v>
      </c>
      <c r="F30" s="64">
        <v>3.73</v>
      </c>
      <c r="G30" s="64">
        <v>11.45</v>
      </c>
      <c r="H30" s="64">
        <v>8.73</v>
      </c>
      <c r="I30" s="64">
        <v>1.38</v>
      </c>
      <c r="J30" s="64">
        <v>0.28000000000000003</v>
      </c>
      <c r="K30" s="64">
        <v>289.76</v>
      </c>
      <c r="L30" s="64">
        <v>22.63</v>
      </c>
      <c r="M30" s="64">
        <v>98.2</v>
      </c>
      <c r="N30" s="64">
        <v>72.8</v>
      </c>
      <c r="O30" s="64">
        <v>0.2</v>
      </c>
      <c r="P30" s="64">
        <v>0.25</v>
      </c>
      <c r="Q30" s="64">
        <v>8.98</v>
      </c>
      <c r="R30" s="198"/>
      <c r="S30" s="198"/>
      <c r="T30" s="198"/>
      <c r="U30" s="198"/>
    </row>
    <row r="31" spans="1:21" s="12" customFormat="1" x14ac:dyDescent="0.25">
      <c r="A31" s="213" t="s">
        <v>746</v>
      </c>
      <c r="B31" s="64">
        <v>4.67</v>
      </c>
      <c r="C31" s="64">
        <v>12.13</v>
      </c>
      <c r="D31" s="64">
        <v>10.08</v>
      </c>
      <c r="E31" s="64">
        <v>4.13</v>
      </c>
      <c r="F31" s="64">
        <v>3.58</v>
      </c>
      <c r="G31" s="64">
        <v>11.36</v>
      </c>
      <c r="H31" s="64">
        <v>8.73</v>
      </c>
      <c r="I31" s="64">
        <v>1.23</v>
      </c>
      <c r="J31" s="64">
        <v>0.28000000000000003</v>
      </c>
      <c r="K31" s="64">
        <v>288.56</v>
      </c>
      <c r="L31" s="64">
        <v>22.53</v>
      </c>
      <c r="M31" s="64">
        <v>98.21</v>
      </c>
      <c r="N31" s="64">
        <v>75.3</v>
      </c>
      <c r="O31" s="64">
        <v>0.4</v>
      </c>
      <c r="P31" s="64">
        <v>0.24</v>
      </c>
      <c r="Q31" s="64">
        <v>9</v>
      </c>
      <c r="R31" s="198"/>
      <c r="S31" s="198"/>
      <c r="T31" s="198"/>
      <c r="U31" s="198"/>
    </row>
    <row r="32" spans="1:21" s="12" customFormat="1" x14ac:dyDescent="0.25">
      <c r="A32" s="213" t="s">
        <v>747</v>
      </c>
      <c r="B32" s="64">
        <v>4.93</v>
      </c>
      <c r="C32" s="64">
        <v>13.11</v>
      </c>
      <c r="D32" s="64">
        <v>10.8</v>
      </c>
      <c r="E32" s="64">
        <v>4.3099999999999996</v>
      </c>
      <c r="F32" s="64">
        <v>3.67</v>
      </c>
      <c r="G32" s="64">
        <v>11.33</v>
      </c>
      <c r="H32" s="64">
        <v>1.62</v>
      </c>
      <c r="I32" s="64">
        <v>1.1000000000000001</v>
      </c>
      <c r="J32" s="64">
        <v>0.22</v>
      </c>
      <c r="K32" s="64">
        <v>291.19</v>
      </c>
      <c r="L32" s="64">
        <v>22.27</v>
      </c>
      <c r="M32" s="64">
        <v>98.21</v>
      </c>
      <c r="N32" s="64">
        <v>78.400000000000006</v>
      </c>
      <c r="O32" s="64">
        <v>0.4</v>
      </c>
      <c r="P32" s="64">
        <v>0.23</v>
      </c>
      <c r="Q32" s="64">
        <v>9.01</v>
      </c>
      <c r="R32" s="198"/>
      <c r="S32" s="198"/>
      <c r="T32" s="198"/>
      <c r="U32" s="198"/>
    </row>
    <row r="33" spans="1:21" s="12" customFormat="1" x14ac:dyDescent="0.25">
      <c r="A33" s="213" t="s">
        <v>748</v>
      </c>
      <c r="B33" s="64">
        <v>4.96</v>
      </c>
      <c r="C33" s="64">
        <v>12.69</v>
      </c>
      <c r="D33" s="64">
        <v>10.61</v>
      </c>
      <c r="E33" s="64">
        <v>4.21</v>
      </c>
      <c r="F33" s="64">
        <v>3.55</v>
      </c>
      <c r="G33" s="64">
        <v>11.33</v>
      </c>
      <c r="H33" s="64">
        <v>1.62</v>
      </c>
      <c r="I33" s="64">
        <v>1.03</v>
      </c>
      <c r="J33" s="64">
        <v>0.21</v>
      </c>
      <c r="K33" s="64">
        <v>297.08999999999997</v>
      </c>
      <c r="L33" s="64">
        <v>22.11</v>
      </c>
      <c r="M33" s="64">
        <v>98.19</v>
      </c>
      <c r="N33" s="64">
        <v>85</v>
      </c>
      <c r="O33" s="64">
        <v>0.2</v>
      </c>
      <c r="P33" s="64">
        <v>0.21</v>
      </c>
      <c r="Q33" s="64">
        <v>9.02</v>
      </c>
      <c r="R33" s="198"/>
      <c r="S33" s="198"/>
      <c r="T33" s="198"/>
      <c r="U33" s="198"/>
    </row>
    <row r="34" spans="1:21" s="12" customFormat="1" x14ac:dyDescent="0.25">
      <c r="A34" s="213" t="s">
        <v>749</v>
      </c>
      <c r="B34" s="64">
        <v>5.16</v>
      </c>
      <c r="C34" s="64">
        <v>12.68</v>
      </c>
      <c r="D34" s="64">
        <v>10.77</v>
      </c>
      <c r="E34" s="64">
        <v>4.1399999999999997</v>
      </c>
      <c r="F34" s="64">
        <v>3.75</v>
      </c>
      <c r="G34" s="64">
        <v>11.33</v>
      </c>
      <c r="H34" s="64">
        <v>1.62</v>
      </c>
      <c r="I34" s="64">
        <v>0.97</v>
      </c>
      <c r="J34" s="64">
        <v>0.23</v>
      </c>
      <c r="K34" s="64">
        <v>300.60000000000002</v>
      </c>
      <c r="L34" s="64">
        <v>22.15</v>
      </c>
      <c r="M34" s="64">
        <v>98.2</v>
      </c>
      <c r="N34" s="64">
        <v>94.4</v>
      </c>
      <c r="O34" s="64">
        <v>0.2</v>
      </c>
      <c r="P34" s="64">
        <v>0.2</v>
      </c>
      <c r="Q34" s="64">
        <v>9.0299999999999994</v>
      </c>
      <c r="R34" s="198"/>
      <c r="S34" s="198"/>
      <c r="T34" s="198"/>
      <c r="U34" s="198"/>
    </row>
    <row r="35" spans="1:21" s="12" customFormat="1" x14ac:dyDescent="0.25">
      <c r="A35" s="213" t="s">
        <v>750</v>
      </c>
      <c r="B35" s="64">
        <v>5.46</v>
      </c>
      <c r="C35" s="64">
        <v>12.76</v>
      </c>
      <c r="D35" s="64">
        <v>11.05</v>
      </c>
      <c r="E35" s="64">
        <v>4.3099999999999996</v>
      </c>
      <c r="F35" s="64">
        <v>3.5</v>
      </c>
      <c r="G35" s="64">
        <v>9.2100000000000009</v>
      </c>
      <c r="H35" s="64">
        <v>1.43</v>
      </c>
      <c r="I35" s="64">
        <v>0.93</v>
      </c>
      <c r="J35" s="64">
        <v>0.22</v>
      </c>
      <c r="K35" s="64">
        <v>295.41000000000003</v>
      </c>
      <c r="L35" s="64">
        <v>22.19</v>
      </c>
      <c r="M35" s="64">
        <v>98.19</v>
      </c>
      <c r="N35" s="64">
        <v>94.3</v>
      </c>
      <c r="O35" s="64">
        <v>0</v>
      </c>
      <c r="P35" s="64">
        <v>0.19</v>
      </c>
      <c r="Q35" s="64">
        <v>9.0500000000000007</v>
      </c>
      <c r="R35" s="198"/>
      <c r="S35" s="198"/>
      <c r="T35" s="198"/>
      <c r="U35" s="198"/>
    </row>
    <row r="36" spans="1:21" s="12" customFormat="1" x14ac:dyDescent="0.25">
      <c r="A36" s="213" t="s">
        <v>751</v>
      </c>
      <c r="B36" s="64">
        <v>5.83</v>
      </c>
      <c r="C36" s="64">
        <v>12.78</v>
      </c>
      <c r="D36" s="64">
        <v>11.35</v>
      </c>
      <c r="E36" s="64">
        <v>4.22</v>
      </c>
      <c r="F36" s="64">
        <v>3.4</v>
      </c>
      <c r="G36" s="64">
        <v>8.52</v>
      </c>
      <c r="H36" s="64">
        <v>1.37</v>
      </c>
      <c r="I36" s="64">
        <v>0.9</v>
      </c>
      <c r="J36" s="64">
        <v>0.24</v>
      </c>
      <c r="K36" s="64">
        <v>297.77</v>
      </c>
      <c r="L36" s="64">
        <v>22.18</v>
      </c>
      <c r="M36" s="64">
        <v>98.19</v>
      </c>
      <c r="N36" s="64">
        <v>110.8</v>
      </c>
      <c r="O36" s="64">
        <v>0</v>
      </c>
      <c r="P36" s="64">
        <v>0.19</v>
      </c>
      <c r="Q36" s="64">
        <v>9.07</v>
      </c>
      <c r="R36" s="198"/>
      <c r="S36" s="198"/>
      <c r="T36" s="198"/>
      <c r="U36" s="198"/>
    </row>
    <row r="37" spans="1:21" s="12" customFormat="1" x14ac:dyDescent="0.25">
      <c r="A37" s="213" t="s">
        <v>752</v>
      </c>
      <c r="B37" s="64">
        <v>5.74</v>
      </c>
      <c r="C37" s="64">
        <v>12.82</v>
      </c>
      <c r="D37" s="64">
        <v>11.3</v>
      </c>
      <c r="E37" s="64">
        <v>4.25</v>
      </c>
      <c r="F37" s="64">
        <v>3.88</v>
      </c>
      <c r="G37" s="64">
        <v>8.52</v>
      </c>
      <c r="H37" s="64">
        <v>1.37</v>
      </c>
      <c r="I37" s="64">
        <v>0.85</v>
      </c>
      <c r="J37" s="64">
        <v>0.22</v>
      </c>
      <c r="K37" s="64">
        <v>296.89999999999998</v>
      </c>
      <c r="L37" s="64">
        <v>22.22</v>
      </c>
      <c r="M37" s="64">
        <v>98.2</v>
      </c>
      <c r="N37" s="64">
        <v>128.69999999999999</v>
      </c>
      <c r="O37" s="64">
        <v>0.2</v>
      </c>
      <c r="P37" s="64">
        <v>0.19</v>
      </c>
      <c r="Q37" s="64">
        <v>9.07</v>
      </c>
      <c r="R37" s="198"/>
      <c r="S37" s="198"/>
      <c r="T37" s="198"/>
      <c r="U37" s="198"/>
    </row>
    <row r="38" spans="1:21" s="12" customFormat="1" x14ac:dyDescent="0.25">
      <c r="A38" s="213" t="s">
        <v>753</v>
      </c>
      <c r="B38" s="64">
        <v>5.86</v>
      </c>
      <c r="C38" s="64">
        <v>12.65</v>
      </c>
      <c r="D38" s="64">
        <v>11.31</v>
      </c>
      <c r="E38" s="64">
        <v>4.55</v>
      </c>
      <c r="F38" s="64">
        <v>3.82</v>
      </c>
      <c r="G38" s="64">
        <v>8.52</v>
      </c>
      <c r="H38" s="64">
        <v>1.37</v>
      </c>
      <c r="I38" s="64">
        <v>0.83</v>
      </c>
      <c r="J38" s="64">
        <v>0.24</v>
      </c>
      <c r="K38" s="64">
        <v>300.01</v>
      </c>
      <c r="L38" s="64">
        <v>22.29</v>
      </c>
      <c r="M38" s="64">
        <v>98.2</v>
      </c>
      <c r="N38" s="64">
        <v>135.80000000000001</v>
      </c>
      <c r="O38" s="64">
        <v>0</v>
      </c>
      <c r="P38" s="64">
        <v>0.2</v>
      </c>
      <c r="Q38" s="64">
        <v>9.0399999999999991</v>
      </c>
      <c r="R38" s="198"/>
      <c r="S38" s="198"/>
      <c r="T38" s="198"/>
      <c r="U38" s="198"/>
    </row>
    <row r="39" spans="1:21" s="12" customFormat="1" x14ac:dyDescent="0.25">
      <c r="A39" s="213" t="s">
        <v>754</v>
      </c>
      <c r="B39" s="64">
        <v>6.09</v>
      </c>
      <c r="C39" s="64">
        <v>12.65</v>
      </c>
      <c r="D39" s="64">
        <v>11.49</v>
      </c>
      <c r="E39" s="64">
        <v>4.08</v>
      </c>
      <c r="F39" s="64">
        <v>3.11</v>
      </c>
      <c r="G39" s="64">
        <v>9.1999999999999993</v>
      </c>
      <c r="H39" s="64">
        <v>1.75</v>
      </c>
      <c r="I39" s="64">
        <v>0.79</v>
      </c>
      <c r="J39" s="64">
        <v>0.21</v>
      </c>
      <c r="K39" s="64">
        <v>295.81</v>
      </c>
      <c r="L39" s="64">
        <v>22.36</v>
      </c>
      <c r="M39" s="64">
        <v>98.2</v>
      </c>
      <c r="N39" s="64">
        <v>144.19999999999999</v>
      </c>
      <c r="O39" s="64">
        <v>0.6</v>
      </c>
      <c r="P39" s="64">
        <v>0.18</v>
      </c>
      <c r="Q39" s="64">
        <v>9.0500000000000007</v>
      </c>
      <c r="R39" s="198"/>
      <c r="S39" s="198"/>
      <c r="T39" s="198"/>
      <c r="U39" s="198"/>
    </row>
    <row r="40" spans="1:21" s="12" customFormat="1" x14ac:dyDescent="0.25">
      <c r="A40" s="213" t="s">
        <v>755</v>
      </c>
      <c r="B40" s="64">
        <v>6.2</v>
      </c>
      <c r="C40" s="64">
        <v>12.28</v>
      </c>
      <c r="D40" s="64">
        <v>11.39</v>
      </c>
      <c r="E40" s="64">
        <v>4.07</v>
      </c>
      <c r="F40" s="64">
        <v>4.18</v>
      </c>
      <c r="G40" s="64">
        <v>9.42</v>
      </c>
      <c r="H40" s="64">
        <v>1.87</v>
      </c>
      <c r="I40" s="64">
        <v>0.78</v>
      </c>
      <c r="J40" s="64">
        <v>0.21</v>
      </c>
      <c r="K40" s="64">
        <v>297.62</v>
      </c>
      <c r="L40" s="64">
        <v>22.28</v>
      </c>
      <c r="M40" s="64">
        <v>98.22</v>
      </c>
      <c r="N40" s="64">
        <v>156.6</v>
      </c>
      <c r="O40" s="64">
        <v>2</v>
      </c>
      <c r="P40" s="64">
        <v>0.19</v>
      </c>
      <c r="Q40" s="64">
        <v>9.0500000000000007</v>
      </c>
      <c r="R40" s="198"/>
      <c r="S40" s="198"/>
      <c r="T40" s="198"/>
      <c r="U40" s="198"/>
    </row>
    <row r="41" spans="1:21" s="12" customFormat="1" x14ac:dyDescent="0.25">
      <c r="A41" s="213" t="s">
        <v>756</v>
      </c>
      <c r="B41" s="64">
        <v>6.44</v>
      </c>
      <c r="C41" s="64">
        <v>12.39</v>
      </c>
      <c r="D41" s="64">
        <v>11.63</v>
      </c>
      <c r="E41" s="64">
        <v>4.4000000000000004</v>
      </c>
      <c r="F41" s="64">
        <v>3.05</v>
      </c>
      <c r="G41" s="64">
        <v>9.42</v>
      </c>
      <c r="H41" s="64">
        <v>1.87</v>
      </c>
      <c r="I41" s="64">
        <v>0.78</v>
      </c>
      <c r="J41" s="64">
        <v>0.21</v>
      </c>
      <c r="K41" s="64">
        <v>311.43</v>
      </c>
      <c r="L41" s="64">
        <v>22.14</v>
      </c>
      <c r="M41" s="64">
        <v>98.23</v>
      </c>
      <c r="N41" s="64">
        <v>149.19999999999999</v>
      </c>
      <c r="O41" s="64">
        <v>0.8</v>
      </c>
      <c r="P41" s="64">
        <v>0.18</v>
      </c>
      <c r="Q41" s="64">
        <v>9.0399999999999991</v>
      </c>
      <c r="R41" s="198"/>
      <c r="S41" s="198"/>
      <c r="T41" s="198"/>
      <c r="U41" s="198"/>
    </row>
    <row r="42" spans="1:21" s="12" customFormat="1" x14ac:dyDescent="0.25">
      <c r="A42" s="213" t="s">
        <v>757</v>
      </c>
      <c r="B42" s="64">
        <v>6.51</v>
      </c>
      <c r="C42" s="64">
        <v>12.47</v>
      </c>
      <c r="D42" s="64">
        <v>11.73</v>
      </c>
      <c r="E42" s="64">
        <v>4.33</v>
      </c>
      <c r="F42" s="64">
        <v>4.1500000000000004</v>
      </c>
      <c r="G42" s="64">
        <v>9.42</v>
      </c>
      <c r="H42" s="64">
        <v>1.87</v>
      </c>
      <c r="I42" s="64">
        <v>0.78</v>
      </c>
      <c r="J42" s="64">
        <v>0.19</v>
      </c>
      <c r="K42" s="64">
        <v>311.88</v>
      </c>
      <c r="L42" s="64">
        <v>22.14</v>
      </c>
      <c r="M42" s="64">
        <v>98.23</v>
      </c>
      <c r="N42" s="64">
        <v>137.9</v>
      </c>
      <c r="O42" s="64">
        <v>0.6</v>
      </c>
      <c r="P42" s="64">
        <v>0.18</v>
      </c>
      <c r="Q42" s="64">
        <v>9.0399999999999991</v>
      </c>
      <c r="R42" s="198"/>
      <c r="S42" s="198"/>
      <c r="T42" s="198"/>
      <c r="U42" s="198"/>
    </row>
    <row r="43" spans="1:21" s="12" customFormat="1" x14ac:dyDescent="0.25">
      <c r="A43" s="213" t="s">
        <v>758</v>
      </c>
      <c r="B43" s="64">
        <v>6.83</v>
      </c>
      <c r="C43" s="64">
        <v>12.45</v>
      </c>
      <c r="D43" s="64">
        <v>11.98</v>
      </c>
      <c r="E43" s="64">
        <v>4.41</v>
      </c>
      <c r="F43" s="64">
        <v>2.88</v>
      </c>
      <c r="G43" s="64">
        <v>7.63</v>
      </c>
      <c r="H43" s="64">
        <v>2.82</v>
      </c>
      <c r="I43" s="64">
        <v>0.78</v>
      </c>
      <c r="J43" s="64">
        <v>0.2</v>
      </c>
      <c r="K43" s="64">
        <v>299.19</v>
      </c>
      <c r="L43" s="64">
        <v>22.19</v>
      </c>
      <c r="M43" s="64">
        <v>98.21</v>
      </c>
      <c r="N43" s="64">
        <v>106.6</v>
      </c>
      <c r="O43" s="64">
        <v>0.6</v>
      </c>
      <c r="P43" s="64">
        <v>0.18</v>
      </c>
      <c r="Q43" s="64">
        <v>9.0500000000000007</v>
      </c>
      <c r="R43" s="198"/>
      <c r="S43" s="198"/>
      <c r="T43" s="198"/>
      <c r="U43" s="198"/>
    </row>
    <row r="44" spans="1:21" s="12" customFormat="1" x14ac:dyDescent="0.25">
      <c r="A44" s="213" t="s">
        <v>759</v>
      </c>
      <c r="B44" s="64">
        <v>7.21</v>
      </c>
      <c r="C44" s="64">
        <v>12.74</v>
      </c>
      <c r="D44" s="64">
        <v>12.44</v>
      </c>
      <c r="E44" s="64">
        <v>4.18</v>
      </c>
      <c r="F44" s="64">
        <v>3.93</v>
      </c>
      <c r="G44" s="64">
        <v>7.06</v>
      </c>
      <c r="H44" s="64">
        <v>2.82</v>
      </c>
      <c r="I44" s="64">
        <v>0.78</v>
      </c>
      <c r="J44" s="64">
        <v>0.23</v>
      </c>
      <c r="K44" s="64">
        <v>301.74</v>
      </c>
      <c r="L44" s="64">
        <v>22.19</v>
      </c>
      <c r="M44" s="64">
        <v>98.2</v>
      </c>
      <c r="N44" s="64">
        <v>105.5</v>
      </c>
      <c r="O44" s="64">
        <v>0.8</v>
      </c>
      <c r="P44" s="64">
        <v>0.18</v>
      </c>
      <c r="Q44" s="64">
        <v>9.06</v>
      </c>
      <c r="R44" s="198"/>
      <c r="S44" s="198"/>
      <c r="T44" s="198"/>
      <c r="U44" s="198"/>
    </row>
    <row r="45" spans="1:21" s="12" customFormat="1" x14ac:dyDescent="0.25">
      <c r="A45" s="213" t="s">
        <v>760</v>
      </c>
      <c r="B45" s="64">
        <v>7.38</v>
      </c>
      <c r="C45" s="64">
        <v>12.66</v>
      </c>
      <c r="D45" s="64">
        <v>12.53</v>
      </c>
      <c r="E45" s="64">
        <v>4.2699999999999996</v>
      </c>
      <c r="F45" s="64">
        <v>3.52</v>
      </c>
      <c r="G45" s="64">
        <v>7.06</v>
      </c>
      <c r="H45" s="64">
        <v>2.82</v>
      </c>
      <c r="I45" s="64">
        <v>0.79</v>
      </c>
      <c r="J45" s="64">
        <v>0.2</v>
      </c>
      <c r="K45" s="64">
        <v>296.3</v>
      </c>
      <c r="L45" s="64">
        <v>22.21</v>
      </c>
      <c r="M45" s="64">
        <v>98.18</v>
      </c>
      <c r="N45" s="64">
        <v>112</v>
      </c>
      <c r="O45" s="64">
        <v>1.2</v>
      </c>
      <c r="P45" s="64">
        <v>0.2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3" t="s">
        <v>761</v>
      </c>
      <c r="B46" s="64">
        <v>7.63</v>
      </c>
      <c r="C46" s="64">
        <v>12.84</v>
      </c>
      <c r="D46" s="64">
        <v>12.83</v>
      </c>
      <c r="E46" s="64">
        <v>4.17</v>
      </c>
      <c r="F46" s="64">
        <v>3.13</v>
      </c>
      <c r="G46" s="64">
        <v>7.06</v>
      </c>
      <c r="H46" s="64">
        <v>2.82</v>
      </c>
      <c r="I46" s="64">
        <v>0.78</v>
      </c>
      <c r="J46" s="64">
        <v>0.22</v>
      </c>
      <c r="K46" s="64">
        <v>297.37</v>
      </c>
      <c r="L46" s="64">
        <v>22.22</v>
      </c>
      <c r="M46" s="64">
        <v>98.11</v>
      </c>
      <c r="N46" s="64">
        <v>103.9</v>
      </c>
      <c r="O46" s="64">
        <v>1.6</v>
      </c>
      <c r="P46" s="64">
        <v>0.17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3" t="s">
        <v>762</v>
      </c>
      <c r="B47" s="64">
        <v>7.79</v>
      </c>
      <c r="C47" s="64">
        <v>12.53</v>
      </c>
      <c r="D47" s="64">
        <v>12.79</v>
      </c>
      <c r="E47" s="64">
        <v>4.3499999999999996</v>
      </c>
      <c r="F47" s="64">
        <v>3.49</v>
      </c>
      <c r="G47" s="64">
        <v>8.4</v>
      </c>
      <c r="H47" s="64">
        <v>5.39</v>
      </c>
      <c r="I47" s="64">
        <v>0.78</v>
      </c>
      <c r="J47" s="64">
        <v>0.17</v>
      </c>
      <c r="K47" s="64">
        <v>310.58</v>
      </c>
      <c r="L47" s="64">
        <v>22.19</v>
      </c>
      <c r="M47" s="64">
        <v>98.13</v>
      </c>
      <c r="N47" s="64">
        <v>114.2</v>
      </c>
      <c r="O47" s="64">
        <v>1.2</v>
      </c>
      <c r="P47" s="64">
        <v>0.2</v>
      </c>
      <c r="Q47" s="64">
        <v>9.08</v>
      </c>
      <c r="R47" s="198"/>
      <c r="S47" s="198"/>
      <c r="T47" s="198"/>
      <c r="U47" s="198"/>
    </row>
    <row r="48" spans="1:21" s="12" customFormat="1" x14ac:dyDescent="0.25">
      <c r="A48" s="213" t="s">
        <v>763</v>
      </c>
      <c r="B48" s="64">
        <v>7.86</v>
      </c>
      <c r="C48" s="64">
        <v>12.46</v>
      </c>
      <c r="D48" s="64">
        <v>12.82</v>
      </c>
      <c r="E48" s="64">
        <v>4</v>
      </c>
      <c r="F48" s="64">
        <v>3.24</v>
      </c>
      <c r="G48" s="64">
        <v>8.84</v>
      </c>
      <c r="H48" s="64">
        <v>2.7</v>
      </c>
      <c r="I48" s="64">
        <v>0.78</v>
      </c>
      <c r="J48" s="64">
        <v>0.24</v>
      </c>
      <c r="K48" s="64">
        <v>301.98</v>
      </c>
      <c r="L48" s="64">
        <v>22.25</v>
      </c>
      <c r="M48" s="64">
        <v>98.15</v>
      </c>
      <c r="N48" s="64">
        <v>109.4</v>
      </c>
      <c r="O48" s="64">
        <v>1.2</v>
      </c>
      <c r="P48" s="64">
        <v>0.19</v>
      </c>
      <c r="Q48" s="64">
        <v>9.1</v>
      </c>
      <c r="R48" s="198"/>
      <c r="S48" s="198"/>
      <c r="T48" s="198"/>
      <c r="U48" s="198"/>
    </row>
    <row r="49" spans="1:21" s="12" customFormat="1" x14ac:dyDescent="0.25">
      <c r="A49" s="213" t="s">
        <v>764</v>
      </c>
      <c r="B49" s="64">
        <v>7.93</v>
      </c>
      <c r="C49" s="64">
        <v>12.47</v>
      </c>
      <c r="D49" s="64">
        <v>12.87</v>
      </c>
      <c r="E49" s="64">
        <v>4.26</v>
      </c>
      <c r="F49" s="64">
        <v>3.23</v>
      </c>
      <c r="G49" s="64">
        <v>8.84</v>
      </c>
      <c r="H49" s="64">
        <v>2.7</v>
      </c>
      <c r="I49" s="64">
        <v>0.76</v>
      </c>
      <c r="J49" s="64">
        <v>0.27</v>
      </c>
      <c r="K49" s="64">
        <v>290.7</v>
      </c>
      <c r="L49" s="64">
        <v>22.27</v>
      </c>
      <c r="M49" s="64">
        <v>98.15</v>
      </c>
      <c r="N49" s="64">
        <v>105.7</v>
      </c>
      <c r="O49" s="64">
        <v>1.4</v>
      </c>
      <c r="P49" s="64">
        <v>0.19</v>
      </c>
      <c r="Q49" s="64">
        <v>9.11</v>
      </c>
      <c r="R49" s="198"/>
      <c r="S49" s="198"/>
      <c r="T49" s="198"/>
      <c r="U49" s="198"/>
    </row>
    <row r="50" spans="1:21" s="12" customFormat="1" x14ac:dyDescent="0.25">
      <c r="A50" s="213" t="s">
        <v>765</v>
      </c>
      <c r="B50" s="64">
        <v>8.0399999999999991</v>
      </c>
      <c r="C50" s="64">
        <v>12.56</v>
      </c>
      <c r="D50" s="64">
        <v>13.01</v>
      </c>
      <c r="E50" s="64">
        <v>4.28</v>
      </c>
      <c r="F50" s="64">
        <v>3.17</v>
      </c>
      <c r="G50" s="64">
        <v>8.84</v>
      </c>
      <c r="H50" s="64">
        <v>2.7</v>
      </c>
      <c r="I50" s="64">
        <v>0.77</v>
      </c>
      <c r="J50" s="64">
        <v>0.18</v>
      </c>
      <c r="K50" s="64">
        <v>294.44</v>
      </c>
      <c r="L50" s="64">
        <v>22.33</v>
      </c>
      <c r="M50" s="64">
        <v>98.15</v>
      </c>
      <c r="N50" s="64">
        <v>98.5</v>
      </c>
      <c r="O50" s="64">
        <v>1.4</v>
      </c>
      <c r="P50" s="64">
        <v>0.19</v>
      </c>
      <c r="Q50" s="64">
        <v>9.1199999999999992</v>
      </c>
      <c r="R50" s="198"/>
      <c r="S50" s="198"/>
      <c r="T50" s="198"/>
      <c r="U50" s="198"/>
    </row>
    <row r="51" spans="1:21" s="12" customFormat="1" x14ac:dyDescent="0.25">
      <c r="A51" s="213" t="s">
        <v>766</v>
      </c>
      <c r="B51" s="64">
        <v>8.26</v>
      </c>
      <c r="C51" s="64">
        <v>12.47</v>
      </c>
      <c r="D51" s="64">
        <v>13.14</v>
      </c>
      <c r="E51" s="64">
        <v>4.09</v>
      </c>
      <c r="F51" s="64">
        <v>3.29</v>
      </c>
      <c r="G51" s="64">
        <v>8.39</v>
      </c>
      <c r="H51" s="64">
        <v>2.17</v>
      </c>
      <c r="I51" s="64">
        <v>0.78</v>
      </c>
      <c r="J51" s="64">
        <v>0.23</v>
      </c>
      <c r="K51" s="64">
        <v>295.25</v>
      </c>
      <c r="L51" s="64">
        <v>22.28</v>
      </c>
      <c r="M51" s="64">
        <v>98.16</v>
      </c>
      <c r="N51" s="64">
        <v>103</v>
      </c>
      <c r="O51" s="64">
        <v>1.6</v>
      </c>
      <c r="P51" s="64">
        <v>0.2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3" t="s">
        <v>767</v>
      </c>
      <c r="B52" s="64">
        <v>8.14</v>
      </c>
      <c r="C52" s="64">
        <v>12.75</v>
      </c>
      <c r="D52" s="64">
        <v>13.19</v>
      </c>
      <c r="E52" s="64">
        <v>4.47</v>
      </c>
      <c r="F52" s="64">
        <v>3.29</v>
      </c>
      <c r="G52" s="64">
        <v>8.25</v>
      </c>
      <c r="H52" s="64">
        <v>2.17</v>
      </c>
      <c r="I52" s="64">
        <v>0.78</v>
      </c>
      <c r="J52" s="64">
        <v>0.25</v>
      </c>
      <c r="K52" s="64">
        <v>299.04000000000002</v>
      </c>
      <c r="L52" s="64">
        <v>22.32</v>
      </c>
      <c r="M52" s="64">
        <v>98.18</v>
      </c>
      <c r="N52" s="64">
        <v>120.6</v>
      </c>
      <c r="O52" s="64">
        <v>2.4</v>
      </c>
      <c r="P52" s="64">
        <v>0.21</v>
      </c>
      <c r="Q52" s="64">
        <v>9.14</v>
      </c>
      <c r="R52" s="198"/>
      <c r="S52" s="198"/>
      <c r="T52" s="198"/>
      <c r="U52" s="198"/>
    </row>
    <row r="53" spans="1:21" s="12" customFormat="1" x14ac:dyDescent="0.25">
      <c r="A53" s="213" t="s">
        <v>768</v>
      </c>
      <c r="B53" s="64">
        <v>8.68</v>
      </c>
      <c r="C53" s="64">
        <v>13.11</v>
      </c>
      <c r="D53" s="64">
        <v>13.81</v>
      </c>
      <c r="E53" s="64">
        <v>4.5</v>
      </c>
      <c r="F53" s="64">
        <v>3.32</v>
      </c>
      <c r="G53" s="64">
        <v>8.25</v>
      </c>
      <c r="H53" s="64">
        <v>2.17</v>
      </c>
      <c r="I53" s="64">
        <v>0.81</v>
      </c>
      <c r="J53" s="64">
        <v>0.34</v>
      </c>
      <c r="K53" s="64">
        <v>295.74</v>
      </c>
      <c r="L53" s="64">
        <v>22.34</v>
      </c>
      <c r="M53" s="64">
        <v>98.18</v>
      </c>
      <c r="N53" s="64">
        <v>133.5</v>
      </c>
      <c r="O53" s="64">
        <v>0.8</v>
      </c>
      <c r="P53" s="64">
        <v>0.24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3" t="s">
        <v>769</v>
      </c>
      <c r="B54" s="64">
        <v>9.2100000000000009</v>
      </c>
      <c r="C54" s="64">
        <v>13.41</v>
      </c>
      <c r="D54" s="64">
        <v>14.39</v>
      </c>
      <c r="E54" s="64">
        <v>4.37</v>
      </c>
      <c r="F54" s="64">
        <v>3.32</v>
      </c>
      <c r="G54" s="64">
        <v>8.25</v>
      </c>
      <c r="H54" s="64">
        <v>2.17</v>
      </c>
      <c r="I54" s="64">
        <v>0.88</v>
      </c>
      <c r="J54" s="64">
        <v>0.3</v>
      </c>
      <c r="K54" s="64">
        <v>291.57</v>
      </c>
      <c r="L54" s="64">
        <v>22.39</v>
      </c>
      <c r="M54" s="64">
        <v>98.2</v>
      </c>
      <c r="N54" s="64">
        <v>158</v>
      </c>
      <c r="O54" s="64">
        <v>0.8</v>
      </c>
      <c r="P54" s="64">
        <v>0.26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3" t="s">
        <v>770</v>
      </c>
      <c r="B55" s="64">
        <v>9.2100000000000009</v>
      </c>
      <c r="C55" s="64">
        <v>13.56</v>
      </c>
      <c r="D55" s="64">
        <v>14.47</v>
      </c>
      <c r="E55" s="64">
        <v>4.38</v>
      </c>
      <c r="F55" s="64">
        <v>4.0999999999999996</v>
      </c>
      <c r="G55" s="64">
        <v>10.15</v>
      </c>
      <c r="H55" s="64">
        <v>5.54</v>
      </c>
      <c r="I55" s="64">
        <v>0.94</v>
      </c>
      <c r="J55" s="64">
        <v>0.23</v>
      </c>
      <c r="K55" s="64">
        <v>307.64999999999998</v>
      </c>
      <c r="L55" s="64">
        <v>22.46</v>
      </c>
      <c r="M55" s="64">
        <v>98.2</v>
      </c>
      <c r="N55" s="64">
        <v>176.5</v>
      </c>
      <c r="O55" s="64">
        <v>0.2</v>
      </c>
      <c r="P55" s="64">
        <v>0.26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3" t="s">
        <v>771</v>
      </c>
      <c r="B56" s="64">
        <v>8.9</v>
      </c>
      <c r="C56" s="64">
        <v>13.51</v>
      </c>
      <c r="D56" s="64">
        <v>14.19</v>
      </c>
      <c r="E56" s="64">
        <v>4.72</v>
      </c>
      <c r="F56" s="64">
        <v>3.25</v>
      </c>
      <c r="G56" s="64">
        <v>10.76</v>
      </c>
      <c r="H56" s="64">
        <v>3.26</v>
      </c>
      <c r="I56" s="64">
        <v>0.95</v>
      </c>
      <c r="J56" s="64">
        <v>0.3</v>
      </c>
      <c r="K56" s="64">
        <v>289.60000000000002</v>
      </c>
      <c r="L56" s="64">
        <v>22.67</v>
      </c>
      <c r="M56" s="64">
        <v>98.23</v>
      </c>
      <c r="N56" s="64">
        <v>212.7</v>
      </c>
      <c r="O56" s="64">
        <v>0.2</v>
      </c>
      <c r="P56" s="64">
        <v>0.26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3" t="s">
        <v>772</v>
      </c>
      <c r="B57" s="64">
        <v>8.67</v>
      </c>
      <c r="C57" s="64">
        <v>13.59</v>
      </c>
      <c r="D57" s="64">
        <v>14.05</v>
      </c>
      <c r="E57" s="64">
        <v>4.3899999999999997</v>
      </c>
      <c r="F57" s="64">
        <v>3.64</v>
      </c>
      <c r="G57" s="64">
        <v>10.76</v>
      </c>
      <c r="H57" s="64">
        <v>3.26</v>
      </c>
      <c r="I57" s="64">
        <v>0.92</v>
      </c>
      <c r="J57" s="64">
        <v>0.28000000000000003</v>
      </c>
      <c r="K57" s="64">
        <v>298.29000000000002</v>
      </c>
      <c r="L57" s="64">
        <v>22.81</v>
      </c>
      <c r="M57" s="64">
        <v>98.22</v>
      </c>
      <c r="N57" s="64">
        <v>214</v>
      </c>
      <c r="O57" s="64">
        <v>0</v>
      </c>
      <c r="P57" s="64">
        <v>0.24</v>
      </c>
      <c r="Q57" s="64">
        <v>9.15</v>
      </c>
      <c r="R57" s="198"/>
      <c r="S57" s="198"/>
      <c r="T57" s="198"/>
      <c r="U57" s="198"/>
    </row>
    <row r="58" spans="1:21" s="12" customFormat="1" x14ac:dyDescent="0.25">
      <c r="A58" s="213" t="s">
        <v>773</v>
      </c>
      <c r="B58" s="64">
        <v>8.6999999999999993</v>
      </c>
      <c r="C58" s="64">
        <v>13.39</v>
      </c>
      <c r="D58" s="64">
        <v>13.97</v>
      </c>
      <c r="E58" s="64">
        <v>4.1500000000000004</v>
      </c>
      <c r="F58" s="64">
        <v>3.62</v>
      </c>
      <c r="G58" s="64">
        <v>10.76</v>
      </c>
      <c r="H58" s="64">
        <v>3.26</v>
      </c>
      <c r="I58" s="64">
        <v>0.9</v>
      </c>
      <c r="J58" s="64">
        <v>0.36</v>
      </c>
      <c r="K58" s="64">
        <v>300</v>
      </c>
      <c r="L58" s="64">
        <v>23</v>
      </c>
      <c r="M58" s="64">
        <v>98.25</v>
      </c>
      <c r="N58" s="64">
        <v>207.3</v>
      </c>
      <c r="O58" s="64">
        <v>0</v>
      </c>
      <c r="P58" s="64">
        <v>0.27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3" t="s">
        <v>774</v>
      </c>
      <c r="B59" s="64">
        <v>8.7899999999999991</v>
      </c>
      <c r="C59" s="64">
        <v>13.54</v>
      </c>
      <c r="D59" s="64">
        <v>14.13</v>
      </c>
      <c r="E59" s="64">
        <v>4.2</v>
      </c>
      <c r="F59" s="64">
        <v>3.45</v>
      </c>
      <c r="G59" s="64">
        <v>8.75</v>
      </c>
      <c r="H59" s="64">
        <v>1.1399999999999999</v>
      </c>
      <c r="I59" s="64">
        <v>0.89</v>
      </c>
      <c r="J59" s="64">
        <v>0.31</v>
      </c>
      <c r="K59" s="64">
        <v>299.14999999999998</v>
      </c>
      <c r="L59" s="64">
        <v>23.17</v>
      </c>
      <c r="M59" s="64">
        <v>98.26</v>
      </c>
      <c r="N59" s="64">
        <v>207.9</v>
      </c>
      <c r="O59" s="64">
        <v>0</v>
      </c>
      <c r="P59" s="64">
        <v>0.26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3" t="s">
        <v>775</v>
      </c>
      <c r="B60" s="64">
        <v>8.6999999999999993</v>
      </c>
      <c r="C60" s="64">
        <v>13.57</v>
      </c>
      <c r="D60" s="64">
        <v>14.06</v>
      </c>
      <c r="E60" s="64">
        <v>4.4400000000000004</v>
      </c>
      <c r="F60" s="64">
        <v>3.54</v>
      </c>
      <c r="G60" s="64">
        <v>8.09</v>
      </c>
      <c r="H60" s="64">
        <v>0.46</v>
      </c>
      <c r="I60" s="64">
        <v>0.9</v>
      </c>
      <c r="J60" s="64">
        <v>0.3</v>
      </c>
      <c r="K60" s="64">
        <v>294.58</v>
      </c>
      <c r="L60" s="64">
        <v>23.47</v>
      </c>
      <c r="M60" s="64">
        <v>98.28</v>
      </c>
      <c r="N60" s="64">
        <v>223.7</v>
      </c>
      <c r="O60" s="64">
        <v>0</v>
      </c>
      <c r="P60" s="64">
        <v>0.28999999999999998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3" t="s">
        <v>776</v>
      </c>
      <c r="B61" s="64">
        <v>8.61</v>
      </c>
      <c r="C61" s="64">
        <v>14.29</v>
      </c>
      <c r="D61" s="64">
        <v>14.37</v>
      </c>
      <c r="E61" s="64">
        <v>4.7300000000000004</v>
      </c>
      <c r="F61" s="64">
        <v>3.13</v>
      </c>
      <c r="G61" s="64">
        <v>8.09</v>
      </c>
      <c r="H61" s="64">
        <v>0.46</v>
      </c>
      <c r="I61" s="64">
        <v>0.91</v>
      </c>
      <c r="J61" s="64">
        <v>0.33</v>
      </c>
      <c r="K61" s="64">
        <v>293.36</v>
      </c>
      <c r="L61" s="64">
        <v>23.74</v>
      </c>
      <c r="M61" s="64">
        <v>98.24</v>
      </c>
      <c r="N61" s="64">
        <v>199.1</v>
      </c>
      <c r="O61" s="64">
        <v>0</v>
      </c>
      <c r="P61" s="64">
        <v>0.26</v>
      </c>
      <c r="Q61" s="64">
        <v>9.1300000000000008</v>
      </c>
      <c r="R61" s="198"/>
      <c r="S61" s="198"/>
      <c r="T61" s="198"/>
      <c r="U61" s="198"/>
    </row>
    <row r="62" spans="1:21" s="12" customFormat="1" x14ac:dyDescent="0.25">
      <c r="A62" s="213" t="s">
        <v>777</v>
      </c>
      <c r="B62" s="64">
        <v>8.69</v>
      </c>
      <c r="C62" s="64">
        <v>14.27</v>
      </c>
      <c r="D62" s="64">
        <v>14.42</v>
      </c>
      <c r="E62" s="64">
        <v>4.24</v>
      </c>
      <c r="F62" s="64">
        <v>2.64</v>
      </c>
      <c r="G62" s="64">
        <v>8.09</v>
      </c>
      <c r="H62" s="64">
        <v>0.46</v>
      </c>
      <c r="I62" s="64">
        <v>0.92</v>
      </c>
      <c r="J62" s="64">
        <v>0.36</v>
      </c>
      <c r="K62" s="64">
        <v>289.66000000000003</v>
      </c>
      <c r="L62" s="64">
        <v>23.83</v>
      </c>
      <c r="M62" s="64">
        <v>98.25</v>
      </c>
      <c r="N62" s="64">
        <v>175.7</v>
      </c>
      <c r="O62" s="64">
        <v>0</v>
      </c>
      <c r="P62" s="64">
        <v>0.3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13" t="s">
        <v>778</v>
      </c>
      <c r="B63" s="64">
        <v>9.0500000000000007</v>
      </c>
      <c r="C63" s="64">
        <v>14.86</v>
      </c>
      <c r="D63" s="64">
        <v>15.02</v>
      </c>
      <c r="E63" s="64">
        <v>4.57</v>
      </c>
      <c r="F63" s="64">
        <v>3.32</v>
      </c>
      <c r="G63" s="64">
        <v>8.57</v>
      </c>
      <c r="H63" s="64">
        <v>0.56999999999999995</v>
      </c>
      <c r="I63" s="64">
        <v>0.94</v>
      </c>
      <c r="J63" s="64">
        <v>0.34</v>
      </c>
      <c r="K63" s="64">
        <v>285.79000000000002</v>
      </c>
      <c r="L63" s="64">
        <v>24.05</v>
      </c>
      <c r="M63" s="64">
        <v>98.24</v>
      </c>
      <c r="N63" s="64">
        <v>205.8</v>
      </c>
      <c r="O63" s="64">
        <v>0</v>
      </c>
      <c r="P63" s="64">
        <v>0.34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3" t="s">
        <v>779</v>
      </c>
      <c r="B64" s="64">
        <v>9.36</v>
      </c>
      <c r="C64" s="64">
        <v>15.25</v>
      </c>
      <c r="D64" s="64">
        <v>15.47</v>
      </c>
      <c r="E64" s="64">
        <v>4.29</v>
      </c>
      <c r="F64" s="64">
        <v>4.22</v>
      </c>
      <c r="G64" s="64">
        <v>8.7200000000000006</v>
      </c>
      <c r="H64" s="64">
        <v>0.61</v>
      </c>
      <c r="I64" s="64">
        <v>1</v>
      </c>
      <c r="J64" s="64">
        <v>0.28999999999999998</v>
      </c>
      <c r="K64" s="64">
        <v>288.57</v>
      </c>
      <c r="L64" s="64">
        <v>24.22</v>
      </c>
      <c r="M64" s="64">
        <v>98.2</v>
      </c>
      <c r="N64" s="64">
        <v>199.5</v>
      </c>
      <c r="O64" s="64">
        <v>0</v>
      </c>
      <c r="P64" s="64">
        <v>0.39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3" t="s">
        <v>780</v>
      </c>
      <c r="B65" s="64">
        <v>9.5399999999999991</v>
      </c>
      <c r="C65" s="64">
        <v>15.01</v>
      </c>
      <c r="D65" s="64">
        <v>15.49</v>
      </c>
      <c r="E65" s="64">
        <v>4.55</v>
      </c>
      <c r="F65" s="64">
        <v>2.81</v>
      </c>
      <c r="G65" s="64">
        <v>8.7200000000000006</v>
      </c>
      <c r="H65" s="64">
        <v>0.61</v>
      </c>
      <c r="I65" s="64">
        <v>1.1399999999999999</v>
      </c>
      <c r="J65" s="64">
        <v>0.33</v>
      </c>
      <c r="K65" s="64">
        <v>286</v>
      </c>
      <c r="L65" s="64">
        <v>24.38</v>
      </c>
      <c r="M65" s="64">
        <v>98.23</v>
      </c>
      <c r="N65" s="64">
        <v>213.8</v>
      </c>
      <c r="O65" s="64">
        <v>0</v>
      </c>
      <c r="P65" s="64">
        <v>0.44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3" t="s">
        <v>781</v>
      </c>
      <c r="B66" s="64">
        <v>9.7200000000000006</v>
      </c>
      <c r="C66" s="64">
        <v>15.14</v>
      </c>
      <c r="D66" s="64">
        <v>15.7</v>
      </c>
      <c r="E66" s="64">
        <v>4.4800000000000004</v>
      </c>
      <c r="F66" s="64">
        <v>3.54</v>
      </c>
      <c r="G66" s="64">
        <v>8.7200000000000006</v>
      </c>
      <c r="H66" s="64">
        <v>0.61</v>
      </c>
      <c r="I66" s="64">
        <v>1.31</v>
      </c>
      <c r="J66" s="64">
        <v>0.28000000000000003</v>
      </c>
      <c r="K66" s="64">
        <v>287.26</v>
      </c>
      <c r="L66" s="64">
        <v>24.48</v>
      </c>
      <c r="M66" s="64">
        <v>98.23</v>
      </c>
      <c r="N66" s="64">
        <v>219.2</v>
      </c>
      <c r="O66" s="64">
        <v>0</v>
      </c>
      <c r="P66" s="64">
        <v>0.48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3" t="s">
        <v>782</v>
      </c>
      <c r="B67" s="64">
        <v>10.09</v>
      </c>
      <c r="C67" s="64">
        <v>15.46</v>
      </c>
      <c r="D67" s="64">
        <v>16.170000000000002</v>
      </c>
      <c r="E67" s="64">
        <v>4.46</v>
      </c>
      <c r="F67" s="64">
        <v>3.24</v>
      </c>
      <c r="G67" s="64">
        <v>14.09</v>
      </c>
      <c r="H67" s="64">
        <v>4.62</v>
      </c>
      <c r="I67" s="64">
        <v>1.53</v>
      </c>
      <c r="J67" s="64">
        <v>0.3</v>
      </c>
      <c r="K67" s="64">
        <v>283.26</v>
      </c>
      <c r="L67" s="64">
        <v>24.73</v>
      </c>
      <c r="M67" s="64">
        <v>98.22</v>
      </c>
      <c r="N67" s="64">
        <v>176.8</v>
      </c>
      <c r="O67" s="64">
        <v>0</v>
      </c>
      <c r="P67" s="64">
        <v>0.52</v>
      </c>
      <c r="Q67" s="64">
        <v>9.2100000000000009</v>
      </c>
      <c r="R67" s="198"/>
      <c r="S67" s="198"/>
      <c r="T67" s="198"/>
      <c r="U67" s="198"/>
    </row>
    <row r="68" spans="1:21" s="12" customFormat="1" x14ac:dyDescent="0.25">
      <c r="A68" s="213" t="s">
        <v>783</v>
      </c>
      <c r="B68" s="64">
        <v>11.66</v>
      </c>
      <c r="C68" s="64">
        <v>17.809999999999999</v>
      </c>
      <c r="D68" s="64">
        <v>18.649999999999999</v>
      </c>
      <c r="E68" s="64">
        <v>4.4800000000000004</v>
      </c>
      <c r="F68" s="64">
        <v>4.91</v>
      </c>
      <c r="G68" s="64">
        <v>15.82</v>
      </c>
      <c r="H68" s="64">
        <v>5.91</v>
      </c>
      <c r="I68" s="64">
        <v>1.77</v>
      </c>
      <c r="J68" s="64">
        <v>0.26</v>
      </c>
      <c r="K68" s="64">
        <v>288.99</v>
      </c>
      <c r="L68" s="64">
        <v>24.67</v>
      </c>
      <c r="M68" s="64">
        <v>98.21</v>
      </c>
      <c r="N68" s="64">
        <v>138</v>
      </c>
      <c r="O68" s="64">
        <v>0</v>
      </c>
      <c r="P68" s="64">
        <v>0.71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13" t="s">
        <v>784</v>
      </c>
      <c r="B69" s="64">
        <v>10.97</v>
      </c>
      <c r="C69" s="64">
        <v>16.18</v>
      </c>
      <c r="D69" s="64">
        <v>17.25</v>
      </c>
      <c r="E69" s="64">
        <v>4.32</v>
      </c>
      <c r="F69" s="64">
        <v>3.45</v>
      </c>
      <c r="G69" s="64">
        <v>15.82</v>
      </c>
      <c r="H69" s="64">
        <v>5.91</v>
      </c>
      <c r="I69" s="64">
        <v>2</v>
      </c>
      <c r="J69" s="64">
        <v>0.33</v>
      </c>
      <c r="K69" s="64">
        <v>282.72000000000003</v>
      </c>
      <c r="L69" s="64">
        <v>24.55</v>
      </c>
      <c r="M69" s="64">
        <v>98.21</v>
      </c>
      <c r="N69" s="64">
        <v>124.3</v>
      </c>
      <c r="O69" s="64">
        <v>0</v>
      </c>
      <c r="P69" s="64">
        <v>0.64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3" t="s">
        <v>785</v>
      </c>
      <c r="B70" s="64">
        <v>10.44</v>
      </c>
      <c r="C70" s="64">
        <v>15.76</v>
      </c>
      <c r="D70" s="64">
        <v>16.61</v>
      </c>
      <c r="E70" s="64">
        <v>4.3600000000000003</v>
      </c>
      <c r="F70" s="64">
        <v>3.5</v>
      </c>
      <c r="G70" s="64">
        <v>15.82</v>
      </c>
      <c r="H70" s="64">
        <v>5.91</v>
      </c>
      <c r="I70" s="64">
        <v>2.2400000000000002</v>
      </c>
      <c r="J70" s="64">
        <v>0.24</v>
      </c>
      <c r="K70" s="64">
        <v>285.86</v>
      </c>
      <c r="L70" s="64">
        <v>24.52</v>
      </c>
      <c r="M70" s="64">
        <v>98.1</v>
      </c>
      <c r="N70" s="64">
        <v>134.5</v>
      </c>
      <c r="O70" s="64">
        <v>0</v>
      </c>
      <c r="P70" s="64">
        <v>0.64</v>
      </c>
      <c r="Q70" s="64">
        <v>9.24</v>
      </c>
      <c r="R70" s="198"/>
      <c r="S70" s="198"/>
      <c r="T70" s="198"/>
      <c r="U70" s="198"/>
    </row>
    <row r="71" spans="1:21" s="12" customFormat="1" x14ac:dyDescent="0.25">
      <c r="A71" s="213" t="s">
        <v>786</v>
      </c>
      <c r="B71" s="64">
        <v>11.79</v>
      </c>
      <c r="C71" s="64">
        <v>16.350000000000001</v>
      </c>
      <c r="D71" s="64">
        <v>18</v>
      </c>
      <c r="E71" s="64">
        <v>4.1399999999999997</v>
      </c>
      <c r="F71" s="64">
        <v>4.1900000000000004</v>
      </c>
      <c r="G71" s="64">
        <v>18.149999999999999</v>
      </c>
      <c r="H71" s="64">
        <v>14.86</v>
      </c>
      <c r="I71" s="64">
        <v>2.34</v>
      </c>
      <c r="J71" s="64">
        <v>0.32</v>
      </c>
      <c r="K71" s="64">
        <v>282.79000000000002</v>
      </c>
      <c r="L71" s="64">
        <v>24.57</v>
      </c>
      <c r="M71" s="64">
        <v>97.64</v>
      </c>
      <c r="N71" s="64">
        <v>118.7</v>
      </c>
      <c r="O71" s="64">
        <v>0</v>
      </c>
      <c r="P71" s="64">
        <v>0.61</v>
      </c>
      <c r="Q71" s="64">
        <v>9.25</v>
      </c>
      <c r="R71" s="198"/>
      <c r="S71" s="198"/>
      <c r="T71" s="198"/>
      <c r="U71" s="198"/>
    </row>
    <row r="72" spans="1:21" s="12" customFormat="1" x14ac:dyDescent="0.25">
      <c r="A72" s="213" t="s">
        <v>787</v>
      </c>
      <c r="B72" s="64">
        <v>10.39</v>
      </c>
      <c r="C72" s="64">
        <v>16.13</v>
      </c>
      <c r="D72" s="64">
        <v>16.760000000000002</v>
      </c>
      <c r="E72" s="64">
        <v>3.81</v>
      </c>
      <c r="F72" s="64">
        <v>3.34</v>
      </c>
      <c r="G72" s="64">
        <v>18.899999999999999</v>
      </c>
      <c r="H72" s="64">
        <v>17.75</v>
      </c>
      <c r="I72" s="64">
        <v>2.31</v>
      </c>
      <c r="J72" s="64">
        <v>0.33</v>
      </c>
      <c r="K72" s="64">
        <v>285.32</v>
      </c>
      <c r="L72" s="64">
        <v>24.41</v>
      </c>
      <c r="M72" s="64">
        <v>97.7</v>
      </c>
      <c r="N72" s="64">
        <v>110.6</v>
      </c>
      <c r="O72" s="64">
        <v>0</v>
      </c>
      <c r="P72" s="64">
        <v>0.59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3" t="s">
        <v>788</v>
      </c>
      <c r="B73" s="64">
        <v>9.7899999999999991</v>
      </c>
      <c r="C73" s="64">
        <v>16.37</v>
      </c>
      <c r="D73" s="64">
        <v>16.399999999999999</v>
      </c>
      <c r="E73" s="64">
        <v>4.66</v>
      </c>
      <c r="F73" s="64">
        <v>3.74</v>
      </c>
      <c r="G73" s="64">
        <v>18.899999999999999</v>
      </c>
      <c r="H73" s="64">
        <v>17.75</v>
      </c>
      <c r="I73" s="64">
        <v>2.2000000000000002</v>
      </c>
      <c r="J73" s="64">
        <v>0.28000000000000003</v>
      </c>
      <c r="K73" s="64">
        <v>286.29000000000002</v>
      </c>
      <c r="L73" s="64">
        <v>24.34</v>
      </c>
      <c r="M73" s="64">
        <v>97.83</v>
      </c>
      <c r="N73" s="64">
        <v>116.3</v>
      </c>
      <c r="O73" s="64">
        <v>0</v>
      </c>
      <c r="P73" s="64">
        <v>0.61</v>
      </c>
      <c r="Q73" s="64">
        <v>9.2200000000000006</v>
      </c>
      <c r="R73" s="198"/>
      <c r="S73" s="198"/>
      <c r="T73" s="198"/>
      <c r="U73" s="198"/>
    </row>
    <row r="74" spans="1:21" s="12" customFormat="1" x14ac:dyDescent="0.25">
      <c r="A74" s="213" t="s">
        <v>789</v>
      </c>
      <c r="B74" s="64">
        <v>11.16</v>
      </c>
      <c r="C74" s="64">
        <v>15.01</v>
      </c>
      <c r="D74" s="64">
        <v>16.79</v>
      </c>
      <c r="E74" s="64">
        <v>4.51</v>
      </c>
      <c r="F74" s="64">
        <v>3.01</v>
      </c>
      <c r="G74" s="64">
        <v>18.899999999999999</v>
      </c>
      <c r="H74" s="64">
        <v>17.75</v>
      </c>
      <c r="I74" s="64">
        <v>2.11</v>
      </c>
      <c r="J74" s="64">
        <v>0.25</v>
      </c>
      <c r="K74" s="64">
        <v>291.89999999999998</v>
      </c>
      <c r="L74" s="64">
        <v>24.29</v>
      </c>
      <c r="M74" s="64">
        <v>97.46</v>
      </c>
      <c r="N74" s="64">
        <v>99.9</v>
      </c>
      <c r="O74" s="64">
        <v>0.4</v>
      </c>
      <c r="P74" s="64">
        <v>0.64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3" t="s">
        <v>790</v>
      </c>
      <c r="B75" s="64">
        <v>11.47</v>
      </c>
      <c r="C75" s="64">
        <v>15.29</v>
      </c>
      <c r="D75" s="64">
        <v>17.190000000000001</v>
      </c>
      <c r="E75" s="64">
        <v>4.41</v>
      </c>
      <c r="F75" s="64">
        <v>3.41</v>
      </c>
      <c r="G75" s="64">
        <v>18.36</v>
      </c>
      <c r="H75" s="64">
        <v>7.78</v>
      </c>
      <c r="I75" s="64">
        <v>2.12</v>
      </c>
      <c r="J75" s="64">
        <v>0.21</v>
      </c>
      <c r="K75" s="64">
        <v>300.31</v>
      </c>
      <c r="L75" s="64">
        <v>23.96</v>
      </c>
      <c r="M75" s="64">
        <v>97.49</v>
      </c>
      <c r="N75" s="64">
        <v>102.9</v>
      </c>
      <c r="O75" s="64">
        <v>0</v>
      </c>
      <c r="P75" s="64">
        <v>0.74</v>
      </c>
      <c r="Q75" s="64">
        <v>9.24</v>
      </c>
      <c r="R75" s="198"/>
      <c r="S75" s="198"/>
      <c r="T75" s="198"/>
      <c r="U75" s="198"/>
    </row>
    <row r="76" spans="1:21" s="12" customFormat="1" x14ac:dyDescent="0.25">
      <c r="A76" s="213" t="s">
        <v>791</v>
      </c>
      <c r="B76" s="64">
        <v>11.71</v>
      </c>
      <c r="C76" s="64">
        <v>15.28</v>
      </c>
      <c r="D76" s="64">
        <v>17.37</v>
      </c>
      <c r="E76" s="64">
        <v>4.3</v>
      </c>
      <c r="F76" s="64">
        <v>3.59</v>
      </c>
      <c r="G76" s="64">
        <v>18.190000000000001</v>
      </c>
      <c r="H76" s="64">
        <v>4.55</v>
      </c>
      <c r="I76" s="64">
        <v>2.2999999999999998</v>
      </c>
      <c r="J76" s="64">
        <v>0.18</v>
      </c>
      <c r="K76" s="64">
        <v>293.95</v>
      </c>
      <c r="L76" s="64">
        <v>23.81</v>
      </c>
      <c r="M76" s="64">
        <v>97.66</v>
      </c>
      <c r="N76" s="64">
        <v>137.1</v>
      </c>
      <c r="O76" s="64">
        <v>0</v>
      </c>
      <c r="P76" s="64">
        <v>0.83</v>
      </c>
      <c r="Q76" s="64">
        <v>9.24</v>
      </c>
      <c r="R76" s="198"/>
      <c r="S76" s="198"/>
      <c r="T76" s="198"/>
      <c r="U76" s="198"/>
    </row>
    <row r="77" spans="1:21" s="12" customFormat="1" x14ac:dyDescent="0.25">
      <c r="A77" s="213" t="s">
        <v>792</v>
      </c>
      <c r="B77" s="64">
        <v>12.18</v>
      </c>
      <c r="C77" s="64">
        <v>14.74</v>
      </c>
      <c r="D77" s="64">
        <v>17.47</v>
      </c>
      <c r="E77" s="64">
        <v>4.51</v>
      </c>
      <c r="F77" s="64">
        <v>3.34</v>
      </c>
      <c r="G77" s="64">
        <v>18.190000000000001</v>
      </c>
      <c r="H77" s="64">
        <v>4.55</v>
      </c>
      <c r="I77" s="64">
        <v>2.57</v>
      </c>
      <c r="J77" s="64">
        <v>0.24</v>
      </c>
      <c r="K77" s="64">
        <v>294.63</v>
      </c>
      <c r="L77" s="64">
        <v>23.99</v>
      </c>
      <c r="M77" s="64">
        <v>97.92</v>
      </c>
      <c r="N77" s="64">
        <v>112.5</v>
      </c>
      <c r="O77" s="64">
        <v>0</v>
      </c>
      <c r="P77" s="64">
        <v>0.89</v>
      </c>
      <c r="Q77" s="64">
        <v>9.26</v>
      </c>
      <c r="R77" s="198"/>
      <c r="S77" s="198"/>
      <c r="T77" s="198"/>
      <c r="U77" s="198"/>
    </row>
    <row r="78" spans="1:21" s="12" customFormat="1" x14ac:dyDescent="0.25">
      <c r="A78" s="213" t="s">
        <v>793</v>
      </c>
      <c r="B78" s="64">
        <v>12.73</v>
      </c>
      <c r="C78" s="64">
        <v>14.46</v>
      </c>
      <c r="D78" s="64">
        <v>17.760000000000002</v>
      </c>
      <c r="E78" s="64">
        <v>4.55</v>
      </c>
      <c r="F78" s="64">
        <v>2.83</v>
      </c>
      <c r="G78" s="64">
        <v>18.190000000000001</v>
      </c>
      <c r="H78" s="64">
        <v>4.55</v>
      </c>
      <c r="I78" s="64">
        <v>2.87</v>
      </c>
      <c r="J78" s="64">
        <v>0.26</v>
      </c>
      <c r="K78" s="64">
        <v>291.08</v>
      </c>
      <c r="L78" s="64">
        <v>24.06</v>
      </c>
      <c r="M78" s="64">
        <v>97.51</v>
      </c>
      <c r="N78" s="64">
        <v>95.6</v>
      </c>
      <c r="O78" s="64">
        <v>0</v>
      </c>
      <c r="P78" s="64">
        <v>0.96</v>
      </c>
      <c r="Q78" s="64">
        <v>9.27</v>
      </c>
      <c r="R78" s="198"/>
      <c r="S78" s="198"/>
      <c r="T78" s="198"/>
      <c r="U78" s="198"/>
    </row>
    <row r="79" spans="1:21" s="12" customFormat="1" x14ac:dyDescent="0.25">
      <c r="A79" s="213" t="s">
        <v>794</v>
      </c>
      <c r="B79" s="64">
        <v>12.95</v>
      </c>
      <c r="C79" s="64">
        <v>14.09</v>
      </c>
      <c r="D79" s="64">
        <v>17.739999999999998</v>
      </c>
      <c r="E79" s="64">
        <v>4.4000000000000004</v>
      </c>
      <c r="F79" s="64">
        <v>3.78</v>
      </c>
      <c r="G79" s="64">
        <v>22.01</v>
      </c>
      <c r="H79" s="64">
        <v>2.76</v>
      </c>
      <c r="I79" s="64">
        <v>3.2</v>
      </c>
      <c r="J79" s="64">
        <v>0.15</v>
      </c>
      <c r="K79" s="64">
        <v>295.57</v>
      </c>
      <c r="L79" s="64">
        <v>24.22</v>
      </c>
      <c r="M79" s="64">
        <v>97.5</v>
      </c>
      <c r="N79" s="64">
        <v>94.6</v>
      </c>
      <c r="O79" s="64">
        <v>0</v>
      </c>
      <c r="P79" s="64">
        <v>1.02</v>
      </c>
      <c r="Q79" s="64">
        <v>9.2799999999999994</v>
      </c>
      <c r="R79" s="198"/>
      <c r="S79" s="198"/>
      <c r="T79" s="198"/>
      <c r="U79" s="198"/>
    </row>
    <row r="80" spans="1:21" s="12" customFormat="1" x14ac:dyDescent="0.25">
      <c r="A80" s="213" t="s">
        <v>795</v>
      </c>
      <c r="B80" s="64">
        <v>13.53</v>
      </c>
      <c r="C80" s="64">
        <v>14.1</v>
      </c>
      <c r="D80" s="64">
        <v>18.22</v>
      </c>
      <c r="E80" s="64">
        <v>4.53</v>
      </c>
      <c r="F80" s="64">
        <v>2.61</v>
      </c>
      <c r="G80" s="64">
        <v>23.25</v>
      </c>
      <c r="H80" s="64">
        <v>2.1800000000000002</v>
      </c>
      <c r="I80" s="64">
        <v>3.42</v>
      </c>
      <c r="J80" s="64">
        <v>0.17</v>
      </c>
      <c r="K80" s="64">
        <v>295.49</v>
      </c>
      <c r="L80" s="64">
        <v>24.14</v>
      </c>
      <c r="M80" s="64">
        <v>97.67</v>
      </c>
      <c r="N80" s="64">
        <v>91.2</v>
      </c>
      <c r="O80" s="64">
        <v>0</v>
      </c>
      <c r="P80" s="64">
        <v>1.04</v>
      </c>
      <c r="Q80" s="64">
        <v>9.3000000000000007</v>
      </c>
      <c r="R80" s="198"/>
      <c r="S80" s="198"/>
      <c r="T80" s="198"/>
      <c r="U80" s="198"/>
    </row>
    <row r="81" spans="1:26" s="12" customFormat="1" x14ac:dyDescent="0.25">
      <c r="A81" s="213" t="s">
        <v>796</v>
      </c>
      <c r="B81" s="64">
        <v>13.69</v>
      </c>
      <c r="C81" s="64">
        <v>13.83</v>
      </c>
      <c r="D81" s="64">
        <v>18.21</v>
      </c>
      <c r="E81" s="64">
        <v>4.49</v>
      </c>
      <c r="F81" s="64">
        <v>3.4</v>
      </c>
      <c r="G81" s="64">
        <v>23.25</v>
      </c>
      <c r="H81" s="64">
        <v>2.1800000000000002</v>
      </c>
      <c r="I81" s="64">
        <v>3.52</v>
      </c>
      <c r="J81" s="64">
        <v>0.2</v>
      </c>
      <c r="K81" s="64">
        <v>298.58999999999997</v>
      </c>
      <c r="L81" s="64">
        <v>24.09</v>
      </c>
      <c r="M81" s="64">
        <v>97.91</v>
      </c>
      <c r="N81" s="64">
        <v>84</v>
      </c>
      <c r="O81" s="64">
        <v>0</v>
      </c>
      <c r="P81" s="64">
        <v>1.05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3" t="s">
        <v>797</v>
      </c>
      <c r="B82" s="64">
        <v>13.45</v>
      </c>
      <c r="C82" s="64">
        <v>13.92</v>
      </c>
      <c r="D82" s="64">
        <v>18.059999999999999</v>
      </c>
      <c r="E82" s="64">
        <v>4.47</v>
      </c>
      <c r="F82" s="64">
        <v>3.8</v>
      </c>
      <c r="G82" s="64">
        <v>23.25</v>
      </c>
      <c r="H82" s="64">
        <v>2.1800000000000002</v>
      </c>
      <c r="I82" s="64">
        <v>3.55</v>
      </c>
      <c r="J82" s="64">
        <v>0.19</v>
      </c>
      <c r="K82" s="64">
        <v>301.49</v>
      </c>
      <c r="L82" s="64">
        <v>24</v>
      </c>
      <c r="M82" s="64">
        <v>97.5</v>
      </c>
      <c r="N82" s="64">
        <v>72.5</v>
      </c>
      <c r="O82" s="64">
        <v>0</v>
      </c>
      <c r="P82" s="64">
        <v>1.05</v>
      </c>
      <c r="Q82" s="64">
        <v>9.3000000000000007</v>
      </c>
      <c r="R82" s="198"/>
      <c r="S82" s="198"/>
      <c r="T82" s="198"/>
      <c r="U82" s="198"/>
    </row>
    <row r="83" spans="1:26" s="12" customFormat="1" x14ac:dyDescent="0.25">
      <c r="A83" s="213" t="s">
        <v>798</v>
      </c>
      <c r="B83" s="64">
        <v>14.7</v>
      </c>
      <c r="C83" s="64">
        <v>14.77</v>
      </c>
      <c r="D83" s="64">
        <v>19.5</v>
      </c>
      <c r="E83" s="64">
        <v>4.5199999999999996</v>
      </c>
      <c r="F83" s="64">
        <v>4.8</v>
      </c>
      <c r="G83" s="64">
        <v>24.67</v>
      </c>
      <c r="H83" s="64">
        <v>1.28</v>
      </c>
      <c r="I83" s="64">
        <v>3.51</v>
      </c>
      <c r="J83" s="64">
        <v>0.19</v>
      </c>
      <c r="K83" s="64">
        <v>301.67</v>
      </c>
      <c r="L83" s="64">
        <v>24.06</v>
      </c>
      <c r="M83" s="64">
        <v>97.45</v>
      </c>
      <c r="N83" s="64">
        <v>70.400000000000006</v>
      </c>
      <c r="O83" s="64">
        <v>0</v>
      </c>
      <c r="P83" s="64">
        <v>1.01</v>
      </c>
      <c r="Q83" s="64">
        <v>9.32</v>
      </c>
      <c r="R83" s="198"/>
      <c r="S83" s="198"/>
      <c r="T83" s="198"/>
      <c r="U83" s="198"/>
    </row>
    <row r="84" spans="1:26" s="12" customFormat="1" x14ac:dyDescent="0.25">
      <c r="A84" s="213" t="s">
        <v>799</v>
      </c>
      <c r="B84" s="64">
        <v>13.94</v>
      </c>
      <c r="C84" s="64">
        <v>13.94</v>
      </c>
      <c r="D84" s="64">
        <v>18.46</v>
      </c>
      <c r="E84" s="64">
        <v>4.24</v>
      </c>
      <c r="F84" s="64">
        <v>3.21</v>
      </c>
      <c r="G84" s="64">
        <v>25.12</v>
      </c>
      <c r="H84" s="64">
        <v>0.99</v>
      </c>
      <c r="I84" s="64">
        <v>3.45</v>
      </c>
      <c r="J84" s="64">
        <v>0.33</v>
      </c>
      <c r="K84" s="64">
        <v>300.87</v>
      </c>
      <c r="L84" s="64">
        <v>23.69</v>
      </c>
      <c r="M84" s="64">
        <v>97.62</v>
      </c>
      <c r="N84" s="64">
        <v>70.099999999999994</v>
      </c>
      <c r="O84" s="64">
        <v>0.6</v>
      </c>
      <c r="P84" s="64">
        <v>1.02</v>
      </c>
      <c r="Q84" s="64">
        <v>9.32</v>
      </c>
      <c r="R84" s="198"/>
      <c r="S84" s="198"/>
      <c r="T84" s="198"/>
      <c r="U84" s="198"/>
    </row>
    <row r="85" spans="1:26" s="12" customFormat="1" x14ac:dyDescent="0.25">
      <c r="A85" s="213" t="s">
        <v>800</v>
      </c>
      <c r="B85" s="64">
        <v>13.08</v>
      </c>
      <c r="C85" s="64">
        <v>13.92</v>
      </c>
      <c r="D85" s="64">
        <v>17.760000000000002</v>
      </c>
      <c r="E85" s="64">
        <v>4.3099999999999996</v>
      </c>
      <c r="F85" s="64">
        <v>3.29</v>
      </c>
      <c r="G85" s="64">
        <v>25.12</v>
      </c>
      <c r="H85" s="64">
        <v>0.99</v>
      </c>
      <c r="I85" s="64">
        <v>3.42</v>
      </c>
      <c r="J85" s="64">
        <v>0.22</v>
      </c>
      <c r="K85" s="64">
        <v>310.10000000000002</v>
      </c>
      <c r="L85" s="64">
        <v>23.25</v>
      </c>
      <c r="M85" s="64">
        <v>97.93</v>
      </c>
      <c r="N85" s="64">
        <v>70.099999999999994</v>
      </c>
      <c r="O85" s="64">
        <v>0.2</v>
      </c>
      <c r="P85" s="64">
        <v>0.78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13" t="s">
        <v>801</v>
      </c>
      <c r="B86" s="64">
        <v>12.11</v>
      </c>
      <c r="C86" s="64">
        <v>14.19</v>
      </c>
      <c r="D86" s="64">
        <v>17.12</v>
      </c>
      <c r="E86" s="64">
        <v>4.3099999999999996</v>
      </c>
      <c r="F86" s="64">
        <v>3.59</v>
      </c>
      <c r="G86" s="64">
        <v>25.12</v>
      </c>
      <c r="H86" s="64">
        <v>0.99</v>
      </c>
      <c r="I86" s="64">
        <v>3.42</v>
      </c>
      <c r="J86" s="64">
        <v>0.16</v>
      </c>
      <c r="K86" s="64">
        <v>323.54000000000002</v>
      </c>
      <c r="L86" s="64">
        <v>23.14</v>
      </c>
      <c r="M86" s="64">
        <v>97.52</v>
      </c>
      <c r="N86" s="64">
        <v>70</v>
      </c>
      <c r="O86" s="64">
        <v>0</v>
      </c>
      <c r="P86" s="64">
        <v>0.76</v>
      </c>
      <c r="Q86" s="64">
        <v>9.2799999999999994</v>
      </c>
      <c r="R86" s="198"/>
      <c r="S86" s="198"/>
      <c r="T86" s="198"/>
      <c r="U86" s="198"/>
    </row>
    <row r="87" spans="1:26" s="12" customFormat="1" x14ac:dyDescent="0.25">
      <c r="A87" s="213" t="s">
        <v>802</v>
      </c>
      <c r="B87" s="64">
        <v>11.86</v>
      </c>
      <c r="C87" s="64">
        <v>17</v>
      </c>
      <c r="D87" s="64">
        <v>18.39</v>
      </c>
      <c r="E87" s="64">
        <v>4.37</v>
      </c>
      <c r="F87" s="64">
        <v>4.49</v>
      </c>
      <c r="G87" s="64">
        <v>25.86</v>
      </c>
      <c r="H87" s="64">
        <v>0.45</v>
      </c>
      <c r="I87" s="64">
        <v>3.32</v>
      </c>
      <c r="J87" s="64">
        <v>0.09</v>
      </c>
      <c r="K87" s="64">
        <v>311.08</v>
      </c>
      <c r="L87" s="64">
        <v>23.16</v>
      </c>
      <c r="M87" s="64">
        <v>97.52</v>
      </c>
      <c r="N87" s="64">
        <v>69.8</v>
      </c>
      <c r="O87" s="64">
        <v>0</v>
      </c>
      <c r="P87" s="64">
        <v>0.84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3" t="s">
        <v>803</v>
      </c>
      <c r="B88" s="64">
        <v>11.4</v>
      </c>
      <c r="C88" s="64">
        <v>15.84</v>
      </c>
      <c r="D88" s="64">
        <v>17.420000000000002</v>
      </c>
      <c r="E88" s="64">
        <v>4.3899999999999997</v>
      </c>
      <c r="F88" s="64">
        <v>3.23</v>
      </c>
      <c r="G88" s="64">
        <v>26.09</v>
      </c>
      <c r="H88" s="64">
        <v>0.28000000000000003</v>
      </c>
      <c r="I88" s="64">
        <v>3.17</v>
      </c>
      <c r="J88" s="64">
        <v>0.12</v>
      </c>
      <c r="K88" s="64">
        <v>324.72000000000003</v>
      </c>
      <c r="L88" s="64">
        <v>23.04</v>
      </c>
      <c r="M88" s="64">
        <v>97.82</v>
      </c>
      <c r="N88" s="64">
        <v>70</v>
      </c>
      <c r="O88" s="64">
        <v>0</v>
      </c>
      <c r="P88" s="64">
        <v>0.74</v>
      </c>
      <c r="Q88" s="64">
        <v>9.27</v>
      </c>
      <c r="R88" s="198"/>
      <c r="S88" s="198"/>
      <c r="T88" s="198"/>
      <c r="U88" s="198"/>
    </row>
    <row r="89" spans="1:26" s="12" customFormat="1" x14ac:dyDescent="0.25">
      <c r="A89" s="213" t="s">
        <v>804</v>
      </c>
      <c r="B89" s="64">
        <v>10.8</v>
      </c>
      <c r="C89" s="64">
        <v>14.24</v>
      </c>
      <c r="D89" s="64">
        <v>16.11</v>
      </c>
      <c r="E89" s="64">
        <v>4.7300000000000004</v>
      </c>
      <c r="F89" s="64">
        <v>3.71</v>
      </c>
      <c r="G89" s="64">
        <v>26.09</v>
      </c>
      <c r="H89" s="64">
        <v>0.28000000000000003</v>
      </c>
      <c r="I89" s="64">
        <v>3.16</v>
      </c>
      <c r="J89" s="64">
        <v>0.12</v>
      </c>
      <c r="K89" s="64">
        <v>326.61</v>
      </c>
      <c r="L89" s="64">
        <v>23.08</v>
      </c>
      <c r="M89" s="64">
        <v>98.02</v>
      </c>
      <c r="N89" s="64">
        <v>69.7</v>
      </c>
      <c r="O89" s="64">
        <v>0</v>
      </c>
      <c r="P89" s="64">
        <v>0.66</v>
      </c>
      <c r="Q89" s="64">
        <v>9.27</v>
      </c>
      <c r="R89" s="198"/>
      <c r="S89" s="198"/>
      <c r="T89" s="198"/>
      <c r="U89" s="198"/>
    </row>
    <row r="90" spans="1:26" s="12" customFormat="1" x14ac:dyDescent="0.25">
      <c r="A90" s="213" t="s">
        <v>805</v>
      </c>
      <c r="B90" s="64">
        <v>10.17</v>
      </c>
      <c r="C90" s="64">
        <v>13.66</v>
      </c>
      <c r="D90" s="64">
        <v>15.29</v>
      </c>
      <c r="E90" s="64">
        <v>4.43</v>
      </c>
      <c r="F90" s="64">
        <v>3.75</v>
      </c>
      <c r="G90" s="64">
        <v>26.09</v>
      </c>
      <c r="H90" s="64">
        <v>0.28000000000000003</v>
      </c>
      <c r="I90" s="64">
        <v>3.2</v>
      </c>
      <c r="J90" s="64">
        <v>0.12</v>
      </c>
      <c r="K90" s="64">
        <v>317.57</v>
      </c>
      <c r="L90" s="64">
        <v>23.1</v>
      </c>
      <c r="M90" s="64">
        <v>98.14</v>
      </c>
      <c r="N90" s="64">
        <v>69.7</v>
      </c>
      <c r="O90" s="64">
        <v>0.4</v>
      </c>
      <c r="P90" s="64">
        <v>0.68</v>
      </c>
      <c r="Q90" s="64">
        <v>9.24</v>
      </c>
      <c r="R90" s="198"/>
      <c r="S90" s="198"/>
      <c r="T90" s="198"/>
      <c r="U90" s="198"/>
    </row>
    <row r="91" spans="1:26" s="12" customFormat="1" x14ac:dyDescent="0.25">
      <c r="A91" s="213" t="s">
        <v>806</v>
      </c>
      <c r="B91" s="64">
        <v>10.119999999999999</v>
      </c>
      <c r="C91" s="64">
        <v>13.28</v>
      </c>
      <c r="D91" s="64">
        <v>15.05</v>
      </c>
      <c r="E91" s="64">
        <v>4.67</v>
      </c>
      <c r="F91" s="64">
        <v>3.24</v>
      </c>
      <c r="G91" s="64">
        <v>20.34</v>
      </c>
      <c r="H91" s="64">
        <v>4.1500000000000004</v>
      </c>
      <c r="I91" s="64">
        <v>3.09</v>
      </c>
      <c r="J91" s="64">
        <v>0.12</v>
      </c>
      <c r="K91" s="64">
        <v>330.29</v>
      </c>
      <c r="L91" s="64">
        <v>22.94</v>
      </c>
      <c r="M91" s="64">
        <v>98.21</v>
      </c>
      <c r="N91" s="64">
        <v>69.900000000000006</v>
      </c>
      <c r="O91" s="64">
        <v>0</v>
      </c>
      <c r="P91" s="64">
        <v>0.65</v>
      </c>
      <c r="Q91" s="64">
        <v>9.2100000000000009</v>
      </c>
      <c r="R91" s="198"/>
      <c r="S91" s="198"/>
      <c r="T91" s="198"/>
      <c r="U91" s="198"/>
    </row>
    <row r="92" spans="1:26" s="12" customFormat="1" x14ac:dyDescent="0.25">
      <c r="A92" s="213" t="s">
        <v>807</v>
      </c>
      <c r="B92" s="64">
        <v>10.28</v>
      </c>
      <c r="C92" s="64">
        <v>13.46</v>
      </c>
      <c r="D92" s="64">
        <v>15.28</v>
      </c>
      <c r="E92" s="64">
        <v>4.8099999999999996</v>
      </c>
      <c r="F92" s="64">
        <v>2.87</v>
      </c>
      <c r="G92" s="64">
        <v>18.48</v>
      </c>
      <c r="H92" s="64">
        <v>4.1500000000000004</v>
      </c>
      <c r="I92" s="64">
        <v>2.94</v>
      </c>
      <c r="J92" s="64">
        <v>0.12</v>
      </c>
      <c r="K92" s="64">
        <v>332.82</v>
      </c>
      <c r="L92" s="64">
        <v>22.82</v>
      </c>
      <c r="M92" s="64">
        <v>98.21</v>
      </c>
      <c r="N92" s="64">
        <v>70.099999999999994</v>
      </c>
      <c r="O92" s="64">
        <v>1.2</v>
      </c>
      <c r="P92" s="64">
        <v>0.57999999999999996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3" t="s">
        <v>808</v>
      </c>
      <c r="B93" s="64">
        <v>10.08</v>
      </c>
      <c r="C93" s="64">
        <v>12.81</v>
      </c>
      <c r="D93" s="64">
        <v>14.77</v>
      </c>
      <c r="E93" s="64">
        <v>4.21</v>
      </c>
      <c r="F93" s="64">
        <v>3.6</v>
      </c>
      <c r="G93" s="64">
        <v>18.48</v>
      </c>
      <c r="H93" s="64">
        <v>4.1500000000000004</v>
      </c>
      <c r="I93" s="64">
        <v>2.82</v>
      </c>
      <c r="J93" s="64">
        <v>0.13</v>
      </c>
      <c r="K93" s="64">
        <v>331.69</v>
      </c>
      <c r="L93" s="64">
        <v>22.65</v>
      </c>
      <c r="M93" s="64">
        <v>98.23</v>
      </c>
      <c r="N93" s="64">
        <v>70</v>
      </c>
      <c r="O93" s="64">
        <v>0.4</v>
      </c>
      <c r="P93" s="64">
        <v>0.59</v>
      </c>
      <c r="Q93" s="64">
        <v>9.18</v>
      </c>
      <c r="R93" s="198"/>
      <c r="S93" s="198"/>
      <c r="T93" s="198"/>
      <c r="U93" s="198"/>
    </row>
    <row r="94" spans="1:26" s="12" customFormat="1" x14ac:dyDescent="0.25">
      <c r="A94" s="213" t="s">
        <v>809</v>
      </c>
      <c r="B94" s="64">
        <v>9.48</v>
      </c>
      <c r="C94" s="64">
        <v>12.91</v>
      </c>
      <c r="D94" s="64">
        <v>14.35</v>
      </c>
      <c r="E94" s="64">
        <v>4.51</v>
      </c>
      <c r="F94" s="64">
        <v>2.95</v>
      </c>
      <c r="G94" s="64">
        <v>18.48</v>
      </c>
      <c r="H94" s="64">
        <v>4.1500000000000004</v>
      </c>
      <c r="I94" s="64">
        <v>2.69</v>
      </c>
      <c r="J94" s="64">
        <v>0.1</v>
      </c>
      <c r="K94" s="64">
        <v>325.72000000000003</v>
      </c>
      <c r="L94" s="64">
        <v>22.61</v>
      </c>
      <c r="M94" s="64">
        <v>98.23</v>
      </c>
      <c r="N94" s="64">
        <v>69.900000000000006</v>
      </c>
      <c r="O94" s="64">
        <v>0</v>
      </c>
      <c r="P94" s="64">
        <v>0.52</v>
      </c>
      <c r="Q94" s="64">
        <v>9.16</v>
      </c>
      <c r="R94" s="198"/>
      <c r="S94" s="198"/>
      <c r="T94" s="198"/>
      <c r="U94" s="198"/>
    </row>
    <row r="95" spans="1:26" s="12" customFormat="1" x14ac:dyDescent="0.25">
      <c r="A95" s="213" t="s">
        <v>810</v>
      </c>
      <c r="B95" s="64">
        <v>9.09</v>
      </c>
      <c r="C95" s="64">
        <v>12.54</v>
      </c>
      <c r="D95" s="64">
        <v>13.84</v>
      </c>
      <c r="E95" s="64">
        <v>4.6399999999999997</v>
      </c>
      <c r="F95" s="64">
        <v>3.87</v>
      </c>
      <c r="G95" s="64">
        <v>14.65</v>
      </c>
      <c r="H95" s="64">
        <v>4.1500000000000004</v>
      </c>
      <c r="I95" s="64">
        <v>2.54</v>
      </c>
      <c r="J95" s="64">
        <v>0.12</v>
      </c>
      <c r="K95" s="64">
        <v>321.24</v>
      </c>
      <c r="L95" s="64">
        <v>22.66</v>
      </c>
      <c r="M95" s="64">
        <v>98.24</v>
      </c>
      <c r="N95" s="64">
        <v>69.7</v>
      </c>
      <c r="O95" s="64">
        <v>0</v>
      </c>
      <c r="P95" s="64">
        <v>0.52</v>
      </c>
      <c r="Q95" s="64">
        <v>9.15</v>
      </c>
      <c r="R95" s="198"/>
      <c r="S95" s="198"/>
      <c r="T95" s="198"/>
      <c r="U95" s="198"/>
    </row>
    <row r="96" spans="1:26" s="12" customFormat="1" x14ac:dyDescent="0.25">
      <c r="A96" s="213" t="s">
        <v>811</v>
      </c>
      <c r="B96" s="64">
        <v>9.69</v>
      </c>
      <c r="C96" s="64">
        <v>13.51</v>
      </c>
      <c r="D96" s="64">
        <v>14.83</v>
      </c>
      <c r="E96" s="64">
        <v>4.49</v>
      </c>
      <c r="F96" s="64">
        <v>3.05</v>
      </c>
      <c r="G96" s="64">
        <v>13.42</v>
      </c>
      <c r="H96" s="64">
        <v>4.1500000000000004</v>
      </c>
      <c r="I96" s="64">
        <v>2.41</v>
      </c>
      <c r="J96" s="64">
        <v>0.12</v>
      </c>
      <c r="K96" s="64">
        <v>311.73</v>
      </c>
      <c r="L96" s="64">
        <v>22.77</v>
      </c>
      <c r="M96" s="64">
        <v>98.21</v>
      </c>
      <c r="N96" s="64">
        <v>69.599999999999994</v>
      </c>
      <c r="O96" s="64">
        <v>0</v>
      </c>
      <c r="P96" s="64">
        <v>0.45</v>
      </c>
      <c r="Q96" s="64">
        <v>9.14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812</v>
      </c>
      <c r="B97" s="64">
        <v>8.9600000000000009</v>
      </c>
      <c r="C97" s="64">
        <v>12.67</v>
      </c>
      <c r="D97" s="64">
        <v>13.81</v>
      </c>
      <c r="E97" s="64">
        <v>4.26</v>
      </c>
      <c r="F97" s="64">
        <v>4</v>
      </c>
      <c r="G97" s="64">
        <v>13.42</v>
      </c>
      <c r="H97" s="64">
        <v>4.1500000000000004</v>
      </c>
      <c r="I97" s="64">
        <v>2.31</v>
      </c>
      <c r="J97" s="64">
        <v>0.12</v>
      </c>
      <c r="K97" s="64">
        <v>315.97000000000003</v>
      </c>
      <c r="L97" s="64">
        <v>22.85</v>
      </c>
      <c r="M97" s="64">
        <v>98.22</v>
      </c>
      <c r="N97" s="64">
        <v>69.599999999999994</v>
      </c>
      <c r="O97" s="64">
        <v>0</v>
      </c>
      <c r="P97" s="64">
        <v>0.45</v>
      </c>
      <c r="Q97" s="64">
        <v>9.1300000000000008</v>
      </c>
      <c r="R97" s="198"/>
      <c r="S97" s="198"/>
      <c r="T97" s="198"/>
      <c r="U97" s="198"/>
    </row>
    <row r="98" spans="1:33" s="12" customFormat="1" x14ac:dyDescent="0.25">
      <c r="A98" s="213" t="s">
        <v>813</v>
      </c>
      <c r="B98" s="64">
        <v>8.59</v>
      </c>
      <c r="C98" s="64">
        <v>12.36</v>
      </c>
      <c r="D98" s="64">
        <v>13.35</v>
      </c>
      <c r="E98" s="64">
        <v>4.47</v>
      </c>
      <c r="F98" s="64">
        <v>2.73</v>
      </c>
      <c r="G98" s="64">
        <v>13.42</v>
      </c>
      <c r="H98" s="64">
        <v>4.1500000000000004</v>
      </c>
      <c r="I98" s="64">
        <v>2.2200000000000002</v>
      </c>
      <c r="J98" s="64">
        <v>0.13</v>
      </c>
      <c r="K98" s="64">
        <v>307.36</v>
      </c>
      <c r="L98" s="64">
        <v>22.9</v>
      </c>
      <c r="M98" s="64">
        <v>98.23</v>
      </c>
      <c r="N98" s="64">
        <v>69.7</v>
      </c>
      <c r="O98" s="64">
        <v>0</v>
      </c>
      <c r="P98" s="64">
        <v>0.41</v>
      </c>
      <c r="Q98" s="64">
        <v>9.11</v>
      </c>
      <c r="R98" s="198"/>
      <c r="S98" s="198"/>
      <c r="T98" s="198"/>
      <c r="U98" s="198"/>
    </row>
    <row r="99" spans="1:33" s="12" customFormat="1" x14ac:dyDescent="0.25">
      <c r="A99" s="213" t="s">
        <v>814</v>
      </c>
      <c r="B99" s="64">
        <v>8.3000000000000007</v>
      </c>
      <c r="C99" s="64">
        <v>12.19</v>
      </c>
      <c r="D99" s="64">
        <v>13.03</v>
      </c>
      <c r="E99" s="64">
        <v>4.55</v>
      </c>
      <c r="F99" s="64">
        <v>3.58</v>
      </c>
      <c r="G99" s="64">
        <v>14.71</v>
      </c>
      <c r="H99" s="64">
        <v>4.1500000000000004</v>
      </c>
      <c r="I99" s="64">
        <v>2.11</v>
      </c>
      <c r="J99" s="64">
        <v>0.14000000000000001</v>
      </c>
      <c r="K99" s="64">
        <v>309.68</v>
      </c>
      <c r="L99" s="64">
        <v>22.94</v>
      </c>
      <c r="M99" s="64">
        <v>98.23</v>
      </c>
      <c r="N99" s="64">
        <v>69.5</v>
      </c>
      <c r="O99" s="64">
        <v>0</v>
      </c>
      <c r="P99" s="64">
        <v>0.37</v>
      </c>
      <c r="Q99" s="64">
        <v>9.1</v>
      </c>
      <c r="R99" s="198"/>
      <c r="S99" s="198"/>
      <c r="T99" s="198"/>
      <c r="U99" s="198"/>
    </row>
    <row r="100" spans="1:33" s="12" customFormat="1" x14ac:dyDescent="0.25">
      <c r="A100" s="213" t="s">
        <v>815</v>
      </c>
      <c r="B100" s="64">
        <v>7.9</v>
      </c>
      <c r="C100" s="64">
        <v>11.93</v>
      </c>
      <c r="D100" s="64">
        <v>12.57</v>
      </c>
      <c r="E100" s="64">
        <v>4.53</v>
      </c>
      <c r="F100" s="64">
        <v>3.92</v>
      </c>
      <c r="G100" s="64">
        <v>15.12</v>
      </c>
      <c r="H100" s="64">
        <v>7.96</v>
      </c>
      <c r="I100" s="64">
        <v>2.02</v>
      </c>
      <c r="J100" s="64">
        <v>0.12</v>
      </c>
      <c r="K100" s="64">
        <v>320.05</v>
      </c>
      <c r="L100" s="64">
        <v>22.95</v>
      </c>
      <c r="M100" s="64">
        <v>98.24</v>
      </c>
      <c r="N100" s="64">
        <v>69.3</v>
      </c>
      <c r="O100" s="64">
        <v>0</v>
      </c>
      <c r="P100" s="64">
        <v>0.34</v>
      </c>
      <c r="Q100" s="64">
        <v>9.09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816</v>
      </c>
      <c r="B101" s="64">
        <v>7.57</v>
      </c>
      <c r="C101" s="64">
        <v>11.93</v>
      </c>
      <c r="D101" s="64">
        <v>12.3</v>
      </c>
      <c r="E101" s="64">
        <v>4.42</v>
      </c>
      <c r="F101" s="64">
        <v>3.45</v>
      </c>
      <c r="G101" s="64">
        <v>15.12</v>
      </c>
      <c r="H101" s="64">
        <v>7.96</v>
      </c>
      <c r="I101" s="64">
        <v>1.92</v>
      </c>
      <c r="J101" s="64">
        <v>0.12</v>
      </c>
      <c r="K101" s="64">
        <v>309.42</v>
      </c>
      <c r="L101" s="64">
        <v>22.98</v>
      </c>
      <c r="M101" s="64">
        <v>98.23</v>
      </c>
      <c r="N101" s="64">
        <v>69.3</v>
      </c>
      <c r="O101" s="64">
        <v>0</v>
      </c>
      <c r="P101" s="64">
        <v>0.31</v>
      </c>
      <c r="Q101" s="64">
        <v>9.1</v>
      </c>
      <c r="R101" s="198"/>
      <c r="S101" s="198"/>
      <c r="T101" s="198"/>
      <c r="U101" s="198"/>
    </row>
    <row r="102" spans="1:33" s="12" customFormat="1" x14ac:dyDescent="0.25">
      <c r="A102" s="213" t="s">
        <v>817</v>
      </c>
      <c r="B102" s="64">
        <v>7.25</v>
      </c>
      <c r="C102" s="64">
        <v>11.87</v>
      </c>
      <c r="D102" s="64">
        <v>12.01</v>
      </c>
      <c r="E102" s="64">
        <v>4.34</v>
      </c>
      <c r="F102" s="64">
        <v>3.92</v>
      </c>
      <c r="G102" s="64">
        <v>15.12</v>
      </c>
      <c r="H102" s="64">
        <v>7.96</v>
      </c>
      <c r="I102" s="64">
        <v>1.82</v>
      </c>
      <c r="J102" s="64">
        <v>0.1</v>
      </c>
      <c r="K102" s="64">
        <v>311.13</v>
      </c>
      <c r="L102" s="64">
        <v>23.01</v>
      </c>
      <c r="M102" s="64">
        <v>98.23</v>
      </c>
      <c r="N102" s="64">
        <v>69.3</v>
      </c>
      <c r="O102" s="64">
        <v>0</v>
      </c>
      <c r="P102" s="64">
        <v>0.27</v>
      </c>
      <c r="Q102" s="64">
        <v>9.1</v>
      </c>
      <c r="R102" s="198"/>
      <c r="S102" s="198"/>
      <c r="T102" s="198"/>
      <c r="U102" s="198"/>
    </row>
    <row r="103" spans="1:33" s="12" customFormat="1" x14ac:dyDescent="0.25">
      <c r="A103" s="213" t="s">
        <v>818</v>
      </c>
      <c r="B103" s="64">
        <v>7.33</v>
      </c>
      <c r="C103" s="64">
        <v>12.05</v>
      </c>
      <c r="D103" s="64">
        <v>12.17</v>
      </c>
      <c r="E103" s="64">
        <v>4.55</v>
      </c>
      <c r="F103" s="64">
        <v>4.1500000000000004</v>
      </c>
      <c r="G103" s="64">
        <v>13.83</v>
      </c>
      <c r="H103" s="64">
        <v>2.63</v>
      </c>
      <c r="I103" s="64">
        <v>1.75</v>
      </c>
      <c r="J103" s="64">
        <v>0.12</v>
      </c>
      <c r="K103" s="64">
        <v>308.20999999999998</v>
      </c>
      <c r="L103" s="64">
        <v>23.01</v>
      </c>
      <c r="M103" s="64">
        <v>98.23</v>
      </c>
      <c r="N103" s="64">
        <v>69.2</v>
      </c>
      <c r="O103" s="64">
        <v>0</v>
      </c>
      <c r="P103" s="64">
        <v>0.26</v>
      </c>
      <c r="Q103" s="64">
        <v>9.09</v>
      </c>
      <c r="R103" s="198"/>
      <c r="S103" s="198"/>
      <c r="T103" s="198"/>
      <c r="U103" s="198"/>
    </row>
    <row r="104" spans="1:33" s="12" customFormat="1" x14ac:dyDescent="0.25">
      <c r="A104" s="213" t="s">
        <v>819</v>
      </c>
      <c r="B104" s="64">
        <v>7.84</v>
      </c>
      <c r="C104" s="64">
        <v>12.14</v>
      </c>
      <c r="D104" s="64">
        <v>12.63</v>
      </c>
      <c r="E104" s="64">
        <v>4.62</v>
      </c>
      <c r="F104" s="64">
        <v>3.56</v>
      </c>
      <c r="G104" s="64">
        <v>13.44</v>
      </c>
      <c r="H104" s="64">
        <v>1.01</v>
      </c>
      <c r="I104" s="64">
        <v>1.69</v>
      </c>
      <c r="J104" s="64">
        <v>0.1</v>
      </c>
      <c r="K104" s="64">
        <v>301.68</v>
      </c>
      <c r="L104" s="64">
        <v>23.01</v>
      </c>
      <c r="M104" s="64">
        <v>98.25</v>
      </c>
      <c r="N104" s="64">
        <v>68.900000000000006</v>
      </c>
      <c r="O104" s="64">
        <v>0</v>
      </c>
      <c r="P104" s="64">
        <v>0.24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4.1900000000000004</v>
      </c>
      <c r="C106" s="67">
        <f>MIN(C9:C104)</f>
        <v>11.48</v>
      </c>
      <c r="D106" s="67">
        <f t="shared" ref="D106:Q106" si="0">MIN(D9:D104)</f>
        <v>9.4499999999999993</v>
      </c>
      <c r="E106" s="67">
        <f t="shared" si="0"/>
        <v>3.81</v>
      </c>
      <c r="F106" s="67">
        <f t="shared" si="0"/>
        <v>2.61</v>
      </c>
      <c r="G106" s="67">
        <f t="shared" si="0"/>
        <v>7.06</v>
      </c>
      <c r="H106" s="67">
        <f t="shared" si="0"/>
        <v>0.28000000000000003</v>
      </c>
      <c r="I106" s="67">
        <f t="shared" si="0"/>
        <v>0.76</v>
      </c>
      <c r="J106" s="67">
        <f t="shared" si="0"/>
        <v>0.09</v>
      </c>
      <c r="K106" s="67">
        <f t="shared" si="0"/>
        <v>282.72000000000003</v>
      </c>
      <c r="L106" s="67">
        <f t="shared" si="0"/>
        <v>22.11</v>
      </c>
      <c r="M106" s="67">
        <f t="shared" si="0"/>
        <v>97.45</v>
      </c>
      <c r="N106" s="67">
        <f t="shared" si="0"/>
        <v>65.900000000000006</v>
      </c>
      <c r="O106" s="67">
        <f t="shared" si="0"/>
        <v>0</v>
      </c>
      <c r="P106" s="67">
        <f t="shared" si="0"/>
        <v>0.17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14.7</v>
      </c>
      <c r="C107" s="66">
        <f t="shared" ref="C107:Q107" si="1">MAX(C9:C104)</f>
        <v>18.37</v>
      </c>
      <c r="D107" s="66">
        <f t="shared" si="1"/>
        <v>19.5</v>
      </c>
      <c r="E107" s="66">
        <f t="shared" si="1"/>
        <v>4.8099999999999996</v>
      </c>
      <c r="F107" s="66">
        <f t="shared" si="1"/>
        <v>4.91</v>
      </c>
      <c r="G107" s="66">
        <f t="shared" si="1"/>
        <v>26.09</v>
      </c>
      <c r="H107" s="66">
        <f t="shared" si="1"/>
        <v>17.75</v>
      </c>
      <c r="I107" s="66">
        <f t="shared" si="1"/>
        <v>3.55</v>
      </c>
      <c r="J107" s="66">
        <f t="shared" si="1"/>
        <v>0.54</v>
      </c>
      <c r="K107" s="66">
        <f t="shared" si="1"/>
        <v>332.82</v>
      </c>
      <c r="L107" s="66">
        <f t="shared" si="1"/>
        <v>24.73</v>
      </c>
      <c r="M107" s="66">
        <f t="shared" si="1"/>
        <v>98.28</v>
      </c>
      <c r="N107" s="66">
        <f t="shared" si="1"/>
        <v>223.7</v>
      </c>
      <c r="O107" s="66">
        <f t="shared" si="1"/>
        <v>2.4</v>
      </c>
      <c r="P107" s="66">
        <f t="shared" si="1"/>
        <v>1.05</v>
      </c>
      <c r="Q107" s="66">
        <f t="shared" si="1"/>
        <v>9.32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8.3591666666666722</v>
      </c>
      <c r="C108" s="67">
        <f t="shared" ref="C108:Q108" si="2">AVERAGE(C9:C104)</f>
        <v>13.575416666666667</v>
      </c>
      <c r="D108" s="67">
        <f t="shared" si="2"/>
        <v>13.795624999999994</v>
      </c>
      <c r="E108" s="67">
        <f t="shared" si="2"/>
        <v>4.3745833333333337</v>
      </c>
      <c r="F108" s="67">
        <f t="shared" si="2"/>
        <v>3.5544791666666664</v>
      </c>
      <c r="G108" s="67">
        <f t="shared" si="2"/>
        <v>14.460937499999998</v>
      </c>
      <c r="H108" s="67">
        <f t="shared" si="2"/>
        <v>4.6047916666666628</v>
      </c>
      <c r="I108" s="67">
        <f t="shared" si="2"/>
        <v>1.8413541666666662</v>
      </c>
      <c r="J108" s="67">
        <f t="shared" si="2"/>
        <v>0.2301041666666668</v>
      </c>
      <c r="K108" s="67">
        <f t="shared" si="2"/>
        <v>300.71416666666681</v>
      </c>
      <c r="L108" s="67">
        <f t="shared" si="2"/>
        <v>23.100312500000012</v>
      </c>
      <c r="M108" s="67">
        <f t="shared" si="2"/>
        <v>98.095729166666615</v>
      </c>
      <c r="N108" s="67">
        <f t="shared" si="2"/>
        <v>110.78541666666671</v>
      </c>
      <c r="O108" s="67">
        <f t="shared" si="2"/>
        <v>0.2541666666666666</v>
      </c>
      <c r="P108" s="67">
        <f t="shared" si="2"/>
        <v>0.45520833333333344</v>
      </c>
      <c r="Q108" s="67">
        <f t="shared" si="2"/>
        <v>9.1325000000000021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2.7664541875711062</v>
      </c>
      <c r="C109" s="67">
        <f t="shared" ref="C109:Q109" si="3">STDEV(C9:C104)</f>
        <v>1.5603183998056032</v>
      </c>
      <c r="D109" s="67">
        <f t="shared" si="3"/>
        <v>2.6250156139886918</v>
      </c>
      <c r="E109" s="67">
        <f t="shared" si="3"/>
        <v>0.1849660945696559</v>
      </c>
      <c r="F109" s="67">
        <f t="shared" si="3"/>
        <v>0.43638194229529642</v>
      </c>
      <c r="G109" s="67">
        <f t="shared" si="3"/>
        <v>5.5794334890928168</v>
      </c>
      <c r="H109" s="67">
        <f t="shared" si="3"/>
        <v>4.0355097451881843</v>
      </c>
      <c r="I109" s="67">
        <f t="shared" si="3"/>
        <v>0.91233952566340204</v>
      </c>
      <c r="J109" s="67">
        <f t="shared" si="3"/>
        <v>8.7977207474934482E-2</v>
      </c>
      <c r="K109" s="67">
        <f t="shared" si="3"/>
        <v>12.011197378119318</v>
      </c>
      <c r="L109" s="67">
        <f t="shared" si="3"/>
        <v>0.75148618101942333</v>
      </c>
      <c r="M109" s="67">
        <f t="shared" si="3"/>
        <v>0.23109234787334312</v>
      </c>
      <c r="N109" s="67">
        <f t="shared" si="3"/>
        <v>43.384205176215012</v>
      </c>
      <c r="O109" s="67">
        <f t="shared" si="3"/>
        <v>0.49713212617692798</v>
      </c>
      <c r="P109" s="67">
        <f t="shared" si="3"/>
        <v>0.25209012242561435</v>
      </c>
      <c r="Q109" s="67">
        <f t="shared" si="3"/>
        <v>9.6037273465758258E-2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I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ref="K110:Q110" si="5">COUNT(K9:K104)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820</v>
      </c>
      <c r="B9" s="64">
        <v>6.6</v>
      </c>
      <c r="C9" s="64">
        <v>11.85</v>
      </c>
      <c r="D9" s="64">
        <v>11.49</v>
      </c>
      <c r="E9" s="64">
        <v>4.7</v>
      </c>
      <c r="F9" s="64">
        <v>5.45</v>
      </c>
      <c r="G9" s="64">
        <v>13.44</v>
      </c>
      <c r="H9" s="64">
        <v>1.01</v>
      </c>
      <c r="I9" s="64">
        <v>1.63</v>
      </c>
      <c r="J9" s="64">
        <v>0.09</v>
      </c>
      <c r="K9" s="64">
        <v>311.27</v>
      </c>
      <c r="L9" s="64">
        <v>23</v>
      </c>
      <c r="M9" s="64">
        <v>98.25</v>
      </c>
      <c r="N9" s="64">
        <v>68.7</v>
      </c>
      <c r="O9" s="64">
        <v>0</v>
      </c>
      <c r="P9" s="64">
        <v>0.19</v>
      </c>
      <c r="Q9" s="64">
        <v>9.08</v>
      </c>
      <c r="R9" s="198"/>
      <c r="S9" s="198"/>
      <c r="T9" s="198"/>
      <c r="U9" s="198"/>
    </row>
    <row r="10" spans="1:21" s="12" customFormat="1" x14ac:dyDescent="0.25">
      <c r="A10" s="213" t="s">
        <v>821</v>
      </c>
      <c r="B10" s="64">
        <v>6.68</v>
      </c>
      <c r="C10" s="64">
        <v>11.95</v>
      </c>
      <c r="D10" s="64">
        <v>11.6</v>
      </c>
      <c r="E10" s="64">
        <v>4.68</v>
      </c>
      <c r="F10" s="64">
        <v>4.54</v>
      </c>
      <c r="G10" s="64">
        <v>13.44</v>
      </c>
      <c r="H10" s="64">
        <v>1.01</v>
      </c>
      <c r="I10" s="64">
        <v>1.57</v>
      </c>
      <c r="J10" s="64">
        <v>0.11</v>
      </c>
      <c r="K10" s="64">
        <v>292.08</v>
      </c>
      <c r="L10" s="64">
        <v>22.99</v>
      </c>
      <c r="M10" s="64">
        <v>98.25</v>
      </c>
      <c r="N10" s="64">
        <v>68.900000000000006</v>
      </c>
      <c r="O10" s="64">
        <v>0</v>
      </c>
      <c r="P10" s="64">
        <v>0.23</v>
      </c>
      <c r="Q10" s="64">
        <v>9.09</v>
      </c>
      <c r="R10" s="198"/>
      <c r="S10" s="198"/>
      <c r="T10" s="198"/>
      <c r="U10" s="198"/>
    </row>
    <row r="11" spans="1:21" s="12" customFormat="1" x14ac:dyDescent="0.25">
      <c r="A11" s="213" t="s">
        <v>822</v>
      </c>
      <c r="B11" s="64">
        <v>7.09</v>
      </c>
      <c r="C11" s="64">
        <v>12.85</v>
      </c>
      <c r="D11" s="64">
        <v>12.39</v>
      </c>
      <c r="E11" s="64">
        <v>4.4800000000000004</v>
      </c>
      <c r="F11" s="64">
        <v>4.3899999999999997</v>
      </c>
      <c r="G11" s="64">
        <v>10.46</v>
      </c>
      <c r="H11" s="64">
        <v>0.59</v>
      </c>
      <c r="I11" s="64">
        <v>1.53</v>
      </c>
      <c r="J11" s="64">
        <v>0.13</v>
      </c>
      <c r="K11" s="64">
        <v>298.68</v>
      </c>
      <c r="L11" s="64">
        <v>23.02</v>
      </c>
      <c r="M11" s="64">
        <v>98.25</v>
      </c>
      <c r="N11" s="64">
        <v>69.400000000000006</v>
      </c>
      <c r="O11" s="64">
        <v>0</v>
      </c>
      <c r="P11" s="64">
        <v>0.26</v>
      </c>
      <c r="Q11" s="64">
        <v>9.09</v>
      </c>
      <c r="R11" s="198"/>
      <c r="S11" s="198"/>
      <c r="T11" s="198"/>
      <c r="U11" s="198"/>
    </row>
    <row r="12" spans="1:21" s="12" customFormat="1" x14ac:dyDescent="0.25">
      <c r="A12" s="213" t="s">
        <v>823</v>
      </c>
      <c r="B12" s="64">
        <v>7.56</v>
      </c>
      <c r="C12" s="64">
        <v>12.24</v>
      </c>
      <c r="D12" s="64">
        <v>12.45</v>
      </c>
      <c r="E12" s="64">
        <v>4.78</v>
      </c>
      <c r="F12" s="64">
        <v>3.56</v>
      </c>
      <c r="G12" s="64">
        <v>9.49</v>
      </c>
      <c r="H12" s="64">
        <v>0.47</v>
      </c>
      <c r="I12" s="64">
        <v>1.53</v>
      </c>
      <c r="J12" s="64">
        <v>0.24</v>
      </c>
      <c r="K12" s="64">
        <v>300.43</v>
      </c>
      <c r="L12" s="64">
        <v>23.01</v>
      </c>
      <c r="M12" s="64">
        <v>98.28</v>
      </c>
      <c r="N12" s="64">
        <v>68</v>
      </c>
      <c r="O12" s="64">
        <v>0.4</v>
      </c>
      <c r="P12" s="64">
        <v>0.27</v>
      </c>
      <c r="Q12" s="64">
        <v>9.08</v>
      </c>
      <c r="R12" s="198"/>
      <c r="S12" s="198"/>
      <c r="T12" s="198"/>
      <c r="U12" s="198"/>
    </row>
    <row r="13" spans="1:21" s="12" customFormat="1" x14ac:dyDescent="0.25">
      <c r="A13" s="213" t="s">
        <v>824</v>
      </c>
      <c r="B13" s="64">
        <v>7.7</v>
      </c>
      <c r="C13" s="64">
        <v>11.98</v>
      </c>
      <c r="D13" s="64">
        <v>12.44</v>
      </c>
      <c r="E13" s="64">
        <v>4.8</v>
      </c>
      <c r="F13" s="64">
        <v>3.19</v>
      </c>
      <c r="G13" s="64">
        <v>9.49</v>
      </c>
      <c r="H13" s="64">
        <v>0.47</v>
      </c>
      <c r="I13" s="64">
        <v>1.6</v>
      </c>
      <c r="J13" s="64">
        <v>0.2</v>
      </c>
      <c r="K13" s="64">
        <v>299.26</v>
      </c>
      <c r="L13" s="64">
        <v>22.92</v>
      </c>
      <c r="M13" s="64">
        <v>98.24</v>
      </c>
      <c r="N13" s="64">
        <v>68</v>
      </c>
      <c r="O13" s="64">
        <v>1.4</v>
      </c>
      <c r="P13" s="64">
        <v>0.37</v>
      </c>
      <c r="Q13" s="64">
        <v>9.06</v>
      </c>
      <c r="R13" s="198"/>
      <c r="S13" s="198"/>
      <c r="T13" s="198"/>
      <c r="U13" s="198"/>
    </row>
    <row r="14" spans="1:21" s="12" customFormat="1" x14ac:dyDescent="0.25">
      <c r="A14" s="213" t="s">
        <v>825</v>
      </c>
      <c r="B14" s="64">
        <v>7.66</v>
      </c>
      <c r="C14" s="64">
        <v>11.55</v>
      </c>
      <c r="D14" s="64">
        <v>12.17</v>
      </c>
      <c r="E14" s="64">
        <v>4.82</v>
      </c>
      <c r="F14" s="64">
        <v>3.66</v>
      </c>
      <c r="G14" s="64">
        <v>9.49</v>
      </c>
      <c r="H14" s="64">
        <v>0.47</v>
      </c>
      <c r="I14" s="64">
        <v>1.73</v>
      </c>
      <c r="J14" s="64">
        <v>0.12</v>
      </c>
      <c r="K14" s="64">
        <v>308.75</v>
      </c>
      <c r="L14" s="64">
        <v>22.79</v>
      </c>
      <c r="M14" s="64">
        <v>98.19</v>
      </c>
      <c r="N14" s="64">
        <v>67.8</v>
      </c>
      <c r="O14" s="64">
        <v>1</v>
      </c>
      <c r="P14" s="64">
        <v>0.4</v>
      </c>
      <c r="Q14" s="64">
        <v>9.06</v>
      </c>
      <c r="R14" s="198"/>
      <c r="S14" s="198"/>
      <c r="T14" s="198"/>
      <c r="U14" s="198"/>
    </row>
    <row r="15" spans="1:21" s="12" customFormat="1" x14ac:dyDescent="0.25">
      <c r="A15" s="213" t="s">
        <v>826</v>
      </c>
      <c r="B15" s="64">
        <v>7.69</v>
      </c>
      <c r="C15" s="64">
        <v>11.54</v>
      </c>
      <c r="D15" s="64">
        <v>12.2</v>
      </c>
      <c r="E15" s="64">
        <v>4.97</v>
      </c>
      <c r="F15" s="64">
        <v>3.34</v>
      </c>
      <c r="G15" s="64">
        <v>9.68</v>
      </c>
      <c r="H15" s="64">
        <v>0.92</v>
      </c>
      <c r="I15" s="64">
        <v>1.76</v>
      </c>
      <c r="J15" s="64">
        <v>0.12</v>
      </c>
      <c r="K15" s="64">
        <v>320.89</v>
      </c>
      <c r="L15" s="64">
        <v>22.72</v>
      </c>
      <c r="M15" s="64">
        <v>98.2</v>
      </c>
      <c r="N15" s="64">
        <v>67.900000000000006</v>
      </c>
      <c r="O15" s="64">
        <v>1.6</v>
      </c>
      <c r="P15" s="64">
        <v>0.43</v>
      </c>
      <c r="Q15" s="64">
        <v>9.0500000000000007</v>
      </c>
      <c r="R15" s="198"/>
      <c r="S15" s="198"/>
      <c r="T15" s="198"/>
      <c r="U15" s="198"/>
    </row>
    <row r="16" spans="1:21" s="12" customFormat="1" x14ac:dyDescent="0.25">
      <c r="A16" s="213" t="s">
        <v>827</v>
      </c>
      <c r="B16" s="64">
        <v>7.73</v>
      </c>
      <c r="C16" s="64">
        <v>11.57</v>
      </c>
      <c r="D16" s="64">
        <v>12.24</v>
      </c>
      <c r="E16" s="64">
        <v>4.53</v>
      </c>
      <c r="F16" s="64">
        <v>3.34</v>
      </c>
      <c r="G16" s="64">
        <v>9.74</v>
      </c>
      <c r="H16" s="64">
        <v>1.06</v>
      </c>
      <c r="I16" s="64">
        <v>1.79</v>
      </c>
      <c r="J16" s="64">
        <v>0.1</v>
      </c>
      <c r="K16" s="64">
        <v>317.89999999999998</v>
      </c>
      <c r="L16" s="64">
        <v>22.65</v>
      </c>
      <c r="M16" s="64">
        <v>98.21</v>
      </c>
      <c r="N16" s="64">
        <v>68</v>
      </c>
      <c r="O16" s="64">
        <v>0.8</v>
      </c>
      <c r="P16" s="64">
        <v>0.45</v>
      </c>
      <c r="Q16" s="64">
        <v>9.0500000000000007</v>
      </c>
      <c r="R16" s="198"/>
      <c r="S16" s="198"/>
      <c r="T16" s="198"/>
      <c r="U16" s="198"/>
    </row>
    <row r="17" spans="1:21" s="12" customFormat="1" x14ac:dyDescent="0.25">
      <c r="A17" s="213" t="s">
        <v>828</v>
      </c>
      <c r="B17" s="64">
        <v>7.63</v>
      </c>
      <c r="C17" s="64">
        <v>11.95</v>
      </c>
      <c r="D17" s="64">
        <v>12.37</v>
      </c>
      <c r="E17" s="64">
        <v>4.5599999999999996</v>
      </c>
      <c r="F17" s="64">
        <v>2.94</v>
      </c>
      <c r="G17" s="64">
        <v>9.74</v>
      </c>
      <c r="H17" s="64">
        <v>1.06</v>
      </c>
      <c r="I17" s="64">
        <v>1.87</v>
      </c>
      <c r="J17" s="64">
        <v>0.1</v>
      </c>
      <c r="K17" s="64">
        <v>322.55</v>
      </c>
      <c r="L17" s="64">
        <v>22.6</v>
      </c>
      <c r="M17" s="64">
        <v>98.22</v>
      </c>
      <c r="N17" s="64">
        <v>68.099999999999994</v>
      </c>
      <c r="O17" s="64">
        <v>0.4</v>
      </c>
      <c r="P17" s="64">
        <v>0.42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3" t="s">
        <v>829</v>
      </c>
      <c r="B18" s="64">
        <v>7.69</v>
      </c>
      <c r="C18" s="64">
        <v>11.41</v>
      </c>
      <c r="D18" s="64">
        <v>12.13</v>
      </c>
      <c r="E18" s="64">
        <v>4.54</v>
      </c>
      <c r="F18" s="64">
        <v>3.31</v>
      </c>
      <c r="G18" s="64">
        <v>9.74</v>
      </c>
      <c r="H18" s="64">
        <v>1.06</v>
      </c>
      <c r="I18" s="64">
        <v>1.93</v>
      </c>
      <c r="J18" s="64">
        <v>0.12</v>
      </c>
      <c r="K18" s="64">
        <v>304.86</v>
      </c>
      <c r="L18" s="64">
        <v>22.57</v>
      </c>
      <c r="M18" s="64">
        <v>98.23</v>
      </c>
      <c r="N18" s="64">
        <v>68.099999999999994</v>
      </c>
      <c r="O18" s="64">
        <v>0</v>
      </c>
      <c r="P18" s="64">
        <v>0.42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3" t="s">
        <v>830</v>
      </c>
      <c r="B19" s="64">
        <v>7.57</v>
      </c>
      <c r="C19" s="64">
        <v>11.21</v>
      </c>
      <c r="D19" s="64">
        <v>11.93</v>
      </c>
      <c r="E19" s="64">
        <v>4.59</v>
      </c>
      <c r="F19" s="64">
        <v>3.41</v>
      </c>
      <c r="G19" s="64">
        <v>10.84</v>
      </c>
      <c r="H19" s="64">
        <v>0.34</v>
      </c>
      <c r="I19" s="64">
        <v>1.91</v>
      </c>
      <c r="J19" s="64">
        <v>0.15</v>
      </c>
      <c r="K19" s="64">
        <v>298.11</v>
      </c>
      <c r="L19" s="64">
        <v>22.56</v>
      </c>
      <c r="M19" s="64">
        <v>98.24</v>
      </c>
      <c r="N19" s="64">
        <v>68.3</v>
      </c>
      <c r="O19" s="64">
        <v>0</v>
      </c>
      <c r="P19" s="64">
        <v>0.4</v>
      </c>
      <c r="Q19" s="64">
        <v>9.06</v>
      </c>
      <c r="R19" s="198"/>
      <c r="S19" s="198"/>
      <c r="T19" s="198"/>
      <c r="U19" s="198"/>
    </row>
    <row r="20" spans="1:21" s="12" customFormat="1" x14ac:dyDescent="0.25">
      <c r="A20" s="213" t="s">
        <v>831</v>
      </c>
      <c r="B20" s="64">
        <v>7.39</v>
      </c>
      <c r="C20" s="64">
        <v>11.27</v>
      </c>
      <c r="D20" s="64">
        <v>11.81</v>
      </c>
      <c r="E20" s="64">
        <v>4.6100000000000003</v>
      </c>
      <c r="F20" s="64">
        <v>3.02</v>
      </c>
      <c r="G20" s="64">
        <v>11.19</v>
      </c>
      <c r="H20" s="64">
        <v>0.11</v>
      </c>
      <c r="I20" s="64">
        <v>1.84</v>
      </c>
      <c r="J20" s="64">
        <v>0.12</v>
      </c>
      <c r="K20" s="64">
        <v>306.39999999999998</v>
      </c>
      <c r="L20" s="64">
        <v>22.54</v>
      </c>
      <c r="M20" s="64">
        <v>98.25</v>
      </c>
      <c r="N20" s="64">
        <v>68.5</v>
      </c>
      <c r="O20" s="64">
        <v>0.4</v>
      </c>
      <c r="P20" s="64">
        <v>0.37</v>
      </c>
      <c r="Q20" s="64">
        <v>9.0500000000000007</v>
      </c>
      <c r="R20" s="198"/>
      <c r="S20" s="198"/>
      <c r="T20" s="198"/>
      <c r="U20" s="198"/>
    </row>
    <row r="21" spans="1:21" s="12" customFormat="1" x14ac:dyDescent="0.25">
      <c r="A21" s="213" t="s">
        <v>832</v>
      </c>
      <c r="B21" s="64">
        <v>7.11</v>
      </c>
      <c r="C21" s="64">
        <v>11.11</v>
      </c>
      <c r="D21" s="64">
        <v>11.51</v>
      </c>
      <c r="E21" s="64">
        <v>4.37</v>
      </c>
      <c r="F21" s="64">
        <v>3.58</v>
      </c>
      <c r="G21" s="64">
        <v>11.19</v>
      </c>
      <c r="H21" s="64">
        <v>0.11</v>
      </c>
      <c r="I21" s="64">
        <v>1.75</v>
      </c>
      <c r="J21" s="64">
        <v>0.13</v>
      </c>
      <c r="K21" s="64">
        <v>296.77</v>
      </c>
      <c r="L21" s="64">
        <v>22.51</v>
      </c>
      <c r="M21" s="64">
        <v>98.26</v>
      </c>
      <c r="N21" s="64">
        <v>68.900000000000006</v>
      </c>
      <c r="O21" s="64">
        <v>0.4</v>
      </c>
      <c r="P21" s="64">
        <v>0.34</v>
      </c>
      <c r="Q21" s="64">
        <v>9.0399999999999991</v>
      </c>
      <c r="R21" s="198"/>
      <c r="S21" s="198"/>
      <c r="T21" s="198"/>
      <c r="U21" s="198"/>
    </row>
    <row r="22" spans="1:21" s="12" customFormat="1" x14ac:dyDescent="0.25">
      <c r="A22" s="213" t="s">
        <v>833</v>
      </c>
      <c r="B22" s="64">
        <v>6.69</v>
      </c>
      <c r="C22" s="64">
        <v>10.82</v>
      </c>
      <c r="D22" s="64">
        <v>11.02</v>
      </c>
      <c r="E22" s="64">
        <v>4.54</v>
      </c>
      <c r="F22" s="64">
        <v>3.45</v>
      </c>
      <c r="G22" s="64">
        <v>11.19</v>
      </c>
      <c r="H22" s="64">
        <v>0.11</v>
      </c>
      <c r="I22" s="64">
        <v>1.64</v>
      </c>
      <c r="J22" s="64">
        <v>0.12</v>
      </c>
      <c r="K22" s="64">
        <v>306.12</v>
      </c>
      <c r="L22" s="64">
        <v>22.48</v>
      </c>
      <c r="M22" s="64">
        <v>98.25</v>
      </c>
      <c r="N22" s="64">
        <v>68.900000000000006</v>
      </c>
      <c r="O22" s="64">
        <v>1.2</v>
      </c>
      <c r="P22" s="64">
        <v>0.3</v>
      </c>
      <c r="Q22" s="64">
        <v>9.0399999999999991</v>
      </c>
      <c r="R22" s="198"/>
      <c r="S22" s="198"/>
      <c r="T22" s="198"/>
      <c r="U22" s="198"/>
    </row>
    <row r="23" spans="1:21" s="12" customFormat="1" x14ac:dyDescent="0.25">
      <c r="A23" s="213" t="s">
        <v>834</v>
      </c>
      <c r="B23" s="64">
        <v>6.41</v>
      </c>
      <c r="C23" s="64">
        <v>10.87</v>
      </c>
      <c r="D23" s="64">
        <v>10.82</v>
      </c>
      <c r="E23" s="64">
        <v>4.37</v>
      </c>
      <c r="F23" s="64">
        <v>3.74</v>
      </c>
      <c r="G23" s="64">
        <v>10.18</v>
      </c>
      <c r="H23" s="64">
        <v>0.04</v>
      </c>
      <c r="I23" s="64">
        <v>1.54</v>
      </c>
      <c r="J23" s="64">
        <v>0.13</v>
      </c>
      <c r="K23" s="64">
        <v>314.47000000000003</v>
      </c>
      <c r="L23" s="64">
        <v>22.47</v>
      </c>
      <c r="M23" s="64">
        <v>98.25</v>
      </c>
      <c r="N23" s="64">
        <v>69</v>
      </c>
      <c r="O23" s="64">
        <v>0.6</v>
      </c>
      <c r="P23" s="64">
        <v>0.28999999999999998</v>
      </c>
      <c r="Q23" s="64">
        <v>9.0500000000000007</v>
      </c>
      <c r="R23" s="198"/>
      <c r="S23" s="198"/>
      <c r="T23" s="198"/>
      <c r="U23" s="198"/>
    </row>
    <row r="24" spans="1:21" s="12" customFormat="1" x14ac:dyDescent="0.25">
      <c r="A24" s="213" t="s">
        <v>835</v>
      </c>
      <c r="B24" s="64">
        <v>6.25</v>
      </c>
      <c r="C24" s="64">
        <v>10.93</v>
      </c>
      <c r="D24" s="64">
        <v>10.73</v>
      </c>
      <c r="E24" s="64">
        <v>4.58</v>
      </c>
      <c r="F24" s="64">
        <v>3.5</v>
      </c>
      <c r="G24" s="64">
        <v>9.85</v>
      </c>
      <c r="H24" s="64">
        <v>0.01</v>
      </c>
      <c r="I24" s="64">
        <v>1.43</v>
      </c>
      <c r="J24" s="64">
        <v>0.15</v>
      </c>
      <c r="K24" s="64">
        <v>300.60000000000002</v>
      </c>
      <c r="L24" s="64">
        <v>22.46</v>
      </c>
      <c r="M24" s="64">
        <v>98.27</v>
      </c>
      <c r="N24" s="64">
        <v>69.099999999999994</v>
      </c>
      <c r="O24" s="64">
        <v>0.6</v>
      </c>
      <c r="P24" s="64">
        <v>0.27</v>
      </c>
      <c r="Q24" s="64">
        <v>9.0399999999999991</v>
      </c>
      <c r="R24" s="198"/>
      <c r="S24" s="198"/>
      <c r="T24" s="198"/>
      <c r="U24" s="198"/>
    </row>
    <row r="25" spans="1:21" s="12" customFormat="1" x14ac:dyDescent="0.25">
      <c r="A25" s="213" t="s">
        <v>836</v>
      </c>
      <c r="B25" s="64">
        <v>6.27</v>
      </c>
      <c r="C25" s="64">
        <v>10.93</v>
      </c>
      <c r="D25" s="64">
        <v>10.74</v>
      </c>
      <c r="E25" s="64">
        <v>4.45</v>
      </c>
      <c r="F25" s="64">
        <v>3.64</v>
      </c>
      <c r="G25" s="64">
        <v>9.85</v>
      </c>
      <c r="H25" s="64">
        <v>0.01</v>
      </c>
      <c r="I25" s="64">
        <v>1.34</v>
      </c>
      <c r="J25" s="64">
        <v>0.16</v>
      </c>
      <c r="K25" s="64">
        <v>303.19</v>
      </c>
      <c r="L25" s="64">
        <v>22.48</v>
      </c>
      <c r="M25" s="64">
        <v>98.23</v>
      </c>
      <c r="N25" s="64">
        <v>69.2</v>
      </c>
      <c r="O25" s="64">
        <v>1</v>
      </c>
      <c r="P25" s="64">
        <v>0.25</v>
      </c>
      <c r="Q25" s="64">
        <v>9.0399999999999991</v>
      </c>
      <c r="R25" s="198"/>
      <c r="S25" s="198"/>
      <c r="T25" s="198"/>
      <c r="U25" s="198"/>
    </row>
    <row r="26" spans="1:21" s="12" customFormat="1" x14ac:dyDescent="0.25">
      <c r="A26" s="213" t="s">
        <v>837</v>
      </c>
      <c r="B26" s="64">
        <v>6.29</v>
      </c>
      <c r="C26" s="64">
        <v>11</v>
      </c>
      <c r="D26" s="64">
        <v>10.79</v>
      </c>
      <c r="E26" s="64">
        <v>4.4400000000000004</v>
      </c>
      <c r="F26" s="64">
        <v>3.26</v>
      </c>
      <c r="G26" s="64">
        <v>9.85</v>
      </c>
      <c r="H26" s="64">
        <v>0.01</v>
      </c>
      <c r="I26" s="64">
        <v>1.27</v>
      </c>
      <c r="J26" s="64">
        <v>0.15</v>
      </c>
      <c r="K26" s="64">
        <v>297.49</v>
      </c>
      <c r="L26" s="64">
        <v>22.45</v>
      </c>
      <c r="M26" s="64">
        <v>98.16</v>
      </c>
      <c r="N26" s="64">
        <v>63.7</v>
      </c>
      <c r="O26" s="64">
        <v>1</v>
      </c>
      <c r="P26" s="64">
        <v>0.25</v>
      </c>
      <c r="Q26" s="64">
        <v>9.0399999999999991</v>
      </c>
      <c r="R26" s="198"/>
      <c r="S26" s="198"/>
      <c r="T26" s="198"/>
      <c r="U26" s="198"/>
    </row>
    <row r="27" spans="1:21" s="12" customFormat="1" x14ac:dyDescent="0.25">
      <c r="A27" s="213" t="s">
        <v>838</v>
      </c>
      <c r="B27" s="64">
        <v>6.43</v>
      </c>
      <c r="C27" s="64">
        <v>11.15</v>
      </c>
      <c r="D27" s="64">
        <v>10.98</v>
      </c>
      <c r="E27" s="64">
        <v>4.5</v>
      </c>
      <c r="F27" s="64">
        <v>3.74</v>
      </c>
      <c r="G27" s="64">
        <v>7.92</v>
      </c>
      <c r="H27" s="64">
        <v>1.18</v>
      </c>
      <c r="I27" s="64">
        <v>1.23</v>
      </c>
      <c r="J27" s="64">
        <v>0.13</v>
      </c>
      <c r="K27" s="64">
        <v>301.8</v>
      </c>
      <c r="L27" s="64">
        <v>22.46</v>
      </c>
      <c r="M27" s="64">
        <v>98.16</v>
      </c>
      <c r="N27" s="64">
        <v>60.6</v>
      </c>
      <c r="O27" s="64">
        <v>0.8</v>
      </c>
      <c r="P27" s="64">
        <v>0.25</v>
      </c>
      <c r="Q27" s="64">
        <v>9.0500000000000007</v>
      </c>
      <c r="R27" s="198"/>
      <c r="S27" s="198"/>
      <c r="T27" s="198"/>
      <c r="U27" s="198"/>
    </row>
    <row r="28" spans="1:21" s="12" customFormat="1" x14ac:dyDescent="0.25">
      <c r="A28" s="213" t="s">
        <v>839</v>
      </c>
      <c r="B28" s="64">
        <v>6.73</v>
      </c>
      <c r="C28" s="64">
        <v>11.03</v>
      </c>
      <c r="D28" s="64">
        <v>11.16</v>
      </c>
      <c r="E28" s="64">
        <v>4.76</v>
      </c>
      <c r="F28" s="64">
        <v>3.55</v>
      </c>
      <c r="G28" s="64">
        <v>7.29</v>
      </c>
      <c r="H28" s="64">
        <v>1.56</v>
      </c>
      <c r="I28" s="64">
        <v>1.2</v>
      </c>
      <c r="J28" s="64">
        <v>0.15</v>
      </c>
      <c r="K28" s="64">
        <v>305.63</v>
      </c>
      <c r="L28" s="64">
        <v>22.45</v>
      </c>
      <c r="M28" s="64">
        <v>98.18</v>
      </c>
      <c r="N28" s="64">
        <v>60.4</v>
      </c>
      <c r="O28" s="64">
        <v>1.2</v>
      </c>
      <c r="P28" s="64">
        <v>0.25</v>
      </c>
      <c r="Q28" s="64">
        <v>9.0500000000000007</v>
      </c>
      <c r="R28" s="198"/>
      <c r="S28" s="198"/>
      <c r="T28" s="198"/>
      <c r="U28" s="198"/>
    </row>
    <row r="29" spans="1:21" s="12" customFormat="1" x14ac:dyDescent="0.25">
      <c r="A29" s="213" t="s">
        <v>840</v>
      </c>
      <c r="B29" s="64">
        <v>6.91</v>
      </c>
      <c r="C29" s="64">
        <v>10.98</v>
      </c>
      <c r="D29" s="64">
        <v>11.28</v>
      </c>
      <c r="E29" s="64">
        <v>4.6100000000000003</v>
      </c>
      <c r="F29" s="64">
        <v>3.17</v>
      </c>
      <c r="G29" s="64">
        <v>7.29</v>
      </c>
      <c r="H29" s="64">
        <v>1.56</v>
      </c>
      <c r="I29" s="64">
        <v>1.18</v>
      </c>
      <c r="J29" s="64">
        <v>0.12</v>
      </c>
      <c r="K29" s="64">
        <v>293.70999999999998</v>
      </c>
      <c r="L29" s="64">
        <v>22.44</v>
      </c>
      <c r="M29" s="64">
        <v>98.2</v>
      </c>
      <c r="N29" s="64">
        <v>60.4</v>
      </c>
      <c r="O29" s="64">
        <v>1</v>
      </c>
      <c r="P29" s="64">
        <v>0.24</v>
      </c>
      <c r="Q29" s="64">
        <v>9.06</v>
      </c>
      <c r="R29" s="198"/>
      <c r="S29" s="198"/>
      <c r="T29" s="198"/>
      <c r="U29" s="198"/>
    </row>
    <row r="30" spans="1:21" s="12" customFormat="1" x14ac:dyDescent="0.25">
      <c r="A30" s="213" t="s">
        <v>841</v>
      </c>
      <c r="B30" s="64">
        <v>7.22</v>
      </c>
      <c r="C30" s="64">
        <v>11.32</v>
      </c>
      <c r="D30" s="64">
        <v>11.7</v>
      </c>
      <c r="E30" s="64">
        <v>4.62</v>
      </c>
      <c r="F30" s="64">
        <v>3.11</v>
      </c>
      <c r="G30" s="64">
        <v>7.29</v>
      </c>
      <c r="H30" s="64">
        <v>1.56</v>
      </c>
      <c r="I30" s="64">
        <v>1.18</v>
      </c>
      <c r="J30" s="64">
        <v>0.14000000000000001</v>
      </c>
      <c r="K30" s="64">
        <v>292.14</v>
      </c>
      <c r="L30" s="64">
        <v>22.47</v>
      </c>
      <c r="M30" s="64">
        <v>98.2</v>
      </c>
      <c r="N30" s="64">
        <v>60.9</v>
      </c>
      <c r="O30" s="64">
        <v>1.2</v>
      </c>
      <c r="P30" s="64">
        <v>0.24</v>
      </c>
      <c r="Q30" s="64">
        <v>9.0399999999999991</v>
      </c>
      <c r="R30" s="198"/>
      <c r="S30" s="198"/>
      <c r="T30" s="198"/>
      <c r="U30" s="198"/>
    </row>
    <row r="31" spans="1:21" s="12" customFormat="1" x14ac:dyDescent="0.25">
      <c r="A31" s="213" t="s">
        <v>842</v>
      </c>
      <c r="B31" s="64">
        <v>7.52</v>
      </c>
      <c r="C31" s="64">
        <v>11.32</v>
      </c>
      <c r="D31" s="64">
        <v>11.95</v>
      </c>
      <c r="E31" s="64">
        <v>4.43</v>
      </c>
      <c r="F31" s="64">
        <v>3.72</v>
      </c>
      <c r="G31" s="64">
        <v>6.99</v>
      </c>
      <c r="H31" s="64">
        <v>1.28</v>
      </c>
      <c r="I31" s="64">
        <v>1.1599999999999999</v>
      </c>
      <c r="J31" s="64">
        <v>0.1</v>
      </c>
      <c r="K31" s="64">
        <v>302.52</v>
      </c>
      <c r="L31" s="64">
        <v>22.47</v>
      </c>
      <c r="M31" s="64">
        <v>98.21</v>
      </c>
      <c r="N31" s="64">
        <v>61.5</v>
      </c>
      <c r="O31" s="64">
        <v>1</v>
      </c>
      <c r="P31" s="64">
        <v>0.24</v>
      </c>
      <c r="Q31" s="64">
        <v>9.0399999999999991</v>
      </c>
      <c r="R31" s="198"/>
      <c r="S31" s="198"/>
      <c r="T31" s="198"/>
      <c r="U31" s="198"/>
    </row>
    <row r="32" spans="1:21" s="12" customFormat="1" x14ac:dyDescent="0.25">
      <c r="A32" s="213" t="s">
        <v>843</v>
      </c>
      <c r="B32" s="64">
        <v>8.0299999999999994</v>
      </c>
      <c r="C32" s="64">
        <v>11.39</v>
      </c>
      <c r="D32" s="64">
        <v>12.39</v>
      </c>
      <c r="E32" s="64">
        <v>4.5599999999999996</v>
      </c>
      <c r="F32" s="64">
        <v>2.9</v>
      </c>
      <c r="G32" s="64">
        <v>6.9</v>
      </c>
      <c r="H32" s="64">
        <v>1.18</v>
      </c>
      <c r="I32" s="64">
        <v>1.1299999999999999</v>
      </c>
      <c r="J32" s="64">
        <v>0.16</v>
      </c>
      <c r="K32" s="64">
        <v>299.20999999999998</v>
      </c>
      <c r="L32" s="64">
        <v>22.48</v>
      </c>
      <c r="M32" s="64">
        <v>98.23</v>
      </c>
      <c r="N32" s="64">
        <v>63.3</v>
      </c>
      <c r="O32" s="64">
        <v>0.4</v>
      </c>
      <c r="P32" s="64">
        <v>0.26</v>
      </c>
      <c r="Q32" s="64">
        <v>9.0500000000000007</v>
      </c>
      <c r="R32" s="198"/>
      <c r="S32" s="198"/>
      <c r="T32" s="198"/>
      <c r="U32" s="198"/>
    </row>
    <row r="33" spans="1:21" s="12" customFormat="1" x14ac:dyDescent="0.25">
      <c r="A33" s="213" t="s">
        <v>844</v>
      </c>
      <c r="B33" s="64">
        <v>8.5500000000000007</v>
      </c>
      <c r="C33" s="64">
        <v>11.23</v>
      </c>
      <c r="D33" s="64">
        <v>12.72</v>
      </c>
      <c r="E33" s="64">
        <v>4.76</v>
      </c>
      <c r="F33" s="64">
        <v>3.62</v>
      </c>
      <c r="G33" s="64">
        <v>6.9</v>
      </c>
      <c r="H33" s="64">
        <v>1.18</v>
      </c>
      <c r="I33" s="64">
        <v>1.1599999999999999</v>
      </c>
      <c r="J33" s="64">
        <v>0.17</v>
      </c>
      <c r="K33" s="64">
        <v>305.41000000000003</v>
      </c>
      <c r="L33" s="64">
        <v>22.5</v>
      </c>
      <c r="M33" s="64">
        <v>98.22</v>
      </c>
      <c r="N33" s="64">
        <v>65</v>
      </c>
      <c r="O33" s="64">
        <v>1</v>
      </c>
      <c r="P33" s="64">
        <v>0.28999999999999998</v>
      </c>
      <c r="Q33" s="64">
        <v>9.0500000000000007</v>
      </c>
      <c r="R33" s="198"/>
      <c r="S33" s="198"/>
      <c r="T33" s="198"/>
      <c r="U33" s="198"/>
    </row>
    <row r="34" spans="1:21" s="12" customFormat="1" x14ac:dyDescent="0.25">
      <c r="A34" s="213" t="s">
        <v>845</v>
      </c>
      <c r="B34" s="64">
        <v>9.4</v>
      </c>
      <c r="C34" s="64">
        <v>11.52</v>
      </c>
      <c r="D34" s="64">
        <v>13.56</v>
      </c>
      <c r="E34" s="64">
        <v>4.4000000000000004</v>
      </c>
      <c r="F34" s="64">
        <v>3.25</v>
      </c>
      <c r="G34" s="64">
        <v>6.9</v>
      </c>
      <c r="H34" s="64">
        <v>1.18</v>
      </c>
      <c r="I34" s="64">
        <v>1.27</v>
      </c>
      <c r="J34" s="64">
        <v>0.2</v>
      </c>
      <c r="K34" s="64">
        <v>295.60000000000002</v>
      </c>
      <c r="L34" s="64">
        <v>22.48</v>
      </c>
      <c r="M34" s="64">
        <v>98.23</v>
      </c>
      <c r="N34" s="64">
        <v>68.2</v>
      </c>
      <c r="O34" s="64">
        <v>0.6</v>
      </c>
      <c r="P34" s="64">
        <v>0.28999999999999998</v>
      </c>
      <c r="Q34" s="64">
        <v>9.08</v>
      </c>
      <c r="R34" s="198"/>
      <c r="S34" s="198"/>
      <c r="T34" s="198"/>
      <c r="U34" s="198"/>
    </row>
    <row r="35" spans="1:21" s="12" customFormat="1" x14ac:dyDescent="0.25">
      <c r="A35" s="213" t="s">
        <v>846</v>
      </c>
      <c r="B35" s="64">
        <v>9.57</v>
      </c>
      <c r="C35" s="64">
        <v>11.01</v>
      </c>
      <c r="D35" s="64">
        <v>13.42</v>
      </c>
      <c r="E35" s="64">
        <v>5.01</v>
      </c>
      <c r="F35" s="64">
        <v>3.59</v>
      </c>
      <c r="G35" s="64">
        <v>7.75</v>
      </c>
      <c r="H35" s="64">
        <v>4.4400000000000004</v>
      </c>
      <c r="I35" s="64">
        <v>1.37</v>
      </c>
      <c r="J35" s="64">
        <v>0.14000000000000001</v>
      </c>
      <c r="K35" s="64">
        <v>303.83999999999997</v>
      </c>
      <c r="L35" s="64">
        <v>22.46</v>
      </c>
      <c r="M35" s="64">
        <v>98.21</v>
      </c>
      <c r="N35" s="64">
        <v>66.8</v>
      </c>
      <c r="O35" s="64">
        <v>2</v>
      </c>
      <c r="P35" s="64">
        <v>0.3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3" t="s">
        <v>847</v>
      </c>
      <c r="B36" s="64">
        <v>10.050000000000001</v>
      </c>
      <c r="C36" s="64">
        <v>10.94</v>
      </c>
      <c r="D36" s="64">
        <v>13.77</v>
      </c>
      <c r="E36" s="64">
        <v>4.6100000000000003</v>
      </c>
      <c r="F36" s="64">
        <v>3.08</v>
      </c>
      <c r="G36" s="64">
        <v>8.0299999999999994</v>
      </c>
      <c r="H36" s="64">
        <v>5.49</v>
      </c>
      <c r="I36" s="64">
        <v>1.39</v>
      </c>
      <c r="J36" s="64">
        <v>0.37</v>
      </c>
      <c r="K36" s="64">
        <v>314.35000000000002</v>
      </c>
      <c r="L36" s="64">
        <v>22.47</v>
      </c>
      <c r="M36" s="64">
        <v>98.2</v>
      </c>
      <c r="N36" s="64">
        <v>70.2</v>
      </c>
      <c r="O36" s="64">
        <v>3.2</v>
      </c>
      <c r="P36" s="64">
        <v>0.28000000000000003</v>
      </c>
      <c r="Q36" s="64">
        <v>9.11</v>
      </c>
      <c r="R36" s="198"/>
      <c r="S36" s="198"/>
      <c r="T36" s="198"/>
      <c r="U36" s="198"/>
    </row>
    <row r="37" spans="1:21" s="12" customFormat="1" x14ac:dyDescent="0.25">
      <c r="A37" s="213" t="s">
        <v>848</v>
      </c>
      <c r="B37" s="64">
        <v>10.4</v>
      </c>
      <c r="C37" s="64">
        <v>10.81</v>
      </c>
      <c r="D37" s="64">
        <v>13.99</v>
      </c>
      <c r="E37" s="64">
        <v>4.76</v>
      </c>
      <c r="F37" s="64">
        <v>3.31</v>
      </c>
      <c r="G37" s="64">
        <v>8.0299999999999994</v>
      </c>
      <c r="H37" s="64">
        <v>5.49</v>
      </c>
      <c r="I37" s="64">
        <v>1.37</v>
      </c>
      <c r="J37" s="64">
        <v>0.13</v>
      </c>
      <c r="K37" s="64">
        <v>298.33999999999997</v>
      </c>
      <c r="L37" s="64">
        <v>22.38</v>
      </c>
      <c r="M37" s="64">
        <v>98.22</v>
      </c>
      <c r="N37" s="64">
        <v>72.8</v>
      </c>
      <c r="O37" s="64">
        <v>1.8</v>
      </c>
      <c r="P37" s="64">
        <v>0.3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13" t="s">
        <v>849</v>
      </c>
      <c r="B38" s="64">
        <v>10.72</v>
      </c>
      <c r="C38" s="64">
        <v>11.27</v>
      </c>
      <c r="D38" s="64">
        <v>14.49</v>
      </c>
      <c r="E38" s="64">
        <v>4.5999999999999996</v>
      </c>
      <c r="F38" s="64">
        <v>3.44</v>
      </c>
      <c r="G38" s="64">
        <v>8.0299999999999994</v>
      </c>
      <c r="H38" s="64">
        <v>5.49</v>
      </c>
      <c r="I38" s="64">
        <v>1.37</v>
      </c>
      <c r="J38" s="64">
        <v>0.38</v>
      </c>
      <c r="K38" s="64">
        <v>308.87</v>
      </c>
      <c r="L38" s="64">
        <v>22.36</v>
      </c>
      <c r="M38" s="64">
        <v>98.2</v>
      </c>
      <c r="N38" s="64">
        <v>69</v>
      </c>
      <c r="O38" s="64">
        <v>0.8</v>
      </c>
      <c r="P38" s="64">
        <v>0.31</v>
      </c>
      <c r="Q38" s="64">
        <v>9.1300000000000008</v>
      </c>
      <c r="R38" s="198"/>
      <c r="S38" s="198"/>
      <c r="T38" s="198"/>
      <c r="U38" s="198"/>
    </row>
    <row r="39" spans="1:21" s="12" customFormat="1" x14ac:dyDescent="0.25">
      <c r="A39" s="213" t="s">
        <v>850</v>
      </c>
      <c r="B39" s="64">
        <v>11</v>
      </c>
      <c r="C39" s="64">
        <v>11.08</v>
      </c>
      <c r="D39" s="64">
        <v>14.61</v>
      </c>
      <c r="E39" s="64">
        <v>4.84</v>
      </c>
      <c r="F39" s="64">
        <v>3.51</v>
      </c>
      <c r="G39" s="64">
        <v>7.58</v>
      </c>
      <c r="H39" s="64">
        <v>2.25</v>
      </c>
      <c r="I39" s="64">
        <v>1.38</v>
      </c>
      <c r="J39" s="64">
        <v>0.51</v>
      </c>
      <c r="K39" s="64">
        <v>301.42</v>
      </c>
      <c r="L39" s="64">
        <v>22.35</v>
      </c>
      <c r="M39" s="64">
        <v>98.18</v>
      </c>
      <c r="N39" s="64">
        <v>72.400000000000006</v>
      </c>
      <c r="O39" s="64">
        <v>0.4</v>
      </c>
      <c r="P39" s="64">
        <v>0.31</v>
      </c>
      <c r="Q39" s="64">
        <v>9.15</v>
      </c>
      <c r="R39" s="198"/>
      <c r="S39" s="198"/>
      <c r="T39" s="198"/>
      <c r="U39" s="198"/>
    </row>
    <row r="40" spans="1:21" s="12" customFormat="1" x14ac:dyDescent="0.25">
      <c r="A40" s="213" t="s">
        <v>851</v>
      </c>
      <c r="B40" s="64">
        <v>11.28</v>
      </c>
      <c r="C40" s="64">
        <v>11.6</v>
      </c>
      <c r="D40" s="64">
        <v>15.11</v>
      </c>
      <c r="E40" s="64">
        <v>4.6100000000000003</v>
      </c>
      <c r="F40" s="64">
        <v>3.12</v>
      </c>
      <c r="G40" s="64">
        <v>7.44</v>
      </c>
      <c r="H40" s="64">
        <v>1.2</v>
      </c>
      <c r="I40" s="64">
        <v>1.41</v>
      </c>
      <c r="J40" s="64">
        <v>0.4</v>
      </c>
      <c r="K40" s="64">
        <v>300.17</v>
      </c>
      <c r="L40" s="64">
        <v>22.28</v>
      </c>
      <c r="M40" s="64">
        <v>98.18</v>
      </c>
      <c r="N40" s="64">
        <v>76.8</v>
      </c>
      <c r="O40" s="64">
        <v>0.8</v>
      </c>
      <c r="P40" s="64">
        <v>0.3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3" t="s">
        <v>852</v>
      </c>
      <c r="B41" s="64">
        <v>11.72</v>
      </c>
      <c r="C41" s="64">
        <v>12.33</v>
      </c>
      <c r="D41" s="64">
        <v>15.84</v>
      </c>
      <c r="E41" s="64">
        <v>4.74</v>
      </c>
      <c r="F41" s="64">
        <v>2.68</v>
      </c>
      <c r="G41" s="64">
        <v>7.44</v>
      </c>
      <c r="H41" s="64">
        <v>1.2</v>
      </c>
      <c r="I41" s="64">
        <v>1.46</v>
      </c>
      <c r="J41" s="64">
        <v>0.4</v>
      </c>
      <c r="K41" s="64">
        <v>307.58</v>
      </c>
      <c r="L41" s="64">
        <v>22.28</v>
      </c>
      <c r="M41" s="64">
        <v>98.19</v>
      </c>
      <c r="N41" s="64">
        <v>83.6</v>
      </c>
      <c r="O41" s="64">
        <v>0.6</v>
      </c>
      <c r="P41" s="64">
        <v>0.31</v>
      </c>
      <c r="Q41" s="64">
        <v>9.2100000000000009</v>
      </c>
      <c r="R41" s="198"/>
      <c r="S41" s="198"/>
      <c r="T41" s="198"/>
      <c r="U41" s="198"/>
    </row>
    <row r="42" spans="1:21" s="12" customFormat="1" x14ac:dyDescent="0.25">
      <c r="A42" s="213" t="s">
        <v>853</v>
      </c>
      <c r="B42" s="64">
        <v>11.96</v>
      </c>
      <c r="C42" s="64">
        <v>12.23</v>
      </c>
      <c r="D42" s="64">
        <v>15.98</v>
      </c>
      <c r="E42" s="64">
        <v>4.87</v>
      </c>
      <c r="F42" s="64">
        <v>3.34</v>
      </c>
      <c r="G42" s="64">
        <v>7.44</v>
      </c>
      <c r="H42" s="64">
        <v>1.2</v>
      </c>
      <c r="I42" s="64">
        <v>1.48</v>
      </c>
      <c r="J42" s="64">
        <v>0.34</v>
      </c>
      <c r="K42" s="64">
        <v>292.20999999999998</v>
      </c>
      <c r="L42" s="64">
        <v>22.31</v>
      </c>
      <c r="M42" s="64">
        <v>98.16</v>
      </c>
      <c r="N42" s="64">
        <v>108.7</v>
      </c>
      <c r="O42" s="64">
        <v>0</v>
      </c>
      <c r="P42" s="64">
        <v>0.34</v>
      </c>
      <c r="Q42" s="64">
        <v>9.24</v>
      </c>
      <c r="R42" s="198"/>
      <c r="S42" s="198"/>
      <c r="T42" s="198"/>
      <c r="U42" s="198"/>
    </row>
    <row r="43" spans="1:21" s="12" customFormat="1" x14ac:dyDescent="0.25">
      <c r="A43" s="213" t="s">
        <v>854</v>
      </c>
      <c r="B43" s="64">
        <v>12.32</v>
      </c>
      <c r="C43" s="64">
        <v>12.33</v>
      </c>
      <c r="D43" s="64">
        <v>16.329999999999998</v>
      </c>
      <c r="E43" s="64">
        <v>4.71</v>
      </c>
      <c r="F43" s="64">
        <v>3.28</v>
      </c>
      <c r="G43" s="64">
        <v>5.85</v>
      </c>
      <c r="H43" s="64">
        <v>1.01</v>
      </c>
      <c r="I43" s="64">
        <v>1.57</v>
      </c>
      <c r="J43" s="64">
        <v>0.37</v>
      </c>
      <c r="K43" s="64">
        <v>293.7</v>
      </c>
      <c r="L43" s="64">
        <v>22.37</v>
      </c>
      <c r="M43" s="64">
        <v>98.15</v>
      </c>
      <c r="N43" s="64">
        <v>106</v>
      </c>
      <c r="O43" s="64">
        <v>0.8</v>
      </c>
      <c r="P43" s="64">
        <v>0.36</v>
      </c>
      <c r="Q43" s="64">
        <v>9.24</v>
      </c>
      <c r="R43" s="198"/>
      <c r="S43" s="198"/>
      <c r="T43" s="198"/>
      <c r="U43" s="198"/>
    </row>
    <row r="44" spans="1:21" s="12" customFormat="1" x14ac:dyDescent="0.25">
      <c r="A44" s="213" t="s">
        <v>855</v>
      </c>
      <c r="B44" s="64">
        <v>12.3</v>
      </c>
      <c r="C44" s="64">
        <v>12.69</v>
      </c>
      <c r="D44" s="64">
        <v>16.52</v>
      </c>
      <c r="E44" s="64">
        <v>4.3</v>
      </c>
      <c r="F44" s="64">
        <v>3.24</v>
      </c>
      <c r="G44" s="64">
        <v>5.34</v>
      </c>
      <c r="H44" s="64">
        <v>0.95</v>
      </c>
      <c r="I44" s="64">
        <v>1.8</v>
      </c>
      <c r="J44" s="64">
        <v>0.43</v>
      </c>
      <c r="K44" s="64">
        <v>293.24</v>
      </c>
      <c r="L44" s="64">
        <v>22.23</v>
      </c>
      <c r="M44" s="64">
        <v>98.15</v>
      </c>
      <c r="N44" s="64">
        <v>103.5</v>
      </c>
      <c r="O44" s="64">
        <v>0.8</v>
      </c>
      <c r="P44" s="64">
        <v>0.35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3" t="s">
        <v>856</v>
      </c>
      <c r="B45" s="64">
        <v>12.23</v>
      </c>
      <c r="C45" s="64">
        <v>13.68</v>
      </c>
      <c r="D45" s="64">
        <v>16.96</v>
      </c>
      <c r="E45" s="64">
        <v>4.6500000000000004</v>
      </c>
      <c r="F45" s="64">
        <v>3.53</v>
      </c>
      <c r="G45" s="64">
        <v>5.34</v>
      </c>
      <c r="H45" s="64">
        <v>0.95</v>
      </c>
      <c r="I45" s="64">
        <v>1.82</v>
      </c>
      <c r="J45" s="64">
        <v>0.73</v>
      </c>
      <c r="K45" s="64">
        <v>315.45999999999998</v>
      </c>
      <c r="L45" s="64">
        <v>22.15</v>
      </c>
      <c r="M45" s="64">
        <v>98.19</v>
      </c>
      <c r="N45" s="64">
        <v>89.8</v>
      </c>
      <c r="O45" s="64">
        <v>1.2</v>
      </c>
      <c r="P45" s="64">
        <v>0.33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3" t="s">
        <v>857</v>
      </c>
      <c r="B46" s="64">
        <v>12.19</v>
      </c>
      <c r="C46" s="64">
        <v>14.15</v>
      </c>
      <c r="D46" s="64">
        <v>17.16</v>
      </c>
      <c r="E46" s="64">
        <v>4.5999999999999996</v>
      </c>
      <c r="F46" s="64">
        <v>3.49</v>
      </c>
      <c r="G46" s="64">
        <v>5.34</v>
      </c>
      <c r="H46" s="64">
        <v>0.95</v>
      </c>
      <c r="I46" s="64">
        <v>1.76</v>
      </c>
      <c r="J46" s="64">
        <v>0.38</v>
      </c>
      <c r="K46" s="64">
        <v>309.41000000000003</v>
      </c>
      <c r="L46" s="64">
        <v>22.15</v>
      </c>
      <c r="M46" s="64">
        <v>98.2</v>
      </c>
      <c r="N46" s="64">
        <v>84.9</v>
      </c>
      <c r="O46" s="64">
        <v>0.4</v>
      </c>
      <c r="P46" s="64">
        <v>0.33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3" t="s">
        <v>858</v>
      </c>
      <c r="B47" s="64">
        <v>12.37</v>
      </c>
      <c r="C47" s="64">
        <v>14.1</v>
      </c>
      <c r="D47" s="64">
        <v>17.28</v>
      </c>
      <c r="E47" s="64">
        <v>5.03</v>
      </c>
      <c r="F47" s="64">
        <v>3.25</v>
      </c>
      <c r="G47" s="64">
        <v>4.13</v>
      </c>
      <c r="H47" s="64">
        <v>0.4</v>
      </c>
      <c r="I47" s="64">
        <v>1.68</v>
      </c>
      <c r="J47" s="64">
        <v>0.32</v>
      </c>
      <c r="K47" s="64">
        <v>298.17</v>
      </c>
      <c r="L47" s="64">
        <v>22.17</v>
      </c>
      <c r="M47" s="64">
        <v>98.21</v>
      </c>
      <c r="N47" s="64">
        <v>110.4</v>
      </c>
      <c r="O47" s="64">
        <v>0</v>
      </c>
      <c r="P47" s="64">
        <v>0.34</v>
      </c>
      <c r="Q47" s="64">
        <v>9.27</v>
      </c>
      <c r="R47" s="198"/>
      <c r="S47" s="198"/>
      <c r="T47" s="198"/>
      <c r="U47" s="198"/>
    </row>
    <row r="48" spans="1:21" s="12" customFormat="1" x14ac:dyDescent="0.25">
      <c r="A48" s="213" t="s">
        <v>859</v>
      </c>
      <c r="B48" s="64">
        <v>12.33</v>
      </c>
      <c r="C48" s="64">
        <v>14.07</v>
      </c>
      <c r="D48" s="64">
        <v>17.239999999999998</v>
      </c>
      <c r="E48" s="64">
        <v>4.7300000000000004</v>
      </c>
      <c r="F48" s="64">
        <v>2.98</v>
      </c>
      <c r="G48" s="64">
        <v>3.74</v>
      </c>
      <c r="H48" s="64">
        <v>0.23</v>
      </c>
      <c r="I48" s="64">
        <v>1.64</v>
      </c>
      <c r="J48" s="64">
        <v>0.42</v>
      </c>
      <c r="K48" s="64">
        <v>292.44</v>
      </c>
      <c r="L48" s="64">
        <v>22.32</v>
      </c>
      <c r="M48" s="64">
        <v>98.23</v>
      </c>
      <c r="N48" s="64">
        <v>134.6</v>
      </c>
      <c r="O48" s="64">
        <v>0</v>
      </c>
      <c r="P48" s="64">
        <v>0.43</v>
      </c>
      <c r="Q48" s="64">
        <v>9.25</v>
      </c>
      <c r="R48" s="198"/>
      <c r="S48" s="198"/>
      <c r="T48" s="198"/>
      <c r="U48" s="198"/>
    </row>
    <row r="49" spans="1:21" s="12" customFormat="1" x14ac:dyDescent="0.25">
      <c r="A49" s="213" t="s">
        <v>860</v>
      </c>
      <c r="B49" s="64">
        <v>12.57</v>
      </c>
      <c r="C49" s="64">
        <v>14.14</v>
      </c>
      <c r="D49" s="64">
        <v>17.47</v>
      </c>
      <c r="E49" s="64">
        <v>4.71</v>
      </c>
      <c r="F49" s="64">
        <v>3.65</v>
      </c>
      <c r="G49" s="64">
        <v>3.74</v>
      </c>
      <c r="H49" s="64">
        <v>0.23</v>
      </c>
      <c r="I49" s="64">
        <v>1.69</v>
      </c>
      <c r="J49" s="64">
        <v>0.51</v>
      </c>
      <c r="K49" s="64">
        <v>295.74</v>
      </c>
      <c r="L49" s="64">
        <v>22.45</v>
      </c>
      <c r="M49" s="64">
        <v>98.22</v>
      </c>
      <c r="N49" s="64">
        <v>144.19999999999999</v>
      </c>
      <c r="O49" s="64">
        <v>0.2</v>
      </c>
      <c r="P49" s="64">
        <v>0.56999999999999995</v>
      </c>
      <c r="Q49" s="64">
        <v>9.25</v>
      </c>
      <c r="R49" s="198"/>
      <c r="S49" s="198"/>
      <c r="T49" s="198"/>
      <c r="U49" s="198"/>
    </row>
    <row r="50" spans="1:21" s="12" customFormat="1" x14ac:dyDescent="0.25">
      <c r="A50" s="213" t="s">
        <v>861</v>
      </c>
      <c r="B50" s="64">
        <v>12.72</v>
      </c>
      <c r="C50" s="64">
        <v>14.09</v>
      </c>
      <c r="D50" s="64">
        <v>17.57</v>
      </c>
      <c r="E50" s="64">
        <v>4.6500000000000004</v>
      </c>
      <c r="F50" s="64">
        <v>3.2</v>
      </c>
      <c r="G50" s="64">
        <v>3.74</v>
      </c>
      <c r="H50" s="64">
        <v>0.23</v>
      </c>
      <c r="I50" s="64">
        <v>2.17</v>
      </c>
      <c r="J50" s="64">
        <v>0.42</v>
      </c>
      <c r="K50" s="64">
        <v>295.10000000000002</v>
      </c>
      <c r="L50" s="64">
        <v>22.59</v>
      </c>
      <c r="M50" s="64">
        <v>98.24</v>
      </c>
      <c r="N50" s="64">
        <v>151.5</v>
      </c>
      <c r="O50" s="64">
        <v>2.2000000000000002</v>
      </c>
      <c r="P50" s="64">
        <v>0.62</v>
      </c>
      <c r="Q50" s="64">
        <v>9.26</v>
      </c>
      <c r="R50" s="198"/>
      <c r="S50" s="198"/>
      <c r="T50" s="198"/>
      <c r="U50" s="198"/>
    </row>
    <row r="51" spans="1:21" s="12" customFormat="1" x14ac:dyDescent="0.25">
      <c r="A51" s="213" t="s">
        <v>862</v>
      </c>
      <c r="B51" s="64">
        <v>12.26</v>
      </c>
      <c r="C51" s="64">
        <v>13.93</v>
      </c>
      <c r="D51" s="64">
        <v>17.11</v>
      </c>
      <c r="E51" s="64">
        <v>4.68</v>
      </c>
      <c r="F51" s="64">
        <v>3.15</v>
      </c>
      <c r="G51" s="64">
        <v>3.33</v>
      </c>
      <c r="H51" s="64">
        <v>1.43</v>
      </c>
      <c r="I51" s="64">
        <v>2.77</v>
      </c>
      <c r="J51" s="64">
        <v>0.37</v>
      </c>
      <c r="K51" s="64">
        <v>296.29000000000002</v>
      </c>
      <c r="L51" s="64">
        <v>22.63</v>
      </c>
      <c r="M51" s="64">
        <v>98.26</v>
      </c>
      <c r="N51" s="64">
        <v>199.1</v>
      </c>
      <c r="O51" s="64">
        <v>4.4000000000000004</v>
      </c>
      <c r="P51" s="64">
        <v>0.59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3" t="s">
        <v>863</v>
      </c>
      <c r="B52" s="64">
        <v>11.76</v>
      </c>
      <c r="C52" s="64">
        <v>14.09</v>
      </c>
      <c r="D52" s="64">
        <v>16.79</v>
      </c>
      <c r="E52" s="64">
        <v>5.0199999999999996</v>
      </c>
      <c r="F52" s="64">
        <v>3.31</v>
      </c>
      <c r="G52" s="64">
        <v>3.2</v>
      </c>
      <c r="H52" s="64">
        <v>1.82</v>
      </c>
      <c r="I52" s="64">
        <v>2.86</v>
      </c>
      <c r="J52" s="64">
        <v>0.4</v>
      </c>
      <c r="K52" s="64">
        <v>297.57</v>
      </c>
      <c r="L52" s="64">
        <v>22.7</v>
      </c>
      <c r="M52" s="64">
        <v>98.25</v>
      </c>
      <c r="N52" s="64">
        <v>167.6</v>
      </c>
      <c r="O52" s="64">
        <v>0</v>
      </c>
      <c r="P52" s="64">
        <v>0.56000000000000005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3" t="s">
        <v>864</v>
      </c>
      <c r="B53" s="64">
        <v>11.61</v>
      </c>
      <c r="C53" s="64">
        <v>14.08</v>
      </c>
      <c r="D53" s="64">
        <v>16.670000000000002</v>
      </c>
      <c r="E53" s="64">
        <v>4.45</v>
      </c>
      <c r="F53" s="64">
        <v>3.01</v>
      </c>
      <c r="G53" s="64">
        <v>3.2</v>
      </c>
      <c r="H53" s="64">
        <v>1.82</v>
      </c>
      <c r="I53" s="64">
        <v>2.64</v>
      </c>
      <c r="J53" s="64">
        <v>0.3</v>
      </c>
      <c r="K53" s="64">
        <v>292.20999999999998</v>
      </c>
      <c r="L53" s="64">
        <v>22.69</v>
      </c>
      <c r="M53" s="64">
        <v>98.25</v>
      </c>
      <c r="N53" s="64">
        <v>113.9</v>
      </c>
      <c r="O53" s="64">
        <v>0</v>
      </c>
      <c r="P53" s="64">
        <v>0.55000000000000004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3" t="s">
        <v>865</v>
      </c>
      <c r="B54" s="64">
        <v>11.65</v>
      </c>
      <c r="C54" s="64">
        <v>13.92</v>
      </c>
      <c r="D54" s="64">
        <v>16.62</v>
      </c>
      <c r="E54" s="64">
        <v>4.76</v>
      </c>
      <c r="F54" s="64">
        <v>3.37</v>
      </c>
      <c r="G54" s="64">
        <v>3.2</v>
      </c>
      <c r="H54" s="64">
        <v>1.82</v>
      </c>
      <c r="I54" s="64">
        <v>2.4700000000000002</v>
      </c>
      <c r="J54" s="64">
        <v>0.3</v>
      </c>
      <c r="K54" s="64">
        <v>295.81</v>
      </c>
      <c r="L54" s="64">
        <v>22.66</v>
      </c>
      <c r="M54" s="64">
        <v>98.23</v>
      </c>
      <c r="N54" s="64">
        <v>102.7</v>
      </c>
      <c r="O54" s="64">
        <v>0</v>
      </c>
      <c r="P54" s="64">
        <v>0.53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3" t="s">
        <v>866</v>
      </c>
      <c r="B55" s="64">
        <v>11.1</v>
      </c>
      <c r="C55" s="64">
        <v>14.21</v>
      </c>
      <c r="D55" s="64">
        <v>16.329999999999998</v>
      </c>
      <c r="E55" s="64">
        <v>4.78</v>
      </c>
      <c r="F55" s="64">
        <v>2.88</v>
      </c>
      <c r="G55" s="64">
        <v>7.47</v>
      </c>
      <c r="H55" s="64">
        <v>1.85</v>
      </c>
      <c r="I55" s="64">
        <v>2.34</v>
      </c>
      <c r="J55" s="64">
        <v>0.48</v>
      </c>
      <c r="K55" s="64">
        <v>293.35000000000002</v>
      </c>
      <c r="L55" s="64">
        <v>22.52</v>
      </c>
      <c r="M55" s="64">
        <v>98.25</v>
      </c>
      <c r="N55" s="64">
        <v>89.7</v>
      </c>
      <c r="O55" s="64">
        <v>0</v>
      </c>
      <c r="P55" s="64">
        <v>0.53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3" t="s">
        <v>867</v>
      </c>
      <c r="B56" s="64">
        <v>10.43</v>
      </c>
      <c r="C56" s="64">
        <v>14.58</v>
      </c>
      <c r="D56" s="64">
        <v>15.99</v>
      </c>
      <c r="E56" s="64">
        <v>4.72</v>
      </c>
      <c r="F56" s="64">
        <v>3.69</v>
      </c>
      <c r="G56" s="64">
        <v>8.85</v>
      </c>
      <c r="H56" s="64">
        <v>1.86</v>
      </c>
      <c r="I56" s="64">
        <v>2.2400000000000002</v>
      </c>
      <c r="J56" s="64">
        <v>0.56000000000000005</v>
      </c>
      <c r="K56" s="64">
        <v>304.83999999999997</v>
      </c>
      <c r="L56" s="64">
        <v>22.54</v>
      </c>
      <c r="M56" s="64">
        <v>98.27</v>
      </c>
      <c r="N56" s="64">
        <v>109.9</v>
      </c>
      <c r="O56" s="64">
        <v>0</v>
      </c>
      <c r="P56" s="64">
        <v>0.51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13" t="s">
        <v>868</v>
      </c>
      <c r="B57" s="64">
        <v>10.25</v>
      </c>
      <c r="C57" s="64">
        <v>14.17</v>
      </c>
      <c r="D57" s="64">
        <v>15.62</v>
      </c>
      <c r="E57" s="64">
        <v>4.79</v>
      </c>
      <c r="F57" s="64">
        <v>3.2</v>
      </c>
      <c r="G57" s="64">
        <v>8.85</v>
      </c>
      <c r="H57" s="64">
        <v>1.86</v>
      </c>
      <c r="I57" s="64">
        <v>2.13</v>
      </c>
      <c r="J57" s="64">
        <v>0.27</v>
      </c>
      <c r="K57" s="64">
        <v>292.75</v>
      </c>
      <c r="L57" s="64">
        <v>22.71</v>
      </c>
      <c r="M57" s="64">
        <v>98.28</v>
      </c>
      <c r="N57" s="64">
        <v>143.4</v>
      </c>
      <c r="O57" s="64">
        <v>0.6</v>
      </c>
      <c r="P57" s="64">
        <v>0.5</v>
      </c>
      <c r="Q57" s="64">
        <v>9.1999999999999993</v>
      </c>
      <c r="R57" s="198"/>
      <c r="S57" s="198"/>
      <c r="T57" s="198"/>
      <c r="U57" s="198"/>
    </row>
    <row r="58" spans="1:21" s="12" customFormat="1" x14ac:dyDescent="0.25">
      <c r="A58" s="213" t="s">
        <v>869</v>
      </c>
      <c r="B58" s="64">
        <v>10.210000000000001</v>
      </c>
      <c r="C58" s="64">
        <v>14.69</v>
      </c>
      <c r="D58" s="64">
        <v>15.87</v>
      </c>
      <c r="E58" s="64">
        <v>4.78</v>
      </c>
      <c r="F58" s="64">
        <v>3.31</v>
      </c>
      <c r="G58" s="64">
        <v>8.85</v>
      </c>
      <c r="H58" s="64">
        <v>1.86</v>
      </c>
      <c r="I58" s="64">
        <v>2.04</v>
      </c>
      <c r="J58" s="64">
        <v>0.34</v>
      </c>
      <c r="K58" s="64">
        <v>302.51</v>
      </c>
      <c r="L58" s="64">
        <v>22.72</v>
      </c>
      <c r="M58" s="64">
        <v>98.29</v>
      </c>
      <c r="N58" s="64">
        <v>103.4</v>
      </c>
      <c r="O58" s="64">
        <v>1.8</v>
      </c>
      <c r="P58" s="64">
        <v>0.51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3" t="s">
        <v>870</v>
      </c>
      <c r="B59" s="64">
        <v>10.210000000000001</v>
      </c>
      <c r="C59" s="64">
        <v>15.2</v>
      </c>
      <c r="D59" s="64">
        <v>16.13</v>
      </c>
      <c r="E59" s="64">
        <v>4.2300000000000004</v>
      </c>
      <c r="F59" s="64">
        <v>3.28</v>
      </c>
      <c r="G59" s="64">
        <v>7.16</v>
      </c>
      <c r="H59" s="64">
        <v>1.72</v>
      </c>
      <c r="I59" s="64">
        <v>1.97</v>
      </c>
      <c r="J59" s="64">
        <v>0.28000000000000003</v>
      </c>
      <c r="K59" s="64">
        <v>289.86</v>
      </c>
      <c r="L59" s="64">
        <v>22.52</v>
      </c>
      <c r="M59" s="64">
        <v>98.26</v>
      </c>
      <c r="N59" s="64">
        <v>90.8</v>
      </c>
      <c r="O59" s="64">
        <v>2</v>
      </c>
      <c r="P59" s="64">
        <v>0.56999999999999995</v>
      </c>
      <c r="Q59" s="64">
        <v>9.2100000000000009</v>
      </c>
      <c r="R59" s="198"/>
      <c r="S59" s="198"/>
      <c r="T59" s="198"/>
      <c r="U59" s="198"/>
    </row>
    <row r="60" spans="1:21" s="12" customFormat="1" x14ac:dyDescent="0.25">
      <c r="A60" s="213" t="s">
        <v>871</v>
      </c>
      <c r="B60" s="64">
        <v>9.91</v>
      </c>
      <c r="C60" s="64">
        <v>16.34</v>
      </c>
      <c r="D60" s="64">
        <v>16.48</v>
      </c>
      <c r="E60" s="64">
        <v>4.8899999999999997</v>
      </c>
      <c r="F60" s="64">
        <v>3.65</v>
      </c>
      <c r="G60" s="64">
        <v>6.62</v>
      </c>
      <c r="H60" s="64">
        <v>1.67</v>
      </c>
      <c r="I60" s="64">
        <v>2.02</v>
      </c>
      <c r="J60" s="64">
        <v>0.41</v>
      </c>
      <c r="K60" s="64">
        <v>293.22000000000003</v>
      </c>
      <c r="L60" s="64">
        <v>22.28</v>
      </c>
      <c r="M60" s="64">
        <v>98.25</v>
      </c>
      <c r="N60" s="64">
        <v>84.4</v>
      </c>
      <c r="O60" s="64">
        <v>1.6</v>
      </c>
      <c r="P60" s="64">
        <v>0.61</v>
      </c>
      <c r="Q60" s="64">
        <v>9.2200000000000006</v>
      </c>
      <c r="R60" s="198"/>
      <c r="S60" s="198"/>
      <c r="T60" s="198"/>
      <c r="U60" s="198"/>
    </row>
    <row r="61" spans="1:21" s="12" customFormat="1" x14ac:dyDescent="0.25">
      <c r="A61" s="213" t="s">
        <v>872</v>
      </c>
      <c r="B61" s="64">
        <v>8.76</v>
      </c>
      <c r="C61" s="64">
        <v>17.829999999999998</v>
      </c>
      <c r="D61" s="64">
        <v>16.34</v>
      </c>
      <c r="E61" s="64">
        <v>4.7699999999999996</v>
      </c>
      <c r="F61" s="64">
        <v>4.05</v>
      </c>
      <c r="G61" s="64">
        <v>6.62</v>
      </c>
      <c r="H61" s="64">
        <v>1.67</v>
      </c>
      <c r="I61" s="64">
        <v>2.54</v>
      </c>
      <c r="J61" s="64">
        <v>0.42</v>
      </c>
      <c r="K61" s="64">
        <v>294.93</v>
      </c>
      <c r="L61" s="64">
        <v>22.1</v>
      </c>
      <c r="M61" s="64">
        <v>98.27</v>
      </c>
      <c r="N61" s="64">
        <v>87.3</v>
      </c>
      <c r="O61" s="64">
        <v>1.6</v>
      </c>
      <c r="P61" s="64">
        <v>0.55000000000000004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3" t="s">
        <v>873</v>
      </c>
      <c r="B62" s="64">
        <v>7.59</v>
      </c>
      <c r="C62" s="64">
        <v>19.04</v>
      </c>
      <c r="D62" s="64">
        <v>16.04</v>
      </c>
      <c r="E62" s="64">
        <v>4.88</v>
      </c>
      <c r="F62" s="64">
        <v>3.82</v>
      </c>
      <c r="G62" s="64">
        <v>6.62</v>
      </c>
      <c r="H62" s="64">
        <v>1.67</v>
      </c>
      <c r="I62" s="64">
        <v>2.83</v>
      </c>
      <c r="J62" s="64">
        <v>0.45</v>
      </c>
      <c r="K62" s="64">
        <v>298.14999999999998</v>
      </c>
      <c r="L62" s="64">
        <v>22.11</v>
      </c>
      <c r="M62" s="64">
        <v>98.28</v>
      </c>
      <c r="N62" s="64">
        <v>93.7</v>
      </c>
      <c r="O62" s="64">
        <v>1.2</v>
      </c>
      <c r="P62" s="64">
        <v>0.54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3" t="s">
        <v>874</v>
      </c>
      <c r="B63" s="64">
        <v>6.76</v>
      </c>
      <c r="C63" s="64">
        <v>19.09</v>
      </c>
      <c r="D63" s="64">
        <v>15.4</v>
      </c>
      <c r="E63" s="64">
        <v>4.55</v>
      </c>
      <c r="F63" s="64">
        <v>3.88</v>
      </c>
      <c r="G63" s="64">
        <v>5.12</v>
      </c>
      <c r="H63" s="64">
        <v>2.89</v>
      </c>
      <c r="I63" s="64">
        <v>2.6</v>
      </c>
      <c r="J63" s="64">
        <v>0.38</v>
      </c>
      <c r="K63" s="64">
        <v>295.85000000000002</v>
      </c>
      <c r="L63" s="64">
        <v>22.08</v>
      </c>
      <c r="M63" s="64">
        <v>98.3</v>
      </c>
      <c r="N63" s="64">
        <v>88.1</v>
      </c>
      <c r="O63" s="64">
        <v>1</v>
      </c>
      <c r="P63" s="64">
        <v>0.5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3" t="s">
        <v>875</v>
      </c>
      <c r="B64" s="64">
        <v>6.7</v>
      </c>
      <c r="C64" s="64">
        <v>18.77</v>
      </c>
      <c r="D64" s="64">
        <v>15.18</v>
      </c>
      <c r="E64" s="64">
        <v>4.82</v>
      </c>
      <c r="F64" s="64">
        <v>3.39</v>
      </c>
      <c r="G64" s="64">
        <v>4.63</v>
      </c>
      <c r="H64" s="64">
        <v>2.89</v>
      </c>
      <c r="I64" s="64">
        <v>2.3199999999999998</v>
      </c>
      <c r="J64" s="64">
        <v>0.28999999999999998</v>
      </c>
      <c r="K64" s="64">
        <v>299.02999999999997</v>
      </c>
      <c r="L64" s="64">
        <v>22.12</v>
      </c>
      <c r="M64" s="64">
        <v>98.31</v>
      </c>
      <c r="N64" s="64">
        <v>79.099999999999994</v>
      </c>
      <c r="O64" s="64">
        <v>5</v>
      </c>
      <c r="P64" s="64">
        <v>0.47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3" t="s">
        <v>876</v>
      </c>
      <c r="B65" s="64">
        <v>7.14</v>
      </c>
      <c r="C65" s="64">
        <v>18.88</v>
      </c>
      <c r="D65" s="64">
        <v>15.59</v>
      </c>
      <c r="E65" s="64">
        <v>4.9000000000000004</v>
      </c>
      <c r="F65" s="64">
        <v>3.54</v>
      </c>
      <c r="G65" s="64">
        <v>4.63</v>
      </c>
      <c r="H65" s="64">
        <v>2.89</v>
      </c>
      <c r="I65" s="64">
        <v>2.13</v>
      </c>
      <c r="J65" s="64">
        <v>0.15</v>
      </c>
      <c r="K65" s="64">
        <v>307.24</v>
      </c>
      <c r="L65" s="64">
        <v>21.97</v>
      </c>
      <c r="M65" s="64">
        <v>98.33</v>
      </c>
      <c r="N65" s="64">
        <v>79.8</v>
      </c>
      <c r="O65" s="64">
        <v>3.2</v>
      </c>
      <c r="P65" s="64">
        <v>0.54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3" t="s">
        <v>877</v>
      </c>
      <c r="B66" s="64">
        <v>7.41</v>
      </c>
      <c r="C66" s="64">
        <v>18.600000000000001</v>
      </c>
      <c r="D66" s="64">
        <v>15.66</v>
      </c>
      <c r="E66" s="64">
        <v>4.83</v>
      </c>
      <c r="F66" s="64">
        <v>3.56</v>
      </c>
      <c r="G66" s="64">
        <v>4.63</v>
      </c>
      <c r="H66" s="64">
        <v>2.89</v>
      </c>
      <c r="I66" s="64">
        <v>2.12</v>
      </c>
      <c r="J66" s="64">
        <v>0.17</v>
      </c>
      <c r="K66" s="64">
        <v>317.88</v>
      </c>
      <c r="L66" s="64">
        <v>21.95</v>
      </c>
      <c r="M66" s="64">
        <v>98.33</v>
      </c>
      <c r="N66" s="64">
        <v>97.1</v>
      </c>
      <c r="O66" s="64">
        <v>1.4</v>
      </c>
      <c r="P66" s="64">
        <v>0.59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3" t="s">
        <v>878</v>
      </c>
      <c r="B67" s="64">
        <v>7.48</v>
      </c>
      <c r="C67" s="64">
        <v>17.54</v>
      </c>
      <c r="D67" s="64">
        <v>15.16</v>
      </c>
      <c r="E67" s="64">
        <v>4.55</v>
      </c>
      <c r="F67" s="64">
        <v>3.53</v>
      </c>
      <c r="G67" s="64">
        <v>5.24</v>
      </c>
      <c r="H67" s="64">
        <v>4.53</v>
      </c>
      <c r="I67" s="64">
        <v>2.66</v>
      </c>
      <c r="J67" s="64">
        <v>0.19</v>
      </c>
      <c r="K67" s="64">
        <v>298.3</v>
      </c>
      <c r="L67" s="64">
        <v>21.99</v>
      </c>
      <c r="M67" s="64">
        <v>98.34</v>
      </c>
      <c r="N67" s="64">
        <v>99.9</v>
      </c>
      <c r="O67" s="64">
        <v>0.6</v>
      </c>
      <c r="P67" s="64">
        <v>0.56999999999999995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3" t="s">
        <v>879</v>
      </c>
      <c r="B68" s="64">
        <v>6.97</v>
      </c>
      <c r="C68" s="64">
        <v>19.18</v>
      </c>
      <c r="D68" s="64">
        <v>15.61</v>
      </c>
      <c r="E68" s="64">
        <v>4.74</v>
      </c>
      <c r="F68" s="64">
        <v>7.47</v>
      </c>
      <c r="G68" s="64">
        <v>5.44</v>
      </c>
      <c r="H68" s="64">
        <v>3.22</v>
      </c>
      <c r="I68" s="64">
        <v>3.01</v>
      </c>
      <c r="J68" s="64">
        <v>0.22</v>
      </c>
      <c r="K68" s="64">
        <v>299.25</v>
      </c>
      <c r="L68" s="64">
        <v>22.01</v>
      </c>
      <c r="M68" s="64">
        <v>98.32</v>
      </c>
      <c r="N68" s="64">
        <v>130.69999999999999</v>
      </c>
      <c r="O68" s="64">
        <v>0.4</v>
      </c>
      <c r="P68" s="64">
        <v>0.44</v>
      </c>
      <c r="Q68" s="64">
        <v>9.1199999999999992</v>
      </c>
      <c r="R68" s="198"/>
      <c r="S68" s="198"/>
      <c r="T68" s="198"/>
      <c r="U68" s="198"/>
    </row>
    <row r="69" spans="1:21" s="12" customFormat="1" x14ac:dyDescent="0.25">
      <c r="A69" s="213" t="s">
        <v>880</v>
      </c>
      <c r="B69" s="64">
        <v>5.84</v>
      </c>
      <c r="C69" s="64">
        <v>21.22</v>
      </c>
      <c r="D69" s="64">
        <v>15.77</v>
      </c>
      <c r="E69" s="64">
        <v>4.8499999999999996</v>
      </c>
      <c r="F69" s="64">
        <v>2.79</v>
      </c>
      <c r="G69" s="64">
        <v>5.44</v>
      </c>
      <c r="H69" s="64">
        <v>3.22</v>
      </c>
      <c r="I69" s="64">
        <v>2.65</v>
      </c>
      <c r="J69" s="64">
        <v>0.24</v>
      </c>
      <c r="K69" s="64">
        <v>302.64999999999998</v>
      </c>
      <c r="L69" s="64">
        <v>21.97</v>
      </c>
      <c r="M69" s="64">
        <v>98.29</v>
      </c>
      <c r="N69" s="64">
        <v>139.69999999999999</v>
      </c>
      <c r="O69" s="64">
        <v>0</v>
      </c>
      <c r="P69" s="64">
        <v>0.38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3" t="s">
        <v>881</v>
      </c>
      <c r="B70" s="64">
        <v>5.55</v>
      </c>
      <c r="C70" s="64">
        <v>18.579999999999998</v>
      </c>
      <c r="D70" s="64">
        <v>14.16</v>
      </c>
      <c r="E70" s="64">
        <v>4.8899999999999997</v>
      </c>
      <c r="F70" s="64">
        <v>4.01</v>
      </c>
      <c r="G70" s="64">
        <v>5.44</v>
      </c>
      <c r="H70" s="64">
        <v>3.22</v>
      </c>
      <c r="I70" s="64">
        <v>1.88</v>
      </c>
      <c r="J70" s="64">
        <v>0.28000000000000003</v>
      </c>
      <c r="K70" s="64">
        <v>297.56</v>
      </c>
      <c r="L70" s="64">
        <v>21.99</v>
      </c>
      <c r="M70" s="64">
        <v>98.3</v>
      </c>
      <c r="N70" s="64">
        <v>122.4</v>
      </c>
      <c r="O70" s="64">
        <v>0</v>
      </c>
      <c r="P70" s="64">
        <v>0.38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3" t="s">
        <v>882</v>
      </c>
      <c r="B71" s="64">
        <v>5.51</v>
      </c>
      <c r="C71" s="64">
        <v>17.73</v>
      </c>
      <c r="D71" s="64">
        <v>13.68</v>
      </c>
      <c r="E71" s="64">
        <v>4.97</v>
      </c>
      <c r="F71" s="64">
        <v>4.7699999999999996</v>
      </c>
      <c r="G71" s="64">
        <v>5.9</v>
      </c>
      <c r="H71" s="64">
        <v>3.22</v>
      </c>
      <c r="I71" s="64">
        <v>1.48</v>
      </c>
      <c r="J71" s="64">
        <v>0.34</v>
      </c>
      <c r="K71" s="64">
        <v>291.31</v>
      </c>
      <c r="L71" s="64">
        <v>22.02</v>
      </c>
      <c r="M71" s="64">
        <v>98.3</v>
      </c>
      <c r="N71" s="64">
        <v>127.1</v>
      </c>
      <c r="O71" s="64">
        <v>0</v>
      </c>
      <c r="P71" s="64">
        <v>0.34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3" t="s">
        <v>883</v>
      </c>
      <c r="B72" s="64">
        <v>5.15</v>
      </c>
      <c r="C72" s="64">
        <v>18.559999999999999</v>
      </c>
      <c r="D72" s="64">
        <v>13.83</v>
      </c>
      <c r="E72" s="64">
        <v>4.95</v>
      </c>
      <c r="F72" s="64">
        <v>4.66</v>
      </c>
      <c r="G72" s="64">
        <v>6.04</v>
      </c>
      <c r="H72" s="64">
        <v>3.22</v>
      </c>
      <c r="I72" s="64">
        <v>1.4</v>
      </c>
      <c r="J72" s="64">
        <v>0.35</v>
      </c>
      <c r="K72" s="64">
        <v>294.75</v>
      </c>
      <c r="L72" s="64">
        <v>22.04</v>
      </c>
      <c r="M72" s="64">
        <v>98.33</v>
      </c>
      <c r="N72" s="64">
        <v>123.5</v>
      </c>
      <c r="O72" s="64">
        <v>0</v>
      </c>
      <c r="P72" s="64">
        <v>0.34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3" t="s">
        <v>884</v>
      </c>
      <c r="B73" s="64">
        <v>4.88</v>
      </c>
      <c r="C73" s="64">
        <v>19.440000000000001</v>
      </c>
      <c r="D73" s="64">
        <v>14.07</v>
      </c>
      <c r="E73" s="64">
        <v>4.79</v>
      </c>
      <c r="F73" s="64">
        <v>4.09</v>
      </c>
      <c r="G73" s="64">
        <v>6.04</v>
      </c>
      <c r="H73" s="64">
        <v>3.22</v>
      </c>
      <c r="I73" s="64">
        <v>1.26</v>
      </c>
      <c r="J73" s="64">
        <v>0.33</v>
      </c>
      <c r="K73" s="64">
        <v>292.18</v>
      </c>
      <c r="L73" s="64">
        <v>22.18</v>
      </c>
      <c r="M73" s="64">
        <v>98.35</v>
      </c>
      <c r="N73" s="64">
        <v>123.4</v>
      </c>
      <c r="O73" s="64">
        <v>0</v>
      </c>
      <c r="P73" s="64">
        <v>0.33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3" t="s">
        <v>885</v>
      </c>
      <c r="B74" s="64">
        <v>5.3</v>
      </c>
      <c r="C74" s="64">
        <v>19.91</v>
      </c>
      <c r="D74" s="64">
        <v>14.65</v>
      </c>
      <c r="E74" s="64">
        <v>4.72</v>
      </c>
      <c r="F74" s="64">
        <v>4.67</v>
      </c>
      <c r="G74" s="64">
        <v>6.04</v>
      </c>
      <c r="H74" s="64">
        <v>3.22</v>
      </c>
      <c r="I74" s="64">
        <v>1.1299999999999999</v>
      </c>
      <c r="J74" s="64">
        <v>0.27</v>
      </c>
      <c r="K74" s="64">
        <v>294.56</v>
      </c>
      <c r="L74" s="64">
        <v>22.2</v>
      </c>
      <c r="M74" s="64">
        <v>98.39</v>
      </c>
      <c r="N74" s="64">
        <v>123.7</v>
      </c>
      <c r="O74" s="64">
        <v>0</v>
      </c>
      <c r="P74" s="64">
        <v>0.37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3" t="s">
        <v>886</v>
      </c>
      <c r="B75" s="64">
        <v>6.83</v>
      </c>
      <c r="C75" s="64">
        <v>19.77</v>
      </c>
      <c r="D75" s="64">
        <v>15.81</v>
      </c>
      <c r="E75" s="64">
        <v>4.8899999999999997</v>
      </c>
      <c r="F75" s="64">
        <v>3.55</v>
      </c>
      <c r="G75" s="64">
        <v>4.67</v>
      </c>
      <c r="H75" s="64">
        <v>3.51</v>
      </c>
      <c r="I75" s="64">
        <v>1.0900000000000001</v>
      </c>
      <c r="J75" s="64">
        <v>0.3</v>
      </c>
      <c r="K75" s="64">
        <v>298.38</v>
      </c>
      <c r="L75" s="64">
        <v>22.36</v>
      </c>
      <c r="M75" s="64">
        <v>98.39</v>
      </c>
      <c r="N75" s="64">
        <v>100.6</v>
      </c>
      <c r="O75" s="64">
        <v>0</v>
      </c>
      <c r="P75" s="64">
        <v>0.36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3" t="s">
        <v>887</v>
      </c>
      <c r="B76" s="64">
        <v>7.78</v>
      </c>
      <c r="C76" s="64">
        <v>20.37</v>
      </c>
      <c r="D76" s="64">
        <v>16.88</v>
      </c>
      <c r="E76" s="64">
        <v>4.46</v>
      </c>
      <c r="F76" s="64">
        <v>4.6500000000000004</v>
      </c>
      <c r="G76" s="64">
        <v>4.2300000000000004</v>
      </c>
      <c r="H76" s="64">
        <v>2.5499999999999998</v>
      </c>
      <c r="I76" s="64">
        <v>1.08</v>
      </c>
      <c r="J76" s="64">
        <v>0.26</v>
      </c>
      <c r="K76" s="64">
        <v>298.92</v>
      </c>
      <c r="L76" s="64">
        <v>22.44</v>
      </c>
      <c r="M76" s="64">
        <v>98.35</v>
      </c>
      <c r="N76" s="64">
        <v>89.2</v>
      </c>
      <c r="O76" s="64">
        <v>0</v>
      </c>
      <c r="P76" s="64">
        <v>0.33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3" t="s">
        <v>888</v>
      </c>
      <c r="B77" s="64">
        <v>5.86</v>
      </c>
      <c r="C77" s="64">
        <v>20.82</v>
      </c>
      <c r="D77" s="64">
        <v>15.58</v>
      </c>
      <c r="E77" s="64">
        <v>4.66</v>
      </c>
      <c r="F77" s="64">
        <v>4.53</v>
      </c>
      <c r="G77" s="64">
        <v>4.2300000000000004</v>
      </c>
      <c r="H77" s="64">
        <v>2.5499999999999998</v>
      </c>
      <c r="I77" s="64">
        <v>1</v>
      </c>
      <c r="J77" s="64">
        <v>0.25</v>
      </c>
      <c r="K77" s="64">
        <v>296.22000000000003</v>
      </c>
      <c r="L77" s="64">
        <v>22.52</v>
      </c>
      <c r="M77" s="64">
        <v>98.37</v>
      </c>
      <c r="N77" s="64">
        <v>81</v>
      </c>
      <c r="O77" s="64">
        <v>0</v>
      </c>
      <c r="P77" s="64">
        <v>0.3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3" t="s">
        <v>889</v>
      </c>
      <c r="B78" s="64">
        <v>5.32</v>
      </c>
      <c r="C78" s="64">
        <v>23.11</v>
      </c>
      <c r="D78" s="64">
        <v>16.34</v>
      </c>
      <c r="E78" s="64">
        <v>4.8499999999999996</v>
      </c>
      <c r="F78" s="64">
        <v>6.1</v>
      </c>
      <c r="G78" s="64">
        <v>4.2300000000000004</v>
      </c>
      <c r="H78" s="64">
        <v>2.5499999999999998</v>
      </c>
      <c r="I78" s="64">
        <v>0.88</v>
      </c>
      <c r="J78" s="64">
        <v>0.26</v>
      </c>
      <c r="K78" s="64">
        <v>283.35000000000002</v>
      </c>
      <c r="L78" s="64">
        <v>22.55</v>
      </c>
      <c r="M78" s="64">
        <v>98.36</v>
      </c>
      <c r="N78" s="64">
        <v>78</v>
      </c>
      <c r="O78" s="64">
        <v>0</v>
      </c>
      <c r="P78" s="64">
        <v>0.32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13" t="s">
        <v>890</v>
      </c>
      <c r="B79" s="64">
        <v>4.97</v>
      </c>
      <c r="C79" s="64">
        <v>24.5</v>
      </c>
      <c r="D79" s="64">
        <v>16.78</v>
      </c>
      <c r="E79" s="64">
        <v>4.53</v>
      </c>
      <c r="F79" s="64">
        <v>4.34</v>
      </c>
      <c r="G79" s="64">
        <v>3.27</v>
      </c>
      <c r="H79" s="64">
        <v>1.4</v>
      </c>
      <c r="I79" s="64">
        <v>0.84</v>
      </c>
      <c r="J79" s="64">
        <v>0.21</v>
      </c>
      <c r="K79" s="64">
        <v>294.24</v>
      </c>
      <c r="L79" s="64">
        <v>22.57</v>
      </c>
      <c r="M79" s="64">
        <v>98.39</v>
      </c>
      <c r="N79" s="64">
        <v>76.3</v>
      </c>
      <c r="O79" s="64">
        <v>0</v>
      </c>
      <c r="P79" s="64">
        <v>0.33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3" t="s">
        <v>891</v>
      </c>
      <c r="B80" s="64">
        <v>5.16</v>
      </c>
      <c r="C80" s="64">
        <v>22.71</v>
      </c>
      <c r="D80" s="64">
        <v>16</v>
      </c>
      <c r="E80" s="64">
        <v>4.59</v>
      </c>
      <c r="F80" s="64">
        <v>4.01</v>
      </c>
      <c r="G80" s="64">
        <v>2.96</v>
      </c>
      <c r="H80" s="64">
        <v>1.02</v>
      </c>
      <c r="I80" s="64">
        <v>0.84</v>
      </c>
      <c r="J80" s="64">
        <v>0.23</v>
      </c>
      <c r="K80" s="64">
        <v>298.08999999999997</v>
      </c>
      <c r="L80" s="64">
        <v>22.51</v>
      </c>
      <c r="M80" s="64">
        <v>98.4</v>
      </c>
      <c r="N80" s="64">
        <v>75.8</v>
      </c>
      <c r="O80" s="64">
        <v>0.2</v>
      </c>
      <c r="P80" s="64">
        <v>0.34</v>
      </c>
      <c r="Q80" s="64">
        <v>9.16</v>
      </c>
      <c r="R80" s="198"/>
      <c r="S80" s="198"/>
      <c r="T80" s="198"/>
      <c r="U80" s="198"/>
    </row>
    <row r="81" spans="1:26" s="12" customFormat="1" x14ac:dyDescent="0.25">
      <c r="A81" s="213" t="s">
        <v>892</v>
      </c>
      <c r="B81" s="64">
        <v>5.49</v>
      </c>
      <c r="C81" s="64">
        <v>20.8</v>
      </c>
      <c r="D81" s="64">
        <v>15.27</v>
      </c>
      <c r="E81" s="64">
        <v>4.68</v>
      </c>
      <c r="F81" s="64">
        <v>3.98</v>
      </c>
      <c r="G81" s="64">
        <v>2.96</v>
      </c>
      <c r="H81" s="64">
        <v>1.02</v>
      </c>
      <c r="I81" s="64">
        <v>0.87</v>
      </c>
      <c r="J81" s="64">
        <v>0.2</v>
      </c>
      <c r="K81" s="64">
        <v>299.08</v>
      </c>
      <c r="L81" s="64">
        <v>22.36</v>
      </c>
      <c r="M81" s="64">
        <v>98.39</v>
      </c>
      <c r="N81" s="64">
        <v>76.400000000000006</v>
      </c>
      <c r="O81" s="64">
        <v>0</v>
      </c>
      <c r="P81" s="64">
        <v>0.34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3" t="s">
        <v>893</v>
      </c>
      <c r="B82" s="64">
        <v>6.24</v>
      </c>
      <c r="C82" s="64">
        <v>18.77</v>
      </c>
      <c r="D82" s="64">
        <v>14.81</v>
      </c>
      <c r="E82" s="64">
        <v>4.4400000000000004</v>
      </c>
      <c r="F82" s="64">
        <v>3.63</v>
      </c>
      <c r="G82" s="64">
        <v>2.96</v>
      </c>
      <c r="H82" s="64">
        <v>1.02</v>
      </c>
      <c r="I82" s="64">
        <v>0.92</v>
      </c>
      <c r="J82" s="64">
        <v>0.22</v>
      </c>
      <c r="K82" s="64">
        <v>295.01</v>
      </c>
      <c r="L82" s="64">
        <v>22.31</v>
      </c>
      <c r="M82" s="64">
        <v>98.45</v>
      </c>
      <c r="N82" s="64">
        <v>73.599999999999994</v>
      </c>
      <c r="O82" s="64">
        <v>0</v>
      </c>
      <c r="P82" s="64">
        <v>0.35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3" t="s">
        <v>894</v>
      </c>
      <c r="B83" s="64">
        <v>6.06</v>
      </c>
      <c r="C83" s="64">
        <v>17.87</v>
      </c>
      <c r="D83" s="64">
        <v>14.2</v>
      </c>
      <c r="E83" s="64">
        <v>4.95</v>
      </c>
      <c r="F83" s="64">
        <v>3.86</v>
      </c>
      <c r="G83" s="64">
        <v>4.26</v>
      </c>
      <c r="H83" s="64">
        <v>3.93</v>
      </c>
      <c r="I83" s="64">
        <v>0.94</v>
      </c>
      <c r="J83" s="64">
        <v>0.19</v>
      </c>
      <c r="K83" s="64">
        <v>310.56</v>
      </c>
      <c r="L83" s="64">
        <v>22.35</v>
      </c>
      <c r="M83" s="64">
        <v>98.68</v>
      </c>
      <c r="N83" s="64">
        <v>71.900000000000006</v>
      </c>
      <c r="O83" s="64">
        <v>0</v>
      </c>
      <c r="P83" s="64">
        <v>0.37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3" t="s">
        <v>895</v>
      </c>
      <c r="B84" s="64">
        <v>6.06</v>
      </c>
      <c r="C84" s="64">
        <v>17.02</v>
      </c>
      <c r="D84" s="64">
        <v>13.75</v>
      </c>
      <c r="E84" s="64">
        <v>4.7</v>
      </c>
      <c r="F84" s="64">
        <v>3.11</v>
      </c>
      <c r="G84" s="64">
        <v>4.68</v>
      </c>
      <c r="H84" s="64">
        <v>4.87</v>
      </c>
      <c r="I84" s="64">
        <v>0.96</v>
      </c>
      <c r="J84" s="64">
        <v>0.19</v>
      </c>
      <c r="K84" s="64">
        <v>297.52999999999997</v>
      </c>
      <c r="L84" s="64">
        <v>22.44</v>
      </c>
      <c r="M84" s="64">
        <v>98.79</v>
      </c>
      <c r="N84" s="64">
        <v>71.599999999999994</v>
      </c>
      <c r="O84" s="64">
        <v>0</v>
      </c>
      <c r="P84" s="64">
        <v>0.35</v>
      </c>
      <c r="Q84" s="64">
        <v>9.1300000000000008</v>
      </c>
      <c r="R84" s="198"/>
      <c r="S84" s="198"/>
      <c r="T84" s="198"/>
      <c r="U84" s="198"/>
    </row>
    <row r="85" spans="1:26" s="12" customFormat="1" x14ac:dyDescent="0.25">
      <c r="A85" s="213" t="s">
        <v>896</v>
      </c>
      <c r="B85" s="64">
        <v>6.06</v>
      </c>
      <c r="C85" s="64">
        <v>15.75</v>
      </c>
      <c r="D85" s="64">
        <v>13.09</v>
      </c>
      <c r="E85" s="64">
        <v>4.99</v>
      </c>
      <c r="F85" s="64">
        <v>3.45</v>
      </c>
      <c r="G85" s="64">
        <v>4.68</v>
      </c>
      <c r="H85" s="64">
        <v>4.87</v>
      </c>
      <c r="I85" s="64">
        <v>0.98</v>
      </c>
      <c r="J85" s="64">
        <v>0.26</v>
      </c>
      <c r="K85" s="64">
        <v>296.11</v>
      </c>
      <c r="L85" s="64">
        <v>22.5</v>
      </c>
      <c r="M85" s="64">
        <v>98.88</v>
      </c>
      <c r="N85" s="64">
        <v>71.8</v>
      </c>
      <c r="O85" s="64">
        <v>0</v>
      </c>
      <c r="P85" s="64">
        <v>0.35</v>
      </c>
      <c r="Q85" s="64">
        <v>9.1199999999999992</v>
      </c>
      <c r="R85" s="198"/>
      <c r="S85" s="198"/>
      <c r="T85" s="198"/>
      <c r="U85" s="198"/>
    </row>
    <row r="86" spans="1:26" s="12" customFormat="1" x14ac:dyDescent="0.25">
      <c r="A86" s="213" t="s">
        <v>897</v>
      </c>
      <c r="B86" s="64">
        <v>6.18</v>
      </c>
      <c r="C86" s="64">
        <v>15.48</v>
      </c>
      <c r="D86" s="64">
        <v>13.05</v>
      </c>
      <c r="E86" s="64">
        <v>4.5</v>
      </c>
      <c r="F86" s="64">
        <v>3.12</v>
      </c>
      <c r="G86" s="64">
        <v>4.68</v>
      </c>
      <c r="H86" s="64">
        <v>4.87</v>
      </c>
      <c r="I86" s="64">
        <v>0.98</v>
      </c>
      <c r="J86" s="64">
        <v>0.22</v>
      </c>
      <c r="K86" s="64">
        <v>295.33999999999997</v>
      </c>
      <c r="L86" s="64">
        <v>22.56</v>
      </c>
      <c r="M86" s="64">
        <v>98.74</v>
      </c>
      <c r="N86" s="64">
        <v>71.599999999999994</v>
      </c>
      <c r="O86" s="64">
        <v>0</v>
      </c>
      <c r="P86" s="64">
        <v>0.35</v>
      </c>
      <c r="Q86" s="64">
        <v>9.1</v>
      </c>
      <c r="R86" s="198"/>
      <c r="S86" s="198"/>
      <c r="T86" s="198"/>
      <c r="U86" s="198"/>
    </row>
    <row r="87" spans="1:26" s="12" customFormat="1" x14ac:dyDescent="0.25">
      <c r="A87" s="213" t="s">
        <v>898</v>
      </c>
      <c r="B87" s="64">
        <v>6.29</v>
      </c>
      <c r="C87" s="64">
        <v>14.93</v>
      </c>
      <c r="D87" s="64">
        <v>12.84</v>
      </c>
      <c r="E87" s="64">
        <v>4.47</v>
      </c>
      <c r="F87" s="64">
        <v>3.55</v>
      </c>
      <c r="G87" s="64">
        <v>6.2</v>
      </c>
      <c r="H87" s="64">
        <v>4.87</v>
      </c>
      <c r="I87" s="64">
        <v>1</v>
      </c>
      <c r="J87" s="64">
        <v>0.21</v>
      </c>
      <c r="K87" s="64">
        <v>293.99</v>
      </c>
      <c r="L87" s="64">
        <v>22.5</v>
      </c>
      <c r="M87" s="64">
        <v>98.9</v>
      </c>
      <c r="N87" s="64">
        <v>71</v>
      </c>
      <c r="O87" s="64">
        <v>0.2</v>
      </c>
      <c r="P87" s="64">
        <v>0.38</v>
      </c>
      <c r="Q87" s="64">
        <v>9.09</v>
      </c>
      <c r="R87" s="198"/>
      <c r="S87" s="198"/>
      <c r="T87" s="198"/>
      <c r="U87" s="198"/>
    </row>
    <row r="88" spans="1:26" s="12" customFormat="1" x14ac:dyDescent="0.25">
      <c r="A88" s="213" t="s">
        <v>899</v>
      </c>
      <c r="B88" s="64">
        <v>7.37</v>
      </c>
      <c r="C88" s="64">
        <v>13.85</v>
      </c>
      <c r="D88" s="64">
        <v>13.15</v>
      </c>
      <c r="E88" s="64">
        <v>4.58</v>
      </c>
      <c r="F88" s="64">
        <v>3.02</v>
      </c>
      <c r="G88" s="64">
        <v>6.69</v>
      </c>
      <c r="H88" s="64">
        <v>4.87</v>
      </c>
      <c r="I88" s="64">
        <v>1.01</v>
      </c>
      <c r="J88" s="64">
        <v>0.22</v>
      </c>
      <c r="K88" s="64">
        <v>299.35000000000002</v>
      </c>
      <c r="L88" s="64">
        <v>22.43</v>
      </c>
      <c r="M88" s="64">
        <v>99.12</v>
      </c>
      <c r="N88" s="64">
        <v>70.900000000000006</v>
      </c>
      <c r="O88" s="64">
        <v>0</v>
      </c>
      <c r="P88" s="64">
        <v>0.37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3" t="s">
        <v>900</v>
      </c>
      <c r="B89" s="64">
        <v>7.45</v>
      </c>
      <c r="C89" s="64">
        <v>13.62</v>
      </c>
      <c r="D89" s="64">
        <v>13.09</v>
      </c>
      <c r="E89" s="64">
        <v>4.5</v>
      </c>
      <c r="F89" s="64">
        <v>3.8</v>
      </c>
      <c r="G89" s="64">
        <v>6.69</v>
      </c>
      <c r="H89" s="64">
        <v>4.87</v>
      </c>
      <c r="I89" s="64">
        <v>1.03</v>
      </c>
      <c r="J89" s="64">
        <v>0.23</v>
      </c>
      <c r="K89" s="64">
        <v>287.01</v>
      </c>
      <c r="L89" s="64">
        <v>22.35</v>
      </c>
      <c r="M89" s="64">
        <v>99.27</v>
      </c>
      <c r="N89" s="64">
        <v>71</v>
      </c>
      <c r="O89" s="64">
        <v>0</v>
      </c>
      <c r="P89" s="64">
        <v>0.38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3" t="s">
        <v>901</v>
      </c>
      <c r="B90" s="64">
        <v>7.7</v>
      </c>
      <c r="C90" s="64">
        <v>14.26</v>
      </c>
      <c r="D90" s="64">
        <v>13.62</v>
      </c>
      <c r="E90" s="64">
        <v>4.8499999999999996</v>
      </c>
      <c r="F90" s="64">
        <v>2.65</v>
      </c>
      <c r="G90" s="64">
        <v>6.69</v>
      </c>
      <c r="H90" s="64">
        <v>4.87</v>
      </c>
      <c r="I90" s="64">
        <v>1.05</v>
      </c>
      <c r="J90" s="64">
        <v>0.21</v>
      </c>
      <c r="K90" s="64">
        <v>296.87</v>
      </c>
      <c r="L90" s="64">
        <v>22.31</v>
      </c>
      <c r="M90" s="64">
        <v>99.29</v>
      </c>
      <c r="N90" s="64">
        <v>71.099999999999994</v>
      </c>
      <c r="O90" s="64">
        <v>0</v>
      </c>
      <c r="P90" s="64">
        <v>0.4</v>
      </c>
      <c r="Q90" s="64">
        <v>9.1</v>
      </c>
      <c r="R90" s="198"/>
      <c r="S90" s="198"/>
      <c r="T90" s="198"/>
      <c r="U90" s="198"/>
    </row>
    <row r="91" spans="1:26" s="12" customFormat="1" x14ac:dyDescent="0.25">
      <c r="A91" s="213" t="s">
        <v>902</v>
      </c>
      <c r="B91" s="64">
        <v>7.75</v>
      </c>
      <c r="C91" s="64">
        <v>14.32</v>
      </c>
      <c r="D91" s="64">
        <v>13.7</v>
      </c>
      <c r="E91" s="64">
        <v>4.7699999999999996</v>
      </c>
      <c r="F91" s="64">
        <v>3.96</v>
      </c>
      <c r="G91" s="64">
        <v>5.68</v>
      </c>
      <c r="H91" s="64">
        <v>3.08</v>
      </c>
      <c r="I91" s="64">
        <v>1.08</v>
      </c>
      <c r="J91" s="64">
        <v>0.22</v>
      </c>
      <c r="K91" s="64">
        <v>296.61</v>
      </c>
      <c r="L91" s="64">
        <v>22.25</v>
      </c>
      <c r="M91" s="64">
        <v>99.26</v>
      </c>
      <c r="N91" s="64">
        <v>71.2</v>
      </c>
      <c r="O91" s="64">
        <v>0</v>
      </c>
      <c r="P91" s="64">
        <v>0.42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13" t="s">
        <v>903</v>
      </c>
      <c r="B92" s="64">
        <v>7.98</v>
      </c>
      <c r="C92" s="64">
        <v>13.98</v>
      </c>
      <c r="D92" s="64">
        <v>13.7</v>
      </c>
      <c r="E92" s="64">
        <v>4.78</v>
      </c>
      <c r="F92" s="64">
        <v>3.19</v>
      </c>
      <c r="G92" s="64">
        <v>5.35</v>
      </c>
      <c r="H92" s="64">
        <v>3.08</v>
      </c>
      <c r="I92" s="64">
        <v>1.1200000000000001</v>
      </c>
      <c r="J92" s="64">
        <v>0.25</v>
      </c>
      <c r="K92" s="64">
        <v>298.58999999999997</v>
      </c>
      <c r="L92" s="64">
        <v>22.22</v>
      </c>
      <c r="M92" s="64">
        <v>99.25</v>
      </c>
      <c r="N92" s="64">
        <v>71.400000000000006</v>
      </c>
      <c r="O92" s="64">
        <v>0.2</v>
      </c>
      <c r="P92" s="64">
        <v>0.43</v>
      </c>
      <c r="Q92" s="64">
        <v>9.11</v>
      </c>
      <c r="R92" s="198"/>
      <c r="S92" s="198"/>
      <c r="T92" s="198"/>
      <c r="U92" s="198"/>
    </row>
    <row r="93" spans="1:26" s="12" customFormat="1" x14ac:dyDescent="0.25">
      <c r="A93" s="213" t="s">
        <v>904</v>
      </c>
      <c r="B93" s="64">
        <v>8.2200000000000006</v>
      </c>
      <c r="C93" s="64">
        <v>14.16</v>
      </c>
      <c r="D93" s="64">
        <v>13.99</v>
      </c>
      <c r="E93" s="64">
        <v>4.6100000000000003</v>
      </c>
      <c r="F93" s="64">
        <v>3.42</v>
      </c>
      <c r="G93" s="64">
        <v>5.35</v>
      </c>
      <c r="H93" s="64">
        <v>3.08</v>
      </c>
      <c r="I93" s="64">
        <v>1.1100000000000001</v>
      </c>
      <c r="J93" s="64">
        <v>0.21</v>
      </c>
      <c r="K93" s="64">
        <v>302.17</v>
      </c>
      <c r="L93" s="64">
        <v>22.21</v>
      </c>
      <c r="M93" s="64">
        <v>99.22</v>
      </c>
      <c r="N93" s="64">
        <v>71.8</v>
      </c>
      <c r="O93" s="64">
        <v>0.2</v>
      </c>
      <c r="P93" s="64">
        <v>0.41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3" t="s">
        <v>905</v>
      </c>
      <c r="B94" s="64">
        <v>9.49</v>
      </c>
      <c r="C94" s="64">
        <v>14.31</v>
      </c>
      <c r="D94" s="64">
        <v>15.08</v>
      </c>
      <c r="E94" s="64">
        <v>4.68</v>
      </c>
      <c r="F94" s="64">
        <v>3.37</v>
      </c>
      <c r="G94" s="64">
        <v>5.35</v>
      </c>
      <c r="H94" s="64">
        <v>3.08</v>
      </c>
      <c r="I94" s="64">
        <v>1.1000000000000001</v>
      </c>
      <c r="J94" s="64">
        <v>0.17</v>
      </c>
      <c r="K94" s="64">
        <v>298.83999999999997</v>
      </c>
      <c r="L94" s="64">
        <v>22.11</v>
      </c>
      <c r="M94" s="64">
        <v>99</v>
      </c>
      <c r="N94" s="64">
        <v>72.2</v>
      </c>
      <c r="O94" s="64">
        <v>0</v>
      </c>
      <c r="P94" s="64">
        <v>0.41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3" t="s">
        <v>906</v>
      </c>
      <c r="B95" s="64">
        <v>9.2200000000000006</v>
      </c>
      <c r="C95" s="64">
        <v>13.86</v>
      </c>
      <c r="D95" s="64">
        <v>14.63</v>
      </c>
      <c r="E95" s="64">
        <v>4.63</v>
      </c>
      <c r="F95" s="64">
        <v>3.29</v>
      </c>
      <c r="G95" s="64">
        <v>4.1399999999999997</v>
      </c>
      <c r="H95" s="64">
        <v>3.08</v>
      </c>
      <c r="I95" s="64">
        <v>1.1000000000000001</v>
      </c>
      <c r="J95" s="64">
        <v>0.17</v>
      </c>
      <c r="K95" s="64">
        <v>299.08999999999997</v>
      </c>
      <c r="L95" s="64">
        <v>22.05</v>
      </c>
      <c r="M95" s="64">
        <v>99.03</v>
      </c>
      <c r="N95" s="64">
        <v>73.099999999999994</v>
      </c>
      <c r="O95" s="64">
        <v>0</v>
      </c>
      <c r="P95" s="64">
        <v>0.4</v>
      </c>
      <c r="Q95" s="64">
        <v>9.16</v>
      </c>
      <c r="R95" s="198"/>
      <c r="S95" s="198"/>
      <c r="T95" s="198"/>
      <c r="U95" s="198"/>
    </row>
    <row r="96" spans="1:26" s="12" customFormat="1" x14ac:dyDescent="0.25">
      <c r="A96" s="213" t="s">
        <v>907</v>
      </c>
      <c r="B96" s="64">
        <v>8.93</v>
      </c>
      <c r="C96" s="64">
        <v>13.6</v>
      </c>
      <c r="D96" s="64">
        <v>14.27</v>
      </c>
      <c r="E96" s="64">
        <v>4.78</v>
      </c>
      <c r="F96" s="64">
        <v>3.43</v>
      </c>
      <c r="G96" s="64">
        <v>3.75</v>
      </c>
      <c r="H96" s="64">
        <v>1.52</v>
      </c>
      <c r="I96" s="64">
        <v>1.08</v>
      </c>
      <c r="J96" s="64">
        <v>0.2</v>
      </c>
      <c r="K96" s="64">
        <v>300.39</v>
      </c>
      <c r="L96" s="64">
        <v>22.05</v>
      </c>
      <c r="M96" s="64">
        <v>99.42</v>
      </c>
      <c r="N96" s="64">
        <v>77.099999999999994</v>
      </c>
      <c r="O96" s="64">
        <v>0.2</v>
      </c>
      <c r="P96" s="64">
        <v>0.39</v>
      </c>
      <c r="Q96" s="64">
        <v>9.16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908</v>
      </c>
      <c r="B97" s="64">
        <v>8.52</v>
      </c>
      <c r="C97" s="64">
        <v>13.63</v>
      </c>
      <c r="D97" s="64">
        <v>13.96</v>
      </c>
      <c r="E97" s="64">
        <v>4.8899999999999997</v>
      </c>
      <c r="F97" s="64">
        <v>3.28</v>
      </c>
      <c r="G97" s="64">
        <v>3.75</v>
      </c>
      <c r="H97" s="64">
        <v>1.52</v>
      </c>
      <c r="I97" s="64">
        <v>1.05</v>
      </c>
      <c r="J97" s="64">
        <v>0.15</v>
      </c>
      <c r="K97" s="64">
        <v>301.47000000000003</v>
      </c>
      <c r="L97" s="64">
        <v>22.05</v>
      </c>
      <c r="M97" s="64">
        <v>99.19</v>
      </c>
      <c r="N97" s="64">
        <v>83.7</v>
      </c>
      <c r="O97" s="64">
        <v>0</v>
      </c>
      <c r="P97" s="64">
        <v>0.37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3" t="s">
        <v>909</v>
      </c>
      <c r="B98" s="64">
        <v>8.25</v>
      </c>
      <c r="C98" s="64">
        <v>13.48</v>
      </c>
      <c r="D98" s="64">
        <v>13.66</v>
      </c>
      <c r="E98" s="64">
        <v>5.05</v>
      </c>
      <c r="F98" s="64">
        <v>3.36</v>
      </c>
      <c r="G98" s="64">
        <v>3.75</v>
      </c>
      <c r="H98" s="64">
        <v>1.52</v>
      </c>
      <c r="I98" s="64">
        <v>1.01</v>
      </c>
      <c r="J98" s="64">
        <v>0.21</v>
      </c>
      <c r="K98" s="64">
        <v>306.89</v>
      </c>
      <c r="L98" s="64">
        <v>22.07</v>
      </c>
      <c r="M98" s="64">
        <v>99.26</v>
      </c>
      <c r="N98" s="64">
        <v>81.900000000000006</v>
      </c>
      <c r="O98" s="64">
        <v>0</v>
      </c>
      <c r="P98" s="64">
        <v>0.36</v>
      </c>
      <c r="Q98" s="64">
        <v>9.16</v>
      </c>
      <c r="R98" s="198"/>
      <c r="S98" s="198"/>
      <c r="T98" s="198"/>
      <c r="U98" s="198"/>
    </row>
    <row r="99" spans="1:33" s="12" customFormat="1" x14ac:dyDescent="0.25">
      <c r="A99" s="213" t="s">
        <v>910</v>
      </c>
      <c r="B99" s="64">
        <v>7.85</v>
      </c>
      <c r="C99" s="64">
        <v>13.42</v>
      </c>
      <c r="D99" s="64">
        <v>13.3</v>
      </c>
      <c r="E99" s="64">
        <v>4.87</v>
      </c>
      <c r="F99" s="64">
        <v>3.03</v>
      </c>
      <c r="G99" s="64">
        <v>4.37</v>
      </c>
      <c r="H99" s="64">
        <v>1.52</v>
      </c>
      <c r="I99" s="64">
        <v>1.04</v>
      </c>
      <c r="J99" s="64">
        <v>0.23</v>
      </c>
      <c r="K99" s="64">
        <v>293.51</v>
      </c>
      <c r="L99" s="64">
        <v>22.1</v>
      </c>
      <c r="M99" s="64">
        <v>99.4</v>
      </c>
      <c r="N99" s="64">
        <v>83.3</v>
      </c>
      <c r="O99" s="64">
        <v>0</v>
      </c>
      <c r="P99" s="64">
        <v>0.35</v>
      </c>
      <c r="Q99" s="64">
        <v>9.15</v>
      </c>
      <c r="R99" s="198"/>
      <c r="S99" s="198"/>
      <c r="T99" s="198"/>
      <c r="U99" s="198"/>
    </row>
    <row r="100" spans="1:33" s="12" customFormat="1" x14ac:dyDescent="0.25">
      <c r="A100" s="213" t="s">
        <v>911</v>
      </c>
      <c r="B100" s="64">
        <v>7.5</v>
      </c>
      <c r="C100" s="64">
        <v>13.54</v>
      </c>
      <c r="D100" s="64">
        <v>13.09</v>
      </c>
      <c r="E100" s="64">
        <v>5.12</v>
      </c>
      <c r="F100" s="64">
        <v>3.55</v>
      </c>
      <c r="G100" s="64">
        <v>4.5599999999999996</v>
      </c>
      <c r="H100" s="64">
        <v>1.52</v>
      </c>
      <c r="I100" s="64">
        <v>0.99</v>
      </c>
      <c r="J100" s="64">
        <v>0.21</v>
      </c>
      <c r="K100" s="64">
        <v>296.08</v>
      </c>
      <c r="L100" s="64">
        <v>22.11</v>
      </c>
      <c r="M100" s="64">
        <v>99.51</v>
      </c>
      <c r="N100" s="64">
        <v>79.099999999999994</v>
      </c>
      <c r="O100" s="64">
        <v>0</v>
      </c>
      <c r="P100" s="64">
        <v>0.34</v>
      </c>
      <c r="Q100" s="64">
        <v>9.1300000000000008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912</v>
      </c>
      <c r="B101" s="64">
        <v>7.16</v>
      </c>
      <c r="C101" s="64">
        <v>13.84</v>
      </c>
      <c r="D101" s="64">
        <v>12.98</v>
      </c>
      <c r="E101" s="64">
        <v>4.7300000000000004</v>
      </c>
      <c r="F101" s="64">
        <v>3.14</v>
      </c>
      <c r="G101" s="64">
        <v>4.5599999999999996</v>
      </c>
      <c r="H101" s="64">
        <v>1.52</v>
      </c>
      <c r="I101" s="64">
        <v>0.9</v>
      </c>
      <c r="J101" s="64">
        <v>0.22</v>
      </c>
      <c r="K101" s="64">
        <v>298.81</v>
      </c>
      <c r="L101" s="64">
        <v>22.14</v>
      </c>
      <c r="M101" s="64">
        <v>98.9</v>
      </c>
      <c r="N101" s="64">
        <v>76</v>
      </c>
      <c r="O101" s="64">
        <v>0</v>
      </c>
      <c r="P101" s="64">
        <v>0.32</v>
      </c>
      <c r="Q101" s="64">
        <v>9.09</v>
      </c>
      <c r="R101" s="198"/>
      <c r="S101" s="198"/>
      <c r="T101" s="198"/>
      <c r="U101" s="198"/>
    </row>
    <row r="102" spans="1:33" s="12" customFormat="1" x14ac:dyDescent="0.25">
      <c r="A102" s="213" t="s">
        <v>913</v>
      </c>
      <c r="B102" s="64">
        <v>6.92</v>
      </c>
      <c r="C102" s="64">
        <v>13.36</v>
      </c>
      <c r="D102" s="64">
        <v>12.53</v>
      </c>
      <c r="E102" s="64">
        <v>4.74</v>
      </c>
      <c r="F102" s="64">
        <v>3.67</v>
      </c>
      <c r="G102" s="64">
        <v>4.5599999999999996</v>
      </c>
      <c r="H102" s="64">
        <v>1.52</v>
      </c>
      <c r="I102" s="64">
        <v>0.86</v>
      </c>
      <c r="J102" s="64">
        <v>0.24</v>
      </c>
      <c r="K102" s="64">
        <v>311.05</v>
      </c>
      <c r="L102" s="64">
        <v>22.15</v>
      </c>
      <c r="M102" s="64">
        <v>98.49</v>
      </c>
      <c r="N102" s="64">
        <v>76.8</v>
      </c>
      <c r="O102" s="64">
        <v>0</v>
      </c>
      <c r="P102" s="64">
        <v>0.3</v>
      </c>
      <c r="Q102" s="64">
        <v>9.08</v>
      </c>
      <c r="R102" s="198"/>
      <c r="S102" s="198"/>
      <c r="T102" s="198"/>
      <c r="U102" s="198"/>
    </row>
    <row r="103" spans="1:33" s="12" customFormat="1" x14ac:dyDescent="0.25">
      <c r="A103" s="213" t="s">
        <v>914</v>
      </c>
      <c r="B103" s="64">
        <v>6.5</v>
      </c>
      <c r="C103" s="64">
        <v>13.23</v>
      </c>
      <c r="D103" s="64">
        <v>12.12</v>
      </c>
      <c r="E103" s="64">
        <v>4.6100000000000003</v>
      </c>
      <c r="F103" s="64">
        <v>3.53</v>
      </c>
      <c r="G103" s="64">
        <v>8.4</v>
      </c>
      <c r="H103" s="64">
        <v>1.52</v>
      </c>
      <c r="I103" s="64">
        <v>0.82</v>
      </c>
      <c r="J103" s="64">
        <v>0.28999999999999998</v>
      </c>
      <c r="K103" s="64">
        <v>295.08999999999997</v>
      </c>
      <c r="L103" s="64">
        <v>22.16</v>
      </c>
      <c r="M103" s="64">
        <v>98.53</v>
      </c>
      <c r="N103" s="64">
        <v>77.2</v>
      </c>
      <c r="O103" s="64">
        <v>0</v>
      </c>
      <c r="P103" s="64">
        <v>0.28000000000000003</v>
      </c>
      <c r="Q103" s="64">
        <v>9.0500000000000007</v>
      </c>
      <c r="R103" s="198"/>
      <c r="S103" s="198"/>
      <c r="T103" s="198"/>
      <c r="U103" s="198"/>
    </row>
    <row r="104" spans="1:33" s="12" customFormat="1" x14ac:dyDescent="0.25">
      <c r="A104" s="213" t="s">
        <v>915</v>
      </c>
      <c r="B104" s="64">
        <v>5.95</v>
      </c>
      <c r="C104" s="64">
        <v>12.94</v>
      </c>
      <c r="D104" s="64">
        <v>11.53</v>
      </c>
      <c r="E104" s="64">
        <v>4.12</v>
      </c>
      <c r="F104" s="64">
        <v>3.94</v>
      </c>
      <c r="G104" s="64">
        <v>9.65</v>
      </c>
      <c r="H104" s="64">
        <v>1.52</v>
      </c>
      <c r="I104" s="64">
        <v>0.78</v>
      </c>
      <c r="J104" s="64">
        <v>0.25</v>
      </c>
      <c r="K104" s="64">
        <v>292.82</v>
      </c>
      <c r="L104" s="64">
        <v>22.13</v>
      </c>
      <c r="M104" s="64">
        <v>98.56</v>
      </c>
      <c r="N104" s="64">
        <v>76.5</v>
      </c>
      <c r="O104" s="64">
        <v>0</v>
      </c>
      <c r="P104" s="64">
        <v>0.27</v>
      </c>
      <c r="Q104" s="64">
        <v>9.0299999999999994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4.88</v>
      </c>
      <c r="C106" s="67">
        <f>MIN(C9:C104)</f>
        <v>10.81</v>
      </c>
      <c r="D106" s="67">
        <f t="shared" ref="D106:Q106" si="0">MIN(D9:D104)</f>
        <v>10.73</v>
      </c>
      <c r="E106" s="67">
        <f t="shared" si="0"/>
        <v>4.12</v>
      </c>
      <c r="F106" s="67">
        <f t="shared" si="0"/>
        <v>2.65</v>
      </c>
      <c r="G106" s="67">
        <f t="shared" si="0"/>
        <v>2.96</v>
      </c>
      <c r="H106" s="67">
        <f t="shared" si="0"/>
        <v>0.01</v>
      </c>
      <c r="I106" s="67">
        <f t="shared" si="0"/>
        <v>0.78</v>
      </c>
      <c r="J106" s="67">
        <f t="shared" si="0"/>
        <v>0.09</v>
      </c>
      <c r="K106" s="67">
        <f t="shared" si="0"/>
        <v>283.35000000000002</v>
      </c>
      <c r="L106" s="67">
        <f t="shared" si="0"/>
        <v>21.95</v>
      </c>
      <c r="M106" s="67">
        <f t="shared" si="0"/>
        <v>98.15</v>
      </c>
      <c r="N106" s="67">
        <f t="shared" si="0"/>
        <v>60.4</v>
      </c>
      <c r="O106" s="67">
        <f t="shared" si="0"/>
        <v>0</v>
      </c>
      <c r="P106" s="67">
        <f t="shared" si="0"/>
        <v>0.19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12.72</v>
      </c>
      <c r="C107" s="66">
        <f t="shared" ref="C107:Q107" si="1">MAX(C9:C104)</f>
        <v>24.5</v>
      </c>
      <c r="D107" s="66">
        <f t="shared" si="1"/>
        <v>17.57</v>
      </c>
      <c r="E107" s="66">
        <f t="shared" si="1"/>
        <v>5.12</v>
      </c>
      <c r="F107" s="66">
        <f t="shared" si="1"/>
        <v>7.47</v>
      </c>
      <c r="G107" s="66">
        <f t="shared" si="1"/>
        <v>13.44</v>
      </c>
      <c r="H107" s="66">
        <f t="shared" si="1"/>
        <v>5.49</v>
      </c>
      <c r="I107" s="66">
        <f t="shared" si="1"/>
        <v>3.01</v>
      </c>
      <c r="J107" s="66">
        <f t="shared" si="1"/>
        <v>0.73</v>
      </c>
      <c r="K107" s="66">
        <f t="shared" si="1"/>
        <v>322.55</v>
      </c>
      <c r="L107" s="66">
        <f t="shared" si="1"/>
        <v>23.02</v>
      </c>
      <c r="M107" s="66">
        <f t="shared" si="1"/>
        <v>99.51</v>
      </c>
      <c r="N107" s="66">
        <f t="shared" si="1"/>
        <v>199.1</v>
      </c>
      <c r="O107" s="66">
        <f t="shared" si="1"/>
        <v>5</v>
      </c>
      <c r="P107" s="66">
        <f t="shared" si="1"/>
        <v>0.62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8.1877083333333314</v>
      </c>
      <c r="C108" s="67">
        <f t="shared" ref="C108:Q108" si="2">AVERAGE(C9:C104)</f>
        <v>14.503854166666663</v>
      </c>
      <c r="D108" s="67">
        <f t="shared" si="2"/>
        <v>14.144374999999995</v>
      </c>
      <c r="E108" s="67">
        <f t="shared" si="2"/>
        <v>4.6895833333333341</v>
      </c>
      <c r="F108" s="67">
        <f t="shared" si="2"/>
        <v>3.6006249999999995</v>
      </c>
      <c r="G108" s="67">
        <f t="shared" si="2"/>
        <v>6.5744791666666655</v>
      </c>
      <c r="H108" s="67">
        <f t="shared" si="2"/>
        <v>2.0171875000000017</v>
      </c>
      <c r="I108" s="67">
        <f t="shared" si="2"/>
        <v>1.5367708333333336</v>
      </c>
      <c r="J108" s="67">
        <f t="shared" si="2"/>
        <v>0.25343750000000009</v>
      </c>
      <c r="K108" s="67">
        <f t="shared" si="2"/>
        <v>299.88947916666672</v>
      </c>
      <c r="L108" s="67">
        <f t="shared" si="2"/>
        <v>22.383854166666655</v>
      </c>
      <c r="M108" s="67">
        <f t="shared" si="2"/>
        <v>98.435520833333342</v>
      </c>
      <c r="N108" s="67">
        <f t="shared" si="2"/>
        <v>86.328125</v>
      </c>
      <c r="O108" s="67">
        <f t="shared" si="2"/>
        <v>0.61458333333333359</v>
      </c>
      <c r="P108" s="67">
        <f t="shared" si="2"/>
        <v>0.37729166666666664</v>
      </c>
      <c r="Q108" s="67">
        <f t="shared" si="2"/>
        <v>9.1312499999999996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2.2014361241634859</v>
      </c>
      <c r="C109" s="67">
        <f t="shared" ref="C109:Q109" si="3">STDEV(C9:C104)</f>
        <v>3.3414794611122756</v>
      </c>
      <c r="D109" s="67">
        <f t="shared" si="3"/>
        <v>1.95182010198852</v>
      </c>
      <c r="E109" s="67">
        <f t="shared" si="3"/>
        <v>0.18972510122566202</v>
      </c>
      <c r="F109" s="67">
        <f t="shared" si="3"/>
        <v>0.67828392207641819</v>
      </c>
      <c r="G109" s="67">
        <f t="shared" si="3"/>
        <v>2.4818833552435757</v>
      </c>
      <c r="H109" s="67">
        <f t="shared" si="3"/>
        <v>1.469261685785</v>
      </c>
      <c r="I109" s="67">
        <f t="shared" si="3"/>
        <v>0.55992009729145975</v>
      </c>
      <c r="J109" s="67">
        <f t="shared" si="3"/>
        <v>0.12000726403452663</v>
      </c>
      <c r="K109" s="67">
        <f t="shared" si="3"/>
        <v>7.2996285947035702</v>
      </c>
      <c r="L109" s="67">
        <f t="shared" si="3"/>
        <v>0.25322912359183281</v>
      </c>
      <c r="M109" s="67">
        <f t="shared" si="3"/>
        <v>0.36151106787065729</v>
      </c>
      <c r="N109" s="67">
        <f t="shared" si="3"/>
        <v>26.087245131531802</v>
      </c>
      <c r="O109" s="67">
        <f t="shared" si="3"/>
        <v>0.92463126837466414</v>
      </c>
      <c r="P109" s="67">
        <f t="shared" si="3"/>
        <v>0.10130183316953786</v>
      </c>
      <c r="Q109" s="67">
        <f t="shared" si="3"/>
        <v>6.829117227377432E-2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42" sqref="A4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916</v>
      </c>
      <c r="B9" s="64">
        <v>5.57</v>
      </c>
      <c r="C9" s="64">
        <v>13.01</v>
      </c>
      <c r="D9" s="64">
        <v>11.26</v>
      </c>
      <c r="E9" s="64">
        <v>4.37</v>
      </c>
      <c r="F9" s="64">
        <v>3.61</v>
      </c>
      <c r="G9" s="64">
        <v>9.65</v>
      </c>
      <c r="H9" s="64">
        <v>10.25</v>
      </c>
      <c r="I9" s="64">
        <v>0.74</v>
      </c>
      <c r="J9" s="64">
        <v>0.27</v>
      </c>
      <c r="K9" s="64">
        <v>291.33999999999997</v>
      </c>
      <c r="L9" s="64">
        <v>22.13</v>
      </c>
      <c r="M9" s="64">
        <v>98.67</v>
      </c>
      <c r="N9" s="64">
        <v>76.3</v>
      </c>
      <c r="O9" s="64">
        <v>0</v>
      </c>
      <c r="P9" s="64">
        <v>0.24</v>
      </c>
      <c r="Q9" s="64">
        <v>9.02</v>
      </c>
      <c r="R9" s="198"/>
      <c r="S9" s="198"/>
      <c r="T9" s="198"/>
      <c r="U9" s="198"/>
    </row>
    <row r="10" spans="1:21" s="12" customFormat="1" x14ac:dyDescent="0.25">
      <c r="A10" s="213" t="s">
        <v>917</v>
      </c>
      <c r="B10" s="64">
        <v>5.21</v>
      </c>
      <c r="C10" s="64">
        <v>12.86</v>
      </c>
      <c r="D10" s="64">
        <v>10.89</v>
      </c>
      <c r="E10" s="64">
        <v>4.49</v>
      </c>
      <c r="F10" s="64">
        <v>3.42</v>
      </c>
      <c r="G10" s="64">
        <v>9.65</v>
      </c>
      <c r="H10" s="64">
        <v>10.25</v>
      </c>
      <c r="I10" s="64">
        <v>0.76</v>
      </c>
      <c r="J10" s="64">
        <v>0.27</v>
      </c>
      <c r="K10" s="64">
        <v>292.37</v>
      </c>
      <c r="L10" s="64">
        <v>22.17</v>
      </c>
      <c r="M10" s="64">
        <v>98.75</v>
      </c>
      <c r="N10" s="64">
        <v>74.8</v>
      </c>
      <c r="O10" s="64">
        <v>0</v>
      </c>
      <c r="P10" s="64">
        <v>0.23</v>
      </c>
      <c r="Q10" s="64">
        <v>9.01</v>
      </c>
      <c r="R10" s="198"/>
      <c r="S10" s="198"/>
      <c r="T10" s="198"/>
      <c r="U10" s="198"/>
    </row>
    <row r="11" spans="1:21" s="12" customFormat="1" x14ac:dyDescent="0.25">
      <c r="A11" s="213" t="s">
        <v>918</v>
      </c>
      <c r="B11" s="64">
        <v>4.79</v>
      </c>
      <c r="C11" s="64">
        <v>12.69</v>
      </c>
      <c r="D11" s="64">
        <v>10.48</v>
      </c>
      <c r="E11" s="64">
        <v>4.29</v>
      </c>
      <c r="F11" s="64">
        <v>3.74</v>
      </c>
      <c r="G11" s="64">
        <v>8.19</v>
      </c>
      <c r="H11" s="64">
        <v>7.19</v>
      </c>
      <c r="I11" s="64">
        <v>0.75</v>
      </c>
      <c r="J11" s="64">
        <v>0.28999999999999998</v>
      </c>
      <c r="K11" s="64">
        <v>292.05</v>
      </c>
      <c r="L11" s="64">
        <v>22.11</v>
      </c>
      <c r="M11" s="64">
        <v>98.63</v>
      </c>
      <c r="N11" s="64">
        <v>75.8</v>
      </c>
      <c r="O11" s="64">
        <v>0</v>
      </c>
      <c r="P11" s="64">
        <v>0.2</v>
      </c>
      <c r="Q11" s="64">
        <v>8.99</v>
      </c>
      <c r="R11" s="198"/>
      <c r="S11" s="198"/>
      <c r="T11" s="198"/>
      <c r="U11" s="198"/>
    </row>
    <row r="12" spans="1:21" s="12" customFormat="1" x14ac:dyDescent="0.25">
      <c r="A12" s="213" t="s">
        <v>919</v>
      </c>
      <c r="B12" s="64">
        <v>4.42</v>
      </c>
      <c r="C12" s="64">
        <v>12.47</v>
      </c>
      <c r="D12" s="64">
        <v>10.06</v>
      </c>
      <c r="E12" s="64">
        <v>4.67</v>
      </c>
      <c r="F12" s="64">
        <v>3.64</v>
      </c>
      <c r="G12" s="64">
        <v>7.72</v>
      </c>
      <c r="H12" s="64">
        <v>6.2</v>
      </c>
      <c r="I12" s="64">
        <v>0.7</v>
      </c>
      <c r="J12" s="64">
        <v>0.32</v>
      </c>
      <c r="K12" s="64">
        <v>294.56</v>
      </c>
      <c r="L12" s="64">
        <v>22.02</v>
      </c>
      <c r="M12" s="64">
        <v>98.6</v>
      </c>
      <c r="N12" s="64">
        <v>83.8</v>
      </c>
      <c r="O12" s="64">
        <v>0</v>
      </c>
      <c r="P12" s="64">
        <v>0.2</v>
      </c>
      <c r="Q12" s="64">
        <v>8.9700000000000006</v>
      </c>
      <c r="R12" s="198"/>
      <c r="S12" s="198"/>
      <c r="T12" s="198"/>
      <c r="U12" s="198"/>
    </row>
    <row r="13" spans="1:21" s="12" customFormat="1" x14ac:dyDescent="0.25">
      <c r="A13" s="213" t="s">
        <v>920</v>
      </c>
      <c r="B13" s="64">
        <v>4.09</v>
      </c>
      <c r="C13" s="64">
        <v>12.2</v>
      </c>
      <c r="D13" s="64">
        <v>9.65</v>
      </c>
      <c r="E13" s="64">
        <v>4.47</v>
      </c>
      <c r="F13" s="64">
        <v>4.87</v>
      </c>
      <c r="G13" s="64">
        <v>7.72</v>
      </c>
      <c r="H13" s="64">
        <v>6.2</v>
      </c>
      <c r="I13" s="64">
        <v>0.65</v>
      </c>
      <c r="J13" s="64">
        <v>0.32</v>
      </c>
      <c r="K13" s="64">
        <v>291.67</v>
      </c>
      <c r="L13" s="64">
        <v>22.01</v>
      </c>
      <c r="M13" s="64">
        <v>97.47</v>
      </c>
      <c r="N13" s="64">
        <v>86.5</v>
      </c>
      <c r="O13" s="64">
        <v>0</v>
      </c>
      <c r="P13" s="64">
        <v>0.16</v>
      </c>
      <c r="Q13" s="64">
        <v>8.9499999999999993</v>
      </c>
      <c r="R13" s="198"/>
      <c r="S13" s="198"/>
      <c r="T13" s="198"/>
      <c r="U13" s="198"/>
    </row>
    <row r="14" spans="1:21" s="12" customFormat="1" x14ac:dyDescent="0.25">
      <c r="A14" s="213" t="s">
        <v>921</v>
      </c>
      <c r="B14" s="64">
        <v>3.83</v>
      </c>
      <c r="C14" s="64">
        <v>11.63</v>
      </c>
      <c r="D14" s="64">
        <v>9.15</v>
      </c>
      <c r="E14" s="64">
        <v>4.4400000000000004</v>
      </c>
      <c r="F14" s="64">
        <v>3.83</v>
      </c>
      <c r="G14" s="64">
        <v>7.72</v>
      </c>
      <c r="H14" s="64">
        <v>6.2</v>
      </c>
      <c r="I14" s="64">
        <v>0.6</v>
      </c>
      <c r="J14" s="64">
        <v>0.31</v>
      </c>
      <c r="K14" s="64">
        <v>292.19</v>
      </c>
      <c r="L14" s="64">
        <v>21.93</v>
      </c>
      <c r="M14" s="64">
        <v>97.92</v>
      </c>
      <c r="N14" s="64">
        <v>90.5</v>
      </c>
      <c r="O14" s="64">
        <v>0</v>
      </c>
      <c r="P14" s="64">
        <v>0.17</v>
      </c>
      <c r="Q14" s="64">
        <v>8.9499999999999993</v>
      </c>
      <c r="R14" s="198"/>
      <c r="S14" s="198"/>
      <c r="T14" s="198"/>
      <c r="U14" s="198"/>
    </row>
    <row r="15" spans="1:21" s="12" customFormat="1" x14ac:dyDescent="0.25">
      <c r="A15" s="213" t="s">
        <v>922</v>
      </c>
      <c r="B15" s="64">
        <v>3.63</v>
      </c>
      <c r="C15" s="64">
        <v>11.18</v>
      </c>
      <c r="D15" s="64">
        <v>8.75</v>
      </c>
      <c r="E15" s="64">
        <v>4.24</v>
      </c>
      <c r="F15" s="64">
        <v>5.09</v>
      </c>
      <c r="G15" s="64">
        <v>5.97</v>
      </c>
      <c r="H15" s="64">
        <v>2.2000000000000002</v>
      </c>
      <c r="I15" s="64">
        <v>0.56000000000000005</v>
      </c>
      <c r="J15" s="64">
        <v>0.31</v>
      </c>
      <c r="K15" s="64">
        <v>288.47000000000003</v>
      </c>
      <c r="L15" s="64">
        <v>21.79</v>
      </c>
      <c r="M15" s="64">
        <v>97.98</v>
      </c>
      <c r="N15" s="64">
        <v>92.7</v>
      </c>
      <c r="O15" s="64">
        <v>0</v>
      </c>
      <c r="P15" s="64">
        <v>0.15</v>
      </c>
      <c r="Q15" s="64">
        <v>8.9499999999999993</v>
      </c>
      <c r="R15" s="198"/>
      <c r="S15" s="198"/>
      <c r="T15" s="198"/>
      <c r="U15" s="198"/>
    </row>
    <row r="16" spans="1:21" s="12" customFormat="1" x14ac:dyDescent="0.25">
      <c r="A16" s="213" t="s">
        <v>923</v>
      </c>
      <c r="B16" s="64">
        <v>3.56</v>
      </c>
      <c r="C16" s="64">
        <v>10.82</v>
      </c>
      <c r="D16" s="64">
        <v>8.51</v>
      </c>
      <c r="E16" s="64">
        <v>4.5199999999999996</v>
      </c>
      <c r="F16" s="64">
        <v>5.04</v>
      </c>
      <c r="G16" s="64">
        <v>5.4</v>
      </c>
      <c r="H16" s="64">
        <v>2.2000000000000002</v>
      </c>
      <c r="I16" s="64">
        <v>0.51</v>
      </c>
      <c r="J16" s="64">
        <v>0.28000000000000003</v>
      </c>
      <c r="K16" s="64">
        <v>298.33999999999997</v>
      </c>
      <c r="L16" s="64">
        <v>21.71</v>
      </c>
      <c r="M16" s="64">
        <v>98.07</v>
      </c>
      <c r="N16" s="64">
        <v>93.4</v>
      </c>
      <c r="O16" s="64">
        <v>0</v>
      </c>
      <c r="P16" s="64">
        <v>0.13</v>
      </c>
      <c r="Q16" s="64">
        <v>8.9499999999999993</v>
      </c>
      <c r="R16" s="198"/>
      <c r="S16" s="198"/>
      <c r="T16" s="198"/>
      <c r="U16" s="198"/>
    </row>
    <row r="17" spans="1:21" s="12" customFormat="1" x14ac:dyDescent="0.25">
      <c r="A17" s="213" t="s">
        <v>924</v>
      </c>
      <c r="B17" s="64">
        <v>3.56</v>
      </c>
      <c r="C17" s="64">
        <v>10.6</v>
      </c>
      <c r="D17" s="64">
        <v>8.39</v>
      </c>
      <c r="E17" s="64">
        <v>4.6900000000000004</v>
      </c>
      <c r="F17" s="64">
        <v>4.59</v>
      </c>
      <c r="G17" s="64">
        <v>5.4</v>
      </c>
      <c r="H17" s="64">
        <v>2.2000000000000002</v>
      </c>
      <c r="I17" s="64">
        <v>0.46</v>
      </c>
      <c r="J17" s="64">
        <v>0.28999999999999998</v>
      </c>
      <c r="K17" s="64">
        <v>294.82</v>
      </c>
      <c r="L17" s="64">
        <v>21.57</v>
      </c>
      <c r="M17" s="64">
        <v>98.17</v>
      </c>
      <c r="N17" s="64">
        <v>95.3</v>
      </c>
      <c r="O17" s="64">
        <v>0</v>
      </c>
      <c r="P17" s="64">
        <v>0.12</v>
      </c>
      <c r="Q17" s="64">
        <v>8.94</v>
      </c>
      <c r="R17" s="198"/>
      <c r="S17" s="198"/>
      <c r="T17" s="198"/>
      <c r="U17" s="198"/>
    </row>
    <row r="18" spans="1:21" s="12" customFormat="1" x14ac:dyDescent="0.25">
      <c r="A18" s="213" t="s">
        <v>925</v>
      </c>
      <c r="B18" s="64">
        <v>3.6</v>
      </c>
      <c r="C18" s="64">
        <v>10.3</v>
      </c>
      <c r="D18" s="64">
        <v>8.27</v>
      </c>
      <c r="E18" s="64">
        <v>4.5</v>
      </c>
      <c r="F18" s="64">
        <v>4.78</v>
      </c>
      <c r="G18" s="64">
        <v>5.4</v>
      </c>
      <c r="H18" s="64">
        <v>2.2000000000000002</v>
      </c>
      <c r="I18" s="64">
        <v>0.43</v>
      </c>
      <c r="J18" s="64">
        <v>0.28999999999999998</v>
      </c>
      <c r="K18" s="64">
        <v>293.57</v>
      </c>
      <c r="L18" s="64">
        <v>21.43</v>
      </c>
      <c r="M18" s="64">
        <v>98.25</v>
      </c>
      <c r="N18" s="64">
        <v>89.6</v>
      </c>
      <c r="O18" s="64">
        <v>0</v>
      </c>
      <c r="P18" s="64">
        <v>0.12</v>
      </c>
      <c r="Q18" s="64">
        <v>8.94</v>
      </c>
      <c r="R18" s="198"/>
      <c r="S18" s="198"/>
      <c r="T18" s="198"/>
      <c r="U18" s="198"/>
    </row>
    <row r="19" spans="1:21" s="12" customFormat="1" x14ac:dyDescent="0.25">
      <c r="A19" s="213" t="s">
        <v>926</v>
      </c>
      <c r="B19" s="64">
        <v>3.6</v>
      </c>
      <c r="C19" s="64">
        <v>10.050000000000001</v>
      </c>
      <c r="D19" s="64">
        <v>8.14</v>
      </c>
      <c r="E19" s="64">
        <v>4.4400000000000004</v>
      </c>
      <c r="F19" s="64">
        <v>4.68</v>
      </c>
      <c r="G19" s="64">
        <v>4.18</v>
      </c>
      <c r="H19" s="64">
        <v>2.2000000000000002</v>
      </c>
      <c r="I19" s="64">
        <v>0.42</v>
      </c>
      <c r="J19" s="64">
        <v>0.27</v>
      </c>
      <c r="K19" s="64">
        <v>285.44</v>
      </c>
      <c r="L19" s="64">
        <v>21.35</v>
      </c>
      <c r="M19" s="64">
        <v>98.42</v>
      </c>
      <c r="N19" s="64">
        <v>87.2</v>
      </c>
      <c r="O19" s="64">
        <v>0</v>
      </c>
      <c r="P19" s="64">
        <v>0.11</v>
      </c>
      <c r="Q19" s="64">
        <v>8.94</v>
      </c>
      <c r="R19" s="198"/>
      <c r="S19" s="198"/>
      <c r="T19" s="198"/>
      <c r="U19" s="198"/>
    </row>
    <row r="20" spans="1:21" s="12" customFormat="1" x14ac:dyDescent="0.25">
      <c r="A20" s="213" t="s">
        <v>927</v>
      </c>
      <c r="B20" s="64">
        <v>3.63</v>
      </c>
      <c r="C20" s="64">
        <v>10.02</v>
      </c>
      <c r="D20" s="64">
        <v>8.15</v>
      </c>
      <c r="E20" s="64">
        <v>4.41</v>
      </c>
      <c r="F20" s="64">
        <v>4.37</v>
      </c>
      <c r="G20" s="64">
        <v>3.78</v>
      </c>
      <c r="H20" s="64">
        <v>2.2000000000000002</v>
      </c>
      <c r="I20" s="64">
        <v>0.4</v>
      </c>
      <c r="J20" s="64">
        <v>0.23</v>
      </c>
      <c r="K20" s="64">
        <v>290.41000000000003</v>
      </c>
      <c r="L20" s="64">
        <v>21.24</v>
      </c>
      <c r="M20" s="64">
        <v>98.55</v>
      </c>
      <c r="N20" s="64">
        <v>87.4</v>
      </c>
      <c r="O20" s="64">
        <v>0</v>
      </c>
      <c r="P20" s="64">
        <v>0.11</v>
      </c>
      <c r="Q20" s="64">
        <v>8.9499999999999993</v>
      </c>
      <c r="R20" s="198"/>
      <c r="S20" s="198"/>
      <c r="T20" s="198"/>
      <c r="U20" s="198"/>
    </row>
    <row r="21" spans="1:21" s="12" customFormat="1" x14ac:dyDescent="0.25">
      <c r="A21" s="213" t="s">
        <v>928</v>
      </c>
      <c r="B21" s="64">
        <v>3.73</v>
      </c>
      <c r="C21" s="64">
        <v>9.9700000000000006</v>
      </c>
      <c r="D21" s="64">
        <v>8.1999999999999993</v>
      </c>
      <c r="E21" s="64">
        <v>4.68</v>
      </c>
      <c r="F21" s="64">
        <v>4.34</v>
      </c>
      <c r="G21" s="64">
        <v>3.78</v>
      </c>
      <c r="H21" s="64">
        <v>2.2000000000000002</v>
      </c>
      <c r="I21" s="64">
        <v>0.38</v>
      </c>
      <c r="J21" s="64">
        <v>0.24</v>
      </c>
      <c r="K21" s="64">
        <v>294.24</v>
      </c>
      <c r="L21" s="64">
        <v>21.2</v>
      </c>
      <c r="M21" s="64">
        <v>98.55</v>
      </c>
      <c r="N21" s="64">
        <v>87.7</v>
      </c>
      <c r="O21" s="64">
        <v>0.2</v>
      </c>
      <c r="P21" s="64">
        <v>0.11</v>
      </c>
      <c r="Q21" s="64">
        <v>8.9499999999999993</v>
      </c>
      <c r="R21" s="198"/>
      <c r="S21" s="198"/>
      <c r="T21" s="198"/>
      <c r="U21" s="198"/>
    </row>
    <row r="22" spans="1:21" s="12" customFormat="1" x14ac:dyDescent="0.25">
      <c r="A22" s="213" t="s">
        <v>929</v>
      </c>
      <c r="B22" s="64">
        <v>3.78</v>
      </c>
      <c r="C22" s="64">
        <v>10.5</v>
      </c>
      <c r="D22" s="64">
        <v>8.51</v>
      </c>
      <c r="E22" s="64">
        <v>4.72</v>
      </c>
      <c r="F22" s="64">
        <v>4.12</v>
      </c>
      <c r="G22" s="64">
        <v>3.78</v>
      </c>
      <c r="H22" s="64">
        <v>2.2000000000000002</v>
      </c>
      <c r="I22" s="64">
        <v>0.38</v>
      </c>
      <c r="J22" s="64">
        <v>0.22</v>
      </c>
      <c r="K22" s="64">
        <v>298.79000000000002</v>
      </c>
      <c r="L22" s="64">
        <v>21.17</v>
      </c>
      <c r="M22" s="64">
        <v>98.7</v>
      </c>
      <c r="N22" s="64">
        <v>88.9</v>
      </c>
      <c r="O22" s="64">
        <v>0</v>
      </c>
      <c r="P22" s="64">
        <v>0.11</v>
      </c>
      <c r="Q22" s="64">
        <v>8.94</v>
      </c>
      <c r="R22" s="198"/>
      <c r="S22" s="198"/>
      <c r="T22" s="198"/>
      <c r="U22" s="198"/>
    </row>
    <row r="23" spans="1:21" s="12" customFormat="1" x14ac:dyDescent="0.25">
      <c r="A23" s="213" t="s">
        <v>930</v>
      </c>
      <c r="B23" s="64">
        <v>3.83</v>
      </c>
      <c r="C23" s="64">
        <v>10.69</v>
      </c>
      <c r="D23" s="64">
        <v>8.66</v>
      </c>
      <c r="E23" s="64">
        <v>4.5199999999999996</v>
      </c>
      <c r="F23" s="64">
        <v>4.2699999999999996</v>
      </c>
      <c r="G23" s="64">
        <v>4.58</v>
      </c>
      <c r="H23" s="64">
        <v>1.97</v>
      </c>
      <c r="I23" s="64">
        <v>0.37</v>
      </c>
      <c r="J23" s="64">
        <v>0.24</v>
      </c>
      <c r="K23" s="64">
        <v>290.83999999999997</v>
      </c>
      <c r="L23" s="64">
        <v>21.17</v>
      </c>
      <c r="M23" s="64">
        <v>98.69</v>
      </c>
      <c r="N23" s="64">
        <v>93.2</v>
      </c>
      <c r="O23" s="64">
        <v>0</v>
      </c>
      <c r="P23" s="64">
        <v>0.1</v>
      </c>
      <c r="Q23" s="64">
        <v>8.92</v>
      </c>
      <c r="R23" s="198"/>
      <c r="S23" s="198"/>
      <c r="T23" s="198"/>
      <c r="U23" s="198"/>
    </row>
    <row r="24" spans="1:21" s="12" customFormat="1" x14ac:dyDescent="0.25">
      <c r="A24" s="213" t="s">
        <v>931</v>
      </c>
      <c r="B24" s="64">
        <v>3.91</v>
      </c>
      <c r="C24" s="64">
        <v>10.83</v>
      </c>
      <c r="D24" s="64">
        <v>8.8000000000000007</v>
      </c>
      <c r="E24" s="64">
        <v>4.78</v>
      </c>
      <c r="F24" s="64">
        <v>3.44</v>
      </c>
      <c r="G24" s="64">
        <v>4.83</v>
      </c>
      <c r="H24" s="64">
        <v>1.97</v>
      </c>
      <c r="I24" s="64">
        <v>0.36</v>
      </c>
      <c r="J24" s="64">
        <v>0.19</v>
      </c>
      <c r="K24" s="64">
        <v>298.22000000000003</v>
      </c>
      <c r="L24" s="64">
        <v>21.2</v>
      </c>
      <c r="M24" s="64">
        <v>98.64</v>
      </c>
      <c r="N24" s="64">
        <v>93.6</v>
      </c>
      <c r="O24" s="64">
        <v>0.2</v>
      </c>
      <c r="P24" s="64">
        <v>0.1</v>
      </c>
      <c r="Q24" s="64">
        <v>8.9</v>
      </c>
      <c r="R24" s="198"/>
      <c r="S24" s="198"/>
      <c r="T24" s="198"/>
      <c r="U24" s="198"/>
    </row>
    <row r="25" spans="1:21" s="12" customFormat="1" x14ac:dyDescent="0.25">
      <c r="A25" s="213" t="s">
        <v>932</v>
      </c>
      <c r="B25" s="64">
        <v>4.0199999999999996</v>
      </c>
      <c r="C25" s="64">
        <v>10.72</v>
      </c>
      <c r="D25" s="64">
        <v>8.83</v>
      </c>
      <c r="E25" s="64">
        <v>4.29</v>
      </c>
      <c r="F25" s="64">
        <v>3.89</v>
      </c>
      <c r="G25" s="64">
        <v>4.83</v>
      </c>
      <c r="H25" s="64">
        <v>1.97</v>
      </c>
      <c r="I25" s="64">
        <v>0.36</v>
      </c>
      <c r="J25" s="64">
        <v>0.22</v>
      </c>
      <c r="K25" s="64">
        <v>293.91000000000003</v>
      </c>
      <c r="L25" s="64">
        <v>21.18</v>
      </c>
      <c r="M25" s="64">
        <v>98.65</v>
      </c>
      <c r="N25" s="64">
        <v>90.9</v>
      </c>
      <c r="O25" s="64">
        <v>0</v>
      </c>
      <c r="P25" s="64">
        <v>0.09</v>
      </c>
      <c r="Q25" s="64">
        <v>8.91</v>
      </c>
      <c r="R25" s="198"/>
      <c r="S25" s="198"/>
      <c r="T25" s="198"/>
      <c r="U25" s="198"/>
    </row>
    <row r="26" spans="1:21" s="12" customFormat="1" x14ac:dyDescent="0.25">
      <c r="A26" s="213" t="s">
        <v>933</v>
      </c>
      <c r="B26" s="64">
        <v>4.0599999999999996</v>
      </c>
      <c r="C26" s="64">
        <v>10.95</v>
      </c>
      <c r="D26" s="64">
        <v>8.98</v>
      </c>
      <c r="E26" s="64">
        <v>4.3899999999999997</v>
      </c>
      <c r="F26" s="64">
        <v>3.67</v>
      </c>
      <c r="G26" s="64">
        <v>4.83</v>
      </c>
      <c r="H26" s="64">
        <v>1.97</v>
      </c>
      <c r="I26" s="64">
        <v>0.36</v>
      </c>
      <c r="J26" s="64">
        <v>0.21</v>
      </c>
      <c r="K26" s="64">
        <v>300.57</v>
      </c>
      <c r="L26" s="64">
        <v>21.19</v>
      </c>
      <c r="M26" s="64">
        <v>98.7</v>
      </c>
      <c r="N26" s="64">
        <v>98.6</v>
      </c>
      <c r="O26" s="64">
        <v>0</v>
      </c>
      <c r="P26" s="64">
        <v>0.09</v>
      </c>
      <c r="Q26" s="64">
        <v>8.92</v>
      </c>
      <c r="R26" s="198"/>
      <c r="S26" s="198"/>
      <c r="T26" s="198"/>
      <c r="U26" s="198"/>
    </row>
    <row r="27" spans="1:21" s="12" customFormat="1" x14ac:dyDescent="0.25">
      <c r="A27" s="213" t="s">
        <v>934</v>
      </c>
      <c r="B27" s="64">
        <v>4.08</v>
      </c>
      <c r="C27" s="64">
        <v>10.78</v>
      </c>
      <c r="D27" s="64">
        <v>8.91</v>
      </c>
      <c r="E27" s="64">
        <v>4.55</v>
      </c>
      <c r="F27" s="64">
        <v>4.03</v>
      </c>
      <c r="G27" s="64">
        <v>4.1500000000000004</v>
      </c>
      <c r="H27" s="64">
        <v>1.97</v>
      </c>
      <c r="I27" s="64">
        <v>0.36</v>
      </c>
      <c r="J27" s="64">
        <v>0.15</v>
      </c>
      <c r="K27" s="64">
        <v>285.94</v>
      </c>
      <c r="L27" s="64">
        <v>21.21</v>
      </c>
      <c r="M27" s="64">
        <v>98.73</v>
      </c>
      <c r="N27" s="64">
        <v>88.4</v>
      </c>
      <c r="O27" s="64">
        <v>0</v>
      </c>
      <c r="P27" s="64">
        <v>0.11</v>
      </c>
      <c r="Q27" s="64">
        <v>8.92</v>
      </c>
      <c r="R27" s="198"/>
      <c r="S27" s="198"/>
      <c r="T27" s="198"/>
      <c r="U27" s="198"/>
    </row>
    <row r="28" spans="1:21" s="12" customFormat="1" x14ac:dyDescent="0.25">
      <c r="A28" s="213" t="s">
        <v>935</v>
      </c>
      <c r="B28" s="64">
        <v>4.24</v>
      </c>
      <c r="C28" s="64">
        <v>11.25</v>
      </c>
      <c r="D28" s="64">
        <v>9.2799999999999994</v>
      </c>
      <c r="E28" s="64">
        <v>4.09</v>
      </c>
      <c r="F28" s="64">
        <v>2.57</v>
      </c>
      <c r="G28" s="64">
        <v>3.93</v>
      </c>
      <c r="H28" s="64">
        <v>1.97</v>
      </c>
      <c r="I28" s="64">
        <v>0.36</v>
      </c>
      <c r="J28" s="64">
        <v>0.14000000000000001</v>
      </c>
      <c r="K28" s="64">
        <v>307.16000000000003</v>
      </c>
      <c r="L28" s="64">
        <v>21.22</v>
      </c>
      <c r="M28" s="64">
        <v>98.76</v>
      </c>
      <c r="N28" s="64">
        <v>77.7</v>
      </c>
      <c r="O28" s="64">
        <v>0</v>
      </c>
      <c r="P28" s="64">
        <v>0.09</v>
      </c>
      <c r="Q28" s="64">
        <v>8.92</v>
      </c>
      <c r="R28" s="198"/>
      <c r="S28" s="198"/>
      <c r="T28" s="198"/>
      <c r="U28" s="198"/>
    </row>
    <row r="29" spans="1:21" s="12" customFormat="1" x14ac:dyDescent="0.25">
      <c r="A29" s="213" t="s">
        <v>936</v>
      </c>
      <c r="B29" s="64">
        <v>4.33</v>
      </c>
      <c r="C29" s="64">
        <v>11.02</v>
      </c>
      <c r="D29" s="64">
        <v>9.23</v>
      </c>
      <c r="E29" s="64">
        <v>4.38</v>
      </c>
      <c r="F29" s="64">
        <v>3.81</v>
      </c>
      <c r="G29" s="64">
        <v>3.93</v>
      </c>
      <c r="H29" s="64">
        <v>1.97</v>
      </c>
      <c r="I29" s="64">
        <v>0.37</v>
      </c>
      <c r="J29" s="64">
        <v>0.15</v>
      </c>
      <c r="K29" s="64">
        <v>302.43</v>
      </c>
      <c r="L29" s="64">
        <v>21.27</v>
      </c>
      <c r="M29" s="64">
        <v>98.81</v>
      </c>
      <c r="N29" s="64">
        <v>77.599999999999994</v>
      </c>
      <c r="O29" s="64">
        <v>0</v>
      </c>
      <c r="P29" s="64">
        <v>0.11</v>
      </c>
      <c r="Q29" s="64">
        <v>8.93</v>
      </c>
      <c r="R29" s="198"/>
      <c r="S29" s="198"/>
      <c r="T29" s="198"/>
      <c r="U29" s="198"/>
    </row>
    <row r="30" spans="1:21" s="12" customFormat="1" x14ac:dyDescent="0.25">
      <c r="A30" s="213" t="s">
        <v>937</v>
      </c>
      <c r="B30" s="64">
        <v>4.43</v>
      </c>
      <c r="C30" s="64">
        <v>11.42</v>
      </c>
      <c r="D30" s="64">
        <v>9.52</v>
      </c>
      <c r="E30" s="64">
        <v>4.6100000000000003</v>
      </c>
      <c r="F30" s="64">
        <v>3.03</v>
      </c>
      <c r="G30" s="64">
        <v>3.93</v>
      </c>
      <c r="H30" s="64">
        <v>1.19</v>
      </c>
      <c r="I30" s="64">
        <v>0.37</v>
      </c>
      <c r="J30" s="64">
        <v>0.2</v>
      </c>
      <c r="K30" s="64">
        <v>294.36</v>
      </c>
      <c r="L30" s="64">
        <v>21.39</v>
      </c>
      <c r="M30" s="64">
        <v>98.83</v>
      </c>
      <c r="N30" s="64">
        <v>78</v>
      </c>
      <c r="O30" s="64">
        <v>0.2</v>
      </c>
      <c r="P30" s="64">
        <v>0.09</v>
      </c>
      <c r="Q30" s="64">
        <v>8.93</v>
      </c>
      <c r="R30" s="198"/>
      <c r="S30" s="198"/>
      <c r="T30" s="198"/>
      <c r="U30" s="198"/>
    </row>
    <row r="31" spans="1:21" s="12" customFormat="1" x14ac:dyDescent="0.25">
      <c r="A31" s="213" t="s">
        <v>938</v>
      </c>
      <c r="B31" s="64">
        <v>4.5</v>
      </c>
      <c r="C31" s="64">
        <v>11.1</v>
      </c>
      <c r="D31" s="64">
        <v>9.41</v>
      </c>
      <c r="E31" s="64">
        <v>4.1900000000000004</v>
      </c>
      <c r="F31" s="64">
        <v>3.82</v>
      </c>
      <c r="G31" s="64">
        <v>3.45</v>
      </c>
      <c r="H31" s="64">
        <v>1.19</v>
      </c>
      <c r="I31" s="64">
        <v>0.38</v>
      </c>
      <c r="J31" s="64">
        <v>0.17</v>
      </c>
      <c r="K31" s="64">
        <v>295.68</v>
      </c>
      <c r="L31" s="64">
        <v>21.45</v>
      </c>
      <c r="M31" s="64">
        <v>98.86</v>
      </c>
      <c r="N31" s="64">
        <v>78.599999999999994</v>
      </c>
      <c r="O31" s="64">
        <v>0.8</v>
      </c>
      <c r="P31" s="64">
        <v>0.11</v>
      </c>
      <c r="Q31" s="64">
        <v>8.92</v>
      </c>
      <c r="R31" s="198"/>
      <c r="S31" s="198"/>
      <c r="T31" s="198"/>
      <c r="U31" s="198"/>
    </row>
    <row r="32" spans="1:21" s="12" customFormat="1" x14ac:dyDescent="0.25">
      <c r="A32" s="213" t="s">
        <v>939</v>
      </c>
      <c r="B32" s="64">
        <v>4.68</v>
      </c>
      <c r="C32" s="64">
        <v>10.91</v>
      </c>
      <c r="D32" s="64">
        <v>9.4499999999999993</v>
      </c>
      <c r="E32" s="64">
        <v>4.47</v>
      </c>
      <c r="F32" s="64">
        <v>3.23</v>
      </c>
      <c r="G32" s="64">
        <v>3.3</v>
      </c>
      <c r="H32" s="64">
        <v>1.19</v>
      </c>
      <c r="I32" s="64">
        <v>0.39</v>
      </c>
      <c r="J32" s="64">
        <v>0.18</v>
      </c>
      <c r="K32" s="64">
        <v>296.25</v>
      </c>
      <c r="L32" s="64">
        <v>21.3</v>
      </c>
      <c r="M32" s="64">
        <v>98.88</v>
      </c>
      <c r="N32" s="64">
        <v>84</v>
      </c>
      <c r="O32" s="64">
        <v>9.1999999999999993</v>
      </c>
      <c r="P32" s="64">
        <v>0.1</v>
      </c>
      <c r="Q32" s="64">
        <v>8.9600000000000009</v>
      </c>
      <c r="R32" s="198"/>
      <c r="S32" s="198"/>
      <c r="T32" s="198"/>
      <c r="U32" s="198"/>
    </row>
    <row r="33" spans="1:21" s="12" customFormat="1" x14ac:dyDescent="0.25">
      <c r="A33" s="213" t="s">
        <v>940</v>
      </c>
      <c r="B33" s="64">
        <v>4.7</v>
      </c>
      <c r="C33" s="64">
        <v>10.94</v>
      </c>
      <c r="D33" s="64">
        <v>9.49</v>
      </c>
      <c r="E33" s="64">
        <v>4.42</v>
      </c>
      <c r="F33" s="64">
        <v>3.65</v>
      </c>
      <c r="G33" s="64">
        <v>3.3</v>
      </c>
      <c r="H33" s="64">
        <v>1.19</v>
      </c>
      <c r="I33" s="64">
        <v>0.39</v>
      </c>
      <c r="J33" s="64">
        <v>0.24</v>
      </c>
      <c r="K33" s="64">
        <v>325.68</v>
      </c>
      <c r="L33" s="64">
        <v>20.96</v>
      </c>
      <c r="M33" s="64">
        <v>98.89</v>
      </c>
      <c r="N33" s="64">
        <v>92</v>
      </c>
      <c r="O33" s="64">
        <v>8.6</v>
      </c>
      <c r="P33" s="64">
        <v>0.1</v>
      </c>
      <c r="Q33" s="64">
        <v>8.9700000000000006</v>
      </c>
      <c r="R33" s="198"/>
      <c r="S33" s="198"/>
      <c r="T33" s="198"/>
      <c r="U33" s="198"/>
    </row>
    <row r="34" spans="1:21" s="12" customFormat="1" x14ac:dyDescent="0.25">
      <c r="A34" s="213" t="s">
        <v>941</v>
      </c>
      <c r="B34" s="64">
        <v>4.54</v>
      </c>
      <c r="C34" s="64">
        <v>11.2</v>
      </c>
      <c r="D34" s="64">
        <v>9.5</v>
      </c>
      <c r="E34" s="64">
        <v>4.3499999999999996</v>
      </c>
      <c r="F34" s="64">
        <v>3.64</v>
      </c>
      <c r="G34" s="64">
        <v>3.3</v>
      </c>
      <c r="H34" s="64">
        <v>1.19</v>
      </c>
      <c r="I34" s="64">
        <v>0.39</v>
      </c>
      <c r="J34" s="64">
        <v>0.22</v>
      </c>
      <c r="K34" s="64">
        <v>303.99</v>
      </c>
      <c r="L34" s="64">
        <v>20.9</v>
      </c>
      <c r="M34" s="64">
        <v>98.92</v>
      </c>
      <c r="N34" s="64">
        <v>86.2</v>
      </c>
      <c r="O34" s="64">
        <v>1.4</v>
      </c>
      <c r="P34" s="64">
        <v>0.11</v>
      </c>
      <c r="Q34" s="64">
        <v>8.98</v>
      </c>
      <c r="R34" s="198"/>
      <c r="S34" s="198"/>
      <c r="T34" s="198"/>
      <c r="U34" s="198"/>
    </row>
    <row r="35" spans="1:21" s="12" customFormat="1" x14ac:dyDescent="0.25">
      <c r="A35" s="213" t="s">
        <v>942</v>
      </c>
      <c r="B35" s="64">
        <v>4.5</v>
      </c>
      <c r="C35" s="64">
        <v>11.48</v>
      </c>
      <c r="D35" s="64">
        <v>9.61</v>
      </c>
      <c r="E35" s="64">
        <v>4.5599999999999996</v>
      </c>
      <c r="F35" s="64">
        <v>3.8</v>
      </c>
      <c r="G35" s="64">
        <v>2.84</v>
      </c>
      <c r="H35" s="64">
        <v>0.46</v>
      </c>
      <c r="I35" s="64">
        <v>0.4</v>
      </c>
      <c r="J35" s="64">
        <v>0.21</v>
      </c>
      <c r="K35" s="64">
        <v>321.39999999999998</v>
      </c>
      <c r="L35" s="64">
        <v>20.88</v>
      </c>
      <c r="M35" s="64">
        <v>98.97</v>
      </c>
      <c r="N35" s="64">
        <v>84.3</v>
      </c>
      <c r="O35" s="64">
        <v>1.4</v>
      </c>
      <c r="P35" s="64">
        <v>0.11</v>
      </c>
      <c r="Q35" s="64">
        <v>8.98</v>
      </c>
      <c r="R35" s="198"/>
      <c r="S35" s="198"/>
      <c r="T35" s="198"/>
      <c r="U35" s="198"/>
    </row>
    <row r="36" spans="1:21" s="12" customFormat="1" x14ac:dyDescent="0.25">
      <c r="A36" s="213" t="s">
        <v>943</v>
      </c>
      <c r="B36" s="64">
        <v>4.53</v>
      </c>
      <c r="C36" s="64">
        <v>11.69</v>
      </c>
      <c r="D36" s="64">
        <v>9.74</v>
      </c>
      <c r="E36" s="64">
        <v>4.75</v>
      </c>
      <c r="F36" s="64">
        <v>3.82</v>
      </c>
      <c r="G36" s="64">
        <v>2.7</v>
      </c>
      <c r="H36" s="64">
        <v>0.46</v>
      </c>
      <c r="I36" s="64">
        <v>0.41</v>
      </c>
      <c r="J36" s="64">
        <v>0.21</v>
      </c>
      <c r="K36" s="64">
        <v>318.33</v>
      </c>
      <c r="L36" s="64">
        <v>20.86</v>
      </c>
      <c r="M36" s="64">
        <v>99</v>
      </c>
      <c r="N36" s="64">
        <v>95.4</v>
      </c>
      <c r="O36" s="64">
        <v>0.4</v>
      </c>
      <c r="P36" s="64">
        <v>0.11</v>
      </c>
      <c r="Q36" s="64">
        <v>8.99</v>
      </c>
      <c r="R36" s="198"/>
      <c r="S36" s="198"/>
      <c r="T36" s="198"/>
      <c r="U36" s="198"/>
    </row>
    <row r="37" spans="1:21" s="12" customFormat="1" x14ac:dyDescent="0.25">
      <c r="A37" s="213" t="s">
        <v>944</v>
      </c>
      <c r="B37" s="64">
        <v>4.54</v>
      </c>
      <c r="C37" s="64">
        <v>11.71</v>
      </c>
      <c r="D37" s="64">
        <v>9.76</v>
      </c>
      <c r="E37" s="64">
        <v>4.5599999999999996</v>
      </c>
      <c r="F37" s="64">
        <v>4.32</v>
      </c>
      <c r="G37" s="64">
        <v>2.7</v>
      </c>
      <c r="H37" s="64">
        <v>0.46</v>
      </c>
      <c r="I37" s="64">
        <v>0.42</v>
      </c>
      <c r="J37" s="64">
        <v>0.18</v>
      </c>
      <c r="K37" s="64">
        <v>312.37</v>
      </c>
      <c r="L37" s="64">
        <v>20.93</v>
      </c>
      <c r="M37" s="64">
        <v>99.01</v>
      </c>
      <c r="N37" s="64">
        <v>107.8</v>
      </c>
      <c r="O37" s="64">
        <v>0.8</v>
      </c>
      <c r="P37" s="64">
        <v>0.11</v>
      </c>
      <c r="Q37" s="64">
        <v>9</v>
      </c>
      <c r="R37" s="198"/>
      <c r="S37" s="198"/>
      <c r="T37" s="198"/>
      <c r="U37" s="198"/>
    </row>
    <row r="38" spans="1:21" s="12" customFormat="1" x14ac:dyDescent="0.25">
      <c r="A38" s="213" t="s">
        <v>945</v>
      </c>
      <c r="B38" s="64">
        <v>4.6100000000000003</v>
      </c>
      <c r="C38" s="64">
        <v>11.85</v>
      </c>
      <c r="D38" s="64">
        <v>9.89</v>
      </c>
      <c r="E38" s="64">
        <v>4.8600000000000003</v>
      </c>
      <c r="F38" s="64">
        <v>3.83</v>
      </c>
      <c r="G38" s="64">
        <v>2.7</v>
      </c>
      <c r="H38" s="64">
        <v>0.46</v>
      </c>
      <c r="I38" s="64">
        <v>0.42</v>
      </c>
      <c r="J38" s="64">
        <v>0.24</v>
      </c>
      <c r="K38" s="64">
        <v>314.87</v>
      </c>
      <c r="L38" s="64">
        <v>20.99</v>
      </c>
      <c r="M38" s="64">
        <v>99.07</v>
      </c>
      <c r="N38" s="64">
        <v>104.8</v>
      </c>
      <c r="O38" s="64">
        <v>0.6</v>
      </c>
      <c r="P38" s="64">
        <v>0.12</v>
      </c>
      <c r="Q38" s="64">
        <v>8.98</v>
      </c>
      <c r="R38" s="198"/>
      <c r="S38" s="198"/>
      <c r="T38" s="198"/>
      <c r="U38" s="198"/>
    </row>
    <row r="39" spans="1:21" s="12" customFormat="1" x14ac:dyDescent="0.25">
      <c r="A39" s="213" t="s">
        <v>946</v>
      </c>
      <c r="B39" s="64">
        <v>4.78</v>
      </c>
      <c r="C39" s="64">
        <v>12.31</v>
      </c>
      <c r="D39" s="64">
        <v>10.26</v>
      </c>
      <c r="E39" s="64">
        <v>4.38</v>
      </c>
      <c r="F39" s="64">
        <v>3.94</v>
      </c>
      <c r="G39" s="64">
        <v>3.56</v>
      </c>
      <c r="H39" s="64">
        <v>0.46</v>
      </c>
      <c r="I39" s="64">
        <v>0.44</v>
      </c>
      <c r="J39" s="64">
        <v>0.22</v>
      </c>
      <c r="K39" s="64">
        <v>302.70999999999998</v>
      </c>
      <c r="L39" s="64">
        <v>20.99</v>
      </c>
      <c r="M39" s="64">
        <v>99.11</v>
      </c>
      <c r="N39" s="64">
        <v>101.4</v>
      </c>
      <c r="O39" s="64">
        <v>0.2</v>
      </c>
      <c r="P39" s="64">
        <v>0.13</v>
      </c>
      <c r="Q39" s="64">
        <v>8.98</v>
      </c>
      <c r="R39" s="198"/>
      <c r="S39" s="198"/>
      <c r="T39" s="198"/>
      <c r="U39" s="198"/>
    </row>
    <row r="40" spans="1:21" s="12" customFormat="1" x14ac:dyDescent="0.25">
      <c r="A40" s="213" t="s">
        <v>947</v>
      </c>
      <c r="B40" s="64">
        <v>4.92</v>
      </c>
      <c r="C40" s="64">
        <v>12.79</v>
      </c>
      <c r="D40" s="64">
        <v>10.63</v>
      </c>
      <c r="E40" s="64">
        <v>4.63</v>
      </c>
      <c r="F40" s="64">
        <v>3.76</v>
      </c>
      <c r="G40" s="64">
        <v>3.84</v>
      </c>
      <c r="H40" s="64">
        <v>0.46</v>
      </c>
      <c r="I40" s="64">
        <v>0.45</v>
      </c>
      <c r="J40" s="64">
        <v>0.18</v>
      </c>
      <c r="K40" s="64">
        <v>306.61</v>
      </c>
      <c r="L40" s="64">
        <v>20.99</v>
      </c>
      <c r="M40" s="64">
        <v>99.09</v>
      </c>
      <c r="N40" s="64">
        <v>95.5</v>
      </c>
      <c r="O40" s="64">
        <v>0.4</v>
      </c>
      <c r="P40" s="64">
        <v>0.13</v>
      </c>
      <c r="Q40" s="64">
        <v>8.9700000000000006</v>
      </c>
      <c r="R40" s="198"/>
      <c r="S40" s="198"/>
      <c r="T40" s="198"/>
      <c r="U40" s="198"/>
    </row>
    <row r="41" spans="1:21" s="12" customFormat="1" x14ac:dyDescent="0.25">
      <c r="A41" s="213" t="s">
        <v>948</v>
      </c>
      <c r="B41" s="64">
        <v>5.21</v>
      </c>
      <c r="C41" s="64">
        <v>12.81</v>
      </c>
      <c r="D41" s="64">
        <v>10.87</v>
      </c>
      <c r="E41" s="64">
        <v>4.45</v>
      </c>
      <c r="F41" s="64">
        <v>3.95</v>
      </c>
      <c r="G41" s="64">
        <v>1.43</v>
      </c>
      <c r="H41" s="64">
        <v>0.46</v>
      </c>
      <c r="I41" s="64">
        <v>0.47</v>
      </c>
      <c r="J41" s="64">
        <v>0.14000000000000001</v>
      </c>
      <c r="K41" s="64">
        <v>307.14999999999998</v>
      </c>
      <c r="L41" s="64">
        <v>21.03</v>
      </c>
      <c r="M41" s="64">
        <v>99.03</v>
      </c>
      <c r="N41" s="64">
        <v>97.1</v>
      </c>
      <c r="O41" s="64">
        <v>0.2</v>
      </c>
      <c r="P41" s="64">
        <v>0.13</v>
      </c>
      <c r="Q41" s="64">
        <v>8.9700000000000006</v>
      </c>
      <c r="R41" s="198"/>
      <c r="S41" s="198"/>
      <c r="T41" s="198"/>
      <c r="U41" s="198"/>
    </row>
    <row r="42" spans="1:21" s="12" customFormat="1" x14ac:dyDescent="0.25">
      <c r="A42" s="213" t="s">
        <v>949</v>
      </c>
      <c r="B42" s="64">
        <v>5.6</v>
      </c>
      <c r="C42" s="64">
        <v>13.01</v>
      </c>
      <c r="D42" s="64">
        <v>11.29</v>
      </c>
      <c r="E42" s="64">
        <v>4.34</v>
      </c>
      <c r="F42" s="64">
        <v>3.55</v>
      </c>
      <c r="G42" s="210" t="s">
        <v>40</v>
      </c>
      <c r="H42" s="210" t="s">
        <v>40</v>
      </c>
      <c r="I42" s="64">
        <v>0.49</v>
      </c>
      <c r="J42" s="64">
        <v>0.11</v>
      </c>
      <c r="K42" s="64">
        <v>306.69</v>
      </c>
      <c r="L42" s="64">
        <v>21.06</v>
      </c>
      <c r="M42" s="64">
        <v>99.11</v>
      </c>
      <c r="N42" s="64">
        <v>91</v>
      </c>
      <c r="O42" s="64">
        <v>0.6</v>
      </c>
      <c r="P42" s="64">
        <v>0.14000000000000001</v>
      </c>
      <c r="Q42" s="64">
        <v>8.98</v>
      </c>
      <c r="R42" s="198"/>
      <c r="S42" s="198"/>
      <c r="T42" s="198"/>
      <c r="U42" s="198"/>
    </row>
    <row r="43" spans="1:21" s="12" customFormat="1" x14ac:dyDescent="0.25">
      <c r="A43" s="213" t="s">
        <v>950</v>
      </c>
      <c r="B43" s="64">
        <v>5.91</v>
      </c>
      <c r="C43" s="64">
        <v>12.58</v>
      </c>
      <c r="D43" s="64">
        <v>11.31</v>
      </c>
      <c r="E43" s="64">
        <v>4.33</v>
      </c>
      <c r="F43" s="64">
        <v>2.82</v>
      </c>
      <c r="G43" s="210" t="s">
        <v>40</v>
      </c>
      <c r="H43" s="210" t="s">
        <v>40</v>
      </c>
      <c r="I43" s="64">
        <v>0.51</v>
      </c>
      <c r="J43" s="64">
        <v>0.13</v>
      </c>
      <c r="K43" s="64">
        <v>317.35000000000002</v>
      </c>
      <c r="L43" s="64">
        <v>21.1</v>
      </c>
      <c r="M43" s="64">
        <v>99.16</v>
      </c>
      <c r="N43" s="64">
        <v>93.4</v>
      </c>
      <c r="O43" s="64">
        <v>2</v>
      </c>
      <c r="P43" s="64">
        <v>0.16</v>
      </c>
      <c r="Q43" s="64">
        <v>8.99</v>
      </c>
      <c r="R43" s="198"/>
      <c r="S43" s="198"/>
      <c r="T43" s="198"/>
      <c r="U43" s="198"/>
    </row>
    <row r="44" spans="1:21" s="12" customFormat="1" x14ac:dyDescent="0.25">
      <c r="A44" s="213" t="s">
        <v>951</v>
      </c>
      <c r="B44" s="64">
        <v>6.15</v>
      </c>
      <c r="C44" s="64">
        <v>12.39</v>
      </c>
      <c r="D44" s="64">
        <v>11.41</v>
      </c>
      <c r="E44" s="64">
        <v>4.16</v>
      </c>
      <c r="F44" s="64">
        <v>3.44</v>
      </c>
      <c r="G44" s="210" t="s">
        <v>40</v>
      </c>
      <c r="H44" s="210" t="s">
        <v>40</v>
      </c>
      <c r="I44" s="64">
        <v>0.56000000000000005</v>
      </c>
      <c r="J44" s="64">
        <v>0.08</v>
      </c>
      <c r="K44" s="64">
        <v>275.72000000000003</v>
      </c>
      <c r="L44" s="64">
        <v>21.07</v>
      </c>
      <c r="M44" s="64">
        <v>99.09</v>
      </c>
      <c r="N44" s="64">
        <v>102.6</v>
      </c>
      <c r="O44" s="64">
        <v>1.8</v>
      </c>
      <c r="P44" s="64">
        <v>0.17</v>
      </c>
      <c r="Q44" s="64">
        <v>9.01</v>
      </c>
      <c r="R44" s="198"/>
      <c r="S44" s="198"/>
      <c r="T44" s="198"/>
      <c r="U44" s="198"/>
    </row>
    <row r="45" spans="1:21" s="12" customFormat="1" x14ac:dyDescent="0.25">
      <c r="A45" s="213" t="s">
        <v>952</v>
      </c>
      <c r="B45" s="64">
        <v>6.24</v>
      </c>
      <c r="C45" s="64">
        <v>12.13</v>
      </c>
      <c r="D45" s="64">
        <v>11.35</v>
      </c>
      <c r="E45" s="64">
        <v>4.4400000000000004</v>
      </c>
      <c r="F45" s="64">
        <v>2.98</v>
      </c>
      <c r="G45" s="64">
        <v>14.47</v>
      </c>
      <c r="H45" s="64">
        <v>4.96</v>
      </c>
      <c r="I45" s="64">
        <v>0.59</v>
      </c>
      <c r="J45" s="64">
        <v>0.1</v>
      </c>
      <c r="K45" s="64">
        <v>314.23</v>
      </c>
      <c r="L45" s="64">
        <v>21.1</v>
      </c>
      <c r="M45" s="64">
        <v>99.01</v>
      </c>
      <c r="N45" s="64">
        <v>82.9</v>
      </c>
      <c r="O45" s="64">
        <v>1.2</v>
      </c>
      <c r="P45" s="64">
        <v>0.17</v>
      </c>
      <c r="Q45" s="64">
        <v>9.01</v>
      </c>
      <c r="R45" s="198"/>
      <c r="S45" s="198"/>
      <c r="T45" s="198"/>
      <c r="U45" s="198"/>
    </row>
    <row r="46" spans="1:21" s="12" customFormat="1" x14ac:dyDescent="0.25">
      <c r="A46" s="213" t="s">
        <v>953</v>
      </c>
      <c r="B46" s="64">
        <v>6.43</v>
      </c>
      <c r="C46" s="64">
        <v>11.86</v>
      </c>
      <c r="D46" s="64">
        <v>11.35</v>
      </c>
      <c r="E46" s="64">
        <v>4.5999999999999996</v>
      </c>
      <c r="F46" s="64">
        <v>3.49</v>
      </c>
      <c r="G46" s="64">
        <v>23.26</v>
      </c>
      <c r="H46" s="64">
        <v>7.98</v>
      </c>
      <c r="I46" s="64">
        <v>0.62</v>
      </c>
      <c r="J46" s="64">
        <v>0.1</v>
      </c>
      <c r="K46" s="64">
        <v>292.8</v>
      </c>
      <c r="L46" s="64">
        <v>21.06</v>
      </c>
      <c r="M46" s="64">
        <v>99.04</v>
      </c>
      <c r="N46" s="64">
        <v>81.599999999999994</v>
      </c>
      <c r="O46" s="64">
        <v>0.8</v>
      </c>
      <c r="P46" s="64">
        <v>0.17</v>
      </c>
      <c r="Q46" s="64">
        <v>9.01</v>
      </c>
      <c r="R46" s="198"/>
      <c r="S46" s="198"/>
      <c r="T46" s="198"/>
      <c r="U46" s="198"/>
    </row>
    <row r="47" spans="1:21" s="12" customFormat="1" x14ac:dyDescent="0.25">
      <c r="A47" s="213" t="s">
        <v>954</v>
      </c>
      <c r="B47" s="64">
        <v>6.24</v>
      </c>
      <c r="C47" s="64">
        <v>13.11</v>
      </c>
      <c r="D47" s="64">
        <v>11.86</v>
      </c>
      <c r="E47" s="64">
        <v>4.41</v>
      </c>
      <c r="F47" s="64">
        <v>4.5199999999999996</v>
      </c>
      <c r="G47" s="64">
        <v>23.26</v>
      </c>
      <c r="H47" s="64">
        <v>7.98</v>
      </c>
      <c r="I47" s="64">
        <v>0.64</v>
      </c>
      <c r="J47" s="64">
        <v>0.14000000000000001</v>
      </c>
      <c r="K47" s="64">
        <v>310.27</v>
      </c>
      <c r="L47" s="64">
        <v>21.04</v>
      </c>
      <c r="M47" s="64">
        <v>99.1</v>
      </c>
      <c r="N47" s="64">
        <v>96.9</v>
      </c>
      <c r="O47" s="64">
        <v>1.4</v>
      </c>
      <c r="P47" s="64">
        <v>0.2</v>
      </c>
      <c r="Q47" s="64">
        <v>9.02</v>
      </c>
      <c r="R47" s="198"/>
      <c r="S47" s="198"/>
      <c r="T47" s="198"/>
      <c r="U47" s="198"/>
    </row>
    <row r="48" spans="1:21" s="12" customFormat="1" x14ac:dyDescent="0.25">
      <c r="A48" s="213" t="s">
        <v>955</v>
      </c>
      <c r="B48" s="64">
        <v>5.01</v>
      </c>
      <c r="C48" s="64">
        <v>17.739999999999998</v>
      </c>
      <c r="D48" s="64">
        <v>13.28</v>
      </c>
      <c r="E48" s="64">
        <v>3.98</v>
      </c>
      <c r="F48" s="64">
        <v>5.37</v>
      </c>
      <c r="G48" s="64">
        <v>23.26</v>
      </c>
      <c r="H48" s="64">
        <v>7.98</v>
      </c>
      <c r="I48" s="64">
        <v>0.66</v>
      </c>
      <c r="J48" s="64">
        <v>0.17</v>
      </c>
      <c r="K48" s="64">
        <v>313.75</v>
      </c>
      <c r="L48" s="64">
        <v>21.07</v>
      </c>
      <c r="M48" s="64">
        <v>99.14</v>
      </c>
      <c r="N48" s="64">
        <v>107.5</v>
      </c>
      <c r="O48" s="64">
        <v>0.6</v>
      </c>
      <c r="P48" s="64">
        <v>0.23</v>
      </c>
      <c r="Q48" s="64">
        <v>9</v>
      </c>
      <c r="R48" s="198"/>
      <c r="S48" s="198"/>
      <c r="T48" s="198"/>
      <c r="U48" s="198"/>
    </row>
    <row r="49" spans="1:21" s="12" customFormat="1" x14ac:dyDescent="0.25">
      <c r="A49" s="213" t="s">
        <v>956</v>
      </c>
      <c r="B49" s="64">
        <v>4.63</v>
      </c>
      <c r="C49" s="64">
        <v>17.309999999999999</v>
      </c>
      <c r="D49" s="64">
        <v>12.76</v>
      </c>
      <c r="E49" s="64">
        <v>4.1100000000000003</v>
      </c>
      <c r="F49" s="64">
        <v>3.59</v>
      </c>
      <c r="G49" s="64">
        <v>19.079999999999998</v>
      </c>
      <c r="H49" s="64">
        <v>6.8</v>
      </c>
      <c r="I49" s="64">
        <v>0.64</v>
      </c>
      <c r="J49" s="64">
        <v>0.16</v>
      </c>
      <c r="K49" s="64">
        <v>307.73</v>
      </c>
      <c r="L49" s="64">
        <v>21.02</v>
      </c>
      <c r="M49" s="64">
        <v>99.19</v>
      </c>
      <c r="N49" s="64">
        <v>90.2</v>
      </c>
      <c r="O49" s="64">
        <v>0.4</v>
      </c>
      <c r="P49" s="64">
        <v>0.24</v>
      </c>
      <c r="Q49" s="64">
        <v>9</v>
      </c>
      <c r="R49" s="198"/>
      <c r="S49" s="198"/>
      <c r="T49" s="198"/>
      <c r="U49" s="198"/>
    </row>
    <row r="50" spans="1:21" s="12" customFormat="1" x14ac:dyDescent="0.25">
      <c r="A50" s="213" t="s">
        <v>957</v>
      </c>
      <c r="B50" s="64">
        <v>5.12</v>
      </c>
      <c r="C50" s="64">
        <v>17.5</v>
      </c>
      <c r="D50" s="64">
        <v>13.25</v>
      </c>
      <c r="E50" s="64">
        <v>4.2</v>
      </c>
      <c r="F50" s="64">
        <v>3.29</v>
      </c>
      <c r="G50" s="64">
        <v>16.55</v>
      </c>
      <c r="H50" s="64">
        <v>6.09</v>
      </c>
      <c r="I50" s="64">
        <v>0.7</v>
      </c>
      <c r="J50" s="64">
        <v>0.19</v>
      </c>
      <c r="K50" s="64">
        <v>306.62</v>
      </c>
      <c r="L50" s="64">
        <v>21</v>
      </c>
      <c r="M50" s="64">
        <v>99.26</v>
      </c>
      <c r="N50" s="64">
        <v>96.7</v>
      </c>
      <c r="O50" s="64">
        <v>0.8</v>
      </c>
      <c r="P50" s="64">
        <v>0.24</v>
      </c>
      <c r="Q50" s="64">
        <v>9.02</v>
      </c>
      <c r="R50" s="198"/>
      <c r="S50" s="198"/>
      <c r="T50" s="198"/>
      <c r="U50" s="198"/>
    </row>
    <row r="51" spans="1:21" s="12" customFormat="1" x14ac:dyDescent="0.25">
      <c r="A51" s="213" t="s">
        <v>958</v>
      </c>
      <c r="B51" s="64">
        <v>5.54</v>
      </c>
      <c r="C51" s="64">
        <v>16.73</v>
      </c>
      <c r="D51" s="64">
        <v>13.19</v>
      </c>
      <c r="E51" s="64">
        <v>4.18</v>
      </c>
      <c r="F51" s="64">
        <v>3.24</v>
      </c>
      <c r="G51" s="64">
        <v>16.55</v>
      </c>
      <c r="H51" s="64">
        <v>6.09</v>
      </c>
      <c r="I51" s="64">
        <v>0.76</v>
      </c>
      <c r="J51" s="64">
        <v>0.18</v>
      </c>
      <c r="K51" s="64">
        <v>308.13</v>
      </c>
      <c r="L51" s="64">
        <v>20.95</v>
      </c>
      <c r="M51" s="64">
        <v>99.32</v>
      </c>
      <c r="N51" s="64">
        <v>96.5</v>
      </c>
      <c r="O51" s="64">
        <v>0.6</v>
      </c>
      <c r="P51" s="64">
        <v>0.25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959</v>
      </c>
      <c r="B52" s="64">
        <v>5.61</v>
      </c>
      <c r="C52" s="64">
        <v>15</v>
      </c>
      <c r="D52" s="64">
        <v>12.33</v>
      </c>
      <c r="E52" s="64">
        <v>4.22</v>
      </c>
      <c r="F52" s="64">
        <v>3.26</v>
      </c>
      <c r="G52" s="64">
        <v>16.55</v>
      </c>
      <c r="H52" s="64">
        <v>6.09</v>
      </c>
      <c r="I52" s="64">
        <v>0.78</v>
      </c>
      <c r="J52" s="64">
        <v>0.21</v>
      </c>
      <c r="K52" s="64">
        <v>307.32</v>
      </c>
      <c r="L52" s="64">
        <v>20.99</v>
      </c>
      <c r="M52" s="64">
        <v>99.55</v>
      </c>
      <c r="N52" s="64">
        <v>108</v>
      </c>
      <c r="O52" s="64">
        <v>0.6</v>
      </c>
      <c r="P52" s="64">
        <v>0.25</v>
      </c>
      <c r="Q52" s="64">
        <v>9.06</v>
      </c>
      <c r="R52" s="198"/>
      <c r="S52" s="198"/>
      <c r="T52" s="198"/>
      <c r="U52" s="198"/>
    </row>
    <row r="53" spans="1:21" s="12" customFormat="1" x14ac:dyDescent="0.25">
      <c r="A53" s="213" t="s">
        <v>960</v>
      </c>
      <c r="B53" s="64">
        <v>6.1</v>
      </c>
      <c r="C53" s="64">
        <v>16.62</v>
      </c>
      <c r="D53" s="64">
        <v>13.58</v>
      </c>
      <c r="E53" s="64">
        <v>4.2300000000000004</v>
      </c>
      <c r="F53" s="64">
        <v>3.43</v>
      </c>
      <c r="G53" s="64">
        <v>18.98</v>
      </c>
      <c r="H53" s="64">
        <v>5.63</v>
      </c>
      <c r="I53" s="64">
        <v>0.79</v>
      </c>
      <c r="J53" s="64">
        <v>0.21</v>
      </c>
      <c r="K53" s="64">
        <v>303.87</v>
      </c>
      <c r="L53" s="64">
        <v>21.03</v>
      </c>
      <c r="M53" s="64">
        <v>99.43</v>
      </c>
      <c r="N53" s="64">
        <v>136</v>
      </c>
      <c r="O53" s="64">
        <v>0.4</v>
      </c>
      <c r="P53" s="64">
        <v>0.25</v>
      </c>
      <c r="Q53" s="64">
        <v>9.06</v>
      </c>
      <c r="R53" s="198"/>
      <c r="S53" s="198"/>
      <c r="T53" s="198"/>
      <c r="U53" s="198"/>
    </row>
    <row r="54" spans="1:21" s="12" customFormat="1" x14ac:dyDescent="0.25">
      <c r="A54" s="213" t="s">
        <v>961</v>
      </c>
      <c r="B54" s="64">
        <v>6.17</v>
      </c>
      <c r="C54" s="64">
        <v>14.75</v>
      </c>
      <c r="D54" s="64">
        <v>12.65</v>
      </c>
      <c r="E54" s="64">
        <v>4.3099999999999996</v>
      </c>
      <c r="F54" s="64">
        <v>3.51</v>
      </c>
      <c r="G54" s="64">
        <v>20.46</v>
      </c>
      <c r="H54" s="64">
        <v>5.35</v>
      </c>
      <c r="I54" s="64">
        <v>0.79</v>
      </c>
      <c r="J54" s="64">
        <v>0.28999999999999998</v>
      </c>
      <c r="K54" s="64">
        <v>299.01</v>
      </c>
      <c r="L54" s="64">
        <v>21.12</v>
      </c>
      <c r="M54" s="64">
        <v>99.23</v>
      </c>
      <c r="N54" s="64">
        <v>151.80000000000001</v>
      </c>
      <c r="O54" s="64">
        <v>0.4</v>
      </c>
      <c r="P54" s="64">
        <v>0.25</v>
      </c>
      <c r="Q54" s="64">
        <v>9.06</v>
      </c>
      <c r="R54" s="198"/>
      <c r="S54" s="198"/>
      <c r="T54" s="198"/>
      <c r="U54" s="198"/>
    </row>
    <row r="55" spans="1:21" s="12" customFormat="1" x14ac:dyDescent="0.25">
      <c r="A55" s="213" t="s">
        <v>962</v>
      </c>
      <c r="B55" s="64">
        <v>6.26</v>
      </c>
      <c r="C55" s="64">
        <v>14.34</v>
      </c>
      <c r="D55" s="64">
        <v>12.51</v>
      </c>
      <c r="E55" s="64">
        <v>4.22</v>
      </c>
      <c r="F55" s="64">
        <v>3.76</v>
      </c>
      <c r="G55" s="64">
        <v>20.46</v>
      </c>
      <c r="H55" s="64">
        <v>5.35</v>
      </c>
      <c r="I55" s="64">
        <v>0.78</v>
      </c>
      <c r="J55" s="64">
        <v>0.24</v>
      </c>
      <c r="K55" s="64">
        <v>297.85000000000002</v>
      </c>
      <c r="L55" s="64">
        <v>21.2</v>
      </c>
      <c r="M55" s="64">
        <v>99.31</v>
      </c>
      <c r="N55" s="64">
        <v>147.19999999999999</v>
      </c>
      <c r="O55" s="64">
        <v>0.2</v>
      </c>
      <c r="P55" s="64">
        <v>0.26</v>
      </c>
      <c r="Q55" s="64">
        <v>9.08</v>
      </c>
      <c r="R55" s="198"/>
      <c r="S55" s="198"/>
      <c r="T55" s="198"/>
      <c r="U55" s="198"/>
    </row>
    <row r="56" spans="1:21" s="12" customFormat="1" x14ac:dyDescent="0.25">
      <c r="A56" s="213" t="s">
        <v>963</v>
      </c>
      <c r="B56" s="64">
        <v>6.14</v>
      </c>
      <c r="C56" s="64">
        <v>14.09</v>
      </c>
      <c r="D56" s="64">
        <v>12.29</v>
      </c>
      <c r="E56" s="64">
        <v>4.3600000000000003</v>
      </c>
      <c r="F56" s="64">
        <v>3.7</v>
      </c>
      <c r="G56" s="64">
        <v>20.46</v>
      </c>
      <c r="H56" s="64">
        <v>5.35</v>
      </c>
      <c r="I56" s="64">
        <v>0.79</v>
      </c>
      <c r="J56" s="64">
        <v>0.21</v>
      </c>
      <c r="K56" s="64">
        <v>297.88</v>
      </c>
      <c r="L56" s="64">
        <v>21.29</v>
      </c>
      <c r="M56" s="64">
        <v>99.29</v>
      </c>
      <c r="N56" s="64">
        <v>140.9</v>
      </c>
      <c r="O56" s="64">
        <v>0.2</v>
      </c>
      <c r="P56" s="64">
        <v>0.25</v>
      </c>
      <c r="Q56" s="64">
        <v>9.08</v>
      </c>
      <c r="R56" s="198"/>
      <c r="S56" s="198"/>
      <c r="T56" s="198"/>
      <c r="U56" s="198"/>
    </row>
    <row r="57" spans="1:21" s="12" customFormat="1" x14ac:dyDescent="0.25">
      <c r="A57" s="213" t="s">
        <v>964</v>
      </c>
      <c r="B57" s="64">
        <v>6.22</v>
      </c>
      <c r="C57" s="64">
        <v>13.96</v>
      </c>
      <c r="D57" s="64">
        <v>12.28</v>
      </c>
      <c r="E57" s="64">
        <v>4.49</v>
      </c>
      <c r="F57" s="64">
        <v>4.12</v>
      </c>
      <c r="G57" s="64">
        <v>17.22</v>
      </c>
      <c r="H57" s="64">
        <v>6.46</v>
      </c>
      <c r="I57" s="64">
        <v>0.79</v>
      </c>
      <c r="J57" s="64">
        <v>0.2</v>
      </c>
      <c r="K57" s="64">
        <v>302.79000000000002</v>
      </c>
      <c r="L57" s="64">
        <v>21.27</v>
      </c>
      <c r="M57" s="64">
        <v>99.34</v>
      </c>
      <c r="N57" s="64">
        <v>124.4</v>
      </c>
      <c r="O57" s="64">
        <v>0.2</v>
      </c>
      <c r="P57" s="64">
        <v>0.26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13" t="s">
        <v>965</v>
      </c>
      <c r="B58" s="64">
        <v>6.5</v>
      </c>
      <c r="C58" s="64">
        <v>13.79</v>
      </c>
      <c r="D58" s="64">
        <v>12.42</v>
      </c>
      <c r="E58" s="64">
        <v>4.33</v>
      </c>
      <c r="F58" s="64">
        <v>2.9</v>
      </c>
      <c r="G58" s="64">
        <v>15.25</v>
      </c>
      <c r="H58" s="64">
        <v>7.13</v>
      </c>
      <c r="I58" s="64">
        <v>0.79</v>
      </c>
      <c r="J58" s="64">
        <v>0.23</v>
      </c>
      <c r="K58" s="64">
        <v>297.7</v>
      </c>
      <c r="L58" s="64">
        <v>21.28</v>
      </c>
      <c r="M58" s="64">
        <v>99.43</v>
      </c>
      <c r="N58" s="64">
        <v>149.69999999999999</v>
      </c>
      <c r="O58" s="64">
        <v>0.2</v>
      </c>
      <c r="P58" s="64">
        <v>0.27</v>
      </c>
      <c r="Q58" s="64">
        <v>9.06</v>
      </c>
      <c r="R58" s="198"/>
      <c r="S58" s="198"/>
      <c r="T58" s="198"/>
      <c r="U58" s="198"/>
    </row>
    <row r="59" spans="1:21" s="12" customFormat="1" x14ac:dyDescent="0.25">
      <c r="A59" s="213" t="s">
        <v>966</v>
      </c>
      <c r="B59" s="64">
        <v>6.68</v>
      </c>
      <c r="C59" s="64">
        <v>13.86</v>
      </c>
      <c r="D59" s="64">
        <v>12.6</v>
      </c>
      <c r="E59" s="64">
        <v>4.08</v>
      </c>
      <c r="F59" s="64">
        <v>3.73</v>
      </c>
      <c r="G59" s="64">
        <v>15.25</v>
      </c>
      <c r="H59" s="64">
        <v>7.13</v>
      </c>
      <c r="I59" s="64">
        <v>0.74</v>
      </c>
      <c r="J59" s="64">
        <v>0.26</v>
      </c>
      <c r="K59" s="64">
        <v>317.87</v>
      </c>
      <c r="L59" s="64">
        <v>21.36</v>
      </c>
      <c r="M59" s="64">
        <v>99.46</v>
      </c>
      <c r="N59" s="64">
        <v>170.9</v>
      </c>
      <c r="O59" s="64">
        <v>0</v>
      </c>
      <c r="P59" s="64">
        <v>0.26</v>
      </c>
      <c r="Q59" s="64">
        <v>9.06</v>
      </c>
      <c r="R59" s="198"/>
      <c r="S59" s="198"/>
      <c r="T59" s="198"/>
      <c r="U59" s="198"/>
    </row>
    <row r="60" spans="1:21" s="12" customFormat="1" x14ac:dyDescent="0.25">
      <c r="A60" s="213" t="s">
        <v>967</v>
      </c>
      <c r="B60" s="64">
        <v>6.85</v>
      </c>
      <c r="C60" s="64">
        <v>13.88</v>
      </c>
      <c r="D60" s="64">
        <v>12.75</v>
      </c>
      <c r="E60" s="64">
        <v>4.5199999999999996</v>
      </c>
      <c r="F60" s="64">
        <v>2.4300000000000002</v>
      </c>
      <c r="G60" s="64">
        <v>15.25</v>
      </c>
      <c r="H60" s="64">
        <v>7.13</v>
      </c>
      <c r="I60" s="64">
        <v>0.72</v>
      </c>
      <c r="J60" s="64">
        <v>0.21</v>
      </c>
      <c r="K60" s="64">
        <v>300.54000000000002</v>
      </c>
      <c r="L60" s="64">
        <v>21.5</v>
      </c>
      <c r="M60" s="64">
        <v>99.54</v>
      </c>
      <c r="N60" s="64">
        <v>207</v>
      </c>
      <c r="O60" s="64">
        <v>0</v>
      </c>
      <c r="P60" s="64">
        <v>0.26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3" t="s">
        <v>968</v>
      </c>
      <c r="B61" s="64">
        <v>6.65</v>
      </c>
      <c r="C61" s="64">
        <v>13.7</v>
      </c>
      <c r="D61" s="64">
        <v>12.49</v>
      </c>
      <c r="E61" s="64">
        <v>4.1900000000000004</v>
      </c>
      <c r="F61" s="64">
        <v>3.93</v>
      </c>
      <c r="G61" s="64">
        <v>12.43</v>
      </c>
      <c r="H61" s="64">
        <v>5.8</v>
      </c>
      <c r="I61" s="64">
        <v>0.8</v>
      </c>
      <c r="J61" s="64">
        <v>0.23</v>
      </c>
      <c r="K61" s="64">
        <v>305.97000000000003</v>
      </c>
      <c r="L61" s="64">
        <v>21.67</v>
      </c>
      <c r="M61" s="64">
        <v>99.6</v>
      </c>
      <c r="N61" s="64">
        <v>213.8</v>
      </c>
      <c r="O61" s="64">
        <v>0</v>
      </c>
      <c r="P61" s="64">
        <v>0.28000000000000003</v>
      </c>
      <c r="Q61" s="64">
        <v>9.06</v>
      </c>
      <c r="R61" s="198"/>
      <c r="S61" s="198"/>
      <c r="T61" s="198"/>
      <c r="U61" s="198"/>
    </row>
    <row r="62" spans="1:21" s="12" customFormat="1" x14ac:dyDescent="0.25">
      <c r="A62" s="213" t="s">
        <v>969</v>
      </c>
      <c r="B62" s="64">
        <v>6.32</v>
      </c>
      <c r="C62" s="64">
        <v>13.98</v>
      </c>
      <c r="D62" s="64">
        <v>12.37</v>
      </c>
      <c r="E62" s="64">
        <v>4.3499999999999996</v>
      </c>
      <c r="F62" s="64">
        <v>3.19</v>
      </c>
      <c r="G62" s="64">
        <v>10.72</v>
      </c>
      <c r="H62" s="64">
        <v>4.99</v>
      </c>
      <c r="I62" s="64">
        <v>0.84</v>
      </c>
      <c r="J62" s="64">
        <v>0.24</v>
      </c>
      <c r="K62" s="64">
        <v>311.60000000000002</v>
      </c>
      <c r="L62" s="64">
        <v>21.84</v>
      </c>
      <c r="M62" s="64">
        <v>99.67</v>
      </c>
      <c r="N62" s="64">
        <v>191.6</v>
      </c>
      <c r="O62" s="64">
        <v>0</v>
      </c>
      <c r="P62" s="64">
        <v>0.28999999999999998</v>
      </c>
      <c r="Q62" s="64">
        <v>9.0500000000000007</v>
      </c>
      <c r="R62" s="198"/>
      <c r="S62" s="198"/>
      <c r="T62" s="198"/>
      <c r="U62" s="198"/>
    </row>
    <row r="63" spans="1:21" s="12" customFormat="1" x14ac:dyDescent="0.25">
      <c r="A63" s="213" t="s">
        <v>970</v>
      </c>
      <c r="B63" s="64">
        <v>5.93</v>
      </c>
      <c r="C63" s="64">
        <v>14.15</v>
      </c>
      <c r="D63" s="64">
        <v>12.15</v>
      </c>
      <c r="E63" s="64">
        <v>4.43</v>
      </c>
      <c r="F63" s="64">
        <v>4.2300000000000004</v>
      </c>
      <c r="G63" s="64">
        <v>10.72</v>
      </c>
      <c r="H63" s="64">
        <v>4.99</v>
      </c>
      <c r="I63" s="64">
        <v>0.82</v>
      </c>
      <c r="J63" s="64">
        <v>0.26</v>
      </c>
      <c r="K63" s="64">
        <v>300.70999999999998</v>
      </c>
      <c r="L63" s="64">
        <v>22.04</v>
      </c>
      <c r="M63" s="64">
        <v>99.26</v>
      </c>
      <c r="N63" s="64">
        <v>235.8</v>
      </c>
      <c r="O63" s="64">
        <v>0</v>
      </c>
      <c r="P63" s="64">
        <v>0.28999999999999998</v>
      </c>
      <c r="Q63" s="64">
        <v>9.02</v>
      </c>
      <c r="R63" s="198"/>
      <c r="S63" s="198"/>
      <c r="T63" s="198"/>
      <c r="U63" s="198"/>
    </row>
    <row r="64" spans="1:21" s="12" customFormat="1" x14ac:dyDescent="0.25">
      <c r="A64" s="213" t="s">
        <v>971</v>
      </c>
      <c r="B64" s="64">
        <v>5.65</v>
      </c>
      <c r="C64" s="64">
        <v>14.35</v>
      </c>
      <c r="D64" s="64">
        <v>12.03</v>
      </c>
      <c r="E64" s="64">
        <v>4.5599999999999996</v>
      </c>
      <c r="F64" s="64">
        <v>3.07</v>
      </c>
      <c r="G64" s="64">
        <v>10.72</v>
      </c>
      <c r="H64" s="64">
        <v>4.99</v>
      </c>
      <c r="I64" s="64">
        <v>0.8</v>
      </c>
      <c r="J64" s="64">
        <v>0.24</v>
      </c>
      <c r="K64" s="64">
        <v>297.95999999999998</v>
      </c>
      <c r="L64" s="64">
        <v>22.18</v>
      </c>
      <c r="M64" s="64">
        <v>99.54</v>
      </c>
      <c r="N64" s="64">
        <v>193.5</v>
      </c>
      <c r="O64" s="64">
        <v>0</v>
      </c>
      <c r="P64" s="64">
        <v>0.28000000000000003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3" t="s">
        <v>972</v>
      </c>
      <c r="B65" s="64">
        <v>5.29</v>
      </c>
      <c r="C65" s="64">
        <v>14.4</v>
      </c>
      <c r="D65" s="64">
        <v>11.77</v>
      </c>
      <c r="E65" s="64">
        <v>4.58</v>
      </c>
      <c r="F65" s="64">
        <v>4.42</v>
      </c>
      <c r="G65" s="64">
        <v>9.6300000000000008</v>
      </c>
      <c r="H65" s="64">
        <v>4.0599999999999996</v>
      </c>
      <c r="I65" s="64">
        <v>0.77</v>
      </c>
      <c r="J65" s="64">
        <v>0.26</v>
      </c>
      <c r="K65" s="64">
        <v>295.62</v>
      </c>
      <c r="L65" s="64">
        <v>22.53</v>
      </c>
      <c r="M65" s="64">
        <v>99.64</v>
      </c>
      <c r="N65" s="64">
        <v>247.2</v>
      </c>
      <c r="O65" s="64">
        <v>0</v>
      </c>
      <c r="P65" s="64">
        <v>0.28999999999999998</v>
      </c>
      <c r="Q65" s="64">
        <v>9.01</v>
      </c>
      <c r="R65" s="198"/>
      <c r="S65" s="198"/>
      <c r="T65" s="198"/>
      <c r="U65" s="198"/>
    </row>
    <row r="66" spans="1:21" s="12" customFormat="1" x14ac:dyDescent="0.25">
      <c r="A66" s="213" t="s">
        <v>973</v>
      </c>
      <c r="B66" s="64">
        <v>5.0999999999999996</v>
      </c>
      <c r="C66" s="64">
        <v>14.35</v>
      </c>
      <c r="D66" s="64">
        <v>11.58</v>
      </c>
      <c r="E66" s="64">
        <v>4.24</v>
      </c>
      <c r="F66" s="64">
        <v>3.6</v>
      </c>
      <c r="G66" s="64">
        <v>8.9700000000000006</v>
      </c>
      <c r="H66" s="64">
        <v>3.5</v>
      </c>
      <c r="I66" s="64">
        <v>0.71</v>
      </c>
      <c r="J66" s="64">
        <v>0.25</v>
      </c>
      <c r="K66" s="64">
        <v>294.04000000000002</v>
      </c>
      <c r="L66" s="64">
        <v>22.79</v>
      </c>
      <c r="M66" s="64">
        <v>99.61</v>
      </c>
      <c r="N66" s="64">
        <v>287.8</v>
      </c>
      <c r="O66" s="64">
        <v>0</v>
      </c>
      <c r="P66" s="64">
        <v>0.3</v>
      </c>
      <c r="Q66" s="64">
        <v>9</v>
      </c>
      <c r="R66" s="198"/>
      <c r="S66" s="198"/>
      <c r="T66" s="198"/>
      <c r="U66" s="198"/>
    </row>
    <row r="67" spans="1:21" s="12" customFormat="1" x14ac:dyDescent="0.25">
      <c r="A67" s="213" t="s">
        <v>974</v>
      </c>
      <c r="B67" s="64">
        <v>5.32</v>
      </c>
      <c r="C67" s="64">
        <v>14.21</v>
      </c>
      <c r="D67" s="64">
        <v>11.69</v>
      </c>
      <c r="E67" s="64">
        <v>4.18</v>
      </c>
      <c r="F67" s="64">
        <v>3.82</v>
      </c>
      <c r="G67" s="64">
        <v>8.9700000000000006</v>
      </c>
      <c r="H67" s="64">
        <v>3.5</v>
      </c>
      <c r="I67" s="64">
        <v>0.71</v>
      </c>
      <c r="J67" s="64">
        <v>0.38</v>
      </c>
      <c r="K67" s="64">
        <v>288.45</v>
      </c>
      <c r="L67" s="64">
        <v>23.13</v>
      </c>
      <c r="M67" s="64">
        <v>99</v>
      </c>
      <c r="N67" s="64">
        <v>225.6</v>
      </c>
      <c r="O67" s="64">
        <v>0</v>
      </c>
      <c r="P67" s="64">
        <v>0.28999999999999998</v>
      </c>
      <c r="Q67" s="64">
        <v>9.01</v>
      </c>
      <c r="R67" s="198"/>
      <c r="S67" s="198"/>
      <c r="T67" s="198"/>
      <c r="U67" s="198"/>
    </row>
    <row r="68" spans="1:21" s="12" customFormat="1" x14ac:dyDescent="0.25">
      <c r="A68" s="213" t="s">
        <v>975</v>
      </c>
      <c r="B68" s="64">
        <v>5.2</v>
      </c>
      <c r="C68" s="64">
        <v>14.14</v>
      </c>
      <c r="D68" s="64">
        <v>11.56</v>
      </c>
      <c r="E68" s="64">
        <v>4.16</v>
      </c>
      <c r="F68" s="64">
        <v>3.63</v>
      </c>
      <c r="G68" s="64">
        <v>8.9700000000000006</v>
      </c>
      <c r="H68" s="64">
        <v>3.5</v>
      </c>
      <c r="I68" s="64">
        <v>0.69</v>
      </c>
      <c r="J68" s="64">
        <v>0.43</v>
      </c>
      <c r="K68" s="64">
        <v>293.14999999999998</v>
      </c>
      <c r="L68" s="64">
        <v>22.9</v>
      </c>
      <c r="M68" s="64">
        <v>98.96</v>
      </c>
      <c r="N68" s="64">
        <v>132.19999999999999</v>
      </c>
      <c r="O68" s="64">
        <v>0</v>
      </c>
      <c r="P68" s="64">
        <v>0.28000000000000003</v>
      </c>
      <c r="Q68" s="64">
        <v>9.02</v>
      </c>
      <c r="R68" s="198"/>
      <c r="S68" s="198"/>
      <c r="T68" s="198"/>
      <c r="U68" s="198"/>
    </row>
    <row r="69" spans="1:21" s="12" customFormat="1" x14ac:dyDescent="0.25">
      <c r="A69" s="213" t="s">
        <v>976</v>
      </c>
      <c r="B69" s="64">
        <v>5.0999999999999996</v>
      </c>
      <c r="C69" s="64">
        <v>14.36</v>
      </c>
      <c r="D69" s="64">
        <v>11.59</v>
      </c>
      <c r="E69" s="64">
        <v>4.34</v>
      </c>
      <c r="F69" s="64">
        <v>4.24</v>
      </c>
      <c r="G69" s="64">
        <v>7.82</v>
      </c>
      <c r="H69" s="64">
        <v>4.1500000000000004</v>
      </c>
      <c r="I69" s="64">
        <v>0.64</v>
      </c>
      <c r="J69" s="64">
        <v>0.32</v>
      </c>
      <c r="K69" s="64">
        <v>291.93</v>
      </c>
      <c r="L69" s="64">
        <v>22.69</v>
      </c>
      <c r="M69" s="64">
        <v>98.97</v>
      </c>
      <c r="N69" s="64">
        <v>129.1</v>
      </c>
      <c r="O69" s="64">
        <v>0</v>
      </c>
      <c r="P69" s="64">
        <v>0.28000000000000003</v>
      </c>
      <c r="Q69" s="64">
        <v>9.02</v>
      </c>
      <c r="R69" s="198"/>
      <c r="S69" s="198"/>
      <c r="T69" s="198"/>
      <c r="U69" s="198"/>
    </row>
    <row r="70" spans="1:21" s="12" customFormat="1" x14ac:dyDescent="0.25">
      <c r="A70" s="213" t="s">
        <v>977</v>
      </c>
      <c r="B70" s="64">
        <v>5.17</v>
      </c>
      <c r="C70" s="64">
        <v>14.62</v>
      </c>
      <c r="D70" s="64">
        <v>11.78</v>
      </c>
      <c r="E70" s="64">
        <v>4.51</v>
      </c>
      <c r="F70" s="64">
        <v>3.97</v>
      </c>
      <c r="G70" s="64">
        <v>7.13</v>
      </c>
      <c r="H70" s="64">
        <v>4.54</v>
      </c>
      <c r="I70" s="64">
        <v>0.68</v>
      </c>
      <c r="J70" s="64">
        <v>0.3</v>
      </c>
      <c r="K70" s="64">
        <v>290.89</v>
      </c>
      <c r="L70" s="64">
        <v>22.76</v>
      </c>
      <c r="M70" s="64">
        <v>99</v>
      </c>
      <c r="N70" s="64">
        <v>145.19999999999999</v>
      </c>
      <c r="O70" s="64">
        <v>0</v>
      </c>
      <c r="P70" s="64">
        <v>0.3</v>
      </c>
      <c r="Q70" s="64">
        <v>9.0299999999999994</v>
      </c>
      <c r="R70" s="198"/>
      <c r="S70" s="198"/>
      <c r="T70" s="198"/>
      <c r="U70" s="198"/>
    </row>
    <row r="71" spans="1:21" s="12" customFormat="1" x14ac:dyDescent="0.25">
      <c r="A71" s="213" t="s">
        <v>978</v>
      </c>
      <c r="B71" s="64">
        <v>7.04</v>
      </c>
      <c r="C71" s="64">
        <v>13.35</v>
      </c>
      <c r="D71" s="64">
        <v>12.62</v>
      </c>
      <c r="E71" s="64">
        <v>4.5199999999999996</v>
      </c>
      <c r="F71" s="64">
        <v>3.47</v>
      </c>
      <c r="G71" s="64">
        <v>7.13</v>
      </c>
      <c r="H71" s="64">
        <v>4.54</v>
      </c>
      <c r="I71" s="64">
        <v>0.66</v>
      </c>
      <c r="J71" s="64">
        <v>0.24</v>
      </c>
      <c r="K71" s="64">
        <v>294.10000000000002</v>
      </c>
      <c r="L71" s="64">
        <v>22.68</v>
      </c>
      <c r="M71" s="64">
        <v>99.01</v>
      </c>
      <c r="N71" s="64">
        <v>126.7</v>
      </c>
      <c r="O71" s="64">
        <v>0</v>
      </c>
      <c r="P71" s="64">
        <v>0.3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3" t="s">
        <v>979</v>
      </c>
      <c r="B72" s="64">
        <v>5.88</v>
      </c>
      <c r="C72" s="64">
        <v>14.28</v>
      </c>
      <c r="D72" s="64">
        <v>12.18</v>
      </c>
      <c r="E72" s="64">
        <v>3.71</v>
      </c>
      <c r="F72" s="64">
        <v>3.59</v>
      </c>
      <c r="G72" s="64">
        <v>7.13</v>
      </c>
      <c r="H72" s="64">
        <v>4.54</v>
      </c>
      <c r="I72" s="64">
        <v>0.69</v>
      </c>
      <c r="J72" s="64">
        <v>0.24</v>
      </c>
      <c r="K72" s="64">
        <v>298.45999999999998</v>
      </c>
      <c r="L72" s="64">
        <v>22.59</v>
      </c>
      <c r="M72" s="64">
        <v>99.04</v>
      </c>
      <c r="N72" s="64">
        <v>128.6</v>
      </c>
      <c r="O72" s="64">
        <v>0</v>
      </c>
      <c r="P72" s="64">
        <v>0.3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3" t="s">
        <v>980</v>
      </c>
      <c r="B73" s="64">
        <v>6.01</v>
      </c>
      <c r="C73" s="64">
        <v>14.54</v>
      </c>
      <c r="D73" s="64">
        <v>12.42</v>
      </c>
      <c r="E73" s="64">
        <v>3.88</v>
      </c>
      <c r="F73" s="64">
        <v>3.59</v>
      </c>
      <c r="G73" s="64">
        <v>8.2200000000000006</v>
      </c>
      <c r="H73" s="64">
        <v>3.98</v>
      </c>
      <c r="I73" s="64">
        <v>0.75</v>
      </c>
      <c r="J73" s="64">
        <v>0.23</v>
      </c>
      <c r="K73" s="64">
        <v>292.7</v>
      </c>
      <c r="L73" s="64">
        <v>22.67</v>
      </c>
      <c r="M73" s="64">
        <v>99.05</v>
      </c>
      <c r="N73" s="64">
        <v>131.1</v>
      </c>
      <c r="O73" s="64">
        <v>0</v>
      </c>
      <c r="P73" s="64">
        <v>0.31</v>
      </c>
      <c r="Q73" s="64">
        <v>9.07</v>
      </c>
      <c r="R73" s="198"/>
      <c r="S73" s="198"/>
      <c r="T73" s="198"/>
      <c r="U73" s="198"/>
    </row>
    <row r="74" spans="1:21" s="12" customFormat="1" x14ac:dyDescent="0.25">
      <c r="A74" s="213" t="s">
        <v>981</v>
      </c>
      <c r="B74" s="64">
        <v>6.88</v>
      </c>
      <c r="C74" s="64">
        <v>14.16</v>
      </c>
      <c r="D74" s="64">
        <v>12.92</v>
      </c>
      <c r="E74" s="64">
        <v>3.9</v>
      </c>
      <c r="F74" s="64">
        <v>3.45</v>
      </c>
      <c r="G74" s="64">
        <v>8.8800000000000008</v>
      </c>
      <c r="H74" s="64">
        <v>3.65</v>
      </c>
      <c r="I74" s="64">
        <v>0.78</v>
      </c>
      <c r="J74" s="64">
        <v>0.23</v>
      </c>
      <c r="K74" s="64">
        <v>292</v>
      </c>
      <c r="L74" s="64">
        <v>22.73</v>
      </c>
      <c r="M74" s="64">
        <v>99.06</v>
      </c>
      <c r="N74" s="64">
        <v>106.3</v>
      </c>
      <c r="O74" s="64">
        <v>0</v>
      </c>
      <c r="P74" s="64">
        <v>0.33</v>
      </c>
      <c r="Q74" s="64">
        <v>9.08</v>
      </c>
      <c r="R74" s="198"/>
      <c r="S74" s="198"/>
      <c r="T74" s="198"/>
      <c r="U74" s="198"/>
    </row>
    <row r="75" spans="1:21" s="12" customFormat="1" x14ac:dyDescent="0.25">
      <c r="A75" s="213" t="s">
        <v>982</v>
      </c>
      <c r="B75" s="64">
        <v>6.67</v>
      </c>
      <c r="C75" s="64">
        <v>14</v>
      </c>
      <c r="D75" s="64">
        <v>12.66</v>
      </c>
      <c r="E75" s="64">
        <v>3.93</v>
      </c>
      <c r="F75" s="64">
        <v>3.64</v>
      </c>
      <c r="G75" s="64">
        <v>8.8800000000000008</v>
      </c>
      <c r="H75" s="64">
        <v>3.65</v>
      </c>
      <c r="I75" s="64">
        <v>0.81</v>
      </c>
      <c r="J75" s="64">
        <v>0.2</v>
      </c>
      <c r="K75" s="64">
        <v>300.89999999999998</v>
      </c>
      <c r="L75" s="64">
        <v>22.55</v>
      </c>
      <c r="M75" s="64">
        <v>99.1</v>
      </c>
      <c r="N75" s="64">
        <v>106.1</v>
      </c>
      <c r="O75" s="64">
        <v>0</v>
      </c>
      <c r="P75" s="64">
        <v>0.35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13" t="s">
        <v>983</v>
      </c>
      <c r="B76" s="64">
        <v>6.76</v>
      </c>
      <c r="C76" s="64">
        <v>14.21</v>
      </c>
      <c r="D76" s="64">
        <v>12.85</v>
      </c>
      <c r="E76" s="64">
        <v>4.0199999999999996</v>
      </c>
      <c r="F76" s="64">
        <v>2.91</v>
      </c>
      <c r="G76" s="64">
        <v>8.8800000000000008</v>
      </c>
      <c r="H76" s="64">
        <v>3.65</v>
      </c>
      <c r="I76" s="64">
        <v>0.77</v>
      </c>
      <c r="J76" s="64">
        <v>0.21</v>
      </c>
      <c r="K76" s="64">
        <v>300.08</v>
      </c>
      <c r="L76" s="64">
        <v>22.43</v>
      </c>
      <c r="M76" s="64">
        <v>99.1</v>
      </c>
      <c r="N76" s="64">
        <v>108.5</v>
      </c>
      <c r="O76" s="64">
        <v>0</v>
      </c>
      <c r="P76" s="64">
        <v>0.34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13" t="s">
        <v>984</v>
      </c>
      <c r="B77" s="64">
        <v>6.92</v>
      </c>
      <c r="C77" s="64">
        <v>14.44</v>
      </c>
      <c r="D77" s="64">
        <v>13.09</v>
      </c>
      <c r="E77" s="64">
        <v>3.9</v>
      </c>
      <c r="F77" s="64">
        <v>3.65</v>
      </c>
      <c r="G77" s="64">
        <v>10.28</v>
      </c>
      <c r="H77" s="64">
        <v>4.93</v>
      </c>
      <c r="I77" s="64">
        <v>0.74</v>
      </c>
      <c r="J77" s="64">
        <v>0.21</v>
      </c>
      <c r="K77" s="64">
        <v>302.94</v>
      </c>
      <c r="L77" s="64">
        <v>22.48</v>
      </c>
      <c r="M77" s="64">
        <v>99.1</v>
      </c>
      <c r="N77" s="64">
        <v>116.5</v>
      </c>
      <c r="O77" s="64">
        <v>0</v>
      </c>
      <c r="P77" s="64">
        <v>0.41</v>
      </c>
      <c r="Q77" s="64">
        <v>9.07</v>
      </c>
      <c r="R77" s="198"/>
      <c r="S77" s="198"/>
      <c r="T77" s="198"/>
      <c r="U77" s="198"/>
    </row>
    <row r="78" spans="1:21" s="12" customFormat="1" x14ac:dyDescent="0.25">
      <c r="A78" s="213" t="s">
        <v>985</v>
      </c>
      <c r="B78" s="64">
        <v>6.97</v>
      </c>
      <c r="C78" s="64">
        <v>15.09</v>
      </c>
      <c r="D78" s="64">
        <v>13.47</v>
      </c>
      <c r="E78" s="64">
        <v>3.82</v>
      </c>
      <c r="F78" s="64">
        <v>2.72</v>
      </c>
      <c r="G78" s="64">
        <v>11.12</v>
      </c>
      <c r="H78" s="64">
        <v>5.7</v>
      </c>
      <c r="I78" s="64">
        <v>0.76</v>
      </c>
      <c r="J78" s="64">
        <v>0.17</v>
      </c>
      <c r="K78" s="64">
        <v>297.91000000000003</v>
      </c>
      <c r="L78" s="64">
        <v>22.51</v>
      </c>
      <c r="M78" s="64">
        <v>99.14</v>
      </c>
      <c r="N78" s="64">
        <v>98.3</v>
      </c>
      <c r="O78" s="64">
        <v>0</v>
      </c>
      <c r="P78" s="64">
        <v>0.43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3" t="s">
        <v>986</v>
      </c>
      <c r="B79" s="64">
        <v>6.93</v>
      </c>
      <c r="C79" s="64">
        <v>14.99</v>
      </c>
      <c r="D79" s="64">
        <v>13.39</v>
      </c>
      <c r="E79" s="64">
        <v>4.17</v>
      </c>
      <c r="F79" s="64">
        <v>3.98</v>
      </c>
      <c r="G79" s="64">
        <v>11.12</v>
      </c>
      <c r="H79" s="64">
        <v>5.7</v>
      </c>
      <c r="I79" s="64">
        <v>0.81</v>
      </c>
      <c r="J79" s="64">
        <v>0.22</v>
      </c>
      <c r="K79" s="64">
        <v>305.33</v>
      </c>
      <c r="L79" s="64">
        <v>22.35</v>
      </c>
      <c r="M79" s="64">
        <v>99.15</v>
      </c>
      <c r="N79" s="64">
        <v>88.1</v>
      </c>
      <c r="O79" s="64">
        <v>0</v>
      </c>
      <c r="P79" s="64">
        <v>0.44</v>
      </c>
      <c r="Q79" s="64">
        <v>9.06</v>
      </c>
      <c r="R79" s="198"/>
      <c r="S79" s="198"/>
      <c r="T79" s="198"/>
      <c r="U79" s="198"/>
    </row>
    <row r="80" spans="1:21" s="12" customFormat="1" x14ac:dyDescent="0.25">
      <c r="A80" s="213" t="s">
        <v>987</v>
      </c>
      <c r="B80" s="64">
        <v>6.96</v>
      </c>
      <c r="C80" s="64">
        <v>15.07</v>
      </c>
      <c r="D80" s="64">
        <v>13.45</v>
      </c>
      <c r="E80" s="64">
        <v>3.76</v>
      </c>
      <c r="F80" s="64">
        <v>3</v>
      </c>
      <c r="G80" s="64">
        <v>11.12</v>
      </c>
      <c r="H80" s="64">
        <v>5.7</v>
      </c>
      <c r="I80" s="64">
        <v>0.85</v>
      </c>
      <c r="J80" s="64">
        <v>0.15</v>
      </c>
      <c r="K80" s="64">
        <v>311.27</v>
      </c>
      <c r="L80" s="64">
        <v>22.19</v>
      </c>
      <c r="M80" s="64">
        <v>99.14</v>
      </c>
      <c r="N80" s="64">
        <v>85.3</v>
      </c>
      <c r="O80" s="64">
        <v>0</v>
      </c>
      <c r="P80" s="64">
        <v>0.43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3" t="s">
        <v>988</v>
      </c>
      <c r="B81" s="64">
        <v>6.82</v>
      </c>
      <c r="C81" s="64">
        <v>14.67</v>
      </c>
      <c r="D81" s="64">
        <v>13.13</v>
      </c>
      <c r="E81" s="64">
        <v>3.72</v>
      </c>
      <c r="F81" s="64">
        <v>3.99</v>
      </c>
      <c r="G81" s="64">
        <v>10.86</v>
      </c>
      <c r="H81" s="64">
        <v>5.5</v>
      </c>
      <c r="I81" s="64">
        <v>0.86</v>
      </c>
      <c r="J81" s="64">
        <v>0.16</v>
      </c>
      <c r="K81" s="64">
        <v>300.42</v>
      </c>
      <c r="L81" s="64">
        <v>22.09</v>
      </c>
      <c r="M81" s="64">
        <v>99.13</v>
      </c>
      <c r="N81" s="64">
        <v>79.099999999999994</v>
      </c>
      <c r="O81" s="64">
        <v>0</v>
      </c>
      <c r="P81" s="64">
        <v>0.43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13" t="s">
        <v>989</v>
      </c>
      <c r="B82" s="64">
        <v>6.49</v>
      </c>
      <c r="C82" s="64">
        <v>14.61</v>
      </c>
      <c r="D82" s="64">
        <v>12.84</v>
      </c>
      <c r="E82" s="64">
        <v>3.8</v>
      </c>
      <c r="F82" s="64">
        <v>2.75</v>
      </c>
      <c r="G82" s="64">
        <v>10.7</v>
      </c>
      <c r="H82" s="64">
        <v>5.38</v>
      </c>
      <c r="I82" s="64">
        <v>0.87</v>
      </c>
      <c r="J82" s="64">
        <v>0.17</v>
      </c>
      <c r="K82" s="64">
        <v>314.14</v>
      </c>
      <c r="L82" s="64">
        <v>22.09</v>
      </c>
      <c r="M82" s="64">
        <v>99.15</v>
      </c>
      <c r="N82" s="64">
        <v>69.8</v>
      </c>
      <c r="O82" s="64">
        <v>0</v>
      </c>
      <c r="P82" s="64">
        <v>0.42</v>
      </c>
      <c r="Q82" s="64">
        <v>9.0500000000000007</v>
      </c>
      <c r="R82" s="198"/>
      <c r="S82" s="198"/>
      <c r="T82" s="198"/>
      <c r="U82" s="198"/>
    </row>
    <row r="83" spans="1:26" s="12" customFormat="1" x14ac:dyDescent="0.25">
      <c r="A83" s="213" t="s">
        <v>990</v>
      </c>
      <c r="B83" s="64">
        <v>6.27</v>
      </c>
      <c r="C83" s="64">
        <v>14.48</v>
      </c>
      <c r="D83" s="64">
        <v>12.59</v>
      </c>
      <c r="E83" s="64">
        <v>3.85</v>
      </c>
      <c r="F83" s="64">
        <v>3.72</v>
      </c>
      <c r="G83" s="64">
        <v>10.7</v>
      </c>
      <c r="H83" s="64">
        <v>5.38</v>
      </c>
      <c r="I83" s="64">
        <v>0.87</v>
      </c>
      <c r="J83" s="64">
        <v>0.16</v>
      </c>
      <c r="K83" s="64">
        <v>322.89</v>
      </c>
      <c r="L83" s="64">
        <v>21.98</v>
      </c>
      <c r="M83" s="64">
        <v>99.16</v>
      </c>
      <c r="N83" s="64">
        <v>61.2</v>
      </c>
      <c r="O83" s="64">
        <v>0</v>
      </c>
      <c r="P83" s="64">
        <v>0.41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3" t="s">
        <v>991</v>
      </c>
      <c r="B84" s="64">
        <v>6.21</v>
      </c>
      <c r="C84" s="64">
        <v>14.12</v>
      </c>
      <c r="D84" s="64">
        <v>12.36</v>
      </c>
      <c r="E84" s="64">
        <v>3.99</v>
      </c>
      <c r="F84" s="64">
        <v>3.45</v>
      </c>
      <c r="G84" s="64">
        <v>10.7</v>
      </c>
      <c r="H84" s="64">
        <v>5.38</v>
      </c>
      <c r="I84" s="64">
        <v>0.88</v>
      </c>
      <c r="J84" s="64">
        <v>0.17</v>
      </c>
      <c r="K84" s="64">
        <v>307.29000000000002</v>
      </c>
      <c r="L84" s="64">
        <v>22.02</v>
      </c>
      <c r="M84" s="64">
        <v>99.17</v>
      </c>
      <c r="N84" s="64">
        <v>59.5</v>
      </c>
      <c r="O84" s="64">
        <v>0</v>
      </c>
      <c r="P84" s="64">
        <v>0.44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3" t="s">
        <v>992</v>
      </c>
      <c r="B85" s="64">
        <v>6.78</v>
      </c>
      <c r="C85" s="64">
        <v>15.96</v>
      </c>
      <c r="D85" s="64">
        <v>13.77</v>
      </c>
      <c r="E85" s="64">
        <v>3.68</v>
      </c>
      <c r="F85" s="64">
        <v>3.51</v>
      </c>
      <c r="G85" s="64">
        <v>13.01</v>
      </c>
      <c r="H85" s="64">
        <v>4.57</v>
      </c>
      <c r="I85" s="64">
        <v>0.91</v>
      </c>
      <c r="J85" s="64">
        <v>0.15</v>
      </c>
      <c r="K85" s="64">
        <v>311.42</v>
      </c>
      <c r="L85" s="64">
        <v>22.05</v>
      </c>
      <c r="M85" s="64">
        <v>99.15</v>
      </c>
      <c r="N85" s="64">
        <v>59.7</v>
      </c>
      <c r="O85" s="64">
        <v>0</v>
      </c>
      <c r="P85" s="64">
        <v>0.36</v>
      </c>
      <c r="Q85" s="64">
        <v>9.06</v>
      </c>
      <c r="R85" s="198"/>
      <c r="S85" s="198"/>
      <c r="T85" s="198"/>
      <c r="U85" s="198"/>
    </row>
    <row r="86" spans="1:26" s="12" customFormat="1" x14ac:dyDescent="0.25">
      <c r="A86" s="213" t="s">
        <v>993</v>
      </c>
      <c r="B86" s="64">
        <v>7.41</v>
      </c>
      <c r="C86" s="64">
        <v>14.98</v>
      </c>
      <c r="D86" s="64">
        <v>13.77</v>
      </c>
      <c r="E86" s="64">
        <v>3.75</v>
      </c>
      <c r="F86" s="64">
        <v>3.52</v>
      </c>
      <c r="G86" s="64">
        <v>14.42</v>
      </c>
      <c r="H86" s="64">
        <v>4.08</v>
      </c>
      <c r="I86" s="64">
        <v>0.95</v>
      </c>
      <c r="J86" s="64">
        <v>0.16</v>
      </c>
      <c r="K86" s="64">
        <v>312.05</v>
      </c>
      <c r="L86" s="64">
        <v>22.03</v>
      </c>
      <c r="M86" s="64">
        <v>99.16</v>
      </c>
      <c r="N86" s="64">
        <v>59.8</v>
      </c>
      <c r="O86" s="64">
        <v>0</v>
      </c>
      <c r="P86" s="64">
        <v>0.38</v>
      </c>
      <c r="Q86" s="64">
        <v>9.06</v>
      </c>
      <c r="R86" s="198"/>
      <c r="S86" s="198"/>
      <c r="T86" s="198"/>
      <c r="U86" s="198"/>
    </row>
    <row r="87" spans="1:26" s="12" customFormat="1" x14ac:dyDescent="0.25">
      <c r="A87" s="213" t="s">
        <v>994</v>
      </c>
      <c r="B87" s="64">
        <v>6.97</v>
      </c>
      <c r="C87" s="64">
        <v>15.76</v>
      </c>
      <c r="D87" s="64">
        <v>13.82</v>
      </c>
      <c r="E87" s="64">
        <v>3.8</v>
      </c>
      <c r="F87" s="64">
        <v>3.5</v>
      </c>
      <c r="G87" s="64">
        <v>14.42</v>
      </c>
      <c r="H87" s="64">
        <v>4.08</v>
      </c>
      <c r="I87" s="64">
        <v>0.97</v>
      </c>
      <c r="J87" s="64">
        <v>0.18</v>
      </c>
      <c r="K87" s="64">
        <v>306.45</v>
      </c>
      <c r="L87" s="64">
        <v>22.08</v>
      </c>
      <c r="M87" s="64">
        <v>99.18</v>
      </c>
      <c r="N87" s="64">
        <v>60</v>
      </c>
      <c r="O87" s="64">
        <v>0</v>
      </c>
      <c r="P87" s="64">
        <v>0.38</v>
      </c>
      <c r="Q87" s="64">
        <v>9.07</v>
      </c>
      <c r="R87" s="198"/>
      <c r="S87" s="198"/>
      <c r="T87" s="198"/>
      <c r="U87" s="198"/>
    </row>
    <row r="88" spans="1:26" s="12" customFormat="1" x14ac:dyDescent="0.25">
      <c r="A88" s="213" t="s">
        <v>995</v>
      </c>
      <c r="B88" s="64">
        <v>6.63</v>
      </c>
      <c r="C88" s="64">
        <v>15.2</v>
      </c>
      <c r="D88" s="64">
        <v>13.26</v>
      </c>
      <c r="E88" s="64">
        <v>4.04</v>
      </c>
      <c r="F88" s="64">
        <v>3.56</v>
      </c>
      <c r="G88" s="64">
        <v>14.42</v>
      </c>
      <c r="H88" s="64">
        <v>4.08</v>
      </c>
      <c r="I88" s="64">
        <v>1</v>
      </c>
      <c r="J88" s="64">
        <v>0.2</v>
      </c>
      <c r="K88" s="64">
        <v>320.44</v>
      </c>
      <c r="L88" s="64">
        <v>22.05</v>
      </c>
      <c r="M88" s="64">
        <v>99.16</v>
      </c>
      <c r="N88" s="64">
        <v>60.2</v>
      </c>
      <c r="O88" s="64">
        <v>0</v>
      </c>
      <c r="P88" s="64">
        <v>0.39</v>
      </c>
      <c r="Q88" s="64">
        <v>9.08</v>
      </c>
      <c r="R88" s="198"/>
      <c r="S88" s="198"/>
      <c r="T88" s="198"/>
      <c r="U88" s="198"/>
    </row>
    <row r="89" spans="1:26" s="12" customFormat="1" x14ac:dyDescent="0.25">
      <c r="A89" s="213" t="s">
        <v>996</v>
      </c>
      <c r="B89" s="64">
        <v>6.41</v>
      </c>
      <c r="C89" s="64">
        <v>14.38</v>
      </c>
      <c r="D89" s="64">
        <v>12.66</v>
      </c>
      <c r="E89" s="64">
        <v>3.96</v>
      </c>
      <c r="F89" s="64">
        <v>3.48</v>
      </c>
      <c r="G89" s="64">
        <v>14.3</v>
      </c>
      <c r="H89" s="64">
        <v>5.34</v>
      </c>
      <c r="I89" s="64">
        <v>1.04</v>
      </c>
      <c r="J89" s="64">
        <v>0.17</v>
      </c>
      <c r="K89" s="64">
        <v>308</v>
      </c>
      <c r="L89" s="64">
        <v>22</v>
      </c>
      <c r="M89" s="64">
        <v>98.92</v>
      </c>
      <c r="N89" s="64">
        <v>60</v>
      </c>
      <c r="O89" s="64">
        <v>0</v>
      </c>
      <c r="P89" s="64">
        <v>0.4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3" t="s">
        <v>997</v>
      </c>
      <c r="B90" s="64">
        <v>6.47</v>
      </c>
      <c r="C90" s="64">
        <v>14.41</v>
      </c>
      <c r="D90" s="64">
        <v>12.71</v>
      </c>
      <c r="E90" s="64">
        <v>3.98</v>
      </c>
      <c r="F90" s="64">
        <v>3.65</v>
      </c>
      <c r="G90" s="64">
        <v>14.23</v>
      </c>
      <c r="H90" s="64">
        <v>6.11</v>
      </c>
      <c r="I90" s="64">
        <v>1.07</v>
      </c>
      <c r="J90" s="64">
        <v>0.15</v>
      </c>
      <c r="K90" s="64">
        <v>321.47000000000003</v>
      </c>
      <c r="L90" s="64">
        <v>21.98</v>
      </c>
      <c r="M90" s="64">
        <v>98.88</v>
      </c>
      <c r="N90" s="64">
        <v>60</v>
      </c>
      <c r="O90" s="64">
        <v>0</v>
      </c>
      <c r="P90" s="64">
        <v>0.4</v>
      </c>
      <c r="Q90" s="64">
        <v>9.09</v>
      </c>
      <c r="R90" s="198"/>
      <c r="S90" s="198"/>
      <c r="T90" s="198"/>
      <c r="U90" s="198"/>
    </row>
    <row r="91" spans="1:26" s="12" customFormat="1" x14ac:dyDescent="0.25">
      <c r="A91" s="213" t="s">
        <v>998</v>
      </c>
      <c r="B91" s="64">
        <v>6.37</v>
      </c>
      <c r="C91" s="64">
        <v>14.34</v>
      </c>
      <c r="D91" s="64">
        <v>12.6</v>
      </c>
      <c r="E91" s="64">
        <v>3.77</v>
      </c>
      <c r="F91" s="64">
        <v>3.86</v>
      </c>
      <c r="G91" s="64">
        <v>14.23</v>
      </c>
      <c r="H91" s="64">
        <v>6.11</v>
      </c>
      <c r="I91" s="64">
        <v>1.08</v>
      </c>
      <c r="J91" s="64">
        <v>0.14000000000000001</v>
      </c>
      <c r="K91" s="64">
        <v>317.14</v>
      </c>
      <c r="L91" s="64">
        <v>21.9</v>
      </c>
      <c r="M91" s="64">
        <v>98.93</v>
      </c>
      <c r="N91" s="64">
        <v>59.9</v>
      </c>
      <c r="O91" s="64">
        <v>0</v>
      </c>
      <c r="P91" s="64">
        <v>0.39</v>
      </c>
      <c r="Q91" s="64">
        <v>9.08</v>
      </c>
      <c r="R91" s="198"/>
      <c r="S91" s="198"/>
      <c r="T91" s="198"/>
      <c r="U91" s="198"/>
    </row>
    <row r="92" spans="1:26" s="12" customFormat="1" x14ac:dyDescent="0.25">
      <c r="A92" s="213" t="s">
        <v>999</v>
      </c>
      <c r="B92" s="64">
        <v>6.27</v>
      </c>
      <c r="C92" s="64">
        <v>13.93</v>
      </c>
      <c r="D92" s="64">
        <v>12.3</v>
      </c>
      <c r="E92" s="64">
        <v>4.1900000000000004</v>
      </c>
      <c r="F92" s="64">
        <v>3.98</v>
      </c>
      <c r="G92" s="64">
        <v>14.23</v>
      </c>
      <c r="H92" s="64">
        <v>6.11</v>
      </c>
      <c r="I92" s="64">
        <v>1.0900000000000001</v>
      </c>
      <c r="J92" s="64">
        <v>0.15</v>
      </c>
      <c r="K92" s="64">
        <v>324.64999999999998</v>
      </c>
      <c r="L92" s="64">
        <v>21.84</v>
      </c>
      <c r="M92" s="64">
        <v>98.97</v>
      </c>
      <c r="N92" s="64">
        <v>60</v>
      </c>
      <c r="O92" s="64">
        <v>0</v>
      </c>
      <c r="P92" s="64">
        <v>0.4</v>
      </c>
      <c r="Q92" s="64">
        <v>9.08</v>
      </c>
      <c r="R92" s="198"/>
      <c r="S92" s="198"/>
      <c r="T92" s="198"/>
      <c r="U92" s="198"/>
    </row>
    <row r="93" spans="1:26" s="12" customFormat="1" x14ac:dyDescent="0.25">
      <c r="A93" s="213" t="s">
        <v>1000</v>
      </c>
      <c r="B93" s="64">
        <v>6.28</v>
      </c>
      <c r="C93" s="64">
        <v>13.7</v>
      </c>
      <c r="D93" s="64">
        <v>12.19</v>
      </c>
      <c r="E93" s="64">
        <v>3.93</v>
      </c>
      <c r="F93" s="64">
        <v>3.13</v>
      </c>
      <c r="G93" s="64">
        <v>11.84</v>
      </c>
      <c r="H93" s="64">
        <v>5.16</v>
      </c>
      <c r="I93" s="64">
        <v>1.08</v>
      </c>
      <c r="J93" s="64">
        <v>0.15</v>
      </c>
      <c r="K93" s="64">
        <v>324.77999999999997</v>
      </c>
      <c r="L93" s="64">
        <v>21.77</v>
      </c>
      <c r="M93" s="64">
        <v>99.03</v>
      </c>
      <c r="N93" s="64">
        <v>60.1</v>
      </c>
      <c r="O93" s="64">
        <v>0</v>
      </c>
      <c r="P93" s="64">
        <v>0.39</v>
      </c>
      <c r="Q93" s="64">
        <v>9.06</v>
      </c>
      <c r="R93" s="198"/>
      <c r="S93" s="198"/>
      <c r="T93" s="198"/>
      <c r="U93" s="198"/>
    </row>
    <row r="94" spans="1:26" s="12" customFormat="1" x14ac:dyDescent="0.25">
      <c r="A94" s="213" t="s">
        <v>1001</v>
      </c>
      <c r="B94" s="64">
        <v>6.3</v>
      </c>
      <c r="C94" s="64">
        <v>13.32</v>
      </c>
      <c r="D94" s="64">
        <v>12.01</v>
      </c>
      <c r="E94" s="64">
        <v>4.01</v>
      </c>
      <c r="F94" s="64">
        <v>3.71</v>
      </c>
      <c r="G94" s="64">
        <v>10.38</v>
      </c>
      <c r="H94" s="64">
        <v>4.58</v>
      </c>
      <c r="I94" s="64">
        <v>1.07</v>
      </c>
      <c r="J94" s="64">
        <v>0.14000000000000001</v>
      </c>
      <c r="K94" s="64">
        <v>322.33999999999997</v>
      </c>
      <c r="L94" s="64">
        <v>21.78</v>
      </c>
      <c r="M94" s="64">
        <v>99.04</v>
      </c>
      <c r="N94" s="64">
        <v>60.3</v>
      </c>
      <c r="O94" s="64">
        <v>0</v>
      </c>
      <c r="P94" s="64">
        <v>0.38</v>
      </c>
      <c r="Q94" s="64">
        <v>9.0500000000000007</v>
      </c>
      <c r="R94" s="198"/>
      <c r="S94" s="198"/>
      <c r="T94" s="198"/>
      <c r="U94" s="198"/>
    </row>
    <row r="95" spans="1:26" s="12" customFormat="1" x14ac:dyDescent="0.25">
      <c r="A95" s="213" t="s">
        <v>1002</v>
      </c>
      <c r="B95" s="64">
        <v>6.59</v>
      </c>
      <c r="C95" s="64">
        <v>13.09</v>
      </c>
      <c r="D95" s="64">
        <v>12.15</v>
      </c>
      <c r="E95" s="64">
        <v>4.12</v>
      </c>
      <c r="F95" s="64">
        <v>3.04</v>
      </c>
      <c r="G95" s="64">
        <v>10.38</v>
      </c>
      <c r="H95" s="64">
        <v>4.58</v>
      </c>
      <c r="I95" s="64">
        <v>1.04</v>
      </c>
      <c r="J95" s="64">
        <v>0.16</v>
      </c>
      <c r="K95" s="64">
        <v>334.87</v>
      </c>
      <c r="L95" s="64">
        <v>21.84</v>
      </c>
      <c r="M95" s="64">
        <v>99.08</v>
      </c>
      <c r="N95" s="64">
        <v>60.6</v>
      </c>
      <c r="O95" s="64">
        <v>0</v>
      </c>
      <c r="P95" s="64">
        <v>0.38</v>
      </c>
      <c r="Q95" s="64">
        <v>9.0500000000000007</v>
      </c>
      <c r="R95" s="198"/>
      <c r="S95" s="198"/>
      <c r="T95" s="198"/>
      <c r="U95" s="198"/>
    </row>
    <row r="96" spans="1:26" s="12" customFormat="1" x14ac:dyDescent="0.25">
      <c r="A96" s="213" t="s">
        <v>1003</v>
      </c>
      <c r="B96" s="64">
        <v>6.88</v>
      </c>
      <c r="C96" s="64">
        <v>12.86</v>
      </c>
      <c r="D96" s="64">
        <v>12.23</v>
      </c>
      <c r="E96" s="64">
        <v>4.1100000000000003</v>
      </c>
      <c r="F96" s="64">
        <v>3.53</v>
      </c>
      <c r="G96" s="64">
        <v>10.38</v>
      </c>
      <c r="H96" s="64">
        <v>4.58</v>
      </c>
      <c r="I96" s="64">
        <v>1.03</v>
      </c>
      <c r="J96" s="64">
        <v>0.14000000000000001</v>
      </c>
      <c r="K96" s="64">
        <v>316.48</v>
      </c>
      <c r="L96" s="64">
        <v>21.86</v>
      </c>
      <c r="M96" s="64">
        <v>99.08</v>
      </c>
      <c r="N96" s="64">
        <v>60.8</v>
      </c>
      <c r="O96" s="64">
        <v>0</v>
      </c>
      <c r="P96" s="64">
        <v>0.37</v>
      </c>
      <c r="Q96" s="64">
        <v>9.0500000000000007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1004</v>
      </c>
      <c r="B97" s="64">
        <v>6.93</v>
      </c>
      <c r="C97" s="64">
        <v>12.87</v>
      </c>
      <c r="D97" s="64">
        <v>12.28</v>
      </c>
      <c r="E97" s="64">
        <v>4.07</v>
      </c>
      <c r="F97" s="64">
        <v>3.23</v>
      </c>
      <c r="G97" s="64">
        <v>13.19</v>
      </c>
      <c r="H97" s="64">
        <v>3.74</v>
      </c>
      <c r="I97" s="64">
        <v>1.03</v>
      </c>
      <c r="J97" s="64">
        <v>0.17</v>
      </c>
      <c r="K97" s="64">
        <v>320.27</v>
      </c>
      <c r="L97" s="64">
        <v>21.87</v>
      </c>
      <c r="M97" s="64">
        <v>99.08</v>
      </c>
      <c r="N97" s="64">
        <v>61.6</v>
      </c>
      <c r="O97" s="64">
        <v>0</v>
      </c>
      <c r="P97" s="64">
        <v>0.36</v>
      </c>
      <c r="Q97" s="64">
        <v>9.0500000000000007</v>
      </c>
      <c r="R97" s="198"/>
      <c r="S97" s="198"/>
      <c r="T97" s="198"/>
      <c r="U97" s="198"/>
    </row>
    <row r="98" spans="1:33" s="12" customFormat="1" x14ac:dyDescent="0.25">
      <c r="A98" s="213" t="s">
        <v>1005</v>
      </c>
      <c r="B98" s="64">
        <v>6.81</v>
      </c>
      <c r="C98" s="64">
        <v>12.87</v>
      </c>
      <c r="D98" s="64">
        <v>12.19</v>
      </c>
      <c r="E98" s="64">
        <v>4.09</v>
      </c>
      <c r="F98" s="64">
        <v>3.63</v>
      </c>
      <c r="G98" s="64">
        <v>14.9</v>
      </c>
      <c r="H98" s="64">
        <v>3.23</v>
      </c>
      <c r="I98" s="64">
        <v>1.02</v>
      </c>
      <c r="J98" s="64">
        <v>0.21</v>
      </c>
      <c r="K98" s="64">
        <v>312.75</v>
      </c>
      <c r="L98" s="64">
        <v>21.91</v>
      </c>
      <c r="M98" s="64">
        <v>99.08</v>
      </c>
      <c r="N98" s="64">
        <v>62.5</v>
      </c>
      <c r="O98" s="64">
        <v>0</v>
      </c>
      <c r="P98" s="64">
        <v>0.35</v>
      </c>
      <c r="Q98" s="64">
        <v>9.0500000000000007</v>
      </c>
      <c r="R98" s="198"/>
      <c r="S98" s="198"/>
      <c r="T98" s="198"/>
      <c r="U98" s="198"/>
    </row>
    <row r="99" spans="1:33" s="12" customFormat="1" x14ac:dyDescent="0.25">
      <c r="A99" s="213" t="s">
        <v>1006</v>
      </c>
      <c r="B99" s="64">
        <v>6.71</v>
      </c>
      <c r="C99" s="64">
        <v>13.06</v>
      </c>
      <c r="D99" s="64">
        <v>12.2</v>
      </c>
      <c r="E99" s="64">
        <v>3.81</v>
      </c>
      <c r="F99" s="64">
        <v>2.73</v>
      </c>
      <c r="G99" s="64">
        <v>14.9</v>
      </c>
      <c r="H99" s="64">
        <v>3.23</v>
      </c>
      <c r="I99" s="64">
        <v>0.99</v>
      </c>
      <c r="J99" s="64">
        <v>0.16</v>
      </c>
      <c r="K99" s="64">
        <v>325.98</v>
      </c>
      <c r="L99" s="64">
        <v>21.93</v>
      </c>
      <c r="M99" s="64">
        <v>99.05</v>
      </c>
      <c r="N99" s="64">
        <v>62.8</v>
      </c>
      <c r="O99" s="64">
        <v>0</v>
      </c>
      <c r="P99" s="64">
        <v>0.33</v>
      </c>
      <c r="Q99" s="64">
        <v>9.0500000000000007</v>
      </c>
      <c r="R99" s="198"/>
      <c r="S99" s="198"/>
      <c r="T99" s="198"/>
      <c r="U99" s="198"/>
    </row>
    <row r="100" spans="1:33" s="12" customFormat="1" x14ac:dyDescent="0.25">
      <c r="A100" s="213" t="s">
        <v>1007</v>
      </c>
      <c r="B100" s="64">
        <v>6.7</v>
      </c>
      <c r="C100" s="64">
        <v>12.84</v>
      </c>
      <c r="D100" s="64">
        <v>12.08</v>
      </c>
      <c r="E100" s="64">
        <v>4.03</v>
      </c>
      <c r="F100" s="64">
        <v>3.72</v>
      </c>
      <c r="G100" s="64">
        <v>14.9</v>
      </c>
      <c r="H100" s="64">
        <v>3.23</v>
      </c>
      <c r="I100" s="64">
        <v>0.95</v>
      </c>
      <c r="J100" s="64">
        <v>0.2</v>
      </c>
      <c r="K100" s="64">
        <v>314.3</v>
      </c>
      <c r="L100" s="64">
        <v>21.95</v>
      </c>
      <c r="M100" s="64">
        <v>99.05</v>
      </c>
      <c r="N100" s="64">
        <v>63.8</v>
      </c>
      <c r="O100" s="64">
        <v>0</v>
      </c>
      <c r="P100" s="64">
        <v>0.32</v>
      </c>
      <c r="Q100" s="64">
        <v>9.0299999999999994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1008</v>
      </c>
      <c r="B101" s="64">
        <v>6.62</v>
      </c>
      <c r="C101" s="64">
        <v>13</v>
      </c>
      <c r="D101" s="64">
        <v>12.1</v>
      </c>
      <c r="E101" s="64">
        <v>3.77</v>
      </c>
      <c r="F101" s="64">
        <v>3.02</v>
      </c>
      <c r="G101" s="64">
        <v>13.2</v>
      </c>
      <c r="H101" s="64">
        <v>2.9</v>
      </c>
      <c r="I101" s="64">
        <v>0.99</v>
      </c>
      <c r="J101" s="64">
        <v>0.21</v>
      </c>
      <c r="K101" s="64">
        <v>325.85000000000002</v>
      </c>
      <c r="L101" s="64">
        <v>21.93</v>
      </c>
      <c r="M101" s="64">
        <v>99.04</v>
      </c>
      <c r="N101" s="64">
        <v>64.400000000000006</v>
      </c>
      <c r="O101" s="64">
        <v>0</v>
      </c>
      <c r="P101" s="64">
        <v>0.3</v>
      </c>
      <c r="Q101" s="64">
        <v>9.0399999999999991</v>
      </c>
      <c r="R101" s="198"/>
      <c r="S101" s="198"/>
      <c r="T101" s="198"/>
      <c r="U101" s="198"/>
    </row>
    <row r="102" spans="1:33" s="12" customFormat="1" x14ac:dyDescent="0.25">
      <c r="A102" s="213" t="s">
        <v>1009</v>
      </c>
      <c r="B102" s="64">
        <v>6.29</v>
      </c>
      <c r="C102" s="64">
        <v>12.8</v>
      </c>
      <c r="D102" s="64">
        <v>11.74</v>
      </c>
      <c r="E102" s="64">
        <v>3.71</v>
      </c>
      <c r="F102" s="64">
        <v>3.56</v>
      </c>
      <c r="G102" s="64">
        <v>12.17</v>
      </c>
      <c r="H102" s="64">
        <v>2.69</v>
      </c>
      <c r="I102" s="64">
        <v>0.95</v>
      </c>
      <c r="J102" s="64">
        <v>0.23</v>
      </c>
      <c r="K102" s="64">
        <v>305.76</v>
      </c>
      <c r="L102" s="64">
        <v>21.94</v>
      </c>
      <c r="M102" s="64">
        <v>99.03</v>
      </c>
      <c r="N102" s="64">
        <v>65.2</v>
      </c>
      <c r="O102" s="64">
        <v>0</v>
      </c>
      <c r="P102" s="64">
        <v>0.28000000000000003</v>
      </c>
      <c r="Q102" s="64">
        <v>9.0299999999999994</v>
      </c>
      <c r="R102" s="198"/>
      <c r="S102" s="198"/>
      <c r="T102" s="198"/>
      <c r="U102" s="198"/>
    </row>
    <row r="103" spans="1:33" s="12" customFormat="1" x14ac:dyDescent="0.25">
      <c r="A103" s="213" t="s">
        <v>1010</v>
      </c>
      <c r="B103" s="64">
        <v>5.89</v>
      </c>
      <c r="C103" s="64">
        <v>12.89</v>
      </c>
      <c r="D103" s="64">
        <v>11.46</v>
      </c>
      <c r="E103" s="64">
        <v>4.07</v>
      </c>
      <c r="F103" s="64">
        <v>3.5</v>
      </c>
      <c r="G103" s="64">
        <v>12.17</v>
      </c>
      <c r="H103" s="64">
        <v>2.69</v>
      </c>
      <c r="I103" s="64">
        <v>0.86</v>
      </c>
      <c r="J103" s="64">
        <v>0.2</v>
      </c>
      <c r="K103" s="64">
        <v>301.61</v>
      </c>
      <c r="L103" s="64">
        <v>21.99</v>
      </c>
      <c r="M103" s="64">
        <v>99.04</v>
      </c>
      <c r="N103" s="64">
        <v>65.7</v>
      </c>
      <c r="O103" s="64">
        <v>0</v>
      </c>
      <c r="P103" s="64">
        <v>0.26</v>
      </c>
      <c r="Q103" s="64">
        <v>9.0299999999999994</v>
      </c>
      <c r="R103" s="198"/>
      <c r="S103" s="198"/>
      <c r="T103" s="198"/>
      <c r="U103" s="198"/>
    </row>
    <row r="104" spans="1:33" s="12" customFormat="1" x14ac:dyDescent="0.25">
      <c r="A104" s="213" t="s">
        <v>1011</v>
      </c>
      <c r="B104" s="64">
        <v>5.63</v>
      </c>
      <c r="C104" s="64">
        <v>12.86</v>
      </c>
      <c r="D104" s="64">
        <v>11.23</v>
      </c>
      <c r="E104" s="64">
        <v>5.0599999999999996</v>
      </c>
      <c r="F104" s="64">
        <v>3.52</v>
      </c>
      <c r="G104" s="64">
        <v>12.17</v>
      </c>
      <c r="H104" s="64">
        <v>2.69</v>
      </c>
      <c r="I104" s="64">
        <v>0.8</v>
      </c>
      <c r="J104" s="64">
        <v>0.2</v>
      </c>
      <c r="K104" s="64">
        <v>310.22000000000003</v>
      </c>
      <c r="L104" s="64">
        <v>22.01</v>
      </c>
      <c r="M104" s="64">
        <v>99.06</v>
      </c>
      <c r="N104" s="64">
        <v>66.099999999999994</v>
      </c>
      <c r="O104" s="64">
        <v>0</v>
      </c>
      <c r="P104" s="64">
        <v>0.25</v>
      </c>
      <c r="Q104" s="64">
        <v>9.02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3.56</v>
      </c>
      <c r="C106" s="67">
        <f>MIN(C9:C104)</f>
        <v>9.9700000000000006</v>
      </c>
      <c r="D106" s="67">
        <f t="shared" ref="D106:Q106" si="0">MIN(D9:D104)</f>
        <v>8.14</v>
      </c>
      <c r="E106" s="67">
        <f t="shared" si="0"/>
        <v>3.68</v>
      </c>
      <c r="F106" s="67">
        <f t="shared" si="0"/>
        <v>2.4300000000000002</v>
      </c>
      <c r="G106" s="67">
        <f t="shared" si="0"/>
        <v>1.43</v>
      </c>
      <c r="H106" s="67">
        <f t="shared" si="0"/>
        <v>0.46</v>
      </c>
      <c r="I106" s="67">
        <f t="shared" si="0"/>
        <v>0.36</v>
      </c>
      <c r="J106" s="67">
        <f t="shared" si="0"/>
        <v>0.08</v>
      </c>
      <c r="K106" s="67">
        <f t="shared" si="0"/>
        <v>275.72000000000003</v>
      </c>
      <c r="L106" s="67">
        <f t="shared" si="0"/>
        <v>20.86</v>
      </c>
      <c r="M106" s="67">
        <f t="shared" si="0"/>
        <v>97.47</v>
      </c>
      <c r="N106" s="67">
        <f t="shared" si="0"/>
        <v>59.5</v>
      </c>
      <c r="O106" s="67">
        <f t="shared" si="0"/>
        <v>0</v>
      </c>
      <c r="P106" s="67">
        <f t="shared" si="0"/>
        <v>0.09</v>
      </c>
      <c r="Q106" s="67">
        <f t="shared" si="0"/>
        <v>8.9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7.41</v>
      </c>
      <c r="C107" s="66">
        <f t="shared" ref="C107:Q107" si="1">MAX(C9:C104)</f>
        <v>17.739999999999998</v>
      </c>
      <c r="D107" s="66">
        <f t="shared" si="1"/>
        <v>13.82</v>
      </c>
      <c r="E107" s="66">
        <f t="shared" si="1"/>
        <v>5.0599999999999996</v>
      </c>
      <c r="F107" s="66">
        <f t="shared" si="1"/>
        <v>5.37</v>
      </c>
      <c r="G107" s="66">
        <f t="shared" si="1"/>
        <v>23.26</v>
      </c>
      <c r="H107" s="66">
        <f t="shared" si="1"/>
        <v>10.25</v>
      </c>
      <c r="I107" s="66">
        <f t="shared" si="1"/>
        <v>1.0900000000000001</v>
      </c>
      <c r="J107" s="66">
        <f t="shared" si="1"/>
        <v>0.43</v>
      </c>
      <c r="K107" s="66">
        <f t="shared" si="1"/>
        <v>334.87</v>
      </c>
      <c r="L107" s="66">
        <f t="shared" si="1"/>
        <v>23.13</v>
      </c>
      <c r="M107" s="66">
        <f t="shared" si="1"/>
        <v>99.67</v>
      </c>
      <c r="N107" s="66">
        <f t="shared" si="1"/>
        <v>287.8</v>
      </c>
      <c r="O107" s="66">
        <f t="shared" si="1"/>
        <v>9.1999999999999993</v>
      </c>
      <c r="P107" s="66">
        <f t="shared" si="1"/>
        <v>0.44</v>
      </c>
      <c r="Q107" s="66">
        <f t="shared" si="1"/>
        <v>9.09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5.5655208333333333</v>
      </c>
      <c r="C108" s="67">
        <f t="shared" ref="C108:Q108" si="2">AVERAGE(C9:C104)</f>
        <v>13.2165625</v>
      </c>
      <c r="D108" s="67">
        <f t="shared" si="2"/>
        <v>11.368958333333332</v>
      </c>
      <c r="E108" s="67">
        <f t="shared" si="2"/>
        <v>4.2513541666666663</v>
      </c>
      <c r="F108" s="67">
        <f t="shared" si="2"/>
        <v>3.6782291666666662</v>
      </c>
      <c r="G108" s="67">
        <f t="shared" si="2"/>
        <v>10.198064516129033</v>
      </c>
      <c r="H108" s="67">
        <f t="shared" si="2"/>
        <v>4.1487096774193537</v>
      </c>
      <c r="I108" s="67">
        <f t="shared" si="2"/>
        <v>0.69614583333333335</v>
      </c>
      <c r="J108" s="67">
        <f t="shared" si="2"/>
        <v>0.21000000000000008</v>
      </c>
      <c r="K108" s="67">
        <f t="shared" si="2"/>
        <v>304.19197916666667</v>
      </c>
      <c r="L108" s="67">
        <f t="shared" si="2"/>
        <v>21.698437499999997</v>
      </c>
      <c r="M108" s="67">
        <f t="shared" si="2"/>
        <v>98.990937500000044</v>
      </c>
      <c r="N108" s="67">
        <f t="shared" si="2"/>
        <v>102.19375000000001</v>
      </c>
      <c r="O108" s="67">
        <f t="shared" si="2"/>
        <v>0.38541666666666674</v>
      </c>
      <c r="P108" s="67">
        <f t="shared" si="2"/>
        <v>0.2476041666666666</v>
      </c>
      <c r="Q108" s="67">
        <f t="shared" si="2"/>
        <v>9.0143749999999958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1.1013521543913491</v>
      </c>
      <c r="C109" s="67">
        <f t="shared" ref="C109:Q109" si="3">STDEV(C9:C104)</f>
        <v>1.7561212211635979</v>
      </c>
      <c r="D109" s="67">
        <f t="shared" si="3"/>
        <v>1.6292410110017084</v>
      </c>
      <c r="E109" s="67">
        <f t="shared" si="3"/>
        <v>0.30206872620461256</v>
      </c>
      <c r="F109" s="67">
        <f t="shared" si="3"/>
        <v>0.54523967649518457</v>
      </c>
      <c r="G109" s="67">
        <f t="shared" si="3"/>
        <v>5.3637094274279384</v>
      </c>
      <c r="H109" s="67">
        <f t="shared" si="3"/>
        <v>2.2053266670212182</v>
      </c>
      <c r="I109" s="67">
        <f t="shared" si="3"/>
        <v>0.2220543783171699</v>
      </c>
      <c r="J109" s="67">
        <f t="shared" si="3"/>
        <v>6.0471829021976058E-2</v>
      </c>
      <c r="K109" s="67">
        <f t="shared" si="3"/>
        <v>11.401234708739747</v>
      </c>
      <c r="L109" s="67">
        <f t="shared" si="3"/>
        <v>0.58008044473884934</v>
      </c>
      <c r="M109" s="67">
        <f t="shared" si="3"/>
        <v>0.36700230352066449</v>
      </c>
      <c r="N109" s="67">
        <f t="shared" si="3"/>
        <v>45.498270210033965</v>
      </c>
      <c r="O109" s="67">
        <f t="shared" si="3"/>
        <v>1.3155730523769293</v>
      </c>
      <c r="P109" s="67">
        <f t="shared" si="3"/>
        <v>0.10973407849185311</v>
      </c>
      <c r="Q109" s="67">
        <f t="shared" si="3"/>
        <v>5.1499872253290876E-2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1012</v>
      </c>
      <c r="B9" s="64">
        <v>5.39</v>
      </c>
      <c r="C9" s="64">
        <v>12.58</v>
      </c>
      <c r="D9" s="64">
        <v>10.89</v>
      </c>
      <c r="E9" s="64">
        <v>5.17</v>
      </c>
      <c r="F9" s="64">
        <v>3.59</v>
      </c>
      <c r="G9" s="64">
        <v>13.17</v>
      </c>
      <c r="H9" s="64">
        <v>4.92</v>
      </c>
      <c r="I9" s="64">
        <v>0.76</v>
      </c>
      <c r="J9" s="64">
        <v>0.22</v>
      </c>
      <c r="K9" s="64">
        <v>309.24</v>
      </c>
      <c r="L9" s="64">
        <v>22.05</v>
      </c>
      <c r="M9" s="64">
        <v>99.06</v>
      </c>
      <c r="N9" s="64">
        <v>66.2</v>
      </c>
      <c r="O9" s="64">
        <v>0</v>
      </c>
      <c r="P9" s="64">
        <v>0.24</v>
      </c>
      <c r="Q9" s="64">
        <v>9.0299999999999994</v>
      </c>
      <c r="R9" s="198"/>
      <c r="S9" s="198"/>
      <c r="T9" s="198"/>
      <c r="U9" s="198"/>
    </row>
    <row r="10" spans="1:21" s="12" customFormat="1" x14ac:dyDescent="0.25">
      <c r="A10" s="213" t="s">
        <v>1013</v>
      </c>
      <c r="B10" s="64">
        <v>5.17</v>
      </c>
      <c r="C10" s="64">
        <v>12.28</v>
      </c>
      <c r="D10" s="64">
        <v>10.56</v>
      </c>
      <c r="E10" s="64">
        <v>5.46</v>
      </c>
      <c r="F10" s="64">
        <v>3.72</v>
      </c>
      <c r="G10" s="64">
        <v>13.8</v>
      </c>
      <c r="H10" s="64">
        <v>6.27</v>
      </c>
      <c r="I10" s="64">
        <v>0.73</v>
      </c>
      <c r="J10" s="64">
        <v>0.23</v>
      </c>
      <c r="K10" s="64">
        <v>314.52</v>
      </c>
      <c r="L10" s="64">
        <v>22.08</v>
      </c>
      <c r="M10" s="64">
        <v>99.05</v>
      </c>
      <c r="N10" s="64">
        <v>66.2</v>
      </c>
      <c r="O10" s="64">
        <v>0</v>
      </c>
      <c r="P10" s="64">
        <v>0.22</v>
      </c>
      <c r="Q10" s="64">
        <v>9.01</v>
      </c>
      <c r="R10" s="198"/>
      <c r="S10" s="198"/>
      <c r="T10" s="198"/>
      <c r="U10" s="198"/>
    </row>
    <row r="11" spans="1:21" s="12" customFormat="1" x14ac:dyDescent="0.25">
      <c r="A11" s="213" t="s">
        <v>1014</v>
      </c>
      <c r="B11" s="64">
        <v>4.84</v>
      </c>
      <c r="C11" s="64">
        <v>12.11</v>
      </c>
      <c r="D11" s="64">
        <v>10.210000000000001</v>
      </c>
      <c r="E11" s="64">
        <v>4.74</v>
      </c>
      <c r="F11" s="64">
        <v>3.88</v>
      </c>
      <c r="G11" s="64">
        <v>13.8</v>
      </c>
      <c r="H11" s="64">
        <v>6.27</v>
      </c>
      <c r="I11" s="64">
        <v>0.69</v>
      </c>
      <c r="J11" s="64">
        <v>0.19</v>
      </c>
      <c r="K11" s="64">
        <v>310.02</v>
      </c>
      <c r="L11" s="64">
        <v>22.1</v>
      </c>
      <c r="M11" s="64">
        <v>99.11</v>
      </c>
      <c r="N11" s="64">
        <v>66.599999999999994</v>
      </c>
      <c r="O11" s="64">
        <v>0</v>
      </c>
      <c r="P11" s="64">
        <v>0.22</v>
      </c>
      <c r="Q11" s="64">
        <v>9.02</v>
      </c>
      <c r="R11" s="198"/>
      <c r="S11" s="198"/>
      <c r="T11" s="198"/>
      <c r="U11" s="198"/>
    </row>
    <row r="12" spans="1:21" s="12" customFormat="1" x14ac:dyDescent="0.25">
      <c r="A12" s="213" t="s">
        <v>1015</v>
      </c>
      <c r="B12" s="64">
        <v>4.62</v>
      </c>
      <c r="C12" s="64">
        <v>11.88</v>
      </c>
      <c r="D12" s="64">
        <v>9.91</v>
      </c>
      <c r="E12" s="64">
        <v>4.8499999999999996</v>
      </c>
      <c r="F12" s="64">
        <v>3.65</v>
      </c>
      <c r="G12" s="64">
        <v>13.8</v>
      </c>
      <c r="H12" s="64">
        <v>6.27</v>
      </c>
      <c r="I12" s="64">
        <v>0.66</v>
      </c>
      <c r="J12" s="64">
        <v>0.23</v>
      </c>
      <c r="K12" s="64">
        <v>306.88</v>
      </c>
      <c r="L12" s="64">
        <v>22.08</v>
      </c>
      <c r="M12" s="64">
        <v>99.13</v>
      </c>
      <c r="N12" s="64">
        <v>67.2</v>
      </c>
      <c r="O12" s="64">
        <v>0</v>
      </c>
      <c r="P12" s="64">
        <v>0.2</v>
      </c>
      <c r="Q12" s="64">
        <v>9</v>
      </c>
      <c r="R12" s="198"/>
      <c r="S12" s="198"/>
      <c r="T12" s="198"/>
      <c r="U12" s="198"/>
    </row>
    <row r="13" spans="1:21" s="12" customFormat="1" x14ac:dyDescent="0.25">
      <c r="A13" s="213" t="s">
        <v>1016</v>
      </c>
      <c r="B13" s="64">
        <v>4.4000000000000004</v>
      </c>
      <c r="C13" s="64">
        <v>11.76</v>
      </c>
      <c r="D13" s="64">
        <v>9.67</v>
      </c>
      <c r="E13" s="64">
        <v>4.88</v>
      </c>
      <c r="F13" s="64">
        <v>3.96</v>
      </c>
      <c r="G13" s="64">
        <v>11.85</v>
      </c>
      <c r="H13" s="64">
        <v>5.43</v>
      </c>
      <c r="I13" s="64">
        <v>0.68</v>
      </c>
      <c r="J13" s="64">
        <v>0.22</v>
      </c>
      <c r="K13" s="64">
        <v>306.97000000000003</v>
      </c>
      <c r="L13" s="64">
        <v>22.06</v>
      </c>
      <c r="M13" s="64">
        <v>99.13</v>
      </c>
      <c r="N13" s="64">
        <v>67.599999999999994</v>
      </c>
      <c r="O13" s="64">
        <v>0</v>
      </c>
      <c r="P13" s="64">
        <v>0.2</v>
      </c>
      <c r="Q13" s="64">
        <v>9</v>
      </c>
      <c r="R13" s="198"/>
      <c r="S13" s="198"/>
      <c r="T13" s="198"/>
      <c r="U13" s="198"/>
    </row>
    <row r="14" spans="1:21" s="12" customFormat="1" x14ac:dyDescent="0.25">
      <c r="A14" s="213" t="s">
        <v>1017</v>
      </c>
      <c r="B14" s="64">
        <v>4.3</v>
      </c>
      <c r="C14" s="64">
        <v>11.72</v>
      </c>
      <c r="D14" s="64">
        <v>9.57</v>
      </c>
      <c r="E14" s="64">
        <v>5.08</v>
      </c>
      <c r="F14" s="64">
        <v>4.33</v>
      </c>
      <c r="G14" s="64">
        <v>10.67</v>
      </c>
      <c r="H14" s="64">
        <v>4.92</v>
      </c>
      <c r="I14" s="64">
        <v>0.69</v>
      </c>
      <c r="J14" s="64">
        <v>0.25</v>
      </c>
      <c r="K14" s="64">
        <v>298.64999999999998</v>
      </c>
      <c r="L14" s="64">
        <v>22.06</v>
      </c>
      <c r="M14" s="64">
        <v>99.13</v>
      </c>
      <c r="N14" s="64">
        <v>67.8</v>
      </c>
      <c r="O14" s="64">
        <v>0</v>
      </c>
      <c r="P14" s="64">
        <v>0.22</v>
      </c>
      <c r="Q14" s="64">
        <v>8.9700000000000006</v>
      </c>
      <c r="R14" s="198"/>
      <c r="S14" s="198"/>
      <c r="T14" s="198"/>
      <c r="U14" s="198"/>
    </row>
    <row r="15" spans="1:21" s="12" customFormat="1" x14ac:dyDescent="0.25">
      <c r="A15" s="213" t="s">
        <v>1018</v>
      </c>
      <c r="B15" s="64">
        <v>4.32</v>
      </c>
      <c r="C15" s="64">
        <v>11.69</v>
      </c>
      <c r="D15" s="64">
        <v>9.57</v>
      </c>
      <c r="E15" s="64">
        <v>4.93</v>
      </c>
      <c r="F15" s="64">
        <v>3.26</v>
      </c>
      <c r="G15" s="64">
        <v>10.67</v>
      </c>
      <c r="H15" s="64">
        <v>4.92</v>
      </c>
      <c r="I15" s="64">
        <v>0.65</v>
      </c>
      <c r="J15" s="64">
        <v>0.21</v>
      </c>
      <c r="K15" s="64">
        <v>303.45</v>
      </c>
      <c r="L15" s="64">
        <v>22.01</v>
      </c>
      <c r="M15" s="64">
        <v>99.14</v>
      </c>
      <c r="N15" s="64">
        <v>67.599999999999994</v>
      </c>
      <c r="O15" s="64">
        <v>0</v>
      </c>
      <c r="P15" s="64">
        <v>0.2</v>
      </c>
      <c r="Q15" s="64">
        <v>8.94</v>
      </c>
      <c r="R15" s="198"/>
      <c r="S15" s="198"/>
      <c r="T15" s="198"/>
      <c r="U15" s="198"/>
    </row>
    <row r="16" spans="1:21" s="12" customFormat="1" x14ac:dyDescent="0.25">
      <c r="A16" s="213" t="s">
        <v>1019</v>
      </c>
      <c r="B16" s="64">
        <v>4.3</v>
      </c>
      <c r="C16" s="64">
        <v>11.31</v>
      </c>
      <c r="D16" s="64">
        <v>9.36</v>
      </c>
      <c r="E16" s="64">
        <v>4.87</v>
      </c>
      <c r="F16" s="64">
        <v>4.12</v>
      </c>
      <c r="G16" s="64">
        <v>10.67</v>
      </c>
      <c r="H16" s="64">
        <v>4.92</v>
      </c>
      <c r="I16" s="64">
        <v>0.6</v>
      </c>
      <c r="J16" s="64">
        <v>0.24</v>
      </c>
      <c r="K16" s="64">
        <v>310.18</v>
      </c>
      <c r="L16" s="64">
        <v>22.01</v>
      </c>
      <c r="M16" s="64">
        <v>99.12</v>
      </c>
      <c r="N16" s="64">
        <v>68.099999999999994</v>
      </c>
      <c r="O16" s="64">
        <v>0</v>
      </c>
      <c r="P16" s="64">
        <v>0.2</v>
      </c>
      <c r="Q16" s="64">
        <v>8.93</v>
      </c>
      <c r="R16" s="198"/>
      <c r="S16" s="198"/>
      <c r="T16" s="198"/>
      <c r="U16" s="198"/>
    </row>
    <row r="17" spans="1:21" s="12" customFormat="1" x14ac:dyDescent="0.25">
      <c r="A17" s="213" t="s">
        <v>1020</v>
      </c>
      <c r="B17" s="64">
        <v>4.2300000000000004</v>
      </c>
      <c r="C17" s="64">
        <v>11.23</v>
      </c>
      <c r="D17" s="64">
        <v>9.26</v>
      </c>
      <c r="E17" s="64">
        <v>5.22</v>
      </c>
      <c r="F17" s="64">
        <v>3.16</v>
      </c>
      <c r="G17" s="64">
        <v>9.19</v>
      </c>
      <c r="H17" s="64">
        <v>4.13</v>
      </c>
      <c r="I17" s="64">
        <v>0.56000000000000005</v>
      </c>
      <c r="J17" s="64">
        <v>0.25</v>
      </c>
      <c r="K17" s="64">
        <v>295.47000000000003</v>
      </c>
      <c r="L17" s="64">
        <v>22</v>
      </c>
      <c r="M17" s="64">
        <v>99.11</v>
      </c>
      <c r="N17" s="64">
        <v>68.3</v>
      </c>
      <c r="O17" s="64">
        <v>0</v>
      </c>
      <c r="P17" s="64">
        <v>0.18</v>
      </c>
      <c r="Q17" s="64">
        <v>8.94</v>
      </c>
      <c r="R17" s="198"/>
      <c r="S17" s="198"/>
      <c r="T17" s="198"/>
      <c r="U17" s="198"/>
    </row>
    <row r="18" spans="1:21" s="12" customFormat="1" x14ac:dyDescent="0.25">
      <c r="A18" s="213" t="s">
        <v>1021</v>
      </c>
      <c r="B18" s="64">
        <v>4.18</v>
      </c>
      <c r="C18" s="64">
        <v>10.95</v>
      </c>
      <c r="D18" s="64">
        <v>9.08</v>
      </c>
      <c r="E18" s="64">
        <v>5.13</v>
      </c>
      <c r="F18" s="64">
        <v>4.46</v>
      </c>
      <c r="G18" s="64">
        <v>8.2899999999999991</v>
      </c>
      <c r="H18" s="64">
        <v>3.65</v>
      </c>
      <c r="I18" s="64">
        <v>0.55000000000000004</v>
      </c>
      <c r="J18" s="64">
        <v>0.19</v>
      </c>
      <c r="K18" s="64">
        <v>304.95</v>
      </c>
      <c r="L18" s="64">
        <v>22.05</v>
      </c>
      <c r="M18" s="64">
        <v>99.12</v>
      </c>
      <c r="N18" s="64">
        <v>69.400000000000006</v>
      </c>
      <c r="O18" s="64">
        <v>0.8</v>
      </c>
      <c r="P18" s="64">
        <v>0.18</v>
      </c>
      <c r="Q18" s="64">
        <v>8.94</v>
      </c>
      <c r="R18" s="198"/>
      <c r="S18" s="198"/>
      <c r="T18" s="198"/>
      <c r="U18" s="198"/>
    </row>
    <row r="19" spans="1:21" s="12" customFormat="1" x14ac:dyDescent="0.25">
      <c r="A19" s="213" t="s">
        <v>1022</v>
      </c>
      <c r="B19" s="64">
        <v>4.18</v>
      </c>
      <c r="C19" s="64">
        <v>11.04</v>
      </c>
      <c r="D19" s="64">
        <v>9.1199999999999992</v>
      </c>
      <c r="E19" s="64">
        <v>5.0999999999999996</v>
      </c>
      <c r="F19" s="64">
        <v>2.96</v>
      </c>
      <c r="G19" s="64">
        <v>8.2899999999999991</v>
      </c>
      <c r="H19" s="64">
        <v>3.65</v>
      </c>
      <c r="I19" s="64">
        <v>0.53</v>
      </c>
      <c r="J19" s="64">
        <v>0.23</v>
      </c>
      <c r="K19" s="64">
        <v>315.39999999999998</v>
      </c>
      <c r="L19" s="64">
        <v>21.75</v>
      </c>
      <c r="M19" s="64">
        <v>99.13</v>
      </c>
      <c r="N19" s="64">
        <v>70.400000000000006</v>
      </c>
      <c r="O19" s="64">
        <v>0.8</v>
      </c>
      <c r="P19" s="64">
        <v>0.16</v>
      </c>
      <c r="Q19" s="64">
        <v>8.92</v>
      </c>
      <c r="R19" s="198"/>
      <c r="S19" s="198"/>
      <c r="T19" s="198"/>
      <c r="U19" s="198"/>
    </row>
    <row r="20" spans="1:21" s="12" customFormat="1" x14ac:dyDescent="0.25">
      <c r="A20" s="213" t="s">
        <v>1023</v>
      </c>
      <c r="B20" s="64">
        <v>4.17</v>
      </c>
      <c r="C20" s="64">
        <v>10.78</v>
      </c>
      <c r="D20" s="64">
        <v>8.9700000000000006</v>
      </c>
      <c r="E20" s="64">
        <v>5.07</v>
      </c>
      <c r="F20" s="64">
        <v>4.18</v>
      </c>
      <c r="G20" s="64">
        <v>8.2899999999999991</v>
      </c>
      <c r="H20" s="64">
        <v>3.65</v>
      </c>
      <c r="I20" s="64">
        <v>0.51</v>
      </c>
      <c r="J20" s="64">
        <v>0.17</v>
      </c>
      <c r="K20" s="64">
        <v>311.26</v>
      </c>
      <c r="L20" s="64">
        <v>21.46</v>
      </c>
      <c r="M20" s="64">
        <v>99.11</v>
      </c>
      <c r="N20" s="64">
        <v>72.599999999999994</v>
      </c>
      <c r="O20" s="64">
        <v>2.4</v>
      </c>
      <c r="P20" s="64">
        <v>0.16</v>
      </c>
      <c r="Q20" s="64">
        <v>8.92</v>
      </c>
      <c r="R20" s="198"/>
      <c r="S20" s="198"/>
      <c r="T20" s="198"/>
      <c r="U20" s="198"/>
    </row>
    <row r="21" spans="1:21" s="12" customFormat="1" x14ac:dyDescent="0.25">
      <c r="A21" s="213" t="s">
        <v>1024</v>
      </c>
      <c r="B21" s="64">
        <v>4.1900000000000004</v>
      </c>
      <c r="C21" s="64">
        <v>10.82</v>
      </c>
      <c r="D21" s="64">
        <v>9.01</v>
      </c>
      <c r="E21" s="64">
        <v>5.09</v>
      </c>
      <c r="F21" s="64">
        <v>2.92</v>
      </c>
      <c r="G21" s="64">
        <v>8.5299999999999994</v>
      </c>
      <c r="H21" s="64">
        <v>3.13</v>
      </c>
      <c r="I21" s="64">
        <v>0.5</v>
      </c>
      <c r="J21" s="64">
        <v>0.2</v>
      </c>
      <c r="K21" s="64">
        <v>316.63</v>
      </c>
      <c r="L21" s="64">
        <v>21.31</v>
      </c>
      <c r="M21" s="64">
        <v>99.05</v>
      </c>
      <c r="N21" s="64">
        <v>75.3</v>
      </c>
      <c r="O21" s="64">
        <v>2.4</v>
      </c>
      <c r="P21" s="64">
        <v>0.15</v>
      </c>
      <c r="Q21" s="64">
        <v>8.92</v>
      </c>
      <c r="R21" s="198"/>
      <c r="S21" s="198"/>
      <c r="T21" s="198"/>
      <c r="U21" s="198"/>
    </row>
    <row r="22" spans="1:21" s="12" customFormat="1" x14ac:dyDescent="0.25">
      <c r="A22" s="213" t="s">
        <v>1025</v>
      </c>
      <c r="B22" s="64">
        <v>4.18</v>
      </c>
      <c r="C22" s="64">
        <v>10.73</v>
      </c>
      <c r="D22" s="64">
        <v>8.9499999999999993</v>
      </c>
      <c r="E22" s="64">
        <v>4.88</v>
      </c>
      <c r="F22" s="64">
        <v>4.0999999999999996</v>
      </c>
      <c r="G22" s="64">
        <v>8.67</v>
      </c>
      <c r="H22" s="64">
        <v>2.81</v>
      </c>
      <c r="I22" s="64">
        <v>0.49</v>
      </c>
      <c r="J22" s="64">
        <v>0.19</v>
      </c>
      <c r="K22" s="64">
        <v>322.45999999999998</v>
      </c>
      <c r="L22" s="64">
        <v>21.21</v>
      </c>
      <c r="M22" s="64">
        <v>98.93</v>
      </c>
      <c r="N22" s="64">
        <v>78.599999999999994</v>
      </c>
      <c r="O22" s="64">
        <v>0.8</v>
      </c>
      <c r="P22" s="64">
        <v>0.16</v>
      </c>
      <c r="Q22" s="64">
        <v>8.92</v>
      </c>
      <c r="R22" s="198"/>
      <c r="S22" s="198"/>
      <c r="T22" s="198"/>
      <c r="U22" s="198"/>
    </row>
    <row r="23" spans="1:21" s="12" customFormat="1" x14ac:dyDescent="0.25">
      <c r="A23" s="213" t="s">
        <v>1026</v>
      </c>
      <c r="B23" s="64">
        <v>4.24</v>
      </c>
      <c r="C23" s="64">
        <v>10.81</v>
      </c>
      <c r="D23" s="64">
        <v>9.0500000000000007</v>
      </c>
      <c r="E23" s="64">
        <v>4.58</v>
      </c>
      <c r="F23" s="64">
        <v>3.26</v>
      </c>
      <c r="G23" s="64">
        <v>8.67</v>
      </c>
      <c r="H23" s="64">
        <v>2.81</v>
      </c>
      <c r="I23" s="64">
        <v>0.47</v>
      </c>
      <c r="J23" s="64">
        <v>0.21</v>
      </c>
      <c r="K23" s="64">
        <v>303.95</v>
      </c>
      <c r="L23" s="64">
        <v>21.17</v>
      </c>
      <c r="M23" s="64">
        <v>98.88</v>
      </c>
      <c r="N23" s="64">
        <v>81.3</v>
      </c>
      <c r="O23" s="64">
        <v>1.4</v>
      </c>
      <c r="P23" s="64">
        <v>0.15</v>
      </c>
      <c r="Q23" s="64">
        <v>8.91</v>
      </c>
      <c r="R23" s="198"/>
      <c r="S23" s="198"/>
      <c r="T23" s="198"/>
      <c r="U23" s="198"/>
    </row>
    <row r="24" spans="1:21" s="12" customFormat="1" x14ac:dyDescent="0.25">
      <c r="A24" s="213" t="s">
        <v>1027</v>
      </c>
      <c r="B24" s="64">
        <v>4.28</v>
      </c>
      <c r="C24" s="64">
        <v>10.7</v>
      </c>
      <c r="D24" s="64">
        <v>9.02</v>
      </c>
      <c r="E24" s="64">
        <v>4.7</v>
      </c>
      <c r="F24" s="64">
        <v>3.65</v>
      </c>
      <c r="G24" s="64">
        <v>8.67</v>
      </c>
      <c r="H24" s="64">
        <v>2.81</v>
      </c>
      <c r="I24" s="64">
        <v>0.46</v>
      </c>
      <c r="J24" s="64">
        <v>0.15</v>
      </c>
      <c r="K24" s="64">
        <v>298.10000000000002</v>
      </c>
      <c r="L24" s="64">
        <v>21.15</v>
      </c>
      <c r="M24" s="64">
        <v>98.87</v>
      </c>
      <c r="N24" s="64">
        <v>74.099999999999994</v>
      </c>
      <c r="O24" s="64">
        <v>0.8</v>
      </c>
      <c r="P24" s="64">
        <v>0.14000000000000001</v>
      </c>
      <c r="Q24" s="64">
        <v>8.93</v>
      </c>
      <c r="R24" s="198"/>
      <c r="S24" s="198"/>
      <c r="T24" s="198"/>
      <c r="U24" s="198"/>
    </row>
    <row r="25" spans="1:21" s="12" customFormat="1" x14ac:dyDescent="0.25">
      <c r="A25" s="213" t="s">
        <v>1028</v>
      </c>
      <c r="B25" s="64">
        <v>4.38</v>
      </c>
      <c r="C25" s="64">
        <v>10.34</v>
      </c>
      <c r="D25" s="64">
        <v>8.91</v>
      </c>
      <c r="E25" s="64">
        <v>4.82</v>
      </c>
      <c r="F25" s="64">
        <v>3.62</v>
      </c>
      <c r="G25" s="64">
        <v>8.4</v>
      </c>
      <c r="H25" s="64">
        <v>3.62</v>
      </c>
      <c r="I25" s="64">
        <v>0.44</v>
      </c>
      <c r="J25" s="64">
        <v>0.11</v>
      </c>
      <c r="K25" s="64">
        <v>311.88</v>
      </c>
      <c r="L25" s="64">
        <v>21.11</v>
      </c>
      <c r="M25" s="64">
        <v>98.87</v>
      </c>
      <c r="N25" s="64">
        <v>72.8</v>
      </c>
      <c r="O25" s="64">
        <v>1.2</v>
      </c>
      <c r="P25" s="64">
        <v>0.14000000000000001</v>
      </c>
      <c r="Q25" s="64">
        <v>8.94</v>
      </c>
      <c r="R25" s="198"/>
      <c r="S25" s="198"/>
      <c r="T25" s="198"/>
      <c r="U25" s="198"/>
    </row>
    <row r="26" spans="1:21" s="12" customFormat="1" x14ac:dyDescent="0.25">
      <c r="A26" s="213" t="s">
        <v>1029</v>
      </c>
      <c r="B26" s="64">
        <v>4.4800000000000004</v>
      </c>
      <c r="C26" s="64">
        <v>10.23</v>
      </c>
      <c r="D26" s="64">
        <v>8.94</v>
      </c>
      <c r="E26" s="64">
        <v>4.83</v>
      </c>
      <c r="F26" s="64">
        <v>3.38</v>
      </c>
      <c r="G26" s="64">
        <v>8.25</v>
      </c>
      <c r="H26" s="64">
        <v>4.12</v>
      </c>
      <c r="I26" s="64">
        <v>0.43</v>
      </c>
      <c r="J26" s="64">
        <v>0.18</v>
      </c>
      <c r="K26" s="64">
        <v>302.94</v>
      </c>
      <c r="L26" s="64">
        <v>21.04</v>
      </c>
      <c r="M26" s="64">
        <v>98.85</v>
      </c>
      <c r="N26" s="64">
        <v>73.400000000000006</v>
      </c>
      <c r="O26" s="64">
        <v>1</v>
      </c>
      <c r="P26" s="64">
        <v>0.14000000000000001</v>
      </c>
      <c r="Q26" s="64">
        <v>8.9600000000000009</v>
      </c>
      <c r="R26" s="198"/>
      <c r="S26" s="198"/>
      <c r="T26" s="198"/>
      <c r="U26" s="198"/>
    </row>
    <row r="27" spans="1:21" s="12" customFormat="1" x14ac:dyDescent="0.25">
      <c r="A27" s="213" t="s">
        <v>1030</v>
      </c>
      <c r="B27" s="64">
        <v>4.59</v>
      </c>
      <c r="C27" s="64">
        <v>10.08</v>
      </c>
      <c r="D27" s="64">
        <v>8.9499999999999993</v>
      </c>
      <c r="E27" s="64">
        <v>4.92</v>
      </c>
      <c r="F27" s="64">
        <v>4.82</v>
      </c>
      <c r="G27" s="64">
        <v>8.25</v>
      </c>
      <c r="H27" s="64">
        <v>4.12</v>
      </c>
      <c r="I27" s="64">
        <v>0.42</v>
      </c>
      <c r="J27" s="64">
        <v>0.45</v>
      </c>
      <c r="K27" s="64">
        <v>331.73</v>
      </c>
      <c r="L27" s="64">
        <v>21.06</v>
      </c>
      <c r="M27" s="64">
        <v>98.84</v>
      </c>
      <c r="N27" s="64">
        <v>75.8</v>
      </c>
      <c r="O27" s="64">
        <v>0.8</v>
      </c>
      <c r="P27" s="64">
        <v>0.13</v>
      </c>
      <c r="Q27" s="64">
        <v>8.9700000000000006</v>
      </c>
      <c r="R27" s="198"/>
      <c r="S27" s="198"/>
      <c r="T27" s="198"/>
      <c r="U27" s="198"/>
    </row>
    <row r="28" spans="1:21" s="12" customFormat="1" x14ac:dyDescent="0.25">
      <c r="A28" s="213" t="s">
        <v>1031</v>
      </c>
      <c r="B28" s="64">
        <v>4.6900000000000004</v>
      </c>
      <c r="C28" s="64">
        <v>10.02</v>
      </c>
      <c r="D28" s="64">
        <v>8.99</v>
      </c>
      <c r="E28" s="64">
        <v>4.9800000000000004</v>
      </c>
      <c r="F28" s="64">
        <v>4.3099999999999996</v>
      </c>
      <c r="G28" s="64">
        <v>8.25</v>
      </c>
      <c r="H28" s="64">
        <v>4.12</v>
      </c>
      <c r="I28" s="64">
        <v>0.43</v>
      </c>
      <c r="J28" s="64">
        <v>0.15</v>
      </c>
      <c r="K28" s="64">
        <v>194.01</v>
      </c>
      <c r="L28" s="64">
        <v>20.97</v>
      </c>
      <c r="M28" s="64">
        <v>98.86</v>
      </c>
      <c r="N28" s="64">
        <v>72.8</v>
      </c>
      <c r="O28" s="64">
        <v>0.4</v>
      </c>
      <c r="P28" s="64">
        <v>0.13</v>
      </c>
      <c r="Q28" s="64">
        <v>8.98</v>
      </c>
      <c r="R28" s="198"/>
      <c r="S28" s="198"/>
      <c r="T28" s="198"/>
      <c r="U28" s="198"/>
    </row>
    <row r="29" spans="1:21" s="12" customFormat="1" x14ac:dyDescent="0.25">
      <c r="A29" s="213" t="s">
        <v>1032</v>
      </c>
      <c r="B29" s="64">
        <v>4.93</v>
      </c>
      <c r="C29" s="64">
        <v>10.01</v>
      </c>
      <c r="D29" s="64">
        <v>9.18</v>
      </c>
      <c r="E29" s="64">
        <v>5.12</v>
      </c>
      <c r="F29" s="64">
        <v>3.81</v>
      </c>
      <c r="G29" s="64">
        <v>6.78</v>
      </c>
      <c r="H29" s="64">
        <v>3.48</v>
      </c>
      <c r="I29" s="64">
        <v>0.43</v>
      </c>
      <c r="J29" s="64">
        <v>0.12</v>
      </c>
      <c r="K29" s="64">
        <v>208.52</v>
      </c>
      <c r="L29" s="64">
        <v>21</v>
      </c>
      <c r="M29" s="64">
        <v>98.89</v>
      </c>
      <c r="N29" s="64">
        <v>74.5</v>
      </c>
      <c r="O29" s="64">
        <v>0.4</v>
      </c>
      <c r="P29" s="64">
        <v>0.14000000000000001</v>
      </c>
      <c r="Q29" s="64">
        <v>8.98</v>
      </c>
      <c r="R29" s="198"/>
      <c r="S29" s="198"/>
      <c r="T29" s="198"/>
      <c r="U29" s="198"/>
    </row>
    <row r="30" spans="1:21" s="12" customFormat="1" x14ac:dyDescent="0.25">
      <c r="A30" s="213" t="s">
        <v>1033</v>
      </c>
      <c r="B30" s="64">
        <v>5.17</v>
      </c>
      <c r="C30" s="64">
        <v>9.86</v>
      </c>
      <c r="D30" s="64">
        <v>9.3000000000000007</v>
      </c>
      <c r="E30" s="64">
        <v>5.13</v>
      </c>
      <c r="F30" s="64">
        <v>3.56</v>
      </c>
      <c r="G30" s="64">
        <v>5.89</v>
      </c>
      <c r="H30" s="64">
        <v>3.1</v>
      </c>
      <c r="I30" s="64">
        <v>0.44</v>
      </c>
      <c r="J30" s="64">
        <v>0.27</v>
      </c>
      <c r="K30" s="64">
        <v>158.61000000000001</v>
      </c>
      <c r="L30" s="64">
        <v>21.01</v>
      </c>
      <c r="M30" s="64">
        <v>98.79</v>
      </c>
      <c r="N30" s="64">
        <v>76.599999999999994</v>
      </c>
      <c r="O30" s="64">
        <v>0.4</v>
      </c>
      <c r="P30" s="64">
        <v>0.13</v>
      </c>
      <c r="Q30" s="64">
        <v>8.99</v>
      </c>
      <c r="R30" s="198"/>
      <c r="S30" s="198"/>
      <c r="T30" s="198"/>
      <c r="U30" s="198"/>
    </row>
    <row r="31" spans="1:21" s="12" customFormat="1" x14ac:dyDescent="0.25">
      <c r="A31" s="213" t="s">
        <v>1034</v>
      </c>
      <c r="B31" s="64">
        <v>5.41</v>
      </c>
      <c r="C31" s="64">
        <v>10.11</v>
      </c>
      <c r="D31" s="64">
        <v>9.6199999999999992</v>
      </c>
      <c r="E31" s="64">
        <v>5.03</v>
      </c>
      <c r="F31" s="64">
        <v>3.65</v>
      </c>
      <c r="G31" s="64">
        <v>5.89</v>
      </c>
      <c r="H31" s="64">
        <v>3.1</v>
      </c>
      <c r="I31" s="64">
        <v>0.43</v>
      </c>
      <c r="J31" s="64">
        <v>0.26</v>
      </c>
      <c r="K31" s="64">
        <v>136.15</v>
      </c>
      <c r="L31" s="64">
        <v>21.03</v>
      </c>
      <c r="M31" s="64">
        <v>98.8</v>
      </c>
      <c r="N31" s="64">
        <v>77.7</v>
      </c>
      <c r="O31" s="64">
        <v>0.4</v>
      </c>
      <c r="P31" s="64">
        <v>0.14000000000000001</v>
      </c>
      <c r="Q31" s="64">
        <v>8.99</v>
      </c>
      <c r="R31" s="198"/>
      <c r="S31" s="198"/>
      <c r="T31" s="198"/>
      <c r="U31" s="198"/>
    </row>
    <row r="32" spans="1:21" s="12" customFormat="1" x14ac:dyDescent="0.25">
      <c r="A32" s="213" t="s">
        <v>1035</v>
      </c>
      <c r="B32" s="64">
        <v>5.8</v>
      </c>
      <c r="C32" s="64">
        <v>9.91</v>
      </c>
      <c r="D32" s="64">
        <v>9.83</v>
      </c>
      <c r="E32" s="64">
        <v>4.97</v>
      </c>
      <c r="F32" s="64">
        <v>3.79</v>
      </c>
      <c r="G32" s="64">
        <v>5.89</v>
      </c>
      <c r="H32" s="64">
        <v>3.1</v>
      </c>
      <c r="I32" s="64">
        <v>0.44</v>
      </c>
      <c r="J32" s="64">
        <v>0.08</v>
      </c>
      <c r="K32" s="64">
        <v>314.35000000000002</v>
      </c>
      <c r="L32" s="64">
        <v>21.08</v>
      </c>
      <c r="M32" s="64">
        <v>98.82</v>
      </c>
      <c r="N32" s="64">
        <v>84.7</v>
      </c>
      <c r="O32" s="64">
        <v>0.2</v>
      </c>
      <c r="P32" s="64">
        <v>0.15</v>
      </c>
      <c r="Q32" s="64">
        <v>8.98</v>
      </c>
      <c r="R32" s="198"/>
      <c r="S32" s="198"/>
      <c r="T32" s="198"/>
      <c r="U32" s="198"/>
    </row>
    <row r="33" spans="1:21" s="12" customFormat="1" x14ac:dyDescent="0.25">
      <c r="A33" s="213" t="s">
        <v>1036</v>
      </c>
      <c r="B33" s="64">
        <v>5.88</v>
      </c>
      <c r="C33" s="64">
        <v>10.36</v>
      </c>
      <c r="D33" s="64">
        <v>10.119999999999999</v>
      </c>
      <c r="E33" s="64">
        <v>5.01</v>
      </c>
      <c r="F33" s="64">
        <v>3.07</v>
      </c>
      <c r="G33" s="64">
        <v>5.53</v>
      </c>
      <c r="H33" s="64">
        <v>3.97</v>
      </c>
      <c r="I33" s="64">
        <v>0.45</v>
      </c>
      <c r="J33" s="64">
        <v>0.22</v>
      </c>
      <c r="K33" s="64">
        <v>136.07</v>
      </c>
      <c r="L33" s="64">
        <v>21.08</v>
      </c>
      <c r="M33" s="64">
        <v>98.83</v>
      </c>
      <c r="N33" s="64">
        <v>79.099999999999994</v>
      </c>
      <c r="O33" s="64">
        <v>0.2</v>
      </c>
      <c r="P33" s="64">
        <v>0.14000000000000001</v>
      </c>
      <c r="Q33" s="64">
        <v>8.9700000000000006</v>
      </c>
      <c r="R33" s="198"/>
      <c r="S33" s="198"/>
      <c r="T33" s="198"/>
      <c r="U33" s="198"/>
    </row>
    <row r="34" spans="1:21" s="12" customFormat="1" x14ac:dyDescent="0.25">
      <c r="A34" s="213" t="s">
        <v>1037</v>
      </c>
      <c r="B34" s="64">
        <v>6.06</v>
      </c>
      <c r="C34" s="64">
        <v>10.210000000000001</v>
      </c>
      <c r="D34" s="64">
        <v>10.19</v>
      </c>
      <c r="E34" s="64">
        <v>5.16</v>
      </c>
      <c r="F34" s="64">
        <v>4.13</v>
      </c>
      <c r="G34" s="64">
        <v>5.3</v>
      </c>
      <c r="H34" s="64">
        <v>4.5</v>
      </c>
      <c r="I34" s="64">
        <v>0.45</v>
      </c>
      <c r="J34" s="64">
        <v>0.11</v>
      </c>
      <c r="K34" s="64">
        <v>309.18</v>
      </c>
      <c r="L34" s="64">
        <v>21.12</v>
      </c>
      <c r="M34" s="64">
        <v>98.84</v>
      </c>
      <c r="N34" s="64">
        <v>73.8</v>
      </c>
      <c r="O34" s="64">
        <v>0</v>
      </c>
      <c r="P34" s="64">
        <v>0.15</v>
      </c>
      <c r="Q34" s="64">
        <v>8.9700000000000006</v>
      </c>
      <c r="R34" s="198"/>
      <c r="S34" s="198"/>
      <c r="T34" s="198"/>
      <c r="U34" s="198"/>
    </row>
    <row r="35" spans="1:21" s="12" customFormat="1" x14ac:dyDescent="0.25">
      <c r="A35" s="213" t="s">
        <v>1038</v>
      </c>
      <c r="B35" s="64">
        <v>6.17</v>
      </c>
      <c r="C35" s="64">
        <v>10.64</v>
      </c>
      <c r="D35" s="64">
        <v>10.51</v>
      </c>
      <c r="E35" s="64">
        <v>5.12</v>
      </c>
      <c r="F35" s="64">
        <v>2.95</v>
      </c>
      <c r="G35" s="64">
        <v>5.3</v>
      </c>
      <c r="H35" s="64">
        <v>4.5</v>
      </c>
      <c r="I35" s="64">
        <v>0.44</v>
      </c>
      <c r="J35" s="64">
        <v>0.08</v>
      </c>
      <c r="K35" s="64">
        <v>263.77999999999997</v>
      </c>
      <c r="L35" s="64">
        <v>21.11</v>
      </c>
      <c r="M35" s="64">
        <v>98.85</v>
      </c>
      <c r="N35" s="64">
        <v>80.7</v>
      </c>
      <c r="O35" s="64">
        <v>0.4</v>
      </c>
      <c r="P35" s="64">
        <v>0.15</v>
      </c>
      <c r="Q35" s="64">
        <v>8.98</v>
      </c>
      <c r="R35" s="198"/>
      <c r="S35" s="198"/>
      <c r="T35" s="198"/>
      <c r="U35" s="198"/>
    </row>
    <row r="36" spans="1:21" s="12" customFormat="1" x14ac:dyDescent="0.25">
      <c r="A36" s="213" t="s">
        <v>1039</v>
      </c>
      <c r="B36" s="64">
        <v>6.12</v>
      </c>
      <c r="C36" s="64">
        <v>10.67</v>
      </c>
      <c r="D36" s="64">
        <v>10.48</v>
      </c>
      <c r="E36" s="64">
        <v>4.8</v>
      </c>
      <c r="F36" s="64">
        <v>4.07</v>
      </c>
      <c r="G36" s="64">
        <v>5.3</v>
      </c>
      <c r="H36" s="64">
        <v>4.5</v>
      </c>
      <c r="I36" s="64">
        <v>0.46</v>
      </c>
      <c r="J36" s="64">
        <v>0.33</v>
      </c>
      <c r="K36" s="64">
        <v>136.44999999999999</v>
      </c>
      <c r="L36" s="64">
        <v>21.03</v>
      </c>
      <c r="M36" s="64">
        <v>98.88</v>
      </c>
      <c r="N36" s="64">
        <v>78.5</v>
      </c>
      <c r="O36" s="64">
        <v>0.4</v>
      </c>
      <c r="P36" s="64">
        <v>0.15</v>
      </c>
      <c r="Q36" s="64">
        <v>8.98</v>
      </c>
      <c r="R36" s="198"/>
      <c r="S36" s="198"/>
      <c r="T36" s="198"/>
      <c r="U36" s="198"/>
    </row>
    <row r="37" spans="1:21" s="12" customFormat="1" x14ac:dyDescent="0.25">
      <c r="A37" s="213" t="s">
        <v>1040</v>
      </c>
      <c r="B37" s="64">
        <v>7.25</v>
      </c>
      <c r="C37" s="64">
        <v>12.04</v>
      </c>
      <c r="D37" s="64">
        <v>12.1</v>
      </c>
      <c r="E37" s="64">
        <v>4.87</v>
      </c>
      <c r="F37" s="64">
        <v>2.96</v>
      </c>
      <c r="G37" s="64">
        <v>4.4800000000000004</v>
      </c>
      <c r="H37" s="64">
        <v>4.34</v>
      </c>
      <c r="I37" s="64">
        <v>0.46</v>
      </c>
      <c r="J37" s="64">
        <v>0.11</v>
      </c>
      <c r="K37" s="64">
        <v>309.37</v>
      </c>
      <c r="L37" s="64">
        <v>21</v>
      </c>
      <c r="M37" s="64">
        <v>98.88</v>
      </c>
      <c r="N37" s="64">
        <v>77.2</v>
      </c>
      <c r="O37" s="64">
        <v>2</v>
      </c>
      <c r="P37" s="64">
        <v>0.17</v>
      </c>
      <c r="Q37" s="64">
        <v>8.98</v>
      </c>
      <c r="R37" s="198"/>
      <c r="S37" s="198"/>
      <c r="T37" s="198"/>
      <c r="U37" s="198"/>
    </row>
    <row r="38" spans="1:21" s="12" customFormat="1" x14ac:dyDescent="0.25">
      <c r="A38" s="213" t="s">
        <v>1041</v>
      </c>
      <c r="B38" s="64">
        <v>6.58</v>
      </c>
      <c r="C38" s="64">
        <v>11.51</v>
      </c>
      <c r="D38" s="64">
        <v>11.29</v>
      </c>
      <c r="E38" s="64">
        <v>4.96</v>
      </c>
      <c r="F38" s="64">
        <v>4.08</v>
      </c>
      <c r="G38" s="64">
        <v>3.98</v>
      </c>
      <c r="H38" s="64">
        <v>4.24</v>
      </c>
      <c r="I38" s="64">
        <v>0.46</v>
      </c>
      <c r="J38" s="64">
        <v>0.23</v>
      </c>
      <c r="K38" s="64">
        <v>311.14</v>
      </c>
      <c r="L38" s="64">
        <v>20.85</v>
      </c>
      <c r="M38" s="64">
        <v>98.86</v>
      </c>
      <c r="N38" s="64">
        <v>75.599999999999994</v>
      </c>
      <c r="O38" s="64">
        <v>5.6</v>
      </c>
      <c r="P38" s="64">
        <v>0.2</v>
      </c>
      <c r="Q38" s="64">
        <v>8.98</v>
      </c>
      <c r="R38" s="198"/>
      <c r="S38" s="198"/>
      <c r="T38" s="198"/>
      <c r="U38" s="198"/>
    </row>
    <row r="39" spans="1:21" s="12" customFormat="1" x14ac:dyDescent="0.25">
      <c r="A39" s="213" t="s">
        <v>1042</v>
      </c>
      <c r="B39" s="64">
        <v>6.07</v>
      </c>
      <c r="C39" s="64">
        <v>12.07</v>
      </c>
      <c r="D39" s="64">
        <v>11.17</v>
      </c>
      <c r="E39" s="64">
        <v>4.7699999999999996</v>
      </c>
      <c r="F39" s="64">
        <v>2.9</v>
      </c>
      <c r="G39" s="64">
        <v>3.98</v>
      </c>
      <c r="H39" s="64">
        <v>4.24</v>
      </c>
      <c r="I39" s="64">
        <v>0.47</v>
      </c>
      <c r="J39" s="64">
        <v>0.22</v>
      </c>
      <c r="K39" s="64">
        <v>314.55</v>
      </c>
      <c r="L39" s="64">
        <v>20.75</v>
      </c>
      <c r="M39" s="64">
        <v>98.88</v>
      </c>
      <c r="N39" s="64">
        <v>90.8</v>
      </c>
      <c r="O39" s="64">
        <v>1.4</v>
      </c>
      <c r="P39" s="64">
        <v>0.2</v>
      </c>
      <c r="Q39" s="64">
        <v>8.98</v>
      </c>
      <c r="R39" s="198"/>
      <c r="S39" s="198"/>
      <c r="T39" s="198"/>
      <c r="U39" s="198"/>
    </row>
    <row r="40" spans="1:21" s="12" customFormat="1" x14ac:dyDescent="0.25">
      <c r="A40" s="213" t="s">
        <v>1043</v>
      </c>
      <c r="B40" s="64">
        <v>5.64</v>
      </c>
      <c r="C40" s="64">
        <v>12.47</v>
      </c>
      <c r="D40" s="64">
        <v>11.03</v>
      </c>
      <c r="E40" s="64">
        <v>4.49</v>
      </c>
      <c r="F40" s="64">
        <v>3.89</v>
      </c>
      <c r="G40" s="64">
        <v>3.98</v>
      </c>
      <c r="H40" s="64">
        <v>4.24</v>
      </c>
      <c r="I40" s="64">
        <v>0.48</v>
      </c>
      <c r="J40" s="64">
        <v>0.19</v>
      </c>
      <c r="K40" s="64">
        <v>307.10000000000002</v>
      </c>
      <c r="L40" s="64">
        <v>20.76</v>
      </c>
      <c r="M40" s="64">
        <v>98.88</v>
      </c>
      <c r="N40" s="64">
        <v>103.9</v>
      </c>
      <c r="O40" s="64">
        <v>0.6</v>
      </c>
      <c r="P40" s="64">
        <v>0.2</v>
      </c>
      <c r="Q40" s="64">
        <v>8.9700000000000006</v>
      </c>
      <c r="R40" s="198"/>
      <c r="S40" s="198"/>
      <c r="T40" s="198"/>
      <c r="U40" s="198"/>
    </row>
    <row r="41" spans="1:21" s="12" customFormat="1" x14ac:dyDescent="0.25">
      <c r="A41" s="213" t="s">
        <v>1044</v>
      </c>
      <c r="B41" s="64">
        <v>5.28</v>
      </c>
      <c r="C41" s="64">
        <v>12.72</v>
      </c>
      <c r="D41" s="64">
        <v>10.88</v>
      </c>
      <c r="E41" s="64">
        <v>4.8899999999999997</v>
      </c>
      <c r="F41" s="64">
        <v>2.97</v>
      </c>
      <c r="G41" s="64">
        <v>3.28</v>
      </c>
      <c r="H41" s="64">
        <v>3.6</v>
      </c>
      <c r="I41" s="64">
        <v>0.5</v>
      </c>
      <c r="J41" s="64">
        <v>0.25</v>
      </c>
      <c r="K41" s="64">
        <v>300.02999999999997</v>
      </c>
      <c r="L41" s="64">
        <v>20.78</v>
      </c>
      <c r="M41" s="64">
        <v>98.78</v>
      </c>
      <c r="N41" s="64">
        <v>119</v>
      </c>
      <c r="O41" s="64">
        <v>0.4</v>
      </c>
      <c r="P41" s="64">
        <v>0.21</v>
      </c>
      <c r="Q41" s="64">
        <v>8.9700000000000006</v>
      </c>
      <c r="R41" s="198"/>
      <c r="S41" s="198"/>
      <c r="T41" s="198"/>
      <c r="U41" s="198"/>
    </row>
    <row r="42" spans="1:21" s="12" customFormat="1" x14ac:dyDescent="0.25">
      <c r="A42" s="213" t="s">
        <v>1045</v>
      </c>
      <c r="B42" s="64">
        <v>5.04</v>
      </c>
      <c r="C42" s="64">
        <v>12.96</v>
      </c>
      <c r="D42" s="64">
        <v>10.81</v>
      </c>
      <c r="E42" s="64">
        <v>5.04</v>
      </c>
      <c r="F42" s="64">
        <v>3.62</v>
      </c>
      <c r="G42" s="64">
        <v>2.85</v>
      </c>
      <c r="H42" s="64">
        <v>3.22</v>
      </c>
      <c r="I42" s="64">
        <v>0.5</v>
      </c>
      <c r="J42" s="64">
        <v>0.22</v>
      </c>
      <c r="K42" s="64">
        <v>294.64999999999998</v>
      </c>
      <c r="L42" s="64">
        <v>20.79</v>
      </c>
      <c r="M42" s="64">
        <v>98.68</v>
      </c>
      <c r="N42" s="64">
        <v>108</v>
      </c>
      <c r="O42" s="64">
        <v>0</v>
      </c>
      <c r="P42" s="64">
        <v>0.21</v>
      </c>
      <c r="Q42" s="64">
        <v>8.98</v>
      </c>
      <c r="R42" s="198"/>
      <c r="S42" s="198"/>
      <c r="T42" s="198"/>
      <c r="U42" s="198"/>
    </row>
    <row r="43" spans="1:21" s="12" customFormat="1" x14ac:dyDescent="0.25">
      <c r="A43" s="213" t="s">
        <v>1046</v>
      </c>
      <c r="B43" s="64">
        <v>5.03</v>
      </c>
      <c r="C43" s="64">
        <v>13.11</v>
      </c>
      <c r="D43" s="64">
        <v>10.88</v>
      </c>
      <c r="E43" s="64">
        <v>4.8899999999999997</v>
      </c>
      <c r="F43" s="64">
        <v>3.65</v>
      </c>
      <c r="G43" s="64">
        <v>2.85</v>
      </c>
      <c r="H43" s="64">
        <v>3.22</v>
      </c>
      <c r="I43" s="64">
        <v>0.51</v>
      </c>
      <c r="J43" s="64">
        <v>0.2</v>
      </c>
      <c r="K43" s="64">
        <v>295.88</v>
      </c>
      <c r="L43" s="64">
        <v>20.86</v>
      </c>
      <c r="M43" s="64">
        <v>98.69</v>
      </c>
      <c r="N43" s="64">
        <v>135.5</v>
      </c>
      <c r="O43" s="64">
        <v>0</v>
      </c>
      <c r="P43" s="64">
        <v>0.22</v>
      </c>
      <c r="Q43" s="64">
        <v>8.99</v>
      </c>
      <c r="R43" s="198"/>
      <c r="S43" s="198"/>
      <c r="T43" s="198"/>
      <c r="U43" s="198"/>
    </row>
    <row r="44" spans="1:21" s="12" customFormat="1" x14ac:dyDescent="0.25">
      <c r="A44" s="213" t="s">
        <v>1047</v>
      </c>
      <c r="B44" s="64">
        <v>5</v>
      </c>
      <c r="C44" s="64">
        <v>13.13</v>
      </c>
      <c r="D44" s="64">
        <v>10.87</v>
      </c>
      <c r="E44" s="64">
        <v>4.82</v>
      </c>
      <c r="F44" s="64">
        <v>3.77</v>
      </c>
      <c r="G44" s="64">
        <v>2.85</v>
      </c>
      <c r="H44" s="64">
        <v>3.22</v>
      </c>
      <c r="I44" s="64">
        <v>0.53</v>
      </c>
      <c r="J44" s="64">
        <v>0.22</v>
      </c>
      <c r="K44" s="64">
        <v>298.37</v>
      </c>
      <c r="L44" s="64">
        <v>21.05</v>
      </c>
      <c r="M44" s="64">
        <v>98.7</v>
      </c>
      <c r="N44" s="64">
        <v>233.6</v>
      </c>
      <c r="O44" s="64">
        <v>0</v>
      </c>
      <c r="P44" s="64">
        <v>0.21</v>
      </c>
      <c r="Q44" s="64">
        <v>9</v>
      </c>
      <c r="R44" s="198"/>
      <c r="S44" s="198"/>
      <c r="T44" s="198"/>
      <c r="U44" s="198"/>
    </row>
    <row r="45" spans="1:21" s="12" customFormat="1" x14ac:dyDescent="0.25">
      <c r="A45" s="213" t="s">
        <v>1048</v>
      </c>
      <c r="B45" s="64">
        <v>4.9000000000000004</v>
      </c>
      <c r="C45" s="64">
        <v>13.04</v>
      </c>
      <c r="D45" s="64">
        <v>10.75</v>
      </c>
      <c r="E45" s="64">
        <v>4.49</v>
      </c>
      <c r="F45" s="64">
        <v>3.87</v>
      </c>
      <c r="G45" s="64">
        <v>2.5499999999999998</v>
      </c>
      <c r="H45" s="64">
        <v>2.87</v>
      </c>
      <c r="I45" s="64">
        <v>0.54</v>
      </c>
      <c r="J45" s="64">
        <v>0.19</v>
      </c>
      <c r="K45" s="64">
        <v>291.16000000000003</v>
      </c>
      <c r="L45" s="64">
        <v>21.33</v>
      </c>
      <c r="M45" s="64">
        <v>98.7</v>
      </c>
      <c r="N45" s="64">
        <v>224.4</v>
      </c>
      <c r="O45" s="64">
        <v>0</v>
      </c>
      <c r="P45" s="64">
        <v>0.23</v>
      </c>
      <c r="Q45" s="64">
        <v>9.01</v>
      </c>
      <c r="R45" s="198"/>
      <c r="S45" s="198"/>
      <c r="T45" s="198"/>
      <c r="U45" s="198"/>
    </row>
    <row r="46" spans="1:21" s="12" customFormat="1" x14ac:dyDescent="0.25">
      <c r="A46" s="213" t="s">
        <v>1049</v>
      </c>
      <c r="B46" s="64">
        <v>4.8099999999999996</v>
      </c>
      <c r="C46" s="64">
        <v>12.95</v>
      </c>
      <c r="D46" s="64">
        <v>10.62</v>
      </c>
      <c r="E46" s="64">
        <v>4.7300000000000004</v>
      </c>
      <c r="F46" s="64">
        <v>3.58</v>
      </c>
      <c r="G46" s="64">
        <v>2.36</v>
      </c>
      <c r="H46" s="64">
        <v>2.66</v>
      </c>
      <c r="I46" s="64">
        <v>0.56000000000000005</v>
      </c>
      <c r="J46" s="64">
        <v>0.26</v>
      </c>
      <c r="K46" s="64">
        <v>294.74</v>
      </c>
      <c r="L46" s="64">
        <v>21.49</v>
      </c>
      <c r="M46" s="64">
        <v>98.72</v>
      </c>
      <c r="N46" s="64">
        <v>212.2</v>
      </c>
      <c r="O46" s="64">
        <v>0</v>
      </c>
      <c r="P46" s="64">
        <v>0.23</v>
      </c>
      <c r="Q46" s="64">
        <v>9</v>
      </c>
      <c r="R46" s="198"/>
      <c r="S46" s="198"/>
      <c r="T46" s="198"/>
      <c r="U46" s="198"/>
    </row>
    <row r="47" spans="1:21" s="12" customFormat="1" x14ac:dyDescent="0.25">
      <c r="A47" s="213" t="s">
        <v>1050</v>
      </c>
      <c r="B47" s="64">
        <v>4.88</v>
      </c>
      <c r="C47" s="64">
        <v>13.1</v>
      </c>
      <c r="D47" s="64">
        <v>10.76</v>
      </c>
      <c r="E47" s="64">
        <v>4.42</v>
      </c>
      <c r="F47" s="64">
        <v>3.79</v>
      </c>
      <c r="G47" s="64">
        <v>2.36</v>
      </c>
      <c r="H47" s="64">
        <v>2.66</v>
      </c>
      <c r="I47" s="64">
        <v>0.56999999999999995</v>
      </c>
      <c r="J47" s="64">
        <v>0.23</v>
      </c>
      <c r="K47" s="64">
        <v>294.76</v>
      </c>
      <c r="L47" s="64">
        <v>21.83</v>
      </c>
      <c r="M47" s="64">
        <v>98.73</v>
      </c>
      <c r="N47" s="64">
        <v>216.4</v>
      </c>
      <c r="O47" s="64">
        <v>0</v>
      </c>
      <c r="P47" s="64">
        <v>0.25</v>
      </c>
      <c r="Q47" s="64">
        <v>9</v>
      </c>
      <c r="R47" s="198"/>
      <c r="S47" s="198"/>
      <c r="T47" s="198"/>
      <c r="U47" s="198"/>
    </row>
    <row r="48" spans="1:21" s="12" customFormat="1" x14ac:dyDescent="0.25">
      <c r="A48" s="213" t="s">
        <v>1051</v>
      </c>
      <c r="B48" s="64">
        <v>5.09</v>
      </c>
      <c r="C48" s="64">
        <v>13.26</v>
      </c>
      <c r="D48" s="64">
        <v>11.01</v>
      </c>
      <c r="E48" s="64">
        <v>4.7</v>
      </c>
      <c r="F48" s="64">
        <v>3.82</v>
      </c>
      <c r="G48" s="64">
        <v>2.36</v>
      </c>
      <c r="H48" s="64">
        <v>2.66</v>
      </c>
      <c r="I48" s="64">
        <v>0.57999999999999996</v>
      </c>
      <c r="J48" s="64">
        <v>0.27</v>
      </c>
      <c r="K48" s="64">
        <v>296.49</v>
      </c>
      <c r="L48" s="64">
        <v>22.06</v>
      </c>
      <c r="M48" s="64">
        <v>98.74</v>
      </c>
      <c r="N48" s="64">
        <v>169.9</v>
      </c>
      <c r="O48" s="64">
        <v>0</v>
      </c>
      <c r="P48" s="64">
        <v>0.26</v>
      </c>
      <c r="Q48" s="64">
        <v>9.01</v>
      </c>
      <c r="R48" s="198"/>
      <c r="S48" s="198"/>
      <c r="T48" s="198"/>
      <c r="U48" s="198"/>
    </row>
    <row r="49" spans="1:21" s="12" customFormat="1" x14ac:dyDescent="0.25">
      <c r="A49" s="213" t="s">
        <v>1052</v>
      </c>
      <c r="B49" s="64">
        <v>5.1100000000000003</v>
      </c>
      <c r="C49" s="64">
        <v>13.37</v>
      </c>
      <c r="D49" s="64">
        <v>11.08</v>
      </c>
      <c r="E49" s="64">
        <v>4.6399999999999997</v>
      </c>
      <c r="F49" s="64">
        <v>4.4800000000000004</v>
      </c>
      <c r="G49" s="64">
        <v>2.44</v>
      </c>
      <c r="H49" s="64">
        <v>2.19</v>
      </c>
      <c r="I49" s="64">
        <v>0.6</v>
      </c>
      <c r="J49" s="64">
        <v>0.3</v>
      </c>
      <c r="K49" s="64">
        <v>291.37</v>
      </c>
      <c r="L49" s="64">
        <v>22.11</v>
      </c>
      <c r="M49" s="64">
        <v>98.73</v>
      </c>
      <c r="N49" s="64">
        <v>157</v>
      </c>
      <c r="O49" s="64">
        <v>0</v>
      </c>
      <c r="P49" s="64">
        <v>0.28000000000000003</v>
      </c>
      <c r="Q49" s="64">
        <v>9</v>
      </c>
      <c r="R49" s="198"/>
      <c r="S49" s="198"/>
      <c r="T49" s="198"/>
      <c r="U49" s="198"/>
    </row>
    <row r="50" spans="1:21" s="12" customFormat="1" x14ac:dyDescent="0.25">
      <c r="A50" s="213" t="s">
        <v>1053</v>
      </c>
      <c r="B50" s="64">
        <v>5.57</v>
      </c>
      <c r="C50" s="64">
        <v>14.43</v>
      </c>
      <c r="D50" s="64">
        <v>12</v>
      </c>
      <c r="E50" s="64">
        <v>4.9800000000000004</v>
      </c>
      <c r="F50" s="64">
        <v>3.31</v>
      </c>
      <c r="G50" s="64">
        <v>2.48</v>
      </c>
      <c r="H50" s="64">
        <v>1.91</v>
      </c>
      <c r="I50" s="64">
        <v>0.64</v>
      </c>
      <c r="J50" s="64">
        <v>0.21</v>
      </c>
      <c r="K50" s="64">
        <v>295.86</v>
      </c>
      <c r="L50" s="64">
        <v>22.11</v>
      </c>
      <c r="M50" s="64">
        <v>98.75</v>
      </c>
      <c r="N50" s="64">
        <v>183.7</v>
      </c>
      <c r="O50" s="64">
        <v>0</v>
      </c>
      <c r="P50" s="64">
        <v>0.31</v>
      </c>
      <c r="Q50" s="64">
        <v>8.99</v>
      </c>
      <c r="R50" s="198"/>
      <c r="S50" s="198"/>
      <c r="T50" s="198"/>
      <c r="U50" s="198"/>
    </row>
    <row r="51" spans="1:21" s="12" customFormat="1" x14ac:dyDescent="0.25">
      <c r="A51" s="213" t="s">
        <v>1054</v>
      </c>
      <c r="B51" s="64">
        <v>5.77</v>
      </c>
      <c r="C51" s="64">
        <v>13.84</v>
      </c>
      <c r="D51" s="64">
        <v>11.86</v>
      </c>
      <c r="E51" s="64">
        <v>4.88</v>
      </c>
      <c r="F51" s="64">
        <v>3.84</v>
      </c>
      <c r="G51" s="64">
        <v>2.48</v>
      </c>
      <c r="H51" s="64">
        <v>1.91</v>
      </c>
      <c r="I51" s="64">
        <v>0.67</v>
      </c>
      <c r="J51" s="64">
        <v>0.26</v>
      </c>
      <c r="K51" s="64">
        <v>296.87</v>
      </c>
      <c r="L51" s="64">
        <v>22.09</v>
      </c>
      <c r="M51" s="64">
        <v>98.76</v>
      </c>
      <c r="N51" s="64">
        <v>182</v>
      </c>
      <c r="O51" s="64">
        <v>0</v>
      </c>
      <c r="P51" s="64">
        <v>0.3</v>
      </c>
      <c r="Q51" s="64">
        <v>9</v>
      </c>
      <c r="R51" s="198"/>
      <c r="S51" s="198"/>
      <c r="T51" s="198"/>
      <c r="U51" s="198"/>
    </row>
    <row r="52" spans="1:21" s="12" customFormat="1" x14ac:dyDescent="0.25">
      <c r="A52" s="213" t="s">
        <v>1055</v>
      </c>
      <c r="B52" s="64">
        <v>5.85</v>
      </c>
      <c r="C52" s="64">
        <v>13.41</v>
      </c>
      <c r="D52" s="64">
        <v>11.7</v>
      </c>
      <c r="E52" s="64">
        <v>4.72</v>
      </c>
      <c r="F52" s="64">
        <v>3</v>
      </c>
      <c r="G52" s="64">
        <v>2.48</v>
      </c>
      <c r="H52" s="64">
        <v>1.91</v>
      </c>
      <c r="I52" s="64">
        <v>0.65</v>
      </c>
      <c r="J52" s="64">
        <v>0.25</v>
      </c>
      <c r="K52" s="64">
        <v>299.45999999999998</v>
      </c>
      <c r="L52" s="64">
        <v>22.29</v>
      </c>
      <c r="M52" s="64">
        <v>98.63</v>
      </c>
      <c r="N52" s="64">
        <v>171.4</v>
      </c>
      <c r="O52" s="64">
        <v>0</v>
      </c>
      <c r="P52" s="64">
        <v>0.32</v>
      </c>
      <c r="Q52" s="64">
        <v>9</v>
      </c>
      <c r="R52" s="198"/>
      <c r="S52" s="198"/>
      <c r="T52" s="198"/>
      <c r="U52" s="198"/>
    </row>
    <row r="53" spans="1:21" s="12" customFormat="1" x14ac:dyDescent="0.25">
      <c r="A53" s="213" t="s">
        <v>1056</v>
      </c>
      <c r="B53" s="64">
        <v>5.97</v>
      </c>
      <c r="C53" s="64">
        <v>13.41</v>
      </c>
      <c r="D53" s="64">
        <v>11.79</v>
      </c>
      <c r="E53" s="64">
        <v>4.8</v>
      </c>
      <c r="F53" s="64">
        <v>3.89</v>
      </c>
      <c r="G53" s="64">
        <v>2.16</v>
      </c>
      <c r="H53" s="64">
        <v>1.6</v>
      </c>
      <c r="I53" s="64">
        <v>0.7</v>
      </c>
      <c r="J53" s="64">
        <v>0.3</v>
      </c>
      <c r="K53" s="64">
        <v>290.42</v>
      </c>
      <c r="L53" s="64">
        <v>22.29</v>
      </c>
      <c r="M53" s="64">
        <v>98.63</v>
      </c>
      <c r="N53" s="64">
        <v>190.8</v>
      </c>
      <c r="O53" s="64">
        <v>0</v>
      </c>
      <c r="P53" s="64">
        <v>0.34</v>
      </c>
      <c r="Q53" s="64">
        <v>9</v>
      </c>
      <c r="R53" s="198"/>
      <c r="S53" s="198"/>
      <c r="T53" s="198"/>
      <c r="U53" s="198"/>
    </row>
    <row r="54" spans="1:21" s="12" customFormat="1" x14ac:dyDescent="0.25">
      <c r="A54" s="213" t="s">
        <v>1057</v>
      </c>
      <c r="B54" s="64">
        <v>6.04</v>
      </c>
      <c r="C54" s="64">
        <v>13.64</v>
      </c>
      <c r="D54" s="64">
        <v>11.97</v>
      </c>
      <c r="E54" s="64">
        <v>4.59</v>
      </c>
      <c r="F54" s="64">
        <v>3.63</v>
      </c>
      <c r="G54" s="64">
        <v>1.96</v>
      </c>
      <c r="H54" s="64">
        <v>1.42</v>
      </c>
      <c r="I54" s="64">
        <v>0.72</v>
      </c>
      <c r="J54" s="64">
        <v>0.28000000000000003</v>
      </c>
      <c r="K54" s="64">
        <v>291.27</v>
      </c>
      <c r="L54" s="64">
        <v>22.69</v>
      </c>
      <c r="M54" s="64">
        <v>98.65</v>
      </c>
      <c r="N54" s="64">
        <v>228.7</v>
      </c>
      <c r="O54" s="64">
        <v>0.2</v>
      </c>
      <c r="P54" s="64">
        <v>0.35</v>
      </c>
      <c r="Q54" s="64">
        <v>9</v>
      </c>
      <c r="R54" s="198"/>
      <c r="S54" s="198"/>
      <c r="T54" s="198"/>
      <c r="U54" s="198"/>
    </row>
    <row r="55" spans="1:21" s="12" customFormat="1" x14ac:dyDescent="0.25">
      <c r="A55" s="213" t="s">
        <v>1058</v>
      </c>
      <c r="B55" s="64">
        <v>6.16</v>
      </c>
      <c r="C55" s="64">
        <v>13.95</v>
      </c>
      <c r="D55" s="64">
        <v>12.23</v>
      </c>
      <c r="E55" s="64">
        <v>4.62</v>
      </c>
      <c r="F55" s="64">
        <v>3.69</v>
      </c>
      <c r="G55" s="64">
        <v>1.96</v>
      </c>
      <c r="H55" s="64">
        <v>1.42</v>
      </c>
      <c r="I55" s="64">
        <v>0.69</v>
      </c>
      <c r="J55" s="64">
        <v>0.24</v>
      </c>
      <c r="K55" s="64">
        <v>293.55</v>
      </c>
      <c r="L55" s="64">
        <v>22.66</v>
      </c>
      <c r="M55" s="64">
        <v>98.66</v>
      </c>
      <c r="N55" s="64">
        <v>271.60000000000002</v>
      </c>
      <c r="O55" s="64">
        <v>0</v>
      </c>
      <c r="P55" s="64">
        <v>0.34</v>
      </c>
      <c r="Q55" s="64">
        <v>9.01</v>
      </c>
      <c r="R55" s="198"/>
      <c r="S55" s="198"/>
      <c r="T55" s="198"/>
      <c r="U55" s="198"/>
    </row>
    <row r="56" spans="1:21" s="12" customFormat="1" x14ac:dyDescent="0.25">
      <c r="A56" s="213" t="s">
        <v>1059</v>
      </c>
      <c r="B56" s="64">
        <v>6.13</v>
      </c>
      <c r="C56" s="64">
        <v>14.05</v>
      </c>
      <c r="D56" s="64">
        <v>12.26</v>
      </c>
      <c r="E56" s="64">
        <v>4.51</v>
      </c>
      <c r="F56" s="64">
        <v>3.39</v>
      </c>
      <c r="G56" s="64">
        <v>1.96</v>
      </c>
      <c r="H56" s="64">
        <v>1.42</v>
      </c>
      <c r="I56" s="64">
        <v>0.7</v>
      </c>
      <c r="J56" s="64">
        <v>0.21</v>
      </c>
      <c r="K56" s="64">
        <v>292.54000000000002</v>
      </c>
      <c r="L56" s="64">
        <v>22.88</v>
      </c>
      <c r="M56" s="64">
        <v>98.66</v>
      </c>
      <c r="N56" s="64">
        <v>270.5</v>
      </c>
      <c r="O56" s="64">
        <v>0.2</v>
      </c>
      <c r="P56" s="64">
        <v>0.36</v>
      </c>
      <c r="Q56" s="64">
        <v>9.01</v>
      </c>
      <c r="R56" s="198"/>
      <c r="S56" s="198"/>
      <c r="T56" s="198"/>
      <c r="U56" s="198"/>
    </row>
    <row r="57" spans="1:21" s="12" customFormat="1" x14ac:dyDescent="0.25">
      <c r="A57" s="213" t="s">
        <v>1060</v>
      </c>
      <c r="B57" s="64">
        <v>6.07</v>
      </c>
      <c r="C57" s="64">
        <v>14.18</v>
      </c>
      <c r="D57" s="64">
        <v>12.28</v>
      </c>
      <c r="E57" s="64">
        <v>4.92</v>
      </c>
      <c r="F57" s="64">
        <v>3.58</v>
      </c>
      <c r="G57" s="64">
        <v>3.9</v>
      </c>
      <c r="H57" s="64">
        <v>1.2</v>
      </c>
      <c r="I57" s="64">
        <v>0.72</v>
      </c>
      <c r="J57" s="64">
        <v>0.2</v>
      </c>
      <c r="K57" s="64">
        <v>284.17</v>
      </c>
      <c r="L57" s="64">
        <v>22.94</v>
      </c>
      <c r="M57" s="64">
        <v>98.67</v>
      </c>
      <c r="N57" s="64">
        <v>264.8</v>
      </c>
      <c r="O57" s="64">
        <v>0</v>
      </c>
      <c r="P57" s="64">
        <v>0.35</v>
      </c>
      <c r="Q57" s="64">
        <v>9.01</v>
      </c>
      <c r="R57" s="198"/>
      <c r="S57" s="198"/>
      <c r="T57" s="198"/>
      <c r="U57" s="198"/>
    </row>
    <row r="58" spans="1:21" s="12" customFormat="1" x14ac:dyDescent="0.25">
      <c r="A58" s="213" t="s">
        <v>1061</v>
      </c>
      <c r="B58" s="64">
        <v>6.07</v>
      </c>
      <c r="C58" s="64">
        <v>14.11</v>
      </c>
      <c r="D58" s="64">
        <v>12.24</v>
      </c>
      <c r="E58" s="64">
        <v>4.88</v>
      </c>
      <c r="F58" s="64">
        <v>3.54</v>
      </c>
      <c r="G58" s="64">
        <v>5.07</v>
      </c>
      <c r="H58" s="64">
        <v>1.08</v>
      </c>
      <c r="I58" s="64">
        <v>0.74</v>
      </c>
      <c r="J58" s="64">
        <v>0.18</v>
      </c>
      <c r="K58" s="64">
        <v>285.3</v>
      </c>
      <c r="L58" s="64">
        <v>23.09</v>
      </c>
      <c r="M58" s="64">
        <v>98.68</v>
      </c>
      <c r="N58" s="64">
        <v>274.3</v>
      </c>
      <c r="O58" s="64">
        <v>0</v>
      </c>
      <c r="P58" s="64">
        <v>0.36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3" t="s">
        <v>1062</v>
      </c>
      <c r="B59" s="64">
        <v>5.96</v>
      </c>
      <c r="C59" s="64">
        <v>14.08</v>
      </c>
      <c r="D59" s="64">
        <v>12.13</v>
      </c>
      <c r="E59" s="64">
        <v>4.93</v>
      </c>
      <c r="F59" s="64">
        <v>3.11</v>
      </c>
      <c r="G59" s="64">
        <v>5.07</v>
      </c>
      <c r="H59" s="64">
        <v>1.08</v>
      </c>
      <c r="I59" s="64">
        <v>0.75</v>
      </c>
      <c r="J59" s="64">
        <v>0.21</v>
      </c>
      <c r="K59" s="64">
        <v>283.56</v>
      </c>
      <c r="L59" s="64">
        <v>23.37</v>
      </c>
      <c r="M59" s="64">
        <v>98.7</v>
      </c>
      <c r="N59" s="64">
        <v>297.8</v>
      </c>
      <c r="O59" s="64">
        <v>0</v>
      </c>
      <c r="P59" s="64">
        <v>0.34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3" t="s">
        <v>1063</v>
      </c>
      <c r="B60" s="64">
        <v>5.74</v>
      </c>
      <c r="C60" s="64">
        <v>14.06</v>
      </c>
      <c r="D60" s="64">
        <v>11.95</v>
      </c>
      <c r="E60" s="64">
        <v>4.9000000000000004</v>
      </c>
      <c r="F60" s="64">
        <v>3.67</v>
      </c>
      <c r="G60" s="64">
        <v>5.07</v>
      </c>
      <c r="H60" s="64">
        <v>1.08</v>
      </c>
      <c r="I60" s="64">
        <v>0.77</v>
      </c>
      <c r="J60" s="64">
        <v>0.25</v>
      </c>
      <c r="K60" s="64">
        <v>287.27999999999997</v>
      </c>
      <c r="L60" s="64">
        <v>23.54</v>
      </c>
      <c r="M60" s="64">
        <v>98.7</v>
      </c>
      <c r="N60" s="64">
        <v>302.7</v>
      </c>
      <c r="O60" s="64">
        <v>0</v>
      </c>
      <c r="P60" s="64">
        <v>0.34</v>
      </c>
      <c r="Q60" s="64">
        <v>9.0299999999999994</v>
      </c>
      <c r="R60" s="198"/>
      <c r="S60" s="198"/>
      <c r="T60" s="198"/>
      <c r="U60" s="198"/>
    </row>
    <row r="61" spans="1:21" s="12" customFormat="1" x14ac:dyDescent="0.25">
      <c r="A61" s="213" t="s">
        <v>1064</v>
      </c>
      <c r="B61" s="64">
        <v>5.32</v>
      </c>
      <c r="C61" s="64">
        <v>14.16</v>
      </c>
      <c r="D61" s="64">
        <v>11.66</v>
      </c>
      <c r="E61" s="64">
        <v>4.87</v>
      </c>
      <c r="F61" s="64">
        <v>3.55</v>
      </c>
      <c r="G61" s="64">
        <v>4.3899999999999997</v>
      </c>
      <c r="H61" s="64">
        <v>1.19</v>
      </c>
      <c r="I61" s="64">
        <v>0.79</v>
      </c>
      <c r="J61" s="64">
        <v>0.2</v>
      </c>
      <c r="K61" s="64">
        <v>294.43</v>
      </c>
      <c r="L61" s="64">
        <v>23.29</v>
      </c>
      <c r="M61" s="64">
        <v>98.72</v>
      </c>
      <c r="N61" s="64">
        <v>201.7</v>
      </c>
      <c r="O61" s="64">
        <v>0</v>
      </c>
      <c r="P61" s="64">
        <v>0.27</v>
      </c>
      <c r="Q61" s="64">
        <v>9.02</v>
      </c>
      <c r="R61" s="198"/>
      <c r="S61" s="198"/>
      <c r="T61" s="198"/>
      <c r="U61" s="198"/>
    </row>
    <row r="62" spans="1:21" s="12" customFormat="1" x14ac:dyDescent="0.25">
      <c r="A62" s="213" t="s">
        <v>1065</v>
      </c>
      <c r="B62" s="64">
        <v>4.95</v>
      </c>
      <c r="C62" s="64">
        <v>14.11</v>
      </c>
      <c r="D62" s="64">
        <v>11.34</v>
      </c>
      <c r="E62" s="64">
        <v>4.79</v>
      </c>
      <c r="F62" s="64">
        <v>3.59</v>
      </c>
      <c r="G62" s="64">
        <v>3.98</v>
      </c>
      <c r="H62" s="64">
        <v>1.26</v>
      </c>
      <c r="I62" s="64">
        <v>0.81</v>
      </c>
      <c r="J62" s="64">
        <v>0.2</v>
      </c>
      <c r="K62" s="64">
        <v>272.33999999999997</v>
      </c>
      <c r="L62" s="64">
        <v>22.46</v>
      </c>
      <c r="M62" s="64">
        <v>98.75</v>
      </c>
      <c r="N62" s="64">
        <v>132</v>
      </c>
      <c r="O62" s="64">
        <v>0</v>
      </c>
      <c r="P62" s="64">
        <v>0.28999999999999998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3" t="s">
        <v>1066</v>
      </c>
      <c r="B63" s="64">
        <v>4.8099999999999996</v>
      </c>
      <c r="C63" s="64">
        <v>13.89</v>
      </c>
      <c r="D63" s="64">
        <v>11.11</v>
      </c>
      <c r="E63" s="64">
        <v>4.8899999999999997</v>
      </c>
      <c r="F63" s="64">
        <v>3.82</v>
      </c>
      <c r="G63" s="64">
        <v>3.98</v>
      </c>
      <c r="H63" s="64">
        <v>1.26</v>
      </c>
      <c r="I63" s="64">
        <v>0.81</v>
      </c>
      <c r="J63" s="64">
        <v>0.25</v>
      </c>
      <c r="K63" s="64">
        <v>280.93</v>
      </c>
      <c r="L63" s="64">
        <v>22.34</v>
      </c>
      <c r="M63" s="64">
        <v>98.75</v>
      </c>
      <c r="N63" s="64">
        <v>225</v>
      </c>
      <c r="O63" s="64">
        <v>0</v>
      </c>
      <c r="P63" s="64">
        <v>0.28999999999999998</v>
      </c>
      <c r="Q63" s="64">
        <v>9.01</v>
      </c>
      <c r="R63" s="198"/>
      <c r="S63" s="198"/>
      <c r="T63" s="198"/>
      <c r="U63" s="198"/>
    </row>
    <row r="64" spans="1:21" s="12" customFormat="1" x14ac:dyDescent="0.25">
      <c r="A64" s="213" t="s">
        <v>1067</v>
      </c>
      <c r="B64" s="64">
        <v>4.83</v>
      </c>
      <c r="C64" s="64">
        <v>13.93</v>
      </c>
      <c r="D64" s="64">
        <v>11.15</v>
      </c>
      <c r="E64" s="64">
        <v>4.83</v>
      </c>
      <c r="F64" s="64">
        <v>3.83</v>
      </c>
      <c r="G64" s="64">
        <v>3.98</v>
      </c>
      <c r="H64" s="64">
        <v>1.26</v>
      </c>
      <c r="I64" s="64">
        <v>0.81</v>
      </c>
      <c r="J64" s="64">
        <v>0.36</v>
      </c>
      <c r="K64" s="64">
        <v>284.48</v>
      </c>
      <c r="L64" s="64">
        <v>22.72</v>
      </c>
      <c r="M64" s="64">
        <v>98.77</v>
      </c>
      <c r="N64" s="64">
        <v>215.1</v>
      </c>
      <c r="O64" s="64">
        <v>0</v>
      </c>
      <c r="P64" s="64">
        <v>0.28999999999999998</v>
      </c>
      <c r="Q64" s="64">
        <v>9.02</v>
      </c>
      <c r="R64" s="198"/>
      <c r="S64" s="198"/>
      <c r="T64" s="198"/>
      <c r="U64" s="198"/>
    </row>
    <row r="65" spans="1:21" s="12" customFormat="1" x14ac:dyDescent="0.25">
      <c r="A65" s="213" t="s">
        <v>1068</v>
      </c>
      <c r="B65" s="64">
        <v>4.7300000000000004</v>
      </c>
      <c r="C65" s="64">
        <v>14.03</v>
      </c>
      <c r="D65" s="64">
        <v>11.13</v>
      </c>
      <c r="E65" s="64">
        <v>4.6500000000000004</v>
      </c>
      <c r="F65" s="64">
        <v>4.0599999999999996</v>
      </c>
      <c r="G65" s="64">
        <v>3.31</v>
      </c>
      <c r="H65" s="64">
        <v>1.1000000000000001</v>
      </c>
      <c r="I65" s="64">
        <v>0.81</v>
      </c>
      <c r="J65" s="64">
        <v>0.25</v>
      </c>
      <c r="K65" s="64">
        <v>286.14999999999998</v>
      </c>
      <c r="L65" s="64">
        <v>22.88</v>
      </c>
      <c r="M65" s="64">
        <v>98.77</v>
      </c>
      <c r="N65" s="64">
        <v>231.7</v>
      </c>
      <c r="O65" s="64">
        <v>0</v>
      </c>
      <c r="P65" s="64">
        <v>0.28000000000000003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3" t="s">
        <v>1069</v>
      </c>
      <c r="B66" s="64">
        <v>4.67</v>
      </c>
      <c r="C66" s="64">
        <v>14.08</v>
      </c>
      <c r="D66" s="64">
        <v>11.1</v>
      </c>
      <c r="E66" s="64">
        <v>4.6500000000000004</v>
      </c>
      <c r="F66" s="64">
        <v>4.18</v>
      </c>
      <c r="G66" s="64">
        <v>2.9</v>
      </c>
      <c r="H66" s="64">
        <v>1</v>
      </c>
      <c r="I66" s="64">
        <v>0.79</v>
      </c>
      <c r="J66" s="64">
        <v>0.31</v>
      </c>
      <c r="K66" s="64">
        <v>287.10000000000002</v>
      </c>
      <c r="L66" s="64">
        <v>23.13</v>
      </c>
      <c r="M66" s="64">
        <v>98.25</v>
      </c>
      <c r="N66" s="64">
        <v>200.6</v>
      </c>
      <c r="O66" s="64">
        <v>0</v>
      </c>
      <c r="P66" s="64">
        <v>0.28000000000000003</v>
      </c>
      <c r="Q66" s="64">
        <v>9.01</v>
      </c>
      <c r="R66" s="198"/>
      <c r="S66" s="198"/>
      <c r="T66" s="198"/>
      <c r="U66" s="198"/>
    </row>
    <row r="67" spans="1:21" s="12" customFormat="1" x14ac:dyDescent="0.25">
      <c r="A67" s="213" t="s">
        <v>1070</v>
      </c>
      <c r="B67" s="64">
        <v>4.8600000000000003</v>
      </c>
      <c r="C67" s="64">
        <v>14.27</v>
      </c>
      <c r="D67" s="64">
        <v>11.35</v>
      </c>
      <c r="E67" s="64">
        <v>4.67</v>
      </c>
      <c r="F67" s="64">
        <v>4.47</v>
      </c>
      <c r="G67" s="64">
        <v>2.9</v>
      </c>
      <c r="H67" s="64">
        <v>1</v>
      </c>
      <c r="I67" s="64">
        <v>0.76</v>
      </c>
      <c r="J67" s="64">
        <v>0.32</v>
      </c>
      <c r="K67" s="64">
        <v>285.66000000000003</v>
      </c>
      <c r="L67" s="64">
        <v>23.6</v>
      </c>
      <c r="M67" s="64">
        <v>98.39</v>
      </c>
      <c r="N67" s="64">
        <v>285.8</v>
      </c>
      <c r="O67" s="64">
        <v>0</v>
      </c>
      <c r="P67" s="64">
        <v>0.28999999999999998</v>
      </c>
      <c r="Q67" s="64">
        <v>9</v>
      </c>
      <c r="R67" s="198"/>
      <c r="S67" s="198"/>
      <c r="T67" s="198"/>
      <c r="U67" s="198"/>
    </row>
    <row r="68" spans="1:21" s="12" customFormat="1" x14ac:dyDescent="0.25">
      <c r="A68" s="213" t="s">
        <v>1071</v>
      </c>
      <c r="B68" s="64">
        <v>5.0599999999999996</v>
      </c>
      <c r="C68" s="64">
        <v>14.47</v>
      </c>
      <c r="D68" s="64">
        <v>11.62</v>
      </c>
      <c r="E68" s="64">
        <v>4.7</v>
      </c>
      <c r="F68" s="64">
        <v>3.59</v>
      </c>
      <c r="G68" s="64">
        <v>2.9</v>
      </c>
      <c r="H68" s="64">
        <v>1</v>
      </c>
      <c r="I68" s="64">
        <v>0.73</v>
      </c>
      <c r="J68" s="64">
        <v>0.27</v>
      </c>
      <c r="K68" s="64">
        <v>289.56</v>
      </c>
      <c r="L68" s="64">
        <v>24.03</v>
      </c>
      <c r="M68" s="64">
        <v>98.72</v>
      </c>
      <c r="N68" s="64">
        <v>260.10000000000002</v>
      </c>
      <c r="O68" s="64">
        <v>0</v>
      </c>
      <c r="P68" s="64">
        <v>0.28000000000000003</v>
      </c>
      <c r="Q68" s="64">
        <v>8.99</v>
      </c>
      <c r="R68" s="198"/>
      <c r="S68" s="198"/>
      <c r="T68" s="198"/>
      <c r="U68" s="198"/>
    </row>
    <row r="69" spans="1:21" s="12" customFormat="1" x14ac:dyDescent="0.25">
      <c r="A69" s="213" t="s">
        <v>1072</v>
      </c>
      <c r="B69" s="64">
        <v>5.01</v>
      </c>
      <c r="C69" s="64">
        <v>14.33</v>
      </c>
      <c r="D69" s="64">
        <v>11.51</v>
      </c>
      <c r="E69" s="64">
        <v>4.91</v>
      </c>
      <c r="F69" s="64">
        <v>4.8</v>
      </c>
      <c r="G69" s="64">
        <v>6.23</v>
      </c>
      <c r="H69" s="64">
        <v>0.94</v>
      </c>
      <c r="I69" s="64">
        <v>0.72</v>
      </c>
      <c r="J69" s="64">
        <v>0.3</v>
      </c>
      <c r="K69" s="64">
        <v>292.39</v>
      </c>
      <c r="L69" s="64">
        <v>23.89</v>
      </c>
      <c r="M69" s="64">
        <v>98.3</v>
      </c>
      <c r="N69" s="64">
        <v>171.4</v>
      </c>
      <c r="O69" s="64">
        <v>0</v>
      </c>
      <c r="P69" s="64">
        <v>0.28999999999999998</v>
      </c>
      <c r="Q69" s="64">
        <v>8.99</v>
      </c>
      <c r="R69" s="198"/>
      <c r="S69" s="198"/>
      <c r="T69" s="198"/>
      <c r="U69" s="198"/>
    </row>
    <row r="70" spans="1:21" s="12" customFormat="1" x14ac:dyDescent="0.25">
      <c r="A70" s="213" t="s">
        <v>1073</v>
      </c>
      <c r="B70" s="64">
        <v>4.87</v>
      </c>
      <c r="C70" s="64">
        <v>14.52</v>
      </c>
      <c r="D70" s="64">
        <v>11.49</v>
      </c>
      <c r="E70" s="64">
        <v>4.59</v>
      </c>
      <c r="F70" s="64">
        <v>3.8</v>
      </c>
      <c r="G70" s="64">
        <v>8.25</v>
      </c>
      <c r="H70" s="64">
        <v>0.9</v>
      </c>
      <c r="I70" s="64">
        <v>0.72</v>
      </c>
      <c r="J70" s="64">
        <v>0.26</v>
      </c>
      <c r="K70" s="64">
        <v>279.76</v>
      </c>
      <c r="L70" s="64">
        <v>23.88</v>
      </c>
      <c r="M70" s="64">
        <v>98.35</v>
      </c>
      <c r="N70" s="64">
        <v>170.9</v>
      </c>
      <c r="O70" s="64">
        <v>0</v>
      </c>
      <c r="P70" s="64">
        <v>0.28000000000000003</v>
      </c>
      <c r="Q70" s="64">
        <v>8.99</v>
      </c>
      <c r="R70" s="198"/>
      <c r="S70" s="198"/>
      <c r="T70" s="198"/>
      <c r="U70" s="198"/>
    </row>
    <row r="71" spans="1:21" s="12" customFormat="1" x14ac:dyDescent="0.25">
      <c r="A71" s="213" t="s">
        <v>1074</v>
      </c>
      <c r="B71" s="64">
        <v>4.63</v>
      </c>
      <c r="C71" s="64">
        <v>14.64</v>
      </c>
      <c r="D71" s="64">
        <v>11.36</v>
      </c>
      <c r="E71" s="64">
        <v>4.8600000000000003</v>
      </c>
      <c r="F71" s="64">
        <v>4.1900000000000004</v>
      </c>
      <c r="G71" s="64">
        <v>8.25</v>
      </c>
      <c r="H71" s="64">
        <v>0.9</v>
      </c>
      <c r="I71" s="64">
        <v>0.71</v>
      </c>
      <c r="J71" s="64">
        <v>0.24</v>
      </c>
      <c r="K71" s="64">
        <v>283.66000000000003</v>
      </c>
      <c r="L71" s="64">
        <v>23.65</v>
      </c>
      <c r="M71" s="64">
        <v>98.48</v>
      </c>
      <c r="N71" s="64">
        <v>164.3</v>
      </c>
      <c r="O71" s="64">
        <v>0</v>
      </c>
      <c r="P71" s="64">
        <v>0.25</v>
      </c>
      <c r="Q71" s="64">
        <v>8.98</v>
      </c>
      <c r="R71" s="198"/>
      <c r="S71" s="198"/>
      <c r="T71" s="198"/>
      <c r="U71" s="198"/>
    </row>
    <row r="72" spans="1:21" s="12" customFormat="1" x14ac:dyDescent="0.25">
      <c r="A72" s="213" t="s">
        <v>1075</v>
      </c>
      <c r="B72" s="64">
        <v>4.42</v>
      </c>
      <c r="C72" s="64">
        <v>14.52</v>
      </c>
      <c r="D72" s="64">
        <v>11.13</v>
      </c>
      <c r="E72" s="64">
        <v>4.16</v>
      </c>
      <c r="F72" s="64">
        <v>4.01</v>
      </c>
      <c r="G72" s="64">
        <v>8.25</v>
      </c>
      <c r="H72" s="64">
        <v>0.9</v>
      </c>
      <c r="I72" s="64">
        <v>0.69</v>
      </c>
      <c r="J72" s="64">
        <v>0.18</v>
      </c>
      <c r="K72" s="64">
        <v>265.51</v>
      </c>
      <c r="L72" s="64">
        <v>23.62</v>
      </c>
      <c r="M72" s="64">
        <v>98.9</v>
      </c>
      <c r="N72" s="64">
        <v>141.6</v>
      </c>
      <c r="O72" s="64">
        <v>0</v>
      </c>
      <c r="P72" s="64">
        <v>0.27</v>
      </c>
      <c r="Q72" s="64">
        <v>8.9700000000000006</v>
      </c>
      <c r="R72" s="198"/>
      <c r="S72" s="198"/>
      <c r="T72" s="198"/>
      <c r="U72" s="198"/>
    </row>
    <row r="73" spans="1:21" s="12" customFormat="1" x14ac:dyDescent="0.25">
      <c r="A73" s="213" t="s">
        <v>1076</v>
      </c>
      <c r="B73" s="64">
        <v>4.5199999999999996</v>
      </c>
      <c r="C73" s="64">
        <v>14.39</v>
      </c>
      <c r="D73" s="64">
        <v>11.14</v>
      </c>
      <c r="E73" s="64">
        <v>4.8499999999999996</v>
      </c>
      <c r="F73" s="64">
        <v>3.76</v>
      </c>
      <c r="G73" s="64">
        <v>10.199999999999999</v>
      </c>
      <c r="H73" s="64">
        <v>0.89</v>
      </c>
      <c r="I73" s="64">
        <v>0.69</v>
      </c>
      <c r="J73" s="64">
        <v>0.2</v>
      </c>
      <c r="K73" s="64">
        <v>277.43</v>
      </c>
      <c r="L73" s="64">
        <v>23.48</v>
      </c>
      <c r="M73" s="64">
        <v>98.47</v>
      </c>
      <c r="N73" s="64">
        <v>148</v>
      </c>
      <c r="O73" s="64">
        <v>0</v>
      </c>
      <c r="P73" s="64">
        <v>0.24</v>
      </c>
      <c r="Q73" s="64">
        <v>8.9700000000000006</v>
      </c>
      <c r="R73" s="198"/>
      <c r="S73" s="198"/>
      <c r="T73" s="198"/>
      <c r="U73" s="198"/>
    </row>
    <row r="74" spans="1:21" s="12" customFormat="1" x14ac:dyDescent="0.25">
      <c r="A74" s="213" t="s">
        <v>1077</v>
      </c>
      <c r="B74" s="64">
        <v>4.46</v>
      </c>
      <c r="C74" s="64">
        <v>14.13</v>
      </c>
      <c r="D74" s="64">
        <v>10.96</v>
      </c>
      <c r="E74" s="64">
        <v>4.62</v>
      </c>
      <c r="F74" s="64">
        <v>4.09</v>
      </c>
      <c r="G74" s="64">
        <v>11.39</v>
      </c>
      <c r="H74" s="64">
        <v>0.89</v>
      </c>
      <c r="I74" s="64">
        <v>0.7</v>
      </c>
      <c r="J74" s="64">
        <v>0.2</v>
      </c>
      <c r="K74" s="64">
        <v>282.60000000000002</v>
      </c>
      <c r="L74" s="64">
        <v>23.55</v>
      </c>
      <c r="M74" s="64">
        <v>98.49</v>
      </c>
      <c r="N74" s="64">
        <v>143.80000000000001</v>
      </c>
      <c r="O74" s="64">
        <v>0</v>
      </c>
      <c r="P74" s="64">
        <v>0.25</v>
      </c>
      <c r="Q74" s="64">
        <v>8.9600000000000009</v>
      </c>
      <c r="R74" s="198"/>
      <c r="S74" s="198"/>
      <c r="T74" s="198"/>
      <c r="U74" s="198"/>
    </row>
    <row r="75" spans="1:21" s="12" customFormat="1" x14ac:dyDescent="0.25">
      <c r="A75" s="213" t="s">
        <v>1078</v>
      </c>
      <c r="B75" s="64">
        <v>4.46</v>
      </c>
      <c r="C75" s="64">
        <v>13.88</v>
      </c>
      <c r="D75" s="64">
        <v>10.83</v>
      </c>
      <c r="E75" s="64">
        <v>4.6399999999999997</v>
      </c>
      <c r="F75" s="64">
        <v>3.99</v>
      </c>
      <c r="G75" s="64">
        <v>11.39</v>
      </c>
      <c r="H75" s="64">
        <v>0.89</v>
      </c>
      <c r="I75" s="64">
        <v>0.69</v>
      </c>
      <c r="J75" s="64">
        <v>0.28000000000000003</v>
      </c>
      <c r="K75" s="64">
        <v>296.01</v>
      </c>
      <c r="L75" s="64">
        <v>23.28</v>
      </c>
      <c r="M75" s="64">
        <v>98.61</v>
      </c>
      <c r="N75" s="64">
        <v>123.4</v>
      </c>
      <c r="O75" s="64">
        <v>0</v>
      </c>
      <c r="P75" s="64">
        <v>0.24</v>
      </c>
      <c r="Q75" s="64">
        <v>8.9600000000000009</v>
      </c>
      <c r="R75" s="198"/>
      <c r="S75" s="198"/>
      <c r="T75" s="198"/>
      <c r="U75" s="198"/>
    </row>
    <row r="76" spans="1:21" s="12" customFormat="1" x14ac:dyDescent="0.25">
      <c r="A76" s="213" t="s">
        <v>1079</v>
      </c>
      <c r="B76" s="64">
        <v>4.3899999999999997</v>
      </c>
      <c r="C76" s="64">
        <v>13.86</v>
      </c>
      <c r="D76" s="64">
        <v>10.76</v>
      </c>
      <c r="E76" s="64">
        <v>4.67</v>
      </c>
      <c r="F76" s="64">
        <v>4.58</v>
      </c>
      <c r="G76" s="64">
        <v>11.39</v>
      </c>
      <c r="H76" s="64">
        <v>0.89</v>
      </c>
      <c r="I76" s="64">
        <v>0.69</v>
      </c>
      <c r="J76" s="64">
        <v>0.19</v>
      </c>
      <c r="K76" s="64">
        <v>295.16000000000003</v>
      </c>
      <c r="L76" s="64">
        <v>23.2</v>
      </c>
      <c r="M76" s="64">
        <v>99.1</v>
      </c>
      <c r="N76" s="64">
        <v>102.6</v>
      </c>
      <c r="O76" s="64">
        <v>0</v>
      </c>
      <c r="P76" s="64">
        <v>0.25</v>
      </c>
      <c r="Q76" s="64">
        <v>8.9499999999999993</v>
      </c>
      <c r="R76" s="198"/>
      <c r="S76" s="198"/>
      <c r="T76" s="198"/>
      <c r="U76" s="198"/>
    </row>
    <row r="77" spans="1:21" s="12" customFormat="1" x14ac:dyDescent="0.25">
      <c r="A77" s="213" t="s">
        <v>1080</v>
      </c>
      <c r="B77" s="64">
        <v>4.58</v>
      </c>
      <c r="C77" s="64">
        <v>13.9</v>
      </c>
      <c r="D77" s="64">
        <v>10.93</v>
      </c>
      <c r="E77" s="64">
        <v>4.47</v>
      </c>
      <c r="F77" s="64">
        <v>3.45</v>
      </c>
      <c r="G77" s="64">
        <v>12.12</v>
      </c>
      <c r="H77" s="64">
        <v>0.92</v>
      </c>
      <c r="I77" s="64">
        <v>0.67</v>
      </c>
      <c r="J77" s="64">
        <v>0.18</v>
      </c>
      <c r="K77" s="64">
        <v>281.01</v>
      </c>
      <c r="L77" s="64">
        <v>23.05</v>
      </c>
      <c r="M77" s="64">
        <v>98.68</v>
      </c>
      <c r="N77" s="64">
        <v>86.1</v>
      </c>
      <c r="O77" s="64">
        <v>0</v>
      </c>
      <c r="P77" s="64">
        <v>0.25</v>
      </c>
      <c r="Q77" s="64">
        <v>8.9700000000000006</v>
      </c>
      <c r="R77" s="198"/>
      <c r="S77" s="198"/>
      <c r="T77" s="198"/>
      <c r="U77" s="198"/>
    </row>
    <row r="78" spans="1:21" s="12" customFormat="1" x14ac:dyDescent="0.25">
      <c r="A78" s="213" t="s">
        <v>1081</v>
      </c>
      <c r="B78" s="64">
        <v>4.51</v>
      </c>
      <c r="C78" s="64">
        <v>13.25</v>
      </c>
      <c r="D78" s="64">
        <v>10.54</v>
      </c>
      <c r="E78" s="64">
        <v>4.63</v>
      </c>
      <c r="F78" s="64">
        <v>4.37</v>
      </c>
      <c r="G78" s="64">
        <v>12.56</v>
      </c>
      <c r="H78" s="64">
        <v>0.93</v>
      </c>
      <c r="I78" s="64">
        <v>0.67</v>
      </c>
      <c r="J78" s="64">
        <v>0.22</v>
      </c>
      <c r="K78" s="64">
        <v>297.43</v>
      </c>
      <c r="L78" s="64">
        <v>22.75</v>
      </c>
      <c r="M78" s="64">
        <v>98.78</v>
      </c>
      <c r="N78" s="64">
        <v>71.8</v>
      </c>
      <c r="O78" s="64">
        <v>0</v>
      </c>
      <c r="P78" s="64">
        <v>0.24</v>
      </c>
      <c r="Q78" s="64">
        <v>8.99</v>
      </c>
      <c r="R78" s="198"/>
      <c r="S78" s="198"/>
      <c r="T78" s="198"/>
      <c r="U78" s="198"/>
    </row>
    <row r="79" spans="1:21" s="12" customFormat="1" x14ac:dyDescent="0.25">
      <c r="A79" s="213" t="s">
        <v>1082</v>
      </c>
      <c r="B79" s="64">
        <v>5.93</v>
      </c>
      <c r="C79" s="64">
        <v>16.36</v>
      </c>
      <c r="D79" s="64">
        <v>13.31</v>
      </c>
      <c r="E79" s="64">
        <v>4.5</v>
      </c>
      <c r="F79" s="64">
        <v>3.63</v>
      </c>
      <c r="G79" s="64">
        <v>12.56</v>
      </c>
      <c r="H79" s="64">
        <v>0.93</v>
      </c>
      <c r="I79" s="64">
        <v>0.65</v>
      </c>
      <c r="J79" s="64">
        <v>0.17</v>
      </c>
      <c r="K79" s="64">
        <v>284.58999999999997</v>
      </c>
      <c r="L79" s="64">
        <v>22.6</v>
      </c>
      <c r="M79" s="64">
        <v>98.77</v>
      </c>
      <c r="N79" s="64">
        <v>64.2</v>
      </c>
      <c r="O79" s="64">
        <v>0</v>
      </c>
      <c r="P79" s="64">
        <v>0.26</v>
      </c>
      <c r="Q79" s="64">
        <v>9.01</v>
      </c>
      <c r="R79" s="198"/>
      <c r="S79" s="198"/>
      <c r="T79" s="198"/>
      <c r="U79" s="198"/>
    </row>
    <row r="80" spans="1:21" s="12" customFormat="1" x14ac:dyDescent="0.25">
      <c r="A80" s="213" t="s">
        <v>1083</v>
      </c>
      <c r="B80" s="64">
        <v>5.32</v>
      </c>
      <c r="C80" s="64">
        <v>14.71</v>
      </c>
      <c r="D80" s="64">
        <v>11.96</v>
      </c>
      <c r="E80" s="64">
        <v>4.6500000000000004</v>
      </c>
      <c r="F80" s="64">
        <v>3.61</v>
      </c>
      <c r="G80" s="64">
        <v>12.56</v>
      </c>
      <c r="H80" s="64">
        <v>0.93</v>
      </c>
      <c r="I80" s="64">
        <v>0.65</v>
      </c>
      <c r="J80" s="64">
        <v>0.21</v>
      </c>
      <c r="K80" s="64">
        <v>308.11</v>
      </c>
      <c r="L80" s="64">
        <v>22.57</v>
      </c>
      <c r="M80" s="64">
        <v>98.52</v>
      </c>
      <c r="N80" s="64">
        <v>56.8</v>
      </c>
      <c r="O80" s="64">
        <v>0</v>
      </c>
      <c r="P80" s="64">
        <v>0.27</v>
      </c>
      <c r="Q80" s="64">
        <v>9.02</v>
      </c>
      <c r="R80" s="198"/>
      <c r="S80" s="198"/>
      <c r="T80" s="198"/>
      <c r="U80" s="198"/>
    </row>
    <row r="81" spans="1:26" s="12" customFormat="1" x14ac:dyDescent="0.25">
      <c r="A81" s="213" t="s">
        <v>1084</v>
      </c>
      <c r="B81" s="64">
        <v>5.41</v>
      </c>
      <c r="C81" s="64">
        <v>14.66</v>
      </c>
      <c r="D81" s="64">
        <v>11.99</v>
      </c>
      <c r="E81" s="64">
        <v>4.42</v>
      </c>
      <c r="F81" s="64">
        <v>3.9</v>
      </c>
      <c r="G81" s="64">
        <v>11.87</v>
      </c>
      <c r="H81" s="64">
        <v>0.88</v>
      </c>
      <c r="I81" s="64">
        <v>0.69</v>
      </c>
      <c r="J81" s="64">
        <v>0.3</v>
      </c>
      <c r="K81" s="64">
        <v>298.33999999999997</v>
      </c>
      <c r="L81" s="64">
        <v>22.48</v>
      </c>
      <c r="M81" s="64">
        <v>98.04</v>
      </c>
      <c r="N81" s="64">
        <v>56</v>
      </c>
      <c r="O81" s="64">
        <v>0</v>
      </c>
      <c r="P81" s="64">
        <v>0.28000000000000003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3" t="s">
        <v>1085</v>
      </c>
      <c r="B82" s="64">
        <v>5.85</v>
      </c>
      <c r="C82" s="64">
        <v>16.13</v>
      </c>
      <c r="D82" s="64">
        <v>13.12</v>
      </c>
      <c r="E82" s="64">
        <v>4.46</v>
      </c>
      <c r="F82" s="64">
        <v>4.53</v>
      </c>
      <c r="G82" s="64">
        <v>11.45</v>
      </c>
      <c r="H82" s="64">
        <v>0.85</v>
      </c>
      <c r="I82" s="64">
        <v>0.73</v>
      </c>
      <c r="J82" s="64">
        <v>0.16</v>
      </c>
      <c r="K82" s="64">
        <v>316.08999999999997</v>
      </c>
      <c r="L82" s="64">
        <v>22.28</v>
      </c>
      <c r="M82" s="64">
        <v>98.09</v>
      </c>
      <c r="N82" s="64">
        <v>55.9</v>
      </c>
      <c r="O82" s="64">
        <v>0</v>
      </c>
      <c r="P82" s="64">
        <v>0.3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3" t="s">
        <v>1086</v>
      </c>
      <c r="B83" s="64">
        <v>5.65</v>
      </c>
      <c r="C83" s="64">
        <v>14.84</v>
      </c>
      <c r="D83" s="64">
        <v>12.28</v>
      </c>
      <c r="E83" s="64">
        <v>4.49</v>
      </c>
      <c r="F83" s="64">
        <v>3.58</v>
      </c>
      <c r="G83" s="64">
        <v>11.45</v>
      </c>
      <c r="H83" s="64">
        <v>0.85</v>
      </c>
      <c r="I83" s="64">
        <v>0.76</v>
      </c>
      <c r="J83" s="64">
        <v>0.19</v>
      </c>
      <c r="K83" s="64">
        <v>309.36</v>
      </c>
      <c r="L83" s="64">
        <v>22.16</v>
      </c>
      <c r="M83" s="64">
        <v>98.16</v>
      </c>
      <c r="N83" s="64">
        <v>54</v>
      </c>
      <c r="O83" s="64">
        <v>0</v>
      </c>
      <c r="P83" s="64">
        <v>0.31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3" t="s">
        <v>1087</v>
      </c>
      <c r="B84" s="64">
        <v>5.39</v>
      </c>
      <c r="C84" s="64">
        <v>14.09</v>
      </c>
      <c r="D84" s="64">
        <v>11.69</v>
      </c>
      <c r="E84" s="64">
        <v>4.79</v>
      </c>
      <c r="F84" s="64">
        <v>3.85</v>
      </c>
      <c r="G84" s="64">
        <v>11.45</v>
      </c>
      <c r="H84" s="64">
        <v>0.85</v>
      </c>
      <c r="I84" s="64">
        <v>0.77</v>
      </c>
      <c r="J84" s="64">
        <v>0.17</v>
      </c>
      <c r="K84" s="64">
        <v>311.77</v>
      </c>
      <c r="L84" s="64">
        <v>22.15</v>
      </c>
      <c r="M84" s="64">
        <v>98.61</v>
      </c>
      <c r="N84" s="64">
        <v>53.6</v>
      </c>
      <c r="O84" s="64">
        <v>0</v>
      </c>
      <c r="P84" s="64">
        <v>0.31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3" t="s">
        <v>1088</v>
      </c>
      <c r="B85" s="64">
        <v>5.33</v>
      </c>
      <c r="C85" s="64">
        <v>14.14</v>
      </c>
      <c r="D85" s="64">
        <v>11.66</v>
      </c>
      <c r="E85" s="64">
        <v>4.91</v>
      </c>
      <c r="F85" s="64">
        <v>3.76</v>
      </c>
      <c r="G85" s="64">
        <v>12.55</v>
      </c>
      <c r="H85" s="64">
        <v>1.0900000000000001</v>
      </c>
      <c r="I85" s="64">
        <v>0.81</v>
      </c>
      <c r="J85" s="64">
        <v>0.16</v>
      </c>
      <c r="K85" s="64">
        <v>323.74</v>
      </c>
      <c r="L85" s="64">
        <v>22.11</v>
      </c>
      <c r="M85" s="64">
        <v>98.68</v>
      </c>
      <c r="N85" s="64">
        <v>53.6</v>
      </c>
      <c r="O85" s="64">
        <v>0</v>
      </c>
      <c r="P85" s="64">
        <v>0.31</v>
      </c>
      <c r="Q85" s="64">
        <v>9.01</v>
      </c>
      <c r="R85" s="198"/>
      <c r="S85" s="198"/>
      <c r="T85" s="198"/>
      <c r="U85" s="198"/>
    </row>
    <row r="86" spans="1:26" s="12" customFormat="1" x14ac:dyDescent="0.25">
      <c r="A86" s="213" t="s">
        <v>1089</v>
      </c>
      <c r="B86" s="64">
        <v>5.28</v>
      </c>
      <c r="C86" s="64">
        <v>13.84</v>
      </c>
      <c r="D86" s="64">
        <v>11.46</v>
      </c>
      <c r="E86" s="64">
        <v>4.68</v>
      </c>
      <c r="F86" s="64">
        <v>3.66</v>
      </c>
      <c r="G86" s="64">
        <v>13.22</v>
      </c>
      <c r="H86" s="64">
        <v>1.23</v>
      </c>
      <c r="I86" s="64">
        <v>0.84</v>
      </c>
      <c r="J86" s="64">
        <v>0.12</v>
      </c>
      <c r="K86" s="64">
        <v>309.48</v>
      </c>
      <c r="L86" s="64">
        <v>22.09</v>
      </c>
      <c r="M86" s="64">
        <v>98.68</v>
      </c>
      <c r="N86" s="64">
        <v>53.7</v>
      </c>
      <c r="O86" s="64">
        <v>0</v>
      </c>
      <c r="P86" s="64">
        <v>0.32</v>
      </c>
      <c r="Q86" s="64">
        <v>9</v>
      </c>
      <c r="R86" s="198"/>
      <c r="S86" s="198"/>
      <c r="T86" s="198"/>
      <c r="U86" s="198"/>
    </row>
    <row r="87" spans="1:26" s="12" customFormat="1" x14ac:dyDescent="0.25">
      <c r="A87" s="213" t="s">
        <v>1090</v>
      </c>
      <c r="B87" s="64">
        <v>5.28</v>
      </c>
      <c r="C87" s="64">
        <v>13.43</v>
      </c>
      <c r="D87" s="64">
        <v>11.25</v>
      </c>
      <c r="E87" s="64">
        <v>4.66</v>
      </c>
      <c r="F87" s="64">
        <v>3.11</v>
      </c>
      <c r="G87" s="64">
        <v>13.22</v>
      </c>
      <c r="H87" s="64">
        <v>1.23</v>
      </c>
      <c r="I87" s="64">
        <v>0.85</v>
      </c>
      <c r="J87" s="64">
        <v>0.15</v>
      </c>
      <c r="K87" s="64">
        <v>319.58</v>
      </c>
      <c r="L87" s="64">
        <v>22.08</v>
      </c>
      <c r="M87" s="64">
        <v>98.68</v>
      </c>
      <c r="N87" s="64">
        <v>53.6</v>
      </c>
      <c r="O87" s="64">
        <v>0</v>
      </c>
      <c r="P87" s="64">
        <v>0.34</v>
      </c>
      <c r="Q87" s="64">
        <v>8.99</v>
      </c>
      <c r="R87" s="198"/>
      <c r="S87" s="198"/>
      <c r="T87" s="198"/>
      <c r="U87" s="198"/>
    </row>
    <row r="88" spans="1:26" s="12" customFormat="1" x14ac:dyDescent="0.25">
      <c r="A88" s="213" t="s">
        <v>1091</v>
      </c>
      <c r="B88" s="64">
        <v>5.41</v>
      </c>
      <c r="C88" s="64">
        <v>13.36</v>
      </c>
      <c r="D88" s="64">
        <v>11.32</v>
      </c>
      <c r="E88" s="64">
        <v>5.0199999999999996</v>
      </c>
      <c r="F88" s="64">
        <v>3.48</v>
      </c>
      <c r="G88" s="64">
        <v>13.22</v>
      </c>
      <c r="H88" s="64">
        <v>1.23</v>
      </c>
      <c r="I88" s="64">
        <v>0.86</v>
      </c>
      <c r="J88" s="64">
        <v>0.19</v>
      </c>
      <c r="K88" s="64">
        <v>316.01</v>
      </c>
      <c r="L88" s="64">
        <v>22.09</v>
      </c>
      <c r="M88" s="64">
        <v>98.7</v>
      </c>
      <c r="N88" s="64">
        <v>53.7</v>
      </c>
      <c r="O88" s="64">
        <v>0</v>
      </c>
      <c r="P88" s="64">
        <v>0.34</v>
      </c>
      <c r="Q88" s="64">
        <v>8.99</v>
      </c>
      <c r="R88" s="198"/>
      <c r="S88" s="198"/>
      <c r="T88" s="198"/>
      <c r="U88" s="198"/>
    </row>
    <row r="89" spans="1:26" s="12" customFormat="1" x14ac:dyDescent="0.25">
      <c r="A89" s="213" t="s">
        <v>1092</v>
      </c>
      <c r="B89" s="64">
        <v>5.52</v>
      </c>
      <c r="C89" s="64">
        <v>13.3</v>
      </c>
      <c r="D89" s="64">
        <v>11.38</v>
      </c>
      <c r="E89" s="64">
        <v>4.7699999999999996</v>
      </c>
      <c r="F89" s="64">
        <v>2.82</v>
      </c>
      <c r="G89" s="64">
        <v>16.010000000000002</v>
      </c>
      <c r="H89" s="64">
        <v>1.32</v>
      </c>
      <c r="I89" s="64">
        <v>0.89</v>
      </c>
      <c r="J89" s="64">
        <v>0.2</v>
      </c>
      <c r="K89" s="64">
        <v>329.2</v>
      </c>
      <c r="L89" s="64">
        <v>22.11</v>
      </c>
      <c r="M89" s="64">
        <v>98.69</v>
      </c>
      <c r="N89" s="64">
        <v>53.9</v>
      </c>
      <c r="O89" s="64">
        <v>0</v>
      </c>
      <c r="P89" s="64">
        <v>0.34</v>
      </c>
      <c r="Q89" s="64">
        <v>8.99</v>
      </c>
      <c r="R89" s="198"/>
      <c r="S89" s="198"/>
      <c r="T89" s="198"/>
      <c r="U89" s="198"/>
    </row>
    <row r="90" spans="1:26" s="12" customFormat="1" x14ac:dyDescent="0.25">
      <c r="A90" s="213" t="s">
        <v>1093</v>
      </c>
      <c r="B90" s="64">
        <v>5.61</v>
      </c>
      <c r="C90" s="64">
        <v>13.23</v>
      </c>
      <c r="D90" s="64">
        <v>11.42</v>
      </c>
      <c r="E90" s="64">
        <v>4.8099999999999996</v>
      </c>
      <c r="F90" s="64">
        <v>3.69</v>
      </c>
      <c r="G90" s="64">
        <v>17.7</v>
      </c>
      <c r="H90" s="64">
        <v>1.38</v>
      </c>
      <c r="I90" s="64">
        <v>0.91</v>
      </c>
      <c r="J90" s="64">
        <v>0.19</v>
      </c>
      <c r="K90" s="64">
        <v>318.64</v>
      </c>
      <c r="L90" s="64">
        <v>22.2</v>
      </c>
      <c r="M90" s="64">
        <v>98.7</v>
      </c>
      <c r="N90" s="64">
        <v>53.8</v>
      </c>
      <c r="O90" s="64">
        <v>0</v>
      </c>
      <c r="P90" s="64">
        <v>0.36</v>
      </c>
      <c r="Q90" s="64">
        <v>8.99</v>
      </c>
      <c r="R90" s="198"/>
      <c r="S90" s="198"/>
      <c r="T90" s="198"/>
      <c r="U90" s="198"/>
    </row>
    <row r="91" spans="1:26" s="12" customFormat="1" x14ac:dyDescent="0.25">
      <c r="A91" s="213" t="s">
        <v>1094</v>
      </c>
      <c r="B91" s="64">
        <v>5.97</v>
      </c>
      <c r="C91" s="64">
        <v>13.34</v>
      </c>
      <c r="D91" s="64">
        <v>11.75</v>
      </c>
      <c r="E91" s="64">
        <v>4.8499999999999996</v>
      </c>
      <c r="F91" s="64">
        <v>3.01</v>
      </c>
      <c r="G91" s="64">
        <v>17.7</v>
      </c>
      <c r="H91" s="64">
        <v>1.38</v>
      </c>
      <c r="I91" s="64">
        <v>0.93</v>
      </c>
      <c r="J91" s="64">
        <v>0.16</v>
      </c>
      <c r="K91" s="64">
        <v>321.25</v>
      </c>
      <c r="L91" s="64">
        <v>22.24</v>
      </c>
      <c r="M91" s="64">
        <v>98.72</v>
      </c>
      <c r="N91" s="64">
        <v>53.8</v>
      </c>
      <c r="O91" s="64">
        <v>0</v>
      </c>
      <c r="P91" s="64">
        <v>0.37</v>
      </c>
      <c r="Q91" s="64">
        <v>9</v>
      </c>
      <c r="R91" s="198"/>
      <c r="S91" s="198"/>
      <c r="T91" s="198"/>
      <c r="U91" s="198"/>
    </row>
    <row r="92" spans="1:26" s="12" customFormat="1" x14ac:dyDescent="0.25">
      <c r="A92" s="213" t="s">
        <v>1095</v>
      </c>
      <c r="B92" s="64">
        <v>6.4</v>
      </c>
      <c r="C92" s="64">
        <v>13.1</v>
      </c>
      <c r="D92" s="64">
        <v>11.97</v>
      </c>
      <c r="E92" s="64">
        <v>4.67</v>
      </c>
      <c r="F92" s="64">
        <v>3.73</v>
      </c>
      <c r="G92" s="64">
        <v>17.7</v>
      </c>
      <c r="H92" s="64">
        <v>1.38</v>
      </c>
      <c r="I92" s="64">
        <v>1.02</v>
      </c>
      <c r="J92" s="64">
        <v>0.19</v>
      </c>
      <c r="K92" s="64">
        <v>310.3</v>
      </c>
      <c r="L92" s="64">
        <v>22.23</v>
      </c>
      <c r="M92" s="64">
        <v>98.72</v>
      </c>
      <c r="N92" s="64">
        <v>53.8</v>
      </c>
      <c r="O92" s="64">
        <v>0</v>
      </c>
      <c r="P92" s="64">
        <v>0.38</v>
      </c>
      <c r="Q92" s="64">
        <v>9.02</v>
      </c>
      <c r="R92" s="198"/>
      <c r="S92" s="198"/>
      <c r="T92" s="198"/>
      <c r="U92" s="198"/>
    </row>
    <row r="93" spans="1:26" s="12" customFormat="1" x14ac:dyDescent="0.25">
      <c r="A93" s="213" t="s">
        <v>1096</v>
      </c>
      <c r="B93" s="64">
        <v>6.29</v>
      </c>
      <c r="C93" s="64">
        <v>13.31</v>
      </c>
      <c r="D93" s="64">
        <v>12</v>
      </c>
      <c r="E93" s="64">
        <v>4.6100000000000003</v>
      </c>
      <c r="F93" s="64">
        <v>3.19</v>
      </c>
      <c r="G93" s="64">
        <v>18.399999999999999</v>
      </c>
      <c r="H93" s="64">
        <v>1.38</v>
      </c>
      <c r="I93" s="64">
        <v>1.03</v>
      </c>
      <c r="J93" s="64">
        <v>0.18</v>
      </c>
      <c r="K93" s="64">
        <v>316.42</v>
      </c>
      <c r="L93" s="64">
        <v>22.25</v>
      </c>
      <c r="M93" s="64">
        <v>98.73</v>
      </c>
      <c r="N93" s="64">
        <v>53.8</v>
      </c>
      <c r="O93" s="64">
        <v>0</v>
      </c>
      <c r="P93" s="64">
        <v>0.37</v>
      </c>
      <c r="Q93" s="64">
        <v>9.01</v>
      </c>
      <c r="R93" s="198"/>
      <c r="S93" s="198"/>
      <c r="T93" s="198"/>
      <c r="U93" s="198"/>
    </row>
    <row r="94" spans="1:26" s="12" customFormat="1" x14ac:dyDescent="0.25">
      <c r="A94" s="213" t="s">
        <v>1097</v>
      </c>
      <c r="B94" s="64">
        <v>6.35</v>
      </c>
      <c r="C94" s="64">
        <v>13.6</v>
      </c>
      <c r="D94" s="64">
        <v>12.19</v>
      </c>
      <c r="E94" s="64">
        <v>4.47</v>
      </c>
      <c r="F94" s="64">
        <v>3.44</v>
      </c>
      <c r="G94" s="64">
        <v>18.829999999999998</v>
      </c>
      <c r="H94" s="64">
        <v>1.39</v>
      </c>
      <c r="I94" s="64">
        <v>1.05</v>
      </c>
      <c r="J94" s="64">
        <v>0.17</v>
      </c>
      <c r="K94" s="64">
        <v>323.62</v>
      </c>
      <c r="L94" s="64">
        <v>22.17</v>
      </c>
      <c r="M94" s="64">
        <v>98.73</v>
      </c>
      <c r="N94" s="64">
        <v>54</v>
      </c>
      <c r="O94" s="64">
        <v>0.4</v>
      </c>
      <c r="P94" s="64">
        <v>0.38</v>
      </c>
      <c r="Q94" s="64">
        <v>9.01</v>
      </c>
      <c r="R94" s="198"/>
      <c r="S94" s="198"/>
      <c r="T94" s="198"/>
      <c r="U94" s="198"/>
    </row>
    <row r="95" spans="1:26" s="12" customFormat="1" x14ac:dyDescent="0.25">
      <c r="A95" s="213" t="s">
        <v>1098</v>
      </c>
      <c r="B95" s="64">
        <v>6.51</v>
      </c>
      <c r="C95" s="64">
        <v>13.48</v>
      </c>
      <c r="D95" s="64">
        <v>12.27</v>
      </c>
      <c r="E95" s="64">
        <v>4.57</v>
      </c>
      <c r="F95" s="64">
        <v>3.19</v>
      </c>
      <c r="G95" s="64">
        <v>18.829999999999998</v>
      </c>
      <c r="H95" s="64">
        <v>1.39</v>
      </c>
      <c r="I95" s="64">
        <v>1.02</v>
      </c>
      <c r="J95" s="64">
        <v>0.15</v>
      </c>
      <c r="K95" s="64">
        <v>332.76</v>
      </c>
      <c r="L95" s="64">
        <v>21.99</v>
      </c>
      <c r="M95" s="64">
        <v>98.75</v>
      </c>
      <c r="N95" s="64">
        <v>53.8</v>
      </c>
      <c r="O95" s="64">
        <v>0</v>
      </c>
      <c r="P95" s="64">
        <v>0.38</v>
      </c>
      <c r="Q95" s="64">
        <v>9.0399999999999991</v>
      </c>
      <c r="R95" s="198"/>
      <c r="S95" s="198"/>
      <c r="T95" s="198"/>
      <c r="U95" s="198"/>
    </row>
    <row r="96" spans="1:26" s="12" customFormat="1" x14ac:dyDescent="0.25">
      <c r="A96" s="213" t="s">
        <v>1099</v>
      </c>
      <c r="B96" s="64">
        <v>6.53</v>
      </c>
      <c r="C96" s="64">
        <v>13.16</v>
      </c>
      <c r="D96" s="64">
        <v>12.11</v>
      </c>
      <c r="E96" s="64">
        <v>4.5199999999999996</v>
      </c>
      <c r="F96" s="64">
        <v>3.76</v>
      </c>
      <c r="G96" s="64">
        <v>18.829999999999998</v>
      </c>
      <c r="H96" s="64">
        <v>1.39</v>
      </c>
      <c r="I96" s="64">
        <v>0.97</v>
      </c>
      <c r="J96" s="64">
        <v>0.18</v>
      </c>
      <c r="K96" s="64">
        <v>323.87</v>
      </c>
      <c r="L96" s="64">
        <v>22</v>
      </c>
      <c r="M96" s="64">
        <v>98.75</v>
      </c>
      <c r="N96" s="64">
        <v>54</v>
      </c>
      <c r="O96" s="64">
        <v>0</v>
      </c>
      <c r="P96" s="64">
        <v>0.37</v>
      </c>
      <c r="Q96" s="64">
        <v>9.06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1100</v>
      </c>
      <c r="B97" s="64">
        <v>6.38</v>
      </c>
      <c r="C97" s="64">
        <v>12.94</v>
      </c>
      <c r="D97" s="64">
        <v>11.88</v>
      </c>
      <c r="E97" s="64">
        <v>4.76</v>
      </c>
      <c r="F97" s="64">
        <v>3.54</v>
      </c>
      <c r="G97" s="64">
        <v>19.850000000000001</v>
      </c>
      <c r="H97" s="64">
        <v>1.38</v>
      </c>
      <c r="I97" s="64">
        <v>0.97</v>
      </c>
      <c r="J97" s="64">
        <v>0.16</v>
      </c>
      <c r="K97" s="64">
        <v>320.08999999999997</v>
      </c>
      <c r="L97" s="64">
        <v>22.06</v>
      </c>
      <c r="M97" s="64">
        <v>98.75</v>
      </c>
      <c r="N97" s="64">
        <v>54.1</v>
      </c>
      <c r="O97" s="64">
        <v>0</v>
      </c>
      <c r="P97" s="64">
        <v>0.36</v>
      </c>
      <c r="Q97" s="64">
        <v>9.0500000000000007</v>
      </c>
      <c r="R97" s="198"/>
      <c r="S97" s="198"/>
      <c r="T97" s="198"/>
      <c r="U97" s="198"/>
    </row>
    <row r="98" spans="1:33" s="12" customFormat="1" x14ac:dyDescent="0.25">
      <c r="A98" s="213" t="s">
        <v>1101</v>
      </c>
      <c r="B98" s="64">
        <v>6.25</v>
      </c>
      <c r="C98" s="64">
        <v>12.68</v>
      </c>
      <c r="D98" s="64">
        <v>11.64</v>
      </c>
      <c r="E98" s="64">
        <v>4.92</v>
      </c>
      <c r="F98" s="64">
        <v>2.94</v>
      </c>
      <c r="G98" s="64">
        <v>20.47</v>
      </c>
      <c r="H98" s="64">
        <v>1.37</v>
      </c>
      <c r="I98" s="64">
        <v>0.95</v>
      </c>
      <c r="J98" s="64">
        <v>0.13</v>
      </c>
      <c r="K98" s="64">
        <v>317</v>
      </c>
      <c r="L98" s="64">
        <v>22.05</v>
      </c>
      <c r="M98" s="64">
        <v>98.76</v>
      </c>
      <c r="N98" s="64">
        <v>54</v>
      </c>
      <c r="O98" s="64">
        <v>0</v>
      </c>
      <c r="P98" s="64">
        <v>0.35</v>
      </c>
      <c r="Q98" s="64">
        <v>9.0500000000000007</v>
      </c>
      <c r="R98" s="198"/>
      <c r="S98" s="198"/>
      <c r="T98" s="198"/>
      <c r="U98" s="198"/>
    </row>
    <row r="99" spans="1:33" s="12" customFormat="1" x14ac:dyDescent="0.25">
      <c r="A99" s="213" t="s">
        <v>1102</v>
      </c>
      <c r="B99" s="64">
        <v>6.1</v>
      </c>
      <c r="C99" s="64">
        <v>12.35</v>
      </c>
      <c r="D99" s="64">
        <v>11.35</v>
      </c>
      <c r="E99" s="64">
        <v>4.4400000000000004</v>
      </c>
      <c r="F99" s="64">
        <v>3.16</v>
      </c>
      <c r="G99" s="64">
        <v>20.47</v>
      </c>
      <c r="H99" s="64">
        <v>1.37</v>
      </c>
      <c r="I99" s="64">
        <v>0.92</v>
      </c>
      <c r="J99" s="64">
        <v>0.11</v>
      </c>
      <c r="K99" s="64">
        <v>324.05</v>
      </c>
      <c r="L99" s="64">
        <v>22.05</v>
      </c>
      <c r="M99" s="64">
        <v>98.77</v>
      </c>
      <c r="N99" s="64">
        <v>54.2</v>
      </c>
      <c r="O99" s="64">
        <v>0</v>
      </c>
      <c r="P99" s="64">
        <v>0.34</v>
      </c>
      <c r="Q99" s="64">
        <v>9.0500000000000007</v>
      </c>
      <c r="R99" s="198"/>
      <c r="S99" s="198"/>
      <c r="T99" s="198"/>
      <c r="U99" s="198"/>
    </row>
    <row r="100" spans="1:33" s="12" customFormat="1" x14ac:dyDescent="0.25">
      <c r="A100" s="213" t="s">
        <v>1103</v>
      </c>
      <c r="B100" s="64">
        <v>5.9</v>
      </c>
      <c r="C100" s="64">
        <v>12.12</v>
      </c>
      <c r="D100" s="64">
        <v>11.06</v>
      </c>
      <c r="E100" s="64">
        <v>4.63</v>
      </c>
      <c r="F100" s="64">
        <v>3.92</v>
      </c>
      <c r="G100" s="64">
        <v>20.47</v>
      </c>
      <c r="H100" s="64">
        <v>1.37</v>
      </c>
      <c r="I100" s="64">
        <v>0.91</v>
      </c>
      <c r="J100" s="64">
        <v>0.14000000000000001</v>
      </c>
      <c r="K100" s="64">
        <v>322.27</v>
      </c>
      <c r="L100" s="64">
        <v>22.11</v>
      </c>
      <c r="M100" s="64">
        <v>98.78</v>
      </c>
      <c r="N100" s="64">
        <v>54.1</v>
      </c>
      <c r="O100" s="64">
        <v>0</v>
      </c>
      <c r="P100" s="64">
        <v>0.31</v>
      </c>
      <c r="Q100" s="64">
        <v>9.0399999999999991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1104</v>
      </c>
      <c r="B101" s="64">
        <v>5.77</v>
      </c>
      <c r="C101" s="64">
        <v>11.93</v>
      </c>
      <c r="D101" s="64">
        <v>10.86</v>
      </c>
      <c r="E101" s="64">
        <v>4.59</v>
      </c>
      <c r="F101" s="64">
        <v>3.96</v>
      </c>
      <c r="G101" s="64">
        <v>17</v>
      </c>
      <c r="H101" s="64">
        <v>1.48</v>
      </c>
      <c r="I101" s="64">
        <v>0.88</v>
      </c>
      <c r="J101" s="64">
        <v>0.1</v>
      </c>
      <c r="K101" s="64">
        <v>320.82</v>
      </c>
      <c r="L101" s="64">
        <v>22.12</v>
      </c>
      <c r="M101" s="64">
        <v>98.78</v>
      </c>
      <c r="N101" s="64">
        <v>54.4</v>
      </c>
      <c r="O101" s="64">
        <v>0</v>
      </c>
      <c r="P101" s="64">
        <v>0.3</v>
      </c>
      <c r="Q101" s="64">
        <v>9.0500000000000007</v>
      </c>
      <c r="R101" s="198"/>
      <c r="S101" s="198"/>
      <c r="T101" s="198"/>
      <c r="U101" s="198"/>
    </row>
    <row r="102" spans="1:33" s="12" customFormat="1" x14ac:dyDescent="0.25">
      <c r="A102" s="213" t="s">
        <v>1105</v>
      </c>
      <c r="B102" s="64">
        <v>5.93</v>
      </c>
      <c r="C102" s="64">
        <v>11.65</v>
      </c>
      <c r="D102" s="64">
        <v>10.85</v>
      </c>
      <c r="E102" s="64">
        <v>4.83</v>
      </c>
      <c r="F102" s="64">
        <v>3.89</v>
      </c>
      <c r="G102" s="64">
        <v>14.9</v>
      </c>
      <c r="H102" s="64">
        <v>1.55</v>
      </c>
      <c r="I102" s="64">
        <v>0.84</v>
      </c>
      <c r="J102" s="64">
        <v>0.13</v>
      </c>
      <c r="K102" s="64">
        <v>318.32</v>
      </c>
      <c r="L102" s="64">
        <v>22.12</v>
      </c>
      <c r="M102" s="64">
        <v>98.79</v>
      </c>
      <c r="N102" s="64">
        <v>54.5</v>
      </c>
      <c r="O102" s="64">
        <v>0</v>
      </c>
      <c r="P102" s="64">
        <v>0.33</v>
      </c>
      <c r="Q102" s="64">
        <v>9.0299999999999994</v>
      </c>
      <c r="R102" s="198"/>
      <c r="S102" s="198"/>
      <c r="T102" s="198"/>
      <c r="U102" s="198"/>
    </row>
    <row r="103" spans="1:33" s="12" customFormat="1" x14ac:dyDescent="0.25">
      <c r="A103" s="213" t="s">
        <v>1106</v>
      </c>
      <c r="B103" s="64">
        <v>6.14</v>
      </c>
      <c r="C103" s="64">
        <v>11.67</v>
      </c>
      <c r="D103" s="64">
        <v>11.02</v>
      </c>
      <c r="E103" s="64">
        <v>5.17</v>
      </c>
      <c r="F103" s="64">
        <v>2.6</v>
      </c>
      <c r="G103" s="64">
        <v>14.9</v>
      </c>
      <c r="H103" s="64">
        <v>1.55</v>
      </c>
      <c r="I103" s="64">
        <v>0.83</v>
      </c>
      <c r="J103" s="64">
        <v>0.17</v>
      </c>
      <c r="K103" s="64">
        <v>309.24</v>
      </c>
      <c r="L103" s="64">
        <v>22.14</v>
      </c>
      <c r="M103" s="64">
        <v>98.8</v>
      </c>
      <c r="N103" s="64">
        <v>54.6</v>
      </c>
      <c r="O103" s="64">
        <v>0</v>
      </c>
      <c r="P103" s="64">
        <v>0.32</v>
      </c>
      <c r="Q103" s="64">
        <v>9.01</v>
      </c>
      <c r="R103" s="198"/>
      <c r="S103" s="198"/>
      <c r="T103" s="198"/>
      <c r="U103" s="198"/>
    </row>
    <row r="104" spans="1:33" s="12" customFormat="1" x14ac:dyDescent="0.25">
      <c r="A104" s="213" t="s">
        <v>1107</v>
      </c>
      <c r="B104" s="64">
        <v>6.22</v>
      </c>
      <c r="C104" s="64">
        <v>11.56</v>
      </c>
      <c r="D104" s="64">
        <v>11.03</v>
      </c>
      <c r="E104" s="64">
        <v>5.08</v>
      </c>
      <c r="F104" s="64">
        <v>3.67</v>
      </c>
      <c r="G104" s="64">
        <v>14.9</v>
      </c>
      <c r="H104" s="64">
        <v>1.55</v>
      </c>
      <c r="I104" s="64">
        <v>0.8</v>
      </c>
      <c r="J104" s="64">
        <v>0.16</v>
      </c>
      <c r="K104" s="64">
        <v>301.93</v>
      </c>
      <c r="L104" s="64">
        <v>22.19</v>
      </c>
      <c r="M104" s="64">
        <v>98.79</v>
      </c>
      <c r="N104" s="64">
        <v>54.6</v>
      </c>
      <c r="O104" s="64">
        <v>0</v>
      </c>
      <c r="P104" s="64">
        <v>0.3</v>
      </c>
      <c r="Q104" s="64">
        <v>9.01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4.17</v>
      </c>
      <c r="C106" s="67">
        <f>MIN(C9:C104)</f>
        <v>9.86</v>
      </c>
      <c r="D106" s="67">
        <f t="shared" ref="D106:Q106" si="0">MIN(D9:D104)</f>
        <v>8.91</v>
      </c>
      <c r="E106" s="67">
        <f t="shared" si="0"/>
        <v>4.16</v>
      </c>
      <c r="F106" s="67">
        <f t="shared" si="0"/>
        <v>2.6</v>
      </c>
      <c r="G106" s="67">
        <f t="shared" si="0"/>
        <v>1.96</v>
      </c>
      <c r="H106" s="67">
        <f t="shared" si="0"/>
        <v>0.85</v>
      </c>
      <c r="I106" s="67">
        <f t="shared" si="0"/>
        <v>0.42</v>
      </c>
      <c r="J106" s="67">
        <f t="shared" si="0"/>
        <v>0.08</v>
      </c>
      <c r="K106" s="67">
        <f t="shared" si="0"/>
        <v>136.07</v>
      </c>
      <c r="L106" s="67">
        <f t="shared" si="0"/>
        <v>20.75</v>
      </c>
      <c r="M106" s="67">
        <f t="shared" si="0"/>
        <v>98.04</v>
      </c>
      <c r="N106" s="67">
        <f t="shared" si="0"/>
        <v>53.6</v>
      </c>
      <c r="O106" s="67">
        <f t="shared" si="0"/>
        <v>0</v>
      </c>
      <c r="P106" s="67">
        <f t="shared" si="0"/>
        <v>0.13</v>
      </c>
      <c r="Q106" s="67">
        <f t="shared" si="0"/>
        <v>8.91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7.25</v>
      </c>
      <c r="C107" s="66">
        <f t="shared" ref="C107:Q107" si="1">MAX(C9:C104)</f>
        <v>16.36</v>
      </c>
      <c r="D107" s="66">
        <f t="shared" si="1"/>
        <v>13.31</v>
      </c>
      <c r="E107" s="66">
        <f t="shared" si="1"/>
        <v>5.46</v>
      </c>
      <c r="F107" s="66">
        <f t="shared" si="1"/>
        <v>4.82</v>
      </c>
      <c r="G107" s="66">
        <f t="shared" si="1"/>
        <v>20.47</v>
      </c>
      <c r="H107" s="66">
        <f t="shared" si="1"/>
        <v>6.27</v>
      </c>
      <c r="I107" s="66">
        <f t="shared" si="1"/>
        <v>1.05</v>
      </c>
      <c r="J107" s="66">
        <f t="shared" si="1"/>
        <v>0.45</v>
      </c>
      <c r="K107" s="66">
        <f t="shared" si="1"/>
        <v>332.76</v>
      </c>
      <c r="L107" s="66">
        <f t="shared" si="1"/>
        <v>24.03</v>
      </c>
      <c r="M107" s="66">
        <f t="shared" si="1"/>
        <v>99.14</v>
      </c>
      <c r="N107" s="66">
        <f t="shared" si="1"/>
        <v>302.7</v>
      </c>
      <c r="O107" s="66">
        <f t="shared" si="1"/>
        <v>5.6</v>
      </c>
      <c r="P107" s="66">
        <f t="shared" si="1"/>
        <v>0.38</v>
      </c>
      <c r="Q107" s="66">
        <f t="shared" si="1"/>
        <v>9.06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5.2966666666666651</v>
      </c>
      <c r="C108" s="67">
        <f t="shared" ref="C108:Q108" si="2">AVERAGE(C9:C104)</f>
        <v>12.781874999999999</v>
      </c>
      <c r="D108" s="67">
        <f t="shared" si="2"/>
        <v>10.925104166666669</v>
      </c>
      <c r="E108" s="67">
        <f t="shared" si="2"/>
        <v>4.8</v>
      </c>
      <c r="F108" s="67">
        <f t="shared" si="2"/>
        <v>3.6889583333333342</v>
      </c>
      <c r="G108" s="67">
        <f t="shared" si="2"/>
        <v>8.9567708333333353</v>
      </c>
      <c r="H108" s="67">
        <f t="shared" si="2"/>
        <v>2.3645833333333317</v>
      </c>
      <c r="I108" s="67">
        <f t="shared" si="2"/>
        <v>0.67802083333333318</v>
      </c>
      <c r="J108" s="67">
        <f t="shared" si="2"/>
        <v>0.2080208333333334</v>
      </c>
      <c r="K108" s="67">
        <f t="shared" si="2"/>
        <v>293.43906249999992</v>
      </c>
      <c r="L108" s="67">
        <f t="shared" si="2"/>
        <v>22.106666666666658</v>
      </c>
      <c r="M108" s="67">
        <f t="shared" si="2"/>
        <v>98.759062500000027</v>
      </c>
      <c r="N108" s="67">
        <f t="shared" si="2"/>
        <v>115.68645833333331</v>
      </c>
      <c r="O108" s="67">
        <f t="shared" si="2"/>
        <v>0.27083333333333331</v>
      </c>
      <c r="P108" s="67">
        <f t="shared" si="2"/>
        <v>0.25708333333333322</v>
      </c>
      <c r="Q108" s="67">
        <f t="shared" si="2"/>
        <v>8.9929166666666642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0.73322886018181566</v>
      </c>
      <c r="C109" s="67">
        <f t="shared" ref="C109:Q109" si="3">STDEV(C9:C104)</f>
        <v>1.5194204660434001</v>
      </c>
      <c r="D109" s="67">
        <f t="shared" si="3"/>
        <v>1.0645918365781186</v>
      </c>
      <c r="E109" s="67">
        <f t="shared" si="3"/>
        <v>0.22245046757944975</v>
      </c>
      <c r="F109" s="67">
        <f t="shared" si="3"/>
        <v>0.45551007653459497</v>
      </c>
      <c r="G109" s="67">
        <f t="shared" si="3"/>
        <v>5.4217902451791007</v>
      </c>
      <c r="H109" s="67">
        <f t="shared" si="3"/>
        <v>1.5083395657523664</v>
      </c>
      <c r="I109" s="67">
        <f t="shared" si="3"/>
        <v>0.16789482792990953</v>
      </c>
      <c r="J109" s="67">
        <f t="shared" si="3"/>
        <v>6.1620567169132431E-2</v>
      </c>
      <c r="K109" s="67">
        <f t="shared" si="3"/>
        <v>37.918875290842045</v>
      </c>
      <c r="L109" s="67">
        <f t="shared" si="3"/>
        <v>0.83716899717115734</v>
      </c>
      <c r="M109" s="67">
        <f t="shared" si="3"/>
        <v>0.21807327655485031</v>
      </c>
      <c r="N109" s="67">
        <f t="shared" si="3"/>
        <v>73.338440584215846</v>
      </c>
      <c r="O109" s="67">
        <f t="shared" si="3"/>
        <v>0.73411839955241787</v>
      </c>
      <c r="P109" s="67">
        <f t="shared" si="3"/>
        <v>7.5364610802441834E-2</v>
      </c>
      <c r="Q109" s="67">
        <f t="shared" si="3"/>
        <v>3.2860684128659022E-2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1108</v>
      </c>
      <c r="B9" s="64">
        <v>6.13</v>
      </c>
      <c r="C9" s="64">
        <v>11.5</v>
      </c>
      <c r="D9" s="64">
        <v>10.92</v>
      </c>
      <c r="E9" s="64">
        <v>4.9400000000000004</v>
      </c>
      <c r="F9" s="64">
        <v>3.15</v>
      </c>
      <c r="G9" s="64">
        <v>18.23</v>
      </c>
      <c r="H9" s="64">
        <v>1.67</v>
      </c>
      <c r="I9" s="64">
        <v>0.78</v>
      </c>
      <c r="J9" s="64">
        <v>0.17</v>
      </c>
      <c r="K9" s="64">
        <v>307.36</v>
      </c>
      <c r="L9" s="64">
        <v>22.19</v>
      </c>
      <c r="M9" s="64">
        <v>98.78</v>
      </c>
      <c r="N9" s="64">
        <v>54.6</v>
      </c>
      <c r="O9" s="64">
        <v>0</v>
      </c>
      <c r="P9" s="64">
        <v>0.3</v>
      </c>
      <c r="Q9" s="64">
        <v>9</v>
      </c>
      <c r="R9" s="198"/>
      <c r="S9" s="198"/>
      <c r="T9" s="198"/>
      <c r="U9" s="198"/>
    </row>
    <row r="10" spans="1:21" s="12" customFormat="1" x14ac:dyDescent="0.25">
      <c r="A10" s="213" t="s">
        <v>1109</v>
      </c>
      <c r="B10" s="64">
        <v>5.99</v>
      </c>
      <c r="C10" s="64">
        <v>11.35</v>
      </c>
      <c r="D10" s="64">
        <v>10.73</v>
      </c>
      <c r="E10" s="64">
        <v>5.01</v>
      </c>
      <c r="F10" s="64">
        <v>3.72</v>
      </c>
      <c r="G10" s="64">
        <v>20.25</v>
      </c>
      <c r="H10" s="64">
        <v>1.75</v>
      </c>
      <c r="I10" s="64">
        <v>0.76</v>
      </c>
      <c r="J10" s="64">
        <v>0.16</v>
      </c>
      <c r="K10" s="64">
        <v>313.26</v>
      </c>
      <c r="L10" s="64">
        <v>22.25</v>
      </c>
      <c r="M10" s="64">
        <v>98.78</v>
      </c>
      <c r="N10" s="64">
        <v>54.6</v>
      </c>
      <c r="O10" s="64">
        <v>0</v>
      </c>
      <c r="P10" s="64">
        <v>0.28999999999999998</v>
      </c>
      <c r="Q10" s="64">
        <v>8.98</v>
      </c>
      <c r="R10" s="198"/>
      <c r="S10" s="198"/>
      <c r="T10" s="198"/>
      <c r="U10" s="198"/>
    </row>
    <row r="11" spans="1:21" s="12" customFormat="1" x14ac:dyDescent="0.25">
      <c r="A11" s="213" t="s">
        <v>1110</v>
      </c>
      <c r="B11" s="64">
        <v>5.81</v>
      </c>
      <c r="C11" s="64">
        <v>11.44</v>
      </c>
      <c r="D11" s="64">
        <v>10.63</v>
      </c>
      <c r="E11" s="64">
        <v>4.74</v>
      </c>
      <c r="F11" s="64">
        <v>3.03</v>
      </c>
      <c r="G11" s="64">
        <v>20.25</v>
      </c>
      <c r="H11" s="64">
        <v>1.75</v>
      </c>
      <c r="I11" s="64">
        <v>0.8</v>
      </c>
      <c r="J11" s="64">
        <v>0.18</v>
      </c>
      <c r="K11" s="64">
        <v>314.93</v>
      </c>
      <c r="L11" s="64">
        <v>22.26</v>
      </c>
      <c r="M11" s="64">
        <v>98.8</v>
      </c>
      <c r="N11" s="64">
        <v>54.6</v>
      </c>
      <c r="O11" s="64">
        <v>0</v>
      </c>
      <c r="P11" s="64">
        <v>0.27</v>
      </c>
      <c r="Q11" s="64">
        <v>8.98</v>
      </c>
      <c r="R11" s="198"/>
      <c r="S11" s="198"/>
      <c r="T11" s="198"/>
      <c r="U11" s="198"/>
    </row>
    <row r="12" spans="1:21" s="12" customFormat="1" x14ac:dyDescent="0.25">
      <c r="A12" s="213" t="s">
        <v>1111</v>
      </c>
      <c r="B12" s="64">
        <v>5.58</v>
      </c>
      <c r="C12" s="64">
        <v>11.4</v>
      </c>
      <c r="D12" s="64">
        <v>10.43</v>
      </c>
      <c r="E12" s="64">
        <v>4.55</v>
      </c>
      <c r="F12" s="64">
        <v>3.98</v>
      </c>
      <c r="G12" s="64">
        <v>20.25</v>
      </c>
      <c r="H12" s="64">
        <v>1.75</v>
      </c>
      <c r="I12" s="64">
        <v>0.82</v>
      </c>
      <c r="J12" s="64">
        <v>0.22</v>
      </c>
      <c r="K12" s="64">
        <v>308.08999999999997</v>
      </c>
      <c r="L12" s="64">
        <v>22.23</v>
      </c>
      <c r="M12" s="64">
        <v>98.8</v>
      </c>
      <c r="N12" s="64">
        <v>54.6</v>
      </c>
      <c r="O12" s="64">
        <v>0</v>
      </c>
      <c r="P12" s="64">
        <v>0.26</v>
      </c>
      <c r="Q12" s="64">
        <v>8.98</v>
      </c>
      <c r="R12" s="198"/>
      <c r="S12" s="198"/>
      <c r="T12" s="198"/>
      <c r="U12" s="198"/>
    </row>
    <row r="13" spans="1:21" s="12" customFormat="1" x14ac:dyDescent="0.25">
      <c r="A13" s="213" t="s">
        <v>1112</v>
      </c>
      <c r="B13" s="64">
        <v>5.37</v>
      </c>
      <c r="C13" s="64">
        <v>11.42</v>
      </c>
      <c r="D13" s="64">
        <v>10.25</v>
      </c>
      <c r="E13" s="64">
        <v>4.8499999999999996</v>
      </c>
      <c r="F13" s="64">
        <v>2.68</v>
      </c>
      <c r="G13" s="64">
        <v>21.73</v>
      </c>
      <c r="H13" s="64">
        <v>2.29</v>
      </c>
      <c r="I13" s="64">
        <v>0.67</v>
      </c>
      <c r="J13" s="64">
        <v>0.23</v>
      </c>
      <c r="K13" s="64">
        <v>289.45</v>
      </c>
      <c r="L13" s="64">
        <v>22.29</v>
      </c>
      <c r="M13" s="64">
        <v>98.8</v>
      </c>
      <c r="N13" s="64">
        <v>54.6</v>
      </c>
      <c r="O13" s="64">
        <v>0</v>
      </c>
      <c r="P13" s="64">
        <v>0.22</v>
      </c>
      <c r="Q13" s="64">
        <v>8.9600000000000009</v>
      </c>
      <c r="R13" s="198"/>
      <c r="S13" s="198"/>
      <c r="T13" s="198"/>
      <c r="U13" s="198"/>
    </row>
    <row r="14" spans="1:21" s="12" customFormat="1" x14ac:dyDescent="0.25">
      <c r="A14" s="213" t="s">
        <v>1113</v>
      </c>
      <c r="B14" s="64">
        <v>5.0999999999999996</v>
      </c>
      <c r="C14" s="64">
        <v>11.37</v>
      </c>
      <c r="D14" s="64">
        <v>10.029999999999999</v>
      </c>
      <c r="E14" s="64">
        <v>4.93</v>
      </c>
      <c r="F14" s="64">
        <v>3.99</v>
      </c>
      <c r="G14" s="64">
        <v>21.73</v>
      </c>
      <c r="H14" s="64">
        <v>2.29</v>
      </c>
      <c r="I14" s="64">
        <v>0.71</v>
      </c>
      <c r="J14" s="64">
        <v>0.23</v>
      </c>
      <c r="K14" s="64">
        <v>298.24</v>
      </c>
      <c r="L14" s="64">
        <v>22.23</v>
      </c>
      <c r="M14" s="64">
        <v>98.81</v>
      </c>
      <c r="N14" s="64">
        <v>54.6</v>
      </c>
      <c r="O14" s="64">
        <v>0</v>
      </c>
      <c r="P14" s="64">
        <v>0.23</v>
      </c>
      <c r="Q14" s="64">
        <v>8.9499999999999993</v>
      </c>
      <c r="R14" s="198"/>
      <c r="S14" s="198"/>
      <c r="T14" s="198"/>
      <c r="U14" s="198"/>
    </row>
    <row r="15" spans="1:21" s="12" customFormat="1" x14ac:dyDescent="0.25">
      <c r="A15" s="213" t="s">
        <v>1114</v>
      </c>
      <c r="B15" s="64">
        <v>4.9000000000000004</v>
      </c>
      <c r="C15" s="64">
        <v>11.36</v>
      </c>
      <c r="D15" s="64">
        <v>9.86</v>
      </c>
      <c r="E15" s="64">
        <v>4.66</v>
      </c>
      <c r="F15" s="64">
        <v>3.11</v>
      </c>
      <c r="G15" s="64">
        <v>21.73</v>
      </c>
      <c r="H15" s="64">
        <v>2.29</v>
      </c>
      <c r="I15" s="64">
        <v>0.71</v>
      </c>
      <c r="J15" s="64">
        <v>0.22</v>
      </c>
      <c r="K15" s="64">
        <v>304.81</v>
      </c>
      <c r="L15" s="64">
        <v>22.22</v>
      </c>
      <c r="M15" s="64">
        <v>98.83</v>
      </c>
      <c r="N15" s="64">
        <v>54.6</v>
      </c>
      <c r="O15" s="64">
        <v>0</v>
      </c>
      <c r="P15" s="64">
        <v>0.22</v>
      </c>
      <c r="Q15" s="64">
        <v>8.94</v>
      </c>
      <c r="R15" s="198"/>
      <c r="S15" s="198"/>
      <c r="T15" s="198"/>
      <c r="U15" s="198"/>
    </row>
    <row r="16" spans="1:21" s="12" customFormat="1" x14ac:dyDescent="0.25">
      <c r="A16" s="213" t="s">
        <v>1115</v>
      </c>
      <c r="B16" s="64">
        <v>4.75</v>
      </c>
      <c r="C16" s="64">
        <v>11.26</v>
      </c>
      <c r="D16" s="64">
        <v>9.69</v>
      </c>
      <c r="E16" s="64">
        <v>4.91</v>
      </c>
      <c r="F16" s="64">
        <v>3.42</v>
      </c>
      <c r="G16" s="64">
        <v>21.73</v>
      </c>
      <c r="H16" s="64">
        <v>2.29</v>
      </c>
      <c r="I16" s="64">
        <v>0.68</v>
      </c>
      <c r="J16" s="64">
        <v>0.17</v>
      </c>
      <c r="K16" s="64">
        <v>296.35000000000002</v>
      </c>
      <c r="L16" s="64">
        <v>22.27</v>
      </c>
      <c r="M16" s="64">
        <v>98.7</v>
      </c>
      <c r="N16" s="64">
        <v>54.6</v>
      </c>
      <c r="O16" s="64">
        <v>0</v>
      </c>
      <c r="P16" s="64">
        <v>0.21</v>
      </c>
      <c r="Q16" s="64">
        <v>8.9499999999999993</v>
      </c>
      <c r="R16" s="198"/>
      <c r="S16" s="198"/>
      <c r="T16" s="198"/>
      <c r="U16" s="198"/>
    </row>
    <row r="17" spans="1:21" s="12" customFormat="1" x14ac:dyDescent="0.25">
      <c r="A17" s="213" t="s">
        <v>1116</v>
      </c>
      <c r="B17" s="64">
        <v>4.74</v>
      </c>
      <c r="C17" s="64">
        <v>10.99</v>
      </c>
      <c r="D17" s="64">
        <v>9.5399999999999991</v>
      </c>
      <c r="E17" s="64">
        <v>4.71</v>
      </c>
      <c r="F17" s="64">
        <v>3.72</v>
      </c>
      <c r="G17" s="64">
        <v>21.09</v>
      </c>
      <c r="H17" s="64">
        <v>3.01</v>
      </c>
      <c r="I17" s="64">
        <v>0.64</v>
      </c>
      <c r="J17" s="64">
        <v>0.21</v>
      </c>
      <c r="K17" s="64">
        <v>300.55</v>
      </c>
      <c r="L17" s="64">
        <v>22.23</v>
      </c>
      <c r="M17" s="64">
        <v>98.63</v>
      </c>
      <c r="N17" s="64">
        <v>54.6</v>
      </c>
      <c r="O17" s="64">
        <v>0</v>
      </c>
      <c r="P17" s="64">
        <v>0.2</v>
      </c>
      <c r="Q17" s="64">
        <v>8.9600000000000009</v>
      </c>
      <c r="R17" s="198"/>
      <c r="S17" s="198"/>
      <c r="T17" s="198"/>
      <c r="U17" s="198"/>
    </row>
    <row r="18" spans="1:21" s="12" customFormat="1" x14ac:dyDescent="0.25">
      <c r="A18" s="213" t="s">
        <v>1117</v>
      </c>
      <c r="B18" s="64">
        <v>4.72</v>
      </c>
      <c r="C18" s="64">
        <v>10.89</v>
      </c>
      <c r="D18" s="64">
        <v>9.4700000000000006</v>
      </c>
      <c r="E18" s="64">
        <v>4.6500000000000004</v>
      </c>
      <c r="F18" s="64">
        <v>3.61</v>
      </c>
      <c r="G18" s="64">
        <v>20.71</v>
      </c>
      <c r="H18" s="64">
        <v>3.47</v>
      </c>
      <c r="I18" s="64">
        <v>0.61</v>
      </c>
      <c r="J18" s="64">
        <v>0.24</v>
      </c>
      <c r="K18" s="64">
        <v>291.83</v>
      </c>
      <c r="L18" s="64">
        <v>22.21</v>
      </c>
      <c r="M18" s="64">
        <v>98.69</v>
      </c>
      <c r="N18" s="64">
        <v>54.5</v>
      </c>
      <c r="O18" s="64">
        <v>0</v>
      </c>
      <c r="P18" s="64">
        <v>0.19</v>
      </c>
      <c r="Q18" s="64">
        <v>8.9700000000000006</v>
      </c>
      <c r="R18" s="198"/>
      <c r="S18" s="198"/>
      <c r="T18" s="198"/>
      <c r="U18" s="198"/>
    </row>
    <row r="19" spans="1:21" s="12" customFormat="1" x14ac:dyDescent="0.25">
      <c r="A19" s="213" t="s">
        <v>1118</v>
      </c>
      <c r="B19" s="64">
        <v>4.5999999999999996</v>
      </c>
      <c r="C19" s="64">
        <v>10.92</v>
      </c>
      <c r="D19" s="64">
        <v>9.4</v>
      </c>
      <c r="E19" s="64">
        <v>4.9800000000000004</v>
      </c>
      <c r="F19" s="64">
        <v>3.54</v>
      </c>
      <c r="G19" s="64">
        <v>20.71</v>
      </c>
      <c r="H19" s="64">
        <v>3.47</v>
      </c>
      <c r="I19" s="64">
        <v>0.59</v>
      </c>
      <c r="J19" s="64">
        <v>0.23</v>
      </c>
      <c r="K19" s="64">
        <v>302.13</v>
      </c>
      <c r="L19" s="64">
        <v>22.21</v>
      </c>
      <c r="M19" s="64">
        <v>98.77</v>
      </c>
      <c r="N19" s="64">
        <v>54.6</v>
      </c>
      <c r="O19" s="64">
        <v>0</v>
      </c>
      <c r="P19" s="64">
        <v>0.18</v>
      </c>
      <c r="Q19" s="64">
        <v>8.9700000000000006</v>
      </c>
      <c r="R19" s="198"/>
      <c r="S19" s="198"/>
      <c r="T19" s="198"/>
      <c r="U19" s="198"/>
    </row>
    <row r="20" spans="1:21" s="12" customFormat="1" x14ac:dyDescent="0.25">
      <c r="A20" s="213" t="s">
        <v>1119</v>
      </c>
      <c r="B20" s="64">
        <v>4.51</v>
      </c>
      <c r="C20" s="64">
        <v>10.77</v>
      </c>
      <c r="D20" s="64">
        <v>9.24</v>
      </c>
      <c r="E20" s="64">
        <v>4.78</v>
      </c>
      <c r="F20" s="64">
        <v>3.79</v>
      </c>
      <c r="G20" s="64">
        <v>20.71</v>
      </c>
      <c r="H20" s="64">
        <v>3.47</v>
      </c>
      <c r="I20" s="64">
        <v>0.56000000000000005</v>
      </c>
      <c r="J20" s="64">
        <v>0.19</v>
      </c>
      <c r="K20" s="64">
        <v>301.05</v>
      </c>
      <c r="L20" s="64">
        <v>22.23</v>
      </c>
      <c r="M20" s="64">
        <v>98.8</v>
      </c>
      <c r="N20" s="64">
        <v>54.6</v>
      </c>
      <c r="O20" s="64">
        <v>0</v>
      </c>
      <c r="P20" s="64">
        <v>0.18</v>
      </c>
      <c r="Q20" s="64">
        <v>8.9700000000000006</v>
      </c>
      <c r="R20" s="198"/>
      <c r="S20" s="198"/>
      <c r="T20" s="198"/>
      <c r="U20" s="198"/>
    </row>
    <row r="21" spans="1:21" s="12" customFormat="1" x14ac:dyDescent="0.25">
      <c r="A21" s="213" t="s">
        <v>1120</v>
      </c>
      <c r="B21" s="64">
        <v>4.46</v>
      </c>
      <c r="C21" s="64">
        <v>10.64</v>
      </c>
      <c r="D21" s="64">
        <v>9.14</v>
      </c>
      <c r="E21" s="64">
        <v>4.82</v>
      </c>
      <c r="F21" s="64">
        <v>3.83</v>
      </c>
      <c r="G21" s="64">
        <v>22.44</v>
      </c>
      <c r="H21" s="64">
        <v>3.22</v>
      </c>
      <c r="I21" s="64">
        <v>0.54</v>
      </c>
      <c r="J21" s="64">
        <v>0.18</v>
      </c>
      <c r="K21" s="64">
        <v>297.41000000000003</v>
      </c>
      <c r="L21" s="64">
        <v>22.11</v>
      </c>
      <c r="M21" s="64">
        <v>98.28</v>
      </c>
      <c r="N21" s="64">
        <v>54.6</v>
      </c>
      <c r="O21" s="64">
        <v>0</v>
      </c>
      <c r="P21" s="64">
        <v>0.17</v>
      </c>
      <c r="Q21" s="64">
        <v>8.9700000000000006</v>
      </c>
      <c r="R21" s="198"/>
      <c r="S21" s="198"/>
      <c r="T21" s="198"/>
      <c r="U21" s="198"/>
    </row>
    <row r="22" spans="1:21" s="12" customFormat="1" x14ac:dyDescent="0.25">
      <c r="A22" s="213" t="s">
        <v>1121</v>
      </c>
      <c r="B22" s="64">
        <v>4.51</v>
      </c>
      <c r="C22" s="64">
        <v>10.48</v>
      </c>
      <c r="D22" s="64">
        <v>9.09</v>
      </c>
      <c r="E22" s="64">
        <v>4.7</v>
      </c>
      <c r="F22" s="64">
        <v>3.89</v>
      </c>
      <c r="G22" s="64">
        <v>23.5</v>
      </c>
      <c r="H22" s="64">
        <v>3.08</v>
      </c>
      <c r="I22" s="64">
        <v>0.52</v>
      </c>
      <c r="J22" s="64">
        <v>0.23</v>
      </c>
      <c r="K22" s="64">
        <v>299.33999999999997</v>
      </c>
      <c r="L22" s="64">
        <v>22.13</v>
      </c>
      <c r="M22" s="64">
        <v>98.3</v>
      </c>
      <c r="N22" s="64">
        <v>54.6</v>
      </c>
      <c r="O22" s="64">
        <v>0</v>
      </c>
      <c r="P22" s="64">
        <v>0.16</v>
      </c>
      <c r="Q22" s="64">
        <v>8.9600000000000009</v>
      </c>
      <c r="R22" s="198"/>
      <c r="S22" s="198"/>
      <c r="T22" s="198"/>
      <c r="U22" s="198"/>
    </row>
    <row r="23" spans="1:21" s="12" customFormat="1" x14ac:dyDescent="0.25">
      <c r="A23" s="213" t="s">
        <v>1122</v>
      </c>
      <c r="B23" s="64">
        <v>4.5599999999999996</v>
      </c>
      <c r="C23" s="64">
        <v>10.27</v>
      </c>
      <c r="D23" s="64">
        <v>9.0299999999999994</v>
      </c>
      <c r="E23" s="64">
        <v>4.92</v>
      </c>
      <c r="F23" s="64">
        <v>3.63</v>
      </c>
      <c r="G23" s="64">
        <v>23.5</v>
      </c>
      <c r="H23" s="64">
        <v>3.08</v>
      </c>
      <c r="I23" s="64">
        <v>0.52</v>
      </c>
      <c r="J23" s="64">
        <v>0.27</v>
      </c>
      <c r="K23" s="64">
        <v>296.68</v>
      </c>
      <c r="L23" s="64">
        <v>22</v>
      </c>
      <c r="M23" s="64">
        <v>98.69</v>
      </c>
      <c r="N23" s="64">
        <v>54.6</v>
      </c>
      <c r="O23" s="64">
        <v>0</v>
      </c>
      <c r="P23" s="64">
        <v>0.16</v>
      </c>
      <c r="Q23" s="64">
        <v>8.9600000000000009</v>
      </c>
      <c r="R23" s="198"/>
      <c r="S23" s="198"/>
      <c r="T23" s="198"/>
      <c r="U23" s="198"/>
    </row>
    <row r="24" spans="1:21" s="12" customFormat="1" x14ac:dyDescent="0.25">
      <c r="A24" s="213" t="s">
        <v>1123</v>
      </c>
      <c r="B24" s="64">
        <v>4.67</v>
      </c>
      <c r="C24" s="64">
        <v>10.3</v>
      </c>
      <c r="D24" s="64">
        <v>9.1300000000000008</v>
      </c>
      <c r="E24" s="64">
        <v>4.92</v>
      </c>
      <c r="F24" s="64">
        <v>4.22</v>
      </c>
      <c r="G24" s="64">
        <v>23.5</v>
      </c>
      <c r="H24" s="64">
        <v>3.08</v>
      </c>
      <c r="I24" s="64">
        <v>0.51</v>
      </c>
      <c r="J24" s="64">
        <v>0.24</v>
      </c>
      <c r="K24" s="64">
        <v>295.8</v>
      </c>
      <c r="L24" s="64">
        <v>21.97</v>
      </c>
      <c r="M24" s="64">
        <v>98.5</v>
      </c>
      <c r="N24" s="64">
        <v>54.6</v>
      </c>
      <c r="O24" s="64">
        <v>0</v>
      </c>
      <c r="P24" s="64">
        <v>0.17</v>
      </c>
      <c r="Q24" s="64">
        <v>8.94</v>
      </c>
      <c r="R24" s="198"/>
      <c r="S24" s="198"/>
      <c r="T24" s="198"/>
      <c r="U24" s="198"/>
    </row>
    <row r="25" spans="1:21" s="12" customFormat="1" x14ac:dyDescent="0.25">
      <c r="A25" s="213" t="s">
        <v>1124</v>
      </c>
      <c r="B25" s="64">
        <v>4.82</v>
      </c>
      <c r="C25" s="64">
        <v>10.82</v>
      </c>
      <c r="D25" s="64">
        <v>9.51</v>
      </c>
      <c r="E25" s="64">
        <v>4.92</v>
      </c>
      <c r="F25" s="64">
        <v>2.84</v>
      </c>
      <c r="G25" s="64">
        <v>22.3</v>
      </c>
      <c r="H25" s="64">
        <v>2.64</v>
      </c>
      <c r="I25" s="64">
        <v>0.49</v>
      </c>
      <c r="J25" s="64">
        <v>0.28000000000000003</v>
      </c>
      <c r="K25" s="64">
        <v>289.5</v>
      </c>
      <c r="L25" s="64">
        <v>22</v>
      </c>
      <c r="M25" s="64">
        <v>98.33</v>
      </c>
      <c r="N25" s="64">
        <v>54.6</v>
      </c>
      <c r="O25" s="64">
        <v>0</v>
      </c>
      <c r="P25" s="64">
        <v>0.15</v>
      </c>
      <c r="Q25" s="64">
        <v>8.93</v>
      </c>
      <c r="R25" s="198"/>
      <c r="S25" s="198"/>
      <c r="T25" s="198"/>
      <c r="U25" s="198"/>
    </row>
    <row r="26" spans="1:21" s="12" customFormat="1" x14ac:dyDescent="0.25">
      <c r="A26" s="213" t="s">
        <v>1125</v>
      </c>
      <c r="B26" s="64">
        <v>4.8</v>
      </c>
      <c r="C26" s="64">
        <v>10.73</v>
      </c>
      <c r="D26" s="64">
        <v>9.4499999999999993</v>
      </c>
      <c r="E26" s="64">
        <v>4.99</v>
      </c>
      <c r="F26" s="64">
        <v>4.09</v>
      </c>
      <c r="G26" s="64">
        <v>21.57</v>
      </c>
      <c r="H26" s="64">
        <v>2.37</v>
      </c>
      <c r="I26" s="64">
        <v>0.47</v>
      </c>
      <c r="J26" s="64">
        <v>0.25</v>
      </c>
      <c r="K26" s="64">
        <v>298.95999999999998</v>
      </c>
      <c r="L26" s="64">
        <v>22.07</v>
      </c>
      <c r="M26" s="64">
        <v>98.34</v>
      </c>
      <c r="N26" s="64">
        <v>54.6</v>
      </c>
      <c r="O26" s="64">
        <v>0</v>
      </c>
      <c r="P26" s="64">
        <v>0.16</v>
      </c>
      <c r="Q26" s="64">
        <v>8.93</v>
      </c>
      <c r="R26" s="198"/>
      <c r="S26" s="198"/>
      <c r="T26" s="198"/>
      <c r="U26" s="198"/>
    </row>
    <row r="27" spans="1:21" s="12" customFormat="1" x14ac:dyDescent="0.25">
      <c r="A27" s="213" t="s">
        <v>1126</v>
      </c>
      <c r="B27" s="64">
        <v>4.8499999999999996</v>
      </c>
      <c r="C27" s="64">
        <v>10.82</v>
      </c>
      <c r="D27" s="64">
        <v>9.5399999999999991</v>
      </c>
      <c r="E27" s="64">
        <v>4.8</v>
      </c>
      <c r="F27" s="64">
        <v>3.1</v>
      </c>
      <c r="G27" s="64">
        <v>21.57</v>
      </c>
      <c r="H27" s="64">
        <v>2.37</v>
      </c>
      <c r="I27" s="64">
        <v>0.46</v>
      </c>
      <c r="J27" s="64">
        <v>0.24</v>
      </c>
      <c r="K27" s="64">
        <v>294.39999999999998</v>
      </c>
      <c r="L27" s="64">
        <v>22.05</v>
      </c>
      <c r="M27" s="64">
        <v>98.74</v>
      </c>
      <c r="N27" s="64">
        <v>54.6</v>
      </c>
      <c r="O27" s="64">
        <v>0</v>
      </c>
      <c r="P27" s="64">
        <v>0.15</v>
      </c>
      <c r="Q27" s="64">
        <v>8.94</v>
      </c>
      <c r="R27" s="198"/>
      <c r="S27" s="198"/>
      <c r="T27" s="198"/>
      <c r="U27" s="198"/>
    </row>
    <row r="28" spans="1:21" s="12" customFormat="1" x14ac:dyDescent="0.25">
      <c r="A28" s="213" t="s">
        <v>1127</v>
      </c>
      <c r="B28" s="64">
        <v>5.07</v>
      </c>
      <c r="C28" s="64">
        <v>10.83</v>
      </c>
      <c r="D28" s="64">
        <v>9.7200000000000006</v>
      </c>
      <c r="E28" s="64">
        <v>4.82</v>
      </c>
      <c r="F28" s="64">
        <v>3.99</v>
      </c>
      <c r="G28" s="64">
        <v>21.57</v>
      </c>
      <c r="H28" s="64">
        <v>2.37</v>
      </c>
      <c r="I28" s="64">
        <v>0.46</v>
      </c>
      <c r="J28" s="64">
        <v>0.28000000000000003</v>
      </c>
      <c r="K28" s="64">
        <v>294.27999999999997</v>
      </c>
      <c r="L28" s="64">
        <v>22.08</v>
      </c>
      <c r="M28" s="64">
        <v>98.51</v>
      </c>
      <c r="N28" s="64">
        <v>54.6</v>
      </c>
      <c r="O28" s="64">
        <v>0</v>
      </c>
      <c r="P28" s="64">
        <v>0.15</v>
      </c>
      <c r="Q28" s="64">
        <v>8.94</v>
      </c>
      <c r="R28" s="198"/>
      <c r="S28" s="198"/>
      <c r="T28" s="198"/>
      <c r="U28" s="198"/>
    </row>
    <row r="29" spans="1:21" s="12" customFormat="1" x14ac:dyDescent="0.25">
      <c r="A29" s="213" t="s">
        <v>1128</v>
      </c>
      <c r="B29" s="64">
        <v>5.19</v>
      </c>
      <c r="C29" s="64">
        <v>10.91</v>
      </c>
      <c r="D29" s="64">
        <v>9.86</v>
      </c>
      <c r="E29" s="64">
        <v>5.05</v>
      </c>
      <c r="F29" s="64">
        <v>2.97</v>
      </c>
      <c r="G29" s="64">
        <v>24.27</v>
      </c>
      <c r="H29" s="64">
        <v>2.2200000000000002</v>
      </c>
      <c r="I29" s="64">
        <v>0.46</v>
      </c>
      <c r="J29" s="64">
        <v>0.26</v>
      </c>
      <c r="K29" s="64">
        <v>291.02</v>
      </c>
      <c r="L29" s="64">
        <v>22.05</v>
      </c>
      <c r="M29" s="64">
        <v>98.34</v>
      </c>
      <c r="N29" s="64">
        <v>54.6</v>
      </c>
      <c r="O29" s="64">
        <v>0</v>
      </c>
      <c r="P29" s="64">
        <v>0.15</v>
      </c>
      <c r="Q29" s="64">
        <v>8.94</v>
      </c>
      <c r="R29" s="198"/>
      <c r="S29" s="198"/>
      <c r="T29" s="198"/>
      <c r="U29" s="198"/>
    </row>
    <row r="30" spans="1:21" s="12" customFormat="1" x14ac:dyDescent="0.25">
      <c r="A30" s="213" t="s">
        <v>1129</v>
      </c>
      <c r="B30" s="64">
        <v>5.3</v>
      </c>
      <c r="C30" s="64">
        <v>10.97</v>
      </c>
      <c r="D30" s="64">
        <v>9.98</v>
      </c>
      <c r="E30" s="64">
        <v>5.05</v>
      </c>
      <c r="F30" s="64">
        <v>3.72</v>
      </c>
      <c r="G30" s="64">
        <v>25.9</v>
      </c>
      <c r="H30" s="64">
        <v>2.14</v>
      </c>
      <c r="I30" s="64">
        <v>0.45</v>
      </c>
      <c r="J30" s="64">
        <v>0.2</v>
      </c>
      <c r="K30" s="64">
        <v>298.47000000000003</v>
      </c>
      <c r="L30" s="64">
        <v>22.09</v>
      </c>
      <c r="M30" s="64">
        <v>98.36</v>
      </c>
      <c r="N30" s="64">
        <v>54.6</v>
      </c>
      <c r="O30" s="64">
        <v>0</v>
      </c>
      <c r="P30" s="64">
        <v>0.14000000000000001</v>
      </c>
      <c r="Q30" s="64">
        <v>8.9499999999999993</v>
      </c>
      <c r="R30" s="198"/>
      <c r="S30" s="198"/>
      <c r="T30" s="198"/>
      <c r="U30" s="198"/>
    </row>
    <row r="31" spans="1:21" s="12" customFormat="1" x14ac:dyDescent="0.25">
      <c r="A31" s="213" t="s">
        <v>1130</v>
      </c>
      <c r="B31" s="64">
        <v>5.61</v>
      </c>
      <c r="C31" s="64">
        <v>11.08</v>
      </c>
      <c r="D31" s="64">
        <v>10.29</v>
      </c>
      <c r="E31" s="64">
        <v>5.04</v>
      </c>
      <c r="F31" s="64">
        <v>2.96</v>
      </c>
      <c r="G31" s="64">
        <v>25.9</v>
      </c>
      <c r="H31" s="64">
        <v>2.14</v>
      </c>
      <c r="I31" s="64">
        <v>0.46</v>
      </c>
      <c r="J31" s="64">
        <v>0.2</v>
      </c>
      <c r="K31" s="64">
        <v>295.72000000000003</v>
      </c>
      <c r="L31" s="64">
        <v>21.95</v>
      </c>
      <c r="M31" s="64">
        <v>98.77</v>
      </c>
      <c r="N31" s="64">
        <v>55.7</v>
      </c>
      <c r="O31" s="64">
        <v>0.4</v>
      </c>
      <c r="P31" s="64">
        <v>0.15</v>
      </c>
      <c r="Q31" s="64">
        <v>8.9499999999999993</v>
      </c>
      <c r="R31" s="198"/>
      <c r="S31" s="198"/>
      <c r="T31" s="198"/>
      <c r="U31" s="198"/>
    </row>
    <row r="32" spans="1:21" s="12" customFormat="1" x14ac:dyDescent="0.25">
      <c r="A32" s="213" t="s">
        <v>1131</v>
      </c>
      <c r="B32" s="64">
        <v>5.87</v>
      </c>
      <c r="C32" s="64">
        <v>11.17</v>
      </c>
      <c r="D32" s="64">
        <v>10.55</v>
      </c>
      <c r="E32" s="64">
        <v>4.82</v>
      </c>
      <c r="F32" s="64">
        <v>2.92</v>
      </c>
      <c r="G32" s="64">
        <v>25.9</v>
      </c>
      <c r="H32" s="64">
        <v>2.14</v>
      </c>
      <c r="I32" s="64">
        <v>0.47</v>
      </c>
      <c r="J32" s="64">
        <v>0.16</v>
      </c>
      <c r="K32" s="64">
        <v>294.26</v>
      </c>
      <c r="L32" s="64">
        <v>21.91</v>
      </c>
      <c r="M32" s="64">
        <v>98.52</v>
      </c>
      <c r="N32" s="64">
        <v>57.7</v>
      </c>
      <c r="O32" s="64">
        <v>0</v>
      </c>
      <c r="P32" s="64">
        <v>0.15</v>
      </c>
      <c r="Q32" s="64">
        <v>8.9600000000000009</v>
      </c>
      <c r="R32" s="198"/>
      <c r="S32" s="198"/>
      <c r="T32" s="198"/>
      <c r="U32" s="198"/>
    </row>
    <row r="33" spans="1:21" s="12" customFormat="1" x14ac:dyDescent="0.25">
      <c r="A33" s="213" t="s">
        <v>1132</v>
      </c>
      <c r="B33" s="64">
        <v>6.29</v>
      </c>
      <c r="C33" s="64">
        <v>11.19</v>
      </c>
      <c r="D33" s="64">
        <v>10.89</v>
      </c>
      <c r="E33" s="64">
        <v>4.93</v>
      </c>
      <c r="F33" s="64">
        <v>3.39</v>
      </c>
      <c r="G33" s="64">
        <v>26.54</v>
      </c>
      <c r="H33" s="64">
        <v>1.77</v>
      </c>
      <c r="I33" s="64">
        <v>0.49</v>
      </c>
      <c r="J33" s="64">
        <v>0.17</v>
      </c>
      <c r="K33" s="64">
        <v>304.67</v>
      </c>
      <c r="L33" s="64">
        <v>21.94</v>
      </c>
      <c r="M33" s="64">
        <v>98.37</v>
      </c>
      <c r="N33" s="64">
        <v>61.4</v>
      </c>
      <c r="O33" s="64">
        <v>0</v>
      </c>
      <c r="P33" s="64">
        <v>0.18</v>
      </c>
      <c r="Q33" s="64">
        <v>8.9600000000000009</v>
      </c>
      <c r="R33" s="198"/>
      <c r="S33" s="198"/>
      <c r="T33" s="198"/>
      <c r="U33" s="198"/>
    </row>
    <row r="34" spans="1:21" s="12" customFormat="1" x14ac:dyDescent="0.25">
      <c r="A34" s="213" t="s">
        <v>1133</v>
      </c>
      <c r="B34" s="64">
        <v>7.25</v>
      </c>
      <c r="C34" s="64">
        <v>11.73</v>
      </c>
      <c r="D34" s="64">
        <v>11.94</v>
      </c>
      <c r="E34" s="64">
        <v>5.18</v>
      </c>
      <c r="F34" s="64">
        <v>3.65</v>
      </c>
      <c r="G34" s="64">
        <v>26.92</v>
      </c>
      <c r="H34" s="64">
        <v>1.55</v>
      </c>
      <c r="I34" s="64">
        <v>0.5</v>
      </c>
      <c r="J34" s="64">
        <v>0.13</v>
      </c>
      <c r="K34" s="64">
        <v>303.42</v>
      </c>
      <c r="L34" s="64">
        <v>22.09</v>
      </c>
      <c r="M34" s="64">
        <v>98.37</v>
      </c>
      <c r="N34" s="64">
        <v>65.400000000000006</v>
      </c>
      <c r="O34" s="64">
        <v>0</v>
      </c>
      <c r="P34" s="64">
        <v>0.18</v>
      </c>
      <c r="Q34" s="64">
        <v>8.99</v>
      </c>
      <c r="R34" s="198"/>
      <c r="S34" s="198"/>
      <c r="T34" s="198"/>
      <c r="U34" s="198"/>
    </row>
    <row r="35" spans="1:21" s="12" customFormat="1" x14ac:dyDescent="0.25">
      <c r="A35" s="213" t="s">
        <v>1134</v>
      </c>
      <c r="B35" s="64">
        <v>8.06</v>
      </c>
      <c r="C35" s="64">
        <v>13.99</v>
      </c>
      <c r="D35" s="64">
        <v>13.77</v>
      </c>
      <c r="E35" s="64">
        <v>4.76</v>
      </c>
      <c r="F35" s="64">
        <v>3.06</v>
      </c>
      <c r="G35" s="64">
        <v>26.92</v>
      </c>
      <c r="H35" s="64">
        <v>1.55</v>
      </c>
      <c r="I35" s="64">
        <v>0.53</v>
      </c>
      <c r="J35" s="64">
        <v>0.15</v>
      </c>
      <c r="K35" s="64">
        <v>295.10000000000002</v>
      </c>
      <c r="L35" s="64">
        <v>22.05</v>
      </c>
      <c r="M35" s="64">
        <v>98.78</v>
      </c>
      <c r="N35" s="64">
        <v>68.2</v>
      </c>
      <c r="O35" s="64">
        <v>0</v>
      </c>
      <c r="P35" s="64">
        <v>0.2</v>
      </c>
      <c r="Q35" s="64">
        <v>9.0299999999999994</v>
      </c>
      <c r="R35" s="198"/>
      <c r="S35" s="198"/>
      <c r="T35" s="198"/>
      <c r="U35" s="198"/>
    </row>
    <row r="36" spans="1:21" s="12" customFormat="1" x14ac:dyDescent="0.25">
      <c r="A36" s="213" t="s">
        <v>1135</v>
      </c>
      <c r="B36" s="64">
        <v>8.31</v>
      </c>
      <c r="C36" s="64">
        <v>12.02</v>
      </c>
      <c r="D36" s="64">
        <v>12.94</v>
      </c>
      <c r="E36" s="64">
        <v>4.8899999999999997</v>
      </c>
      <c r="F36" s="64">
        <v>3.29</v>
      </c>
      <c r="G36" s="64">
        <v>26.92</v>
      </c>
      <c r="H36" s="64">
        <v>1.55</v>
      </c>
      <c r="I36" s="64">
        <v>0.56999999999999995</v>
      </c>
      <c r="J36" s="64">
        <v>0.14000000000000001</v>
      </c>
      <c r="K36" s="64">
        <v>293.70999999999998</v>
      </c>
      <c r="L36" s="64">
        <v>22.08</v>
      </c>
      <c r="M36" s="64">
        <v>98.52</v>
      </c>
      <c r="N36" s="64">
        <v>73.5</v>
      </c>
      <c r="O36" s="64">
        <v>0</v>
      </c>
      <c r="P36" s="64">
        <v>0.22</v>
      </c>
      <c r="Q36" s="64">
        <v>9.0500000000000007</v>
      </c>
      <c r="R36" s="198"/>
      <c r="S36" s="198"/>
      <c r="T36" s="198"/>
      <c r="U36" s="198"/>
    </row>
    <row r="37" spans="1:21" s="12" customFormat="1" x14ac:dyDescent="0.25">
      <c r="A37" s="213" t="s">
        <v>1136</v>
      </c>
      <c r="B37" s="64">
        <v>12.06</v>
      </c>
      <c r="C37" s="64">
        <v>12.67</v>
      </c>
      <c r="D37" s="64">
        <v>16.29</v>
      </c>
      <c r="E37" s="64">
        <v>4.88</v>
      </c>
      <c r="F37" s="64">
        <v>4.0599999999999996</v>
      </c>
      <c r="G37" s="64">
        <v>26.56</v>
      </c>
      <c r="H37" s="64">
        <v>3.85</v>
      </c>
      <c r="I37" s="64">
        <v>0.61</v>
      </c>
      <c r="J37" s="64">
        <v>0.12</v>
      </c>
      <c r="K37" s="64">
        <v>302.79000000000002</v>
      </c>
      <c r="L37" s="64">
        <v>22.17</v>
      </c>
      <c r="M37" s="64">
        <v>98.38</v>
      </c>
      <c r="N37" s="64">
        <v>84.8</v>
      </c>
      <c r="O37" s="64">
        <v>0</v>
      </c>
      <c r="P37" s="64">
        <v>0.24</v>
      </c>
      <c r="Q37" s="64">
        <v>9.06</v>
      </c>
      <c r="R37" s="198"/>
      <c r="S37" s="198"/>
      <c r="T37" s="198"/>
      <c r="U37" s="198"/>
    </row>
    <row r="38" spans="1:21" s="12" customFormat="1" x14ac:dyDescent="0.25">
      <c r="A38" s="213" t="s">
        <v>1137</v>
      </c>
      <c r="B38" s="64">
        <v>10.71</v>
      </c>
      <c r="C38" s="64">
        <v>12.61</v>
      </c>
      <c r="D38" s="64">
        <v>15.18</v>
      </c>
      <c r="E38" s="64">
        <v>4.91</v>
      </c>
      <c r="F38" s="64">
        <v>3.73</v>
      </c>
      <c r="G38" s="64">
        <v>26.34</v>
      </c>
      <c r="H38" s="64">
        <v>5.24</v>
      </c>
      <c r="I38" s="64">
        <v>0.67</v>
      </c>
      <c r="J38" s="64">
        <v>0.15</v>
      </c>
      <c r="K38" s="64">
        <v>295.33</v>
      </c>
      <c r="L38" s="64">
        <v>22.38</v>
      </c>
      <c r="M38" s="64">
        <v>98.77</v>
      </c>
      <c r="N38" s="64">
        <v>96.5</v>
      </c>
      <c r="O38" s="64">
        <v>0</v>
      </c>
      <c r="P38" s="64">
        <v>0.27</v>
      </c>
      <c r="Q38" s="64">
        <v>9.1</v>
      </c>
      <c r="R38" s="198"/>
      <c r="S38" s="198"/>
      <c r="T38" s="198"/>
      <c r="U38" s="198"/>
    </row>
    <row r="39" spans="1:21" s="12" customFormat="1" x14ac:dyDescent="0.25">
      <c r="A39" s="213" t="s">
        <v>1138</v>
      </c>
      <c r="B39" s="64">
        <v>9.66</v>
      </c>
      <c r="C39" s="64">
        <v>11.22</v>
      </c>
      <c r="D39" s="64">
        <v>13.6</v>
      </c>
      <c r="E39" s="64">
        <v>5.12</v>
      </c>
      <c r="F39" s="64">
        <v>3.34</v>
      </c>
      <c r="G39" s="64">
        <v>26.34</v>
      </c>
      <c r="H39" s="64">
        <v>5.24</v>
      </c>
      <c r="I39" s="64">
        <v>0.73</v>
      </c>
      <c r="J39" s="64">
        <v>0.13</v>
      </c>
      <c r="K39" s="64">
        <v>285.73</v>
      </c>
      <c r="L39" s="64">
        <v>22.46</v>
      </c>
      <c r="M39" s="64">
        <v>98.95</v>
      </c>
      <c r="N39" s="64">
        <v>106.9</v>
      </c>
      <c r="O39" s="64">
        <v>0</v>
      </c>
      <c r="P39" s="64">
        <v>0.27</v>
      </c>
      <c r="Q39" s="64">
        <v>9.1199999999999992</v>
      </c>
      <c r="R39" s="198"/>
      <c r="S39" s="198"/>
      <c r="T39" s="198"/>
      <c r="U39" s="198"/>
    </row>
    <row r="40" spans="1:21" s="12" customFormat="1" x14ac:dyDescent="0.25">
      <c r="A40" s="213" t="s">
        <v>1139</v>
      </c>
      <c r="B40" s="64">
        <v>9.92</v>
      </c>
      <c r="C40" s="64">
        <v>11.16</v>
      </c>
      <c r="D40" s="64">
        <v>13.78</v>
      </c>
      <c r="E40" s="64">
        <v>3.64</v>
      </c>
      <c r="F40" s="64">
        <v>3.72</v>
      </c>
      <c r="G40" s="64">
        <v>26.34</v>
      </c>
      <c r="H40" s="64">
        <v>5.24</v>
      </c>
      <c r="I40" s="64">
        <v>0.78</v>
      </c>
      <c r="J40" s="64">
        <v>0.15</v>
      </c>
      <c r="K40" s="64">
        <v>283.62</v>
      </c>
      <c r="L40" s="64">
        <v>22.69</v>
      </c>
      <c r="M40" s="64">
        <v>98.95</v>
      </c>
      <c r="N40" s="64">
        <v>122.9</v>
      </c>
      <c r="O40" s="64">
        <v>0</v>
      </c>
      <c r="P40" s="64">
        <v>0.28000000000000003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3" t="s">
        <v>1140</v>
      </c>
      <c r="B41" s="64">
        <v>10.42</v>
      </c>
      <c r="C41" s="64">
        <v>10.9</v>
      </c>
      <c r="D41" s="64">
        <v>14.05</v>
      </c>
      <c r="E41" s="64">
        <v>3.89</v>
      </c>
      <c r="F41" s="64">
        <v>2.68</v>
      </c>
      <c r="G41" s="64">
        <v>26.58</v>
      </c>
      <c r="H41" s="64">
        <v>7.6</v>
      </c>
      <c r="I41" s="64">
        <v>0.82</v>
      </c>
      <c r="J41" s="64">
        <v>0.17</v>
      </c>
      <c r="K41" s="64">
        <v>284.2</v>
      </c>
      <c r="L41" s="64">
        <v>22.94</v>
      </c>
      <c r="M41" s="64">
        <v>98.93</v>
      </c>
      <c r="N41" s="64">
        <v>146.5</v>
      </c>
      <c r="O41" s="64">
        <v>0</v>
      </c>
      <c r="P41" s="64">
        <v>0.27</v>
      </c>
      <c r="Q41" s="64">
        <v>9.14</v>
      </c>
      <c r="R41" s="198"/>
      <c r="S41" s="198"/>
      <c r="T41" s="198"/>
      <c r="U41" s="198"/>
    </row>
    <row r="42" spans="1:21" s="12" customFormat="1" x14ac:dyDescent="0.25">
      <c r="A42" s="213" t="s">
        <v>1141</v>
      </c>
      <c r="B42" s="64">
        <v>10.38</v>
      </c>
      <c r="C42" s="64">
        <v>11.08</v>
      </c>
      <c r="D42" s="64">
        <v>14.11</v>
      </c>
      <c r="E42" s="64">
        <v>4.47</v>
      </c>
      <c r="F42" s="64">
        <v>2.97</v>
      </c>
      <c r="G42" s="64">
        <v>26.73</v>
      </c>
      <c r="H42" s="64">
        <v>9.0299999999999994</v>
      </c>
      <c r="I42" s="64">
        <v>0.86</v>
      </c>
      <c r="J42" s="64">
        <v>0.18</v>
      </c>
      <c r="K42" s="64">
        <v>296.01</v>
      </c>
      <c r="L42" s="64">
        <v>23.18</v>
      </c>
      <c r="M42" s="64">
        <v>98.92</v>
      </c>
      <c r="N42" s="64">
        <v>177</v>
      </c>
      <c r="O42" s="64">
        <v>0</v>
      </c>
      <c r="P42" s="64">
        <v>0.28999999999999998</v>
      </c>
      <c r="Q42" s="64">
        <v>9.1199999999999992</v>
      </c>
      <c r="R42" s="198"/>
      <c r="S42" s="198"/>
      <c r="T42" s="198"/>
      <c r="U42" s="198"/>
    </row>
    <row r="43" spans="1:21" s="12" customFormat="1" x14ac:dyDescent="0.25">
      <c r="A43" s="213" t="s">
        <v>1142</v>
      </c>
      <c r="B43" s="64">
        <v>10.7</v>
      </c>
      <c r="C43" s="64">
        <v>11.08</v>
      </c>
      <c r="D43" s="64">
        <v>14.37</v>
      </c>
      <c r="E43" s="64">
        <v>4.2699999999999996</v>
      </c>
      <c r="F43" s="64">
        <v>3.53</v>
      </c>
      <c r="G43" s="64">
        <v>26.73</v>
      </c>
      <c r="H43" s="64">
        <v>9.0299999999999994</v>
      </c>
      <c r="I43" s="64">
        <v>0.89</v>
      </c>
      <c r="J43" s="64">
        <v>0.16</v>
      </c>
      <c r="K43" s="64">
        <v>289.17</v>
      </c>
      <c r="L43" s="64">
        <v>23.35</v>
      </c>
      <c r="M43" s="64">
        <v>98.92</v>
      </c>
      <c r="N43" s="64">
        <v>229.3</v>
      </c>
      <c r="O43" s="64">
        <v>0</v>
      </c>
      <c r="P43" s="64">
        <v>0.3</v>
      </c>
      <c r="Q43" s="64">
        <v>9.1300000000000008</v>
      </c>
      <c r="R43" s="198"/>
      <c r="S43" s="198"/>
      <c r="T43" s="198"/>
      <c r="U43" s="198"/>
    </row>
    <row r="44" spans="1:21" s="12" customFormat="1" x14ac:dyDescent="0.25">
      <c r="A44" s="213" t="s">
        <v>1143</v>
      </c>
      <c r="B44" s="64">
        <v>10.42</v>
      </c>
      <c r="C44" s="64">
        <v>11.46</v>
      </c>
      <c r="D44" s="64">
        <v>14.35</v>
      </c>
      <c r="E44" s="64">
        <v>4.1100000000000003</v>
      </c>
      <c r="F44" s="64">
        <v>3.1</v>
      </c>
      <c r="G44" s="64">
        <v>26.73</v>
      </c>
      <c r="H44" s="64">
        <v>9.0299999999999994</v>
      </c>
      <c r="I44" s="64">
        <v>0.93</v>
      </c>
      <c r="J44" s="64">
        <v>0.23</v>
      </c>
      <c r="K44" s="64">
        <v>288.62</v>
      </c>
      <c r="L44" s="64">
        <v>23.8</v>
      </c>
      <c r="M44" s="64">
        <v>98.92</v>
      </c>
      <c r="N44" s="64">
        <v>234.2</v>
      </c>
      <c r="O44" s="64">
        <v>0</v>
      </c>
      <c r="P44" s="64">
        <v>0.32</v>
      </c>
      <c r="Q44" s="64">
        <v>9.1199999999999992</v>
      </c>
      <c r="R44" s="198"/>
      <c r="S44" s="198"/>
      <c r="T44" s="198"/>
      <c r="U44" s="198"/>
    </row>
    <row r="45" spans="1:21" s="12" customFormat="1" x14ac:dyDescent="0.25">
      <c r="A45" s="213" t="s">
        <v>1144</v>
      </c>
      <c r="B45" s="64">
        <v>10.39</v>
      </c>
      <c r="C45" s="64">
        <v>12.1</v>
      </c>
      <c r="D45" s="64">
        <v>14.66</v>
      </c>
      <c r="E45" s="64">
        <v>3.88</v>
      </c>
      <c r="F45" s="64">
        <v>3.66</v>
      </c>
      <c r="G45" s="64">
        <v>29.47</v>
      </c>
      <c r="H45" s="64">
        <v>10.65</v>
      </c>
      <c r="I45" s="64">
        <v>0.98</v>
      </c>
      <c r="J45" s="64">
        <v>0.19</v>
      </c>
      <c r="K45" s="64">
        <v>285.94</v>
      </c>
      <c r="L45" s="64">
        <v>24.02</v>
      </c>
      <c r="M45" s="64">
        <v>98.89</v>
      </c>
      <c r="N45" s="64">
        <v>173.2</v>
      </c>
      <c r="O45" s="64">
        <v>0</v>
      </c>
      <c r="P45" s="64">
        <v>0.32</v>
      </c>
      <c r="Q45" s="64">
        <v>9.1199999999999992</v>
      </c>
      <c r="R45" s="198"/>
      <c r="S45" s="198"/>
      <c r="T45" s="198"/>
      <c r="U45" s="198"/>
    </row>
    <row r="46" spans="1:21" s="12" customFormat="1" x14ac:dyDescent="0.25">
      <c r="A46" s="213" t="s">
        <v>1145</v>
      </c>
      <c r="B46" s="64">
        <v>10.53</v>
      </c>
      <c r="C46" s="64">
        <v>12.19</v>
      </c>
      <c r="D46" s="64">
        <v>14.81</v>
      </c>
      <c r="E46" s="64">
        <v>4.3899999999999997</v>
      </c>
      <c r="F46" s="64">
        <v>3.11</v>
      </c>
      <c r="G46" s="64">
        <v>31.12</v>
      </c>
      <c r="H46" s="64">
        <v>11.63</v>
      </c>
      <c r="I46" s="64">
        <v>1.01</v>
      </c>
      <c r="J46" s="64">
        <v>0.23</v>
      </c>
      <c r="K46" s="64">
        <v>283.19</v>
      </c>
      <c r="L46" s="64">
        <v>24.22</v>
      </c>
      <c r="M46" s="64">
        <v>98.9</v>
      </c>
      <c r="N46" s="64">
        <v>209.2</v>
      </c>
      <c r="O46" s="64">
        <v>0</v>
      </c>
      <c r="P46" s="64">
        <v>0.36</v>
      </c>
      <c r="Q46" s="64">
        <v>9.1300000000000008</v>
      </c>
      <c r="R46" s="198"/>
      <c r="S46" s="198"/>
      <c r="T46" s="198"/>
      <c r="U46" s="198"/>
    </row>
    <row r="47" spans="1:21" s="12" customFormat="1" x14ac:dyDescent="0.25">
      <c r="A47" s="213" t="s">
        <v>1146</v>
      </c>
      <c r="B47" s="64">
        <v>10.54</v>
      </c>
      <c r="C47" s="64">
        <v>12.58</v>
      </c>
      <c r="D47" s="64">
        <v>15.03</v>
      </c>
      <c r="E47" s="64">
        <v>3.98</v>
      </c>
      <c r="F47" s="64">
        <v>3.83</v>
      </c>
      <c r="G47" s="64">
        <v>31.12</v>
      </c>
      <c r="H47" s="64">
        <v>11.63</v>
      </c>
      <c r="I47" s="64">
        <v>1.06</v>
      </c>
      <c r="J47" s="64">
        <v>0.26</v>
      </c>
      <c r="K47" s="64">
        <v>283.29000000000002</v>
      </c>
      <c r="L47" s="64">
        <v>24.51</v>
      </c>
      <c r="M47" s="64">
        <v>98.9</v>
      </c>
      <c r="N47" s="64">
        <v>200.2</v>
      </c>
      <c r="O47" s="64">
        <v>0</v>
      </c>
      <c r="P47" s="64">
        <v>0.38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3" t="s">
        <v>1147</v>
      </c>
      <c r="B48" s="64">
        <v>10.75</v>
      </c>
      <c r="C48" s="64">
        <v>13.09</v>
      </c>
      <c r="D48" s="64">
        <v>15.46</v>
      </c>
      <c r="E48" s="64">
        <v>4.0599999999999996</v>
      </c>
      <c r="F48" s="64">
        <v>3.07</v>
      </c>
      <c r="G48" s="64">
        <v>31.12</v>
      </c>
      <c r="H48" s="64">
        <v>11.63</v>
      </c>
      <c r="I48" s="64">
        <v>1.1299999999999999</v>
      </c>
      <c r="J48" s="64">
        <v>0.19</v>
      </c>
      <c r="K48" s="64">
        <v>283.74</v>
      </c>
      <c r="L48" s="64">
        <v>24.98</v>
      </c>
      <c r="M48" s="64">
        <v>98.89</v>
      </c>
      <c r="N48" s="64">
        <v>191.3</v>
      </c>
      <c r="O48" s="64">
        <v>0</v>
      </c>
      <c r="P48" s="64">
        <v>0.44</v>
      </c>
      <c r="Q48" s="64">
        <v>9.14</v>
      </c>
      <c r="R48" s="198"/>
      <c r="S48" s="198"/>
      <c r="T48" s="198"/>
      <c r="U48" s="198"/>
    </row>
    <row r="49" spans="1:21" s="12" customFormat="1" x14ac:dyDescent="0.25">
      <c r="A49" s="213" t="s">
        <v>1148</v>
      </c>
      <c r="B49" s="64">
        <v>11.79</v>
      </c>
      <c r="C49" s="64">
        <v>14.25</v>
      </c>
      <c r="D49" s="64">
        <v>16.899999999999999</v>
      </c>
      <c r="E49" s="64">
        <v>4.09</v>
      </c>
      <c r="F49" s="64">
        <v>3.35</v>
      </c>
      <c r="G49" s="64">
        <v>38.29</v>
      </c>
      <c r="H49" s="64">
        <v>14.1</v>
      </c>
      <c r="I49" s="64">
        <v>1.24</v>
      </c>
      <c r="J49" s="64">
        <v>0.22</v>
      </c>
      <c r="K49" s="64">
        <v>287.37</v>
      </c>
      <c r="L49" s="64">
        <v>25.44</v>
      </c>
      <c r="M49" s="64">
        <v>98.88</v>
      </c>
      <c r="N49" s="64">
        <v>263.10000000000002</v>
      </c>
      <c r="O49" s="64">
        <v>0</v>
      </c>
      <c r="P49" s="64">
        <v>0.49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3" t="s">
        <v>1149</v>
      </c>
      <c r="B50" s="64">
        <v>11.83</v>
      </c>
      <c r="C50" s="64">
        <v>13.74</v>
      </c>
      <c r="D50" s="64">
        <v>16.670000000000002</v>
      </c>
      <c r="E50" s="64">
        <v>3.89</v>
      </c>
      <c r="F50" s="64">
        <v>3.32</v>
      </c>
      <c r="G50" s="64">
        <v>42.64</v>
      </c>
      <c r="H50" s="64">
        <v>15.6</v>
      </c>
      <c r="I50" s="64">
        <v>1.38</v>
      </c>
      <c r="J50" s="64">
        <v>0.27</v>
      </c>
      <c r="K50" s="64">
        <v>282.05</v>
      </c>
      <c r="L50" s="64">
        <v>26.44</v>
      </c>
      <c r="M50" s="64">
        <v>98.76</v>
      </c>
      <c r="N50" s="64">
        <v>428.2</v>
      </c>
      <c r="O50" s="64">
        <v>0</v>
      </c>
      <c r="P50" s="64">
        <v>0.53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3" t="s">
        <v>1150</v>
      </c>
      <c r="B51" s="64">
        <v>12.5</v>
      </c>
      <c r="C51" s="64">
        <v>16.29</v>
      </c>
      <c r="D51" s="64">
        <v>18.54</v>
      </c>
      <c r="E51" s="64">
        <v>4.01</v>
      </c>
      <c r="F51" s="64">
        <v>4.18</v>
      </c>
      <c r="G51" s="64">
        <v>42.64</v>
      </c>
      <c r="H51" s="64">
        <v>15.6</v>
      </c>
      <c r="I51" s="64">
        <v>1.51</v>
      </c>
      <c r="J51" s="64">
        <v>0.28999999999999998</v>
      </c>
      <c r="K51" s="64">
        <v>286.70999999999998</v>
      </c>
      <c r="L51" s="64">
        <v>27.47</v>
      </c>
      <c r="M51" s="64">
        <v>96.24</v>
      </c>
      <c r="N51" s="64">
        <v>494.4</v>
      </c>
      <c r="O51" s="64">
        <v>0</v>
      </c>
      <c r="P51" s="64">
        <v>0.55000000000000004</v>
      </c>
      <c r="Q51" s="64">
        <v>9.1999999999999993</v>
      </c>
      <c r="R51" s="198"/>
      <c r="S51" s="198"/>
      <c r="T51" s="198"/>
      <c r="U51" s="198"/>
    </row>
    <row r="52" spans="1:21" s="12" customFormat="1" x14ac:dyDescent="0.25">
      <c r="A52" s="213" t="s">
        <v>1151</v>
      </c>
      <c r="B52" s="64">
        <v>11.82</v>
      </c>
      <c r="C52" s="64">
        <v>16.72</v>
      </c>
      <c r="D52" s="64">
        <v>18.22</v>
      </c>
      <c r="E52" s="64">
        <v>4.18</v>
      </c>
      <c r="F52" s="64">
        <v>3.79</v>
      </c>
      <c r="G52" s="64">
        <v>42.64</v>
      </c>
      <c r="H52" s="64">
        <v>15.6</v>
      </c>
      <c r="I52" s="64">
        <v>1.6</v>
      </c>
      <c r="J52" s="64">
        <v>0.35</v>
      </c>
      <c r="K52" s="64">
        <v>285.12</v>
      </c>
      <c r="L52" s="64">
        <v>27.89</v>
      </c>
      <c r="M52" s="64">
        <v>92.68</v>
      </c>
      <c r="N52" s="64">
        <v>538.79999999999995</v>
      </c>
      <c r="O52" s="64">
        <v>0</v>
      </c>
      <c r="P52" s="64">
        <v>0.55000000000000004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3" t="s">
        <v>1152</v>
      </c>
      <c r="B53" s="64">
        <v>11.29</v>
      </c>
      <c r="C53" s="64">
        <v>17.850000000000001</v>
      </c>
      <c r="D53" s="64">
        <v>18.38</v>
      </c>
      <c r="E53" s="64">
        <v>4.41</v>
      </c>
      <c r="F53" s="64">
        <v>4.28</v>
      </c>
      <c r="G53" s="64">
        <v>46.13</v>
      </c>
      <c r="H53" s="64">
        <v>17.579999999999998</v>
      </c>
      <c r="I53" s="64">
        <v>1.57</v>
      </c>
      <c r="J53" s="64">
        <v>0.33</v>
      </c>
      <c r="K53" s="64">
        <v>287.25</v>
      </c>
      <c r="L53" s="64">
        <v>27.62</v>
      </c>
      <c r="M53" s="64">
        <v>94.46</v>
      </c>
      <c r="N53" s="64">
        <v>509.9</v>
      </c>
      <c r="O53" s="64">
        <v>0</v>
      </c>
      <c r="P53" s="64">
        <v>0.55000000000000004</v>
      </c>
      <c r="Q53" s="64">
        <v>9.19</v>
      </c>
      <c r="R53" s="198"/>
      <c r="S53" s="198"/>
      <c r="T53" s="198"/>
      <c r="U53" s="198"/>
    </row>
    <row r="54" spans="1:21" s="12" customFormat="1" x14ac:dyDescent="0.25">
      <c r="A54" s="213" t="s">
        <v>1153</v>
      </c>
      <c r="B54" s="64">
        <v>9.07</v>
      </c>
      <c r="C54" s="64">
        <v>20.28</v>
      </c>
      <c r="D54" s="64">
        <v>17.86</v>
      </c>
      <c r="E54" s="64">
        <v>4.16</v>
      </c>
      <c r="F54" s="64">
        <v>5</v>
      </c>
      <c r="G54" s="64">
        <v>48.25</v>
      </c>
      <c r="H54" s="64">
        <v>18.78</v>
      </c>
      <c r="I54" s="64">
        <v>1.53</v>
      </c>
      <c r="J54" s="64">
        <v>0.27</v>
      </c>
      <c r="K54" s="64">
        <v>281.81</v>
      </c>
      <c r="L54" s="64">
        <v>27.77</v>
      </c>
      <c r="M54" s="64">
        <v>94.16</v>
      </c>
      <c r="N54" s="64">
        <v>347.9</v>
      </c>
      <c r="O54" s="64">
        <v>0</v>
      </c>
      <c r="P54" s="64">
        <v>0.53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3" t="s">
        <v>1154</v>
      </c>
      <c r="B55" s="64">
        <v>7.93</v>
      </c>
      <c r="C55" s="64">
        <v>19.920000000000002</v>
      </c>
      <c r="D55" s="64">
        <v>16.77</v>
      </c>
      <c r="E55" s="64">
        <v>3.94</v>
      </c>
      <c r="F55" s="64">
        <v>7.27</v>
      </c>
      <c r="G55" s="64">
        <v>48.25</v>
      </c>
      <c r="H55" s="64">
        <v>18.78</v>
      </c>
      <c r="I55" s="64">
        <v>1.53</v>
      </c>
      <c r="J55" s="64">
        <v>0.14000000000000001</v>
      </c>
      <c r="K55" s="64">
        <v>256.45</v>
      </c>
      <c r="L55" s="64">
        <v>26.75</v>
      </c>
      <c r="M55" s="64">
        <v>98.74</v>
      </c>
      <c r="N55" s="64">
        <v>242.4</v>
      </c>
      <c r="O55" s="64">
        <v>0</v>
      </c>
      <c r="P55" s="64">
        <v>0.56999999999999995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3" t="s">
        <v>1155</v>
      </c>
      <c r="B56" s="64">
        <v>7.17</v>
      </c>
      <c r="C56" s="64">
        <v>18.8</v>
      </c>
      <c r="D56" s="64">
        <v>15.58</v>
      </c>
      <c r="E56" s="64">
        <v>4.17</v>
      </c>
      <c r="F56" s="64">
        <v>8.48</v>
      </c>
      <c r="G56" s="64">
        <v>48.25</v>
      </c>
      <c r="H56" s="64">
        <v>18.78</v>
      </c>
      <c r="I56" s="64">
        <v>1.55</v>
      </c>
      <c r="J56" s="64">
        <v>0.15</v>
      </c>
      <c r="K56" s="64">
        <v>265.38</v>
      </c>
      <c r="L56" s="64">
        <v>26.22</v>
      </c>
      <c r="M56" s="64">
        <v>98.89</v>
      </c>
      <c r="N56" s="64">
        <v>262.39999999999998</v>
      </c>
      <c r="O56" s="64">
        <v>0</v>
      </c>
      <c r="P56" s="64">
        <v>0.59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3" t="s">
        <v>1156</v>
      </c>
      <c r="B57" s="64">
        <v>6.77</v>
      </c>
      <c r="C57" s="64">
        <v>17.3</v>
      </c>
      <c r="D57" s="64">
        <v>14.47</v>
      </c>
      <c r="E57" s="64">
        <v>4.1900000000000004</v>
      </c>
      <c r="F57" s="64">
        <v>6.09</v>
      </c>
      <c r="G57" s="64">
        <v>48.2</v>
      </c>
      <c r="H57" s="64">
        <v>15.37</v>
      </c>
      <c r="I57" s="64">
        <v>1.59</v>
      </c>
      <c r="J57" s="64">
        <v>0.2</v>
      </c>
      <c r="K57" s="64">
        <v>276.16000000000003</v>
      </c>
      <c r="L57" s="64">
        <v>25.98</v>
      </c>
      <c r="M57" s="64">
        <v>98.91</v>
      </c>
      <c r="N57" s="64">
        <v>265.60000000000002</v>
      </c>
      <c r="O57" s="64">
        <v>0</v>
      </c>
      <c r="P57" s="64">
        <v>0.54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3" t="s">
        <v>1157</v>
      </c>
      <c r="B58" s="64">
        <v>6.44</v>
      </c>
      <c r="C58" s="64">
        <v>16.850000000000001</v>
      </c>
      <c r="D58" s="64">
        <v>13.97</v>
      </c>
      <c r="E58" s="64">
        <v>4.24</v>
      </c>
      <c r="F58" s="64">
        <v>4.93</v>
      </c>
      <c r="G58" s="64">
        <v>48.18</v>
      </c>
      <c r="H58" s="64">
        <v>13.3</v>
      </c>
      <c r="I58" s="64">
        <v>1.61</v>
      </c>
      <c r="J58" s="64">
        <v>0.17</v>
      </c>
      <c r="K58" s="64">
        <v>273.64999999999998</v>
      </c>
      <c r="L58" s="64">
        <v>26.2</v>
      </c>
      <c r="M58" s="64">
        <v>98.9</v>
      </c>
      <c r="N58" s="64">
        <v>281.5</v>
      </c>
      <c r="O58" s="64">
        <v>0</v>
      </c>
      <c r="P58" s="64">
        <v>0.51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3" t="s">
        <v>1158</v>
      </c>
      <c r="B59" s="64">
        <v>5.89</v>
      </c>
      <c r="C59" s="64">
        <v>16.600000000000001</v>
      </c>
      <c r="D59" s="64">
        <v>13.4</v>
      </c>
      <c r="E59" s="64">
        <v>4.26</v>
      </c>
      <c r="F59" s="64">
        <v>4.71</v>
      </c>
      <c r="G59" s="64">
        <v>48.18</v>
      </c>
      <c r="H59" s="64">
        <v>13.3</v>
      </c>
      <c r="I59" s="64">
        <v>1.58</v>
      </c>
      <c r="J59" s="64">
        <v>0.18</v>
      </c>
      <c r="K59" s="64">
        <v>276.74</v>
      </c>
      <c r="L59" s="64">
        <v>26.4</v>
      </c>
      <c r="M59" s="64">
        <v>98.91</v>
      </c>
      <c r="N59" s="64">
        <v>307.5</v>
      </c>
      <c r="O59" s="64">
        <v>0</v>
      </c>
      <c r="P59" s="64">
        <v>0.52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13" t="s">
        <v>1159</v>
      </c>
      <c r="B60" s="64">
        <v>5.68</v>
      </c>
      <c r="C60" s="64">
        <v>16.38</v>
      </c>
      <c r="D60" s="64">
        <v>13.11</v>
      </c>
      <c r="E60" s="64">
        <v>4.3499999999999996</v>
      </c>
      <c r="F60" s="64">
        <v>4.01</v>
      </c>
      <c r="G60" s="64">
        <v>48.18</v>
      </c>
      <c r="H60" s="64">
        <v>13.3</v>
      </c>
      <c r="I60" s="64">
        <v>1.52</v>
      </c>
      <c r="J60" s="64">
        <v>0.21</v>
      </c>
      <c r="K60" s="64">
        <v>281.43</v>
      </c>
      <c r="L60" s="64">
        <v>26.63</v>
      </c>
      <c r="M60" s="64">
        <v>98.9</v>
      </c>
      <c r="N60" s="64">
        <v>322</v>
      </c>
      <c r="O60" s="64">
        <v>0</v>
      </c>
      <c r="P60" s="64">
        <v>0.51</v>
      </c>
      <c r="Q60" s="64">
        <v>9.0500000000000007</v>
      </c>
      <c r="R60" s="198"/>
      <c r="S60" s="198"/>
      <c r="T60" s="198"/>
      <c r="U60" s="198"/>
    </row>
    <row r="61" spans="1:21" s="12" customFormat="1" x14ac:dyDescent="0.25">
      <c r="A61" s="213" t="s">
        <v>1160</v>
      </c>
      <c r="B61" s="64">
        <v>5.37</v>
      </c>
      <c r="C61" s="64">
        <v>15.83</v>
      </c>
      <c r="D61" s="64">
        <v>12.58</v>
      </c>
      <c r="E61" s="64">
        <v>3.85</v>
      </c>
      <c r="F61" s="64">
        <v>4.54</v>
      </c>
      <c r="G61" s="64">
        <v>45.49</v>
      </c>
      <c r="H61" s="64">
        <v>12.89</v>
      </c>
      <c r="I61" s="64">
        <v>1.46</v>
      </c>
      <c r="J61" s="64">
        <v>0.21</v>
      </c>
      <c r="K61" s="64">
        <v>289.20999999999998</v>
      </c>
      <c r="L61" s="64">
        <v>26.96</v>
      </c>
      <c r="M61" s="64">
        <v>98.78</v>
      </c>
      <c r="N61" s="64">
        <v>303.60000000000002</v>
      </c>
      <c r="O61" s="64">
        <v>0</v>
      </c>
      <c r="P61" s="64">
        <v>0.36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3" t="s">
        <v>1161</v>
      </c>
      <c r="B62" s="64">
        <v>5.05</v>
      </c>
      <c r="C62" s="64">
        <v>15.72</v>
      </c>
      <c r="D62" s="64">
        <v>12.26</v>
      </c>
      <c r="E62" s="64">
        <v>4.0199999999999996</v>
      </c>
      <c r="F62" s="64">
        <v>4.01</v>
      </c>
      <c r="G62" s="64">
        <v>43.86</v>
      </c>
      <c r="H62" s="64">
        <v>12.63</v>
      </c>
      <c r="I62" s="64">
        <v>1.41</v>
      </c>
      <c r="J62" s="64">
        <v>0.22</v>
      </c>
      <c r="K62" s="64">
        <v>272.13</v>
      </c>
      <c r="L62" s="64">
        <v>26.64</v>
      </c>
      <c r="M62" s="64">
        <v>98.9</v>
      </c>
      <c r="N62" s="64">
        <v>257.39999999999998</v>
      </c>
      <c r="O62" s="64">
        <v>0</v>
      </c>
      <c r="P62" s="64">
        <v>0.36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3" t="s">
        <v>1162</v>
      </c>
      <c r="B63" s="64">
        <v>4.68</v>
      </c>
      <c r="C63" s="64">
        <v>15.49</v>
      </c>
      <c r="D63" s="64">
        <v>11.85</v>
      </c>
      <c r="E63" s="64">
        <v>4.0599999999999996</v>
      </c>
      <c r="F63" s="64">
        <v>4.2</v>
      </c>
      <c r="G63" s="64">
        <v>43.86</v>
      </c>
      <c r="H63" s="64">
        <v>12.63</v>
      </c>
      <c r="I63" s="64">
        <v>1.38</v>
      </c>
      <c r="J63" s="64">
        <v>0.19</v>
      </c>
      <c r="K63" s="64">
        <v>263.89</v>
      </c>
      <c r="L63" s="64">
        <v>26.62</v>
      </c>
      <c r="M63" s="64">
        <v>98.93</v>
      </c>
      <c r="N63" s="64">
        <v>251.4</v>
      </c>
      <c r="O63" s="64">
        <v>0</v>
      </c>
      <c r="P63" s="64">
        <v>0.32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13" t="s">
        <v>1163</v>
      </c>
      <c r="B64" s="64">
        <v>4.4800000000000004</v>
      </c>
      <c r="C64" s="64">
        <v>15.39</v>
      </c>
      <c r="D64" s="64">
        <v>11.63</v>
      </c>
      <c r="E64" s="64">
        <v>3.77</v>
      </c>
      <c r="F64" s="64">
        <v>4.58</v>
      </c>
      <c r="G64" s="64">
        <v>43.86</v>
      </c>
      <c r="H64" s="64">
        <v>12.63</v>
      </c>
      <c r="I64" s="64">
        <v>1.32</v>
      </c>
      <c r="J64" s="64">
        <v>0.17</v>
      </c>
      <c r="K64" s="64">
        <v>285.91000000000003</v>
      </c>
      <c r="L64" s="64">
        <v>26.45</v>
      </c>
      <c r="M64" s="64">
        <v>98.93</v>
      </c>
      <c r="N64" s="64">
        <v>113.8</v>
      </c>
      <c r="O64" s="64">
        <v>0</v>
      </c>
      <c r="P64" s="64">
        <v>0.32</v>
      </c>
      <c r="Q64" s="64">
        <v>8.98</v>
      </c>
      <c r="R64" s="198"/>
      <c r="S64" s="198"/>
      <c r="T64" s="198"/>
      <c r="U64" s="198"/>
    </row>
    <row r="65" spans="1:21" s="12" customFormat="1" x14ac:dyDescent="0.25">
      <c r="A65" s="213" t="s">
        <v>1164</v>
      </c>
      <c r="B65" s="64">
        <v>4.8600000000000003</v>
      </c>
      <c r="C65" s="64">
        <v>15.38</v>
      </c>
      <c r="D65" s="64">
        <v>11.93</v>
      </c>
      <c r="E65" s="64">
        <v>3.95</v>
      </c>
      <c r="F65" s="64">
        <v>3.97</v>
      </c>
      <c r="G65" s="64">
        <v>39.35</v>
      </c>
      <c r="H65" s="64">
        <v>10.49</v>
      </c>
      <c r="I65" s="64">
        <v>1.25</v>
      </c>
      <c r="J65" s="64">
        <v>0.16</v>
      </c>
      <c r="K65" s="64">
        <v>301.01</v>
      </c>
      <c r="L65" s="64">
        <v>26.01</v>
      </c>
      <c r="M65" s="64">
        <v>98.95</v>
      </c>
      <c r="N65" s="64">
        <v>80.3</v>
      </c>
      <c r="O65" s="64">
        <v>1.8</v>
      </c>
      <c r="P65" s="64">
        <v>0.31</v>
      </c>
      <c r="Q65" s="64">
        <v>8.9700000000000006</v>
      </c>
      <c r="R65" s="198"/>
      <c r="S65" s="198"/>
      <c r="T65" s="198"/>
      <c r="U65" s="198"/>
    </row>
    <row r="66" spans="1:21" s="12" customFormat="1" x14ac:dyDescent="0.25">
      <c r="A66" s="213" t="s">
        <v>1165</v>
      </c>
      <c r="B66" s="64">
        <v>5.79</v>
      </c>
      <c r="C66" s="64">
        <v>18.329999999999998</v>
      </c>
      <c r="D66" s="64">
        <v>14.22</v>
      </c>
      <c r="E66" s="64">
        <v>4.29</v>
      </c>
      <c r="F66" s="64">
        <v>6.83</v>
      </c>
      <c r="G66" s="64">
        <v>36.61</v>
      </c>
      <c r="H66" s="64">
        <v>9.19</v>
      </c>
      <c r="I66" s="64">
        <v>1.29</v>
      </c>
      <c r="J66" s="64">
        <v>0.08</v>
      </c>
      <c r="K66" s="64">
        <v>222.22</v>
      </c>
      <c r="L66" s="64">
        <v>24.95</v>
      </c>
      <c r="M66" s="64">
        <v>99.04</v>
      </c>
      <c r="N66" s="64">
        <v>67.7</v>
      </c>
      <c r="O66" s="64">
        <v>2.4</v>
      </c>
      <c r="P66" s="64">
        <v>0.26</v>
      </c>
      <c r="Q66" s="64">
        <v>8.99</v>
      </c>
      <c r="R66" s="198"/>
      <c r="S66" s="198"/>
      <c r="T66" s="198"/>
      <c r="U66" s="198"/>
    </row>
    <row r="67" spans="1:21" s="12" customFormat="1" x14ac:dyDescent="0.25">
      <c r="A67" s="213" t="s">
        <v>1166</v>
      </c>
      <c r="B67" s="64">
        <v>5.3</v>
      </c>
      <c r="C67" s="64">
        <v>16.41</v>
      </c>
      <c r="D67" s="64">
        <v>12.82</v>
      </c>
      <c r="E67" s="64">
        <v>3.67</v>
      </c>
      <c r="F67" s="64">
        <v>3.51</v>
      </c>
      <c r="G67" s="64">
        <v>36.61</v>
      </c>
      <c r="H67" s="64">
        <v>9.19</v>
      </c>
      <c r="I67" s="64">
        <v>1.24</v>
      </c>
      <c r="J67" s="64">
        <v>0.19</v>
      </c>
      <c r="K67" s="64">
        <v>245.24</v>
      </c>
      <c r="L67" s="64">
        <v>24.53</v>
      </c>
      <c r="M67" s="64">
        <v>99.09</v>
      </c>
      <c r="N67" s="64">
        <v>66.3</v>
      </c>
      <c r="O67" s="64">
        <v>0.2</v>
      </c>
      <c r="P67" s="64">
        <v>0.28000000000000003</v>
      </c>
      <c r="Q67" s="64">
        <v>8.99</v>
      </c>
      <c r="R67" s="198"/>
      <c r="S67" s="198"/>
      <c r="T67" s="198"/>
      <c r="U67" s="198"/>
    </row>
    <row r="68" spans="1:21" s="12" customFormat="1" x14ac:dyDescent="0.25">
      <c r="A68" s="213" t="s">
        <v>1167</v>
      </c>
      <c r="B68" s="64">
        <v>6.01</v>
      </c>
      <c r="C68" s="64">
        <v>15.4</v>
      </c>
      <c r="D68" s="64">
        <v>12.87</v>
      </c>
      <c r="E68" s="64">
        <v>3.82</v>
      </c>
      <c r="F68" s="64">
        <v>5.08</v>
      </c>
      <c r="G68" s="64">
        <v>36.61</v>
      </c>
      <c r="H68" s="64">
        <v>9.19</v>
      </c>
      <c r="I68" s="64">
        <v>1.17</v>
      </c>
      <c r="J68" s="64">
        <v>0.53</v>
      </c>
      <c r="K68" s="64">
        <v>324.64999999999998</v>
      </c>
      <c r="L68" s="64">
        <v>24.51</v>
      </c>
      <c r="M68" s="64">
        <v>99.1</v>
      </c>
      <c r="N68" s="64">
        <v>55.2</v>
      </c>
      <c r="O68" s="64">
        <v>0.4</v>
      </c>
      <c r="P68" s="64">
        <v>0.3</v>
      </c>
      <c r="Q68" s="64">
        <v>8.99</v>
      </c>
      <c r="R68" s="198"/>
      <c r="S68" s="198"/>
      <c r="T68" s="198"/>
      <c r="U68" s="198"/>
    </row>
    <row r="69" spans="1:21" s="12" customFormat="1" x14ac:dyDescent="0.25">
      <c r="A69" s="213" t="s">
        <v>1168</v>
      </c>
      <c r="B69" s="64">
        <v>12.31</v>
      </c>
      <c r="C69" s="64">
        <v>21.4</v>
      </c>
      <c r="D69" s="64">
        <v>21.05</v>
      </c>
      <c r="E69" s="64">
        <v>4.3</v>
      </c>
      <c r="F69" s="64">
        <v>13.43</v>
      </c>
      <c r="G69" s="64">
        <v>31.54</v>
      </c>
      <c r="H69" s="64">
        <v>7.69</v>
      </c>
      <c r="I69" s="64">
        <v>1.1499999999999999</v>
      </c>
      <c r="J69" s="64">
        <v>0.34</v>
      </c>
      <c r="K69" s="64">
        <v>342.26</v>
      </c>
      <c r="L69" s="64">
        <v>24.27</v>
      </c>
      <c r="M69" s="64">
        <v>99.1</v>
      </c>
      <c r="N69" s="64">
        <v>52.1</v>
      </c>
      <c r="O69" s="64">
        <v>0.8</v>
      </c>
      <c r="P69" s="64">
        <v>0.41</v>
      </c>
      <c r="Q69" s="64">
        <v>9.01</v>
      </c>
      <c r="R69" s="198"/>
      <c r="S69" s="198"/>
      <c r="T69" s="198"/>
      <c r="U69" s="198"/>
    </row>
    <row r="70" spans="1:21" s="12" customFormat="1" x14ac:dyDescent="0.25">
      <c r="A70" s="213" t="s">
        <v>1169</v>
      </c>
      <c r="B70" s="64">
        <v>16.760000000000002</v>
      </c>
      <c r="C70" s="64">
        <v>22.74</v>
      </c>
      <c r="D70" s="64">
        <v>25.32</v>
      </c>
      <c r="E70" s="64">
        <v>4.09</v>
      </c>
      <c r="F70" s="64">
        <v>10.11</v>
      </c>
      <c r="G70" s="64">
        <v>28.46</v>
      </c>
      <c r="H70" s="64">
        <v>6.77</v>
      </c>
      <c r="I70" s="64">
        <v>1.1299999999999999</v>
      </c>
      <c r="J70" s="64">
        <v>0.09</v>
      </c>
      <c r="K70" s="64">
        <v>297.36</v>
      </c>
      <c r="L70" s="64">
        <v>24.01</v>
      </c>
      <c r="M70" s="64">
        <v>99.12</v>
      </c>
      <c r="N70" s="64">
        <v>58.6</v>
      </c>
      <c r="O70" s="64">
        <v>0</v>
      </c>
      <c r="P70" s="64">
        <v>0.49</v>
      </c>
      <c r="Q70" s="64">
        <v>9.0399999999999991</v>
      </c>
      <c r="R70" s="198"/>
      <c r="S70" s="198"/>
      <c r="T70" s="198"/>
      <c r="U70" s="198"/>
    </row>
    <row r="71" spans="1:21" s="12" customFormat="1" x14ac:dyDescent="0.25">
      <c r="A71" s="213" t="s">
        <v>1170</v>
      </c>
      <c r="B71" s="64">
        <v>12.13</v>
      </c>
      <c r="C71" s="64">
        <v>26.11</v>
      </c>
      <c r="D71" s="64">
        <v>23.37</v>
      </c>
      <c r="E71" s="64">
        <v>4.1500000000000004</v>
      </c>
      <c r="F71" s="64">
        <v>7.63</v>
      </c>
      <c r="G71" s="64">
        <v>28.46</v>
      </c>
      <c r="H71" s="64">
        <v>6.77</v>
      </c>
      <c r="I71" s="64">
        <v>1.1399999999999999</v>
      </c>
      <c r="J71" s="64">
        <v>0.05</v>
      </c>
      <c r="K71" s="64">
        <v>52.21</v>
      </c>
      <c r="L71" s="64">
        <v>24</v>
      </c>
      <c r="M71" s="64">
        <v>99.13</v>
      </c>
      <c r="N71" s="64">
        <v>67.099999999999994</v>
      </c>
      <c r="O71" s="64">
        <v>0</v>
      </c>
      <c r="P71" s="64">
        <v>0.44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3" t="s">
        <v>1171</v>
      </c>
      <c r="B72" s="64">
        <v>9.74</v>
      </c>
      <c r="C72" s="64">
        <v>16.899999999999999</v>
      </c>
      <c r="D72" s="64">
        <v>16.64</v>
      </c>
      <c r="E72" s="64">
        <v>5.17</v>
      </c>
      <c r="F72" s="64">
        <v>4.41</v>
      </c>
      <c r="G72" s="64">
        <v>28.46</v>
      </c>
      <c r="H72" s="64">
        <v>6.77</v>
      </c>
      <c r="I72" s="64">
        <v>1.17</v>
      </c>
      <c r="J72" s="64">
        <v>0.09</v>
      </c>
      <c r="K72" s="64">
        <v>237.76</v>
      </c>
      <c r="L72" s="64">
        <v>24.01</v>
      </c>
      <c r="M72" s="64">
        <v>99.16</v>
      </c>
      <c r="N72" s="64">
        <v>62</v>
      </c>
      <c r="O72" s="64">
        <v>0</v>
      </c>
      <c r="P72" s="64">
        <v>0.34</v>
      </c>
      <c r="Q72" s="64">
        <v>9.07</v>
      </c>
      <c r="R72" s="198"/>
      <c r="S72" s="198"/>
      <c r="T72" s="198"/>
      <c r="U72" s="198"/>
    </row>
    <row r="73" spans="1:21" s="12" customFormat="1" x14ac:dyDescent="0.25">
      <c r="A73" s="213" t="s">
        <v>1172</v>
      </c>
      <c r="B73" s="64">
        <v>8.34</v>
      </c>
      <c r="C73" s="64">
        <v>18.59</v>
      </c>
      <c r="D73" s="64">
        <v>16.399999999999999</v>
      </c>
      <c r="E73" s="64">
        <v>3.88</v>
      </c>
      <c r="F73" s="64">
        <v>8.2799999999999994</v>
      </c>
      <c r="G73" s="64">
        <v>27.93</v>
      </c>
      <c r="H73" s="64">
        <v>6.99</v>
      </c>
      <c r="I73" s="64">
        <v>1.19</v>
      </c>
      <c r="J73" s="64">
        <v>0.06</v>
      </c>
      <c r="K73" s="64">
        <v>229.83</v>
      </c>
      <c r="L73" s="64">
        <v>24.06</v>
      </c>
      <c r="M73" s="64">
        <v>99.15</v>
      </c>
      <c r="N73" s="64">
        <v>60.9</v>
      </c>
      <c r="O73" s="64">
        <v>0</v>
      </c>
      <c r="P73" s="64">
        <v>0.34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3" t="s">
        <v>1173</v>
      </c>
      <c r="B74" s="64">
        <v>13.49</v>
      </c>
      <c r="C74" s="64">
        <v>19.73</v>
      </c>
      <c r="D74" s="64">
        <v>21.13</v>
      </c>
      <c r="E74" s="64">
        <v>3.99</v>
      </c>
      <c r="F74" s="64">
        <v>4.1399999999999997</v>
      </c>
      <c r="G74" s="64">
        <v>27.6</v>
      </c>
      <c r="H74" s="64">
        <v>7.12</v>
      </c>
      <c r="I74" s="64">
        <v>1.21</v>
      </c>
      <c r="J74" s="64">
        <v>0.09</v>
      </c>
      <c r="K74" s="64">
        <v>177.08</v>
      </c>
      <c r="L74" s="64">
        <v>24.11</v>
      </c>
      <c r="M74" s="64">
        <v>99.18</v>
      </c>
      <c r="N74" s="64">
        <v>59.3</v>
      </c>
      <c r="O74" s="64">
        <v>0</v>
      </c>
      <c r="P74" s="64">
        <v>0.4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3" t="s">
        <v>1174</v>
      </c>
      <c r="B75" s="64">
        <v>22.55</v>
      </c>
      <c r="C75" s="64">
        <v>20.16</v>
      </c>
      <c r="D75" s="64">
        <v>28.62</v>
      </c>
      <c r="E75" s="64">
        <v>4.4000000000000004</v>
      </c>
      <c r="F75" s="64">
        <v>4.38</v>
      </c>
      <c r="G75" s="64">
        <v>27.6</v>
      </c>
      <c r="H75" s="64">
        <v>7.12</v>
      </c>
      <c r="I75" s="64">
        <v>1.22</v>
      </c>
      <c r="J75" s="64">
        <v>0.09</v>
      </c>
      <c r="K75" s="64">
        <v>303.56</v>
      </c>
      <c r="L75" s="64">
        <v>24.14</v>
      </c>
      <c r="M75" s="64">
        <v>99.2</v>
      </c>
      <c r="N75" s="64">
        <v>60.4</v>
      </c>
      <c r="O75" s="64">
        <v>0</v>
      </c>
      <c r="P75" s="64">
        <v>0.62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3" t="s">
        <v>1175</v>
      </c>
      <c r="B76" s="64">
        <v>13.21</v>
      </c>
      <c r="C76" s="64">
        <v>16.239999999999998</v>
      </c>
      <c r="D76" s="64">
        <v>19.07</v>
      </c>
      <c r="E76" s="64">
        <v>3.97</v>
      </c>
      <c r="F76" s="64">
        <v>5.61</v>
      </c>
      <c r="G76" s="64">
        <v>27.6</v>
      </c>
      <c r="H76" s="64">
        <v>7.12</v>
      </c>
      <c r="I76" s="64">
        <v>1.26</v>
      </c>
      <c r="J76" s="64">
        <v>0.11</v>
      </c>
      <c r="K76" s="64">
        <v>301.97000000000003</v>
      </c>
      <c r="L76" s="64">
        <v>24.02</v>
      </c>
      <c r="M76" s="64">
        <v>99.2</v>
      </c>
      <c r="N76" s="64">
        <v>64</v>
      </c>
      <c r="O76" s="64">
        <v>0.2</v>
      </c>
      <c r="P76" s="64">
        <v>0.43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3" t="s">
        <v>1176</v>
      </c>
      <c r="B77" s="64">
        <v>18.010000000000002</v>
      </c>
      <c r="C77" s="64">
        <v>17.57</v>
      </c>
      <c r="D77" s="64">
        <v>23.56</v>
      </c>
      <c r="E77" s="64">
        <v>4.0999999999999996</v>
      </c>
      <c r="F77" s="64">
        <v>4.57</v>
      </c>
      <c r="G77" s="64">
        <v>24.38</v>
      </c>
      <c r="H77" s="64">
        <v>9.77</v>
      </c>
      <c r="I77" s="64">
        <v>1.35</v>
      </c>
      <c r="J77" s="64">
        <v>0.16</v>
      </c>
      <c r="K77" s="64">
        <v>316.88</v>
      </c>
      <c r="L77" s="64">
        <v>24.01</v>
      </c>
      <c r="M77" s="64">
        <v>99.2</v>
      </c>
      <c r="N77" s="64">
        <v>62.9</v>
      </c>
      <c r="O77" s="64">
        <v>0.2</v>
      </c>
      <c r="P77" s="64">
        <v>0.52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3" t="s">
        <v>1177</v>
      </c>
      <c r="B78" s="64">
        <v>12.91</v>
      </c>
      <c r="C78" s="64">
        <v>24.13</v>
      </c>
      <c r="D78" s="64">
        <v>22.96</v>
      </c>
      <c r="E78" s="64">
        <v>4.25</v>
      </c>
      <c r="F78" s="64">
        <v>6.53</v>
      </c>
      <c r="G78" s="64">
        <v>22.43</v>
      </c>
      <c r="H78" s="64">
        <v>11.38</v>
      </c>
      <c r="I78" s="64">
        <v>1.46</v>
      </c>
      <c r="J78" s="64">
        <v>0.32</v>
      </c>
      <c r="K78" s="64">
        <v>141.77000000000001</v>
      </c>
      <c r="L78" s="64">
        <v>23.93</v>
      </c>
      <c r="M78" s="64">
        <v>99.2</v>
      </c>
      <c r="N78" s="64">
        <v>67.2</v>
      </c>
      <c r="O78" s="64">
        <v>0</v>
      </c>
      <c r="P78" s="64">
        <v>0.47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3" t="s">
        <v>1178</v>
      </c>
      <c r="B79" s="64">
        <v>15.05</v>
      </c>
      <c r="C79" s="64">
        <v>18.739999999999998</v>
      </c>
      <c r="D79" s="64">
        <v>21.86</v>
      </c>
      <c r="E79" s="64">
        <v>4.08</v>
      </c>
      <c r="F79" s="64">
        <v>4.78</v>
      </c>
      <c r="G79" s="64">
        <v>22.43</v>
      </c>
      <c r="H79" s="64">
        <v>11.38</v>
      </c>
      <c r="I79" s="64">
        <v>1.53</v>
      </c>
      <c r="J79" s="64">
        <v>0.03</v>
      </c>
      <c r="K79" s="64">
        <v>352.85</v>
      </c>
      <c r="L79" s="64">
        <v>23.94</v>
      </c>
      <c r="M79" s="64">
        <v>99.23</v>
      </c>
      <c r="N79" s="64">
        <v>74</v>
      </c>
      <c r="O79" s="64">
        <v>0</v>
      </c>
      <c r="P79" s="64">
        <v>0.48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3" t="s">
        <v>1179</v>
      </c>
      <c r="B80" s="64">
        <v>13.74</v>
      </c>
      <c r="C80" s="64">
        <v>24.63</v>
      </c>
      <c r="D80" s="64">
        <v>23.89</v>
      </c>
      <c r="E80" s="64">
        <v>3.91</v>
      </c>
      <c r="F80" s="64">
        <v>4.78</v>
      </c>
      <c r="G80" s="64">
        <v>22.43</v>
      </c>
      <c r="H80" s="64">
        <v>11.38</v>
      </c>
      <c r="I80" s="64">
        <v>1.57</v>
      </c>
      <c r="J80" s="64">
        <v>0.06</v>
      </c>
      <c r="K80" s="64">
        <v>224.63</v>
      </c>
      <c r="L80" s="64">
        <v>23.91</v>
      </c>
      <c r="M80" s="64">
        <v>99.25</v>
      </c>
      <c r="N80" s="64">
        <v>65.5</v>
      </c>
      <c r="O80" s="64">
        <v>0</v>
      </c>
      <c r="P80" s="64">
        <v>0.56000000000000005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3" t="s">
        <v>1180</v>
      </c>
      <c r="B81" s="64">
        <v>20.57</v>
      </c>
      <c r="C81" s="64">
        <v>28.47</v>
      </c>
      <c r="D81" s="64">
        <v>31.37</v>
      </c>
      <c r="E81" s="64">
        <v>4.13</v>
      </c>
      <c r="F81" s="64">
        <v>6.84</v>
      </c>
      <c r="G81" s="64">
        <v>20.73</v>
      </c>
      <c r="H81" s="64">
        <v>9.58</v>
      </c>
      <c r="I81" s="64">
        <v>1.61</v>
      </c>
      <c r="J81" s="64">
        <v>0.06</v>
      </c>
      <c r="K81" s="64">
        <v>294.57</v>
      </c>
      <c r="L81" s="64">
        <v>23.92</v>
      </c>
      <c r="M81" s="64">
        <v>99.2</v>
      </c>
      <c r="N81" s="64">
        <v>57.2</v>
      </c>
      <c r="O81" s="64">
        <v>0</v>
      </c>
      <c r="P81" s="64">
        <v>0.84</v>
      </c>
      <c r="Q81" s="64">
        <v>9.3000000000000007</v>
      </c>
      <c r="R81" s="198"/>
      <c r="S81" s="198"/>
      <c r="T81" s="198"/>
      <c r="U81" s="198"/>
    </row>
    <row r="82" spans="1:26" s="12" customFormat="1" x14ac:dyDescent="0.25">
      <c r="A82" s="213" t="s">
        <v>1181</v>
      </c>
      <c r="B82" s="64">
        <v>12.12</v>
      </c>
      <c r="C82" s="64">
        <v>29.53</v>
      </c>
      <c r="D82" s="64">
        <v>25.15</v>
      </c>
      <c r="E82" s="64">
        <v>4.01</v>
      </c>
      <c r="F82" s="64">
        <v>6.39</v>
      </c>
      <c r="G82" s="64">
        <v>19.7</v>
      </c>
      <c r="H82" s="64">
        <v>8.49</v>
      </c>
      <c r="I82" s="64">
        <v>1.67</v>
      </c>
      <c r="J82" s="64">
        <v>0.05</v>
      </c>
      <c r="K82" s="64">
        <v>225.45</v>
      </c>
      <c r="L82" s="64">
        <v>23.9</v>
      </c>
      <c r="M82" s="64">
        <v>99.2</v>
      </c>
      <c r="N82" s="64">
        <v>52.6</v>
      </c>
      <c r="O82" s="64">
        <v>0</v>
      </c>
      <c r="P82" s="64">
        <v>0.83</v>
      </c>
      <c r="Q82" s="64">
        <v>9.33</v>
      </c>
      <c r="R82" s="198"/>
      <c r="S82" s="198"/>
      <c r="T82" s="198"/>
      <c r="U82" s="198"/>
    </row>
    <row r="83" spans="1:26" s="12" customFormat="1" x14ac:dyDescent="0.25">
      <c r="A83" s="213" t="s">
        <v>1182</v>
      </c>
      <c r="B83" s="64">
        <v>10.53</v>
      </c>
      <c r="C83" s="64">
        <v>29.19</v>
      </c>
      <c r="D83" s="64">
        <v>23.7</v>
      </c>
      <c r="E83" s="64">
        <v>4.12</v>
      </c>
      <c r="F83" s="64">
        <v>5.4</v>
      </c>
      <c r="G83" s="64">
        <v>19.7</v>
      </c>
      <c r="H83" s="64">
        <v>8.49</v>
      </c>
      <c r="I83" s="64">
        <v>1.71</v>
      </c>
      <c r="J83" s="64">
        <v>0.06</v>
      </c>
      <c r="K83" s="64">
        <v>243.24</v>
      </c>
      <c r="L83" s="64">
        <v>23.88</v>
      </c>
      <c r="M83" s="64">
        <v>98.92</v>
      </c>
      <c r="N83" s="64">
        <v>49.9</v>
      </c>
      <c r="O83" s="64">
        <v>0</v>
      </c>
      <c r="P83" s="64">
        <v>0.73</v>
      </c>
      <c r="Q83" s="64">
        <v>9.36</v>
      </c>
      <c r="R83" s="198"/>
      <c r="S83" s="198"/>
      <c r="T83" s="198"/>
      <c r="U83" s="198"/>
    </row>
    <row r="84" spans="1:26" s="12" customFormat="1" x14ac:dyDescent="0.25">
      <c r="A84" s="213" t="s">
        <v>1183</v>
      </c>
      <c r="B84" s="64">
        <v>16.12</v>
      </c>
      <c r="C84" s="64">
        <v>18.25</v>
      </c>
      <c r="D84" s="64">
        <v>22.46</v>
      </c>
      <c r="E84" s="64">
        <v>4.2300000000000004</v>
      </c>
      <c r="F84" s="64">
        <v>4.18</v>
      </c>
      <c r="G84" s="64">
        <v>19.7</v>
      </c>
      <c r="H84" s="64">
        <v>8.49</v>
      </c>
      <c r="I84" s="64">
        <v>1.74</v>
      </c>
      <c r="J84" s="64">
        <v>0.06</v>
      </c>
      <c r="K84" s="64">
        <v>276.86</v>
      </c>
      <c r="L84" s="64">
        <v>23.93</v>
      </c>
      <c r="M84" s="64">
        <v>98.95</v>
      </c>
      <c r="N84" s="64">
        <v>49.3</v>
      </c>
      <c r="O84" s="64">
        <v>0</v>
      </c>
      <c r="P84" s="64">
        <v>0.63</v>
      </c>
      <c r="Q84" s="64">
        <v>9.35</v>
      </c>
      <c r="R84" s="198"/>
      <c r="S84" s="198"/>
      <c r="T84" s="198"/>
      <c r="U84" s="198"/>
    </row>
    <row r="85" spans="1:26" s="12" customFormat="1" x14ac:dyDescent="0.25">
      <c r="A85" s="213" t="s">
        <v>1184</v>
      </c>
      <c r="B85" s="64">
        <v>21.21</v>
      </c>
      <c r="C85" s="64">
        <v>28.7</v>
      </c>
      <c r="D85" s="64">
        <v>32</v>
      </c>
      <c r="E85" s="64">
        <v>4.1500000000000004</v>
      </c>
      <c r="F85" s="64">
        <v>5.35</v>
      </c>
      <c r="G85" s="64">
        <v>19.11</v>
      </c>
      <c r="H85" s="64">
        <v>10.88</v>
      </c>
      <c r="I85" s="64">
        <v>1.79</v>
      </c>
      <c r="J85" s="64">
        <v>0.04</v>
      </c>
      <c r="K85" s="64">
        <v>266.67</v>
      </c>
      <c r="L85" s="64">
        <v>23.99</v>
      </c>
      <c r="M85" s="64">
        <v>98.94</v>
      </c>
      <c r="N85" s="64">
        <v>49.1</v>
      </c>
      <c r="O85" s="64">
        <v>0</v>
      </c>
      <c r="P85" s="64">
        <v>1.1100000000000001</v>
      </c>
      <c r="Q85" s="64">
        <v>9.3699999999999992</v>
      </c>
      <c r="R85" s="198"/>
      <c r="S85" s="198"/>
      <c r="T85" s="198"/>
      <c r="U85" s="198"/>
    </row>
    <row r="86" spans="1:26" s="12" customFormat="1" x14ac:dyDescent="0.25">
      <c r="A86" s="213" t="s">
        <v>1185</v>
      </c>
      <c r="B86" s="64">
        <v>15.32</v>
      </c>
      <c r="C86" s="64">
        <v>26.71</v>
      </c>
      <c r="D86" s="64">
        <v>26.24</v>
      </c>
      <c r="E86" s="64">
        <v>4.1100000000000003</v>
      </c>
      <c r="F86" s="64">
        <v>5.61</v>
      </c>
      <c r="G86" s="64">
        <v>18.75</v>
      </c>
      <c r="H86" s="64">
        <v>12.34</v>
      </c>
      <c r="I86" s="64">
        <v>1.87</v>
      </c>
      <c r="J86" s="64">
        <v>0</v>
      </c>
      <c r="K86" s="64">
        <v>247.54</v>
      </c>
      <c r="L86" s="64">
        <v>24</v>
      </c>
      <c r="M86" s="64">
        <v>98.79</v>
      </c>
      <c r="N86" s="64">
        <v>49.1</v>
      </c>
      <c r="O86" s="64">
        <v>0</v>
      </c>
      <c r="P86" s="64">
        <v>0.88</v>
      </c>
      <c r="Q86" s="64">
        <v>9.4</v>
      </c>
      <c r="R86" s="198"/>
      <c r="S86" s="198"/>
      <c r="T86" s="198"/>
      <c r="U86" s="198"/>
    </row>
    <row r="87" spans="1:26" s="12" customFormat="1" x14ac:dyDescent="0.25">
      <c r="A87" s="213" t="s">
        <v>1186</v>
      </c>
      <c r="B87" s="64">
        <v>17.649999999999999</v>
      </c>
      <c r="C87" s="64">
        <v>21.96</v>
      </c>
      <c r="D87" s="64">
        <v>25.63</v>
      </c>
      <c r="E87" s="64">
        <v>4.12</v>
      </c>
      <c r="F87" s="64">
        <v>4.76</v>
      </c>
      <c r="G87" s="64">
        <v>18.75</v>
      </c>
      <c r="H87" s="64">
        <v>12.34</v>
      </c>
      <c r="I87" s="64">
        <v>1.99</v>
      </c>
      <c r="J87" s="64">
        <v>0.05</v>
      </c>
      <c r="K87" s="64">
        <v>264.32</v>
      </c>
      <c r="L87" s="64">
        <v>24.03</v>
      </c>
      <c r="M87" s="64">
        <v>98.9</v>
      </c>
      <c r="N87" s="64">
        <v>49.3</v>
      </c>
      <c r="O87" s="64">
        <v>0</v>
      </c>
      <c r="P87" s="64">
        <v>0.93</v>
      </c>
      <c r="Q87" s="64">
        <v>9.41</v>
      </c>
      <c r="R87" s="198"/>
      <c r="S87" s="198"/>
      <c r="T87" s="198"/>
      <c r="U87" s="198"/>
    </row>
    <row r="88" spans="1:26" s="12" customFormat="1" x14ac:dyDescent="0.25">
      <c r="A88" s="213" t="s">
        <v>1187</v>
      </c>
      <c r="B88" s="64">
        <v>19.8</v>
      </c>
      <c r="C88" s="64">
        <v>17.97</v>
      </c>
      <c r="D88" s="64">
        <v>24.63</v>
      </c>
      <c r="E88" s="64">
        <v>4.13</v>
      </c>
      <c r="F88" s="64">
        <v>6.89</v>
      </c>
      <c r="G88" s="64">
        <v>18.75</v>
      </c>
      <c r="H88" s="64">
        <v>12.34</v>
      </c>
      <c r="I88" s="64">
        <v>2.09</v>
      </c>
      <c r="J88" s="64">
        <v>1.64</v>
      </c>
      <c r="K88" s="64">
        <v>340.88</v>
      </c>
      <c r="L88" s="64">
        <v>23.81</v>
      </c>
      <c r="M88" s="64">
        <v>98.91</v>
      </c>
      <c r="N88" s="64">
        <v>51.9</v>
      </c>
      <c r="O88" s="64">
        <v>0</v>
      </c>
      <c r="P88" s="64">
        <v>0.84</v>
      </c>
      <c r="Q88" s="64">
        <v>9.42</v>
      </c>
      <c r="R88" s="198"/>
      <c r="S88" s="198"/>
      <c r="T88" s="198"/>
      <c r="U88" s="198"/>
    </row>
    <row r="89" spans="1:26" s="12" customFormat="1" x14ac:dyDescent="0.25">
      <c r="A89" s="213" t="s">
        <v>1188</v>
      </c>
      <c r="B89" s="64">
        <v>18.82</v>
      </c>
      <c r="C89" s="64">
        <v>12.13</v>
      </c>
      <c r="D89" s="64">
        <v>21.43</v>
      </c>
      <c r="E89" s="64">
        <v>4.1100000000000003</v>
      </c>
      <c r="F89" s="64">
        <v>4.46</v>
      </c>
      <c r="G89" s="64">
        <v>20.53</v>
      </c>
      <c r="H89" s="64">
        <v>12.71</v>
      </c>
      <c r="I89" s="64">
        <v>2.2200000000000002</v>
      </c>
      <c r="J89" s="64">
        <v>1.49</v>
      </c>
      <c r="K89" s="64">
        <v>336.55</v>
      </c>
      <c r="L89" s="64">
        <v>23.2</v>
      </c>
      <c r="M89" s="64">
        <v>98.91</v>
      </c>
      <c r="N89" s="64">
        <v>50.7</v>
      </c>
      <c r="O89" s="64">
        <v>0.8</v>
      </c>
      <c r="P89" s="64">
        <v>0.7</v>
      </c>
      <c r="Q89" s="64">
        <v>9.42</v>
      </c>
      <c r="R89" s="198"/>
      <c r="S89" s="198"/>
      <c r="T89" s="198"/>
      <c r="U89" s="198"/>
    </row>
    <row r="90" spans="1:26" s="12" customFormat="1" x14ac:dyDescent="0.25">
      <c r="A90" s="213" t="s">
        <v>1189</v>
      </c>
      <c r="B90" s="64">
        <v>17.84</v>
      </c>
      <c r="C90" s="64">
        <v>14.84</v>
      </c>
      <c r="D90" s="64">
        <v>22.06</v>
      </c>
      <c r="E90" s="64">
        <v>4.22</v>
      </c>
      <c r="F90" s="64">
        <v>3.81</v>
      </c>
      <c r="G90" s="64">
        <v>21.62</v>
      </c>
      <c r="H90" s="64">
        <v>12.94</v>
      </c>
      <c r="I90" s="64">
        <v>2.31</v>
      </c>
      <c r="J90" s="64">
        <v>1.41</v>
      </c>
      <c r="K90" s="64">
        <v>339.24</v>
      </c>
      <c r="L90" s="64">
        <v>22.71</v>
      </c>
      <c r="M90" s="64">
        <v>98.85</v>
      </c>
      <c r="N90" s="64">
        <v>49.8</v>
      </c>
      <c r="O90" s="64">
        <v>0.8</v>
      </c>
      <c r="P90" s="64">
        <v>0.67</v>
      </c>
      <c r="Q90" s="64">
        <v>9.42</v>
      </c>
      <c r="R90" s="198"/>
      <c r="S90" s="198"/>
      <c r="T90" s="198"/>
      <c r="U90" s="198"/>
    </row>
    <row r="91" spans="1:26" s="12" customFormat="1" x14ac:dyDescent="0.25">
      <c r="A91" s="213" t="s">
        <v>1190</v>
      </c>
      <c r="B91" s="64">
        <v>17.95</v>
      </c>
      <c r="C91" s="64">
        <v>14.11</v>
      </c>
      <c r="D91" s="64">
        <v>21.76</v>
      </c>
      <c r="E91" s="64">
        <v>4.24</v>
      </c>
      <c r="F91" s="64">
        <v>3.39</v>
      </c>
      <c r="G91" s="64">
        <v>21.62</v>
      </c>
      <c r="H91" s="64">
        <v>12.94</v>
      </c>
      <c r="I91" s="64">
        <v>2.2799999999999998</v>
      </c>
      <c r="J91" s="64">
        <v>0.99</v>
      </c>
      <c r="K91" s="64">
        <v>339.74</v>
      </c>
      <c r="L91" s="64">
        <v>22.4</v>
      </c>
      <c r="M91" s="64">
        <v>98.79</v>
      </c>
      <c r="N91" s="64">
        <v>49.6</v>
      </c>
      <c r="O91" s="64">
        <v>0</v>
      </c>
      <c r="P91" s="64">
        <v>0.68</v>
      </c>
      <c r="Q91" s="64">
        <v>9.41</v>
      </c>
      <c r="R91" s="198"/>
      <c r="S91" s="198"/>
      <c r="T91" s="198"/>
      <c r="U91" s="198"/>
    </row>
    <row r="92" spans="1:26" s="12" customFormat="1" x14ac:dyDescent="0.25">
      <c r="A92" s="213" t="s">
        <v>1191</v>
      </c>
      <c r="B92" s="64">
        <v>18.75</v>
      </c>
      <c r="C92" s="64">
        <v>12.51</v>
      </c>
      <c r="D92" s="64">
        <v>21.58</v>
      </c>
      <c r="E92" s="64">
        <v>4.26</v>
      </c>
      <c r="F92" s="64">
        <v>4.43</v>
      </c>
      <c r="G92" s="64">
        <v>21.62</v>
      </c>
      <c r="H92" s="64">
        <v>12.94</v>
      </c>
      <c r="I92" s="64">
        <v>2.2200000000000002</v>
      </c>
      <c r="J92" s="64">
        <v>0.38</v>
      </c>
      <c r="K92" s="64">
        <v>324.64</v>
      </c>
      <c r="L92" s="64">
        <v>22.32</v>
      </c>
      <c r="M92" s="64">
        <v>98.83</v>
      </c>
      <c r="N92" s="64">
        <v>49.2</v>
      </c>
      <c r="O92" s="64">
        <v>0</v>
      </c>
      <c r="P92" s="64">
        <v>0.66</v>
      </c>
      <c r="Q92" s="64">
        <v>9.41</v>
      </c>
      <c r="R92" s="198"/>
      <c r="S92" s="198"/>
      <c r="T92" s="198"/>
      <c r="U92" s="198"/>
    </row>
    <row r="93" spans="1:26" s="12" customFormat="1" x14ac:dyDescent="0.25">
      <c r="A93" s="213" t="s">
        <v>1192</v>
      </c>
      <c r="B93" s="64">
        <v>15.27</v>
      </c>
      <c r="C93" s="64">
        <v>15.8</v>
      </c>
      <c r="D93" s="64">
        <v>20.5</v>
      </c>
      <c r="E93" s="64">
        <v>4.07</v>
      </c>
      <c r="F93" s="64">
        <v>4.84</v>
      </c>
      <c r="G93" s="64">
        <v>20.96</v>
      </c>
      <c r="H93" s="64">
        <v>11.31</v>
      </c>
      <c r="I93" s="64">
        <v>2.21</v>
      </c>
      <c r="J93" s="64">
        <v>0.08</v>
      </c>
      <c r="K93" s="64">
        <v>238.02</v>
      </c>
      <c r="L93" s="64">
        <v>22.19</v>
      </c>
      <c r="M93" s="64">
        <v>98.86</v>
      </c>
      <c r="N93" s="64">
        <v>49</v>
      </c>
      <c r="O93" s="64">
        <v>0</v>
      </c>
      <c r="P93" s="64">
        <v>0.63</v>
      </c>
      <c r="Q93" s="64">
        <v>9.4</v>
      </c>
      <c r="R93" s="198"/>
      <c r="S93" s="198"/>
      <c r="T93" s="198"/>
      <c r="U93" s="198"/>
    </row>
    <row r="94" spans="1:26" s="12" customFormat="1" x14ac:dyDescent="0.25">
      <c r="A94" s="213" t="s">
        <v>1193</v>
      </c>
      <c r="B94" s="64">
        <v>19.79</v>
      </c>
      <c r="C94" s="64">
        <v>25.67</v>
      </c>
      <c r="D94" s="64">
        <v>29.28</v>
      </c>
      <c r="E94" s="64">
        <v>4.12</v>
      </c>
      <c r="F94" s="64">
        <v>4.5199999999999996</v>
      </c>
      <c r="G94" s="64">
        <v>20.56</v>
      </c>
      <c r="H94" s="64">
        <v>10.31</v>
      </c>
      <c r="I94" s="64">
        <v>2.21</v>
      </c>
      <c r="J94" s="64">
        <v>0.06</v>
      </c>
      <c r="K94" s="64">
        <v>200.55</v>
      </c>
      <c r="L94" s="64">
        <v>22.23</v>
      </c>
      <c r="M94" s="64">
        <v>98.9</v>
      </c>
      <c r="N94" s="64">
        <v>49</v>
      </c>
      <c r="O94" s="64">
        <v>0</v>
      </c>
      <c r="P94" s="64">
        <v>0.8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3" t="s">
        <v>1194</v>
      </c>
      <c r="B95" s="64">
        <v>14</v>
      </c>
      <c r="C95" s="64">
        <v>22.89</v>
      </c>
      <c r="D95" s="64">
        <v>23.19</v>
      </c>
      <c r="E95" s="64">
        <v>4.09</v>
      </c>
      <c r="F95" s="64">
        <v>5.96</v>
      </c>
      <c r="G95" s="64">
        <v>20.56</v>
      </c>
      <c r="H95" s="64">
        <v>10.31</v>
      </c>
      <c r="I95" s="64">
        <v>2.19</v>
      </c>
      <c r="J95" s="64">
        <v>0.03</v>
      </c>
      <c r="K95" s="64">
        <v>308.63</v>
      </c>
      <c r="L95" s="64">
        <v>22.29</v>
      </c>
      <c r="M95" s="64">
        <v>98.93</v>
      </c>
      <c r="N95" s="64">
        <v>49</v>
      </c>
      <c r="O95" s="64">
        <v>0</v>
      </c>
      <c r="P95" s="64">
        <v>0.71</v>
      </c>
      <c r="Q95" s="64">
        <v>9.4499999999999993</v>
      </c>
      <c r="R95" s="198"/>
      <c r="S95" s="198"/>
      <c r="T95" s="198"/>
      <c r="U95" s="198"/>
    </row>
    <row r="96" spans="1:26" s="12" customFormat="1" x14ac:dyDescent="0.25">
      <c r="A96" s="213" t="s">
        <v>1195</v>
      </c>
      <c r="B96" s="64">
        <v>12.96</v>
      </c>
      <c r="C96" s="64">
        <v>19.55</v>
      </c>
      <c r="D96" s="64">
        <v>20.61</v>
      </c>
      <c r="E96" s="64">
        <v>4.25</v>
      </c>
      <c r="F96" s="64">
        <v>7.28</v>
      </c>
      <c r="G96" s="64">
        <v>20.56</v>
      </c>
      <c r="H96" s="64">
        <v>10.31</v>
      </c>
      <c r="I96" s="64">
        <v>2.1800000000000002</v>
      </c>
      <c r="J96" s="64">
        <v>0.05</v>
      </c>
      <c r="K96" s="64">
        <v>248.48</v>
      </c>
      <c r="L96" s="64">
        <v>22.34</v>
      </c>
      <c r="M96" s="64">
        <v>98.95</v>
      </c>
      <c r="N96" s="64">
        <v>49</v>
      </c>
      <c r="O96" s="64">
        <v>0</v>
      </c>
      <c r="P96" s="64">
        <v>0.59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1196</v>
      </c>
      <c r="B97" s="64">
        <v>23.63</v>
      </c>
      <c r="C97" s="64">
        <v>28.37</v>
      </c>
      <c r="D97" s="64">
        <v>33.78</v>
      </c>
      <c r="E97" s="64">
        <v>4.18</v>
      </c>
      <c r="F97" s="64">
        <v>6.12</v>
      </c>
      <c r="G97" s="64">
        <v>20.3</v>
      </c>
      <c r="H97" s="64">
        <v>8.56</v>
      </c>
      <c r="I97" s="64">
        <v>2.19</v>
      </c>
      <c r="J97" s="64">
        <v>0.06</v>
      </c>
      <c r="K97" s="64">
        <v>308.11</v>
      </c>
      <c r="L97" s="64">
        <v>22.48</v>
      </c>
      <c r="M97" s="64">
        <v>98.98</v>
      </c>
      <c r="N97" s="64">
        <v>49</v>
      </c>
      <c r="O97" s="64">
        <v>0</v>
      </c>
      <c r="P97" s="64">
        <v>0.88</v>
      </c>
      <c r="Q97" s="64">
        <v>9.4600000000000009</v>
      </c>
      <c r="R97" s="198"/>
      <c r="S97" s="198"/>
      <c r="T97" s="198"/>
      <c r="U97" s="198"/>
    </row>
    <row r="98" spans="1:33" s="12" customFormat="1" x14ac:dyDescent="0.25">
      <c r="A98" s="213" t="s">
        <v>1197</v>
      </c>
      <c r="B98" s="64">
        <v>23.21</v>
      </c>
      <c r="C98" s="64">
        <v>21.63</v>
      </c>
      <c r="D98" s="64">
        <v>29.92</v>
      </c>
      <c r="E98" s="64">
        <v>4.6500000000000004</v>
      </c>
      <c r="F98" s="64">
        <v>5.99</v>
      </c>
      <c r="G98" s="64">
        <v>20.13</v>
      </c>
      <c r="H98" s="64">
        <v>7.5</v>
      </c>
      <c r="I98" s="64">
        <v>2.1800000000000002</v>
      </c>
      <c r="J98" s="64">
        <v>0.09</v>
      </c>
      <c r="K98" s="64">
        <v>178.9</v>
      </c>
      <c r="L98" s="64">
        <v>22.57</v>
      </c>
      <c r="M98" s="64">
        <v>98.99</v>
      </c>
      <c r="N98" s="64">
        <v>49.3</v>
      </c>
      <c r="O98" s="64">
        <v>0</v>
      </c>
      <c r="P98" s="64">
        <v>0.59</v>
      </c>
      <c r="Q98" s="64">
        <v>9.4700000000000006</v>
      </c>
      <c r="R98" s="198"/>
      <c r="S98" s="198"/>
      <c r="T98" s="198"/>
      <c r="U98" s="198"/>
    </row>
    <row r="99" spans="1:33" s="12" customFormat="1" x14ac:dyDescent="0.25">
      <c r="A99" s="213" t="s">
        <v>1198</v>
      </c>
      <c r="B99" s="64">
        <v>13.25</v>
      </c>
      <c r="C99" s="64">
        <v>19.03</v>
      </c>
      <c r="D99" s="64">
        <v>20.57</v>
      </c>
      <c r="E99" s="64">
        <v>4.12</v>
      </c>
      <c r="F99" s="64">
        <v>7.34</v>
      </c>
      <c r="G99" s="64">
        <v>20.13</v>
      </c>
      <c r="H99" s="64">
        <v>7.5</v>
      </c>
      <c r="I99" s="64">
        <v>2.1800000000000002</v>
      </c>
      <c r="J99" s="64">
        <v>0.18</v>
      </c>
      <c r="K99" s="64">
        <v>152.51</v>
      </c>
      <c r="L99" s="64">
        <v>22.62</v>
      </c>
      <c r="M99" s="64">
        <v>99</v>
      </c>
      <c r="N99" s="64">
        <v>49.5</v>
      </c>
      <c r="O99" s="64">
        <v>0</v>
      </c>
      <c r="P99" s="64">
        <v>0.48</v>
      </c>
      <c r="Q99" s="64">
        <v>9.5</v>
      </c>
      <c r="R99" s="198"/>
      <c r="S99" s="198"/>
      <c r="T99" s="198"/>
      <c r="U99" s="198"/>
    </row>
    <row r="100" spans="1:33" s="12" customFormat="1" x14ac:dyDescent="0.25">
      <c r="A100" s="213" t="s">
        <v>1199</v>
      </c>
      <c r="B100" s="64">
        <v>11.88</v>
      </c>
      <c r="C100" s="64">
        <v>18.940000000000001</v>
      </c>
      <c r="D100" s="64">
        <v>19.43</v>
      </c>
      <c r="E100" s="64">
        <v>4.1500000000000004</v>
      </c>
      <c r="F100" s="64">
        <v>7.11</v>
      </c>
      <c r="G100" s="64">
        <v>20.13</v>
      </c>
      <c r="H100" s="64">
        <v>7.5</v>
      </c>
      <c r="I100" s="64">
        <v>2.17</v>
      </c>
      <c r="J100" s="64">
        <v>0.03</v>
      </c>
      <c r="K100" s="64">
        <v>324.62</v>
      </c>
      <c r="L100" s="64">
        <v>22.7</v>
      </c>
      <c r="M100" s="64">
        <v>98.98</v>
      </c>
      <c r="N100" s="64">
        <v>49.3</v>
      </c>
      <c r="O100" s="64">
        <v>0</v>
      </c>
      <c r="P100" s="64">
        <v>0.44</v>
      </c>
      <c r="Q100" s="64">
        <v>9.49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1200</v>
      </c>
      <c r="B101" s="64">
        <v>11.85</v>
      </c>
      <c r="C101" s="64">
        <v>18.510000000000002</v>
      </c>
      <c r="D101" s="64">
        <v>19.170000000000002</v>
      </c>
      <c r="E101" s="64">
        <v>4.2</v>
      </c>
      <c r="F101" s="64">
        <v>5.29</v>
      </c>
      <c r="G101" s="64">
        <v>17.87</v>
      </c>
      <c r="H101" s="64">
        <v>9.06</v>
      </c>
      <c r="I101" s="64">
        <v>2.15</v>
      </c>
      <c r="J101" s="64">
        <v>0.05</v>
      </c>
      <c r="K101" s="64">
        <v>312.29000000000002</v>
      </c>
      <c r="L101" s="64">
        <v>22.72</v>
      </c>
      <c r="M101" s="64">
        <v>98.98</v>
      </c>
      <c r="N101" s="64">
        <v>49.4</v>
      </c>
      <c r="O101" s="64">
        <v>0</v>
      </c>
      <c r="P101" s="64">
        <v>0.46</v>
      </c>
      <c r="Q101" s="64">
        <v>9.49</v>
      </c>
      <c r="R101" s="198"/>
      <c r="S101" s="198"/>
      <c r="T101" s="198"/>
      <c r="U101" s="198"/>
    </row>
    <row r="102" spans="1:33" s="12" customFormat="1" x14ac:dyDescent="0.25">
      <c r="A102" s="213" t="s">
        <v>1201</v>
      </c>
      <c r="B102" s="64">
        <v>16.61</v>
      </c>
      <c r="C102" s="64">
        <v>11.97</v>
      </c>
      <c r="D102" s="64">
        <v>19.57</v>
      </c>
      <c r="E102" s="64">
        <v>4</v>
      </c>
      <c r="F102" s="64">
        <v>3.7</v>
      </c>
      <c r="G102" s="64">
        <v>16.489999999999998</v>
      </c>
      <c r="H102" s="64">
        <v>10</v>
      </c>
      <c r="I102" s="64">
        <v>2.13</v>
      </c>
      <c r="J102" s="64">
        <v>0.06</v>
      </c>
      <c r="K102" s="64">
        <v>273.91000000000003</v>
      </c>
      <c r="L102" s="64">
        <v>22.76</v>
      </c>
      <c r="M102" s="64">
        <v>99.01</v>
      </c>
      <c r="N102" s="64">
        <v>49.4</v>
      </c>
      <c r="O102" s="64">
        <v>0</v>
      </c>
      <c r="P102" s="64">
        <v>0.65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3" t="s">
        <v>1202</v>
      </c>
      <c r="B103" s="64">
        <v>13.06</v>
      </c>
      <c r="C103" s="64">
        <v>14.32</v>
      </c>
      <c r="D103" s="64">
        <v>17.95</v>
      </c>
      <c r="E103" s="64">
        <v>4.09</v>
      </c>
      <c r="F103" s="64">
        <v>5</v>
      </c>
      <c r="G103" s="64">
        <v>16.489999999999998</v>
      </c>
      <c r="H103" s="64">
        <v>10</v>
      </c>
      <c r="I103" s="64">
        <v>2.1</v>
      </c>
      <c r="J103" s="64">
        <v>0.14000000000000001</v>
      </c>
      <c r="K103" s="64">
        <v>130.1</v>
      </c>
      <c r="L103" s="64">
        <v>22.86</v>
      </c>
      <c r="M103" s="64">
        <v>99</v>
      </c>
      <c r="N103" s="64">
        <v>49.6</v>
      </c>
      <c r="O103" s="64">
        <v>0</v>
      </c>
      <c r="P103" s="64">
        <v>0.44</v>
      </c>
      <c r="Q103" s="64">
        <v>9.43</v>
      </c>
      <c r="R103" s="198"/>
      <c r="S103" s="198"/>
      <c r="T103" s="198"/>
      <c r="U103" s="198"/>
    </row>
    <row r="104" spans="1:33" s="12" customFormat="1" x14ac:dyDescent="0.25">
      <c r="A104" s="213" t="s">
        <v>1203</v>
      </c>
      <c r="B104" s="64">
        <v>15.51</v>
      </c>
      <c r="C104" s="64">
        <v>11.78</v>
      </c>
      <c r="D104" s="64">
        <v>18.59</v>
      </c>
      <c r="E104" s="64">
        <v>2.8</v>
      </c>
      <c r="F104" s="64">
        <v>4.62</v>
      </c>
      <c r="G104" s="64">
        <v>16.489999999999998</v>
      </c>
      <c r="H104" s="64">
        <v>10</v>
      </c>
      <c r="I104" s="64">
        <v>2.0699999999999998</v>
      </c>
      <c r="J104" s="64">
        <v>0.04</v>
      </c>
      <c r="K104" s="64">
        <v>149.15</v>
      </c>
      <c r="L104" s="64">
        <v>22.86</v>
      </c>
      <c r="M104" s="64">
        <v>99</v>
      </c>
      <c r="N104" s="64">
        <v>49.5</v>
      </c>
      <c r="O104" s="64">
        <v>0</v>
      </c>
      <c r="P104" s="64">
        <v>0.63</v>
      </c>
      <c r="Q104" s="64">
        <v>9.41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4.46</v>
      </c>
      <c r="C106" s="67">
        <f>MIN(C9:C104)</f>
        <v>10.27</v>
      </c>
      <c r="D106" s="67">
        <f t="shared" ref="D106:Q106" si="0">MIN(D9:D104)</f>
        <v>9.0299999999999994</v>
      </c>
      <c r="E106" s="67">
        <f t="shared" si="0"/>
        <v>2.8</v>
      </c>
      <c r="F106" s="67">
        <f t="shared" si="0"/>
        <v>2.68</v>
      </c>
      <c r="G106" s="67">
        <f t="shared" si="0"/>
        <v>16.489999999999998</v>
      </c>
      <c r="H106" s="67">
        <f t="shared" si="0"/>
        <v>1.55</v>
      </c>
      <c r="I106" s="67">
        <f t="shared" si="0"/>
        <v>0.45</v>
      </c>
      <c r="J106" s="67">
        <f t="shared" si="0"/>
        <v>0</v>
      </c>
      <c r="K106" s="67">
        <f t="shared" si="0"/>
        <v>52.21</v>
      </c>
      <c r="L106" s="67">
        <f t="shared" si="0"/>
        <v>21.91</v>
      </c>
      <c r="M106" s="67">
        <f t="shared" si="0"/>
        <v>92.68</v>
      </c>
      <c r="N106" s="67">
        <f t="shared" si="0"/>
        <v>49</v>
      </c>
      <c r="O106" s="67">
        <f t="shared" si="0"/>
        <v>0</v>
      </c>
      <c r="P106" s="67">
        <f t="shared" si="0"/>
        <v>0.14000000000000001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23.63</v>
      </c>
      <c r="C107" s="66">
        <f t="shared" ref="C107:Q107" si="1">MAX(C9:C104)</f>
        <v>29.53</v>
      </c>
      <c r="D107" s="66">
        <f t="shared" si="1"/>
        <v>33.78</v>
      </c>
      <c r="E107" s="66">
        <f t="shared" si="1"/>
        <v>5.18</v>
      </c>
      <c r="F107" s="66">
        <f t="shared" si="1"/>
        <v>13.43</v>
      </c>
      <c r="G107" s="66">
        <f t="shared" si="1"/>
        <v>48.25</v>
      </c>
      <c r="H107" s="66">
        <f t="shared" si="1"/>
        <v>18.78</v>
      </c>
      <c r="I107" s="66">
        <f t="shared" si="1"/>
        <v>2.31</v>
      </c>
      <c r="J107" s="66">
        <f t="shared" si="1"/>
        <v>1.64</v>
      </c>
      <c r="K107" s="66">
        <f t="shared" si="1"/>
        <v>352.85</v>
      </c>
      <c r="L107" s="66">
        <f t="shared" si="1"/>
        <v>27.89</v>
      </c>
      <c r="M107" s="66">
        <f t="shared" si="1"/>
        <v>99.25</v>
      </c>
      <c r="N107" s="66">
        <f t="shared" si="1"/>
        <v>538.79999999999995</v>
      </c>
      <c r="O107" s="66">
        <f t="shared" si="1"/>
        <v>2.4</v>
      </c>
      <c r="P107" s="66">
        <f t="shared" si="1"/>
        <v>1.1100000000000001</v>
      </c>
      <c r="Q107" s="66">
        <f t="shared" si="1"/>
        <v>9.5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10.353750000000002</v>
      </c>
      <c r="C108" s="67">
        <f t="shared" ref="C108:Q108" si="2">AVERAGE(C9:C104)</f>
        <v>15.806875000000003</v>
      </c>
      <c r="D108" s="67">
        <f t="shared" si="2"/>
        <v>16.553958333333338</v>
      </c>
      <c r="E108" s="67">
        <f t="shared" si="2"/>
        <v>4.3549999999999995</v>
      </c>
      <c r="F108" s="67">
        <f t="shared" si="2"/>
        <v>4.6057291666666647</v>
      </c>
      <c r="G108" s="67">
        <f t="shared" si="2"/>
        <v>27.501770833333321</v>
      </c>
      <c r="H108" s="67">
        <f t="shared" si="2"/>
        <v>8.2562499999999996</v>
      </c>
      <c r="I108" s="67">
        <f t="shared" si="2"/>
        <v>1.2528124999999999</v>
      </c>
      <c r="J108" s="67">
        <f t="shared" si="2"/>
        <v>0.21989583333333332</v>
      </c>
      <c r="K108" s="67">
        <f t="shared" si="2"/>
        <v>277.91593750000015</v>
      </c>
      <c r="L108" s="67">
        <f t="shared" si="2"/>
        <v>23.632187500000015</v>
      </c>
      <c r="M108" s="67">
        <f t="shared" si="2"/>
        <v>98.669479166666633</v>
      </c>
      <c r="N108" s="67">
        <f t="shared" si="2"/>
        <v>114.24062499999997</v>
      </c>
      <c r="O108" s="67">
        <f t="shared" si="2"/>
        <v>8.3333333333333329E-2</v>
      </c>
      <c r="P108" s="67">
        <f t="shared" si="2"/>
        <v>0.42062499999999997</v>
      </c>
      <c r="Q108" s="67">
        <f t="shared" si="2"/>
        <v>9.1447916666666664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5.2196455314210928</v>
      </c>
      <c r="C109" s="67">
        <f t="shared" ref="C109:Q109" si="3">STDEV(C9:C104)</f>
        <v>5.2029890827039802</v>
      </c>
      <c r="D109" s="67">
        <f t="shared" si="3"/>
        <v>6.1709061825662967</v>
      </c>
      <c r="E109" s="67">
        <f t="shared" si="3"/>
        <v>0.43630747246215701</v>
      </c>
      <c r="F109" s="67">
        <f t="shared" si="3"/>
        <v>1.7134813713862602</v>
      </c>
      <c r="G109" s="67">
        <f t="shared" si="3"/>
        <v>9.2615578995047017</v>
      </c>
      <c r="H109" s="67">
        <f t="shared" si="3"/>
        <v>4.7186492826476929</v>
      </c>
      <c r="I109" s="67">
        <f t="shared" si="3"/>
        <v>0.59020906755238245</v>
      </c>
      <c r="J109" s="67">
        <f t="shared" si="3"/>
        <v>0.26472426485592282</v>
      </c>
      <c r="K109" s="67">
        <f t="shared" si="3"/>
        <v>48.471564004129647</v>
      </c>
      <c r="L109" s="67">
        <f t="shared" si="3"/>
        <v>1.6670934069906156</v>
      </c>
      <c r="M109" s="67">
        <f t="shared" si="3"/>
        <v>0.96266119064936695</v>
      </c>
      <c r="N109" s="67">
        <f t="shared" si="3"/>
        <v>112.18386559865867</v>
      </c>
      <c r="O109" s="67">
        <f t="shared" si="3"/>
        <v>0.33550171908467463</v>
      </c>
      <c r="P109" s="67">
        <f t="shared" si="3"/>
        <v>0.21920340229783711</v>
      </c>
      <c r="Q109" s="67">
        <f t="shared" si="3"/>
        <v>0.18054874930941223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1204</v>
      </c>
      <c r="B9" s="64">
        <v>12.52</v>
      </c>
      <c r="C9" s="64">
        <v>14.25</v>
      </c>
      <c r="D9" s="64">
        <v>17.489999999999998</v>
      </c>
      <c r="E9" s="64">
        <v>3.85</v>
      </c>
      <c r="F9" s="64">
        <v>5.43</v>
      </c>
      <c r="G9" s="64">
        <v>18.62</v>
      </c>
      <c r="H9" s="64">
        <v>8.4700000000000006</v>
      </c>
      <c r="I9" s="64">
        <v>2.0499999999999998</v>
      </c>
      <c r="J9" s="64">
        <v>0.04</v>
      </c>
      <c r="K9" s="64">
        <v>217.23</v>
      </c>
      <c r="L9" s="64">
        <v>22.89</v>
      </c>
      <c r="M9" s="64">
        <v>98.98</v>
      </c>
      <c r="N9" s="64">
        <v>49.2</v>
      </c>
      <c r="O9" s="64">
        <v>0</v>
      </c>
      <c r="P9" s="64">
        <v>0.38</v>
      </c>
      <c r="Q9" s="64">
        <v>9.3800000000000008</v>
      </c>
      <c r="R9" s="198"/>
      <c r="S9" s="198"/>
      <c r="T9" s="198"/>
      <c r="U9" s="198"/>
    </row>
    <row r="10" spans="1:21" s="12" customFormat="1" x14ac:dyDescent="0.25">
      <c r="A10" s="213" t="s">
        <v>1205</v>
      </c>
      <c r="B10" s="64">
        <v>14.51</v>
      </c>
      <c r="C10" s="64">
        <v>11.82</v>
      </c>
      <c r="D10" s="64">
        <v>17.809999999999999</v>
      </c>
      <c r="E10" s="64">
        <v>4.12</v>
      </c>
      <c r="F10" s="64">
        <v>4.3899999999999997</v>
      </c>
      <c r="G10" s="64">
        <v>19.91</v>
      </c>
      <c r="H10" s="64">
        <v>7.55</v>
      </c>
      <c r="I10" s="64">
        <v>2.0699999999999998</v>
      </c>
      <c r="J10" s="64">
        <v>0.03</v>
      </c>
      <c r="K10" s="64">
        <v>159.38</v>
      </c>
      <c r="L10" s="64">
        <v>23.01</v>
      </c>
      <c r="M10" s="64">
        <v>98.97</v>
      </c>
      <c r="N10" s="64">
        <v>49.2</v>
      </c>
      <c r="O10" s="64">
        <v>0</v>
      </c>
      <c r="P10" s="64">
        <v>0.56999999999999995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3" t="s">
        <v>1206</v>
      </c>
      <c r="B11" s="64">
        <v>15.15</v>
      </c>
      <c r="C11" s="64">
        <v>10.63</v>
      </c>
      <c r="D11" s="64">
        <v>17.7</v>
      </c>
      <c r="E11" s="64">
        <v>3.87</v>
      </c>
      <c r="F11" s="64">
        <v>3.58</v>
      </c>
      <c r="G11" s="64">
        <v>19.91</v>
      </c>
      <c r="H11" s="64">
        <v>7.55</v>
      </c>
      <c r="I11" s="64">
        <v>2.08</v>
      </c>
      <c r="J11" s="64">
        <v>7.0000000000000007E-2</v>
      </c>
      <c r="K11" s="64">
        <v>318.41000000000003</v>
      </c>
      <c r="L11" s="64">
        <v>23.2</v>
      </c>
      <c r="M11" s="64">
        <v>98.98</v>
      </c>
      <c r="N11" s="64">
        <v>49</v>
      </c>
      <c r="O11" s="64">
        <v>0</v>
      </c>
      <c r="P11" s="64">
        <v>0.5</v>
      </c>
      <c r="Q11" s="64">
        <v>9.36</v>
      </c>
      <c r="R11" s="198"/>
      <c r="S11" s="198"/>
      <c r="T11" s="198"/>
      <c r="U11" s="198"/>
    </row>
    <row r="12" spans="1:21" s="12" customFormat="1" x14ac:dyDescent="0.25">
      <c r="A12" s="213" t="s">
        <v>1207</v>
      </c>
      <c r="B12" s="64">
        <v>15.34</v>
      </c>
      <c r="C12" s="64">
        <v>10.07</v>
      </c>
      <c r="D12" s="64">
        <v>17.559999999999999</v>
      </c>
      <c r="E12" s="64">
        <v>3.98</v>
      </c>
      <c r="F12" s="64">
        <v>3.69</v>
      </c>
      <c r="G12" s="64">
        <v>19.91</v>
      </c>
      <c r="H12" s="64">
        <v>7.55</v>
      </c>
      <c r="I12" s="64">
        <v>2.0499999999999998</v>
      </c>
      <c r="J12" s="64">
        <v>0.1</v>
      </c>
      <c r="K12" s="64">
        <v>303.12</v>
      </c>
      <c r="L12" s="64">
        <v>23.31</v>
      </c>
      <c r="M12" s="64">
        <v>98.97</v>
      </c>
      <c r="N12" s="64">
        <v>49.2</v>
      </c>
      <c r="O12" s="64">
        <v>0</v>
      </c>
      <c r="P12" s="64">
        <v>0.51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3" t="s">
        <v>1208</v>
      </c>
      <c r="B13" s="64">
        <v>14.78</v>
      </c>
      <c r="C13" s="64">
        <v>10.029999999999999</v>
      </c>
      <c r="D13" s="64">
        <v>17.100000000000001</v>
      </c>
      <c r="E13" s="64">
        <v>3.65</v>
      </c>
      <c r="F13" s="64">
        <v>3.67</v>
      </c>
      <c r="G13" s="64">
        <v>21.35</v>
      </c>
      <c r="H13" s="64">
        <v>6.31</v>
      </c>
      <c r="I13" s="64">
        <v>2.02</v>
      </c>
      <c r="J13" s="64">
        <v>0.12</v>
      </c>
      <c r="K13" s="64">
        <v>311</v>
      </c>
      <c r="L13" s="64">
        <v>23.41</v>
      </c>
      <c r="M13" s="64">
        <v>99</v>
      </c>
      <c r="N13" s="64">
        <v>49.5</v>
      </c>
      <c r="O13" s="64">
        <v>0</v>
      </c>
      <c r="P13" s="64">
        <v>0.46</v>
      </c>
      <c r="Q13" s="64">
        <v>9.3000000000000007</v>
      </c>
      <c r="R13" s="198"/>
      <c r="S13" s="198"/>
      <c r="T13" s="198"/>
      <c r="U13" s="198"/>
    </row>
    <row r="14" spans="1:21" s="12" customFormat="1" x14ac:dyDescent="0.25">
      <c r="A14" s="213" t="s">
        <v>1209</v>
      </c>
      <c r="B14" s="64">
        <v>13.69</v>
      </c>
      <c r="C14" s="64">
        <v>9.82</v>
      </c>
      <c r="D14" s="64">
        <v>16.11</v>
      </c>
      <c r="E14" s="64">
        <v>3.41</v>
      </c>
      <c r="F14" s="64">
        <v>4.1500000000000004</v>
      </c>
      <c r="G14" s="64">
        <v>22.22</v>
      </c>
      <c r="H14" s="64">
        <v>5.56</v>
      </c>
      <c r="I14" s="64">
        <v>1.96</v>
      </c>
      <c r="J14" s="64">
        <v>0.11</v>
      </c>
      <c r="K14" s="64">
        <v>293.14999999999998</v>
      </c>
      <c r="L14" s="64">
        <v>23.47</v>
      </c>
      <c r="M14" s="64">
        <v>99</v>
      </c>
      <c r="N14" s="64">
        <v>49.6</v>
      </c>
      <c r="O14" s="64">
        <v>0</v>
      </c>
      <c r="P14" s="64">
        <v>0.44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13" t="s">
        <v>1210</v>
      </c>
      <c r="B15" s="64">
        <v>13.33</v>
      </c>
      <c r="C15" s="64">
        <v>9.9700000000000006</v>
      </c>
      <c r="D15" s="64">
        <v>15.9</v>
      </c>
      <c r="E15" s="64">
        <v>3.49</v>
      </c>
      <c r="F15" s="64">
        <v>3.93</v>
      </c>
      <c r="G15" s="64">
        <v>22.22</v>
      </c>
      <c r="H15" s="64">
        <v>5.56</v>
      </c>
      <c r="I15" s="64">
        <v>1.9</v>
      </c>
      <c r="J15" s="64">
        <v>0.14000000000000001</v>
      </c>
      <c r="K15" s="64">
        <v>289.89</v>
      </c>
      <c r="L15" s="64">
        <v>23.47</v>
      </c>
      <c r="M15" s="64">
        <v>99.03</v>
      </c>
      <c r="N15" s="64">
        <v>49.7</v>
      </c>
      <c r="O15" s="64">
        <v>0</v>
      </c>
      <c r="P15" s="64">
        <v>0.46</v>
      </c>
      <c r="Q15" s="64">
        <v>9.24</v>
      </c>
      <c r="R15" s="198"/>
      <c r="S15" s="198"/>
      <c r="T15" s="198"/>
      <c r="U15" s="198"/>
    </row>
    <row r="16" spans="1:21" s="12" customFormat="1" x14ac:dyDescent="0.25">
      <c r="A16" s="213" t="s">
        <v>1211</v>
      </c>
      <c r="B16" s="64">
        <v>10.69</v>
      </c>
      <c r="C16" s="64">
        <v>10.58</v>
      </c>
      <c r="D16" s="64">
        <v>14.1</v>
      </c>
      <c r="E16" s="64">
        <v>3.77</v>
      </c>
      <c r="F16" s="64">
        <v>5.72</v>
      </c>
      <c r="G16" s="64">
        <v>22.22</v>
      </c>
      <c r="H16" s="64">
        <v>5.56</v>
      </c>
      <c r="I16" s="64">
        <v>1.82</v>
      </c>
      <c r="J16" s="64">
        <v>0.14000000000000001</v>
      </c>
      <c r="K16" s="64">
        <v>294.76</v>
      </c>
      <c r="L16" s="64">
        <v>23.45</v>
      </c>
      <c r="M16" s="64">
        <v>99.02</v>
      </c>
      <c r="N16" s="64">
        <v>49.4</v>
      </c>
      <c r="O16" s="64">
        <v>0</v>
      </c>
      <c r="P16" s="64">
        <v>0.36</v>
      </c>
      <c r="Q16" s="64">
        <v>9.23</v>
      </c>
      <c r="R16" s="198"/>
      <c r="S16" s="198"/>
      <c r="T16" s="198"/>
      <c r="U16" s="198"/>
    </row>
    <row r="17" spans="1:21" s="12" customFormat="1" x14ac:dyDescent="0.25">
      <c r="A17" s="213" t="s">
        <v>1212</v>
      </c>
      <c r="B17" s="64">
        <v>8.92</v>
      </c>
      <c r="C17" s="64">
        <v>11.42</v>
      </c>
      <c r="D17" s="64">
        <v>13.12</v>
      </c>
      <c r="E17" s="64">
        <v>3.69</v>
      </c>
      <c r="F17" s="64">
        <v>8.86</v>
      </c>
      <c r="G17" s="64">
        <v>22.8</v>
      </c>
      <c r="H17" s="64">
        <v>5.38</v>
      </c>
      <c r="I17" s="64">
        <v>1.74</v>
      </c>
      <c r="J17" s="64">
        <v>0.11</v>
      </c>
      <c r="K17" s="64">
        <v>294.42</v>
      </c>
      <c r="L17" s="64">
        <v>23.42</v>
      </c>
      <c r="M17" s="64">
        <v>99</v>
      </c>
      <c r="N17" s="64">
        <v>49.6</v>
      </c>
      <c r="O17" s="64">
        <v>0</v>
      </c>
      <c r="P17" s="64">
        <v>0.38</v>
      </c>
      <c r="Q17" s="64">
        <v>9.23</v>
      </c>
      <c r="R17" s="198"/>
      <c r="S17" s="198"/>
      <c r="T17" s="198"/>
      <c r="U17" s="198"/>
    </row>
    <row r="18" spans="1:21" s="12" customFormat="1" x14ac:dyDescent="0.25">
      <c r="A18" s="213" t="s">
        <v>1213</v>
      </c>
      <c r="B18" s="64">
        <v>8.33</v>
      </c>
      <c r="C18" s="64">
        <v>13.07</v>
      </c>
      <c r="D18" s="64">
        <v>13.51</v>
      </c>
      <c r="E18" s="64">
        <v>3.73</v>
      </c>
      <c r="F18" s="64">
        <v>7.42</v>
      </c>
      <c r="G18" s="64">
        <v>23.15</v>
      </c>
      <c r="H18" s="64">
        <v>5.27</v>
      </c>
      <c r="I18" s="64">
        <v>1.71</v>
      </c>
      <c r="J18" s="64">
        <v>0.08</v>
      </c>
      <c r="K18" s="64">
        <v>299.75</v>
      </c>
      <c r="L18" s="64">
        <v>23.37</v>
      </c>
      <c r="M18" s="64">
        <v>98.97</v>
      </c>
      <c r="N18" s="64">
        <v>49.4</v>
      </c>
      <c r="O18" s="64">
        <v>0</v>
      </c>
      <c r="P18" s="64">
        <v>0.47</v>
      </c>
      <c r="Q18" s="64">
        <v>9.23</v>
      </c>
      <c r="R18" s="198"/>
      <c r="S18" s="198"/>
      <c r="T18" s="198"/>
      <c r="U18" s="198"/>
    </row>
    <row r="19" spans="1:21" s="12" customFormat="1" x14ac:dyDescent="0.25">
      <c r="A19" s="213" t="s">
        <v>1214</v>
      </c>
      <c r="B19" s="64">
        <v>8.0500000000000007</v>
      </c>
      <c r="C19" s="64">
        <v>14.05</v>
      </c>
      <c r="D19" s="64">
        <v>13.8</v>
      </c>
      <c r="E19" s="64">
        <v>3.8</v>
      </c>
      <c r="F19" s="64">
        <v>7.88</v>
      </c>
      <c r="G19" s="64">
        <v>23.15</v>
      </c>
      <c r="H19" s="64">
        <v>5.27</v>
      </c>
      <c r="I19" s="64">
        <v>1.71</v>
      </c>
      <c r="J19" s="64">
        <v>0.09</v>
      </c>
      <c r="K19" s="64">
        <v>301.23</v>
      </c>
      <c r="L19" s="64">
        <v>23.39</v>
      </c>
      <c r="M19" s="64">
        <v>98.97</v>
      </c>
      <c r="N19" s="64">
        <v>49.6</v>
      </c>
      <c r="O19" s="64">
        <v>0</v>
      </c>
      <c r="P19" s="64">
        <v>0.55000000000000004</v>
      </c>
      <c r="Q19" s="64">
        <v>9.23</v>
      </c>
      <c r="R19" s="198"/>
      <c r="S19" s="198"/>
      <c r="T19" s="198"/>
      <c r="U19" s="198"/>
    </row>
    <row r="20" spans="1:21" s="12" customFormat="1" x14ac:dyDescent="0.25">
      <c r="A20" s="213" t="s">
        <v>1215</v>
      </c>
      <c r="B20" s="64">
        <v>8.32</v>
      </c>
      <c r="C20" s="64">
        <v>14.04</v>
      </c>
      <c r="D20" s="64">
        <v>14.01</v>
      </c>
      <c r="E20" s="64">
        <v>3.8</v>
      </c>
      <c r="F20" s="64">
        <v>7.02</v>
      </c>
      <c r="G20" s="64">
        <v>23.15</v>
      </c>
      <c r="H20" s="64">
        <v>5.27</v>
      </c>
      <c r="I20" s="64">
        <v>1.73</v>
      </c>
      <c r="J20" s="64">
        <v>0.09</v>
      </c>
      <c r="K20" s="64">
        <v>292.12</v>
      </c>
      <c r="L20" s="64">
        <v>23.39</v>
      </c>
      <c r="M20" s="64">
        <v>98.97</v>
      </c>
      <c r="N20" s="64">
        <v>49.4</v>
      </c>
      <c r="O20" s="64">
        <v>0</v>
      </c>
      <c r="P20" s="64">
        <v>0.61</v>
      </c>
      <c r="Q20" s="64">
        <v>9.23</v>
      </c>
      <c r="R20" s="198"/>
      <c r="S20" s="198"/>
      <c r="T20" s="198"/>
      <c r="U20" s="198"/>
    </row>
    <row r="21" spans="1:21" s="12" customFormat="1" x14ac:dyDescent="0.25">
      <c r="A21" s="213" t="s">
        <v>1216</v>
      </c>
      <c r="B21" s="64">
        <v>9.1</v>
      </c>
      <c r="C21" s="64">
        <v>14.28</v>
      </c>
      <c r="D21" s="64">
        <v>14.76</v>
      </c>
      <c r="E21" s="64">
        <v>3.95</v>
      </c>
      <c r="F21" s="64">
        <v>5.67</v>
      </c>
      <c r="G21" s="64">
        <v>30.31</v>
      </c>
      <c r="H21" s="64">
        <v>10.87</v>
      </c>
      <c r="I21" s="64">
        <v>1.76</v>
      </c>
      <c r="J21" s="64">
        <v>0.14000000000000001</v>
      </c>
      <c r="K21" s="64">
        <v>296.97000000000003</v>
      </c>
      <c r="L21" s="64">
        <v>23.36</v>
      </c>
      <c r="M21" s="64">
        <v>98.79</v>
      </c>
      <c r="N21" s="64">
        <v>49.6</v>
      </c>
      <c r="O21" s="64">
        <v>0</v>
      </c>
      <c r="P21" s="64">
        <v>0.56999999999999995</v>
      </c>
      <c r="Q21" s="64">
        <v>9.23</v>
      </c>
      <c r="R21" s="198"/>
      <c r="S21" s="198"/>
      <c r="T21" s="198"/>
      <c r="U21" s="198"/>
    </row>
    <row r="22" spans="1:21" s="12" customFormat="1" x14ac:dyDescent="0.25">
      <c r="A22" s="213" t="s">
        <v>1217</v>
      </c>
      <c r="B22" s="64">
        <v>10.039999999999999</v>
      </c>
      <c r="C22" s="64">
        <v>12.89</v>
      </c>
      <c r="D22" s="64">
        <v>14.79</v>
      </c>
      <c r="E22" s="64">
        <v>3.81</v>
      </c>
      <c r="F22" s="64">
        <v>5.37</v>
      </c>
      <c r="G22" s="64">
        <v>34.659999999999997</v>
      </c>
      <c r="H22" s="64">
        <v>14.27</v>
      </c>
      <c r="I22" s="64">
        <v>1.8</v>
      </c>
      <c r="J22" s="64">
        <v>0.18</v>
      </c>
      <c r="K22" s="64">
        <v>293.61</v>
      </c>
      <c r="L22" s="64">
        <v>23.34</v>
      </c>
      <c r="M22" s="64">
        <v>98.67</v>
      </c>
      <c r="N22" s="64">
        <v>49.5</v>
      </c>
      <c r="O22" s="64">
        <v>0</v>
      </c>
      <c r="P22" s="64">
        <v>0.54</v>
      </c>
      <c r="Q22" s="64">
        <v>9.2200000000000006</v>
      </c>
      <c r="R22" s="198"/>
      <c r="S22" s="198"/>
      <c r="T22" s="198"/>
      <c r="U22" s="198"/>
    </row>
    <row r="23" spans="1:21" s="12" customFormat="1" x14ac:dyDescent="0.25">
      <c r="A23" s="213" t="s">
        <v>1218</v>
      </c>
      <c r="B23" s="64">
        <v>10.92</v>
      </c>
      <c r="C23" s="64">
        <v>11.45</v>
      </c>
      <c r="D23" s="64">
        <v>14.74</v>
      </c>
      <c r="E23" s="64">
        <v>3.97</v>
      </c>
      <c r="F23" s="64">
        <v>3.81</v>
      </c>
      <c r="G23" s="64">
        <v>34.659999999999997</v>
      </c>
      <c r="H23" s="64">
        <v>14.27</v>
      </c>
      <c r="I23" s="64">
        <v>1.86</v>
      </c>
      <c r="J23" s="64">
        <v>0.12</v>
      </c>
      <c r="K23" s="64">
        <v>289.2</v>
      </c>
      <c r="L23" s="64">
        <v>23.31</v>
      </c>
      <c r="M23" s="64">
        <v>98.58</v>
      </c>
      <c r="N23" s="64">
        <v>49.7</v>
      </c>
      <c r="O23" s="64">
        <v>0</v>
      </c>
      <c r="P23" s="64">
        <v>0.5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3" t="s">
        <v>1219</v>
      </c>
      <c r="B24" s="64">
        <v>11.55</v>
      </c>
      <c r="C24" s="64">
        <v>10.87</v>
      </c>
      <c r="D24" s="64">
        <v>14.94</v>
      </c>
      <c r="E24" s="64">
        <v>4.01</v>
      </c>
      <c r="F24" s="64">
        <v>3.18</v>
      </c>
      <c r="G24" s="64">
        <v>34.659999999999997</v>
      </c>
      <c r="H24" s="64">
        <v>14.27</v>
      </c>
      <c r="I24" s="64">
        <v>1.91</v>
      </c>
      <c r="J24" s="64">
        <v>7.0000000000000007E-2</v>
      </c>
      <c r="K24" s="64">
        <v>260.42</v>
      </c>
      <c r="L24" s="64">
        <v>23.32</v>
      </c>
      <c r="M24" s="64">
        <v>98.58</v>
      </c>
      <c r="N24" s="64">
        <v>49.6</v>
      </c>
      <c r="O24" s="64">
        <v>0</v>
      </c>
      <c r="P24" s="64">
        <v>0.48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3" t="s">
        <v>1220</v>
      </c>
      <c r="B25" s="64">
        <v>11.38</v>
      </c>
      <c r="C25" s="64">
        <v>10.86</v>
      </c>
      <c r="D25" s="64">
        <v>14.8</v>
      </c>
      <c r="E25" s="64">
        <v>3.62</v>
      </c>
      <c r="F25" s="64">
        <v>3.12</v>
      </c>
      <c r="G25" s="64">
        <v>37.67</v>
      </c>
      <c r="H25" s="64">
        <v>13.4</v>
      </c>
      <c r="I25" s="64">
        <v>1.93</v>
      </c>
      <c r="J25" s="64">
        <v>0.09</v>
      </c>
      <c r="K25" s="64">
        <v>296.66000000000003</v>
      </c>
      <c r="L25" s="64">
        <v>23.27</v>
      </c>
      <c r="M25" s="64">
        <v>98.55</v>
      </c>
      <c r="N25" s="64">
        <v>49.3</v>
      </c>
      <c r="O25" s="64">
        <v>0</v>
      </c>
      <c r="P25" s="64">
        <v>0.49</v>
      </c>
      <c r="Q25" s="64">
        <v>9.19</v>
      </c>
      <c r="R25" s="198"/>
      <c r="S25" s="198"/>
      <c r="T25" s="198"/>
      <c r="U25" s="198"/>
    </row>
    <row r="26" spans="1:21" s="12" customFormat="1" x14ac:dyDescent="0.25">
      <c r="A26" s="213" t="s">
        <v>1221</v>
      </c>
      <c r="B26" s="64">
        <v>11.6</v>
      </c>
      <c r="C26" s="64">
        <v>10.34</v>
      </c>
      <c r="D26" s="64">
        <v>14.71</v>
      </c>
      <c r="E26" s="64">
        <v>3.46</v>
      </c>
      <c r="F26" s="64">
        <v>3.08</v>
      </c>
      <c r="G26" s="64">
        <v>39.49</v>
      </c>
      <c r="H26" s="64">
        <v>12.87</v>
      </c>
      <c r="I26" s="64">
        <v>1.93</v>
      </c>
      <c r="J26" s="64">
        <v>0.13</v>
      </c>
      <c r="K26" s="64">
        <v>292.63</v>
      </c>
      <c r="L26" s="64">
        <v>23.22</v>
      </c>
      <c r="M26" s="64">
        <v>98.54</v>
      </c>
      <c r="N26" s="64">
        <v>49.2</v>
      </c>
      <c r="O26" s="64">
        <v>0</v>
      </c>
      <c r="P26" s="64">
        <v>0.48</v>
      </c>
      <c r="Q26" s="64">
        <v>9.18</v>
      </c>
      <c r="R26" s="198"/>
      <c r="S26" s="198"/>
      <c r="T26" s="198"/>
      <c r="U26" s="198"/>
    </row>
    <row r="27" spans="1:21" s="12" customFormat="1" x14ac:dyDescent="0.25">
      <c r="A27" s="213" t="s">
        <v>1222</v>
      </c>
      <c r="B27" s="64">
        <v>11.46</v>
      </c>
      <c r="C27" s="64">
        <v>10.27</v>
      </c>
      <c r="D27" s="64">
        <v>14.55</v>
      </c>
      <c r="E27" s="64">
        <v>3.7</v>
      </c>
      <c r="F27" s="64">
        <v>3.61</v>
      </c>
      <c r="G27" s="64">
        <v>39.49</v>
      </c>
      <c r="H27" s="64">
        <v>12.87</v>
      </c>
      <c r="I27" s="64">
        <v>1.93</v>
      </c>
      <c r="J27" s="64">
        <v>0.1</v>
      </c>
      <c r="K27" s="64">
        <v>287.69</v>
      </c>
      <c r="L27" s="64">
        <v>23.18</v>
      </c>
      <c r="M27" s="64">
        <v>98.57</v>
      </c>
      <c r="N27" s="64">
        <v>49.3</v>
      </c>
      <c r="O27" s="64">
        <v>0</v>
      </c>
      <c r="P27" s="64">
        <v>0.47</v>
      </c>
      <c r="Q27" s="64">
        <v>9.15</v>
      </c>
      <c r="R27" s="198"/>
      <c r="S27" s="198"/>
      <c r="T27" s="198"/>
      <c r="U27" s="198"/>
    </row>
    <row r="28" spans="1:21" s="12" customFormat="1" x14ac:dyDescent="0.25">
      <c r="A28" s="213" t="s">
        <v>1223</v>
      </c>
      <c r="B28" s="64">
        <v>11.08</v>
      </c>
      <c r="C28" s="64">
        <v>10.68</v>
      </c>
      <c r="D28" s="64">
        <v>14.46</v>
      </c>
      <c r="E28" s="64">
        <v>3.67</v>
      </c>
      <c r="F28" s="64">
        <v>3.05</v>
      </c>
      <c r="G28" s="64">
        <v>39.49</v>
      </c>
      <c r="H28" s="64">
        <v>12.87</v>
      </c>
      <c r="I28" s="64">
        <v>1.92</v>
      </c>
      <c r="J28" s="64">
        <v>0.15</v>
      </c>
      <c r="K28" s="64">
        <v>286.97000000000003</v>
      </c>
      <c r="L28" s="64">
        <v>23.14</v>
      </c>
      <c r="M28" s="64">
        <v>98.6</v>
      </c>
      <c r="N28" s="64">
        <v>49.4</v>
      </c>
      <c r="O28" s="64">
        <v>0</v>
      </c>
      <c r="P28" s="64">
        <v>0.44</v>
      </c>
      <c r="Q28" s="64">
        <v>9.15</v>
      </c>
      <c r="R28" s="198"/>
      <c r="S28" s="198"/>
      <c r="T28" s="198"/>
      <c r="U28" s="198"/>
    </row>
    <row r="29" spans="1:21" s="12" customFormat="1" x14ac:dyDescent="0.25">
      <c r="A29" s="213" t="s">
        <v>1224</v>
      </c>
      <c r="B29" s="64">
        <v>10.66</v>
      </c>
      <c r="C29" s="64">
        <v>10.61</v>
      </c>
      <c r="D29" s="64">
        <v>14.09</v>
      </c>
      <c r="E29" s="64">
        <v>3.65</v>
      </c>
      <c r="F29" s="64">
        <v>3.87</v>
      </c>
      <c r="G29" s="64">
        <v>39.700000000000003</v>
      </c>
      <c r="H29" s="64">
        <v>10.48</v>
      </c>
      <c r="I29" s="64">
        <v>1.87</v>
      </c>
      <c r="J29" s="64">
        <v>0.16</v>
      </c>
      <c r="K29" s="64">
        <v>285.49</v>
      </c>
      <c r="L29" s="64">
        <v>23.12</v>
      </c>
      <c r="M29" s="64">
        <v>98.59</v>
      </c>
      <c r="N29" s="64">
        <v>49.6</v>
      </c>
      <c r="O29" s="64">
        <v>0</v>
      </c>
      <c r="P29" s="64">
        <v>0.42</v>
      </c>
      <c r="Q29" s="64">
        <v>9.14</v>
      </c>
      <c r="R29" s="198"/>
      <c r="S29" s="198"/>
      <c r="T29" s="198"/>
      <c r="U29" s="198"/>
    </row>
    <row r="30" spans="1:21" s="12" customFormat="1" x14ac:dyDescent="0.25">
      <c r="A30" s="213" t="s">
        <v>1225</v>
      </c>
      <c r="B30" s="64">
        <v>10.39</v>
      </c>
      <c r="C30" s="64">
        <v>10.84</v>
      </c>
      <c r="D30" s="64">
        <v>14</v>
      </c>
      <c r="E30" s="64">
        <v>3.59</v>
      </c>
      <c r="F30" s="64">
        <v>3.18</v>
      </c>
      <c r="G30" s="64">
        <v>39.82</v>
      </c>
      <c r="H30" s="64">
        <v>9.0299999999999994</v>
      </c>
      <c r="I30" s="64">
        <v>1.81</v>
      </c>
      <c r="J30" s="64">
        <v>0.14000000000000001</v>
      </c>
      <c r="K30" s="64">
        <v>280.39</v>
      </c>
      <c r="L30" s="64">
        <v>23.08</v>
      </c>
      <c r="M30" s="64">
        <v>98.57</v>
      </c>
      <c r="N30" s="64">
        <v>51.3</v>
      </c>
      <c r="O30" s="64">
        <v>0</v>
      </c>
      <c r="P30" s="64">
        <v>0.4</v>
      </c>
      <c r="Q30" s="64">
        <v>9.1199999999999992</v>
      </c>
      <c r="R30" s="198"/>
      <c r="S30" s="198"/>
      <c r="T30" s="198"/>
      <c r="U30" s="198"/>
    </row>
    <row r="31" spans="1:21" s="12" customFormat="1" x14ac:dyDescent="0.25">
      <c r="A31" s="213" t="s">
        <v>1226</v>
      </c>
      <c r="B31" s="64">
        <v>10.01</v>
      </c>
      <c r="C31" s="64">
        <v>10.88</v>
      </c>
      <c r="D31" s="64">
        <v>13.71</v>
      </c>
      <c r="E31" s="64">
        <v>3.79</v>
      </c>
      <c r="F31" s="64">
        <v>3.56</v>
      </c>
      <c r="G31" s="64">
        <v>39.82</v>
      </c>
      <c r="H31" s="64">
        <v>9.0299999999999994</v>
      </c>
      <c r="I31" s="64">
        <v>1.87</v>
      </c>
      <c r="J31" s="64">
        <v>0.09</v>
      </c>
      <c r="K31" s="64">
        <v>282.64999999999998</v>
      </c>
      <c r="L31" s="64">
        <v>23.11</v>
      </c>
      <c r="M31" s="64">
        <v>98.26</v>
      </c>
      <c r="N31" s="64">
        <v>54.1</v>
      </c>
      <c r="O31" s="64">
        <v>0</v>
      </c>
      <c r="P31" s="64">
        <v>0.38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3" t="s">
        <v>1227</v>
      </c>
      <c r="B32" s="64">
        <v>9.6999999999999993</v>
      </c>
      <c r="C32" s="64">
        <v>10.91</v>
      </c>
      <c r="D32" s="64">
        <v>13.48</v>
      </c>
      <c r="E32" s="64">
        <v>3.55</v>
      </c>
      <c r="F32" s="64">
        <v>3.35</v>
      </c>
      <c r="G32" s="64">
        <v>39.82</v>
      </c>
      <c r="H32" s="64">
        <v>9.0299999999999994</v>
      </c>
      <c r="I32" s="64">
        <v>1.79</v>
      </c>
      <c r="J32" s="64">
        <v>0.12</v>
      </c>
      <c r="K32" s="64">
        <v>309.3</v>
      </c>
      <c r="L32" s="64">
        <v>23.13</v>
      </c>
      <c r="M32" s="64">
        <v>98.12</v>
      </c>
      <c r="N32" s="64">
        <v>64</v>
      </c>
      <c r="O32" s="64">
        <v>0</v>
      </c>
      <c r="P32" s="64">
        <v>0.37</v>
      </c>
      <c r="Q32" s="64">
        <v>9.1</v>
      </c>
      <c r="R32" s="198"/>
      <c r="S32" s="198"/>
      <c r="T32" s="198"/>
      <c r="U32" s="198"/>
    </row>
    <row r="33" spans="1:21" s="12" customFormat="1" x14ac:dyDescent="0.25">
      <c r="A33" s="213" t="s">
        <v>1228</v>
      </c>
      <c r="B33" s="64">
        <v>9.57</v>
      </c>
      <c r="C33" s="64">
        <v>11.79</v>
      </c>
      <c r="D33" s="64">
        <v>13.84</v>
      </c>
      <c r="E33" s="64">
        <v>3.8</v>
      </c>
      <c r="F33" s="64">
        <v>4.17</v>
      </c>
      <c r="G33" s="64">
        <v>39.39</v>
      </c>
      <c r="H33" s="64">
        <v>7.34</v>
      </c>
      <c r="I33" s="64">
        <v>1.75</v>
      </c>
      <c r="J33" s="64">
        <v>0.12</v>
      </c>
      <c r="K33" s="64">
        <v>294.31</v>
      </c>
      <c r="L33" s="64">
        <v>23.2</v>
      </c>
      <c r="M33" s="64">
        <v>98.05</v>
      </c>
      <c r="N33" s="64">
        <v>78</v>
      </c>
      <c r="O33" s="64">
        <v>0</v>
      </c>
      <c r="P33" s="64">
        <v>0.3</v>
      </c>
      <c r="Q33" s="64">
        <v>9.09</v>
      </c>
      <c r="R33" s="198"/>
      <c r="S33" s="198"/>
      <c r="T33" s="198"/>
      <c r="U33" s="198"/>
    </row>
    <row r="34" spans="1:21" s="12" customFormat="1" x14ac:dyDescent="0.25">
      <c r="A34" s="213" t="s">
        <v>1229</v>
      </c>
      <c r="B34" s="64">
        <v>8.81</v>
      </c>
      <c r="C34" s="64">
        <v>12.05</v>
      </c>
      <c r="D34" s="64">
        <v>13.36</v>
      </c>
      <c r="E34" s="64">
        <v>3.54</v>
      </c>
      <c r="F34" s="64">
        <v>5.28</v>
      </c>
      <c r="G34" s="64">
        <v>39.119999999999997</v>
      </c>
      <c r="H34" s="64">
        <v>6.32</v>
      </c>
      <c r="I34" s="64">
        <v>1.78</v>
      </c>
      <c r="J34" s="64">
        <v>0.11</v>
      </c>
      <c r="K34" s="64">
        <v>297.18</v>
      </c>
      <c r="L34" s="64">
        <v>23.31</v>
      </c>
      <c r="M34" s="64">
        <v>98.06</v>
      </c>
      <c r="N34" s="64">
        <v>90.2</v>
      </c>
      <c r="O34" s="64">
        <v>0</v>
      </c>
      <c r="P34" s="64">
        <v>0.28999999999999998</v>
      </c>
      <c r="Q34" s="64">
        <v>9.1199999999999992</v>
      </c>
      <c r="R34" s="198"/>
      <c r="S34" s="198"/>
      <c r="T34" s="198"/>
      <c r="U34" s="198"/>
    </row>
    <row r="35" spans="1:21" s="12" customFormat="1" x14ac:dyDescent="0.25">
      <c r="A35" s="213" t="s">
        <v>1230</v>
      </c>
      <c r="B35" s="64">
        <v>9.14</v>
      </c>
      <c r="C35" s="64">
        <v>11.74</v>
      </c>
      <c r="D35" s="64">
        <v>13.47</v>
      </c>
      <c r="E35" s="64">
        <v>3.5</v>
      </c>
      <c r="F35" s="64">
        <v>4.28</v>
      </c>
      <c r="G35" s="64">
        <v>39.119999999999997</v>
      </c>
      <c r="H35" s="64">
        <v>6.32</v>
      </c>
      <c r="I35" s="64">
        <v>1.73</v>
      </c>
      <c r="J35" s="64">
        <v>0.15</v>
      </c>
      <c r="K35" s="64">
        <v>287.36</v>
      </c>
      <c r="L35" s="64">
        <v>23.49</v>
      </c>
      <c r="M35" s="64">
        <v>98.04</v>
      </c>
      <c r="N35" s="64">
        <v>112.4</v>
      </c>
      <c r="O35" s="64">
        <v>0</v>
      </c>
      <c r="P35" s="64">
        <v>0.3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3" t="s">
        <v>1231</v>
      </c>
      <c r="B36" s="64">
        <v>9.24</v>
      </c>
      <c r="C36" s="64">
        <v>11.34</v>
      </c>
      <c r="D36" s="64">
        <v>13.33</v>
      </c>
      <c r="E36" s="64">
        <v>3.65</v>
      </c>
      <c r="F36" s="64">
        <v>4.26</v>
      </c>
      <c r="G36" s="64">
        <v>39.119999999999997</v>
      </c>
      <c r="H36" s="64">
        <v>6.32</v>
      </c>
      <c r="I36" s="64">
        <v>1.69</v>
      </c>
      <c r="J36" s="64">
        <v>0.15</v>
      </c>
      <c r="K36" s="64">
        <v>290.01</v>
      </c>
      <c r="L36" s="64">
        <v>23.78</v>
      </c>
      <c r="M36" s="64">
        <v>98</v>
      </c>
      <c r="N36" s="64">
        <v>191.3</v>
      </c>
      <c r="O36" s="64">
        <v>0</v>
      </c>
      <c r="P36" s="64">
        <v>0.31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3" t="s">
        <v>1232</v>
      </c>
      <c r="B37" s="64">
        <v>9.8699999999999992</v>
      </c>
      <c r="C37" s="64">
        <v>11.72</v>
      </c>
      <c r="D37" s="64">
        <v>14.03</v>
      </c>
      <c r="E37" s="64">
        <v>3.6</v>
      </c>
      <c r="F37" s="64">
        <v>3.87</v>
      </c>
      <c r="G37" s="64">
        <v>37.57</v>
      </c>
      <c r="H37" s="64">
        <v>5.14</v>
      </c>
      <c r="I37" s="64">
        <v>1.67</v>
      </c>
      <c r="J37" s="64">
        <v>0.16</v>
      </c>
      <c r="K37" s="64">
        <v>297.58</v>
      </c>
      <c r="L37" s="64">
        <v>24.22</v>
      </c>
      <c r="M37" s="64">
        <v>97.97</v>
      </c>
      <c r="N37" s="64">
        <v>216.3</v>
      </c>
      <c r="O37" s="64">
        <v>0</v>
      </c>
      <c r="P37" s="64">
        <v>0.28999999999999998</v>
      </c>
      <c r="Q37" s="64">
        <v>9.15</v>
      </c>
      <c r="R37" s="198"/>
      <c r="S37" s="198"/>
      <c r="T37" s="198"/>
      <c r="U37" s="198"/>
    </row>
    <row r="38" spans="1:21" s="12" customFormat="1" x14ac:dyDescent="0.25">
      <c r="A38" s="213" t="s">
        <v>1233</v>
      </c>
      <c r="B38" s="64">
        <v>11.24</v>
      </c>
      <c r="C38" s="64">
        <v>13.46</v>
      </c>
      <c r="D38" s="64">
        <v>16.04</v>
      </c>
      <c r="E38" s="64">
        <v>3.84</v>
      </c>
      <c r="F38" s="64">
        <v>3.8</v>
      </c>
      <c r="G38" s="64">
        <v>36.630000000000003</v>
      </c>
      <c r="H38" s="64">
        <v>4.42</v>
      </c>
      <c r="I38" s="64">
        <v>1.63</v>
      </c>
      <c r="J38" s="64">
        <v>0.26</v>
      </c>
      <c r="K38" s="64">
        <v>296.2</v>
      </c>
      <c r="L38" s="64">
        <v>24.75</v>
      </c>
      <c r="M38" s="64">
        <v>98.06</v>
      </c>
      <c r="N38" s="64">
        <v>221.9</v>
      </c>
      <c r="O38" s="64">
        <v>0</v>
      </c>
      <c r="P38" s="64">
        <v>0.31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13" t="s">
        <v>1234</v>
      </c>
      <c r="B39" s="64">
        <v>10.99</v>
      </c>
      <c r="C39" s="64">
        <v>13.3</v>
      </c>
      <c r="D39" s="64">
        <v>15.76</v>
      </c>
      <c r="E39" s="64">
        <v>3.63</v>
      </c>
      <c r="F39" s="64">
        <v>3.25</v>
      </c>
      <c r="G39" s="64">
        <v>36.630000000000003</v>
      </c>
      <c r="H39" s="64">
        <v>4.42</v>
      </c>
      <c r="I39" s="64">
        <v>1.6</v>
      </c>
      <c r="J39" s="64">
        <v>0.24</v>
      </c>
      <c r="K39" s="64">
        <v>293.5</v>
      </c>
      <c r="L39" s="64">
        <v>25.37</v>
      </c>
      <c r="M39" s="64">
        <v>98.09</v>
      </c>
      <c r="N39" s="64">
        <v>336.4</v>
      </c>
      <c r="O39" s="64">
        <v>0</v>
      </c>
      <c r="P39" s="64">
        <v>0.3</v>
      </c>
      <c r="Q39" s="64">
        <v>9.15</v>
      </c>
      <c r="R39" s="198"/>
      <c r="S39" s="198"/>
      <c r="T39" s="198"/>
      <c r="U39" s="198"/>
    </row>
    <row r="40" spans="1:21" s="12" customFormat="1" x14ac:dyDescent="0.25">
      <c r="A40" s="213" t="s">
        <v>1235</v>
      </c>
      <c r="B40" s="64">
        <v>10.41</v>
      </c>
      <c r="C40" s="64">
        <v>12.87</v>
      </c>
      <c r="D40" s="64">
        <v>15.07</v>
      </c>
      <c r="E40" s="64">
        <v>3.86</v>
      </c>
      <c r="F40" s="64">
        <v>2.88</v>
      </c>
      <c r="G40" s="64">
        <v>36.630000000000003</v>
      </c>
      <c r="H40" s="64">
        <v>4.42</v>
      </c>
      <c r="I40" s="64">
        <v>1.56</v>
      </c>
      <c r="J40" s="64">
        <v>0.26</v>
      </c>
      <c r="K40" s="64">
        <v>285.02</v>
      </c>
      <c r="L40" s="64">
        <v>26.29</v>
      </c>
      <c r="M40" s="64">
        <v>98.04</v>
      </c>
      <c r="N40" s="64">
        <v>394.4</v>
      </c>
      <c r="O40" s="64">
        <v>0</v>
      </c>
      <c r="P40" s="64">
        <v>0.31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3" t="s">
        <v>1236</v>
      </c>
      <c r="B41" s="64">
        <v>10.15</v>
      </c>
      <c r="C41" s="64">
        <v>12.01</v>
      </c>
      <c r="D41" s="64">
        <v>14.42</v>
      </c>
      <c r="E41" s="64">
        <v>4.22</v>
      </c>
      <c r="F41" s="64">
        <v>4.0199999999999996</v>
      </c>
      <c r="G41" s="64">
        <v>40.020000000000003</v>
      </c>
      <c r="H41" s="64">
        <v>10.97</v>
      </c>
      <c r="I41" s="64">
        <v>1.54</v>
      </c>
      <c r="J41" s="64">
        <v>0.26</v>
      </c>
      <c r="K41" s="64">
        <v>281.75</v>
      </c>
      <c r="L41" s="64">
        <v>27.04</v>
      </c>
      <c r="M41" s="64">
        <v>97.51</v>
      </c>
      <c r="N41" s="64">
        <v>402.9</v>
      </c>
      <c r="O41" s="64">
        <v>0</v>
      </c>
      <c r="P41" s="64">
        <v>0.33</v>
      </c>
      <c r="Q41" s="64">
        <v>9.16</v>
      </c>
      <c r="R41" s="198"/>
      <c r="S41" s="198"/>
      <c r="T41" s="198"/>
      <c r="U41" s="198"/>
    </row>
    <row r="42" spans="1:21" s="12" customFormat="1" x14ac:dyDescent="0.25">
      <c r="A42" s="213" t="s">
        <v>1237</v>
      </c>
      <c r="B42" s="64">
        <v>10.18</v>
      </c>
      <c r="C42" s="64">
        <v>12.1</v>
      </c>
      <c r="D42" s="64">
        <v>14.49</v>
      </c>
      <c r="E42" s="64">
        <v>4.34</v>
      </c>
      <c r="F42" s="64">
        <v>3.37</v>
      </c>
      <c r="G42" s="64">
        <v>42.07</v>
      </c>
      <c r="H42" s="64">
        <v>14.95</v>
      </c>
      <c r="I42" s="64">
        <v>1.57</v>
      </c>
      <c r="J42" s="64">
        <v>0.25</v>
      </c>
      <c r="K42" s="64">
        <v>287.14999999999998</v>
      </c>
      <c r="L42" s="64">
        <v>27.45</v>
      </c>
      <c r="M42" s="64">
        <v>96.4</v>
      </c>
      <c r="N42" s="64">
        <v>264.3</v>
      </c>
      <c r="O42" s="64">
        <v>0</v>
      </c>
      <c r="P42" s="64">
        <v>0.38</v>
      </c>
      <c r="Q42" s="64">
        <v>9.14</v>
      </c>
      <c r="R42" s="198"/>
      <c r="S42" s="198"/>
      <c r="T42" s="198"/>
      <c r="U42" s="198"/>
    </row>
    <row r="43" spans="1:21" s="12" customFormat="1" x14ac:dyDescent="0.25">
      <c r="A43" s="213" t="s">
        <v>1238</v>
      </c>
      <c r="B43" s="64">
        <v>10.64</v>
      </c>
      <c r="C43" s="64">
        <v>12.48</v>
      </c>
      <c r="D43" s="64">
        <v>15.05</v>
      </c>
      <c r="E43" s="64">
        <v>4.3</v>
      </c>
      <c r="F43" s="64">
        <v>3.64</v>
      </c>
      <c r="G43" s="64">
        <v>42.07</v>
      </c>
      <c r="H43" s="64">
        <v>14.95</v>
      </c>
      <c r="I43" s="64">
        <v>1.62</v>
      </c>
      <c r="J43" s="64">
        <v>0.28000000000000003</v>
      </c>
      <c r="K43" s="64">
        <v>291.2</v>
      </c>
      <c r="L43" s="64">
        <v>26.67</v>
      </c>
      <c r="M43" s="64">
        <v>97.6</v>
      </c>
      <c r="N43" s="64">
        <v>159.19999999999999</v>
      </c>
      <c r="O43" s="64">
        <v>0</v>
      </c>
      <c r="P43" s="64">
        <v>0.42</v>
      </c>
      <c r="Q43" s="64">
        <v>9.16</v>
      </c>
      <c r="R43" s="198"/>
      <c r="S43" s="198"/>
      <c r="T43" s="198"/>
      <c r="U43" s="198"/>
    </row>
    <row r="44" spans="1:21" s="12" customFormat="1" x14ac:dyDescent="0.25">
      <c r="A44" s="213" t="s">
        <v>1239</v>
      </c>
      <c r="B44" s="64">
        <v>10.61</v>
      </c>
      <c r="C44" s="64">
        <v>12.55</v>
      </c>
      <c r="D44" s="64">
        <v>15.07</v>
      </c>
      <c r="E44" s="64">
        <v>4.33</v>
      </c>
      <c r="F44" s="64">
        <v>4.1399999999999997</v>
      </c>
      <c r="G44" s="64">
        <v>42.07</v>
      </c>
      <c r="H44" s="64">
        <v>14.95</v>
      </c>
      <c r="I44" s="64">
        <v>1.74</v>
      </c>
      <c r="J44" s="64">
        <v>0.25</v>
      </c>
      <c r="K44" s="64">
        <v>287.91000000000003</v>
      </c>
      <c r="L44" s="64">
        <v>26.01</v>
      </c>
      <c r="M44" s="64">
        <v>98.02</v>
      </c>
      <c r="N44" s="64">
        <v>159.4</v>
      </c>
      <c r="O44" s="64">
        <v>0</v>
      </c>
      <c r="P44" s="64">
        <v>0.43</v>
      </c>
      <c r="Q44" s="64">
        <v>9.16</v>
      </c>
      <c r="R44" s="198"/>
      <c r="S44" s="198"/>
      <c r="T44" s="198"/>
      <c r="U44" s="198"/>
    </row>
    <row r="45" spans="1:21" s="12" customFormat="1" x14ac:dyDescent="0.25">
      <c r="A45" s="213" t="s">
        <v>1240</v>
      </c>
      <c r="B45" s="64">
        <v>10.68</v>
      </c>
      <c r="C45" s="64">
        <v>12.74</v>
      </c>
      <c r="D45" s="64">
        <v>15.22</v>
      </c>
      <c r="E45" s="64">
        <v>4.46</v>
      </c>
      <c r="F45" s="64">
        <v>3.26</v>
      </c>
      <c r="G45" s="64">
        <v>52.52</v>
      </c>
      <c r="H45" s="64">
        <v>13.76</v>
      </c>
      <c r="I45" s="64">
        <v>1.82</v>
      </c>
      <c r="J45" s="64">
        <v>0.21</v>
      </c>
      <c r="K45" s="64">
        <v>280.69</v>
      </c>
      <c r="L45" s="64">
        <v>25.98</v>
      </c>
      <c r="M45" s="64">
        <v>98.03</v>
      </c>
      <c r="N45" s="64">
        <v>191.8</v>
      </c>
      <c r="O45" s="64">
        <v>0</v>
      </c>
      <c r="P45" s="64">
        <v>0.41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3" t="s">
        <v>1241</v>
      </c>
      <c r="B46" s="64">
        <v>11.03</v>
      </c>
      <c r="C46" s="64">
        <v>12.85</v>
      </c>
      <c r="D46" s="64">
        <v>15.56</v>
      </c>
      <c r="E46" s="64">
        <v>4.12</v>
      </c>
      <c r="F46" s="64">
        <v>3.47</v>
      </c>
      <c r="G46" s="64">
        <v>58.87</v>
      </c>
      <c r="H46" s="64">
        <v>13.04</v>
      </c>
      <c r="I46" s="64">
        <v>1.82</v>
      </c>
      <c r="J46" s="64">
        <v>0.21</v>
      </c>
      <c r="K46" s="64">
        <v>288.74</v>
      </c>
      <c r="L46" s="64">
        <v>26.23</v>
      </c>
      <c r="M46" s="64">
        <v>98.03</v>
      </c>
      <c r="N46" s="64">
        <v>236.2</v>
      </c>
      <c r="O46" s="64">
        <v>0</v>
      </c>
      <c r="P46" s="64">
        <v>0.41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3" t="s">
        <v>1242</v>
      </c>
      <c r="B47" s="64">
        <v>11.28</v>
      </c>
      <c r="C47" s="64">
        <v>13.04</v>
      </c>
      <c r="D47" s="64">
        <v>15.86</v>
      </c>
      <c r="E47" s="64">
        <v>4.0599999999999996</v>
      </c>
      <c r="F47" s="64">
        <v>3.69</v>
      </c>
      <c r="G47" s="64">
        <v>58.87</v>
      </c>
      <c r="H47" s="64">
        <v>13.04</v>
      </c>
      <c r="I47" s="64">
        <v>1.81</v>
      </c>
      <c r="J47" s="64">
        <v>0.13</v>
      </c>
      <c r="K47" s="64">
        <v>279.14</v>
      </c>
      <c r="L47" s="64">
        <v>26.4</v>
      </c>
      <c r="M47" s="64">
        <v>98.07</v>
      </c>
      <c r="N47" s="64">
        <v>281.2</v>
      </c>
      <c r="O47" s="64">
        <v>0</v>
      </c>
      <c r="P47" s="64">
        <v>0.45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13" t="s">
        <v>1243</v>
      </c>
      <c r="B48" s="64">
        <v>12.21</v>
      </c>
      <c r="C48" s="64">
        <v>13.25</v>
      </c>
      <c r="D48" s="64">
        <v>16.71</v>
      </c>
      <c r="E48" s="64">
        <v>4.3099999999999996</v>
      </c>
      <c r="F48" s="64">
        <v>2.92</v>
      </c>
      <c r="G48" s="64">
        <v>58.87</v>
      </c>
      <c r="H48" s="64">
        <v>13.04</v>
      </c>
      <c r="I48" s="64">
        <v>1.82</v>
      </c>
      <c r="J48" s="64">
        <v>0.33</v>
      </c>
      <c r="K48" s="64">
        <v>297.47000000000003</v>
      </c>
      <c r="L48" s="64">
        <v>27.18</v>
      </c>
      <c r="M48" s="64">
        <v>96.13</v>
      </c>
      <c r="N48" s="64">
        <v>356</v>
      </c>
      <c r="O48" s="64">
        <v>0</v>
      </c>
      <c r="P48" s="64">
        <v>0.48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3" t="s">
        <v>1244</v>
      </c>
      <c r="B49" s="64">
        <v>11.63</v>
      </c>
      <c r="C49" s="64">
        <v>13.8</v>
      </c>
      <c r="D49" s="64">
        <v>16.54</v>
      </c>
      <c r="E49" s="64">
        <v>4.24</v>
      </c>
      <c r="F49" s="64">
        <v>3.6</v>
      </c>
      <c r="G49" s="64">
        <v>64.56</v>
      </c>
      <c r="H49" s="64">
        <v>10.69</v>
      </c>
      <c r="I49" s="64">
        <v>1.87</v>
      </c>
      <c r="J49" s="64">
        <v>0.33</v>
      </c>
      <c r="K49" s="64">
        <v>288.97000000000003</v>
      </c>
      <c r="L49" s="64">
        <v>27.6</v>
      </c>
      <c r="M49" s="64">
        <v>93.96</v>
      </c>
      <c r="N49" s="64">
        <v>255.7</v>
      </c>
      <c r="O49" s="64">
        <v>0</v>
      </c>
      <c r="P49" s="64">
        <v>0.46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3" t="s">
        <v>1245</v>
      </c>
      <c r="B50" s="64">
        <v>10.93</v>
      </c>
      <c r="C50" s="64">
        <v>14.82</v>
      </c>
      <c r="D50" s="64">
        <v>16.510000000000002</v>
      </c>
      <c r="E50" s="64">
        <v>4.08</v>
      </c>
      <c r="F50" s="64">
        <v>3.75</v>
      </c>
      <c r="G50" s="64">
        <v>68.010000000000005</v>
      </c>
      <c r="H50" s="64">
        <v>9.26</v>
      </c>
      <c r="I50" s="64">
        <v>1.92</v>
      </c>
      <c r="J50" s="64">
        <v>0.23</v>
      </c>
      <c r="K50" s="64">
        <v>281.32</v>
      </c>
      <c r="L50" s="64">
        <v>27.06</v>
      </c>
      <c r="M50" s="64">
        <v>97.13</v>
      </c>
      <c r="N50" s="64">
        <v>281.10000000000002</v>
      </c>
      <c r="O50" s="64">
        <v>0</v>
      </c>
      <c r="P50" s="64">
        <v>0.5</v>
      </c>
      <c r="Q50" s="64">
        <v>9.17</v>
      </c>
      <c r="R50" s="198"/>
      <c r="S50" s="198"/>
      <c r="T50" s="198"/>
      <c r="U50" s="198"/>
    </row>
    <row r="51" spans="1:21" s="12" customFormat="1" x14ac:dyDescent="0.25">
      <c r="A51" s="213" t="s">
        <v>1246</v>
      </c>
      <c r="B51" s="64">
        <v>9.2899999999999991</v>
      </c>
      <c r="C51" s="64">
        <v>21.07</v>
      </c>
      <c r="D51" s="64">
        <v>18.46</v>
      </c>
      <c r="E51" s="64">
        <v>4.57</v>
      </c>
      <c r="F51" s="64">
        <v>3.74</v>
      </c>
      <c r="G51" s="64">
        <v>68.010000000000005</v>
      </c>
      <c r="H51" s="64">
        <v>9.26</v>
      </c>
      <c r="I51" s="64">
        <v>1.93</v>
      </c>
      <c r="J51" s="64">
        <v>0.22</v>
      </c>
      <c r="K51" s="64">
        <v>289.05</v>
      </c>
      <c r="L51" s="64">
        <v>27.04</v>
      </c>
      <c r="M51" s="64">
        <v>97.63</v>
      </c>
      <c r="N51" s="64">
        <v>306.2</v>
      </c>
      <c r="O51" s="64">
        <v>0</v>
      </c>
      <c r="P51" s="64">
        <v>0.62</v>
      </c>
      <c r="Q51" s="64">
        <v>9.18</v>
      </c>
      <c r="R51" s="198"/>
      <c r="S51" s="198"/>
      <c r="T51" s="198"/>
      <c r="U51" s="198"/>
    </row>
    <row r="52" spans="1:21" s="12" customFormat="1" x14ac:dyDescent="0.25">
      <c r="A52" s="213" t="s">
        <v>1247</v>
      </c>
      <c r="B52" s="64">
        <v>7.61</v>
      </c>
      <c r="C52" s="64">
        <v>24.3</v>
      </c>
      <c r="D52" s="64">
        <v>18.8</v>
      </c>
      <c r="E52" s="64">
        <v>4.32</v>
      </c>
      <c r="F52" s="64">
        <v>4.49</v>
      </c>
      <c r="G52" s="64">
        <v>68.010000000000005</v>
      </c>
      <c r="H52" s="64">
        <v>9.26</v>
      </c>
      <c r="I52" s="64">
        <v>1.89</v>
      </c>
      <c r="J52" s="64">
        <v>0.3</v>
      </c>
      <c r="K52" s="64">
        <v>286.2</v>
      </c>
      <c r="L52" s="64">
        <v>27.94</v>
      </c>
      <c r="M52" s="64">
        <v>94.15</v>
      </c>
      <c r="N52" s="64">
        <v>307</v>
      </c>
      <c r="O52" s="64">
        <v>0</v>
      </c>
      <c r="P52" s="64">
        <v>0.68</v>
      </c>
      <c r="Q52" s="64">
        <v>9.17</v>
      </c>
      <c r="R52" s="198"/>
      <c r="S52" s="198"/>
      <c r="T52" s="198"/>
      <c r="U52" s="198"/>
    </row>
    <row r="53" spans="1:21" s="12" customFormat="1" x14ac:dyDescent="0.25">
      <c r="A53" s="213" t="s">
        <v>1248</v>
      </c>
      <c r="B53" s="64">
        <v>7.52</v>
      </c>
      <c r="C53" s="64">
        <v>25.73</v>
      </c>
      <c r="D53" s="64">
        <v>19.47</v>
      </c>
      <c r="E53" s="64">
        <v>3.98</v>
      </c>
      <c r="F53" s="64">
        <v>4.3899999999999997</v>
      </c>
      <c r="G53" s="64">
        <v>72.989999999999995</v>
      </c>
      <c r="H53" s="64">
        <v>12.37</v>
      </c>
      <c r="I53" s="64">
        <v>1.93</v>
      </c>
      <c r="J53" s="64">
        <v>0.39</v>
      </c>
      <c r="K53" s="64">
        <v>298.16000000000003</v>
      </c>
      <c r="L53" s="64">
        <v>28.85</v>
      </c>
      <c r="M53" s="64">
        <v>89.93</v>
      </c>
      <c r="N53" s="64">
        <v>397.2</v>
      </c>
      <c r="O53" s="64">
        <v>0</v>
      </c>
      <c r="P53" s="64">
        <v>0.68</v>
      </c>
      <c r="Q53" s="64">
        <v>9.17</v>
      </c>
      <c r="R53" s="198"/>
      <c r="S53" s="198"/>
      <c r="T53" s="198"/>
      <c r="U53" s="198"/>
    </row>
    <row r="54" spans="1:21" s="12" customFormat="1" x14ac:dyDescent="0.25">
      <c r="A54" s="213" t="s">
        <v>1249</v>
      </c>
      <c r="B54" s="64">
        <v>8.25</v>
      </c>
      <c r="C54" s="64">
        <v>22.99</v>
      </c>
      <c r="D54" s="64">
        <v>18.63</v>
      </c>
      <c r="E54" s="64">
        <v>4.1399999999999997</v>
      </c>
      <c r="F54" s="64">
        <v>4.7699999999999996</v>
      </c>
      <c r="G54" s="64">
        <v>76.010000000000005</v>
      </c>
      <c r="H54" s="64">
        <v>14.25</v>
      </c>
      <c r="I54" s="64">
        <v>2</v>
      </c>
      <c r="J54" s="64">
        <v>0.47</v>
      </c>
      <c r="K54" s="64">
        <v>302.12</v>
      </c>
      <c r="L54" s="64">
        <v>29.36</v>
      </c>
      <c r="M54" s="64">
        <v>85.39</v>
      </c>
      <c r="N54" s="64">
        <v>368.4</v>
      </c>
      <c r="O54" s="64">
        <v>0</v>
      </c>
      <c r="P54" s="64">
        <v>0.63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3" t="s">
        <v>1250</v>
      </c>
      <c r="B55" s="64">
        <v>7.52</v>
      </c>
      <c r="C55" s="64">
        <v>22.66</v>
      </c>
      <c r="D55" s="64">
        <v>17.87</v>
      </c>
      <c r="E55" s="64">
        <v>4.09</v>
      </c>
      <c r="F55" s="64">
        <v>5.54</v>
      </c>
      <c r="G55" s="64">
        <v>76.010000000000005</v>
      </c>
      <c r="H55" s="64">
        <v>14.25</v>
      </c>
      <c r="I55" s="64">
        <v>2</v>
      </c>
      <c r="J55" s="64">
        <v>0.4</v>
      </c>
      <c r="K55" s="64">
        <v>290.94</v>
      </c>
      <c r="L55" s="64">
        <v>29.45</v>
      </c>
      <c r="M55" s="64">
        <v>84.7</v>
      </c>
      <c r="N55" s="64">
        <v>439.5</v>
      </c>
      <c r="O55" s="64">
        <v>0</v>
      </c>
      <c r="P55" s="64">
        <v>0.56999999999999995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3" t="s">
        <v>1251</v>
      </c>
      <c r="B56" s="64">
        <v>7.82</v>
      </c>
      <c r="C56" s="64">
        <v>22.92</v>
      </c>
      <c r="D56" s="64">
        <v>18.25</v>
      </c>
      <c r="E56" s="64">
        <v>4.28</v>
      </c>
      <c r="F56" s="64">
        <v>6.23</v>
      </c>
      <c r="G56" s="64">
        <v>76.010000000000005</v>
      </c>
      <c r="H56" s="64">
        <v>14.25</v>
      </c>
      <c r="I56" s="64">
        <v>1.93</v>
      </c>
      <c r="J56" s="64">
        <v>0.45</v>
      </c>
      <c r="K56" s="64">
        <v>300.18</v>
      </c>
      <c r="L56" s="64">
        <v>29.94</v>
      </c>
      <c r="M56" s="64">
        <v>83.18</v>
      </c>
      <c r="N56" s="64">
        <v>398.5</v>
      </c>
      <c r="O56" s="64">
        <v>0</v>
      </c>
      <c r="P56" s="64">
        <v>0.5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3" t="s">
        <v>1252</v>
      </c>
      <c r="B57" s="64">
        <v>6.78</v>
      </c>
      <c r="C57" s="64">
        <v>22.02</v>
      </c>
      <c r="D57" s="64">
        <v>16.940000000000001</v>
      </c>
      <c r="E57" s="64">
        <v>4.07</v>
      </c>
      <c r="F57" s="64">
        <v>4.82</v>
      </c>
      <c r="G57" s="64">
        <v>77.25</v>
      </c>
      <c r="H57" s="64">
        <v>21.62</v>
      </c>
      <c r="I57" s="64">
        <v>1.8</v>
      </c>
      <c r="J57" s="64">
        <v>0.75</v>
      </c>
      <c r="K57" s="64">
        <v>308.62</v>
      </c>
      <c r="L57" s="64">
        <v>30.41</v>
      </c>
      <c r="M57" s="64">
        <v>80.569999999999993</v>
      </c>
      <c r="N57" s="64">
        <v>397.1</v>
      </c>
      <c r="O57" s="64">
        <v>0</v>
      </c>
      <c r="P57" s="64">
        <v>0.43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3" t="s">
        <v>1253</v>
      </c>
      <c r="B58" s="64">
        <v>6.45</v>
      </c>
      <c r="C58" s="64">
        <v>23.45</v>
      </c>
      <c r="D58" s="64">
        <v>17.43</v>
      </c>
      <c r="E58" s="64">
        <v>4.1399999999999997</v>
      </c>
      <c r="F58" s="64">
        <v>5.62</v>
      </c>
      <c r="G58" s="64">
        <v>78</v>
      </c>
      <c r="H58" s="64">
        <v>26.09</v>
      </c>
      <c r="I58" s="64">
        <v>1.67</v>
      </c>
      <c r="J58" s="64">
        <v>0.75</v>
      </c>
      <c r="K58" s="64">
        <v>312.97000000000003</v>
      </c>
      <c r="L58" s="64">
        <v>30.62</v>
      </c>
      <c r="M58" s="64">
        <v>79.040000000000006</v>
      </c>
      <c r="N58" s="64">
        <v>328</v>
      </c>
      <c r="O58" s="64">
        <v>0</v>
      </c>
      <c r="P58" s="64">
        <v>0.4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3" t="s">
        <v>1254</v>
      </c>
      <c r="B59" s="64">
        <v>5.98</v>
      </c>
      <c r="C59" s="64">
        <v>23.1</v>
      </c>
      <c r="D59" s="64">
        <v>16.87</v>
      </c>
      <c r="E59" s="64">
        <v>4.0999999999999996</v>
      </c>
      <c r="F59" s="64">
        <v>4.5599999999999996</v>
      </c>
      <c r="G59" s="64">
        <v>78</v>
      </c>
      <c r="H59" s="64">
        <v>26.09</v>
      </c>
      <c r="I59" s="64">
        <v>1.55</v>
      </c>
      <c r="J59" s="64">
        <v>0.59</v>
      </c>
      <c r="K59" s="64">
        <v>306.42</v>
      </c>
      <c r="L59" s="64">
        <v>30.08</v>
      </c>
      <c r="M59" s="64">
        <v>82.3</v>
      </c>
      <c r="N59" s="64">
        <v>236.2</v>
      </c>
      <c r="O59" s="64">
        <v>0</v>
      </c>
      <c r="P59" s="64">
        <v>0.38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3" t="s">
        <v>1255</v>
      </c>
      <c r="B60" s="64">
        <v>7.08</v>
      </c>
      <c r="C60" s="64">
        <v>19.21</v>
      </c>
      <c r="D60" s="64">
        <v>15.72</v>
      </c>
      <c r="E60" s="64">
        <v>4.4400000000000004</v>
      </c>
      <c r="F60" s="64">
        <v>5.34</v>
      </c>
      <c r="G60" s="64">
        <v>78</v>
      </c>
      <c r="H60" s="64">
        <v>26.09</v>
      </c>
      <c r="I60" s="64">
        <v>1.41</v>
      </c>
      <c r="J60" s="64">
        <v>0.57999999999999996</v>
      </c>
      <c r="K60" s="64">
        <v>304.95999999999998</v>
      </c>
      <c r="L60" s="64">
        <v>29.71</v>
      </c>
      <c r="M60" s="64">
        <v>83.11</v>
      </c>
      <c r="N60" s="64">
        <v>260.10000000000002</v>
      </c>
      <c r="O60" s="64">
        <v>0</v>
      </c>
      <c r="P60" s="64">
        <v>0.33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3" t="s">
        <v>1256</v>
      </c>
      <c r="B61" s="64">
        <v>5.52</v>
      </c>
      <c r="C61" s="64">
        <v>21.76</v>
      </c>
      <c r="D61" s="64">
        <v>15.8</v>
      </c>
      <c r="E61" s="64">
        <v>4.3499999999999996</v>
      </c>
      <c r="F61" s="64">
        <v>5</v>
      </c>
      <c r="G61" s="64">
        <v>74.72</v>
      </c>
      <c r="H61" s="64">
        <v>19.649999999999999</v>
      </c>
      <c r="I61" s="64">
        <v>1.3</v>
      </c>
      <c r="J61" s="64">
        <v>1.01</v>
      </c>
      <c r="K61" s="64">
        <v>315.37</v>
      </c>
      <c r="L61" s="64">
        <v>29.42</v>
      </c>
      <c r="M61" s="64">
        <v>83.95</v>
      </c>
      <c r="N61" s="64">
        <v>322.3</v>
      </c>
      <c r="O61" s="64">
        <v>0</v>
      </c>
      <c r="P61" s="64">
        <v>0.36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3" t="s">
        <v>1257</v>
      </c>
      <c r="B62" s="64">
        <v>6.14</v>
      </c>
      <c r="C62" s="64">
        <v>21.02</v>
      </c>
      <c r="D62" s="64">
        <v>15.9</v>
      </c>
      <c r="E62" s="64">
        <v>4.29</v>
      </c>
      <c r="F62" s="64">
        <v>4.66</v>
      </c>
      <c r="G62" s="64">
        <v>72.72</v>
      </c>
      <c r="H62" s="64">
        <v>15.75</v>
      </c>
      <c r="I62" s="64">
        <v>1.23</v>
      </c>
      <c r="J62" s="64">
        <v>1.27</v>
      </c>
      <c r="K62" s="64">
        <v>323.99</v>
      </c>
      <c r="L62" s="64">
        <v>29.95</v>
      </c>
      <c r="M62" s="64">
        <v>85.48</v>
      </c>
      <c r="N62" s="64">
        <v>481.6</v>
      </c>
      <c r="O62" s="64">
        <v>0</v>
      </c>
      <c r="P62" s="64">
        <v>0.37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3" t="s">
        <v>1258</v>
      </c>
      <c r="B63" s="64">
        <v>6.18</v>
      </c>
      <c r="C63" s="64">
        <v>19.690000000000001</v>
      </c>
      <c r="D63" s="64">
        <v>15.24</v>
      </c>
      <c r="E63" s="64">
        <v>4.6399999999999997</v>
      </c>
      <c r="F63" s="64">
        <v>3.78</v>
      </c>
      <c r="G63" s="64">
        <v>72.72</v>
      </c>
      <c r="H63" s="64">
        <v>15.75</v>
      </c>
      <c r="I63" s="64">
        <v>1.19</v>
      </c>
      <c r="J63" s="64">
        <v>0.77</v>
      </c>
      <c r="K63" s="64">
        <v>313</v>
      </c>
      <c r="L63" s="64">
        <v>30.95</v>
      </c>
      <c r="M63" s="64">
        <v>81.14</v>
      </c>
      <c r="N63" s="64">
        <v>433.8</v>
      </c>
      <c r="O63" s="64">
        <v>0</v>
      </c>
      <c r="P63" s="64">
        <v>0.37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3" t="s">
        <v>1259</v>
      </c>
      <c r="B64" s="64">
        <v>7.14</v>
      </c>
      <c r="C64" s="64">
        <v>19.27</v>
      </c>
      <c r="D64" s="64">
        <v>15.79</v>
      </c>
      <c r="E64" s="64">
        <v>4.4000000000000004</v>
      </c>
      <c r="F64" s="64">
        <v>3.49</v>
      </c>
      <c r="G64" s="64">
        <v>72.72</v>
      </c>
      <c r="H64" s="64">
        <v>15.75</v>
      </c>
      <c r="I64" s="64">
        <v>1.17</v>
      </c>
      <c r="J64" s="64">
        <v>0.9</v>
      </c>
      <c r="K64" s="64">
        <v>316.58</v>
      </c>
      <c r="L64" s="64">
        <v>31.22</v>
      </c>
      <c r="M64" s="64">
        <v>79.14</v>
      </c>
      <c r="N64" s="64">
        <v>372.1</v>
      </c>
      <c r="O64" s="64">
        <v>0</v>
      </c>
      <c r="P64" s="64">
        <v>0.37</v>
      </c>
      <c r="Q64" s="64">
        <v>9.08</v>
      </c>
      <c r="R64" s="198"/>
      <c r="S64" s="198"/>
      <c r="T64" s="198"/>
      <c r="U64" s="198"/>
    </row>
    <row r="65" spans="1:21" s="12" customFormat="1" x14ac:dyDescent="0.25">
      <c r="A65" s="213" t="s">
        <v>1260</v>
      </c>
      <c r="B65" s="64">
        <v>7.22</v>
      </c>
      <c r="C65" s="64">
        <v>18.989999999999998</v>
      </c>
      <c r="D65" s="64">
        <v>15.64</v>
      </c>
      <c r="E65" s="64">
        <v>4.12</v>
      </c>
      <c r="F65" s="64">
        <v>3.9</v>
      </c>
      <c r="G65" s="64">
        <v>54.89</v>
      </c>
      <c r="H65" s="64">
        <v>12.91</v>
      </c>
      <c r="I65" s="64">
        <v>1.1200000000000001</v>
      </c>
      <c r="J65" s="64">
        <v>0.55000000000000004</v>
      </c>
      <c r="K65" s="64">
        <v>307.77999999999997</v>
      </c>
      <c r="L65" s="64">
        <v>31.09</v>
      </c>
      <c r="M65" s="64">
        <v>79.34</v>
      </c>
      <c r="N65" s="64">
        <v>335.2</v>
      </c>
      <c r="O65" s="64">
        <v>0</v>
      </c>
      <c r="P65" s="64">
        <v>0.36</v>
      </c>
      <c r="Q65" s="64">
        <v>9.09</v>
      </c>
      <c r="R65" s="198"/>
      <c r="S65" s="198"/>
      <c r="T65" s="198"/>
      <c r="U65" s="198"/>
    </row>
    <row r="66" spans="1:21" s="12" customFormat="1" x14ac:dyDescent="0.25">
      <c r="A66" s="213" t="s">
        <v>1261</v>
      </c>
      <c r="B66" s="64">
        <v>6.9</v>
      </c>
      <c r="C66" s="64">
        <v>19.02</v>
      </c>
      <c r="D66" s="64">
        <v>15.48</v>
      </c>
      <c r="E66" s="64">
        <v>3.95</v>
      </c>
      <c r="F66" s="64">
        <v>4.8</v>
      </c>
      <c r="G66" s="64">
        <v>54.89</v>
      </c>
      <c r="H66" s="64">
        <v>12.91</v>
      </c>
      <c r="I66" s="64">
        <v>1.0900000000000001</v>
      </c>
      <c r="J66" s="64">
        <v>0.56999999999999995</v>
      </c>
      <c r="K66" s="64">
        <v>297.92</v>
      </c>
      <c r="L66" s="64">
        <v>30.58</v>
      </c>
      <c r="M66" s="64">
        <v>78.55</v>
      </c>
      <c r="N66" s="64">
        <v>329.3</v>
      </c>
      <c r="O66" s="64">
        <v>0</v>
      </c>
      <c r="P66" s="64">
        <v>0.35</v>
      </c>
      <c r="Q66" s="64">
        <v>9.08</v>
      </c>
      <c r="R66" s="198"/>
      <c r="S66" s="198"/>
      <c r="T66" s="198"/>
      <c r="U66" s="198"/>
    </row>
    <row r="67" spans="1:21" s="12" customFormat="1" x14ac:dyDescent="0.25">
      <c r="A67" s="213" t="s">
        <v>1262</v>
      </c>
      <c r="B67" s="64">
        <v>5.87</v>
      </c>
      <c r="C67" s="64">
        <v>19.989999999999998</v>
      </c>
      <c r="D67" s="64">
        <v>15.15</v>
      </c>
      <c r="E67" s="64">
        <v>3.91</v>
      </c>
      <c r="F67" s="64">
        <v>4.53</v>
      </c>
      <c r="G67" s="64">
        <v>54.89</v>
      </c>
      <c r="H67" s="64">
        <v>12.91</v>
      </c>
      <c r="I67" s="64">
        <v>1.06</v>
      </c>
      <c r="J67" s="64">
        <v>0.82</v>
      </c>
      <c r="K67" s="64">
        <v>299.39999999999998</v>
      </c>
      <c r="L67" s="64">
        <v>30.35</v>
      </c>
      <c r="M67" s="64">
        <v>77.81</v>
      </c>
      <c r="N67" s="64">
        <v>278</v>
      </c>
      <c r="O67" s="64">
        <v>0</v>
      </c>
      <c r="P67" s="64">
        <v>0.31</v>
      </c>
      <c r="Q67" s="64">
        <v>9.08</v>
      </c>
      <c r="R67" s="198"/>
      <c r="S67" s="198"/>
      <c r="T67" s="198"/>
      <c r="U67" s="198"/>
    </row>
    <row r="68" spans="1:21" s="12" customFormat="1" x14ac:dyDescent="0.25">
      <c r="A68" s="213" t="s">
        <v>1263</v>
      </c>
      <c r="B68" s="64">
        <v>5.24</v>
      </c>
      <c r="C68" s="64">
        <v>19.649999999999999</v>
      </c>
      <c r="D68" s="64">
        <v>14.47</v>
      </c>
      <c r="E68" s="64">
        <v>3.76</v>
      </c>
      <c r="F68" s="64">
        <v>4.93</v>
      </c>
      <c r="G68" s="64">
        <v>54.89</v>
      </c>
      <c r="H68" s="64">
        <v>12.91</v>
      </c>
      <c r="I68" s="64">
        <v>1</v>
      </c>
      <c r="J68" s="64">
        <v>0.54</v>
      </c>
      <c r="K68" s="64">
        <v>298.33</v>
      </c>
      <c r="L68" s="64">
        <v>29.51</v>
      </c>
      <c r="M68" s="64">
        <v>81.2</v>
      </c>
      <c r="N68" s="64">
        <v>177.3</v>
      </c>
      <c r="O68" s="64">
        <v>0</v>
      </c>
      <c r="P68" s="64">
        <v>0.3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13" t="s">
        <v>1264</v>
      </c>
      <c r="B69" s="64">
        <v>5.17</v>
      </c>
      <c r="C69" s="64">
        <v>19.64</v>
      </c>
      <c r="D69" s="64">
        <v>14.41</v>
      </c>
      <c r="E69" s="64">
        <v>3.88</v>
      </c>
      <c r="F69" s="64">
        <v>4.3</v>
      </c>
      <c r="G69" s="64">
        <v>60.11</v>
      </c>
      <c r="H69" s="64">
        <v>14.41</v>
      </c>
      <c r="I69" s="64">
        <v>0.96</v>
      </c>
      <c r="J69" s="64">
        <v>0.45</v>
      </c>
      <c r="K69" s="64">
        <v>293.41000000000003</v>
      </c>
      <c r="L69" s="64">
        <v>29.03</v>
      </c>
      <c r="M69" s="64">
        <v>81.38</v>
      </c>
      <c r="N69" s="64">
        <v>185.1</v>
      </c>
      <c r="O69" s="64">
        <v>0</v>
      </c>
      <c r="P69" s="64">
        <v>0.28999999999999998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3" t="s">
        <v>1265</v>
      </c>
      <c r="B70" s="64">
        <v>5.29</v>
      </c>
      <c r="C70" s="64">
        <v>19.21</v>
      </c>
      <c r="D70" s="64">
        <v>14.28</v>
      </c>
      <c r="E70" s="64">
        <v>4.09</v>
      </c>
      <c r="F70" s="64">
        <v>4.84</v>
      </c>
      <c r="G70" s="64">
        <v>63.27</v>
      </c>
      <c r="H70" s="64">
        <v>15.32</v>
      </c>
      <c r="I70" s="64">
        <v>0.95</v>
      </c>
      <c r="J70" s="64">
        <v>0.38</v>
      </c>
      <c r="K70" s="64">
        <v>298.95999999999998</v>
      </c>
      <c r="L70" s="64">
        <v>29.04</v>
      </c>
      <c r="M70" s="64">
        <v>83.65</v>
      </c>
      <c r="N70" s="64">
        <v>228.9</v>
      </c>
      <c r="O70" s="64">
        <v>0</v>
      </c>
      <c r="P70" s="64">
        <v>0.28999999999999998</v>
      </c>
      <c r="Q70" s="64">
        <v>9.1</v>
      </c>
      <c r="R70" s="198"/>
      <c r="S70" s="198"/>
      <c r="T70" s="198"/>
      <c r="U70" s="198"/>
    </row>
    <row r="71" spans="1:21" s="12" customFormat="1" x14ac:dyDescent="0.25">
      <c r="A71" s="213" t="s">
        <v>1266</v>
      </c>
      <c r="B71" s="64">
        <v>5.6</v>
      </c>
      <c r="C71" s="64">
        <v>18.579999999999998</v>
      </c>
      <c r="D71" s="64">
        <v>14.2</v>
      </c>
      <c r="E71" s="64">
        <v>3.78</v>
      </c>
      <c r="F71" s="64">
        <v>4.67</v>
      </c>
      <c r="G71" s="64">
        <v>63.27</v>
      </c>
      <c r="H71" s="64">
        <v>15.32</v>
      </c>
      <c r="I71" s="64">
        <v>1</v>
      </c>
      <c r="J71" s="64">
        <v>0.42</v>
      </c>
      <c r="K71" s="64">
        <v>300.14</v>
      </c>
      <c r="L71" s="64">
        <v>29.34</v>
      </c>
      <c r="M71" s="64">
        <v>82.72</v>
      </c>
      <c r="N71" s="64">
        <v>249.8</v>
      </c>
      <c r="O71" s="64">
        <v>0</v>
      </c>
      <c r="P71" s="64">
        <v>0.28999999999999998</v>
      </c>
      <c r="Q71" s="64">
        <v>9.11</v>
      </c>
      <c r="R71" s="198"/>
      <c r="S71" s="198"/>
      <c r="T71" s="198"/>
      <c r="U71" s="198"/>
    </row>
    <row r="72" spans="1:21" s="12" customFormat="1" x14ac:dyDescent="0.25">
      <c r="A72" s="213" t="s">
        <v>1267</v>
      </c>
      <c r="B72" s="64">
        <v>5.75</v>
      </c>
      <c r="C72" s="64">
        <v>18.62</v>
      </c>
      <c r="D72" s="64">
        <v>14.34</v>
      </c>
      <c r="E72" s="64">
        <v>5.29</v>
      </c>
      <c r="F72" s="64">
        <v>4.49</v>
      </c>
      <c r="G72" s="64">
        <v>63.27</v>
      </c>
      <c r="H72" s="64">
        <v>15.32</v>
      </c>
      <c r="I72" s="64">
        <v>1.05</v>
      </c>
      <c r="J72" s="64">
        <v>0.63</v>
      </c>
      <c r="K72" s="64">
        <v>305.29000000000002</v>
      </c>
      <c r="L72" s="64">
        <v>29.06</v>
      </c>
      <c r="M72" s="64">
        <v>83.17</v>
      </c>
      <c r="N72" s="64">
        <v>237.4</v>
      </c>
      <c r="O72" s="64">
        <v>0</v>
      </c>
      <c r="P72" s="64">
        <v>0.28000000000000003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3" t="s">
        <v>1268</v>
      </c>
      <c r="B73" s="64">
        <v>5.72</v>
      </c>
      <c r="C73" s="64">
        <v>17.86</v>
      </c>
      <c r="D73" s="64">
        <v>13.91</v>
      </c>
      <c r="E73" s="64">
        <v>5.18</v>
      </c>
      <c r="F73" s="64">
        <v>4.01</v>
      </c>
      <c r="G73" s="64">
        <v>61.03</v>
      </c>
      <c r="H73" s="64">
        <v>12.17</v>
      </c>
      <c r="I73" s="64">
        <v>1.1000000000000001</v>
      </c>
      <c r="J73" s="64">
        <v>0.32</v>
      </c>
      <c r="K73" s="64">
        <v>307.07</v>
      </c>
      <c r="L73" s="64">
        <v>28.54</v>
      </c>
      <c r="M73" s="64">
        <v>86.28</v>
      </c>
      <c r="N73" s="64">
        <v>222.9</v>
      </c>
      <c r="O73" s="64">
        <v>0</v>
      </c>
      <c r="P73" s="64">
        <v>0.28000000000000003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3" t="s">
        <v>1269</v>
      </c>
      <c r="B74" s="64">
        <v>6.27</v>
      </c>
      <c r="C74" s="64">
        <v>18.53</v>
      </c>
      <c r="D74" s="64">
        <v>14.7</v>
      </c>
      <c r="E74" s="64">
        <v>5.17</v>
      </c>
      <c r="F74" s="64">
        <v>5.19</v>
      </c>
      <c r="G74" s="64">
        <v>59.67</v>
      </c>
      <c r="H74" s="64">
        <v>10.25</v>
      </c>
      <c r="I74" s="64">
        <v>1.1299999999999999</v>
      </c>
      <c r="J74" s="64">
        <v>0.18</v>
      </c>
      <c r="K74" s="64">
        <v>307.56</v>
      </c>
      <c r="L74" s="64">
        <v>28.24</v>
      </c>
      <c r="M74" s="64">
        <v>88.71</v>
      </c>
      <c r="N74" s="64">
        <v>180.5</v>
      </c>
      <c r="O74" s="64">
        <v>0</v>
      </c>
      <c r="P74" s="64">
        <v>0.3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3" t="s">
        <v>1270</v>
      </c>
      <c r="B75" s="64">
        <v>5.51</v>
      </c>
      <c r="C75" s="64">
        <v>17.8</v>
      </c>
      <c r="D75" s="64">
        <v>13.72</v>
      </c>
      <c r="E75" s="64">
        <v>5.5</v>
      </c>
      <c r="F75" s="64">
        <v>4.5999999999999996</v>
      </c>
      <c r="G75" s="64">
        <v>59.67</v>
      </c>
      <c r="H75" s="64">
        <v>10.25</v>
      </c>
      <c r="I75" s="64">
        <v>1.1399999999999999</v>
      </c>
      <c r="J75" s="64">
        <v>0.44</v>
      </c>
      <c r="K75" s="64">
        <v>313.63</v>
      </c>
      <c r="L75" s="64">
        <v>28.42</v>
      </c>
      <c r="M75" s="64">
        <v>87.02</v>
      </c>
      <c r="N75" s="64">
        <v>185.9</v>
      </c>
      <c r="O75" s="64">
        <v>0</v>
      </c>
      <c r="P75" s="64">
        <v>0.28999999999999998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3" t="s">
        <v>1271</v>
      </c>
      <c r="B76" s="64">
        <v>5.42</v>
      </c>
      <c r="C76" s="64">
        <v>17.649999999999999</v>
      </c>
      <c r="D76" s="64">
        <v>13.56</v>
      </c>
      <c r="E76" s="64">
        <v>5.27</v>
      </c>
      <c r="F76" s="64">
        <v>4.74</v>
      </c>
      <c r="G76" s="64">
        <v>59.67</v>
      </c>
      <c r="H76" s="64">
        <v>10.25</v>
      </c>
      <c r="I76" s="64">
        <v>1.1499999999999999</v>
      </c>
      <c r="J76" s="64">
        <v>0.47</v>
      </c>
      <c r="K76" s="64">
        <v>308.95</v>
      </c>
      <c r="L76" s="64">
        <v>28.41</v>
      </c>
      <c r="M76" s="64">
        <v>86</v>
      </c>
      <c r="N76" s="64">
        <v>182.6</v>
      </c>
      <c r="O76" s="64">
        <v>0</v>
      </c>
      <c r="P76" s="64">
        <v>0.3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3" t="s">
        <v>1272</v>
      </c>
      <c r="B77" s="64">
        <v>5.46</v>
      </c>
      <c r="C77" s="64">
        <v>17.600000000000001</v>
      </c>
      <c r="D77" s="64">
        <v>13.58</v>
      </c>
      <c r="E77" s="64">
        <v>5.5</v>
      </c>
      <c r="F77" s="64">
        <v>3.95</v>
      </c>
      <c r="G77" s="64">
        <v>54.8</v>
      </c>
      <c r="H77" s="64">
        <v>8.34</v>
      </c>
      <c r="I77" s="64">
        <v>1.17</v>
      </c>
      <c r="J77" s="64">
        <v>0.36</v>
      </c>
      <c r="K77" s="64">
        <v>311.99</v>
      </c>
      <c r="L77" s="64">
        <v>28.03</v>
      </c>
      <c r="M77" s="64">
        <v>87.48</v>
      </c>
      <c r="N77" s="64">
        <v>157.69999999999999</v>
      </c>
      <c r="O77" s="64">
        <v>0</v>
      </c>
      <c r="P77" s="64">
        <v>0.3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3" t="s">
        <v>1273</v>
      </c>
      <c r="B78" s="64">
        <v>5.28</v>
      </c>
      <c r="C78" s="64">
        <v>17.399999999999999</v>
      </c>
      <c r="D78" s="64">
        <v>13.32</v>
      </c>
      <c r="E78" s="64">
        <v>5.36</v>
      </c>
      <c r="F78" s="64">
        <v>4.32</v>
      </c>
      <c r="G78" s="64">
        <v>51.85</v>
      </c>
      <c r="H78" s="64">
        <v>7.18</v>
      </c>
      <c r="I78" s="64">
        <v>1.17</v>
      </c>
      <c r="J78" s="64">
        <v>0.35</v>
      </c>
      <c r="K78" s="64">
        <v>316.39999999999998</v>
      </c>
      <c r="L78" s="64">
        <v>27.73</v>
      </c>
      <c r="M78" s="64">
        <v>89.67</v>
      </c>
      <c r="N78" s="64">
        <v>142</v>
      </c>
      <c r="O78" s="64">
        <v>0</v>
      </c>
      <c r="P78" s="64">
        <v>0.28999999999999998</v>
      </c>
      <c r="Q78" s="64">
        <v>9.09</v>
      </c>
      <c r="R78" s="198"/>
      <c r="S78" s="198"/>
      <c r="T78" s="198"/>
      <c r="U78" s="198"/>
    </row>
    <row r="79" spans="1:21" s="12" customFormat="1" x14ac:dyDescent="0.25">
      <c r="A79" s="213" t="s">
        <v>1274</v>
      </c>
      <c r="B79" s="64">
        <v>5.39</v>
      </c>
      <c r="C79" s="64">
        <v>16.91</v>
      </c>
      <c r="D79" s="64">
        <v>13.16</v>
      </c>
      <c r="E79" s="64">
        <v>5.51</v>
      </c>
      <c r="F79" s="64">
        <v>3.71</v>
      </c>
      <c r="G79" s="64">
        <v>51.85</v>
      </c>
      <c r="H79" s="64">
        <v>7.18</v>
      </c>
      <c r="I79" s="64">
        <v>1.18</v>
      </c>
      <c r="J79" s="64">
        <v>0.41</v>
      </c>
      <c r="K79" s="64">
        <v>312.88</v>
      </c>
      <c r="L79" s="64">
        <v>27.63</v>
      </c>
      <c r="M79" s="64">
        <v>90.97</v>
      </c>
      <c r="N79" s="64">
        <v>124.3</v>
      </c>
      <c r="O79" s="64">
        <v>0</v>
      </c>
      <c r="P79" s="64">
        <v>0.3</v>
      </c>
      <c r="Q79" s="64">
        <v>9.08</v>
      </c>
      <c r="R79" s="198"/>
      <c r="S79" s="198"/>
      <c r="T79" s="198"/>
      <c r="U79" s="198"/>
    </row>
    <row r="80" spans="1:21" s="12" customFormat="1" x14ac:dyDescent="0.25">
      <c r="A80" s="213" t="s">
        <v>1275</v>
      </c>
      <c r="B80" s="64">
        <v>5.68</v>
      </c>
      <c r="C80" s="64">
        <v>16.52</v>
      </c>
      <c r="D80" s="64">
        <v>13.18</v>
      </c>
      <c r="E80" s="64">
        <v>5.27</v>
      </c>
      <c r="F80" s="64">
        <v>3.65</v>
      </c>
      <c r="G80" s="64">
        <v>51.85</v>
      </c>
      <c r="H80" s="64">
        <v>7.18</v>
      </c>
      <c r="I80" s="64">
        <v>1.22</v>
      </c>
      <c r="J80" s="64">
        <v>0.34</v>
      </c>
      <c r="K80" s="64">
        <v>316.41000000000003</v>
      </c>
      <c r="L80" s="64">
        <v>27.5</v>
      </c>
      <c r="M80" s="64">
        <v>91.28</v>
      </c>
      <c r="N80" s="64">
        <v>106.3</v>
      </c>
      <c r="O80" s="64">
        <v>0</v>
      </c>
      <c r="P80" s="64">
        <v>0.28999999999999998</v>
      </c>
      <c r="Q80" s="64">
        <v>9.08</v>
      </c>
      <c r="R80" s="198"/>
      <c r="S80" s="198"/>
      <c r="T80" s="198"/>
      <c r="U80" s="198"/>
    </row>
    <row r="81" spans="1:26" s="12" customFormat="1" x14ac:dyDescent="0.25">
      <c r="A81" s="213" t="s">
        <v>1276</v>
      </c>
      <c r="B81" s="64">
        <v>6.08</v>
      </c>
      <c r="C81" s="64">
        <v>15.9</v>
      </c>
      <c r="D81" s="64">
        <v>13.19</v>
      </c>
      <c r="E81" s="64">
        <v>5.1100000000000003</v>
      </c>
      <c r="F81" s="64">
        <v>4.47</v>
      </c>
      <c r="G81" s="64">
        <v>52.51</v>
      </c>
      <c r="H81" s="64">
        <v>8.2100000000000009</v>
      </c>
      <c r="I81" s="64">
        <v>1.24</v>
      </c>
      <c r="J81" s="64">
        <v>0.22</v>
      </c>
      <c r="K81" s="64">
        <v>336.19</v>
      </c>
      <c r="L81" s="64">
        <v>27.28</v>
      </c>
      <c r="M81" s="64">
        <v>91.78</v>
      </c>
      <c r="N81" s="64">
        <v>94.7</v>
      </c>
      <c r="O81" s="64">
        <v>0</v>
      </c>
      <c r="P81" s="64">
        <v>0.31</v>
      </c>
      <c r="Q81" s="64">
        <v>9.06</v>
      </c>
      <c r="R81" s="198"/>
      <c r="S81" s="198"/>
      <c r="T81" s="198"/>
      <c r="U81" s="198"/>
    </row>
    <row r="82" spans="1:26" s="12" customFormat="1" x14ac:dyDescent="0.25">
      <c r="A82" s="213" t="s">
        <v>1277</v>
      </c>
      <c r="B82" s="64">
        <v>5.84</v>
      </c>
      <c r="C82" s="64">
        <v>17.11</v>
      </c>
      <c r="D82" s="64">
        <v>13.62</v>
      </c>
      <c r="E82" s="64">
        <v>5.25</v>
      </c>
      <c r="F82" s="64">
        <v>3.69</v>
      </c>
      <c r="G82" s="64">
        <v>52.91</v>
      </c>
      <c r="H82" s="64">
        <v>8.84</v>
      </c>
      <c r="I82" s="64">
        <v>1.24</v>
      </c>
      <c r="J82" s="64">
        <v>0.16</v>
      </c>
      <c r="K82" s="64">
        <v>350.37</v>
      </c>
      <c r="L82" s="64">
        <v>27.03</v>
      </c>
      <c r="M82" s="64">
        <v>95.07</v>
      </c>
      <c r="N82" s="64">
        <v>85.3</v>
      </c>
      <c r="O82" s="64">
        <v>0</v>
      </c>
      <c r="P82" s="64">
        <v>0.35</v>
      </c>
      <c r="Q82" s="64">
        <v>9.0500000000000007</v>
      </c>
      <c r="R82" s="198"/>
      <c r="S82" s="198"/>
      <c r="T82" s="198"/>
      <c r="U82" s="198"/>
    </row>
    <row r="83" spans="1:26" s="12" customFormat="1" x14ac:dyDescent="0.25">
      <c r="A83" s="213" t="s">
        <v>1278</v>
      </c>
      <c r="B83" s="64">
        <v>6.03</v>
      </c>
      <c r="C83" s="64">
        <v>18.95</v>
      </c>
      <c r="D83" s="64">
        <v>14.74</v>
      </c>
      <c r="E83" s="64">
        <v>5.32</v>
      </c>
      <c r="F83" s="64">
        <v>4.79</v>
      </c>
      <c r="G83" s="64">
        <v>52.91</v>
      </c>
      <c r="H83" s="64">
        <v>8.84</v>
      </c>
      <c r="I83" s="64">
        <v>1.23</v>
      </c>
      <c r="J83" s="64">
        <v>0.14000000000000001</v>
      </c>
      <c r="K83" s="64">
        <v>343.19</v>
      </c>
      <c r="L83" s="64">
        <v>26.63</v>
      </c>
      <c r="M83" s="64">
        <v>98.25</v>
      </c>
      <c r="N83" s="64">
        <v>75.099999999999994</v>
      </c>
      <c r="O83" s="64">
        <v>0</v>
      </c>
      <c r="P83" s="64">
        <v>0.37</v>
      </c>
      <c r="Q83" s="64">
        <v>9.0500000000000007</v>
      </c>
      <c r="R83" s="198"/>
      <c r="S83" s="198"/>
      <c r="T83" s="198"/>
      <c r="U83" s="198"/>
    </row>
    <row r="84" spans="1:26" s="12" customFormat="1" x14ac:dyDescent="0.25">
      <c r="A84" s="213" t="s">
        <v>1279</v>
      </c>
      <c r="B84" s="64">
        <v>5.61</v>
      </c>
      <c r="C84" s="64">
        <v>17.27</v>
      </c>
      <c r="D84" s="64">
        <v>13.52</v>
      </c>
      <c r="E84" s="64">
        <v>5.08</v>
      </c>
      <c r="F84" s="64">
        <v>4.12</v>
      </c>
      <c r="G84" s="64">
        <v>52.91</v>
      </c>
      <c r="H84" s="64">
        <v>8.84</v>
      </c>
      <c r="I84" s="64">
        <v>1.26</v>
      </c>
      <c r="J84" s="64">
        <v>0.16</v>
      </c>
      <c r="K84" s="64">
        <v>343.02</v>
      </c>
      <c r="L84" s="64">
        <v>26.18</v>
      </c>
      <c r="M84" s="64">
        <v>98.3</v>
      </c>
      <c r="N84" s="64">
        <v>76.099999999999994</v>
      </c>
      <c r="O84" s="64">
        <v>0</v>
      </c>
      <c r="P84" s="64">
        <v>0.38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13" t="s">
        <v>1280</v>
      </c>
      <c r="B85" s="64">
        <v>6.27</v>
      </c>
      <c r="C85" s="64">
        <v>17.03</v>
      </c>
      <c r="D85" s="64">
        <v>13.92</v>
      </c>
      <c r="E85" s="64">
        <v>5.42</v>
      </c>
      <c r="F85" s="64">
        <v>4.34</v>
      </c>
      <c r="G85" s="64">
        <v>53.69</v>
      </c>
      <c r="H85" s="64">
        <v>7.19</v>
      </c>
      <c r="I85" s="64">
        <v>1.31</v>
      </c>
      <c r="J85" s="64">
        <v>0.15</v>
      </c>
      <c r="K85" s="64">
        <v>339.31</v>
      </c>
      <c r="L85" s="64">
        <v>25.97</v>
      </c>
      <c r="M85" s="64">
        <v>98.33</v>
      </c>
      <c r="N85" s="64">
        <v>81.3</v>
      </c>
      <c r="O85" s="64">
        <v>0</v>
      </c>
      <c r="P85" s="64">
        <v>0.38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3" t="s">
        <v>1281</v>
      </c>
      <c r="B86" s="64">
        <v>6.74</v>
      </c>
      <c r="C86" s="64">
        <v>17.36</v>
      </c>
      <c r="D86" s="64">
        <v>14.48</v>
      </c>
      <c r="E86" s="64">
        <v>5.31</v>
      </c>
      <c r="F86" s="64">
        <v>4.82</v>
      </c>
      <c r="G86" s="64">
        <v>54.16</v>
      </c>
      <c r="H86" s="64">
        <v>6.19</v>
      </c>
      <c r="I86" s="64">
        <v>1.34</v>
      </c>
      <c r="J86" s="64">
        <v>0.17</v>
      </c>
      <c r="K86" s="64">
        <v>343.76</v>
      </c>
      <c r="L86" s="64">
        <v>25.77</v>
      </c>
      <c r="M86" s="64">
        <v>98.34</v>
      </c>
      <c r="N86" s="64">
        <v>80.900000000000006</v>
      </c>
      <c r="O86" s="64">
        <v>0</v>
      </c>
      <c r="P86" s="64">
        <v>0.42</v>
      </c>
      <c r="Q86" s="64">
        <v>9.0399999999999991</v>
      </c>
      <c r="R86" s="198"/>
      <c r="S86" s="198"/>
      <c r="T86" s="198"/>
      <c r="U86" s="198"/>
    </row>
    <row r="87" spans="1:26" s="12" customFormat="1" x14ac:dyDescent="0.25">
      <c r="A87" s="213" t="s">
        <v>1282</v>
      </c>
      <c r="B87" s="64">
        <v>8.01</v>
      </c>
      <c r="C87" s="64">
        <v>19.25</v>
      </c>
      <c r="D87" s="64">
        <v>16.48</v>
      </c>
      <c r="E87" s="64">
        <v>5.04</v>
      </c>
      <c r="F87" s="64">
        <v>5.47</v>
      </c>
      <c r="G87" s="64">
        <v>54.16</v>
      </c>
      <c r="H87" s="64">
        <v>6.19</v>
      </c>
      <c r="I87" s="64">
        <v>1.37</v>
      </c>
      <c r="J87" s="64">
        <v>0.15</v>
      </c>
      <c r="K87" s="64">
        <v>350.87</v>
      </c>
      <c r="L87" s="64">
        <v>25.66</v>
      </c>
      <c r="M87" s="64">
        <v>98.33</v>
      </c>
      <c r="N87" s="64">
        <v>79.599999999999994</v>
      </c>
      <c r="O87" s="64">
        <v>0</v>
      </c>
      <c r="P87" s="64">
        <v>0.44</v>
      </c>
      <c r="Q87" s="64">
        <v>9.07</v>
      </c>
      <c r="R87" s="198"/>
      <c r="S87" s="198"/>
      <c r="T87" s="198"/>
      <c r="U87" s="198"/>
    </row>
    <row r="88" spans="1:26" s="12" customFormat="1" x14ac:dyDescent="0.25">
      <c r="A88" s="213" t="s">
        <v>1283</v>
      </c>
      <c r="B88" s="64">
        <v>9.09</v>
      </c>
      <c r="C88" s="64">
        <v>18.149999999999999</v>
      </c>
      <c r="D88" s="64">
        <v>16.78</v>
      </c>
      <c r="E88" s="64">
        <v>5.24</v>
      </c>
      <c r="F88" s="64">
        <v>7.64</v>
      </c>
      <c r="G88" s="64">
        <v>54.16</v>
      </c>
      <c r="H88" s="64">
        <v>6.19</v>
      </c>
      <c r="I88" s="64">
        <v>1.41</v>
      </c>
      <c r="J88" s="64">
        <v>0.15</v>
      </c>
      <c r="K88" s="64">
        <v>329.64</v>
      </c>
      <c r="L88" s="64">
        <v>25.68</v>
      </c>
      <c r="M88" s="64">
        <v>98.33</v>
      </c>
      <c r="N88" s="64">
        <v>79.8</v>
      </c>
      <c r="O88" s="64">
        <v>0</v>
      </c>
      <c r="P88" s="64">
        <v>0.56000000000000005</v>
      </c>
      <c r="Q88" s="64">
        <v>9.08</v>
      </c>
      <c r="R88" s="198"/>
      <c r="S88" s="198"/>
      <c r="T88" s="198"/>
      <c r="U88" s="198"/>
    </row>
    <row r="89" spans="1:26" s="12" customFormat="1" x14ac:dyDescent="0.25">
      <c r="A89" s="213" t="s">
        <v>1284</v>
      </c>
      <c r="B89" s="64">
        <v>7.45</v>
      </c>
      <c r="C89" s="64">
        <v>18.670000000000002</v>
      </c>
      <c r="D89" s="64">
        <v>15.72</v>
      </c>
      <c r="E89" s="64">
        <v>5.52</v>
      </c>
      <c r="F89" s="64">
        <v>7.53</v>
      </c>
      <c r="G89" s="64">
        <v>53.08</v>
      </c>
      <c r="H89" s="64">
        <v>5.03</v>
      </c>
      <c r="I89" s="64">
        <v>1.45</v>
      </c>
      <c r="J89" s="64">
        <v>0.17</v>
      </c>
      <c r="K89" s="64">
        <v>342.7</v>
      </c>
      <c r="L89" s="64">
        <v>25.52</v>
      </c>
      <c r="M89" s="64">
        <v>98.32</v>
      </c>
      <c r="N89" s="64">
        <v>81.7</v>
      </c>
      <c r="O89" s="64">
        <v>0</v>
      </c>
      <c r="P89" s="64">
        <v>0.47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3" t="s">
        <v>1285</v>
      </c>
      <c r="B90" s="64">
        <v>6.65</v>
      </c>
      <c r="C90" s="64">
        <v>17.309999999999999</v>
      </c>
      <c r="D90" s="64">
        <v>14.38</v>
      </c>
      <c r="E90" s="64">
        <v>5.48</v>
      </c>
      <c r="F90" s="64">
        <v>5.6</v>
      </c>
      <c r="G90" s="64">
        <v>52.42</v>
      </c>
      <c r="H90" s="64">
        <v>4.33</v>
      </c>
      <c r="I90" s="64">
        <v>1.48</v>
      </c>
      <c r="J90" s="64">
        <v>0.15</v>
      </c>
      <c r="K90" s="64">
        <v>354.09</v>
      </c>
      <c r="L90" s="64">
        <v>25.22</v>
      </c>
      <c r="M90" s="64">
        <v>98.3</v>
      </c>
      <c r="N90" s="64">
        <v>77.400000000000006</v>
      </c>
      <c r="O90" s="64">
        <v>0</v>
      </c>
      <c r="P90" s="64">
        <v>0.46</v>
      </c>
      <c r="Q90" s="64">
        <v>9.11</v>
      </c>
      <c r="R90" s="198"/>
      <c r="S90" s="198"/>
      <c r="T90" s="198"/>
      <c r="U90" s="198"/>
    </row>
    <row r="91" spans="1:26" s="12" customFormat="1" x14ac:dyDescent="0.25">
      <c r="A91" s="213" t="s">
        <v>1286</v>
      </c>
      <c r="B91" s="64">
        <v>8.39</v>
      </c>
      <c r="C91" s="64">
        <v>17.899999999999999</v>
      </c>
      <c r="D91" s="64">
        <v>16.079999999999998</v>
      </c>
      <c r="E91" s="64">
        <v>5.54</v>
      </c>
      <c r="F91" s="64">
        <v>7.69</v>
      </c>
      <c r="G91" s="64">
        <v>52.42</v>
      </c>
      <c r="H91" s="64">
        <v>4.33</v>
      </c>
      <c r="I91" s="64">
        <v>1.5</v>
      </c>
      <c r="J91" s="64">
        <v>0.15</v>
      </c>
      <c r="K91" s="64">
        <v>335.01</v>
      </c>
      <c r="L91" s="64">
        <v>25.06</v>
      </c>
      <c r="M91" s="64">
        <v>98.3</v>
      </c>
      <c r="N91" s="64">
        <v>75</v>
      </c>
      <c r="O91" s="64">
        <v>0</v>
      </c>
      <c r="P91" s="64">
        <v>0.5</v>
      </c>
      <c r="Q91" s="64">
        <v>9.1</v>
      </c>
      <c r="R91" s="198"/>
      <c r="S91" s="198"/>
      <c r="T91" s="198"/>
      <c r="U91" s="198"/>
    </row>
    <row r="92" spans="1:26" s="12" customFormat="1" x14ac:dyDescent="0.25">
      <c r="A92" s="213" t="s">
        <v>1287</v>
      </c>
      <c r="B92" s="64">
        <v>10.74</v>
      </c>
      <c r="C92" s="64">
        <v>17.62</v>
      </c>
      <c r="D92" s="64">
        <v>17.82</v>
      </c>
      <c r="E92" s="64">
        <v>5.53</v>
      </c>
      <c r="F92" s="64">
        <v>9.31</v>
      </c>
      <c r="G92" s="64">
        <v>52.42</v>
      </c>
      <c r="H92" s="64">
        <v>4.33</v>
      </c>
      <c r="I92" s="64">
        <v>1.49</v>
      </c>
      <c r="J92" s="64">
        <v>0.1</v>
      </c>
      <c r="K92" s="64">
        <v>332.36</v>
      </c>
      <c r="L92" s="64">
        <v>24.93</v>
      </c>
      <c r="M92" s="64">
        <v>98.34</v>
      </c>
      <c r="N92" s="64">
        <v>73.900000000000006</v>
      </c>
      <c r="O92" s="64">
        <v>0</v>
      </c>
      <c r="P92" s="64">
        <v>0.55000000000000004</v>
      </c>
      <c r="Q92" s="64">
        <v>9.1</v>
      </c>
      <c r="R92" s="198"/>
      <c r="S92" s="198"/>
      <c r="T92" s="198"/>
      <c r="U92" s="198"/>
    </row>
    <row r="93" spans="1:26" s="12" customFormat="1" x14ac:dyDescent="0.25">
      <c r="A93" s="213" t="s">
        <v>1288</v>
      </c>
      <c r="B93" s="64">
        <v>16.5</v>
      </c>
      <c r="C93" s="64">
        <v>21.64</v>
      </c>
      <c r="D93" s="64">
        <v>24.54</v>
      </c>
      <c r="E93" s="64">
        <v>5.72</v>
      </c>
      <c r="F93" s="64">
        <v>8.35</v>
      </c>
      <c r="G93" s="64">
        <v>51.27</v>
      </c>
      <c r="H93" s="64">
        <v>14.74</v>
      </c>
      <c r="I93" s="64">
        <v>1.49</v>
      </c>
      <c r="J93" s="64">
        <v>0.08</v>
      </c>
      <c r="K93" s="64">
        <v>323.24</v>
      </c>
      <c r="L93" s="64">
        <v>24.83</v>
      </c>
      <c r="M93" s="64">
        <v>98.4</v>
      </c>
      <c r="N93" s="64">
        <v>73.3</v>
      </c>
      <c r="O93" s="64">
        <v>0</v>
      </c>
      <c r="P93" s="64">
        <v>0.91</v>
      </c>
      <c r="Q93" s="64">
        <v>9.11</v>
      </c>
      <c r="R93" s="198"/>
      <c r="S93" s="198"/>
      <c r="T93" s="198"/>
      <c r="U93" s="198"/>
    </row>
    <row r="94" spans="1:26" s="12" customFormat="1" x14ac:dyDescent="0.25">
      <c r="A94" s="213" t="s">
        <v>1289</v>
      </c>
      <c r="B94" s="64">
        <v>8.41</v>
      </c>
      <c r="C94" s="64">
        <v>15.67</v>
      </c>
      <c r="D94" s="64">
        <v>14.93</v>
      </c>
      <c r="E94" s="64">
        <v>5.37</v>
      </c>
      <c r="F94" s="64">
        <v>3.97</v>
      </c>
      <c r="G94" s="64">
        <v>50.57</v>
      </c>
      <c r="H94" s="64">
        <v>21.06</v>
      </c>
      <c r="I94" s="64">
        <v>1.49</v>
      </c>
      <c r="J94" s="64">
        <v>0.08</v>
      </c>
      <c r="K94" s="64">
        <v>324.24</v>
      </c>
      <c r="L94" s="64">
        <v>24.79</v>
      </c>
      <c r="M94" s="64">
        <v>98.4</v>
      </c>
      <c r="N94" s="64">
        <v>73.400000000000006</v>
      </c>
      <c r="O94" s="64">
        <v>0</v>
      </c>
      <c r="P94" s="64">
        <v>0.53</v>
      </c>
      <c r="Q94" s="64">
        <v>9.1</v>
      </c>
      <c r="R94" s="198"/>
      <c r="S94" s="198"/>
      <c r="T94" s="198"/>
      <c r="U94" s="198"/>
    </row>
    <row r="95" spans="1:26" s="12" customFormat="1" x14ac:dyDescent="0.25">
      <c r="A95" s="213" t="s">
        <v>1290</v>
      </c>
      <c r="B95" s="64">
        <v>8.25</v>
      </c>
      <c r="C95" s="64">
        <v>15.81</v>
      </c>
      <c r="D95" s="64">
        <v>14.87</v>
      </c>
      <c r="E95" s="64">
        <v>5.54</v>
      </c>
      <c r="F95" s="64">
        <v>4.0599999999999996</v>
      </c>
      <c r="G95" s="64">
        <v>50.57</v>
      </c>
      <c r="H95" s="64">
        <v>21.06</v>
      </c>
      <c r="I95" s="64">
        <v>1.52</v>
      </c>
      <c r="J95" s="64">
        <v>0.08</v>
      </c>
      <c r="K95" s="64">
        <v>354.62</v>
      </c>
      <c r="L95" s="64">
        <v>24.69</v>
      </c>
      <c r="M95" s="64">
        <v>98.39</v>
      </c>
      <c r="N95" s="64">
        <v>73.400000000000006</v>
      </c>
      <c r="O95" s="64">
        <v>0</v>
      </c>
      <c r="P95" s="64">
        <v>0.59</v>
      </c>
      <c r="Q95" s="64">
        <v>9.11</v>
      </c>
      <c r="R95" s="198"/>
      <c r="S95" s="198"/>
      <c r="T95" s="198"/>
      <c r="U95" s="198"/>
    </row>
    <row r="96" spans="1:26" s="12" customFormat="1" x14ac:dyDescent="0.25">
      <c r="A96" s="213" t="s">
        <v>1291</v>
      </c>
      <c r="B96" s="64">
        <v>8</v>
      </c>
      <c r="C96" s="64">
        <v>14.19</v>
      </c>
      <c r="D96" s="64">
        <v>13.83</v>
      </c>
      <c r="E96" s="64">
        <v>5.39</v>
      </c>
      <c r="F96" s="64">
        <v>4.13</v>
      </c>
      <c r="G96" s="64">
        <v>50.57</v>
      </c>
      <c r="H96" s="64">
        <v>21.06</v>
      </c>
      <c r="I96" s="64">
        <v>1.55</v>
      </c>
      <c r="J96" s="64">
        <v>0.11</v>
      </c>
      <c r="K96" s="64">
        <v>344.44</v>
      </c>
      <c r="L96" s="64">
        <v>24.63</v>
      </c>
      <c r="M96" s="64">
        <v>98.4</v>
      </c>
      <c r="N96" s="64">
        <v>73.400000000000006</v>
      </c>
      <c r="O96" s="64">
        <v>0</v>
      </c>
      <c r="P96" s="64">
        <v>0.55000000000000004</v>
      </c>
      <c r="Q96" s="64">
        <v>9.11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1292</v>
      </c>
      <c r="B97" s="64">
        <v>8.68</v>
      </c>
      <c r="C97" s="64">
        <v>15.3</v>
      </c>
      <c r="D97" s="64">
        <v>14.96</v>
      </c>
      <c r="E97" s="64">
        <v>5.63</v>
      </c>
      <c r="F97" s="64">
        <v>3.38</v>
      </c>
      <c r="G97" s="64">
        <v>52.81</v>
      </c>
      <c r="H97" s="64">
        <v>26.56</v>
      </c>
      <c r="I97" s="64">
        <v>1.59</v>
      </c>
      <c r="J97" s="64">
        <v>0.11</v>
      </c>
      <c r="K97" s="64">
        <v>334.54</v>
      </c>
      <c r="L97" s="64">
        <v>24.64</v>
      </c>
      <c r="M97" s="64">
        <v>98.4</v>
      </c>
      <c r="N97" s="64">
        <v>73.3</v>
      </c>
      <c r="O97" s="64">
        <v>0</v>
      </c>
      <c r="P97" s="64">
        <v>0.59</v>
      </c>
      <c r="Q97" s="64">
        <v>9.11</v>
      </c>
      <c r="R97" s="198"/>
      <c r="S97" s="198"/>
      <c r="T97" s="198"/>
      <c r="U97" s="198"/>
    </row>
    <row r="98" spans="1:33" s="12" customFormat="1" x14ac:dyDescent="0.25">
      <c r="A98" s="213" t="s">
        <v>1293</v>
      </c>
      <c r="B98" s="64">
        <v>8.82</v>
      </c>
      <c r="C98" s="64">
        <v>14.78</v>
      </c>
      <c r="D98" s="64">
        <v>14.79</v>
      </c>
      <c r="E98" s="64">
        <v>5.27</v>
      </c>
      <c r="F98" s="64">
        <v>3.57</v>
      </c>
      <c r="G98" s="64">
        <v>54.17</v>
      </c>
      <c r="H98" s="64">
        <v>29.9</v>
      </c>
      <c r="I98" s="64">
        <v>1.65</v>
      </c>
      <c r="J98" s="64">
        <v>0.09</v>
      </c>
      <c r="K98" s="64">
        <v>328.54</v>
      </c>
      <c r="L98" s="64">
        <v>24.61</v>
      </c>
      <c r="M98" s="64">
        <v>98.42</v>
      </c>
      <c r="N98" s="64">
        <v>73.099999999999994</v>
      </c>
      <c r="O98" s="64">
        <v>0</v>
      </c>
      <c r="P98" s="64">
        <v>0.59</v>
      </c>
      <c r="Q98" s="64">
        <v>9.11</v>
      </c>
      <c r="R98" s="198"/>
      <c r="S98" s="198"/>
      <c r="T98" s="198"/>
      <c r="U98" s="198"/>
    </row>
    <row r="99" spans="1:33" s="12" customFormat="1" x14ac:dyDescent="0.25">
      <c r="A99" s="213" t="s">
        <v>1294</v>
      </c>
      <c r="B99" s="64">
        <v>10.42</v>
      </c>
      <c r="C99" s="64">
        <v>13.08</v>
      </c>
      <c r="D99" s="64">
        <v>15.19</v>
      </c>
      <c r="E99" s="64">
        <v>5.51</v>
      </c>
      <c r="F99" s="64">
        <v>3.74</v>
      </c>
      <c r="G99" s="64">
        <v>54.17</v>
      </c>
      <c r="H99" s="64">
        <v>29.9</v>
      </c>
      <c r="I99" s="64">
        <v>1.69</v>
      </c>
      <c r="J99" s="64">
        <v>0.12</v>
      </c>
      <c r="K99" s="64">
        <v>324.86</v>
      </c>
      <c r="L99" s="64">
        <v>24.65</v>
      </c>
      <c r="M99" s="64">
        <v>98.45</v>
      </c>
      <c r="N99" s="64">
        <v>73.2</v>
      </c>
      <c r="O99" s="64">
        <v>0</v>
      </c>
      <c r="P99" s="64">
        <v>0.59</v>
      </c>
      <c r="Q99" s="64">
        <v>9.1199999999999992</v>
      </c>
      <c r="R99" s="198"/>
      <c r="S99" s="198"/>
      <c r="T99" s="198"/>
      <c r="U99" s="198"/>
    </row>
    <row r="100" spans="1:33" s="12" customFormat="1" x14ac:dyDescent="0.25">
      <c r="A100" s="213" t="s">
        <v>1295</v>
      </c>
      <c r="B100" s="64">
        <v>9.1199999999999992</v>
      </c>
      <c r="C100" s="64">
        <v>13.81</v>
      </c>
      <c r="D100" s="64">
        <v>14.53</v>
      </c>
      <c r="E100" s="64">
        <v>5.15</v>
      </c>
      <c r="F100" s="64">
        <v>4.0199999999999996</v>
      </c>
      <c r="G100" s="64">
        <v>54.17</v>
      </c>
      <c r="H100" s="64">
        <v>29.9</v>
      </c>
      <c r="I100" s="64">
        <v>1.71</v>
      </c>
      <c r="J100" s="64">
        <v>0.13</v>
      </c>
      <c r="K100" s="64">
        <v>338.59</v>
      </c>
      <c r="L100" s="64">
        <v>24.58</v>
      </c>
      <c r="M100" s="64">
        <v>98.47</v>
      </c>
      <c r="N100" s="64">
        <v>73.2</v>
      </c>
      <c r="O100" s="64">
        <v>0</v>
      </c>
      <c r="P100" s="64">
        <v>0.56999999999999995</v>
      </c>
      <c r="Q100" s="64">
        <v>9.1199999999999992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1296</v>
      </c>
      <c r="B101" s="64">
        <v>8.74</v>
      </c>
      <c r="C101" s="64">
        <v>13.6</v>
      </c>
      <c r="D101" s="64">
        <v>14.11</v>
      </c>
      <c r="E101" s="64">
        <v>5.0999999999999996</v>
      </c>
      <c r="F101" s="64">
        <v>3.4</v>
      </c>
      <c r="G101" s="64">
        <v>52.3</v>
      </c>
      <c r="H101" s="64">
        <v>27.32</v>
      </c>
      <c r="I101" s="64">
        <v>1.7</v>
      </c>
      <c r="J101" s="64">
        <v>0.1</v>
      </c>
      <c r="K101" s="64">
        <v>322.51</v>
      </c>
      <c r="L101" s="64">
        <v>24.55</v>
      </c>
      <c r="M101" s="64">
        <v>98.5</v>
      </c>
      <c r="N101" s="64">
        <v>73.3</v>
      </c>
      <c r="O101" s="64">
        <v>0</v>
      </c>
      <c r="P101" s="64">
        <v>0.56000000000000005</v>
      </c>
      <c r="Q101" s="64">
        <v>9.11</v>
      </c>
      <c r="R101" s="198"/>
      <c r="S101" s="198"/>
      <c r="T101" s="198"/>
      <c r="U101" s="198"/>
    </row>
    <row r="102" spans="1:33" s="12" customFormat="1" x14ac:dyDescent="0.25">
      <c r="A102" s="213" t="s">
        <v>1297</v>
      </c>
      <c r="B102" s="64">
        <v>8.68</v>
      </c>
      <c r="C102" s="64">
        <v>13.3</v>
      </c>
      <c r="D102" s="64">
        <v>13.91</v>
      </c>
      <c r="E102" s="64">
        <v>5.43</v>
      </c>
      <c r="F102" s="64">
        <v>3.9</v>
      </c>
      <c r="G102" s="64">
        <v>51.17</v>
      </c>
      <c r="H102" s="64">
        <v>25.75</v>
      </c>
      <c r="I102" s="64">
        <v>1.7</v>
      </c>
      <c r="J102" s="64">
        <v>0.09</v>
      </c>
      <c r="K102" s="64">
        <v>330.99</v>
      </c>
      <c r="L102" s="64">
        <v>24.46</v>
      </c>
      <c r="M102" s="64">
        <v>98.52</v>
      </c>
      <c r="N102" s="64">
        <v>73.400000000000006</v>
      </c>
      <c r="O102" s="64">
        <v>0</v>
      </c>
      <c r="P102" s="64">
        <v>0.56000000000000005</v>
      </c>
      <c r="Q102" s="64">
        <v>9.1199999999999992</v>
      </c>
      <c r="R102" s="198"/>
      <c r="S102" s="198"/>
      <c r="T102" s="198"/>
      <c r="U102" s="198"/>
    </row>
    <row r="103" spans="1:33" s="12" customFormat="1" x14ac:dyDescent="0.25">
      <c r="A103" s="213" t="s">
        <v>1298</v>
      </c>
      <c r="B103" s="64">
        <v>8.43</v>
      </c>
      <c r="C103" s="64">
        <v>12.79</v>
      </c>
      <c r="D103" s="64">
        <v>13.44</v>
      </c>
      <c r="E103" s="64">
        <v>5.48</v>
      </c>
      <c r="F103" s="64">
        <v>3.56</v>
      </c>
      <c r="G103" s="64">
        <v>51.17</v>
      </c>
      <c r="H103" s="64">
        <v>25.75</v>
      </c>
      <c r="I103" s="64">
        <v>1.7</v>
      </c>
      <c r="J103" s="64">
        <v>0.08</v>
      </c>
      <c r="K103" s="64">
        <v>330.71</v>
      </c>
      <c r="L103" s="64">
        <v>24.34</v>
      </c>
      <c r="M103" s="64">
        <v>98.55</v>
      </c>
      <c r="N103" s="64">
        <v>73.400000000000006</v>
      </c>
      <c r="O103" s="64">
        <v>0</v>
      </c>
      <c r="P103" s="64">
        <v>0.53</v>
      </c>
      <c r="Q103" s="64">
        <v>9.1199999999999992</v>
      </c>
      <c r="R103" s="198"/>
      <c r="S103" s="198"/>
      <c r="T103" s="198"/>
      <c r="U103" s="198"/>
    </row>
    <row r="104" spans="1:33" s="12" customFormat="1" x14ac:dyDescent="0.25">
      <c r="A104" s="213" t="s">
        <v>1299</v>
      </c>
      <c r="B104" s="64">
        <v>6.79</v>
      </c>
      <c r="C104" s="64">
        <v>13</v>
      </c>
      <c r="D104" s="64">
        <v>12.23</v>
      </c>
      <c r="E104" s="64">
        <v>4.53</v>
      </c>
      <c r="F104" s="64">
        <v>10.7</v>
      </c>
      <c r="G104" s="64">
        <v>51.17</v>
      </c>
      <c r="H104" s="64">
        <v>25.75</v>
      </c>
      <c r="I104" s="64">
        <v>1.69</v>
      </c>
      <c r="J104" s="64">
        <v>0.08</v>
      </c>
      <c r="K104" s="64">
        <v>328.91</v>
      </c>
      <c r="L104" s="64">
        <v>24.25</v>
      </c>
      <c r="M104" s="64">
        <v>98.58</v>
      </c>
      <c r="N104" s="64">
        <v>74.5</v>
      </c>
      <c r="O104" s="64">
        <v>0</v>
      </c>
      <c r="P104" s="64">
        <v>0.32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5.17</v>
      </c>
      <c r="C106" s="67">
        <f>MIN(C9:C104)</f>
        <v>9.82</v>
      </c>
      <c r="D106" s="67">
        <f t="shared" ref="D106:Q106" si="0">MIN(D9:D104)</f>
        <v>12.23</v>
      </c>
      <c r="E106" s="67">
        <f t="shared" si="0"/>
        <v>3.41</v>
      </c>
      <c r="F106" s="67">
        <f t="shared" si="0"/>
        <v>2.88</v>
      </c>
      <c r="G106" s="67">
        <f t="shared" si="0"/>
        <v>18.62</v>
      </c>
      <c r="H106" s="67">
        <f t="shared" si="0"/>
        <v>4.33</v>
      </c>
      <c r="I106" s="67">
        <f t="shared" si="0"/>
        <v>0.95</v>
      </c>
      <c r="J106" s="67">
        <f t="shared" si="0"/>
        <v>0.03</v>
      </c>
      <c r="K106" s="67">
        <f t="shared" si="0"/>
        <v>159.38</v>
      </c>
      <c r="L106" s="67">
        <f t="shared" si="0"/>
        <v>22.89</v>
      </c>
      <c r="M106" s="67">
        <f t="shared" si="0"/>
        <v>77.81</v>
      </c>
      <c r="N106" s="67">
        <f t="shared" si="0"/>
        <v>49</v>
      </c>
      <c r="O106" s="67">
        <f t="shared" si="0"/>
        <v>0</v>
      </c>
      <c r="P106" s="67">
        <f t="shared" si="0"/>
        <v>0.28000000000000003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16.5</v>
      </c>
      <c r="C107" s="66">
        <f t="shared" ref="C107:Q107" si="1">MAX(C9:C104)</f>
        <v>25.73</v>
      </c>
      <c r="D107" s="66">
        <f t="shared" si="1"/>
        <v>24.54</v>
      </c>
      <c r="E107" s="66">
        <f t="shared" si="1"/>
        <v>5.72</v>
      </c>
      <c r="F107" s="66">
        <f t="shared" si="1"/>
        <v>10.7</v>
      </c>
      <c r="G107" s="66">
        <f t="shared" si="1"/>
        <v>78</v>
      </c>
      <c r="H107" s="66">
        <f t="shared" si="1"/>
        <v>29.9</v>
      </c>
      <c r="I107" s="66">
        <f t="shared" si="1"/>
        <v>2.08</v>
      </c>
      <c r="J107" s="66">
        <f t="shared" si="1"/>
        <v>1.27</v>
      </c>
      <c r="K107" s="66">
        <f t="shared" si="1"/>
        <v>354.62</v>
      </c>
      <c r="L107" s="66">
        <f t="shared" si="1"/>
        <v>31.22</v>
      </c>
      <c r="M107" s="66">
        <f t="shared" si="1"/>
        <v>99.03</v>
      </c>
      <c r="N107" s="66">
        <f t="shared" si="1"/>
        <v>481.6</v>
      </c>
      <c r="O107" s="66">
        <f t="shared" si="1"/>
        <v>0</v>
      </c>
      <c r="P107" s="66">
        <f t="shared" si="1"/>
        <v>0.91</v>
      </c>
      <c r="Q107" s="66">
        <f t="shared" si="1"/>
        <v>9.3800000000000008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8.8429166666666639</v>
      </c>
      <c r="C108" s="67">
        <f t="shared" ref="C108:Q108" si="2">AVERAGE(C9:C104)</f>
        <v>15.574895833333334</v>
      </c>
      <c r="D108" s="67">
        <f t="shared" si="2"/>
        <v>15.228124999999999</v>
      </c>
      <c r="E108" s="67">
        <f t="shared" si="2"/>
        <v>4.4283333333333328</v>
      </c>
      <c r="F108" s="67">
        <f t="shared" si="2"/>
        <v>4.5994791666666659</v>
      </c>
      <c r="G108" s="67">
        <f t="shared" si="2"/>
        <v>49.617083333333319</v>
      </c>
      <c r="H108" s="67">
        <f t="shared" si="2"/>
        <v>12.441770833333337</v>
      </c>
      <c r="I108" s="67">
        <f t="shared" si="2"/>
        <v>1.5880208333333339</v>
      </c>
      <c r="J108" s="67">
        <f t="shared" si="2"/>
        <v>0.26708333333333317</v>
      </c>
      <c r="K108" s="67">
        <f t="shared" si="2"/>
        <v>305.13875000000007</v>
      </c>
      <c r="L108" s="67">
        <f t="shared" si="2"/>
        <v>26.081041666666664</v>
      </c>
      <c r="M108" s="67">
        <f t="shared" si="2"/>
        <v>93.977916666666658</v>
      </c>
      <c r="N108" s="67">
        <f t="shared" si="2"/>
        <v>163.0104166666666</v>
      </c>
      <c r="O108" s="67">
        <f t="shared" si="2"/>
        <v>0</v>
      </c>
      <c r="P108" s="67">
        <f t="shared" si="2"/>
        <v>0.4322916666666668</v>
      </c>
      <c r="Q108" s="67">
        <f t="shared" si="2"/>
        <v>9.1447916666666718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2.6360879773940424</v>
      </c>
      <c r="C109" s="67">
        <f t="shared" ref="C109:Q109" si="3">STDEV(C9:C104)</f>
        <v>4.0308444968090944</v>
      </c>
      <c r="D109" s="67">
        <f t="shared" si="3"/>
        <v>1.8025410791727727</v>
      </c>
      <c r="E109" s="67">
        <f t="shared" si="3"/>
        <v>0.71364692238148753</v>
      </c>
      <c r="F109" s="67">
        <f t="shared" si="3"/>
        <v>1.4759192459664054</v>
      </c>
      <c r="G109" s="67">
        <f t="shared" si="3"/>
        <v>15.816047474615667</v>
      </c>
      <c r="H109" s="67">
        <f t="shared" si="3"/>
        <v>6.802769094821322</v>
      </c>
      <c r="I109" s="67">
        <f t="shared" si="3"/>
        <v>0.3115381865304247</v>
      </c>
      <c r="J109" s="67">
        <f t="shared" si="3"/>
        <v>0.2324284458841914</v>
      </c>
      <c r="K109" s="67">
        <f t="shared" si="3"/>
        <v>26.938078322037196</v>
      </c>
      <c r="L109" s="67">
        <f t="shared" si="3"/>
        <v>2.5228624007231266</v>
      </c>
      <c r="M109" s="67">
        <f t="shared" si="3"/>
        <v>6.8155324025217983</v>
      </c>
      <c r="N109" s="67">
        <f t="shared" si="3"/>
        <v>123.43287754391839</v>
      </c>
      <c r="O109" s="67">
        <f t="shared" si="3"/>
        <v>0</v>
      </c>
      <c r="P109" s="67">
        <f t="shared" si="3"/>
        <v>0.11824576695809694</v>
      </c>
      <c r="Q109" s="67">
        <f t="shared" si="3"/>
        <v>6.9524386734995378E-2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1300</v>
      </c>
      <c r="B9" s="64">
        <v>6.17</v>
      </c>
      <c r="C9" s="64">
        <v>12.87</v>
      </c>
      <c r="D9" s="64">
        <v>11.67</v>
      </c>
      <c r="E9" s="64">
        <v>4.78</v>
      </c>
      <c r="F9" s="64">
        <v>8.43</v>
      </c>
      <c r="G9" s="64">
        <v>43.41</v>
      </c>
      <c r="H9" s="64">
        <v>23.53</v>
      </c>
      <c r="I9" s="64">
        <v>1.66</v>
      </c>
      <c r="J9" s="64">
        <v>0.08</v>
      </c>
      <c r="K9" s="64">
        <v>321.69</v>
      </c>
      <c r="L9" s="64">
        <v>24.23</v>
      </c>
      <c r="M9" s="64">
        <v>98.58</v>
      </c>
      <c r="N9" s="64">
        <v>75.400000000000006</v>
      </c>
      <c r="O9" s="64">
        <v>0</v>
      </c>
      <c r="P9" s="64">
        <v>0.36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3" t="s">
        <v>1301</v>
      </c>
      <c r="B10" s="64">
        <v>6.4</v>
      </c>
      <c r="C10" s="64">
        <v>12.28</v>
      </c>
      <c r="D10" s="64">
        <v>11.54</v>
      </c>
      <c r="E10" s="64">
        <v>4.95</v>
      </c>
      <c r="F10" s="64">
        <v>9.7100000000000009</v>
      </c>
      <c r="G10" s="64">
        <v>38.69</v>
      </c>
      <c r="H10" s="64">
        <v>22.18</v>
      </c>
      <c r="I10" s="64">
        <v>1.61</v>
      </c>
      <c r="J10" s="64">
        <v>0.1</v>
      </c>
      <c r="K10" s="64">
        <v>332.07</v>
      </c>
      <c r="L10" s="64">
        <v>24.21</v>
      </c>
      <c r="M10" s="64">
        <v>98.58</v>
      </c>
      <c r="N10" s="64">
        <v>75.7</v>
      </c>
      <c r="O10" s="64">
        <v>0</v>
      </c>
      <c r="P10" s="64">
        <v>0.35</v>
      </c>
      <c r="Q10" s="64">
        <v>9.11</v>
      </c>
      <c r="R10" s="198"/>
      <c r="S10" s="198"/>
      <c r="T10" s="198"/>
      <c r="U10" s="198"/>
    </row>
    <row r="11" spans="1:21" s="12" customFormat="1" x14ac:dyDescent="0.25">
      <c r="A11" s="213" t="s">
        <v>1302</v>
      </c>
      <c r="B11" s="64">
        <v>6.22</v>
      </c>
      <c r="C11" s="64">
        <v>12.08</v>
      </c>
      <c r="D11" s="64">
        <v>11.3</v>
      </c>
      <c r="E11" s="64">
        <v>4.5</v>
      </c>
      <c r="F11" s="64">
        <v>8.23</v>
      </c>
      <c r="G11" s="64">
        <v>38.69</v>
      </c>
      <c r="H11" s="64">
        <v>22.18</v>
      </c>
      <c r="I11" s="64">
        <v>1.56</v>
      </c>
      <c r="J11" s="64">
        <v>0.1</v>
      </c>
      <c r="K11" s="64">
        <v>293.99</v>
      </c>
      <c r="L11" s="64">
        <v>24.21</v>
      </c>
      <c r="M11" s="64">
        <v>98.59</v>
      </c>
      <c r="N11" s="64">
        <v>76</v>
      </c>
      <c r="O11" s="64">
        <v>0</v>
      </c>
      <c r="P11" s="64">
        <v>0.39</v>
      </c>
      <c r="Q11" s="64">
        <v>9.11</v>
      </c>
      <c r="R11" s="198"/>
      <c r="S11" s="198"/>
      <c r="T11" s="198"/>
      <c r="U11" s="198"/>
    </row>
    <row r="12" spans="1:21" s="12" customFormat="1" x14ac:dyDescent="0.25">
      <c r="A12" s="213" t="s">
        <v>1303</v>
      </c>
      <c r="B12" s="64">
        <v>6.12</v>
      </c>
      <c r="C12" s="64">
        <v>12.56</v>
      </c>
      <c r="D12" s="64">
        <v>11.47</v>
      </c>
      <c r="E12" s="64">
        <v>4.6399999999999997</v>
      </c>
      <c r="F12" s="64">
        <v>10.29</v>
      </c>
      <c r="G12" s="64">
        <v>38.69</v>
      </c>
      <c r="H12" s="64">
        <v>22.18</v>
      </c>
      <c r="I12" s="64">
        <v>1.51</v>
      </c>
      <c r="J12" s="64">
        <v>0.08</v>
      </c>
      <c r="K12" s="64">
        <v>313.83999999999997</v>
      </c>
      <c r="L12" s="64">
        <v>24.22</v>
      </c>
      <c r="M12" s="64">
        <v>98.6</v>
      </c>
      <c r="N12" s="64">
        <v>76.599999999999994</v>
      </c>
      <c r="O12" s="64">
        <v>0</v>
      </c>
      <c r="P12" s="64">
        <v>0.32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3" t="s">
        <v>1304</v>
      </c>
      <c r="B13" s="64">
        <v>5.9</v>
      </c>
      <c r="C13" s="64">
        <v>12.06</v>
      </c>
      <c r="D13" s="64">
        <v>11.03</v>
      </c>
      <c r="E13" s="64">
        <v>4.88</v>
      </c>
      <c r="F13" s="64">
        <v>8.18</v>
      </c>
      <c r="G13" s="64">
        <v>34.51</v>
      </c>
      <c r="H13" s="64">
        <v>18.37</v>
      </c>
      <c r="I13" s="64">
        <v>1.46</v>
      </c>
      <c r="J13" s="64">
        <v>7.0000000000000007E-2</v>
      </c>
      <c r="K13" s="64">
        <v>319.42</v>
      </c>
      <c r="L13" s="64">
        <v>24.23</v>
      </c>
      <c r="M13" s="64">
        <v>98.63</v>
      </c>
      <c r="N13" s="64">
        <v>76.7</v>
      </c>
      <c r="O13" s="64">
        <v>0</v>
      </c>
      <c r="P13" s="64">
        <v>0.32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3" t="s">
        <v>1305</v>
      </c>
      <c r="B14" s="64">
        <v>6.27</v>
      </c>
      <c r="C14" s="64">
        <v>11.45</v>
      </c>
      <c r="D14" s="64">
        <v>11.01</v>
      </c>
      <c r="E14" s="64">
        <v>4.9400000000000004</v>
      </c>
      <c r="F14" s="64">
        <v>8.59</v>
      </c>
      <c r="G14" s="64">
        <v>31.98</v>
      </c>
      <c r="H14" s="64">
        <v>16.05</v>
      </c>
      <c r="I14" s="64">
        <v>1.44</v>
      </c>
      <c r="J14" s="64">
        <v>0.09</v>
      </c>
      <c r="K14" s="64">
        <v>313.72000000000003</v>
      </c>
      <c r="L14" s="64">
        <v>24.27</v>
      </c>
      <c r="M14" s="64">
        <v>98.65</v>
      </c>
      <c r="N14" s="64">
        <v>76.900000000000006</v>
      </c>
      <c r="O14" s="64">
        <v>0</v>
      </c>
      <c r="P14" s="64">
        <v>0.3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3" t="s">
        <v>1306</v>
      </c>
      <c r="B15" s="64">
        <v>6.29</v>
      </c>
      <c r="C15" s="64">
        <v>11.35</v>
      </c>
      <c r="D15" s="64">
        <v>10.97</v>
      </c>
      <c r="E15" s="64">
        <v>4.9000000000000004</v>
      </c>
      <c r="F15" s="64">
        <v>6.79</v>
      </c>
      <c r="G15" s="64">
        <v>31.98</v>
      </c>
      <c r="H15" s="64">
        <v>16.05</v>
      </c>
      <c r="I15" s="64">
        <v>1.42</v>
      </c>
      <c r="J15" s="64">
        <v>0.09</v>
      </c>
      <c r="K15" s="64">
        <v>286.88</v>
      </c>
      <c r="L15" s="64">
        <v>24.26</v>
      </c>
      <c r="M15" s="64">
        <v>98.66</v>
      </c>
      <c r="N15" s="64">
        <v>77.400000000000006</v>
      </c>
      <c r="O15" s="64">
        <v>0</v>
      </c>
      <c r="P15" s="64">
        <v>0.36</v>
      </c>
      <c r="Q15" s="64">
        <v>9.1</v>
      </c>
      <c r="R15" s="198"/>
      <c r="S15" s="198"/>
      <c r="T15" s="198"/>
      <c r="U15" s="198"/>
    </row>
    <row r="16" spans="1:21" s="12" customFormat="1" x14ac:dyDescent="0.25">
      <c r="A16" s="213" t="s">
        <v>1307</v>
      </c>
      <c r="B16" s="64">
        <v>7.11</v>
      </c>
      <c r="C16" s="64">
        <v>11.31</v>
      </c>
      <c r="D16" s="64">
        <v>11.61</v>
      </c>
      <c r="E16" s="64">
        <v>4.99</v>
      </c>
      <c r="F16" s="64">
        <v>4.68</v>
      </c>
      <c r="G16" s="64">
        <v>31.98</v>
      </c>
      <c r="H16" s="64">
        <v>16.05</v>
      </c>
      <c r="I16" s="64">
        <v>1.37</v>
      </c>
      <c r="J16" s="64">
        <v>0.09</v>
      </c>
      <c r="K16" s="64">
        <v>319.66000000000003</v>
      </c>
      <c r="L16" s="64">
        <v>24.23</v>
      </c>
      <c r="M16" s="64">
        <v>98.71</v>
      </c>
      <c r="N16" s="64">
        <v>78.3</v>
      </c>
      <c r="O16" s="64">
        <v>0</v>
      </c>
      <c r="P16" s="64">
        <v>0.42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3" t="s">
        <v>1308</v>
      </c>
      <c r="B17" s="64">
        <v>6.6</v>
      </c>
      <c r="C17" s="64">
        <v>11.05</v>
      </c>
      <c r="D17" s="64">
        <v>11.06</v>
      </c>
      <c r="E17" s="64">
        <v>4.9400000000000004</v>
      </c>
      <c r="F17" s="64">
        <v>5.28</v>
      </c>
      <c r="G17" s="64">
        <v>29.44</v>
      </c>
      <c r="H17" s="64">
        <v>13.11</v>
      </c>
      <c r="I17" s="64">
        <v>1.31</v>
      </c>
      <c r="J17" s="64">
        <v>7.0000000000000007E-2</v>
      </c>
      <c r="K17" s="64">
        <v>299.60000000000002</v>
      </c>
      <c r="L17" s="64">
        <v>24.18</v>
      </c>
      <c r="M17" s="64">
        <v>98.67</v>
      </c>
      <c r="N17" s="64">
        <v>79</v>
      </c>
      <c r="O17" s="64">
        <v>0</v>
      </c>
      <c r="P17" s="64">
        <v>0.34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3" t="s">
        <v>1309</v>
      </c>
      <c r="B18" s="64">
        <v>6.73</v>
      </c>
      <c r="C18" s="64">
        <v>10.89</v>
      </c>
      <c r="D18" s="64">
        <v>11.09</v>
      </c>
      <c r="E18" s="64">
        <v>4.8099999999999996</v>
      </c>
      <c r="F18" s="64">
        <v>4.97</v>
      </c>
      <c r="G18" s="64">
        <v>27.89</v>
      </c>
      <c r="H18" s="64">
        <v>11.33</v>
      </c>
      <c r="I18" s="64">
        <v>1.26</v>
      </c>
      <c r="J18" s="64">
        <v>0.05</v>
      </c>
      <c r="K18" s="64">
        <v>299.73</v>
      </c>
      <c r="L18" s="64">
        <v>24.11</v>
      </c>
      <c r="M18" s="64">
        <v>98.64</v>
      </c>
      <c r="N18" s="64">
        <v>79.7</v>
      </c>
      <c r="O18" s="64">
        <v>0</v>
      </c>
      <c r="P18" s="64">
        <v>0.35</v>
      </c>
      <c r="Q18" s="64">
        <v>9.0399999999999991</v>
      </c>
      <c r="R18" s="198"/>
      <c r="S18" s="198"/>
      <c r="T18" s="198"/>
      <c r="U18" s="198"/>
    </row>
    <row r="19" spans="1:21" s="12" customFormat="1" x14ac:dyDescent="0.25">
      <c r="A19" s="213" t="s">
        <v>1310</v>
      </c>
      <c r="B19" s="64">
        <v>6.13</v>
      </c>
      <c r="C19" s="64">
        <v>10.4</v>
      </c>
      <c r="D19" s="64">
        <v>10.35</v>
      </c>
      <c r="E19" s="64">
        <v>4.91</v>
      </c>
      <c r="F19" s="64">
        <v>6.39</v>
      </c>
      <c r="G19" s="64">
        <v>27.89</v>
      </c>
      <c r="H19" s="64">
        <v>11.33</v>
      </c>
      <c r="I19" s="64">
        <v>1.22</v>
      </c>
      <c r="J19" s="64">
        <v>0.04</v>
      </c>
      <c r="K19" s="64">
        <v>249.6</v>
      </c>
      <c r="L19" s="64">
        <v>24.06</v>
      </c>
      <c r="M19" s="64">
        <v>98.67</v>
      </c>
      <c r="N19" s="64">
        <v>79.400000000000006</v>
      </c>
      <c r="O19" s="64">
        <v>0</v>
      </c>
      <c r="P19" s="64">
        <v>0.3</v>
      </c>
      <c r="Q19" s="64">
        <v>9.0299999999999994</v>
      </c>
      <c r="R19" s="198"/>
      <c r="S19" s="198"/>
      <c r="T19" s="198"/>
      <c r="U19" s="198"/>
    </row>
    <row r="20" spans="1:21" s="12" customFormat="1" x14ac:dyDescent="0.25">
      <c r="A20" s="213" t="s">
        <v>1311</v>
      </c>
      <c r="B20" s="64">
        <v>6.37</v>
      </c>
      <c r="C20" s="64">
        <v>10.57</v>
      </c>
      <c r="D20" s="64">
        <v>10.63</v>
      </c>
      <c r="E20" s="64">
        <v>4.8</v>
      </c>
      <c r="F20" s="64">
        <v>4.67</v>
      </c>
      <c r="G20" s="64">
        <v>27.89</v>
      </c>
      <c r="H20" s="64">
        <v>11.33</v>
      </c>
      <c r="I20" s="64">
        <v>1.18</v>
      </c>
      <c r="J20" s="64">
        <v>0.05</v>
      </c>
      <c r="K20" s="64">
        <v>266.48</v>
      </c>
      <c r="L20" s="64">
        <v>24.01</v>
      </c>
      <c r="M20" s="64">
        <v>98.7</v>
      </c>
      <c r="N20" s="64">
        <v>79.7</v>
      </c>
      <c r="O20" s="64">
        <v>0</v>
      </c>
      <c r="P20" s="64">
        <v>0.28999999999999998</v>
      </c>
      <c r="Q20" s="64">
        <v>9.02</v>
      </c>
      <c r="R20" s="198"/>
      <c r="S20" s="198"/>
      <c r="T20" s="198"/>
      <c r="U20" s="198"/>
    </row>
    <row r="21" spans="1:21" s="12" customFormat="1" x14ac:dyDescent="0.25">
      <c r="A21" s="213" t="s">
        <v>1312</v>
      </c>
      <c r="B21" s="64">
        <v>6.15</v>
      </c>
      <c r="C21" s="64">
        <v>10.49</v>
      </c>
      <c r="D21" s="64">
        <v>10.42</v>
      </c>
      <c r="E21" s="64">
        <v>4.93</v>
      </c>
      <c r="F21" s="64">
        <v>5.75</v>
      </c>
      <c r="G21" s="64">
        <v>25.19</v>
      </c>
      <c r="H21" s="64">
        <v>9.2100000000000009</v>
      </c>
      <c r="I21" s="64">
        <v>1.1499999999999999</v>
      </c>
      <c r="J21" s="64">
        <v>0.04</v>
      </c>
      <c r="K21" s="64">
        <v>283.58</v>
      </c>
      <c r="L21" s="64">
        <v>23.99</v>
      </c>
      <c r="M21" s="64">
        <v>98.64</v>
      </c>
      <c r="N21" s="64">
        <v>80.099999999999994</v>
      </c>
      <c r="O21" s="64">
        <v>0</v>
      </c>
      <c r="P21" s="64">
        <v>0.28000000000000003</v>
      </c>
      <c r="Q21" s="64">
        <v>9.02</v>
      </c>
      <c r="R21" s="198"/>
      <c r="S21" s="198"/>
      <c r="T21" s="198"/>
      <c r="U21" s="198"/>
    </row>
    <row r="22" spans="1:21" s="12" customFormat="1" x14ac:dyDescent="0.25">
      <c r="A22" s="213" t="s">
        <v>1313</v>
      </c>
      <c r="B22" s="64">
        <v>6.49</v>
      </c>
      <c r="C22" s="64">
        <v>10.63</v>
      </c>
      <c r="D22" s="64">
        <v>10.76</v>
      </c>
      <c r="E22" s="64">
        <v>4.97</v>
      </c>
      <c r="F22" s="64">
        <v>4.54</v>
      </c>
      <c r="G22" s="64">
        <v>23.56</v>
      </c>
      <c r="H22" s="64">
        <v>7.93</v>
      </c>
      <c r="I22" s="64">
        <v>1.1200000000000001</v>
      </c>
      <c r="J22" s="64">
        <v>0.04</v>
      </c>
      <c r="K22" s="64">
        <v>268.86</v>
      </c>
      <c r="L22" s="64">
        <v>24.02</v>
      </c>
      <c r="M22" s="64">
        <v>98.67</v>
      </c>
      <c r="N22" s="64">
        <v>80.099999999999994</v>
      </c>
      <c r="O22" s="64">
        <v>0</v>
      </c>
      <c r="P22" s="64">
        <v>0.31</v>
      </c>
      <c r="Q22" s="64">
        <v>9.01</v>
      </c>
      <c r="R22" s="198"/>
      <c r="S22" s="198"/>
      <c r="T22" s="198"/>
      <c r="U22" s="198"/>
    </row>
    <row r="23" spans="1:21" s="12" customFormat="1" x14ac:dyDescent="0.25">
      <c r="A23" s="213" t="s">
        <v>1314</v>
      </c>
      <c r="B23" s="64">
        <v>6.16</v>
      </c>
      <c r="C23" s="64">
        <v>10.81</v>
      </c>
      <c r="D23" s="64">
        <v>10.59</v>
      </c>
      <c r="E23" s="64">
        <v>4.75</v>
      </c>
      <c r="F23" s="64">
        <v>4.75</v>
      </c>
      <c r="G23" s="64">
        <v>23.56</v>
      </c>
      <c r="H23" s="64">
        <v>7.93</v>
      </c>
      <c r="I23" s="64">
        <v>1.1599999999999999</v>
      </c>
      <c r="J23" s="64">
        <v>0.09</v>
      </c>
      <c r="K23" s="64">
        <v>287.35000000000002</v>
      </c>
      <c r="L23" s="64">
        <v>24.02</v>
      </c>
      <c r="M23" s="64">
        <v>98.7</v>
      </c>
      <c r="N23" s="64">
        <v>78.2</v>
      </c>
      <c r="O23" s="64">
        <v>0</v>
      </c>
      <c r="P23" s="64">
        <v>0.27</v>
      </c>
      <c r="Q23" s="64">
        <v>9</v>
      </c>
      <c r="R23" s="198"/>
      <c r="S23" s="198"/>
      <c r="T23" s="198"/>
      <c r="U23" s="198"/>
    </row>
    <row r="24" spans="1:21" s="12" customFormat="1" x14ac:dyDescent="0.25">
      <c r="A24" s="213" t="s">
        <v>1315</v>
      </c>
      <c r="B24" s="64">
        <v>6.54</v>
      </c>
      <c r="C24" s="64">
        <v>10.8</v>
      </c>
      <c r="D24" s="64">
        <v>10.89</v>
      </c>
      <c r="E24" s="64">
        <v>4.67</v>
      </c>
      <c r="F24" s="64">
        <v>4.34</v>
      </c>
      <c r="G24" s="64">
        <v>23.56</v>
      </c>
      <c r="H24" s="64">
        <v>7.93</v>
      </c>
      <c r="I24" s="64">
        <v>1.19</v>
      </c>
      <c r="J24" s="64">
        <v>7.0000000000000007E-2</v>
      </c>
      <c r="K24" s="64">
        <v>294.13</v>
      </c>
      <c r="L24" s="64">
        <v>24.03</v>
      </c>
      <c r="M24" s="64">
        <v>98.73</v>
      </c>
      <c r="N24" s="64">
        <v>77.400000000000006</v>
      </c>
      <c r="O24" s="64">
        <v>0</v>
      </c>
      <c r="P24" s="64">
        <v>0.3</v>
      </c>
      <c r="Q24" s="64">
        <v>9</v>
      </c>
      <c r="R24" s="198"/>
      <c r="S24" s="198"/>
      <c r="T24" s="198"/>
      <c r="U24" s="198"/>
    </row>
    <row r="25" spans="1:21" s="12" customFormat="1" x14ac:dyDescent="0.25">
      <c r="A25" s="213" t="s">
        <v>1316</v>
      </c>
      <c r="B25" s="64">
        <v>6.1</v>
      </c>
      <c r="C25" s="64">
        <v>11.4</v>
      </c>
      <c r="D25" s="64">
        <v>10.85</v>
      </c>
      <c r="E25" s="64">
        <v>4.79</v>
      </c>
      <c r="F25" s="64">
        <v>9.61</v>
      </c>
      <c r="G25" s="64">
        <v>25.93</v>
      </c>
      <c r="H25" s="64">
        <v>10.65</v>
      </c>
      <c r="I25" s="64">
        <v>1.1499999999999999</v>
      </c>
      <c r="J25" s="64">
        <v>0.08</v>
      </c>
      <c r="K25" s="64">
        <v>286.27</v>
      </c>
      <c r="L25" s="64">
        <v>24.08</v>
      </c>
      <c r="M25" s="64">
        <v>98.72</v>
      </c>
      <c r="N25" s="64">
        <v>76.2</v>
      </c>
      <c r="O25" s="64">
        <v>0</v>
      </c>
      <c r="P25" s="64">
        <v>0.21</v>
      </c>
      <c r="Q25" s="64">
        <v>9.02</v>
      </c>
      <c r="R25" s="198"/>
      <c r="S25" s="198"/>
      <c r="T25" s="198"/>
      <c r="U25" s="198"/>
    </row>
    <row r="26" spans="1:21" s="12" customFormat="1" x14ac:dyDescent="0.25">
      <c r="A26" s="213" t="s">
        <v>1317</v>
      </c>
      <c r="B26" s="64">
        <v>5.37</v>
      </c>
      <c r="C26" s="64">
        <v>12.14</v>
      </c>
      <c r="D26" s="64">
        <v>10.65</v>
      </c>
      <c r="E26" s="64">
        <v>4.79</v>
      </c>
      <c r="F26" s="64">
        <v>10.55</v>
      </c>
      <c r="G26" s="64">
        <v>27.37</v>
      </c>
      <c r="H26" s="64">
        <v>12.3</v>
      </c>
      <c r="I26" s="64">
        <v>1.1200000000000001</v>
      </c>
      <c r="J26" s="64">
        <v>0.09</v>
      </c>
      <c r="K26" s="64">
        <v>280.43</v>
      </c>
      <c r="L26" s="64">
        <v>24.08</v>
      </c>
      <c r="M26" s="64">
        <v>98.65</v>
      </c>
      <c r="N26" s="64">
        <v>75.7</v>
      </c>
      <c r="O26" s="64">
        <v>0</v>
      </c>
      <c r="P26" s="64">
        <v>0.19</v>
      </c>
      <c r="Q26" s="64">
        <v>9.02</v>
      </c>
      <c r="R26" s="198"/>
      <c r="S26" s="198"/>
      <c r="T26" s="198"/>
      <c r="U26" s="198"/>
    </row>
    <row r="27" spans="1:21" s="12" customFormat="1" x14ac:dyDescent="0.25">
      <c r="A27" s="213" t="s">
        <v>1318</v>
      </c>
      <c r="B27" s="64">
        <v>5.52</v>
      </c>
      <c r="C27" s="64">
        <v>12.16</v>
      </c>
      <c r="D27" s="64">
        <v>10.78</v>
      </c>
      <c r="E27" s="64">
        <v>4.6900000000000004</v>
      </c>
      <c r="F27" s="64">
        <v>7.64</v>
      </c>
      <c r="G27" s="64">
        <v>27.37</v>
      </c>
      <c r="H27" s="64">
        <v>12.3</v>
      </c>
      <c r="I27" s="64">
        <v>1.08</v>
      </c>
      <c r="J27" s="64">
        <v>0.1</v>
      </c>
      <c r="K27" s="64">
        <v>295.01</v>
      </c>
      <c r="L27" s="64">
        <v>24.08</v>
      </c>
      <c r="M27" s="64">
        <v>98.66</v>
      </c>
      <c r="N27" s="64">
        <v>75.400000000000006</v>
      </c>
      <c r="O27" s="64">
        <v>0</v>
      </c>
      <c r="P27" s="64">
        <v>0.22</v>
      </c>
      <c r="Q27" s="64">
        <v>9.0299999999999994</v>
      </c>
      <c r="R27" s="198"/>
      <c r="S27" s="198"/>
      <c r="T27" s="198"/>
      <c r="U27" s="198"/>
    </row>
    <row r="28" spans="1:21" s="12" customFormat="1" x14ac:dyDescent="0.25">
      <c r="A28" s="213" t="s">
        <v>1319</v>
      </c>
      <c r="B28" s="64">
        <v>6.54</v>
      </c>
      <c r="C28" s="64">
        <v>11.57</v>
      </c>
      <c r="D28" s="64">
        <v>11.29</v>
      </c>
      <c r="E28" s="64">
        <v>4.82</v>
      </c>
      <c r="F28" s="64">
        <v>5.46</v>
      </c>
      <c r="G28" s="64">
        <v>27.37</v>
      </c>
      <c r="H28" s="64">
        <v>12.3</v>
      </c>
      <c r="I28" s="64">
        <v>1.06</v>
      </c>
      <c r="J28" s="64">
        <v>0.21</v>
      </c>
      <c r="K28" s="64">
        <v>293.83</v>
      </c>
      <c r="L28" s="64">
        <v>24.12</v>
      </c>
      <c r="M28" s="64">
        <v>98.69</v>
      </c>
      <c r="N28" s="64">
        <v>75.2</v>
      </c>
      <c r="O28" s="64">
        <v>0</v>
      </c>
      <c r="P28" s="64">
        <v>0.24</v>
      </c>
      <c r="Q28" s="64">
        <v>9.06</v>
      </c>
      <c r="R28" s="198"/>
      <c r="S28" s="198"/>
      <c r="T28" s="198"/>
      <c r="U28" s="198"/>
    </row>
    <row r="29" spans="1:21" s="12" customFormat="1" x14ac:dyDescent="0.25">
      <c r="A29" s="213" t="s">
        <v>1320</v>
      </c>
      <c r="B29" s="64">
        <v>6.87</v>
      </c>
      <c r="C29" s="64">
        <v>10.95</v>
      </c>
      <c r="D29" s="64">
        <v>11.24</v>
      </c>
      <c r="E29" s="64">
        <v>5</v>
      </c>
      <c r="F29" s="64">
        <v>6.37</v>
      </c>
      <c r="G29" s="64">
        <v>28.54</v>
      </c>
      <c r="H29" s="64">
        <v>12.33</v>
      </c>
      <c r="I29" s="64">
        <v>0.97</v>
      </c>
      <c r="J29" s="64">
        <v>0.13</v>
      </c>
      <c r="K29" s="64">
        <v>290.11</v>
      </c>
      <c r="L29" s="64">
        <v>24.03</v>
      </c>
      <c r="M29" s="64">
        <v>98.73</v>
      </c>
      <c r="N29" s="64">
        <v>74.900000000000006</v>
      </c>
      <c r="O29" s="64">
        <v>0</v>
      </c>
      <c r="P29" s="64">
        <v>0.23</v>
      </c>
      <c r="Q29" s="64">
        <v>9.06</v>
      </c>
      <c r="R29" s="198"/>
      <c r="S29" s="198"/>
      <c r="T29" s="198"/>
      <c r="U29" s="198"/>
    </row>
    <row r="30" spans="1:21" s="12" customFormat="1" x14ac:dyDescent="0.25">
      <c r="A30" s="213" t="s">
        <v>1321</v>
      </c>
      <c r="B30" s="64">
        <v>7</v>
      </c>
      <c r="C30" s="64">
        <v>12.57</v>
      </c>
      <c r="D30" s="64">
        <v>12.18</v>
      </c>
      <c r="E30" s="64">
        <v>5.08</v>
      </c>
      <c r="F30" s="64">
        <v>7.76</v>
      </c>
      <c r="G30" s="64">
        <v>29.26</v>
      </c>
      <c r="H30" s="64">
        <v>12.34</v>
      </c>
      <c r="I30" s="64">
        <v>0.97</v>
      </c>
      <c r="J30" s="64">
        <v>0.09</v>
      </c>
      <c r="K30" s="64">
        <v>279.07</v>
      </c>
      <c r="L30" s="64">
        <v>24</v>
      </c>
      <c r="M30" s="64">
        <v>98.75</v>
      </c>
      <c r="N30" s="64">
        <v>75.7</v>
      </c>
      <c r="O30" s="64">
        <v>0</v>
      </c>
      <c r="P30" s="64">
        <v>0.22</v>
      </c>
      <c r="Q30" s="64">
        <v>9.07</v>
      </c>
      <c r="R30" s="198"/>
      <c r="S30" s="198"/>
      <c r="T30" s="198"/>
      <c r="U30" s="198"/>
    </row>
    <row r="31" spans="1:21" s="12" customFormat="1" x14ac:dyDescent="0.25">
      <c r="A31" s="213" t="s">
        <v>1322</v>
      </c>
      <c r="B31" s="64">
        <v>7.4</v>
      </c>
      <c r="C31" s="64">
        <v>13.49</v>
      </c>
      <c r="D31" s="64">
        <v>12.98</v>
      </c>
      <c r="E31" s="64">
        <v>4.7</v>
      </c>
      <c r="F31" s="64">
        <v>5.9</v>
      </c>
      <c r="G31" s="64">
        <v>29.26</v>
      </c>
      <c r="H31" s="64">
        <v>12.34</v>
      </c>
      <c r="I31" s="64">
        <v>1.01</v>
      </c>
      <c r="J31" s="64">
        <v>0.13</v>
      </c>
      <c r="K31" s="64">
        <v>282.35000000000002</v>
      </c>
      <c r="L31" s="64">
        <v>23.99</v>
      </c>
      <c r="M31" s="64">
        <v>98.76</v>
      </c>
      <c r="N31" s="64">
        <v>80.2</v>
      </c>
      <c r="O31" s="64">
        <v>0</v>
      </c>
      <c r="P31" s="64">
        <v>0.27</v>
      </c>
      <c r="Q31" s="64">
        <v>9.07</v>
      </c>
      <c r="R31" s="198"/>
      <c r="S31" s="198"/>
      <c r="T31" s="198"/>
      <c r="U31" s="198"/>
    </row>
    <row r="32" spans="1:21" s="12" customFormat="1" x14ac:dyDescent="0.25">
      <c r="A32" s="213" t="s">
        <v>1323</v>
      </c>
      <c r="B32" s="64">
        <v>7</v>
      </c>
      <c r="C32" s="64">
        <v>12.88</v>
      </c>
      <c r="D32" s="64">
        <v>12.34</v>
      </c>
      <c r="E32" s="64">
        <v>4.8499999999999996</v>
      </c>
      <c r="F32" s="64">
        <v>6.01</v>
      </c>
      <c r="G32" s="64">
        <v>29.26</v>
      </c>
      <c r="H32" s="64">
        <v>12.34</v>
      </c>
      <c r="I32" s="64">
        <v>1.01</v>
      </c>
      <c r="J32" s="64">
        <v>0.12</v>
      </c>
      <c r="K32" s="64">
        <v>292.39999999999998</v>
      </c>
      <c r="L32" s="64">
        <v>24.07</v>
      </c>
      <c r="M32" s="64">
        <v>98.75</v>
      </c>
      <c r="N32" s="64">
        <v>103</v>
      </c>
      <c r="O32" s="64">
        <v>0</v>
      </c>
      <c r="P32" s="64">
        <v>0.28999999999999998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3" t="s">
        <v>1324</v>
      </c>
      <c r="B33" s="64">
        <v>8.2200000000000006</v>
      </c>
      <c r="C33" s="64">
        <v>12.32</v>
      </c>
      <c r="D33" s="64">
        <v>13.03</v>
      </c>
      <c r="E33" s="64">
        <v>4.93</v>
      </c>
      <c r="F33" s="64">
        <v>4.68</v>
      </c>
      <c r="G33" s="64">
        <v>31.45</v>
      </c>
      <c r="H33" s="64">
        <v>11.81</v>
      </c>
      <c r="I33" s="64">
        <v>1.01</v>
      </c>
      <c r="J33" s="64">
        <v>0.1</v>
      </c>
      <c r="K33" s="64">
        <v>283.89999999999998</v>
      </c>
      <c r="L33" s="64">
        <v>24.4</v>
      </c>
      <c r="M33" s="64">
        <v>98.78</v>
      </c>
      <c r="N33" s="64">
        <v>130.19999999999999</v>
      </c>
      <c r="O33" s="64">
        <v>0</v>
      </c>
      <c r="P33" s="64">
        <v>0.28000000000000003</v>
      </c>
      <c r="Q33" s="64">
        <v>9.08</v>
      </c>
      <c r="R33" s="198"/>
      <c r="S33" s="198"/>
      <c r="T33" s="198"/>
      <c r="U33" s="198"/>
    </row>
    <row r="34" spans="1:21" s="12" customFormat="1" x14ac:dyDescent="0.25">
      <c r="A34" s="213" t="s">
        <v>1325</v>
      </c>
      <c r="B34" s="64">
        <v>10.8</v>
      </c>
      <c r="C34" s="64">
        <v>12.38</v>
      </c>
      <c r="D34" s="64">
        <v>15.13</v>
      </c>
      <c r="E34" s="64">
        <v>5.14</v>
      </c>
      <c r="F34" s="64">
        <v>3.59</v>
      </c>
      <c r="G34" s="64">
        <v>32.78</v>
      </c>
      <c r="H34" s="64">
        <v>11.49</v>
      </c>
      <c r="I34" s="64">
        <v>1.02</v>
      </c>
      <c r="J34" s="64">
        <v>0.12</v>
      </c>
      <c r="K34" s="64">
        <v>305.52999999999997</v>
      </c>
      <c r="L34" s="64">
        <v>24.59</v>
      </c>
      <c r="M34" s="64">
        <v>98.82</v>
      </c>
      <c r="N34" s="64">
        <v>157</v>
      </c>
      <c r="O34" s="64">
        <v>0</v>
      </c>
      <c r="P34" s="64">
        <v>0.31</v>
      </c>
      <c r="Q34" s="64">
        <v>9.07</v>
      </c>
      <c r="R34" s="198"/>
      <c r="S34" s="198"/>
      <c r="T34" s="198"/>
      <c r="U34" s="198"/>
    </row>
    <row r="35" spans="1:21" s="12" customFormat="1" x14ac:dyDescent="0.25">
      <c r="A35" s="213" t="s">
        <v>1326</v>
      </c>
      <c r="B35" s="64">
        <v>10.09</v>
      </c>
      <c r="C35" s="64">
        <v>13.02</v>
      </c>
      <c r="D35" s="64">
        <v>14.9</v>
      </c>
      <c r="E35" s="64">
        <v>5.07</v>
      </c>
      <c r="F35" s="64">
        <v>4.5199999999999996</v>
      </c>
      <c r="G35" s="64">
        <v>32.78</v>
      </c>
      <c r="H35" s="64">
        <v>11.49</v>
      </c>
      <c r="I35" s="64">
        <v>1.03</v>
      </c>
      <c r="J35" s="64">
        <v>0.2</v>
      </c>
      <c r="K35" s="64">
        <v>295.35000000000002</v>
      </c>
      <c r="L35" s="64">
        <v>25.11</v>
      </c>
      <c r="M35" s="64">
        <v>98.8</v>
      </c>
      <c r="N35" s="64">
        <v>177.4</v>
      </c>
      <c r="O35" s="64">
        <v>0</v>
      </c>
      <c r="P35" s="64">
        <v>0.31</v>
      </c>
      <c r="Q35" s="64">
        <v>9.08</v>
      </c>
      <c r="R35" s="198"/>
      <c r="S35" s="198"/>
      <c r="T35" s="198"/>
      <c r="U35" s="198"/>
    </row>
    <row r="36" spans="1:21" s="12" customFormat="1" x14ac:dyDescent="0.25">
      <c r="A36" s="213" t="s">
        <v>1327</v>
      </c>
      <c r="B36" s="64">
        <v>9.6999999999999993</v>
      </c>
      <c r="C36" s="64">
        <v>11.37</v>
      </c>
      <c r="D36" s="64">
        <v>13.71</v>
      </c>
      <c r="E36" s="64">
        <v>5.05</v>
      </c>
      <c r="F36" s="64">
        <v>3.13</v>
      </c>
      <c r="G36" s="64">
        <v>32.78</v>
      </c>
      <c r="H36" s="64">
        <v>11.49</v>
      </c>
      <c r="I36" s="64">
        <v>1.04</v>
      </c>
      <c r="J36" s="64">
        <v>0.14000000000000001</v>
      </c>
      <c r="K36" s="64">
        <v>289.16000000000003</v>
      </c>
      <c r="L36" s="64">
        <v>25.36</v>
      </c>
      <c r="M36" s="64">
        <v>98.83</v>
      </c>
      <c r="N36" s="64">
        <v>149.1</v>
      </c>
      <c r="O36" s="64">
        <v>0</v>
      </c>
      <c r="P36" s="64">
        <v>0.33</v>
      </c>
      <c r="Q36" s="64">
        <v>9.09</v>
      </c>
      <c r="R36" s="198"/>
      <c r="S36" s="198"/>
      <c r="T36" s="198"/>
      <c r="U36" s="198"/>
    </row>
    <row r="37" spans="1:21" s="12" customFormat="1" x14ac:dyDescent="0.25">
      <c r="A37" s="213" t="s">
        <v>1328</v>
      </c>
      <c r="B37" s="64">
        <v>9.7100000000000009</v>
      </c>
      <c r="C37" s="64">
        <v>11.15</v>
      </c>
      <c r="D37" s="64">
        <v>13.61</v>
      </c>
      <c r="E37" s="64">
        <v>4.7</v>
      </c>
      <c r="F37" s="64">
        <v>3.95</v>
      </c>
      <c r="G37" s="64">
        <v>36.61</v>
      </c>
      <c r="H37" s="64">
        <v>12.13</v>
      </c>
      <c r="I37" s="64">
        <v>1.07</v>
      </c>
      <c r="J37" s="64">
        <v>0.13</v>
      </c>
      <c r="K37" s="64">
        <v>278.64</v>
      </c>
      <c r="L37" s="64">
        <v>25.57</v>
      </c>
      <c r="M37" s="64">
        <v>98.78</v>
      </c>
      <c r="N37" s="64">
        <v>234</v>
      </c>
      <c r="O37" s="64">
        <v>0</v>
      </c>
      <c r="P37" s="64">
        <v>0.31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3" t="s">
        <v>1329</v>
      </c>
      <c r="B38" s="64">
        <v>9.83</v>
      </c>
      <c r="C38" s="64">
        <v>11.14</v>
      </c>
      <c r="D38" s="64">
        <v>13.7</v>
      </c>
      <c r="E38" s="64">
        <v>4.75</v>
      </c>
      <c r="F38" s="64">
        <v>3.09</v>
      </c>
      <c r="G38" s="64">
        <v>38.93</v>
      </c>
      <c r="H38" s="64">
        <v>12.52</v>
      </c>
      <c r="I38" s="64">
        <v>1.1000000000000001</v>
      </c>
      <c r="J38" s="64">
        <v>0.18</v>
      </c>
      <c r="K38" s="64">
        <v>279.81</v>
      </c>
      <c r="L38" s="64">
        <v>25.98</v>
      </c>
      <c r="M38" s="64">
        <v>98.75</v>
      </c>
      <c r="N38" s="64">
        <v>349.4</v>
      </c>
      <c r="O38" s="64">
        <v>0</v>
      </c>
      <c r="P38" s="64">
        <v>0.33</v>
      </c>
      <c r="Q38" s="64">
        <v>9.11</v>
      </c>
      <c r="R38" s="198"/>
      <c r="S38" s="198"/>
      <c r="T38" s="198"/>
      <c r="U38" s="198"/>
    </row>
    <row r="39" spans="1:21" s="12" customFormat="1" x14ac:dyDescent="0.25">
      <c r="A39" s="213" t="s">
        <v>1330</v>
      </c>
      <c r="B39" s="64">
        <v>9.61</v>
      </c>
      <c r="C39" s="64">
        <v>11.43</v>
      </c>
      <c r="D39" s="64">
        <v>13.68</v>
      </c>
      <c r="E39" s="64">
        <v>5.18</v>
      </c>
      <c r="F39" s="64">
        <v>3.89</v>
      </c>
      <c r="G39" s="64">
        <v>38.93</v>
      </c>
      <c r="H39" s="64">
        <v>12.52</v>
      </c>
      <c r="I39" s="64">
        <v>1.1200000000000001</v>
      </c>
      <c r="J39" s="64">
        <v>0.16</v>
      </c>
      <c r="K39" s="64">
        <v>282.73</v>
      </c>
      <c r="L39" s="64">
        <v>26.59</v>
      </c>
      <c r="M39" s="64">
        <v>98.62</v>
      </c>
      <c r="N39" s="64">
        <v>283.39999999999998</v>
      </c>
      <c r="O39" s="64">
        <v>0</v>
      </c>
      <c r="P39" s="64">
        <v>0.33</v>
      </c>
      <c r="Q39" s="64">
        <v>9.1</v>
      </c>
      <c r="R39" s="198"/>
      <c r="S39" s="198"/>
      <c r="T39" s="198"/>
      <c r="U39" s="198"/>
    </row>
    <row r="40" spans="1:21" s="12" customFormat="1" x14ac:dyDescent="0.25">
      <c r="A40" s="213" t="s">
        <v>1331</v>
      </c>
      <c r="B40" s="64">
        <v>9.51</v>
      </c>
      <c r="C40" s="64">
        <v>11.89</v>
      </c>
      <c r="D40" s="64">
        <v>13.84</v>
      </c>
      <c r="E40" s="64">
        <v>5.61</v>
      </c>
      <c r="F40" s="64">
        <v>3.42</v>
      </c>
      <c r="G40" s="64">
        <v>38.93</v>
      </c>
      <c r="H40" s="64">
        <v>12.52</v>
      </c>
      <c r="I40" s="64">
        <v>1.1499999999999999</v>
      </c>
      <c r="J40" s="64">
        <v>0.17</v>
      </c>
      <c r="K40" s="64">
        <v>275.01</v>
      </c>
      <c r="L40" s="64">
        <v>26.51</v>
      </c>
      <c r="M40" s="64">
        <v>98.65</v>
      </c>
      <c r="N40" s="64">
        <v>243.4</v>
      </c>
      <c r="O40" s="64">
        <v>0</v>
      </c>
      <c r="P40" s="64">
        <v>0.36</v>
      </c>
      <c r="Q40" s="64">
        <v>9.1</v>
      </c>
      <c r="R40" s="198"/>
      <c r="S40" s="198"/>
      <c r="T40" s="198"/>
      <c r="U40" s="198"/>
    </row>
    <row r="41" spans="1:21" s="12" customFormat="1" x14ac:dyDescent="0.25">
      <c r="A41" s="213" t="s">
        <v>1332</v>
      </c>
      <c r="B41" s="64">
        <v>9.5399999999999991</v>
      </c>
      <c r="C41" s="64">
        <v>12.33</v>
      </c>
      <c r="D41" s="64">
        <v>14.09</v>
      </c>
      <c r="E41" s="64">
        <v>5.38</v>
      </c>
      <c r="F41" s="64">
        <v>3.23</v>
      </c>
      <c r="G41" s="64">
        <v>40.83</v>
      </c>
      <c r="H41" s="64">
        <v>15.51</v>
      </c>
      <c r="I41" s="64">
        <v>1.19</v>
      </c>
      <c r="J41" s="64">
        <v>0.23</v>
      </c>
      <c r="K41" s="64">
        <v>285.42</v>
      </c>
      <c r="L41" s="64">
        <v>26.71</v>
      </c>
      <c r="M41" s="64">
        <v>97.69</v>
      </c>
      <c r="N41" s="64">
        <v>462.6</v>
      </c>
      <c r="O41" s="64">
        <v>0</v>
      </c>
      <c r="P41" s="64">
        <v>0.4</v>
      </c>
      <c r="Q41" s="64">
        <v>9.09</v>
      </c>
      <c r="R41" s="198"/>
      <c r="S41" s="198"/>
      <c r="T41" s="198"/>
      <c r="U41" s="198"/>
    </row>
    <row r="42" spans="1:21" s="12" customFormat="1" x14ac:dyDescent="0.25">
      <c r="A42" s="213" t="s">
        <v>1333</v>
      </c>
      <c r="B42" s="64">
        <v>9.2200000000000006</v>
      </c>
      <c r="C42" s="64">
        <v>12.95</v>
      </c>
      <c r="D42" s="64">
        <v>14.16</v>
      </c>
      <c r="E42" s="64">
        <v>5.31</v>
      </c>
      <c r="F42" s="64">
        <v>4.0599999999999996</v>
      </c>
      <c r="G42" s="64">
        <v>41.98</v>
      </c>
      <c r="H42" s="64">
        <v>17.32</v>
      </c>
      <c r="I42" s="64">
        <v>1.27</v>
      </c>
      <c r="J42" s="64">
        <v>0.25</v>
      </c>
      <c r="K42" s="64">
        <v>288.35000000000002</v>
      </c>
      <c r="L42" s="64">
        <v>27.36</v>
      </c>
      <c r="M42" s="64">
        <v>94.39</v>
      </c>
      <c r="N42" s="64">
        <v>560.29999999999995</v>
      </c>
      <c r="O42" s="64">
        <v>0</v>
      </c>
      <c r="P42" s="64">
        <v>0.44</v>
      </c>
      <c r="Q42" s="64">
        <v>9.09</v>
      </c>
      <c r="R42" s="198"/>
      <c r="S42" s="198"/>
      <c r="T42" s="198"/>
      <c r="U42" s="198"/>
    </row>
    <row r="43" spans="1:21" s="12" customFormat="1" x14ac:dyDescent="0.25">
      <c r="A43" s="213" t="s">
        <v>1334</v>
      </c>
      <c r="B43" s="64">
        <v>9.19</v>
      </c>
      <c r="C43" s="64">
        <v>14.2</v>
      </c>
      <c r="D43" s="64">
        <v>14.79</v>
      </c>
      <c r="E43" s="64">
        <v>5.29</v>
      </c>
      <c r="F43" s="64">
        <v>3.38</v>
      </c>
      <c r="G43" s="64">
        <v>41.98</v>
      </c>
      <c r="H43" s="64">
        <v>17.32</v>
      </c>
      <c r="I43" s="64">
        <v>1.34</v>
      </c>
      <c r="J43" s="64">
        <v>0.39</v>
      </c>
      <c r="K43" s="64">
        <v>289.49</v>
      </c>
      <c r="L43" s="64">
        <v>29.18</v>
      </c>
      <c r="M43" s="64">
        <v>85.58</v>
      </c>
      <c r="N43" s="64">
        <v>607.79999999999995</v>
      </c>
      <c r="O43" s="64">
        <v>0</v>
      </c>
      <c r="P43" s="64">
        <v>0.46</v>
      </c>
      <c r="Q43" s="64">
        <v>9.11</v>
      </c>
      <c r="R43" s="198"/>
      <c r="S43" s="198"/>
      <c r="T43" s="198"/>
      <c r="U43" s="198"/>
    </row>
    <row r="44" spans="1:21" s="12" customFormat="1" x14ac:dyDescent="0.25">
      <c r="A44" s="213" t="s">
        <v>1335</v>
      </c>
      <c r="B44" s="64">
        <v>10.07</v>
      </c>
      <c r="C44" s="64">
        <v>15.48</v>
      </c>
      <c r="D44" s="64">
        <v>16.16</v>
      </c>
      <c r="E44" s="64">
        <v>5.17</v>
      </c>
      <c r="F44" s="64">
        <v>3.65</v>
      </c>
      <c r="G44" s="64">
        <v>41.98</v>
      </c>
      <c r="H44" s="64">
        <v>17.32</v>
      </c>
      <c r="I44" s="64">
        <v>1.41</v>
      </c>
      <c r="J44" s="64">
        <v>0.63</v>
      </c>
      <c r="K44" s="64">
        <v>300.88</v>
      </c>
      <c r="L44" s="64">
        <v>30.51</v>
      </c>
      <c r="M44" s="64">
        <v>79.319999999999993</v>
      </c>
      <c r="N44" s="64">
        <v>674.9</v>
      </c>
      <c r="O44" s="64">
        <v>0</v>
      </c>
      <c r="P44" s="64">
        <v>0.51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3" t="s">
        <v>1336</v>
      </c>
      <c r="B45" s="64">
        <v>9.64</v>
      </c>
      <c r="C45" s="64">
        <v>17.059999999999999</v>
      </c>
      <c r="D45" s="64">
        <v>16.649999999999999</v>
      </c>
      <c r="E45" s="64">
        <v>5.29</v>
      </c>
      <c r="F45" s="64">
        <v>3.8</v>
      </c>
      <c r="G45" s="64">
        <v>44.79</v>
      </c>
      <c r="H45" s="64">
        <v>14.09</v>
      </c>
      <c r="I45" s="64">
        <v>1.5</v>
      </c>
      <c r="J45" s="64">
        <v>0.32</v>
      </c>
      <c r="K45" s="64">
        <v>289.55</v>
      </c>
      <c r="L45" s="64">
        <v>30.37</v>
      </c>
      <c r="M45" s="64">
        <v>80.540000000000006</v>
      </c>
      <c r="N45" s="64">
        <v>534.70000000000005</v>
      </c>
      <c r="O45" s="64">
        <v>0</v>
      </c>
      <c r="P45" s="64">
        <v>0.54</v>
      </c>
      <c r="Q45" s="64">
        <v>9.15</v>
      </c>
      <c r="R45" s="198"/>
      <c r="S45" s="198"/>
      <c r="T45" s="198"/>
      <c r="U45" s="198"/>
    </row>
    <row r="46" spans="1:21" s="12" customFormat="1" x14ac:dyDescent="0.25">
      <c r="A46" s="213" t="s">
        <v>1337</v>
      </c>
      <c r="B46" s="64">
        <v>8.89</v>
      </c>
      <c r="C46" s="64">
        <v>15.65</v>
      </c>
      <c r="D46" s="64">
        <v>15.31</v>
      </c>
      <c r="E46" s="64">
        <v>5.26</v>
      </c>
      <c r="F46" s="64">
        <v>3.71</v>
      </c>
      <c r="G46" s="64">
        <v>46.5</v>
      </c>
      <c r="H46" s="64">
        <v>12.13</v>
      </c>
      <c r="I46" s="64">
        <v>1.56</v>
      </c>
      <c r="J46" s="64">
        <v>0.56999999999999995</v>
      </c>
      <c r="K46" s="64">
        <v>292.60000000000002</v>
      </c>
      <c r="L46" s="64">
        <v>29.91</v>
      </c>
      <c r="M46" s="64">
        <v>80.34</v>
      </c>
      <c r="N46" s="64">
        <v>543.29999999999995</v>
      </c>
      <c r="O46" s="64">
        <v>0</v>
      </c>
      <c r="P46" s="64">
        <v>0.52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3" t="s">
        <v>1338</v>
      </c>
      <c r="B47" s="64">
        <v>7.87</v>
      </c>
      <c r="C47" s="64">
        <v>16.36</v>
      </c>
      <c r="D47" s="64">
        <v>14.86</v>
      </c>
      <c r="E47" s="64">
        <v>5.0599999999999996</v>
      </c>
      <c r="F47" s="64">
        <v>3.61</v>
      </c>
      <c r="G47" s="64">
        <v>46.5</v>
      </c>
      <c r="H47" s="64">
        <v>12.13</v>
      </c>
      <c r="I47" s="64">
        <v>1.61</v>
      </c>
      <c r="J47" s="64">
        <v>0.33</v>
      </c>
      <c r="K47" s="64">
        <v>283.27999999999997</v>
      </c>
      <c r="L47" s="64">
        <v>29.51</v>
      </c>
      <c r="M47" s="64">
        <v>82.17</v>
      </c>
      <c r="N47" s="64">
        <v>441.8</v>
      </c>
      <c r="O47" s="64">
        <v>0</v>
      </c>
      <c r="P47" s="64">
        <v>0.5</v>
      </c>
      <c r="Q47" s="64">
        <v>9.14</v>
      </c>
      <c r="R47" s="198"/>
      <c r="S47" s="198"/>
      <c r="T47" s="198"/>
      <c r="U47" s="198"/>
    </row>
    <row r="48" spans="1:21" s="12" customFormat="1" x14ac:dyDescent="0.25">
      <c r="A48" s="213" t="s">
        <v>1339</v>
      </c>
      <c r="B48" s="64">
        <v>7.55</v>
      </c>
      <c r="C48" s="64">
        <v>17.57</v>
      </c>
      <c r="D48" s="64">
        <v>15.23</v>
      </c>
      <c r="E48" s="64">
        <v>4.8499999999999996</v>
      </c>
      <c r="F48" s="64">
        <v>4.04</v>
      </c>
      <c r="G48" s="64">
        <v>46.5</v>
      </c>
      <c r="H48" s="64">
        <v>12.13</v>
      </c>
      <c r="I48" s="64">
        <v>1.61</v>
      </c>
      <c r="J48" s="64">
        <v>0.45</v>
      </c>
      <c r="K48" s="64">
        <v>288.70999999999998</v>
      </c>
      <c r="L48" s="64">
        <v>29.4</v>
      </c>
      <c r="M48" s="64">
        <v>84.51</v>
      </c>
      <c r="N48" s="64">
        <v>376.6</v>
      </c>
      <c r="O48" s="64">
        <v>0</v>
      </c>
      <c r="P48" s="64">
        <v>0.51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3" t="s">
        <v>1340</v>
      </c>
      <c r="B49" s="64">
        <v>7.21</v>
      </c>
      <c r="C49" s="64">
        <v>17.93</v>
      </c>
      <c r="D49" s="64">
        <v>15.15</v>
      </c>
      <c r="E49" s="64">
        <v>5.16</v>
      </c>
      <c r="F49" s="64">
        <v>4.82</v>
      </c>
      <c r="G49" s="64">
        <v>48.87</v>
      </c>
      <c r="H49" s="64">
        <v>9.86</v>
      </c>
      <c r="I49" s="64">
        <v>1.61</v>
      </c>
      <c r="J49" s="64">
        <v>0.56999999999999995</v>
      </c>
      <c r="K49" s="64">
        <v>299.64999999999998</v>
      </c>
      <c r="L49" s="64">
        <v>30.34</v>
      </c>
      <c r="M49" s="64">
        <v>80.569999999999993</v>
      </c>
      <c r="N49" s="64">
        <v>858.1</v>
      </c>
      <c r="O49" s="64">
        <v>0</v>
      </c>
      <c r="P49" s="64">
        <v>0.52</v>
      </c>
      <c r="Q49" s="64">
        <v>9.11</v>
      </c>
      <c r="R49" s="198"/>
      <c r="S49" s="198"/>
      <c r="T49" s="198"/>
      <c r="U49" s="198"/>
    </row>
    <row r="50" spans="1:21" s="12" customFormat="1" x14ac:dyDescent="0.25">
      <c r="A50" s="213" t="s">
        <v>1341</v>
      </c>
      <c r="B50" s="64">
        <v>6.67</v>
      </c>
      <c r="C50" s="64">
        <v>17.95</v>
      </c>
      <c r="D50" s="64">
        <v>14.73</v>
      </c>
      <c r="E50" s="64">
        <v>5.35</v>
      </c>
      <c r="F50" s="64">
        <v>4.3600000000000003</v>
      </c>
      <c r="G50" s="64">
        <v>50.31</v>
      </c>
      <c r="H50" s="64">
        <v>8.49</v>
      </c>
      <c r="I50" s="64">
        <v>1.63</v>
      </c>
      <c r="J50" s="64">
        <v>0.36</v>
      </c>
      <c r="K50" s="64">
        <v>287.36</v>
      </c>
      <c r="L50" s="64">
        <v>31.24</v>
      </c>
      <c r="M50" s="64">
        <v>76.040000000000006</v>
      </c>
      <c r="N50" s="64">
        <v>482.5</v>
      </c>
      <c r="O50" s="64">
        <v>0</v>
      </c>
      <c r="P50" s="64">
        <v>0.55000000000000004</v>
      </c>
      <c r="Q50" s="64">
        <v>9.11</v>
      </c>
      <c r="R50" s="198"/>
      <c r="S50" s="198"/>
      <c r="T50" s="198"/>
      <c r="U50" s="198"/>
    </row>
    <row r="51" spans="1:21" s="12" customFormat="1" x14ac:dyDescent="0.25">
      <c r="A51" s="213" t="s">
        <v>1342</v>
      </c>
      <c r="B51" s="64">
        <v>6.31</v>
      </c>
      <c r="C51" s="64">
        <v>18.36</v>
      </c>
      <c r="D51" s="64">
        <v>14.65</v>
      </c>
      <c r="E51" s="64">
        <v>5.37</v>
      </c>
      <c r="F51" s="64">
        <v>4.28</v>
      </c>
      <c r="G51" s="64">
        <v>50.31</v>
      </c>
      <c r="H51" s="64">
        <v>8.49</v>
      </c>
      <c r="I51" s="64">
        <v>1.67</v>
      </c>
      <c r="J51" s="64">
        <v>0.41</v>
      </c>
      <c r="K51" s="64">
        <v>287.33</v>
      </c>
      <c r="L51" s="64">
        <v>29.62</v>
      </c>
      <c r="M51" s="64">
        <v>82.31</v>
      </c>
      <c r="N51" s="64">
        <v>593.70000000000005</v>
      </c>
      <c r="O51" s="64">
        <v>0</v>
      </c>
      <c r="P51" s="64">
        <v>0.56000000000000005</v>
      </c>
      <c r="Q51" s="64">
        <v>9.1</v>
      </c>
      <c r="R51" s="198"/>
      <c r="S51" s="198"/>
      <c r="T51" s="198"/>
      <c r="U51" s="198"/>
    </row>
    <row r="52" spans="1:21" s="12" customFormat="1" x14ac:dyDescent="0.25">
      <c r="A52" s="213" t="s">
        <v>1343</v>
      </c>
      <c r="B52" s="64">
        <v>6.24</v>
      </c>
      <c r="C52" s="64">
        <v>18.309999999999999</v>
      </c>
      <c r="D52" s="64">
        <v>14.57</v>
      </c>
      <c r="E52" s="64">
        <v>5.08</v>
      </c>
      <c r="F52" s="64">
        <v>3.45</v>
      </c>
      <c r="G52" s="64">
        <v>50.31</v>
      </c>
      <c r="H52" s="64">
        <v>8.49</v>
      </c>
      <c r="I52" s="64">
        <v>1.77</v>
      </c>
      <c r="J52" s="64">
        <v>0.31</v>
      </c>
      <c r="K52" s="64">
        <v>284.98</v>
      </c>
      <c r="L52" s="64">
        <v>29.99</v>
      </c>
      <c r="M52" s="64">
        <v>81.38</v>
      </c>
      <c r="N52" s="64">
        <v>587.1</v>
      </c>
      <c r="O52" s="64">
        <v>0</v>
      </c>
      <c r="P52" s="64">
        <v>0.56000000000000005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3" t="s">
        <v>1344</v>
      </c>
      <c r="B53" s="64">
        <v>6.19</v>
      </c>
      <c r="C53" s="64">
        <v>18.23</v>
      </c>
      <c r="D53" s="64">
        <v>14.49</v>
      </c>
      <c r="E53" s="64">
        <v>5.09</v>
      </c>
      <c r="F53" s="64">
        <v>3.98</v>
      </c>
      <c r="G53" s="64">
        <v>53.41</v>
      </c>
      <c r="H53" s="64">
        <v>6.9</v>
      </c>
      <c r="I53" s="64">
        <v>1.83</v>
      </c>
      <c r="J53" s="64">
        <v>0.31</v>
      </c>
      <c r="K53" s="64">
        <v>286.64</v>
      </c>
      <c r="L53" s="64">
        <v>28.82</v>
      </c>
      <c r="M53" s="64">
        <v>87.35</v>
      </c>
      <c r="N53" s="64">
        <v>551.29999999999995</v>
      </c>
      <c r="O53" s="64">
        <v>0</v>
      </c>
      <c r="P53" s="64">
        <v>0.67</v>
      </c>
      <c r="Q53" s="64">
        <v>9.08</v>
      </c>
      <c r="R53" s="198"/>
      <c r="S53" s="198"/>
      <c r="T53" s="198"/>
      <c r="U53" s="198"/>
    </row>
    <row r="54" spans="1:21" s="12" customFormat="1" x14ac:dyDescent="0.25">
      <c r="A54" s="213" t="s">
        <v>1345</v>
      </c>
      <c r="B54" s="64">
        <v>6.06</v>
      </c>
      <c r="C54" s="64">
        <v>18.62</v>
      </c>
      <c r="D54" s="64">
        <v>14.58</v>
      </c>
      <c r="E54" s="64">
        <v>5.0199999999999996</v>
      </c>
      <c r="F54" s="64">
        <v>3.96</v>
      </c>
      <c r="G54" s="64">
        <v>55.3</v>
      </c>
      <c r="H54" s="64">
        <v>5.94</v>
      </c>
      <c r="I54" s="64">
        <v>1.88</v>
      </c>
      <c r="J54" s="64">
        <v>0.28000000000000003</v>
      </c>
      <c r="K54" s="64">
        <v>291.47000000000003</v>
      </c>
      <c r="L54" s="64">
        <v>28.54</v>
      </c>
      <c r="M54" s="64">
        <v>88.6</v>
      </c>
      <c r="N54" s="64">
        <v>425.5</v>
      </c>
      <c r="O54" s="64">
        <v>0</v>
      </c>
      <c r="P54" s="64">
        <v>0.73</v>
      </c>
      <c r="Q54" s="64">
        <v>9.07</v>
      </c>
      <c r="R54" s="198"/>
      <c r="S54" s="198"/>
      <c r="T54" s="198"/>
      <c r="U54" s="198"/>
    </row>
    <row r="55" spans="1:21" s="12" customFormat="1" x14ac:dyDescent="0.25">
      <c r="A55" s="213" t="s">
        <v>1346</v>
      </c>
      <c r="B55" s="64">
        <v>5.92</v>
      </c>
      <c r="C55" s="64">
        <v>18.39</v>
      </c>
      <c r="D55" s="64">
        <v>14.35</v>
      </c>
      <c r="E55" s="64">
        <v>4.9400000000000004</v>
      </c>
      <c r="F55" s="64">
        <v>3.65</v>
      </c>
      <c r="G55" s="64">
        <v>55.3</v>
      </c>
      <c r="H55" s="64">
        <v>5.94</v>
      </c>
      <c r="I55" s="64">
        <v>1.95</v>
      </c>
      <c r="J55" s="64">
        <v>0.22</v>
      </c>
      <c r="K55" s="64">
        <v>283.44</v>
      </c>
      <c r="L55" s="64">
        <v>28.26</v>
      </c>
      <c r="M55" s="64">
        <v>90.82</v>
      </c>
      <c r="N55" s="64">
        <v>530.9</v>
      </c>
      <c r="O55" s="64">
        <v>0</v>
      </c>
      <c r="P55" s="64">
        <v>0.7</v>
      </c>
      <c r="Q55" s="64">
        <v>9.08</v>
      </c>
      <c r="R55" s="198"/>
      <c r="S55" s="198"/>
      <c r="T55" s="198"/>
      <c r="U55" s="198"/>
    </row>
    <row r="56" spans="1:21" s="12" customFormat="1" x14ac:dyDescent="0.25">
      <c r="A56" s="213" t="s">
        <v>1347</v>
      </c>
      <c r="B56" s="64">
        <v>5.75</v>
      </c>
      <c r="C56" s="64">
        <v>18.63</v>
      </c>
      <c r="D56" s="64">
        <v>14.34</v>
      </c>
      <c r="E56" s="64">
        <v>4.8899999999999997</v>
      </c>
      <c r="F56" s="64">
        <v>4.24</v>
      </c>
      <c r="G56" s="64">
        <v>55.3</v>
      </c>
      <c r="H56" s="64">
        <v>5.94</v>
      </c>
      <c r="I56" s="64">
        <v>1.99</v>
      </c>
      <c r="J56" s="64">
        <v>0.32</v>
      </c>
      <c r="K56" s="64">
        <v>281.52999999999997</v>
      </c>
      <c r="L56" s="64">
        <v>28.05</v>
      </c>
      <c r="M56" s="64">
        <v>90.78</v>
      </c>
      <c r="N56" s="64">
        <v>315.7</v>
      </c>
      <c r="O56" s="64">
        <v>0</v>
      </c>
      <c r="P56" s="64">
        <v>0.71</v>
      </c>
      <c r="Q56" s="64">
        <v>9.07</v>
      </c>
      <c r="R56" s="198"/>
      <c r="S56" s="198"/>
      <c r="T56" s="198"/>
      <c r="U56" s="198"/>
    </row>
    <row r="57" spans="1:21" s="12" customFormat="1" x14ac:dyDescent="0.25">
      <c r="A57" s="213" t="s">
        <v>1348</v>
      </c>
      <c r="B57" s="64">
        <v>6.33</v>
      </c>
      <c r="C57" s="64">
        <v>20.260000000000002</v>
      </c>
      <c r="D57" s="64">
        <v>15.66</v>
      </c>
      <c r="E57" s="64">
        <v>4.96</v>
      </c>
      <c r="F57" s="64">
        <v>3.24</v>
      </c>
      <c r="G57" s="64">
        <v>60.16</v>
      </c>
      <c r="H57" s="64">
        <v>17.87</v>
      </c>
      <c r="I57" s="64">
        <v>2.0299999999999998</v>
      </c>
      <c r="J57" s="64">
        <v>0.28000000000000003</v>
      </c>
      <c r="K57" s="64">
        <v>278.68</v>
      </c>
      <c r="L57" s="64">
        <v>28.21</v>
      </c>
      <c r="M57" s="64">
        <v>90.68</v>
      </c>
      <c r="N57" s="64">
        <v>658.4</v>
      </c>
      <c r="O57" s="64">
        <v>0</v>
      </c>
      <c r="P57" s="64">
        <v>0.74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13" t="s">
        <v>1349</v>
      </c>
      <c r="B58" s="64">
        <v>6.14</v>
      </c>
      <c r="C58" s="64">
        <v>19.13</v>
      </c>
      <c r="D58" s="64">
        <v>14.92</v>
      </c>
      <c r="E58" s="64">
        <v>4.8899999999999997</v>
      </c>
      <c r="F58" s="64">
        <v>4.3099999999999996</v>
      </c>
      <c r="G58" s="64">
        <v>63.11</v>
      </c>
      <c r="H58" s="64">
        <v>25.1</v>
      </c>
      <c r="I58" s="64">
        <v>1.99</v>
      </c>
      <c r="J58" s="64">
        <v>0.31</v>
      </c>
      <c r="K58" s="64">
        <v>292.04000000000002</v>
      </c>
      <c r="L58" s="64">
        <v>29.13</v>
      </c>
      <c r="M58" s="64">
        <v>86.19</v>
      </c>
      <c r="N58" s="64">
        <v>796.5</v>
      </c>
      <c r="O58" s="64">
        <v>0</v>
      </c>
      <c r="P58" s="64">
        <v>0.78</v>
      </c>
      <c r="Q58" s="64">
        <v>9.07</v>
      </c>
      <c r="R58" s="198"/>
      <c r="S58" s="198"/>
      <c r="T58" s="198"/>
      <c r="U58" s="198"/>
    </row>
    <row r="59" spans="1:21" s="12" customFormat="1" x14ac:dyDescent="0.25">
      <c r="A59" s="213" t="s">
        <v>1350</v>
      </c>
      <c r="B59" s="64">
        <v>6.14</v>
      </c>
      <c r="C59" s="64">
        <v>19.11</v>
      </c>
      <c r="D59" s="64">
        <v>14.91</v>
      </c>
      <c r="E59" s="64">
        <v>4.9400000000000004</v>
      </c>
      <c r="F59" s="64">
        <v>3.66</v>
      </c>
      <c r="G59" s="64">
        <v>63.11</v>
      </c>
      <c r="H59" s="64">
        <v>25.1</v>
      </c>
      <c r="I59" s="64">
        <v>2.0699999999999998</v>
      </c>
      <c r="J59" s="64">
        <v>0.32</v>
      </c>
      <c r="K59" s="64">
        <v>283.75</v>
      </c>
      <c r="L59" s="64">
        <v>29.95</v>
      </c>
      <c r="M59" s="64">
        <v>81.34</v>
      </c>
      <c r="N59" s="64">
        <v>523.29999999999995</v>
      </c>
      <c r="O59" s="64">
        <v>0</v>
      </c>
      <c r="P59" s="64">
        <v>0.8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13" t="s">
        <v>1351</v>
      </c>
      <c r="B60" s="64">
        <v>5.98</v>
      </c>
      <c r="C60" s="64">
        <v>19.13</v>
      </c>
      <c r="D60" s="64">
        <v>14.79</v>
      </c>
      <c r="E60" s="64">
        <v>5.03</v>
      </c>
      <c r="F60" s="64">
        <v>4.1399999999999997</v>
      </c>
      <c r="G60" s="64">
        <v>63.11</v>
      </c>
      <c r="H60" s="64">
        <v>25.1</v>
      </c>
      <c r="I60" s="64">
        <v>2.25</v>
      </c>
      <c r="J60" s="64">
        <v>0.37</v>
      </c>
      <c r="K60" s="64">
        <v>284.58</v>
      </c>
      <c r="L60" s="64">
        <v>29.67</v>
      </c>
      <c r="M60" s="64">
        <v>82.34</v>
      </c>
      <c r="N60" s="64">
        <v>428.8</v>
      </c>
      <c r="O60" s="64">
        <v>0</v>
      </c>
      <c r="P60" s="64">
        <v>0.77</v>
      </c>
      <c r="Q60" s="64">
        <v>9.08</v>
      </c>
      <c r="R60" s="198"/>
      <c r="S60" s="198"/>
      <c r="T60" s="198"/>
      <c r="U60" s="198"/>
    </row>
    <row r="61" spans="1:21" s="12" customFormat="1" x14ac:dyDescent="0.25">
      <c r="A61" s="213" t="s">
        <v>1352</v>
      </c>
      <c r="B61" s="64">
        <v>6.45</v>
      </c>
      <c r="C61" s="64">
        <v>20.83</v>
      </c>
      <c r="D61" s="64">
        <v>16.059999999999999</v>
      </c>
      <c r="E61" s="64">
        <v>5.17</v>
      </c>
      <c r="F61" s="64">
        <v>7.12</v>
      </c>
      <c r="G61" s="64">
        <v>60.86</v>
      </c>
      <c r="H61" s="64">
        <v>20.39</v>
      </c>
      <c r="I61" s="64">
        <v>2.33</v>
      </c>
      <c r="J61" s="64">
        <v>0.24</v>
      </c>
      <c r="K61" s="64">
        <v>290.43</v>
      </c>
      <c r="L61" s="64">
        <v>30.12</v>
      </c>
      <c r="M61" s="64">
        <v>79.489999999999995</v>
      </c>
      <c r="N61" s="64">
        <v>423.5</v>
      </c>
      <c r="O61" s="64">
        <v>0</v>
      </c>
      <c r="P61" s="64">
        <v>0.6</v>
      </c>
      <c r="Q61" s="64">
        <v>9.07</v>
      </c>
      <c r="R61" s="198"/>
      <c r="S61" s="198"/>
      <c r="T61" s="198"/>
      <c r="U61" s="198"/>
    </row>
    <row r="62" spans="1:21" s="12" customFormat="1" x14ac:dyDescent="0.25">
      <c r="A62" s="213" t="s">
        <v>1353</v>
      </c>
      <c r="B62" s="64">
        <v>5.66</v>
      </c>
      <c r="C62" s="64">
        <v>21.78</v>
      </c>
      <c r="D62" s="64">
        <v>15.92</v>
      </c>
      <c r="E62" s="64">
        <v>5.38</v>
      </c>
      <c r="F62" s="64">
        <v>5.91</v>
      </c>
      <c r="G62" s="64">
        <v>59.5</v>
      </c>
      <c r="H62" s="64">
        <v>17.53</v>
      </c>
      <c r="I62" s="64">
        <v>2.31</v>
      </c>
      <c r="J62" s="64">
        <v>0.31</v>
      </c>
      <c r="K62" s="64">
        <v>289.39</v>
      </c>
      <c r="L62" s="64">
        <v>30.05</v>
      </c>
      <c r="M62" s="64">
        <v>80.47</v>
      </c>
      <c r="N62" s="64">
        <v>308.5</v>
      </c>
      <c r="O62" s="64">
        <v>0</v>
      </c>
      <c r="P62" s="64">
        <v>0.65</v>
      </c>
      <c r="Q62" s="64">
        <v>9.07</v>
      </c>
      <c r="R62" s="198"/>
      <c r="S62" s="198"/>
      <c r="T62" s="198"/>
      <c r="U62" s="198"/>
    </row>
    <row r="63" spans="1:21" s="12" customFormat="1" x14ac:dyDescent="0.25">
      <c r="A63" s="213" t="s">
        <v>1354</v>
      </c>
      <c r="B63" s="64">
        <v>5.18</v>
      </c>
      <c r="C63" s="64">
        <v>19.72</v>
      </c>
      <c r="D63" s="64">
        <v>14.46</v>
      </c>
      <c r="E63" s="64">
        <v>5.17</v>
      </c>
      <c r="F63" s="64">
        <v>6.17</v>
      </c>
      <c r="G63" s="64">
        <v>59.5</v>
      </c>
      <c r="H63" s="64">
        <v>17.53</v>
      </c>
      <c r="I63" s="64">
        <v>2.2599999999999998</v>
      </c>
      <c r="J63" s="64">
        <v>0.38</v>
      </c>
      <c r="K63" s="64">
        <v>307.39999999999998</v>
      </c>
      <c r="L63" s="64">
        <v>30.5</v>
      </c>
      <c r="M63" s="64">
        <v>77.17</v>
      </c>
      <c r="N63" s="64">
        <v>292.8</v>
      </c>
      <c r="O63" s="64">
        <v>0</v>
      </c>
      <c r="P63" s="64">
        <v>0.6</v>
      </c>
      <c r="Q63" s="64">
        <v>9.08</v>
      </c>
      <c r="R63" s="198"/>
      <c r="S63" s="198"/>
      <c r="T63" s="198"/>
      <c r="U63" s="198"/>
    </row>
    <row r="64" spans="1:21" s="12" customFormat="1" x14ac:dyDescent="0.25">
      <c r="A64" s="213" t="s">
        <v>1355</v>
      </c>
      <c r="B64" s="64">
        <v>5.26</v>
      </c>
      <c r="C64" s="64">
        <v>19.010000000000002</v>
      </c>
      <c r="D64" s="64">
        <v>14.15</v>
      </c>
      <c r="E64" s="64">
        <v>4.93</v>
      </c>
      <c r="F64" s="64">
        <v>6.57</v>
      </c>
      <c r="G64" s="64">
        <v>59.5</v>
      </c>
      <c r="H64" s="64">
        <v>17.53</v>
      </c>
      <c r="I64" s="64">
        <v>2.23</v>
      </c>
      <c r="J64" s="64">
        <v>0.51</v>
      </c>
      <c r="K64" s="64">
        <v>313.5</v>
      </c>
      <c r="L64" s="64">
        <v>31.06</v>
      </c>
      <c r="M64" s="64">
        <v>74.680000000000007</v>
      </c>
      <c r="N64" s="64">
        <v>254.3</v>
      </c>
      <c r="O64" s="64">
        <v>0</v>
      </c>
      <c r="P64" s="64">
        <v>0.56000000000000005</v>
      </c>
      <c r="Q64" s="64">
        <v>9.08</v>
      </c>
      <c r="R64" s="198"/>
      <c r="S64" s="198"/>
      <c r="T64" s="198"/>
      <c r="U64" s="198"/>
    </row>
    <row r="65" spans="1:21" s="12" customFormat="1" x14ac:dyDescent="0.25">
      <c r="A65" s="213" t="s">
        <v>1356</v>
      </c>
      <c r="B65" s="64">
        <v>4.9000000000000004</v>
      </c>
      <c r="C65" s="64">
        <v>18.5</v>
      </c>
      <c r="D65" s="64">
        <v>13.6</v>
      </c>
      <c r="E65" s="64">
        <v>5.28</v>
      </c>
      <c r="F65" s="64">
        <v>7.24</v>
      </c>
      <c r="G65" s="64">
        <v>59.34</v>
      </c>
      <c r="H65" s="64">
        <v>16.39</v>
      </c>
      <c r="I65" s="64">
        <v>2.1800000000000002</v>
      </c>
      <c r="J65" s="64">
        <v>0.22</v>
      </c>
      <c r="K65" s="64">
        <v>292.41000000000003</v>
      </c>
      <c r="L65" s="64">
        <v>29.29</v>
      </c>
      <c r="M65" s="64">
        <v>84.28</v>
      </c>
      <c r="N65" s="64">
        <v>146.19999999999999</v>
      </c>
      <c r="O65" s="64">
        <v>0</v>
      </c>
      <c r="P65" s="64">
        <v>0.56000000000000005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3" t="s">
        <v>1357</v>
      </c>
      <c r="B66" s="64">
        <v>6.33</v>
      </c>
      <c r="C66" s="64">
        <v>20.29</v>
      </c>
      <c r="D66" s="64">
        <v>15.68</v>
      </c>
      <c r="E66" s="64">
        <v>5.16</v>
      </c>
      <c r="F66" s="64">
        <v>5.01</v>
      </c>
      <c r="G66" s="64">
        <v>59.25</v>
      </c>
      <c r="H66" s="64">
        <v>15.69</v>
      </c>
      <c r="I66" s="64">
        <v>2.12</v>
      </c>
      <c r="J66" s="64">
        <v>0.26</v>
      </c>
      <c r="K66" s="64">
        <v>296.25</v>
      </c>
      <c r="L66" s="64">
        <v>29.16</v>
      </c>
      <c r="M66" s="64">
        <v>84.19</v>
      </c>
      <c r="N66" s="64">
        <v>245.6</v>
      </c>
      <c r="O66" s="64">
        <v>0</v>
      </c>
      <c r="P66" s="64">
        <v>0.56999999999999995</v>
      </c>
      <c r="Q66" s="64">
        <v>9.08</v>
      </c>
      <c r="R66" s="198"/>
      <c r="S66" s="198"/>
      <c r="T66" s="198"/>
      <c r="U66" s="198"/>
    </row>
    <row r="67" spans="1:21" s="12" customFormat="1" x14ac:dyDescent="0.25">
      <c r="A67" s="213" t="s">
        <v>1358</v>
      </c>
      <c r="B67" s="64">
        <v>6.29</v>
      </c>
      <c r="C67" s="64">
        <v>19.420000000000002</v>
      </c>
      <c r="D67" s="64">
        <v>15.19</v>
      </c>
      <c r="E67" s="64">
        <v>5.05</v>
      </c>
      <c r="F67" s="64">
        <v>6.64</v>
      </c>
      <c r="G67" s="64">
        <v>59.25</v>
      </c>
      <c r="H67" s="64">
        <v>15.69</v>
      </c>
      <c r="I67" s="64">
        <v>2.08</v>
      </c>
      <c r="J67" s="64">
        <v>0.28000000000000003</v>
      </c>
      <c r="K67" s="64">
        <v>295.88</v>
      </c>
      <c r="L67" s="64">
        <v>29.52</v>
      </c>
      <c r="M67" s="64">
        <v>81.84</v>
      </c>
      <c r="N67" s="64">
        <v>277.89999999999998</v>
      </c>
      <c r="O67" s="64">
        <v>0</v>
      </c>
      <c r="P67" s="64">
        <v>0.53</v>
      </c>
      <c r="Q67" s="64">
        <v>9.08</v>
      </c>
      <c r="R67" s="198"/>
      <c r="S67" s="198"/>
      <c r="T67" s="198"/>
      <c r="U67" s="198"/>
    </row>
    <row r="68" spans="1:21" s="12" customFormat="1" x14ac:dyDescent="0.25">
      <c r="A68" s="213" t="s">
        <v>1359</v>
      </c>
      <c r="B68" s="64">
        <v>5.41</v>
      </c>
      <c r="C68" s="64">
        <v>18.38</v>
      </c>
      <c r="D68" s="64">
        <v>13.94</v>
      </c>
      <c r="E68" s="64">
        <v>5.32</v>
      </c>
      <c r="F68" s="64">
        <v>5.95</v>
      </c>
      <c r="G68" s="64">
        <v>59.25</v>
      </c>
      <c r="H68" s="64">
        <v>15.69</v>
      </c>
      <c r="I68" s="64">
        <v>2.04</v>
      </c>
      <c r="J68" s="64">
        <v>0.34</v>
      </c>
      <c r="K68" s="64">
        <v>292.22000000000003</v>
      </c>
      <c r="L68" s="64">
        <v>30.31</v>
      </c>
      <c r="M68" s="64">
        <v>77.45</v>
      </c>
      <c r="N68" s="64">
        <v>266.89999999999998</v>
      </c>
      <c r="O68" s="64">
        <v>0</v>
      </c>
      <c r="P68" s="64">
        <v>0.53</v>
      </c>
      <c r="Q68" s="64">
        <v>9.08</v>
      </c>
      <c r="R68" s="198"/>
      <c r="S68" s="198"/>
      <c r="T68" s="198"/>
      <c r="U68" s="198"/>
    </row>
    <row r="69" spans="1:21" s="12" customFormat="1" x14ac:dyDescent="0.25">
      <c r="A69" s="213" t="s">
        <v>1360</v>
      </c>
      <c r="B69" s="64">
        <v>4.8899999999999997</v>
      </c>
      <c r="C69" s="64">
        <v>17.55</v>
      </c>
      <c r="D69" s="64">
        <v>13.09</v>
      </c>
      <c r="E69" s="64">
        <v>5.08</v>
      </c>
      <c r="F69" s="64">
        <v>4.5199999999999996</v>
      </c>
      <c r="G69" s="64">
        <v>59.86</v>
      </c>
      <c r="H69" s="64">
        <v>14.44</v>
      </c>
      <c r="I69" s="64">
        <v>1.98</v>
      </c>
      <c r="J69" s="64">
        <v>0.25</v>
      </c>
      <c r="K69" s="64">
        <v>290.35000000000002</v>
      </c>
      <c r="L69" s="64">
        <v>30.3</v>
      </c>
      <c r="M69" s="64">
        <v>76.959999999999994</v>
      </c>
      <c r="N69" s="64">
        <v>244.5</v>
      </c>
      <c r="O69" s="64">
        <v>0</v>
      </c>
      <c r="P69" s="64">
        <v>0.54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3" t="s">
        <v>1361</v>
      </c>
      <c r="B70" s="64">
        <v>5.0199999999999996</v>
      </c>
      <c r="C70" s="64">
        <v>17.45</v>
      </c>
      <c r="D70" s="64">
        <v>13.15</v>
      </c>
      <c r="E70" s="64">
        <v>5.03</v>
      </c>
      <c r="F70" s="64">
        <v>3.77</v>
      </c>
      <c r="G70" s="64">
        <v>60.23</v>
      </c>
      <c r="H70" s="64">
        <v>13.68</v>
      </c>
      <c r="I70" s="64">
        <v>1.92</v>
      </c>
      <c r="J70" s="64">
        <v>0.27</v>
      </c>
      <c r="K70" s="64">
        <v>291.13</v>
      </c>
      <c r="L70" s="64">
        <v>30.33</v>
      </c>
      <c r="M70" s="64">
        <v>75.77</v>
      </c>
      <c r="N70" s="64">
        <v>286</v>
      </c>
      <c r="O70" s="64">
        <v>0</v>
      </c>
      <c r="P70" s="64">
        <v>0.5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3" t="s">
        <v>1362</v>
      </c>
      <c r="B71" s="64">
        <v>5.24</v>
      </c>
      <c r="C71" s="64">
        <v>19.11</v>
      </c>
      <c r="D71" s="64">
        <v>14.19</v>
      </c>
      <c r="E71" s="64">
        <v>5.26</v>
      </c>
      <c r="F71" s="64">
        <v>5.04</v>
      </c>
      <c r="G71" s="64">
        <v>60.23</v>
      </c>
      <c r="H71" s="64">
        <v>13.68</v>
      </c>
      <c r="I71" s="64">
        <v>1.89</v>
      </c>
      <c r="J71" s="64">
        <v>0.25</v>
      </c>
      <c r="K71" s="64">
        <v>297.64999999999998</v>
      </c>
      <c r="L71" s="64">
        <v>30.29</v>
      </c>
      <c r="M71" s="64">
        <v>75.83</v>
      </c>
      <c r="N71" s="64">
        <v>239.8</v>
      </c>
      <c r="O71" s="64">
        <v>0</v>
      </c>
      <c r="P71" s="64">
        <v>0.49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3" t="s">
        <v>1363</v>
      </c>
      <c r="B72" s="64">
        <v>5.73</v>
      </c>
      <c r="C72" s="64">
        <v>18.53</v>
      </c>
      <c r="D72" s="64">
        <v>14.28</v>
      </c>
      <c r="E72" s="64">
        <v>4.95</v>
      </c>
      <c r="F72" s="64">
        <v>3.82</v>
      </c>
      <c r="G72" s="64">
        <v>60.23</v>
      </c>
      <c r="H72" s="64">
        <v>13.68</v>
      </c>
      <c r="I72" s="64">
        <v>1.86</v>
      </c>
      <c r="J72" s="64">
        <v>0.32</v>
      </c>
      <c r="K72" s="64">
        <v>302.45999999999998</v>
      </c>
      <c r="L72" s="64">
        <v>30.71</v>
      </c>
      <c r="M72" s="64">
        <v>72.81</v>
      </c>
      <c r="N72" s="64">
        <v>193.2</v>
      </c>
      <c r="O72" s="64">
        <v>0</v>
      </c>
      <c r="P72" s="64">
        <v>0.5</v>
      </c>
      <c r="Q72" s="64">
        <v>9.0299999999999994</v>
      </c>
      <c r="R72" s="198"/>
      <c r="S72" s="198"/>
      <c r="T72" s="198"/>
      <c r="U72" s="198"/>
    </row>
    <row r="73" spans="1:21" s="12" customFormat="1" x14ac:dyDescent="0.25">
      <c r="A73" s="213" t="s">
        <v>1364</v>
      </c>
      <c r="B73" s="64">
        <v>5.96</v>
      </c>
      <c r="C73" s="64">
        <v>16.52</v>
      </c>
      <c r="D73" s="64">
        <v>13.41</v>
      </c>
      <c r="E73" s="64">
        <v>3.66</v>
      </c>
      <c r="F73" s="64">
        <v>4.62</v>
      </c>
      <c r="G73" s="64">
        <v>61.38</v>
      </c>
      <c r="H73" s="64">
        <v>19.38</v>
      </c>
      <c r="I73" s="64">
        <v>1.85</v>
      </c>
      <c r="J73" s="64">
        <v>0.33</v>
      </c>
      <c r="K73" s="64">
        <v>299.45</v>
      </c>
      <c r="L73" s="64">
        <v>30.49</v>
      </c>
      <c r="M73" s="64">
        <v>70.36</v>
      </c>
      <c r="N73" s="64">
        <v>173.1</v>
      </c>
      <c r="O73" s="64">
        <v>0</v>
      </c>
      <c r="P73" s="64">
        <v>0.45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3" t="s">
        <v>1365</v>
      </c>
      <c r="B74" s="64">
        <v>5.36</v>
      </c>
      <c r="C74" s="64">
        <v>18.75</v>
      </c>
      <c r="D74" s="64">
        <v>14.1</v>
      </c>
      <c r="E74" s="64">
        <v>3.71</v>
      </c>
      <c r="F74" s="64">
        <v>4.96</v>
      </c>
      <c r="G74" s="64">
        <v>62.08</v>
      </c>
      <c r="H74" s="64">
        <v>22.84</v>
      </c>
      <c r="I74" s="64">
        <v>1.83</v>
      </c>
      <c r="J74" s="64">
        <v>0.49</v>
      </c>
      <c r="K74" s="64">
        <v>311.39</v>
      </c>
      <c r="L74" s="64">
        <v>30.53</v>
      </c>
      <c r="M74" s="64">
        <v>71.23</v>
      </c>
      <c r="N74" s="64">
        <v>118.5</v>
      </c>
      <c r="O74" s="64">
        <v>0</v>
      </c>
      <c r="P74" s="64">
        <v>0.43</v>
      </c>
      <c r="Q74" s="64">
        <v>9.02</v>
      </c>
      <c r="R74" s="198"/>
      <c r="S74" s="198"/>
      <c r="T74" s="198"/>
      <c r="U74" s="198"/>
    </row>
    <row r="75" spans="1:21" s="12" customFormat="1" x14ac:dyDescent="0.25">
      <c r="A75" s="213" t="s">
        <v>1366</v>
      </c>
      <c r="B75" s="64">
        <v>5.34</v>
      </c>
      <c r="C75" s="64">
        <v>18.73</v>
      </c>
      <c r="D75" s="64">
        <v>14.07</v>
      </c>
      <c r="E75" s="64">
        <v>4.12</v>
      </c>
      <c r="F75" s="64">
        <v>6.53</v>
      </c>
      <c r="G75" s="64">
        <v>62.08</v>
      </c>
      <c r="H75" s="64">
        <v>22.84</v>
      </c>
      <c r="I75" s="64">
        <v>1.75</v>
      </c>
      <c r="J75" s="64">
        <v>0.16</v>
      </c>
      <c r="K75" s="64">
        <v>312.33</v>
      </c>
      <c r="L75" s="64">
        <v>29.91</v>
      </c>
      <c r="M75" s="64">
        <v>73.92</v>
      </c>
      <c r="N75" s="64">
        <v>91.6</v>
      </c>
      <c r="O75" s="64">
        <v>0</v>
      </c>
      <c r="P75" s="64">
        <v>0.42</v>
      </c>
      <c r="Q75" s="64">
        <v>9.0299999999999994</v>
      </c>
      <c r="R75" s="198"/>
      <c r="S75" s="198"/>
      <c r="T75" s="198"/>
      <c r="U75" s="198"/>
    </row>
    <row r="76" spans="1:21" s="12" customFormat="1" x14ac:dyDescent="0.25">
      <c r="A76" s="213" t="s">
        <v>1367</v>
      </c>
      <c r="B76" s="64">
        <v>5.7</v>
      </c>
      <c r="C76" s="64">
        <v>19.93</v>
      </c>
      <c r="D76" s="64">
        <v>14.98</v>
      </c>
      <c r="E76" s="64">
        <v>4.21</v>
      </c>
      <c r="F76" s="64">
        <v>5.81</v>
      </c>
      <c r="G76" s="64">
        <v>62.08</v>
      </c>
      <c r="H76" s="64">
        <v>22.84</v>
      </c>
      <c r="I76" s="64">
        <v>1.59</v>
      </c>
      <c r="J76" s="64">
        <v>0.15</v>
      </c>
      <c r="K76" s="64">
        <v>333.73</v>
      </c>
      <c r="L76" s="64">
        <v>29.28</v>
      </c>
      <c r="M76" s="64">
        <v>77.88</v>
      </c>
      <c r="N76" s="64">
        <v>94.7</v>
      </c>
      <c r="O76" s="64">
        <v>0</v>
      </c>
      <c r="P76" s="64">
        <v>0.4</v>
      </c>
      <c r="Q76" s="64">
        <v>9.0299999999999994</v>
      </c>
      <c r="R76" s="198"/>
      <c r="S76" s="198"/>
      <c r="T76" s="198"/>
      <c r="U76" s="198"/>
    </row>
    <row r="77" spans="1:21" s="12" customFormat="1" x14ac:dyDescent="0.25">
      <c r="A77" s="213" t="s">
        <v>1368</v>
      </c>
      <c r="B77" s="64">
        <v>6.19</v>
      </c>
      <c r="C77" s="64">
        <v>19.22</v>
      </c>
      <c r="D77" s="64">
        <v>15.01</v>
      </c>
      <c r="E77" s="64">
        <v>4.09</v>
      </c>
      <c r="F77" s="64">
        <v>4.9000000000000004</v>
      </c>
      <c r="G77" s="64">
        <v>60.87</v>
      </c>
      <c r="H77" s="64">
        <v>18.149999999999999</v>
      </c>
      <c r="I77" s="64">
        <v>1.5</v>
      </c>
      <c r="J77" s="64">
        <v>0.13</v>
      </c>
      <c r="K77" s="64">
        <v>337.69</v>
      </c>
      <c r="L77" s="64">
        <v>29.04</v>
      </c>
      <c r="M77" s="64">
        <v>79.75</v>
      </c>
      <c r="N77" s="64">
        <v>86.3</v>
      </c>
      <c r="O77" s="64">
        <v>0</v>
      </c>
      <c r="P77" s="64">
        <v>0.41</v>
      </c>
      <c r="Q77" s="64">
        <v>9.02</v>
      </c>
      <c r="R77" s="198"/>
      <c r="S77" s="198"/>
      <c r="T77" s="198"/>
      <c r="U77" s="198"/>
    </row>
    <row r="78" spans="1:21" s="12" customFormat="1" x14ac:dyDescent="0.25">
      <c r="A78" s="213" t="s">
        <v>1369</v>
      </c>
      <c r="B78" s="64">
        <v>7.81</v>
      </c>
      <c r="C78" s="64">
        <v>19.649999999999999</v>
      </c>
      <c r="D78" s="64">
        <v>16.53</v>
      </c>
      <c r="E78" s="64">
        <v>3.81</v>
      </c>
      <c r="F78" s="64">
        <v>5.19</v>
      </c>
      <c r="G78" s="64">
        <v>60.14</v>
      </c>
      <c r="H78" s="64">
        <v>15.3</v>
      </c>
      <c r="I78" s="64">
        <v>1.48</v>
      </c>
      <c r="J78" s="64">
        <v>0.17</v>
      </c>
      <c r="K78" s="64">
        <v>347.71</v>
      </c>
      <c r="L78" s="64">
        <v>28.88</v>
      </c>
      <c r="M78" s="64">
        <v>79.56</v>
      </c>
      <c r="N78" s="64">
        <v>78.8</v>
      </c>
      <c r="O78" s="64">
        <v>0</v>
      </c>
      <c r="P78" s="64">
        <v>0.41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3" t="s">
        <v>1370</v>
      </c>
      <c r="B79" s="64">
        <v>6.53</v>
      </c>
      <c r="C79" s="64">
        <v>20.100000000000001</v>
      </c>
      <c r="D79" s="64">
        <v>15.74</v>
      </c>
      <c r="E79" s="64">
        <v>4.1900000000000004</v>
      </c>
      <c r="F79" s="64">
        <v>10.81</v>
      </c>
      <c r="G79" s="64">
        <v>60.14</v>
      </c>
      <c r="H79" s="64">
        <v>15.3</v>
      </c>
      <c r="I79" s="64">
        <v>1.48</v>
      </c>
      <c r="J79" s="64">
        <v>0.12</v>
      </c>
      <c r="K79" s="64">
        <v>347.57</v>
      </c>
      <c r="L79" s="64">
        <v>28.77</v>
      </c>
      <c r="M79" s="64">
        <v>80.38</v>
      </c>
      <c r="N79" s="64">
        <v>71.2</v>
      </c>
      <c r="O79" s="64">
        <v>0</v>
      </c>
      <c r="P79" s="64">
        <v>0.37</v>
      </c>
      <c r="Q79" s="64">
        <v>9.07</v>
      </c>
      <c r="R79" s="198"/>
      <c r="S79" s="198"/>
      <c r="T79" s="198"/>
      <c r="U79" s="198"/>
    </row>
    <row r="80" spans="1:21" s="12" customFormat="1" x14ac:dyDescent="0.25">
      <c r="A80" s="213" t="s">
        <v>1371</v>
      </c>
      <c r="B80" s="64">
        <v>6.14</v>
      </c>
      <c r="C80" s="64">
        <v>21.83</v>
      </c>
      <c r="D80" s="64">
        <v>16.329999999999998</v>
      </c>
      <c r="E80" s="64">
        <v>4.1399999999999997</v>
      </c>
      <c r="F80" s="64">
        <v>12.28</v>
      </c>
      <c r="G80" s="64">
        <v>60.14</v>
      </c>
      <c r="H80" s="64">
        <v>15.3</v>
      </c>
      <c r="I80" s="64">
        <v>1.45</v>
      </c>
      <c r="J80" s="64">
        <v>0.12</v>
      </c>
      <c r="K80" s="64">
        <v>355.76</v>
      </c>
      <c r="L80" s="64">
        <v>28.59</v>
      </c>
      <c r="M80" s="64">
        <v>81.39</v>
      </c>
      <c r="N80" s="64">
        <v>69.3</v>
      </c>
      <c r="O80" s="64">
        <v>0</v>
      </c>
      <c r="P80" s="64">
        <v>0.38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3" t="s">
        <v>1372</v>
      </c>
      <c r="B81" s="64">
        <v>6.5</v>
      </c>
      <c r="C81" s="64">
        <v>23.88</v>
      </c>
      <c r="D81" s="64">
        <v>17.690000000000001</v>
      </c>
      <c r="E81" s="64">
        <v>4.3499999999999996</v>
      </c>
      <c r="F81" s="64">
        <v>13.22</v>
      </c>
      <c r="G81" s="64">
        <v>59.89</v>
      </c>
      <c r="H81" s="64">
        <v>12.35</v>
      </c>
      <c r="I81" s="64">
        <v>1.43</v>
      </c>
      <c r="J81" s="64">
        <v>0.06</v>
      </c>
      <c r="K81" s="64">
        <v>347.52</v>
      </c>
      <c r="L81" s="64">
        <v>28.51</v>
      </c>
      <c r="M81" s="64">
        <v>82.08</v>
      </c>
      <c r="N81" s="64">
        <v>61.8</v>
      </c>
      <c r="O81" s="64">
        <v>0</v>
      </c>
      <c r="P81" s="64">
        <v>0.35</v>
      </c>
      <c r="Q81" s="64">
        <v>9.07</v>
      </c>
      <c r="R81" s="198"/>
      <c r="S81" s="198"/>
      <c r="T81" s="198"/>
      <c r="U81" s="198"/>
    </row>
    <row r="82" spans="1:26" s="12" customFormat="1" x14ac:dyDescent="0.25">
      <c r="A82" s="213" t="s">
        <v>1373</v>
      </c>
      <c r="B82" s="64">
        <v>8.01</v>
      </c>
      <c r="C82" s="64">
        <v>21.84</v>
      </c>
      <c r="D82" s="64">
        <v>17.829999999999998</v>
      </c>
      <c r="E82" s="64">
        <v>4.41</v>
      </c>
      <c r="F82" s="64">
        <v>13.08</v>
      </c>
      <c r="G82" s="64">
        <v>59.74</v>
      </c>
      <c r="H82" s="64">
        <v>10.56</v>
      </c>
      <c r="I82" s="64">
        <v>1.41</v>
      </c>
      <c r="J82" s="64">
        <v>0.06</v>
      </c>
      <c r="K82" s="64">
        <v>355.75</v>
      </c>
      <c r="L82" s="64">
        <v>28.26</v>
      </c>
      <c r="M82" s="64">
        <v>85.34</v>
      </c>
      <c r="N82" s="64">
        <v>54.3</v>
      </c>
      <c r="O82" s="64">
        <v>0</v>
      </c>
      <c r="P82" s="64">
        <v>0.45</v>
      </c>
      <c r="Q82" s="64">
        <v>9.09</v>
      </c>
      <c r="R82" s="198"/>
      <c r="S82" s="198"/>
      <c r="T82" s="198"/>
      <c r="U82" s="198"/>
    </row>
    <row r="83" spans="1:26" s="12" customFormat="1" x14ac:dyDescent="0.25">
      <c r="A83" s="213" t="s">
        <v>1374</v>
      </c>
      <c r="B83" s="64">
        <v>5.22</v>
      </c>
      <c r="C83" s="64">
        <v>22.89</v>
      </c>
      <c r="D83" s="64">
        <v>16.149999999999999</v>
      </c>
      <c r="E83" s="64">
        <v>4.24</v>
      </c>
      <c r="F83" s="64">
        <v>13.98</v>
      </c>
      <c r="G83" s="64">
        <v>59.74</v>
      </c>
      <c r="H83" s="64">
        <v>10.56</v>
      </c>
      <c r="I83" s="64">
        <v>1.42</v>
      </c>
      <c r="J83" s="64">
        <v>0.06</v>
      </c>
      <c r="K83" s="64">
        <v>359.79</v>
      </c>
      <c r="L83" s="64">
        <v>28.02</v>
      </c>
      <c r="M83" s="64">
        <v>86.95</v>
      </c>
      <c r="N83" s="64">
        <v>46.4</v>
      </c>
      <c r="O83" s="64">
        <v>0</v>
      </c>
      <c r="P83" s="64">
        <v>0.37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3" t="s">
        <v>1375</v>
      </c>
      <c r="B84" s="64">
        <v>4.7699999999999996</v>
      </c>
      <c r="C84" s="64">
        <v>23.18</v>
      </c>
      <c r="D84" s="64">
        <v>15.93</v>
      </c>
      <c r="E84" s="64">
        <v>4.7</v>
      </c>
      <c r="F84" s="64">
        <v>13.71</v>
      </c>
      <c r="G84" s="64">
        <v>59.74</v>
      </c>
      <c r="H84" s="64">
        <v>10.56</v>
      </c>
      <c r="I84" s="64">
        <v>1.43</v>
      </c>
      <c r="J84" s="64">
        <v>0.01</v>
      </c>
      <c r="K84" s="64">
        <v>311.22000000000003</v>
      </c>
      <c r="L84" s="64">
        <v>27.88</v>
      </c>
      <c r="M84" s="64">
        <v>88.54</v>
      </c>
      <c r="N84" s="64">
        <v>43.5</v>
      </c>
      <c r="O84" s="64">
        <v>0</v>
      </c>
      <c r="P84" s="64">
        <v>0.38</v>
      </c>
      <c r="Q84" s="64">
        <v>9.09</v>
      </c>
      <c r="R84" s="198"/>
      <c r="S84" s="198"/>
      <c r="T84" s="198"/>
      <c r="U84" s="198"/>
    </row>
    <row r="85" spans="1:26" s="12" customFormat="1" x14ac:dyDescent="0.25">
      <c r="A85" s="213" t="s">
        <v>1376</v>
      </c>
      <c r="B85" s="64">
        <v>5.04</v>
      </c>
      <c r="C85" s="64">
        <v>24.27</v>
      </c>
      <c r="D85" s="64">
        <v>16.72</v>
      </c>
      <c r="E85" s="64">
        <v>4.7</v>
      </c>
      <c r="F85" s="64">
        <v>12.17</v>
      </c>
      <c r="G85" s="64">
        <v>63.2</v>
      </c>
      <c r="H85" s="64">
        <v>18.68</v>
      </c>
      <c r="I85" s="64">
        <v>1.44</v>
      </c>
      <c r="J85" s="64">
        <v>0.04</v>
      </c>
      <c r="K85" s="64">
        <v>300.87</v>
      </c>
      <c r="L85" s="64">
        <v>27.62</v>
      </c>
      <c r="M85" s="64">
        <v>91.28</v>
      </c>
      <c r="N85" s="64">
        <v>43.1</v>
      </c>
      <c r="O85" s="64">
        <v>0</v>
      </c>
      <c r="P85" s="64">
        <v>0.41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3" t="s">
        <v>1377</v>
      </c>
      <c r="B86" s="64">
        <v>10.119999999999999</v>
      </c>
      <c r="C86" s="64">
        <v>27.06</v>
      </c>
      <c r="D86" s="64">
        <v>22.26</v>
      </c>
      <c r="E86" s="64">
        <v>4.6500000000000004</v>
      </c>
      <c r="F86" s="64">
        <v>8.51</v>
      </c>
      <c r="G86" s="64">
        <v>65.3</v>
      </c>
      <c r="H86" s="64">
        <v>23.62</v>
      </c>
      <c r="I86" s="64">
        <v>1.44</v>
      </c>
      <c r="J86" s="64">
        <v>0.02</v>
      </c>
      <c r="K86" s="64">
        <v>9.08</v>
      </c>
      <c r="L86" s="64">
        <v>27.53</v>
      </c>
      <c r="M86" s="64">
        <v>91.75</v>
      </c>
      <c r="N86" s="64">
        <v>43</v>
      </c>
      <c r="O86" s="64">
        <v>0</v>
      </c>
      <c r="P86" s="64">
        <v>0.56999999999999995</v>
      </c>
      <c r="Q86" s="64">
        <v>9.09</v>
      </c>
      <c r="R86" s="198"/>
      <c r="S86" s="198"/>
      <c r="T86" s="198"/>
      <c r="U86" s="198"/>
    </row>
    <row r="87" spans="1:26" s="12" customFormat="1" x14ac:dyDescent="0.25">
      <c r="A87" s="213" t="s">
        <v>1378</v>
      </c>
      <c r="B87" s="64">
        <v>9.1199999999999992</v>
      </c>
      <c r="C87" s="64">
        <v>25.95</v>
      </c>
      <c r="D87" s="64">
        <v>20.87</v>
      </c>
      <c r="E87" s="64">
        <v>4.7</v>
      </c>
      <c r="F87" s="64">
        <v>8.91</v>
      </c>
      <c r="G87" s="64">
        <v>65.3</v>
      </c>
      <c r="H87" s="64">
        <v>23.62</v>
      </c>
      <c r="I87" s="64">
        <v>1.46</v>
      </c>
      <c r="J87" s="64">
        <v>0.01</v>
      </c>
      <c r="K87" s="64">
        <v>105.65</v>
      </c>
      <c r="L87" s="64">
        <v>27.42</v>
      </c>
      <c r="M87" s="64">
        <v>93.04</v>
      </c>
      <c r="N87" s="64">
        <v>43</v>
      </c>
      <c r="O87" s="64">
        <v>0</v>
      </c>
      <c r="P87" s="64">
        <v>0.55000000000000004</v>
      </c>
      <c r="Q87" s="64">
        <v>9.08</v>
      </c>
      <c r="R87" s="198"/>
      <c r="S87" s="198"/>
      <c r="T87" s="198"/>
      <c r="U87" s="198"/>
    </row>
    <row r="88" spans="1:26" s="12" customFormat="1" x14ac:dyDescent="0.25">
      <c r="A88" s="213" t="s">
        <v>1379</v>
      </c>
      <c r="B88" s="64">
        <v>9.82</v>
      </c>
      <c r="C88" s="64">
        <v>36.24</v>
      </c>
      <c r="D88" s="64">
        <v>26.81</v>
      </c>
      <c r="E88" s="64">
        <v>4.4400000000000004</v>
      </c>
      <c r="F88" s="64">
        <v>7.24</v>
      </c>
      <c r="G88" s="64">
        <v>65.3</v>
      </c>
      <c r="H88" s="64">
        <v>23.62</v>
      </c>
      <c r="I88" s="64">
        <v>1.46</v>
      </c>
      <c r="J88" s="64">
        <v>0.08</v>
      </c>
      <c r="K88" s="64">
        <v>148.01</v>
      </c>
      <c r="L88" s="64">
        <v>27.24</v>
      </c>
      <c r="M88" s="64">
        <v>96.57</v>
      </c>
      <c r="N88" s="64">
        <v>43</v>
      </c>
      <c r="O88" s="64">
        <v>0</v>
      </c>
      <c r="P88" s="64">
        <v>0.64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3" t="s">
        <v>1380</v>
      </c>
      <c r="B89" s="64">
        <v>6.41</v>
      </c>
      <c r="C89" s="64">
        <v>24.78</v>
      </c>
      <c r="D89" s="64">
        <v>18.09</v>
      </c>
      <c r="E89" s="64">
        <v>4.26</v>
      </c>
      <c r="F89" s="64">
        <v>9.65</v>
      </c>
      <c r="G89" s="64">
        <v>69.989999999999995</v>
      </c>
      <c r="H89" s="64">
        <v>22.35</v>
      </c>
      <c r="I89" s="64">
        <v>1.46</v>
      </c>
      <c r="J89" s="64">
        <v>0.09</v>
      </c>
      <c r="K89" s="64">
        <v>136.96</v>
      </c>
      <c r="L89" s="64">
        <v>27.06</v>
      </c>
      <c r="M89" s="64">
        <v>97.71</v>
      </c>
      <c r="N89" s="64">
        <v>42.9</v>
      </c>
      <c r="O89" s="64">
        <v>0</v>
      </c>
      <c r="P89" s="64">
        <v>0.53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3" t="s">
        <v>1381</v>
      </c>
      <c r="B90" s="64">
        <v>7.17</v>
      </c>
      <c r="C90" s="64">
        <v>32.72</v>
      </c>
      <c r="D90" s="64">
        <v>22.84</v>
      </c>
      <c r="E90" s="64">
        <v>4.55</v>
      </c>
      <c r="F90" s="64">
        <v>7.26</v>
      </c>
      <c r="G90" s="64">
        <v>72.83</v>
      </c>
      <c r="H90" s="64">
        <v>21.58</v>
      </c>
      <c r="I90" s="64">
        <v>1.49</v>
      </c>
      <c r="J90" s="64">
        <v>0.08</v>
      </c>
      <c r="K90" s="64">
        <v>150.21</v>
      </c>
      <c r="L90" s="64">
        <v>26.98</v>
      </c>
      <c r="M90" s="64">
        <v>98.79</v>
      </c>
      <c r="N90" s="64">
        <v>43</v>
      </c>
      <c r="O90" s="64">
        <v>0</v>
      </c>
      <c r="P90" s="64">
        <v>0.49</v>
      </c>
      <c r="Q90" s="64">
        <v>9.1</v>
      </c>
      <c r="R90" s="198"/>
      <c r="S90" s="198"/>
      <c r="T90" s="198"/>
      <c r="U90" s="198"/>
    </row>
    <row r="91" spans="1:26" s="12" customFormat="1" x14ac:dyDescent="0.25">
      <c r="A91" s="213" t="s">
        <v>1382</v>
      </c>
      <c r="B91" s="64">
        <v>7.47</v>
      </c>
      <c r="C91" s="64">
        <v>25.59</v>
      </c>
      <c r="D91" s="64">
        <v>19.36</v>
      </c>
      <c r="E91" s="64">
        <v>4.4400000000000004</v>
      </c>
      <c r="F91" s="64">
        <v>8.2799999999999994</v>
      </c>
      <c r="G91" s="64">
        <v>72.83</v>
      </c>
      <c r="H91" s="64">
        <v>21.58</v>
      </c>
      <c r="I91" s="64">
        <v>1.53</v>
      </c>
      <c r="J91" s="64">
        <v>0.06</v>
      </c>
      <c r="K91" s="64">
        <v>206.25</v>
      </c>
      <c r="L91" s="64">
        <v>26.92</v>
      </c>
      <c r="M91" s="64">
        <v>98.92</v>
      </c>
      <c r="N91" s="64">
        <v>43.1</v>
      </c>
      <c r="O91" s="64">
        <v>0</v>
      </c>
      <c r="P91" s="64">
        <v>0.49</v>
      </c>
      <c r="Q91" s="64">
        <v>9.11</v>
      </c>
      <c r="R91" s="198"/>
      <c r="S91" s="198"/>
      <c r="T91" s="198"/>
      <c r="U91" s="198"/>
    </row>
    <row r="92" spans="1:26" s="12" customFormat="1" x14ac:dyDescent="0.25">
      <c r="A92" s="213" t="s">
        <v>1383</v>
      </c>
      <c r="B92" s="64">
        <v>5.92</v>
      </c>
      <c r="C92" s="64">
        <v>21.49</v>
      </c>
      <c r="D92" s="64">
        <v>15.98</v>
      </c>
      <c r="E92" s="64">
        <v>4.4400000000000004</v>
      </c>
      <c r="F92" s="64">
        <v>9.3800000000000008</v>
      </c>
      <c r="G92" s="64">
        <v>72.83</v>
      </c>
      <c r="H92" s="64">
        <v>21.58</v>
      </c>
      <c r="I92" s="64">
        <v>1.56</v>
      </c>
      <c r="J92" s="64">
        <v>7.0000000000000007E-2</v>
      </c>
      <c r="K92" s="64">
        <v>10.199999999999999</v>
      </c>
      <c r="L92" s="64">
        <v>26.93</v>
      </c>
      <c r="M92" s="64">
        <v>98.02</v>
      </c>
      <c r="N92" s="64">
        <v>42.9</v>
      </c>
      <c r="O92" s="64">
        <v>0</v>
      </c>
      <c r="P92" s="64">
        <v>0.52</v>
      </c>
      <c r="Q92" s="64">
        <v>9.11</v>
      </c>
      <c r="R92" s="198"/>
      <c r="S92" s="198"/>
      <c r="T92" s="198"/>
      <c r="U92" s="198"/>
    </row>
    <row r="93" spans="1:26" s="12" customFormat="1" x14ac:dyDescent="0.25">
      <c r="A93" s="213" t="s">
        <v>1384</v>
      </c>
      <c r="B93" s="64">
        <v>8.57</v>
      </c>
      <c r="C93" s="64">
        <v>24.47</v>
      </c>
      <c r="D93" s="64">
        <v>19.649999999999999</v>
      </c>
      <c r="E93" s="64">
        <v>4.53</v>
      </c>
      <c r="F93" s="64">
        <v>9.2899999999999991</v>
      </c>
      <c r="G93" s="64">
        <v>71.72</v>
      </c>
      <c r="H93" s="64">
        <v>17.29</v>
      </c>
      <c r="I93" s="64">
        <v>1.57</v>
      </c>
      <c r="J93" s="64">
        <v>0.04</v>
      </c>
      <c r="K93" s="64">
        <v>15.26</v>
      </c>
      <c r="L93" s="64">
        <v>26.94</v>
      </c>
      <c r="M93" s="64">
        <v>97.86</v>
      </c>
      <c r="N93" s="64">
        <v>43</v>
      </c>
      <c r="O93" s="64">
        <v>0</v>
      </c>
      <c r="P93" s="64">
        <v>0.56999999999999995</v>
      </c>
      <c r="Q93" s="64">
        <v>9.11</v>
      </c>
      <c r="R93" s="198"/>
      <c r="S93" s="198"/>
      <c r="T93" s="198"/>
      <c r="U93" s="198"/>
    </row>
    <row r="94" spans="1:26" s="12" customFormat="1" x14ac:dyDescent="0.25">
      <c r="A94" s="213" t="s">
        <v>1385</v>
      </c>
      <c r="B94" s="64">
        <v>7.65</v>
      </c>
      <c r="C94" s="64">
        <v>19.16</v>
      </c>
      <c r="D94" s="64">
        <v>16.14</v>
      </c>
      <c r="E94" s="64">
        <v>4.3899999999999997</v>
      </c>
      <c r="F94" s="64">
        <v>6</v>
      </c>
      <c r="G94" s="64">
        <v>71.05</v>
      </c>
      <c r="H94" s="64">
        <v>14.68</v>
      </c>
      <c r="I94" s="64">
        <v>1.59</v>
      </c>
      <c r="J94" s="64">
        <v>0.09</v>
      </c>
      <c r="K94" s="64">
        <v>8.01</v>
      </c>
      <c r="L94" s="64">
        <v>26.89</v>
      </c>
      <c r="M94" s="64">
        <v>97.59</v>
      </c>
      <c r="N94" s="64">
        <v>42.9</v>
      </c>
      <c r="O94" s="64">
        <v>0</v>
      </c>
      <c r="P94" s="64">
        <v>0.51</v>
      </c>
      <c r="Q94" s="64">
        <v>9.1</v>
      </c>
      <c r="R94" s="198"/>
      <c r="S94" s="198"/>
      <c r="T94" s="198"/>
      <c r="U94" s="198"/>
    </row>
    <row r="95" spans="1:26" s="12" customFormat="1" x14ac:dyDescent="0.25">
      <c r="A95" s="213" t="s">
        <v>1386</v>
      </c>
      <c r="B95" s="64">
        <v>9.0299999999999994</v>
      </c>
      <c r="C95" s="64">
        <v>20.58</v>
      </c>
      <c r="D95" s="64">
        <v>18</v>
      </c>
      <c r="E95" s="64">
        <v>4.18</v>
      </c>
      <c r="F95" s="64">
        <v>9.56</v>
      </c>
      <c r="G95" s="64">
        <v>71.05</v>
      </c>
      <c r="H95" s="64">
        <v>14.68</v>
      </c>
      <c r="I95" s="64">
        <v>1.59</v>
      </c>
      <c r="J95" s="64">
        <v>0.05</v>
      </c>
      <c r="K95" s="64">
        <v>350.96</v>
      </c>
      <c r="L95" s="64">
        <v>26.77</v>
      </c>
      <c r="M95" s="64">
        <v>98.48</v>
      </c>
      <c r="N95" s="64">
        <v>43</v>
      </c>
      <c r="O95" s="64">
        <v>0</v>
      </c>
      <c r="P95" s="64">
        <v>0.53</v>
      </c>
      <c r="Q95" s="64">
        <v>9.1</v>
      </c>
      <c r="R95" s="198"/>
      <c r="S95" s="198"/>
      <c r="T95" s="198"/>
      <c r="U95" s="198"/>
    </row>
    <row r="96" spans="1:26" s="12" customFormat="1" x14ac:dyDescent="0.25">
      <c r="A96" s="213" t="s">
        <v>1387</v>
      </c>
      <c r="B96" s="64">
        <v>7.9</v>
      </c>
      <c r="C96" s="64">
        <v>27.08</v>
      </c>
      <c r="D96" s="64">
        <v>20.49</v>
      </c>
      <c r="E96" s="64">
        <v>4.41</v>
      </c>
      <c r="F96" s="64">
        <v>11.56</v>
      </c>
      <c r="G96" s="64">
        <v>71.05</v>
      </c>
      <c r="H96" s="64">
        <v>14.68</v>
      </c>
      <c r="I96" s="64">
        <v>1.58</v>
      </c>
      <c r="J96" s="64">
        <v>0.04</v>
      </c>
      <c r="K96" s="64">
        <v>345.99</v>
      </c>
      <c r="L96" s="64">
        <v>26.68</v>
      </c>
      <c r="M96" s="64">
        <v>98.36</v>
      </c>
      <c r="N96" s="64">
        <v>43</v>
      </c>
      <c r="O96" s="64">
        <v>0</v>
      </c>
      <c r="P96" s="64">
        <v>0.49</v>
      </c>
      <c r="Q96" s="64">
        <v>9.1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1388</v>
      </c>
      <c r="B97" s="64">
        <v>7.09</v>
      </c>
      <c r="C97" s="64">
        <v>23.33</v>
      </c>
      <c r="D97" s="64">
        <v>17.87</v>
      </c>
      <c r="E97" s="64">
        <v>4.3600000000000003</v>
      </c>
      <c r="F97" s="64">
        <v>11.07</v>
      </c>
      <c r="G97" s="64">
        <v>72.31</v>
      </c>
      <c r="H97" s="64">
        <v>11.94</v>
      </c>
      <c r="I97" s="64">
        <v>1.57</v>
      </c>
      <c r="J97" s="64">
        <v>0.09</v>
      </c>
      <c r="K97" s="64">
        <v>340.07</v>
      </c>
      <c r="L97" s="64">
        <v>26.67</v>
      </c>
      <c r="M97" s="64">
        <v>98.3</v>
      </c>
      <c r="N97" s="64">
        <v>43</v>
      </c>
      <c r="O97" s="64">
        <v>0</v>
      </c>
      <c r="P97" s="64">
        <v>0.48</v>
      </c>
      <c r="Q97" s="64">
        <v>9.11</v>
      </c>
      <c r="R97" s="198"/>
      <c r="S97" s="198"/>
      <c r="T97" s="198"/>
      <c r="U97" s="198"/>
    </row>
    <row r="98" spans="1:33" s="12" customFormat="1" x14ac:dyDescent="0.25">
      <c r="A98" s="213" t="s">
        <v>1389</v>
      </c>
      <c r="B98" s="64">
        <v>7.94</v>
      </c>
      <c r="C98" s="64">
        <v>23.13</v>
      </c>
      <c r="D98" s="64">
        <v>18.45</v>
      </c>
      <c r="E98" s="64">
        <v>4.49</v>
      </c>
      <c r="F98" s="64">
        <v>11.28</v>
      </c>
      <c r="G98" s="64">
        <v>73.08</v>
      </c>
      <c r="H98" s="64">
        <v>10.27</v>
      </c>
      <c r="I98" s="64">
        <v>1.55</v>
      </c>
      <c r="J98" s="64">
        <v>7.0000000000000007E-2</v>
      </c>
      <c r="K98" s="64">
        <v>332.32</v>
      </c>
      <c r="L98" s="64">
        <v>26.63</v>
      </c>
      <c r="M98" s="64">
        <v>98.28</v>
      </c>
      <c r="N98" s="64">
        <v>43</v>
      </c>
      <c r="O98" s="64">
        <v>0</v>
      </c>
      <c r="P98" s="64">
        <v>0.43</v>
      </c>
      <c r="Q98" s="64">
        <v>9.14</v>
      </c>
      <c r="R98" s="198"/>
      <c r="S98" s="198"/>
      <c r="T98" s="198"/>
      <c r="U98" s="198"/>
    </row>
    <row r="99" spans="1:33" s="12" customFormat="1" x14ac:dyDescent="0.25">
      <c r="A99" s="213" t="s">
        <v>1390</v>
      </c>
      <c r="B99" s="64">
        <v>7.79</v>
      </c>
      <c r="C99" s="64">
        <v>20.71</v>
      </c>
      <c r="D99" s="64">
        <v>17.07</v>
      </c>
      <c r="E99" s="64">
        <v>4.49</v>
      </c>
      <c r="F99" s="64">
        <v>11.94</v>
      </c>
      <c r="G99" s="64">
        <v>73.08</v>
      </c>
      <c r="H99" s="64">
        <v>10.27</v>
      </c>
      <c r="I99" s="64">
        <v>1.54</v>
      </c>
      <c r="J99" s="64">
        <v>0.04</v>
      </c>
      <c r="K99" s="64">
        <v>345.01</v>
      </c>
      <c r="L99" s="64">
        <v>26.52</v>
      </c>
      <c r="M99" s="64">
        <v>98.48</v>
      </c>
      <c r="N99" s="64">
        <v>43.1</v>
      </c>
      <c r="O99" s="64">
        <v>0</v>
      </c>
      <c r="P99" s="64">
        <v>0.35</v>
      </c>
      <c r="Q99" s="64">
        <v>9.14</v>
      </c>
      <c r="R99" s="198"/>
      <c r="S99" s="198"/>
      <c r="T99" s="198"/>
      <c r="U99" s="198"/>
    </row>
    <row r="100" spans="1:33" s="12" customFormat="1" x14ac:dyDescent="0.25">
      <c r="A100" s="213" t="s">
        <v>1391</v>
      </c>
      <c r="B100" s="64">
        <v>5.55</v>
      </c>
      <c r="C100" s="64">
        <v>21.66</v>
      </c>
      <c r="D100" s="64">
        <v>15.76</v>
      </c>
      <c r="E100" s="64">
        <v>4.67</v>
      </c>
      <c r="F100" s="64">
        <v>12.83</v>
      </c>
      <c r="G100" s="64">
        <v>73.08</v>
      </c>
      <c r="H100" s="64">
        <v>10.27</v>
      </c>
      <c r="I100" s="64">
        <v>1.53</v>
      </c>
      <c r="J100" s="64">
        <v>0.04</v>
      </c>
      <c r="K100" s="64">
        <v>310.62</v>
      </c>
      <c r="L100" s="64">
        <v>26.36</v>
      </c>
      <c r="M100" s="64">
        <v>98.56</v>
      </c>
      <c r="N100" s="64">
        <v>43</v>
      </c>
      <c r="O100" s="64">
        <v>0</v>
      </c>
      <c r="P100" s="64">
        <v>0.34</v>
      </c>
      <c r="Q100" s="64">
        <v>9.14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1392</v>
      </c>
      <c r="B101" s="64">
        <v>4.6500000000000004</v>
      </c>
      <c r="C101" s="64">
        <v>18.829999999999998</v>
      </c>
      <c r="D101" s="64">
        <v>13.57</v>
      </c>
      <c r="E101" s="64">
        <v>4.83</v>
      </c>
      <c r="F101" s="64">
        <v>12.08</v>
      </c>
      <c r="G101" s="64">
        <v>71.78</v>
      </c>
      <c r="H101" s="64">
        <v>19.38</v>
      </c>
      <c r="I101" s="64">
        <v>1.52</v>
      </c>
      <c r="J101" s="64">
        <v>7.0000000000000007E-2</v>
      </c>
      <c r="K101" s="64">
        <v>144.22</v>
      </c>
      <c r="L101" s="64">
        <v>26.19</v>
      </c>
      <c r="M101" s="64">
        <v>98.59</v>
      </c>
      <c r="N101" s="64">
        <v>43</v>
      </c>
      <c r="O101" s="64">
        <v>0</v>
      </c>
      <c r="P101" s="64">
        <v>0.27</v>
      </c>
      <c r="Q101" s="64">
        <v>9.15</v>
      </c>
      <c r="R101" s="198"/>
      <c r="S101" s="198"/>
      <c r="T101" s="198"/>
      <c r="U101" s="198"/>
    </row>
    <row r="102" spans="1:33" s="12" customFormat="1" x14ac:dyDescent="0.25">
      <c r="A102" s="213" t="s">
        <v>1393</v>
      </c>
      <c r="B102" s="64">
        <v>4.3499999999999996</v>
      </c>
      <c r="C102" s="64">
        <v>15.92</v>
      </c>
      <c r="D102" s="64">
        <v>11.8</v>
      </c>
      <c r="E102" s="64">
        <v>4.5599999999999996</v>
      </c>
      <c r="F102" s="64">
        <v>12.79</v>
      </c>
      <c r="G102" s="64">
        <v>70.98</v>
      </c>
      <c r="H102" s="64">
        <v>24.91</v>
      </c>
      <c r="I102" s="64">
        <v>1.5</v>
      </c>
      <c r="J102" s="64">
        <v>0.03</v>
      </c>
      <c r="K102" s="64">
        <v>254.98</v>
      </c>
      <c r="L102" s="64">
        <v>26</v>
      </c>
      <c r="M102" s="64">
        <v>98.62</v>
      </c>
      <c r="N102" s="64">
        <v>43</v>
      </c>
      <c r="O102" s="64">
        <v>0</v>
      </c>
      <c r="P102" s="64">
        <v>0.25</v>
      </c>
      <c r="Q102" s="64">
        <v>9.16</v>
      </c>
      <c r="R102" s="198"/>
      <c r="S102" s="198"/>
      <c r="T102" s="198"/>
      <c r="U102" s="198"/>
    </row>
    <row r="103" spans="1:33" s="12" customFormat="1" x14ac:dyDescent="0.25">
      <c r="A103" s="213" t="s">
        <v>1394</v>
      </c>
      <c r="B103" s="64">
        <v>4.91</v>
      </c>
      <c r="C103" s="64">
        <v>16.77</v>
      </c>
      <c r="D103" s="64">
        <v>12.7</v>
      </c>
      <c r="E103" s="64">
        <v>4.79</v>
      </c>
      <c r="F103" s="64">
        <v>11.51</v>
      </c>
      <c r="G103" s="64">
        <v>70.98</v>
      </c>
      <c r="H103" s="64">
        <v>24.91</v>
      </c>
      <c r="I103" s="64">
        <v>1.48</v>
      </c>
      <c r="J103" s="64">
        <v>7.0000000000000007E-2</v>
      </c>
      <c r="K103" s="64">
        <v>304.5</v>
      </c>
      <c r="L103" s="64">
        <v>26</v>
      </c>
      <c r="M103" s="64">
        <v>98.64</v>
      </c>
      <c r="N103" s="64">
        <v>43</v>
      </c>
      <c r="O103" s="64">
        <v>0</v>
      </c>
      <c r="P103" s="64">
        <v>0.31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3" t="s">
        <v>1395</v>
      </c>
      <c r="B104" s="64">
        <v>6.96</v>
      </c>
      <c r="C104" s="64">
        <v>14.48</v>
      </c>
      <c r="D104" s="64">
        <v>13.15</v>
      </c>
      <c r="E104" s="64">
        <v>3.97</v>
      </c>
      <c r="F104" s="64">
        <v>6.12</v>
      </c>
      <c r="G104" s="64">
        <v>70.98</v>
      </c>
      <c r="H104" s="64">
        <v>24.91</v>
      </c>
      <c r="I104" s="64">
        <v>1.47</v>
      </c>
      <c r="J104" s="64">
        <v>7.0000000000000007E-2</v>
      </c>
      <c r="K104" s="64">
        <v>300.33999999999997</v>
      </c>
      <c r="L104" s="64">
        <v>25.94</v>
      </c>
      <c r="M104" s="64">
        <v>98.64</v>
      </c>
      <c r="N104" s="64">
        <v>43</v>
      </c>
      <c r="O104" s="64">
        <v>0</v>
      </c>
      <c r="P104" s="64">
        <v>0.43</v>
      </c>
      <c r="Q104" s="64">
        <v>9.14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4.3499999999999996</v>
      </c>
      <c r="C106" s="67">
        <f>MIN(C9:C104)</f>
        <v>10.4</v>
      </c>
      <c r="D106" s="67">
        <f t="shared" ref="D106:Q106" si="0">MIN(D9:D104)</f>
        <v>10.35</v>
      </c>
      <c r="E106" s="67">
        <f t="shared" si="0"/>
        <v>3.66</v>
      </c>
      <c r="F106" s="67">
        <f t="shared" si="0"/>
        <v>3.09</v>
      </c>
      <c r="G106" s="67">
        <f t="shared" si="0"/>
        <v>23.56</v>
      </c>
      <c r="H106" s="67">
        <f t="shared" si="0"/>
        <v>5.94</v>
      </c>
      <c r="I106" s="67">
        <f t="shared" si="0"/>
        <v>0.97</v>
      </c>
      <c r="J106" s="67">
        <f t="shared" si="0"/>
        <v>0.01</v>
      </c>
      <c r="K106" s="67">
        <f t="shared" si="0"/>
        <v>8.01</v>
      </c>
      <c r="L106" s="67">
        <f t="shared" si="0"/>
        <v>23.99</v>
      </c>
      <c r="M106" s="67">
        <f t="shared" si="0"/>
        <v>70.36</v>
      </c>
      <c r="N106" s="67">
        <f t="shared" si="0"/>
        <v>42.9</v>
      </c>
      <c r="O106" s="67">
        <f t="shared" si="0"/>
        <v>0</v>
      </c>
      <c r="P106" s="67">
        <f t="shared" si="0"/>
        <v>0.19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10.8</v>
      </c>
      <c r="C107" s="66">
        <f t="shared" ref="C107:Q107" si="1">MAX(C9:C104)</f>
        <v>36.24</v>
      </c>
      <c r="D107" s="66">
        <f t="shared" si="1"/>
        <v>26.81</v>
      </c>
      <c r="E107" s="66">
        <f t="shared" si="1"/>
        <v>5.61</v>
      </c>
      <c r="F107" s="66">
        <f t="shared" si="1"/>
        <v>13.98</v>
      </c>
      <c r="G107" s="66">
        <f t="shared" si="1"/>
        <v>73.08</v>
      </c>
      <c r="H107" s="66">
        <f t="shared" si="1"/>
        <v>25.1</v>
      </c>
      <c r="I107" s="66">
        <f t="shared" si="1"/>
        <v>2.33</v>
      </c>
      <c r="J107" s="66">
        <f t="shared" si="1"/>
        <v>0.63</v>
      </c>
      <c r="K107" s="66">
        <f t="shared" si="1"/>
        <v>359.79</v>
      </c>
      <c r="L107" s="66">
        <f t="shared" si="1"/>
        <v>31.24</v>
      </c>
      <c r="M107" s="66">
        <f t="shared" si="1"/>
        <v>98.92</v>
      </c>
      <c r="N107" s="66">
        <f t="shared" si="1"/>
        <v>858.1</v>
      </c>
      <c r="O107" s="66">
        <f t="shared" si="1"/>
        <v>0</v>
      </c>
      <c r="P107" s="66">
        <f t="shared" si="1"/>
        <v>0.8</v>
      </c>
      <c r="Q107" s="66">
        <f t="shared" si="1"/>
        <v>9.16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6.8872916666666653</v>
      </c>
      <c r="C108" s="67">
        <f t="shared" ref="C108:Q108" si="2">AVERAGE(C9:C104)</f>
        <v>17.296041666666664</v>
      </c>
      <c r="D108" s="67">
        <f t="shared" si="2"/>
        <v>14.559895833333334</v>
      </c>
      <c r="E108" s="67">
        <f t="shared" si="2"/>
        <v>4.7927083333333327</v>
      </c>
      <c r="F108" s="67">
        <f t="shared" si="2"/>
        <v>6.7396874999999987</v>
      </c>
      <c r="G108" s="67">
        <f t="shared" si="2"/>
        <v>50.831874999999968</v>
      </c>
      <c r="H108" s="67">
        <f t="shared" si="2"/>
        <v>15.244270833333331</v>
      </c>
      <c r="I108" s="67">
        <f t="shared" si="2"/>
        <v>1.5295833333333337</v>
      </c>
      <c r="J108" s="67">
        <f t="shared" si="2"/>
        <v>0.17885416666666668</v>
      </c>
      <c r="K108" s="67">
        <f t="shared" si="2"/>
        <v>279.1502083333333</v>
      </c>
      <c r="L108" s="67">
        <f t="shared" si="2"/>
        <v>27.215624999999999</v>
      </c>
      <c r="M108" s="67">
        <f t="shared" si="2"/>
        <v>90.686458333333348</v>
      </c>
      <c r="N108" s="67">
        <f t="shared" si="2"/>
        <v>204.05520833333333</v>
      </c>
      <c r="O108" s="67">
        <f t="shared" si="2"/>
        <v>0</v>
      </c>
      <c r="P108" s="67">
        <f t="shared" si="2"/>
        <v>0.44031250000000011</v>
      </c>
      <c r="Q108" s="67">
        <f t="shared" si="2"/>
        <v>9.0827083333333363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1.5394212714124897</v>
      </c>
      <c r="C109" s="67">
        <f t="shared" ref="C109:Q109" si="3">STDEV(C9:C104)</f>
        <v>5.2275467687337107</v>
      </c>
      <c r="D109" s="67">
        <f t="shared" si="3"/>
        <v>2.9519961113908653</v>
      </c>
      <c r="E109" s="67">
        <f t="shared" si="3"/>
        <v>0.39458033447053237</v>
      </c>
      <c r="F109" s="67">
        <f t="shared" si="3"/>
        <v>3.059306234779041</v>
      </c>
      <c r="G109" s="67">
        <f t="shared" si="3"/>
        <v>15.872179455194471</v>
      </c>
      <c r="H109" s="67">
        <f t="shared" si="3"/>
        <v>5.2130614794988936</v>
      </c>
      <c r="I109" s="67">
        <f t="shared" si="3"/>
        <v>0.3461424004705399</v>
      </c>
      <c r="J109" s="67">
        <f t="shared" si="3"/>
        <v>0.14218497804780958</v>
      </c>
      <c r="K109" s="67">
        <f t="shared" si="3"/>
        <v>71.319446229499547</v>
      </c>
      <c r="L109" s="67">
        <f t="shared" si="3"/>
        <v>2.3552238970558954</v>
      </c>
      <c r="M109" s="67">
        <f t="shared" si="3"/>
        <v>9.1733255152516247</v>
      </c>
      <c r="N109" s="67">
        <f t="shared" si="3"/>
        <v>203.03913435062447</v>
      </c>
      <c r="O109" s="67">
        <f t="shared" si="3"/>
        <v>0</v>
      </c>
      <c r="P109" s="67">
        <f t="shared" si="3"/>
        <v>0.14218189332497133</v>
      </c>
      <c r="Q109" s="67">
        <f t="shared" si="3"/>
        <v>3.7062654395998151E-2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1396</v>
      </c>
      <c r="B9" s="64">
        <v>6.64</v>
      </c>
      <c r="C9" s="64">
        <v>13.18</v>
      </c>
      <c r="D9" s="64">
        <v>12.21</v>
      </c>
      <c r="E9" s="64">
        <v>3.75</v>
      </c>
      <c r="F9" s="64">
        <v>9.2200000000000006</v>
      </c>
      <c r="G9" s="64">
        <v>68.790000000000006</v>
      </c>
      <c r="H9" s="64">
        <v>24.21</v>
      </c>
      <c r="I9" s="64">
        <v>1.44</v>
      </c>
      <c r="J9" s="64">
        <v>0.1</v>
      </c>
      <c r="K9" s="64">
        <v>335.1</v>
      </c>
      <c r="L9" s="64">
        <v>25.88</v>
      </c>
      <c r="M9" s="64">
        <v>98.61</v>
      </c>
      <c r="N9" s="64">
        <v>43</v>
      </c>
      <c r="O9" s="64">
        <v>0</v>
      </c>
      <c r="P9" s="64">
        <v>0.32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3" t="s">
        <v>1397</v>
      </c>
      <c r="B10" s="64">
        <v>7.08</v>
      </c>
      <c r="C10" s="64">
        <v>12.33</v>
      </c>
      <c r="D10" s="64">
        <v>12.12</v>
      </c>
      <c r="E10" s="64">
        <v>3.97</v>
      </c>
      <c r="F10" s="64">
        <v>5.6</v>
      </c>
      <c r="G10" s="64">
        <v>67.459999999999994</v>
      </c>
      <c r="H10" s="64">
        <v>23.79</v>
      </c>
      <c r="I10" s="64">
        <v>1.4</v>
      </c>
      <c r="J10" s="64">
        <v>0.11</v>
      </c>
      <c r="K10" s="64">
        <v>335.79</v>
      </c>
      <c r="L10" s="64">
        <v>25.78</v>
      </c>
      <c r="M10" s="64">
        <v>98.64</v>
      </c>
      <c r="N10" s="64">
        <v>43.1</v>
      </c>
      <c r="O10" s="64">
        <v>0</v>
      </c>
      <c r="P10" s="64">
        <v>0.41</v>
      </c>
      <c r="Q10" s="64">
        <v>9.09</v>
      </c>
      <c r="R10" s="198"/>
      <c r="S10" s="198"/>
      <c r="T10" s="198"/>
      <c r="U10" s="198"/>
    </row>
    <row r="11" spans="1:21" s="12" customFormat="1" x14ac:dyDescent="0.25">
      <c r="A11" s="213" t="s">
        <v>1398</v>
      </c>
      <c r="B11" s="64">
        <v>6.92</v>
      </c>
      <c r="C11" s="64">
        <v>12.18</v>
      </c>
      <c r="D11" s="64">
        <v>11.91</v>
      </c>
      <c r="E11" s="64">
        <v>3.97</v>
      </c>
      <c r="F11" s="64">
        <v>7.67</v>
      </c>
      <c r="G11" s="64">
        <v>67.459999999999994</v>
      </c>
      <c r="H11" s="64">
        <v>23.79</v>
      </c>
      <c r="I11" s="64">
        <v>1.35</v>
      </c>
      <c r="J11" s="64">
        <v>0.08</v>
      </c>
      <c r="K11" s="64">
        <v>336.13</v>
      </c>
      <c r="L11" s="64">
        <v>25.71</v>
      </c>
      <c r="M11" s="64">
        <v>98.62</v>
      </c>
      <c r="N11" s="64">
        <v>43.1</v>
      </c>
      <c r="O11" s="64">
        <v>0</v>
      </c>
      <c r="P11" s="64">
        <v>0.33</v>
      </c>
      <c r="Q11" s="64">
        <v>9.08</v>
      </c>
      <c r="R11" s="198"/>
      <c r="S11" s="198"/>
      <c r="T11" s="198"/>
      <c r="U11" s="198"/>
    </row>
    <row r="12" spans="1:21" s="12" customFormat="1" x14ac:dyDescent="0.25">
      <c r="A12" s="213" t="s">
        <v>1399</v>
      </c>
      <c r="B12" s="64">
        <v>6.81</v>
      </c>
      <c r="C12" s="64">
        <v>11.76</v>
      </c>
      <c r="D12" s="64">
        <v>11.6</v>
      </c>
      <c r="E12" s="64">
        <v>3.72</v>
      </c>
      <c r="F12" s="64">
        <v>5.41</v>
      </c>
      <c r="G12" s="64">
        <v>67.459999999999994</v>
      </c>
      <c r="H12" s="64">
        <v>23.79</v>
      </c>
      <c r="I12" s="64">
        <v>1.32</v>
      </c>
      <c r="J12" s="64">
        <v>0.09</v>
      </c>
      <c r="K12" s="64">
        <v>333.52</v>
      </c>
      <c r="L12" s="64">
        <v>25.67</v>
      </c>
      <c r="M12" s="64">
        <v>98.61</v>
      </c>
      <c r="N12" s="64">
        <v>43.1</v>
      </c>
      <c r="O12" s="64">
        <v>0</v>
      </c>
      <c r="P12" s="64">
        <v>0.38</v>
      </c>
      <c r="Q12" s="64">
        <v>9.06</v>
      </c>
      <c r="R12" s="198"/>
      <c r="S12" s="198"/>
      <c r="T12" s="198"/>
      <c r="U12" s="198"/>
    </row>
    <row r="13" spans="1:21" s="12" customFormat="1" x14ac:dyDescent="0.25">
      <c r="A13" s="213" t="s">
        <v>1400</v>
      </c>
      <c r="B13" s="64">
        <v>6.32</v>
      </c>
      <c r="C13" s="64">
        <v>11.37</v>
      </c>
      <c r="D13" s="64">
        <v>11.01</v>
      </c>
      <c r="E13" s="64">
        <v>3.81</v>
      </c>
      <c r="F13" s="64">
        <v>8.59</v>
      </c>
      <c r="G13" s="64">
        <v>63.76</v>
      </c>
      <c r="H13" s="64">
        <v>19.329999999999998</v>
      </c>
      <c r="I13" s="64">
        <v>1.28</v>
      </c>
      <c r="J13" s="64">
        <v>0.05</v>
      </c>
      <c r="K13" s="64">
        <v>317.33</v>
      </c>
      <c r="L13" s="64">
        <v>25.65</v>
      </c>
      <c r="M13" s="64">
        <v>98.6</v>
      </c>
      <c r="N13" s="64">
        <v>43.2</v>
      </c>
      <c r="O13" s="64">
        <v>0</v>
      </c>
      <c r="P13" s="64">
        <v>0.27</v>
      </c>
      <c r="Q13" s="64">
        <v>9.0399999999999991</v>
      </c>
      <c r="R13" s="198"/>
      <c r="S13" s="198"/>
      <c r="T13" s="198"/>
      <c r="U13" s="198"/>
    </row>
    <row r="14" spans="1:21" s="12" customFormat="1" x14ac:dyDescent="0.25">
      <c r="A14" s="213" t="s">
        <v>1401</v>
      </c>
      <c r="B14" s="64">
        <v>5.84</v>
      </c>
      <c r="C14" s="64">
        <v>11.3</v>
      </c>
      <c r="D14" s="64">
        <v>10.58</v>
      </c>
      <c r="E14" s="64">
        <v>3.92</v>
      </c>
      <c r="F14" s="64">
        <v>7.14</v>
      </c>
      <c r="G14" s="64">
        <v>61.52</v>
      </c>
      <c r="H14" s="64">
        <v>16.62</v>
      </c>
      <c r="I14" s="64">
        <v>1.24</v>
      </c>
      <c r="J14" s="64">
        <v>0.08</v>
      </c>
      <c r="K14" s="64">
        <v>312.52999999999997</v>
      </c>
      <c r="L14" s="64">
        <v>25.57</v>
      </c>
      <c r="M14" s="64">
        <v>98.59</v>
      </c>
      <c r="N14" s="64">
        <v>43.3</v>
      </c>
      <c r="O14" s="64">
        <v>0</v>
      </c>
      <c r="P14" s="64">
        <v>0.31</v>
      </c>
      <c r="Q14" s="64">
        <v>9.0399999999999991</v>
      </c>
      <c r="R14" s="198"/>
      <c r="S14" s="198"/>
      <c r="T14" s="198"/>
      <c r="U14" s="198"/>
    </row>
    <row r="15" spans="1:21" s="12" customFormat="1" x14ac:dyDescent="0.25">
      <c r="A15" s="213" t="s">
        <v>1402</v>
      </c>
      <c r="B15" s="64">
        <v>6.09</v>
      </c>
      <c r="C15" s="64">
        <v>11.04</v>
      </c>
      <c r="D15" s="64">
        <v>10.66</v>
      </c>
      <c r="E15" s="64">
        <v>3.78</v>
      </c>
      <c r="F15" s="64">
        <v>6.31</v>
      </c>
      <c r="G15" s="64">
        <v>61.52</v>
      </c>
      <c r="H15" s="64">
        <v>16.62</v>
      </c>
      <c r="I15" s="64">
        <v>1.2</v>
      </c>
      <c r="J15" s="64">
        <v>0.11</v>
      </c>
      <c r="K15" s="64">
        <v>315.82</v>
      </c>
      <c r="L15" s="64">
        <v>25.55</v>
      </c>
      <c r="M15" s="64">
        <v>98.6</v>
      </c>
      <c r="N15" s="64">
        <v>43.2</v>
      </c>
      <c r="O15" s="64">
        <v>0</v>
      </c>
      <c r="P15" s="64">
        <v>0.3</v>
      </c>
      <c r="Q15" s="64">
        <v>9.01</v>
      </c>
      <c r="R15" s="198"/>
      <c r="S15" s="198"/>
      <c r="T15" s="198"/>
      <c r="U15" s="198"/>
    </row>
    <row r="16" spans="1:21" s="12" customFormat="1" x14ac:dyDescent="0.25">
      <c r="A16" s="213" t="s">
        <v>1403</v>
      </c>
      <c r="B16" s="64">
        <v>6.04</v>
      </c>
      <c r="C16" s="64">
        <v>11.1</v>
      </c>
      <c r="D16" s="64">
        <v>10.64</v>
      </c>
      <c r="E16" s="64">
        <v>3.97</v>
      </c>
      <c r="F16" s="64">
        <v>5.59</v>
      </c>
      <c r="G16" s="64">
        <v>61.52</v>
      </c>
      <c r="H16" s="64">
        <v>16.62</v>
      </c>
      <c r="I16" s="64">
        <v>1.1599999999999999</v>
      </c>
      <c r="J16" s="64">
        <v>0.17</v>
      </c>
      <c r="K16" s="64">
        <v>303.08999999999997</v>
      </c>
      <c r="L16" s="64">
        <v>25.55</v>
      </c>
      <c r="M16" s="64">
        <v>98.62</v>
      </c>
      <c r="N16" s="64">
        <v>43.3</v>
      </c>
      <c r="O16" s="64">
        <v>0</v>
      </c>
      <c r="P16" s="64">
        <v>0.28999999999999998</v>
      </c>
      <c r="Q16" s="64">
        <v>9.01</v>
      </c>
      <c r="R16" s="198"/>
      <c r="S16" s="198"/>
      <c r="T16" s="198"/>
      <c r="U16" s="198"/>
    </row>
    <row r="17" spans="1:21" s="12" customFormat="1" x14ac:dyDescent="0.25">
      <c r="A17" s="213" t="s">
        <v>1404</v>
      </c>
      <c r="B17" s="64">
        <v>6.44</v>
      </c>
      <c r="C17" s="64">
        <v>11</v>
      </c>
      <c r="D17" s="64">
        <v>10.91</v>
      </c>
      <c r="E17" s="64">
        <v>3.84</v>
      </c>
      <c r="F17" s="64">
        <v>5.1100000000000003</v>
      </c>
      <c r="G17" s="64">
        <v>56.35</v>
      </c>
      <c r="H17" s="64">
        <v>14.41</v>
      </c>
      <c r="I17" s="64">
        <v>1.1299999999999999</v>
      </c>
      <c r="J17" s="64">
        <v>0.24</v>
      </c>
      <c r="K17" s="64">
        <v>294.64999999999998</v>
      </c>
      <c r="L17" s="64">
        <v>25.46</v>
      </c>
      <c r="M17" s="64">
        <v>98.63</v>
      </c>
      <c r="N17" s="64">
        <v>43.3</v>
      </c>
      <c r="O17" s="64">
        <v>0</v>
      </c>
      <c r="P17" s="64">
        <v>0.33</v>
      </c>
      <c r="Q17" s="64">
        <v>9</v>
      </c>
      <c r="R17" s="198"/>
      <c r="S17" s="198"/>
      <c r="T17" s="198"/>
      <c r="U17" s="198"/>
    </row>
    <row r="18" spans="1:21" s="12" customFormat="1" x14ac:dyDescent="0.25">
      <c r="A18" s="213" t="s">
        <v>1405</v>
      </c>
      <c r="B18" s="64">
        <v>6.14</v>
      </c>
      <c r="C18" s="64">
        <v>11.5</v>
      </c>
      <c r="D18" s="64">
        <v>10.93</v>
      </c>
      <c r="E18" s="64">
        <v>4.0199999999999996</v>
      </c>
      <c r="F18" s="64">
        <v>6.45</v>
      </c>
      <c r="G18" s="64">
        <v>53.22</v>
      </c>
      <c r="H18" s="64">
        <v>13.07</v>
      </c>
      <c r="I18" s="64">
        <v>1.0900000000000001</v>
      </c>
      <c r="J18" s="64">
        <v>0.21</v>
      </c>
      <c r="K18" s="64">
        <v>298.39</v>
      </c>
      <c r="L18" s="64">
        <v>25.58</v>
      </c>
      <c r="M18" s="64">
        <v>98.65</v>
      </c>
      <c r="N18" s="64">
        <v>43.2</v>
      </c>
      <c r="O18" s="64">
        <v>0</v>
      </c>
      <c r="P18" s="64">
        <v>0.33</v>
      </c>
      <c r="Q18" s="64">
        <v>9.02</v>
      </c>
      <c r="R18" s="198"/>
      <c r="S18" s="198"/>
      <c r="T18" s="198"/>
      <c r="U18" s="198"/>
    </row>
    <row r="19" spans="1:21" s="12" customFormat="1" x14ac:dyDescent="0.25">
      <c r="A19" s="213" t="s">
        <v>1406</v>
      </c>
      <c r="B19" s="64">
        <v>5.37</v>
      </c>
      <c r="C19" s="64">
        <v>12.55</v>
      </c>
      <c r="D19" s="64">
        <v>10.86</v>
      </c>
      <c r="E19" s="64">
        <v>3.94</v>
      </c>
      <c r="F19" s="64">
        <v>8.58</v>
      </c>
      <c r="G19" s="64">
        <v>53.22</v>
      </c>
      <c r="H19" s="64">
        <v>13.07</v>
      </c>
      <c r="I19" s="64">
        <v>1.07</v>
      </c>
      <c r="J19" s="64">
        <v>0.15</v>
      </c>
      <c r="K19" s="64">
        <v>295.91000000000003</v>
      </c>
      <c r="L19" s="64">
        <v>25.59</v>
      </c>
      <c r="M19" s="64">
        <v>98.64</v>
      </c>
      <c r="N19" s="64">
        <v>43.4</v>
      </c>
      <c r="O19" s="64">
        <v>0</v>
      </c>
      <c r="P19" s="64">
        <v>0.3</v>
      </c>
      <c r="Q19" s="64">
        <v>9.0299999999999994</v>
      </c>
      <c r="R19" s="198"/>
      <c r="S19" s="198"/>
      <c r="T19" s="198"/>
      <c r="U19" s="198"/>
    </row>
    <row r="20" spans="1:21" s="12" customFormat="1" x14ac:dyDescent="0.25">
      <c r="A20" s="213" t="s">
        <v>1407</v>
      </c>
      <c r="B20" s="64">
        <v>5.04</v>
      </c>
      <c r="C20" s="64">
        <v>13.68</v>
      </c>
      <c r="D20" s="64">
        <v>11.19</v>
      </c>
      <c r="E20" s="64">
        <v>3.94</v>
      </c>
      <c r="F20" s="64">
        <v>9.6</v>
      </c>
      <c r="G20" s="64">
        <v>53.22</v>
      </c>
      <c r="H20" s="64">
        <v>13.07</v>
      </c>
      <c r="I20" s="64">
        <v>1.06</v>
      </c>
      <c r="J20" s="64">
        <v>0.09</v>
      </c>
      <c r="K20" s="64">
        <v>282.07</v>
      </c>
      <c r="L20" s="64">
        <v>25.43</v>
      </c>
      <c r="M20" s="64">
        <v>98.65</v>
      </c>
      <c r="N20" s="64">
        <v>43.4</v>
      </c>
      <c r="O20" s="64">
        <v>0</v>
      </c>
      <c r="P20" s="64">
        <v>0.26</v>
      </c>
      <c r="Q20" s="64">
        <v>9.02</v>
      </c>
      <c r="R20" s="198"/>
      <c r="S20" s="198"/>
      <c r="T20" s="198"/>
      <c r="U20" s="198"/>
    </row>
    <row r="21" spans="1:21" s="12" customFormat="1" x14ac:dyDescent="0.25">
      <c r="A21" s="213" t="s">
        <v>1408</v>
      </c>
      <c r="B21" s="64">
        <v>7.44</v>
      </c>
      <c r="C21" s="64">
        <v>15.49</v>
      </c>
      <c r="D21" s="64">
        <v>14.06</v>
      </c>
      <c r="E21" s="64">
        <v>3.83</v>
      </c>
      <c r="F21" s="64">
        <v>9.6</v>
      </c>
      <c r="G21" s="64">
        <v>51.66</v>
      </c>
      <c r="H21" s="64">
        <v>17.73</v>
      </c>
      <c r="I21" s="64">
        <v>1.06</v>
      </c>
      <c r="J21" s="64">
        <v>0.1</v>
      </c>
      <c r="K21" s="64">
        <v>308.36</v>
      </c>
      <c r="L21" s="64">
        <v>25.2</v>
      </c>
      <c r="M21" s="64">
        <v>98.62</v>
      </c>
      <c r="N21" s="64">
        <v>43.5</v>
      </c>
      <c r="O21" s="64">
        <v>0</v>
      </c>
      <c r="P21" s="64">
        <v>0.24</v>
      </c>
      <c r="Q21" s="64">
        <v>9.02</v>
      </c>
      <c r="R21" s="198"/>
      <c r="S21" s="198"/>
      <c r="T21" s="198"/>
      <c r="U21" s="198"/>
    </row>
    <row r="22" spans="1:21" s="12" customFormat="1" x14ac:dyDescent="0.25">
      <c r="A22" s="213" t="s">
        <v>1409</v>
      </c>
      <c r="B22" s="64">
        <v>6.42</v>
      </c>
      <c r="C22" s="64">
        <v>15.28</v>
      </c>
      <c r="D22" s="64">
        <v>13.13</v>
      </c>
      <c r="E22" s="64">
        <v>4.0599999999999996</v>
      </c>
      <c r="F22" s="64">
        <v>9.7200000000000006</v>
      </c>
      <c r="G22" s="64">
        <v>50.71</v>
      </c>
      <c r="H22" s="64">
        <v>20.56</v>
      </c>
      <c r="I22" s="64">
        <v>1.07</v>
      </c>
      <c r="J22" s="64">
        <v>0.06</v>
      </c>
      <c r="K22" s="64">
        <v>309.20999999999998</v>
      </c>
      <c r="L22" s="64">
        <v>24.99</v>
      </c>
      <c r="M22" s="64">
        <v>98.65</v>
      </c>
      <c r="N22" s="64">
        <v>43.5</v>
      </c>
      <c r="O22" s="64">
        <v>0</v>
      </c>
      <c r="P22" s="64">
        <v>0.22</v>
      </c>
      <c r="Q22" s="64">
        <v>9.0299999999999994</v>
      </c>
      <c r="R22" s="198"/>
      <c r="S22" s="198"/>
      <c r="T22" s="198"/>
      <c r="U22" s="198"/>
    </row>
    <row r="23" spans="1:21" s="12" customFormat="1" x14ac:dyDescent="0.25">
      <c r="A23" s="213" t="s">
        <v>1410</v>
      </c>
      <c r="B23" s="64">
        <v>5.51</v>
      </c>
      <c r="C23" s="64">
        <v>15.46</v>
      </c>
      <c r="D23" s="64">
        <v>12.5</v>
      </c>
      <c r="E23" s="64">
        <v>4.07</v>
      </c>
      <c r="F23" s="64">
        <v>10.02</v>
      </c>
      <c r="G23" s="64">
        <v>50.71</v>
      </c>
      <c r="H23" s="64">
        <v>20.56</v>
      </c>
      <c r="I23" s="64">
        <v>1.06</v>
      </c>
      <c r="J23" s="64">
        <v>0.06</v>
      </c>
      <c r="K23" s="64">
        <v>248.18</v>
      </c>
      <c r="L23" s="64">
        <v>24.87</v>
      </c>
      <c r="M23" s="64">
        <v>98.65</v>
      </c>
      <c r="N23" s="64">
        <v>43.6</v>
      </c>
      <c r="O23" s="64">
        <v>0</v>
      </c>
      <c r="P23" s="64">
        <v>0.26</v>
      </c>
      <c r="Q23" s="64">
        <v>9.0500000000000007</v>
      </c>
      <c r="R23" s="198"/>
      <c r="S23" s="198"/>
      <c r="T23" s="198"/>
      <c r="U23" s="198"/>
    </row>
    <row r="24" spans="1:21" s="12" customFormat="1" x14ac:dyDescent="0.25">
      <c r="A24" s="213" t="s">
        <v>1411</v>
      </c>
      <c r="B24" s="64">
        <v>6.7</v>
      </c>
      <c r="C24" s="64">
        <v>16.93</v>
      </c>
      <c r="D24" s="64">
        <v>14.21</v>
      </c>
      <c r="E24" s="64">
        <v>4.0599999999999996</v>
      </c>
      <c r="F24" s="64">
        <v>9.14</v>
      </c>
      <c r="G24" s="64">
        <v>50.71</v>
      </c>
      <c r="H24" s="64">
        <v>20.56</v>
      </c>
      <c r="I24" s="64">
        <v>1.06</v>
      </c>
      <c r="J24" s="64">
        <v>0.05</v>
      </c>
      <c r="K24" s="64">
        <v>293.77999999999997</v>
      </c>
      <c r="L24" s="64">
        <v>24.73</v>
      </c>
      <c r="M24" s="64">
        <v>98.66</v>
      </c>
      <c r="N24" s="64">
        <v>43.5</v>
      </c>
      <c r="O24" s="64">
        <v>0</v>
      </c>
      <c r="P24" s="64">
        <v>0.28999999999999998</v>
      </c>
      <c r="Q24" s="64">
        <v>9.06</v>
      </c>
      <c r="R24" s="198"/>
      <c r="S24" s="198"/>
      <c r="T24" s="198"/>
      <c r="U24" s="198"/>
    </row>
    <row r="25" spans="1:21" s="12" customFormat="1" x14ac:dyDescent="0.25">
      <c r="A25" s="213" t="s">
        <v>1412</v>
      </c>
      <c r="B25" s="64">
        <v>7.01</v>
      </c>
      <c r="C25" s="64">
        <v>13.8</v>
      </c>
      <c r="D25" s="64">
        <v>12.83</v>
      </c>
      <c r="E25" s="64">
        <v>3.95</v>
      </c>
      <c r="F25" s="64">
        <v>7.25</v>
      </c>
      <c r="G25" s="64">
        <v>50.32</v>
      </c>
      <c r="H25" s="64">
        <v>17.96</v>
      </c>
      <c r="I25" s="64">
        <v>1.1499999999999999</v>
      </c>
      <c r="J25" s="64">
        <v>0.08</v>
      </c>
      <c r="K25" s="64">
        <v>268.82</v>
      </c>
      <c r="L25" s="64">
        <v>24.65</v>
      </c>
      <c r="M25" s="64">
        <v>98.67</v>
      </c>
      <c r="N25" s="64">
        <v>43.6</v>
      </c>
      <c r="O25" s="64">
        <v>0</v>
      </c>
      <c r="P25" s="64">
        <v>0.28000000000000003</v>
      </c>
      <c r="Q25" s="64">
        <v>9.06</v>
      </c>
      <c r="R25" s="198"/>
      <c r="S25" s="198"/>
      <c r="T25" s="198"/>
      <c r="U25" s="198"/>
    </row>
    <row r="26" spans="1:21" s="12" customFormat="1" x14ac:dyDescent="0.25">
      <c r="A26" s="213" t="s">
        <v>1413</v>
      </c>
      <c r="B26" s="64">
        <v>6.75</v>
      </c>
      <c r="C26" s="64">
        <v>12.57</v>
      </c>
      <c r="D26" s="64">
        <v>11.98</v>
      </c>
      <c r="E26" s="64">
        <v>4.4000000000000004</v>
      </c>
      <c r="F26" s="64">
        <v>5.83</v>
      </c>
      <c r="G26" s="64">
        <v>50.08</v>
      </c>
      <c r="H26" s="64">
        <v>16.38</v>
      </c>
      <c r="I26" s="64">
        <v>1.19</v>
      </c>
      <c r="J26" s="64">
        <v>0.06</v>
      </c>
      <c r="K26" s="64">
        <v>269.04000000000002</v>
      </c>
      <c r="L26" s="64">
        <v>24.58</v>
      </c>
      <c r="M26" s="64">
        <v>98.69</v>
      </c>
      <c r="N26" s="64">
        <v>43.8</v>
      </c>
      <c r="O26" s="64">
        <v>0</v>
      </c>
      <c r="P26" s="64">
        <v>0.3</v>
      </c>
      <c r="Q26" s="64">
        <v>9.0500000000000007</v>
      </c>
      <c r="R26" s="198"/>
      <c r="S26" s="198"/>
      <c r="T26" s="198"/>
      <c r="U26" s="198"/>
    </row>
    <row r="27" spans="1:21" s="12" customFormat="1" x14ac:dyDescent="0.25">
      <c r="A27" s="213" t="s">
        <v>1414</v>
      </c>
      <c r="B27" s="64">
        <v>6.82</v>
      </c>
      <c r="C27" s="64">
        <v>12.06</v>
      </c>
      <c r="D27" s="64">
        <v>11.77</v>
      </c>
      <c r="E27" s="64">
        <v>4.1399999999999997</v>
      </c>
      <c r="F27" s="64">
        <v>4.91</v>
      </c>
      <c r="G27" s="64">
        <v>50.08</v>
      </c>
      <c r="H27" s="64">
        <v>16.38</v>
      </c>
      <c r="I27" s="64">
        <v>1.19</v>
      </c>
      <c r="J27" s="64">
        <v>0.04</v>
      </c>
      <c r="K27" s="64">
        <v>279.93</v>
      </c>
      <c r="L27" s="64">
        <v>24.48</v>
      </c>
      <c r="M27" s="64">
        <v>98.73</v>
      </c>
      <c r="N27" s="64">
        <v>43.8</v>
      </c>
      <c r="O27" s="64">
        <v>0</v>
      </c>
      <c r="P27" s="64">
        <v>0.28000000000000003</v>
      </c>
      <c r="Q27" s="64">
        <v>9.0399999999999991</v>
      </c>
      <c r="R27" s="198"/>
      <c r="S27" s="198"/>
      <c r="T27" s="198"/>
      <c r="U27" s="198"/>
    </row>
    <row r="28" spans="1:21" s="12" customFormat="1" x14ac:dyDescent="0.25">
      <c r="A28" s="213" t="s">
        <v>1415</v>
      </c>
      <c r="B28" s="64">
        <v>6.46</v>
      </c>
      <c r="C28" s="64">
        <v>12.57</v>
      </c>
      <c r="D28" s="64">
        <v>11.75</v>
      </c>
      <c r="E28" s="64">
        <v>4.16</v>
      </c>
      <c r="F28" s="64">
        <v>6.28</v>
      </c>
      <c r="G28" s="64">
        <v>50.08</v>
      </c>
      <c r="H28" s="64">
        <v>16.38</v>
      </c>
      <c r="I28" s="64">
        <v>1.18</v>
      </c>
      <c r="J28" s="64">
        <v>0.06</v>
      </c>
      <c r="K28" s="64">
        <v>251.79</v>
      </c>
      <c r="L28" s="64">
        <v>24.37</v>
      </c>
      <c r="M28" s="64">
        <v>98.72</v>
      </c>
      <c r="N28" s="64">
        <v>43.8</v>
      </c>
      <c r="O28" s="64">
        <v>0</v>
      </c>
      <c r="P28" s="64">
        <v>0.24</v>
      </c>
      <c r="Q28" s="64">
        <v>9.0299999999999994</v>
      </c>
      <c r="R28" s="198"/>
      <c r="S28" s="198"/>
      <c r="T28" s="198"/>
      <c r="U28" s="198"/>
    </row>
    <row r="29" spans="1:21" s="12" customFormat="1" x14ac:dyDescent="0.25">
      <c r="A29" s="213" t="s">
        <v>1416</v>
      </c>
      <c r="B29" s="64">
        <v>6.48</v>
      </c>
      <c r="C29" s="64">
        <v>12.67</v>
      </c>
      <c r="D29" s="64">
        <v>11.82</v>
      </c>
      <c r="E29" s="64">
        <v>3.79</v>
      </c>
      <c r="F29" s="64">
        <v>6.51</v>
      </c>
      <c r="G29" s="64">
        <v>50.5</v>
      </c>
      <c r="H29" s="64">
        <v>13.32</v>
      </c>
      <c r="I29" s="64">
        <v>1.18</v>
      </c>
      <c r="J29" s="64">
        <v>0.17</v>
      </c>
      <c r="K29" s="64">
        <v>127.39</v>
      </c>
      <c r="L29" s="64">
        <v>24.28</v>
      </c>
      <c r="M29" s="64">
        <v>98.66</v>
      </c>
      <c r="N29" s="64">
        <v>43.9</v>
      </c>
      <c r="O29" s="64">
        <v>0</v>
      </c>
      <c r="P29" s="64">
        <v>0.26</v>
      </c>
      <c r="Q29" s="64">
        <v>9.0299999999999994</v>
      </c>
      <c r="R29" s="198"/>
      <c r="S29" s="198"/>
      <c r="T29" s="198"/>
      <c r="U29" s="198"/>
    </row>
    <row r="30" spans="1:21" s="12" customFormat="1" x14ac:dyDescent="0.25">
      <c r="A30" s="213" t="s">
        <v>1417</v>
      </c>
      <c r="B30" s="64">
        <v>5.95</v>
      </c>
      <c r="C30" s="64">
        <v>13.49</v>
      </c>
      <c r="D30" s="64">
        <v>11.82</v>
      </c>
      <c r="E30" s="64">
        <v>3.92</v>
      </c>
      <c r="F30" s="64">
        <v>5.88</v>
      </c>
      <c r="G30" s="64">
        <v>50.75</v>
      </c>
      <c r="H30" s="64">
        <v>11.47</v>
      </c>
      <c r="I30" s="64">
        <v>1.1599999999999999</v>
      </c>
      <c r="J30" s="64">
        <v>0.04</v>
      </c>
      <c r="K30" s="64">
        <v>193.47</v>
      </c>
      <c r="L30" s="64">
        <v>24.12</v>
      </c>
      <c r="M30" s="64">
        <v>98.69</v>
      </c>
      <c r="N30" s="64">
        <v>46</v>
      </c>
      <c r="O30" s="64">
        <v>0</v>
      </c>
      <c r="P30" s="64">
        <v>0.22</v>
      </c>
      <c r="Q30" s="64">
        <v>9.0299999999999994</v>
      </c>
      <c r="R30" s="198"/>
      <c r="S30" s="198"/>
      <c r="T30" s="198"/>
      <c r="U30" s="198"/>
    </row>
    <row r="31" spans="1:21" s="12" customFormat="1" x14ac:dyDescent="0.25">
      <c r="A31" s="213" t="s">
        <v>1418</v>
      </c>
      <c r="B31" s="64">
        <v>7</v>
      </c>
      <c r="C31" s="64">
        <v>11.97</v>
      </c>
      <c r="D31" s="64">
        <v>11.86</v>
      </c>
      <c r="E31" s="64">
        <v>3.92</v>
      </c>
      <c r="F31" s="64">
        <v>4.6900000000000004</v>
      </c>
      <c r="G31" s="64">
        <v>50.75</v>
      </c>
      <c r="H31" s="64">
        <v>11.47</v>
      </c>
      <c r="I31" s="64">
        <v>1.1399999999999999</v>
      </c>
      <c r="J31" s="64">
        <v>0.06</v>
      </c>
      <c r="K31" s="64">
        <v>227.92</v>
      </c>
      <c r="L31" s="64">
        <v>24.07</v>
      </c>
      <c r="M31" s="64">
        <v>98.73</v>
      </c>
      <c r="N31" s="64">
        <v>55.7</v>
      </c>
      <c r="O31" s="64">
        <v>0</v>
      </c>
      <c r="P31" s="64">
        <v>0.27</v>
      </c>
      <c r="Q31" s="64">
        <v>9.0299999999999994</v>
      </c>
      <c r="R31" s="198"/>
      <c r="S31" s="198"/>
      <c r="T31" s="198"/>
      <c r="U31" s="198"/>
    </row>
    <row r="32" spans="1:21" s="12" customFormat="1" x14ac:dyDescent="0.25">
      <c r="A32" s="213" t="s">
        <v>1419</v>
      </c>
      <c r="B32" s="64">
        <v>6.78</v>
      </c>
      <c r="C32" s="64">
        <v>13.06</v>
      </c>
      <c r="D32" s="64">
        <v>12.26</v>
      </c>
      <c r="E32" s="64">
        <v>3.92</v>
      </c>
      <c r="F32" s="64">
        <v>6.55</v>
      </c>
      <c r="G32" s="64">
        <v>50.75</v>
      </c>
      <c r="H32" s="64">
        <v>11.47</v>
      </c>
      <c r="I32" s="64">
        <v>1.1200000000000001</v>
      </c>
      <c r="J32" s="64">
        <v>0.05</v>
      </c>
      <c r="K32" s="64">
        <v>279.64999999999998</v>
      </c>
      <c r="L32" s="64">
        <v>24.23</v>
      </c>
      <c r="M32" s="64">
        <v>98.75</v>
      </c>
      <c r="N32" s="64">
        <v>72</v>
      </c>
      <c r="O32" s="64">
        <v>0</v>
      </c>
      <c r="P32" s="64">
        <v>0.22</v>
      </c>
      <c r="Q32" s="64">
        <v>9.0399999999999991</v>
      </c>
      <c r="R32" s="198"/>
      <c r="S32" s="198"/>
      <c r="T32" s="198"/>
      <c r="U32" s="198"/>
    </row>
    <row r="33" spans="1:21" s="12" customFormat="1" x14ac:dyDescent="0.25">
      <c r="A33" s="213" t="s">
        <v>1420</v>
      </c>
      <c r="B33" s="64">
        <v>7.52</v>
      </c>
      <c r="C33" s="64">
        <v>11.74</v>
      </c>
      <c r="D33" s="64">
        <v>12.17</v>
      </c>
      <c r="E33" s="64">
        <v>4.09</v>
      </c>
      <c r="F33" s="64">
        <v>5.14</v>
      </c>
      <c r="G33" s="64">
        <v>46.85</v>
      </c>
      <c r="H33" s="64">
        <v>11.54</v>
      </c>
      <c r="I33" s="64">
        <v>1.1200000000000001</v>
      </c>
      <c r="J33" s="64">
        <v>0</v>
      </c>
      <c r="K33" s="64">
        <v>338.08</v>
      </c>
      <c r="L33" s="64">
        <v>24.52</v>
      </c>
      <c r="M33" s="64">
        <v>98.78</v>
      </c>
      <c r="N33" s="64">
        <v>94.3</v>
      </c>
      <c r="O33" s="64">
        <v>0</v>
      </c>
      <c r="P33" s="64">
        <v>0.27</v>
      </c>
      <c r="Q33" s="64">
        <v>9.0399999999999991</v>
      </c>
      <c r="R33" s="198"/>
      <c r="S33" s="198"/>
      <c r="T33" s="198"/>
      <c r="U33" s="198"/>
    </row>
    <row r="34" spans="1:21" s="12" customFormat="1" x14ac:dyDescent="0.25">
      <c r="A34" s="213" t="s">
        <v>1421</v>
      </c>
      <c r="B34" s="64">
        <v>7.51</v>
      </c>
      <c r="C34" s="64">
        <v>12.6</v>
      </c>
      <c r="D34" s="64">
        <v>12.61</v>
      </c>
      <c r="E34" s="64">
        <v>4.0599999999999996</v>
      </c>
      <c r="F34" s="64">
        <v>5.6</v>
      </c>
      <c r="G34" s="64">
        <v>44.49</v>
      </c>
      <c r="H34" s="64">
        <v>11.59</v>
      </c>
      <c r="I34" s="64">
        <v>1.1000000000000001</v>
      </c>
      <c r="J34" s="64">
        <v>0.02</v>
      </c>
      <c r="K34" s="64">
        <v>273.33999999999997</v>
      </c>
      <c r="L34" s="64">
        <v>24.87</v>
      </c>
      <c r="M34" s="64">
        <v>98.79</v>
      </c>
      <c r="N34" s="64">
        <v>114.1</v>
      </c>
      <c r="O34" s="64">
        <v>0</v>
      </c>
      <c r="P34" s="64">
        <v>0.24</v>
      </c>
      <c r="Q34" s="64">
        <v>9.0500000000000007</v>
      </c>
      <c r="R34" s="198"/>
      <c r="S34" s="198"/>
      <c r="T34" s="198"/>
      <c r="U34" s="198"/>
    </row>
    <row r="35" spans="1:21" s="12" customFormat="1" x14ac:dyDescent="0.25">
      <c r="A35" s="213" t="s">
        <v>1422</v>
      </c>
      <c r="B35" s="64">
        <v>10.130000000000001</v>
      </c>
      <c r="C35" s="64">
        <v>13.19</v>
      </c>
      <c r="D35" s="64">
        <v>15.02</v>
      </c>
      <c r="E35" s="64">
        <v>3.91</v>
      </c>
      <c r="F35" s="64">
        <v>6.23</v>
      </c>
      <c r="G35" s="64">
        <v>44.49</v>
      </c>
      <c r="H35" s="64">
        <v>11.59</v>
      </c>
      <c r="I35" s="64">
        <v>1.1000000000000001</v>
      </c>
      <c r="J35" s="64">
        <v>0.05</v>
      </c>
      <c r="K35" s="64">
        <v>253.6</v>
      </c>
      <c r="L35" s="64">
        <v>25.39</v>
      </c>
      <c r="M35" s="64">
        <v>98.84</v>
      </c>
      <c r="N35" s="64">
        <v>157</v>
      </c>
      <c r="O35" s="64">
        <v>0</v>
      </c>
      <c r="P35" s="64">
        <v>0.27</v>
      </c>
      <c r="Q35" s="64">
        <v>9.0500000000000007</v>
      </c>
      <c r="R35" s="198"/>
      <c r="S35" s="198"/>
      <c r="T35" s="198"/>
      <c r="U35" s="198"/>
    </row>
    <row r="36" spans="1:21" s="12" customFormat="1" x14ac:dyDescent="0.25">
      <c r="A36" s="213" t="s">
        <v>1423</v>
      </c>
      <c r="B36" s="64">
        <v>8.74</v>
      </c>
      <c r="C36" s="64">
        <v>13.06</v>
      </c>
      <c r="D36" s="64">
        <v>13.83</v>
      </c>
      <c r="E36" s="64">
        <v>3.72</v>
      </c>
      <c r="F36" s="64">
        <v>9.99</v>
      </c>
      <c r="G36" s="64">
        <v>44.49</v>
      </c>
      <c r="H36" s="64">
        <v>11.59</v>
      </c>
      <c r="I36" s="64">
        <v>1.1000000000000001</v>
      </c>
      <c r="J36" s="64">
        <v>0.1</v>
      </c>
      <c r="K36" s="64">
        <v>260.27999999999997</v>
      </c>
      <c r="L36" s="64">
        <v>26</v>
      </c>
      <c r="M36" s="64">
        <v>98.84</v>
      </c>
      <c r="N36" s="64">
        <v>236.7</v>
      </c>
      <c r="O36" s="64">
        <v>0</v>
      </c>
      <c r="P36" s="64">
        <v>0.26</v>
      </c>
      <c r="Q36" s="64">
        <v>9.08</v>
      </c>
      <c r="R36" s="198"/>
      <c r="S36" s="198"/>
      <c r="T36" s="198"/>
      <c r="U36" s="198"/>
    </row>
    <row r="37" spans="1:21" s="12" customFormat="1" x14ac:dyDescent="0.25">
      <c r="A37" s="213" t="s">
        <v>1424</v>
      </c>
      <c r="B37" s="64">
        <v>7.48</v>
      </c>
      <c r="C37" s="64">
        <v>11.63</v>
      </c>
      <c r="D37" s="64">
        <v>12.07</v>
      </c>
      <c r="E37" s="64">
        <v>3.67</v>
      </c>
      <c r="F37" s="64">
        <v>10.11</v>
      </c>
      <c r="G37" s="64">
        <v>45.52</v>
      </c>
      <c r="H37" s="64">
        <v>13.69</v>
      </c>
      <c r="I37" s="64">
        <v>1.03</v>
      </c>
      <c r="J37" s="64">
        <v>7.0000000000000007E-2</v>
      </c>
      <c r="K37" s="64">
        <v>241.15</v>
      </c>
      <c r="L37" s="64">
        <v>26.51</v>
      </c>
      <c r="M37" s="64">
        <v>98.68</v>
      </c>
      <c r="N37" s="64">
        <v>241.3</v>
      </c>
      <c r="O37" s="64">
        <v>0</v>
      </c>
      <c r="P37" s="64">
        <v>0.2</v>
      </c>
      <c r="Q37" s="64">
        <v>9.09</v>
      </c>
      <c r="R37" s="198"/>
      <c r="S37" s="198"/>
      <c r="T37" s="198"/>
      <c r="U37" s="198"/>
    </row>
    <row r="38" spans="1:21" s="12" customFormat="1" x14ac:dyDescent="0.25">
      <c r="A38" s="213" t="s">
        <v>1425</v>
      </c>
      <c r="B38" s="64">
        <v>7.74</v>
      </c>
      <c r="C38" s="64">
        <v>11.34</v>
      </c>
      <c r="D38" s="64">
        <v>12.13</v>
      </c>
      <c r="E38" s="64">
        <v>3.95</v>
      </c>
      <c r="F38" s="64">
        <v>7.47</v>
      </c>
      <c r="G38" s="64">
        <v>46.15</v>
      </c>
      <c r="H38" s="64">
        <v>14.96</v>
      </c>
      <c r="I38" s="64">
        <v>1.04</v>
      </c>
      <c r="J38" s="64">
        <v>0.11</v>
      </c>
      <c r="K38" s="64">
        <v>270.74</v>
      </c>
      <c r="L38" s="64">
        <v>27.1</v>
      </c>
      <c r="M38" s="64">
        <v>95.89</v>
      </c>
      <c r="N38" s="64">
        <v>306.89999999999998</v>
      </c>
      <c r="O38" s="64">
        <v>0</v>
      </c>
      <c r="P38" s="64">
        <v>0.28000000000000003</v>
      </c>
      <c r="Q38" s="64">
        <v>9.1</v>
      </c>
      <c r="R38" s="198"/>
      <c r="S38" s="198"/>
      <c r="T38" s="198"/>
      <c r="U38" s="198"/>
    </row>
    <row r="39" spans="1:21" s="12" customFormat="1" x14ac:dyDescent="0.25">
      <c r="A39" s="213" t="s">
        <v>1426</v>
      </c>
      <c r="B39" s="64">
        <v>8.49</v>
      </c>
      <c r="C39" s="64">
        <v>12.03</v>
      </c>
      <c r="D39" s="64">
        <v>13.09</v>
      </c>
      <c r="E39" s="64">
        <v>3.61</v>
      </c>
      <c r="F39" s="64">
        <v>9.17</v>
      </c>
      <c r="G39" s="64">
        <v>46.15</v>
      </c>
      <c r="H39" s="64">
        <v>14.96</v>
      </c>
      <c r="I39" s="64">
        <v>1.08</v>
      </c>
      <c r="J39" s="64">
        <v>0.13</v>
      </c>
      <c r="K39" s="64">
        <v>258.67</v>
      </c>
      <c r="L39" s="64">
        <v>27.72</v>
      </c>
      <c r="M39" s="64">
        <v>92.38</v>
      </c>
      <c r="N39" s="64">
        <v>381.4</v>
      </c>
      <c r="O39" s="64">
        <v>0</v>
      </c>
      <c r="P39" s="64">
        <v>0.25</v>
      </c>
      <c r="Q39" s="64">
        <v>9.1</v>
      </c>
      <c r="R39" s="198"/>
      <c r="S39" s="198"/>
      <c r="T39" s="198"/>
      <c r="U39" s="198"/>
    </row>
    <row r="40" spans="1:21" s="12" customFormat="1" x14ac:dyDescent="0.25">
      <c r="A40" s="213" t="s">
        <v>1427</v>
      </c>
      <c r="B40" s="64">
        <v>10.039999999999999</v>
      </c>
      <c r="C40" s="64">
        <v>13.17</v>
      </c>
      <c r="D40" s="64">
        <v>14.93</v>
      </c>
      <c r="E40" s="64">
        <v>4.25</v>
      </c>
      <c r="F40" s="64">
        <v>6.84</v>
      </c>
      <c r="G40" s="64">
        <v>46.15</v>
      </c>
      <c r="H40" s="64">
        <v>14.96</v>
      </c>
      <c r="I40" s="64">
        <v>1.08</v>
      </c>
      <c r="J40" s="64">
        <v>0.16</v>
      </c>
      <c r="K40" s="64">
        <v>261.64999999999998</v>
      </c>
      <c r="L40" s="64">
        <v>28.2</v>
      </c>
      <c r="M40" s="64">
        <v>90.07</v>
      </c>
      <c r="N40" s="64">
        <v>418.5</v>
      </c>
      <c r="O40" s="64">
        <v>0</v>
      </c>
      <c r="P40" s="64">
        <v>0.25</v>
      </c>
      <c r="Q40" s="64">
        <v>9.11</v>
      </c>
      <c r="R40" s="198"/>
      <c r="S40" s="198"/>
      <c r="T40" s="198"/>
      <c r="U40" s="198"/>
    </row>
    <row r="41" spans="1:21" s="12" customFormat="1" x14ac:dyDescent="0.25">
      <c r="A41" s="213" t="s">
        <v>1428</v>
      </c>
      <c r="B41" s="64">
        <v>10.3</v>
      </c>
      <c r="C41" s="64">
        <v>12.43</v>
      </c>
      <c r="D41" s="64">
        <v>14.75</v>
      </c>
      <c r="E41" s="64">
        <v>4.38</v>
      </c>
      <c r="F41" s="64">
        <v>7.95</v>
      </c>
      <c r="G41" s="64">
        <v>47.85</v>
      </c>
      <c r="H41" s="64">
        <v>13.98</v>
      </c>
      <c r="I41" s="64">
        <v>1.0900000000000001</v>
      </c>
      <c r="J41" s="64">
        <v>0.17</v>
      </c>
      <c r="K41" s="64">
        <v>292.14</v>
      </c>
      <c r="L41" s="64">
        <v>29.48</v>
      </c>
      <c r="M41" s="64">
        <v>83.07</v>
      </c>
      <c r="N41" s="64">
        <v>427.7</v>
      </c>
      <c r="O41" s="64">
        <v>0</v>
      </c>
      <c r="P41" s="64">
        <v>0.28999999999999998</v>
      </c>
      <c r="Q41" s="64">
        <v>9.11</v>
      </c>
      <c r="R41" s="198"/>
      <c r="S41" s="198"/>
      <c r="T41" s="198"/>
      <c r="U41" s="198"/>
    </row>
    <row r="42" spans="1:21" s="12" customFormat="1" x14ac:dyDescent="0.25">
      <c r="A42" s="213" t="s">
        <v>1429</v>
      </c>
      <c r="B42" s="64">
        <v>9.2200000000000006</v>
      </c>
      <c r="C42" s="64">
        <v>12.85</v>
      </c>
      <c r="D42" s="64">
        <v>14.11</v>
      </c>
      <c r="E42" s="64">
        <v>4.45</v>
      </c>
      <c r="F42" s="64">
        <v>6.84</v>
      </c>
      <c r="G42" s="64">
        <v>48.88</v>
      </c>
      <c r="H42" s="64">
        <v>13.39</v>
      </c>
      <c r="I42" s="64">
        <v>1</v>
      </c>
      <c r="J42" s="64">
        <v>0.16</v>
      </c>
      <c r="K42" s="64">
        <v>268.57</v>
      </c>
      <c r="L42" s="64">
        <v>29.05</v>
      </c>
      <c r="M42" s="64">
        <v>85.04</v>
      </c>
      <c r="N42" s="64">
        <v>530.70000000000005</v>
      </c>
      <c r="O42" s="64">
        <v>0</v>
      </c>
      <c r="P42" s="64">
        <v>0.33</v>
      </c>
      <c r="Q42" s="64">
        <v>9.11</v>
      </c>
      <c r="R42" s="198"/>
      <c r="S42" s="198"/>
      <c r="T42" s="198"/>
      <c r="U42" s="198"/>
    </row>
    <row r="43" spans="1:21" s="12" customFormat="1" x14ac:dyDescent="0.25">
      <c r="A43" s="213" t="s">
        <v>1430</v>
      </c>
      <c r="B43" s="64">
        <v>8.7100000000000009</v>
      </c>
      <c r="C43" s="64">
        <v>12.37</v>
      </c>
      <c r="D43" s="64">
        <v>13.45</v>
      </c>
      <c r="E43" s="64">
        <v>4.5</v>
      </c>
      <c r="F43" s="64">
        <v>4.6500000000000004</v>
      </c>
      <c r="G43" s="64">
        <v>48.88</v>
      </c>
      <c r="H43" s="64">
        <v>13.39</v>
      </c>
      <c r="I43" s="64">
        <v>1.03</v>
      </c>
      <c r="J43" s="64">
        <v>0.13</v>
      </c>
      <c r="K43" s="64">
        <v>251.48</v>
      </c>
      <c r="L43" s="64">
        <v>29.43</v>
      </c>
      <c r="M43" s="64">
        <v>83.19</v>
      </c>
      <c r="N43" s="64">
        <v>606.1</v>
      </c>
      <c r="O43" s="64">
        <v>0</v>
      </c>
      <c r="P43" s="64">
        <v>0.31</v>
      </c>
      <c r="Q43" s="64">
        <v>9.1</v>
      </c>
      <c r="R43" s="198"/>
      <c r="S43" s="198"/>
      <c r="T43" s="198"/>
      <c r="U43" s="198"/>
    </row>
    <row r="44" spans="1:21" s="12" customFormat="1" x14ac:dyDescent="0.25">
      <c r="A44" s="213" t="s">
        <v>1431</v>
      </c>
      <c r="B44" s="64">
        <v>8.3800000000000008</v>
      </c>
      <c r="C44" s="64">
        <v>12.65</v>
      </c>
      <c r="D44" s="64">
        <v>13.33</v>
      </c>
      <c r="E44" s="64">
        <v>4.42</v>
      </c>
      <c r="F44" s="64">
        <v>5.86</v>
      </c>
      <c r="G44" s="64">
        <v>48.88</v>
      </c>
      <c r="H44" s="64">
        <v>13.39</v>
      </c>
      <c r="I44" s="64">
        <v>1.06</v>
      </c>
      <c r="J44" s="64">
        <v>0.17</v>
      </c>
      <c r="K44" s="64">
        <v>265.07</v>
      </c>
      <c r="L44" s="64">
        <v>29.4</v>
      </c>
      <c r="M44" s="64">
        <v>83.42</v>
      </c>
      <c r="N44" s="64">
        <v>653.20000000000005</v>
      </c>
      <c r="O44" s="64">
        <v>0</v>
      </c>
      <c r="P44" s="64">
        <v>0.31</v>
      </c>
      <c r="Q44" s="64">
        <v>9.08</v>
      </c>
      <c r="R44" s="198"/>
      <c r="S44" s="198"/>
      <c r="T44" s="198"/>
      <c r="U44" s="198"/>
    </row>
    <row r="45" spans="1:21" s="12" customFormat="1" x14ac:dyDescent="0.25">
      <c r="A45" s="213" t="s">
        <v>1432</v>
      </c>
      <c r="B45" s="64">
        <v>8.01</v>
      </c>
      <c r="C45" s="64">
        <v>12.87</v>
      </c>
      <c r="D45" s="64">
        <v>13.15</v>
      </c>
      <c r="E45" s="64">
        <v>4.49</v>
      </c>
      <c r="F45" s="64">
        <v>5.13</v>
      </c>
      <c r="G45" s="64">
        <v>50.15</v>
      </c>
      <c r="H45" s="64">
        <v>10.9</v>
      </c>
      <c r="I45" s="64">
        <v>1.1599999999999999</v>
      </c>
      <c r="J45" s="64">
        <v>0.19</v>
      </c>
      <c r="K45" s="64">
        <v>282.97000000000003</v>
      </c>
      <c r="L45" s="64">
        <v>29.71</v>
      </c>
      <c r="M45" s="64">
        <v>80.95</v>
      </c>
      <c r="N45" s="64">
        <v>690.5</v>
      </c>
      <c r="O45" s="64">
        <v>0</v>
      </c>
      <c r="P45" s="64">
        <v>0.32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3" t="s">
        <v>1433</v>
      </c>
      <c r="B46" s="64">
        <v>7.73</v>
      </c>
      <c r="C46" s="64">
        <v>13.49</v>
      </c>
      <c r="D46" s="64">
        <v>13.24</v>
      </c>
      <c r="E46" s="64">
        <v>4.17</v>
      </c>
      <c r="F46" s="64">
        <v>3.58</v>
      </c>
      <c r="G46" s="64">
        <v>50.92</v>
      </c>
      <c r="H46" s="64">
        <v>9.39</v>
      </c>
      <c r="I46" s="64">
        <v>1.28</v>
      </c>
      <c r="J46" s="64">
        <v>0.18</v>
      </c>
      <c r="K46" s="64">
        <v>282.95</v>
      </c>
      <c r="L46" s="64">
        <v>29.82</v>
      </c>
      <c r="M46" s="64">
        <v>79.03</v>
      </c>
      <c r="N46" s="64">
        <v>727.1</v>
      </c>
      <c r="O46" s="64">
        <v>0</v>
      </c>
      <c r="P46" s="64">
        <v>0.33</v>
      </c>
      <c r="Q46" s="64">
        <v>9.0500000000000007</v>
      </c>
      <c r="R46" s="198"/>
      <c r="S46" s="198"/>
      <c r="T46" s="198"/>
      <c r="U46" s="198"/>
    </row>
    <row r="47" spans="1:21" s="12" customFormat="1" x14ac:dyDescent="0.25">
      <c r="A47" s="213" t="s">
        <v>1434</v>
      </c>
      <c r="B47" s="64">
        <v>7.16</v>
      </c>
      <c r="C47" s="64">
        <v>14</v>
      </c>
      <c r="D47" s="64">
        <v>13.06</v>
      </c>
      <c r="E47" s="64">
        <v>4.18</v>
      </c>
      <c r="F47" s="64">
        <v>4.55</v>
      </c>
      <c r="G47" s="64">
        <v>50.92</v>
      </c>
      <c r="H47" s="64">
        <v>9.39</v>
      </c>
      <c r="I47" s="64">
        <v>1.33</v>
      </c>
      <c r="J47" s="64">
        <v>0.26</v>
      </c>
      <c r="K47" s="64">
        <v>286.95</v>
      </c>
      <c r="L47" s="64">
        <v>29.99</v>
      </c>
      <c r="M47" s="64">
        <v>78.08</v>
      </c>
      <c r="N47" s="64">
        <v>731.6</v>
      </c>
      <c r="O47" s="64">
        <v>0</v>
      </c>
      <c r="P47" s="64">
        <v>0.36</v>
      </c>
      <c r="Q47" s="64">
        <v>9.0399999999999991</v>
      </c>
      <c r="R47" s="198"/>
      <c r="S47" s="198"/>
      <c r="T47" s="198"/>
      <c r="U47" s="198"/>
    </row>
    <row r="48" spans="1:21" s="12" customFormat="1" x14ac:dyDescent="0.25">
      <c r="A48" s="213" t="s">
        <v>1435</v>
      </c>
      <c r="B48" s="64">
        <v>6.86</v>
      </c>
      <c r="C48" s="64">
        <v>15.64</v>
      </c>
      <c r="D48" s="64">
        <v>13.67</v>
      </c>
      <c r="E48" s="64">
        <v>4.0999999999999996</v>
      </c>
      <c r="F48" s="64">
        <v>4.34</v>
      </c>
      <c r="G48" s="64">
        <v>50.92</v>
      </c>
      <c r="H48" s="64">
        <v>9.39</v>
      </c>
      <c r="I48" s="64">
        <v>1.39</v>
      </c>
      <c r="J48" s="64">
        <v>0.22</v>
      </c>
      <c r="K48" s="64">
        <v>252.86</v>
      </c>
      <c r="L48" s="64">
        <v>30.29</v>
      </c>
      <c r="M48" s="64">
        <v>75.849999999999994</v>
      </c>
      <c r="N48" s="64">
        <v>806.5</v>
      </c>
      <c r="O48" s="64">
        <v>0</v>
      </c>
      <c r="P48" s="64">
        <v>0.4</v>
      </c>
      <c r="Q48" s="64">
        <v>9.0299999999999994</v>
      </c>
      <c r="R48" s="198"/>
      <c r="S48" s="198"/>
      <c r="T48" s="198"/>
      <c r="U48" s="198"/>
    </row>
    <row r="49" spans="1:21" s="12" customFormat="1" x14ac:dyDescent="0.25">
      <c r="A49" s="213" t="s">
        <v>1436</v>
      </c>
      <c r="B49" s="64">
        <v>6.59</v>
      </c>
      <c r="C49" s="64">
        <v>16.32</v>
      </c>
      <c r="D49" s="64">
        <v>13.81</v>
      </c>
      <c r="E49" s="64">
        <v>3.83</v>
      </c>
      <c r="F49" s="64">
        <v>4.63</v>
      </c>
      <c r="G49" s="64">
        <v>56.44</v>
      </c>
      <c r="H49" s="64">
        <v>15.12</v>
      </c>
      <c r="I49" s="64">
        <v>1.44</v>
      </c>
      <c r="J49" s="64">
        <v>0.27</v>
      </c>
      <c r="K49" s="64">
        <v>290.52</v>
      </c>
      <c r="L49" s="64">
        <v>30.11</v>
      </c>
      <c r="M49" s="64">
        <v>75.84</v>
      </c>
      <c r="N49" s="64">
        <v>846.4</v>
      </c>
      <c r="O49" s="64">
        <v>0</v>
      </c>
      <c r="P49" s="64">
        <v>0.4</v>
      </c>
      <c r="Q49" s="64">
        <v>9.02</v>
      </c>
      <c r="R49" s="198"/>
      <c r="S49" s="198"/>
      <c r="T49" s="198"/>
      <c r="U49" s="198"/>
    </row>
    <row r="50" spans="1:21" s="12" customFormat="1" x14ac:dyDescent="0.25">
      <c r="A50" s="213" t="s">
        <v>1437</v>
      </c>
      <c r="B50" s="64">
        <v>5.82</v>
      </c>
      <c r="C50" s="64">
        <v>16.37</v>
      </c>
      <c r="D50" s="64">
        <v>13.22</v>
      </c>
      <c r="E50" s="64">
        <v>3.93</v>
      </c>
      <c r="F50" s="64">
        <v>4.51</v>
      </c>
      <c r="G50" s="64">
        <v>59.79</v>
      </c>
      <c r="H50" s="64">
        <v>18.59</v>
      </c>
      <c r="I50" s="64">
        <v>1.51</v>
      </c>
      <c r="J50" s="64">
        <v>0.22</v>
      </c>
      <c r="K50" s="64">
        <v>292.41000000000003</v>
      </c>
      <c r="L50" s="64">
        <v>30.84</v>
      </c>
      <c r="M50" s="64">
        <v>72.489999999999995</v>
      </c>
      <c r="N50" s="64">
        <v>759.5</v>
      </c>
      <c r="O50" s="64">
        <v>0</v>
      </c>
      <c r="P50" s="64">
        <v>0.42</v>
      </c>
      <c r="Q50" s="64">
        <v>9</v>
      </c>
      <c r="R50" s="198"/>
      <c r="S50" s="198"/>
      <c r="T50" s="198"/>
      <c r="U50" s="198"/>
    </row>
    <row r="51" spans="1:21" s="12" customFormat="1" x14ac:dyDescent="0.25">
      <c r="A51" s="213" t="s">
        <v>1438</v>
      </c>
      <c r="B51" s="64">
        <v>6.03</v>
      </c>
      <c r="C51" s="64">
        <v>18.12</v>
      </c>
      <c r="D51" s="64">
        <v>14.3</v>
      </c>
      <c r="E51" s="64">
        <v>4.1500000000000004</v>
      </c>
      <c r="F51" s="64">
        <v>4.83</v>
      </c>
      <c r="G51" s="64">
        <v>59.79</v>
      </c>
      <c r="H51" s="64">
        <v>18.59</v>
      </c>
      <c r="I51" s="64">
        <v>1.56</v>
      </c>
      <c r="J51" s="64">
        <v>0.22</v>
      </c>
      <c r="K51" s="64">
        <v>291.38</v>
      </c>
      <c r="L51" s="64">
        <v>31.51</v>
      </c>
      <c r="M51" s="64">
        <v>70.98</v>
      </c>
      <c r="N51" s="64">
        <v>781.1</v>
      </c>
      <c r="O51" s="64">
        <v>0</v>
      </c>
      <c r="P51" s="64">
        <v>0.41</v>
      </c>
      <c r="Q51" s="64">
        <v>9</v>
      </c>
      <c r="R51" s="198"/>
      <c r="S51" s="198"/>
      <c r="T51" s="198"/>
      <c r="U51" s="198"/>
    </row>
    <row r="52" spans="1:21" s="12" customFormat="1" x14ac:dyDescent="0.25">
      <c r="A52" s="213" t="s">
        <v>1439</v>
      </c>
      <c r="B52" s="64">
        <v>5.6</v>
      </c>
      <c r="C52" s="64">
        <v>16.97</v>
      </c>
      <c r="D52" s="64">
        <v>13.36</v>
      </c>
      <c r="E52" s="64">
        <v>4.26</v>
      </c>
      <c r="F52" s="64">
        <v>4.1399999999999997</v>
      </c>
      <c r="G52" s="64">
        <v>59.79</v>
      </c>
      <c r="H52" s="64">
        <v>18.59</v>
      </c>
      <c r="I52" s="64">
        <v>1.58</v>
      </c>
      <c r="J52" s="64">
        <v>0.3</v>
      </c>
      <c r="K52" s="64">
        <v>286.19</v>
      </c>
      <c r="L52" s="64">
        <v>32.17</v>
      </c>
      <c r="M52" s="64">
        <v>68.16</v>
      </c>
      <c r="N52" s="64">
        <v>809.7</v>
      </c>
      <c r="O52" s="64">
        <v>0</v>
      </c>
      <c r="P52" s="64">
        <v>0.4</v>
      </c>
      <c r="Q52" s="64">
        <v>8.99</v>
      </c>
      <c r="R52" s="198"/>
      <c r="S52" s="198"/>
      <c r="T52" s="198"/>
      <c r="U52" s="198"/>
    </row>
    <row r="53" spans="1:21" s="12" customFormat="1" x14ac:dyDescent="0.25">
      <c r="A53" s="213" t="s">
        <v>1440</v>
      </c>
      <c r="B53" s="64">
        <v>4.83</v>
      </c>
      <c r="C53" s="64">
        <v>15.95</v>
      </c>
      <c r="D53" s="64">
        <v>12.21</v>
      </c>
      <c r="E53" s="64">
        <v>3.96</v>
      </c>
      <c r="F53" s="64">
        <v>5.43</v>
      </c>
      <c r="G53" s="64">
        <v>57.82</v>
      </c>
      <c r="H53" s="64">
        <v>18.46</v>
      </c>
      <c r="I53" s="64">
        <v>1.56</v>
      </c>
      <c r="J53" s="64">
        <v>0.33</v>
      </c>
      <c r="K53" s="64">
        <v>284.13</v>
      </c>
      <c r="L53" s="64">
        <v>31.56</v>
      </c>
      <c r="M53" s="64">
        <v>69.55</v>
      </c>
      <c r="N53" s="64">
        <v>933.6</v>
      </c>
      <c r="O53" s="64">
        <v>0</v>
      </c>
      <c r="P53" s="64">
        <v>0.39</v>
      </c>
      <c r="Q53" s="64">
        <v>8.99</v>
      </c>
      <c r="R53" s="198"/>
      <c r="S53" s="198"/>
      <c r="T53" s="198"/>
      <c r="U53" s="198"/>
    </row>
    <row r="54" spans="1:21" s="12" customFormat="1" x14ac:dyDescent="0.25">
      <c r="A54" s="213" t="s">
        <v>1441</v>
      </c>
      <c r="B54" s="64">
        <v>6.41</v>
      </c>
      <c r="C54" s="64">
        <v>16.690000000000001</v>
      </c>
      <c r="D54" s="64">
        <v>13.86</v>
      </c>
      <c r="E54" s="64">
        <v>4.01</v>
      </c>
      <c r="F54" s="64">
        <v>6.16</v>
      </c>
      <c r="G54" s="64">
        <v>56.63</v>
      </c>
      <c r="H54" s="64">
        <v>18.38</v>
      </c>
      <c r="I54" s="64">
        <v>1.51</v>
      </c>
      <c r="J54" s="64">
        <v>0.34</v>
      </c>
      <c r="K54" s="64">
        <v>296.58999999999997</v>
      </c>
      <c r="L54" s="64">
        <v>32</v>
      </c>
      <c r="M54" s="64">
        <v>67.61</v>
      </c>
      <c r="N54" s="64">
        <v>886.6</v>
      </c>
      <c r="O54" s="64">
        <v>0</v>
      </c>
      <c r="P54" s="64">
        <v>0.37</v>
      </c>
      <c r="Q54" s="64">
        <v>8.99</v>
      </c>
      <c r="R54" s="198"/>
      <c r="S54" s="198"/>
      <c r="T54" s="198"/>
      <c r="U54" s="198"/>
    </row>
    <row r="55" spans="1:21" s="12" customFormat="1" x14ac:dyDescent="0.25">
      <c r="A55" s="213" t="s">
        <v>1442</v>
      </c>
      <c r="B55" s="64">
        <v>5.23</v>
      </c>
      <c r="C55" s="64">
        <v>16.18</v>
      </c>
      <c r="D55" s="64">
        <v>12.65</v>
      </c>
      <c r="E55" s="64">
        <v>4.22</v>
      </c>
      <c r="F55" s="64">
        <v>4.88</v>
      </c>
      <c r="G55" s="64">
        <v>56.63</v>
      </c>
      <c r="H55" s="64">
        <v>18.38</v>
      </c>
      <c r="I55" s="64">
        <v>1.46</v>
      </c>
      <c r="J55" s="64">
        <v>0.35</v>
      </c>
      <c r="K55" s="64">
        <v>288.79000000000002</v>
      </c>
      <c r="L55" s="64">
        <v>32.26</v>
      </c>
      <c r="M55" s="64">
        <v>66.66</v>
      </c>
      <c r="N55" s="64">
        <v>858.5</v>
      </c>
      <c r="O55" s="64">
        <v>0</v>
      </c>
      <c r="P55" s="64">
        <v>0.38</v>
      </c>
      <c r="Q55" s="64">
        <v>9.01</v>
      </c>
      <c r="R55" s="198"/>
      <c r="S55" s="198"/>
      <c r="T55" s="198"/>
      <c r="U55" s="198"/>
    </row>
    <row r="56" spans="1:21" s="12" customFormat="1" x14ac:dyDescent="0.25">
      <c r="A56" s="213" t="s">
        <v>1443</v>
      </c>
      <c r="B56" s="64">
        <v>4.57</v>
      </c>
      <c r="C56" s="64">
        <v>15.67</v>
      </c>
      <c r="D56" s="64">
        <v>11.85</v>
      </c>
      <c r="E56" s="64">
        <v>4.12</v>
      </c>
      <c r="F56" s="64">
        <v>5.97</v>
      </c>
      <c r="G56" s="64">
        <v>56.63</v>
      </c>
      <c r="H56" s="64">
        <v>18.38</v>
      </c>
      <c r="I56" s="64">
        <v>1.41</v>
      </c>
      <c r="J56" s="64">
        <v>0.38</v>
      </c>
      <c r="K56" s="64">
        <v>289.67</v>
      </c>
      <c r="L56" s="64">
        <v>32.35</v>
      </c>
      <c r="M56" s="64">
        <v>65.58</v>
      </c>
      <c r="N56" s="64">
        <v>880.9</v>
      </c>
      <c r="O56" s="64">
        <v>0</v>
      </c>
      <c r="P56" s="64">
        <v>0.39</v>
      </c>
      <c r="Q56" s="64">
        <v>9.01</v>
      </c>
      <c r="R56" s="198"/>
      <c r="S56" s="198"/>
      <c r="T56" s="198"/>
      <c r="U56" s="198"/>
    </row>
    <row r="57" spans="1:21" s="12" customFormat="1" x14ac:dyDescent="0.25">
      <c r="A57" s="213" t="s">
        <v>1444</v>
      </c>
      <c r="B57" s="64">
        <v>4.99</v>
      </c>
      <c r="C57" s="64">
        <v>17.600000000000001</v>
      </c>
      <c r="D57" s="64">
        <v>13.2</v>
      </c>
      <c r="E57" s="64">
        <v>4.04</v>
      </c>
      <c r="F57" s="64">
        <v>7.53</v>
      </c>
      <c r="G57" s="64">
        <v>58.97</v>
      </c>
      <c r="H57" s="64">
        <v>18.829999999999998</v>
      </c>
      <c r="I57" s="64">
        <v>1.4</v>
      </c>
      <c r="J57" s="64">
        <v>0.32</v>
      </c>
      <c r="K57" s="64">
        <v>285.82</v>
      </c>
      <c r="L57" s="64">
        <v>32.72</v>
      </c>
      <c r="M57" s="64">
        <v>63.69</v>
      </c>
      <c r="N57" s="64">
        <v>787</v>
      </c>
      <c r="O57" s="64">
        <v>0</v>
      </c>
      <c r="P57" s="64">
        <v>0.41</v>
      </c>
      <c r="Q57" s="64">
        <v>9.01</v>
      </c>
      <c r="R57" s="198"/>
      <c r="S57" s="198"/>
      <c r="T57" s="198"/>
      <c r="U57" s="198"/>
    </row>
    <row r="58" spans="1:21" s="12" customFormat="1" x14ac:dyDescent="0.25">
      <c r="A58" s="213" t="s">
        <v>1445</v>
      </c>
      <c r="B58" s="64">
        <v>5.74</v>
      </c>
      <c r="C58" s="64">
        <v>19.61</v>
      </c>
      <c r="D58" s="64">
        <v>14.85</v>
      </c>
      <c r="E58" s="64">
        <v>4.4800000000000004</v>
      </c>
      <c r="F58" s="64">
        <v>6.5</v>
      </c>
      <c r="G58" s="64">
        <v>60.39</v>
      </c>
      <c r="H58" s="64">
        <v>19.11</v>
      </c>
      <c r="I58" s="64">
        <v>1.42</v>
      </c>
      <c r="J58" s="64">
        <v>0.27</v>
      </c>
      <c r="K58" s="64">
        <v>282.31</v>
      </c>
      <c r="L58" s="64">
        <v>31.83</v>
      </c>
      <c r="M58" s="64">
        <v>67.36</v>
      </c>
      <c r="N58" s="64">
        <v>665.1</v>
      </c>
      <c r="O58" s="64">
        <v>0</v>
      </c>
      <c r="P58" s="64">
        <v>0.42</v>
      </c>
      <c r="Q58" s="64">
        <v>9.02</v>
      </c>
      <c r="R58" s="198"/>
      <c r="S58" s="198"/>
      <c r="T58" s="198"/>
      <c r="U58" s="198"/>
    </row>
    <row r="59" spans="1:21" s="12" customFormat="1" x14ac:dyDescent="0.25">
      <c r="A59" s="213" t="s">
        <v>1446</v>
      </c>
      <c r="B59" s="64">
        <v>6.84</v>
      </c>
      <c r="C59" s="64">
        <v>21.47</v>
      </c>
      <c r="D59" s="64">
        <v>16.7</v>
      </c>
      <c r="E59" s="64">
        <v>4.51</v>
      </c>
      <c r="F59" s="64">
        <v>11.13</v>
      </c>
      <c r="G59" s="64">
        <v>60.39</v>
      </c>
      <c r="H59" s="64">
        <v>19.11</v>
      </c>
      <c r="I59" s="64">
        <v>1.48</v>
      </c>
      <c r="J59" s="64">
        <v>0.08</v>
      </c>
      <c r="K59" s="64">
        <v>233.77</v>
      </c>
      <c r="L59" s="64">
        <v>31.73</v>
      </c>
      <c r="M59" s="64">
        <v>67.91</v>
      </c>
      <c r="N59" s="64">
        <v>592.9</v>
      </c>
      <c r="O59" s="64">
        <v>0</v>
      </c>
      <c r="P59" s="64">
        <v>0.44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3" t="s">
        <v>1447</v>
      </c>
      <c r="B60" s="64">
        <v>5.0999999999999996</v>
      </c>
      <c r="C60" s="64">
        <v>17.73</v>
      </c>
      <c r="D60" s="64">
        <v>13.35</v>
      </c>
      <c r="E60" s="64">
        <v>4.24</v>
      </c>
      <c r="F60" s="64">
        <v>6.02</v>
      </c>
      <c r="G60" s="64">
        <v>60.39</v>
      </c>
      <c r="H60" s="64">
        <v>19.11</v>
      </c>
      <c r="I60" s="64">
        <v>1.55</v>
      </c>
      <c r="J60" s="64">
        <v>0.26</v>
      </c>
      <c r="K60" s="64">
        <v>290.93</v>
      </c>
      <c r="L60" s="64">
        <v>31.65</v>
      </c>
      <c r="M60" s="64">
        <v>67.36</v>
      </c>
      <c r="N60" s="64">
        <v>474.4</v>
      </c>
      <c r="O60" s="64">
        <v>0</v>
      </c>
      <c r="P60" s="64">
        <v>0.42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3" t="s">
        <v>1448</v>
      </c>
      <c r="B61" s="64">
        <v>5.1100000000000003</v>
      </c>
      <c r="C61" s="64">
        <v>17.95</v>
      </c>
      <c r="D61" s="64">
        <v>13.47</v>
      </c>
      <c r="E61" s="64">
        <v>4.17</v>
      </c>
      <c r="F61" s="64">
        <v>5.73</v>
      </c>
      <c r="G61" s="64">
        <v>61.48</v>
      </c>
      <c r="H61" s="64">
        <v>17.46</v>
      </c>
      <c r="I61" s="64">
        <v>1.57</v>
      </c>
      <c r="J61" s="64">
        <v>0.25</v>
      </c>
      <c r="K61" s="64">
        <v>285.52999999999997</v>
      </c>
      <c r="L61" s="64">
        <v>31.91</v>
      </c>
      <c r="M61" s="64">
        <v>67.319999999999993</v>
      </c>
      <c r="N61" s="64">
        <v>430.4</v>
      </c>
      <c r="O61" s="64">
        <v>0</v>
      </c>
      <c r="P61" s="64">
        <v>0.38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3" t="s">
        <v>1449</v>
      </c>
      <c r="B62" s="64">
        <v>5.55</v>
      </c>
      <c r="C62" s="64">
        <v>17.93</v>
      </c>
      <c r="D62" s="64">
        <v>13.82</v>
      </c>
      <c r="E62" s="64">
        <v>4.37</v>
      </c>
      <c r="F62" s="64">
        <v>6.05</v>
      </c>
      <c r="G62" s="64">
        <v>62.14</v>
      </c>
      <c r="H62" s="64">
        <v>16.46</v>
      </c>
      <c r="I62" s="64">
        <v>1.55</v>
      </c>
      <c r="J62" s="64">
        <v>0.15</v>
      </c>
      <c r="K62" s="64">
        <v>218.45</v>
      </c>
      <c r="L62" s="64">
        <v>30.75</v>
      </c>
      <c r="M62" s="64">
        <v>71.180000000000007</v>
      </c>
      <c r="N62" s="64">
        <v>295.39999999999998</v>
      </c>
      <c r="O62" s="64">
        <v>0</v>
      </c>
      <c r="P62" s="64">
        <v>0.37</v>
      </c>
      <c r="Q62" s="64">
        <v>9</v>
      </c>
      <c r="R62" s="198"/>
      <c r="S62" s="198"/>
      <c r="T62" s="198"/>
      <c r="U62" s="198"/>
    </row>
    <row r="63" spans="1:21" s="12" customFormat="1" x14ac:dyDescent="0.25">
      <c r="A63" s="213" t="s">
        <v>1450</v>
      </c>
      <c r="B63" s="64">
        <v>4.7300000000000004</v>
      </c>
      <c r="C63" s="64">
        <v>16.88</v>
      </c>
      <c r="D63" s="64">
        <v>12.61</v>
      </c>
      <c r="E63" s="64">
        <v>4.3600000000000003</v>
      </c>
      <c r="F63" s="64">
        <v>9.5</v>
      </c>
      <c r="G63" s="64">
        <v>62.14</v>
      </c>
      <c r="H63" s="64">
        <v>16.46</v>
      </c>
      <c r="I63" s="64">
        <v>1.51</v>
      </c>
      <c r="J63" s="64">
        <v>0.1</v>
      </c>
      <c r="K63" s="64">
        <v>265.39999999999998</v>
      </c>
      <c r="L63" s="64">
        <v>30.36</v>
      </c>
      <c r="M63" s="64">
        <v>72.900000000000006</v>
      </c>
      <c r="N63" s="64">
        <v>253.9</v>
      </c>
      <c r="O63" s="64">
        <v>0</v>
      </c>
      <c r="P63" s="64">
        <v>0.36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3" t="s">
        <v>1451</v>
      </c>
      <c r="B64" s="64">
        <v>4.6100000000000003</v>
      </c>
      <c r="C64" s="64">
        <v>16.82</v>
      </c>
      <c r="D64" s="64">
        <v>12.48</v>
      </c>
      <c r="E64" s="64">
        <v>4.04</v>
      </c>
      <c r="F64" s="64">
        <v>5.22</v>
      </c>
      <c r="G64" s="64">
        <v>62.14</v>
      </c>
      <c r="H64" s="64">
        <v>16.46</v>
      </c>
      <c r="I64" s="64">
        <v>1.44</v>
      </c>
      <c r="J64" s="64">
        <v>0.18</v>
      </c>
      <c r="K64" s="64">
        <v>256.27999999999997</v>
      </c>
      <c r="L64" s="64">
        <v>30.48</v>
      </c>
      <c r="M64" s="64">
        <v>72.510000000000005</v>
      </c>
      <c r="N64" s="64">
        <v>305.5</v>
      </c>
      <c r="O64" s="64">
        <v>0</v>
      </c>
      <c r="P64" s="64">
        <v>0.36</v>
      </c>
      <c r="Q64" s="64">
        <v>8.98</v>
      </c>
      <c r="R64" s="198"/>
      <c r="S64" s="198"/>
      <c r="T64" s="198"/>
      <c r="U64" s="198"/>
    </row>
    <row r="65" spans="1:21" s="12" customFormat="1" x14ac:dyDescent="0.25">
      <c r="A65" s="213" t="s">
        <v>1452</v>
      </c>
      <c r="B65" s="64">
        <v>4.5199999999999996</v>
      </c>
      <c r="C65" s="64">
        <v>16.059999999999999</v>
      </c>
      <c r="D65" s="64">
        <v>12.02</v>
      </c>
      <c r="E65" s="64">
        <v>3.97</v>
      </c>
      <c r="F65" s="64">
        <v>6.63</v>
      </c>
      <c r="G65" s="64">
        <v>59.58</v>
      </c>
      <c r="H65" s="64">
        <v>15.92</v>
      </c>
      <c r="I65" s="64">
        <v>1.37</v>
      </c>
      <c r="J65" s="64">
        <v>0.17</v>
      </c>
      <c r="K65" s="64">
        <v>274.67</v>
      </c>
      <c r="L65" s="64">
        <v>30.47</v>
      </c>
      <c r="M65" s="64">
        <v>72.13</v>
      </c>
      <c r="N65" s="64">
        <v>246.6</v>
      </c>
      <c r="O65" s="64">
        <v>0</v>
      </c>
      <c r="P65" s="64">
        <v>0.34</v>
      </c>
      <c r="Q65" s="64">
        <v>8.99</v>
      </c>
      <c r="R65" s="198"/>
      <c r="S65" s="198"/>
      <c r="T65" s="198"/>
      <c r="U65" s="198"/>
    </row>
    <row r="66" spans="1:21" s="12" customFormat="1" x14ac:dyDescent="0.25">
      <c r="A66" s="213" t="s">
        <v>1453</v>
      </c>
      <c r="B66" s="64">
        <v>4.4800000000000004</v>
      </c>
      <c r="C66" s="64">
        <v>16.78</v>
      </c>
      <c r="D66" s="64">
        <v>12.36</v>
      </c>
      <c r="E66" s="64">
        <v>4.21</v>
      </c>
      <c r="F66" s="64">
        <v>6.34</v>
      </c>
      <c r="G66" s="64">
        <v>58.03</v>
      </c>
      <c r="H66" s="64">
        <v>15.59</v>
      </c>
      <c r="I66" s="64">
        <v>1.32</v>
      </c>
      <c r="J66" s="64">
        <v>0.21</v>
      </c>
      <c r="K66" s="64">
        <v>279.7</v>
      </c>
      <c r="L66" s="64">
        <v>30.45</v>
      </c>
      <c r="M66" s="64">
        <v>70.819999999999993</v>
      </c>
      <c r="N66" s="64">
        <v>264.89999999999998</v>
      </c>
      <c r="O66" s="64">
        <v>0</v>
      </c>
      <c r="P66" s="64">
        <v>0.33</v>
      </c>
      <c r="Q66" s="64">
        <v>8.9700000000000006</v>
      </c>
      <c r="R66" s="198"/>
      <c r="S66" s="198"/>
      <c r="T66" s="198"/>
      <c r="U66" s="198"/>
    </row>
    <row r="67" spans="1:21" s="12" customFormat="1" x14ac:dyDescent="0.25">
      <c r="A67" s="213" t="s">
        <v>1454</v>
      </c>
      <c r="B67" s="64">
        <v>4.18</v>
      </c>
      <c r="C67" s="64">
        <v>16.91</v>
      </c>
      <c r="D67" s="64">
        <v>12.18</v>
      </c>
      <c r="E67" s="64">
        <v>4.25</v>
      </c>
      <c r="F67" s="64">
        <v>5.32</v>
      </c>
      <c r="G67" s="64">
        <v>58.03</v>
      </c>
      <c r="H67" s="64">
        <v>15.59</v>
      </c>
      <c r="I67" s="64">
        <v>1.28</v>
      </c>
      <c r="J67" s="64">
        <v>0.2</v>
      </c>
      <c r="K67" s="64">
        <v>284.36</v>
      </c>
      <c r="L67" s="64">
        <v>30.79</v>
      </c>
      <c r="M67" s="64">
        <v>70.760000000000005</v>
      </c>
      <c r="N67" s="64">
        <v>284.60000000000002</v>
      </c>
      <c r="O67" s="64">
        <v>0</v>
      </c>
      <c r="P67" s="64">
        <v>0.33</v>
      </c>
      <c r="Q67" s="64">
        <v>8.9700000000000006</v>
      </c>
      <c r="R67" s="198"/>
      <c r="S67" s="198"/>
      <c r="T67" s="198"/>
      <c r="U67" s="198"/>
    </row>
    <row r="68" spans="1:21" s="12" customFormat="1" x14ac:dyDescent="0.25">
      <c r="A68" s="213" t="s">
        <v>1455</v>
      </c>
      <c r="B68" s="64">
        <v>3.94</v>
      </c>
      <c r="C68" s="64">
        <v>15.68</v>
      </c>
      <c r="D68" s="64">
        <v>11.35</v>
      </c>
      <c r="E68" s="64">
        <v>4.2</v>
      </c>
      <c r="F68" s="64">
        <v>5.2</v>
      </c>
      <c r="G68" s="64">
        <v>58.03</v>
      </c>
      <c r="H68" s="64">
        <v>15.59</v>
      </c>
      <c r="I68" s="64">
        <v>1.23</v>
      </c>
      <c r="J68" s="64">
        <v>0.46</v>
      </c>
      <c r="K68" s="64">
        <v>292.91000000000003</v>
      </c>
      <c r="L68" s="64">
        <v>30.83</v>
      </c>
      <c r="M68" s="64">
        <v>71.040000000000006</v>
      </c>
      <c r="N68" s="64">
        <v>256.89999999999998</v>
      </c>
      <c r="O68" s="64">
        <v>0</v>
      </c>
      <c r="P68" s="64">
        <v>0.3</v>
      </c>
      <c r="Q68" s="64">
        <v>8.9600000000000009</v>
      </c>
      <c r="R68" s="198"/>
      <c r="S68" s="198"/>
      <c r="T68" s="198"/>
      <c r="U68" s="198"/>
    </row>
    <row r="69" spans="1:21" s="12" customFormat="1" x14ac:dyDescent="0.25">
      <c r="A69" s="213" t="s">
        <v>1456</v>
      </c>
      <c r="B69" s="64">
        <v>4.6399999999999997</v>
      </c>
      <c r="C69" s="64">
        <v>15.6</v>
      </c>
      <c r="D69" s="64">
        <v>11.87</v>
      </c>
      <c r="E69" s="64">
        <v>3.84</v>
      </c>
      <c r="F69" s="64">
        <v>6.18</v>
      </c>
      <c r="G69" s="64">
        <v>57.27</v>
      </c>
      <c r="H69" s="64">
        <v>14.47</v>
      </c>
      <c r="I69" s="64">
        <v>1.17</v>
      </c>
      <c r="J69" s="64">
        <v>0.99</v>
      </c>
      <c r="K69" s="64">
        <v>317.70999999999998</v>
      </c>
      <c r="L69" s="64">
        <v>30.93</v>
      </c>
      <c r="M69" s="64">
        <v>73.25</v>
      </c>
      <c r="N69" s="64">
        <v>217.9</v>
      </c>
      <c r="O69" s="64">
        <v>0</v>
      </c>
      <c r="P69" s="64">
        <v>0.28999999999999998</v>
      </c>
      <c r="Q69" s="64">
        <v>8.9499999999999993</v>
      </c>
      <c r="R69" s="198"/>
      <c r="S69" s="198"/>
      <c r="T69" s="198"/>
      <c r="U69" s="198"/>
    </row>
    <row r="70" spans="1:21" s="12" customFormat="1" x14ac:dyDescent="0.25">
      <c r="A70" s="213" t="s">
        <v>1457</v>
      </c>
      <c r="B70" s="64">
        <v>5.31</v>
      </c>
      <c r="C70" s="64">
        <v>17.47</v>
      </c>
      <c r="D70" s="64">
        <v>13.38</v>
      </c>
      <c r="E70" s="64">
        <v>3.9</v>
      </c>
      <c r="F70" s="64">
        <v>5.73</v>
      </c>
      <c r="G70" s="64">
        <v>56.81</v>
      </c>
      <c r="H70" s="64">
        <v>13.79</v>
      </c>
      <c r="I70" s="64">
        <v>1.1000000000000001</v>
      </c>
      <c r="J70" s="64">
        <v>0.61</v>
      </c>
      <c r="K70" s="64">
        <v>310.89</v>
      </c>
      <c r="L70" s="64">
        <v>30.69</v>
      </c>
      <c r="M70" s="64">
        <v>75.16</v>
      </c>
      <c r="N70" s="64">
        <v>182.5</v>
      </c>
      <c r="O70" s="64">
        <v>0</v>
      </c>
      <c r="P70" s="64">
        <v>0.31</v>
      </c>
      <c r="Q70" s="64">
        <v>8.9499999999999993</v>
      </c>
      <c r="R70" s="198"/>
      <c r="S70" s="198"/>
      <c r="T70" s="198"/>
      <c r="U70" s="198"/>
    </row>
    <row r="71" spans="1:21" s="12" customFormat="1" x14ac:dyDescent="0.25">
      <c r="A71" s="213" t="s">
        <v>1458</v>
      </c>
      <c r="B71" s="64">
        <v>8.68</v>
      </c>
      <c r="C71" s="64">
        <v>15.48</v>
      </c>
      <c r="D71" s="64">
        <v>15.05</v>
      </c>
      <c r="E71" s="64">
        <v>3.97</v>
      </c>
      <c r="F71" s="64">
        <v>10.66</v>
      </c>
      <c r="G71" s="64">
        <v>56.81</v>
      </c>
      <c r="H71" s="64">
        <v>13.79</v>
      </c>
      <c r="I71" s="64">
        <v>1.06</v>
      </c>
      <c r="J71" s="64">
        <v>0.42</v>
      </c>
      <c r="K71" s="64">
        <v>306.91000000000003</v>
      </c>
      <c r="L71" s="64">
        <v>30.54</v>
      </c>
      <c r="M71" s="64">
        <v>74.52</v>
      </c>
      <c r="N71" s="64">
        <v>173.9</v>
      </c>
      <c r="O71" s="64">
        <v>0</v>
      </c>
      <c r="P71" s="64">
        <v>0.37</v>
      </c>
      <c r="Q71" s="64">
        <v>8.99</v>
      </c>
      <c r="R71" s="198"/>
      <c r="S71" s="198"/>
      <c r="T71" s="198"/>
      <c r="U71" s="198"/>
    </row>
    <row r="72" spans="1:21" s="12" customFormat="1" x14ac:dyDescent="0.25">
      <c r="A72" s="213" t="s">
        <v>1459</v>
      </c>
      <c r="B72" s="64">
        <v>9.42</v>
      </c>
      <c r="C72" s="64">
        <v>18.47</v>
      </c>
      <c r="D72" s="64">
        <v>17.2</v>
      </c>
      <c r="E72" s="64">
        <v>4.3899999999999997</v>
      </c>
      <c r="F72" s="64">
        <v>9.3800000000000008</v>
      </c>
      <c r="G72" s="64">
        <v>56.81</v>
      </c>
      <c r="H72" s="64">
        <v>13.79</v>
      </c>
      <c r="I72" s="64">
        <v>1.07</v>
      </c>
      <c r="J72" s="64">
        <v>0.49</v>
      </c>
      <c r="K72" s="64">
        <v>316.38</v>
      </c>
      <c r="L72" s="64">
        <v>30.62</v>
      </c>
      <c r="M72" s="64">
        <v>73.11</v>
      </c>
      <c r="N72" s="64">
        <v>187.8</v>
      </c>
      <c r="O72" s="64">
        <v>0</v>
      </c>
      <c r="P72" s="64">
        <v>0.36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3" t="s">
        <v>1460</v>
      </c>
      <c r="B73" s="64">
        <v>7.74</v>
      </c>
      <c r="C73" s="64">
        <v>18.920000000000002</v>
      </c>
      <c r="D73" s="64">
        <v>16.09</v>
      </c>
      <c r="E73" s="64">
        <v>4.1100000000000003</v>
      </c>
      <c r="F73" s="64">
        <v>10.54</v>
      </c>
      <c r="G73" s="64">
        <v>55.99</v>
      </c>
      <c r="H73" s="64">
        <v>14.59</v>
      </c>
      <c r="I73" s="64">
        <v>1.0900000000000001</v>
      </c>
      <c r="J73" s="64">
        <v>0.28999999999999998</v>
      </c>
      <c r="K73" s="64">
        <v>302.20999999999998</v>
      </c>
      <c r="L73" s="64">
        <v>30.5</v>
      </c>
      <c r="M73" s="64">
        <v>73.44</v>
      </c>
      <c r="N73" s="64">
        <v>161.9</v>
      </c>
      <c r="O73" s="64">
        <v>0</v>
      </c>
      <c r="P73" s="64">
        <v>0.4</v>
      </c>
      <c r="Q73" s="64">
        <v>9.0299999999999994</v>
      </c>
      <c r="R73" s="198"/>
      <c r="S73" s="198"/>
      <c r="T73" s="198"/>
      <c r="U73" s="198"/>
    </row>
    <row r="74" spans="1:21" s="12" customFormat="1" x14ac:dyDescent="0.25">
      <c r="A74" s="213" t="s">
        <v>1461</v>
      </c>
      <c r="B74" s="64">
        <v>9.34</v>
      </c>
      <c r="C74" s="64">
        <v>20.86</v>
      </c>
      <c r="D74" s="64">
        <v>18.39</v>
      </c>
      <c r="E74" s="64">
        <v>4.3099999999999996</v>
      </c>
      <c r="F74" s="64">
        <v>11.22</v>
      </c>
      <c r="G74" s="64">
        <v>55.5</v>
      </c>
      <c r="H74" s="64">
        <v>15.08</v>
      </c>
      <c r="I74" s="64">
        <v>1.1100000000000001</v>
      </c>
      <c r="J74" s="64">
        <v>0.32</v>
      </c>
      <c r="K74" s="64">
        <v>307.89999999999998</v>
      </c>
      <c r="L74" s="64">
        <v>30.22</v>
      </c>
      <c r="M74" s="64">
        <v>76.06</v>
      </c>
      <c r="N74" s="64">
        <v>144.9</v>
      </c>
      <c r="O74" s="64">
        <v>0</v>
      </c>
      <c r="P74" s="64">
        <v>0.42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13" t="s">
        <v>1462</v>
      </c>
      <c r="B75" s="64">
        <v>8.98</v>
      </c>
      <c r="C75" s="64">
        <v>19.82</v>
      </c>
      <c r="D75" s="64">
        <v>17.559999999999999</v>
      </c>
      <c r="E75" s="64">
        <v>4.01</v>
      </c>
      <c r="F75" s="64">
        <v>9.4</v>
      </c>
      <c r="G75" s="64">
        <v>55.5</v>
      </c>
      <c r="H75" s="64">
        <v>15.08</v>
      </c>
      <c r="I75" s="64">
        <v>1.1499999999999999</v>
      </c>
      <c r="J75" s="64">
        <v>0.23</v>
      </c>
      <c r="K75" s="64">
        <v>306.06</v>
      </c>
      <c r="L75" s="64">
        <v>30.16</v>
      </c>
      <c r="M75" s="64">
        <v>75.599999999999994</v>
      </c>
      <c r="N75" s="64">
        <v>134.9</v>
      </c>
      <c r="O75" s="64">
        <v>0</v>
      </c>
      <c r="P75" s="64">
        <v>0.44</v>
      </c>
      <c r="Q75" s="64">
        <v>9.06</v>
      </c>
      <c r="R75" s="198"/>
      <c r="S75" s="198"/>
      <c r="T75" s="198"/>
      <c r="U75" s="198"/>
    </row>
    <row r="76" spans="1:21" s="12" customFormat="1" x14ac:dyDescent="0.25">
      <c r="A76" s="213" t="s">
        <v>1463</v>
      </c>
      <c r="B76" s="64">
        <v>7.58</v>
      </c>
      <c r="C76" s="64">
        <v>18.09</v>
      </c>
      <c r="D76" s="64">
        <v>15.54</v>
      </c>
      <c r="E76" s="64">
        <v>3.85</v>
      </c>
      <c r="F76" s="64">
        <v>8.76</v>
      </c>
      <c r="G76" s="64">
        <v>55.5</v>
      </c>
      <c r="H76" s="64">
        <v>15.08</v>
      </c>
      <c r="I76" s="64">
        <v>1.21</v>
      </c>
      <c r="J76" s="64">
        <v>0.23</v>
      </c>
      <c r="K76" s="64">
        <v>312.02</v>
      </c>
      <c r="L76" s="64">
        <v>29.88</v>
      </c>
      <c r="M76" s="64">
        <v>75.819999999999993</v>
      </c>
      <c r="N76" s="64">
        <v>145</v>
      </c>
      <c r="O76" s="64">
        <v>0</v>
      </c>
      <c r="P76" s="64">
        <v>0.44</v>
      </c>
      <c r="Q76" s="64">
        <v>9.08</v>
      </c>
      <c r="R76" s="198"/>
      <c r="S76" s="198"/>
      <c r="T76" s="198"/>
      <c r="U76" s="198"/>
    </row>
    <row r="77" spans="1:21" s="12" customFormat="1" x14ac:dyDescent="0.25">
      <c r="A77" s="213" t="s">
        <v>1464</v>
      </c>
      <c r="B77" s="64">
        <v>9.56</v>
      </c>
      <c r="C77" s="64">
        <v>24.89</v>
      </c>
      <c r="D77" s="64">
        <v>20.67</v>
      </c>
      <c r="E77" s="64">
        <v>4.33</v>
      </c>
      <c r="F77" s="64">
        <v>13.86</v>
      </c>
      <c r="G77" s="64">
        <v>55.09</v>
      </c>
      <c r="H77" s="64">
        <v>12.32</v>
      </c>
      <c r="I77" s="64">
        <v>1.32</v>
      </c>
      <c r="J77" s="64">
        <v>0.2</v>
      </c>
      <c r="K77" s="64">
        <v>318.20999999999998</v>
      </c>
      <c r="L77" s="64">
        <v>30.04</v>
      </c>
      <c r="M77" s="64">
        <v>76.53</v>
      </c>
      <c r="N77" s="64">
        <v>121.9</v>
      </c>
      <c r="O77" s="64">
        <v>0</v>
      </c>
      <c r="P77" s="64">
        <v>0.52</v>
      </c>
      <c r="Q77" s="64">
        <v>9.08</v>
      </c>
      <c r="R77" s="198"/>
      <c r="S77" s="198"/>
      <c r="T77" s="198"/>
      <c r="U77" s="198"/>
    </row>
    <row r="78" spans="1:21" s="12" customFormat="1" x14ac:dyDescent="0.25">
      <c r="A78" s="213" t="s">
        <v>1465</v>
      </c>
      <c r="B78" s="64">
        <v>7.2</v>
      </c>
      <c r="C78" s="64">
        <v>20.079999999999998</v>
      </c>
      <c r="D78" s="64">
        <v>16.27</v>
      </c>
      <c r="E78" s="64">
        <v>4.47</v>
      </c>
      <c r="F78" s="64">
        <v>5.86</v>
      </c>
      <c r="G78" s="64">
        <v>54.84</v>
      </c>
      <c r="H78" s="64">
        <v>10.64</v>
      </c>
      <c r="I78" s="64">
        <v>1.43</v>
      </c>
      <c r="J78" s="64">
        <v>0.3</v>
      </c>
      <c r="K78" s="64">
        <v>319.7</v>
      </c>
      <c r="L78" s="64">
        <v>29.73</v>
      </c>
      <c r="M78" s="64">
        <v>77.430000000000007</v>
      </c>
      <c r="N78" s="64">
        <v>94.4</v>
      </c>
      <c r="O78" s="64">
        <v>0</v>
      </c>
      <c r="P78" s="64">
        <v>0.45</v>
      </c>
      <c r="Q78" s="64">
        <v>9.08</v>
      </c>
      <c r="R78" s="198"/>
      <c r="S78" s="198"/>
      <c r="T78" s="198"/>
      <c r="U78" s="198"/>
    </row>
    <row r="79" spans="1:21" s="12" customFormat="1" x14ac:dyDescent="0.25">
      <c r="A79" s="213" t="s">
        <v>1466</v>
      </c>
      <c r="B79" s="64">
        <v>7.83</v>
      </c>
      <c r="C79" s="64">
        <v>18.75</v>
      </c>
      <c r="D79" s="64">
        <v>16.07</v>
      </c>
      <c r="E79" s="64">
        <v>4.05</v>
      </c>
      <c r="F79" s="64">
        <v>4.0599999999999996</v>
      </c>
      <c r="G79" s="64">
        <v>54.84</v>
      </c>
      <c r="H79" s="64">
        <v>10.64</v>
      </c>
      <c r="I79" s="64">
        <v>1.52</v>
      </c>
      <c r="J79" s="64">
        <v>0.22</v>
      </c>
      <c r="K79" s="64">
        <v>340.02</v>
      </c>
      <c r="L79" s="64">
        <v>29.38</v>
      </c>
      <c r="M79" s="64">
        <v>77.78</v>
      </c>
      <c r="N79" s="64">
        <v>78.099999999999994</v>
      </c>
      <c r="O79" s="64">
        <v>0</v>
      </c>
      <c r="P79" s="64">
        <v>0.43</v>
      </c>
      <c r="Q79" s="64">
        <v>9.08</v>
      </c>
      <c r="R79" s="198"/>
      <c r="S79" s="198"/>
      <c r="T79" s="198"/>
      <c r="U79" s="198"/>
    </row>
    <row r="80" spans="1:21" s="12" customFormat="1" x14ac:dyDescent="0.25">
      <c r="A80" s="213" t="s">
        <v>1467</v>
      </c>
      <c r="B80" s="64">
        <v>6.47</v>
      </c>
      <c r="C80" s="64">
        <v>17.559999999999999</v>
      </c>
      <c r="D80" s="64">
        <v>14.36</v>
      </c>
      <c r="E80" s="64">
        <v>4.1100000000000003</v>
      </c>
      <c r="F80" s="64">
        <v>6.75</v>
      </c>
      <c r="G80" s="64">
        <v>54.84</v>
      </c>
      <c r="H80" s="64">
        <v>10.64</v>
      </c>
      <c r="I80" s="64">
        <v>1.58</v>
      </c>
      <c r="J80" s="64">
        <v>0.17</v>
      </c>
      <c r="K80" s="64">
        <v>0.1</v>
      </c>
      <c r="L80" s="64">
        <v>28.91</v>
      </c>
      <c r="M80" s="64">
        <v>78.319999999999993</v>
      </c>
      <c r="N80" s="64">
        <v>67.5</v>
      </c>
      <c r="O80" s="64">
        <v>0</v>
      </c>
      <c r="P80" s="64">
        <v>0.44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3" t="s">
        <v>1468</v>
      </c>
      <c r="B81" s="64">
        <v>7.88</v>
      </c>
      <c r="C81" s="64">
        <v>18.71</v>
      </c>
      <c r="D81" s="64">
        <v>16.100000000000001</v>
      </c>
      <c r="E81" s="64">
        <v>3.94</v>
      </c>
      <c r="F81" s="64">
        <v>8.73</v>
      </c>
      <c r="G81" s="64">
        <v>57.29</v>
      </c>
      <c r="H81" s="64">
        <v>11.93</v>
      </c>
      <c r="I81" s="64">
        <v>1.57</v>
      </c>
      <c r="J81" s="64">
        <v>0.16</v>
      </c>
      <c r="K81" s="64">
        <v>349.44</v>
      </c>
      <c r="L81" s="64">
        <v>28.8</v>
      </c>
      <c r="M81" s="64">
        <v>80.319999999999993</v>
      </c>
      <c r="N81" s="64">
        <v>61.9</v>
      </c>
      <c r="O81" s="64">
        <v>0</v>
      </c>
      <c r="P81" s="64">
        <v>0.45</v>
      </c>
      <c r="Q81" s="64">
        <v>9.0399999999999991</v>
      </c>
      <c r="R81" s="198"/>
      <c r="S81" s="198"/>
      <c r="T81" s="198"/>
      <c r="U81" s="198"/>
    </row>
    <row r="82" spans="1:26" s="12" customFormat="1" x14ac:dyDescent="0.25">
      <c r="A82" s="213" t="s">
        <v>1469</v>
      </c>
      <c r="B82" s="64">
        <v>10.88</v>
      </c>
      <c r="C82" s="64">
        <v>22.34</v>
      </c>
      <c r="D82" s="64">
        <v>20.399999999999999</v>
      </c>
      <c r="E82" s="64">
        <v>3.79</v>
      </c>
      <c r="F82" s="64">
        <v>8.56</v>
      </c>
      <c r="G82" s="64">
        <v>58.79</v>
      </c>
      <c r="H82" s="64">
        <v>12.72</v>
      </c>
      <c r="I82" s="64">
        <v>1.55</v>
      </c>
      <c r="J82" s="64">
        <v>0.28000000000000003</v>
      </c>
      <c r="K82" s="64">
        <v>334.31</v>
      </c>
      <c r="L82" s="64">
        <v>28.52</v>
      </c>
      <c r="M82" s="64">
        <v>81.849999999999994</v>
      </c>
      <c r="N82" s="64">
        <v>54.5</v>
      </c>
      <c r="O82" s="64">
        <v>0</v>
      </c>
      <c r="P82" s="64">
        <v>0.44</v>
      </c>
      <c r="Q82" s="64">
        <v>9.0399999999999991</v>
      </c>
      <c r="R82" s="198"/>
      <c r="S82" s="198"/>
      <c r="T82" s="198"/>
      <c r="U82" s="198"/>
    </row>
    <row r="83" spans="1:26" s="12" customFormat="1" x14ac:dyDescent="0.25">
      <c r="A83" s="213" t="s">
        <v>1470</v>
      </c>
      <c r="B83" s="64">
        <v>7.11</v>
      </c>
      <c r="C83" s="64">
        <v>18.149999999999999</v>
      </c>
      <c r="D83" s="64">
        <v>15.18</v>
      </c>
      <c r="E83" s="64">
        <v>3.93</v>
      </c>
      <c r="F83" s="64">
        <v>4.79</v>
      </c>
      <c r="G83" s="64">
        <v>58.79</v>
      </c>
      <c r="H83" s="64">
        <v>12.72</v>
      </c>
      <c r="I83" s="64">
        <v>1.53</v>
      </c>
      <c r="J83" s="64">
        <v>0.26</v>
      </c>
      <c r="K83" s="64">
        <v>314.01</v>
      </c>
      <c r="L83" s="64">
        <v>28.2</v>
      </c>
      <c r="M83" s="64">
        <v>83.91</v>
      </c>
      <c r="N83" s="64">
        <v>49.8</v>
      </c>
      <c r="O83" s="64">
        <v>0</v>
      </c>
      <c r="P83" s="64">
        <v>0.45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3" t="s">
        <v>1471</v>
      </c>
      <c r="B84" s="64">
        <v>6.98</v>
      </c>
      <c r="C84" s="64">
        <v>17.5</v>
      </c>
      <c r="D84" s="64">
        <v>14.74</v>
      </c>
      <c r="E84" s="64">
        <v>3.82</v>
      </c>
      <c r="F84" s="64">
        <v>4.82</v>
      </c>
      <c r="G84" s="64">
        <v>58.79</v>
      </c>
      <c r="H84" s="64">
        <v>12.72</v>
      </c>
      <c r="I84" s="64">
        <v>1.52</v>
      </c>
      <c r="J84" s="64">
        <v>0.21</v>
      </c>
      <c r="K84" s="64">
        <v>333.11</v>
      </c>
      <c r="L84" s="64">
        <v>27.83</v>
      </c>
      <c r="M84" s="64">
        <v>86.47</v>
      </c>
      <c r="N84" s="64">
        <v>48.1</v>
      </c>
      <c r="O84" s="64">
        <v>0</v>
      </c>
      <c r="P84" s="64">
        <v>0.51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13" t="s">
        <v>1472</v>
      </c>
      <c r="B85" s="64">
        <v>9.25</v>
      </c>
      <c r="C85" s="64">
        <v>22.63</v>
      </c>
      <c r="D85" s="64">
        <v>19.239999999999998</v>
      </c>
      <c r="E85" s="64">
        <v>4.26</v>
      </c>
      <c r="F85" s="64">
        <v>6.54</v>
      </c>
      <c r="G85" s="64">
        <v>59</v>
      </c>
      <c r="H85" s="64">
        <v>12.56</v>
      </c>
      <c r="I85" s="64">
        <v>1.54</v>
      </c>
      <c r="J85" s="64">
        <v>0.2</v>
      </c>
      <c r="K85" s="64">
        <v>332.06</v>
      </c>
      <c r="L85" s="64">
        <v>27.67</v>
      </c>
      <c r="M85" s="64">
        <v>87.82</v>
      </c>
      <c r="N85" s="64">
        <v>47.9</v>
      </c>
      <c r="O85" s="64">
        <v>0</v>
      </c>
      <c r="P85" s="64">
        <v>0.53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3" t="s">
        <v>1473</v>
      </c>
      <c r="B86" s="64">
        <v>7.05</v>
      </c>
      <c r="C86" s="64">
        <v>18.91</v>
      </c>
      <c r="D86" s="64">
        <v>15.53</v>
      </c>
      <c r="E86" s="64">
        <v>4.12</v>
      </c>
      <c r="F86" s="64">
        <v>4.21</v>
      </c>
      <c r="G86" s="64">
        <v>59.12</v>
      </c>
      <c r="H86" s="64">
        <v>12.46</v>
      </c>
      <c r="I86" s="64">
        <v>1.5</v>
      </c>
      <c r="J86" s="64">
        <v>0.22</v>
      </c>
      <c r="K86" s="64">
        <v>347.42</v>
      </c>
      <c r="L86" s="64">
        <v>27.3</v>
      </c>
      <c r="M86" s="64">
        <v>87.33</v>
      </c>
      <c r="N86" s="64">
        <v>47.8</v>
      </c>
      <c r="O86" s="64">
        <v>0</v>
      </c>
      <c r="P86" s="64">
        <v>0.49</v>
      </c>
      <c r="Q86" s="64">
        <v>9.06</v>
      </c>
      <c r="R86" s="198"/>
      <c r="S86" s="198"/>
      <c r="T86" s="198"/>
      <c r="U86" s="198"/>
    </row>
    <row r="87" spans="1:26" s="12" customFormat="1" x14ac:dyDescent="0.25">
      <c r="A87" s="213" t="s">
        <v>1474</v>
      </c>
      <c r="B87" s="64">
        <v>6.46</v>
      </c>
      <c r="C87" s="64">
        <v>18.07</v>
      </c>
      <c r="D87" s="64">
        <v>14.62</v>
      </c>
      <c r="E87" s="64">
        <v>4.08</v>
      </c>
      <c r="F87" s="64">
        <v>4.3499999999999996</v>
      </c>
      <c r="G87" s="64">
        <v>59.12</v>
      </c>
      <c r="H87" s="64">
        <v>12.46</v>
      </c>
      <c r="I87" s="64">
        <v>1.64</v>
      </c>
      <c r="J87" s="64">
        <v>0.3</v>
      </c>
      <c r="K87" s="64">
        <v>334.04</v>
      </c>
      <c r="L87" s="64">
        <v>27.12</v>
      </c>
      <c r="M87" s="64">
        <v>86.69</v>
      </c>
      <c r="N87" s="64">
        <v>47.9</v>
      </c>
      <c r="O87" s="64">
        <v>0</v>
      </c>
      <c r="P87" s="64">
        <v>0.49</v>
      </c>
      <c r="Q87" s="64">
        <v>9.06</v>
      </c>
      <c r="R87" s="198"/>
      <c r="S87" s="198"/>
      <c r="T87" s="198"/>
      <c r="U87" s="198"/>
    </row>
    <row r="88" spans="1:26" s="12" customFormat="1" x14ac:dyDescent="0.25">
      <c r="A88" s="213" t="s">
        <v>1475</v>
      </c>
      <c r="B88" s="64">
        <v>11.26</v>
      </c>
      <c r="C88" s="64">
        <v>19.690000000000001</v>
      </c>
      <c r="D88" s="64">
        <v>19.32</v>
      </c>
      <c r="E88" s="64">
        <v>3.85</v>
      </c>
      <c r="F88" s="64">
        <v>7.59</v>
      </c>
      <c r="G88" s="64">
        <v>59.12</v>
      </c>
      <c r="H88" s="64">
        <v>12.46</v>
      </c>
      <c r="I88" s="64">
        <v>1.76</v>
      </c>
      <c r="J88" s="64">
        <v>0.21</v>
      </c>
      <c r="K88" s="64">
        <v>331.43</v>
      </c>
      <c r="L88" s="64">
        <v>26.98</v>
      </c>
      <c r="M88" s="64">
        <v>86.29</v>
      </c>
      <c r="N88" s="64">
        <v>47.9</v>
      </c>
      <c r="O88" s="64">
        <v>0</v>
      </c>
      <c r="P88" s="64">
        <v>0.48</v>
      </c>
      <c r="Q88" s="64">
        <v>9.06</v>
      </c>
      <c r="R88" s="198"/>
      <c r="S88" s="198"/>
      <c r="T88" s="198"/>
      <c r="U88" s="198"/>
    </row>
    <row r="89" spans="1:26" s="12" customFormat="1" x14ac:dyDescent="0.25">
      <c r="A89" s="213" t="s">
        <v>1476</v>
      </c>
      <c r="B89" s="64">
        <v>8.7200000000000006</v>
      </c>
      <c r="C89" s="64">
        <v>19.57</v>
      </c>
      <c r="D89" s="64">
        <v>17.22</v>
      </c>
      <c r="E89" s="64">
        <v>3.84</v>
      </c>
      <c r="F89" s="64">
        <v>9.86</v>
      </c>
      <c r="G89" s="64">
        <v>57.34</v>
      </c>
      <c r="H89" s="64">
        <v>13.99</v>
      </c>
      <c r="I89" s="64">
        <v>1.73</v>
      </c>
      <c r="J89" s="64">
        <v>0.2</v>
      </c>
      <c r="K89" s="64">
        <v>335.52</v>
      </c>
      <c r="L89" s="64">
        <v>27.05</v>
      </c>
      <c r="M89" s="64">
        <v>86.04</v>
      </c>
      <c r="N89" s="64">
        <v>47.7</v>
      </c>
      <c r="O89" s="64">
        <v>0</v>
      </c>
      <c r="P89" s="64">
        <v>0.47</v>
      </c>
      <c r="Q89" s="64">
        <v>9.07</v>
      </c>
      <c r="R89" s="198"/>
      <c r="S89" s="198"/>
      <c r="T89" s="198"/>
      <c r="U89" s="198"/>
    </row>
    <row r="90" spans="1:26" s="12" customFormat="1" x14ac:dyDescent="0.25">
      <c r="A90" s="213" t="s">
        <v>1477</v>
      </c>
      <c r="B90" s="64">
        <v>9.2100000000000009</v>
      </c>
      <c r="C90" s="64">
        <v>19.48</v>
      </c>
      <c r="D90" s="64">
        <v>17.559999999999999</v>
      </c>
      <c r="E90" s="64">
        <v>4</v>
      </c>
      <c r="F90" s="64">
        <v>8.01</v>
      </c>
      <c r="G90" s="64">
        <v>56.25</v>
      </c>
      <c r="H90" s="64">
        <v>14.92</v>
      </c>
      <c r="I90" s="64">
        <v>1.71</v>
      </c>
      <c r="J90" s="64">
        <v>0.15</v>
      </c>
      <c r="K90" s="64">
        <v>339.17</v>
      </c>
      <c r="L90" s="64">
        <v>27.04</v>
      </c>
      <c r="M90" s="64">
        <v>86.41</v>
      </c>
      <c r="N90" s="64">
        <v>47.5</v>
      </c>
      <c r="O90" s="64">
        <v>0</v>
      </c>
      <c r="P90" s="64">
        <v>0.48</v>
      </c>
      <c r="Q90" s="64">
        <v>9.09</v>
      </c>
      <c r="R90" s="198"/>
      <c r="S90" s="198"/>
      <c r="T90" s="198"/>
      <c r="U90" s="198"/>
    </row>
    <row r="91" spans="1:26" s="12" customFormat="1" x14ac:dyDescent="0.25">
      <c r="A91" s="213" t="s">
        <v>1478</v>
      </c>
      <c r="B91" s="64">
        <v>11</v>
      </c>
      <c r="C91" s="64">
        <v>23.11</v>
      </c>
      <c r="D91" s="64">
        <v>20.9</v>
      </c>
      <c r="E91" s="64">
        <v>3.92</v>
      </c>
      <c r="F91" s="64">
        <v>11.49</v>
      </c>
      <c r="G91" s="64">
        <v>56.25</v>
      </c>
      <c r="H91" s="64">
        <v>14.92</v>
      </c>
      <c r="I91" s="64">
        <v>1.68</v>
      </c>
      <c r="J91" s="64">
        <v>0.12</v>
      </c>
      <c r="K91" s="64">
        <v>336.26</v>
      </c>
      <c r="L91" s="64">
        <v>26.88</v>
      </c>
      <c r="M91" s="64">
        <v>89.06</v>
      </c>
      <c r="N91" s="64">
        <v>47.8</v>
      </c>
      <c r="O91" s="64">
        <v>0</v>
      </c>
      <c r="P91" s="64">
        <v>0.51</v>
      </c>
      <c r="Q91" s="64">
        <v>9.11</v>
      </c>
      <c r="R91" s="198"/>
      <c r="S91" s="198"/>
      <c r="T91" s="198"/>
      <c r="U91" s="198"/>
    </row>
    <row r="92" spans="1:26" s="12" customFormat="1" x14ac:dyDescent="0.25">
      <c r="A92" s="213" t="s">
        <v>1479</v>
      </c>
      <c r="B92" s="64">
        <v>9.7799999999999994</v>
      </c>
      <c r="C92" s="64">
        <v>24.59</v>
      </c>
      <c r="D92" s="64">
        <v>20.69</v>
      </c>
      <c r="E92" s="64">
        <v>4.3600000000000003</v>
      </c>
      <c r="F92" s="64">
        <v>10.67</v>
      </c>
      <c r="G92" s="64">
        <v>56.25</v>
      </c>
      <c r="H92" s="64">
        <v>14.92</v>
      </c>
      <c r="I92" s="64">
        <v>1.66</v>
      </c>
      <c r="J92" s="64">
        <v>7.0000000000000007E-2</v>
      </c>
      <c r="K92" s="64">
        <v>308.20999999999998</v>
      </c>
      <c r="L92" s="64">
        <v>26.7</v>
      </c>
      <c r="M92" s="64">
        <v>90.34</v>
      </c>
      <c r="N92" s="64">
        <v>47.7</v>
      </c>
      <c r="O92" s="64">
        <v>0</v>
      </c>
      <c r="P92" s="64">
        <v>0.53</v>
      </c>
      <c r="Q92" s="64">
        <v>9.1199999999999992</v>
      </c>
      <c r="R92" s="198"/>
      <c r="S92" s="198"/>
      <c r="T92" s="198"/>
      <c r="U92" s="198"/>
    </row>
    <row r="93" spans="1:26" s="12" customFormat="1" x14ac:dyDescent="0.25">
      <c r="A93" s="213" t="s">
        <v>1480</v>
      </c>
      <c r="B93" s="64">
        <v>16.59</v>
      </c>
      <c r="C93" s="64">
        <v>25.61</v>
      </c>
      <c r="D93" s="64">
        <v>26.68</v>
      </c>
      <c r="E93" s="64">
        <v>4.3499999999999996</v>
      </c>
      <c r="F93" s="64">
        <v>10.54</v>
      </c>
      <c r="G93" s="64">
        <v>61.37</v>
      </c>
      <c r="H93" s="64">
        <v>13.29</v>
      </c>
      <c r="I93" s="64">
        <v>1.65</v>
      </c>
      <c r="J93" s="64">
        <v>0.09</v>
      </c>
      <c r="K93" s="64">
        <v>316.93</v>
      </c>
      <c r="L93" s="64">
        <v>26.72</v>
      </c>
      <c r="M93" s="64">
        <v>90.73</v>
      </c>
      <c r="N93" s="64">
        <v>47.8</v>
      </c>
      <c r="O93" s="64">
        <v>0</v>
      </c>
      <c r="P93" s="64">
        <v>0.56000000000000005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3" t="s">
        <v>1481</v>
      </c>
      <c r="B94" s="64">
        <v>16.22</v>
      </c>
      <c r="C94" s="64">
        <v>25.65</v>
      </c>
      <c r="D94" s="64">
        <v>26.41</v>
      </c>
      <c r="E94" s="64">
        <v>4.0999999999999996</v>
      </c>
      <c r="F94" s="64">
        <v>9.11</v>
      </c>
      <c r="G94" s="64">
        <v>64.489999999999995</v>
      </c>
      <c r="H94" s="64">
        <v>12.3</v>
      </c>
      <c r="I94" s="64">
        <v>1.65</v>
      </c>
      <c r="J94" s="64">
        <v>7.0000000000000007E-2</v>
      </c>
      <c r="K94" s="64">
        <v>317.08999999999997</v>
      </c>
      <c r="L94" s="64">
        <v>26.66</v>
      </c>
      <c r="M94" s="64">
        <v>92.48</v>
      </c>
      <c r="N94" s="64">
        <v>47.9</v>
      </c>
      <c r="O94" s="64">
        <v>0</v>
      </c>
      <c r="P94" s="64">
        <v>0.55000000000000004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3" t="s">
        <v>1482</v>
      </c>
      <c r="B95" s="64">
        <v>17.38</v>
      </c>
      <c r="C95" s="64">
        <v>25.31</v>
      </c>
      <c r="D95" s="64">
        <v>27.16</v>
      </c>
      <c r="E95" s="64">
        <v>4.46</v>
      </c>
      <c r="F95" s="64">
        <v>10.71</v>
      </c>
      <c r="G95" s="64">
        <v>64.489999999999995</v>
      </c>
      <c r="H95" s="64">
        <v>12.3</v>
      </c>
      <c r="I95" s="64">
        <v>1.65</v>
      </c>
      <c r="J95" s="64">
        <v>0.11</v>
      </c>
      <c r="K95" s="64">
        <v>319.52999999999997</v>
      </c>
      <c r="L95" s="64">
        <v>26.56</v>
      </c>
      <c r="M95" s="64">
        <v>93.99</v>
      </c>
      <c r="N95" s="64">
        <v>47.9</v>
      </c>
      <c r="O95" s="64">
        <v>0</v>
      </c>
      <c r="P95" s="64">
        <v>0.67</v>
      </c>
      <c r="Q95" s="64">
        <v>9.18</v>
      </c>
      <c r="R95" s="198"/>
      <c r="S95" s="198"/>
      <c r="T95" s="198"/>
      <c r="U95" s="198"/>
    </row>
    <row r="96" spans="1:26" s="12" customFormat="1" x14ac:dyDescent="0.25">
      <c r="A96" s="213" t="s">
        <v>1483</v>
      </c>
      <c r="B96" s="64">
        <v>12.41</v>
      </c>
      <c r="C96" s="64">
        <v>19.260000000000002</v>
      </c>
      <c r="D96" s="64">
        <v>20.010000000000002</v>
      </c>
      <c r="E96" s="64">
        <v>4.1500000000000004</v>
      </c>
      <c r="F96" s="64">
        <v>7.25</v>
      </c>
      <c r="G96" s="64">
        <v>64.489999999999995</v>
      </c>
      <c r="H96" s="64">
        <v>12.3</v>
      </c>
      <c r="I96" s="64">
        <v>1.66</v>
      </c>
      <c r="J96" s="64">
        <v>0.09</v>
      </c>
      <c r="K96" s="64">
        <v>311.19</v>
      </c>
      <c r="L96" s="64">
        <v>26.38</v>
      </c>
      <c r="M96" s="64">
        <v>95.69</v>
      </c>
      <c r="N96" s="64">
        <v>47.9</v>
      </c>
      <c r="O96" s="64">
        <v>0</v>
      </c>
      <c r="P96" s="64">
        <v>0.5</v>
      </c>
      <c r="Q96" s="64">
        <v>9.18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1484</v>
      </c>
      <c r="B97" s="64">
        <v>17.809999999999999</v>
      </c>
      <c r="C97" s="64">
        <v>23.16</v>
      </c>
      <c r="D97" s="64">
        <v>26.38</v>
      </c>
      <c r="E97" s="64">
        <v>4.38</v>
      </c>
      <c r="F97" s="64">
        <v>8.2899999999999991</v>
      </c>
      <c r="G97" s="64">
        <v>61.83</v>
      </c>
      <c r="H97" s="64">
        <v>13.4</v>
      </c>
      <c r="I97" s="64">
        <v>1.67</v>
      </c>
      <c r="J97" s="64">
        <v>0.09</v>
      </c>
      <c r="K97" s="64">
        <v>313.02</v>
      </c>
      <c r="L97" s="64">
        <v>26.34</v>
      </c>
      <c r="M97" s="64">
        <v>96.74</v>
      </c>
      <c r="N97" s="64">
        <v>47.9</v>
      </c>
      <c r="O97" s="64">
        <v>0</v>
      </c>
      <c r="P97" s="64">
        <v>0.52</v>
      </c>
      <c r="Q97" s="64">
        <v>9.18</v>
      </c>
      <c r="R97" s="198"/>
      <c r="S97" s="198"/>
      <c r="T97" s="198"/>
      <c r="U97" s="198"/>
    </row>
    <row r="98" spans="1:33" s="12" customFormat="1" x14ac:dyDescent="0.25">
      <c r="A98" s="213" t="s">
        <v>1485</v>
      </c>
      <c r="B98" s="64">
        <v>14.68</v>
      </c>
      <c r="C98" s="64">
        <v>19.71</v>
      </c>
      <c r="D98" s="64">
        <v>22.07</v>
      </c>
      <c r="E98" s="64">
        <v>4.37</v>
      </c>
      <c r="F98" s="64">
        <v>7.69</v>
      </c>
      <c r="G98" s="64">
        <v>60.22</v>
      </c>
      <c r="H98" s="64">
        <v>14.06</v>
      </c>
      <c r="I98" s="64">
        <v>1.65</v>
      </c>
      <c r="J98" s="64">
        <v>0.09</v>
      </c>
      <c r="K98" s="64">
        <v>333.21</v>
      </c>
      <c r="L98" s="64">
        <v>26.31</v>
      </c>
      <c r="M98" s="64">
        <v>97.73</v>
      </c>
      <c r="N98" s="64">
        <v>47.9</v>
      </c>
      <c r="O98" s="64">
        <v>0</v>
      </c>
      <c r="P98" s="64">
        <v>0.54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3" t="s">
        <v>1486</v>
      </c>
      <c r="B99" s="64">
        <v>9.2200000000000006</v>
      </c>
      <c r="C99" s="64">
        <v>18.47</v>
      </c>
      <c r="D99" s="64">
        <v>17.04</v>
      </c>
      <c r="E99" s="64">
        <v>4.1100000000000003</v>
      </c>
      <c r="F99" s="64">
        <v>7.35</v>
      </c>
      <c r="G99" s="64">
        <v>60.22</v>
      </c>
      <c r="H99" s="64">
        <v>14.06</v>
      </c>
      <c r="I99" s="64">
        <v>1.63</v>
      </c>
      <c r="J99" s="64">
        <v>7.0000000000000007E-2</v>
      </c>
      <c r="K99" s="64">
        <v>347.15</v>
      </c>
      <c r="L99" s="64">
        <v>26.35</v>
      </c>
      <c r="M99" s="64">
        <v>97.69</v>
      </c>
      <c r="N99" s="64">
        <v>47.9</v>
      </c>
      <c r="O99" s="64">
        <v>0</v>
      </c>
      <c r="P99" s="64">
        <v>0.43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13" t="s">
        <v>1487</v>
      </c>
      <c r="B100" s="64">
        <v>8.65</v>
      </c>
      <c r="C100" s="64">
        <v>17.18</v>
      </c>
      <c r="D100" s="64">
        <v>15.91</v>
      </c>
      <c r="E100" s="64">
        <v>4.2699999999999996</v>
      </c>
      <c r="F100" s="64">
        <v>8.2899999999999991</v>
      </c>
      <c r="G100" s="64">
        <v>60.22</v>
      </c>
      <c r="H100" s="64">
        <v>14.06</v>
      </c>
      <c r="I100" s="64">
        <v>1.63</v>
      </c>
      <c r="J100" s="64">
        <v>7.0000000000000007E-2</v>
      </c>
      <c r="K100" s="64">
        <v>313.87</v>
      </c>
      <c r="L100" s="64">
        <v>26.25</v>
      </c>
      <c r="M100" s="64">
        <v>98.8</v>
      </c>
      <c r="N100" s="64">
        <v>47.9</v>
      </c>
      <c r="O100" s="64">
        <v>0</v>
      </c>
      <c r="P100" s="64">
        <v>0.41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1488</v>
      </c>
      <c r="B101" s="64">
        <v>9.1300000000000008</v>
      </c>
      <c r="C101" s="64">
        <v>14.75</v>
      </c>
      <c r="D101" s="64">
        <v>15.03</v>
      </c>
      <c r="E101" s="64">
        <v>4.2</v>
      </c>
      <c r="F101" s="64">
        <v>5.26</v>
      </c>
      <c r="G101" s="64">
        <v>60.04</v>
      </c>
      <c r="H101" s="64">
        <v>12.19</v>
      </c>
      <c r="I101" s="64">
        <v>1.62</v>
      </c>
      <c r="J101" s="64">
        <v>0.05</v>
      </c>
      <c r="K101" s="64">
        <v>329.82</v>
      </c>
      <c r="L101" s="64">
        <v>26.14</v>
      </c>
      <c r="M101" s="64">
        <v>99.02</v>
      </c>
      <c r="N101" s="64">
        <v>47.9</v>
      </c>
      <c r="O101" s="64">
        <v>0</v>
      </c>
      <c r="P101" s="64">
        <v>0.44</v>
      </c>
      <c r="Q101" s="64">
        <v>9.16</v>
      </c>
      <c r="R101" s="198"/>
      <c r="S101" s="198"/>
      <c r="T101" s="198"/>
      <c r="U101" s="198"/>
    </row>
    <row r="102" spans="1:33" s="12" customFormat="1" x14ac:dyDescent="0.25">
      <c r="A102" s="213" t="s">
        <v>1489</v>
      </c>
      <c r="B102" s="64">
        <v>8.3699999999999992</v>
      </c>
      <c r="C102" s="64">
        <v>14.22</v>
      </c>
      <c r="D102" s="64">
        <v>14.14</v>
      </c>
      <c r="E102" s="64">
        <v>4.08</v>
      </c>
      <c r="F102" s="64">
        <v>5.61</v>
      </c>
      <c r="G102" s="64">
        <v>59.92</v>
      </c>
      <c r="H102" s="64">
        <v>11.06</v>
      </c>
      <c r="I102" s="64">
        <v>1.57</v>
      </c>
      <c r="J102" s="64">
        <v>0.09</v>
      </c>
      <c r="K102" s="64">
        <v>334.29</v>
      </c>
      <c r="L102" s="64">
        <v>26.05</v>
      </c>
      <c r="M102" s="64">
        <v>98.98</v>
      </c>
      <c r="N102" s="64">
        <v>47.9</v>
      </c>
      <c r="O102" s="64">
        <v>0</v>
      </c>
      <c r="P102" s="64">
        <v>0.38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3" t="s">
        <v>1490</v>
      </c>
      <c r="B103" s="64">
        <v>7.69</v>
      </c>
      <c r="C103" s="64">
        <v>14.33</v>
      </c>
      <c r="D103" s="64">
        <v>13.65</v>
      </c>
      <c r="E103" s="64">
        <v>4.08</v>
      </c>
      <c r="F103" s="64">
        <v>9.59</v>
      </c>
      <c r="G103" s="64">
        <v>59.92</v>
      </c>
      <c r="H103" s="64">
        <v>11.06</v>
      </c>
      <c r="I103" s="64">
        <v>1.53</v>
      </c>
      <c r="J103" s="64">
        <v>0.1</v>
      </c>
      <c r="K103" s="64">
        <v>354.94</v>
      </c>
      <c r="L103" s="64">
        <v>26.01</v>
      </c>
      <c r="M103" s="64">
        <v>98.98</v>
      </c>
      <c r="N103" s="64">
        <v>47.9</v>
      </c>
      <c r="O103" s="64">
        <v>0</v>
      </c>
      <c r="P103" s="64">
        <v>0.28999999999999998</v>
      </c>
      <c r="Q103" s="64">
        <v>9.1300000000000008</v>
      </c>
      <c r="R103" s="198"/>
      <c r="S103" s="198"/>
      <c r="T103" s="198"/>
      <c r="U103" s="198"/>
    </row>
    <row r="104" spans="1:33" s="12" customFormat="1" x14ac:dyDescent="0.25">
      <c r="A104" s="213" t="s">
        <v>1491</v>
      </c>
      <c r="B104" s="64">
        <v>7.58</v>
      </c>
      <c r="C104" s="64">
        <v>13.49</v>
      </c>
      <c r="D104" s="64">
        <v>13.13</v>
      </c>
      <c r="E104" s="64">
        <v>4.84</v>
      </c>
      <c r="F104" s="64">
        <v>5.76</v>
      </c>
      <c r="G104" s="64">
        <v>59.92</v>
      </c>
      <c r="H104" s="64">
        <v>11.06</v>
      </c>
      <c r="I104" s="64">
        <v>1.48</v>
      </c>
      <c r="J104" s="64">
        <v>0.09</v>
      </c>
      <c r="K104" s="64">
        <v>317.38</v>
      </c>
      <c r="L104" s="64">
        <v>25.93</v>
      </c>
      <c r="M104" s="64">
        <v>98.98</v>
      </c>
      <c r="N104" s="64">
        <v>48</v>
      </c>
      <c r="O104" s="64">
        <v>0</v>
      </c>
      <c r="P104" s="64">
        <v>0.39</v>
      </c>
      <c r="Q104" s="64">
        <v>9.1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3.94</v>
      </c>
      <c r="C106" s="67">
        <f>MIN(C9:C104)</f>
        <v>11</v>
      </c>
      <c r="D106" s="67">
        <f t="shared" ref="D106:Q106" si="0">MIN(D9:D104)</f>
        <v>10.58</v>
      </c>
      <c r="E106" s="67">
        <f t="shared" si="0"/>
        <v>3.61</v>
      </c>
      <c r="F106" s="67">
        <f t="shared" si="0"/>
        <v>3.58</v>
      </c>
      <c r="G106" s="67">
        <f t="shared" si="0"/>
        <v>44.49</v>
      </c>
      <c r="H106" s="67">
        <f t="shared" si="0"/>
        <v>9.39</v>
      </c>
      <c r="I106" s="67">
        <f t="shared" si="0"/>
        <v>1</v>
      </c>
      <c r="J106" s="67">
        <f t="shared" si="0"/>
        <v>0</v>
      </c>
      <c r="K106" s="67">
        <f t="shared" si="0"/>
        <v>0.1</v>
      </c>
      <c r="L106" s="67">
        <f t="shared" si="0"/>
        <v>24.07</v>
      </c>
      <c r="M106" s="67">
        <f t="shared" si="0"/>
        <v>63.69</v>
      </c>
      <c r="N106" s="67">
        <f t="shared" si="0"/>
        <v>43</v>
      </c>
      <c r="O106" s="67">
        <f t="shared" si="0"/>
        <v>0</v>
      </c>
      <c r="P106" s="67">
        <f t="shared" si="0"/>
        <v>0.2</v>
      </c>
      <c r="Q106" s="67">
        <f t="shared" si="0"/>
        <v>8.9499999999999993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17.809999999999999</v>
      </c>
      <c r="C107" s="66">
        <f t="shared" ref="C107:Q107" si="1">MAX(C9:C104)</f>
        <v>25.65</v>
      </c>
      <c r="D107" s="66">
        <f t="shared" si="1"/>
        <v>27.16</v>
      </c>
      <c r="E107" s="66">
        <f t="shared" si="1"/>
        <v>4.84</v>
      </c>
      <c r="F107" s="66">
        <f t="shared" si="1"/>
        <v>13.86</v>
      </c>
      <c r="G107" s="66">
        <f t="shared" si="1"/>
        <v>68.790000000000006</v>
      </c>
      <c r="H107" s="66">
        <f t="shared" si="1"/>
        <v>24.21</v>
      </c>
      <c r="I107" s="66">
        <f t="shared" si="1"/>
        <v>1.76</v>
      </c>
      <c r="J107" s="66">
        <f t="shared" si="1"/>
        <v>0.99</v>
      </c>
      <c r="K107" s="66">
        <f t="shared" si="1"/>
        <v>354.94</v>
      </c>
      <c r="L107" s="66">
        <f t="shared" si="1"/>
        <v>32.72</v>
      </c>
      <c r="M107" s="66">
        <f t="shared" si="1"/>
        <v>99.02</v>
      </c>
      <c r="N107" s="66">
        <f t="shared" si="1"/>
        <v>933.6</v>
      </c>
      <c r="O107" s="66">
        <f t="shared" si="1"/>
        <v>0</v>
      </c>
      <c r="P107" s="66">
        <f t="shared" si="1"/>
        <v>0.67</v>
      </c>
      <c r="Q107" s="66">
        <f t="shared" si="1"/>
        <v>9.19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7.6770833333333357</v>
      </c>
      <c r="C108" s="67">
        <f t="shared" ref="C108:Q108" si="2">AVERAGE(C9:C104)</f>
        <v>16.218437500000004</v>
      </c>
      <c r="D108" s="67">
        <f t="shared" si="2"/>
        <v>14.629479166666671</v>
      </c>
      <c r="E108" s="67">
        <f t="shared" si="2"/>
        <v>4.0912499999999996</v>
      </c>
      <c r="F108" s="67">
        <f t="shared" si="2"/>
        <v>7.1280208333333341</v>
      </c>
      <c r="G108" s="67">
        <f t="shared" si="2"/>
        <v>56.172500000000007</v>
      </c>
      <c r="H108" s="67">
        <f t="shared" si="2"/>
        <v>14.903541666666669</v>
      </c>
      <c r="I108" s="67">
        <f t="shared" si="2"/>
        <v>1.3440624999999999</v>
      </c>
      <c r="J108" s="67">
        <f t="shared" si="2"/>
        <v>0.18072916666666669</v>
      </c>
      <c r="K108" s="67">
        <f t="shared" si="2"/>
        <v>292.60093749999993</v>
      </c>
      <c r="L108" s="67">
        <f t="shared" si="2"/>
        <v>27.954479166666669</v>
      </c>
      <c r="M108" s="67">
        <f t="shared" si="2"/>
        <v>86.247812499999952</v>
      </c>
      <c r="N108" s="67">
        <f t="shared" si="2"/>
        <v>236.5083333333337</v>
      </c>
      <c r="O108" s="67">
        <f t="shared" si="2"/>
        <v>0</v>
      </c>
      <c r="P108" s="67">
        <f t="shared" si="2"/>
        <v>0.37062500000000004</v>
      </c>
      <c r="Q108" s="67">
        <f t="shared" si="2"/>
        <v>9.0548958333333314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2.7232143996877354</v>
      </c>
      <c r="C109" s="67">
        <f t="shared" ref="C109:Q109" si="3">STDEV(C9:C104)</f>
        <v>3.7615146244214857</v>
      </c>
      <c r="D109" s="67">
        <f t="shared" si="3"/>
        <v>3.6159079429920213</v>
      </c>
      <c r="E109" s="67">
        <f t="shared" si="3"/>
        <v>0.22905871460575805</v>
      </c>
      <c r="F109" s="67">
        <f t="shared" si="3"/>
        <v>2.1584666193688991</v>
      </c>
      <c r="G109" s="67">
        <f t="shared" si="3"/>
        <v>5.663399945913091</v>
      </c>
      <c r="H109" s="67">
        <f t="shared" si="3"/>
        <v>3.3196045988916274</v>
      </c>
      <c r="I109" s="67">
        <f t="shared" si="3"/>
        <v>0.22382125445848286</v>
      </c>
      <c r="J109" s="67">
        <f t="shared" si="3"/>
        <v>0.13918745248701322</v>
      </c>
      <c r="K109" s="67">
        <f t="shared" si="3"/>
        <v>47.149132783856707</v>
      </c>
      <c r="L109" s="67">
        <f t="shared" si="3"/>
        <v>2.5283720036883586</v>
      </c>
      <c r="M109" s="67">
        <f t="shared" si="3"/>
        <v>11.919938113856276</v>
      </c>
      <c r="N109" s="67">
        <f t="shared" si="3"/>
        <v>273.50026216350977</v>
      </c>
      <c r="O109" s="67">
        <f t="shared" si="3"/>
        <v>0</v>
      </c>
      <c r="P109" s="67">
        <f t="shared" si="3"/>
        <v>9.4710778578509167E-2</v>
      </c>
      <c r="Q109" s="67">
        <f t="shared" si="3"/>
        <v>5.5364719749877292E-2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1492</v>
      </c>
      <c r="B9" s="64">
        <v>7.18</v>
      </c>
      <c r="C9" s="64">
        <v>12.91</v>
      </c>
      <c r="D9" s="64">
        <v>12.5</v>
      </c>
      <c r="E9" s="64">
        <v>4.05</v>
      </c>
      <c r="F9" s="64">
        <v>7.46</v>
      </c>
      <c r="G9" s="64">
        <v>54.82</v>
      </c>
      <c r="H9" s="64">
        <v>11.61</v>
      </c>
      <c r="I9" s="64">
        <v>1.42</v>
      </c>
      <c r="J9" s="64">
        <v>0.1</v>
      </c>
      <c r="K9" s="64">
        <v>329.97</v>
      </c>
      <c r="L9" s="64">
        <v>25.91</v>
      </c>
      <c r="M9" s="64">
        <v>99.02</v>
      </c>
      <c r="N9" s="64">
        <v>48.2</v>
      </c>
      <c r="O9" s="64">
        <v>0</v>
      </c>
      <c r="P9" s="64">
        <v>0.28999999999999998</v>
      </c>
      <c r="Q9" s="64">
        <v>9.09</v>
      </c>
      <c r="R9" s="198"/>
      <c r="S9" s="198"/>
      <c r="T9" s="198"/>
      <c r="U9" s="198"/>
    </row>
    <row r="10" spans="1:21" s="12" customFormat="1" x14ac:dyDescent="0.25">
      <c r="A10" s="213" t="s">
        <v>1493</v>
      </c>
      <c r="B10" s="64">
        <v>5.86</v>
      </c>
      <c r="C10" s="64">
        <v>11.96</v>
      </c>
      <c r="D10" s="64">
        <v>10.95</v>
      </c>
      <c r="E10" s="64">
        <v>4.03</v>
      </c>
      <c r="F10" s="64">
        <v>12.95</v>
      </c>
      <c r="G10" s="64">
        <v>51.72</v>
      </c>
      <c r="H10" s="64">
        <v>11.94</v>
      </c>
      <c r="I10" s="64">
        <v>1.38</v>
      </c>
      <c r="J10" s="64">
        <v>0.06</v>
      </c>
      <c r="K10" s="64">
        <v>289.43</v>
      </c>
      <c r="L10" s="64">
        <v>25.87</v>
      </c>
      <c r="M10" s="64">
        <v>98.95</v>
      </c>
      <c r="N10" s="64">
        <v>48.2</v>
      </c>
      <c r="O10" s="64">
        <v>0</v>
      </c>
      <c r="P10" s="64">
        <v>0.18</v>
      </c>
      <c r="Q10" s="64">
        <v>9.08</v>
      </c>
      <c r="R10" s="198"/>
      <c r="S10" s="198"/>
      <c r="T10" s="198"/>
      <c r="U10" s="198"/>
    </row>
    <row r="11" spans="1:21" s="12" customFormat="1" x14ac:dyDescent="0.25">
      <c r="A11" s="213" t="s">
        <v>1494</v>
      </c>
      <c r="B11" s="64">
        <v>5.14</v>
      </c>
      <c r="C11" s="64">
        <v>11.38</v>
      </c>
      <c r="D11" s="64">
        <v>10.07</v>
      </c>
      <c r="E11" s="64">
        <v>3.85</v>
      </c>
      <c r="F11" s="64">
        <v>12.13</v>
      </c>
      <c r="G11" s="64">
        <v>51.72</v>
      </c>
      <c r="H11" s="64">
        <v>11.94</v>
      </c>
      <c r="I11" s="64">
        <v>1.33</v>
      </c>
      <c r="J11" s="64">
        <v>0.08</v>
      </c>
      <c r="K11" s="64">
        <v>323.47000000000003</v>
      </c>
      <c r="L11" s="64">
        <v>25.79</v>
      </c>
      <c r="M11" s="64">
        <v>98.93</v>
      </c>
      <c r="N11" s="64">
        <v>48.3</v>
      </c>
      <c r="O11" s="64">
        <v>0</v>
      </c>
      <c r="P11" s="64">
        <v>0.2</v>
      </c>
      <c r="Q11" s="64">
        <v>9.09</v>
      </c>
      <c r="R11" s="198"/>
      <c r="S11" s="198"/>
      <c r="T11" s="198"/>
      <c r="U11" s="198"/>
    </row>
    <row r="12" spans="1:21" s="12" customFormat="1" x14ac:dyDescent="0.25">
      <c r="A12" s="213" t="s">
        <v>1495</v>
      </c>
      <c r="B12" s="64">
        <v>4.99</v>
      </c>
      <c r="C12" s="64">
        <v>11.13</v>
      </c>
      <c r="D12" s="64">
        <v>9.82</v>
      </c>
      <c r="E12" s="64">
        <v>4.05</v>
      </c>
      <c r="F12" s="64">
        <v>12.11</v>
      </c>
      <c r="G12" s="64">
        <v>51.72</v>
      </c>
      <c r="H12" s="64">
        <v>11.94</v>
      </c>
      <c r="I12" s="64">
        <v>1.27</v>
      </c>
      <c r="J12" s="64">
        <v>0.08</v>
      </c>
      <c r="K12" s="64">
        <v>313.18</v>
      </c>
      <c r="L12" s="64">
        <v>25.78</v>
      </c>
      <c r="M12" s="64">
        <v>98.87</v>
      </c>
      <c r="N12" s="64">
        <v>48.3</v>
      </c>
      <c r="O12" s="64">
        <v>0</v>
      </c>
      <c r="P12" s="64">
        <v>0.17</v>
      </c>
      <c r="Q12" s="64">
        <v>9.09</v>
      </c>
      <c r="R12" s="198"/>
      <c r="S12" s="198"/>
      <c r="T12" s="198"/>
      <c r="U12" s="198"/>
    </row>
    <row r="13" spans="1:21" s="12" customFormat="1" x14ac:dyDescent="0.25">
      <c r="A13" s="213" t="s">
        <v>1496</v>
      </c>
      <c r="B13" s="64">
        <v>4.96</v>
      </c>
      <c r="C13" s="64">
        <v>11.05</v>
      </c>
      <c r="D13" s="64">
        <v>9.75</v>
      </c>
      <c r="E13" s="64">
        <v>3.98</v>
      </c>
      <c r="F13" s="64">
        <v>11.33</v>
      </c>
      <c r="G13" s="64">
        <v>48.4</v>
      </c>
      <c r="H13" s="64">
        <v>9.75</v>
      </c>
      <c r="I13" s="64">
        <v>1.24</v>
      </c>
      <c r="J13" s="64">
        <v>7.0000000000000007E-2</v>
      </c>
      <c r="K13" s="64">
        <v>306.92</v>
      </c>
      <c r="L13" s="64">
        <v>25.82</v>
      </c>
      <c r="M13" s="64">
        <v>98.86</v>
      </c>
      <c r="N13" s="64">
        <v>48.3</v>
      </c>
      <c r="O13" s="64">
        <v>0</v>
      </c>
      <c r="P13" s="64">
        <v>0.15</v>
      </c>
      <c r="Q13" s="64">
        <v>9.1</v>
      </c>
      <c r="R13" s="198"/>
      <c r="S13" s="198"/>
      <c r="T13" s="198"/>
      <c r="U13" s="198"/>
    </row>
    <row r="14" spans="1:21" s="12" customFormat="1" x14ac:dyDescent="0.25">
      <c r="A14" s="213" t="s">
        <v>1497</v>
      </c>
      <c r="B14" s="64">
        <v>5.31</v>
      </c>
      <c r="C14" s="64">
        <v>10.65</v>
      </c>
      <c r="D14" s="64">
        <v>9.82</v>
      </c>
      <c r="E14" s="64">
        <v>4.1100000000000003</v>
      </c>
      <c r="F14" s="64">
        <v>12.32</v>
      </c>
      <c r="G14" s="64">
        <v>46.38</v>
      </c>
      <c r="H14" s="64">
        <v>8.41</v>
      </c>
      <c r="I14" s="64">
        <v>1.22</v>
      </c>
      <c r="J14" s="64">
        <v>0.1</v>
      </c>
      <c r="K14" s="64">
        <v>313.76</v>
      </c>
      <c r="L14" s="64">
        <v>25.77</v>
      </c>
      <c r="M14" s="64">
        <v>98.87</v>
      </c>
      <c r="N14" s="64">
        <v>48.3</v>
      </c>
      <c r="O14" s="64">
        <v>0</v>
      </c>
      <c r="P14" s="64">
        <v>0.18</v>
      </c>
      <c r="Q14" s="64">
        <v>9.09</v>
      </c>
      <c r="R14" s="198"/>
      <c r="S14" s="198"/>
      <c r="T14" s="198"/>
      <c r="U14" s="198"/>
    </row>
    <row r="15" spans="1:21" s="12" customFormat="1" x14ac:dyDescent="0.25">
      <c r="A15" s="213" t="s">
        <v>1498</v>
      </c>
      <c r="B15" s="64">
        <v>4.97</v>
      </c>
      <c r="C15" s="64">
        <v>10.49</v>
      </c>
      <c r="D15" s="64">
        <v>9.4700000000000006</v>
      </c>
      <c r="E15" s="64">
        <v>4.1500000000000004</v>
      </c>
      <c r="F15" s="64">
        <v>13.03</v>
      </c>
      <c r="G15" s="64">
        <v>46.38</v>
      </c>
      <c r="H15" s="64">
        <v>8.41</v>
      </c>
      <c r="I15" s="64">
        <v>1.19</v>
      </c>
      <c r="J15" s="64">
        <v>0.09</v>
      </c>
      <c r="K15" s="64">
        <v>305.41000000000003</v>
      </c>
      <c r="L15" s="64">
        <v>25.76</v>
      </c>
      <c r="M15" s="64">
        <v>98.94</v>
      </c>
      <c r="N15" s="64">
        <v>48.5</v>
      </c>
      <c r="O15" s="64">
        <v>0</v>
      </c>
      <c r="P15" s="64">
        <v>0.16</v>
      </c>
      <c r="Q15" s="64">
        <v>9.09</v>
      </c>
      <c r="R15" s="198"/>
      <c r="S15" s="198"/>
      <c r="T15" s="198"/>
      <c r="U15" s="198"/>
    </row>
    <row r="16" spans="1:21" s="12" customFormat="1" x14ac:dyDescent="0.25">
      <c r="A16" s="213" t="s">
        <v>1499</v>
      </c>
      <c r="B16" s="64">
        <v>4.83</v>
      </c>
      <c r="C16" s="64">
        <v>10.37</v>
      </c>
      <c r="D16" s="64">
        <v>9.2899999999999991</v>
      </c>
      <c r="E16" s="64">
        <v>3.99</v>
      </c>
      <c r="F16" s="64">
        <v>12.26</v>
      </c>
      <c r="G16" s="64">
        <v>46.38</v>
      </c>
      <c r="H16" s="64">
        <v>8.41</v>
      </c>
      <c r="I16" s="64">
        <v>1.1499999999999999</v>
      </c>
      <c r="J16" s="64">
        <v>0.08</v>
      </c>
      <c r="K16" s="64">
        <v>284.95</v>
      </c>
      <c r="L16" s="64">
        <v>25.74</v>
      </c>
      <c r="M16" s="64">
        <v>99.03</v>
      </c>
      <c r="N16" s="64">
        <v>48.5</v>
      </c>
      <c r="O16" s="64">
        <v>0</v>
      </c>
      <c r="P16" s="64">
        <v>0.16</v>
      </c>
      <c r="Q16" s="64">
        <v>9.09</v>
      </c>
      <c r="R16" s="198"/>
      <c r="S16" s="198"/>
      <c r="T16" s="198"/>
      <c r="U16" s="198"/>
    </row>
    <row r="17" spans="1:21" s="12" customFormat="1" x14ac:dyDescent="0.25">
      <c r="A17" s="213" t="s">
        <v>1500</v>
      </c>
      <c r="B17" s="64">
        <v>5.03</v>
      </c>
      <c r="C17" s="64">
        <v>10</v>
      </c>
      <c r="D17" s="64">
        <v>9.26</v>
      </c>
      <c r="E17" s="64">
        <v>4.1500000000000004</v>
      </c>
      <c r="F17" s="64">
        <v>10.74</v>
      </c>
      <c r="G17" s="64">
        <v>41.13</v>
      </c>
      <c r="H17" s="64">
        <v>9.2100000000000009</v>
      </c>
      <c r="I17" s="64">
        <v>1.1100000000000001</v>
      </c>
      <c r="J17" s="64">
        <v>0.09</v>
      </c>
      <c r="K17" s="64">
        <v>293.77999999999997</v>
      </c>
      <c r="L17" s="64">
        <v>25.71</v>
      </c>
      <c r="M17" s="64">
        <v>99.11</v>
      </c>
      <c r="N17" s="64">
        <v>48.6</v>
      </c>
      <c r="O17" s="64">
        <v>0</v>
      </c>
      <c r="P17" s="64">
        <v>0.16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3" t="s">
        <v>1501</v>
      </c>
      <c r="B18" s="64">
        <v>6.03</v>
      </c>
      <c r="C18" s="64">
        <v>10.73</v>
      </c>
      <c r="D18" s="64">
        <v>10.44</v>
      </c>
      <c r="E18" s="64">
        <v>3.98</v>
      </c>
      <c r="F18" s="64">
        <v>5.91</v>
      </c>
      <c r="G18" s="64">
        <v>37.950000000000003</v>
      </c>
      <c r="H18" s="64">
        <v>9.69</v>
      </c>
      <c r="I18" s="64">
        <v>1.1599999999999999</v>
      </c>
      <c r="J18" s="64">
        <v>7.0000000000000007E-2</v>
      </c>
      <c r="K18" s="64">
        <v>303.17</v>
      </c>
      <c r="L18" s="64">
        <v>25.63</v>
      </c>
      <c r="M18" s="64">
        <v>99.05</v>
      </c>
      <c r="N18" s="64">
        <v>48.6</v>
      </c>
      <c r="O18" s="64">
        <v>0</v>
      </c>
      <c r="P18" s="64">
        <v>0.24</v>
      </c>
      <c r="Q18" s="64">
        <v>9.0500000000000007</v>
      </c>
      <c r="R18" s="198"/>
      <c r="S18" s="198"/>
      <c r="T18" s="198"/>
      <c r="U18" s="198"/>
    </row>
    <row r="19" spans="1:21" s="12" customFormat="1" x14ac:dyDescent="0.25">
      <c r="A19" s="213" t="s">
        <v>1502</v>
      </c>
      <c r="B19" s="64">
        <v>6.01</v>
      </c>
      <c r="C19" s="64">
        <v>10.88</v>
      </c>
      <c r="D19" s="64">
        <v>10.5</v>
      </c>
      <c r="E19" s="64">
        <v>4.16</v>
      </c>
      <c r="F19" s="64">
        <v>7.27</v>
      </c>
      <c r="G19" s="64">
        <v>37.950000000000003</v>
      </c>
      <c r="H19" s="64">
        <v>9.69</v>
      </c>
      <c r="I19" s="64">
        <v>1.19</v>
      </c>
      <c r="J19" s="64">
        <v>0.08</v>
      </c>
      <c r="K19" s="64">
        <v>304.62</v>
      </c>
      <c r="L19" s="64">
        <v>25.58</v>
      </c>
      <c r="M19" s="64">
        <v>98.3</v>
      </c>
      <c r="N19" s="64">
        <v>48.6</v>
      </c>
      <c r="O19" s="64">
        <v>0</v>
      </c>
      <c r="P19" s="64">
        <v>0.19</v>
      </c>
      <c r="Q19" s="64">
        <v>9.0500000000000007</v>
      </c>
      <c r="R19" s="198"/>
      <c r="S19" s="198"/>
      <c r="T19" s="198"/>
      <c r="U19" s="198"/>
    </row>
    <row r="20" spans="1:21" s="12" customFormat="1" x14ac:dyDescent="0.25">
      <c r="A20" s="213" t="s">
        <v>1503</v>
      </c>
      <c r="B20" s="64">
        <v>6.22</v>
      </c>
      <c r="C20" s="64">
        <v>10.97</v>
      </c>
      <c r="D20" s="64">
        <v>10.71</v>
      </c>
      <c r="E20" s="64">
        <v>3.83</v>
      </c>
      <c r="F20" s="64">
        <v>5.15</v>
      </c>
      <c r="G20" s="64">
        <v>37.950000000000003</v>
      </c>
      <c r="H20" s="64">
        <v>9.69</v>
      </c>
      <c r="I20" s="64">
        <v>1.08</v>
      </c>
      <c r="J20" s="64">
        <v>0.13</v>
      </c>
      <c r="K20" s="64">
        <v>305.52999999999997</v>
      </c>
      <c r="L20" s="64">
        <v>25.52</v>
      </c>
      <c r="M20" s="64">
        <v>98.85</v>
      </c>
      <c r="N20" s="64">
        <v>48.5</v>
      </c>
      <c r="O20" s="64">
        <v>0</v>
      </c>
      <c r="P20" s="64">
        <v>0.22</v>
      </c>
      <c r="Q20" s="64">
        <v>9.0299999999999994</v>
      </c>
      <c r="R20" s="198"/>
      <c r="S20" s="198"/>
      <c r="T20" s="198"/>
      <c r="U20" s="198"/>
    </row>
    <row r="21" spans="1:21" s="12" customFormat="1" x14ac:dyDescent="0.25">
      <c r="A21" s="213" t="s">
        <v>1504</v>
      </c>
      <c r="B21" s="64">
        <v>6</v>
      </c>
      <c r="C21" s="64">
        <v>10.9</v>
      </c>
      <c r="D21" s="64">
        <v>10.51</v>
      </c>
      <c r="E21" s="64">
        <v>4.12</v>
      </c>
      <c r="F21" s="64">
        <v>5.2</v>
      </c>
      <c r="G21" s="64">
        <v>35.11</v>
      </c>
      <c r="H21" s="64">
        <v>9.76</v>
      </c>
      <c r="I21" s="64">
        <v>1.05</v>
      </c>
      <c r="J21" s="64">
        <v>0.13</v>
      </c>
      <c r="K21" s="64">
        <v>309.91000000000003</v>
      </c>
      <c r="L21" s="64">
        <v>25.45</v>
      </c>
      <c r="M21" s="64">
        <v>98.75</v>
      </c>
      <c r="N21" s="64">
        <v>48.4</v>
      </c>
      <c r="O21" s="64">
        <v>0</v>
      </c>
      <c r="P21" s="64">
        <v>0.2</v>
      </c>
      <c r="Q21" s="64">
        <v>9.02</v>
      </c>
      <c r="R21" s="198"/>
      <c r="S21" s="198"/>
      <c r="T21" s="198"/>
      <c r="U21" s="198"/>
    </row>
    <row r="22" spans="1:21" s="12" customFormat="1" x14ac:dyDescent="0.25">
      <c r="A22" s="213" t="s">
        <v>1505</v>
      </c>
      <c r="B22" s="64">
        <v>5.95</v>
      </c>
      <c r="C22" s="64">
        <v>11.22</v>
      </c>
      <c r="D22" s="64">
        <v>10.63</v>
      </c>
      <c r="E22" s="64">
        <v>4.07</v>
      </c>
      <c r="F22" s="64">
        <v>4.51</v>
      </c>
      <c r="G22" s="64">
        <v>33.39</v>
      </c>
      <c r="H22" s="64">
        <v>9.8000000000000007</v>
      </c>
      <c r="I22" s="64">
        <v>1.06</v>
      </c>
      <c r="J22" s="64">
        <v>0.12</v>
      </c>
      <c r="K22" s="64">
        <v>304.05</v>
      </c>
      <c r="L22" s="64">
        <v>25.51</v>
      </c>
      <c r="M22" s="64">
        <v>98.67</v>
      </c>
      <c r="N22" s="64">
        <v>48.5</v>
      </c>
      <c r="O22" s="64">
        <v>0</v>
      </c>
      <c r="P22" s="64">
        <v>0.21</v>
      </c>
      <c r="Q22" s="64">
        <v>9</v>
      </c>
      <c r="R22" s="198"/>
      <c r="S22" s="198"/>
      <c r="T22" s="198"/>
      <c r="U22" s="198"/>
    </row>
    <row r="23" spans="1:21" s="12" customFormat="1" x14ac:dyDescent="0.25">
      <c r="A23" s="213" t="s">
        <v>1506</v>
      </c>
      <c r="B23" s="64">
        <v>5.43</v>
      </c>
      <c r="C23" s="64">
        <v>10.98</v>
      </c>
      <c r="D23" s="64">
        <v>10.09</v>
      </c>
      <c r="E23" s="64">
        <v>3.98</v>
      </c>
      <c r="F23" s="64">
        <v>7.04</v>
      </c>
      <c r="G23" s="64">
        <v>33.39</v>
      </c>
      <c r="H23" s="64">
        <v>9.8000000000000007</v>
      </c>
      <c r="I23" s="64">
        <v>1.02</v>
      </c>
      <c r="J23" s="64">
        <v>0.09</v>
      </c>
      <c r="K23" s="64">
        <v>312.42</v>
      </c>
      <c r="L23" s="64">
        <v>25.51</v>
      </c>
      <c r="M23" s="64">
        <v>98.73</v>
      </c>
      <c r="N23" s="64">
        <v>48.6</v>
      </c>
      <c r="O23" s="64">
        <v>0</v>
      </c>
      <c r="P23" s="64">
        <v>0.16</v>
      </c>
      <c r="Q23" s="64">
        <v>8.99</v>
      </c>
      <c r="R23" s="198"/>
      <c r="S23" s="198"/>
      <c r="T23" s="198"/>
      <c r="U23" s="198"/>
    </row>
    <row r="24" spans="1:21" s="12" customFormat="1" x14ac:dyDescent="0.25">
      <c r="A24" s="213" t="s">
        <v>1507</v>
      </c>
      <c r="B24" s="64">
        <v>5.43</v>
      </c>
      <c r="C24" s="64">
        <v>10.99</v>
      </c>
      <c r="D24" s="64">
        <v>10.1</v>
      </c>
      <c r="E24" s="64">
        <v>3.84</v>
      </c>
      <c r="F24" s="64">
        <v>4.1100000000000003</v>
      </c>
      <c r="G24" s="64">
        <v>33.39</v>
      </c>
      <c r="H24" s="64">
        <v>9.8000000000000007</v>
      </c>
      <c r="I24" s="64">
        <v>0.99</v>
      </c>
      <c r="J24" s="64">
        <v>0.13</v>
      </c>
      <c r="K24" s="64">
        <v>302.43</v>
      </c>
      <c r="L24" s="64">
        <v>25.53</v>
      </c>
      <c r="M24" s="64">
        <v>98.74</v>
      </c>
      <c r="N24" s="64">
        <v>48.6</v>
      </c>
      <c r="O24" s="64">
        <v>0</v>
      </c>
      <c r="P24" s="64">
        <v>0.19</v>
      </c>
      <c r="Q24" s="64">
        <v>8.9700000000000006</v>
      </c>
      <c r="R24" s="198"/>
      <c r="S24" s="198"/>
      <c r="T24" s="198"/>
      <c r="U24" s="198"/>
    </row>
    <row r="25" spans="1:21" s="12" customFormat="1" x14ac:dyDescent="0.25">
      <c r="A25" s="213" t="s">
        <v>1508</v>
      </c>
      <c r="B25" s="64">
        <v>5.78</v>
      </c>
      <c r="C25" s="64">
        <v>11.72</v>
      </c>
      <c r="D25" s="64">
        <v>10.76</v>
      </c>
      <c r="E25" s="64">
        <v>3.81</v>
      </c>
      <c r="F25" s="64">
        <v>5.53</v>
      </c>
      <c r="G25" s="64">
        <v>29.08</v>
      </c>
      <c r="H25" s="64">
        <v>8.1999999999999993</v>
      </c>
      <c r="I25" s="64">
        <v>0.97</v>
      </c>
      <c r="J25" s="64">
        <v>0.15</v>
      </c>
      <c r="K25" s="64">
        <v>300.33999999999997</v>
      </c>
      <c r="L25" s="64">
        <v>25.49</v>
      </c>
      <c r="M25" s="64">
        <v>98.55</v>
      </c>
      <c r="N25" s="64">
        <v>48.6</v>
      </c>
      <c r="O25" s="64">
        <v>0</v>
      </c>
      <c r="P25" s="64">
        <v>0.16</v>
      </c>
      <c r="Q25" s="64">
        <v>8.9600000000000009</v>
      </c>
      <c r="R25" s="198"/>
      <c r="S25" s="198"/>
      <c r="T25" s="198"/>
      <c r="U25" s="198"/>
    </row>
    <row r="26" spans="1:21" s="12" customFormat="1" x14ac:dyDescent="0.25">
      <c r="A26" s="213" t="s">
        <v>1509</v>
      </c>
      <c r="B26" s="64">
        <v>5.94</v>
      </c>
      <c r="C26" s="64">
        <v>12.25</v>
      </c>
      <c r="D26" s="64">
        <v>11.17</v>
      </c>
      <c r="E26" s="64">
        <v>3.98</v>
      </c>
      <c r="F26" s="64">
        <v>6.41</v>
      </c>
      <c r="G26" s="64">
        <v>26.46</v>
      </c>
      <c r="H26" s="64">
        <v>7.23</v>
      </c>
      <c r="I26" s="64">
        <v>0.95</v>
      </c>
      <c r="J26" s="64">
        <v>0.12</v>
      </c>
      <c r="K26" s="64">
        <v>291.35000000000002</v>
      </c>
      <c r="L26" s="64">
        <v>25.41</v>
      </c>
      <c r="M26" s="64">
        <v>98.54</v>
      </c>
      <c r="N26" s="64">
        <v>48.6</v>
      </c>
      <c r="O26" s="64">
        <v>0</v>
      </c>
      <c r="P26" s="64">
        <v>0.16</v>
      </c>
      <c r="Q26" s="64">
        <v>8.9700000000000006</v>
      </c>
      <c r="R26" s="198"/>
      <c r="S26" s="198"/>
      <c r="T26" s="198"/>
      <c r="U26" s="198"/>
    </row>
    <row r="27" spans="1:21" s="12" customFormat="1" x14ac:dyDescent="0.25">
      <c r="A27" s="213" t="s">
        <v>1510</v>
      </c>
      <c r="B27" s="64">
        <v>5.76</v>
      </c>
      <c r="C27" s="64">
        <v>11.72</v>
      </c>
      <c r="D27" s="64">
        <v>10.74</v>
      </c>
      <c r="E27" s="64">
        <v>3.65</v>
      </c>
      <c r="F27" s="64">
        <v>4.7699999999999996</v>
      </c>
      <c r="G27" s="64">
        <v>26.46</v>
      </c>
      <c r="H27" s="64">
        <v>7.23</v>
      </c>
      <c r="I27" s="64">
        <v>0.91</v>
      </c>
      <c r="J27" s="64">
        <v>0.14000000000000001</v>
      </c>
      <c r="K27" s="64">
        <v>297.57</v>
      </c>
      <c r="L27" s="64">
        <v>25.34</v>
      </c>
      <c r="M27" s="64">
        <v>98.57</v>
      </c>
      <c r="N27" s="64">
        <v>48.6</v>
      </c>
      <c r="O27" s="64">
        <v>0</v>
      </c>
      <c r="P27" s="64">
        <v>0.17</v>
      </c>
      <c r="Q27" s="64">
        <v>8.9700000000000006</v>
      </c>
      <c r="R27" s="198"/>
      <c r="S27" s="198"/>
      <c r="T27" s="198"/>
      <c r="U27" s="198"/>
    </row>
    <row r="28" spans="1:21" s="12" customFormat="1" x14ac:dyDescent="0.25">
      <c r="A28" s="213" t="s">
        <v>1511</v>
      </c>
      <c r="B28" s="64">
        <v>6.93</v>
      </c>
      <c r="C28" s="64">
        <v>12.33</v>
      </c>
      <c r="D28" s="64">
        <v>12</v>
      </c>
      <c r="E28" s="64">
        <v>3.97</v>
      </c>
      <c r="F28" s="64">
        <v>8.74</v>
      </c>
      <c r="G28" s="64">
        <v>26.46</v>
      </c>
      <c r="H28" s="64">
        <v>7.23</v>
      </c>
      <c r="I28" s="64">
        <v>0.89</v>
      </c>
      <c r="J28" s="64">
        <v>0.12</v>
      </c>
      <c r="K28" s="64">
        <v>289.72000000000003</v>
      </c>
      <c r="L28" s="64">
        <v>25.25</v>
      </c>
      <c r="M28" s="64">
        <v>98.58</v>
      </c>
      <c r="N28" s="64">
        <v>48.6</v>
      </c>
      <c r="O28" s="64">
        <v>0</v>
      </c>
      <c r="P28" s="64">
        <v>0.13</v>
      </c>
      <c r="Q28" s="64">
        <v>8.98</v>
      </c>
      <c r="R28" s="198"/>
      <c r="S28" s="198"/>
      <c r="T28" s="198"/>
      <c r="U28" s="198"/>
    </row>
    <row r="29" spans="1:21" s="12" customFormat="1" x14ac:dyDescent="0.25">
      <c r="A29" s="213" t="s">
        <v>1512</v>
      </c>
      <c r="B29" s="64">
        <v>5.4</v>
      </c>
      <c r="C29" s="64">
        <v>15.61</v>
      </c>
      <c r="D29" s="64">
        <v>12.48</v>
      </c>
      <c r="E29" s="64">
        <v>4.17</v>
      </c>
      <c r="F29" s="64">
        <v>10.23</v>
      </c>
      <c r="G29" s="64">
        <v>25.33</v>
      </c>
      <c r="H29" s="64">
        <v>6.33</v>
      </c>
      <c r="I29" s="64">
        <v>0.87</v>
      </c>
      <c r="J29" s="64">
        <v>7.0000000000000007E-2</v>
      </c>
      <c r="K29" s="64">
        <v>290.33999999999997</v>
      </c>
      <c r="L29" s="64">
        <v>25.13</v>
      </c>
      <c r="M29" s="64">
        <v>98.61</v>
      </c>
      <c r="N29" s="64">
        <v>48.8</v>
      </c>
      <c r="O29" s="64">
        <v>0</v>
      </c>
      <c r="P29" s="64">
        <v>0.11</v>
      </c>
      <c r="Q29" s="64">
        <v>9.02</v>
      </c>
      <c r="R29" s="198"/>
      <c r="S29" s="198"/>
      <c r="T29" s="198"/>
      <c r="U29" s="198"/>
    </row>
    <row r="30" spans="1:21" s="12" customFormat="1" x14ac:dyDescent="0.25">
      <c r="A30" s="213" t="s">
        <v>1513</v>
      </c>
      <c r="B30" s="64">
        <v>4.93</v>
      </c>
      <c r="C30" s="64">
        <v>12.78</v>
      </c>
      <c r="D30" s="64">
        <v>10.63</v>
      </c>
      <c r="E30" s="64">
        <v>3.96</v>
      </c>
      <c r="F30" s="64">
        <v>9.82</v>
      </c>
      <c r="G30" s="64">
        <v>24.64</v>
      </c>
      <c r="H30" s="64">
        <v>5.78</v>
      </c>
      <c r="I30" s="64">
        <v>0.86</v>
      </c>
      <c r="J30" s="64">
        <v>0.08</v>
      </c>
      <c r="K30" s="64">
        <v>287.37</v>
      </c>
      <c r="L30" s="64">
        <v>25.06</v>
      </c>
      <c r="M30" s="64">
        <v>98.65</v>
      </c>
      <c r="N30" s="64">
        <v>50</v>
      </c>
      <c r="O30" s="64">
        <v>0</v>
      </c>
      <c r="P30" s="64">
        <v>0.12</v>
      </c>
      <c r="Q30" s="64">
        <v>9.0299999999999994</v>
      </c>
      <c r="R30" s="198"/>
      <c r="S30" s="198"/>
      <c r="T30" s="198"/>
      <c r="U30" s="198"/>
    </row>
    <row r="31" spans="1:21" s="12" customFormat="1" x14ac:dyDescent="0.25">
      <c r="A31" s="213" t="s">
        <v>1514</v>
      </c>
      <c r="B31" s="64">
        <v>5.42</v>
      </c>
      <c r="C31" s="64">
        <v>13.12</v>
      </c>
      <c r="D31" s="64">
        <v>11.21</v>
      </c>
      <c r="E31" s="64">
        <v>4.0999999999999996</v>
      </c>
      <c r="F31" s="64">
        <v>8.9499999999999993</v>
      </c>
      <c r="G31" s="64">
        <v>24.64</v>
      </c>
      <c r="H31" s="64">
        <v>5.78</v>
      </c>
      <c r="I31" s="64">
        <v>0.86</v>
      </c>
      <c r="J31" s="64">
        <v>7.0000000000000007E-2</v>
      </c>
      <c r="K31" s="64">
        <v>276.29000000000002</v>
      </c>
      <c r="L31" s="64">
        <v>25.05</v>
      </c>
      <c r="M31" s="64">
        <v>98.68</v>
      </c>
      <c r="N31" s="64">
        <v>55.6</v>
      </c>
      <c r="O31" s="64">
        <v>0</v>
      </c>
      <c r="P31" s="64">
        <v>0.14000000000000001</v>
      </c>
      <c r="Q31" s="64">
        <v>9.0500000000000007</v>
      </c>
      <c r="R31" s="198"/>
      <c r="S31" s="198"/>
      <c r="T31" s="198"/>
      <c r="U31" s="198"/>
    </row>
    <row r="32" spans="1:21" s="12" customFormat="1" x14ac:dyDescent="0.25">
      <c r="A32" s="213" t="s">
        <v>1515</v>
      </c>
      <c r="B32" s="64">
        <v>7.27</v>
      </c>
      <c r="C32" s="64">
        <v>15.58</v>
      </c>
      <c r="D32" s="64">
        <v>13.97</v>
      </c>
      <c r="E32" s="64">
        <v>3.87</v>
      </c>
      <c r="F32" s="64">
        <v>9.01</v>
      </c>
      <c r="G32" s="64">
        <v>24.64</v>
      </c>
      <c r="H32" s="64">
        <v>5.78</v>
      </c>
      <c r="I32" s="64">
        <v>0.86</v>
      </c>
      <c r="J32" s="64">
        <v>0.09</v>
      </c>
      <c r="K32" s="64">
        <v>269.08999999999997</v>
      </c>
      <c r="L32" s="64">
        <v>25.04</v>
      </c>
      <c r="M32" s="64">
        <v>98.72</v>
      </c>
      <c r="N32" s="64">
        <v>63.7</v>
      </c>
      <c r="O32" s="64">
        <v>0</v>
      </c>
      <c r="P32" s="64">
        <v>0.17</v>
      </c>
      <c r="Q32" s="64">
        <v>9.0399999999999991</v>
      </c>
      <c r="R32" s="198"/>
      <c r="S32" s="198"/>
      <c r="T32" s="198"/>
      <c r="U32" s="198"/>
    </row>
    <row r="33" spans="1:21" s="12" customFormat="1" x14ac:dyDescent="0.25">
      <c r="A33" s="213" t="s">
        <v>1516</v>
      </c>
      <c r="B33" s="64">
        <v>7.35</v>
      </c>
      <c r="C33" s="64">
        <v>15.9</v>
      </c>
      <c r="D33" s="64">
        <v>14.2</v>
      </c>
      <c r="E33" s="64">
        <v>4.16</v>
      </c>
      <c r="F33" s="64">
        <v>9.77</v>
      </c>
      <c r="G33" s="64">
        <v>25.78</v>
      </c>
      <c r="H33" s="64">
        <v>4.8499999999999996</v>
      </c>
      <c r="I33" s="64">
        <v>0.88</v>
      </c>
      <c r="J33" s="64">
        <v>0.09</v>
      </c>
      <c r="K33" s="64">
        <v>288.13</v>
      </c>
      <c r="L33" s="64">
        <v>25.06</v>
      </c>
      <c r="M33" s="64">
        <v>98.76</v>
      </c>
      <c r="N33" s="64">
        <v>72.3</v>
      </c>
      <c r="O33" s="64">
        <v>0</v>
      </c>
      <c r="P33" s="64">
        <v>0.19</v>
      </c>
      <c r="Q33" s="64">
        <v>9.0500000000000007</v>
      </c>
      <c r="R33" s="198"/>
      <c r="S33" s="198"/>
      <c r="T33" s="198"/>
      <c r="U33" s="198"/>
    </row>
    <row r="34" spans="1:21" s="12" customFormat="1" x14ac:dyDescent="0.25">
      <c r="A34" s="213" t="s">
        <v>1517</v>
      </c>
      <c r="B34" s="64">
        <v>10.08</v>
      </c>
      <c r="C34" s="64">
        <v>16.55</v>
      </c>
      <c r="D34" s="64">
        <v>16.73</v>
      </c>
      <c r="E34" s="64">
        <v>4.21</v>
      </c>
      <c r="F34" s="64">
        <v>6.85</v>
      </c>
      <c r="G34" s="64">
        <v>26.48</v>
      </c>
      <c r="H34" s="64">
        <v>4.28</v>
      </c>
      <c r="I34" s="64">
        <v>0.89</v>
      </c>
      <c r="J34" s="64">
        <v>0.11</v>
      </c>
      <c r="K34" s="64">
        <v>291.05</v>
      </c>
      <c r="L34" s="64">
        <v>25.22</v>
      </c>
      <c r="M34" s="64">
        <v>98.73</v>
      </c>
      <c r="N34" s="64">
        <v>82.4</v>
      </c>
      <c r="O34" s="64">
        <v>0</v>
      </c>
      <c r="P34" s="64">
        <v>0.25</v>
      </c>
      <c r="Q34" s="64">
        <v>9.07</v>
      </c>
      <c r="R34" s="198"/>
      <c r="S34" s="198"/>
      <c r="T34" s="198"/>
      <c r="U34" s="198"/>
    </row>
    <row r="35" spans="1:21" s="12" customFormat="1" x14ac:dyDescent="0.25">
      <c r="A35" s="213" t="s">
        <v>1518</v>
      </c>
      <c r="B35" s="64">
        <v>10.15</v>
      </c>
      <c r="C35" s="64">
        <v>15.23</v>
      </c>
      <c r="D35" s="64">
        <v>16.09</v>
      </c>
      <c r="E35" s="64">
        <v>4.0999999999999996</v>
      </c>
      <c r="F35" s="64">
        <v>6.25</v>
      </c>
      <c r="G35" s="64">
        <v>26.48</v>
      </c>
      <c r="H35" s="64">
        <v>4.28</v>
      </c>
      <c r="I35" s="64">
        <v>0.91</v>
      </c>
      <c r="J35" s="64">
        <v>0.08</v>
      </c>
      <c r="K35" s="64">
        <v>275.31</v>
      </c>
      <c r="L35" s="64">
        <v>25.3</v>
      </c>
      <c r="M35" s="64">
        <v>98.71</v>
      </c>
      <c r="N35" s="64">
        <v>100.6</v>
      </c>
      <c r="O35" s="64">
        <v>0</v>
      </c>
      <c r="P35" s="64">
        <v>0.2</v>
      </c>
      <c r="Q35" s="64">
        <v>9.08</v>
      </c>
      <c r="R35" s="198"/>
      <c r="S35" s="198"/>
      <c r="T35" s="198"/>
      <c r="U35" s="198"/>
    </row>
    <row r="36" spans="1:21" s="12" customFormat="1" x14ac:dyDescent="0.25">
      <c r="A36" s="213" t="s">
        <v>1519</v>
      </c>
      <c r="B36" s="64">
        <v>9.6</v>
      </c>
      <c r="C36" s="64">
        <v>12.9</v>
      </c>
      <c r="D36" s="64">
        <v>14.44</v>
      </c>
      <c r="E36" s="64">
        <v>3.95</v>
      </c>
      <c r="F36" s="64">
        <v>4.4400000000000004</v>
      </c>
      <c r="G36" s="64">
        <v>26.48</v>
      </c>
      <c r="H36" s="64">
        <v>4.28</v>
      </c>
      <c r="I36" s="64">
        <v>0.94</v>
      </c>
      <c r="J36" s="64">
        <v>0.11</v>
      </c>
      <c r="K36" s="64">
        <v>276.73</v>
      </c>
      <c r="L36" s="64">
        <v>25.61</v>
      </c>
      <c r="M36" s="64">
        <v>98.67</v>
      </c>
      <c r="N36" s="64">
        <v>125.4</v>
      </c>
      <c r="O36" s="64">
        <v>0</v>
      </c>
      <c r="P36" s="64">
        <v>0.2</v>
      </c>
      <c r="Q36" s="64">
        <v>9.07</v>
      </c>
      <c r="R36" s="198"/>
      <c r="S36" s="198"/>
      <c r="T36" s="198"/>
      <c r="U36" s="198"/>
    </row>
    <row r="37" spans="1:21" s="12" customFormat="1" x14ac:dyDescent="0.25">
      <c r="A37" s="213" t="s">
        <v>1520</v>
      </c>
      <c r="B37" s="64">
        <v>8.35</v>
      </c>
      <c r="C37" s="64">
        <v>13.23</v>
      </c>
      <c r="D37" s="64">
        <v>13.61</v>
      </c>
      <c r="E37" s="64">
        <v>3.88</v>
      </c>
      <c r="F37" s="64">
        <v>7.06</v>
      </c>
      <c r="G37" s="64">
        <v>35.979999999999997</v>
      </c>
      <c r="H37" s="64">
        <v>5.73</v>
      </c>
      <c r="I37" s="64">
        <v>0.95</v>
      </c>
      <c r="J37" s="64">
        <v>0.1</v>
      </c>
      <c r="K37" s="64">
        <v>284.73</v>
      </c>
      <c r="L37" s="64">
        <v>25.7</v>
      </c>
      <c r="M37" s="64">
        <v>98.67</v>
      </c>
      <c r="N37" s="64">
        <v>139.19999999999999</v>
      </c>
      <c r="O37" s="64">
        <v>0</v>
      </c>
      <c r="P37" s="64">
        <v>0.28000000000000003</v>
      </c>
      <c r="Q37" s="64">
        <v>9.07</v>
      </c>
      <c r="R37" s="198"/>
      <c r="S37" s="198"/>
      <c r="T37" s="198"/>
      <c r="U37" s="198"/>
    </row>
    <row r="38" spans="1:21" s="12" customFormat="1" x14ac:dyDescent="0.25">
      <c r="A38" s="213" t="s">
        <v>1521</v>
      </c>
      <c r="B38" s="64">
        <v>11.59</v>
      </c>
      <c r="C38" s="64">
        <v>12.92</v>
      </c>
      <c r="D38" s="64">
        <v>16.04</v>
      </c>
      <c r="E38" s="64">
        <v>4.09</v>
      </c>
      <c r="F38" s="64">
        <v>4.5999999999999996</v>
      </c>
      <c r="G38" s="64">
        <v>41.74</v>
      </c>
      <c r="H38" s="64">
        <v>6.61</v>
      </c>
      <c r="I38" s="64">
        <v>0.94</v>
      </c>
      <c r="J38" s="64">
        <v>0.08</v>
      </c>
      <c r="K38" s="64">
        <v>300.35000000000002</v>
      </c>
      <c r="L38" s="64">
        <v>26.02</v>
      </c>
      <c r="M38" s="64">
        <v>98.66</v>
      </c>
      <c r="N38" s="64">
        <v>161.80000000000001</v>
      </c>
      <c r="O38" s="64">
        <v>0</v>
      </c>
      <c r="P38" s="64">
        <v>0.33</v>
      </c>
      <c r="Q38" s="64">
        <v>9.07</v>
      </c>
      <c r="R38" s="198"/>
      <c r="S38" s="198"/>
      <c r="T38" s="198"/>
      <c r="U38" s="198"/>
    </row>
    <row r="39" spans="1:21" s="12" customFormat="1" x14ac:dyDescent="0.25">
      <c r="A39" s="213" t="s">
        <v>1522</v>
      </c>
      <c r="B39" s="64">
        <v>10.49</v>
      </c>
      <c r="C39" s="64">
        <v>12.96</v>
      </c>
      <c r="D39" s="64">
        <v>15.19</v>
      </c>
      <c r="E39" s="64">
        <v>4.09</v>
      </c>
      <c r="F39" s="64">
        <v>3.88</v>
      </c>
      <c r="G39" s="64">
        <v>41.74</v>
      </c>
      <c r="H39" s="64">
        <v>6.61</v>
      </c>
      <c r="I39" s="64">
        <v>0.94</v>
      </c>
      <c r="J39" s="64">
        <v>0.13</v>
      </c>
      <c r="K39" s="64">
        <v>276.2</v>
      </c>
      <c r="L39" s="64">
        <v>26.34</v>
      </c>
      <c r="M39" s="64">
        <v>98.57</v>
      </c>
      <c r="N39" s="64">
        <v>161.5</v>
      </c>
      <c r="O39" s="64">
        <v>0</v>
      </c>
      <c r="P39" s="64">
        <v>0.32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3" t="s">
        <v>1523</v>
      </c>
      <c r="B40" s="64">
        <v>12.89</v>
      </c>
      <c r="C40" s="64">
        <v>13.27</v>
      </c>
      <c r="D40" s="64">
        <v>17.27</v>
      </c>
      <c r="E40" s="64">
        <v>4.46</v>
      </c>
      <c r="F40" s="64">
        <v>5.85</v>
      </c>
      <c r="G40" s="64">
        <v>41.74</v>
      </c>
      <c r="H40" s="64">
        <v>6.61</v>
      </c>
      <c r="I40" s="64">
        <v>0.97</v>
      </c>
      <c r="J40" s="64">
        <v>0.12</v>
      </c>
      <c r="K40" s="64">
        <v>284.69</v>
      </c>
      <c r="L40" s="64">
        <v>26.69</v>
      </c>
      <c r="M40" s="64">
        <v>97.11</v>
      </c>
      <c r="N40" s="64">
        <v>184.7</v>
      </c>
      <c r="O40" s="64">
        <v>0</v>
      </c>
      <c r="P40" s="64">
        <v>0.37</v>
      </c>
      <c r="Q40" s="64">
        <v>9.08</v>
      </c>
      <c r="R40" s="198"/>
      <c r="S40" s="198"/>
      <c r="T40" s="198"/>
      <c r="U40" s="198"/>
    </row>
    <row r="41" spans="1:21" s="12" customFormat="1" x14ac:dyDescent="0.25">
      <c r="A41" s="213" t="s">
        <v>1524</v>
      </c>
      <c r="B41" s="64">
        <v>10.36</v>
      </c>
      <c r="C41" s="64">
        <v>12.23</v>
      </c>
      <c r="D41" s="64">
        <v>14.7</v>
      </c>
      <c r="E41" s="64">
        <v>4.8899999999999997</v>
      </c>
      <c r="F41" s="64">
        <v>4.59</v>
      </c>
      <c r="G41" s="64">
        <v>46.03</v>
      </c>
      <c r="H41" s="64">
        <v>8.2799999999999994</v>
      </c>
      <c r="I41" s="64">
        <v>0.99</v>
      </c>
      <c r="J41" s="64">
        <v>0.23</v>
      </c>
      <c r="K41" s="64">
        <v>274.48</v>
      </c>
      <c r="L41" s="64">
        <v>27.45</v>
      </c>
      <c r="M41" s="64">
        <v>92.6</v>
      </c>
      <c r="N41" s="64">
        <v>313.3</v>
      </c>
      <c r="O41" s="64">
        <v>0</v>
      </c>
      <c r="P41" s="64">
        <v>0.35</v>
      </c>
      <c r="Q41" s="64">
        <v>9.08</v>
      </c>
      <c r="R41" s="198"/>
      <c r="S41" s="198"/>
      <c r="T41" s="198"/>
      <c r="U41" s="198"/>
    </row>
    <row r="42" spans="1:21" s="12" customFormat="1" x14ac:dyDescent="0.25">
      <c r="A42" s="213" t="s">
        <v>1525</v>
      </c>
      <c r="B42" s="64">
        <v>10.51</v>
      </c>
      <c r="C42" s="64">
        <v>12.56</v>
      </c>
      <c r="D42" s="64">
        <v>15</v>
      </c>
      <c r="E42" s="64">
        <v>4.7</v>
      </c>
      <c r="F42" s="64">
        <v>2.92</v>
      </c>
      <c r="G42" s="64">
        <v>48.63</v>
      </c>
      <c r="H42" s="64">
        <v>9.3000000000000007</v>
      </c>
      <c r="I42" s="64">
        <v>1.04</v>
      </c>
      <c r="J42" s="64">
        <v>0.24</v>
      </c>
      <c r="K42" s="64">
        <v>282.18</v>
      </c>
      <c r="L42" s="64">
        <v>27.77</v>
      </c>
      <c r="M42" s="64">
        <v>89.55</v>
      </c>
      <c r="N42" s="64">
        <v>238.1</v>
      </c>
      <c r="O42" s="64">
        <v>0</v>
      </c>
      <c r="P42" s="64">
        <v>0.39</v>
      </c>
      <c r="Q42" s="64">
        <v>9.1</v>
      </c>
      <c r="R42" s="198"/>
      <c r="S42" s="198"/>
      <c r="T42" s="198"/>
      <c r="U42" s="198"/>
    </row>
    <row r="43" spans="1:21" s="12" customFormat="1" x14ac:dyDescent="0.25">
      <c r="A43" s="213" t="s">
        <v>1526</v>
      </c>
      <c r="B43" s="64">
        <v>10.95</v>
      </c>
      <c r="C43" s="64">
        <v>14.64</v>
      </c>
      <c r="D43" s="64">
        <v>16.43</v>
      </c>
      <c r="E43" s="64">
        <v>4.76</v>
      </c>
      <c r="F43" s="64">
        <v>3.63</v>
      </c>
      <c r="G43" s="64">
        <v>48.63</v>
      </c>
      <c r="H43" s="64">
        <v>9.3000000000000007</v>
      </c>
      <c r="I43" s="64">
        <v>1.1200000000000001</v>
      </c>
      <c r="J43" s="64">
        <v>0.21</v>
      </c>
      <c r="K43" s="64">
        <v>284.02999999999997</v>
      </c>
      <c r="L43" s="64">
        <v>27.62</v>
      </c>
      <c r="M43" s="64">
        <v>90.53</v>
      </c>
      <c r="N43" s="64">
        <v>162.4</v>
      </c>
      <c r="O43" s="64">
        <v>0</v>
      </c>
      <c r="P43" s="64">
        <v>0.43</v>
      </c>
      <c r="Q43" s="64">
        <v>9.1</v>
      </c>
      <c r="R43" s="198"/>
      <c r="S43" s="198"/>
      <c r="T43" s="198"/>
      <c r="U43" s="198"/>
    </row>
    <row r="44" spans="1:21" s="12" customFormat="1" x14ac:dyDescent="0.25">
      <c r="A44" s="213" t="s">
        <v>1527</v>
      </c>
      <c r="B44" s="64">
        <v>11.09</v>
      </c>
      <c r="C44" s="64">
        <v>13.9</v>
      </c>
      <c r="D44" s="64">
        <v>16.149999999999999</v>
      </c>
      <c r="E44" s="64">
        <v>4.26</v>
      </c>
      <c r="F44" s="64">
        <v>2.84</v>
      </c>
      <c r="G44" s="64">
        <v>48.63</v>
      </c>
      <c r="H44" s="64">
        <v>9.3000000000000007</v>
      </c>
      <c r="I44" s="64">
        <v>1.21</v>
      </c>
      <c r="J44" s="64">
        <v>0.18</v>
      </c>
      <c r="K44" s="64">
        <v>279.25</v>
      </c>
      <c r="L44" s="64">
        <v>27.37</v>
      </c>
      <c r="M44" s="64">
        <v>91.43</v>
      </c>
      <c r="N44" s="64">
        <v>191.6</v>
      </c>
      <c r="O44" s="64">
        <v>0</v>
      </c>
      <c r="P44" s="64">
        <v>0.47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3" t="s">
        <v>1528</v>
      </c>
      <c r="B45" s="64">
        <v>13.38</v>
      </c>
      <c r="C45" s="64">
        <v>17.11</v>
      </c>
      <c r="D45" s="64">
        <v>19.670000000000002</v>
      </c>
      <c r="E45" s="64">
        <v>4.72</v>
      </c>
      <c r="F45" s="64">
        <v>4.54</v>
      </c>
      <c r="G45" s="64">
        <v>50.05</v>
      </c>
      <c r="H45" s="64">
        <v>7.78</v>
      </c>
      <c r="I45" s="64">
        <v>1.35</v>
      </c>
      <c r="J45" s="64">
        <v>0.22</v>
      </c>
      <c r="K45" s="64">
        <v>283.83</v>
      </c>
      <c r="L45" s="64">
        <v>27.6</v>
      </c>
      <c r="M45" s="64">
        <v>91.22</v>
      </c>
      <c r="N45" s="64">
        <v>202.6</v>
      </c>
      <c r="O45" s="64">
        <v>0</v>
      </c>
      <c r="P45" s="64">
        <v>0.6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13" t="s">
        <v>1529</v>
      </c>
      <c r="B46" s="64">
        <v>14.58</v>
      </c>
      <c r="C46" s="64">
        <v>18.940000000000001</v>
      </c>
      <c r="D46" s="64">
        <v>21.59</v>
      </c>
      <c r="E46" s="64">
        <v>4.4000000000000004</v>
      </c>
      <c r="F46" s="64">
        <v>6.78</v>
      </c>
      <c r="G46" s="64">
        <v>50.92</v>
      </c>
      <c r="H46" s="64">
        <v>6.86</v>
      </c>
      <c r="I46" s="64">
        <v>1.46</v>
      </c>
      <c r="J46" s="64">
        <v>0.18</v>
      </c>
      <c r="K46" s="64">
        <v>278.17</v>
      </c>
      <c r="L46" s="64">
        <v>27.94</v>
      </c>
      <c r="M46" s="64">
        <v>89.71</v>
      </c>
      <c r="N46" s="64">
        <v>196.1</v>
      </c>
      <c r="O46" s="64">
        <v>0</v>
      </c>
      <c r="P46" s="64">
        <v>0.72</v>
      </c>
      <c r="Q46" s="64">
        <v>9.2100000000000009</v>
      </c>
      <c r="R46" s="198"/>
      <c r="S46" s="198"/>
      <c r="T46" s="198"/>
      <c r="U46" s="198"/>
    </row>
    <row r="47" spans="1:21" s="12" customFormat="1" x14ac:dyDescent="0.25">
      <c r="A47" s="213" t="s">
        <v>1530</v>
      </c>
      <c r="B47" s="64">
        <v>12.47</v>
      </c>
      <c r="C47" s="64">
        <v>17.25</v>
      </c>
      <c r="D47" s="64">
        <v>19.010000000000002</v>
      </c>
      <c r="E47" s="64">
        <v>4.92</v>
      </c>
      <c r="F47" s="64">
        <v>6.89</v>
      </c>
      <c r="G47" s="64">
        <v>50.92</v>
      </c>
      <c r="H47" s="64">
        <v>6.86</v>
      </c>
      <c r="I47" s="64">
        <v>1.55</v>
      </c>
      <c r="J47" s="64">
        <v>0.2</v>
      </c>
      <c r="K47" s="64">
        <v>279.98</v>
      </c>
      <c r="L47" s="64">
        <v>27.28</v>
      </c>
      <c r="M47" s="64">
        <v>92.05</v>
      </c>
      <c r="N47" s="64">
        <v>215.4</v>
      </c>
      <c r="O47" s="64">
        <v>0</v>
      </c>
      <c r="P47" s="64">
        <v>0.56999999999999995</v>
      </c>
      <c r="Q47" s="64">
        <v>9.2200000000000006</v>
      </c>
      <c r="R47" s="198"/>
      <c r="S47" s="198"/>
      <c r="T47" s="198"/>
      <c r="U47" s="198"/>
    </row>
    <row r="48" spans="1:21" s="12" customFormat="1" x14ac:dyDescent="0.25">
      <c r="A48" s="213" t="s">
        <v>1531</v>
      </c>
      <c r="B48" s="64">
        <v>12.59</v>
      </c>
      <c r="C48" s="64">
        <v>16.97</v>
      </c>
      <c r="D48" s="64">
        <v>18.96</v>
      </c>
      <c r="E48" s="64">
        <v>4.91</v>
      </c>
      <c r="F48" s="64">
        <v>5.49</v>
      </c>
      <c r="G48" s="64">
        <v>50.92</v>
      </c>
      <c r="H48" s="64">
        <v>6.86</v>
      </c>
      <c r="I48" s="64">
        <v>1.64</v>
      </c>
      <c r="J48" s="64">
        <v>0.25</v>
      </c>
      <c r="K48" s="64">
        <v>283.67</v>
      </c>
      <c r="L48" s="64">
        <v>27.77</v>
      </c>
      <c r="M48" s="64">
        <v>89.43</v>
      </c>
      <c r="N48" s="64">
        <v>263.2</v>
      </c>
      <c r="O48" s="64">
        <v>0</v>
      </c>
      <c r="P48" s="64">
        <v>0.57999999999999996</v>
      </c>
      <c r="Q48" s="64">
        <v>9.23</v>
      </c>
      <c r="R48" s="198"/>
      <c r="S48" s="198"/>
      <c r="T48" s="198"/>
      <c r="U48" s="198"/>
    </row>
    <row r="49" spans="1:21" s="12" customFormat="1" x14ac:dyDescent="0.25">
      <c r="A49" s="213" t="s">
        <v>1532</v>
      </c>
      <c r="B49" s="64">
        <v>13.5</v>
      </c>
      <c r="C49" s="64">
        <v>15.21</v>
      </c>
      <c r="D49" s="64">
        <v>18.77</v>
      </c>
      <c r="E49" s="64">
        <v>4.78</v>
      </c>
      <c r="F49" s="64">
        <v>6.32</v>
      </c>
      <c r="G49" s="64">
        <v>51.79</v>
      </c>
      <c r="H49" s="64">
        <v>9.74</v>
      </c>
      <c r="I49" s="64">
        <v>1.68</v>
      </c>
      <c r="J49" s="64">
        <v>0.26</v>
      </c>
      <c r="K49" s="64">
        <v>289.70999999999998</v>
      </c>
      <c r="L49" s="64">
        <v>28.87</v>
      </c>
      <c r="M49" s="64">
        <v>84.84</v>
      </c>
      <c r="N49" s="64">
        <v>375.1</v>
      </c>
      <c r="O49" s="64">
        <v>0</v>
      </c>
      <c r="P49" s="64">
        <v>0.59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3" t="s">
        <v>1533</v>
      </c>
      <c r="B50" s="64">
        <v>13.18</v>
      </c>
      <c r="C50" s="64">
        <v>16.07</v>
      </c>
      <c r="D50" s="64">
        <v>18.899999999999999</v>
      </c>
      <c r="E50" s="64">
        <v>4.63</v>
      </c>
      <c r="F50" s="64">
        <v>7.53</v>
      </c>
      <c r="G50" s="64">
        <v>52.32</v>
      </c>
      <c r="H50" s="64">
        <v>11.48</v>
      </c>
      <c r="I50" s="64">
        <v>1.69</v>
      </c>
      <c r="J50" s="64">
        <v>0.2</v>
      </c>
      <c r="K50" s="64">
        <v>283.95</v>
      </c>
      <c r="L50" s="64">
        <v>29.2</v>
      </c>
      <c r="M50" s="64">
        <v>82.38</v>
      </c>
      <c r="N50" s="64">
        <v>327.2</v>
      </c>
      <c r="O50" s="64">
        <v>0</v>
      </c>
      <c r="P50" s="64">
        <v>0.55000000000000004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3" t="s">
        <v>1534</v>
      </c>
      <c r="B51" s="64">
        <v>11.95</v>
      </c>
      <c r="C51" s="64">
        <v>15.99</v>
      </c>
      <c r="D51" s="64">
        <v>17.87</v>
      </c>
      <c r="E51" s="64">
        <v>4.74</v>
      </c>
      <c r="F51" s="64">
        <v>5.8</v>
      </c>
      <c r="G51" s="64">
        <v>52.32</v>
      </c>
      <c r="H51" s="64">
        <v>11.48</v>
      </c>
      <c r="I51" s="64">
        <v>1.61</v>
      </c>
      <c r="J51" s="64">
        <v>0.61</v>
      </c>
      <c r="K51" s="64">
        <v>306.20999999999998</v>
      </c>
      <c r="L51" s="64">
        <v>29.68</v>
      </c>
      <c r="M51" s="64">
        <v>79.650000000000006</v>
      </c>
      <c r="N51" s="64">
        <v>334</v>
      </c>
      <c r="O51" s="64">
        <v>0</v>
      </c>
      <c r="P51" s="64">
        <v>0.57999999999999996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3" t="s">
        <v>1535</v>
      </c>
      <c r="B52" s="64">
        <v>14.07</v>
      </c>
      <c r="C52" s="64">
        <v>18.690000000000001</v>
      </c>
      <c r="D52" s="64">
        <v>21.05</v>
      </c>
      <c r="E52" s="64">
        <v>4.76</v>
      </c>
      <c r="F52" s="64">
        <v>6.44</v>
      </c>
      <c r="G52" s="64">
        <v>52.32</v>
      </c>
      <c r="H52" s="64">
        <v>11.48</v>
      </c>
      <c r="I52" s="64">
        <v>1.65</v>
      </c>
      <c r="J52" s="64">
        <v>0.28999999999999998</v>
      </c>
      <c r="K52" s="64">
        <v>287.36</v>
      </c>
      <c r="L52" s="64">
        <v>29.79</v>
      </c>
      <c r="M52" s="64">
        <v>78.680000000000007</v>
      </c>
      <c r="N52" s="64">
        <v>311.2</v>
      </c>
      <c r="O52" s="64">
        <v>0</v>
      </c>
      <c r="P52" s="64">
        <v>0.56999999999999995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3" t="s">
        <v>1536</v>
      </c>
      <c r="B53" s="64">
        <v>12.68</v>
      </c>
      <c r="C53" s="64">
        <v>18.760000000000002</v>
      </c>
      <c r="D53" s="64">
        <v>19.97</v>
      </c>
      <c r="E53" s="64">
        <v>4.63</v>
      </c>
      <c r="F53" s="64">
        <v>5.54</v>
      </c>
      <c r="G53" s="64">
        <v>56.17</v>
      </c>
      <c r="H53" s="64">
        <v>11.95</v>
      </c>
      <c r="I53" s="64">
        <v>1.74</v>
      </c>
      <c r="J53" s="64">
        <v>0.21</v>
      </c>
      <c r="K53" s="64">
        <v>279.05</v>
      </c>
      <c r="L53" s="64">
        <v>28.96</v>
      </c>
      <c r="M53" s="64">
        <v>81.72</v>
      </c>
      <c r="N53" s="64">
        <v>386.7</v>
      </c>
      <c r="O53" s="64">
        <v>0</v>
      </c>
      <c r="P53" s="64">
        <v>0.56999999999999995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3" t="s">
        <v>1537</v>
      </c>
      <c r="B54" s="64">
        <v>11.53</v>
      </c>
      <c r="C54" s="64">
        <v>16.47</v>
      </c>
      <c r="D54" s="64">
        <v>17.850000000000001</v>
      </c>
      <c r="E54" s="64">
        <v>4.8</v>
      </c>
      <c r="F54" s="64">
        <v>3.5</v>
      </c>
      <c r="G54" s="64">
        <v>58.51</v>
      </c>
      <c r="H54" s="64">
        <v>12.23</v>
      </c>
      <c r="I54" s="64">
        <v>1.64</v>
      </c>
      <c r="J54" s="64">
        <v>0.24</v>
      </c>
      <c r="K54" s="64">
        <v>277.45999999999998</v>
      </c>
      <c r="L54" s="64">
        <v>28.67</v>
      </c>
      <c r="M54" s="64">
        <v>83.06</v>
      </c>
      <c r="N54" s="64">
        <v>409.9</v>
      </c>
      <c r="O54" s="64">
        <v>0</v>
      </c>
      <c r="P54" s="64">
        <v>0.55000000000000004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3" t="s">
        <v>1538</v>
      </c>
      <c r="B55" s="64">
        <v>10.37</v>
      </c>
      <c r="C55" s="64">
        <v>17.100000000000001</v>
      </c>
      <c r="D55" s="64">
        <v>17.25</v>
      </c>
      <c r="E55" s="64">
        <v>4.8499999999999996</v>
      </c>
      <c r="F55" s="64">
        <v>4.1100000000000003</v>
      </c>
      <c r="G55" s="64">
        <v>58.51</v>
      </c>
      <c r="H55" s="64">
        <v>12.23</v>
      </c>
      <c r="I55" s="64">
        <v>1.56</v>
      </c>
      <c r="J55" s="64">
        <v>0.28999999999999998</v>
      </c>
      <c r="K55" s="64">
        <v>281.52999999999997</v>
      </c>
      <c r="L55" s="64">
        <v>28.74</v>
      </c>
      <c r="M55" s="64">
        <v>82.03</v>
      </c>
      <c r="N55" s="64">
        <v>392.9</v>
      </c>
      <c r="O55" s="64">
        <v>0</v>
      </c>
      <c r="P55" s="64">
        <v>0.52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3" t="s">
        <v>1539</v>
      </c>
      <c r="B56" s="64">
        <v>8.8000000000000007</v>
      </c>
      <c r="C56" s="64">
        <v>17.82</v>
      </c>
      <c r="D56" s="64">
        <v>16.37</v>
      </c>
      <c r="E56" s="64">
        <v>4.96</v>
      </c>
      <c r="F56" s="64">
        <v>4.2300000000000004</v>
      </c>
      <c r="G56" s="64">
        <v>58.51</v>
      </c>
      <c r="H56" s="64">
        <v>12.23</v>
      </c>
      <c r="I56" s="64">
        <v>1.53</v>
      </c>
      <c r="J56" s="64">
        <v>0.35</v>
      </c>
      <c r="K56" s="64">
        <v>291.36</v>
      </c>
      <c r="L56" s="64">
        <v>29.42</v>
      </c>
      <c r="M56" s="64">
        <v>79.53</v>
      </c>
      <c r="N56" s="64">
        <v>374.6</v>
      </c>
      <c r="O56" s="64">
        <v>0</v>
      </c>
      <c r="P56" s="64">
        <v>0.53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3" t="s">
        <v>1540</v>
      </c>
      <c r="B57" s="64">
        <v>8.9499999999999993</v>
      </c>
      <c r="C57" s="64">
        <v>17.63</v>
      </c>
      <c r="D57" s="64">
        <v>16.39</v>
      </c>
      <c r="E57" s="64">
        <v>4.75</v>
      </c>
      <c r="F57" s="64">
        <v>4.5599999999999996</v>
      </c>
      <c r="G57" s="64">
        <v>58.35</v>
      </c>
      <c r="H57" s="64">
        <v>14.68</v>
      </c>
      <c r="I57" s="64">
        <v>1.5</v>
      </c>
      <c r="J57" s="64">
        <v>0.36</v>
      </c>
      <c r="K57" s="64">
        <v>304.36</v>
      </c>
      <c r="L57" s="64">
        <v>30.51</v>
      </c>
      <c r="M57" s="64">
        <v>74.47</v>
      </c>
      <c r="N57" s="64">
        <v>395.2</v>
      </c>
      <c r="O57" s="64">
        <v>0</v>
      </c>
      <c r="P57" s="64">
        <v>0.52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3" t="s">
        <v>1541</v>
      </c>
      <c r="B58" s="64">
        <v>7.76</v>
      </c>
      <c r="C58" s="64">
        <v>18.89</v>
      </c>
      <c r="D58" s="64">
        <v>16.09</v>
      </c>
      <c r="E58" s="64">
        <v>4.76</v>
      </c>
      <c r="F58" s="64">
        <v>6.11</v>
      </c>
      <c r="G58" s="64">
        <v>58.25</v>
      </c>
      <c r="H58" s="64">
        <v>16.170000000000002</v>
      </c>
      <c r="I58" s="64">
        <v>1.5</v>
      </c>
      <c r="J58" s="64">
        <v>0.14000000000000001</v>
      </c>
      <c r="K58" s="64">
        <v>275.61</v>
      </c>
      <c r="L58" s="64">
        <v>29.88</v>
      </c>
      <c r="M58" s="64">
        <v>78.14</v>
      </c>
      <c r="N58" s="64">
        <v>395.9</v>
      </c>
      <c r="O58" s="64">
        <v>0</v>
      </c>
      <c r="P58" s="64">
        <v>0.53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3" t="s">
        <v>1542</v>
      </c>
      <c r="B59" s="64">
        <v>6.93</v>
      </c>
      <c r="C59" s="64">
        <v>18.79</v>
      </c>
      <c r="D59" s="64">
        <v>15.37</v>
      </c>
      <c r="E59" s="64">
        <v>4.43</v>
      </c>
      <c r="F59" s="64">
        <v>4.46</v>
      </c>
      <c r="G59" s="64">
        <v>58.25</v>
      </c>
      <c r="H59" s="64">
        <v>16.170000000000002</v>
      </c>
      <c r="I59" s="64">
        <v>1.51</v>
      </c>
      <c r="J59" s="64">
        <v>0.1</v>
      </c>
      <c r="K59" s="64">
        <v>258.11</v>
      </c>
      <c r="L59" s="64">
        <v>30.16</v>
      </c>
      <c r="M59" s="64">
        <v>78.13</v>
      </c>
      <c r="N59" s="64">
        <v>425.3</v>
      </c>
      <c r="O59" s="64">
        <v>0</v>
      </c>
      <c r="P59" s="64">
        <v>0.56000000000000005</v>
      </c>
      <c r="Q59" s="64">
        <v>9.09</v>
      </c>
      <c r="R59" s="198"/>
      <c r="S59" s="198"/>
      <c r="T59" s="198"/>
      <c r="U59" s="198"/>
    </row>
    <row r="60" spans="1:21" s="12" customFormat="1" x14ac:dyDescent="0.25">
      <c r="A60" s="213" t="s">
        <v>1543</v>
      </c>
      <c r="B60" s="64">
        <v>6.95</v>
      </c>
      <c r="C60" s="64">
        <v>21.89</v>
      </c>
      <c r="D60" s="64">
        <v>17.010000000000002</v>
      </c>
      <c r="E60" s="64">
        <v>4.6500000000000004</v>
      </c>
      <c r="F60" s="64">
        <v>9.1</v>
      </c>
      <c r="G60" s="64">
        <v>58.25</v>
      </c>
      <c r="H60" s="64">
        <v>16.170000000000002</v>
      </c>
      <c r="I60" s="64">
        <v>1.52</v>
      </c>
      <c r="J60" s="64">
        <v>0.11</v>
      </c>
      <c r="K60" s="64">
        <v>213.63</v>
      </c>
      <c r="L60" s="64">
        <v>29.63</v>
      </c>
      <c r="M60" s="64">
        <v>80.38</v>
      </c>
      <c r="N60" s="64">
        <v>373.8</v>
      </c>
      <c r="O60" s="64">
        <v>0</v>
      </c>
      <c r="P60" s="64">
        <v>0.56999999999999995</v>
      </c>
      <c r="Q60" s="64">
        <v>9.08</v>
      </c>
      <c r="R60" s="198"/>
      <c r="S60" s="198"/>
      <c r="T60" s="198"/>
      <c r="U60" s="198"/>
    </row>
    <row r="61" spans="1:21" s="12" customFormat="1" x14ac:dyDescent="0.25">
      <c r="A61" s="213" t="s">
        <v>1544</v>
      </c>
      <c r="B61" s="64">
        <v>7.02</v>
      </c>
      <c r="C61" s="64">
        <v>21.1</v>
      </c>
      <c r="D61" s="64">
        <v>16.649999999999999</v>
      </c>
      <c r="E61" s="64">
        <v>4.59</v>
      </c>
      <c r="F61" s="64">
        <v>6.19</v>
      </c>
      <c r="G61" s="64">
        <v>59.3</v>
      </c>
      <c r="H61" s="64">
        <v>16.690000000000001</v>
      </c>
      <c r="I61" s="64">
        <v>1.66</v>
      </c>
      <c r="J61" s="64">
        <v>0.23</v>
      </c>
      <c r="K61" s="64">
        <v>304.79000000000002</v>
      </c>
      <c r="L61" s="64">
        <v>29.7</v>
      </c>
      <c r="M61" s="64">
        <v>79.569999999999993</v>
      </c>
      <c r="N61" s="64">
        <v>370.4</v>
      </c>
      <c r="O61" s="64">
        <v>0</v>
      </c>
      <c r="P61" s="64">
        <v>0.57999999999999996</v>
      </c>
      <c r="Q61" s="64">
        <v>9.0500000000000007</v>
      </c>
      <c r="R61" s="198"/>
      <c r="S61" s="198"/>
      <c r="T61" s="198"/>
      <c r="U61" s="198"/>
    </row>
    <row r="62" spans="1:21" s="12" customFormat="1" x14ac:dyDescent="0.25">
      <c r="A62" s="213" t="s">
        <v>1545</v>
      </c>
      <c r="B62" s="64">
        <v>7.38</v>
      </c>
      <c r="C62" s="64">
        <v>22.16</v>
      </c>
      <c r="D62" s="64">
        <v>17.489999999999998</v>
      </c>
      <c r="E62" s="64">
        <v>4.45</v>
      </c>
      <c r="F62" s="64">
        <v>6.03</v>
      </c>
      <c r="G62" s="64">
        <v>59.93</v>
      </c>
      <c r="H62" s="64">
        <v>17</v>
      </c>
      <c r="I62" s="64">
        <v>1.66</v>
      </c>
      <c r="J62" s="64">
        <v>0.16</v>
      </c>
      <c r="K62" s="64">
        <v>288.49</v>
      </c>
      <c r="L62" s="64">
        <v>30.31</v>
      </c>
      <c r="M62" s="64">
        <v>76.53</v>
      </c>
      <c r="N62" s="64">
        <v>331</v>
      </c>
      <c r="O62" s="64">
        <v>0</v>
      </c>
      <c r="P62" s="64">
        <v>0.64</v>
      </c>
      <c r="Q62" s="64">
        <v>9.06</v>
      </c>
      <c r="R62" s="198"/>
      <c r="S62" s="198"/>
      <c r="T62" s="198"/>
      <c r="U62" s="198"/>
    </row>
    <row r="63" spans="1:21" s="12" customFormat="1" x14ac:dyDescent="0.25">
      <c r="A63" s="213" t="s">
        <v>1546</v>
      </c>
      <c r="B63" s="64">
        <v>8.93</v>
      </c>
      <c r="C63" s="64">
        <v>26.32</v>
      </c>
      <c r="D63" s="64">
        <v>20.91</v>
      </c>
      <c r="E63" s="64">
        <v>4.75</v>
      </c>
      <c r="F63" s="64">
        <v>10.7</v>
      </c>
      <c r="G63" s="64">
        <v>59.93</v>
      </c>
      <c r="H63" s="64">
        <v>17</v>
      </c>
      <c r="I63" s="64">
        <v>1.73</v>
      </c>
      <c r="J63" s="64">
        <v>0.18</v>
      </c>
      <c r="K63" s="64">
        <v>284.04000000000002</v>
      </c>
      <c r="L63" s="64">
        <v>30.04</v>
      </c>
      <c r="M63" s="64">
        <v>77.52</v>
      </c>
      <c r="N63" s="64">
        <v>298.10000000000002</v>
      </c>
      <c r="O63" s="64">
        <v>0</v>
      </c>
      <c r="P63" s="64">
        <v>0.77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3" t="s">
        <v>1547</v>
      </c>
      <c r="B64" s="64">
        <v>8.4700000000000006</v>
      </c>
      <c r="C64" s="64">
        <v>22.54</v>
      </c>
      <c r="D64" s="64">
        <v>18.57</v>
      </c>
      <c r="E64" s="64">
        <v>5.2</v>
      </c>
      <c r="F64" s="64">
        <v>9.1999999999999993</v>
      </c>
      <c r="G64" s="64">
        <v>59.93</v>
      </c>
      <c r="H64" s="64">
        <v>17</v>
      </c>
      <c r="I64" s="64">
        <v>1.86</v>
      </c>
      <c r="J64" s="64">
        <v>0.2</v>
      </c>
      <c r="K64" s="64">
        <v>278.62</v>
      </c>
      <c r="L64" s="64">
        <v>29.36</v>
      </c>
      <c r="M64" s="64">
        <v>80</v>
      </c>
      <c r="N64" s="64">
        <v>324.7</v>
      </c>
      <c r="O64" s="64">
        <v>0</v>
      </c>
      <c r="P64" s="64">
        <v>0.72</v>
      </c>
      <c r="Q64" s="64">
        <v>9.07</v>
      </c>
      <c r="R64" s="198"/>
      <c r="S64" s="198"/>
      <c r="T64" s="198"/>
      <c r="U64" s="198"/>
    </row>
    <row r="65" spans="1:21" s="12" customFormat="1" x14ac:dyDescent="0.25">
      <c r="A65" s="213" t="s">
        <v>1548</v>
      </c>
      <c r="B65" s="64">
        <v>7.72</v>
      </c>
      <c r="C65" s="64">
        <v>17.93</v>
      </c>
      <c r="D65" s="64">
        <v>15.56</v>
      </c>
      <c r="E65" s="64">
        <v>5.04</v>
      </c>
      <c r="F65" s="64">
        <v>11.9</v>
      </c>
      <c r="G65" s="64">
        <v>60.5</v>
      </c>
      <c r="H65" s="64">
        <v>16.399999999999999</v>
      </c>
      <c r="I65" s="64">
        <v>1.92</v>
      </c>
      <c r="J65" s="64">
        <v>0.15</v>
      </c>
      <c r="K65" s="64">
        <v>228.41</v>
      </c>
      <c r="L65" s="64">
        <v>29.52</v>
      </c>
      <c r="M65" s="64">
        <v>80.5</v>
      </c>
      <c r="N65" s="64">
        <v>325.60000000000002</v>
      </c>
      <c r="O65" s="64">
        <v>0</v>
      </c>
      <c r="P65" s="64">
        <v>0.55000000000000004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3" t="s">
        <v>1549</v>
      </c>
      <c r="B66" s="64">
        <v>5.81</v>
      </c>
      <c r="C66" s="64">
        <v>18.600000000000001</v>
      </c>
      <c r="D66" s="64">
        <v>14.38</v>
      </c>
      <c r="E66" s="64">
        <v>4.7699999999999996</v>
      </c>
      <c r="F66" s="64">
        <v>14.06</v>
      </c>
      <c r="G66" s="64">
        <v>60.85</v>
      </c>
      <c r="H66" s="64">
        <v>16.03</v>
      </c>
      <c r="I66" s="64">
        <v>1.96</v>
      </c>
      <c r="J66" s="64">
        <v>0.06</v>
      </c>
      <c r="K66" s="64">
        <v>234.41</v>
      </c>
      <c r="L66" s="64">
        <v>29.55</v>
      </c>
      <c r="M66" s="64">
        <v>80.5</v>
      </c>
      <c r="N66" s="64">
        <v>327.10000000000002</v>
      </c>
      <c r="O66" s="64">
        <v>0</v>
      </c>
      <c r="P66" s="64">
        <v>0.47</v>
      </c>
      <c r="Q66" s="64">
        <v>9.07</v>
      </c>
      <c r="R66" s="198"/>
      <c r="S66" s="198"/>
      <c r="T66" s="198"/>
      <c r="U66" s="198"/>
    </row>
    <row r="67" spans="1:21" s="12" customFormat="1" x14ac:dyDescent="0.25">
      <c r="A67" s="213" t="s">
        <v>1550</v>
      </c>
      <c r="B67" s="64">
        <v>5.12</v>
      </c>
      <c r="C67" s="64">
        <v>17.420000000000002</v>
      </c>
      <c r="D67" s="64">
        <v>13.2</v>
      </c>
      <c r="E67" s="64">
        <v>5.05</v>
      </c>
      <c r="F67" s="64">
        <v>13.2</v>
      </c>
      <c r="G67" s="64">
        <v>60.85</v>
      </c>
      <c r="H67" s="64">
        <v>16.03</v>
      </c>
      <c r="I67" s="64">
        <v>1.96</v>
      </c>
      <c r="J67" s="64">
        <v>0.23</v>
      </c>
      <c r="K67" s="64">
        <v>188.59</v>
      </c>
      <c r="L67" s="64">
        <v>29.78</v>
      </c>
      <c r="M67" s="64">
        <v>77.55</v>
      </c>
      <c r="N67" s="64">
        <v>316.60000000000002</v>
      </c>
      <c r="O67" s="64">
        <v>0</v>
      </c>
      <c r="P67" s="64">
        <v>0.51</v>
      </c>
      <c r="Q67" s="64">
        <v>9.07</v>
      </c>
      <c r="R67" s="198"/>
      <c r="S67" s="198"/>
      <c r="T67" s="198"/>
      <c r="U67" s="198"/>
    </row>
    <row r="68" spans="1:21" s="12" customFormat="1" x14ac:dyDescent="0.25">
      <c r="A68" s="213" t="s">
        <v>1551</v>
      </c>
      <c r="B68" s="64">
        <v>4.92</v>
      </c>
      <c r="C68" s="64">
        <v>16.43</v>
      </c>
      <c r="D68" s="64">
        <v>12.53</v>
      </c>
      <c r="E68" s="64">
        <v>5.21</v>
      </c>
      <c r="F68" s="64">
        <v>10.41</v>
      </c>
      <c r="G68" s="64">
        <v>60.85</v>
      </c>
      <c r="H68" s="64">
        <v>16.03</v>
      </c>
      <c r="I68" s="64">
        <v>1.9</v>
      </c>
      <c r="J68" s="64">
        <v>0.13</v>
      </c>
      <c r="K68" s="64">
        <v>246.76</v>
      </c>
      <c r="L68" s="64">
        <v>29.8</v>
      </c>
      <c r="M68" s="64">
        <v>77.540000000000006</v>
      </c>
      <c r="N68" s="64">
        <v>334</v>
      </c>
      <c r="O68" s="64">
        <v>0</v>
      </c>
      <c r="P68" s="64">
        <v>0.54</v>
      </c>
      <c r="Q68" s="64">
        <v>9.07</v>
      </c>
      <c r="R68" s="198"/>
      <c r="S68" s="198"/>
      <c r="T68" s="198"/>
      <c r="U68" s="198"/>
    </row>
    <row r="69" spans="1:21" s="12" customFormat="1" x14ac:dyDescent="0.25">
      <c r="A69" s="213" t="s">
        <v>1552</v>
      </c>
      <c r="B69" s="64">
        <v>5.29</v>
      </c>
      <c r="C69" s="64">
        <v>17.32</v>
      </c>
      <c r="D69" s="64">
        <v>13.3</v>
      </c>
      <c r="E69" s="64">
        <v>5.12</v>
      </c>
      <c r="F69" s="64">
        <v>6.56</v>
      </c>
      <c r="G69" s="64">
        <v>55.27</v>
      </c>
      <c r="H69" s="64">
        <v>16.73</v>
      </c>
      <c r="I69" s="64">
        <v>1.86</v>
      </c>
      <c r="J69" s="64">
        <v>0.22</v>
      </c>
      <c r="K69" s="64">
        <v>266.01</v>
      </c>
      <c r="L69" s="64">
        <v>30.13</v>
      </c>
      <c r="M69" s="64">
        <v>75.34</v>
      </c>
      <c r="N69" s="64">
        <v>279.10000000000002</v>
      </c>
      <c r="O69" s="64">
        <v>0</v>
      </c>
      <c r="P69" s="64">
        <v>0.55000000000000004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3" t="s">
        <v>1553</v>
      </c>
      <c r="B70" s="64">
        <v>5.3</v>
      </c>
      <c r="C70" s="64">
        <v>16.87</v>
      </c>
      <c r="D70" s="64">
        <v>13.07</v>
      </c>
      <c r="E70" s="64">
        <v>4.68</v>
      </c>
      <c r="F70" s="64">
        <v>5.89</v>
      </c>
      <c r="G70" s="64">
        <v>51.88</v>
      </c>
      <c r="H70" s="64">
        <v>17.16</v>
      </c>
      <c r="I70" s="64">
        <v>1.84</v>
      </c>
      <c r="J70" s="64">
        <v>0.27</v>
      </c>
      <c r="K70" s="64">
        <v>292.99</v>
      </c>
      <c r="L70" s="64">
        <v>30.55</v>
      </c>
      <c r="M70" s="64">
        <v>74.209999999999994</v>
      </c>
      <c r="N70" s="64">
        <v>258.5</v>
      </c>
      <c r="O70" s="64">
        <v>0</v>
      </c>
      <c r="P70" s="64">
        <v>0.53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3" t="s">
        <v>1554</v>
      </c>
      <c r="B71" s="64">
        <v>5.01</v>
      </c>
      <c r="C71" s="64">
        <v>16.829999999999998</v>
      </c>
      <c r="D71" s="64">
        <v>12.81</v>
      </c>
      <c r="E71" s="64">
        <v>4.72</v>
      </c>
      <c r="F71" s="64">
        <v>5.28</v>
      </c>
      <c r="G71" s="64">
        <v>51.88</v>
      </c>
      <c r="H71" s="64">
        <v>17.16</v>
      </c>
      <c r="I71" s="64">
        <v>1.79</v>
      </c>
      <c r="J71" s="64">
        <v>0.23</v>
      </c>
      <c r="K71" s="64">
        <v>280.44</v>
      </c>
      <c r="L71" s="64">
        <v>30.45</v>
      </c>
      <c r="M71" s="64">
        <v>72.47</v>
      </c>
      <c r="N71" s="64">
        <v>201.5</v>
      </c>
      <c r="O71" s="64">
        <v>0</v>
      </c>
      <c r="P71" s="64">
        <v>0.53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3" t="s">
        <v>1555</v>
      </c>
      <c r="B72" s="64">
        <v>4.75</v>
      </c>
      <c r="C72" s="64">
        <v>16.47</v>
      </c>
      <c r="D72" s="64">
        <v>12.41</v>
      </c>
      <c r="E72" s="64">
        <v>5.1100000000000003</v>
      </c>
      <c r="F72" s="64">
        <v>5.31</v>
      </c>
      <c r="G72" s="64">
        <v>51.88</v>
      </c>
      <c r="H72" s="64">
        <v>17.16</v>
      </c>
      <c r="I72" s="64">
        <v>1.7</v>
      </c>
      <c r="J72" s="64">
        <v>0.16</v>
      </c>
      <c r="K72" s="64">
        <v>281.51</v>
      </c>
      <c r="L72" s="64">
        <v>29.75</v>
      </c>
      <c r="M72" s="64">
        <v>75.13</v>
      </c>
      <c r="N72" s="64">
        <v>178.7</v>
      </c>
      <c r="O72" s="64">
        <v>0</v>
      </c>
      <c r="P72" s="64">
        <v>0.49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3" t="s">
        <v>1556</v>
      </c>
      <c r="B73" s="64">
        <v>5.33</v>
      </c>
      <c r="C73" s="64">
        <v>16.440000000000001</v>
      </c>
      <c r="D73" s="64">
        <v>12.86</v>
      </c>
      <c r="E73" s="64">
        <v>5.15</v>
      </c>
      <c r="F73" s="64">
        <v>6.12</v>
      </c>
      <c r="G73" s="64">
        <v>52.9</v>
      </c>
      <c r="H73" s="64">
        <v>14.65</v>
      </c>
      <c r="I73" s="64">
        <v>1.61</v>
      </c>
      <c r="J73" s="64">
        <v>0.22</v>
      </c>
      <c r="K73" s="64">
        <v>291.60000000000002</v>
      </c>
      <c r="L73" s="64">
        <v>29.79</v>
      </c>
      <c r="M73" s="64">
        <v>76.61</v>
      </c>
      <c r="N73" s="64">
        <v>176.8</v>
      </c>
      <c r="O73" s="64">
        <v>0</v>
      </c>
      <c r="P73" s="64">
        <v>0.46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3" t="s">
        <v>1557</v>
      </c>
      <c r="B74" s="64">
        <v>5.95</v>
      </c>
      <c r="C74" s="64">
        <v>18.22</v>
      </c>
      <c r="D74" s="64">
        <v>14.29</v>
      </c>
      <c r="E74" s="64">
        <v>5.15</v>
      </c>
      <c r="F74" s="64">
        <v>5.83</v>
      </c>
      <c r="G74" s="64">
        <v>53.51</v>
      </c>
      <c r="H74" s="64">
        <v>13.13</v>
      </c>
      <c r="I74" s="64">
        <v>1.52</v>
      </c>
      <c r="J74" s="64">
        <v>0.18</v>
      </c>
      <c r="K74" s="64">
        <v>292.38</v>
      </c>
      <c r="L74" s="64">
        <v>29.92</v>
      </c>
      <c r="M74" s="64">
        <v>76.97</v>
      </c>
      <c r="N74" s="64">
        <v>159.80000000000001</v>
      </c>
      <c r="O74" s="64">
        <v>0</v>
      </c>
      <c r="P74" s="64">
        <v>0.49</v>
      </c>
      <c r="Q74" s="64">
        <v>8.99</v>
      </c>
      <c r="R74" s="198"/>
      <c r="S74" s="198"/>
      <c r="T74" s="198"/>
      <c r="U74" s="198"/>
    </row>
    <row r="75" spans="1:21" s="12" customFormat="1" x14ac:dyDescent="0.25">
      <c r="A75" s="213" t="s">
        <v>1558</v>
      </c>
      <c r="B75" s="64">
        <v>6.12</v>
      </c>
      <c r="C75" s="64">
        <v>18.37</v>
      </c>
      <c r="D75" s="64">
        <v>14.5</v>
      </c>
      <c r="E75" s="64">
        <v>5.2</v>
      </c>
      <c r="F75" s="64">
        <v>4.7</v>
      </c>
      <c r="G75" s="64">
        <v>53.51</v>
      </c>
      <c r="H75" s="64">
        <v>13.13</v>
      </c>
      <c r="I75" s="64">
        <v>1.38</v>
      </c>
      <c r="J75" s="64">
        <v>0.18</v>
      </c>
      <c r="K75" s="64">
        <v>304.23</v>
      </c>
      <c r="L75" s="64">
        <v>29.7</v>
      </c>
      <c r="M75" s="64">
        <v>76.44</v>
      </c>
      <c r="N75" s="64">
        <v>156.19999999999999</v>
      </c>
      <c r="O75" s="64">
        <v>0</v>
      </c>
      <c r="P75" s="64">
        <v>0.46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3" t="s">
        <v>1559</v>
      </c>
      <c r="B76" s="64">
        <v>7.31</v>
      </c>
      <c r="C76" s="64">
        <v>19.510000000000002</v>
      </c>
      <c r="D76" s="64">
        <v>16.05</v>
      </c>
      <c r="E76" s="64">
        <v>5.1100000000000003</v>
      </c>
      <c r="F76" s="64">
        <v>3.32</v>
      </c>
      <c r="G76" s="64">
        <v>53.51</v>
      </c>
      <c r="H76" s="64">
        <v>13.13</v>
      </c>
      <c r="I76" s="64">
        <v>1.3</v>
      </c>
      <c r="J76" s="64">
        <v>0.2</v>
      </c>
      <c r="K76" s="64">
        <v>300.81</v>
      </c>
      <c r="L76" s="64">
        <v>29.99</v>
      </c>
      <c r="M76" s="64">
        <v>74.87</v>
      </c>
      <c r="N76" s="64">
        <v>130.4</v>
      </c>
      <c r="O76" s="64">
        <v>0</v>
      </c>
      <c r="P76" s="64">
        <v>0.46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13" t="s">
        <v>1560</v>
      </c>
      <c r="B77" s="64">
        <v>7.36</v>
      </c>
      <c r="C77" s="64">
        <v>18.329999999999998</v>
      </c>
      <c r="D77" s="64">
        <v>15.48</v>
      </c>
      <c r="E77" s="64">
        <v>5.23</v>
      </c>
      <c r="F77" s="64">
        <v>4.42</v>
      </c>
      <c r="G77" s="64">
        <v>50.65</v>
      </c>
      <c r="H77" s="64">
        <v>11.9</v>
      </c>
      <c r="I77" s="64">
        <v>1.26</v>
      </c>
      <c r="J77" s="64">
        <v>0.88</v>
      </c>
      <c r="K77" s="64">
        <v>315.56</v>
      </c>
      <c r="L77" s="64">
        <v>29.75</v>
      </c>
      <c r="M77" s="64">
        <v>75.87</v>
      </c>
      <c r="N77" s="64">
        <v>95.6</v>
      </c>
      <c r="O77" s="64">
        <v>0</v>
      </c>
      <c r="P77" s="64">
        <v>0.48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13" t="s">
        <v>1561</v>
      </c>
      <c r="B78" s="64">
        <v>7.19</v>
      </c>
      <c r="C78" s="64">
        <v>16.46</v>
      </c>
      <c r="D78" s="64">
        <v>14.37</v>
      </c>
      <c r="E78" s="64">
        <v>5.27</v>
      </c>
      <c r="F78" s="64">
        <v>4.26</v>
      </c>
      <c r="G78" s="64">
        <v>48.92</v>
      </c>
      <c r="H78" s="64">
        <v>11.15</v>
      </c>
      <c r="I78" s="64">
        <v>1.23</v>
      </c>
      <c r="J78" s="64">
        <v>1.69</v>
      </c>
      <c r="K78" s="64">
        <v>328.41</v>
      </c>
      <c r="L78" s="64">
        <v>27.95</v>
      </c>
      <c r="M78" s="64">
        <v>83.6</v>
      </c>
      <c r="N78" s="64">
        <v>86.3</v>
      </c>
      <c r="O78" s="64">
        <v>0</v>
      </c>
      <c r="P78" s="64">
        <v>0.45</v>
      </c>
      <c r="Q78" s="64">
        <v>9.02</v>
      </c>
      <c r="R78" s="198"/>
      <c r="S78" s="198"/>
      <c r="T78" s="198"/>
      <c r="U78" s="198"/>
    </row>
    <row r="79" spans="1:21" s="12" customFormat="1" x14ac:dyDescent="0.25">
      <c r="A79" s="213" t="s">
        <v>1562</v>
      </c>
      <c r="B79" s="64">
        <v>8.41</v>
      </c>
      <c r="C79" s="64">
        <v>15.65</v>
      </c>
      <c r="D79" s="64">
        <v>14.92</v>
      </c>
      <c r="E79" s="64">
        <v>4.8099999999999996</v>
      </c>
      <c r="F79" s="64">
        <v>4.42</v>
      </c>
      <c r="G79" s="64">
        <v>48.92</v>
      </c>
      <c r="H79" s="64">
        <v>11.15</v>
      </c>
      <c r="I79" s="64">
        <v>1.21</v>
      </c>
      <c r="J79" s="64">
        <v>1.23</v>
      </c>
      <c r="K79" s="64">
        <v>331.8</v>
      </c>
      <c r="L79" s="64">
        <v>27.12</v>
      </c>
      <c r="M79" s="64">
        <v>86.43</v>
      </c>
      <c r="N79" s="64">
        <v>75.400000000000006</v>
      </c>
      <c r="O79" s="64">
        <v>0</v>
      </c>
      <c r="P79" s="64">
        <v>0.46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3" t="s">
        <v>1563</v>
      </c>
      <c r="B80" s="64">
        <v>12.35</v>
      </c>
      <c r="C80" s="64">
        <v>18.32</v>
      </c>
      <c r="D80" s="64">
        <v>19.48</v>
      </c>
      <c r="E80" s="64">
        <v>4.75</v>
      </c>
      <c r="F80" s="64">
        <v>4.9800000000000004</v>
      </c>
      <c r="G80" s="64">
        <v>48.92</v>
      </c>
      <c r="H80" s="64">
        <v>11.15</v>
      </c>
      <c r="I80" s="64">
        <v>1.22</v>
      </c>
      <c r="J80" s="64">
        <v>0.9</v>
      </c>
      <c r="K80" s="64">
        <v>336.05</v>
      </c>
      <c r="L80" s="64">
        <v>26.93</v>
      </c>
      <c r="M80" s="64">
        <v>88.58</v>
      </c>
      <c r="N80" s="64">
        <v>75.7</v>
      </c>
      <c r="O80" s="64">
        <v>0</v>
      </c>
      <c r="P80" s="64">
        <v>0.51</v>
      </c>
      <c r="Q80" s="64">
        <v>9.0500000000000007</v>
      </c>
      <c r="R80" s="198"/>
      <c r="S80" s="198"/>
      <c r="T80" s="198"/>
      <c r="U80" s="198"/>
    </row>
    <row r="81" spans="1:26" s="12" customFormat="1" x14ac:dyDescent="0.25">
      <c r="A81" s="213" t="s">
        <v>1564</v>
      </c>
      <c r="B81" s="64">
        <v>14.76</v>
      </c>
      <c r="C81" s="64">
        <v>22.69</v>
      </c>
      <c r="D81" s="64">
        <v>23.7</v>
      </c>
      <c r="E81" s="64">
        <v>5.08</v>
      </c>
      <c r="F81" s="64">
        <v>9.1999999999999993</v>
      </c>
      <c r="G81" s="64">
        <v>49.44</v>
      </c>
      <c r="H81" s="64">
        <v>11.49</v>
      </c>
      <c r="I81" s="64">
        <v>1.25</v>
      </c>
      <c r="J81" s="64">
        <v>0.33</v>
      </c>
      <c r="K81" s="64">
        <v>325.10000000000002</v>
      </c>
      <c r="L81" s="64">
        <v>26.97</v>
      </c>
      <c r="M81" s="64">
        <v>89.79</v>
      </c>
      <c r="N81" s="64">
        <v>69.900000000000006</v>
      </c>
      <c r="O81" s="64">
        <v>0</v>
      </c>
      <c r="P81" s="64">
        <v>0.61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13" t="s">
        <v>1565</v>
      </c>
      <c r="B82" s="64">
        <v>26.23</v>
      </c>
      <c r="C82" s="64">
        <v>25.88</v>
      </c>
      <c r="D82" s="64">
        <v>34.549999999999997</v>
      </c>
      <c r="E82" s="64">
        <v>5.22</v>
      </c>
      <c r="F82" s="64">
        <v>8.59</v>
      </c>
      <c r="G82" s="64">
        <v>49.75</v>
      </c>
      <c r="H82" s="64">
        <v>11.7</v>
      </c>
      <c r="I82" s="64">
        <v>1.29</v>
      </c>
      <c r="J82" s="64">
        <v>0.35</v>
      </c>
      <c r="K82" s="64">
        <v>335.5</v>
      </c>
      <c r="L82" s="64">
        <v>26.94</v>
      </c>
      <c r="M82" s="64">
        <v>92</v>
      </c>
      <c r="N82" s="64">
        <v>61.3</v>
      </c>
      <c r="O82" s="64">
        <v>0</v>
      </c>
      <c r="P82" s="64">
        <v>0.93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3" t="s">
        <v>1566</v>
      </c>
      <c r="B83" s="64">
        <v>32.33</v>
      </c>
      <c r="C83" s="64">
        <v>31.95</v>
      </c>
      <c r="D83" s="64">
        <v>42.62</v>
      </c>
      <c r="E83" s="64">
        <v>5.44</v>
      </c>
      <c r="F83" s="64">
        <v>7.87</v>
      </c>
      <c r="G83" s="64">
        <v>49.75</v>
      </c>
      <c r="H83" s="64">
        <v>11.7</v>
      </c>
      <c r="I83" s="64">
        <v>1.34</v>
      </c>
      <c r="J83" s="64">
        <v>0.12</v>
      </c>
      <c r="K83" s="64">
        <v>324.01</v>
      </c>
      <c r="L83" s="64">
        <v>26.86</v>
      </c>
      <c r="M83" s="64">
        <v>92.84</v>
      </c>
      <c r="N83" s="64">
        <v>55.4</v>
      </c>
      <c r="O83" s="64">
        <v>0</v>
      </c>
      <c r="P83" s="64">
        <v>1.1200000000000001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3" t="s">
        <v>1567</v>
      </c>
      <c r="B84" s="64">
        <v>29.23</v>
      </c>
      <c r="C84" s="64">
        <v>33.08</v>
      </c>
      <c r="D84" s="64">
        <v>40.729999999999997</v>
      </c>
      <c r="E84" s="64">
        <v>5.68</v>
      </c>
      <c r="F84" s="64">
        <v>7.33</v>
      </c>
      <c r="G84" s="64">
        <v>49.75</v>
      </c>
      <c r="H84" s="64">
        <v>11.7</v>
      </c>
      <c r="I84" s="64">
        <v>1.41</v>
      </c>
      <c r="J84" s="64">
        <v>0.04</v>
      </c>
      <c r="K84" s="64">
        <v>342.31</v>
      </c>
      <c r="L84" s="64">
        <v>26.9</v>
      </c>
      <c r="M84" s="64">
        <v>92.6</v>
      </c>
      <c r="N84" s="64">
        <v>54.5</v>
      </c>
      <c r="O84" s="64">
        <v>0</v>
      </c>
      <c r="P84" s="64">
        <v>1.1200000000000001</v>
      </c>
      <c r="Q84" s="64">
        <v>9.26</v>
      </c>
      <c r="R84" s="198"/>
      <c r="S84" s="198"/>
      <c r="T84" s="198"/>
      <c r="U84" s="198"/>
    </row>
    <row r="85" spans="1:26" s="12" customFormat="1" x14ac:dyDescent="0.25">
      <c r="A85" s="213" t="s">
        <v>1568</v>
      </c>
      <c r="B85" s="64">
        <v>15.45</v>
      </c>
      <c r="C85" s="64">
        <v>27.52</v>
      </c>
      <c r="D85" s="64">
        <v>26.76</v>
      </c>
      <c r="E85" s="64">
        <v>5.48</v>
      </c>
      <c r="F85" s="64">
        <v>7.49</v>
      </c>
      <c r="G85" s="64">
        <v>59.99</v>
      </c>
      <c r="H85" s="64">
        <v>12.03</v>
      </c>
      <c r="I85" s="64">
        <v>1.5</v>
      </c>
      <c r="J85" s="64">
        <v>0.02</v>
      </c>
      <c r="K85" s="64">
        <v>14.03</v>
      </c>
      <c r="L85" s="64">
        <v>26.97</v>
      </c>
      <c r="M85" s="64">
        <v>93.23</v>
      </c>
      <c r="N85" s="64">
        <v>54.6</v>
      </c>
      <c r="O85" s="64">
        <v>0</v>
      </c>
      <c r="P85" s="64">
        <v>0.71</v>
      </c>
      <c r="Q85" s="64">
        <v>9.31</v>
      </c>
      <c r="R85" s="198"/>
      <c r="S85" s="198"/>
      <c r="T85" s="198"/>
      <c r="U85" s="198"/>
    </row>
    <row r="86" spans="1:26" s="12" customFormat="1" x14ac:dyDescent="0.25">
      <c r="A86" s="213" t="s">
        <v>1569</v>
      </c>
      <c r="B86" s="64">
        <v>16.149999999999999</v>
      </c>
      <c r="C86" s="64">
        <v>28.83</v>
      </c>
      <c r="D86" s="64">
        <v>28.02</v>
      </c>
      <c r="E86" s="64">
        <v>5.61</v>
      </c>
      <c r="F86" s="64">
        <v>8.3699999999999992</v>
      </c>
      <c r="G86" s="64">
        <v>66.2</v>
      </c>
      <c r="H86" s="64">
        <v>12.24</v>
      </c>
      <c r="I86" s="64">
        <v>1.57</v>
      </c>
      <c r="J86" s="64">
        <v>0.04</v>
      </c>
      <c r="K86" s="64">
        <v>194.83</v>
      </c>
      <c r="L86" s="64">
        <v>26.79</v>
      </c>
      <c r="M86" s="64">
        <v>96.81</v>
      </c>
      <c r="N86" s="64">
        <v>54.6</v>
      </c>
      <c r="O86" s="64">
        <v>0</v>
      </c>
      <c r="P86" s="64">
        <v>0.87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3" t="s">
        <v>1570</v>
      </c>
      <c r="B87" s="64">
        <v>22.55</v>
      </c>
      <c r="C87" s="64">
        <v>31.15</v>
      </c>
      <c r="D87" s="64">
        <v>34.36</v>
      </c>
      <c r="E87" s="64">
        <v>5.22</v>
      </c>
      <c r="F87" s="64">
        <v>6.22</v>
      </c>
      <c r="G87" s="64">
        <v>66.2</v>
      </c>
      <c r="H87" s="64">
        <v>12.24</v>
      </c>
      <c r="I87" s="64">
        <v>1.64</v>
      </c>
      <c r="J87" s="64">
        <v>0.04</v>
      </c>
      <c r="K87" s="64">
        <v>261.06</v>
      </c>
      <c r="L87" s="64">
        <v>26.71</v>
      </c>
      <c r="M87" s="64">
        <v>98.35</v>
      </c>
      <c r="N87" s="64">
        <v>54.6</v>
      </c>
      <c r="O87" s="64">
        <v>0</v>
      </c>
      <c r="P87" s="64">
        <v>0.95</v>
      </c>
      <c r="Q87" s="64">
        <v>9.36</v>
      </c>
      <c r="R87" s="198"/>
      <c r="S87" s="198"/>
      <c r="T87" s="198"/>
      <c r="U87" s="198"/>
    </row>
    <row r="88" spans="1:26" s="12" customFormat="1" x14ac:dyDescent="0.25">
      <c r="A88" s="213" t="s">
        <v>1571</v>
      </c>
      <c r="B88" s="64">
        <v>15.75</v>
      </c>
      <c r="C88" s="64">
        <v>29.79</v>
      </c>
      <c r="D88" s="64">
        <v>28.19</v>
      </c>
      <c r="E88" s="64">
        <v>5.37</v>
      </c>
      <c r="F88" s="64">
        <v>6.82</v>
      </c>
      <c r="G88" s="64">
        <v>66.2</v>
      </c>
      <c r="H88" s="64">
        <v>12.24</v>
      </c>
      <c r="I88" s="64">
        <v>1.72</v>
      </c>
      <c r="J88" s="64">
        <v>0.01</v>
      </c>
      <c r="K88" s="64">
        <v>98.97</v>
      </c>
      <c r="L88" s="64">
        <v>26.73</v>
      </c>
      <c r="M88" s="64">
        <v>98.59</v>
      </c>
      <c r="N88" s="64">
        <v>54.6</v>
      </c>
      <c r="O88" s="64">
        <v>0</v>
      </c>
      <c r="P88" s="64">
        <v>0.96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3" t="s">
        <v>1572</v>
      </c>
      <c r="B89" s="64">
        <v>17.41</v>
      </c>
      <c r="C89" s="64">
        <v>27.1</v>
      </c>
      <c r="D89" s="64">
        <v>28.13</v>
      </c>
      <c r="E89" s="64">
        <v>5.52</v>
      </c>
      <c r="F89" s="64">
        <v>6.19</v>
      </c>
      <c r="G89" s="64">
        <v>65.98</v>
      </c>
      <c r="H89" s="64">
        <v>13.08</v>
      </c>
      <c r="I89" s="64">
        <v>1.82</v>
      </c>
      <c r="J89" s="64">
        <v>0.12</v>
      </c>
      <c r="K89" s="64">
        <v>337.49</v>
      </c>
      <c r="L89" s="64">
        <v>26.62</v>
      </c>
      <c r="M89" s="64">
        <v>98.7</v>
      </c>
      <c r="N89" s="64">
        <v>54.8</v>
      </c>
      <c r="O89" s="64">
        <v>0</v>
      </c>
      <c r="P89" s="64">
        <v>0.86</v>
      </c>
      <c r="Q89" s="64">
        <v>9.3699999999999992</v>
      </c>
      <c r="R89" s="198"/>
      <c r="S89" s="198"/>
      <c r="T89" s="198"/>
      <c r="U89" s="198"/>
    </row>
    <row r="90" spans="1:26" s="12" customFormat="1" x14ac:dyDescent="0.25">
      <c r="A90" s="213" t="s">
        <v>1573</v>
      </c>
      <c r="B90" s="64">
        <v>24.3</v>
      </c>
      <c r="C90" s="64">
        <v>21.07</v>
      </c>
      <c r="D90" s="64">
        <v>30.5</v>
      </c>
      <c r="E90" s="64">
        <v>5.82</v>
      </c>
      <c r="F90" s="64">
        <v>8.44</v>
      </c>
      <c r="G90" s="64">
        <v>65.84</v>
      </c>
      <c r="H90" s="64">
        <v>13.59</v>
      </c>
      <c r="I90" s="64">
        <v>1.9</v>
      </c>
      <c r="J90" s="64">
        <v>0.15</v>
      </c>
      <c r="K90" s="64">
        <v>320.87</v>
      </c>
      <c r="L90" s="64">
        <v>26.65</v>
      </c>
      <c r="M90" s="64">
        <v>98.72</v>
      </c>
      <c r="N90" s="64">
        <v>54.6</v>
      </c>
      <c r="O90" s="64">
        <v>0</v>
      </c>
      <c r="P90" s="64">
        <v>1.01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3" t="s">
        <v>1574</v>
      </c>
      <c r="B91" s="64">
        <v>41.72</v>
      </c>
      <c r="C91" s="64">
        <v>17.899999999999999</v>
      </c>
      <c r="D91" s="64">
        <v>42.68</v>
      </c>
      <c r="E91" s="64">
        <v>5.87</v>
      </c>
      <c r="F91" s="64">
        <v>6.46</v>
      </c>
      <c r="G91" s="64">
        <v>65.84</v>
      </c>
      <c r="H91" s="64">
        <v>13.59</v>
      </c>
      <c r="I91" s="64">
        <v>2</v>
      </c>
      <c r="J91" s="64">
        <v>0.34</v>
      </c>
      <c r="K91" s="64">
        <v>341.91</v>
      </c>
      <c r="L91" s="64">
        <v>26.7</v>
      </c>
      <c r="M91" s="64">
        <v>98.79</v>
      </c>
      <c r="N91" s="64">
        <v>54.6</v>
      </c>
      <c r="O91" s="64">
        <v>0</v>
      </c>
      <c r="P91" s="64">
        <v>1.07</v>
      </c>
      <c r="Q91" s="64">
        <v>9.39</v>
      </c>
      <c r="R91" s="198"/>
      <c r="S91" s="198"/>
      <c r="T91" s="198"/>
      <c r="U91" s="198"/>
    </row>
    <row r="92" spans="1:26" s="12" customFormat="1" x14ac:dyDescent="0.25">
      <c r="A92" s="213" t="s">
        <v>1575</v>
      </c>
      <c r="B92" s="64">
        <v>38.28</v>
      </c>
      <c r="C92" s="64">
        <v>24.51</v>
      </c>
      <c r="D92" s="64">
        <v>43.51</v>
      </c>
      <c r="E92" s="64">
        <v>5.71</v>
      </c>
      <c r="F92" s="64">
        <v>7.5</v>
      </c>
      <c r="G92" s="64">
        <v>65.84</v>
      </c>
      <c r="H92" s="64">
        <v>13.59</v>
      </c>
      <c r="I92" s="64">
        <v>2.12</v>
      </c>
      <c r="J92" s="64">
        <v>0.19</v>
      </c>
      <c r="K92" s="64">
        <v>331.2</v>
      </c>
      <c r="L92" s="64">
        <v>26.8</v>
      </c>
      <c r="M92" s="64">
        <v>98.76</v>
      </c>
      <c r="N92" s="64">
        <v>54.7</v>
      </c>
      <c r="O92" s="64">
        <v>0</v>
      </c>
      <c r="P92" s="64">
        <v>1.1200000000000001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3" t="s">
        <v>1576</v>
      </c>
      <c r="B93" s="64">
        <v>33.39</v>
      </c>
      <c r="C93" s="64">
        <v>23.25</v>
      </c>
      <c r="D93" s="64">
        <v>38.82</v>
      </c>
      <c r="E93" s="64">
        <v>5.57</v>
      </c>
      <c r="F93" s="64">
        <v>5.45</v>
      </c>
      <c r="G93" s="64">
        <v>70.17</v>
      </c>
      <c r="H93" s="64">
        <v>14.66</v>
      </c>
      <c r="I93" s="64">
        <v>2.25</v>
      </c>
      <c r="J93" s="64">
        <v>0.09</v>
      </c>
      <c r="K93" s="64">
        <v>336.3</v>
      </c>
      <c r="L93" s="64">
        <v>26.68</v>
      </c>
      <c r="M93" s="64">
        <v>98.69</v>
      </c>
      <c r="N93" s="64">
        <v>54.7</v>
      </c>
      <c r="O93" s="64">
        <v>0</v>
      </c>
      <c r="P93" s="64">
        <v>0.98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3" t="s">
        <v>1577</v>
      </c>
      <c r="B94" s="64">
        <v>48.73</v>
      </c>
      <c r="C94" s="64">
        <v>27.24</v>
      </c>
      <c r="D94" s="64">
        <v>53.31</v>
      </c>
      <c r="E94" s="64">
        <v>5.71</v>
      </c>
      <c r="F94" s="64">
        <v>5.16</v>
      </c>
      <c r="G94" s="64">
        <v>72.8</v>
      </c>
      <c r="H94" s="64">
        <v>15.3</v>
      </c>
      <c r="I94" s="64">
        <v>2.35</v>
      </c>
      <c r="J94" s="64">
        <v>0.1</v>
      </c>
      <c r="K94" s="64">
        <v>346.79</v>
      </c>
      <c r="L94" s="64">
        <v>26.7</v>
      </c>
      <c r="M94" s="64">
        <v>98.66</v>
      </c>
      <c r="N94" s="64">
        <v>54.6</v>
      </c>
      <c r="O94" s="64">
        <v>0</v>
      </c>
      <c r="P94" s="64">
        <v>1.27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3" t="s">
        <v>1578</v>
      </c>
      <c r="B95" s="64">
        <v>30.84</v>
      </c>
      <c r="C95" s="64">
        <v>25.24</v>
      </c>
      <c r="D95" s="64">
        <v>37.92</v>
      </c>
      <c r="E95" s="64">
        <v>5.37</v>
      </c>
      <c r="F95" s="64">
        <v>4.96</v>
      </c>
      <c r="G95" s="64">
        <v>72.8</v>
      </c>
      <c r="H95" s="64">
        <v>15.3</v>
      </c>
      <c r="I95" s="64">
        <v>2.4300000000000002</v>
      </c>
      <c r="J95" s="64">
        <v>0.14000000000000001</v>
      </c>
      <c r="K95" s="64">
        <v>340.64</v>
      </c>
      <c r="L95" s="64">
        <v>26.78</v>
      </c>
      <c r="M95" s="64">
        <v>98.5</v>
      </c>
      <c r="N95" s="64">
        <v>54.5</v>
      </c>
      <c r="O95" s="64">
        <v>0</v>
      </c>
      <c r="P95" s="64">
        <v>0.88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3" t="s">
        <v>1579</v>
      </c>
      <c r="B96" s="64">
        <v>16.89</v>
      </c>
      <c r="C96" s="64">
        <v>27.25</v>
      </c>
      <c r="D96" s="64">
        <v>27.78</v>
      </c>
      <c r="E96" s="64">
        <v>5.35</v>
      </c>
      <c r="F96" s="64">
        <v>5.79</v>
      </c>
      <c r="G96" s="64">
        <v>72.8</v>
      </c>
      <c r="H96" s="64">
        <v>15.3</v>
      </c>
      <c r="I96" s="64">
        <v>2.5299999999999998</v>
      </c>
      <c r="J96" s="64">
        <v>0.06</v>
      </c>
      <c r="K96" s="64">
        <v>217.21</v>
      </c>
      <c r="L96" s="64">
        <v>26.8</v>
      </c>
      <c r="M96" s="64">
        <v>97.95</v>
      </c>
      <c r="N96" s="64">
        <v>54.6</v>
      </c>
      <c r="O96" s="64">
        <v>0</v>
      </c>
      <c r="P96" s="64">
        <v>0.59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1580</v>
      </c>
      <c r="B97" s="64">
        <v>12.25</v>
      </c>
      <c r="C97" s="64">
        <v>27.98</v>
      </c>
      <c r="D97" s="64">
        <v>24.44</v>
      </c>
      <c r="E97" s="64">
        <v>5.45</v>
      </c>
      <c r="F97" s="64">
        <v>6.1</v>
      </c>
      <c r="G97" s="64">
        <v>74.209999999999994</v>
      </c>
      <c r="H97" s="64">
        <v>14.13</v>
      </c>
      <c r="I97" s="64">
        <v>2.6</v>
      </c>
      <c r="J97" s="64">
        <v>0.06</v>
      </c>
      <c r="K97" s="64">
        <v>197.89</v>
      </c>
      <c r="L97" s="64">
        <v>26.77</v>
      </c>
      <c r="M97" s="64">
        <v>98.52</v>
      </c>
      <c r="N97" s="64">
        <v>54.6</v>
      </c>
      <c r="O97" s="64">
        <v>0</v>
      </c>
      <c r="P97" s="64">
        <v>0.44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3" t="s">
        <v>1581</v>
      </c>
      <c r="B98" s="64">
        <v>11.94</v>
      </c>
      <c r="C98" s="64">
        <v>22.04</v>
      </c>
      <c r="D98" s="64">
        <v>21.08</v>
      </c>
      <c r="E98" s="64">
        <v>5.39</v>
      </c>
      <c r="F98" s="64">
        <v>6.55</v>
      </c>
      <c r="G98" s="64">
        <v>75.069999999999993</v>
      </c>
      <c r="H98" s="64">
        <v>13.41</v>
      </c>
      <c r="I98" s="64">
        <v>2.66</v>
      </c>
      <c r="J98" s="64">
        <v>0.04</v>
      </c>
      <c r="K98" s="64">
        <v>175.46</v>
      </c>
      <c r="L98" s="64">
        <v>26.67</v>
      </c>
      <c r="M98" s="64">
        <v>98.46</v>
      </c>
      <c r="N98" s="64">
        <v>54.4</v>
      </c>
      <c r="O98" s="64">
        <v>0</v>
      </c>
      <c r="P98" s="64">
        <v>0.44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3" t="s">
        <v>1582</v>
      </c>
      <c r="B99" s="64">
        <v>9.52</v>
      </c>
      <c r="C99" s="64">
        <v>21.4</v>
      </c>
      <c r="D99" s="64">
        <v>18.82</v>
      </c>
      <c r="E99" s="64">
        <v>5.32</v>
      </c>
      <c r="F99" s="64">
        <v>6.61</v>
      </c>
      <c r="G99" s="64">
        <v>75.069999999999993</v>
      </c>
      <c r="H99" s="64">
        <v>13.41</v>
      </c>
      <c r="I99" s="64">
        <v>2.67</v>
      </c>
      <c r="J99" s="64">
        <v>0.05</v>
      </c>
      <c r="K99" s="64">
        <v>231.11</v>
      </c>
      <c r="L99" s="64">
        <v>26.61</v>
      </c>
      <c r="M99" s="64">
        <v>98.45</v>
      </c>
      <c r="N99" s="64">
        <v>54.6</v>
      </c>
      <c r="O99" s="64">
        <v>0</v>
      </c>
      <c r="P99" s="64">
        <v>0.34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3" t="s">
        <v>1583</v>
      </c>
      <c r="B100" s="64">
        <v>10.11</v>
      </c>
      <c r="C100" s="64">
        <v>22.73</v>
      </c>
      <c r="D100" s="64">
        <v>19.989999999999998</v>
      </c>
      <c r="E100" s="64">
        <v>5.61</v>
      </c>
      <c r="F100" s="64">
        <v>6.68</v>
      </c>
      <c r="G100" s="64">
        <v>75.069999999999993</v>
      </c>
      <c r="H100" s="64">
        <v>13.41</v>
      </c>
      <c r="I100" s="64">
        <v>2.66</v>
      </c>
      <c r="J100" s="64">
        <v>0.16</v>
      </c>
      <c r="K100" s="64">
        <v>138.24</v>
      </c>
      <c r="L100" s="64">
        <v>26.59</v>
      </c>
      <c r="M100" s="64">
        <v>98.46</v>
      </c>
      <c r="N100" s="64">
        <v>54.4</v>
      </c>
      <c r="O100" s="64">
        <v>0</v>
      </c>
      <c r="P100" s="64">
        <v>0.32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1584</v>
      </c>
      <c r="B101" s="64">
        <v>7.69</v>
      </c>
      <c r="C101" s="64">
        <v>21.07</v>
      </c>
      <c r="D101" s="64">
        <v>17.18</v>
      </c>
      <c r="E101" s="64">
        <v>5.23</v>
      </c>
      <c r="F101" s="64">
        <v>7.71</v>
      </c>
      <c r="G101" s="64">
        <v>71.400000000000006</v>
      </c>
      <c r="H101" s="64">
        <v>15.85</v>
      </c>
      <c r="I101" s="64">
        <v>2.63</v>
      </c>
      <c r="J101" s="64">
        <v>0.09</v>
      </c>
      <c r="K101" s="64">
        <v>153.53</v>
      </c>
      <c r="L101" s="64">
        <v>26.64</v>
      </c>
      <c r="M101" s="64">
        <v>98.47</v>
      </c>
      <c r="N101" s="64">
        <v>54.6</v>
      </c>
      <c r="O101" s="64">
        <v>0</v>
      </c>
      <c r="P101" s="64">
        <v>0.34</v>
      </c>
      <c r="Q101" s="64">
        <v>9.61</v>
      </c>
      <c r="R101" s="198"/>
      <c r="S101" s="198"/>
      <c r="T101" s="198"/>
      <c r="U101" s="198"/>
    </row>
    <row r="102" spans="1:33" s="12" customFormat="1" x14ac:dyDescent="0.25">
      <c r="A102" s="213" t="s">
        <v>1585</v>
      </c>
      <c r="B102" s="64">
        <v>8.76</v>
      </c>
      <c r="C102" s="64">
        <v>18.22</v>
      </c>
      <c r="D102" s="64">
        <v>16.54</v>
      </c>
      <c r="E102" s="64">
        <v>5.76</v>
      </c>
      <c r="F102" s="64">
        <v>8.01</v>
      </c>
      <c r="G102" s="64">
        <v>69.16</v>
      </c>
      <c r="H102" s="64">
        <v>17.329999999999998</v>
      </c>
      <c r="I102" s="64">
        <v>2.61</v>
      </c>
      <c r="J102" s="64">
        <v>0.16</v>
      </c>
      <c r="K102" s="64">
        <v>131.05000000000001</v>
      </c>
      <c r="L102" s="64">
        <v>26.61</v>
      </c>
      <c r="M102" s="64">
        <v>98.49</v>
      </c>
      <c r="N102" s="64">
        <v>54.6</v>
      </c>
      <c r="O102" s="64">
        <v>0</v>
      </c>
      <c r="P102" s="64">
        <v>0.23</v>
      </c>
      <c r="Q102" s="64">
        <v>9.6199999999999992</v>
      </c>
      <c r="R102" s="198"/>
      <c r="S102" s="198"/>
      <c r="T102" s="198"/>
      <c r="U102" s="198"/>
    </row>
    <row r="103" spans="1:33" s="12" customFormat="1" x14ac:dyDescent="0.25">
      <c r="A103" s="213" t="s">
        <v>1586</v>
      </c>
      <c r="B103" s="64">
        <v>7.3</v>
      </c>
      <c r="C103" s="64">
        <v>16.489999999999998</v>
      </c>
      <c r="D103" s="64">
        <v>14.47</v>
      </c>
      <c r="E103" s="64">
        <v>5.47</v>
      </c>
      <c r="F103" s="64">
        <v>9.01</v>
      </c>
      <c r="G103" s="64">
        <v>69.16</v>
      </c>
      <c r="H103" s="64">
        <v>17.329999999999998</v>
      </c>
      <c r="I103" s="64">
        <v>2.57</v>
      </c>
      <c r="J103" s="64">
        <v>0.19</v>
      </c>
      <c r="K103" s="64">
        <v>138.56</v>
      </c>
      <c r="L103" s="64">
        <v>26.63</v>
      </c>
      <c r="M103" s="64">
        <v>98.48</v>
      </c>
      <c r="N103" s="64">
        <v>54.6</v>
      </c>
      <c r="O103" s="64">
        <v>0</v>
      </c>
      <c r="P103" s="64">
        <v>0.19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3" t="s">
        <v>1587</v>
      </c>
      <c r="B104" s="64">
        <v>8.56</v>
      </c>
      <c r="C104" s="64">
        <v>16.09</v>
      </c>
      <c r="D104" s="64">
        <v>15.27</v>
      </c>
      <c r="E104" s="64">
        <v>4.21</v>
      </c>
      <c r="F104" s="64">
        <v>9.2100000000000009</v>
      </c>
      <c r="G104" s="64">
        <v>69.16</v>
      </c>
      <c r="H104" s="64">
        <v>17.329999999999998</v>
      </c>
      <c r="I104" s="64">
        <v>2.52</v>
      </c>
      <c r="J104" s="64">
        <v>0.05</v>
      </c>
      <c r="K104" s="64">
        <v>151.41999999999999</v>
      </c>
      <c r="L104" s="64">
        <v>26.61</v>
      </c>
      <c r="M104" s="64">
        <v>98.33</v>
      </c>
      <c r="N104" s="64">
        <v>54.6</v>
      </c>
      <c r="O104" s="64">
        <v>0</v>
      </c>
      <c r="P104" s="64">
        <v>0.16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4.75</v>
      </c>
      <c r="C106" s="67">
        <f>MIN(C9:C104)</f>
        <v>10</v>
      </c>
      <c r="D106" s="67">
        <f t="shared" ref="D106:Q106" si="0">MIN(D9:D104)</f>
        <v>9.26</v>
      </c>
      <c r="E106" s="67">
        <f t="shared" si="0"/>
        <v>3.65</v>
      </c>
      <c r="F106" s="67">
        <f t="shared" si="0"/>
        <v>2.84</v>
      </c>
      <c r="G106" s="67">
        <f t="shared" si="0"/>
        <v>24.64</v>
      </c>
      <c r="H106" s="67">
        <f t="shared" si="0"/>
        <v>4.28</v>
      </c>
      <c r="I106" s="67">
        <f t="shared" si="0"/>
        <v>0.86</v>
      </c>
      <c r="J106" s="67">
        <f t="shared" si="0"/>
        <v>0.01</v>
      </c>
      <c r="K106" s="67">
        <f t="shared" si="0"/>
        <v>14.03</v>
      </c>
      <c r="L106" s="67">
        <f t="shared" si="0"/>
        <v>25.04</v>
      </c>
      <c r="M106" s="67">
        <f t="shared" si="0"/>
        <v>72.47</v>
      </c>
      <c r="N106" s="67">
        <f t="shared" si="0"/>
        <v>48.2</v>
      </c>
      <c r="O106" s="67">
        <f t="shared" si="0"/>
        <v>0</v>
      </c>
      <c r="P106" s="67">
        <f t="shared" si="0"/>
        <v>0.11</v>
      </c>
      <c r="Q106" s="67">
        <f t="shared" si="0"/>
        <v>8.9600000000000009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48.73</v>
      </c>
      <c r="C107" s="66">
        <f t="shared" ref="C107:Q107" si="1">MAX(C9:C104)</f>
        <v>33.08</v>
      </c>
      <c r="D107" s="66">
        <f t="shared" si="1"/>
        <v>53.31</v>
      </c>
      <c r="E107" s="66">
        <f t="shared" si="1"/>
        <v>5.87</v>
      </c>
      <c r="F107" s="66">
        <f t="shared" si="1"/>
        <v>14.06</v>
      </c>
      <c r="G107" s="66">
        <f t="shared" si="1"/>
        <v>75.069999999999993</v>
      </c>
      <c r="H107" s="66">
        <f t="shared" si="1"/>
        <v>17.329999999999998</v>
      </c>
      <c r="I107" s="66">
        <f t="shared" si="1"/>
        <v>2.67</v>
      </c>
      <c r="J107" s="66">
        <f t="shared" si="1"/>
        <v>1.69</v>
      </c>
      <c r="K107" s="66">
        <f t="shared" si="1"/>
        <v>346.79</v>
      </c>
      <c r="L107" s="66">
        <f t="shared" si="1"/>
        <v>30.55</v>
      </c>
      <c r="M107" s="66">
        <f t="shared" si="1"/>
        <v>99.11</v>
      </c>
      <c r="N107" s="66">
        <f t="shared" si="1"/>
        <v>425.3</v>
      </c>
      <c r="O107" s="66">
        <f t="shared" si="1"/>
        <v>0</v>
      </c>
      <c r="P107" s="66">
        <f t="shared" si="1"/>
        <v>1.27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11.205729166666666</v>
      </c>
      <c r="C108" s="67">
        <f t="shared" ref="C108:Q108" si="2">AVERAGE(C9:C104)</f>
        <v>17.639062500000005</v>
      </c>
      <c r="D108" s="67">
        <f t="shared" si="2"/>
        <v>18.198333333333327</v>
      </c>
      <c r="E108" s="67">
        <f t="shared" si="2"/>
        <v>4.7178125</v>
      </c>
      <c r="F108" s="67">
        <f t="shared" si="2"/>
        <v>7.037083333333336</v>
      </c>
      <c r="G108" s="67">
        <f t="shared" si="2"/>
        <v>51.268020833333331</v>
      </c>
      <c r="H108" s="67">
        <f t="shared" si="2"/>
        <v>11.551458333333329</v>
      </c>
      <c r="I108" s="67">
        <f t="shared" si="2"/>
        <v>1.5161458333333331</v>
      </c>
      <c r="J108" s="67">
        <f t="shared" si="2"/>
        <v>0.19447916666666673</v>
      </c>
      <c r="K108" s="67">
        <f t="shared" si="2"/>
        <v>276.43302083333333</v>
      </c>
      <c r="L108" s="67">
        <f t="shared" si="2"/>
        <v>27.340833333333347</v>
      </c>
      <c r="M108" s="67">
        <f t="shared" si="2"/>
        <v>91.092187500000009</v>
      </c>
      <c r="N108" s="67">
        <f t="shared" si="2"/>
        <v>149.31666666666669</v>
      </c>
      <c r="O108" s="67">
        <f t="shared" si="2"/>
        <v>0</v>
      </c>
      <c r="P108" s="67">
        <f t="shared" si="2"/>
        <v>0.47156249999999994</v>
      </c>
      <c r="Q108" s="67">
        <f t="shared" si="2"/>
        <v>9.1738541666666666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8.4397404231461834</v>
      </c>
      <c r="C109" s="67">
        <f t="shared" ref="C109:Q109" si="3">STDEV(C9:C104)</f>
        <v>5.5807328472022331</v>
      </c>
      <c r="D109" s="67">
        <f t="shared" si="3"/>
        <v>8.8642370368585155</v>
      </c>
      <c r="E109" s="67">
        <f t="shared" si="3"/>
        <v>0.59860399549372434</v>
      </c>
      <c r="F109" s="67">
        <f t="shared" si="3"/>
        <v>2.6125260680307631</v>
      </c>
      <c r="G109" s="67">
        <f t="shared" si="3"/>
        <v>13.828892760775753</v>
      </c>
      <c r="H109" s="67">
        <f t="shared" si="3"/>
        <v>3.6899858733624078</v>
      </c>
      <c r="I109" s="67">
        <f t="shared" si="3"/>
        <v>0.50644762765897622</v>
      </c>
      <c r="J109" s="67">
        <f t="shared" si="3"/>
        <v>0.23513879346671507</v>
      </c>
      <c r="K109" s="67">
        <f t="shared" si="3"/>
        <v>57.12704735236715</v>
      </c>
      <c r="L109" s="67">
        <f t="shared" si="3"/>
        <v>1.7272287915170983</v>
      </c>
      <c r="M109" s="67">
        <f t="shared" si="3"/>
        <v>9.1664622347618838</v>
      </c>
      <c r="N109" s="67">
        <f t="shared" si="3"/>
        <v>124.00824816936611</v>
      </c>
      <c r="O109" s="67">
        <f t="shared" si="3"/>
        <v>0</v>
      </c>
      <c r="P109" s="67">
        <f t="shared" si="3"/>
        <v>0.27668080839993625</v>
      </c>
      <c r="Q109" s="67">
        <f t="shared" si="3"/>
        <v>0.19504585043504458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1588</v>
      </c>
      <c r="B9" s="64">
        <v>6.42</v>
      </c>
      <c r="C9" s="64">
        <v>12.57</v>
      </c>
      <c r="D9" s="64">
        <v>11.71</v>
      </c>
      <c r="E9" s="64">
        <v>4.5599999999999996</v>
      </c>
      <c r="F9" s="64">
        <v>10.17</v>
      </c>
      <c r="G9" s="64">
        <v>65.86</v>
      </c>
      <c r="H9" s="64">
        <v>15.54</v>
      </c>
      <c r="I9" s="64">
        <v>2.4500000000000002</v>
      </c>
      <c r="J9" s="64">
        <v>0.06</v>
      </c>
      <c r="K9" s="64">
        <v>261</v>
      </c>
      <c r="L9" s="64">
        <v>26.43</v>
      </c>
      <c r="M9" s="64">
        <v>98.48</v>
      </c>
      <c r="N9" s="64">
        <v>53.6</v>
      </c>
      <c r="O9" s="64">
        <v>0</v>
      </c>
      <c r="P9" s="64">
        <v>0.11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3" t="s">
        <v>1589</v>
      </c>
      <c r="B10" s="64">
        <v>6.32</v>
      </c>
      <c r="C10" s="64">
        <v>11.5</v>
      </c>
      <c r="D10" s="64">
        <v>11.08</v>
      </c>
      <c r="E10" s="64">
        <v>4.38</v>
      </c>
      <c r="F10" s="64">
        <v>9.59</v>
      </c>
      <c r="G10" s="64">
        <v>63.86</v>
      </c>
      <c r="H10" s="64">
        <v>14.45</v>
      </c>
      <c r="I10" s="64">
        <v>2.39</v>
      </c>
      <c r="J10" s="64">
        <v>0.08</v>
      </c>
      <c r="K10" s="64">
        <v>338.74</v>
      </c>
      <c r="L10" s="64">
        <v>26.14</v>
      </c>
      <c r="M10" s="64">
        <v>98.56</v>
      </c>
      <c r="N10" s="64">
        <v>53.7</v>
      </c>
      <c r="O10" s="64">
        <v>0</v>
      </c>
      <c r="P10" s="64">
        <v>0.2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3" t="s">
        <v>1590</v>
      </c>
      <c r="B11" s="64">
        <v>8.8699999999999992</v>
      </c>
      <c r="C11" s="64">
        <v>21.19</v>
      </c>
      <c r="D11" s="64">
        <v>18.18</v>
      </c>
      <c r="E11" s="64">
        <v>4.6900000000000004</v>
      </c>
      <c r="F11" s="64">
        <v>8.64</v>
      </c>
      <c r="G11" s="64">
        <v>63.86</v>
      </c>
      <c r="H11" s="64">
        <v>14.45</v>
      </c>
      <c r="I11" s="64">
        <v>2.33</v>
      </c>
      <c r="J11" s="64">
        <v>0.05</v>
      </c>
      <c r="K11" s="64">
        <v>323.11</v>
      </c>
      <c r="L11" s="64">
        <v>26.06</v>
      </c>
      <c r="M11" s="64">
        <v>98.58</v>
      </c>
      <c r="N11" s="64">
        <v>54.5</v>
      </c>
      <c r="O11" s="64">
        <v>0</v>
      </c>
      <c r="P11" s="64">
        <v>0.23</v>
      </c>
      <c r="Q11" s="64">
        <v>9.51</v>
      </c>
      <c r="R11" s="198"/>
      <c r="S11" s="198"/>
      <c r="T11" s="198"/>
      <c r="U11" s="198"/>
    </row>
    <row r="12" spans="1:21" s="12" customFormat="1" x14ac:dyDescent="0.25">
      <c r="A12" s="213" t="s">
        <v>1591</v>
      </c>
      <c r="B12" s="64">
        <v>10.18</v>
      </c>
      <c r="C12" s="64">
        <v>13.44</v>
      </c>
      <c r="D12" s="64">
        <v>15.19</v>
      </c>
      <c r="E12" s="64">
        <v>4.62</v>
      </c>
      <c r="F12" s="64">
        <v>7.02</v>
      </c>
      <c r="G12" s="64">
        <v>63.86</v>
      </c>
      <c r="H12" s="64">
        <v>14.45</v>
      </c>
      <c r="I12" s="64">
        <v>2.2400000000000002</v>
      </c>
      <c r="J12" s="64">
        <v>0.05</v>
      </c>
      <c r="K12" s="64">
        <v>268.56</v>
      </c>
      <c r="L12" s="64">
        <v>26.02</v>
      </c>
      <c r="M12" s="64">
        <v>98.57</v>
      </c>
      <c r="N12" s="64">
        <v>54.6</v>
      </c>
      <c r="O12" s="64">
        <v>0</v>
      </c>
      <c r="P12" s="64">
        <v>0.28999999999999998</v>
      </c>
      <c r="Q12" s="64">
        <v>9.48</v>
      </c>
      <c r="R12" s="198"/>
      <c r="S12" s="198"/>
      <c r="T12" s="198"/>
      <c r="U12" s="198"/>
    </row>
    <row r="13" spans="1:21" s="12" customFormat="1" x14ac:dyDescent="0.25">
      <c r="A13" s="213" t="s">
        <v>1592</v>
      </c>
      <c r="B13" s="64">
        <v>9.52</v>
      </c>
      <c r="C13" s="64">
        <v>10.97</v>
      </c>
      <c r="D13" s="64">
        <v>13.36</v>
      </c>
      <c r="E13" s="64">
        <v>4.57</v>
      </c>
      <c r="F13" s="64">
        <v>10.83</v>
      </c>
      <c r="G13" s="64">
        <v>54.41</v>
      </c>
      <c r="H13" s="64">
        <v>11.96</v>
      </c>
      <c r="I13" s="64">
        <v>2.15</v>
      </c>
      <c r="J13" s="64">
        <v>0.11</v>
      </c>
      <c r="K13" s="64">
        <v>307.58999999999997</v>
      </c>
      <c r="L13" s="64">
        <v>26.1</v>
      </c>
      <c r="M13" s="64">
        <v>98.58</v>
      </c>
      <c r="N13" s="64">
        <v>54.6</v>
      </c>
      <c r="O13" s="64">
        <v>0</v>
      </c>
      <c r="P13" s="64">
        <v>0.25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3" t="s">
        <v>1593</v>
      </c>
      <c r="B14" s="64">
        <v>10.210000000000001</v>
      </c>
      <c r="C14" s="64">
        <v>10.42</v>
      </c>
      <c r="D14" s="64">
        <v>13.63</v>
      </c>
      <c r="E14" s="64">
        <v>4.5599999999999996</v>
      </c>
      <c r="F14" s="64">
        <v>7.92</v>
      </c>
      <c r="G14" s="64">
        <v>48.67</v>
      </c>
      <c r="H14" s="64">
        <v>10.45</v>
      </c>
      <c r="I14" s="64">
        <v>2.08</v>
      </c>
      <c r="J14" s="64">
        <v>0.12</v>
      </c>
      <c r="K14" s="64">
        <v>313.35000000000002</v>
      </c>
      <c r="L14" s="64">
        <v>26.04</v>
      </c>
      <c r="M14" s="64">
        <v>98.59</v>
      </c>
      <c r="N14" s="64">
        <v>54.3</v>
      </c>
      <c r="O14" s="64">
        <v>0</v>
      </c>
      <c r="P14" s="64">
        <v>0.32</v>
      </c>
      <c r="Q14" s="64">
        <v>9.4</v>
      </c>
      <c r="R14" s="198"/>
      <c r="S14" s="198"/>
      <c r="T14" s="198"/>
      <c r="U14" s="198"/>
    </row>
    <row r="15" spans="1:21" s="12" customFormat="1" x14ac:dyDescent="0.25">
      <c r="A15" s="213" t="s">
        <v>1594</v>
      </c>
      <c r="B15" s="64">
        <v>10.93</v>
      </c>
      <c r="C15" s="64">
        <v>10.53</v>
      </c>
      <c r="D15" s="64">
        <v>14.26</v>
      </c>
      <c r="E15" s="64">
        <v>4.5599999999999996</v>
      </c>
      <c r="F15" s="64">
        <v>8.6</v>
      </c>
      <c r="G15" s="64">
        <v>48.67</v>
      </c>
      <c r="H15" s="64">
        <v>10.45</v>
      </c>
      <c r="I15" s="64">
        <v>1.99</v>
      </c>
      <c r="J15" s="64">
        <v>0.12</v>
      </c>
      <c r="K15" s="64">
        <v>300.39</v>
      </c>
      <c r="L15" s="64">
        <v>26.01</v>
      </c>
      <c r="M15" s="64">
        <v>98.6</v>
      </c>
      <c r="N15" s="64">
        <v>54.4</v>
      </c>
      <c r="O15" s="64">
        <v>0</v>
      </c>
      <c r="P15" s="64">
        <v>0.31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3" t="s">
        <v>1595</v>
      </c>
      <c r="B16" s="64">
        <v>9.8000000000000007</v>
      </c>
      <c r="C16" s="64">
        <v>11.22</v>
      </c>
      <c r="D16" s="64">
        <v>13.73</v>
      </c>
      <c r="E16" s="64">
        <v>4.46</v>
      </c>
      <c r="F16" s="64">
        <v>8.5500000000000007</v>
      </c>
      <c r="G16" s="64">
        <v>48.67</v>
      </c>
      <c r="H16" s="64">
        <v>10.45</v>
      </c>
      <c r="I16" s="64">
        <v>1.91</v>
      </c>
      <c r="J16" s="64">
        <v>0.11</v>
      </c>
      <c r="K16" s="64">
        <v>317.67</v>
      </c>
      <c r="L16" s="64">
        <v>25.96</v>
      </c>
      <c r="M16" s="64">
        <v>98.58</v>
      </c>
      <c r="N16" s="64">
        <v>54.6</v>
      </c>
      <c r="O16" s="64">
        <v>0</v>
      </c>
      <c r="P16" s="64">
        <v>0.28999999999999998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13" t="s">
        <v>1596</v>
      </c>
      <c r="B17" s="64">
        <v>8.3000000000000007</v>
      </c>
      <c r="C17" s="64">
        <v>11.21</v>
      </c>
      <c r="D17" s="64">
        <v>12.52</v>
      </c>
      <c r="E17" s="64">
        <v>4.5</v>
      </c>
      <c r="F17" s="64">
        <v>10.27</v>
      </c>
      <c r="G17" s="64">
        <v>38.19</v>
      </c>
      <c r="H17" s="64">
        <v>8.86</v>
      </c>
      <c r="I17" s="64">
        <v>1.84</v>
      </c>
      <c r="J17" s="64">
        <v>0.11</v>
      </c>
      <c r="K17" s="64">
        <v>351.31</v>
      </c>
      <c r="L17" s="64">
        <v>25.83</v>
      </c>
      <c r="M17" s="64">
        <v>98.58</v>
      </c>
      <c r="N17" s="64">
        <v>54.6</v>
      </c>
      <c r="O17" s="64">
        <v>0</v>
      </c>
      <c r="P17" s="64">
        <v>0.2</v>
      </c>
      <c r="Q17" s="64">
        <v>9.31</v>
      </c>
      <c r="R17" s="198"/>
      <c r="S17" s="198"/>
      <c r="T17" s="198"/>
      <c r="U17" s="198"/>
    </row>
    <row r="18" spans="1:21" s="12" customFormat="1" x14ac:dyDescent="0.25">
      <c r="A18" s="213" t="s">
        <v>1597</v>
      </c>
      <c r="B18" s="64">
        <v>5.35</v>
      </c>
      <c r="C18" s="64">
        <v>11.33</v>
      </c>
      <c r="D18" s="64">
        <v>10.210000000000001</v>
      </c>
      <c r="E18" s="64">
        <v>4.72</v>
      </c>
      <c r="F18" s="64">
        <v>10.050000000000001</v>
      </c>
      <c r="G18" s="64">
        <v>31.83</v>
      </c>
      <c r="H18" s="64">
        <v>7.89</v>
      </c>
      <c r="I18" s="64">
        <v>1.78</v>
      </c>
      <c r="J18" s="64">
        <v>0.04</v>
      </c>
      <c r="K18" s="64">
        <v>312.45999999999998</v>
      </c>
      <c r="L18" s="64">
        <v>25.69</v>
      </c>
      <c r="M18" s="64">
        <v>98.58</v>
      </c>
      <c r="N18" s="64">
        <v>54.6</v>
      </c>
      <c r="O18" s="64">
        <v>0</v>
      </c>
      <c r="P18" s="64">
        <v>0.16</v>
      </c>
      <c r="Q18" s="64">
        <v>9.2899999999999991</v>
      </c>
      <c r="R18" s="198"/>
      <c r="S18" s="198"/>
      <c r="T18" s="198"/>
      <c r="U18" s="198"/>
    </row>
    <row r="19" spans="1:21" s="12" customFormat="1" x14ac:dyDescent="0.25">
      <c r="A19" s="213" t="s">
        <v>1598</v>
      </c>
      <c r="B19" s="64">
        <v>9.49</v>
      </c>
      <c r="C19" s="64">
        <v>13.68</v>
      </c>
      <c r="D19" s="64">
        <v>14.75</v>
      </c>
      <c r="E19" s="64">
        <v>4.29</v>
      </c>
      <c r="F19" s="64">
        <v>7.16</v>
      </c>
      <c r="G19" s="64">
        <v>31.83</v>
      </c>
      <c r="H19" s="64">
        <v>7.89</v>
      </c>
      <c r="I19" s="64">
        <v>1.74</v>
      </c>
      <c r="J19" s="64">
        <v>0.05</v>
      </c>
      <c r="K19" s="64">
        <v>301.39999999999998</v>
      </c>
      <c r="L19" s="64">
        <v>25.64</v>
      </c>
      <c r="M19" s="64">
        <v>98.62</v>
      </c>
      <c r="N19" s="64">
        <v>54.6</v>
      </c>
      <c r="O19" s="64">
        <v>0</v>
      </c>
      <c r="P19" s="64">
        <v>0.24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3" t="s">
        <v>1599</v>
      </c>
      <c r="B20" s="64">
        <v>7.55</v>
      </c>
      <c r="C20" s="64">
        <v>12.7</v>
      </c>
      <c r="D20" s="64">
        <v>12.69</v>
      </c>
      <c r="E20" s="64">
        <v>4.49</v>
      </c>
      <c r="F20" s="64">
        <v>10.88</v>
      </c>
      <c r="G20" s="64">
        <v>31.83</v>
      </c>
      <c r="H20" s="64">
        <v>7.89</v>
      </c>
      <c r="I20" s="64">
        <v>1.69</v>
      </c>
      <c r="J20" s="64">
        <v>7.0000000000000007E-2</v>
      </c>
      <c r="K20" s="64">
        <v>278.95</v>
      </c>
      <c r="L20" s="64">
        <v>25.78</v>
      </c>
      <c r="M20" s="64">
        <v>98.59</v>
      </c>
      <c r="N20" s="64">
        <v>54.5</v>
      </c>
      <c r="O20" s="64">
        <v>0</v>
      </c>
      <c r="P20" s="64">
        <v>0.18</v>
      </c>
      <c r="Q20" s="64">
        <v>9.26</v>
      </c>
      <c r="R20" s="198"/>
      <c r="S20" s="198"/>
      <c r="T20" s="198"/>
      <c r="U20" s="198"/>
    </row>
    <row r="21" spans="1:21" s="12" customFormat="1" x14ac:dyDescent="0.25">
      <c r="A21" s="213" t="s">
        <v>1600</v>
      </c>
      <c r="B21" s="64">
        <v>5.54</v>
      </c>
      <c r="C21" s="64">
        <v>11.18</v>
      </c>
      <c r="D21" s="64">
        <v>10.28</v>
      </c>
      <c r="E21" s="64">
        <v>4.34</v>
      </c>
      <c r="F21" s="64">
        <v>11.23</v>
      </c>
      <c r="G21" s="64">
        <v>33.14</v>
      </c>
      <c r="H21" s="64">
        <v>9</v>
      </c>
      <c r="I21" s="64">
        <v>1.64</v>
      </c>
      <c r="J21" s="64">
        <v>0.05</v>
      </c>
      <c r="K21" s="64">
        <v>240.29</v>
      </c>
      <c r="L21" s="64">
        <v>25.73</v>
      </c>
      <c r="M21" s="64">
        <v>98.6</v>
      </c>
      <c r="N21" s="64">
        <v>54</v>
      </c>
      <c r="O21" s="64">
        <v>0</v>
      </c>
      <c r="P21" s="64">
        <v>0.13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3" t="s">
        <v>1601</v>
      </c>
      <c r="B22" s="64">
        <v>4.74</v>
      </c>
      <c r="C22" s="64">
        <v>10.69</v>
      </c>
      <c r="D22" s="64">
        <v>9.3800000000000008</v>
      </c>
      <c r="E22" s="64">
        <v>4.4000000000000004</v>
      </c>
      <c r="F22" s="64">
        <v>9.6199999999999992</v>
      </c>
      <c r="G22" s="64">
        <v>33.93</v>
      </c>
      <c r="H22" s="64">
        <v>9.68</v>
      </c>
      <c r="I22" s="64">
        <v>1.59</v>
      </c>
      <c r="J22" s="64">
        <v>7.0000000000000007E-2</v>
      </c>
      <c r="K22" s="64">
        <v>244.78</v>
      </c>
      <c r="L22" s="64">
        <v>25.42</v>
      </c>
      <c r="M22" s="64">
        <v>98.63</v>
      </c>
      <c r="N22" s="64">
        <v>54</v>
      </c>
      <c r="O22" s="64">
        <v>0</v>
      </c>
      <c r="P22" s="64">
        <v>0.13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3" t="s">
        <v>1602</v>
      </c>
      <c r="B23" s="64">
        <v>7</v>
      </c>
      <c r="C23" s="64">
        <v>13.72</v>
      </c>
      <c r="D23" s="64">
        <v>12.78</v>
      </c>
      <c r="E23" s="64">
        <v>4.4000000000000004</v>
      </c>
      <c r="F23" s="64">
        <v>8.61</v>
      </c>
      <c r="G23" s="64">
        <v>33.93</v>
      </c>
      <c r="H23" s="64">
        <v>9.68</v>
      </c>
      <c r="I23" s="64">
        <v>1.56</v>
      </c>
      <c r="J23" s="64">
        <v>0.04</v>
      </c>
      <c r="K23" s="64">
        <v>247.59</v>
      </c>
      <c r="L23" s="64">
        <v>25.21</v>
      </c>
      <c r="M23" s="64">
        <v>98.65</v>
      </c>
      <c r="N23" s="64">
        <v>54.1</v>
      </c>
      <c r="O23" s="64">
        <v>0</v>
      </c>
      <c r="P23" s="64">
        <v>0.16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13" t="s">
        <v>1603</v>
      </c>
      <c r="B24" s="64">
        <v>5.76</v>
      </c>
      <c r="C24" s="64">
        <v>14.6</v>
      </c>
      <c r="D24" s="64">
        <v>12.25</v>
      </c>
      <c r="E24" s="64">
        <v>4.5</v>
      </c>
      <c r="F24" s="64">
        <v>7.83</v>
      </c>
      <c r="G24" s="64">
        <v>33.93</v>
      </c>
      <c r="H24" s="64">
        <v>9.68</v>
      </c>
      <c r="I24" s="64">
        <v>1.52</v>
      </c>
      <c r="J24" s="64">
        <v>0.06</v>
      </c>
      <c r="K24" s="64">
        <v>217.17</v>
      </c>
      <c r="L24" s="64">
        <v>25.04</v>
      </c>
      <c r="M24" s="64">
        <v>98.66</v>
      </c>
      <c r="N24" s="64">
        <v>54.1</v>
      </c>
      <c r="O24" s="64">
        <v>0</v>
      </c>
      <c r="P24" s="64">
        <v>0.13</v>
      </c>
      <c r="Q24" s="64">
        <v>9.27</v>
      </c>
      <c r="R24" s="198"/>
      <c r="S24" s="198"/>
      <c r="T24" s="198"/>
      <c r="U24" s="198"/>
    </row>
    <row r="25" spans="1:21" s="12" customFormat="1" x14ac:dyDescent="0.25">
      <c r="A25" s="213" t="s">
        <v>1604</v>
      </c>
      <c r="B25" s="64">
        <v>4.26</v>
      </c>
      <c r="C25" s="64">
        <v>12.86</v>
      </c>
      <c r="D25" s="64">
        <v>10.130000000000001</v>
      </c>
      <c r="E25" s="64">
        <v>4.63</v>
      </c>
      <c r="F25" s="64">
        <v>8.0399999999999991</v>
      </c>
      <c r="G25" s="64">
        <v>27.23</v>
      </c>
      <c r="H25" s="64">
        <v>8.08</v>
      </c>
      <c r="I25" s="64">
        <v>1.5</v>
      </c>
      <c r="J25" s="64">
        <v>0.05</v>
      </c>
      <c r="K25" s="64">
        <v>229.49</v>
      </c>
      <c r="L25" s="64">
        <v>24.98</v>
      </c>
      <c r="M25" s="64">
        <v>98.68</v>
      </c>
      <c r="N25" s="64">
        <v>53.9</v>
      </c>
      <c r="O25" s="64">
        <v>0</v>
      </c>
      <c r="P25" s="64">
        <v>0.15</v>
      </c>
      <c r="Q25" s="64">
        <v>9.27</v>
      </c>
      <c r="R25" s="198"/>
      <c r="S25" s="198"/>
      <c r="T25" s="198"/>
      <c r="U25" s="198"/>
    </row>
    <row r="26" spans="1:21" s="12" customFormat="1" x14ac:dyDescent="0.25">
      <c r="A26" s="213" t="s">
        <v>1605</v>
      </c>
      <c r="B26" s="64">
        <v>4.62</v>
      </c>
      <c r="C26" s="64">
        <v>14.05</v>
      </c>
      <c r="D26" s="64">
        <v>11.05</v>
      </c>
      <c r="E26" s="64">
        <v>4.2699999999999996</v>
      </c>
      <c r="F26" s="64">
        <v>6.84</v>
      </c>
      <c r="G26" s="64">
        <v>23.16</v>
      </c>
      <c r="H26" s="64">
        <v>7.1</v>
      </c>
      <c r="I26" s="64">
        <v>1.47</v>
      </c>
      <c r="J26" s="64">
        <v>0.04</v>
      </c>
      <c r="K26" s="64">
        <v>247.86</v>
      </c>
      <c r="L26" s="64">
        <v>25.04</v>
      </c>
      <c r="M26" s="64">
        <v>98.67</v>
      </c>
      <c r="N26" s="64">
        <v>54.2</v>
      </c>
      <c r="O26" s="64">
        <v>0</v>
      </c>
      <c r="P26" s="64">
        <v>0.17</v>
      </c>
      <c r="Q26" s="64">
        <v>9.27</v>
      </c>
      <c r="R26" s="198"/>
      <c r="S26" s="198"/>
      <c r="T26" s="198"/>
      <c r="U26" s="198"/>
    </row>
    <row r="27" spans="1:21" s="12" customFormat="1" x14ac:dyDescent="0.25">
      <c r="A27" s="213" t="s">
        <v>1606</v>
      </c>
      <c r="B27" s="64">
        <v>15.32</v>
      </c>
      <c r="C27" s="64">
        <v>18.62</v>
      </c>
      <c r="D27" s="64">
        <v>22.01</v>
      </c>
      <c r="E27" s="64">
        <v>4.2699999999999996</v>
      </c>
      <c r="F27" s="64">
        <v>5.82</v>
      </c>
      <c r="G27" s="64">
        <v>23.16</v>
      </c>
      <c r="H27" s="64">
        <v>7.1</v>
      </c>
      <c r="I27" s="64">
        <v>1.46</v>
      </c>
      <c r="J27" s="64">
        <v>0.04</v>
      </c>
      <c r="K27" s="64">
        <v>185.09</v>
      </c>
      <c r="L27" s="64">
        <v>24.98</v>
      </c>
      <c r="M27" s="64">
        <v>98.68</v>
      </c>
      <c r="N27" s="64">
        <v>54.4</v>
      </c>
      <c r="O27" s="64">
        <v>0</v>
      </c>
      <c r="P27" s="64">
        <v>0.27</v>
      </c>
      <c r="Q27" s="64">
        <v>9.27</v>
      </c>
      <c r="R27" s="198"/>
      <c r="S27" s="198"/>
      <c r="T27" s="198"/>
      <c r="U27" s="198"/>
    </row>
    <row r="28" spans="1:21" s="12" customFormat="1" x14ac:dyDescent="0.25">
      <c r="A28" s="213" t="s">
        <v>1607</v>
      </c>
      <c r="B28" s="64">
        <v>15.26</v>
      </c>
      <c r="C28" s="64">
        <v>16.850000000000001</v>
      </c>
      <c r="D28" s="64">
        <v>21.04</v>
      </c>
      <c r="E28" s="64">
        <v>4.63</v>
      </c>
      <c r="F28" s="64">
        <v>4.66</v>
      </c>
      <c r="G28" s="64">
        <v>23.16</v>
      </c>
      <c r="H28" s="64">
        <v>7.1</v>
      </c>
      <c r="I28" s="64">
        <v>1.46</v>
      </c>
      <c r="J28" s="64">
        <v>0.05</v>
      </c>
      <c r="K28" s="64">
        <v>161.91</v>
      </c>
      <c r="L28" s="64">
        <v>24.94</v>
      </c>
      <c r="M28" s="64">
        <v>98.72</v>
      </c>
      <c r="N28" s="64">
        <v>54.9</v>
      </c>
      <c r="O28" s="64">
        <v>0</v>
      </c>
      <c r="P28" s="64">
        <v>0.3</v>
      </c>
      <c r="Q28" s="64">
        <v>9.27</v>
      </c>
      <c r="R28" s="198"/>
      <c r="S28" s="198"/>
      <c r="T28" s="198"/>
      <c r="U28" s="198"/>
    </row>
    <row r="29" spans="1:21" s="12" customFormat="1" x14ac:dyDescent="0.25">
      <c r="A29" s="213" t="s">
        <v>1608</v>
      </c>
      <c r="B29" s="64">
        <v>7.46</v>
      </c>
      <c r="C29" s="64">
        <v>20.41</v>
      </c>
      <c r="D29" s="64">
        <v>16.649999999999999</v>
      </c>
      <c r="E29" s="64">
        <v>4.6900000000000004</v>
      </c>
      <c r="F29" s="64">
        <v>6.74</v>
      </c>
      <c r="G29" s="64">
        <v>23.67</v>
      </c>
      <c r="H29" s="64">
        <v>6.93</v>
      </c>
      <c r="I29" s="64">
        <v>1.45</v>
      </c>
      <c r="J29" s="64">
        <v>0.05</v>
      </c>
      <c r="K29" s="64">
        <v>198.9</v>
      </c>
      <c r="L29" s="64">
        <v>24.93</v>
      </c>
      <c r="M29" s="64">
        <v>98.7</v>
      </c>
      <c r="N29" s="64">
        <v>55.4</v>
      </c>
      <c r="O29" s="64">
        <v>0</v>
      </c>
      <c r="P29" s="64">
        <v>0.21</v>
      </c>
      <c r="Q29" s="64">
        <v>9.26</v>
      </c>
      <c r="R29" s="198"/>
      <c r="S29" s="198"/>
      <c r="T29" s="198"/>
      <c r="U29" s="198"/>
    </row>
    <row r="30" spans="1:21" s="12" customFormat="1" x14ac:dyDescent="0.25">
      <c r="A30" s="213" t="s">
        <v>1609</v>
      </c>
      <c r="B30" s="64">
        <v>8.57</v>
      </c>
      <c r="C30" s="64">
        <v>14.82</v>
      </c>
      <c r="D30" s="64">
        <v>14.62</v>
      </c>
      <c r="E30" s="64">
        <v>4.63</v>
      </c>
      <c r="F30" s="64">
        <v>6.02</v>
      </c>
      <c r="G30" s="64">
        <v>23.98</v>
      </c>
      <c r="H30" s="64">
        <v>6.83</v>
      </c>
      <c r="I30" s="64">
        <v>1.44</v>
      </c>
      <c r="J30" s="64">
        <v>0.06</v>
      </c>
      <c r="K30" s="64">
        <v>255.82</v>
      </c>
      <c r="L30" s="64">
        <v>24.96</v>
      </c>
      <c r="M30" s="64">
        <v>98.69</v>
      </c>
      <c r="N30" s="64">
        <v>55.8</v>
      </c>
      <c r="O30" s="64">
        <v>0</v>
      </c>
      <c r="P30" s="64">
        <v>0.24</v>
      </c>
      <c r="Q30" s="64">
        <v>9.24</v>
      </c>
      <c r="R30" s="198"/>
      <c r="S30" s="198"/>
      <c r="T30" s="198"/>
      <c r="U30" s="198"/>
    </row>
    <row r="31" spans="1:21" s="12" customFormat="1" x14ac:dyDescent="0.25">
      <c r="A31" s="213" t="s">
        <v>1610</v>
      </c>
      <c r="B31" s="64">
        <v>7.08</v>
      </c>
      <c r="C31" s="64">
        <v>14.63</v>
      </c>
      <c r="D31" s="64">
        <v>13.32</v>
      </c>
      <c r="E31" s="64">
        <v>4.41</v>
      </c>
      <c r="F31" s="64">
        <v>6.61</v>
      </c>
      <c r="G31" s="64">
        <v>23.98</v>
      </c>
      <c r="H31" s="64">
        <v>6.83</v>
      </c>
      <c r="I31" s="64">
        <v>1.43</v>
      </c>
      <c r="J31" s="64">
        <v>0.09</v>
      </c>
      <c r="K31" s="64">
        <v>205.92</v>
      </c>
      <c r="L31" s="64">
        <v>24.99</v>
      </c>
      <c r="M31" s="64">
        <v>98.68</v>
      </c>
      <c r="N31" s="64">
        <v>58.9</v>
      </c>
      <c r="O31" s="64">
        <v>0</v>
      </c>
      <c r="P31" s="64">
        <v>0.23</v>
      </c>
      <c r="Q31" s="64">
        <v>9.25</v>
      </c>
      <c r="R31" s="198"/>
      <c r="S31" s="198"/>
      <c r="T31" s="198"/>
      <c r="U31" s="198"/>
    </row>
    <row r="32" spans="1:21" s="12" customFormat="1" x14ac:dyDescent="0.25">
      <c r="A32" s="213" t="s">
        <v>1611</v>
      </c>
      <c r="B32" s="64">
        <v>9</v>
      </c>
      <c r="C32" s="64">
        <v>12.13</v>
      </c>
      <c r="D32" s="64">
        <v>13.55</v>
      </c>
      <c r="E32" s="64">
        <v>4.62</v>
      </c>
      <c r="F32" s="64">
        <v>6.17</v>
      </c>
      <c r="G32" s="64">
        <v>23.98</v>
      </c>
      <c r="H32" s="64">
        <v>6.83</v>
      </c>
      <c r="I32" s="64">
        <v>1.41</v>
      </c>
      <c r="J32" s="64">
        <v>0.01</v>
      </c>
      <c r="K32" s="64">
        <v>211.73</v>
      </c>
      <c r="L32" s="64">
        <v>25</v>
      </c>
      <c r="M32" s="64">
        <v>98.68</v>
      </c>
      <c r="N32" s="64">
        <v>64.8</v>
      </c>
      <c r="O32" s="64">
        <v>0</v>
      </c>
      <c r="P32" s="64">
        <v>0.25</v>
      </c>
      <c r="Q32" s="64">
        <v>9.24</v>
      </c>
      <c r="R32" s="198"/>
      <c r="S32" s="198"/>
      <c r="T32" s="198"/>
      <c r="U32" s="198"/>
    </row>
    <row r="33" spans="1:21" s="12" customFormat="1" x14ac:dyDescent="0.25">
      <c r="A33" s="213" t="s">
        <v>1612</v>
      </c>
      <c r="B33" s="64">
        <v>8.01</v>
      </c>
      <c r="C33" s="64">
        <v>12.68</v>
      </c>
      <c r="D33" s="64">
        <v>13.05</v>
      </c>
      <c r="E33" s="64">
        <v>4.6100000000000003</v>
      </c>
      <c r="F33" s="64">
        <v>6.93</v>
      </c>
      <c r="G33" s="64">
        <v>23.97</v>
      </c>
      <c r="H33" s="64">
        <v>5.66</v>
      </c>
      <c r="I33" s="64">
        <v>1.4</v>
      </c>
      <c r="J33" s="64">
        <v>7.0000000000000007E-2</v>
      </c>
      <c r="K33" s="64">
        <v>272.20999999999998</v>
      </c>
      <c r="L33" s="64">
        <v>25.08</v>
      </c>
      <c r="M33" s="64">
        <v>98.67</v>
      </c>
      <c r="N33" s="64">
        <v>72.5</v>
      </c>
      <c r="O33" s="64">
        <v>0</v>
      </c>
      <c r="P33" s="64">
        <v>0.24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3" t="s">
        <v>1613</v>
      </c>
      <c r="B34" s="64">
        <v>9.36</v>
      </c>
      <c r="C34" s="64">
        <v>11.87</v>
      </c>
      <c r="D34" s="64">
        <v>13.71</v>
      </c>
      <c r="E34" s="64">
        <v>4.1500000000000004</v>
      </c>
      <c r="F34" s="64">
        <v>6.72</v>
      </c>
      <c r="G34" s="64">
        <v>23.97</v>
      </c>
      <c r="H34" s="64">
        <v>4.95</v>
      </c>
      <c r="I34" s="64">
        <v>1.39</v>
      </c>
      <c r="J34" s="64">
        <v>7.0000000000000007E-2</v>
      </c>
      <c r="K34" s="64">
        <v>266.66000000000003</v>
      </c>
      <c r="L34" s="64">
        <v>25.15</v>
      </c>
      <c r="M34" s="64">
        <v>98.67</v>
      </c>
      <c r="N34" s="64">
        <v>88.4</v>
      </c>
      <c r="O34" s="64">
        <v>0</v>
      </c>
      <c r="P34" s="64">
        <v>0.28000000000000003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3" t="s">
        <v>1614</v>
      </c>
      <c r="B35" s="64">
        <v>11.97</v>
      </c>
      <c r="C35" s="64">
        <v>13.59</v>
      </c>
      <c r="D35" s="64">
        <v>16.7</v>
      </c>
      <c r="E35" s="64">
        <v>4.43</v>
      </c>
      <c r="F35" s="64">
        <v>6.38</v>
      </c>
      <c r="G35" s="64">
        <v>23.97</v>
      </c>
      <c r="H35" s="64">
        <v>4.95</v>
      </c>
      <c r="I35" s="64">
        <v>1.37</v>
      </c>
      <c r="J35" s="64">
        <v>0.09</v>
      </c>
      <c r="K35" s="64">
        <v>310.88</v>
      </c>
      <c r="L35" s="64">
        <v>25.3</v>
      </c>
      <c r="M35" s="64">
        <v>98.67</v>
      </c>
      <c r="N35" s="64">
        <v>96.8</v>
      </c>
      <c r="O35" s="64">
        <v>0</v>
      </c>
      <c r="P35" s="64">
        <v>0.33</v>
      </c>
      <c r="Q35" s="64">
        <v>9.1999999999999993</v>
      </c>
      <c r="R35" s="198"/>
      <c r="S35" s="198"/>
      <c r="T35" s="198"/>
      <c r="U35" s="198"/>
    </row>
    <row r="36" spans="1:21" s="12" customFormat="1" x14ac:dyDescent="0.25">
      <c r="A36" s="213" t="s">
        <v>1615</v>
      </c>
      <c r="B36" s="64">
        <v>13.39</v>
      </c>
      <c r="C36" s="64">
        <v>13.68</v>
      </c>
      <c r="D36" s="64">
        <v>17.89</v>
      </c>
      <c r="E36" s="64">
        <v>4.3899999999999997</v>
      </c>
      <c r="F36" s="64">
        <v>4.6900000000000004</v>
      </c>
      <c r="G36" s="64">
        <v>23.97</v>
      </c>
      <c r="H36" s="64">
        <v>4.95</v>
      </c>
      <c r="I36" s="64">
        <v>1.38</v>
      </c>
      <c r="J36" s="64">
        <v>0.08</v>
      </c>
      <c r="K36" s="64">
        <v>292.95999999999998</v>
      </c>
      <c r="L36" s="64">
        <v>25.45</v>
      </c>
      <c r="M36" s="64">
        <v>98.66</v>
      </c>
      <c r="N36" s="64">
        <v>110</v>
      </c>
      <c r="O36" s="64">
        <v>0</v>
      </c>
      <c r="P36" s="64">
        <v>0.31</v>
      </c>
      <c r="Q36" s="64">
        <v>9.1999999999999993</v>
      </c>
      <c r="R36" s="198"/>
      <c r="S36" s="198"/>
      <c r="T36" s="198"/>
      <c r="U36" s="198"/>
    </row>
    <row r="37" spans="1:21" s="12" customFormat="1" x14ac:dyDescent="0.25">
      <c r="A37" s="213" t="s">
        <v>1616</v>
      </c>
      <c r="B37" s="64">
        <v>14.84</v>
      </c>
      <c r="C37" s="64">
        <v>13.35</v>
      </c>
      <c r="D37" s="64">
        <v>18.87</v>
      </c>
      <c r="E37" s="64">
        <v>4.18</v>
      </c>
      <c r="F37" s="64">
        <v>6.08</v>
      </c>
      <c r="G37" s="64">
        <v>26.22</v>
      </c>
      <c r="H37" s="64">
        <v>7.19</v>
      </c>
      <c r="I37" s="64">
        <v>1.4</v>
      </c>
      <c r="J37" s="64">
        <v>0.11</v>
      </c>
      <c r="K37" s="64">
        <v>281.49</v>
      </c>
      <c r="L37" s="64">
        <v>25.73</v>
      </c>
      <c r="M37" s="64">
        <v>98.66</v>
      </c>
      <c r="N37" s="64">
        <v>131.4</v>
      </c>
      <c r="O37" s="64">
        <v>0</v>
      </c>
      <c r="P37" s="64">
        <v>0.37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3" t="s">
        <v>1617</v>
      </c>
      <c r="B38" s="64">
        <v>13.93</v>
      </c>
      <c r="C38" s="64">
        <v>16.62</v>
      </c>
      <c r="D38" s="64">
        <v>19.850000000000001</v>
      </c>
      <c r="E38" s="64">
        <v>4.32</v>
      </c>
      <c r="F38" s="64">
        <v>6.85</v>
      </c>
      <c r="G38" s="64">
        <v>27.58</v>
      </c>
      <c r="H38" s="64">
        <v>8.5500000000000007</v>
      </c>
      <c r="I38" s="64">
        <v>1.41</v>
      </c>
      <c r="J38" s="64">
        <v>0.13</v>
      </c>
      <c r="K38" s="64">
        <v>284.35000000000002</v>
      </c>
      <c r="L38" s="64">
        <v>25.84</v>
      </c>
      <c r="M38" s="64">
        <v>98.65</v>
      </c>
      <c r="N38" s="64">
        <v>141.5</v>
      </c>
      <c r="O38" s="64">
        <v>0</v>
      </c>
      <c r="P38" s="64">
        <v>0.4</v>
      </c>
      <c r="Q38" s="64">
        <v>9.2200000000000006</v>
      </c>
      <c r="R38" s="198"/>
      <c r="S38" s="198"/>
      <c r="T38" s="198"/>
      <c r="U38" s="198"/>
    </row>
    <row r="39" spans="1:21" s="12" customFormat="1" x14ac:dyDescent="0.25">
      <c r="A39" s="213" t="s">
        <v>1618</v>
      </c>
      <c r="B39" s="64">
        <v>14.26</v>
      </c>
      <c r="C39" s="64">
        <v>13.3</v>
      </c>
      <c r="D39" s="64">
        <v>18.39</v>
      </c>
      <c r="E39" s="64">
        <v>4.3099999999999996</v>
      </c>
      <c r="F39" s="64">
        <v>6.73</v>
      </c>
      <c r="G39" s="64">
        <v>27.58</v>
      </c>
      <c r="H39" s="64">
        <v>8.5500000000000007</v>
      </c>
      <c r="I39" s="64">
        <v>1.42</v>
      </c>
      <c r="J39" s="64">
        <v>0.18</v>
      </c>
      <c r="K39" s="64">
        <v>280.25</v>
      </c>
      <c r="L39" s="64">
        <v>26.08</v>
      </c>
      <c r="M39" s="64">
        <v>98.64</v>
      </c>
      <c r="N39" s="64">
        <v>170.9</v>
      </c>
      <c r="O39" s="64">
        <v>0</v>
      </c>
      <c r="P39" s="64">
        <v>0.37</v>
      </c>
      <c r="Q39" s="64">
        <v>9.25</v>
      </c>
      <c r="R39" s="198"/>
      <c r="S39" s="198"/>
      <c r="T39" s="198"/>
      <c r="U39" s="198"/>
    </row>
    <row r="40" spans="1:21" s="12" customFormat="1" x14ac:dyDescent="0.25">
      <c r="A40" s="213" t="s">
        <v>1619</v>
      </c>
      <c r="B40" s="64">
        <v>13.32</v>
      </c>
      <c r="C40" s="64">
        <v>13.41</v>
      </c>
      <c r="D40" s="64">
        <v>17.690000000000001</v>
      </c>
      <c r="E40" s="64">
        <v>4.37</v>
      </c>
      <c r="F40" s="64">
        <v>6.23</v>
      </c>
      <c r="G40" s="64">
        <v>27.58</v>
      </c>
      <c r="H40" s="64">
        <v>8.5500000000000007</v>
      </c>
      <c r="I40" s="64">
        <v>1.44</v>
      </c>
      <c r="J40" s="64">
        <v>0.19</v>
      </c>
      <c r="K40" s="64">
        <v>286.11</v>
      </c>
      <c r="L40" s="64">
        <v>26.35</v>
      </c>
      <c r="M40" s="64">
        <v>98.61</v>
      </c>
      <c r="N40" s="64">
        <v>250.8</v>
      </c>
      <c r="O40" s="64">
        <v>0</v>
      </c>
      <c r="P40" s="64">
        <v>0.36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3" t="s">
        <v>1620</v>
      </c>
      <c r="B41" s="64">
        <v>12.91</v>
      </c>
      <c r="C41" s="64">
        <v>13.71</v>
      </c>
      <c r="D41" s="64">
        <v>17.510000000000002</v>
      </c>
      <c r="E41" s="64">
        <v>4.34</v>
      </c>
      <c r="F41" s="64">
        <v>4.51</v>
      </c>
      <c r="G41" s="64">
        <v>29.32</v>
      </c>
      <c r="H41" s="64">
        <v>7.22</v>
      </c>
      <c r="I41" s="64">
        <v>1.44</v>
      </c>
      <c r="J41" s="64">
        <v>0.23</v>
      </c>
      <c r="K41" s="64">
        <v>286.38</v>
      </c>
      <c r="L41" s="64">
        <v>27.03</v>
      </c>
      <c r="M41" s="64">
        <v>97.67</v>
      </c>
      <c r="N41" s="64">
        <v>357.2</v>
      </c>
      <c r="O41" s="64">
        <v>0</v>
      </c>
      <c r="P41" s="64">
        <v>0.35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3" t="s">
        <v>1621</v>
      </c>
      <c r="B42" s="64">
        <v>11.8</v>
      </c>
      <c r="C42" s="64">
        <v>13.19</v>
      </c>
      <c r="D42" s="64">
        <v>15.77</v>
      </c>
      <c r="E42" s="64">
        <v>4.24</v>
      </c>
      <c r="F42" s="64">
        <v>4.91</v>
      </c>
      <c r="G42" s="64">
        <v>30.37</v>
      </c>
      <c r="H42" s="64">
        <v>6.41</v>
      </c>
      <c r="I42" s="64">
        <v>1.42</v>
      </c>
      <c r="J42" s="64">
        <v>0.25</v>
      </c>
      <c r="K42" s="64">
        <v>280.61</v>
      </c>
      <c r="L42" s="64">
        <v>28.26</v>
      </c>
      <c r="M42" s="64">
        <v>93.57</v>
      </c>
      <c r="N42" s="64">
        <v>295.10000000000002</v>
      </c>
      <c r="O42" s="64">
        <v>0</v>
      </c>
      <c r="P42" s="64">
        <v>0.35</v>
      </c>
      <c r="Q42" s="64">
        <v>9.24</v>
      </c>
      <c r="R42" s="198"/>
      <c r="S42" s="198"/>
      <c r="T42" s="198"/>
      <c r="U42" s="198"/>
    </row>
    <row r="43" spans="1:21" s="12" customFormat="1" x14ac:dyDescent="0.25">
      <c r="A43" s="213" t="s">
        <v>1622</v>
      </c>
      <c r="B43" s="64">
        <v>13.01</v>
      </c>
      <c r="C43" s="64">
        <v>12.89</v>
      </c>
      <c r="D43" s="64">
        <v>17.16</v>
      </c>
      <c r="E43" s="64">
        <v>4.53</v>
      </c>
      <c r="F43" s="64">
        <v>5.35</v>
      </c>
      <c r="G43" s="64">
        <v>30.37</v>
      </c>
      <c r="H43" s="64">
        <v>6.41</v>
      </c>
      <c r="I43" s="64">
        <v>1.38</v>
      </c>
      <c r="J43" s="64">
        <v>0.26</v>
      </c>
      <c r="K43" s="64">
        <v>283.49</v>
      </c>
      <c r="L43" s="64">
        <v>27.96</v>
      </c>
      <c r="M43" s="64">
        <v>91.41</v>
      </c>
      <c r="N43" s="64">
        <v>285.7</v>
      </c>
      <c r="O43" s="64">
        <v>0</v>
      </c>
      <c r="P43" s="64">
        <v>0.37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13" t="s">
        <v>1623</v>
      </c>
      <c r="B44" s="64">
        <v>10.34</v>
      </c>
      <c r="C44" s="64">
        <v>12.61</v>
      </c>
      <c r="D44" s="64">
        <v>14.88</v>
      </c>
      <c r="E44" s="64">
        <v>4.34</v>
      </c>
      <c r="F44" s="64">
        <v>4.66</v>
      </c>
      <c r="G44" s="64">
        <v>30.37</v>
      </c>
      <c r="H44" s="64">
        <v>6.41</v>
      </c>
      <c r="I44" s="64">
        <v>1.34</v>
      </c>
      <c r="J44" s="64">
        <v>0.21</v>
      </c>
      <c r="K44" s="64">
        <v>287.55</v>
      </c>
      <c r="L44" s="64">
        <v>27.32</v>
      </c>
      <c r="M44" s="64">
        <v>90.26</v>
      </c>
      <c r="N44" s="64">
        <v>257.10000000000002</v>
      </c>
      <c r="O44" s="64">
        <v>0</v>
      </c>
      <c r="P44" s="64">
        <v>0.32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3" t="s">
        <v>1624</v>
      </c>
      <c r="B45" s="64">
        <v>9.9499999999999993</v>
      </c>
      <c r="C45" s="64">
        <v>13.77</v>
      </c>
      <c r="D45" s="64">
        <v>15.17</v>
      </c>
      <c r="E45" s="64">
        <v>4.25</v>
      </c>
      <c r="F45" s="64">
        <v>4.62</v>
      </c>
      <c r="G45" s="64">
        <v>28.76</v>
      </c>
      <c r="H45" s="64">
        <v>5.47</v>
      </c>
      <c r="I45" s="64">
        <v>1.3</v>
      </c>
      <c r="J45" s="64">
        <v>0.23</v>
      </c>
      <c r="K45" s="64">
        <v>286.08</v>
      </c>
      <c r="L45" s="64">
        <v>27.33</v>
      </c>
      <c r="M45" s="64">
        <v>90.31</v>
      </c>
      <c r="N45" s="64">
        <v>352.5</v>
      </c>
      <c r="O45" s="64">
        <v>0</v>
      </c>
      <c r="P45" s="64">
        <v>0.33</v>
      </c>
      <c r="Q45" s="64">
        <v>9.1999999999999993</v>
      </c>
      <c r="R45" s="198"/>
      <c r="S45" s="198"/>
      <c r="T45" s="198"/>
      <c r="U45" s="198"/>
    </row>
    <row r="46" spans="1:21" s="12" customFormat="1" x14ac:dyDescent="0.25">
      <c r="A46" s="213" t="s">
        <v>1625</v>
      </c>
      <c r="B46" s="64">
        <v>9.34</v>
      </c>
      <c r="C46" s="64">
        <v>13.31</v>
      </c>
      <c r="D46" s="64">
        <v>14.44</v>
      </c>
      <c r="E46" s="64">
        <v>4.55</v>
      </c>
      <c r="F46" s="64">
        <v>3.43</v>
      </c>
      <c r="G46" s="64">
        <v>27.79</v>
      </c>
      <c r="H46" s="64">
        <v>4.9000000000000004</v>
      </c>
      <c r="I46" s="64">
        <v>1.26</v>
      </c>
      <c r="J46" s="64">
        <v>0.23</v>
      </c>
      <c r="K46" s="64">
        <v>281.55</v>
      </c>
      <c r="L46" s="64">
        <v>28.23</v>
      </c>
      <c r="M46" s="64">
        <v>84.71</v>
      </c>
      <c r="N46" s="64">
        <v>444.3</v>
      </c>
      <c r="O46" s="64">
        <v>0</v>
      </c>
      <c r="P46" s="64">
        <v>0.35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3" t="s">
        <v>1626</v>
      </c>
      <c r="B47" s="64">
        <v>8.8000000000000007</v>
      </c>
      <c r="C47" s="64">
        <v>13.87</v>
      </c>
      <c r="D47" s="64">
        <v>14.3</v>
      </c>
      <c r="E47" s="64">
        <v>4.54</v>
      </c>
      <c r="F47" s="64">
        <v>3.18</v>
      </c>
      <c r="G47" s="64">
        <v>27.79</v>
      </c>
      <c r="H47" s="64">
        <v>4.9000000000000004</v>
      </c>
      <c r="I47" s="64">
        <v>1.3</v>
      </c>
      <c r="J47" s="64">
        <v>0.21</v>
      </c>
      <c r="K47" s="64">
        <v>286.87</v>
      </c>
      <c r="L47" s="64">
        <v>27.25</v>
      </c>
      <c r="M47" s="64">
        <v>88.3</v>
      </c>
      <c r="N47" s="64">
        <v>301.10000000000002</v>
      </c>
      <c r="O47" s="64">
        <v>0</v>
      </c>
      <c r="P47" s="64">
        <v>0.4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3" t="s">
        <v>1627</v>
      </c>
      <c r="B48" s="64">
        <v>8.6199999999999992</v>
      </c>
      <c r="C48" s="64">
        <v>14.35</v>
      </c>
      <c r="D48" s="64">
        <v>14.41</v>
      </c>
      <c r="E48" s="64">
        <v>4.1500000000000004</v>
      </c>
      <c r="F48" s="64">
        <v>3.5</v>
      </c>
      <c r="G48" s="64">
        <v>27.79</v>
      </c>
      <c r="H48" s="64">
        <v>4.9000000000000004</v>
      </c>
      <c r="I48" s="64">
        <v>1.47</v>
      </c>
      <c r="J48" s="64">
        <v>0.19</v>
      </c>
      <c r="K48" s="64">
        <v>281.48</v>
      </c>
      <c r="L48" s="64">
        <v>27.12</v>
      </c>
      <c r="M48" s="64">
        <v>89.01</v>
      </c>
      <c r="N48" s="64">
        <v>342.5</v>
      </c>
      <c r="O48" s="64">
        <v>0</v>
      </c>
      <c r="P48" s="64">
        <v>0.5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3" t="s">
        <v>1628</v>
      </c>
      <c r="B49" s="64">
        <v>8.73</v>
      </c>
      <c r="C49" s="64">
        <v>15.01</v>
      </c>
      <c r="D49" s="64">
        <v>14.85</v>
      </c>
      <c r="E49" s="64">
        <v>4.38</v>
      </c>
      <c r="F49" s="64">
        <v>3.33</v>
      </c>
      <c r="G49" s="64">
        <v>31.04</v>
      </c>
      <c r="H49" s="64">
        <v>8.24</v>
      </c>
      <c r="I49" s="64">
        <v>1.82</v>
      </c>
      <c r="J49" s="64">
        <v>0.19</v>
      </c>
      <c r="K49" s="64">
        <v>276.60000000000002</v>
      </c>
      <c r="L49" s="64">
        <v>27</v>
      </c>
      <c r="M49" s="64">
        <v>90.26</v>
      </c>
      <c r="N49" s="64">
        <v>233.1</v>
      </c>
      <c r="O49" s="64">
        <v>0</v>
      </c>
      <c r="P49" s="64">
        <v>0.59</v>
      </c>
      <c r="Q49" s="64">
        <v>9.11</v>
      </c>
      <c r="R49" s="198"/>
      <c r="S49" s="198"/>
      <c r="T49" s="198"/>
      <c r="U49" s="198"/>
    </row>
    <row r="50" spans="1:21" s="12" customFormat="1" x14ac:dyDescent="0.25">
      <c r="A50" s="213" t="s">
        <v>1629</v>
      </c>
      <c r="B50" s="64">
        <v>8.35</v>
      </c>
      <c r="C50" s="64">
        <v>14.84</v>
      </c>
      <c r="D50" s="64">
        <v>14.45</v>
      </c>
      <c r="E50" s="64">
        <v>3.9</v>
      </c>
      <c r="F50" s="64">
        <v>3.92</v>
      </c>
      <c r="G50" s="64">
        <v>33.020000000000003</v>
      </c>
      <c r="H50" s="64">
        <v>10.27</v>
      </c>
      <c r="I50" s="64">
        <v>2.17</v>
      </c>
      <c r="J50" s="64">
        <v>0.16</v>
      </c>
      <c r="K50" s="64">
        <v>279.29000000000002</v>
      </c>
      <c r="L50" s="64">
        <v>26.79</v>
      </c>
      <c r="M50" s="64">
        <v>92.2</v>
      </c>
      <c r="N50" s="64">
        <v>225.4</v>
      </c>
      <c r="O50" s="64">
        <v>0</v>
      </c>
      <c r="P50" s="64">
        <v>0.56999999999999995</v>
      </c>
      <c r="Q50" s="64">
        <v>9.1</v>
      </c>
      <c r="R50" s="198"/>
      <c r="S50" s="198"/>
      <c r="T50" s="198"/>
      <c r="U50" s="198"/>
    </row>
    <row r="51" spans="1:21" s="12" customFormat="1" x14ac:dyDescent="0.25">
      <c r="A51" s="213" t="s">
        <v>1630</v>
      </c>
      <c r="B51" s="64">
        <v>7.97</v>
      </c>
      <c r="C51" s="64">
        <v>14.53</v>
      </c>
      <c r="D51" s="64">
        <v>13.98</v>
      </c>
      <c r="E51" s="64">
        <v>4.45</v>
      </c>
      <c r="F51" s="64">
        <v>3.14</v>
      </c>
      <c r="G51" s="64">
        <v>33.020000000000003</v>
      </c>
      <c r="H51" s="64">
        <v>10.27</v>
      </c>
      <c r="I51" s="64">
        <v>2.39</v>
      </c>
      <c r="J51" s="64">
        <v>0.25</v>
      </c>
      <c r="K51" s="64">
        <v>288.08</v>
      </c>
      <c r="L51" s="64">
        <v>27.09</v>
      </c>
      <c r="M51" s="64">
        <v>92.61</v>
      </c>
      <c r="N51" s="64">
        <v>344.6</v>
      </c>
      <c r="O51" s="64">
        <v>0</v>
      </c>
      <c r="P51" s="64">
        <v>0.53</v>
      </c>
      <c r="Q51" s="64">
        <v>9.09</v>
      </c>
      <c r="R51" s="198"/>
      <c r="S51" s="198"/>
      <c r="T51" s="198"/>
      <c r="U51" s="198"/>
    </row>
    <row r="52" spans="1:21" s="12" customFormat="1" x14ac:dyDescent="0.25">
      <c r="A52" s="213" t="s">
        <v>1631</v>
      </c>
      <c r="B52" s="64">
        <v>8.49</v>
      </c>
      <c r="C52" s="64">
        <v>14.91</v>
      </c>
      <c r="D52" s="64">
        <v>14.6</v>
      </c>
      <c r="E52" s="64">
        <v>4.29</v>
      </c>
      <c r="F52" s="64">
        <v>3.18</v>
      </c>
      <c r="G52" s="64">
        <v>33.020000000000003</v>
      </c>
      <c r="H52" s="64">
        <v>10.27</v>
      </c>
      <c r="I52" s="64">
        <v>2.4</v>
      </c>
      <c r="J52" s="64">
        <v>0.22</v>
      </c>
      <c r="K52" s="64">
        <v>283.45</v>
      </c>
      <c r="L52" s="64">
        <v>28.63</v>
      </c>
      <c r="M52" s="64">
        <v>85.94</v>
      </c>
      <c r="N52" s="64">
        <v>442.7</v>
      </c>
      <c r="O52" s="64">
        <v>0</v>
      </c>
      <c r="P52" s="64">
        <v>0.53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3" t="s">
        <v>1632</v>
      </c>
      <c r="B53" s="64">
        <v>8.33</v>
      </c>
      <c r="C53" s="64">
        <v>15.2</v>
      </c>
      <c r="D53" s="64">
        <v>14.63</v>
      </c>
      <c r="E53" s="64">
        <v>4.07</v>
      </c>
      <c r="F53" s="64">
        <v>4.43</v>
      </c>
      <c r="G53" s="64">
        <v>33.32</v>
      </c>
      <c r="H53" s="64">
        <v>8.56</v>
      </c>
      <c r="I53" s="64">
        <v>2.31</v>
      </c>
      <c r="J53" s="64">
        <v>0.18</v>
      </c>
      <c r="K53" s="64">
        <v>274.88</v>
      </c>
      <c r="L53" s="64">
        <v>29.08</v>
      </c>
      <c r="M53" s="64">
        <v>83.67</v>
      </c>
      <c r="N53" s="64">
        <v>527.5</v>
      </c>
      <c r="O53" s="64">
        <v>0</v>
      </c>
      <c r="P53" s="64">
        <v>0.56000000000000005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3" t="s">
        <v>1633</v>
      </c>
      <c r="B54" s="64">
        <v>8.15</v>
      </c>
      <c r="C54" s="64">
        <v>14.55</v>
      </c>
      <c r="D54" s="64">
        <v>14.13</v>
      </c>
      <c r="E54" s="64">
        <v>3.99</v>
      </c>
      <c r="F54" s="64">
        <v>3.05</v>
      </c>
      <c r="G54" s="64">
        <v>33.51</v>
      </c>
      <c r="H54" s="64">
        <v>7.51</v>
      </c>
      <c r="I54" s="64">
        <v>2.2400000000000002</v>
      </c>
      <c r="J54" s="64">
        <v>0.23</v>
      </c>
      <c r="K54" s="64">
        <v>283.52999999999997</v>
      </c>
      <c r="L54" s="64">
        <v>29.33</v>
      </c>
      <c r="M54" s="64">
        <v>84.07</v>
      </c>
      <c r="N54" s="64">
        <v>754.7</v>
      </c>
      <c r="O54" s="64">
        <v>0</v>
      </c>
      <c r="P54" s="64">
        <v>0.59</v>
      </c>
      <c r="Q54" s="64">
        <v>9.07</v>
      </c>
      <c r="R54" s="198"/>
      <c r="S54" s="198"/>
      <c r="T54" s="198"/>
      <c r="U54" s="198"/>
    </row>
    <row r="55" spans="1:21" s="12" customFormat="1" x14ac:dyDescent="0.25">
      <c r="A55" s="213" t="s">
        <v>1634</v>
      </c>
      <c r="B55" s="64">
        <v>9.2100000000000009</v>
      </c>
      <c r="C55" s="64">
        <v>15.22</v>
      </c>
      <c r="D55" s="64">
        <v>15.33</v>
      </c>
      <c r="E55" s="64">
        <v>4.4400000000000004</v>
      </c>
      <c r="F55" s="64">
        <v>6.39</v>
      </c>
      <c r="G55" s="64">
        <v>33.51</v>
      </c>
      <c r="H55" s="64">
        <v>7.51</v>
      </c>
      <c r="I55" s="64">
        <v>2.23</v>
      </c>
      <c r="J55" s="64">
        <v>0.22</v>
      </c>
      <c r="K55" s="64">
        <v>290.02999999999997</v>
      </c>
      <c r="L55" s="64">
        <v>30.37</v>
      </c>
      <c r="M55" s="64">
        <v>79.260000000000005</v>
      </c>
      <c r="N55" s="64">
        <v>836.2</v>
      </c>
      <c r="O55" s="64">
        <v>0</v>
      </c>
      <c r="P55" s="64">
        <v>0.64</v>
      </c>
      <c r="Q55" s="64">
        <v>9.07</v>
      </c>
      <c r="R55" s="198"/>
      <c r="S55" s="198"/>
      <c r="T55" s="198"/>
      <c r="U55" s="198"/>
    </row>
    <row r="56" spans="1:21" s="12" customFormat="1" x14ac:dyDescent="0.25">
      <c r="A56" s="213" t="s">
        <v>1635</v>
      </c>
      <c r="B56" s="64">
        <v>7.69</v>
      </c>
      <c r="C56" s="64">
        <v>16.809999999999999</v>
      </c>
      <c r="D56" s="64">
        <v>14.95</v>
      </c>
      <c r="E56" s="64">
        <v>4.32</v>
      </c>
      <c r="F56" s="64">
        <v>5.93</v>
      </c>
      <c r="G56" s="64">
        <v>33.51</v>
      </c>
      <c r="H56" s="64">
        <v>7.51</v>
      </c>
      <c r="I56" s="64">
        <v>2.36</v>
      </c>
      <c r="J56" s="64">
        <v>0.24</v>
      </c>
      <c r="K56" s="64">
        <v>277.55</v>
      </c>
      <c r="L56" s="64">
        <v>30.43</v>
      </c>
      <c r="M56" s="64">
        <v>78.11</v>
      </c>
      <c r="N56" s="64">
        <v>934.5</v>
      </c>
      <c r="O56" s="64">
        <v>0</v>
      </c>
      <c r="P56" s="64">
        <v>0.66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3" t="s">
        <v>1636</v>
      </c>
      <c r="B57" s="64">
        <v>7.17</v>
      </c>
      <c r="C57" s="64">
        <v>17.39</v>
      </c>
      <c r="D57" s="64">
        <v>14.83</v>
      </c>
      <c r="E57" s="64">
        <v>4.32</v>
      </c>
      <c r="F57" s="64">
        <v>5.88</v>
      </c>
      <c r="G57" s="64">
        <v>37.81</v>
      </c>
      <c r="H57" s="64">
        <v>9.34</v>
      </c>
      <c r="I57" s="64">
        <v>2.5</v>
      </c>
      <c r="J57" s="64">
        <v>0.24</v>
      </c>
      <c r="K57" s="64">
        <v>283.77999999999997</v>
      </c>
      <c r="L57" s="64">
        <v>31</v>
      </c>
      <c r="M57" s="64">
        <v>75.2</v>
      </c>
      <c r="N57" s="64">
        <v>1015.1</v>
      </c>
      <c r="O57" s="64">
        <v>0</v>
      </c>
      <c r="P57" s="64">
        <v>0.71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3" t="s">
        <v>1637</v>
      </c>
      <c r="B58" s="64">
        <v>7.09</v>
      </c>
      <c r="C58" s="64">
        <v>19.09</v>
      </c>
      <c r="D58" s="64">
        <v>15.66</v>
      </c>
      <c r="E58" s="64">
        <v>4.18</v>
      </c>
      <c r="F58" s="64">
        <v>5.29</v>
      </c>
      <c r="G58" s="64">
        <v>40.409999999999997</v>
      </c>
      <c r="H58" s="64">
        <v>10.45</v>
      </c>
      <c r="I58" s="64">
        <v>2.58</v>
      </c>
      <c r="J58" s="64">
        <v>0.27</v>
      </c>
      <c r="K58" s="64">
        <v>293.02</v>
      </c>
      <c r="L58" s="64">
        <v>31.87</v>
      </c>
      <c r="M58" s="64">
        <v>69.59</v>
      </c>
      <c r="N58" s="64">
        <v>675.7</v>
      </c>
      <c r="O58" s="64">
        <v>0</v>
      </c>
      <c r="P58" s="64">
        <v>0.7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13" t="s">
        <v>1638</v>
      </c>
      <c r="B59" s="64">
        <v>6.76</v>
      </c>
      <c r="C59" s="64">
        <v>22.14</v>
      </c>
      <c r="D59" s="64">
        <v>16.989999999999998</v>
      </c>
      <c r="E59" s="64">
        <v>4.5</v>
      </c>
      <c r="F59" s="64">
        <v>9.32</v>
      </c>
      <c r="G59" s="64">
        <v>40.409999999999997</v>
      </c>
      <c r="H59" s="64">
        <v>10.45</v>
      </c>
      <c r="I59" s="64">
        <v>2.63</v>
      </c>
      <c r="J59" s="64">
        <v>0.21</v>
      </c>
      <c r="K59" s="64">
        <v>291.77</v>
      </c>
      <c r="L59" s="64">
        <v>31.39</v>
      </c>
      <c r="M59" s="64">
        <v>71.709999999999994</v>
      </c>
      <c r="N59" s="64">
        <v>360</v>
      </c>
      <c r="O59" s="64">
        <v>0</v>
      </c>
      <c r="P59" s="64">
        <v>0.76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3" t="s">
        <v>1639</v>
      </c>
      <c r="B60" s="64">
        <v>6.29</v>
      </c>
      <c r="C60" s="64">
        <v>23.74</v>
      </c>
      <c r="D60" s="64">
        <v>17.440000000000001</v>
      </c>
      <c r="E60" s="64">
        <v>4.29</v>
      </c>
      <c r="F60" s="64">
        <v>7.94</v>
      </c>
      <c r="G60" s="64">
        <v>40.409999999999997</v>
      </c>
      <c r="H60" s="64">
        <v>10.45</v>
      </c>
      <c r="I60" s="64">
        <v>2.68</v>
      </c>
      <c r="J60" s="64">
        <v>0.17</v>
      </c>
      <c r="K60" s="64">
        <v>273.18</v>
      </c>
      <c r="L60" s="64">
        <v>30.46</v>
      </c>
      <c r="M60" s="64">
        <v>76.7</v>
      </c>
      <c r="N60" s="64">
        <v>327.9</v>
      </c>
      <c r="O60" s="64">
        <v>0</v>
      </c>
      <c r="P60" s="64">
        <v>0.75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3" t="s">
        <v>1640</v>
      </c>
      <c r="B61" s="64">
        <v>5.86</v>
      </c>
      <c r="C61" s="64">
        <v>19.36</v>
      </c>
      <c r="D61" s="64">
        <v>14.81</v>
      </c>
      <c r="E61" s="64">
        <v>4.41</v>
      </c>
      <c r="F61" s="64">
        <v>7.49</v>
      </c>
      <c r="G61" s="64">
        <v>42.77</v>
      </c>
      <c r="H61" s="64">
        <v>10.26</v>
      </c>
      <c r="I61" s="64">
        <v>2.72</v>
      </c>
      <c r="J61" s="64">
        <v>0.39</v>
      </c>
      <c r="K61" s="64">
        <v>304.10000000000002</v>
      </c>
      <c r="L61" s="64">
        <v>30.97</v>
      </c>
      <c r="M61" s="64">
        <v>73.39</v>
      </c>
      <c r="N61" s="64">
        <v>323.60000000000002</v>
      </c>
      <c r="O61" s="64">
        <v>0</v>
      </c>
      <c r="P61" s="64">
        <v>0.69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13" t="s">
        <v>1641</v>
      </c>
      <c r="B62" s="64">
        <v>6.09</v>
      </c>
      <c r="C62" s="64">
        <v>21.62</v>
      </c>
      <c r="D62" s="64">
        <v>16.18</v>
      </c>
      <c r="E62" s="64">
        <v>4.6900000000000004</v>
      </c>
      <c r="F62" s="64">
        <v>8.5500000000000007</v>
      </c>
      <c r="G62" s="64">
        <v>44.2</v>
      </c>
      <c r="H62" s="64">
        <v>10.14</v>
      </c>
      <c r="I62" s="64">
        <v>2.71</v>
      </c>
      <c r="J62" s="64">
        <v>0.24</v>
      </c>
      <c r="K62" s="64">
        <v>289.98</v>
      </c>
      <c r="L62" s="64">
        <v>30.08</v>
      </c>
      <c r="M62" s="64">
        <v>77.25</v>
      </c>
      <c r="N62" s="64">
        <v>222.3</v>
      </c>
      <c r="O62" s="64">
        <v>0</v>
      </c>
      <c r="P62" s="64">
        <v>0.72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3" t="s">
        <v>1642</v>
      </c>
      <c r="B63" s="64">
        <v>5.44</v>
      </c>
      <c r="C63" s="64">
        <v>20.77</v>
      </c>
      <c r="D63" s="64">
        <v>15.21</v>
      </c>
      <c r="E63" s="64">
        <v>4.55</v>
      </c>
      <c r="F63" s="64">
        <v>5.89</v>
      </c>
      <c r="G63" s="64">
        <v>44.2</v>
      </c>
      <c r="H63" s="64">
        <v>10.14</v>
      </c>
      <c r="I63" s="64">
        <v>2.7</v>
      </c>
      <c r="J63" s="64">
        <v>0.33</v>
      </c>
      <c r="K63" s="64">
        <v>284.89999999999998</v>
      </c>
      <c r="L63" s="64">
        <v>30.16</v>
      </c>
      <c r="M63" s="64">
        <v>74.7</v>
      </c>
      <c r="N63" s="64">
        <v>217.6</v>
      </c>
      <c r="O63" s="64">
        <v>0</v>
      </c>
      <c r="P63" s="64">
        <v>0.72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3" t="s">
        <v>1643</v>
      </c>
      <c r="B64" s="64">
        <v>5.38</v>
      </c>
      <c r="C64" s="64">
        <v>18.399999999999999</v>
      </c>
      <c r="D64" s="64">
        <v>13.93</v>
      </c>
      <c r="E64" s="64">
        <v>4.63</v>
      </c>
      <c r="F64" s="64">
        <v>4.3600000000000003</v>
      </c>
      <c r="G64" s="64">
        <v>44.2</v>
      </c>
      <c r="H64" s="64">
        <v>10.14</v>
      </c>
      <c r="I64" s="64">
        <v>2.68</v>
      </c>
      <c r="J64" s="64">
        <v>0.16</v>
      </c>
      <c r="K64" s="64">
        <v>289.51</v>
      </c>
      <c r="L64" s="64">
        <v>29.86</v>
      </c>
      <c r="M64" s="64">
        <v>73.55</v>
      </c>
      <c r="N64" s="64">
        <v>206.6</v>
      </c>
      <c r="O64" s="64">
        <v>0</v>
      </c>
      <c r="P64" s="64">
        <v>0.68</v>
      </c>
      <c r="Q64" s="64">
        <v>9.0500000000000007</v>
      </c>
      <c r="R64" s="198"/>
      <c r="S64" s="198"/>
      <c r="T64" s="198"/>
      <c r="U64" s="198"/>
    </row>
    <row r="65" spans="1:21" s="12" customFormat="1" x14ac:dyDescent="0.25">
      <c r="A65" s="213" t="s">
        <v>1644</v>
      </c>
      <c r="B65" s="64">
        <v>5.69</v>
      </c>
      <c r="C65" s="64">
        <v>17.37</v>
      </c>
      <c r="D65" s="64">
        <v>13.64</v>
      </c>
      <c r="E65" s="64">
        <v>4.47</v>
      </c>
      <c r="F65" s="64">
        <v>5.25</v>
      </c>
      <c r="G65" s="64">
        <v>34.909999999999997</v>
      </c>
      <c r="H65" s="64">
        <v>9.2100000000000009</v>
      </c>
      <c r="I65" s="64">
        <v>2.58</v>
      </c>
      <c r="J65" s="64">
        <v>0.26</v>
      </c>
      <c r="K65" s="64">
        <v>288.31</v>
      </c>
      <c r="L65" s="64">
        <v>29.87</v>
      </c>
      <c r="M65" s="64">
        <v>74.72</v>
      </c>
      <c r="N65" s="64">
        <v>229.3</v>
      </c>
      <c r="O65" s="64">
        <v>0</v>
      </c>
      <c r="P65" s="64">
        <v>0.64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3" t="s">
        <v>1645</v>
      </c>
      <c r="B66" s="64">
        <v>5.77</v>
      </c>
      <c r="C66" s="64">
        <v>18.07</v>
      </c>
      <c r="D66" s="64">
        <v>14.07</v>
      </c>
      <c r="E66" s="64">
        <v>4.29</v>
      </c>
      <c r="F66" s="64">
        <v>6.4</v>
      </c>
      <c r="G66" s="64">
        <v>29.26</v>
      </c>
      <c r="H66" s="64">
        <v>8.64</v>
      </c>
      <c r="I66" s="64">
        <v>2.5</v>
      </c>
      <c r="J66" s="64">
        <v>0.26</v>
      </c>
      <c r="K66" s="64">
        <v>288.39999999999998</v>
      </c>
      <c r="L66" s="64">
        <v>30.46</v>
      </c>
      <c r="M66" s="64">
        <v>72.58</v>
      </c>
      <c r="N66" s="64">
        <v>227.6</v>
      </c>
      <c r="O66" s="64">
        <v>0</v>
      </c>
      <c r="P66" s="64">
        <v>0.61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3" t="s">
        <v>1646</v>
      </c>
      <c r="B67" s="64">
        <v>5.04</v>
      </c>
      <c r="C67" s="64">
        <v>16.989999999999998</v>
      </c>
      <c r="D67" s="64">
        <v>12.92</v>
      </c>
      <c r="E67" s="64">
        <v>4.1500000000000004</v>
      </c>
      <c r="F67" s="64">
        <v>5.49</v>
      </c>
      <c r="G67" s="64">
        <v>29.26</v>
      </c>
      <c r="H67" s="64">
        <v>8.64</v>
      </c>
      <c r="I67" s="64">
        <v>2.39</v>
      </c>
      <c r="J67" s="64">
        <v>0.26</v>
      </c>
      <c r="K67" s="64">
        <v>291.08</v>
      </c>
      <c r="L67" s="64">
        <v>30.36</v>
      </c>
      <c r="M67" s="64">
        <v>74.849999999999994</v>
      </c>
      <c r="N67" s="64">
        <v>190.6</v>
      </c>
      <c r="O67" s="64">
        <v>0</v>
      </c>
      <c r="P67" s="64">
        <v>0.6</v>
      </c>
      <c r="Q67" s="64">
        <v>9.01</v>
      </c>
      <c r="R67" s="198"/>
      <c r="S67" s="198"/>
      <c r="T67" s="198"/>
      <c r="U67" s="198"/>
    </row>
    <row r="68" spans="1:21" s="12" customFormat="1" x14ac:dyDescent="0.25">
      <c r="A68" s="213" t="s">
        <v>1647</v>
      </c>
      <c r="B68" s="64">
        <v>7.45</v>
      </c>
      <c r="C68" s="64">
        <v>14.42</v>
      </c>
      <c r="D68" s="64">
        <v>13.5</v>
      </c>
      <c r="E68" s="64">
        <v>4.3099999999999996</v>
      </c>
      <c r="F68" s="64">
        <v>5.17</v>
      </c>
      <c r="G68" s="64">
        <v>29.26</v>
      </c>
      <c r="H68" s="64">
        <v>8.64</v>
      </c>
      <c r="I68" s="64">
        <v>2.2799999999999998</v>
      </c>
      <c r="J68" s="64">
        <v>0.26</v>
      </c>
      <c r="K68" s="64">
        <v>291.60000000000002</v>
      </c>
      <c r="L68" s="64">
        <v>30.16</v>
      </c>
      <c r="M68" s="64">
        <v>76.150000000000006</v>
      </c>
      <c r="N68" s="64">
        <v>194.8</v>
      </c>
      <c r="O68" s="64">
        <v>0</v>
      </c>
      <c r="P68" s="64">
        <v>0.59</v>
      </c>
      <c r="Q68" s="64">
        <v>9.01</v>
      </c>
      <c r="R68" s="198"/>
      <c r="S68" s="198"/>
      <c r="T68" s="198"/>
      <c r="U68" s="198"/>
    </row>
    <row r="69" spans="1:21" s="12" customFormat="1" x14ac:dyDescent="0.25">
      <c r="A69" s="213" t="s">
        <v>1648</v>
      </c>
      <c r="B69" s="64">
        <v>6.97</v>
      </c>
      <c r="C69" s="64">
        <v>17.399999999999999</v>
      </c>
      <c r="D69" s="64">
        <v>14.68</v>
      </c>
      <c r="E69" s="64">
        <v>4.2300000000000004</v>
      </c>
      <c r="F69" s="64">
        <v>6.84</v>
      </c>
      <c r="G69" s="64">
        <v>35.07</v>
      </c>
      <c r="H69" s="64">
        <v>10.79</v>
      </c>
      <c r="I69" s="64">
        <v>2.19</v>
      </c>
      <c r="J69" s="64">
        <v>0.28999999999999998</v>
      </c>
      <c r="K69" s="64">
        <v>296.87</v>
      </c>
      <c r="L69" s="64">
        <v>30.43</v>
      </c>
      <c r="M69" s="64">
        <v>74.33</v>
      </c>
      <c r="N69" s="64">
        <v>156.5</v>
      </c>
      <c r="O69" s="64">
        <v>0</v>
      </c>
      <c r="P69" s="64">
        <v>0.55000000000000004</v>
      </c>
      <c r="Q69" s="64">
        <v>9.0299999999999994</v>
      </c>
      <c r="R69" s="198"/>
      <c r="S69" s="198"/>
      <c r="T69" s="198"/>
      <c r="U69" s="198"/>
    </row>
    <row r="70" spans="1:21" s="12" customFormat="1" x14ac:dyDescent="0.25">
      <c r="A70" s="213" t="s">
        <v>1649</v>
      </c>
      <c r="B70" s="64">
        <v>7.68</v>
      </c>
      <c r="C70" s="64">
        <v>18.54</v>
      </c>
      <c r="D70" s="64">
        <v>15.85</v>
      </c>
      <c r="E70" s="64">
        <v>4.09</v>
      </c>
      <c r="F70" s="64">
        <v>9.1999999999999993</v>
      </c>
      <c r="G70" s="64">
        <v>38.590000000000003</v>
      </c>
      <c r="H70" s="64">
        <v>12.1</v>
      </c>
      <c r="I70" s="64">
        <v>2.09</v>
      </c>
      <c r="J70" s="64">
        <v>0.17</v>
      </c>
      <c r="K70" s="64">
        <v>286.33999999999997</v>
      </c>
      <c r="L70" s="64">
        <v>29.95</v>
      </c>
      <c r="M70" s="64">
        <v>76.180000000000007</v>
      </c>
      <c r="N70" s="64">
        <v>120.7</v>
      </c>
      <c r="O70" s="64">
        <v>0</v>
      </c>
      <c r="P70" s="64">
        <v>0.5</v>
      </c>
      <c r="Q70" s="64">
        <v>9.0299999999999994</v>
      </c>
      <c r="R70" s="198"/>
      <c r="S70" s="198"/>
      <c r="T70" s="198"/>
      <c r="U70" s="198"/>
    </row>
    <row r="71" spans="1:21" s="12" customFormat="1" x14ac:dyDescent="0.25">
      <c r="A71" s="213" t="s">
        <v>1650</v>
      </c>
      <c r="B71" s="64">
        <v>10.46</v>
      </c>
      <c r="C71" s="64">
        <v>20.010000000000002</v>
      </c>
      <c r="D71" s="64">
        <v>18.84</v>
      </c>
      <c r="E71" s="64">
        <v>4.28</v>
      </c>
      <c r="F71" s="64">
        <v>14.36</v>
      </c>
      <c r="G71" s="64">
        <v>38.590000000000003</v>
      </c>
      <c r="H71" s="64">
        <v>12.1</v>
      </c>
      <c r="I71" s="64">
        <v>2.0099999999999998</v>
      </c>
      <c r="J71" s="64">
        <v>0.1</v>
      </c>
      <c r="K71" s="64">
        <v>326.64</v>
      </c>
      <c r="L71" s="64">
        <v>29.4</v>
      </c>
      <c r="M71" s="64">
        <v>80.75</v>
      </c>
      <c r="N71" s="64">
        <v>93.9</v>
      </c>
      <c r="O71" s="64">
        <v>0</v>
      </c>
      <c r="P71" s="64">
        <v>0.52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3" t="s">
        <v>1651</v>
      </c>
      <c r="B72" s="64">
        <v>19.41</v>
      </c>
      <c r="C72" s="64">
        <v>24.87</v>
      </c>
      <c r="D72" s="64">
        <v>28.56</v>
      </c>
      <c r="E72" s="64">
        <v>4.96</v>
      </c>
      <c r="F72" s="64">
        <v>10.53</v>
      </c>
      <c r="G72" s="64">
        <v>38.590000000000003</v>
      </c>
      <c r="H72" s="64">
        <v>12.1</v>
      </c>
      <c r="I72" s="64">
        <v>1.94</v>
      </c>
      <c r="J72" s="64">
        <v>0.11</v>
      </c>
      <c r="K72" s="64">
        <v>329.97</v>
      </c>
      <c r="L72" s="64">
        <v>28.93</v>
      </c>
      <c r="M72" s="64">
        <v>83.68</v>
      </c>
      <c r="N72" s="64">
        <v>87.6</v>
      </c>
      <c r="O72" s="64">
        <v>0</v>
      </c>
      <c r="P72" s="64">
        <v>0.68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3" t="s">
        <v>1652</v>
      </c>
      <c r="B73" s="64">
        <v>8.84</v>
      </c>
      <c r="C73" s="64">
        <v>25.54</v>
      </c>
      <c r="D73" s="64">
        <v>20.440000000000001</v>
      </c>
      <c r="E73" s="64">
        <v>5.63</v>
      </c>
      <c r="F73" s="64">
        <v>9.17</v>
      </c>
      <c r="G73" s="64">
        <v>46.18</v>
      </c>
      <c r="H73" s="64">
        <v>10.41</v>
      </c>
      <c r="I73" s="64">
        <v>1.91</v>
      </c>
      <c r="J73" s="64">
        <v>0.6</v>
      </c>
      <c r="K73" s="64">
        <v>118.61</v>
      </c>
      <c r="L73" s="64">
        <v>27.54</v>
      </c>
      <c r="M73" s="64">
        <v>89.73</v>
      </c>
      <c r="N73" s="64">
        <v>90.8</v>
      </c>
      <c r="O73" s="64">
        <v>0</v>
      </c>
      <c r="P73" s="64">
        <v>0.56000000000000005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3" t="s">
        <v>1653</v>
      </c>
      <c r="B74" s="64">
        <v>14.46</v>
      </c>
      <c r="C74" s="64">
        <v>28.54</v>
      </c>
      <c r="D74" s="64">
        <v>26.51</v>
      </c>
      <c r="E74" s="64">
        <v>5.54</v>
      </c>
      <c r="F74" s="64">
        <v>9.01</v>
      </c>
      <c r="G74" s="64">
        <v>50.79</v>
      </c>
      <c r="H74" s="64">
        <v>9.3800000000000008</v>
      </c>
      <c r="I74" s="64">
        <v>1.81</v>
      </c>
      <c r="J74" s="64">
        <v>0.17</v>
      </c>
      <c r="K74" s="64">
        <v>124.82</v>
      </c>
      <c r="L74" s="64">
        <v>27.27</v>
      </c>
      <c r="M74" s="64">
        <v>92.45</v>
      </c>
      <c r="N74" s="64">
        <v>85.6</v>
      </c>
      <c r="O74" s="64">
        <v>0</v>
      </c>
      <c r="P74" s="64">
        <v>0.72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3" t="s">
        <v>1654</v>
      </c>
      <c r="B75" s="64">
        <v>16.350000000000001</v>
      </c>
      <c r="C75" s="64">
        <v>33.89</v>
      </c>
      <c r="D75" s="64">
        <v>30.82</v>
      </c>
      <c r="E75" s="64">
        <v>5.88</v>
      </c>
      <c r="F75" s="64">
        <v>7.78</v>
      </c>
      <c r="G75" s="64">
        <v>50.79</v>
      </c>
      <c r="H75" s="64">
        <v>9.3800000000000008</v>
      </c>
      <c r="I75" s="64">
        <v>1.75</v>
      </c>
      <c r="J75" s="64">
        <v>0.11</v>
      </c>
      <c r="K75" s="64">
        <v>101.38</v>
      </c>
      <c r="L75" s="64">
        <v>27.5</v>
      </c>
      <c r="M75" s="64">
        <v>92.04</v>
      </c>
      <c r="N75" s="64">
        <v>80.900000000000006</v>
      </c>
      <c r="O75" s="64">
        <v>0</v>
      </c>
      <c r="P75" s="64">
        <v>0.78</v>
      </c>
      <c r="Q75" s="64">
        <v>9.1999999999999993</v>
      </c>
      <c r="R75" s="198"/>
      <c r="S75" s="198"/>
      <c r="T75" s="198"/>
      <c r="U75" s="198"/>
    </row>
    <row r="76" spans="1:21" s="12" customFormat="1" x14ac:dyDescent="0.25">
      <c r="A76" s="213" t="s">
        <v>1655</v>
      </c>
      <c r="B76" s="64">
        <v>20.64</v>
      </c>
      <c r="C76" s="64">
        <v>33.35</v>
      </c>
      <c r="D76" s="64">
        <v>33.979999999999997</v>
      </c>
      <c r="E76" s="64">
        <v>5.72</v>
      </c>
      <c r="F76" s="64">
        <v>7.77</v>
      </c>
      <c r="G76" s="64">
        <v>50.79</v>
      </c>
      <c r="H76" s="64">
        <v>9.3800000000000008</v>
      </c>
      <c r="I76" s="64">
        <v>1.76</v>
      </c>
      <c r="J76" s="64">
        <v>0.21</v>
      </c>
      <c r="K76" s="64">
        <v>116.17</v>
      </c>
      <c r="L76" s="64">
        <v>27.53</v>
      </c>
      <c r="M76" s="64">
        <v>92.35</v>
      </c>
      <c r="N76" s="64">
        <v>79.099999999999994</v>
      </c>
      <c r="O76" s="64">
        <v>0</v>
      </c>
      <c r="P76" s="64">
        <v>0.87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3" t="s">
        <v>1656</v>
      </c>
      <c r="B77" s="64">
        <v>24.22</v>
      </c>
      <c r="C77" s="64">
        <v>30.23</v>
      </c>
      <c r="D77" s="64">
        <v>35.22</v>
      </c>
      <c r="E77" s="64">
        <v>5.87</v>
      </c>
      <c r="F77" s="64">
        <v>7.95</v>
      </c>
      <c r="G77" s="64">
        <v>71.53</v>
      </c>
      <c r="H77" s="64">
        <v>11.93</v>
      </c>
      <c r="I77" s="64">
        <v>1.79</v>
      </c>
      <c r="J77" s="64">
        <v>0.05</v>
      </c>
      <c r="K77" s="64">
        <v>120.91</v>
      </c>
      <c r="L77" s="64">
        <v>27.65</v>
      </c>
      <c r="M77" s="64">
        <v>92.71</v>
      </c>
      <c r="N77" s="64">
        <v>78.2</v>
      </c>
      <c r="O77" s="64">
        <v>0</v>
      </c>
      <c r="P77" s="64">
        <v>0.89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3" t="s">
        <v>1657</v>
      </c>
      <c r="B78" s="64">
        <v>64.53</v>
      </c>
      <c r="C78" s="64">
        <v>39.200000000000003</v>
      </c>
      <c r="D78" s="64">
        <v>72.23</v>
      </c>
      <c r="E78" s="64">
        <v>6</v>
      </c>
      <c r="F78" s="64">
        <v>5.29</v>
      </c>
      <c r="G78" s="64">
        <v>84.13</v>
      </c>
      <c r="H78" s="64">
        <v>13.47</v>
      </c>
      <c r="I78" s="64">
        <v>1.81</v>
      </c>
      <c r="J78" s="64">
        <v>0.12</v>
      </c>
      <c r="K78" s="64">
        <v>321.39</v>
      </c>
      <c r="L78" s="64">
        <v>27.88</v>
      </c>
      <c r="M78" s="64">
        <v>93.35</v>
      </c>
      <c r="N78" s="64">
        <v>72.099999999999994</v>
      </c>
      <c r="O78" s="64">
        <v>0</v>
      </c>
      <c r="P78" s="64">
        <v>1.85</v>
      </c>
      <c r="Q78" s="64">
        <v>9.35</v>
      </c>
      <c r="R78" s="198"/>
      <c r="S78" s="198"/>
      <c r="T78" s="198"/>
      <c r="U78" s="198"/>
    </row>
    <row r="79" spans="1:21" s="12" customFormat="1" x14ac:dyDescent="0.25">
      <c r="A79" s="213" t="s">
        <v>1658</v>
      </c>
      <c r="B79" s="64">
        <v>42.44</v>
      </c>
      <c r="C79" s="64">
        <v>41.63</v>
      </c>
      <c r="D79" s="64">
        <v>55.78</v>
      </c>
      <c r="E79" s="64">
        <v>6.26</v>
      </c>
      <c r="F79" s="64">
        <v>6.18</v>
      </c>
      <c r="G79" s="64">
        <v>84.13</v>
      </c>
      <c r="H79" s="64">
        <v>13.47</v>
      </c>
      <c r="I79" s="64">
        <v>1.88</v>
      </c>
      <c r="J79" s="64">
        <v>0.54</v>
      </c>
      <c r="K79" s="64">
        <v>340.84</v>
      </c>
      <c r="L79" s="64">
        <v>28.05</v>
      </c>
      <c r="M79" s="64">
        <v>92.67</v>
      </c>
      <c r="N79" s="64">
        <v>66.3</v>
      </c>
      <c r="O79" s="64">
        <v>0</v>
      </c>
      <c r="P79" s="64">
        <v>1.6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3" t="s">
        <v>1659</v>
      </c>
      <c r="B80" s="64">
        <v>64.22</v>
      </c>
      <c r="C80" s="64">
        <v>44.07</v>
      </c>
      <c r="D80" s="64">
        <v>74.53</v>
      </c>
      <c r="E80" s="64">
        <v>6.36</v>
      </c>
      <c r="F80" s="64">
        <v>6.06</v>
      </c>
      <c r="G80" s="64">
        <v>84.13</v>
      </c>
      <c r="H80" s="64">
        <v>13.47</v>
      </c>
      <c r="I80" s="64">
        <v>2.4500000000000002</v>
      </c>
      <c r="J80" s="64">
        <v>0.27</v>
      </c>
      <c r="K80" s="64">
        <v>341.44</v>
      </c>
      <c r="L80" s="64">
        <v>28.05</v>
      </c>
      <c r="M80" s="64">
        <v>92.02</v>
      </c>
      <c r="N80" s="64">
        <v>60</v>
      </c>
      <c r="O80" s="64">
        <v>0</v>
      </c>
      <c r="P80" s="64">
        <v>1.85</v>
      </c>
      <c r="Q80" s="64">
        <v>9.42</v>
      </c>
      <c r="R80" s="198"/>
      <c r="S80" s="198"/>
      <c r="T80" s="198"/>
      <c r="U80" s="198"/>
    </row>
    <row r="81" spans="1:26" s="12" customFormat="1" x14ac:dyDescent="0.25">
      <c r="A81" s="213" t="s">
        <v>1660</v>
      </c>
      <c r="B81" s="64">
        <v>61.74</v>
      </c>
      <c r="C81" s="64">
        <v>39.9</v>
      </c>
      <c r="D81" s="64">
        <v>70.36</v>
      </c>
      <c r="E81" s="64">
        <v>6.66</v>
      </c>
      <c r="F81" s="64">
        <v>4.55</v>
      </c>
      <c r="G81" s="64">
        <v>107.25</v>
      </c>
      <c r="H81" s="64">
        <v>19.72</v>
      </c>
      <c r="I81" s="64">
        <v>3.47</v>
      </c>
      <c r="J81" s="64">
        <v>0.24</v>
      </c>
      <c r="K81" s="64">
        <v>342.4</v>
      </c>
      <c r="L81" s="64">
        <v>27.89</v>
      </c>
      <c r="M81" s="64">
        <v>91.97</v>
      </c>
      <c r="N81" s="64">
        <v>53.3</v>
      </c>
      <c r="O81" s="64">
        <v>0</v>
      </c>
      <c r="P81" s="64">
        <v>1.84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3" t="s">
        <v>1661</v>
      </c>
      <c r="B82" s="64">
        <v>49.93</v>
      </c>
      <c r="C82" s="64">
        <v>42.67</v>
      </c>
      <c r="D82" s="64">
        <v>62.34</v>
      </c>
      <c r="E82" s="64">
        <v>6.61</v>
      </c>
      <c r="F82" s="64">
        <v>6.44</v>
      </c>
      <c r="G82" s="64">
        <v>121.28</v>
      </c>
      <c r="H82" s="64">
        <v>23.51</v>
      </c>
      <c r="I82" s="64">
        <v>3.94</v>
      </c>
      <c r="J82" s="64">
        <v>0.41</v>
      </c>
      <c r="K82" s="64">
        <v>341.75</v>
      </c>
      <c r="L82" s="64">
        <v>27.79</v>
      </c>
      <c r="M82" s="64">
        <v>92.6</v>
      </c>
      <c r="N82" s="64">
        <v>46</v>
      </c>
      <c r="O82" s="64">
        <v>0</v>
      </c>
      <c r="P82" s="64">
        <v>1.71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13" t="s">
        <v>1662</v>
      </c>
      <c r="B83" s="64">
        <v>44.09</v>
      </c>
      <c r="C83" s="64">
        <v>41.83</v>
      </c>
      <c r="D83" s="64">
        <v>57.21</v>
      </c>
      <c r="E83" s="64">
        <v>6.44</v>
      </c>
      <c r="F83" s="64">
        <v>6.24</v>
      </c>
      <c r="G83" s="64">
        <v>121.28</v>
      </c>
      <c r="H83" s="64">
        <v>23.51</v>
      </c>
      <c r="I83" s="64">
        <v>3.97</v>
      </c>
      <c r="J83" s="64">
        <v>0.46</v>
      </c>
      <c r="K83" s="64">
        <v>341.55</v>
      </c>
      <c r="L83" s="64">
        <v>27.76</v>
      </c>
      <c r="M83" s="64">
        <v>93.07</v>
      </c>
      <c r="N83" s="64">
        <v>41.1</v>
      </c>
      <c r="O83" s="64">
        <v>0</v>
      </c>
      <c r="P83" s="64">
        <v>1.59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3" t="s">
        <v>1663</v>
      </c>
      <c r="B84" s="64">
        <v>57.9</v>
      </c>
      <c r="C84" s="64">
        <v>16.3</v>
      </c>
      <c r="D84" s="64">
        <v>54.95</v>
      </c>
      <c r="E84" s="64">
        <v>6.75</v>
      </c>
      <c r="F84" s="64">
        <v>3.98</v>
      </c>
      <c r="G84" s="64">
        <v>121.28</v>
      </c>
      <c r="H84" s="64">
        <v>23.51</v>
      </c>
      <c r="I84" s="64">
        <v>4.01</v>
      </c>
      <c r="J84" s="64">
        <v>0.53</v>
      </c>
      <c r="K84" s="64">
        <v>312.94</v>
      </c>
      <c r="L84" s="64">
        <v>27.08</v>
      </c>
      <c r="M84" s="64">
        <v>97.19</v>
      </c>
      <c r="N84" s="64">
        <v>44.1</v>
      </c>
      <c r="O84" s="64">
        <v>3.6</v>
      </c>
      <c r="P84" s="64">
        <v>1.5</v>
      </c>
      <c r="Q84" s="64">
        <v>9.69</v>
      </c>
      <c r="R84" s="198"/>
      <c r="S84" s="198"/>
      <c r="T84" s="198"/>
      <c r="U84" s="198"/>
    </row>
    <row r="85" spans="1:26" s="12" customFormat="1" x14ac:dyDescent="0.25">
      <c r="A85" s="213" t="s">
        <v>1664</v>
      </c>
      <c r="B85" s="64">
        <v>31.28</v>
      </c>
      <c r="C85" s="64">
        <v>18.47</v>
      </c>
      <c r="D85" s="64">
        <v>34.74</v>
      </c>
      <c r="E85" s="64">
        <v>6.6</v>
      </c>
      <c r="F85" s="64">
        <v>7.58</v>
      </c>
      <c r="G85" s="64">
        <v>119.17</v>
      </c>
      <c r="H85" s="64">
        <v>24.19</v>
      </c>
      <c r="I85" s="64">
        <v>4.04</v>
      </c>
      <c r="J85" s="64">
        <v>0.32</v>
      </c>
      <c r="K85" s="64">
        <v>349.24</v>
      </c>
      <c r="L85" s="64">
        <v>24.8</v>
      </c>
      <c r="M85" s="64">
        <v>98.76</v>
      </c>
      <c r="N85" s="64">
        <v>41.9</v>
      </c>
      <c r="O85" s="64">
        <v>0.4</v>
      </c>
      <c r="P85" s="64">
        <v>0.72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3" t="s">
        <v>1665</v>
      </c>
      <c r="B86" s="64">
        <v>28.19</v>
      </c>
      <c r="C86" s="64">
        <v>19.16</v>
      </c>
      <c r="D86" s="64">
        <v>32.61</v>
      </c>
      <c r="E86" s="64">
        <v>5.86</v>
      </c>
      <c r="F86" s="64">
        <v>6.67</v>
      </c>
      <c r="G86" s="64">
        <v>117.89</v>
      </c>
      <c r="H86" s="64">
        <v>24.61</v>
      </c>
      <c r="I86" s="64">
        <v>3.93</v>
      </c>
      <c r="J86" s="64">
        <v>0.04</v>
      </c>
      <c r="K86" s="64">
        <v>179.48</v>
      </c>
      <c r="L86" s="64">
        <v>24.32</v>
      </c>
      <c r="M86" s="64">
        <v>98.75</v>
      </c>
      <c r="N86" s="64">
        <v>40</v>
      </c>
      <c r="O86" s="64">
        <v>0.2</v>
      </c>
      <c r="P86" s="64">
        <v>0.62</v>
      </c>
      <c r="Q86" s="64">
        <v>9.7100000000000009</v>
      </c>
      <c r="R86" s="198"/>
      <c r="S86" s="198"/>
      <c r="T86" s="198"/>
      <c r="U86" s="198"/>
    </row>
    <row r="87" spans="1:26" s="12" customFormat="1" x14ac:dyDescent="0.25">
      <c r="A87" s="213" t="s">
        <v>1666</v>
      </c>
      <c r="B87" s="64">
        <v>48.8</v>
      </c>
      <c r="C87" s="64">
        <v>11.31</v>
      </c>
      <c r="D87" s="64">
        <v>44.9</v>
      </c>
      <c r="E87" s="64">
        <v>5.87</v>
      </c>
      <c r="F87" s="64">
        <v>4.08</v>
      </c>
      <c r="G87" s="64">
        <v>117.89</v>
      </c>
      <c r="H87" s="64">
        <v>24.61</v>
      </c>
      <c r="I87" s="64">
        <v>3.8</v>
      </c>
      <c r="J87" s="64">
        <v>0.13</v>
      </c>
      <c r="K87" s="64">
        <v>307.17</v>
      </c>
      <c r="L87" s="64">
        <v>24.37</v>
      </c>
      <c r="M87" s="64">
        <v>98.76</v>
      </c>
      <c r="N87" s="64">
        <v>39.6</v>
      </c>
      <c r="O87" s="64">
        <v>0</v>
      </c>
      <c r="P87" s="64">
        <v>1.05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3" t="s">
        <v>1667</v>
      </c>
      <c r="B88" s="64">
        <v>39.42</v>
      </c>
      <c r="C88" s="64">
        <v>15.74</v>
      </c>
      <c r="D88" s="64">
        <v>39.74</v>
      </c>
      <c r="E88" s="64">
        <v>6.28</v>
      </c>
      <c r="F88" s="64">
        <v>5.94</v>
      </c>
      <c r="G88" s="64">
        <v>117.89</v>
      </c>
      <c r="H88" s="64">
        <v>24.61</v>
      </c>
      <c r="I88" s="64">
        <v>3.71</v>
      </c>
      <c r="J88" s="64">
        <v>0.08</v>
      </c>
      <c r="K88" s="64">
        <v>298.37</v>
      </c>
      <c r="L88" s="64">
        <v>24.48</v>
      </c>
      <c r="M88" s="64">
        <v>98.8</v>
      </c>
      <c r="N88" s="64">
        <v>40.4</v>
      </c>
      <c r="O88" s="64">
        <v>2.2000000000000002</v>
      </c>
      <c r="P88" s="64">
        <v>0.86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3" t="s">
        <v>1668</v>
      </c>
      <c r="B89" s="64">
        <v>32.29</v>
      </c>
      <c r="C89" s="64">
        <v>18.27</v>
      </c>
      <c r="D89" s="64">
        <v>35.44</v>
      </c>
      <c r="E89" s="64">
        <v>5.89</v>
      </c>
      <c r="F89" s="64">
        <v>6.97</v>
      </c>
      <c r="G89" s="64">
        <v>94.98</v>
      </c>
      <c r="H89" s="64">
        <v>23.11</v>
      </c>
      <c r="I89" s="64">
        <v>3.66</v>
      </c>
      <c r="J89" s="64">
        <v>0.1</v>
      </c>
      <c r="K89" s="64">
        <v>323.01</v>
      </c>
      <c r="L89" s="64">
        <v>24.37</v>
      </c>
      <c r="M89" s="64">
        <v>98.8</v>
      </c>
      <c r="N89" s="64">
        <v>40.299999999999997</v>
      </c>
      <c r="O89" s="64">
        <v>1.2</v>
      </c>
      <c r="P89" s="64">
        <v>0.79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3" t="s">
        <v>1669</v>
      </c>
      <c r="B90" s="64">
        <v>23.32</v>
      </c>
      <c r="C90" s="64">
        <v>20.87</v>
      </c>
      <c r="D90" s="64">
        <v>29.61</v>
      </c>
      <c r="E90" s="64">
        <v>5.65</v>
      </c>
      <c r="F90" s="64">
        <v>6.75</v>
      </c>
      <c r="G90" s="64">
        <v>81.069999999999993</v>
      </c>
      <c r="H90" s="64">
        <v>22.19</v>
      </c>
      <c r="I90" s="64">
        <v>3.61</v>
      </c>
      <c r="J90" s="64">
        <v>7.0000000000000007E-2</v>
      </c>
      <c r="K90" s="64">
        <v>107.92</v>
      </c>
      <c r="L90" s="64">
        <v>24.3</v>
      </c>
      <c r="M90" s="64">
        <v>98.82</v>
      </c>
      <c r="N90" s="64">
        <v>40.4</v>
      </c>
      <c r="O90" s="64">
        <v>0.2</v>
      </c>
      <c r="P90" s="64">
        <v>0.7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3" t="s">
        <v>1670</v>
      </c>
      <c r="B91" s="64">
        <v>40.6</v>
      </c>
      <c r="C91" s="64">
        <v>25.23</v>
      </c>
      <c r="D91" s="64">
        <v>45.74</v>
      </c>
      <c r="E91" s="64">
        <v>5.64</v>
      </c>
      <c r="F91" s="64">
        <v>5.39</v>
      </c>
      <c r="G91" s="64">
        <v>81.069999999999993</v>
      </c>
      <c r="H91" s="64">
        <v>22.19</v>
      </c>
      <c r="I91" s="64">
        <v>3.56</v>
      </c>
      <c r="J91" s="64">
        <v>0.18</v>
      </c>
      <c r="K91" s="64">
        <v>256.52</v>
      </c>
      <c r="L91" s="64">
        <v>24.43</v>
      </c>
      <c r="M91" s="64">
        <v>98.83</v>
      </c>
      <c r="N91" s="64">
        <v>40.4</v>
      </c>
      <c r="O91" s="64">
        <v>0</v>
      </c>
      <c r="P91" s="64">
        <v>0.68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3" t="s">
        <v>1671</v>
      </c>
      <c r="B92" s="64">
        <v>43.59</v>
      </c>
      <c r="C92" s="64">
        <v>8.86</v>
      </c>
      <c r="D92" s="64">
        <v>39.590000000000003</v>
      </c>
      <c r="E92" s="64">
        <v>5.8</v>
      </c>
      <c r="F92" s="64">
        <v>4.34</v>
      </c>
      <c r="G92" s="64">
        <v>81.069999999999993</v>
      </c>
      <c r="H92" s="64">
        <v>22.19</v>
      </c>
      <c r="I92" s="64">
        <v>3.49</v>
      </c>
      <c r="J92" s="64">
        <v>0.53</v>
      </c>
      <c r="K92" s="64">
        <v>315.88</v>
      </c>
      <c r="L92" s="64">
        <v>24.61</v>
      </c>
      <c r="M92" s="64">
        <v>98.84</v>
      </c>
      <c r="N92" s="64">
        <v>41.2</v>
      </c>
      <c r="O92" s="64">
        <v>0</v>
      </c>
      <c r="P92" s="64">
        <v>0.93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13" t="s">
        <v>1672</v>
      </c>
      <c r="B93" s="64">
        <v>37.71</v>
      </c>
      <c r="C93" s="64">
        <v>14.23</v>
      </c>
      <c r="D93" s="64">
        <v>37.68</v>
      </c>
      <c r="E93" s="64">
        <v>6.07</v>
      </c>
      <c r="F93" s="64">
        <v>7.01</v>
      </c>
      <c r="G93" s="64">
        <v>61.28</v>
      </c>
      <c r="H93" s="64">
        <v>18.38</v>
      </c>
      <c r="I93" s="64">
        <v>3.4</v>
      </c>
      <c r="J93" s="64">
        <v>0.63</v>
      </c>
      <c r="K93" s="64">
        <v>328.43</v>
      </c>
      <c r="L93" s="64">
        <v>24.37</v>
      </c>
      <c r="M93" s="64">
        <v>98.85</v>
      </c>
      <c r="N93" s="64">
        <v>41.3</v>
      </c>
      <c r="O93" s="64">
        <v>0</v>
      </c>
      <c r="P93" s="64">
        <v>0.8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3" t="s">
        <v>1673</v>
      </c>
      <c r="B94" s="64">
        <v>36.82</v>
      </c>
      <c r="C94" s="64">
        <v>20.440000000000001</v>
      </c>
      <c r="D94" s="64">
        <v>40.200000000000003</v>
      </c>
      <c r="E94" s="64">
        <v>5.85</v>
      </c>
      <c r="F94" s="64">
        <v>7.3</v>
      </c>
      <c r="G94" s="64">
        <v>49.26</v>
      </c>
      <c r="H94" s="64">
        <v>16.07</v>
      </c>
      <c r="I94" s="64">
        <v>3.31</v>
      </c>
      <c r="J94" s="64">
        <v>0.11</v>
      </c>
      <c r="K94" s="64">
        <v>318.60000000000002</v>
      </c>
      <c r="L94" s="64">
        <v>24.32</v>
      </c>
      <c r="M94" s="64">
        <v>98.84</v>
      </c>
      <c r="N94" s="64">
        <v>40.1</v>
      </c>
      <c r="O94" s="64">
        <v>0</v>
      </c>
      <c r="P94" s="64">
        <v>0.82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3" t="s">
        <v>1674</v>
      </c>
      <c r="B95" s="64">
        <v>45.63</v>
      </c>
      <c r="C95" s="64">
        <v>21.29</v>
      </c>
      <c r="D95" s="64">
        <v>47.72</v>
      </c>
      <c r="E95" s="64">
        <v>5.93</v>
      </c>
      <c r="F95" s="64">
        <v>4.99</v>
      </c>
      <c r="G95" s="64">
        <v>49.26</v>
      </c>
      <c r="H95" s="64">
        <v>16.07</v>
      </c>
      <c r="I95" s="64">
        <v>3.25</v>
      </c>
      <c r="J95" s="64">
        <v>0.05</v>
      </c>
      <c r="K95" s="64">
        <v>303.54000000000002</v>
      </c>
      <c r="L95" s="64">
        <v>24.24</v>
      </c>
      <c r="M95" s="64">
        <v>98.85</v>
      </c>
      <c r="N95" s="64">
        <v>40.299999999999997</v>
      </c>
      <c r="O95" s="64">
        <v>0</v>
      </c>
      <c r="P95" s="64">
        <v>1.03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3" t="s">
        <v>1675</v>
      </c>
      <c r="B96" s="64">
        <v>31.77</v>
      </c>
      <c r="C96" s="64">
        <v>16.809999999999999</v>
      </c>
      <c r="D96" s="64">
        <v>34.26</v>
      </c>
      <c r="E96" s="64">
        <v>5.74</v>
      </c>
      <c r="F96" s="64">
        <v>3.28</v>
      </c>
      <c r="G96" s="64">
        <v>49.26</v>
      </c>
      <c r="H96" s="64">
        <v>16.07</v>
      </c>
      <c r="I96" s="64">
        <v>3.22</v>
      </c>
      <c r="J96" s="64">
        <v>0.04</v>
      </c>
      <c r="K96" s="64">
        <v>254.72</v>
      </c>
      <c r="L96" s="64">
        <v>23.98</v>
      </c>
      <c r="M96" s="64">
        <v>98.87</v>
      </c>
      <c r="N96" s="64">
        <v>40.5</v>
      </c>
      <c r="O96" s="64">
        <v>0</v>
      </c>
      <c r="P96" s="64">
        <v>0.8</v>
      </c>
      <c r="Q96" s="64">
        <v>9.65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1676</v>
      </c>
      <c r="B97" s="64">
        <v>37.33</v>
      </c>
      <c r="C97" s="64">
        <v>17.420000000000002</v>
      </c>
      <c r="D97" s="64">
        <v>39.04</v>
      </c>
      <c r="E97" s="64">
        <v>5.72</v>
      </c>
      <c r="F97" s="64">
        <v>3.86</v>
      </c>
      <c r="G97" s="64">
        <v>43.03</v>
      </c>
      <c r="H97" s="64">
        <v>15.11</v>
      </c>
      <c r="I97" s="64">
        <v>3.21</v>
      </c>
      <c r="J97" s="64">
        <v>0.17</v>
      </c>
      <c r="K97" s="64">
        <v>164.15</v>
      </c>
      <c r="L97" s="64">
        <v>24.06</v>
      </c>
      <c r="M97" s="64">
        <v>98.89</v>
      </c>
      <c r="N97" s="64">
        <v>40.4</v>
      </c>
      <c r="O97" s="64">
        <v>0</v>
      </c>
      <c r="P97" s="64">
        <v>0.93</v>
      </c>
      <c r="Q97" s="64">
        <v>9.64</v>
      </c>
      <c r="R97" s="198"/>
      <c r="S97" s="198"/>
      <c r="T97" s="198"/>
      <c r="U97" s="198"/>
    </row>
    <row r="98" spans="1:33" s="12" customFormat="1" x14ac:dyDescent="0.25">
      <c r="A98" s="213" t="s">
        <v>1677</v>
      </c>
      <c r="B98" s="64">
        <v>25.55</v>
      </c>
      <c r="C98" s="64">
        <v>19.07</v>
      </c>
      <c r="D98" s="64">
        <v>30.45</v>
      </c>
      <c r="E98" s="64">
        <v>5.64</v>
      </c>
      <c r="F98" s="64">
        <v>5.77</v>
      </c>
      <c r="G98" s="64">
        <v>39.25</v>
      </c>
      <c r="H98" s="64">
        <v>14.53</v>
      </c>
      <c r="I98" s="64">
        <v>3.18</v>
      </c>
      <c r="J98" s="64">
        <v>0.02</v>
      </c>
      <c r="K98" s="64">
        <v>344.61</v>
      </c>
      <c r="L98" s="64">
        <v>23.97</v>
      </c>
      <c r="M98" s="64">
        <v>98.91</v>
      </c>
      <c r="N98" s="64">
        <v>41.1</v>
      </c>
      <c r="O98" s="64">
        <v>0</v>
      </c>
      <c r="P98" s="64">
        <v>0.87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3" t="s">
        <v>1678</v>
      </c>
      <c r="B99" s="64">
        <v>48.28</v>
      </c>
      <c r="C99" s="64">
        <v>8.92</v>
      </c>
      <c r="D99" s="64">
        <v>43.23</v>
      </c>
      <c r="E99" s="64">
        <v>5.59</v>
      </c>
      <c r="F99" s="64">
        <v>4.68</v>
      </c>
      <c r="G99" s="64">
        <v>39.25</v>
      </c>
      <c r="H99" s="64">
        <v>14.53</v>
      </c>
      <c r="I99" s="64">
        <v>3.18</v>
      </c>
      <c r="J99" s="64">
        <v>0.08</v>
      </c>
      <c r="K99" s="64">
        <v>304.61</v>
      </c>
      <c r="L99" s="64">
        <v>24.04</v>
      </c>
      <c r="M99" s="64">
        <v>98.93</v>
      </c>
      <c r="N99" s="64">
        <v>40.4</v>
      </c>
      <c r="O99" s="64">
        <v>0</v>
      </c>
      <c r="P99" s="64">
        <v>0.92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3" t="s">
        <v>1679</v>
      </c>
      <c r="B100" s="64">
        <v>41.14</v>
      </c>
      <c r="C100" s="64">
        <v>15.78</v>
      </c>
      <c r="D100" s="64">
        <v>41.24</v>
      </c>
      <c r="E100" s="64">
        <v>5.94</v>
      </c>
      <c r="F100" s="64">
        <v>4.3099999999999996</v>
      </c>
      <c r="G100" s="64">
        <v>39.25</v>
      </c>
      <c r="H100" s="64">
        <v>14.53</v>
      </c>
      <c r="I100" s="64">
        <v>3.19</v>
      </c>
      <c r="J100" s="64">
        <v>0.19</v>
      </c>
      <c r="K100" s="64">
        <v>206.93</v>
      </c>
      <c r="L100" s="64">
        <v>24.05</v>
      </c>
      <c r="M100" s="64">
        <v>98.93</v>
      </c>
      <c r="N100" s="64">
        <v>40.6</v>
      </c>
      <c r="O100" s="64">
        <v>0</v>
      </c>
      <c r="P100" s="64">
        <v>0.8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1680</v>
      </c>
      <c r="B101" s="64">
        <v>23.56</v>
      </c>
      <c r="C101" s="64">
        <v>16.46</v>
      </c>
      <c r="D101" s="64">
        <v>27.49</v>
      </c>
      <c r="E101" s="64">
        <v>5.56</v>
      </c>
      <c r="F101" s="64">
        <v>7.25</v>
      </c>
      <c r="G101" s="64">
        <v>38.049999999999997</v>
      </c>
      <c r="H101" s="64">
        <v>14.05</v>
      </c>
      <c r="I101" s="64">
        <v>3.22</v>
      </c>
      <c r="J101" s="64">
        <v>0.13</v>
      </c>
      <c r="K101" s="64">
        <v>201.42</v>
      </c>
      <c r="L101" s="64">
        <v>24.31</v>
      </c>
      <c r="M101" s="64">
        <v>98.91</v>
      </c>
      <c r="N101" s="64">
        <v>41.1</v>
      </c>
      <c r="O101" s="64">
        <v>0</v>
      </c>
      <c r="P101" s="64">
        <v>0.51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3" t="s">
        <v>1681</v>
      </c>
      <c r="B102" s="64">
        <v>34.99</v>
      </c>
      <c r="C102" s="64">
        <v>8.64</v>
      </c>
      <c r="D102" s="64">
        <v>32.58</v>
      </c>
      <c r="E102" s="64">
        <v>5.63</v>
      </c>
      <c r="F102" s="64">
        <v>4.55</v>
      </c>
      <c r="G102" s="64">
        <v>37.33</v>
      </c>
      <c r="H102" s="64">
        <v>13.76</v>
      </c>
      <c r="I102" s="64">
        <v>3.26</v>
      </c>
      <c r="J102" s="64">
        <v>0.12</v>
      </c>
      <c r="K102" s="64">
        <v>326.27999999999997</v>
      </c>
      <c r="L102" s="64">
        <v>24.41</v>
      </c>
      <c r="M102" s="64">
        <v>98.91</v>
      </c>
      <c r="N102" s="64">
        <v>40.700000000000003</v>
      </c>
      <c r="O102" s="64">
        <v>0</v>
      </c>
      <c r="P102" s="64">
        <v>0.72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3" t="s">
        <v>1682</v>
      </c>
      <c r="B103" s="64">
        <v>30.38</v>
      </c>
      <c r="C103" s="64">
        <v>17.47</v>
      </c>
      <c r="D103" s="64">
        <v>33.49</v>
      </c>
      <c r="E103" s="64">
        <v>5.58</v>
      </c>
      <c r="F103" s="64">
        <v>3.23</v>
      </c>
      <c r="G103" s="64">
        <v>37.33</v>
      </c>
      <c r="H103" s="64">
        <v>13.76</v>
      </c>
      <c r="I103" s="64">
        <v>3.24</v>
      </c>
      <c r="J103" s="64">
        <v>0.06</v>
      </c>
      <c r="K103" s="64">
        <v>287.02999999999997</v>
      </c>
      <c r="L103" s="64">
        <v>24.44</v>
      </c>
      <c r="M103" s="64">
        <v>98.93</v>
      </c>
      <c r="N103" s="64">
        <v>40.4</v>
      </c>
      <c r="O103" s="64">
        <v>0</v>
      </c>
      <c r="P103" s="64">
        <v>0.57999999999999996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3" t="s">
        <v>1683</v>
      </c>
      <c r="B104" s="64">
        <v>20.6</v>
      </c>
      <c r="C104" s="64">
        <v>17.8</v>
      </c>
      <c r="D104" s="64">
        <v>25.82</v>
      </c>
      <c r="E104" s="64">
        <v>5.1100000000000003</v>
      </c>
      <c r="F104" s="64">
        <v>3.93</v>
      </c>
      <c r="G104" s="64">
        <v>37.33</v>
      </c>
      <c r="H104" s="64">
        <v>13.76</v>
      </c>
      <c r="I104" s="64">
        <v>3.18</v>
      </c>
      <c r="J104" s="64">
        <v>0.17</v>
      </c>
      <c r="K104" s="64">
        <v>205.47</v>
      </c>
      <c r="L104" s="64">
        <v>24.4</v>
      </c>
      <c r="M104" s="64">
        <v>98.92</v>
      </c>
      <c r="N104" s="64">
        <v>40.799999999999997</v>
      </c>
      <c r="O104" s="64">
        <v>0</v>
      </c>
      <c r="P104" s="64">
        <v>0.41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4.26</v>
      </c>
      <c r="C106" s="67">
        <f>MIN(C9:C104)</f>
        <v>8.64</v>
      </c>
      <c r="D106" s="67">
        <f t="shared" ref="D106:Q106" si="0">MIN(D9:D104)</f>
        <v>9.3800000000000008</v>
      </c>
      <c r="E106" s="67">
        <f t="shared" si="0"/>
        <v>3.9</v>
      </c>
      <c r="F106" s="67">
        <f t="shared" si="0"/>
        <v>3.05</v>
      </c>
      <c r="G106" s="67">
        <f t="shared" si="0"/>
        <v>23.16</v>
      </c>
      <c r="H106" s="67">
        <f t="shared" si="0"/>
        <v>4.9000000000000004</v>
      </c>
      <c r="I106" s="67">
        <f t="shared" si="0"/>
        <v>1.26</v>
      </c>
      <c r="J106" s="67">
        <f t="shared" si="0"/>
        <v>0.01</v>
      </c>
      <c r="K106" s="67">
        <f t="shared" si="0"/>
        <v>101.38</v>
      </c>
      <c r="L106" s="67">
        <f t="shared" si="0"/>
        <v>23.97</v>
      </c>
      <c r="M106" s="67">
        <f t="shared" si="0"/>
        <v>69.59</v>
      </c>
      <c r="N106" s="67">
        <f t="shared" si="0"/>
        <v>39.6</v>
      </c>
      <c r="O106" s="67">
        <f t="shared" si="0"/>
        <v>0</v>
      </c>
      <c r="P106" s="67">
        <f t="shared" si="0"/>
        <v>0.11</v>
      </c>
      <c r="Q106" s="67">
        <f t="shared" si="0"/>
        <v>9.01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64.53</v>
      </c>
      <c r="C107" s="66">
        <f t="shared" ref="C107:Q107" si="1">MAX(C9:C104)</f>
        <v>44.07</v>
      </c>
      <c r="D107" s="66">
        <f t="shared" si="1"/>
        <v>74.53</v>
      </c>
      <c r="E107" s="66">
        <f t="shared" si="1"/>
        <v>6.75</v>
      </c>
      <c r="F107" s="66">
        <f t="shared" si="1"/>
        <v>14.36</v>
      </c>
      <c r="G107" s="66">
        <f t="shared" si="1"/>
        <v>121.28</v>
      </c>
      <c r="H107" s="66">
        <f t="shared" si="1"/>
        <v>24.61</v>
      </c>
      <c r="I107" s="66">
        <f t="shared" si="1"/>
        <v>4.04</v>
      </c>
      <c r="J107" s="66">
        <f t="shared" si="1"/>
        <v>0.63</v>
      </c>
      <c r="K107" s="66">
        <f t="shared" si="1"/>
        <v>351.31</v>
      </c>
      <c r="L107" s="66">
        <f t="shared" si="1"/>
        <v>31.87</v>
      </c>
      <c r="M107" s="66">
        <f t="shared" si="1"/>
        <v>98.93</v>
      </c>
      <c r="N107" s="66">
        <f t="shared" si="1"/>
        <v>1015.1</v>
      </c>
      <c r="O107" s="66">
        <f t="shared" si="1"/>
        <v>3.6</v>
      </c>
      <c r="P107" s="66">
        <f t="shared" si="1"/>
        <v>1.85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18.098749999999999</v>
      </c>
      <c r="C108" s="67">
        <f t="shared" ref="C108:Q108" si="2">AVERAGE(C9:C104)</f>
        <v>17.939166666666669</v>
      </c>
      <c r="D108" s="67">
        <f t="shared" si="2"/>
        <v>23.876354166666658</v>
      </c>
      <c r="E108" s="67">
        <f t="shared" si="2"/>
        <v>4.9140624999999991</v>
      </c>
      <c r="F108" s="67">
        <f t="shared" si="2"/>
        <v>6.4819791666666653</v>
      </c>
      <c r="G108" s="67">
        <f t="shared" si="2"/>
        <v>47.422395833333354</v>
      </c>
      <c r="H108" s="67">
        <f t="shared" si="2"/>
        <v>11.590937500000003</v>
      </c>
      <c r="I108" s="67">
        <f t="shared" si="2"/>
        <v>2.301354166666667</v>
      </c>
      <c r="J108" s="67">
        <f t="shared" si="2"/>
        <v>0.17343749999999999</v>
      </c>
      <c r="K108" s="67">
        <f t="shared" si="2"/>
        <v>272.29624999999993</v>
      </c>
      <c r="L108" s="67">
        <f t="shared" si="2"/>
        <v>26.778437500000006</v>
      </c>
      <c r="M108" s="67">
        <f t="shared" si="2"/>
        <v>92.313750000000041</v>
      </c>
      <c r="N108" s="67">
        <f t="shared" si="2"/>
        <v>162.25833333333333</v>
      </c>
      <c r="O108" s="67">
        <f t="shared" si="2"/>
        <v>8.1250000000000003E-2</v>
      </c>
      <c r="P108" s="67">
        <f t="shared" si="2"/>
        <v>0.59552083333333317</v>
      </c>
      <c r="Q108" s="67">
        <f t="shared" si="2"/>
        <v>9.3220833333333264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15.677565818710509</v>
      </c>
      <c r="C109" s="67">
        <f t="shared" ref="C109:Q109" si="3">STDEV(C9:C104)</f>
        <v>7.8071692648375759</v>
      </c>
      <c r="D109" s="67">
        <f t="shared" si="3"/>
        <v>15.069875431314992</v>
      </c>
      <c r="E109" s="67">
        <f t="shared" si="3"/>
        <v>0.76955705390213414</v>
      </c>
      <c r="F109" s="67">
        <f t="shared" si="3"/>
        <v>2.1988559799618659</v>
      </c>
      <c r="G109" s="67">
        <f t="shared" si="3"/>
        <v>26.814740280390946</v>
      </c>
      <c r="H109" s="67">
        <f t="shared" si="3"/>
        <v>5.3365887148853819</v>
      </c>
      <c r="I109" s="67">
        <f t="shared" si="3"/>
        <v>0.81502033528607298</v>
      </c>
      <c r="J109" s="67">
        <f t="shared" si="3"/>
        <v>0.13128376758601562</v>
      </c>
      <c r="K109" s="67">
        <f t="shared" si="3"/>
        <v>57.874562255932723</v>
      </c>
      <c r="L109" s="67">
        <f t="shared" si="3"/>
        <v>2.1670495722719885</v>
      </c>
      <c r="M109" s="67">
        <f t="shared" si="3"/>
        <v>8.9628356943665146</v>
      </c>
      <c r="N109" s="67">
        <f t="shared" si="3"/>
        <v>198.23683531874948</v>
      </c>
      <c r="O109" s="67">
        <f t="shared" si="3"/>
        <v>0.44540047030438623</v>
      </c>
      <c r="P109" s="67">
        <f t="shared" si="3"/>
        <v>0.3957800287285238</v>
      </c>
      <c r="Q109" s="67">
        <f t="shared" si="3"/>
        <v>0.2302854826270469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57" sqref="A5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1684</v>
      </c>
      <c r="B9" s="64">
        <v>33.1</v>
      </c>
      <c r="C9" s="64">
        <v>9.1199999999999992</v>
      </c>
      <c r="D9" s="64">
        <v>31.3</v>
      </c>
      <c r="E9" s="64">
        <v>4.97</v>
      </c>
      <c r="F9" s="64">
        <v>4.47</v>
      </c>
      <c r="G9" s="64">
        <v>36.93</v>
      </c>
      <c r="H9" s="64">
        <v>11.32</v>
      </c>
      <c r="I9" s="64">
        <v>3.15</v>
      </c>
      <c r="J9" s="64">
        <v>0.31</v>
      </c>
      <c r="K9" s="64">
        <v>153.16</v>
      </c>
      <c r="L9" s="64">
        <v>24.63</v>
      </c>
      <c r="M9" s="64">
        <v>98.9</v>
      </c>
      <c r="N9" s="64">
        <v>41</v>
      </c>
      <c r="O9" s="64">
        <v>0</v>
      </c>
      <c r="P9" s="64">
        <v>0.71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3" t="s">
        <v>1685</v>
      </c>
      <c r="B10" s="64">
        <v>16.079999999999998</v>
      </c>
      <c r="C10" s="64">
        <v>16.22</v>
      </c>
      <c r="D10" s="64">
        <v>21.37</v>
      </c>
      <c r="E10" s="64">
        <v>5.2</v>
      </c>
      <c r="F10" s="64">
        <v>5.16</v>
      </c>
      <c r="G10" s="64">
        <v>36.69</v>
      </c>
      <c r="H10" s="64">
        <v>9.84</v>
      </c>
      <c r="I10" s="64">
        <v>3.1</v>
      </c>
      <c r="J10" s="64">
        <v>0.24</v>
      </c>
      <c r="K10" s="64">
        <v>145.02000000000001</v>
      </c>
      <c r="L10" s="64">
        <v>24.77</v>
      </c>
      <c r="M10" s="64">
        <v>98.9</v>
      </c>
      <c r="N10" s="64">
        <v>41.1</v>
      </c>
      <c r="O10" s="64">
        <v>0</v>
      </c>
      <c r="P10" s="64">
        <v>0.3</v>
      </c>
      <c r="Q10" s="64">
        <v>9.64</v>
      </c>
      <c r="R10" s="198"/>
      <c r="S10" s="198"/>
      <c r="T10" s="198"/>
      <c r="U10" s="198"/>
    </row>
    <row r="11" spans="1:21" s="12" customFormat="1" x14ac:dyDescent="0.25">
      <c r="A11" s="213" t="s">
        <v>1686</v>
      </c>
      <c r="B11" s="64">
        <v>11.51</v>
      </c>
      <c r="C11" s="64">
        <v>15.95</v>
      </c>
      <c r="D11" s="64">
        <v>17.559999999999999</v>
      </c>
      <c r="E11" s="64">
        <v>5.18</v>
      </c>
      <c r="F11" s="64">
        <v>8.5500000000000007</v>
      </c>
      <c r="G11" s="64">
        <v>36.69</v>
      </c>
      <c r="H11" s="64">
        <v>9.84</v>
      </c>
      <c r="I11" s="64">
        <v>3.05</v>
      </c>
      <c r="J11" s="64">
        <v>0.04</v>
      </c>
      <c r="K11" s="64">
        <v>133.4</v>
      </c>
      <c r="L11" s="64">
        <v>24.84</v>
      </c>
      <c r="M11" s="64">
        <v>98.88</v>
      </c>
      <c r="N11" s="64">
        <v>41.1</v>
      </c>
      <c r="O11" s="64">
        <v>0</v>
      </c>
      <c r="P11" s="64">
        <v>0.16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3" t="s">
        <v>1687</v>
      </c>
      <c r="B12" s="64">
        <v>11.09</v>
      </c>
      <c r="C12" s="64">
        <v>17.559999999999999</v>
      </c>
      <c r="D12" s="64">
        <v>18.07</v>
      </c>
      <c r="E12" s="64">
        <v>4.87</v>
      </c>
      <c r="F12" s="64">
        <v>6.38</v>
      </c>
      <c r="G12" s="64">
        <v>36.69</v>
      </c>
      <c r="H12" s="64">
        <v>9.84</v>
      </c>
      <c r="I12" s="64">
        <v>3.01</v>
      </c>
      <c r="J12" s="64">
        <v>0.03</v>
      </c>
      <c r="K12" s="64">
        <v>167.22</v>
      </c>
      <c r="L12" s="64">
        <v>24.85</v>
      </c>
      <c r="M12" s="64">
        <v>98.88</v>
      </c>
      <c r="N12" s="64">
        <v>40.9</v>
      </c>
      <c r="O12" s="64">
        <v>0</v>
      </c>
      <c r="P12" s="64">
        <v>0.16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3" t="s">
        <v>1688</v>
      </c>
      <c r="B13" s="64">
        <v>10.11</v>
      </c>
      <c r="C13" s="64">
        <v>13.43</v>
      </c>
      <c r="D13" s="64">
        <v>15.12</v>
      </c>
      <c r="E13" s="64">
        <v>4.92</v>
      </c>
      <c r="F13" s="64">
        <v>6.27</v>
      </c>
      <c r="G13" s="64">
        <v>35.58</v>
      </c>
      <c r="H13" s="64">
        <v>8.7899999999999991</v>
      </c>
      <c r="I13" s="64">
        <v>2.97</v>
      </c>
      <c r="J13" s="64">
        <v>0.01</v>
      </c>
      <c r="K13" s="64">
        <v>277.02999999999997</v>
      </c>
      <c r="L13" s="64">
        <v>24.9</v>
      </c>
      <c r="M13" s="64">
        <v>98.9</v>
      </c>
      <c r="N13" s="64">
        <v>40.799999999999997</v>
      </c>
      <c r="O13" s="64">
        <v>0</v>
      </c>
      <c r="P13" s="64">
        <v>0.25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3" t="s">
        <v>1689</v>
      </c>
      <c r="B14" s="64">
        <v>17.29</v>
      </c>
      <c r="C14" s="64">
        <v>11.45</v>
      </c>
      <c r="D14" s="64">
        <v>19.850000000000001</v>
      </c>
      <c r="E14" s="64">
        <v>5.1100000000000003</v>
      </c>
      <c r="F14" s="64">
        <v>5.9</v>
      </c>
      <c r="G14" s="64">
        <v>34.909999999999997</v>
      </c>
      <c r="H14" s="64">
        <v>8.15</v>
      </c>
      <c r="I14" s="64">
        <v>2.94</v>
      </c>
      <c r="J14" s="64">
        <v>0.23</v>
      </c>
      <c r="K14" s="64">
        <v>304.35000000000002</v>
      </c>
      <c r="L14" s="64">
        <v>24.97</v>
      </c>
      <c r="M14" s="64">
        <v>98.9</v>
      </c>
      <c r="N14" s="64">
        <v>41</v>
      </c>
      <c r="O14" s="64">
        <v>0</v>
      </c>
      <c r="P14" s="64">
        <v>0.41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3" t="s">
        <v>1690</v>
      </c>
      <c r="B15" s="64">
        <v>31.99</v>
      </c>
      <c r="C15" s="64">
        <v>8.25</v>
      </c>
      <c r="D15" s="64">
        <v>29.97</v>
      </c>
      <c r="E15" s="64">
        <v>5.29</v>
      </c>
      <c r="F15" s="64">
        <v>3.83</v>
      </c>
      <c r="G15" s="64">
        <v>34.909999999999997</v>
      </c>
      <c r="H15" s="64">
        <v>8.15</v>
      </c>
      <c r="I15" s="64">
        <v>2.88</v>
      </c>
      <c r="J15" s="64">
        <v>0.53</v>
      </c>
      <c r="K15" s="64">
        <v>293.97000000000003</v>
      </c>
      <c r="L15" s="64">
        <v>24.66</v>
      </c>
      <c r="M15" s="64">
        <v>98.84</v>
      </c>
      <c r="N15" s="64">
        <v>43.1</v>
      </c>
      <c r="O15" s="64">
        <v>0</v>
      </c>
      <c r="P15" s="64">
        <v>0.74</v>
      </c>
      <c r="Q15" s="64">
        <v>9.64</v>
      </c>
      <c r="R15" s="198"/>
      <c r="S15" s="198"/>
      <c r="T15" s="198"/>
      <c r="U15" s="198"/>
    </row>
    <row r="16" spans="1:21" s="12" customFormat="1" x14ac:dyDescent="0.25">
      <c r="A16" s="213" t="s">
        <v>1691</v>
      </c>
      <c r="B16" s="64">
        <v>28.97</v>
      </c>
      <c r="C16" s="64">
        <v>7.51</v>
      </c>
      <c r="D16" s="64">
        <v>27.16</v>
      </c>
      <c r="E16" s="64">
        <v>5.35</v>
      </c>
      <c r="F16" s="64">
        <v>3.92</v>
      </c>
      <c r="G16" s="64">
        <v>34.909999999999997</v>
      </c>
      <c r="H16" s="64">
        <v>8.15</v>
      </c>
      <c r="I16" s="64">
        <v>2.81</v>
      </c>
      <c r="J16" s="64">
        <v>0.69</v>
      </c>
      <c r="K16" s="64">
        <v>296.5</v>
      </c>
      <c r="L16" s="64">
        <v>24.2</v>
      </c>
      <c r="M16" s="64">
        <v>98.83</v>
      </c>
      <c r="N16" s="64">
        <v>42.1</v>
      </c>
      <c r="O16" s="64">
        <v>0</v>
      </c>
      <c r="P16" s="64">
        <v>0.66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3" t="s">
        <v>1692</v>
      </c>
      <c r="B17" s="64">
        <v>22.69</v>
      </c>
      <c r="C17" s="64">
        <v>11.4</v>
      </c>
      <c r="D17" s="64">
        <v>24.15</v>
      </c>
      <c r="E17" s="64">
        <v>5.01</v>
      </c>
      <c r="F17" s="64">
        <v>3.3</v>
      </c>
      <c r="G17" s="64">
        <v>27.98</v>
      </c>
      <c r="H17" s="64">
        <v>8.8000000000000007</v>
      </c>
      <c r="I17" s="64">
        <v>2.66</v>
      </c>
      <c r="J17" s="64">
        <v>0.6</v>
      </c>
      <c r="K17" s="64">
        <v>288.72000000000003</v>
      </c>
      <c r="L17" s="64">
        <v>23.48</v>
      </c>
      <c r="M17" s="64">
        <v>98.83</v>
      </c>
      <c r="N17" s="64">
        <v>42.3</v>
      </c>
      <c r="O17" s="64">
        <v>0</v>
      </c>
      <c r="P17" s="64">
        <v>0.57999999999999996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3" t="s">
        <v>1693</v>
      </c>
      <c r="B18" s="64">
        <v>15.57</v>
      </c>
      <c r="C18" s="64">
        <v>16.190000000000001</v>
      </c>
      <c r="D18" s="64">
        <v>20.94</v>
      </c>
      <c r="E18" s="64">
        <v>5</v>
      </c>
      <c r="F18" s="64">
        <v>4.0199999999999996</v>
      </c>
      <c r="G18" s="64">
        <v>23.77</v>
      </c>
      <c r="H18" s="64">
        <v>9.19</v>
      </c>
      <c r="I18" s="64">
        <v>2.41</v>
      </c>
      <c r="J18" s="64">
        <v>0.63</v>
      </c>
      <c r="K18" s="64">
        <v>299.16000000000003</v>
      </c>
      <c r="L18" s="64">
        <v>22.69</v>
      </c>
      <c r="M18" s="64">
        <v>98.87</v>
      </c>
      <c r="N18" s="64">
        <v>41.4</v>
      </c>
      <c r="O18" s="64">
        <v>0.8</v>
      </c>
      <c r="P18" s="64">
        <v>0.59</v>
      </c>
      <c r="Q18" s="64">
        <v>9.4700000000000006</v>
      </c>
      <c r="R18" s="198"/>
      <c r="S18" s="198"/>
      <c r="T18" s="198"/>
      <c r="U18" s="198"/>
    </row>
    <row r="19" spans="1:21" s="12" customFormat="1" x14ac:dyDescent="0.25">
      <c r="A19" s="213" t="s">
        <v>1694</v>
      </c>
      <c r="B19" s="64">
        <v>11.85</v>
      </c>
      <c r="C19" s="64">
        <v>17.88</v>
      </c>
      <c r="D19" s="64">
        <v>18.850000000000001</v>
      </c>
      <c r="E19" s="64">
        <v>4.5999999999999996</v>
      </c>
      <c r="F19" s="64">
        <v>3.5</v>
      </c>
      <c r="G19" s="64">
        <v>23.77</v>
      </c>
      <c r="H19" s="64">
        <v>9.19</v>
      </c>
      <c r="I19" s="64">
        <v>2.35</v>
      </c>
      <c r="J19" s="64">
        <v>0.25</v>
      </c>
      <c r="K19" s="64">
        <v>307.20999999999998</v>
      </c>
      <c r="L19" s="64">
        <v>22.16</v>
      </c>
      <c r="M19" s="64">
        <v>99.39</v>
      </c>
      <c r="N19" s="64">
        <v>40.9</v>
      </c>
      <c r="O19" s="64">
        <v>0.4</v>
      </c>
      <c r="P19" s="64">
        <v>0.65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3" t="s">
        <v>1695</v>
      </c>
      <c r="B20" s="64">
        <v>10.220000000000001</v>
      </c>
      <c r="C20" s="64">
        <v>16.84</v>
      </c>
      <c r="D20" s="64">
        <v>16.989999999999998</v>
      </c>
      <c r="E20" s="64">
        <v>4.8499999999999996</v>
      </c>
      <c r="F20" s="64">
        <v>3.69</v>
      </c>
      <c r="G20" s="64">
        <v>23.77</v>
      </c>
      <c r="H20" s="64">
        <v>9.19</v>
      </c>
      <c r="I20" s="64">
        <v>2.52</v>
      </c>
      <c r="J20" s="64">
        <v>0.21</v>
      </c>
      <c r="K20" s="64">
        <v>314.05</v>
      </c>
      <c r="L20" s="64">
        <v>22.03</v>
      </c>
      <c r="M20" s="64">
        <v>99.91</v>
      </c>
      <c r="N20" s="64">
        <v>40.4</v>
      </c>
      <c r="O20" s="64">
        <v>0.2</v>
      </c>
      <c r="P20" s="64">
        <v>0.67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3" t="s">
        <v>1696</v>
      </c>
      <c r="B21" s="64">
        <v>9.49</v>
      </c>
      <c r="C21" s="64">
        <v>15.8</v>
      </c>
      <c r="D21" s="64">
        <v>15.87</v>
      </c>
      <c r="E21" s="64">
        <v>4.66</v>
      </c>
      <c r="F21" s="64">
        <v>3.38</v>
      </c>
      <c r="G21" s="64">
        <v>19.559999999999999</v>
      </c>
      <c r="H21" s="64">
        <v>7.78</v>
      </c>
      <c r="I21" s="64">
        <v>2.76</v>
      </c>
      <c r="J21" s="64">
        <v>0.09</v>
      </c>
      <c r="K21" s="64">
        <v>319.05</v>
      </c>
      <c r="L21" s="64">
        <v>22.02</v>
      </c>
      <c r="M21" s="64">
        <v>99.97</v>
      </c>
      <c r="N21" s="64">
        <v>40.200000000000003</v>
      </c>
      <c r="O21" s="64">
        <v>1</v>
      </c>
      <c r="P21" s="64">
        <v>0.66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13" t="s">
        <v>1697</v>
      </c>
      <c r="B22" s="64">
        <v>9.41</v>
      </c>
      <c r="C22" s="64">
        <v>14.4</v>
      </c>
      <c r="D22" s="64">
        <v>15.07</v>
      </c>
      <c r="E22" s="64">
        <v>4.7</v>
      </c>
      <c r="F22" s="64">
        <v>3.88</v>
      </c>
      <c r="G22" s="64">
        <v>17.010000000000002</v>
      </c>
      <c r="H22" s="64">
        <v>6.92</v>
      </c>
      <c r="I22" s="64">
        <v>2.83</v>
      </c>
      <c r="J22" s="64">
        <v>0.14000000000000001</v>
      </c>
      <c r="K22" s="64">
        <v>150.63</v>
      </c>
      <c r="L22" s="64">
        <v>21.97</v>
      </c>
      <c r="M22" s="64">
        <v>99.94</v>
      </c>
      <c r="N22" s="64">
        <v>40.200000000000003</v>
      </c>
      <c r="O22" s="64">
        <v>1</v>
      </c>
      <c r="P22" s="64">
        <v>0.67</v>
      </c>
      <c r="Q22" s="64">
        <v>9.17</v>
      </c>
      <c r="R22" s="198"/>
      <c r="S22" s="198"/>
      <c r="T22" s="198"/>
      <c r="U22" s="198"/>
    </row>
    <row r="23" spans="1:21" s="12" customFormat="1" x14ac:dyDescent="0.25">
      <c r="A23" s="213" t="s">
        <v>1698</v>
      </c>
      <c r="B23" s="64">
        <v>8.9600000000000009</v>
      </c>
      <c r="C23" s="64">
        <v>14.44</v>
      </c>
      <c r="D23" s="64">
        <v>14.73</v>
      </c>
      <c r="E23" s="64">
        <v>4.7699999999999996</v>
      </c>
      <c r="F23" s="64">
        <v>3.6</v>
      </c>
      <c r="G23" s="64">
        <v>17.010000000000002</v>
      </c>
      <c r="H23" s="64">
        <v>6.92</v>
      </c>
      <c r="I23" s="64">
        <v>2.79</v>
      </c>
      <c r="J23" s="64">
        <v>0.01</v>
      </c>
      <c r="K23" s="64">
        <v>149.43</v>
      </c>
      <c r="L23" s="64">
        <v>21.96</v>
      </c>
      <c r="M23" s="64">
        <v>99.66</v>
      </c>
      <c r="N23" s="64">
        <v>40.299999999999997</v>
      </c>
      <c r="O23" s="64">
        <v>0.6</v>
      </c>
      <c r="P23" s="64">
        <v>0.66</v>
      </c>
      <c r="Q23" s="64">
        <v>9.18</v>
      </c>
      <c r="R23" s="198"/>
      <c r="S23" s="198"/>
      <c r="T23" s="198"/>
      <c r="U23" s="198"/>
    </row>
    <row r="24" spans="1:21" s="12" customFormat="1" x14ac:dyDescent="0.25">
      <c r="A24" s="213" t="s">
        <v>1699</v>
      </c>
      <c r="B24" s="64">
        <v>9.8000000000000007</v>
      </c>
      <c r="C24" s="64">
        <v>12.97</v>
      </c>
      <c r="D24" s="64">
        <v>14.63</v>
      </c>
      <c r="E24" s="64">
        <v>4.8</v>
      </c>
      <c r="F24" s="64">
        <v>2.82</v>
      </c>
      <c r="G24" s="64">
        <v>17.010000000000002</v>
      </c>
      <c r="H24" s="64">
        <v>6.92</v>
      </c>
      <c r="I24" s="64">
        <v>2.76</v>
      </c>
      <c r="J24" s="64">
        <v>0.15</v>
      </c>
      <c r="K24" s="64">
        <v>320.11</v>
      </c>
      <c r="L24" s="64">
        <v>22.03</v>
      </c>
      <c r="M24" s="64">
        <v>99.6</v>
      </c>
      <c r="N24" s="64">
        <v>40.200000000000003</v>
      </c>
      <c r="O24" s="64">
        <v>0.6</v>
      </c>
      <c r="P24" s="64">
        <v>0.67</v>
      </c>
      <c r="Q24" s="64">
        <v>9.16</v>
      </c>
      <c r="R24" s="198"/>
      <c r="S24" s="198"/>
      <c r="T24" s="198"/>
      <c r="U24" s="198"/>
    </row>
    <row r="25" spans="1:21" s="12" customFormat="1" x14ac:dyDescent="0.25">
      <c r="A25" s="213" t="s">
        <v>1700</v>
      </c>
      <c r="B25" s="64">
        <v>10.19</v>
      </c>
      <c r="C25" s="64">
        <v>13.14</v>
      </c>
      <c r="D25" s="64">
        <v>15.04</v>
      </c>
      <c r="E25" s="64">
        <v>4.95</v>
      </c>
      <c r="F25" s="64">
        <v>3.22</v>
      </c>
      <c r="G25" s="64">
        <v>16.239999999999998</v>
      </c>
      <c r="H25" s="64">
        <v>5.78</v>
      </c>
      <c r="I25" s="64">
        <v>2.71</v>
      </c>
      <c r="J25" s="64">
        <v>0.26</v>
      </c>
      <c r="K25" s="64">
        <v>309.98</v>
      </c>
      <c r="L25" s="64">
        <v>22.21</v>
      </c>
      <c r="M25" s="64">
        <v>99.36</v>
      </c>
      <c r="N25" s="64">
        <v>40.200000000000003</v>
      </c>
      <c r="O25" s="64">
        <v>0.4</v>
      </c>
      <c r="P25" s="64">
        <v>0.65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3" t="s">
        <v>1701</v>
      </c>
      <c r="B26" s="64">
        <v>10.49</v>
      </c>
      <c r="C26" s="64">
        <v>12.46</v>
      </c>
      <c r="D26" s="64">
        <v>14.92</v>
      </c>
      <c r="E26" s="64">
        <v>4.6900000000000004</v>
      </c>
      <c r="F26" s="64">
        <v>3.6</v>
      </c>
      <c r="G26" s="64">
        <v>15.77</v>
      </c>
      <c r="H26" s="64">
        <v>5.08</v>
      </c>
      <c r="I26" s="64">
        <v>2.67</v>
      </c>
      <c r="J26" s="64">
        <v>0.19</v>
      </c>
      <c r="K26" s="64">
        <v>309.76</v>
      </c>
      <c r="L26" s="64">
        <v>22.34</v>
      </c>
      <c r="M26" s="64">
        <v>99.25</v>
      </c>
      <c r="N26" s="64">
        <v>40.200000000000003</v>
      </c>
      <c r="O26" s="64">
        <v>0.4</v>
      </c>
      <c r="P26" s="64">
        <v>0.66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3" t="s">
        <v>1702</v>
      </c>
      <c r="B27" s="64">
        <v>10.6</v>
      </c>
      <c r="C27" s="64">
        <v>12.84</v>
      </c>
      <c r="D27" s="64">
        <v>15.21</v>
      </c>
      <c r="E27" s="64">
        <v>4.34</v>
      </c>
      <c r="F27" s="64">
        <v>3.49</v>
      </c>
      <c r="G27" s="64">
        <v>15.77</v>
      </c>
      <c r="H27" s="64">
        <v>5.08</v>
      </c>
      <c r="I27" s="64">
        <v>2.64</v>
      </c>
      <c r="J27" s="64">
        <v>0.14000000000000001</v>
      </c>
      <c r="K27" s="64">
        <v>309.44</v>
      </c>
      <c r="L27" s="64">
        <v>22.5</v>
      </c>
      <c r="M27" s="64">
        <v>99.28</v>
      </c>
      <c r="N27" s="64">
        <v>40.1</v>
      </c>
      <c r="O27" s="64">
        <v>0</v>
      </c>
      <c r="P27" s="64">
        <v>0.66</v>
      </c>
      <c r="Q27" s="64">
        <v>9.17</v>
      </c>
      <c r="R27" s="198"/>
      <c r="S27" s="198"/>
      <c r="T27" s="198"/>
      <c r="U27" s="198"/>
    </row>
    <row r="28" spans="1:21" s="12" customFormat="1" x14ac:dyDescent="0.25">
      <c r="A28" s="213" t="s">
        <v>1703</v>
      </c>
      <c r="B28" s="64">
        <v>11.14</v>
      </c>
      <c r="C28" s="64">
        <v>23.23</v>
      </c>
      <c r="D28" s="64">
        <v>21.07</v>
      </c>
      <c r="E28" s="64">
        <v>4.47</v>
      </c>
      <c r="F28" s="64">
        <v>4.43</v>
      </c>
      <c r="G28" s="64">
        <v>15.77</v>
      </c>
      <c r="H28" s="64">
        <v>5.08</v>
      </c>
      <c r="I28" s="64">
        <v>2.62</v>
      </c>
      <c r="J28" s="64">
        <v>0.28000000000000003</v>
      </c>
      <c r="K28" s="64">
        <v>320.79000000000002</v>
      </c>
      <c r="L28" s="64">
        <v>22.67</v>
      </c>
      <c r="M28" s="64">
        <v>99.27</v>
      </c>
      <c r="N28" s="64">
        <v>40.200000000000003</v>
      </c>
      <c r="O28" s="64">
        <v>0.4</v>
      </c>
      <c r="P28" s="64">
        <v>0.9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3" t="s">
        <v>1704</v>
      </c>
      <c r="B29" s="64">
        <v>12.22</v>
      </c>
      <c r="C29" s="64">
        <v>18.05</v>
      </c>
      <c r="D29" s="64">
        <v>19.23</v>
      </c>
      <c r="E29" s="64">
        <v>4.5</v>
      </c>
      <c r="F29" s="64">
        <v>5.7</v>
      </c>
      <c r="G29" s="64">
        <v>13.63</v>
      </c>
      <c r="H29" s="64">
        <v>4.8099999999999996</v>
      </c>
      <c r="I29" s="64">
        <v>2.66</v>
      </c>
      <c r="J29" s="64">
        <v>0.37</v>
      </c>
      <c r="K29" s="64">
        <v>327.19</v>
      </c>
      <c r="L29" s="64">
        <v>22.72</v>
      </c>
      <c r="M29" s="64">
        <v>99.29</v>
      </c>
      <c r="N29" s="64">
        <v>40.299999999999997</v>
      </c>
      <c r="O29" s="64">
        <v>0.4</v>
      </c>
      <c r="P29" s="64">
        <v>1.04</v>
      </c>
      <c r="Q29" s="64">
        <v>9.1999999999999993</v>
      </c>
      <c r="R29" s="198"/>
      <c r="S29" s="198"/>
      <c r="T29" s="198"/>
      <c r="U29" s="198"/>
    </row>
    <row r="30" spans="1:21" s="12" customFormat="1" x14ac:dyDescent="0.25">
      <c r="A30" s="213" t="s">
        <v>1705</v>
      </c>
      <c r="B30" s="64">
        <v>11.96</v>
      </c>
      <c r="C30" s="64">
        <v>23.31</v>
      </c>
      <c r="D30" s="64">
        <v>21.77</v>
      </c>
      <c r="E30" s="64">
        <v>4.8099999999999996</v>
      </c>
      <c r="F30" s="64">
        <v>6.4</v>
      </c>
      <c r="G30" s="64">
        <v>12.33</v>
      </c>
      <c r="H30" s="64">
        <v>4.6399999999999997</v>
      </c>
      <c r="I30" s="64">
        <v>2.71</v>
      </c>
      <c r="J30" s="64">
        <v>0.26</v>
      </c>
      <c r="K30" s="64">
        <v>322.83</v>
      </c>
      <c r="L30" s="64">
        <v>22.81</v>
      </c>
      <c r="M30" s="64">
        <v>99.26</v>
      </c>
      <c r="N30" s="64">
        <v>40.4</v>
      </c>
      <c r="O30" s="64">
        <v>0</v>
      </c>
      <c r="P30" s="64">
        <v>1.03</v>
      </c>
      <c r="Q30" s="64">
        <v>9.2200000000000006</v>
      </c>
      <c r="R30" s="198"/>
      <c r="S30" s="198"/>
      <c r="T30" s="198"/>
      <c r="U30" s="198"/>
    </row>
    <row r="31" spans="1:21" s="12" customFormat="1" x14ac:dyDescent="0.25">
      <c r="A31" s="213" t="s">
        <v>1706</v>
      </c>
      <c r="B31" s="64">
        <v>11.63</v>
      </c>
      <c r="C31" s="64">
        <v>22.64</v>
      </c>
      <c r="D31" s="64">
        <v>21.16</v>
      </c>
      <c r="E31" s="64">
        <v>4.88</v>
      </c>
      <c r="F31" s="64">
        <v>4.96</v>
      </c>
      <c r="G31" s="64">
        <v>12.33</v>
      </c>
      <c r="H31" s="64">
        <v>4.6399999999999997</v>
      </c>
      <c r="I31" s="64">
        <v>2.87</v>
      </c>
      <c r="J31" s="64">
        <v>0.05</v>
      </c>
      <c r="K31" s="64">
        <v>282.16000000000003</v>
      </c>
      <c r="L31" s="64">
        <v>22.8</v>
      </c>
      <c r="M31" s="64">
        <v>99.2</v>
      </c>
      <c r="N31" s="64">
        <v>40.9</v>
      </c>
      <c r="O31" s="64">
        <v>0.4</v>
      </c>
      <c r="P31" s="64">
        <v>0.98</v>
      </c>
      <c r="Q31" s="64">
        <v>9.23</v>
      </c>
      <c r="R31" s="198"/>
      <c r="S31" s="198"/>
      <c r="T31" s="198"/>
      <c r="U31" s="198"/>
    </row>
    <row r="32" spans="1:21" s="12" customFormat="1" x14ac:dyDescent="0.25">
      <c r="A32" s="213" t="s">
        <v>1707</v>
      </c>
      <c r="B32" s="64">
        <v>21.33</v>
      </c>
      <c r="C32" s="64">
        <v>22.44</v>
      </c>
      <c r="D32" s="64">
        <v>28.83</v>
      </c>
      <c r="E32" s="64">
        <v>5.08</v>
      </c>
      <c r="F32" s="64">
        <v>4.4800000000000004</v>
      </c>
      <c r="G32" s="64">
        <v>12.33</v>
      </c>
      <c r="H32" s="64">
        <v>4.6399999999999997</v>
      </c>
      <c r="I32" s="64">
        <v>3.08</v>
      </c>
      <c r="J32" s="64">
        <v>0.06</v>
      </c>
      <c r="K32" s="64">
        <v>137.51</v>
      </c>
      <c r="L32" s="64">
        <v>22.84</v>
      </c>
      <c r="M32" s="64">
        <v>99.23</v>
      </c>
      <c r="N32" s="64">
        <v>41.9</v>
      </c>
      <c r="O32" s="64">
        <v>0</v>
      </c>
      <c r="P32" s="64">
        <v>0.84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3" t="s">
        <v>1708</v>
      </c>
      <c r="B33" s="64">
        <v>15.58</v>
      </c>
      <c r="C33" s="64">
        <v>24.82</v>
      </c>
      <c r="D33" s="64">
        <v>25.46</v>
      </c>
      <c r="E33" s="64">
        <v>4.84</v>
      </c>
      <c r="F33" s="64">
        <v>4.3600000000000003</v>
      </c>
      <c r="G33" s="64">
        <v>16</v>
      </c>
      <c r="H33" s="64">
        <v>7.01</v>
      </c>
      <c r="I33" s="64">
        <v>3.23</v>
      </c>
      <c r="J33" s="64">
        <v>0.14000000000000001</v>
      </c>
      <c r="K33" s="64">
        <v>152.13999999999999</v>
      </c>
      <c r="L33" s="64">
        <v>22.85</v>
      </c>
      <c r="M33" s="64">
        <v>99.27</v>
      </c>
      <c r="N33" s="64">
        <v>43.8</v>
      </c>
      <c r="O33" s="64">
        <v>0.4</v>
      </c>
      <c r="P33" s="64">
        <v>0.77</v>
      </c>
      <c r="Q33" s="64">
        <v>9.2799999999999994</v>
      </c>
      <c r="R33" s="198"/>
      <c r="S33" s="198"/>
      <c r="T33" s="198"/>
      <c r="U33" s="198"/>
    </row>
    <row r="34" spans="1:21" s="12" customFormat="1" x14ac:dyDescent="0.25">
      <c r="A34" s="213" t="s">
        <v>1709</v>
      </c>
      <c r="B34" s="64">
        <v>14.8</v>
      </c>
      <c r="C34" s="64">
        <v>22.84</v>
      </c>
      <c r="D34" s="64">
        <v>23.8</v>
      </c>
      <c r="E34" s="64">
        <v>5.08</v>
      </c>
      <c r="F34" s="64">
        <v>5.69</v>
      </c>
      <c r="G34" s="64">
        <v>18.239999999999998</v>
      </c>
      <c r="H34" s="64">
        <v>8.4499999999999993</v>
      </c>
      <c r="I34" s="64">
        <v>3.31</v>
      </c>
      <c r="J34" s="64">
        <v>0.3</v>
      </c>
      <c r="K34" s="64">
        <v>132.08000000000001</v>
      </c>
      <c r="L34" s="64">
        <v>22.92</v>
      </c>
      <c r="M34" s="64">
        <v>99.25</v>
      </c>
      <c r="N34" s="64">
        <v>47</v>
      </c>
      <c r="O34" s="64">
        <v>0.2</v>
      </c>
      <c r="P34" s="64">
        <v>0.88</v>
      </c>
      <c r="Q34" s="64">
        <v>9.3000000000000007</v>
      </c>
      <c r="R34" s="198"/>
      <c r="S34" s="198"/>
      <c r="T34" s="198"/>
      <c r="U34" s="198"/>
    </row>
    <row r="35" spans="1:21" s="12" customFormat="1" x14ac:dyDescent="0.25">
      <c r="A35" s="213" t="s">
        <v>1710</v>
      </c>
      <c r="B35" s="64">
        <v>16.77</v>
      </c>
      <c r="C35" s="64">
        <v>15.31</v>
      </c>
      <c r="D35" s="64">
        <v>21.45</v>
      </c>
      <c r="E35" s="64">
        <v>5.12</v>
      </c>
      <c r="F35" s="64">
        <v>4.41</v>
      </c>
      <c r="G35" s="64">
        <v>18.239999999999998</v>
      </c>
      <c r="H35" s="64">
        <v>8.4499999999999993</v>
      </c>
      <c r="I35" s="64">
        <v>3.39</v>
      </c>
      <c r="J35" s="64">
        <v>0.63</v>
      </c>
      <c r="K35" s="64">
        <v>136.68</v>
      </c>
      <c r="L35" s="64">
        <v>22.89</v>
      </c>
      <c r="M35" s="64">
        <v>99.33</v>
      </c>
      <c r="N35" s="64">
        <v>51.6</v>
      </c>
      <c r="O35" s="64">
        <v>0.2</v>
      </c>
      <c r="P35" s="64">
        <v>0.85</v>
      </c>
      <c r="Q35" s="64">
        <v>9.32</v>
      </c>
      <c r="R35" s="198"/>
      <c r="S35" s="198"/>
      <c r="T35" s="198"/>
      <c r="U35" s="198"/>
    </row>
    <row r="36" spans="1:21" s="12" customFormat="1" x14ac:dyDescent="0.25">
      <c r="A36" s="213" t="s">
        <v>1711</v>
      </c>
      <c r="B36" s="64">
        <v>15.94</v>
      </c>
      <c r="C36" s="64">
        <v>11.55</v>
      </c>
      <c r="D36" s="64">
        <v>18.82</v>
      </c>
      <c r="E36" s="64">
        <v>5.0599999999999996</v>
      </c>
      <c r="F36" s="64">
        <v>3.6</v>
      </c>
      <c r="G36" s="64">
        <v>18.239999999999998</v>
      </c>
      <c r="H36" s="64">
        <v>8.4499999999999993</v>
      </c>
      <c r="I36" s="64">
        <v>3.49</v>
      </c>
      <c r="J36" s="64">
        <v>0.41</v>
      </c>
      <c r="K36" s="64">
        <v>144.99</v>
      </c>
      <c r="L36" s="64">
        <v>22.88</v>
      </c>
      <c r="M36" s="64">
        <v>99.42</v>
      </c>
      <c r="N36" s="64">
        <v>60</v>
      </c>
      <c r="O36" s="64">
        <v>0.2</v>
      </c>
      <c r="P36" s="64">
        <v>0.81</v>
      </c>
      <c r="Q36" s="64">
        <v>9.32</v>
      </c>
      <c r="R36" s="198"/>
      <c r="S36" s="198"/>
      <c r="T36" s="198"/>
      <c r="U36" s="198"/>
    </row>
    <row r="37" spans="1:21" s="12" customFormat="1" x14ac:dyDescent="0.25">
      <c r="A37" s="213" t="s">
        <v>1712</v>
      </c>
      <c r="B37" s="64">
        <v>17.93</v>
      </c>
      <c r="C37" s="64">
        <v>12.85</v>
      </c>
      <c r="D37" s="64">
        <v>21.1</v>
      </c>
      <c r="E37" s="64">
        <v>4.96</v>
      </c>
      <c r="F37" s="64">
        <v>4.16</v>
      </c>
      <c r="G37" s="64">
        <v>18.37</v>
      </c>
      <c r="H37" s="64">
        <v>11.32</v>
      </c>
      <c r="I37" s="64">
        <v>3.59</v>
      </c>
      <c r="J37" s="64">
        <v>0.64</v>
      </c>
      <c r="K37" s="64">
        <v>140.52000000000001</v>
      </c>
      <c r="L37" s="64">
        <v>22.99</v>
      </c>
      <c r="M37" s="64">
        <v>99.43</v>
      </c>
      <c r="N37" s="64">
        <v>71.900000000000006</v>
      </c>
      <c r="O37" s="64">
        <v>0</v>
      </c>
      <c r="P37" s="64">
        <v>0.8</v>
      </c>
      <c r="Q37" s="64">
        <v>9.31</v>
      </c>
      <c r="R37" s="198"/>
      <c r="S37" s="198"/>
      <c r="T37" s="198"/>
      <c r="U37" s="198"/>
    </row>
    <row r="38" spans="1:21" s="12" customFormat="1" x14ac:dyDescent="0.25">
      <c r="A38" s="213" t="s">
        <v>1713</v>
      </c>
      <c r="B38" s="64">
        <v>14.89</v>
      </c>
      <c r="C38" s="64">
        <v>11.03</v>
      </c>
      <c r="D38" s="64">
        <v>17.71</v>
      </c>
      <c r="E38" s="64">
        <v>4.79</v>
      </c>
      <c r="F38" s="64">
        <v>4.3499999999999996</v>
      </c>
      <c r="G38" s="64">
        <v>18.45</v>
      </c>
      <c r="H38" s="64">
        <v>13.06</v>
      </c>
      <c r="I38" s="64">
        <v>3.63</v>
      </c>
      <c r="J38" s="64">
        <v>0.08</v>
      </c>
      <c r="K38" s="64">
        <v>131.29</v>
      </c>
      <c r="L38" s="64">
        <v>23.05</v>
      </c>
      <c r="M38" s="64">
        <v>99.43</v>
      </c>
      <c r="N38" s="64">
        <v>89.4</v>
      </c>
      <c r="O38" s="64">
        <v>0.2</v>
      </c>
      <c r="P38" s="64">
        <v>0.76</v>
      </c>
      <c r="Q38" s="64">
        <v>9.32</v>
      </c>
      <c r="R38" s="198"/>
      <c r="S38" s="198"/>
      <c r="T38" s="198"/>
      <c r="U38" s="198"/>
    </row>
    <row r="39" spans="1:21" s="12" customFormat="1" x14ac:dyDescent="0.25">
      <c r="A39" s="213" t="s">
        <v>1714</v>
      </c>
      <c r="B39" s="64">
        <v>15.04</v>
      </c>
      <c r="C39" s="64">
        <v>10.87</v>
      </c>
      <c r="D39" s="64">
        <v>17.739999999999998</v>
      </c>
      <c r="E39" s="64">
        <v>5.26</v>
      </c>
      <c r="F39" s="64">
        <v>4.18</v>
      </c>
      <c r="G39" s="64">
        <v>18.45</v>
      </c>
      <c r="H39" s="64">
        <v>13.06</v>
      </c>
      <c r="I39" s="64">
        <v>3.64</v>
      </c>
      <c r="J39" s="64">
        <v>0.1</v>
      </c>
      <c r="K39" s="64">
        <v>180.26</v>
      </c>
      <c r="L39" s="64">
        <v>23.14</v>
      </c>
      <c r="M39" s="64">
        <v>99.34</v>
      </c>
      <c r="N39" s="64">
        <v>108.5</v>
      </c>
      <c r="O39" s="64">
        <v>0</v>
      </c>
      <c r="P39" s="64">
        <v>0.75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3" t="s">
        <v>1715</v>
      </c>
      <c r="B40" s="64">
        <v>15.17</v>
      </c>
      <c r="C40" s="64">
        <v>11.06</v>
      </c>
      <c r="D40" s="64">
        <v>17.940000000000001</v>
      </c>
      <c r="E40" s="64">
        <v>4.59</v>
      </c>
      <c r="F40" s="64">
        <v>4.03</v>
      </c>
      <c r="G40" s="64">
        <v>18.45</v>
      </c>
      <c r="H40" s="64">
        <v>13.06</v>
      </c>
      <c r="I40" s="64">
        <v>3.61</v>
      </c>
      <c r="J40" s="64">
        <v>0.03</v>
      </c>
      <c r="K40" s="64">
        <v>166.06</v>
      </c>
      <c r="L40" s="64">
        <v>23.35</v>
      </c>
      <c r="M40" s="64">
        <v>99.19</v>
      </c>
      <c r="N40" s="64">
        <v>131.9</v>
      </c>
      <c r="O40" s="64">
        <v>0</v>
      </c>
      <c r="P40" s="64">
        <v>0.74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3" t="s">
        <v>1716</v>
      </c>
      <c r="B41" s="64">
        <v>14.11</v>
      </c>
      <c r="C41" s="64">
        <v>10.55</v>
      </c>
      <c r="D41" s="64">
        <v>16.829999999999998</v>
      </c>
      <c r="E41" s="64">
        <v>4.76</v>
      </c>
      <c r="F41" s="64">
        <v>5.09</v>
      </c>
      <c r="G41" s="64">
        <v>18.760000000000002</v>
      </c>
      <c r="H41" s="64">
        <v>10.62</v>
      </c>
      <c r="I41" s="64">
        <v>3.57</v>
      </c>
      <c r="J41" s="64">
        <v>7.0000000000000007E-2</v>
      </c>
      <c r="K41" s="64">
        <v>234.72</v>
      </c>
      <c r="L41" s="64">
        <v>23.52</v>
      </c>
      <c r="M41" s="64">
        <v>99.17</v>
      </c>
      <c r="N41" s="64">
        <v>161.5</v>
      </c>
      <c r="O41" s="64">
        <v>0</v>
      </c>
      <c r="P41" s="64">
        <v>0.62</v>
      </c>
      <c r="Q41" s="64">
        <v>9.31</v>
      </c>
      <c r="R41" s="198"/>
      <c r="S41" s="198"/>
      <c r="T41" s="198"/>
      <c r="U41" s="198"/>
    </row>
    <row r="42" spans="1:21" s="12" customFormat="1" x14ac:dyDescent="0.25">
      <c r="A42" s="213" t="s">
        <v>1717</v>
      </c>
      <c r="B42" s="64">
        <v>14.87</v>
      </c>
      <c r="C42" s="64">
        <v>9.98</v>
      </c>
      <c r="D42" s="64">
        <v>17.14</v>
      </c>
      <c r="E42" s="64">
        <v>4.79</v>
      </c>
      <c r="F42" s="64">
        <v>3.86</v>
      </c>
      <c r="G42" s="64">
        <v>18.95</v>
      </c>
      <c r="H42" s="64">
        <v>9.14</v>
      </c>
      <c r="I42" s="64">
        <v>3.52</v>
      </c>
      <c r="J42" s="64">
        <v>7.0000000000000007E-2</v>
      </c>
      <c r="K42" s="64">
        <v>293.39999999999998</v>
      </c>
      <c r="L42" s="64">
        <v>23.92</v>
      </c>
      <c r="M42" s="64">
        <v>99.17</v>
      </c>
      <c r="N42" s="64">
        <v>194.5</v>
      </c>
      <c r="O42" s="64">
        <v>0</v>
      </c>
      <c r="P42" s="64">
        <v>0.73</v>
      </c>
      <c r="Q42" s="64">
        <v>9.31</v>
      </c>
      <c r="R42" s="198"/>
      <c r="S42" s="198"/>
      <c r="T42" s="198"/>
      <c r="U42" s="198"/>
    </row>
    <row r="43" spans="1:21" s="12" customFormat="1" x14ac:dyDescent="0.25">
      <c r="A43" s="213" t="s">
        <v>1718</v>
      </c>
      <c r="B43" s="64">
        <v>15.4</v>
      </c>
      <c r="C43" s="64">
        <v>10.01</v>
      </c>
      <c r="D43" s="64">
        <v>17.579999999999998</v>
      </c>
      <c r="E43" s="64">
        <v>4.5199999999999996</v>
      </c>
      <c r="F43" s="64">
        <v>3.3</v>
      </c>
      <c r="G43" s="64">
        <v>18.95</v>
      </c>
      <c r="H43" s="64">
        <v>9.14</v>
      </c>
      <c r="I43" s="64">
        <v>3.45</v>
      </c>
      <c r="J43" s="64">
        <v>0.12</v>
      </c>
      <c r="K43" s="64">
        <v>278.91000000000003</v>
      </c>
      <c r="L43" s="64">
        <v>24.14</v>
      </c>
      <c r="M43" s="64">
        <v>99.18</v>
      </c>
      <c r="N43" s="64">
        <v>210.2</v>
      </c>
      <c r="O43" s="64">
        <v>0</v>
      </c>
      <c r="P43" s="64">
        <v>0.68</v>
      </c>
      <c r="Q43" s="64">
        <v>9.31</v>
      </c>
      <c r="R43" s="198"/>
      <c r="S43" s="198"/>
      <c r="T43" s="198"/>
      <c r="U43" s="198"/>
    </row>
    <row r="44" spans="1:21" s="12" customFormat="1" x14ac:dyDescent="0.25">
      <c r="A44" s="213" t="s">
        <v>1719</v>
      </c>
      <c r="B44" s="64">
        <v>15.15</v>
      </c>
      <c r="C44" s="64">
        <v>10.19</v>
      </c>
      <c r="D44" s="64">
        <v>17.47</v>
      </c>
      <c r="E44" s="64">
        <v>4.6399999999999997</v>
      </c>
      <c r="F44" s="64">
        <v>3.31</v>
      </c>
      <c r="G44" s="64">
        <v>18.95</v>
      </c>
      <c r="H44" s="64">
        <v>9.14</v>
      </c>
      <c r="I44" s="64">
        <v>3.36</v>
      </c>
      <c r="J44" s="64">
        <v>7.0000000000000007E-2</v>
      </c>
      <c r="K44" s="64">
        <v>279.58</v>
      </c>
      <c r="L44" s="64">
        <v>24.46</v>
      </c>
      <c r="M44" s="64">
        <v>99.16</v>
      </c>
      <c r="N44" s="64">
        <v>220.1</v>
      </c>
      <c r="O44" s="64">
        <v>0</v>
      </c>
      <c r="P44" s="64">
        <v>0.67</v>
      </c>
      <c r="Q44" s="64">
        <v>9.3000000000000007</v>
      </c>
      <c r="R44" s="198"/>
      <c r="S44" s="198"/>
      <c r="T44" s="198"/>
      <c r="U44" s="198"/>
    </row>
    <row r="45" spans="1:21" s="12" customFormat="1" x14ac:dyDescent="0.25">
      <c r="A45" s="213" t="s">
        <v>1720</v>
      </c>
      <c r="B45" s="64">
        <v>13.14</v>
      </c>
      <c r="C45" s="64">
        <v>11</v>
      </c>
      <c r="D45" s="64">
        <v>16.29</v>
      </c>
      <c r="E45" s="64">
        <v>4.7699999999999996</v>
      </c>
      <c r="F45" s="64">
        <v>7.77</v>
      </c>
      <c r="G45" s="64">
        <v>18.02</v>
      </c>
      <c r="H45" s="64">
        <v>7.48</v>
      </c>
      <c r="I45" s="64">
        <v>3.23</v>
      </c>
      <c r="J45" s="64">
        <v>7.0000000000000007E-2</v>
      </c>
      <c r="K45" s="64">
        <v>277.33999999999997</v>
      </c>
      <c r="L45" s="64">
        <v>24.84</v>
      </c>
      <c r="M45" s="64">
        <v>99.11</v>
      </c>
      <c r="N45" s="64">
        <v>251.3</v>
      </c>
      <c r="O45" s="64">
        <v>0</v>
      </c>
      <c r="P45" s="64">
        <v>0.47</v>
      </c>
      <c r="Q45" s="64">
        <v>9.2899999999999991</v>
      </c>
      <c r="R45" s="198"/>
      <c r="S45" s="198"/>
      <c r="T45" s="198"/>
      <c r="U45" s="198"/>
    </row>
    <row r="46" spans="1:21" s="12" customFormat="1" x14ac:dyDescent="0.25">
      <c r="A46" s="213" t="s">
        <v>1721</v>
      </c>
      <c r="B46" s="64">
        <v>10.66</v>
      </c>
      <c r="C46" s="64">
        <v>12.26</v>
      </c>
      <c r="D46" s="64">
        <v>14.95</v>
      </c>
      <c r="E46" s="64">
        <v>4.7300000000000004</v>
      </c>
      <c r="F46" s="64">
        <v>9.6199999999999992</v>
      </c>
      <c r="G46" s="64">
        <v>17.46</v>
      </c>
      <c r="H46" s="64">
        <v>6.48</v>
      </c>
      <c r="I46" s="64">
        <v>3.12</v>
      </c>
      <c r="J46" s="64">
        <v>0.06</v>
      </c>
      <c r="K46" s="64">
        <v>212.33</v>
      </c>
      <c r="L46" s="64">
        <v>25.23</v>
      </c>
      <c r="M46" s="64">
        <v>99.11</v>
      </c>
      <c r="N46" s="64">
        <v>333.7</v>
      </c>
      <c r="O46" s="64">
        <v>0</v>
      </c>
      <c r="P46" s="64">
        <v>0.45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3" t="s">
        <v>1722</v>
      </c>
      <c r="B47" s="64">
        <v>13.66</v>
      </c>
      <c r="C47" s="64">
        <v>15.77</v>
      </c>
      <c r="D47" s="64">
        <v>19.2</v>
      </c>
      <c r="E47" s="64">
        <v>4.51</v>
      </c>
      <c r="F47" s="64">
        <v>10.18</v>
      </c>
      <c r="G47" s="64">
        <v>17.46</v>
      </c>
      <c r="H47" s="64">
        <v>6.48</v>
      </c>
      <c r="I47" s="64">
        <v>3</v>
      </c>
      <c r="J47" s="64">
        <v>0.09</v>
      </c>
      <c r="K47" s="64">
        <v>304.95999999999998</v>
      </c>
      <c r="L47" s="64">
        <v>25.86</v>
      </c>
      <c r="M47" s="64">
        <v>99.05</v>
      </c>
      <c r="N47" s="64">
        <v>291.89999999999998</v>
      </c>
      <c r="O47" s="64">
        <v>0</v>
      </c>
      <c r="P47" s="64">
        <v>0.55000000000000004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3" t="s">
        <v>1723</v>
      </c>
      <c r="B48" s="64">
        <v>14.59</v>
      </c>
      <c r="C48" s="64">
        <v>15.46</v>
      </c>
      <c r="D48" s="64">
        <v>19.78</v>
      </c>
      <c r="E48" s="64">
        <v>4.8600000000000003</v>
      </c>
      <c r="F48" s="64">
        <v>9.11</v>
      </c>
      <c r="G48" s="64">
        <v>17.46</v>
      </c>
      <c r="H48" s="64">
        <v>6.48</v>
      </c>
      <c r="I48" s="64">
        <v>2.91</v>
      </c>
      <c r="J48" s="64">
        <v>0.1</v>
      </c>
      <c r="K48" s="64">
        <v>288.41000000000003</v>
      </c>
      <c r="L48" s="64">
        <v>26.22</v>
      </c>
      <c r="M48" s="64">
        <v>99.04</v>
      </c>
      <c r="N48" s="64">
        <v>272.39999999999998</v>
      </c>
      <c r="O48" s="64">
        <v>0</v>
      </c>
      <c r="P48" s="64">
        <v>0.56999999999999995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3" t="s">
        <v>1724</v>
      </c>
      <c r="B49" s="64">
        <v>15.61</v>
      </c>
      <c r="C49" s="64">
        <v>13.49</v>
      </c>
      <c r="D49" s="64">
        <v>19.559999999999999</v>
      </c>
      <c r="E49" s="64">
        <v>4.71</v>
      </c>
      <c r="F49" s="64">
        <v>7.91</v>
      </c>
      <c r="G49" s="64">
        <v>21.81</v>
      </c>
      <c r="H49" s="64">
        <v>5.38</v>
      </c>
      <c r="I49" s="64">
        <v>2.85</v>
      </c>
      <c r="J49" s="64">
        <v>0.27</v>
      </c>
      <c r="K49" s="64">
        <v>316.17</v>
      </c>
      <c r="L49" s="64">
        <v>26.62</v>
      </c>
      <c r="M49" s="64">
        <v>99.04</v>
      </c>
      <c r="N49" s="64">
        <v>235.9</v>
      </c>
      <c r="O49" s="64">
        <v>0</v>
      </c>
      <c r="P49" s="64">
        <v>0.53</v>
      </c>
      <c r="Q49" s="64">
        <v>9.3000000000000007</v>
      </c>
      <c r="R49" s="198"/>
      <c r="S49" s="198"/>
      <c r="T49" s="198"/>
      <c r="U49" s="198"/>
    </row>
    <row r="50" spans="1:21" s="12" customFormat="1" x14ac:dyDescent="0.25">
      <c r="A50" s="213" t="s">
        <v>1725</v>
      </c>
      <c r="B50" s="64">
        <v>15.29</v>
      </c>
      <c r="C50" s="64">
        <v>13.29</v>
      </c>
      <c r="D50" s="64">
        <v>19.2</v>
      </c>
      <c r="E50" s="64">
        <v>5.08</v>
      </c>
      <c r="F50" s="64">
        <v>7.36</v>
      </c>
      <c r="G50" s="64">
        <v>24.45</v>
      </c>
      <c r="H50" s="64">
        <v>4.72</v>
      </c>
      <c r="I50" s="64">
        <v>2.8</v>
      </c>
      <c r="J50" s="64">
        <v>0.33</v>
      </c>
      <c r="K50" s="64">
        <v>315.06</v>
      </c>
      <c r="L50" s="64">
        <v>27.18</v>
      </c>
      <c r="M50" s="64">
        <v>99.03</v>
      </c>
      <c r="N50" s="64">
        <v>191.2</v>
      </c>
      <c r="O50" s="64">
        <v>0</v>
      </c>
      <c r="P50" s="64">
        <v>0.55000000000000004</v>
      </c>
      <c r="Q50" s="64">
        <v>9.31</v>
      </c>
      <c r="R50" s="198"/>
      <c r="S50" s="198"/>
      <c r="T50" s="198"/>
      <c r="U50" s="198"/>
    </row>
    <row r="51" spans="1:21" s="12" customFormat="1" x14ac:dyDescent="0.25">
      <c r="A51" s="213" t="s">
        <v>1726</v>
      </c>
      <c r="B51" s="64">
        <v>13.4</v>
      </c>
      <c r="C51" s="64">
        <v>13.82</v>
      </c>
      <c r="D51" s="64">
        <v>17.96</v>
      </c>
      <c r="E51" s="64">
        <v>4.74</v>
      </c>
      <c r="F51" s="64">
        <v>9.5299999999999994</v>
      </c>
      <c r="G51" s="64">
        <v>24.45</v>
      </c>
      <c r="H51" s="64">
        <v>4.72</v>
      </c>
      <c r="I51" s="64">
        <v>2.74</v>
      </c>
      <c r="J51" s="64">
        <v>0.16</v>
      </c>
      <c r="K51" s="64">
        <v>283.69</v>
      </c>
      <c r="L51" s="64">
        <v>26.8</v>
      </c>
      <c r="M51" s="64">
        <v>99</v>
      </c>
      <c r="N51" s="64">
        <v>171</v>
      </c>
      <c r="O51" s="64">
        <v>0</v>
      </c>
      <c r="P51" s="64">
        <v>0.49</v>
      </c>
      <c r="Q51" s="64">
        <v>9.33</v>
      </c>
      <c r="R51" s="198"/>
      <c r="S51" s="198"/>
      <c r="T51" s="198"/>
      <c r="U51" s="198"/>
    </row>
    <row r="52" spans="1:21" s="12" customFormat="1" x14ac:dyDescent="0.25">
      <c r="A52" s="213" t="s">
        <v>1727</v>
      </c>
      <c r="B52" s="64">
        <v>10.3</v>
      </c>
      <c r="C52" s="64">
        <v>14.31</v>
      </c>
      <c r="D52" s="64">
        <v>15.73</v>
      </c>
      <c r="E52" s="64">
        <v>4.76</v>
      </c>
      <c r="F52" s="64">
        <v>7.43</v>
      </c>
      <c r="G52" s="64">
        <v>24.45</v>
      </c>
      <c r="H52" s="64">
        <v>4.72</v>
      </c>
      <c r="I52" s="64">
        <v>2.69</v>
      </c>
      <c r="J52" s="64">
        <v>0.12</v>
      </c>
      <c r="K52" s="64">
        <v>266.61</v>
      </c>
      <c r="L52" s="64">
        <v>25.88</v>
      </c>
      <c r="M52" s="64">
        <v>98.94</v>
      </c>
      <c r="N52" s="64">
        <v>151.9</v>
      </c>
      <c r="O52" s="64">
        <v>0</v>
      </c>
      <c r="P52" s="64">
        <v>0.47</v>
      </c>
      <c r="Q52" s="64">
        <v>9.31</v>
      </c>
      <c r="R52" s="198"/>
      <c r="S52" s="198"/>
      <c r="T52" s="198"/>
      <c r="U52" s="198"/>
    </row>
    <row r="53" spans="1:21" s="12" customFormat="1" x14ac:dyDescent="0.25">
      <c r="A53" s="213" t="s">
        <v>1728</v>
      </c>
      <c r="B53" s="64">
        <v>10.42</v>
      </c>
      <c r="C53" s="64">
        <v>14.33</v>
      </c>
      <c r="D53" s="64">
        <v>15.84</v>
      </c>
      <c r="E53" s="64">
        <v>4.5999999999999996</v>
      </c>
      <c r="F53" s="64">
        <v>5.09</v>
      </c>
      <c r="G53" s="64">
        <v>24.45</v>
      </c>
      <c r="H53" s="64">
        <v>4.72</v>
      </c>
      <c r="I53" s="64">
        <v>2.6</v>
      </c>
      <c r="J53" s="64">
        <v>0.16</v>
      </c>
      <c r="K53" s="64">
        <v>299.61</v>
      </c>
      <c r="L53" s="64">
        <v>25.93</v>
      </c>
      <c r="M53" s="64">
        <v>98.93</v>
      </c>
      <c r="N53" s="64">
        <v>146.6</v>
      </c>
      <c r="O53" s="64">
        <v>0</v>
      </c>
      <c r="P53" s="64">
        <v>0.49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3" t="s">
        <v>1729</v>
      </c>
      <c r="B54" s="64">
        <v>11.15</v>
      </c>
      <c r="C54" s="64">
        <v>16.559999999999999</v>
      </c>
      <c r="D54" s="64">
        <v>17.59</v>
      </c>
      <c r="E54" s="64">
        <v>4.78</v>
      </c>
      <c r="F54" s="64">
        <v>4.16</v>
      </c>
      <c r="G54" s="210" t="s">
        <v>40</v>
      </c>
      <c r="H54" s="210" t="s">
        <v>40</v>
      </c>
      <c r="I54" s="64">
        <v>2.42</v>
      </c>
      <c r="J54" s="64">
        <v>0.15</v>
      </c>
      <c r="K54" s="64">
        <v>286.07</v>
      </c>
      <c r="L54" s="64">
        <v>26.42</v>
      </c>
      <c r="M54" s="64">
        <v>98.89</v>
      </c>
      <c r="N54" s="64">
        <v>166.3</v>
      </c>
      <c r="O54" s="64">
        <v>0</v>
      </c>
      <c r="P54" s="64">
        <v>0.53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3" t="s">
        <v>1730</v>
      </c>
      <c r="B55" s="64">
        <v>10.77</v>
      </c>
      <c r="C55" s="64">
        <v>17.45</v>
      </c>
      <c r="D55" s="64">
        <v>17.75</v>
      </c>
      <c r="E55" s="64">
        <v>4.9000000000000004</v>
      </c>
      <c r="F55" s="64">
        <v>4.3099999999999996</v>
      </c>
      <c r="G55" s="210" t="s">
        <v>40</v>
      </c>
      <c r="H55" s="210" t="s">
        <v>40</v>
      </c>
      <c r="I55" s="64">
        <v>2.29</v>
      </c>
      <c r="J55" s="64">
        <v>0.11</v>
      </c>
      <c r="K55" s="64">
        <v>287.74</v>
      </c>
      <c r="L55" s="64">
        <v>26.58</v>
      </c>
      <c r="M55" s="64">
        <v>98.91</v>
      </c>
      <c r="N55" s="64">
        <v>213.7</v>
      </c>
      <c r="O55" s="64">
        <v>0</v>
      </c>
      <c r="P55" s="64">
        <v>0.52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3" t="s">
        <v>1731</v>
      </c>
      <c r="B56" s="64">
        <v>10.17</v>
      </c>
      <c r="C56" s="64">
        <v>17.940000000000001</v>
      </c>
      <c r="D56" s="64">
        <v>17.53</v>
      </c>
      <c r="E56" s="64">
        <v>4.59</v>
      </c>
      <c r="F56" s="64">
        <v>3.96</v>
      </c>
      <c r="G56" s="210" t="s">
        <v>40</v>
      </c>
      <c r="H56" s="210" t="s">
        <v>40</v>
      </c>
      <c r="I56" s="64">
        <v>2.33</v>
      </c>
      <c r="J56" s="64">
        <v>0.16</v>
      </c>
      <c r="K56" s="64">
        <v>283.44</v>
      </c>
      <c r="L56" s="64">
        <v>26.9</v>
      </c>
      <c r="M56" s="64">
        <v>98.92</v>
      </c>
      <c r="N56" s="64">
        <v>264.8</v>
      </c>
      <c r="O56" s="64">
        <v>0</v>
      </c>
      <c r="P56" s="64">
        <v>0.56000000000000005</v>
      </c>
      <c r="Q56" s="64">
        <v>9.1999999999999993</v>
      </c>
      <c r="R56" s="198"/>
      <c r="S56" s="198"/>
      <c r="T56" s="198"/>
      <c r="U56" s="198"/>
    </row>
    <row r="57" spans="1:21" s="12" customFormat="1" x14ac:dyDescent="0.25">
      <c r="A57" s="213" t="s">
        <v>1732</v>
      </c>
      <c r="B57" s="64">
        <v>7.25</v>
      </c>
      <c r="C57" s="64">
        <v>20.51</v>
      </c>
      <c r="D57" s="64">
        <v>16.53</v>
      </c>
      <c r="E57" s="64">
        <v>4.71</v>
      </c>
      <c r="F57" s="64">
        <v>5.39</v>
      </c>
      <c r="G57" s="210" t="s">
        <v>40</v>
      </c>
      <c r="H57" s="210" t="s">
        <v>40</v>
      </c>
      <c r="I57" s="64">
        <v>2.41</v>
      </c>
      <c r="J57" s="64">
        <v>0.15</v>
      </c>
      <c r="K57" s="64">
        <v>272.47000000000003</v>
      </c>
      <c r="L57" s="64">
        <v>26.61</v>
      </c>
      <c r="M57" s="64">
        <v>98.95</v>
      </c>
      <c r="N57" s="64">
        <v>288.10000000000002</v>
      </c>
      <c r="O57" s="64">
        <v>0</v>
      </c>
      <c r="P57" s="64">
        <v>0.55000000000000004</v>
      </c>
      <c r="Q57" s="64">
        <v>9.15</v>
      </c>
      <c r="R57" s="198"/>
      <c r="S57" s="198"/>
      <c r="T57" s="198"/>
      <c r="U57" s="198"/>
    </row>
    <row r="58" spans="1:21" s="12" customFormat="1" x14ac:dyDescent="0.25">
      <c r="A58" s="213" t="s">
        <v>1733</v>
      </c>
      <c r="B58" s="64">
        <v>6.8</v>
      </c>
      <c r="C58" s="64">
        <v>23.95</v>
      </c>
      <c r="D58" s="64">
        <v>17.96</v>
      </c>
      <c r="E58" s="64">
        <v>4.8</v>
      </c>
      <c r="F58" s="64">
        <v>5.0199999999999996</v>
      </c>
      <c r="G58" s="64">
        <v>17</v>
      </c>
      <c r="H58" s="64">
        <v>2.71</v>
      </c>
      <c r="I58" s="64">
        <v>2.5099999999999998</v>
      </c>
      <c r="J58" s="64">
        <v>0.22</v>
      </c>
      <c r="K58" s="64">
        <v>293.36</v>
      </c>
      <c r="L58" s="64">
        <v>27.78</v>
      </c>
      <c r="M58" s="64">
        <v>97.85</v>
      </c>
      <c r="N58" s="64">
        <v>394.8</v>
      </c>
      <c r="O58" s="64">
        <v>0</v>
      </c>
      <c r="P58" s="64">
        <v>0.55000000000000004</v>
      </c>
      <c r="Q58" s="64">
        <v>9.09</v>
      </c>
      <c r="R58" s="198"/>
      <c r="S58" s="198"/>
      <c r="T58" s="198"/>
      <c r="U58" s="198"/>
    </row>
    <row r="59" spans="1:21" s="12" customFormat="1" x14ac:dyDescent="0.25">
      <c r="A59" s="213" t="s">
        <v>1734</v>
      </c>
      <c r="B59" s="64">
        <v>5.88</v>
      </c>
      <c r="C59" s="64">
        <v>23.03</v>
      </c>
      <c r="D59" s="64">
        <v>16.75</v>
      </c>
      <c r="E59" s="64">
        <v>4.41</v>
      </c>
      <c r="F59" s="64">
        <v>4.53</v>
      </c>
      <c r="G59" s="64">
        <v>58.84</v>
      </c>
      <c r="H59" s="64">
        <v>12.21</v>
      </c>
      <c r="I59" s="64">
        <v>2.65</v>
      </c>
      <c r="J59" s="64">
        <v>0.34</v>
      </c>
      <c r="K59" s="64">
        <v>307.64999999999998</v>
      </c>
      <c r="L59" s="64">
        <v>28.96</v>
      </c>
      <c r="M59" s="64">
        <v>93.52</v>
      </c>
      <c r="N59" s="64">
        <v>415.8</v>
      </c>
      <c r="O59" s="64">
        <v>0</v>
      </c>
      <c r="P59" s="64">
        <v>0.56999999999999995</v>
      </c>
      <c r="Q59" s="64">
        <v>9.08</v>
      </c>
      <c r="R59" s="198"/>
      <c r="S59" s="198"/>
      <c r="T59" s="198"/>
      <c r="U59" s="198"/>
    </row>
    <row r="60" spans="1:21" s="12" customFormat="1" x14ac:dyDescent="0.25">
      <c r="A60" s="213" t="s">
        <v>1735</v>
      </c>
      <c r="B60" s="64">
        <v>5.88</v>
      </c>
      <c r="C60" s="64">
        <v>22.42</v>
      </c>
      <c r="D60" s="64">
        <v>16.43</v>
      </c>
      <c r="E60" s="64">
        <v>4.4400000000000004</v>
      </c>
      <c r="F60" s="64">
        <v>5.77</v>
      </c>
      <c r="G60" s="64">
        <v>58.84</v>
      </c>
      <c r="H60" s="64">
        <v>12.21</v>
      </c>
      <c r="I60" s="64">
        <v>2.8</v>
      </c>
      <c r="J60" s="64">
        <v>0.42</v>
      </c>
      <c r="K60" s="64">
        <v>308.41000000000003</v>
      </c>
      <c r="L60" s="64">
        <v>29.88</v>
      </c>
      <c r="M60" s="64">
        <v>88.94</v>
      </c>
      <c r="N60" s="64">
        <v>386.7</v>
      </c>
      <c r="O60" s="64">
        <v>0</v>
      </c>
      <c r="P60" s="64">
        <v>0.59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3" t="s">
        <v>1736</v>
      </c>
      <c r="B61" s="64">
        <v>5.7</v>
      </c>
      <c r="C61" s="64">
        <v>23</v>
      </c>
      <c r="D61" s="64">
        <v>16.59</v>
      </c>
      <c r="E61" s="64">
        <v>4.7300000000000004</v>
      </c>
      <c r="F61" s="64">
        <v>5.2</v>
      </c>
      <c r="G61" s="64">
        <v>58.84</v>
      </c>
      <c r="H61" s="64">
        <v>12.21</v>
      </c>
      <c r="I61" s="64">
        <v>2.91</v>
      </c>
      <c r="J61" s="64">
        <v>0.7</v>
      </c>
      <c r="K61" s="64">
        <v>320.63</v>
      </c>
      <c r="L61" s="64">
        <v>30.24</v>
      </c>
      <c r="M61" s="64">
        <v>87.28</v>
      </c>
      <c r="N61" s="64">
        <v>405.5</v>
      </c>
      <c r="O61" s="64">
        <v>0</v>
      </c>
      <c r="P61" s="64">
        <v>0.56000000000000005</v>
      </c>
      <c r="Q61" s="64">
        <v>9.0500000000000007</v>
      </c>
      <c r="R61" s="198"/>
      <c r="S61" s="198"/>
      <c r="T61" s="198"/>
      <c r="U61" s="198"/>
    </row>
    <row r="62" spans="1:21" s="12" customFormat="1" x14ac:dyDescent="0.25">
      <c r="A62" s="213" t="s">
        <v>1737</v>
      </c>
      <c r="B62" s="64">
        <v>5.51</v>
      </c>
      <c r="C62" s="64">
        <v>22.23</v>
      </c>
      <c r="D62" s="64">
        <v>16.03</v>
      </c>
      <c r="E62" s="64">
        <v>4.49</v>
      </c>
      <c r="F62" s="64">
        <v>5.42</v>
      </c>
      <c r="G62" s="64">
        <v>57.82</v>
      </c>
      <c r="H62" s="64">
        <v>11.32</v>
      </c>
      <c r="I62" s="64">
        <v>2.96</v>
      </c>
      <c r="J62" s="64">
        <v>0.53</v>
      </c>
      <c r="K62" s="64">
        <v>308.98</v>
      </c>
      <c r="L62" s="64">
        <v>30.56</v>
      </c>
      <c r="M62" s="64">
        <v>84.82</v>
      </c>
      <c r="N62" s="64">
        <v>345.1</v>
      </c>
      <c r="O62" s="64">
        <v>0</v>
      </c>
      <c r="P62" s="64">
        <v>0.53</v>
      </c>
      <c r="Q62" s="64">
        <v>9.06</v>
      </c>
      <c r="R62" s="198"/>
      <c r="S62" s="198"/>
      <c r="T62" s="198"/>
      <c r="U62" s="198"/>
    </row>
    <row r="63" spans="1:21" s="12" customFormat="1" x14ac:dyDescent="0.25">
      <c r="A63" s="213" t="s">
        <v>1738</v>
      </c>
      <c r="B63" s="64">
        <v>6.69</v>
      </c>
      <c r="C63" s="64">
        <v>21.15</v>
      </c>
      <c r="D63" s="64">
        <v>16.420000000000002</v>
      </c>
      <c r="E63" s="64">
        <v>5.0199999999999996</v>
      </c>
      <c r="F63" s="64">
        <v>8.2100000000000009</v>
      </c>
      <c r="G63" s="64">
        <v>55.31</v>
      </c>
      <c r="H63" s="64">
        <v>8.99</v>
      </c>
      <c r="I63" s="64">
        <v>2.88</v>
      </c>
      <c r="J63" s="64">
        <v>0.76</v>
      </c>
      <c r="K63" s="64">
        <v>321.14</v>
      </c>
      <c r="L63" s="64">
        <v>30.55</v>
      </c>
      <c r="M63" s="64">
        <v>85.49</v>
      </c>
      <c r="N63" s="64">
        <v>351.5</v>
      </c>
      <c r="O63" s="64">
        <v>0</v>
      </c>
      <c r="P63" s="64">
        <v>0.48</v>
      </c>
      <c r="Q63" s="64">
        <v>9.0500000000000007</v>
      </c>
      <c r="R63" s="198"/>
      <c r="S63" s="198"/>
      <c r="T63" s="198"/>
      <c r="U63" s="198"/>
    </row>
    <row r="64" spans="1:21" s="12" customFormat="1" x14ac:dyDescent="0.25">
      <c r="A64" s="213" t="s">
        <v>1739</v>
      </c>
      <c r="B64" s="64">
        <v>7.31</v>
      </c>
      <c r="C64" s="64">
        <v>19.53</v>
      </c>
      <c r="D64" s="64">
        <v>16.07</v>
      </c>
      <c r="E64" s="64">
        <v>4.46</v>
      </c>
      <c r="F64" s="64">
        <v>7.04</v>
      </c>
      <c r="G64" s="64">
        <v>55.31</v>
      </c>
      <c r="H64" s="64">
        <v>9.1300000000000008</v>
      </c>
      <c r="I64" s="64">
        <v>2.76</v>
      </c>
      <c r="J64" s="64">
        <v>0.39</v>
      </c>
      <c r="K64" s="64">
        <v>305.91000000000003</v>
      </c>
      <c r="L64" s="64">
        <v>30.55</v>
      </c>
      <c r="M64" s="64">
        <v>84.86</v>
      </c>
      <c r="N64" s="64">
        <v>329.9</v>
      </c>
      <c r="O64" s="64">
        <v>0</v>
      </c>
      <c r="P64" s="64">
        <v>0.46</v>
      </c>
      <c r="Q64" s="64">
        <v>9.06</v>
      </c>
      <c r="R64" s="198"/>
      <c r="S64" s="198"/>
      <c r="T64" s="198"/>
      <c r="U64" s="198"/>
    </row>
    <row r="65" spans="1:21" s="12" customFormat="1" x14ac:dyDescent="0.25">
      <c r="A65" s="213" t="s">
        <v>1740</v>
      </c>
      <c r="B65" s="64">
        <v>6.36</v>
      </c>
      <c r="C65" s="64">
        <v>19.32</v>
      </c>
      <c r="D65" s="64">
        <v>15.19</v>
      </c>
      <c r="E65" s="64">
        <v>4.4400000000000004</v>
      </c>
      <c r="F65" s="64">
        <v>7.74</v>
      </c>
      <c r="G65" s="64">
        <v>55.31</v>
      </c>
      <c r="H65" s="64">
        <v>9.1300000000000008</v>
      </c>
      <c r="I65" s="64">
        <v>2.61</v>
      </c>
      <c r="J65" s="64">
        <v>0.43</v>
      </c>
      <c r="K65" s="64">
        <v>307.39999999999998</v>
      </c>
      <c r="L65" s="64">
        <v>30.52</v>
      </c>
      <c r="M65" s="64">
        <v>84.64</v>
      </c>
      <c r="N65" s="64">
        <v>318.10000000000002</v>
      </c>
      <c r="O65" s="64">
        <v>0</v>
      </c>
      <c r="P65" s="64">
        <v>0.44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3" t="s">
        <v>1741</v>
      </c>
      <c r="B66" s="64">
        <v>5.83</v>
      </c>
      <c r="C66" s="64">
        <v>19.18</v>
      </c>
      <c r="D66" s="64">
        <v>14.7</v>
      </c>
      <c r="E66" s="64">
        <v>4.37</v>
      </c>
      <c r="F66" s="64">
        <v>7.22</v>
      </c>
      <c r="G66" s="64">
        <v>56.4</v>
      </c>
      <c r="H66" s="64">
        <v>6.59</v>
      </c>
      <c r="I66" s="64">
        <v>2.4700000000000002</v>
      </c>
      <c r="J66" s="64">
        <v>0.35</v>
      </c>
      <c r="K66" s="64">
        <v>301.45999999999998</v>
      </c>
      <c r="L66" s="64">
        <v>30.36</v>
      </c>
      <c r="M66" s="64">
        <v>84.9</v>
      </c>
      <c r="N66" s="64">
        <v>302.2</v>
      </c>
      <c r="O66" s="64">
        <v>0</v>
      </c>
      <c r="P66" s="64">
        <v>0.41</v>
      </c>
      <c r="Q66" s="64">
        <v>9.09</v>
      </c>
      <c r="R66" s="198"/>
      <c r="S66" s="198"/>
      <c r="T66" s="198"/>
      <c r="U66" s="198"/>
    </row>
    <row r="67" spans="1:21" s="12" customFormat="1" x14ac:dyDescent="0.25">
      <c r="A67" s="213" t="s">
        <v>1742</v>
      </c>
      <c r="B67" s="64">
        <v>7.91</v>
      </c>
      <c r="C67" s="64">
        <v>20.41</v>
      </c>
      <c r="D67" s="64">
        <v>17</v>
      </c>
      <c r="E67" s="64">
        <v>4.63</v>
      </c>
      <c r="F67" s="64">
        <v>10.63</v>
      </c>
      <c r="G67" s="64">
        <v>59.09</v>
      </c>
      <c r="H67" s="64">
        <v>5.99</v>
      </c>
      <c r="I67" s="64">
        <v>2.35</v>
      </c>
      <c r="J67" s="64">
        <v>0.15</v>
      </c>
      <c r="K67" s="64">
        <v>281.95</v>
      </c>
      <c r="L67" s="64">
        <v>29.88</v>
      </c>
      <c r="M67" s="64">
        <v>86.74</v>
      </c>
      <c r="N67" s="64">
        <v>270</v>
      </c>
      <c r="O67" s="64">
        <v>0</v>
      </c>
      <c r="P67" s="64">
        <v>0.34</v>
      </c>
      <c r="Q67" s="64">
        <v>9.07</v>
      </c>
      <c r="R67" s="198"/>
      <c r="S67" s="198"/>
      <c r="T67" s="198"/>
      <c r="U67" s="198"/>
    </row>
    <row r="68" spans="1:21" s="12" customFormat="1" x14ac:dyDescent="0.25">
      <c r="A68" s="213" t="s">
        <v>1743</v>
      </c>
      <c r="B68" s="64">
        <v>7.66</v>
      </c>
      <c r="C68" s="64">
        <v>19.13</v>
      </c>
      <c r="D68" s="64">
        <v>16.14</v>
      </c>
      <c r="E68" s="64">
        <v>4.5</v>
      </c>
      <c r="F68" s="64">
        <v>10.039999999999999</v>
      </c>
      <c r="G68" s="64">
        <v>59.09</v>
      </c>
      <c r="H68" s="64">
        <v>5.99</v>
      </c>
      <c r="I68" s="64">
        <v>2.2400000000000002</v>
      </c>
      <c r="J68" s="64">
        <v>0.22</v>
      </c>
      <c r="K68" s="64">
        <v>288.77</v>
      </c>
      <c r="L68" s="64">
        <v>29.2</v>
      </c>
      <c r="M68" s="64">
        <v>87.83</v>
      </c>
      <c r="N68" s="64">
        <v>304.3</v>
      </c>
      <c r="O68" s="64">
        <v>0</v>
      </c>
      <c r="P68" s="64">
        <v>0.32</v>
      </c>
      <c r="Q68" s="64">
        <v>9.07</v>
      </c>
      <c r="R68" s="198"/>
      <c r="S68" s="198"/>
      <c r="T68" s="198"/>
      <c r="U68" s="198"/>
    </row>
    <row r="69" spans="1:21" s="12" customFormat="1" x14ac:dyDescent="0.25">
      <c r="A69" s="213" t="s">
        <v>1744</v>
      </c>
      <c r="B69" s="64">
        <v>8.19</v>
      </c>
      <c r="C69" s="64">
        <v>19.39</v>
      </c>
      <c r="D69" s="64">
        <v>16.690000000000001</v>
      </c>
      <c r="E69" s="64">
        <v>4.5599999999999996</v>
      </c>
      <c r="F69" s="64">
        <v>8.58</v>
      </c>
      <c r="G69" s="64">
        <v>59.09</v>
      </c>
      <c r="H69" s="64">
        <v>5.99</v>
      </c>
      <c r="I69" s="64">
        <v>2.16</v>
      </c>
      <c r="J69" s="64">
        <v>0.32</v>
      </c>
      <c r="K69" s="64">
        <v>296.94</v>
      </c>
      <c r="L69" s="64">
        <v>29.76</v>
      </c>
      <c r="M69" s="64">
        <v>85.12</v>
      </c>
      <c r="N69" s="64">
        <v>260.5</v>
      </c>
      <c r="O69" s="64">
        <v>0</v>
      </c>
      <c r="P69" s="64">
        <v>0.33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3" t="s">
        <v>1745</v>
      </c>
      <c r="B70" s="64">
        <v>5.74</v>
      </c>
      <c r="C70" s="64">
        <v>18.14</v>
      </c>
      <c r="D70" s="64">
        <v>14.09</v>
      </c>
      <c r="E70" s="64">
        <v>4.43</v>
      </c>
      <c r="F70" s="64">
        <v>10.98</v>
      </c>
      <c r="G70" s="64">
        <v>62.61</v>
      </c>
      <c r="H70" s="64">
        <v>8.1300000000000008</v>
      </c>
      <c r="I70" s="64">
        <v>2.1</v>
      </c>
      <c r="J70" s="64">
        <v>0.18</v>
      </c>
      <c r="K70" s="64">
        <v>276.14</v>
      </c>
      <c r="L70" s="64">
        <v>29.31</v>
      </c>
      <c r="M70" s="64">
        <v>85.51</v>
      </c>
      <c r="N70" s="64">
        <v>226.4</v>
      </c>
      <c r="O70" s="64">
        <v>0</v>
      </c>
      <c r="P70" s="64">
        <v>0.28999999999999998</v>
      </c>
      <c r="Q70" s="64">
        <v>9.07</v>
      </c>
      <c r="R70" s="198"/>
      <c r="S70" s="198"/>
      <c r="T70" s="198"/>
      <c r="U70" s="198"/>
    </row>
    <row r="71" spans="1:21" s="12" customFormat="1" x14ac:dyDescent="0.25">
      <c r="A71" s="213" t="s">
        <v>1746</v>
      </c>
      <c r="B71" s="64">
        <v>5.04</v>
      </c>
      <c r="C71" s="64">
        <v>18.12</v>
      </c>
      <c r="D71" s="64">
        <v>13.51</v>
      </c>
      <c r="E71" s="64">
        <v>4.47</v>
      </c>
      <c r="F71" s="64">
        <v>6.27</v>
      </c>
      <c r="G71" s="64">
        <v>71.290000000000006</v>
      </c>
      <c r="H71" s="64">
        <v>13.41</v>
      </c>
      <c r="I71" s="64">
        <v>2.0299999999999998</v>
      </c>
      <c r="J71" s="64">
        <v>0.15</v>
      </c>
      <c r="K71" s="64">
        <v>262.22000000000003</v>
      </c>
      <c r="L71" s="64">
        <v>28.68</v>
      </c>
      <c r="M71" s="64">
        <v>90.56</v>
      </c>
      <c r="N71" s="64">
        <v>154.19999999999999</v>
      </c>
      <c r="O71" s="64">
        <v>0</v>
      </c>
      <c r="P71" s="64">
        <v>0.34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3" t="s">
        <v>1747</v>
      </c>
      <c r="B72" s="64">
        <v>4.53</v>
      </c>
      <c r="C72" s="64">
        <v>21.93</v>
      </c>
      <c r="D72" s="64">
        <v>15.09</v>
      </c>
      <c r="E72" s="64">
        <v>4.66</v>
      </c>
      <c r="F72" s="64">
        <v>8.16</v>
      </c>
      <c r="G72" s="64">
        <v>71.290000000000006</v>
      </c>
      <c r="H72" s="64">
        <v>13.41</v>
      </c>
      <c r="I72" s="64">
        <v>1.99</v>
      </c>
      <c r="J72" s="64">
        <v>0.08</v>
      </c>
      <c r="K72" s="64">
        <v>293.38</v>
      </c>
      <c r="L72" s="64">
        <v>28.39</v>
      </c>
      <c r="M72" s="64">
        <v>94.22</v>
      </c>
      <c r="N72" s="64">
        <v>133.9</v>
      </c>
      <c r="O72" s="64">
        <v>0</v>
      </c>
      <c r="P72" s="64">
        <v>0.39</v>
      </c>
      <c r="Q72" s="64">
        <v>9.07</v>
      </c>
      <c r="R72" s="198"/>
      <c r="S72" s="198"/>
      <c r="T72" s="198"/>
      <c r="U72" s="198"/>
    </row>
    <row r="73" spans="1:21" s="12" customFormat="1" x14ac:dyDescent="0.25">
      <c r="A73" s="213" t="s">
        <v>1748</v>
      </c>
      <c r="B73" s="64">
        <v>4.3899999999999997</v>
      </c>
      <c r="C73" s="64">
        <v>20.18</v>
      </c>
      <c r="D73" s="64">
        <v>14.06</v>
      </c>
      <c r="E73" s="64">
        <v>4.4000000000000004</v>
      </c>
      <c r="F73" s="64">
        <v>10.62</v>
      </c>
      <c r="G73" s="64">
        <v>71.290000000000006</v>
      </c>
      <c r="H73" s="64">
        <v>13.41</v>
      </c>
      <c r="I73" s="64">
        <v>2.0299999999999998</v>
      </c>
      <c r="J73" s="64">
        <v>0.11</v>
      </c>
      <c r="K73" s="64">
        <v>288.32</v>
      </c>
      <c r="L73" s="64">
        <v>28.19</v>
      </c>
      <c r="M73" s="64">
        <v>95.22</v>
      </c>
      <c r="N73" s="64">
        <v>140.19999999999999</v>
      </c>
      <c r="O73" s="64">
        <v>0</v>
      </c>
      <c r="P73" s="64">
        <v>0.32</v>
      </c>
      <c r="Q73" s="64">
        <v>9.0299999999999994</v>
      </c>
      <c r="R73" s="198"/>
      <c r="S73" s="198"/>
      <c r="T73" s="198"/>
      <c r="U73" s="198"/>
    </row>
    <row r="74" spans="1:21" s="12" customFormat="1" x14ac:dyDescent="0.25">
      <c r="A74" s="213" t="s">
        <v>1749</v>
      </c>
      <c r="B74" s="64">
        <v>5.9</v>
      </c>
      <c r="C74" s="64">
        <v>17.18</v>
      </c>
      <c r="D74" s="64">
        <v>13.7</v>
      </c>
      <c r="E74" s="64">
        <v>4.51</v>
      </c>
      <c r="F74" s="64">
        <v>5.12</v>
      </c>
      <c r="G74" s="64">
        <v>69.069999999999993</v>
      </c>
      <c r="H74" s="64">
        <v>13.49</v>
      </c>
      <c r="I74" s="64">
        <v>2.08</v>
      </c>
      <c r="J74" s="64">
        <v>0.15</v>
      </c>
      <c r="K74" s="64">
        <v>287.77</v>
      </c>
      <c r="L74" s="64">
        <v>28.22</v>
      </c>
      <c r="M74" s="64">
        <v>94.67</v>
      </c>
      <c r="N74" s="64">
        <v>144.9</v>
      </c>
      <c r="O74" s="64">
        <v>0</v>
      </c>
      <c r="P74" s="64">
        <v>0.36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3" t="s">
        <v>1750</v>
      </c>
      <c r="B75" s="64">
        <v>5.0199999999999996</v>
      </c>
      <c r="C75" s="64">
        <v>19.61</v>
      </c>
      <c r="D75" s="64">
        <v>14.27</v>
      </c>
      <c r="E75" s="64">
        <v>4.6500000000000004</v>
      </c>
      <c r="F75" s="64">
        <v>10.34</v>
      </c>
      <c r="G75" s="64">
        <v>63.61</v>
      </c>
      <c r="H75" s="64">
        <v>13.68</v>
      </c>
      <c r="I75" s="64">
        <v>2.06</v>
      </c>
      <c r="J75" s="64">
        <v>0.08</v>
      </c>
      <c r="K75" s="64">
        <v>269.5</v>
      </c>
      <c r="L75" s="64">
        <v>28.14</v>
      </c>
      <c r="M75" s="64">
        <v>96.53</v>
      </c>
      <c r="N75" s="64">
        <v>136</v>
      </c>
      <c r="O75" s="64">
        <v>0</v>
      </c>
      <c r="P75" s="64">
        <v>0.32</v>
      </c>
      <c r="Q75" s="64">
        <v>9.01</v>
      </c>
      <c r="R75" s="198"/>
      <c r="S75" s="198"/>
      <c r="T75" s="198"/>
      <c r="U75" s="198"/>
    </row>
    <row r="76" spans="1:21" s="12" customFormat="1" x14ac:dyDescent="0.25">
      <c r="A76" s="213" t="s">
        <v>1751</v>
      </c>
      <c r="B76" s="64">
        <v>6.11</v>
      </c>
      <c r="C76" s="64">
        <v>21.32</v>
      </c>
      <c r="D76" s="64">
        <v>16.03</v>
      </c>
      <c r="E76" s="64">
        <v>4.76</v>
      </c>
      <c r="F76" s="64">
        <v>11.75</v>
      </c>
      <c r="G76" s="64">
        <v>63.61</v>
      </c>
      <c r="H76" s="64">
        <v>13.68</v>
      </c>
      <c r="I76" s="64">
        <v>2.0299999999999998</v>
      </c>
      <c r="J76" s="64">
        <v>0.13</v>
      </c>
      <c r="K76" s="64">
        <v>230.03</v>
      </c>
      <c r="L76" s="64">
        <v>27.94</v>
      </c>
      <c r="M76" s="64">
        <v>97.79</v>
      </c>
      <c r="N76" s="64">
        <v>122.8</v>
      </c>
      <c r="O76" s="64">
        <v>0</v>
      </c>
      <c r="P76" s="64">
        <v>0.3</v>
      </c>
      <c r="Q76" s="64">
        <v>9.02</v>
      </c>
      <c r="R76" s="198"/>
      <c r="S76" s="198"/>
      <c r="T76" s="198"/>
      <c r="U76" s="198"/>
    </row>
    <row r="77" spans="1:21" s="12" customFormat="1" x14ac:dyDescent="0.25">
      <c r="A77" s="213" t="s">
        <v>1752</v>
      </c>
      <c r="B77" s="64">
        <v>4.4000000000000004</v>
      </c>
      <c r="C77" s="64">
        <v>17.03</v>
      </c>
      <c r="D77" s="64">
        <v>12.43</v>
      </c>
      <c r="E77" s="64">
        <v>4.3600000000000003</v>
      </c>
      <c r="F77" s="64">
        <v>8.6300000000000008</v>
      </c>
      <c r="G77" s="64">
        <v>63.61</v>
      </c>
      <c r="H77" s="64">
        <v>13.68</v>
      </c>
      <c r="I77" s="64">
        <v>1.99</v>
      </c>
      <c r="J77" s="64">
        <v>7.0000000000000007E-2</v>
      </c>
      <c r="K77" s="64">
        <v>282.98</v>
      </c>
      <c r="L77" s="64">
        <v>27.66</v>
      </c>
      <c r="M77" s="64">
        <v>98.99</v>
      </c>
      <c r="N77" s="64">
        <v>111.6</v>
      </c>
      <c r="O77" s="64">
        <v>0</v>
      </c>
      <c r="P77" s="64">
        <v>0.3</v>
      </c>
      <c r="Q77" s="64">
        <v>9</v>
      </c>
      <c r="R77" s="198"/>
      <c r="S77" s="198"/>
      <c r="T77" s="198"/>
      <c r="U77" s="198"/>
    </row>
    <row r="78" spans="1:21" s="12" customFormat="1" x14ac:dyDescent="0.25">
      <c r="A78" s="213" t="s">
        <v>1753</v>
      </c>
      <c r="B78" s="64">
        <v>4.6100000000000003</v>
      </c>
      <c r="C78" s="64">
        <v>18.22</v>
      </c>
      <c r="D78" s="64">
        <v>13.22</v>
      </c>
      <c r="E78" s="64">
        <v>4.58</v>
      </c>
      <c r="F78" s="64">
        <v>10.29</v>
      </c>
      <c r="G78" s="64">
        <v>63.03</v>
      </c>
      <c r="H78" s="64">
        <v>14.03</v>
      </c>
      <c r="I78" s="64">
        <v>1.93</v>
      </c>
      <c r="J78" s="64">
        <v>7.0000000000000007E-2</v>
      </c>
      <c r="K78" s="64">
        <v>280.60000000000002</v>
      </c>
      <c r="L78" s="64">
        <v>27.63</v>
      </c>
      <c r="M78" s="64">
        <v>98.6</v>
      </c>
      <c r="N78" s="64">
        <v>101.2</v>
      </c>
      <c r="O78" s="64">
        <v>0</v>
      </c>
      <c r="P78" s="64">
        <v>0.31</v>
      </c>
      <c r="Q78" s="64">
        <v>9.01</v>
      </c>
      <c r="R78" s="198"/>
      <c r="S78" s="198"/>
      <c r="T78" s="198"/>
      <c r="U78" s="198"/>
    </row>
    <row r="79" spans="1:21" s="12" customFormat="1" x14ac:dyDescent="0.25">
      <c r="A79" s="213" t="s">
        <v>1754</v>
      </c>
      <c r="B79" s="64">
        <v>8.0399999999999991</v>
      </c>
      <c r="C79" s="64">
        <v>24.32</v>
      </c>
      <c r="D79" s="64">
        <v>19.16</v>
      </c>
      <c r="E79" s="64">
        <v>4.5</v>
      </c>
      <c r="F79" s="64">
        <v>10.47</v>
      </c>
      <c r="G79" s="64">
        <v>61.62</v>
      </c>
      <c r="H79" s="64">
        <v>14.91</v>
      </c>
      <c r="I79" s="64">
        <v>1.88</v>
      </c>
      <c r="J79" s="64">
        <v>7.0000000000000007E-2</v>
      </c>
      <c r="K79" s="64">
        <v>285.98</v>
      </c>
      <c r="L79" s="64">
        <v>27.57</v>
      </c>
      <c r="M79" s="64">
        <v>98.84</v>
      </c>
      <c r="N79" s="64">
        <v>87.9</v>
      </c>
      <c r="O79" s="64">
        <v>0</v>
      </c>
      <c r="P79" s="64">
        <v>0.32</v>
      </c>
      <c r="Q79" s="64">
        <v>9</v>
      </c>
      <c r="R79" s="198"/>
      <c r="S79" s="198"/>
      <c r="T79" s="198"/>
      <c r="U79" s="198"/>
    </row>
    <row r="80" spans="1:21" s="12" customFormat="1" x14ac:dyDescent="0.25">
      <c r="A80" s="213" t="s">
        <v>1755</v>
      </c>
      <c r="B80" s="64">
        <v>8.2100000000000009</v>
      </c>
      <c r="C80" s="64">
        <v>20.239999999999998</v>
      </c>
      <c r="D80" s="64">
        <v>17.16</v>
      </c>
      <c r="E80" s="64">
        <v>4.5</v>
      </c>
      <c r="F80" s="64">
        <v>5.76</v>
      </c>
      <c r="G80" s="64">
        <v>61.62</v>
      </c>
      <c r="H80" s="64">
        <v>14.91</v>
      </c>
      <c r="I80" s="64">
        <v>1.86</v>
      </c>
      <c r="J80" s="64">
        <v>0.09</v>
      </c>
      <c r="K80" s="64">
        <v>311.48</v>
      </c>
      <c r="L80" s="64">
        <v>27.72</v>
      </c>
      <c r="M80" s="64">
        <v>98.45</v>
      </c>
      <c r="N80" s="64">
        <v>72.2</v>
      </c>
      <c r="O80" s="64">
        <v>0</v>
      </c>
      <c r="P80" s="64">
        <v>0.38</v>
      </c>
      <c r="Q80" s="64">
        <v>9</v>
      </c>
      <c r="R80" s="198"/>
      <c r="S80" s="198"/>
      <c r="T80" s="198"/>
      <c r="U80" s="198"/>
    </row>
    <row r="81" spans="1:26" s="12" customFormat="1" x14ac:dyDescent="0.25">
      <c r="A81" s="213" t="s">
        <v>1756</v>
      </c>
      <c r="B81" s="64">
        <v>7.1</v>
      </c>
      <c r="C81" s="64">
        <v>23.38</v>
      </c>
      <c r="D81" s="64">
        <v>17.91</v>
      </c>
      <c r="E81" s="64">
        <v>4.8099999999999996</v>
      </c>
      <c r="F81" s="64">
        <v>12.97</v>
      </c>
      <c r="G81" s="64">
        <v>61.62</v>
      </c>
      <c r="H81" s="64">
        <v>14.91</v>
      </c>
      <c r="I81" s="64">
        <v>1.73</v>
      </c>
      <c r="J81" s="64">
        <v>0.03</v>
      </c>
      <c r="K81" s="64">
        <v>315.25</v>
      </c>
      <c r="L81" s="64">
        <v>27.39</v>
      </c>
      <c r="M81" s="64">
        <v>98.96</v>
      </c>
      <c r="N81" s="64">
        <v>61.8</v>
      </c>
      <c r="O81" s="64">
        <v>0</v>
      </c>
      <c r="P81" s="64">
        <v>0.33</v>
      </c>
      <c r="Q81" s="64">
        <v>9.0399999999999991</v>
      </c>
      <c r="R81" s="198"/>
      <c r="S81" s="198"/>
      <c r="T81" s="198"/>
      <c r="U81" s="198"/>
    </row>
    <row r="82" spans="1:26" s="12" customFormat="1" x14ac:dyDescent="0.25">
      <c r="A82" s="213" t="s">
        <v>1757</v>
      </c>
      <c r="B82" s="64">
        <v>6.67</v>
      </c>
      <c r="C82" s="64">
        <v>20.7</v>
      </c>
      <c r="D82" s="64">
        <v>16.16</v>
      </c>
      <c r="E82" s="64">
        <v>4.6500000000000004</v>
      </c>
      <c r="F82" s="64">
        <v>13.15</v>
      </c>
      <c r="G82" s="64">
        <v>61.43</v>
      </c>
      <c r="H82" s="64">
        <v>14.79</v>
      </c>
      <c r="I82" s="64">
        <v>1.65</v>
      </c>
      <c r="J82" s="64">
        <v>0.08</v>
      </c>
      <c r="K82" s="64">
        <v>224.6</v>
      </c>
      <c r="L82" s="64">
        <v>27.08</v>
      </c>
      <c r="M82" s="64">
        <v>98.99</v>
      </c>
      <c r="N82" s="64">
        <v>52.7</v>
      </c>
      <c r="O82" s="64">
        <v>0</v>
      </c>
      <c r="P82" s="64">
        <v>0.31</v>
      </c>
      <c r="Q82" s="64">
        <v>9.07</v>
      </c>
      <c r="R82" s="198"/>
      <c r="S82" s="198"/>
      <c r="T82" s="198"/>
      <c r="U82" s="198"/>
    </row>
    <row r="83" spans="1:26" s="12" customFormat="1" x14ac:dyDescent="0.25">
      <c r="A83" s="213" t="s">
        <v>1758</v>
      </c>
      <c r="B83" s="64">
        <v>4.99</v>
      </c>
      <c r="C83" s="64">
        <v>18.95</v>
      </c>
      <c r="D83" s="64">
        <v>13.9</v>
      </c>
      <c r="E83" s="64">
        <v>4.97</v>
      </c>
      <c r="F83" s="64">
        <v>9.93</v>
      </c>
      <c r="G83" s="64">
        <v>60.97</v>
      </c>
      <c r="H83" s="64">
        <v>14.47</v>
      </c>
      <c r="I83" s="64">
        <v>1.65</v>
      </c>
      <c r="J83" s="64">
        <v>0.19</v>
      </c>
      <c r="K83" s="64">
        <v>157.69999999999999</v>
      </c>
      <c r="L83" s="64">
        <v>26.77</v>
      </c>
      <c r="M83" s="64">
        <v>99.04</v>
      </c>
      <c r="N83" s="64">
        <v>47.5</v>
      </c>
      <c r="O83" s="64">
        <v>0</v>
      </c>
      <c r="P83" s="64">
        <v>0.26</v>
      </c>
      <c r="Q83" s="64">
        <v>9.07</v>
      </c>
      <c r="R83" s="198"/>
      <c r="S83" s="198"/>
      <c r="T83" s="198"/>
      <c r="U83" s="198"/>
    </row>
    <row r="84" spans="1:26" s="12" customFormat="1" x14ac:dyDescent="0.25">
      <c r="A84" s="213" t="s">
        <v>1759</v>
      </c>
      <c r="B84" s="64">
        <v>5.53</v>
      </c>
      <c r="C84" s="64">
        <v>18.989999999999998</v>
      </c>
      <c r="D84" s="64">
        <v>14.36</v>
      </c>
      <c r="E84" s="64">
        <v>4.55</v>
      </c>
      <c r="F84" s="64">
        <v>10.45</v>
      </c>
      <c r="G84" s="64">
        <v>60.97</v>
      </c>
      <c r="H84" s="64">
        <v>14.47</v>
      </c>
      <c r="I84" s="64">
        <v>1.64</v>
      </c>
      <c r="J84" s="64">
        <v>0.02</v>
      </c>
      <c r="K84" s="64">
        <v>206.24</v>
      </c>
      <c r="L84" s="64">
        <v>26.55</v>
      </c>
      <c r="M84" s="64">
        <v>99.06</v>
      </c>
      <c r="N84" s="64">
        <v>45.5</v>
      </c>
      <c r="O84" s="64">
        <v>0</v>
      </c>
      <c r="P84" s="64">
        <v>0.3</v>
      </c>
      <c r="Q84" s="64">
        <v>9.08</v>
      </c>
      <c r="R84" s="198"/>
      <c r="S84" s="198"/>
      <c r="T84" s="198"/>
      <c r="U84" s="198"/>
    </row>
    <row r="85" spans="1:26" s="12" customFormat="1" x14ac:dyDescent="0.25">
      <c r="A85" s="213" t="s">
        <v>1760</v>
      </c>
      <c r="B85" s="64">
        <v>6.3</v>
      </c>
      <c r="C85" s="64">
        <v>18.899999999999999</v>
      </c>
      <c r="D85" s="64">
        <v>14.93</v>
      </c>
      <c r="E85" s="64">
        <v>4.8600000000000003</v>
      </c>
      <c r="F85" s="64">
        <v>10.199999999999999</v>
      </c>
      <c r="G85" s="64">
        <v>60.97</v>
      </c>
      <c r="H85" s="64">
        <v>14.47</v>
      </c>
      <c r="I85" s="64">
        <v>1.63</v>
      </c>
      <c r="J85" s="64">
        <v>0.01</v>
      </c>
      <c r="K85" s="64">
        <v>15.17</v>
      </c>
      <c r="L85" s="64">
        <v>26.4</v>
      </c>
      <c r="M85" s="64">
        <v>99.07</v>
      </c>
      <c r="N85" s="64">
        <v>45.3</v>
      </c>
      <c r="O85" s="64">
        <v>0</v>
      </c>
      <c r="P85" s="64">
        <v>0.36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3" t="s">
        <v>1761</v>
      </c>
      <c r="B86" s="64">
        <v>5.56</v>
      </c>
      <c r="C86" s="64">
        <v>20.89</v>
      </c>
      <c r="D86" s="64">
        <v>15.37</v>
      </c>
      <c r="E86" s="64">
        <v>4.9800000000000004</v>
      </c>
      <c r="F86" s="64">
        <v>10.38</v>
      </c>
      <c r="G86" s="64">
        <v>59.33</v>
      </c>
      <c r="H86" s="64">
        <v>15.34</v>
      </c>
      <c r="I86" s="64">
        <v>1.62</v>
      </c>
      <c r="J86" s="64">
        <v>0.06</v>
      </c>
      <c r="K86" s="64">
        <v>142.65</v>
      </c>
      <c r="L86" s="64">
        <v>26.27</v>
      </c>
      <c r="M86" s="64">
        <v>99.07</v>
      </c>
      <c r="N86" s="64">
        <v>45.3</v>
      </c>
      <c r="O86" s="64">
        <v>0</v>
      </c>
      <c r="P86" s="64">
        <v>0.37</v>
      </c>
      <c r="Q86" s="64">
        <v>9.1</v>
      </c>
      <c r="R86" s="198"/>
      <c r="S86" s="198"/>
      <c r="T86" s="198"/>
      <c r="U86" s="198"/>
    </row>
    <row r="87" spans="1:26" s="12" customFormat="1" x14ac:dyDescent="0.25">
      <c r="A87" s="213" t="s">
        <v>1762</v>
      </c>
      <c r="B87" s="64">
        <v>5.34</v>
      </c>
      <c r="C87" s="64">
        <v>21.69</v>
      </c>
      <c r="D87" s="64">
        <v>15.61</v>
      </c>
      <c r="E87" s="64">
        <v>4.82</v>
      </c>
      <c r="F87" s="64">
        <v>9.25</v>
      </c>
      <c r="G87" s="64">
        <v>55.29</v>
      </c>
      <c r="H87" s="64">
        <v>17.47</v>
      </c>
      <c r="I87" s="64">
        <v>1.62</v>
      </c>
      <c r="J87" s="64">
        <v>0.11</v>
      </c>
      <c r="K87" s="64">
        <v>174.57</v>
      </c>
      <c r="L87" s="64">
        <v>26.18</v>
      </c>
      <c r="M87" s="64">
        <v>99.04</v>
      </c>
      <c r="N87" s="64">
        <v>45.3</v>
      </c>
      <c r="O87" s="64">
        <v>0</v>
      </c>
      <c r="P87" s="64">
        <v>0.38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3" t="s">
        <v>1763</v>
      </c>
      <c r="B88" s="64">
        <v>5.83</v>
      </c>
      <c r="C88" s="64">
        <v>23.39</v>
      </c>
      <c r="D88" s="64">
        <v>16.89</v>
      </c>
      <c r="E88" s="64">
        <v>4.8499999999999996</v>
      </c>
      <c r="F88" s="64">
        <v>8.11</v>
      </c>
      <c r="G88" s="64">
        <v>55.29</v>
      </c>
      <c r="H88" s="64">
        <v>17.47</v>
      </c>
      <c r="I88" s="64">
        <v>1.6</v>
      </c>
      <c r="J88" s="64">
        <v>0.08</v>
      </c>
      <c r="K88" s="64">
        <v>150.13</v>
      </c>
      <c r="L88" s="64">
        <v>26.07</v>
      </c>
      <c r="M88" s="64">
        <v>99.06</v>
      </c>
      <c r="N88" s="64">
        <v>45.3</v>
      </c>
      <c r="O88" s="64">
        <v>0</v>
      </c>
      <c r="P88" s="64">
        <v>0.41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3" t="s">
        <v>1764</v>
      </c>
      <c r="B89" s="64">
        <v>6.19</v>
      </c>
      <c r="C89" s="64">
        <v>18.05</v>
      </c>
      <c r="D89" s="64">
        <v>14.39</v>
      </c>
      <c r="E89" s="64">
        <v>5.03</v>
      </c>
      <c r="F89" s="64">
        <v>7.41</v>
      </c>
      <c r="G89" s="64">
        <v>55.29</v>
      </c>
      <c r="H89" s="64">
        <v>17.47</v>
      </c>
      <c r="I89" s="64">
        <v>1.59</v>
      </c>
      <c r="J89" s="64">
        <v>0.28000000000000003</v>
      </c>
      <c r="K89" s="64">
        <v>146.99</v>
      </c>
      <c r="L89" s="64">
        <v>25.94</v>
      </c>
      <c r="M89" s="64">
        <v>99.04</v>
      </c>
      <c r="N89" s="64">
        <v>45.3</v>
      </c>
      <c r="O89" s="64">
        <v>0</v>
      </c>
      <c r="P89" s="64">
        <v>0.36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3" t="s">
        <v>1765</v>
      </c>
      <c r="B90" s="64">
        <v>7.96</v>
      </c>
      <c r="C90" s="64">
        <v>22.72</v>
      </c>
      <c r="D90" s="64">
        <v>18.260000000000002</v>
      </c>
      <c r="E90" s="64">
        <v>4.84</v>
      </c>
      <c r="F90" s="64">
        <v>8.7899999999999991</v>
      </c>
      <c r="G90" s="64">
        <v>53.27</v>
      </c>
      <c r="H90" s="64">
        <v>16.059999999999999</v>
      </c>
      <c r="I90" s="64">
        <v>1.57</v>
      </c>
      <c r="J90" s="64">
        <v>0.28000000000000003</v>
      </c>
      <c r="K90" s="64">
        <v>137.71</v>
      </c>
      <c r="L90" s="64">
        <v>25.91</v>
      </c>
      <c r="M90" s="64">
        <v>99.04</v>
      </c>
      <c r="N90" s="64">
        <v>45.3</v>
      </c>
      <c r="O90" s="64">
        <v>0</v>
      </c>
      <c r="P90" s="64">
        <v>0.33</v>
      </c>
      <c r="Q90" s="64">
        <v>9.09</v>
      </c>
      <c r="R90" s="198"/>
      <c r="S90" s="198"/>
      <c r="T90" s="198"/>
      <c r="U90" s="198"/>
    </row>
    <row r="91" spans="1:26" s="12" customFormat="1" x14ac:dyDescent="0.25">
      <c r="A91" s="213" t="s">
        <v>1766</v>
      </c>
      <c r="B91" s="64">
        <v>9.01</v>
      </c>
      <c r="C91" s="64">
        <v>18.489999999999998</v>
      </c>
      <c r="D91" s="64">
        <v>16.89</v>
      </c>
      <c r="E91" s="64">
        <v>4.74</v>
      </c>
      <c r="F91" s="64">
        <v>6.31</v>
      </c>
      <c r="G91" s="64">
        <v>48.32</v>
      </c>
      <c r="H91" s="64">
        <v>12.57</v>
      </c>
      <c r="I91" s="64">
        <v>1.52</v>
      </c>
      <c r="J91" s="64">
        <v>0.2</v>
      </c>
      <c r="K91" s="64">
        <v>138.75</v>
      </c>
      <c r="L91" s="64">
        <v>25.88</v>
      </c>
      <c r="M91" s="64">
        <v>99.03</v>
      </c>
      <c r="N91" s="64">
        <v>45.4</v>
      </c>
      <c r="O91" s="64">
        <v>0</v>
      </c>
      <c r="P91" s="64">
        <v>0.38</v>
      </c>
      <c r="Q91" s="64">
        <v>9.09</v>
      </c>
      <c r="R91" s="198"/>
      <c r="S91" s="198"/>
      <c r="T91" s="198"/>
      <c r="U91" s="198"/>
    </row>
    <row r="92" spans="1:26" s="12" customFormat="1" x14ac:dyDescent="0.25">
      <c r="A92" s="213" t="s">
        <v>1767</v>
      </c>
      <c r="B92" s="64">
        <v>9.2200000000000006</v>
      </c>
      <c r="C92" s="64">
        <v>16.86</v>
      </c>
      <c r="D92" s="64">
        <v>16.2</v>
      </c>
      <c r="E92" s="64">
        <v>4.7300000000000004</v>
      </c>
      <c r="F92" s="64">
        <v>8.61</v>
      </c>
      <c r="G92" s="64">
        <v>48.32</v>
      </c>
      <c r="H92" s="64">
        <v>12.57</v>
      </c>
      <c r="I92" s="64">
        <v>1.5</v>
      </c>
      <c r="J92" s="64">
        <v>0.62</v>
      </c>
      <c r="K92" s="64">
        <v>136.74</v>
      </c>
      <c r="L92" s="64">
        <v>25.74</v>
      </c>
      <c r="M92" s="64">
        <v>99.02</v>
      </c>
      <c r="N92" s="64">
        <v>45.5</v>
      </c>
      <c r="O92" s="64">
        <v>0</v>
      </c>
      <c r="P92" s="64">
        <v>0.33</v>
      </c>
      <c r="Q92" s="64">
        <v>9.09</v>
      </c>
      <c r="R92" s="198"/>
      <c r="S92" s="198"/>
      <c r="T92" s="198"/>
      <c r="U92" s="198"/>
    </row>
    <row r="93" spans="1:26" s="12" customFormat="1" x14ac:dyDescent="0.25">
      <c r="A93" s="213" t="s">
        <v>1768</v>
      </c>
      <c r="B93" s="64">
        <v>7.31</v>
      </c>
      <c r="C93" s="64">
        <v>13.85</v>
      </c>
      <c r="D93" s="64">
        <v>13.1</v>
      </c>
      <c r="E93" s="64">
        <v>4.8099999999999996</v>
      </c>
      <c r="F93" s="64">
        <v>9.67</v>
      </c>
      <c r="G93" s="64">
        <v>48.32</v>
      </c>
      <c r="H93" s="64">
        <v>12.57</v>
      </c>
      <c r="I93" s="64">
        <v>1.48</v>
      </c>
      <c r="J93" s="64">
        <v>0.32</v>
      </c>
      <c r="K93" s="64">
        <v>153.11000000000001</v>
      </c>
      <c r="L93" s="64">
        <v>25.59</v>
      </c>
      <c r="M93" s="64">
        <v>98.98</v>
      </c>
      <c r="N93" s="64">
        <v>45.6</v>
      </c>
      <c r="O93" s="64">
        <v>0</v>
      </c>
      <c r="P93" s="64">
        <v>0.32</v>
      </c>
      <c r="Q93" s="64">
        <v>9.09</v>
      </c>
      <c r="R93" s="198"/>
      <c r="S93" s="198"/>
      <c r="T93" s="198"/>
      <c r="U93" s="198"/>
    </row>
    <row r="94" spans="1:26" s="12" customFormat="1" x14ac:dyDescent="0.25">
      <c r="A94" s="213" t="s">
        <v>1769</v>
      </c>
      <c r="B94" s="64">
        <v>7.55</v>
      </c>
      <c r="C94" s="64">
        <v>13.7</v>
      </c>
      <c r="D94" s="64">
        <v>13.21</v>
      </c>
      <c r="E94" s="64">
        <v>4.71</v>
      </c>
      <c r="F94" s="64">
        <v>5.93</v>
      </c>
      <c r="G94" s="64">
        <v>48.03</v>
      </c>
      <c r="H94" s="64">
        <v>13.11</v>
      </c>
      <c r="I94" s="64">
        <v>1.45</v>
      </c>
      <c r="J94" s="64">
        <v>0.19</v>
      </c>
      <c r="K94" s="64">
        <v>147.16</v>
      </c>
      <c r="L94" s="64">
        <v>25.44</v>
      </c>
      <c r="M94" s="64">
        <v>99</v>
      </c>
      <c r="N94" s="64">
        <v>45.6</v>
      </c>
      <c r="O94" s="64">
        <v>0</v>
      </c>
      <c r="P94" s="64">
        <v>0.35</v>
      </c>
      <c r="Q94" s="64">
        <v>9.09</v>
      </c>
      <c r="R94" s="198"/>
      <c r="S94" s="198"/>
      <c r="T94" s="198"/>
      <c r="U94" s="198"/>
    </row>
    <row r="95" spans="1:26" s="12" customFormat="1" x14ac:dyDescent="0.25">
      <c r="A95" s="213" t="s">
        <v>1770</v>
      </c>
      <c r="B95" s="64">
        <v>6.49</v>
      </c>
      <c r="C95" s="64">
        <v>15.19</v>
      </c>
      <c r="D95" s="64">
        <v>13.14</v>
      </c>
      <c r="E95" s="64">
        <v>4.91</v>
      </c>
      <c r="F95" s="64">
        <v>9.32</v>
      </c>
      <c r="G95" s="64">
        <v>47.34</v>
      </c>
      <c r="H95" s="64">
        <v>14.43</v>
      </c>
      <c r="I95" s="64">
        <v>1.41</v>
      </c>
      <c r="J95" s="64">
        <v>0.02</v>
      </c>
      <c r="K95" s="64">
        <v>222.37</v>
      </c>
      <c r="L95" s="64">
        <v>25.37</v>
      </c>
      <c r="M95" s="64">
        <v>99.01</v>
      </c>
      <c r="N95" s="64">
        <v>45.6</v>
      </c>
      <c r="O95" s="64">
        <v>0</v>
      </c>
      <c r="P95" s="64">
        <v>0.28999999999999998</v>
      </c>
      <c r="Q95" s="64">
        <v>9.1</v>
      </c>
      <c r="R95" s="198"/>
      <c r="S95" s="198"/>
      <c r="T95" s="198"/>
      <c r="U95" s="198"/>
    </row>
    <row r="96" spans="1:26" s="12" customFormat="1" x14ac:dyDescent="0.25">
      <c r="A96" s="213" t="s">
        <v>1771</v>
      </c>
      <c r="B96" s="64">
        <v>9.06</v>
      </c>
      <c r="C96" s="64">
        <v>19.649999999999999</v>
      </c>
      <c r="D96" s="64">
        <v>17.53</v>
      </c>
      <c r="E96" s="64">
        <v>4.68</v>
      </c>
      <c r="F96" s="64">
        <v>7.24</v>
      </c>
      <c r="G96" s="64">
        <v>47.34</v>
      </c>
      <c r="H96" s="64">
        <v>14.43</v>
      </c>
      <c r="I96" s="64">
        <v>1.38</v>
      </c>
      <c r="J96" s="64">
        <v>0.04</v>
      </c>
      <c r="K96" s="64">
        <v>136.94999999999999</v>
      </c>
      <c r="L96" s="64">
        <v>25.27</v>
      </c>
      <c r="M96" s="64">
        <v>99.05</v>
      </c>
      <c r="N96" s="64">
        <v>45.5</v>
      </c>
      <c r="O96" s="64">
        <v>0</v>
      </c>
      <c r="P96" s="64">
        <v>0.28999999999999998</v>
      </c>
      <c r="Q96" s="64">
        <v>9.09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1772</v>
      </c>
      <c r="B97" s="64">
        <v>7.41</v>
      </c>
      <c r="C97" s="64">
        <v>15.71</v>
      </c>
      <c r="D97" s="64">
        <v>14.15</v>
      </c>
      <c r="E97" s="64">
        <v>4.6399999999999997</v>
      </c>
      <c r="F97" s="64">
        <v>6.48</v>
      </c>
      <c r="G97" s="64">
        <v>47.34</v>
      </c>
      <c r="H97" s="64">
        <v>14.43</v>
      </c>
      <c r="I97" s="64">
        <v>1.36</v>
      </c>
      <c r="J97" s="64">
        <v>0.42</v>
      </c>
      <c r="K97" s="64">
        <v>138.76</v>
      </c>
      <c r="L97" s="64">
        <v>25.23</v>
      </c>
      <c r="M97" s="64">
        <v>99.11</v>
      </c>
      <c r="N97" s="64">
        <v>45.3</v>
      </c>
      <c r="O97" s="64">
        <v>0</v>
      </c>
      <c r="P97" s="64">
        <v>0.32</v>
      </c>
      <c r="Q97" s="64">
        <v>9.08</v>
      </c>
      <c r="R97" s="198"/>
      <c r="S97" s="198"/>
      <c r="T97" s="198"/>
      <c r="U97" s="198"/>
    </row>
    <row r="98" spans="1:33" s="12" customFormat="1" x14ac:dyDescent="0.25">
      <c r="A98" s="213" t="s">
        <v>1773</v>
      </c>
      <c r="B98" s="64">
        <v>6.99</v>
      </c>
      <c r="C98" s="64">
        <v>17.079999999999998</v>
      </c>
      <c r="D98" s="64">
        <v>14.53</v>
      </c>
      <c r="E98" s="64">
        <v>4.59</v>
      </c>
      <c r="F98" s="64">
        <v>9.31</v>
      </c>
      <c r="G98" s="64">
        <v>45.26</v>
      </c>
      <c r="H98" s="64">
        <v>13.86</v>
      </c>
      <c r="I98" s="64">
        <v>1.33</v>
      </c>
      <c r="J98" s="64">
        <v>0.56999999999999995</v>
      </c>
      <c r="K98" s="64">
        <v>133.55000000000001</v>
      </c>
      <c r="L98" s="64">
        <v>25.2</v>
      </c>
      <c r="M98" s="64">
        <v>99.1</v>
      </c>
      <c r="N98" s="64">
        <v>45.3</v>
      </c>
      <c r="O98" s="64">
        <v>0</v>
      </c>
      <c r="P98" s="64">
        <v>0.25</v>
      </c>
      <c r="Q98" s="64">
        <v>9.09</v>
      </c>
      <c r="R98" s="198"/>
      <c r="S98" s="198"/>
      <c r="T98" s="198"/>
      <c r="U98" s="198"/>
    </row>
    <row r="99" spans="1:33" s="12" customFormat="1" x14ac:dyDescent="0.25">
      <c r="A99" s="213" t="s">
        <v>1774</v>
      </c>
      <c r="B99" s="64">
        <v>6.79</v>
      </c>
      <c r="C99" s="64">
        <v>14.69</v>
      </c>
      <c r="D99" s="64">
        <v>13.12</v>
      </c>
      <c r="E99" s="64">
        <v>4.5599999999999996</v>
      </c>
      <c r="F99" s="64">
        <v>10.84</v>
      </c>
      <c r="G99" s="64">
        <v>40.119999999999997</v>
      </c>
      <c r="H99" s="64">
        <v>12.48</v>
      </c>
      <c r="I99" s="64">
        <v>1.31</v>
      </c>
      <c r="J99" s="64">
        <v>0.61</v>
      </c>
      <c r="K99" s="64">
        <v>149.76</v>
      </c>
      <c r="L99" s="64">
        <v>25.18</v>
      </c>
      <c r="M99" s="64">
        <v>99.1</v>
      </c>
      <c r="N99" s="64">
        <v>45.5</v>
      </c>
      <c r="O99" s="64">
        <v>0</v>
      </c>
      <c r="P99" s="64">
        <v>0.26</v>
      </c>
      <c r="Q99" s="64">
        <v>9.1</v>
      </c>
      <c r="R99" s="198"/>
      <c r="S99" s="198"/>
      <c r="T99" s="198"/>
      <c r="U99" s="198"/>
    </row>
    <row r="100" spans="1:33" s="12" customFormat="1" x14ac:dyDescent="0.25">
      <c r="A100" s="213" t="s">
        <v>1775</v>
      </c>
      <c r="B100" s="64">
        <v>6.45</v>
      </c>
      <c r="C100" s="64">
        <v>12.06</v>
      </c>
      <c r="D100" s="64">
        <v>11.47</v>
      </c>
      <c r="E100" s="64">
        <v>4.49</v>
      </c>
      <c r="F100" s="64">
        <v>9.25</v>
      </c>
      <c r="G100" s="64">
        <v>40.119999999999997</v>
      </c>
      <c r="H100" s="64">
        <v>12.48</v>
      </c>
      <c r="I100" s="64">
        <v>1.28</v>
      </c>
      <c r="J100" s="64">
        <v>0.85</v>
      </c>
      <c r="K100" s="64">
        <v>143.35</v>
      </c>
      <c r="L100" s="64">
        <v>25.14</v>
      </c>
      <c r="M100" s="64">
        <v>99.11</v>
      </c>
      <c r="N100" s="64">
        <v>45.6</v>
      </c>
      <c r="O100" s="64">
        <v>0</v>
      </c>
      <c r="P100" s="64">
        <v>0.25</v>
      </c>
      <c r="Q100" s="64">
        <v>9.1199999999999992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1776</v>
      </c>
      <c r="B101" s="64">
        <v>6.51</v>
      </c>
      <c r="C101" s="64">
        <v>10.88</v>
      </c>
      <c r="D101" s="64">
        <v>10.9</v>
      </c>
      <c r="E101" s="64">
        <v>4.87</v>
      </c>
      <c r="F101" s="64">
        <v>9.5399999999999991</v>
      </c>
      <c r="G101" s="64">
        <v>40.119999999999997</v>
      </c>
      <c r="H101" s="64">
        <v>12.48</v>
      </c>
      <c r="I101" s="64">
        <v>1.25</v>
      </c>
      <c r="J101" s="64">
        <v>0.84</v>
      </c>
      <c r="K101" s="64">
        <v>141.49</v>
      </c>
      <c r="L101" s="64">
        <v>25.08</v>
      </c>
      <c r="M101" s="64">
        <v>99.07</v>
      </c>
      <c r="N101" s="64">
        <v>45.6</v>
      </c>
      <c r="O101" s="64">
        <v>0</v>
      </c>
      <c r="P101" s="64">
        <v>0.26</v>
      </c>
      <c r="Q101" s="64">
        <v>9.14</v>
      </c>
      <c r="R101" s="198"/>
      <c r="S101" s="198"/>
      <c r="T101" s="198"/>
      <c r="U101" s="198"/>
    </row>
    <row r="102" spans="1:33" s="12" customFormat="1" x14ac:dyDescent="0.25">
      <c r="A102" s="213" t="s">
        <v>1777</v>
      </c>
      <c r="B102" s="64">
        <v>5.7</v>
      </c>
      <c r="C102" s="64">
        <v>10.78</v>
      </c>
      <c r="D102" s="64">
        <v>10.210000000000001</v>
      </c>
      <c r="E102" s="64">
        <v>4.68</v>
      </c>
      <c r="F102" s="64">
        <v>10.79</v>
      </c>
      <c r="G102" s="64">
        <v>40.32</v>
      </c>
      <c r="H102" s="64">
        <v>12.9</v>
      </c>
      <c r="I102" s="64">
        <v>1.24</v>
      </c>
      <c r="J102" s="64">
        <v>0.39</v>
      </c>
      <c r="K102" s="64">
        <v>128.80000000000001</v>
      </c>
      <c r="L102" s="64">
        <v>25.01</v>
      </c>
      <c r="M102" s="64">
        <v>99.08</v>
      </c>
      <c r="N102" s="64">
        <v>45.7</v>
      </c>
      <c r="O102" s="64">
        <v>0</v>
      </c>
      <c r="P102" s="64">
        <v>0.21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3" t="s">
        <v>1778</v>
      </c>
      <c r="B103" s="64">
        <v>5.29</v>
      </c>
      <c r="C103" s="64">
        <v>11.49</v>
      </c>
      <c r="D103" s="64">
        <v>10.25</v>
      </c>
      <c r="E103" s="64">
        <v>4.82</v>
      </c>
      <c r="F103" s="64">
        <v>9.32</v>
      </c>
      <c r="G103" s="64">
        <v>40.799999999999997</v>
      </c>
      <c r="H103" s="64">
        <v>13.96</v>
      </c>
      <c r="I103" s="64">
        <v>1.21</v>
      </c>
      <c r="J103" s="64">
        <v>0.12</v>
      </c>
      <c r="K103" s="64">
        <v>184.08</v>
      </c>
      <c r="L103" s="64">
        <v>24.93</v>
      </c>
      <c r="M103" s="64">
        <v>99.08</v>
      </c>
      <c r="N103" s="64">
        <v>45.7</v>
      </c>
      <c r="O103" s="64">
        <v>0</v>
      </c>
      <c r="P103" s="64">
        <v>0.22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3" t="s">
        <v>1779</v>
      </c>
      <c r="B104" s="64">
        <v>5.54</v>
      </c>
      <c r="C104" s="64">
        <v>11.7</v>
      </c>
      <c r="D104" s="64">
        <v>10.55</v>
      </c>
      <c r="E104" s="64">
        <v>4.8099999999999996</v>
      </c>
      <c r="F104" s="64">
        <v>8.48</v>
      </c>
      <c r="G104" s="64">
        <v>40.799999999999997</v>
      </c>
      <c r="H104" s="64">
        <v>13.96</v>
      </c>
      <c r="I104" s="64">
        <v>1.2</v>
      </c>
      <c r="J104" s="64">
        <v>0.13</v>
      </c>
      <c r="K104" s="64">
        <v>148.11000000000001</v>
      </c>
      <c r="L104" s="64">
        <v>24.88</v>
      </c>
      <c r="M104" s="64">
        <v>99.08</v>
      </c>
      <c r="N104" s="64">
        <v>45.9</v>
      </c>
      <c r="O104" s="64">
        <v>0</v>
      </c>
      <c r="P104" s="64">
        <v>0.21</v>
      </c>
      <c r="Q104" s="64">
        <v>9.16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4.3899999999999997</v>
      </c>
      <c r="C106" s="67">
        <f>MIN(C9:C104)</f>
        <v>7.51</v>
      </c>
      <c r="D106" s="67">
        <f t="shared" ref="D106:Q106" si="0">MIN(D9:D104)</f>
        <v>10.210000000000001</v>
      </c>
      <c r="E106" s="67">
        <f t="shared" si="0"/>
        <v>4.34</v>
      </c>
      <c r="F106" s="67">
        <f t="shared" si="0"/>
        <v>2.82</v>
      </c>
      <c r="G106" s="67">
        <f t="shared" si="0"/>
        <v>12.33</v>
      </c>
      <c r="H106" s="67">
        <f t="shared" si="0"/>
        <v>2.71</v>
      </c>
      <c r="I106" s="67">
        <f t="shared" si="0"/>
        <v>1.2</v>
      </c>
      <c r="J106" s="67">
        <f t="shared" si="0"/>
        <v>0.01</v>
      </c>
      <c r="K106" s="67">
        <f t="shared" si="0"/>
        <v>15.17</v>
      </c>
      <c r="L106" s="67">
        <f t="shared" si="0"/>
        <v>21.96</v>
      </c>
      <c r="M106" s="67">
        <f t="shared" si="0"/>
        <v>84.64</v>
      </c>
      <c r="N106" s="67">
        <f t="shared" si="0"/>
        <v>40.1</v>
      </c>
      <c r="O106" s="67">
        <f t="shared" si="0"/>
        <v>0</v>
      </c>
      <c r="P106" s="67">
        <f t="shared" si="0"/>
        <v>0.16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33.1</v>
      </c>
      <c r="C107" s="66">
        <f t="shared" ref="C107:Q107" si="1">MAX(C9:C104)</f>
        <v>24.82</v>
      </c>
      <c r="D107" s="66">
        <f t="shared" si="1"/>
        <v>31.3</v>
      </c>
      <c r="E107" s="66">
        <f t="shared" si="1"/>
        <v>5.35</v>
      </c>
      <c r="F107" s="66">
        <f t="shared" si="1"/>
        <v>13.15</v>
      </c>
      <c r="G107" s="66">
        <f t="shared" si="1"/>
        <v>71.290000000000006</v>
      </c>
      <c r="H107" s="66">
        <f t="shared" si="1"/>
        <v>17.47</v>
      </c>
      <c r="I107" s="66">
        <f t="shared" si="1"/>
        <v>3.64</v>
      </c>
      <c r="J107" s="66">
        <f t="shared" si="1"/>
        <v>0.85</v>
      </c>
      <c r="K107" s="66">
        <f t="shared" si="1"/>
        <v>327.19</v>
      </c>
      <c r="L107" s="66">
        <f t="shared" si="1"/>
        <v>30.56</v>
      </c>
      <c r="M107" s="66">
        <f t="shared" si="1"/>
        <v>99.97</v>
      </c>
      <c r="N107" s="66">
        <f t="shared" si="1"/>
        <v>415.8</v>
      </c>
      <c r="O107" s="66">
        <f t="shared" si="1"/>
        <v>1</v>
      </c>
      <c r="P107" s="66">
        <f t="shared" si="1"/>
        <v>1.04</v>
      </c>
      <c r="Q107" s="66">
        <f t="shared" si="1"/>
        <v>9.67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10.440104166666661</v>
      </c>
      <c r="C108" s="67">
        <f t="shared" ref="C108:Q108" si="2">AVERAGE(C9:C104)</f>
        <v>16.704062500000006</v>
      </c>
      <c r="D108" s="67">
        <f t="shared" si="2"/>
        <v>17.099270833333346</v>
      </c>
      <c r="E108" s="67">
        <f t="shared" si="2"/>
        <v>4.7522916666666664</v>
      </c>
      <c r="F108" s="67">
        <f t="shared" si="2"/>
        <v>6.8398958333333324</v>
      </c>
      <c r="G108" s="67">
        <f t="shared" si="2"/>
        <v>38.717282608695655</v>
      </c>
      <c r="H108" s="67">
        <f t="shared" si="2"/>
        <v>10.25195652173913</v>
      </c>
      <c r="I108" s="67">
        <f t="shared" si="2"/>
        <v>2.4232291666666668</v>
      </c>
      <c r="J108" s="67">
        <f t="shared" si="2"/>
        <v>0.23781250000000001</v>
      </c>
      <c r="K108" s="67">
        <f t="shared" si="2"/>
        <v>236.33531249999999</v>
      </c>
      <c r="L108" s="67">
        <f t="shared" si="2"/>
        <v>25.671041666666667</v>
      </c>
      <c r="M108" s="67">
        <f t="shared" si="2"/>
        <v>97.272500000000022</v>
      </c>
      <c r="N108" s="67">
        <f t="shared" si="2"/>
        <v>124.82499999999999</v>
      </c>
      <c r="O108" s="67">
        <f t="shared" si="2"/>
        <v>8.1250000000000031E-2</v>
      </c>
      <c r="P108" s="67">
        <f t="shared" si="2"/>
        <v>0.4963541666666666</v>
      </c>
      <c r="Q108" s="67">
        <f t="shared" si="2"/>
        <v>9.2064583333333392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5.5776149392090444</v>
      </c>
      <c r="C109" s="67">
        <f t="shared" ref="C109:Q109" si="3">STDEV(C9:C104)</f>
        <v>4.3863353792443132</v>
      </c>
      <c r="D109" s="67">
        <f t="shared" si="3"/>
        <v>3.8613494354589069</v>
      </c>
      <c r="E109" s="67">
        <f t="shared" si="3"/>
        <v>0.22645775331193169</v>
      </c>
      <c r="F109" s="67">
        <f t="shared" si="3"/>
        <v>2.678572477151004</v>
      </c>
      <c r="G109" s="67">
        <f t="shared" si="3"/>
        <v>18.914332091530628</v>
      </c>
      <c r="H109" s="67">
        <f t="shared" si="3"/>
        <v>3.7235978227168456</v>
      </c>
      <c r="I109" s="67">
        <f t="shared" si="3"/>
        <v>0.69553083823064454</v>
      </c>
      <c r="J109" s="67">
        <f t="shared" si="3"/>
        <v>0.2074060503862945</v>
      </c>
      <c r="K109" s="67">
        <f t="shared" si="3"/>
        <v>75.572552702728004</v>
      </c>
      <c r="L109" s="67">
        <f t="shared" si="3"/>
        <v>2.4123884121088781</v>
      </c>
      <c r="M109" s="67">
        <f t="shared" si="3"/>
        <v>4.3072069347719255</v>
      </c>
      <c r="N109" s="67">
        <f t="shared" si="3"/>
        <v>110.27020592974996</v>
      </c>
      <c r="O109" s="67">
        <f t="shared" si="3"/>
        <v>0.20637854845685369</v>
      </c>
      <c r="P109" s="67">
        <f t="shared" si="3"/>
        <v>0.20737009778688018</v>
      </c>
      <c r="Q109" s="67">
        <f t="shared" si="3"/>
        <v>0.17807732895492148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1780</v>
      </c>
      <c r="B9" s="64">
        <v>6.02</v>
      </c>
      <c r="C9" s="64">
        <v>11.68</v>
      </c>
      <c r="D9" s="64">
        <v>10.93</v>
      </c>
      <c r="E9" s="64">
        <v>4.97</v>
      </c>
      <c r="F9" s="64">
        <v>10.38</v>
      </c>
      <c r="G9" s="64">
        <v>40.799999999999997</v>
      </c>
      <c r="H9" s="64">
        <v>13.96</v>
      </c>
      <c r="I9" s="64">
        <v>1.2</v>
      </c>
      <c r="J9" s="64">
        <v>0.11</v>
      </c>
      <c r="K9" s="64">
        <v>146.87</v>
      </c>
      <c r="L9" s="64">
        <v>24.89</v>
      </c>
      <c r="M9" s="64">
        <v>99.07</v>
      </c>
      <c r="N9" s="64">
        <v>46</v>
      </c>
      <c r="O9" s="64">
        <v>0</v>
      </c>
      <c r="P9" s="64">
        <v>0.2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3" t="s">
        <v>1781</v>
      </c>
      <c r="B10" s="64">
        <v>7.3</v>
      </c>
      <c r="C10" s="64">
        <v>11.85</v>
      </c>
      <c r="D10" s="64">
        <v>12.04</v>
      </c>
      <c r="E10" s="64">
        <v>4.5999999999999996</v>
      </c>
      <c r="F10" s="64">
        <v>6.5</v>
      </c>
      <c r="G10" s="64">
        <v>39.119999999999997</v>
      </c>
      <c r="H10" s="64">
        <v>13.39</v>
      </c>
      <c r="I10" s="64">
        <v>1.17</v>
      </c>
      <c r="J10" s="64">
        <v>0.11</v>
      </c>
      <c r="K10" s="64">
        <v>158.55000000000001</v>
      </c>
      <c r="L10" s="64">
        <v>24.86</v>
      </c>
      <c r="M10" s="64">
        <v>99.06</v>
      </c>
      <c r="N10" s="64">
        <v>46</v>
      </c>
      <c r="O10" s="64">
        <v>0</v>
      </c>
      <c r="P10" s="64">
        <v>0.26</v>
      </c>
      <c r="Q10" s="64">
        <v>9.15</v>
      </c>
      <c r="R10" s="198"/>
      <c r="S10" s="198"/>
      <c r="T10" s="198"/>
      <c r="U10" s="198"/>
    </row>
    <row r="11" spans="1:21" s="12" customFormat="1" x14ac:dyDescent="0.25">
      <c r="A11" s="213" t="s">
        <v>1782</v>
      </c>
      <c r="B11" s="64">
        <v>7.81</v>
      </c>
      <c r="C11" s="64">
        <v>9.48</v>
      </c>
      <c r="D11" s="64">
        <v>11.22</v>
      </c>
      <c r="E11" s="64">
        <v>5.0599999999999996</v>
      </c>
      <c r="F11" s="64">
        <v>6.92</v>
      </c>
      <c r="G11" s="64">
        <v>34.979999999999997</v>
      </c>
      <c r="H11" s="64">
        <v>11.98</v>
      </c>
      <c r="I11" s="64">
        <v>1.1399999999999999</v>
      </c>
      <c r="J11" s="64">
        <v>0.11</v>
      </c>
      <c r="K11" s="64">
        <v>159.29</v>
      </c>
      <c r="L11" s="64">
        <v>24.83</v>
      </c>
      <c r="M11" s="64">
        <v>99.07</v>
      </c>
      <c r="N11" s="64">
        <v>46.2</v>
      </c>
      <c r="O11" s="64">
        <v>0</v>
      </c>
      <c r="P11" s="64">
        <v>0.24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3" t="s">
        <v>1783</v>
      </c>
      <c r="B12" s="64">
        <v>6.34</v>
      </c>
      <c r="C12" s="64">
        <v>8.92</v>
      </c>
      <c r="D12" s="64">
        <v>9.74</v>
      </c>
      <c r="E12" s="64">
        <v>4.8600000000000003</v>
      </c>
      <c r="F12" s="64">
        <v>9.07</v>
      </c>
      <c r="G12" s="64">
        <v>34.979999999999997</v>
      </c>
      <c r="H12" s="64">
        <v>11.98</v>
      </c>
      <c r="I12" s="64">
        <v>1.1200000000000001</v>
      </c>
      <c r="J12" s="64">
        <v>0.36</v>
      </c>
      <c r="K12" s="64">
        <v>137.93</v>
      </c>
      <c r="L12" s="64">
        <v>24.77</v>
      </c>
      <c r="M12" s="64">
        <v>98.97</v>
      </c>
      <c r="N12" s="64">
        <v>46.2</v>
      </c>
      <c r="O12" s="64">
        <v>0</v>
      </c>
      <c r="P12" s="64">
        <v>0.2</v>
      </c>
      <c r="Q12" s="64">
        <v>9.1300000000000008</v>
      </c>
      <c r="R12" s="198"/>
      <c r="S12" s="198"/>
      <c r="T12" s="198"/>
      <c r="U12" s="198"/>
    </row>
    <row r="13" spans="1:21" s="12" customFormat="1" x14ac:dyDescent="0.25">
      <c r="A13" s="213" t="s">
        <v>1784</v>
      </c>
      <c r="B13" s="64">
        <v>6.27</v>
      </c>
      <c r="C13" s="64">
        <v>8.7899999999999991</v>
      </c>
      <c r="D13" s="64">
        <v>9.6199999999999992</v>
      </c>
      <c r="E13" s="64">
        <v>4.4800000000000004</v>
      </c>
      <c r="F13" s="64">
        <v>9.08</v>
      </c>
      <c r="G13" s="64">
        <v>34.979999999999997</v>
      </c>
      <c r="H13" s="64">
        <v>11.98</v>
      </c>
      <c r="I13" s="64">
        <v>1.0900000000000001</v>
      </c>
      <c r="J13" s="64">
        <v>0.38</v>
      </c>
      <c r="K13" s="64">
        <v>130.4</v>
      </c>
      <c r="L13" s="64">
        <v>24.71</v>
      </c>
      <c r="M13" s="64">
        <v>98.92</v>
      </c>
      <c r="N13" s="64">
        <v>46.4</v>
      </c>
      <c r="O13" s="64">
        <v>0</v>
      </c>
      <c r="P13" s="64">
        <v>0.17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3" t="s">
        <v>1785</v>
      </c>
      <c r="B14" s="64">
        <v>5.31</v>
      </c>
      <c r="C14" s="64">
        <v>9.17</v>
      </c>
      <c r="D14" s="64">
        <v>9.0500000000000007</v>
      </c>
      <c r="E14" s="64">
        <v>4.51</v>
      </c>
      <c r="F14" s="64">
        <v>9.0299999999999994</v>
      </c>
      <c r="G14" s="64">
        <v>31.58</v>
      </c>
      <c r="H14" s="64">
        <v>11.79</v>
      </c>
      <c r="I14" s="64">
        <v>1.06</v>
      </c>
      <c r="J14" s="64">
        <v>0.22</v>
      </c>
      <c r="K14" s="64">
        <v>150.56</v>
      </c>
      <c r="L14" s="64">
        <v>24.69</v>
      </c>
      <c r="M14" s="64">
        <v>98.83</v>
      </c>
      <c r="N14" s="64">
        <v>46.4</v>
      </c>
      <c r="O14" s="64">
        <v>0</v>
      </c>
      <c r="P14" s="64">
        <v>0.17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3" t="s">
        <v>1786</v>
      </c>
      <c r="B15" s="64">
        <v>5.0999999999999996</v>
      </c>
      <c r="C15" s="64">
        <v>9.0299999999999994</v>
      </c>
      <c r="D15" s="64">
        <v>8.81</v>
      </c>
      <c r="E15" s="64">
        <v>4.74</v>
      </c>
      <c r="F15" s="64">
        <v>8.3699999999999992</v>
      </c>
      <c r="G15" s="64">
        <v>23.23</v>
      </c>
      <c r="H15" s="64">
        <v>11.33</v>
      </c>
      <c r="I15" s="64">
        <v>1.04</v>
      </c>
      <c r="J15" s="64">
        <v>0.03</v>
      </c>
      <c r="K15" s="64">
        <v>125.93</v>
      </c>
      <c r="L15" s="64">
        <v>24.64</v>
      </c>
      <c r="M15" s="64">
        <v>98.85</v>
      </c>
      <c r="N15" s="64">
        <v>46.4</v>
      </c>
      <c r="O15" s="64">
        <v>0</v>
      </c>
      <c r="P15" s="64">
        <v>0.18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3" t="s">
        <v>1787</v>
      </c>
      <c r="B16" s="64">
        <v>6.97</v>
      </c>
      <c r="C16" s="64">
        <v>8.9600000000000009</v>
      </c>
      <c r="D16" s="64">
        <v>10.27</v>
      </c>
      <c r="E16" s="64">
        <v>4.67</v>
      </c>
      <c r="F16" s="64">
        <v>5.05</v>
      </c>
      <c r="G16" s="64">
        <v>23.23</v>
      </c>
      <c r="H16" s="64">
        <v>11.33</v>
      </c>
      <c r="I16" s="64">
        <v>1.01</v>
      </c>
      <c r="J16" s="64">
        <v>0.02</v>
      </c>
      <c r="K16" s="64">
        <v>19.399999999999999</v>
      </c>
      <c r="L16" s="64">
        <v>24.57</v>
      </c>
      <c r="M16" s="64">
        <v>98.88</v>
      </c>
      <c r="N16" s="64">
        <v>46.6</v>
      </c>
      <c r="O16" s="64">
        <v>0</v>
      </c>
      <c r="P16" s="64">
        <v>0.23</v>
      </c>
      <c r="Q16" s="64">
        <v>9.08</v>
      </c>
      <c r="R16" s="198"/>
      <c r="S16" s="198"/>
      <c r="T16" s="198"/>
      <c r="U16" s="198"/>
    </row>
    <row r="17" spans="1:21" s="12" customFormat="1" x14ac:dyDescent="0.25">
      <c r="A17" s="213" t="s">
        <v>1788</v>
      </c>
      <c r="B17" s="64">
        <v>6.7</v>
      </c>
      <c r="C17" s="64">
        <v>8.98</v>
      </c>
      <c r="D17" s="64">
        <v>10.06</v>
      </c>
      <c r="E17" s="64">
        <v>4.58</v>
      </c>
      <c r="F17" s="64">
        <v>7.24</v>
      </c>
      <c r="G17" s="64">
        <v>23.23</v>
      </c>
      <c r="H17" s="64">
        <v>11.33</v>
      </c>
      <c r="I17" s="64">
        <v>0.99</v>
      </c>
      <c r="J17" s="64">
        <v>7.0000000000000007E-2</v>
      </c>
      <c r="K17" s="64">
        <v>213.93</v>
      </c>
      <c r="L17" s="64">
        <v>24.53</v>
      </c>
      <c r="M17" s="64">
        <v>98.91</v>
      </c>
      <c r="N17" s="64">
        <v>46.7</v>
      </c>
      <c r="O17" s="64">
        <v>0</v>
      </c>
      <c r="P17" s="64">
        <v>0.19</v>
      </c>
      <c r="Q17" s="64">
        <v>9.08</v>
      </c>
      <c r="R17" s="198"/>
      <c r="S17" s="198"/>
      <c r="T17" s="198"/>
      <c r="U17" s="198"/>
    </row>
    <row r="18" spans="1:21" s="12" customFormat="1" x14ac:dyDescent="0.25">
      <c r="A18" s="213" t="s">
        <v>1789</v>
      </c>
      <c r="B18" s="64">
        <v>5.44</v>
      </c>
      <c r="C18" s="64">
        <v>9.26</v>
      </c>
      <c r="D18" s="64">
        <v>9.1999999999999993</v>
      </c>
      <c r="E18" s="64">
        <v>4.59</v>
      </c>
      <c r="F18" s="64">
        <v>8.4600000000000009</v>
      </c>
      <c r="G18" s="64">
        <v>22.93</v>
      </c>
      <c r="H18" s="64">
        <v>10.42</v>
      </c>
      <c r="I18" s="64">
        <v>1.04</v>
      </c>
      <c r="J18" s="64">
        <v>0.02</v>
      </c>
      <c r="K18" s="64">
        <v>60.48</v>
      </c>
      <c r="L18" s="64">
        <v>24.5</v>
      </c>
      <c r="M18" s="64">
        <v>98.93</v>
      </c>
      <c r="N18" s="64">
        <v>46.8</v>
      </c>
      <c r="O18" s="64">
        <v>0</v>
      </c>
      <c r="P18" s="64">
        <v>0.17</v>
      </c>
      <c r="Q18" s="64">
        <v>9.08</v>
      </c>
      <c r="R18" s="198"/>
      <c r="S18" s="198"/>
      <c r="T18" s="198"/>
      <c r="U18" s="198"/>
    </row>
    <row r="19" spans="1:21" s="12" customFormat="1" x14ac:dyDescent="0.25">
      <c r="A19" s="213" t="s">
        <v>1790</v>
      </c>
      <c r="B19" s="64">
        <v>6.86</v>
      </c>
      <c r="C19" s="64">
        <v>9.0399999999999991</v>
      </c>
      <c r="D19" s="64">
        <v>10.220000000000001</v>
      </c>
      <c r="E19" s="64">
        <v>4.7699999999999996</v>
      </c>
      <c r="F19" s="64">
        <v>5.51</v>
      </c>
      <c r="G19" s="64">
        <v>22.21</v>
      </c>
      <c r="H19" s="64">
        <v>8.18</v>
      </c>
      <c r="I19" s="64">
        <v>1.08</v>
      </c>
      <c r="J19" s="64">
        <v>0.05</v>
      </c>
      <c r="K19" s="64">
        <v>148.33000000000001</v>
      </c>
      <c r="L19" s="64">
        <v>24.44</v>
      </c>
      <c r="M19" s="64">
        <v>98.96</v>
      </c>
      <c r="N19" s="64">
        <v>46.9</v>
      </c>
      <c r="O19" s="64">
        <v>0</v>
      </c>
      <c r="P19" s="64">
        <v>0.23</v>
      </c>
      <c r="Q19" s="64">
        <v>9.06</v>
      </c>
      <c r="R19" s="198"/>
      <c r="S19" s="198"/>
      <c r="T19" s="198"/>
      <c r="U19" s="198"/>
    </row>
    <row r="20" spans="1:21" s="12" customFormat="1" x14ac:dyDescent="0.25">
      <c r="A20" s="213" t="s">
        <v>1791</v>
      </c>
      <c r="B20" s="64">
        <v>6.01</v>
      </c>
      <c r="C20" s="64">
        <v>8.89</v>
      </c>
      <c r="D20" s="64">
        <v>9.4600000000000009</v>
      </c>
      <c r="E20" s="64">
        <v>4.51</v>
      </c>
      <c r="F20" s="64">
        <v>9.16</v>
      </c>
      <c r="G20" s="64">
        <v>22.21</v>
      </c>
      <c r="H20" s="64">
        <v>8.18</v>
      </c>
      <c r="I20" s="64">
        <v>1.07</v>
      </c>
      <c r="J20" s="64">
        <v>0.16</v>
      </c>
      <c r="K20" s="64">
        <v>145.47999999999999</v>
      </c>
      <c r="L20" s="64">
        <v>24.42</v>
      </c>
      <c r="M20" s="64">
        <v>98.97</v>
      </c>
      <c r="N20" s="64">
        <v>47.3</v>
      </c>
      <c r="O20" s="64">
        <v>0</v>
      </c>
      <c r="P20" s="64">
        <v>0.17</v>
      </c>
      <c r="Q20" s="64">
        <v>9.07</v>
      </c>
      <c r="R20" s="198"/>
      <c r="S20" s="198"/>
      <c r="T20" s="198"/>
      <c r="U20" s="198"/>
    </row>
    <row r="21" spans="1:21" s="12" customFormat="1" x14ac:dyDescent="0.25">
      <c r="A21" s="213" t="s">
        <v>1792</v>
      </c>
      <c r="B21" s="64">
        <v>4.72</v>
      </c>
      <c r="C21" s="64">
        <v>8.92</v>
      </c>
      <c r="D21" s="64">
        <v>8.44</v>
      </c>
      <c r="E21" s="64">
        <v>4.6500000000000004</v>
      </c>
      <c r="F21" s="64">
        <v>9.64</v>
      </c>
      <c r="G21" s="64">
        <v>22.21</v>
      </c>
      <c r="H21" s="64">
        <v>8.18</v>
      </c>
      <c r="I21" s="64">
        <v>0.97</v>
      </c>
      <c r="J21" s="64">
        <v>0.13</v>
      </c>
      <c r="K21" s="64">
        <v>161.18</v>
      </c>
      <c r="L21" s="64">
        <v>24.4</v>
      </c>
      <c r="M21" s="64">
        <v>98.98</v>
      </c>
      <c r="N21" s="64">
        <v>47.7</v>
      </c>
      <c r="O21" s="64">
        <v>0</v>
      </c>
      <c r="P21" s="64">
        <v>0.16</v>
      </c>
      <c r="Q21" s="64">
        <v>9.09</v>
      </c>
      <c r="R21" s="198"/>
      <c r="S21" s="198"/>
      <c r="T21" s="198"/>
      <c r="U21" s="198"/>
    </row>
    <row r="22" spans="1:21" s="12" customFormat="1" x14ac:dyDescent="0.25">
      <c r="A22" s="213" t="s">
        <v>1793</v>
      </c>
      <c r="B22" s="64">
        <v>4.62</v>
      </c>
      <c r="C22" s="64">
        <v>8.34</v>
      </c>
      <c r="D22" s="64">
        <v>8.07</v>
      </c>
      <c r="E22" s="64">
        <v>4.9800000000000004</v>
      </c>
      <c r="F22" s="64">
        <v>9.7200000000000006</v>
      </c>
      <c r="G22" s="64">
        <v>21.92</v>
      </c>
      <c r="H22" s="64">
        <v>7.47</v>
      </c>
      <c r="I22" s="64">
        <v>0.98</v>
      </c>
      <c r="J22" s="64">
        <v>0.28000000000000003</v>
      </c>
      <c r="K22" s="64">
        <v>138.9</v>
      </c>
      <c r="L22" s="64">
        <v>24.35</v>
      </c>
      <c r="M22" s="64">
        <v>98.98</v>
      </c>
      <c r="N22" s="64">
        <v>48</v>
      </c>
      <c r="O22" s="64">
        <v>0</v>
      </c>
      <c r="P22" s="64">
        <v>0.15</v>
      </c>
      <c r="Q22" s="64">
        <v>9.11</v>
      </c>
      <c r="R22" s="198"/>
      <c r="S22" s="198"/>
      <c r="T22" s="198"/>
      <c r="U22" s="198"/>
    </row>
    <row r="23" spans="1:21" s="12" customFormat="1" x14ac:dyDescent="0.25">
      <c r="A23" s="213" t="s">
        <v>1794</v>
      </c>
      <c r="B23" s="64">
        <v>4.67</v>
      </c>
      <c r="C23" s="64">
        <v>8.35</v>
      </c>
      <c r="D23" s="64">
        <v>8.11</v>
      </c>
      <c r="E23" s="64">
        <v>4.7</v>
      </c>
      <c r="F23" s="64">
        <v>8.08</v>
      </c>
      <c r="G23" s="64">
        <v>21.2</v>
      </c>
      <c r="H23" s="64">
        <v>5.72</v>
      </c>
      <c r="I23" s="64">
        <v>1.02</v>
      </c>
      <c r="J23" s="64">
        <v>0.14000000000000001</v>
      </c>
      <c r="K23" s="64">
        <v>128.04</v>
      </c>
      <c r="L23" s="64">
        <v>24.31</v>
      </c>
      <c r="M23" s="64">
        <v>98.98</v>
      </c>
      <c r="N23" s="64">
        <v>48.5</v>
      </c>
      <c r="O23" s="64">
        <v>0</v>
      </c>
      <c r="P23" s="64">
        <v>0.15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3" t="s">
        <v>1795</v>
      </c>
      <c r="B24" s="64">
        <v>4.93</v>
      </c>
      <c r="C24" s="64">
        <v>8.9600000000000009</v>
      </c>
      <c r="D24" s="64">
        <v>8.6300000000000008</v>
      </c>
      <c r="E24" s="64">
        <v>4.66</v>
      </c>
      <c r="F24" s="64">
        <v>8.34</v>
      </c>
      <c r="G24" s="64">
        <v>21.2</v>
      </c>
      <c r="H24" s="64">
        <v>5.72</v>
      </c>
      <c r="I24" s="64">
        <v>1.01</v>
      </c>
      <c r="J24" s="64">
        <v>0.06</v>
      </c>
      <c r="K24" s="64">
        <v>167.32</v>
      </c>
      <c r="L24" s="64">
        <v>24.22</v>
      </c>
      <c r="M24" s="64">
        <v>98.98</v>
      </c>
      <c r="N24" s="64">
        <v>48.9</v>
      </c>
      <c r="O24" s="64">
        <v>0</v>
      </c>
      <c r="P24" s="64">
        <v>0.14000000000000001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3" t="s">
        <v>1796</v>
      </c>
      <c r="B25" s="64">
        <v>4.92</v>
      </c>
      <c r="C25" s="64">
        <v>10.33</v>
      </c>
      <c r="D25" s="64">
        <v>9.34</v>
      </c>
      <c r="E25" s="64">
        <v>4.72</v>
      </c>
      <c r="F25" s="64">
        <v>7.36</v>
      </c>
      <c r="G25" s="64">
        <v>21.2</v>
      </c>
      <c r="H25" s="64">
        <v>5.72</v>
      </c>
      <c r="I25" s="64">
        <v>1.02</v>
      </c>
      <c r="J25" s="64">
        <v>0.09</v>
      </c>
      <c r="K25" s="64">
        <v>193.53</v>
      </c>
      <c r="L25" s="64">
        <v>24.18</v>
      </c>
      <c r="M25" s="64">
        <v>98.98</v>
      </c>
      <c r="N25" s="64">
        <v>49.1</v>
      </c>
      <c r="O25" s="64">
        <v>0</v>
      </c>
      <c r="P25" s="64">
        <v>0.15</v>
      </c>
      <c r="Q25" s="64">
        <v>9.14</v>
      </c>
      <c r="R25" s="198"/>
      <c r="S25" s="198"/>
      <c r="T25" s="198"/>
      <c r="U25" s="198"/>
    </row>
    <row r="26" spans="1:21" s="12" customFormat="1" x14ac:dyDescent="0.25">
      <c r="A26" s="213" t="s">
        <v>1797</v>
      </c>
      <c r="B26" s="64">
        <v>6.21</v>
      </c>
      <c r="C26" s="64">
        <v>12.31</v>
      </c>
      <c r="D26" s="64">
        <v>11.41</v>
      </c>
      <c r="E26" s="64">
        <v>4.84</v>
      </c>
      <c r="F26" s="64">
        <v>6.63</v>
      </c>
      <c r="G26" s="64">
        <v>21.09</v>
      </c>
      <c r="H26" s="211" t="s">
        <v>42</v>
      </c>
      <c r="I26" s="64">
        <v>0.99</v>
      </c>
      <c r="J26" s="64">
        <v>0.03</v>
      </c>
      <c r="K26" s="64">
        <v>335.66</v>
      </c>
      <c r="L26" s="64">
        <v>24.14</v>
      </c>
      <c r="M26" s="64">
        <v>98.96</v>
      </c>
      <c r="N26" s="64">
        <v>49.5</v>
      </c>
      <c r="O26" s="64">
        <v>0</v>
      </c>
      <c r="P26" s="64">
        <v>0.15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3" t="s">
        <v>1798</v>
      </c>
      <c r="B27" s="64">
        <v>8.02</v>
      </c>
      <c r="C27" s="64">
        <v>12.65</v>
      </c>
      <c r="D27" s="64">
        <v>13.04</v>
      </c>
      <c r="E27" s="64">
        <v>4.53</v>
      </c>
      <c r="F27" s="64">
        <v>6.5</v>
      </c>
      <c r="G27" s="64">
        <v>20.81</v>
      </c>
      <c r="H27" s="211" t="s">
        <v>42</v>
      </c>
      <c r="I27" s="64">
        <v>0.99</v>
      </c>
      <c r="J27" s="64">
        <v>0.03</v>
      </c>
      <c r="K27" s="64">
        <v>342.46</v>
      </c>
      <c r="L27" s="64">
        <v>24.06</v>
      </c>
      <c r="M27" s="64">
        <v>98.98</v>
      </c>
      <c r="N27" s="64">
        <v>50.1</v>
      </c>
      <c r="O27" s="64">
        <v>0</v>
      </c>
      <c r="P27" s="64">
        <v>0.17</v>
      </c>
      <c r="Q27" s="64">
        <v>9.15</v>
      </c>
      <c r="R27" s="198"/>
      <c r="S27" s="198"/>
      <c r="T27" s="198"/>
      <c r="U27" s="198"/>
    </row>
    <row r="28" spans="1:21" s="12" customFormat="1" x14ac:dyDescent="0.25">
      <c r="A28" s="213" t="s">
        <v>1799</v>
      </c>
      <c r="B28" s="64">
        <v>8.65</v>
      </c>
      <c r="C28" s="64">
        <v>10.76</v>
      </c>
      <c r="D28" s="64">
        <v>12.56</v>
      </c>
      <c r="E28" s="64">
        <v>4.71</v>
      </c>
      <c r="F28" s="64">
        <v>4.6500000000000004</v>
      </c>
      <c r="G28" s="64">
        <v>20.81</v>
      </c>
      <c r="H28" s="211" t="s">
        <v>42</v>
      </c>
      <c r="I28" s="64">
        <v>1</v>
      </c>
      <c r="J28" s="64">
        <v>0.15</v>
      </c>
      <c r="K28" s="64">
        <v>129.38999999999999</v>
      </c>
      <c r="L28" s="64">
        <v>24</v>
      </c>
      <c r="M28" s="64">
        <v>99</v>
      </c>
      <c r="N28" s="64">
        <v>50.6</v>
      </c>
      <c r="O28" s="64">
        <v>0</v>
      </c>
      <c r="P28" s="64">
        <v>0.21</v>
      </c>
      <c r="Q28" s="64">
        <v>9.14</v>
      </c>
      <c r="R28" s="198"/>
      <c r="S28" s="198"/>
      <c r="T28" s="198"/>
      <c r="U28" s="198"/>
    </row>
    <row r="29" spans="1:21" s="12" customFormat="1" x14ac:dyDescent="0.25">
      <c r="A29" s="213" t="s">
        <v>1800</v>
      </c>
      <c r="B29" s="64">
        <v>8.74</v>
      </c>
      <c r="C29" s="64">
        <v>12.97</v>
      </c>
      <c r="D29" s="64">
        <v>13.79</v>
      </c>
      <c r="E29" s="64">
        <v>4.67</v>
      </c>
      <c r="F29" s="64">
        <v>5.39</v>
      </c>
      <c r="G29" s="64">
        <v>20.81</v>
      </c>
      <c r="H29" s="211" t="s">
        <v>42</v>
      </c>
      <c r="I29" s="64">
        <v>0.98</v>
      </c>
      <c r="J29" s="64">
        <v>0.08</v>
      </c>
      <c r="K29" s="64">
        <v>136.84</v>
      </c>
      <c r="L29" s="64">
        <v>23.99</v>
      </c>
      <c r="M29" s="64">
        <v>99.03</v>
      </c>
      <c r="N29" s="64">
        <v>51.4</v>
      </c>
      <c r="O29" s="64">
        <v>0</v>
      </c>
      <c r="P29" s="64">
        <v>0.18</v>
      </c>
      <c r="Q29" s="64">
        <v>9.1300000000000008</v>
      </c>
      <c r="R29" s="198"/>
      <c r="S29" s="198"/>
      <c r="T29" s="198"/>
      <c r="U29" s="198"/>
    </row>
    <row r="30" spans="1:21" s="12" customFormat="1" x14ac:dyDescent="0.25">
      <c r="A30" s="213" t="s">
        <v>1801</v>
      </c>
      <c r="B30" s="64">
        <v>7.03</v>
      </c>
      <c r="C30" s="64">
        <v>12.45</v>
      </c>
      <c r="D30" s="64">
        <v>12.14</v>
      </c>
      <c r="E30" s="64">
        <v>4.4400000000000004</v>
      </c>
      <c r="F30" s="64">
        <v>6.84</v>
      </c>
      <c r="G30" s="64">
        <v>21.25</v>
      </c>
      <c r="H30" s="211" t="s">
        <v>42</v>
      </c>
      <c r="I30" s="64">
        <v>0.94</v>
      </c>
      <c r="J30" s="64">
        <v>0.05</v>
      </c>
      <c r="K30" s="64">
        <v>247.23</v>
      </c>
      <c r="L30" s="64">
        <v>23.99</v>
      </c>
      <c r="M30" s="64">
        <v>99.03</v>
      </c>
      <c r="N30" s="64">
        <v>53.9</v>
      </c>
      <c r="O30" s="64">
        <v>0</v>
      </c>
      <c r="P30" s="64">
        <v>0.17</v>
      </c>
      <c r="Q30" s="64">
        <v>9.14</v>
      </c>
      <c r="R30" s="198"/>
      <c r="S30" s="198"/>
      <c r="T30" s="198"/>
      <c r="U30" s="198"/>
    </row>
    <row r="31" spans="1:21" s="12" customFormat="1" x14ac:dyDescent="0.25">
      <c r="A31" s="213" t="s">
        <v>1802</v>
      </c>
      <c r="B31" s="64">
        <v>7.9</v>
      </c>
      <c r="C31" s="64">
        <v>11.61</v>
      </c>
      <c r="D31" s="64">
        <v>12.4</v>
      </c>
      <c r="E31" s="64">
        <v>4.5999999999999996</v>
      </c>
      <c r="F31" s="64">
        <v>4.92</v>
      </c>
      <c r="G31" s="64">
        <v>22.34</v>
      </c>
      <c r="H31" s="211" t="s">
        <v>42</v>
      </c>
      <c r="I31" s="64">
        <v>0.92</v>
      </c>
      <c r="J31" s="64">
        <v>0.02</v>
      </c>
      <c r="K31" s="64">
        <v>256.20999999999998</v>
      </c>
      <c r="L31" s="64">
        <v>23.94</v>
      </c>
      <c r="M31" s="64">
        <v>99.03</v>
      </c>
      <c r="N31" s="64">
        <v>61.1</v>
      </c>
      <c r="O31" s="64">
        <v>0</v>
      </c>
      <c r="P31" s="64">
        <v>0.19</v>
      </c>
      <c r="Q31" s="64">
        <v>9.1300000000000008</v>
      </c>
      <c r="R31" s="198"/>
      <c r="S31" s="198"/>
      <c r="T31" s="198"/>
      <c r="U31" s="198"/>
    </row>
    <row r="32" spans="1:21" s="12" customFormat="1" x14ac:dyDescent="0.25">
      <c r="A32" s="213" t="s">
        <v>1803</v>
      </c>
      <c r="B32" s="64">
        <v>8.92</v>
      </c>
      <c r="C32" s="64">
        <v>13.26</v>
      </c>
      <c r="D32" s="64">
        <v>14.08</v>
      </c>
      <c r="E32" s="64">
        <v>4.84</v>
      </c>
      <c r="F32" s="64">
        <v>6.18</v>
      </c>
      <c r="G32" s="64">
        <v>22.34</v>
      </c>
      <c r="H32" s="211" t="s">
        <v>42</v>
      </c>
      <c r="I32" s="64">
        <v>0.9</v>
      </c>
      <c r="J32" s="64">
        <v>0.13</v>
      </c>
      <c r="K32" s="64">
        <v>135.19</v>
      </c>
      <c r="L32" s="64">
        <v>24.05</v>
      </c>
      <c r="M32" s="64">
        <v>99.04</v>
      </c>
      <c r="N32" s="64">
        <v>74.8</v>
      </c>
      <c r="O32" s="64">
        <v>0</v>
      </c>
      <c r="P32" s="64">
        <v>0.22</v>
      </c>
      <c r="Q32" s="64">
        <v>9.1199999999999992</v>
      </c>
      <c r="R32" s="198"/>
      <c r="S32" s="198"/>
      <c r="T32" s="198"/>
      <c r="U32" s="198"/>
    </row>
    <row r="33" spans="1:21" s="12" customFormat="1" x14ac:dyDescent="0.25">
      <c r="A33" s="213" t="s">
        <v>1804</v>
      </c>
      <c r="B33" s="64">
        <v>9.49</v>
      </c>
      <c r="C33" s="64">
        <v>17.27</v>
      </c>
      <c r="D33" s="64">
        <v>16.63</v>
      </c>
      <c r="E33" s="64">
        <v>4.72</v>
      </c>
      <c r="F33" s="64">
        <v>5.88</v>
      </c>
      <c r="G33" s="64">
        <v>22.34</v>
      </c>
      <c r="H33" s="211" t="s">
        <v>42</v>
      </c>
      <c r="I33" s="64">
        <v>0.89</v>
      </c>
      <c r="J33" s="64">
        <v>0.81</v>
      </c>
      <c r="K33" s="64">
        <v>135.30000000000001</v>
      </c>
      <c r="L33" s="64">
        <v>24.29</v>
      </c>
      <c r="M33" s="64">
        <v>99.03</v>
      </c>
      <c r="N33" s="64">
        <v>104</v>
      </c>
      <c r="O33" s="64">
        <v>0</v>
      </c>
      <c r="P33" s="64">
        <v>0.2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13" t="s">
        <v>1805</v>
      </c>
      <c r="B34" s="64">
        <v>10.7</v>
      </c>
      <c r="C34" s="64">
        <v>10.97</v>
      </c>
      <c r="D34" s="64">
        <v>14.31</v>
      </c>
      <c r="E34" s="64">
        <v>4.7300000000000004</v>
      </c>
      <c r="F34" s="64">
        <v>4.12</v>
      </c>
      <c r="G34" s="64">
        <v>22.65</v>
      </c>
      <c r="H34" s="211" t="s">
        <v>42</v>
      </c>
      <c r="I34" s="64">
        <v>0.91</v>
      </c>
      <c r="J34" s="64">
        <v>0.73</v>
      </c>
      <c r="K34" s="64">
        <v>133.88999999999999</v>
      </c>
      <c r="L34" s="64">
        <v>24.55</v>
      </c>
      <c r="M34" s="64">
        <v>99</v>
      </c>
      <c r="N34" s="64">
        <v>131.4</v>
      </c>
      <c r="O34" s="64">
        <v>0</v>
      </c>
      <c r="P34" s="64">
        <v>0.21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3" t="s">
        <v>1806</v>
      </c>
      <c r="B35" s="64">
        <v>9.9700000000000006</v>
      </c>
      <c r="C35" s="64">
        <v>11.34</v>
      </c>
      <c r="D35" s="64">
        <v>13.92</v>
      </c>
      <c r="E35" s="64">
        <v>4.58</v>
      </c>
      <c r="F35" s="64">
        <v>5.8</v>
      </c>
      <c r="G35" s="64">
        <v>23.42</v>
      </c>
      <c r="H35" s="211" t="s">
        <v>42</v>
      </c>
      <c r="I35" s="64">
        <v>0.91</v>
      </c>
      <c r="J35" s="64">
        <v>0.63</v>
      </c>
      <c r="K35" s="64">
        <v>139.33000000000001</v>
      </c>
      <c r="L35" s="64">
        <v>24.69</v>
      </c>
      <c r="M35" s="64">
        <v>98.98</v>
      </c>
      <c r="N35" s="64">
        <v>135.4</v>
      </c>
      <c r="O35" s="64">
        <v>0</v>
      </c>
      <c r="P35" s="64">
        <v>0.21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3" t="s">
        <v>1807</v>
      </c>
      <c r="B36" s="64">
        <v>10.58</v>
      </c>
      <c r="C36" s="64">
        <v>10.96</v>
      </c>
      <c r="D36" s="64">
        <v>14.21</v>
      </c>
      <c r="E36" s="64">
        <v>4.59</v>
      </c>
      <c r="F36" s="64">
        <v>5.16</v>
      </c>
      <c r="G36" s="64">
        <v>23.42</v>
      </c>
      <c r="H36" s="211" t="s">
        <v>42</v>
      </c>
      <c r="I36" s="64">
        <v>0.9</v>
      </c>
      <c r="J36" s="64">
        <v>0.31</v>
      </c>
      <c r="K36" s="64">
        <v>135.36000000000001</v>
      </c>
      <c r="L36" s="64">
        <v>24.86</v>
      </c>
      <c r="M36" s="64">
        <v>98.98</v>
      </c>
      <c r="N36" s="64">
        <v>165.1</v>
      </c>
      <c r="O36" s="64">
        <v>0</v>
      </c>
      <c r="P36" s="64">
        <v>0.21</v>
      </c>
      <c r="Q36" s="64">
        <v>9.15</v>
      </c>
      <c r="R36" s="198"/>
      <c r="S36" s="198"/>
      <c r="T36" s="198"/>
      <c r="U36" s="198"/>
    </row>
    <row r="37" spans="1:21" s="12" customFormat="1" x14ac:dyDescent="0.25">
      <c r="A37" s="213" t="s">
        <v>1808</v>
      </c>
      <c r="B37" s="64">
        <v>9.85</v>
      </c>
      <c r="C37" s="64">
        <v>11.1</v>
      </c>
      <c r="D37" s="64">
        <v>13.7</v>
      </c>
      <c r="E37" s="64">
        <v>4.45</v>
      </c>
      <c r="F37" s="64">
        <v>6.96</v>
      </c>
      <c r="G37" s="64">
        <v>23.42</v>
      </c>
      <c r="H37" s="211" t="s">
        <v>42</v>
      </c>
      <c r="I37" s="64">
        <v>0.9</v>
      </c>
      <c r="J37" s="64">
        <v>7.0000000000000007E-2</v>
      </c>
      <c r="K37" s="64">
        <v>266.13</v>
      </c>
      <c r="L37" s="64">
        <v>25.27</v>
      </c>
      <c r="M37" s="64">
        <v>98.99</v>
      </c>
      <c r="N37" s="64">
        <v>184.2</v>
      </c>
      <c r="O37" s="64">
        <v>0</v>
      </c>
      <c r="P37" s="64">
        <v>0.18</v>
      </c>
      <c r="Q37" s="64">
        <v>9.14</v>
      </c>
      <c r="R37" s="198"/>
      <c r="S37" s="198"/>
      <c r="T37" s="198"/>
      <c r="U37" s="198"/>
    </row>
    <row r="38" spans="1:21" s="12" customFormat="1" x14ac:dyDescent="0.25">
      <c r="A38" s="213" t="s">
        <v>1809</v>
      </c>
      <c r="B38" s="64">
        <v>8.31</v>
      </c>
      <c r="C38" s="64">
        <v>10.72</v>
      </c>
      <c r="D38" s="64">
        <v>12.26</v>
      </c>
      <c r="E38" s="64">
        <v>4.3600000000000003</v>
      </c>
      <c r="F38" s="64">
        <v>9.6999999999999993</v>
      </c>
      <c r="G38" s="64">
        <v>24.53</v>
      </c>
      <c r="H38" s="211" t="s">
        <v>42</v>
      </c>
      <c r="I38" s="64">
        <v>0.92</v>
      </c>
      <c r="J38" s="64">
        <v>0.1</v>
      </c>
      <c r="K38" s="64">
        <v>260.10000000000002</v>
      </c>
      <c r="L38" s="64">
        <v>25.43</v>
      </c>
      <c r="M38" s="64">
        <v>98.97</v>
      </c>
      <c r="N38" s="64">
        <v>202.3</v>
      </c>
      <c r="O38" s="64">
        <v>0</v>
      </c>
      <c r="P38" s="64">
        <v>0.22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13" t="s">
        <v>1810</v>
      </c>
      <c r="B39" s="64">
        <v>8.66</v>
      </c>
      <c r="C39" s="64">
        <v>11.03</v>
      </c>
      <c r="D39" s="64">
        <v>12.7</v>
      </c>
      <c r="E39" s="64">
        <v>4.6100000000000003</v>
      </c>
      <c r="F39" s="64">
        <v>8.86</v>
      </c>
      <c r="G39" s="64">
        <v>27.28</v>
      </c>
      <c r="H39" s="64">
        <v>18.21</v>
      </c>
      <c r="I39" s="64">
        <v>0.9</v>
      </c>
      <c r="J39" s="64">
        <v>0.17</v>
      </c>
      <c r="K39" s="64">
        <v>174.56</v>
      </c>
      <c r="L39" s="64">
        <v>25.51</v>
      </c>
      <c r="M39" s="64">
        <v>98.97</v>
      </c>
      <c r="N39" s="64">
        <v>217.7</v>
      </c>
      <c r="O39" s="64">
        <v>0</v>
      </c>
      <c r="P39" s="64">
        <v>0.22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3" t="s">
        <v>1811</v>
      </c>
      <c r="B40" s="64">
        <v>12.05</v>
      </c>
      <c r="C40" s="64">
        <v>13.07</v>
      </c>
      <c r="D40" s="64">
        <v>16.489999999999998</v>
      </c>
      <c r="E40" s="64">
        <v>5.12</v>
      </c>
      <c r="F40" s="64">
        <v>8.7100000000000009</v>
      </c>
      <c r="G40" s="64">
        <v>27.28</v>
      </c>
      <c r="H40" s="64">
        <v>18.21</v>
      </c>
      <c r="I40" s="64">
        <v>0.91</v>
      </c>
      <c r="J40" s="64">
        <v>0.51</v>
      </c>
      <c r="K40" s="64">
        <v>145.30000000000001</v>
      </c>
      <c r="L40" s="64">
        <v>25.78</v>
      </c>
      <c r="M40" s="64">
        <v>98.94</v>
      </c>
      <c r="N40" s="64">
        <v>267.8</v>
      </c>
      <c r="O40" s="64">
        <v>0</v>
      </c>
      <c r="P40" s="64">
        <v>0.22</v>
      </c>
      <c r="Q40" s="64">
        <v>9.18</v>
      </c>
      <c r="R40" s="198"/>
      <c r="S40" s="198"/>
      <c r="T40" s="198"/>
      <c r="U40" s="198"/>
    </row>
    <row r="41" spans="1:21" s="12" customFormat="1" x14ac:dyDescent="0.25">
      <c r="A41" s="213" t="s">
        <v>1812</v>
      </c>
      <c r="B41" s="64">
        <v>10.54</v>
      </c>
      <c r="C41" s="64">
        <v>11.6</v>
      </c>
      <c r="D41" s="64">
        <v>14.52</v>
      </c>
      <c r="E41" s="64">
        <v>4.91</v>
      </c>
      <c r="F41" s="64">
        <v>7.05</v>
      </c>
      <c r="G41" s="64">
        <v>27.28</v>
      </c>
      <c r="H41" s="64">
        <v>18.21</v>
      </c>
      <c r="I41" s="64">
        <v>0.92</v>
      </c>
      <c r="J41" s="64">
        <v>0.13</v>
      </c>
      <c r="K41" s="64">
        <v>212.86</v>
      </c>
      <c r="L41" s="64">
        <v>26.12</v>
      </c>
      <c r="M41" s="64">
        <v>98.95</v>
      </c>
      <c r="N41" s="64">
        <v>311.89999999999998</v>
      </c>
      <c r="O41" s="64">
        <v>0</v>
      </c>
      <c r="P41" s="64">
        <v>0.22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3" t="s">
        <v>1813</v>
      </c>
      <c r="B42" s="64">
        <v>9.82</v>
      </c>
      <c r="C42" s="64">
        <v>11.02</v>
      </c>
      <c r="D42" s="64">
        <v>13.63</v>
      </c>
      <c r="E42" s="64">
        <v>5.15</v>
      </c>
      <c r="F42" s="64">
        <v>9.1</v>
      </c>
      <c r="G42" s="64">
        <v>27.83</v>
      </c>
      <c r="H42" s="64">
        <v>13.32</v>
      </c>
      <c r="I42" s="64">
        <v>0.94</v>
      </c>
      <c r="J42" s="64">
        <v>0.21</v>
      </c>
      <c r="K42" s="64">
        <v>145.43</v>
      </c>
      <c r="L42" s="64">
        <v>26.79</v>
      </c>
      <c r="M42" s="64">
        <v>98.93</v>
      </c>
      <c r="N42" s="64">
        <v>420.8</v>
      </c>
      <c r="O42" s="64">
        <v>0</v>
      </c>
      <c r="P42" s="64">
        <v>0.22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3" t="s">
        <v>1814</v>
      </c>
      <c r="B43" s="64">
        <v>9.36</v>
      </c>
      <c r="C43" s="64">
        <v>12.15</v>
      </c>
      <c r="D43" s="64">
        <v>13.85</v>
      </c>
      <c r="E43" s="64">
        <v>4.82</v>
      </c>
      <c r="F43" s="64">
        <v>10.01</v>
      </c>
      <c r="G43" s="64">
        <v>29.28</v>
      </c>
      <c r="H43" s="64">
        <v>1.29</v>
      </c>
      <c r="I43" s="64">
        <v>0.92</v>
      </c>
      <c r="J43" s="64">
        <v>0.13</v>
      </c>
      <c r="K43" s="64">
        <v>158.35</v>
      </c>
      <c r="L43" s="64">
        <v>27.69</v>
      </c>
      <c r="M43" s="64">
        <v>97.89</v>
      </c>
      <c r="N43" s="64">
        <v>441.5</v>
      </c>
      <c r="O43" s="64">
        <v>0</v>
      </c>
      <c r="P43" s="64">
        <v>0.22</v>
      </c>
      <c r="Q43" s="64">
        <v>9.19</v>
      </c>
      <c r="R43" s="198"/>
      <c r="S43" s="198"/>
      <c r="T43" s="198"/>
      <c r="U43" s="198"/>
    </row>
    <row r="44" spans="1:21" s="12" customFormat="1" x14ac:dyDescent="0.25">
      <c r="A44" s="213" t="s">
        <v>1815</v>
      </c>
      <c r="B44" s="64">
        <v>10.61</v>
      </c>
      <c r="C44" s="64">
        <v>12.04</v>
      </c>
      <c r="D44" s="64">
        <v>14.8</v>
      </c>
      <c r="E44" s="64">
        <v>5.21</v>
      </c>
      <c r="F44" s="64">
        <v>7.26</v>
      </c>
      <c r="G44" s="64">
        <v>29.28</v>
      </c>
      <c r="H44" s="64">
        <v>1.29</v>
      </c>
      <c r="I44" s="64">
        <v>0.92</v>
      </c>
      <c r="J44" s="64">
        <v>0.13</v>
      </c>
      <c r="K44" s="64">
        <v>232.48</v>
      </c>
      <c r="L44" s="64">
        <v>28.49</v>
      </c>
      <c r="M44" s="64">
        <v>93.3</v>
      </c>
      <c r="N44" s="64">
        <v>566.70000000000005</v>
      </c>
      <c r="O44" s="64">
        <v>0</v>
      </c>
      <c r="P44" s="64">
        <v>0.23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3" t="s">
        <v>1816</v>
      </c>
      <c r="B45" s="64">
        <v>10.15</v>
      </c>
      <c r="C45" s="64">
        <v>10.46</v>
      </c>
      <c r="D45" s="64">
        <v>13.6</v>
      </c>
      <c r="E45" s="64">
        <v>5.01</v>
      </c>
      <c r="F45" s="64">
        <v>5.85</v>
      </c>
      <c r="G45" s="64">
        <v>29.28</v>
      </c>
      <c r="H45" s="64">
        <v>1.29</v>
      </c>
      <c r="I45" s="64">
        <v>0.96</v>
      </c>
      <c r="J45" s="64">
        <v>0.15</v>
      </c>
      <c r="K45" s="64">
        <v>252.14</v>
      </c>
      <c r="L45" s="64">
        <v>29.1</v>
      </c>
      <c r="M45" s="64">
        <v>90.57</v>
      </c>
      <c r="N45" s="64">
        <v>602</v>
      </c>
      <c r="O45" s="64">
        <v>0</v>
      </c>
      <c r="P45" s="64">
        <v>0.22</v>
      </c>
      <c r="Q45" s="64">
        <v>9.19</v>
      </c>
      <c r="R45" s="198"/>
      <c r="S45" s="198"/>
      <c r="T45" s="198"/>
      <c r="U45" s="198"/>
    </row>
    <row r="46" spans="1:21" s="12" customFormat="1" x14ac:dyDescent="0.25">
      <c r="A46" s="213" t="s">
        <v>1817</v>
      </c>
      <c r="B46" s="64">
        <v>10.35</v>
      </c>
      <c r="C46" s="64">
        <v>10.37</v>
      </c>
      <c r="D46" s="64">
        <v>13.72</v>
      </c>
      <c r="E46" s="64">
        <v>5</v>
      </c>
      <c r="F46" s="64">
        <v>4.07</v>
      </c>
      <c r="G46" s="64">
        <v>28.48</v>
      </c>
      <c r="H46" s="64">
        <v>5.76</v>
      </c>
      <c r="I46" s="64">
        <v>0.97</v>
      </c>
      <c r="J46" s="64">
        <v>0.16</v>
      </c>
      <c r="K46" s="64">
        <v>257.83999999999997</v>
      </c>
      <c r="L46" s="64">
        <v>29.29</v>
      </c>
      <c r="M46" s="64">
        <v>89.31</v>
      </c>
      <c r="N46" s="64">
        <v>706.6</v>
      </c>
      <c r="O46" s="64">
        <v>0</v>
      </c>
      <c r="P46" s="64">
        <v>0.23</v>
      </c>
      <c r="Q46" s="64">
        <v>9.15</v>
      </c>
      <c r="R46" s="198"/>
      <c r="S46" s="198"/>
      <c r="T46" s="198"/>
      <c r="U46" s="198"/>
    </row>
    <row r="47" spans="1:21" s="12" customFormat="1" x14ac:dyDescent="0.25">
      <c r="A47" s="213" t="s">
        <v>1818</v>
      </c>
      <c r="B47" s="64">
        <v>9.81</v>
      </c>
      <c r="C47" s="64">
        <v>10.7</v>
      </c>
      <c r="D47" s="64">
        <v>13.46</v>
      </c>
      <c r="E47" s="64">
        <v>5.15</v>
      </c>
      <c r="F47" s="64">
        <v>5.15</v>
      </c>
      <c r="G47" s="64">
        <v>26.53</v>
      </c>
      <c r="H47" s="64">
        <v>16.739999999999998</v>
      </c>
      <c r="I47" s="64">
        <v>0.94</v>
      </c>
      <c r="J47" s="64">
        <v>0.18</v>
      </c>
      <c r="K47" s="64">
        <v>291.49</v>
      </c>
      <c r="L47" s="64">
        <v>29</v>
      </c>
      <c r="M47" s="64">
        <v>91.59</v>
      </c>
      <c r="N47" s="64">
        <v>663.6</v>
      </c>
      <c r="O47" s="64">
        <v>0</v>
      </c>
      <c r="P47" s="64">
        <v>0.24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3" t="s">
        <v>1819</v>
      </c>
      <c r="B48" s="64">
        <v>10.74</v>
      </c>
      <c r="C48" s="64">
        <v>11.33</v>
      </c>
      <c r="D48" s="64">
        <v>14.53</v>
      </c>
      <c r="E48" s="64">
        <v>4.95</v>
      </c>
      <c r="F48" s="64">
        <v>7.88</v>
      </c>
      <c r="G48" s="64">
        <v>26.53</v>
      </c>
      <c r="H48" s="64">
        <v>16.739999999999998</v>
      </c>
      <c r="I48" s="64">
        <v>0.91</v>
      </c>
      <c r="J48" s="64">
        <v>0.12</v>
      </c>
      <c r="K48" s="64">
        <v>226.75</v>
      </c>
      <c r="L48" s="64">
        <v>30.15</v>
      </c>
      <c r="M48" s="64">
        <v>86.91</v>
      </c>
      <c r="N48" s="64">
        <v>733.7</v>
      </c>
      <c r="O48" s="64">
        <v>0</v>
      </c>
      <c r="P48" s="64">
        <v>0.27</v>
      </c>
      <c r="Q48" s="64">
        <v>9.1</v>
      </c>
      <c r="R48" s="198"/>
      <c r="S48" s="198"/>
      <c r="T48" s="198"/>
      <c r="U48" s="198"/>
    </row>
    <row r="49" spans="1:21" s="12" customFormat="1" x14ac:dyDescent="0.25">
      <c r="A49" s="213" t="s">
        <v>1820</v>
      </c>
      <c r="B49" s="64">
        <v>8.9700000000000006</v>
      </c>
      <c r="C49" s="64">
        <v>12.25</v>
      </c>
      <c r="D49" s="64">
        <v>13.51</v>
      </c>
      <c r="E49" s="64">
        <v>4.9400000000000004</v>
      </c>
      <c r="F49" s="64">
        <v>3.88</v>
      </c>
      <c r="G49" s="64">
        <v>26.53</v>
      </c>
      <c r="H49" s="64">
        <v>16.739999999999998</v>
      </c>
      <c r="I49" s="64">
        <v>0.9</v>
      </c>
      <c r="J49" s="64">
        <v>0.2</v>
      </c>
      <c r="K49" s="64">
        <v>269.52999999999997</v>
      </c>
      <c r="L49" s="64">
        <v>30.93</v>
      </c>
      <c r="M49" s="64">
        <v>82.3</v>
      </c>
      <c r="N49" s="64">
        <v>761.2</v>
      </c>
      <c r="O49" s="64">
        <v>0</v>
      </c>
      <c r="P49" s="64">
        <v>0.25</v>
      </c>
      <c r="Q49" s="64">
        <v>9.08</v>
      </c>
      <c r="R49" s="198"/>
      <c r="S49" s="198"/>
      <c r="T49" s="198"/>
      <c r="U49" s="198"/>
    </row>
    <row r="50" spans="1:21" s="12" customFormat="1" x14ac:dyDescent="0.25">
      <c r="A50" s="213" t="s">
        <v>1821</v>
      </c>
      <c r="B50" s="64">
        <v>8.57</v>
      </c>
      <c r="C50" s="64">
        <v>12.49</v>
      </c>
      <c r="D50" s="64">
        <v>13.4</v>
      </c>
      <c r="E50" s="64">
        <v>4.91</v>
      </c>
      <c r="F50" s="64">
        <v>7.25</v>
      </c>
      <c r="G50" s="64">
        <v>28.82</v>
      </c>
      <c r="H50" s="64">
        <v>16.87</v>
      </c>
      <c r="I50" s="64">
        <v>0.91</v>
      </c>
      <c r="J50" s="64">
        <v>0.11</v>
      </c>
      <c r="K50" s="64">
        <v>290.66000000000003</v>
      </c>
      <c r="L50" s="64">
        <v>31.41</v>
      </c>
      <c r="M50" s="64">
        <v>80.53</v>
      </c>
      <c r="N50" s="64">
        <v>735.7</v>
      </c>
      <c r="O50" s="64">
        <v>0</v>
      </c>
      <c r="P50" s="64">
        <v>0.26</v>
      </c>
      <c r="Q50" s="64">
        <v>9.06</v>
      </c>
      <c r="R50" s="198"/>
      <c r="S50" s="198"/>
      <c r="T50" s="198"/>
      <c r="U50" s="198"/>
    </row>
    <row r="51" spans="1:21" s="12" customFormat="1" x14ac:dyDescent="0.25">
      <c r="A51" s="213" t="s">
        <v>1822</v>
      </c>
      <c r="B51" s="64">
        <v>7.78</v>
      </c>
      <c r="C51" s="64">
        <v>13.32</v>
      </c>
      <c r="D51" s="64">
        <v>13.2</v>
      </c>
      <c r="E51" s="64">
        <v>4.91</v>
      </c>
      <c r="F51" s="64">
        <v>6.25</v>
      </c>
      <c r="G51" s="64">
        <v>34.76</v>
      </c>
      <c r="H51" s="64">
        <v>17.170000000000002</v>
      </c>
      <c r="I51" s="64">
        <v>0.85</v>
      </c>
      <c r="J51" s="64">
        <v>0.18</v>
      </c>
      <c r="K51" s="64">
        <v>264.3</v>
      </c>
      <c r="L51" s="64">
        <v>30.86</v>
      </c>
      <c r="M51" s="64">
        <v>83.5</v>
      </c>
      <c r="N51" s="64">
        <v>834.6</v>
      </c>
      <c r="O51" s="64">
        <v>0</v>
      </c>
      <c r="P51" s="64">
        <v>0.25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1823</v>
      </c>
      <c r="B52" s="64">
        <v>6.93</v>
      </c>
      <c r="C52" s="64">
        <v>13.69</v>
      </c>
      <c r="D52" s="64">
        <v>12.71</v>
      </c>
      <c r="E52" s="64">
        <v>4.87</v>
      </c>
      <c r="F52" s="64">
        <v>5.0599999999999996</v>
      </c>
      <c r="G52" s="64">
        <v>34.76</v>
      </c>
      <c r="H52" s="64">
        <v>17.170000000000002</v>
      </c>
      <c r="I52" s="64">
        <v>0.81</v>
      </c>
      <c r="J52" s="64">
        <v>0.12</v>
      </c>
      <c r="K52" s="64">
        <v>223.5</v>
      </c>
      <c r="L52" s="64">
        <v>31.02</v>
      </c>
      <c r="M52" s="64">
        <v>80.61</v>
      </c>
      <c r="N52" s="64">
        <v>767.9</v>
      </c>
      <c r="O52" s="64">
        <v>0</v>
      </c>
      <c r="P52" s="64">
        <v>0.26</v>
      </c>
      <c r="Q52" s="64">
        <v>9.0299999999999994</v>
      </c>
      <c r="R52" s="198"/>
      <c r="S52" s="198"/>
      <c r="T52" s="198"/>
      <c r="U52" s="198"/>
    </row>
    <row r="53" spans="1:21" s="12" customFormat="1" x14ac:dyDescent="0.25">
      <c r="A53" s="213" t="s">
        <v>1824</v>
      </c>
      <c r="B53" s="64">
        <v>6.49</v>
      </c>
      <c r="C53" s="64">
        <v>14.43</v>
      </c>
      <c r="D53" s="64">
        <v>12.74</v>
      </c>
      <c r="E53" s="64">
        <v>4.78</v>
      </c>
      <c r="F53" s="64">
        <v>3.87</v>
      </c>
      <c r="G53" s="64">
        <v>34.76</v>
      </c>
      <c r="H53" s="64">
        <v>17.170000000000002</v>
      </c>
      <c r="I53" s="64">
        <v>0.83</v>
      </c>
      <c r="J53" s="64">
        <v>0.17</v>
      </c>
      <c r="K53" s="64">
        <v>256.98</v>
      </c>
      <c r="L53" s="64">
        <v>31.33</v>
      </c>
      <c r="M53" s="64">
        <v>78.7</v>
      </c>
      <c r="N53" s="64">
        <v>814.9</v>
      </c>
      <c r="O53" s="64">
        <v>0</v>
      </c>
      <c r="P53" s="64">
        <v>0.26</v>
      </c>
      <c r="Q53" s="64">
        <v>9.02</v>
      </c>
      <c r="R53" s="198"/>
      <c r="S53" s="198"/>
      <c r="T53" s="198"/>
      <c r="U53" s="198"/>
    </row>
    <row r="54" spans="1:21" s="12" customFormat="1" x14ac:dyDescent="0.25">
      <c r="A54" s="213" t="s">
        <v>1825</v>
      </c>
      <c r="B54" s="64">
        <v>7.42</v>
      </c>
      <c r="C54" s="64">
        <v>15.26</v>
      </c>
      <c r="D54" s="64">
        <v>13.92</v>
      </c>
      <c r="E54" s="64">
        <v>4.49</v>
      </c>
      <c r="F54" s="64">
        <v>8.34</v>
      </c>
      <c r="G54" s="64">
        <v>35.08</v>
      </c>
      <c r="H54" s="64">
        <v>15.78</v>
      </c>
      <c r="I54" s="64">
        <v>0.9</v>
      </c>
      <c r="J54" s="64">
        <v>0.1</v>
      </c>
      <c r="K54" s="64">
        <v>282.94</v>
      </c>
      <c r="L54" s="64">
        <v>31.83</v>
      </c>
      <c r="M54" s="64">
        <v>77.55</v>
      </c>
      <c r="N54" s="64">
        <v>643.29999999999995</v>
      </c>
      <c r="O54" s="64">
        <v>0</v>
      </c>
      <c r="P54" s="64">
        <v>0.28000000000000003</v>
      </c>
      <c r="Q54" s="64">
        <v>9</v>
      </c>
      <c r="R54" s="198"/>
      <c r="S54" s="198"/>
      <c r="T54" s="198"/>
      <c r="U54" s="198"/>
    </row>
    <row r="55" spans="1:21" s="12" customFormat="1" x14ac:dyDescent="0.25">
      <c r="A55" s="213" t="s">
        <v>1826</v>
      </c>
      <c r="B55" s="64">
        <v>6.65</v>
      </c>
      <c r="C55" s="64">
        <v>14.71</v>
      </c>
      <c r="D55" s="64">
        <v>13.02</v>
      </c>
      <c r="E55" s="64">
        <v>4.3600000000000003</v>
      </c>
      <c r="F55" s="64">
        <v>5.21</v>
      </c>
      <c r="G55" s="64">
        <v>35.880000000000003</v>
      </c>
      <c r="H55" s="64">
        <v>12.35</v>
      </c>
      <c r="I55" s="64">
        <v>0.88</v>
      </c>
      <c r="J55" s="64">
        <v>0.09</v>
      </c>
      <c r="K55" s="64">
        <v>236.33</v>
      </c>
      <c r="L55" s="64">
        <v>31.4</v>
      </c>
      <c r="M55" s="64">
        <v>76.739999999999995</v>
      </c>
      <c r="N55" s="64">
        <v>602.1</v>
      </c>
      <c r="O55" s="64">
        <v>0</v>
      </c>
      <c r="P55" s="64">
        <v>0.28000000000000003</v>
      </c>
      <c r="Q55" s="64">
        <v>8.99</v>
      </c>
      <c r="R55" s="198"/>
      <c r="S55" s="198"/>
      <c r="T55" s="198"/>
      <c r="U55" s="198"/>
    </row>
    <row r="56" spans="1:21" s="12" customFormat="1" x14ac:dyDescent="0.25">
      <c r="A56" s="213" t="s">
        <v>1827</v>
      </c>
      <c r="B56" s="64">
        <v>6.15</v>
      </c>
      <c r="C56" s="64">
        <v>14.52</v>
      </c>
      <c r="D56" s="64">
        <v>12.52</v>
      </c>
      <c r="E56" s="64">
        <v>4.62</v>
      </c>
      <c r="F56" s="64">
        <v>12.6</v>
      </c>
      <c r="G56" s="64">
        <v>35.880000000000003</v>
      </c>
      <c r="H56" s="64">
        <v>12.35</v>
      </c>
      <c r="I56" s="64">
        <v>0.84</v>
      </c>
      <c r="J56" s="64">
        <v>0.1</v>
      </c>
      <c r="K56" s="64">
        <v>172.12</v>
      </c>
      <c r="L56" s="64">
        <v>31.14</v>
      </c>
      <c r="M56" s="64">
        <v>76.75</v>
      </c>
      <c r="N56" s="64">
        <v>538.4</v>
      </c>
      <c r="O56" s="64">
        <v>0</v>
      </c>
      <c r="P56" s="64">
        <v>0.25</v>
      </c>
      <c r="Q56" s="64">
        <v>9.01</v>
      </c>
      <c r="R56" s="198"/>
      <c r="S56" s="198"/>
      <c r="T56" s="198"/>
      <c r="U56" s="198"/>
    </row>
    <row r="57" spans="1:21" s="12" customFormat="1" x14ac:dyDescent="0.25">
      <c r="A57" s="213" t="s">
        <v>1828</v>
      </c>
      <c r="B57" s="64">
        <v>7.94</v>
      </c>
      <c r="C57" s="64">
        <v>17.010000000000002</v>
      </c>
      <c r="D57" s="64">
        <v>15.26</v>
      </c>
      <c r="E57" s="64">
        <v>4.57</v>
      </c>
      <c r="F57" s="64">
        <v>11.34</v>
      </c>
      <c r="G57" s="64">
        <v>35.880000000000003</v>
      </c>
      <c r="H57" s="64">
        <v>12.35</v>
      </c>
      <c r="I57" s="64">
        <v>0.84</v>
      </c>
      <c r="J57" s="64">
        <v>0.2</v>
      </c>
      <c r="K57" s="64">
        <v>291.54000000000002</v>
      </c>
      <c r="L57" s="64">
        <v>31.32</v>
      </c>
      <c r="M57" s="64">
        <v>77.81</v>
      </c>
      <c r="N57" s="64">
        <v>576.70000000000005</v>
      </c>
      <c r="O57" s="64">
        <v>0</v>
      </c>
      <c r="P57" s="64">
        <v>0.31</v>
      </c>
      <c r="Q57" s="64">
        <v>9.02</v>
      </c>
      <c r="R57" s="198"/>
      <c r="S57" s="198"/>
      <c r="T57" s="198"/>
      <c r="U57" s="198"/>
    </row>
    <row r="58" spans="1:21" s="12" customFormat="1" x14ac:dyDescent="0.25">
      <c r="A58" s="213" t="s">
        <v>1829</v>
      </c>
      <c r="B58" s="64">
        <v>7.51</v>
      </c>
      <c r="C58" s="64">
        <v>17.13</v>
      </c>
      <c r="D58" s="64">
        <v>14.97</v>
      </c>
      <c r="E58" s="64">
        <v>4.8499999999999996</v>
      </c>
      <c r="F58" s="64">
        <v>10.84</v>
      </c>
      <c r="G58" s="64">
        <v>36.450000000000003</v>
      </c>
      <c r="H58" s="64">
        <v>14.25</v>
      </c>
      <c r="I58" s="64">
        <v>0.85</v>
      </c>
      <c r="J58" s="64">
        <v>0.15</v>
      </c>
      <c r="K58" s="64">
        <v>282.49</v>
      </c>
      <c r="L58" s="64">
        <v>31.33</v>
      </c>
      <c r="M58" s="64">
        <v>73.8</v>
      </c>
      <c r="N58" s="64">
        <v>286.5</v>
      </c>
      <c r="O58" s="64">
        <v>0</v>
      </c>
      <c r="P58" s="64">
        <v>0.27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3" t="s">
        <v>1830</v>
      </c>
      <c r="B59" s="64">
        <v>9.3699999999999992</v>
      </c>
      <c r="C59" s="64">
        <v>16.79</v>
      </c>
      <c r="D59" s="64">
        <v>16.29</v>
      </c>
      <c r="E59" s="64">
        <v>5.17</v>
      </c>
      <c r="F59" s="64">
        <v>9.82</v>
      </c>
      <c r="G59" s="64">
        <v>37.869999999999997</v>
      </c>
      <c r="H59" s="64">
        <v>18.93</v>
      </c>
      <c r="I59" s="64">
        <v>0.86</v>
      </c>
      <c r="J59" s="64">
        <v>0.16</v>
      </c>
      <c r="K59" s="64">
        <v>280.17</v>
      </c>
      <c r="L59" s="64">
        <v>30.74</v>
      </c>
      <c r="M59" s="64">
        <v>75.2</v>
      </c>
      <c r="N59" s="64">
        <v>252.4</v>
      </c>
      <c r="O59" s="64">
        <v>0</v>
      </c>
      <c r="P59" s="64">
        <v>0.34</v>
      </c>
      <c r="Q59" s="64">
        <v>9.0500000000000007</v>
      </c>
      <c r="R59" s="198"/>
      <c r="S59" s="198"/>
      <c r="T59" s="198"/>
      <c r="U59" s="198"/>
    </row>
    <row r="60" spans="1:21" s="12" customFormat="1" x14ac:dyDescent="0.25">
      <c r="A60" s="213" t="s">
        <v>1831</v>
      </c>
      <c r="B60" s="64">
        <v>9.31</v>
      </c>
      <c r="C60" s="64">
        <v>18.059999999999999</v>
      </c>
      <c r="D60" s="64">
        <v>16.899999999999999</v>
      </c>
      <c r="E60" s="64">
        <v>4.83</v>
      </c>
      <c r="F60" s="64">
        <v>9.7100000000000009</v>
      </c>
      <c r="G60" s="64">
        <v>37.869999999999997</v>
      </c>
      <c r="H60" s="64">
        <v>18.93</v>
      </c>
      <c r="I60" s="64">
        <v>0.88</v>
      </c>
      <c r="J60" s="64">
        <v>0.19</v>
      </c>
      <c r="K60" s="64">
        <v>290.45999999999998</v>
      </c>
      <c r="L60" s="64">
        <v>30.39</v>
      </c>
      <c r="M60" s="64">
        <v>77.010000000000005</v>
      </c>
      <c r="N60" s="64">
        <v>339.8</v>
      </c>
      <c r="O60" s="64">
        <v>0</v>
      </c>
      <c r="P60" s="64">
        <v>0.34</v>
      </c>
      <c r="Q60" s="64">
        <v>9.0500000000000007</v>
      </c>
      <c r="R60" s="198"/>
      <c r="S60" s="198"/>
      <c r="T60" s="198"/>
      <c r="U60" s="198"/>
    </row>
    <row r="61" spans="1:21" s="12" customFormat="1" x14ac:dyDescent="0.25">
      <c r="A61" s="213" t="s">
        <v>1832</v>
      </c>
      <c r="B61" s="64">
        <v>7.37</v>
      </c>
      <c r="C61" s="64">
        <v>16.47</v>
      </c>
      <c r="D61" s="64">
        <v>14.51</v>
      </c>
      <c r="E61" s="64">
        <v>4.91</v>
      </c>
      <c r="F61" s="64">
        <v>10.94</v>
      </c>
      <c r="G61" s="64">
        <v>37.869999999999997</v>
      </c>
      <c r="H61" s="64">
        <v>18.93</v>
      </c>
      <c r="I61" s="64">
        <v>0.89</v>
      </c>
      <c r="J61" s="64">
        <v>0.17</v>
      </c>
      <c r="K61" s="64">
        <v>227.9</v>
      </c>
      <c r="L61" s="64">
        <v>31.04</v>
      </c>
      <c r="M61" s="64">
        <v>74.540000000000006</v>
      </c>
      <c r="N61" s="64">
        <v>314.5</v>
      </c>
      <c r="O61" s="64">
        <v>0</v>
      </c>
      <c r="P61" s="64">
        <v>0.26</v>
      </c>
      <c r="Q61" s="64">
        <v>9.06</v>
      </c>
      <c r="R61" s="198"/>
      <c r="S61" s="198"/>
      <c r="T61" s="198"/>
      <c r="U61" s="198"/>
    </row>
    <row r="62" spans="1:21" s="12" customFormat="1" x14ac:dyDescent="0.25">
      <c r="A62" s="213" t="s">
        <v>1833</v>
      </c>
      <c r="B62" s="64">
        <v>9.16</v>
      </c>
      <c r="C62" s="64">
        <v>16.04</v>
      </c>
      <c r="D62" s="64">
        <v>15.73</v>
      </c>
      <c r="E62" s="64">
        <v>5.04</v>
      </c>
      <c r="F62" s="64">
        <v>10.52</v>
      </c>
      <c r="G62" s="64">
        <v>40.32</v>
      </c>
      <c r="H62" s="64">
        <v>19.34</v>
      </c>
      <c r="I62" s="64">
        <v>0.9</v>
      </c>
      <c r="J62" s="64">
        <v>0.24</v>
      </c>
      <c r="K62" s="64">
        <v>309.06</v>
      </c>
      <c r="L62" s="64">
        <v>31.5</v>
      </c>
      <c r="M62" s="64">
        <v>72.19</v>
      </c>
      <c r="N62" s="64">
        <v>293.5</v>
      </c>
      <c r="O62" s="64">
        <v>0</v>
      </c>
      <c r="P62" s="64">
        <v>0.28999999999999998</v>
      </c>
      <c r="Q62" s="64">
        <v>9.06</v>
      </c>
      <c r="R62" s="198"/>
      <c r="S62" s="198"/>
      <c r="T62" s="198"/>
      <c r="U62" s="198"/>
    </row>
    <row r="63" spans="1:21" s="12" customFormat="1" x14ac:dyDescent="0.25">
      <c r="A63" s="213" t="s">
        <v>1834</v>
      </c>
      <c r="B63" s="64">
        <v>8.81</v>
      </c>
      <c r="C63" s="64">
        <v>13.87</v>
      </c>
      <c r="D63" s="64">
        <v>14.31</v>
      </c>
      <c r="E63" s="64">
        <v>5.01</v>
      </c>
      <c r="F63" s="64">
        <v>5.32</v>
      </c>
      <c r="G63" s="64">
        <v>46.34</v>
      </c>
      <c r="H63" s="64">
        <v>20.350000000000001</v>
      </c>
      <c r="I63" s="64">
        <v>0.9</v>
      </c>
      <c r="J63" s="64">
        <v>0.24</v>
      </c>
      <c r="K63" s="64">
        <v>308.97000000000003</v>
      </c>
      <c r="L63" s="64">
        <v>32.08</v>
      </c>
      <c r="M63" s="64">
        <v>68.14</v>
      </c>
      <c r="N63" s="64">
        <v>300.5</v>
      </c>
      <c r="O63" s="64">
        <v>0</v>
      </c>
      <c r="P63" s="64">
        <v>0.3</v>
      </c>
      <c r="Q63" s="64">
        <v>9.06</v>
      </c>
      <c r="R63" s="198"/>
      <c r="S63" s="198"/>
      <c r="T63" s="198"/>
      <c r="U63" s="198"/>
    </row>
    <row r="64" spans="1:21" s="12" customFormat="1" x14ac:dyDescent="0.25">
      <c r="A64" s="213" t="s">
        <v>1835</v>
      </c>
      <c r="B64" s="64">
        <v>7.41</v>
      </c>
      <c r="C64" s="64">
        <v>15.43</v>
      </c>
      <c r="D64" s="64">
        <v>14</v>
      </c>
      <c r="E64" s="64">
        <v>4.95</v>
      </c>
      <c r="F64" s="64">
        <v>9.7899999999999991</v>
      </c>
      <c r="G64" s="64">
        <v>46.34</v>
      </c>
      <c r="H64" s="64">
        <v>20.350000000000001</v>
      </c>
      <c r="I64" s="64">
        <v>0.9</v>
      </c>
      <c r="J64" s="64">
        <v>0.05</v>
      </c>
      <c r="K64" s="64">
        <v>174.95</v>
      </c>
      <c r="L64" s="64">
        <v>31.8</v>
      </c>
      <c r="M64" s="64">
        <v>69.400000000000006</v>
      </c>
      <c r="N64" s="64">
        <v>377.2</v>
      </c>
      <c r="O64" s="64">
        <v>0</v>
      </c>
      <c r="P64" s="64">
        <v>0.3</v>
      </c>
      <c r="Q64" s="64">
        <v>9.0500000000000007</v>
      </c>
      <c r="R64" s="198"/>
      <c r="S64" s="198"/>
      <c r="T64" s="198"/>
      <c r="U64" s="198"/>
    </row>
    <row r="65" spans="1:21" s="12" customFormat="1" x14ac:dyDescent="0.25">
      <c r="A65" s="213" t="s">
        <v>1836</v>
      </c>
      <c r="B65" s="64">
        <v>7.9</v>
      </c>
      <c r="C65" s="64">
        <v>13.36</v>
      </c>
      <c r="D65" s="64">
        <v>13.31</v>
      </c>
      <c r="E65" s="64">
        <v>4.74</v>
      </c>
      <c r="F65" s="64">
        <v>6.73</v>
      </c>
      <c r="G65" s="64">
        <v>46.34</v>
      </c>
      <c r="H65" s="64">
        <v>20.350000000000001</v>
      </c>
      <c r="I65" s="64">
        <v>0.89</v>
      </c>
      <c r="J65" s="64">
        <v>0.17</v>
      </c>
      <c r="K65" s="64">
        <v>281.67</v>
      </c>
      <c r="L65" s="64">
        <v>31.6</v>
      </c>
      <c r="M65" s="64">
        <v>70.760000000000005</v>
      </c>
      <c r="N65" s="64">
        <v>351.2</v>
      </c>
      <c r="O65" s="64">
        <v>0</v>
      </c>
      <c r="P65" s="64">
        <v>0.28000000000000003</v>
      </c>
      <c r="Q65" s="64">
        <v>9.0399999999999991</v>
      </c>
      <c r="R65" s="198"/>
      <c r="S65" s="198"/>
      <c r="T65" s="198"/>
      <c r="U65" s="198"/>
    </row>
    <row r="66" spans="1:21" s="12" customFormat="1" x14ac:dyDescent="0.25">
      <c r="A66" s="213" t="s">
        <v>1837</v>
      </c>
      <c r="B66" s="64">
        <v>7.73</v>
      </c>
      <c r="C66" s="64">
        <v>12.95</v>
      </c>
      <c r="D66" s="64">
        <v>12.96</v>
      </c>
      <c r="E66" s="64">
        <v>4.7</v>
      </c>
      <c r="F66" s="64">
        <v>4.97</v>
      </c>
      <c r="G66" s="64">
        <v>46.65</v>
      </c>
      <c r="H66" s="64">
        <v>17.47</v>
      </c>
      <c r="I66" s="64">
        <v>0.87</v>
      </c>
      <c r="J66" s="64">
        <v>0.18</v>
      </c>
      <c r="K66" s="64">
        <v>263.67</v>
      </c>
      <c r="L66" s="64">
        <v>31.62</v>
      </c>
      <c r="M66" s="64">
        <v>66.16</v>
      </c>
      <c r="N66" s="64">
        <v>288.60000000000002</v>
      </c>
      <c r="O66" s="64">
        <v>0</v>
      </c>
      <c r="P66" s="64">
        <v>0.28000000000000003</v>
      </c>
      <c r="Q66" s="64">
        <v>9.0299999999999994</v>
      </c>
      <c r="R66" s="198"/>
      <c r="S66" s="198"/>
      <c r="T66" s="198"/>
      <c r="U66" s="198"/>
    </row>
    <row r="67" spans="1:21" s="12" customFormat="1" x14ac:dyDescent="0.25">
      <c r="A67" s="213" t="s">
        <v>1838</v>
      </c>
      <c r="B67" s="64">
        <v>7.17</v>
      </c>
      <c r="C67" s="64">
        <v>13.03</v>
      </c>
      <c r="D67" s="64">
        <v>12.55</v>
      </c>
      <c r="E67" s="64">
        <v>4.75</v>
      </c>
      <c r="F67" s="64">
        <v>5.32</v>
      </c>
      <c r="G67" s="64">
        <v>47.4</v>
      </c>
      <c r="H67" s="64">
        <v>10.38</v>
      </c>
      <c r="I67" s="64">
        <v>0.86</v>
      </c>
      <c r="J67" s="64">
        <v>0.1</v>
      </c>
      <c r="K67" s="64">
        <v>233.32</v>
      </c>
      <c r="L67" s="64">
        <v>30.98</v>
      </c>
      <c r="M67" s="64">
        <v>70.08</v>
      </c>
      <c r="N67" s="64">
        <v>245.9</v>
      </c>
      <c r="O67" s="64">
        <v>0</v>
      </c>
      <c r="P67" s="64">
        <v>0.27</v>
      </c>
      <c r="Q67" s="64">
        <v>9.01</v>
      </c>
      <c r="R67" s="198"/>
      <c r="S67" s="198"/>
      <c r="T67" s="198"/>
      <c r="U67" s="198"/>
    </row>
    <row r="68" spans="1:21" s="12" customFormat="1" x14ac:dyDescent="0.25">
      <c r="A68" s="213" t="s">
        <v>1839</v>
      </c>
      <c r="B68" s="64">
        <v>5.93</v>
      </c>
      <c r="C68" s="64">
        <v>14.04</v>
      </c>
      <c r="D68" s="64">
        <v>12.09</v>
      </c>
      <c r="E68" s="64">
        <v>4.6399999999999997</v>
      </c>
      <c r="F68" s="64">
        <v>5.13</v>
      </c>
      <c r="G68" s="64">
        <v>47.4</v>
      </c>
      <c r="H68" s="64">
        <v>10.38</v>
      </c>
      <c r="I68" s="64">
        <v>0.84</v>
      </c>
      <c r="J68" s="64">
        <v>0.19</v>
      </c>
      <c r="K68" s="64">
        <v>288.08</v>
      </c>
      <c r="L68" s="64">
        <v>31.34</v>
      </c>
      <c r="M68" s="64">
        <v>70.81</v>
      </c>
      <c r="N68" s="64">
        <v>276.3</v>
      </c>
      <c r="O68" s="64">
        <v>0</v>
      </c>
      <c r="P68" s="64">
        <v>0.28000000000000003</v>
      </c>
      <c r="Q68" s="64">
        <v>9</v>
      </c>
      <c r="R68" s="198"/>
      <c r="S68" s="198"/>
      <c r="T68" s="198"/>
      <c r="U68" s="198"/>
    </row>
    <row r="69" spans="1:21" s="12" customFormat="1" x14ac:dyDescent="0.25">
      <c r="A69" s="213" t="s">
        <v>1840</v>
      </c>
      <c r="B69" s="64">
        <v>5.85</v>
      </c>
      <c r="C69" s="64">
        <v>14.81</v>
      </c>
      <c r="D69" s="64">
        <v>12.43</v>
      </c>
      <c r="E69" s="64">
        <v>4.63</v>
      </c>
      <c r="F69" s="64">
        <v>6.19</v>
      </c>
      <c r="G69" s="64">
        <v>47.4</v>
      </c>
      <c r="H69" s="64">
        <v>10.38</v>
      </c>
      <c r="I69" s="64">
        <v>0.83</v>
      </c>
      <c r="J69" s="64">
        <v>0.17</v>
      </c>
      <c r="K69" s="64">
        <v>221.43</v>
      </c>
      <c r="L69" s="64">
        <v>31.38</v>
      </c>
      <c r="M69" s="64">
        <v>69.400000000000006</v>
      </c>
      <c r="N69" s="64">
        <v>292</v>
      </c>
      <c r="O69" s="64">
        <v>0</v>
      </c>
      <c r="P69" s="64">
        <v>0.26</v>
      </c>
      <c r="Q69" s="64">
        <v>9.01</v>
      </c>
      <c r="R69" s="198"/>
      <c r="S69" s="198"/>
      <c r="T69" s="198"/>
      <c r="U69" s="198"/>
    </row>
    <row r="70" spans="1:21" s="12" customFormat="1" x14ac:dyDescent="0.25">
      <c r="A70" s="213" t="s">
        <v>1841</v>
      </c>
      <c r="B70" s="64">
        <v>5.69</v>
      </c>
      <c r="C70" s="64">
        <v>14.91</v>
      </c>
      <c r="D70" s="64">
        <v>12.35</v>
      </c>
      <c r="E70" s="64">
        <v>4.8499999999999996</v>
      </c>
      <c r="F70" s="64">
        <v>7.4</v>
      </c>
      <c r="G70" s="64">
        <v>46.71</v>
      </c>
      <c r="H70" s="64">
        <v>9.98</v>
      </c>
      <c r="I70" s="64">
        <v>0.83</v>
      </c>
      <c r="J70" s="64">
        <v>0.2</v>
      </c>
      <c r="K70" s="64">
        <v>306.89</v>
      </c>
      <c r="L70" s="64">
        <v>31.83</v>
      </c>
      <c r="M70" s="64">
        <v>68.760000000000005</v>
      </c>
      <c r="N70" s="64">
        <v>276.10000000000002</v>
      </c>
      <c r="O70" s="64">
        <v>0</v>
      </c>
      <c r="P70" s="64">
        <v>0.26</v>
      </c>
      <c r="Q70" s="64">
        <v>9</v>
      </c>
      <c r="R70" s="198"/>
      <c r="S70" s="198"/>
      <c r="T70" s="198"/>
      <c r="U70" s="198"/>
    </row>
    <row r="71" spans="1:21" s="12" customFormat="1" x14ac:dyDescent="0.25">
      <c r="A71" s="213" t="s">
        <v>1842</v>
      </c>
      <c r="B71" s="64">
        <v>5.49</v>
      </c>
      <c r="C71" s="64">
        <v>14.3</v>
      </c>
      <c r="D71" s="64">
        <v>11.87</v>
      </c>
      <c r="E71" s="64">
        <v>4.8099999999999996</v>
      </c>
      <c r="F71" s="64">
        <v>4.32</v>
      </c>
      <c r="G71" s="64">
        <v>45.03</v>
      </c>
      <c r="H71" s="64">
        <v>9</v>
      </c>
      <c r="I71" s="64">
        <v>0.82</v>
      </c>
      <c r="J71" s="64">
        <v>0.14000000000000001</v>
      </c>
      <c r="K71" s="64">
        <v>299.75</v>
      </c>
      <c r="L71" s="64">
        <v>31.42</v>
      </c>
      <c r="M71" s="64">
        <v>70.53</v>
      </c>
      <c r="N71" s="64">
        <v>232.1</v>
      </c>
      <c r="O71" s="64">
        <v>0</v>
      </c>
      <c r="P71" s="64">
        <v>0.26</v>
      </c>
      <c r="Q71" s="64">
        <v>8.98</v>
      </c>
      <c r="R71" s="198"/>
      <c r="S71" s="198"/>
      <c r="T71" s="198"/>
      <c r="U71" s="198"/>
    </row>
    <row r="72" spans="1:21" s="12" customFormat="1" x14ac:dyDescent="0.25">
      <c r="A72" s="213" t="s">
        <v>1843</v>
      </c>
      <c r="B72" s="64">
        <v>5.35</v>
      </c>
      <c r="C72" s="64">
        <v>14.66</v>
      </c>
      <c r="D72" s="64">
        <v>11.95</v>
      </c>
      <c r="E72" s="64">
        <v>4.2699999999999996</v>
      </c>
      <c r="F72" s="64">
        <v>3.99</v>
      </c>
      <c r="G72" s="64">
        <v>45.03</v>
      </c>
      <c r="H72" s="64">
        <v>9</v>
      </c>
      <c r="I72" s="64">
        <v>0.81</v>
      </c>
      <c r="J72" s="64">
        <v>0.2</v>
      </c>
      <c r="K72" s="64">
        <v>292.95999999999998</v>
      </c>
      <c r="L72" s="64">
        <v>31.51</v>
      </c>
      <c r="M72" s="64">
        <v>71.040000000000006</v>
      </c>
      <c r="N72" s="64">
        <v>218.3</v>
      </c>
      <c r="O72" s="64">
        <v>0</v>
      </c>
      <c r="P72" s="64">
        <v>0.28000000000000003</v>
      </c>
      <c r="Q72" s="64">
        <v>8.99</v>
      </c>
      <c r="R72" s="198"/>
      <c r="S72" s="198"/>
      <c r="T72" s="198"/>
      <c r="U72" s="198"/>
    </row>
    <row r="73" spans="1:21" s="12" customFormat="1" x14ac:dyDescent="0.25">
      <c r="A73" s="213" t="s">
        <v>1844</v>
      </c>
      <c r="B73" s="64">
        <v>6.85</v>
      </c>
      <c r="C73" s="64">
        <v>16.47</v>
      </c>
      <c r="D73" s="64">
        <v>14.1</v>
      </c>
      <c r="E73" s="64">
        <v>4.8099999999999996</v>
      </c>
      <c r="F73" s="64">
        <v>10.67</v>
      </c>
      <c r="G73" s="64">
        <v>45.03</v>
      </c>
      <c r="H73" s="64">
        <v>9</v>
      </c>
      <c r="I73" s="64">
        <v>0.81</v>
      </c>
      <c r="J73" s="64">
        <v>0.17</v>
      </c>
      <c r="K73" s="64">
        <v>285.13</v>
      </c>
      <c r="L73" s="64">
        <v>31.11</v>
      </c>
      <c r="M73" s="64">
        <v>72.56</v>
      </c>
      <c r="N73" s="64">
        <v>184.7</v>
      </c>
      <c r="O73" s="64">
        <v>0</v>
      </c>
      <c r="P73" s="64">
        <v>0.32</v>
      </c>
      <c r="Q73" s="64">
        <v>9.01</v>
      </c>
      <c r="R73" s="198"/>
      <c r="S73" s="198"/>
      <c r="T73" s="198"/>
      <c r="U73" s="198"/>
    </row>
    <row r="74" spans="1:21" s="12" customFormat="1" x14ac:dyDescent="0.25">
      <c r="A74" s="213" t="s">
        <v>1845</v>
      </c>
      <c r="B74" s="64">
        <v>5.82</v>
      </c>
      <c r="C74" s="64">
        <v>16.350000000000001</v>
      </c>
      <c r="D74" s="64">
        <v>13.21</v>
      </c>
      <c r="E74" s="64">
        <v>4.57</v>
      </c>
      <c r="F74" s="64">
        <v>9.7799999999999994</v>
      </c>
      <c r="G74" s="64">
        <v>47.26</v>
      </c>
      <c r="H74" s="64">
        <v>9.7899999999999991</v>
      </c>
      <c r="I74" s="64">
        <v>0.81</v>
      </c>
      <c r="J74" s="64">
        <v>0.21</v>
      </c>
      <c r="K74" s="64">
        <v>244.97</v>
      </c>
      <c r="L74" s="64">
        <v>29.74</v>
      </c>
      <c r="M74" s="64">
        <v>80.69</v>
      </c>
      <c r="N74" s="64">
        <v>116.4</v>
      </c>
      <c r="O74" s="64">
        <v>0</v>
      </c>
      <c r="P74" s="64">
        <v>0.26</v>
      </c>
      <c r="Q74" s="64">
        <v>9.02</v>
      </c>
      <c r="R74" s="198"/>
      <c r="S74" s="198"/>
      <c r="T74" s="198"/>
      <c r="U74" s="198"/>
    </row>
    <row r="75" spans="1:21" s="12" customFormat="1" x14ac:dyDescent="0.25">
      <c r="A75" s="213" t="s">
        <v>1846</v>
      </c>
      <c r="B75" s="64">
        <v>5.03</v>
      </c>
      <c r="C75" s="64">
        <v>15.56</v>
      </c>
      <c r="D75" s="64">
        <v>12.16</v>
      </c>
      <c r="E75" s="64">
        <v>4.79</v>
      </c>
      <c r="F75" s="64">
        <v>12.09</v>
      </c>
      <c r="G75" s="64">
        <v>52.76</v>
      </c>
      <c r="H75" s="64">
        <v>11.75</v>
      </c>
      <c r="I75" s="64">
        <v>0.81</v>
      </c>
      <c r="J75" s="64">
        <v>0.09</v>
      </c>
      <c r="K75" s="64">
        <v>256.42</v>
      </c>
      <c r="L75" s="64">
        <v>28.38</v>
      </c>
      <c r="M75" s="64">
        <v>90.56</v>
      </c>
      <c r="N75" s="64">
        <v>91.9</v>
      </c>
      <c r="O75" s="64">
        <v>0</v>
      </c>
      <c r="P75" s="64">
        <v>0.24</v>
      </c>
      <c r="Q75" s="64">
        <v>9.02</v>
      </c>
      <c r="R75" s="198"/>
      <c r="S75" s="198"/>
      <c r="T75" s="198"/>
      <c r="U75" s="198"/>
    </row>
    <row r="76" spans="1:21" s="12" customFormat="1" x14ac:dyDescent="0.25">
      <c r="A76" s="213" t="s">
        <v>1847</v>
      </c>
      <c r="B76" s="64">
        <v>4.8</v>
      </c>
      <c r="C76" s="64">
        <v>15.44</v>
      </c>
      <c r="D76" s="64">
        <v>11.91</v>
      </c>
      <c r="E76" s="64">
        <v>4.71</v>
      </c>
      <c r="F76" s="64">
        <v>9.9700000000000006</v>
      </c>
      <c r="G76" s="64">
        <v>52.76</v>
      </c>
      <c r="H76" s="64">
        <v>11.75</v>
      </c>
      <c r="I76" s="64">
        <v>0.79</v>
      </c>
      <c r="J76" s="64">
        <v>0.13</v>
      </c>
      <c r="K76" s="64">
        <v>168.72</v>
      </c>
      <c r="L76" s="64">
        <v>27.77</v>
      </c>
      <c r="M76" s="64">
        <v>87.47</v>
      </c>
      <c r="N76" s="64">
        <v>57.7</v>
      </c>
      <c r="O76" s="64">
        <v>0</v>
      </c>
      <c r="P76" s="64">
        <v>0.24</v>
      </c>
      <c r="Q76" s="64">
        <v>9.01</v>
      </c>
      <c r="R76" s="198"/>
      <c r="S76" s="198"/>
      <c r="T76" s="198"/>
      <c r="U76" s="198"/>
    </row>
    <row r="77" spans="1:21" s="12" customFormat="1" x14ac:dyDescent="0.25">
      <c r="A77" s="213" t="s">
        <v>1848</v>
      </c>
      <c r="B77" s="64">
        <v>4.47</v>
      </c>
      <c r="C77" s="64">
        <v>15.75</v>
      </c>
      <c r="D77" s="64">
        <v>11.81</v>
      </c>
      <c r="E77" s="64">
        <v>4.26</v>
      </c>
      <c r="F77" s="64">
        <v>10.119999999999999</v>
      </c>
      <c r="G77" s="64">
        <v>52.76</v>
      </c>
      <c r="H77" s="64">
        <v>11.75</v>
      </c>
      <c r="I77" s="64">
        <v>0.77</v>
      </c>
      <c r="J77" s="64">
        <v>0.23</v>
      </c>
      <c r="K77" s="64">
        <v>167.2</v>
      </c>
      <c r="L77" s="64">
        <v>27.41</v>
      </c>
      <c r="M77" s="64">
        <v>82.36</v>
      </c>
      <c r="N77" s="64">
        <v>48.6</v>
      </c>
      <c r="O77" s="64">
        <v>0</v>
      </c>
      <c r="P77" s="64">
        <v>0.21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13" t="s">
        <v>1849</v>
      </c>
      <c r="B78" s="64">
        <v>5.14</v>
      </c>
      <c r="C78" s="64">
        <v>16.510000000000002</v>
      </c>
      <c r="D78" s="64">
        <v>12.74</v>
      </c>
      <c r="E78" s="64">
        <v>4.47</v>
      </c>
      <c r="F78" s="64">
        <v>9.23</v>
      </c>
      <c r="G78" s="64">
        <v>49.17</v>
      </c>
      <c r="H78" s="64">
        <v>12.41</v>
      </c>
      <c r="I78" s="64">
        <v>0.77</v>
      </c>
      <c r="J78" s="64">
        <v>1.02</v>
      </c>
      <c r="K78" s="64">
        <v>138.04</v>
      </c>
      <c r="L78" s="64">
        <v>26.92</v>
      </c>
      <c r="M78" s="64">
        <v>86.51</v>
      </c>
      <c r="N78" s="64">
        <v>46.2</v>
      </c>
      <c r="O78" s="64">
        <v>0</v>
      </c>
      <c r="P78" s="64">
        <v>0.22</v>
      </c>
      <c r="Q78" s="64">
        <v>9.02</v>
      </c>
      <c r="R78" s="198"/>
      <c r="S78" s="198"/>
      <c r="T78" s="198"/>
      <c r="U78" s="198"/>
    </row>
    <row r="79" spans="1:21" s="12" customFormat="1" x14ac:dyDescent="0.25">
      <c r="A79" s="213" t="s">
        <v>1850</v>
      </c>
      <c r="B79" s="64">
        <v>5.0999999999999996</v>
      </c>
      <c r="C79" s="64">
        <v>15.15</v>
      </c>
      <c r="D79" s="64">
        <v>12.01</v>
      </c>
      <c r="E79" s="64">
        <v>4.8</v>
      </c>
      <c r="F79" s="64">
        <v>10.59</v>
      </c>
      <c r="G79" s="64">
        <v>40.32</v>
      </c>
      <c r="H79" s="64">
        <v>14.02</v>
      </c>
      <c r="I79" s="64">
        <v>0.76</v>
      </c>
      <c r="J79" s="64">
        <v>0.75</v>
      </c>
      <c r="K79" s="64">
        <v>130.02000000000001</v>
      </c>
      <c r="L79" s="64">
        <v>26.72</v>
      </c>
      <c r="M79" s="64">
        <v>91.26</v>
      </c>
      <c r="N79" s="64">
        <v>44.3</v>
      </c>
      <c r="O79" s="64">
        <v>0</v>
      </c>
      <c r="P79" s="64">
        <v>0.22</v>
      </c>
      <c r="Q79" s="64">
        <v>9.0299999999999994</v>
      </c>
      <c r="R79" s="198"/>
      <c r="S79" s="198"/>
      <c r="T79" s="198"/>
      <c r="U79" s="198"/>
    </row>
    <row r="80" spans="1:21" s="12" customFormat="1" x14ac:dyDescent="0.25">
      <c r="A80" s="213" t="s">
        <v>1851</v>
      </c>
      <c r="B80" s="64">
        <v>5.01</v>
      </c>
      <c r="C80" s="64">
        <v>15.18</v>
      </c>
      <c r="D80" s="64">
        <v>11.95</v>
      </c>
      <c r="E80" s="64">
        <v>4.83</v>
      </c>
      <c r="F80" s="64">
        <v>11.74</v>
      </c>
      <c r="G80" s="64">
        <v>40.32</v>
      </c>
      <c r="H80" s="64">
        <v>14.02</v>
      </c>
      <c r="I80" s="64">
        <v>0.76</v>
      </c>
      <c r="J80" s="64">
        <v>0.24</v>
      </c>
      <c r="K80" s="64">
        <v>148.99</v>
      </c>
      <c r="L80" s="64">
        <v>26.48</v>
      </c>
      <c r="M80" s="64">
        <v>94.28</v>
      </c>
      <c r="N80" s="64">
        <v>41.7</v>
      </c>
      <c r="O80" s="64">
        <v>0</v>
      </c>
      <c r="P80" s="64">
        <v>0.23</v>
      </c>
      <c r="Q80" s="64">
        <v>9.0299999999999994</v>
      </c>
      <c r="R80" s="198"/>
      <c r="S80" s="198"/>
      <c r="T80" s="198"/>
      <c r="U80" s="198"/>
    </row>
    <row r="81" spans="1:26" s="12" customFormat="1" x14ac:dyDescent="0.25">
      <c r="A81" s="213" t="s">
        <v>1852</v>
      </c>
      <c r="B81" s="64">
        <v>5.19</v>
      </c>
      <c r="C81" s="64">
        <v>15.3</v>
      </c>
      <c r="D81" s="64">
        <v>12.15</v>
      </c>
      <c r="E81" s="64">
        <v>4.9000000000000004</v>
      </c>
      <c r="F81" s="64">
        <v>8.36</v>
      </c>
      <c r="G81" s="64">
        <v>40.32</v>
      </c>
      <c r="H81" s="64">
        <v>14.02</v>
      </c>
      <c r="I81" s="64">
        <v>0.84</v>
      </c>
      <c r="J81" s="64">
        <v>0.23</v>
      </c>
      <c r="K81" s="64">
        <v>122.83</v>
      </c>
      <c r="L81" s="64">
        <v>26.48</v>
      </c>
      <c r="M81" s="64">
        <v>95.25</v>
      </c>
      <c r="N81" s="64">
        <v>39.799999999999997</v>
      </c>
      <c r="O81" s="64">
        <v>0</v>
      </c>
      <c r="P81" s="64">
        <v>0.24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3" t="s">
        <v>1853</v>
      </c>
      <c r="B82" s="64">
        <v>8.33</v>
      </c>
      <c r="C82" s="64">
        <v>14.16</v>
      </c>
      <c r="D82" s="64">
        <v>14.07</v>
      </c>
      <c r="E82" s="64">
        <v>4.6900000000000004</v>
      </c>
      <c r="F82" s="64">
        <v>5.33</v>
      </c>
      <c r="G82" s="64">
        <v>39.68</v>
      </c>
      <c r="H82" s="64">
        <v>11.27</v>
      </c>
      <c r="I82" s="64">
        <v>0.9</v>
      </c>
      <c r="J82" s="64">
        <v>0.6</v>
      </c>
      <c r="K82" s="64">
        <v>322.47000000000003</v>
      </c>
      <c r="L82" s="64">
        <v>26.71</v>
      </c>
      <c r="M82" s="64">
        <v>94.91</v>
      </c>
      <c r="N82" s="64">
        <v>39.6</v>
      </c>
      <c r="O82" s="64">
        <v>0</v>
      </c>
      <c r="P82" s="64">
        <v>0.28000000000000003</v>
      </c>
      <c r="Q82" s="64">
        <v>9.02</v>
      </c>
      <c r="R82" s="198"/>
      <c r="S82" s="198"/>
      <c r="T82" s="198"/>
      <c r="U82" s="198"/>
    </row>
    <row r="83" spans="1:26" s="12" customFormat="1" x14ac:dyDescent="0.25">
      <c r="A83" s="213" t="s">
        <v>1854</v>
      </c>
      <c r="B83" s="64">
        <v>7.21</v>
      </c>
      <c r="C83" s="64">
        <v>12.98</v>
      </c>
      <c r="D83" s="64">
        <v>12.56</v>
      </c>
      <c r="E83" s="64">
        <v>4.78</v>
      </c>
      <c r="F83" s="64">
        <v>4.3499999999999996</v>
      </c>
      <c r="G83" s="64">
        <v>38.090000000000003</v>
      </c>
      <c r="H83" s="64">
        <v>4.51</v>
      </c>
      <c r="I83" s="64">
        <v>0.84</v>
      </c>
      <c r="J83" s="64">
        <v>1.17</v>
      </c>
      <c r="K83" s="64">
        <v>328.82</v>
      </c>
      <c r="L83" s="64">
        <v>26.42</v>
      </c>
      <c r="M83" s="64">
        <v>94.61</v>
      </c>
      <c r="N83" s="64">
        <v>40.799999999999997</v>
      </c>
      <c r="O83" s="64">
        <v>0</v>
      </c>
      <c r="P83" s="64">
        <v>0.28999999999999998</v>
      </c>
      <c r="Q83" s="64">
        <v>9.0299999999999994</v>
      </c>
      <c r="R83" s="198"/>
      <c r="S83" s="198"/>
      <c r="T83" s="198"/>
      <c r="U83" s="198"/>
    </row>
    <row r="84" spans="1:26" s="12" customFormat="1" x14ac:dyDescent="0.25">
      <c r="A84" s="213" t="s">
        <v>1855</v>
      </c>
      <c r="B84" s="64">
        <v>9.61</v>
      </c>
      <c r="C84" s="64">
        <v>15.27</v>
      </c>
      <c r="D84" s="64">
        <v>15.69</v>
      </c>
      <c r="E84" s="64">
        <v>4.8099999999999996</v>
      </c>
      <c r="F84" s="64">
        <v>7.44</v>
      </c>
      <c r="G84" s="64">
        <v>38.090000000000003</v>
      </c>
      <c r="H84" s="64">
        <v>4.51</v>
      </c>
      <c r="I84" s="64">
        <v>0.82</v>
      </c>
      <c r="J84" s="64">
        <v>1.18</v>
      </c>
      <c r="K84" s="64">
        <v>337.76</v>
      </c>
      <c r="L84" s="64">
        <v>26.03</v>
      </c>
      <c r="M84" s="64">
        <v>98.03</v>
      </c>
      <c r="N84" s="64">
        <v>40</v>
      </c>
      <c r="O84" s="64">
        <v>0</v>
      </c>
      <c r="P84" s="64">
        <v>0.35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3" t="s">
        <v>1856</v>
      </c>
      <c r="B85" s="64">
        <v>9.49</v>
      </c>
      <c r="C85" s="64">
        <v>14.52</v>
      </c>
      <c r="D85" s="64">
        <v>15.2</v>
      </c>
      <c r="E85" s="64">
        <v>4.67</v>
      </c>
      <c r="F85" s="64">
        <v>5.94</v>
      </c>
      <c r="G85" s="64">
        <v>38.090000000000003</v>
      </c>
      <c r="H85" s="64">
        <v>4.51</v>
      </c>
      <c r="I85" s="64">
        <v>0.85</v>
      </c>
      <c r="J85" s="64">
        <v>1.69</v>
      </c>
      <c r="K85" s="64">
        <v>337.79</v>
      </c>
      <c r="L85" s="64">
        <v>25.49</v>
      </c>
      <c r="M85" s="64">
        <v>98.84</v>
      </c>
      <c r="N85" s="64">
        <v>40</v>
      </c>
      <c r="O85" s="64">
        <v>0</v>
      </c>
      <c r="P85" s="64">
        <v>0.32</v>
      </c>
      <c r="Q85" s="64">
        <v>9.0500000000000007</v>
      </c>
      <c r="R85" s="198"/>
      <c r="S85" s="198"/>
      <c r="T85" s="198"/>
      <c r="U85" s="198"/>
    </row>
    <row r="86" spans="1:26" s="12" customFormat="1" x14ac:dyDescent="0.25">
      <c r="A86" s="213" t="s">
        <v>1857</v>
      </c>
      <c r="B86" s="64">
        <v>10.32</v>
      </c>
      <c r="C86" s="64">
        <v>14.63</v>
      </c>
      <c r="D86" s="64">
        <v>15.92</v>
      </c>
      <c r="E86" s="64">
        <v>4.71</v>
      </c>
      <c r="F86" s="64">
        <v>4.26</v>
      </c>
      <c r="G86" s="64">
        <v>39.31</v>
      </c>
      <c r="H86" s="64">
        <v>5.48</v>
      </c>
      <c r="I86" s="64">
        <v>0.88</v>
      </c>
      <c r="J86" s="64">
        <v>1.42</v>
      </c>
      <c r="K86" s="64">
        <v>335.32</v>
      </c>
      <c r="L86" s="64">
        <v>24.93</v>
      </c>
      <c r="M86" s="64">
        <v>98.87</v>
      </c>
      <c r="N86" s="64">
        <v>39</v>
      </c>
      <c r="O86" s="64">
        <v>0</v>
      </c>
      <c r="P86" s="64">
        <v>0.39</v>
      </c>
      <c r="Q86" s="64">
        <v>9.07</v>
      </c>
      <c r="R86" s="198"/>
      <c r="S86" s="198"/>
      <c r="T86" s="198"/>
      <c r="U86" s="198"/>
    </row>
    <row r="87" spans="1:26" s="12" customFormat="1" x14ac:dyDescent="0.25">
      <c r="A87" s="213" t="s">
        <v>1858</v>
      </c>
      <c r="B87" s="64">
        <v>9.9</v>
      </c>
      <c r="C87" s="64">
        <v>14.41</v>
      </c>
      <c r="D87" s="64">
        <v>15.47</v>
      </c>
      <c r="E87" s="64">
        <v>4.74</v>
      </c>
      <c r="F87" s="64">
        <v>3.79</v>
      </c>
      <c r="G87" s="64">
        <v>42.3</v>
      </c>
      <c r="H87" s="64">
        <v>7.85</v>
      </c>
      <c r="I87" s="64">
        <v>0.92</v>
      </c>
      <c r="J87" s="64">
        <v>1.49</v>
      </c>
      <c r="K87" s="64">
        <v>328.2</v>
      </c>
      <c r="L87" s="64">
        <v>24.82</v>
      </c>
      <c r="M87" s="64">
        <v>98.89</v>
      </c>
      <c r="N87" s="64">
        <v>39.4</v>
      </c>
      <c r="O87" s="64">
        <v>0</v>
      </c>
      <c r="P87" s="64">
        <v>0.38</v>
      </c>
      <c r="Q87" s="64">
        <v>9.11</v>
      </c>
      <c r="R87" s="198"/>
      <c r="S87" s="198"/>
      <c r="T87" s="198"/>
      <c r="U87" s="198"/>
    </row>
    <row r="88" spans="1:26" s="12" customFormat="1" x14ac:dyDescent="0.25">
      <c r="A88" s="213" t="s">
        <v>1859</v>
      </c>
      <c r="B88" s="64">
        <v>11.19</v>
      </c>
      <c r="C88" s="64">
        <v>15.61</v>
      </c>
      <c r="D88" s="64">
        <v>17.100000000000001</v>
      </c>
      <c r="E88" s="64">
        <v>4.74</v>
      </c>
      <c r="F88" s="64">
        <v>7.26</v>
      </c>
      <c r="G88" s="64">
        <v>42.3</v>
      </c>
      <c r="H88" s="64">
        <v>7.85</v>
      </c>
      <c r="I88" s="64">
        <v>0.99</v>
      </c>
      <c r="J88" s="64">
        <v>0.79</v>
      </c>
      <c r="K88" s="64">
        <v>339.01</v>
      </c>
      <c r="L88" s="64">
        <v>24.35</v>
      </c>
      <c r="M88" s="64">
        <v>98.94</v>
      </c>
      <c r="N88" s="64">
        <v>39.799999999999997</v>
      </c>
      <c r="O88" s="64">
        <v>0.4</v>
      </c>
      <c r="P88" s="64">
        <v>0.43</v>
      </c>
      <c r="Q88" s="64">
        <v>9.14</v>
      </c>
      <c r="R88" s="198"/>
      <c r="S88" s="198"/>
      <c r="T88" s="198"/>
      <c r="U88" s="198"/>
    </row>
    <row r="89" spans="1:26" s="12" customFormat="1" x14ac:dyDescent="0.25">
      <c r="A89" s="213" t="s">
        <v>1860</v>
      </c>
      <c r="B89" s="64">
        <v>15.1</v>
      </c>
      <c r="C89" s="64">
        <v>19.66</v>
      </c>
      <c r="D89" s="64">
        <v>22.38</v>
      </c>
      <c r="E89" s="64">
        <v>4.74</v>
      </c>
      <c r="F89" s="64">
        <v>6.85</v>
      </c>
      <c r="G89" s="64">
        <v>42.3</v>
      </c>
      <c r="H89" s="64">
        <v>7.85</v>
      </c>
      <c r="I89" s="64">
        <v>1.02</v>
      </c>
      <c r="J89" s="64">
        <v>0.25</v>
      </c>
      <c r="K89" s="64">
        <v>336.53</v>
      </c>
      <c r="L89" s="64">
        <v>23.91</v>
      </c>
      <c r="M89" s="64">
        <v>98.97</v>
      </c>
      <c r="N89" s="64">
        <v>39.6</v>
      </c>
      <c r="O89" s="64">
        <v>0</v>
      </c>
      <c r="P89" s="64">
        <v>0.55000000000000004</v>
      </c>
      <c r="Q89" s="64">
        <v>9.15</v>
      </c>
      <c r="R89" s="198"/>
      <c r="S89" s="198"/>
      <c r="T89" s="198"/>
      <c r="U89" s="198"/>
    </row>
    <row r="90" spans="1:26" s="12" customFormat="1" x14ac:dyDescent="0.25">
      <c r="A90" s="213" t="s">
        <v>1861</v>
      </c>
      <c r="B90" s="64">
        <v>15.4</v>
      </c>
      <c r="C90" s="64">
        <v>15.27</v>
      </c>
      <c r="D90" s="64">
        <v>20.329999999999998</v>
      </c>
      <c r="E90" s="64">
        <v>4.66</v>
      </c>
      <c r="F90" s="64">
        <v>4.6100000000000003</v>
      </c>
      <c r="G90" s="64">
        <v>42.95</v>
      </c>
      <c r="H90" s="64">
        <v>12.53</v>
      </c>
      <c r="I90" s="64">
        <v>1.04</v>
      </c>
      <c r="J90" s="64">
        <v>0.72</v>
      </c>
      <c r="K90" s="64">
        <v>337.39</v>
      </c>
      <c r="L90" s="64">
        <v>23.8</v>
      </c>
      <c r="M90" s="64">
        <v>99</v>
      </c>
      <c r="N90" s="64">
        <v>39.9</v>
      </c>
      <c r="O90" s="64">
        <v>0</v>
      </c>
      <c r="P90" s="64">
        <v>0.51</v>
      </c>
      <c r="Q90" s="64">
        <v>9.18</v>
      </c>
      <c r="R90" s="198"/>
      <c r="S90" s="198"/>
      <c r="T90" s="198"/>
      <c r="U90" s="198"/>
    </row>
    <row r="91" spans="1:26" s="12" customFormat="1" x14ac:dyDescent="0.25">
      <c r="A91" s="213" t="s">
        <v>1862</v>
      </c>
      <c r="B91" s="64">
        <v>19.89</v>
      </c>
      <c r="C91" s="64">
        <v>27.66</v>
      </c>
      <c r="D91" s="64">
        <v>30.4</v>
      </c>
      <c r="E91" s="64">
        <v>4.99</v>
      </c>
      <c r="F91" s="64">
        <v>8.14</v>
      </c>
      <c r="G91" s="64">
        <v>44.54</v>
      </c>
      <c r="H91" s="64">
        <v>24.05</v>
      </c>
      <c r="I91" s="64">
        <v>1.0900000000000001</v>
      </c>
      <c r="J91" s="64">
        <v>0.26</v>
      </c>
      <c r="K91" s="64">
        <v>332.04</v>
      </c>
      <c r="L91" s="64">
        <v>23.81</v>
      </c>
      <c r="M91" s="64">
        <v>99.02</v>
      </c>
      <c r="N91" s="64">
        <v>39.6</v>
      </c>
      <c r="O91" s="64">
        <v>0</v>
      </c>
      <c r="P91" s="64">
        <v>0.9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13" t="s">
        <v>1863</v>
      </c>
      <c r="B92" s="64">
        <v>17.34</v>
      </c>
      <c r="C92" s="64">
        <v>28.8</v>
      </c>
      <c r="D92" s="64">
        <v>28.95</v>
      </c>
      <c r="E92" s="64">
        <v>4.6399999999999997</v>
      </c>
      <c r="F92" s="64">
        <v>6.95</v>
      </c>
      <c r="G92" s="64">
        <v>44.54</v>
      </c>
      <c r="H92" s="64">
        <v>24.05</v>
      </c>
      <c r="I92" s="64">
        <v>1.1499999999999999</v>
      </c>
      <c r="J92" s="64">
        <v>0.03</v>
      </c>
      <c r="K92" s="64">
        <v>13.8</v>
      </c>
      <c r="L92" s="64">
        <v>23.77</v>
      </c>
      <c r="M92" s="64">
        <v>99.01</v>
      </c>
      <c r="N92" s="64">
        <v>39.6</v>
      </c>
      <c r="O92" s="64">
        <v>0</v>
      </c>
      <c r="P92" s="64">
        <v>0.76</v>
      </c>
      <c r="Q92" s="64">
        <v>9.26</v>
      </c>
      <c r="R92" s="198"/>
      <c r="S92" s="198"/>
      <c r="T92" s="198"/>
      <c r="U92" s="198"/>
    </row>
    <row r="93" spans="1:26" s="12" customFormat="1" x14ac:dyDescent="0.25">
      <c r="A93" s="213" t="s">
        <v>1864</v>
      </c>
      <c r="B93" s="64">
        <v>15.62</v>
      </c>
      <c r="C93" s="64">
        <v>30.49</v>
      </c>
      <c r="D93" s="64">
        <v>28.46</v>
      </c>
      <c r="E93" s="64">
        <v>4.9400000000000004</v>
      </c>
      <c r="F93" s="64">
        <v>5.54</v>
      </c>
      <c r="G93" s="64">
        <v>44.54</v>
      </c>
      <c r="H93" s="64">
        <v>24.05</v>
      </c>
      <c r="I93" s="64">
        <v>1.2</v>
      </c>
      <c r="J93" s="64">
        <v>0.12</v>
      </c>
      <c r="K93" s="64">
        <v>195.34</v>
      </c>
      <c r="L93" s="64">
        <v>23.65</v>
      </c>
      <c r="M93" s="64">
        <v>99</v>
      </c>
      <c r="N93" s="64">
        <v>39.6</v>
      </c>
      <c r="O93" s="64">
        <v>0</v>
      </c>
      <c r="P93" s="64">
        <v>0.62</v>
      </c>
      <c r="Q93" s="64">
        <v>9.2799999999999994</v>
      </c>
      <c r="R93" s="198"/>
      <c r="S93" s="198"/>
      <c r="T93" s="198"/>
      <c r="U93" s="198"/>
    </row>
    <row r="94" spans="1:26" s="12" customFormat="1" x14ac:dyDescent="0.25">
      <c r="A94" s="213" t="s">
        <v>1865</v>
      </c>
      <c r="B94" s="64">
        <v>14.2</v>
      </c>
      <c r="C94" s="64">
        <v>29.76</v>
      </c>
      <c r="D94" s="64">
        <v>26.93</v>
      </c>
      <c r="E94" s="64">
        <v>4.96</v>
      </c>
      <c r="F94" s="64">
        <v>6.2</v>
      </c>
      <c r="G94" s="64">
        <v>45.39</v>
      </c>
      <c r="H94" s="64">
        <v>23.85</v>
      </c>
      <c r="I94" s="64">
        <v>1.23</v>
      </c>
      <c r="J94" s="64">
        <v>0.11</v>
      </c>
      <c r="K94" s="64">
        <v>124.92</v>
      </c>
      <c r="L94" s="64">
        <v>23.89</v>
      </c>
      <c r="M94" s="64">
        <v>99</v>
      </c>
      <c r="N94" s="64">
        <v>39.6</v>
      </c>
      <c r="O94" s="64">
        <v>0</v>
      </c>
      <c r="P94" s="64">
        <v>0.65</v>
      </c>
      <c r="Q94" s="64">
        <v>9.3000000000000007</v>
      </c>
      <c r="R94" s="198"/>
      <c r="S94" s="198"/>
      <c r="T94" s="198"/>
      <c r="U94" s="198"/>
    </row>
    <row r="95" spans="1:26" s="12" customFormat="1" x14ac:dyDescent="0.25">
      <c r="A95" s="213" t="s">
        <v>1866</v>
      </c>
      <c r="B95" s="64">
        <v>8.9700000000000006</v>
      </c>
      <c r="C95" s="64">
        <v>25.15</v>
      </c>
      <c r="D95" s="64">
        <v>20.329999999999998</v>
      </c>
      <c r="E95" s="64">
        <v>4.9000000000000004</v>
      </c>
      <c r="F95" s="64">
        <v>6.47</v>
      </c>
      <c r="G95" s="64">
        <v>47.62</v>
      </c>
      <c r="H95" s="64">
        <v>23.33</v>
      </c>
      <c r="I95" s="64">
        <v>1.27</v>
      </c>
      <c r="J95" s="64">
        <v>0.03</v>
      </c>
      <c r="K95" s="64">
        <v>227.23</v>
      </c>
      <c r="L95" s="64">
        <v>24.04</v>
      </c>
      <c r="M95" s="64">
        <v>98.98</v>
      </c>
      <c r="N95" s="64">
        <v>39.6</v>
      </c>
      <c r="O95" s="64">
        <v>0</v>
      </c>
      <c r="P95" s="64">
        <v>0.5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3" t="s">
        <v>1867</v>
      </c>
      <c r="B96" s="64">
        <v>14.56</v>
      </c>
      <c r="C96" s="64">
        <v>25.42</v>
      </c>
      <c r="D96" s="64">
        <v>24.96</v>
      </c>
      <c r="E96" s="64">
        <v>4.87</v>
      </c>
      <c r="F96" s="64">
        <v>6.25</v>
      </c>
      <c r="G96" s="64">
        <v>47.62</v>
      </c>
      <c r="H96" s="64">
        <v>23.33</v>
      </c>
      <c r="I96" s="64">
        <v>1.31</v>
      </c>
      <c r="J96" s="64">
        <v>0.08</v>
      </c>
      <c r="K96" s="64">
        <v>166.69</v>
      </c>
      <c r="L96" s="64">
        <v>24.02</v>
      </c>
      <c r="M96" s="64">
        <v>98.99</v>
      </c>
      <c r="N96" s="64">
        <v>39.6</v>
      </c>
      <c r="O96" s="64">
        <v>0</v>
      </c>
      <c r="P96" s="64">
        <v>0.55000000000000004</v>
      </c>
      <c r="Q96" s="64">
        <v>9.33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1868</v>
      </c>
      <c r="B97" s="64">
        <v>9.7899999999999991</v>
      </c>
      <c r="C97" s="64">
        <v>23.48</v>
      </c>
      <c r="D97" s="64">
        <v>20.12</v>
      </c>
      <c r="E97" s="64">
        <v>4.95</v>
      </c>
      <c r="F97" s="64">
        <v>6.97</v>
      </c>
      <c r="G97" s="64">
        <v>47.62</v>
      </c>
      <c r="H97" s="64">
        <v>23.33</v>
      </c>
      <c r="I97" s="64">
        <v>1.33</v>
      </c>
      <c r="J97" s="64">
        <v>0</v>
      </c>
      <c r="K97" s="64">
        <v>353.53</v>
      </c>
      <c r="L97" s="64">
        <v>24.04</v>
      </c>
      <c r="M97" s="64">
        <v>98.52</v>
      </c>
      <c r="N97" s="64">
        <v>39.700000000000003</v>
      </c>
      <c r="O97" s="64">
        <v>0</v>
      </c>
      <c r="P97" s="64">
        <v>0.47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3" t="s">
        <v>1869</v>
      </c>
      <c r="B98" s="64">
        <v>10.050000000000001</v>
      </c>
      <c r="C98" s="64">
        <v>21.65</v>
      </c>
      <c r="D98" s="64">
        <v>19.37</v>
      </c>
      <c r="E98" s="64">
        <v>5.09</v>
      </c>
      <c r="F98" s="64">
        <v>5.49</v>
      </c>
      <c r="G98" s="64">
        <v>48.26</v>
      </c>
      <c r="H98" s="64">
        <v>25.61</v>
      </c>
      <c r="I98" s="64">
        <v>1.34</v>
      </c>
      <c r="J98" s="64">
        <v>0.09</v>
      </c>
      <c r="K98" s="64">
        <v>182.91</v>
      </c>
      <c r="L98" s="64">
        <v>24</v>
      </c>
      <c r="M98" s="64">
        <v>98.45</v>
      </c>
      <c r="N98" s="64">
        <v>39.6</v>
      </c>
      <c r="O98" s="64">
        <v>0</v>
      </c>
      <c r="P98" s="64">
        <v>0.47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3" t="s">
        <v>1870</v>
      </c>
      <c r="B99" s="64">
        <v>11.34</v>
      </c>
      <c r="C99" s="64">
        <v>15.49</v>
      </c>
      <c r="D99" s="64">
        <v>17.18</v>
      </c>
      <c r="E99" s="64">
        <v>4.84</v>
      </c>
      <c r="F99" s="64">
        <v>5.84</v>
      </c>
      <c r="G99" s="64">
        <v>49.86</v>
      </c>
      <c r="H99" s="64">
        <v>31.19</v>
      </c>
      <c r="I99" s="64">
        <v>1.34</v>
      </c>
      <c r="J99" s="64">
        <v>0.5</v>
      </c>
      <c r="K99" s="64">
        <v>145.99</v>
      </c>
      <c r="L99" s="64">
        <v>24.14</v>
      </c>
      <c r="M99" s="64">
        <v>98.49</v>
      </c>
      <c r="N99" s="64">
        <v>39.700000000000003</v>
      </c>
      <c r="O99" s="64">
        <v>0</v>
      </c>
      <c r="P99" s="64">
        <v>0.46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3" t="s">
        <v>1871</v>
      </c>
      <c r="B100" s="64">
        <v>10.54</v>
      </c>
      <c r="C100" s="64">
        <v>14.03</v>
      </c>
      <c r="D100" s="64">
        <v>15.78</v>
      </c>
      <c r="E100" s="64">
        <v>4.9800000000000004</v>
      </c>
      <c r="F100" s="64">
        <v>6.93</v>
      </c>
      <c r="G100" s="64">
        <v>49.86</v>
      </c>
      <c r="H100" s="64">
        <v>31.19</v>
      </c>
      <c r="I100" s="64">
        <v>1.32</v>
      </c>
      <c r="J100" s="64">
        <v>0.66</v>
      </c>
      <c r="K100" s="64">
        <v>134.65</v>
      </c>
      <c r="L100" s="64">
        <v>24.21</v>
      </c>
      <c r="M100" s="64">
        <v>98.51</v>
      </c>
      <c r="N100" s="64">
        <v>39.799999999999997</v>
      </c>
      <c r="O100" s="64">
        <v>0</v>
      </c>
      <c r="P100" s="64">
        <v>0.4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1872</v>
      </c>
      <c r="B101" s="64">
        <v>10.42</v>
      </c>
      <c r="C101" s="64">
        <v>13.02</v>
      </c>
      <c r="D101" s="64">
        <v>15.16</v>
      </c>
      <c r="E101" s="64">
        <v>4.8099999999999996</v>
      </c>
      <c r="F101" s="64">
        <v>7.24</v>
      </c>
      <c r="G101" s="64">
        <v>49.86</v>
      </c>
      <c r="H101" s="64">
        <v>31.19</v>
      </c>
      <c r="I101" s="64">
        <v>1.3</v>
      </c>
      <c r="J101" s="64">
        <v>0.03</v>
      </c>
      <c r="K101" s="64">
        <v>140.55000000000001</v>
      </c>
      <c r="L101" s="64">
        <v>24.29</v>
      </c>
      <c r="M101" s="64">
        <v>98.54</v>
      </c>
      <c r="N101" s="64">
        <v>39.700000000000003</v>
      </c>
      <c r="O101" s="64">
        <v>0</v>
      </c>
      <c r="P101" s="64">
        <v>0.39</v>
      </c>
      <c r="Q101" s="64">
        <v>9.2799999999999994</v>
      </c>
      <c r="R101" s="198"/>
      <c r="S101" s="198"/>
      <c r="T101" s="198"/>
      <c r="U101" s="198"/>
    </row>
    <row r="102" spans="1:33" s="12" customFormat="1" x14ac:dyDescent="0.25">
      <c r="A102" s="213" t="s">
        <v>1873</v>
      </c>
      <c r="B102" s="64">
        <v>9.52</v>
      </c>
      <c r="C102" s="64">
        <v>13.96</v>
      </c>
      <c r="D102" s="64">
        <v>14.93</v>
      </c>
      <c r="E102" s="64">
        <v>4.59</v>
      </c>
      <c r="F102" s="64">
        <v>9.02</v>
      </c>
      <c r="G102" s="64">
        <v>47.5</v>
      </c>
      <c r="H102" s="64">
        <v>27.48</v>
      </c>
      <c r="I102" s="64">
        <v>1.28</v>
      </c>
      <c r="J102" s="64">
        <v>0.37</v>
      </c>
      <c r="K102" s="64">
        <v>136.83000000000001</v>
      </c>
      <c r="L102" s="64">
        <v>24.28</v>
      </c>
      <c r="M102" s="64">
        <v>98.55</v>
      </c>
      <c r="N102" s="64">
        <v>39.9</v>
      </c>
      <c r="O102" s="64">
        <v>0</v>
      </c>
      <c r="P102" s="64">
        <v>0.33</v>
      </c>
      <c r="Q102" s="64">
        <v>9.25</v>
      </c>
      <c r="R102" s="198"/>
      <c r="S102" s="198"/>
      <c r="T102" s="198"/>
      <c r="U102" s="198"/>
    </row>
    <row r="103" spans="1:33" s="12" customFormat="1" x14ac:dyDescent="0.25">
      <c r="A103" s="213" t="s">
        <v>1874</v>
      </c>
      <c r="B103" s="64">
        <v>10.1</v>
      </c>
      <c r="C103" s="64">
        <v>12.32</v>
      </c>
      <c r="D103" s="64">
        <v>14.54</v>
      </c>
      <c r="E103" s="64">
        <v>4.88</v>
      </c>
      <c r="F103" s="64">
        <v>5.63</v>
      </c>
      <c r="G103" s="64">
        <v>41.68</v>
      </c>
      <c r="H103" s="64">
        <v>18.329999999999998</v>
      </c>
      <c r="I103" s="64">
        <v>1.25</v>
      </c>
      <c r="J103" s="64">
        <v>0.42</v>
      </c>
      <c r="K103" s="64">
        <v>141.63999999999999</v>
      </c>
      <c r="L103" s="64">
        <v>24.3</v>
      </c>
      <c r="M103" s="64">
        <v>98.55</v>
      </c>
      <c r="N103" s="64">
        <v>39.6</v>
      </c>
      <c r="O103" s="64">
        <v>0</v>
      </c>
      <c r="P103" s="64">
        <v>0.4</v>
      </c>
      <c r="Q103" s="64">
        <v>9.2200000000000006</v>
      </c>
      <c r="R103" s="198"/>
      <c r="S103" s="198"/>
      <c r="T103" s="198"/>
      <c r="U103" s="198"/>
    </row>
    <row r="104" spans="1:33" s="12" customFormat="1" x14ac:dyDescent="0.25">
      <c r="A104" s="213" t="s">
        <v>1875</v>
      </c>
      <c r="B104" s="64">
        <v>9.59</v>
      </c>
      <c r="C104" s="64">
        <v>11.25</v>
      </c>
      <c r="D104" s="64">
        <v>13.57</v>
      </c>
      <c r="E104" s="64">
        <v>5.5</v>
      </c>
      <c r="F104" s="64">
        <v>7.55</v>
      </c>
      <c r="G104" s="64">
        <v>41.68</v>
      </c>
      <c r="H104" s="64">
        <v>18.329999999999998</v>
      </c>
      <c r="I104" s="64">
        <v>1.3</v>
      </c>
      <c r="J104" s="64">
        <v>0.47</v>
      </c>
      <c r="K104" s="64">
        <v>134.19</v>
      </c>
      <c r="L104" s="64">
        <v>24.44</v>
      </c>
      <c r="M104" s="64">
        <v>98.55</v>
      </c>
      <c r="N104" s="64">
        <v>39.4</v>
      </c>
      <c r="O104" s="64">
        <v>0</v>
      </c>
      <c r="P104" s="64">
        <v>0.34</v>
      </c>
      <c r="Q104" s="64">
        <v>9.2200000000000006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4.47</v>
      </c>
      <c r="C106" s="67">
        <f>MIN(C9:C104)</f>
        <v>8.34</v>
      </c>
      <c r="D106" s="67">
        <f t="shared" ref="D106:Q106" si="0">MIN(D9:D104)</f>
        <v>8.07</v>
      </c>
      <c r="E106" s="67">
        <f t="shared" si="0"/>
        <v>4.26</v>
      </c>
      <c r="F106" s="67">
        <f t="shared" si="0"/>
        <v>3.79</v>
      </c>
      <c r="G106" s="67">
        <f t="shared" si="0"/>
        <v>20.81</v>
      </c>
      <c r="H106" s="67">
        <f t="shared" si="0"/>
        <v>1.29</v>
      </c>
      <c r="I106" s="67">
        <f t="shared" si="0"/>
        <v>0.76</v>
      </c>
      <c r="J106" s="67">
        <f t="shared" si="0"/>
        <v>0</v>
      </c>
      <c r="K106" s="67">
        <f t="shared" si="0"/>
        <v>13.8</v>
      </c>
      <c r="L106" s="67">
        <f t="shared" si="0"/>
        <v>23.65</v>
      </c>
      <c r="M106" s="67">
        <f t="shared" si="0"/>
        <v>66.16</v>
      </c>
      <c r="N106" s="67">
        <f t="shared" si="0"/>
        <v>39</v>
      </c>
      <c r="O106" s="67">
        <f t="shared" si="0"/>
        <v>0</v>
      </c>
      <c r="P106" s="67">
        <f t="shared" si="0"/>
        <v>0.14000000000000001</v>
      </c>
      <c r="Q106" s="67">
        <f t="shared" si="0"/>
        <v>8.98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19.89</v>
      </c>
      <c r="C107" s="66">
        <f t="shared" ref="C107:Q107" si="1">MAX(C9:C104)</f>
        <v>30.49</v>
      </c>
      <c r="D107" s="66">
        <f t="shared" si="1"/>
        <v>30.4</v>
      </c>
      <c r="E107" s="66">
        <f t="shared" si="1"/>
        <v>5.5</v>
      </c>
      <c r="F107" s="66">
        <f t="shared" si="1"/>
        <v>12.6</v>
      </c>
      <c r="G107" s="66">
        <f t="shared" si="1"/>
        <v>52.76</v>
      </c>
      <c r="H107" s="66">
        <f t="shared" si="1"/>
        <v>31.19</v>
      </c>
      <c r="I107" s="66">
        <f t="shared" si="1"/>
        <v>1.34</v>
      </c>
      <c r="J107" s="66">
        <f t="shared" si="1"/>
        <v>1.69</v>
      </c>
      <c r="K107" s="66">
        <f t="shared" si="1"/>
        <v>353.53</v>
      </c>
      <c r="L107" s="66">
        <f t="shared" si="1"/>
        <v>32.08</v>
      </c>
      <c r="M107" s="66">
        <f t="shared" si="1"/>
        <v>99.07</v>
      </c>
      <c r="N107" s="66">
        <f t="shared" si="1"/>
        <v>834.6</v>
      </c>
      <c r="O107" s="66">
        <f t="shared" si="1"/>
        <v>0.4</v>
      </c>
      <c r="P107" s="66">
        <f t="shared" si="1"/>
        <v>0.9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8.4301041666666698</v>
      </c>
      <c r="C108" s="67">
        <f t="shared" ref="C108:Q108" si="2">AVERAGE(C9:C104)</f>
        <v>14.117916666666664</v>
      </c>
      <c r="D108" s="67">
        <f t="shared" si="2"/>
        <v>14.134374999999999</v>
      </c>
      <c r="E108" s="67">
        <f t="shared" si="2"/>
        <v>4.7735416666666657</v>
      </c>
      <c r="F108" s="67">
        <f t="shared" si="2"/>
        <v>7.3121875000000012</v>
      </c>
      <c r="G108" s="67">
        <f t="shared" si="2"/>
        <v>35.637916666666676</v>
      </c>
      <c r="H108" s="67">
        <f t="shared" si="2"/>
        <v>14.094819277108435</v>
      </c>
      <c r="I108" s="67">
        <f t="shared" si="2"/>
        <v>0.97114583333333349</v>
      </c>
      <c r="J108" s="67">
        <f t="shared" si="2"/>
        <v>0.27854166666666669</v>
      </c>
      <c r="K108" s="67">
        <f t="shared" si="2"/>
        <v>214.39583333333326</v>
      </c>
      <c r="L108" s="67">
        <f t="shared" si="2"/>
        <v>26.860833333333332</v>
      </c>
      <c r="M108" s="67">
        <f t="shared" si="2"/>
        <v>91.053854166666667</v>
      </c>
      <c r="N108" s="67">
        <f t="shared" si="2"/>
        <v>200.52395833333324</v>
      </c>
      <c r="O108" s="67">
        <f t="shared" si="2"/>
        <v>4.1666666666666666E-3</v>
      </c>
      <c r="P108" s="67">
        <f t="shared" si="2"/>
        <v>0.28708333333333325</v>
      </c>
      <c r="Q108" s="67">
        <f t="shared" si="2"/>
        <v>9.1144791666666638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2.9306243253619928</v>
      </c>
      <c r="C109" s="67">
        <f t="shared" ref="C109:Q109" si="3">STDEV(C9:C104)</f>
        <v>4.609741382554466</v>
      </c>
      <c r="D109" s="67">
        <f t="shared" si="3"/>
        <v>4.2308928540091024</v>
      </c>
      <c r="E109" s="67">
        <f t="shared" si="3"/>
        <v>0.21294911261004007</v>
      </c>
      <c r="F109" s="67">
        <f t="shared" si="3"/>
        <v>2.1744633714890012</v>
      </c>
      <c r="G109" s="67">
        <f t="shared" si="3"/>
        <v>10.089180543289247</v>
      </c>
      <c r="H109" s="67">
        <f t="shared" si="3"/>
        <v>6.8496297499093535</v>
      </c>
      <c r="I109" s="67">
        <f t="shared" si="3"/>
        <v>0.15323095600169187</v>
      </c>
      <c r="J109" s="67">
        <f t="shared" si="3"/>
        <v>0.3336369888829433</v>
      </c>
      <c r="K109" s="67">
        <f t="shared" si="3"/>
        <v>80.304533367041515</v>
      </c>
      <c r="L109" s="67">
        <f t="shared" si="3"/>
        <v>3.0153036564085789</v>
      </c>
      <c r="M109" s="67">
        <f t="shared" si="3"/>
        <v>10.942724799686289</v>
      </c>
      <c r="N109" s="67">
        <f t="shared" si="3"/>
        <v>228.47222092794047</v>
      </c>
      <c r="O109" s="67">
        <f t="shared" si="3"/>
        <v>4.0824829046386304E-2</v>
      </c>
      <c r="P109" s="67">
        <f t="shared" si="3"/>
        <v>0.13179662695681205</v>
      </c>
      <c r="Q109" s="67">
        <f t="shared" si="3"/>
        <v>9.2541538800199247E-2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COUNT(H9:H104)+13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1876</v>
      </c>
      <c r="B9" s="64">
        <v>8</v>
      </c>
      <c r="C9" s="64">
        <v>11.24</v>
      </c>
      <c r="D9" s="64">
        <v>12.29</v>
      </c>
      <c r="E9" s="64">
        <v>5.65</v>
      </c>
      <c r="F9" s="64">
        <v>9.41</v>
      </c>
      <c r="G9" s="64">
        <v>41.68</v>
      </c>
      <c r="H9" s="64">
        <v>18.329999999999998</v>
      </c>
      <c r="I9" s="64">
        <v>1.26</v>
      </c>
      <c r="J9" s="64">
        <v>0.4</v>
      </c>
      <c r="K9" s="64">
        <v>143.09</v>
      </c>
      <c r="L9" s="64">
        <v>24.47</v>
      </c>
      <c r="M9" s="64">
        <v>98.58</v>
      </c>
      <c r="N9" s="64">
        <v>39.6</v>
      </c>
      <c r="O9" s="64">
        <v>0</v>
      </c>
      <c r="P9" s="64">
        <v>0.28000000000000003</v>
      </c>
      <c r="Q9" s="64">
        <v>9.2200000000000006</v>
      </c>
      <c r="R9" s="198"/>
      <c r="S9" s="198"/>
      <c r="T9" s="198"/>
      <c r="U9" s="198"/>
    </row>
    <row r="10" spans="1:21" s="12" customFormat="1" x14ac:dyDescent="0.25">
      <c r="A10" s="213" t="s">
        <v>1877</v>
      </c>
      <c r="B10" s="64">
        <v>8.6</v>
      </c>
      <c r="C10" s="64">
        <v>11.75</v>
      </c>
      <c r="D10" s="64">
        <v>13.04</v>
      </c>
      <c r="E10" s="64">
        <v>5.24</v>
      </c>
      <c r="F10" s="64">
        <v>7.16</v>
      </c>
      <c r="G10" s="64">
        <v>37.590000000000003</v>
      </c>
      <c r="H10" s="64">
        <v>15.11</v>
      </c>
      <c r="I10" s="64">
        <v>1.1599999999999999</v>
      </c>
      <c r="J10" s="64">
        <v>0.16</v>
      </c>
      <c r="K10" s="64">
        <v>131.41</v>
      </c>
      <c r="L10" s="64">
        <v>24.49</v>
      </c>
      <c r="M10" s="64">
        <v>98.58</v>
      </c>
      <c r="N10" s="64">
        <v>39.5</v>
      </c>
      <c r="O10" s="64">
        <v>0</v>
      </c>
      <c r="P10" s="64">
        <v>0.34</v>
      </c>
      <c r="Q10" s="64">
        <v>9.19</v>
      </c>
      <c r="R10" s="198"/>
      <c r="S10" s="198"/>
      <c r="T10" s="198"/>
      <c r="U10" s="198"/>
    </row>
    <row r="11" spans="1:21" s="12" customFormat="1" x14ac:dyDescent="0.25">
      <c r="A11" s="213" t="s">
        <v>1878</v>
      </c>
      <c r="B11" s="64">
        <v>8</v>
      </c>
      <c r="C11" s="64">
        <v>11.87</v>
      </c>
      <c r="D11" s="64">
        <v>12.62</v>
      </c>
      <c r="E11" s="64">
        <v>5.44</v>
      </c>
      <c r="F11" s="64">
        <v>7.33</v>
      </c>
      <c r="G11" s="64">
        <v>27.52</v>
      </c>
      <c r="H11" s="64">
        <v>7.17</v>
      </c>
      <c r="I11" s="64">
        <v>1.1299999999999999</v>
      </c>
      <c r="J11" s="64">
        <v>0.05</v>
      </c>
      <c r="K11" s="64">
        <v>227.2</v>
      </c>
      <c r="L11" s="64">
        <v>24.37</v>
      </c>
      <c r="M11" s="64">
        <v>98.59</v>
      </c>
      <c r="N11" s="64">
        <v>39</v>
      </c>
      <c r="O11" s="64">
        <v>0</v>
      </c>
      <c r="P11" s="64">
        <v>0.3</v>
      </c>
      <c r="Q11" s="64">
        <v>9.17</v>
      </c>
      <c r="R11" s="198"/>
      <c r="S11" s="198"/>
      <c r="T11" s="198"/>
      <c r="U11" s="198"/>
    </row>
    <row r="12" spans="1:21" s="12" customFormat="1" x14ac:dyDescent="0.25">
      <c r="A12" s="213" t="s">
        <v>1879</v>
      </c>
      <c r="B12" s="64">
        <v>7.9</v>
      </c>
      <c r="C12" s="64">
        <v>11.35</v>
      </c>
      <c r="D12" s="64">
        <v>12.26</v>
      </c>
      <c r="E12" s="64">
        <v>5.56</v>
      </c>
      <c r="F12" s="64">
        <v>8.11</v>
      </c>
      <c r="G12" s="64">
        <v>27.52</v>
      </c>
      <c r="H12" s="64">
        <v>7.17</v>
      </c>
      <c r="I12" s="64">
        <v>1.1100000000000001</v>
      </c>
      <c r="J12" s="64">
        <v>0.11</v>
      </c>
      <c r="K12" s="64">
        <v>162.63999999999999</v>
      </c>
      <c r="L12" s="64">
        <v>24.09</v>
      </c>
      <c r="M12" s="64">
        <v>98.63</v>
      </c>
      <c r="N12" s="64">
        <v>38.799999999999997</v>
      </c>
      <c r="O12" s="64">
        <v>0.2</v>
      </c>
      <c r="P12" s="64">
        <v>0.27</v>
      </c>
      <c r="Q12" s="64">
        <v>9.16</v>
      </c>
      <c r="R12" s="198"/>
      <c r="S12" s="198"/>
      <c r="T12" s="198"/>
      <c r="U12" s="198"/>
    </row>
    <row r="13" spans="1:21" s="12" customFormat="1" x14ac:dyDescent="0.25">
      <c r="A13" s="213" t="s">
        <v>1880</v>
      </c>
      <c r="B13" s="64">
        <v>5.67</v>
      </c>
      <c r="C13" s="64">
        <v>10.75</v>
      </c>
      <c r="D13" s="64">
        <v>10.16</v>
      </c>
      <c r="E13" s="64">
        <v>5.52</v>
      </c>
      <c r="F13" s="64">
        <v>12.87</v>
      </c>
      <c r="G13" s="64">
        <v>27.52</v>
      </c>
      <c r="H13" s="64">
        <v>7.17</v>
      </c>
      <c r="I13" s="64">
        <v>1.0900000000000001</v>
      </c>
      <c r="J13" s="64">
        <v>0.04</v>
      </c>
      <c r="K13" s="64">
        <v>175.39</v>
      </c>
      <c r="L13" s="64">
        <v>23.96</v>
      </c>
      <c r="M13" s="64">
        <v>98.63</v>
      </c>
      <c r="N13" s="64">
        <v>39.299999999999997</v>
      </c>
      <c r="O13" s="64">
        <v>0</v>
      </c>
      <c r="P13" s="64">
        <v>0.18</v>
      </c>
      <c r="Q13" s="64">
        <v>9.17</v>
      </c>
      <c r="R13" s="198"/>
      <c r="S13" s="198"/>
      <c r="T13" s="198"/>
      <c r="U13" s="198"/>
    </row>
    <row r="14" spans="1:21" s="12" customFormat="1" x14ac:dyDescent="0.25">
      <c r="A14" s="213" t="s">
        <v>1881</v>
      </c>
      <c r="B14" s="64">
        <v>4.97</v>
      </c>
      <c r="C14" s="64">
        <v>10.16</v>
      </c>
      <c r="D14" s="64">
        <v>9.3000000000000007</v>
      </c>
      <c r="E14" s="64">
        <v>5.4</v>
      </c>
      <c r="F14" s="64">
        <v>12.39</v>
      </c>
      <c r="G14" s="64">
        <v>25.71</v>
      </c>
      <c r="H14" s="64">
        <v>7.38</v>
      </c>
      <c r="I14" s="64">
        <v>1.07</v>
      </c>
      <c r="J14" s="64">
        <v>0</v>
      </c>
      <c r="K14" s="64">
        <v>31.22</v>
      </c>
      <c r="L14" s="64">
        <v>23.88</v>
      </c>
      <c r="M14" s="64">
        <v>98.63</v>
      </c>
      <c r="N14" s="64">
        <v>39.5</v>
      </c>
      <c r="O14" s="64">
        <v>0</v>
      </c>
      <c r="P14" s="64">
        <v>0.2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3" t="s">
        <v>1882</v>
      </c>
      <c r="B15" s="64">
        <v>4.91</v>
      </c>
      <c r="C15" s="64">
        <v>10.14</v>
      </c>
      <c r="D15" s="64">
        <v>9.23</v>
      </c>
      <c r="E15" s="64">
        <v>5.41</v>
      </c>
      <c r="F15" s="64">
        <v>11.34</v>
      </c>
      <c r="G15" s="64">
        <v>20.99</v>
      </c>
      <c r="H15" s="64">
        <v>7.9</v>
      </c>
      <c r="I15" s="64">
        <v>1.05</v>
      </c>
      <c r="J15" s="64">
        <v>0.09</v>
      </c>
      <c r="K15" s="64">
        <v>181.05</v>
      </c>
      <c r="L15" s="64">
        <v>23.86</v>
      </c>
      <c r="M15" s="64">
        <v>98.64</v>
      </c>
      <c r="N15" s="64">
        <v>39.5</v>
      </c>
      <c r="O15" s="64">
        <v>0</v>
      </c>
      <c r="P15" s="64">
        <v>0.18</v>
      </c>
      <c r="Q15" s="64">
        <v>9.19</v>
      </c>
      <c r="R15" s="198"/>
      <c r="S15" s="198"/>
      <c r="T15" s="198"/>
      <c r="U15" s="198"/>
    </row>
    <row r="16" spans="1:21" s="12" customFormat="1" x14ac:dyDescent="0.25">
      <c r="A16" s="213" t="s">
        <v>1883</v>
      </c>
      <c r="B16" s="64">
        <v>4.7699999999999996</v>
      </c>
      <c r="C16" s="64">
        <v>9.4700000000000006</v>
      </c>
      <c r="D16" s="64">
        <v>8.77</v>
      </c>
      <c r="E16" s="64">
        <v>5.51</v>
      </c>
      <c r="F16" s="64">
        <v>11.35</v>
      </c>
      <c r="G16" s="64">
        <v>20.99</v>
      </c>
      <c r="H16" s="64">
        <v>7.9</v>
      </c>
      <c r="I16" s="64">
        <v>1.04</v>
      </c>
      <c r="J16" s="64">
        <v>0.14000000000000001</v>
      </c>
      <c r="K16" s="64">
        <v>119.74</v>
      </c>
      <c r="L16" s="64">
        <v>23.85</v>
      </c>
      <c r="M16" s="64">
        <v>98.67</v>
      </c>
      <c r="N16" s="64">
        <v>39.5</v>
      </c>
      <c r="O16" s="64">
        <v>0</v>
      </c>
      <c r="P16" s="64">
        <v>0.18</v>
      </c>
      <c r="Q16" s="64">
        <v>9.19</v>
      </c>
      <c r="R16" s="198"/>
      <c r="S16" s="198"/>
      <c r="T16" s="198"/>
      <c r="U16" s="198"/>
    </row>
    <row r="17" spans="1:21" s="12" customFormat="1" x14ac:dyDescent="0.25">
      <c r="A17" s="213" t="s">
        <v>1884</v>
      </c>
      <c r="B17" s="64">
        <v>4.8499999999999996</v>
      </c>
      <c r="C17" s="64">
        <v>9.84</v>
      </c>
      <c r="D17" s="64">
        <v>9.0299999999999994</v>
      </c>
      <c r="E17" s="64">
        <v>5.74</v>
      </c>
      <c r="F17" s="64">
        <v>11.04</v>
      </c>
      <c r="G17" s="64">
        <v>20.99</v>
      </c>
      <c r="H17" s="64">
        <v>7.9</v>
      </c>
      <c r="I17" s="64">
        <v>1.02</v>
      </c>
      <c r="J17" s="64">
        <v>0.09</v>
      </c>
      <c r="K17" s="64">
        <v>147.82</v>
      </c>
      <c r="L17" s="64">
        <v>23.85</v>
      </c>
      <c r="M17" s="64">
        <v>98.68</v>
      </c>
      <c r="N17" s="64">
        <v>39.4</v>
      </c>
      <c r="O17" s="64">
        <v>0</v>
      </c>
      <c r="P17" s="64">
        <v>0.2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3" t="s">
        <v>1885</v>
      </c>
      <c r="B18" s="64">
        <v>5.07</v>
      </c>
      <c r="C18" s="64">
        <v>9.5</v>
      </c>
      <c r="D18" s="64">
        <v>9.0299999999999994</v>
      </c>
      <c r="E18" s="64">
        <v>5.64</v>
      </c>
      <c r="F18" s="64">
        <v>10.5</v>
      </c>
      <c r="G18" s="64">
        <v>21.37</v>
      </c>
      <c r="H18" s="64">
        <v>6.63</v>
      </c>
      <c r="I18" s="64">
        <v>1.02</v>
      </c>
      <c r="J18" s="64">
        <v>0.09</v>
      </c>
      <c r="K18" s="64">
        <v>173.22</v>
      </c>
      <c r="L18" s="64">
        <v>23.87</v>
      </c>
      <c r="M18" s="64">
        <v>98.68</v>
      </c>
      <c r="N18" s="64">
        <v>39.299999999999997</v>
      </c>
      <c r="O18" s="64">
        <v>0</v>
      </c>
      <c r="P18" s="64">
        <v>0.19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3" t="s">
        <v>1886</v>
      </c>
      <c r="B19" s="64">
        <v>5.77</v>
      </c>
      <c r="C19" s="64">
        <v>9.4</v>
      </c>
      <c r="D19" s="64">
        <v>9.5399999999999991</v>
      </c>
      <c r="E19" s="64">
        <v>5.77</v>
      </c>
      <c r="F19" s="64">
        <v>9.93</v>
      </c>
      <c r="G19" s="64">
        <v>22.34</v>
      </c>
      <c r="H19" s="64">
        <v>3.5</v>
      </c>
      <c r="I19" s="64">
        <v>1.01</v>
      </c>
      <c r="J19" s="64">
        <v>0.33</v>
      </c>
      <c r="K19" s="64">
        <v>145.05000000000001</v>
      </c>
      <c r="L19" s="64">
        <v>23.87</v>
      </c>
      <c r="M19" s="64">
        <v>98.68</v>
      </c>
      <c r="N19" s="64">
        <v>39.200000000000003</v>
      </c>
      <c r="O19" s="64">
        <v>0</v>
      </c>
      <c r="P19" s="64">
        <v>0.23</v>
      </c>
      <c r="Q19" s="64">
        <v>9.19</v>
      </c>
      <c r="R19" s="198"/>
      <c r="S19" s="198"/>
      <c r="T19" s="198"/>
      <c r="U19" s="198"/>
    </row>
    <row r="20" spans="1:21" s="12" customFormat="1" x14ac:dyDescent="0.25">
      <c r="A20" s="213" t="s">
        <v>1887</v>
      </c>
      <c r="B20" s="64">
        <v>8.0299999999999994</v>
      </c>
      <c r="C20" s="64">
        <v>9</v>
      </c>
      <c r="D20" s="64">
        <v>11.14</v>
      </c>
      <c r="E20" s="64">
        <v>5.59</v>
      </c>
      <c r="F20" s="64">
        <v>4.79</v>
      </c>
      <c r="G20" s="64">
        <v>22.34</v>
      </c>
      <c r="H20" s="64">
        <v>3.5</v>
      </c>
      <c r="I20" s="64">
        <v>1</v>
      </c>
      <c r="J20" s="64">
        <v>0.56000000000000005</v>
      </c>
      <c r="K20" s="64">
        <v>147.72</v>
      </c>
      <c r="L20" s="64">
        <v>23.86</v>
      </c>
      <c r="M20" s="64">
        <v>98.7</v>
      </c>
      <c r="N20" s="64">
        <v>39.299999999999997</v>
      </c>
      <c r="O20" s="64">
        <v>0</v>
      </c>
      <c r="P20" s="64">
        <v>0.28000000000000003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3" t="s">
        <v>1888</v>
      </c>
      <c r="B21" s="64">
        <v>8.57</v>
      </c>
      <c r="C21" s="64">
        <v>9.1300000000000008</v>
      </c>
      <c r="D21" s="64">
        <v>11.64</v>
      </c>
      <c r="E21" s="64">
        <v>5.73</v>
      </c>
      <c r="F21" s="64">
        <v>8.56</v>
      </c>
      <c r="G21" s="64">
        <v>22.34</v>
      </c>
      <c r="H21" s="64">
        <v>3.5</v>
      </c>
      <c r="I21" s="64">
        <v>1.07</v>
      </c>
      <c r="J21" s="64">
        <v>0.27</v>
      </c>
      <c r="K21" s="64">
        <v>140.31</v>
      </c>
      <c r="L21" s="64">
        <v>23.89</v>
      </c>
      <c r="M21" s="64">
        <v>98.72</v>
      </c>
      <c r="N21" s="64">
        <v>39.5</v>
      </c>
      <c r="O21" s="64">
        <v>0</v>
      </c>
      <c r="P21" s="64">
        <v>0.24</v>
      </c>
      <c r="Q21" s="64">
        <v>9.15</v>
      </c>
      <c r="R21" s="198"/>
      <c r="S21" s="198"/>
      <c r="T21" s="198"/>
      <c r="U21" s="198"/>
    </row>
    <row r="22" spans="1:21" s="12" customFormat="1" x14ac:dyDescent="0.25">
      <c r="A22" s="213" t="s">
        <v>1889</v>
      </c>
      <c r="B22" s="64">
        <v>7.21</v>
      </c>
      <c r="C22" s="64">
        <v>8.99</v>
      </c>
      <c r="D22" s="64">
        <v>10.48</v>
      </c>
      <c r="E22" s="64">
        <v>5.71</v>
      </c>
      <c r="F22" s="64">
        <v>9.39</v>
      </c>
      <c r="G22" s="64">
        <v>21.01</v>
      </c>
      <c r="H22" s="64">
        <v>3.2</v>
      </c>
      <c r="I22" s="64">
        <v>1.02</v>
      </c>
      <c r="J22" s="64">
        <v>0.56000000000000005</v>
      </c>
      <c r="K22" s="64">
        <v>144.38</v>
      </c>
      <c r="L22" s="64">
        <v>23.95</v>
      </c>
      <c r="M22" s="64">
        <v>98.7</v>
      </c>
      <c r="N22" s="64">
        <v>39.5</v>
      </c>
      <c r="O22" s="64">
        <v>0</v>
      </c>
      <c r="P22" s="64">
        <v>0.21</v>
      </c>
      <c r="Q22" s="64">
        <v>9.1300000000000008</v>
      </c>
      <c r="R22" s="198"/>
      <c r="S22" s="198"/>
      <c r="T22" s="198"/>
      <c r="U22" s="198"/>
    </row>
    <row r="23" spans="1:21" s="12" customFormat="1" x14ac:dyDescent="0.25">
      <c r="A23" s="213" t="s">
        <v>1890</v>
      </c>
      <c r="B23" s="64">
        <v>5.99</v>
      </c>
      <c r="C23" s="64">
        <v>9.94</v>
      </c>
      <c r="D23" s="64">
        <v>9.99</v>
      </c>
      <c r="E23" s="64">
        <v>5.46</v>
      </c>
      <c r="F23" s="64">
        <v>9.59</v>
      </c>
      <c r="G23" s="64">
        <v>17.739999999999998</v>
      </c>
      <c r="H23" s="64">
        <v>2.46</v>
      </c>
      <c r="I23" s="64">
        <v>1</v>
      </c>
      <c r="J23" s="64">
        <v>0.12</v>
      </c>
      <c r="K23" s="64">
        <v>149.97999999999999</v>
      </c>
      <c r="L23" s="64">
        <v>23.94</v>
      </c>
      <c r="M23" s="64">
        <v>98.71</v>
      </c>
      <c r="N23" s="64">
        <v>39.299999999999997</v>
      </c>
      <c r="O23" s="64">
        <v>0</v>
      </c>
      <c r="P23" s="64">
        <v>0.17</v>
      </c>
      <c r="Q23" s="64">
        <v>9.1300000000000008</v>
      </c>
      <c r="R23" s="198"/>
      <c r="S23" s="198"/>
      <c r="T23" s="198"/>
      <c r="U23" s="198"/>
    </row>
    <row r="24" spans="1:21" s="12" customFormat="1" x14ac:dyDescent="0.25">
      <c r="A24" s="213" t="s">
        <v>1891</v>
      </c>
      <c r="B24" s="64">
        <v>5.46</v>
      </c>
      <c r="C24" s="64">
        <v>9.7899999999999991</v>
      </c>
      <c r="D24" s="64">
        <v>9.49</v>
      </c>
      <c r="E24" s="64">
        <v>5.69</v>
      </c>
      <c r="F24" s="64">
        <v>8.98</v>
      </c>
      <c r="G24" s="64">
        <v>17.739999999999998</v>
      </c>
      <c r="H24" s="64">
        <v>2.46</v>
      </c>
      <c r="I24" s="64">
        <v>1.03</v>
      </c>
      <c r="J24" s="64">
        <v>0.05</v>
      </c>
      <c r="K24" s="64">
        <v>211.48</v>
      </c>
      <c r="L24" s="64">
        <v>23.9</v>
      </c>
      <c r="M24" s="64">
        <v>98.73</v>
      </c>
      <c r="N24" s="64">
        <v>39.299999999999997</v>
      </c>
      <c r="O24" s="64">
        <v>0</v>
      </c>
      <c r="P24" s="64">
        <v>0.17</v>
      </c>
      <c r="Q24" s="64">
        <v>9.1199999999999992</v>
      </c>
      <c r="R24" s="198"/>
      <c r="S24" s="198"/>
      <c r="T24" s="198"/>
      <c r="U24" s="198"/>
    </row>
    <row r="25" spans="1:21" s="12" customFormat="1" x14ac:dyDescent="0.25">
      <c r="A25" s="213" t="s">
        <v>1892</v>
      </c>
      <c r="B25" s="64">
        <v>6.59</v>
      </c>
      <c r="C25" s="64">
        <v>9.7899999999999991</v>
      </c>
      <c r="D25" s="64">
        <v>10.4</v>
      </c>
      <c r="E25" s="64">
        <v>5.23</v>
      </c>
      <c r="F25" s="64">
        <v>5.93</v>
      </c>
      <c r="G25" s="64">
        <v>17.739999999999998</v>
      </c>
      <c r="H25" s="64">
        <v>2.46</v>
      </c>
      <c r="I25" s="64">
        <v>1.01</v>
      </c>
      <c r="J25" s="64">
        <v>0.01</v>
      </c>
      <c r="K25" s="64">
        <v>56.24</v>
      </c>
      <c r="L25" s="64">
        <v>23.87</v>
      </c>
      <c r="M25" s="64">
        <v>98.73</v>
      </c>
      <c r="N25" s="64">
        <v>39.200000000000003</v>
      </c>
      <c r="O25" s="64">
        <v>0</v>
      </c>
      <c r="P25" s="64">
        <v>0.22</v>
      </c>
      <c r="Q25" s="64">
        <v>9.1</v>
      </c>
      <c r="R25" s="198"/>
      <c r="S25" s="198"/>
      <c r="T25" s="198"/>
      <c r="U25" s="198"/>
    </row>
    <row r="26" spans="1:21" s="12" customFormat="1" x14ac:dyDescent="0.25">
      <c r="A26" s="213" t="s">
        <v>1893</v>
      </c>
      <c r="B26" s="64">
        <v>7.5</v>
      </c>
      <c r="C26" s="64">
        <v>9.5299999999999994</v>
      </c>
      <c r="D26" s="64">
        <v>11</v>
      </c>
      <c r="E26" s="64">
        <v>5.37</v>
      </c>
      <c r="F26" s="64">
        <v>7.3</v>
      </c>
      <c r="G26" s="64">
        <v>16.79</v>
      </c>
      <c r="H26" s="64">
        <v>2.58</v>
      </c>
      <c r="I26" s="64">
        <v>0.97</v>
      </c>
      <c r="J26" s="64">
        <v>0.02</v>
      </c>
      <c r="K26" s="64">
        <v>83.59</v>
      </c>
      <c r="L26" s="64">
        <v>23.93</v>
      </c>
      <c r="M26" s="64">
        <v>98.75</v>
      </c>
      <c r="N26" s="64">
        <v>39.5</v>
      </c>
      <c r="O26" s="64">
        <v>0</v>
      </c>
      <c r="P26" s="64">
        <v>0.21</v>
      </c>
      <c r="Q26" s="64">
        <v>9.1</v>
      </c>
      <c r="R26" s="198"/>
      <c r="S26" s="198"/>
      <c r="T26" s="198"/>
      <c r="U26" s="198"/>
    </row>
    <row r="27" spans="1:21" s="12" customFormat="1" x14ac:dyDescent="0.25">
      <c r="A27" s="213" t="s">
        <v>1894</v>
      </c>
      <c r="B27" s="64">
        <v>6.21</v>
      </c>
      <c r="C27" s="64">
        <v>10.49</v>
      </c>
      <c r="D27" s="64">
        <v>10.46</v>
      </c>
      <c r="E27" s="64">
        <v>5.43</v>
      </c>
      <c r="F27" s="64">
        <v>6.72</v>
      </c>
      <c r="G27" s="64">
        <v>14.42</v>
      </c>
      <c r="H27" s="64">
        <v>2.87</v>
      </c>
      <c r="I27" s="64">
        <v>0.96</v>
      </c>
      <c r="J27" s="64">
        <v>0.03</v>
      </c>
      <c r="K27" s="64">
        <v>138.87</v>
      </c>
      <c r="L27" s="64">
        <v>23.98</v>
      </c>
      <c r="M27" s="64">
        <v>98.75</v>
      </c>
      <c r="N27" s="64">
        <v>39.5</v>
      </c>
      <c r="O27" s="64">
        <v>0</v>
      </c>
      <c r="P27" s="64">
        <v>0.19</v>
      </c>
      <c r="Q27" s="64">
        <v>9.09</v>
      </c>
      <c r="R27" s="198"/>
      <c r="S27" s="198"/>
      <c r="T27" s="198"/>
      <c r="U27" s="198"/>
    </row>
    <row r="28" spans="1:21" s="12" customFormat="1" x14ac:dyDescent="0.25">
      <c r="A28" s="213" t="s">
        <v>1895</v>
      </c>
      <c r="B28" s="64">
        <v>7.28</v>
      </c>
      <c r="C28" s="64">
        <v>9.77</v>
      </c>
      <c r="D28" s="64">
        <v>10.95</v>
      </c>
      <c r="E28" s="64">
        <v>5.55</v>
      </c>
      <c r="F28" s="64">
        <v>6.95</v>
      </c>
      <c r="G28" s="64">
        <v>14.42</v>
      </c>
      <c r="H28" s="64">
        <v>2.87</v>
      </c>
      <c r="I28" s="64">
        <v>0.94</v>
      </c>
      <c r="J28" s="64">
        <v>0.06</v>
      </c>
      <c r="K28" s="64">
        <v>201.52</v>
      </c>
      <c r="L28" s="64">
        <v>24</v>
      </c>
      <c r="M28" s="64">
        <v>98.75</v>
      </c>
      <c r="N28" s="64">
        <v>39.6</v>
      </c>
      <c r="O28" s="64">
        <v>0</v>
      </c>
      <c r="P28" s="64">
        <v>0.22</v>
      </c>
      <c r="Q28" s="64">
        <v>9.09</v>
      </c>
      <c r="R28" s="198"/>
      <c r="S28" s="198"/>
      <c r="T28" s="198"/>
      <c r="U28" s="198"/>
    </row>
    <row r="29" spans="1:21" s="12" customFormat="1" x14ac:dyDescent="0.25">
      <c r="A29" s="213" t="s">
        <v>1896</v>
      </c>
      <c r="B29" s="64">
        <v>5.65</v>
      </c>
      <c r="C29" s="64">
        <v>11.3</v>
      </c>
      <c r="D29" s="64">
        <v>10.44</v>
      </c>
      <c r="E29" s="64">
        <v>5.33</v>
      </c>
      <c r="F29" s="64">
        <v>7.49</v>
      </c>
      <c r="G29" s="64">
        <v>14.42</v>
      </c>
      <c r="H29" s="64">
        <v>2.87</v>
      </c>
      <c r="I29" s="64">
        <v>0.92</v>
      </c>
      <c r="J29" s="64">
        <v>0.02</v>
      </c>
      <c r="K29" s="64">
        <v>183</v>
      </c>
      <c r="L29" s="64">
        <v>23.99</v>
      </c>
      <c r="M29" s="64">
        <v>98.75</v>
      </c>
      <c r="N29" s="64">
        <v>39.6</v>
      </c>
      <c r="O29" s="64">
        <v>0</v>
      </c>
      <c r="P29" s="64">
        <v>0.21</v>
      </c>
      <c r="Q29" s="64">
        <v>9.09</v>
      </c>
      <c r="R29" s="198"/>
      <c r="S29" s="198"/>
      <c r="T29" s="198"/>
      <c r="U29" s="198"/>
    </row>
    <row r="30" spans="1:21" s="12" customFormat="1" x14ac:dyDescent="0.25">
      <c r="A30" s="213" t="s">
        <v>1897</v>
      </c>
      <c r="B30" s="64">
        <v>5.33</v>
      </c>
      <c r="C30" s="64">
        <v>12.54</v>
      </c>
      <c r="D30" s="64">
        <v>10.83</v>
      </c>
      <c r="E30" s="64">
        <v>5.31</v>
      </c>
      <c r="F30" s="64">
        <v>8.65</v>
      </c>
      <c r="G30" s="64">
        <v>15.44</v>
      </c>
      <c r="H30" s="64">
        <v>2.66</v>
      </c>
      <c r="I30" s="64">
        <v>0.91</v>
      </c>
      <c r="J30" s="64">
        <v>0</v>
      </c>
      <c r="K30" s="64">
        <v>181.05</v>
      </c>
      <c r="L30" s="64">
        <v>23.92</v>
      </c>
      <c r="M30" s="64">
        <v>98.76</v>
      </c>
      <c r="N30" s="64">
        <v>41.2</v>
      </c>
      <c r="O30" s="64">
        <v>0</v>
      </c>
      <c r="P30" s="64">
        <v>0.17</v>
      </c>
      <c r="Q30" s="64">
        <v>9.1</v>
      </c>
      <c r="R30" s="198"/>
      <c r="S30" s="198"/>
      <c r="T30" s="198"/>
      <c r="U30" s="198"/>
    </row>
    <row r="31" spans="1:21" s="12" customFormat="1" x14ac:dyDescent="0.25">
      <c r="A31" s="213" t="s">
        <v>1898</v>
      </c>
      <c r="B31" s="64">
        <v>23.95</v>
      </c>
      <c r="C31" s="64">
        <v>18.07</v>
      </c>
      <c r="D31" s="64">
        <v>28.65</v>
      </c>
      <c r="E31" s="64">
        <v>5.49</v>
      </c>
      <c r="F31" s="64">
        <v>6.11</v>
      </c>
      <c r="G31" s="64">
        <v>17.940000000000001</v>
      </c>
      <c r="H31" s="64">
        <v>2.13</v>
      </c>
      <c r="I31" s="64">
        <v>0.9</v>
      </c>
      <c r="J31" s="64">
        <v>7.0000000000000007E-2</v>
      </c>
      <c r="K31" s="64">
        <v>331.02</v>
      </c>
      <c r="L31" s="64">
        <v>23.89</v>
      </c>
      <c r="M31" s="64">
        <v>98.8</v>
      </c>
      <c r="N31" s="64">
        <v>50.1</v>
      </c>
      <c r="O31" s="64">
        <v>0</v>
      </c>
      <c r="P31" s="64">
        <v>0.46</v>
      </c>
      <c r="Q31" s="64">
        <v>9.1199999999999992</v>
      </c>
      <c r="R31" s="198"/>
      <c r="S31" s="198"/>
      <c r="T31" s="198"/>
      <c r="U31" s="198"/>
    </row>
    <row r="32" spans="1:21" s="12" customFormat="1" x14ac:dyDescent="0.25">
      <c r="A32" s="213" t="s">
        <v>1899</v>
      </c>
      <c r="B32" s="64">
        <v>18.02</v>
      </c>
      <c r="C32" s="64">
        <v>15.77</v>
      </c>
      <c r="D32" s="64">
        <v>22.69</v>
      </c>
      <c r="E32" s="64">
        <v>6.07</v>
      </c>
      <c r="F32" s="64">
        <v>5.98</v>
      </c>
      <c r="G32" s="64">
        <v>17.940000000000001</v>
      </c>
      <c r="H32" s="64">
        <v>2.13</v>
      </c>
      <c r="I32" s="64">
        <v>0.9</v>
      </c>
      <c r="J32" s="64">
        <v>0.24</v>
      </c>
      <c r="K32" s="64">
        <v>342.91</v>
      </c>
      <c r="L32" s="64">
        <v>24.02</v>
      </c>
      <c r="M32" s="64">
        <v>98.8</v>
      </c>
      <c r="N32" s="64">
        <v>65.3</v>
      </c>
      <c r="O32" s="64">
        <v>0</v>
      </c>
      <c r="P32" s="64">
        <v>0.28000000000000003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13" t="s">
        <v>1900</v>
      </c>
      <c r="B33" s="64">
        <v>21.46</v>
      </c>
      <c r="C33" s="64">
        <v>14.81</v>
      </c>
      <c r="D33" s="64">
        <v>24.95</v>
      </c>
      <c r="E33" s="64">
        <v>5.85</v>
      </c>
      <c r="F33" s="64">
        <v>6.24</v>
      </c>
      <c r="G33" s="64">
        <v>17.940000000000001</v>
      </c>
      <c r="H33" s="64">
        <v>2.13</v>
      </c>
      <c r="I33" s="64">
        <v>0.91</v>
      </c>
      <c r="J33" s="64">
        <v>0.27</v>
      </c>
      <c r="K33" s="64">
        <v>345.46</v>
      </c>
      <c r="L33" s="64">
        <v>24.3</v>
      </c>
      <c r="M33" s="64">
        <v>98.82</v>
      </c>
      <c r="N33" s="64">
        <v>81.099999999999994</v>
      </c>
      <c r="O33" s="64">
        <v>0</v>
      </c>
      <c r="P33" s="64">
        <v>0.44</v>
      </c>
      <c r="Q33" s="64">
        <v>9.19</v>
      </c>
      <c r="R33" s="198"/>
      <c r="S33" s="198"/>
      <c r="T33" s="198"/>
      <c r="U33" s="198"/>
    </row>
    <row r="34" spans="1:21" s="12" customFormat="1" x14ac:dyDescent="0.25">
      <c r="A34" s="213" t="s">
        <v>1901</v>
      </c>
      <c r="B34" s="64">
        <v>21.75</v>
      </c>
      <c r="C34" s="64">
        <v>14.57</v>
      </c>
      <c r="D34" s="64">
        <v>24.82</v>
      </c>
      <c r="E34" s="64">
        <v>5.92</v>
      </c>
      <c r="F34" s="64">
        <v>6.41</v>
      </c>
      <c r="G34" s="64">
        <v>22.88</v>
      </c>
      <c r="H34" s="64">
        <v>5.18</v>
      </c>
      <c r="I34" s="64">
        <v>0.93</v>
      </c>
      <c r="J34" s="64">
        <v>0.27</v>
      </c>
      <c r="K34" s="64">
        <v>345.44</v>
      </c>
      <c r="L34" s="64">
        <v>24.79</v>
      </c>
      <c r="M34" s="64">
        <v>98.81</v>
      </c>
      <c r="N34" s="64">
        <v>105.3</v>
      </c>
      <c r="O34" s="64">
        <v>0</v>
      </c>
      <c r="P34" s="64">
        <v>0.36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3" t="s">
        <v>1902</v>
      </c>
      <c r="B35" s="64">
        <v>24.68</v>
      </c>
      <c r="C35" s="64">
        <v>15.14</v>
      </c>
      <c r="D35" s="64">
        <v>27.7</v>
      </c>
      <c r="E35" s="64">
        <v>6</v>
      </c>
      <c r="F35" s="64">
        <v>7.56</v>
      </c>
      <c r="G35" s="64">
        <v>35.04</v>
      </c>
      <c r="H35" s="64">
        <v>12.71</v>
      </c>
      <c r="I35" s="64">
        <v>0.93</v>
      </c>
      <c r="J35" s="64">
        <v>0.27</v>
      </c>
      <c r="K35" s="64">
        <v>338.7</v>
      </c>
      <c r="L35" s="64">
        <v>25.42</v>
      </c>
      <c r="M35" s="64">
        <v>98.78</v>
      </c>
      <c r="N35" s="64">
        <v>132.6</v>
      </c>
      <c r="O35" s="64">
        <v>0</v>
      </c>
      <c r="P35" s="64">
        <v>0.44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3" t="s">
        <v>1903</v>
      </c>
      <c r="B36" s="64">
        <v>17.850000000000001</v>
      </c>
      <c r="C36" s="64">
        <v>18.940000000000001</v>
      </c>
      <c r="D36" s="64">
        <v>24.21</v>
      </c>
      <c r="E36" s="64">
        <v>5.86</v>
      </c>
      <c r="F36" s="64">
        <v>7.76</v>
      </c>
      <c r="G36" s="64">
        <v>35.04</v>
      </c>
      <c r="H36" s="64">
        <v>12.71</v>
      </c>
      <c r="I36" s="64">
        <v>0.96</v>
      </c>
      <c r="J36" s="64">
        <v>0.24</v>
      </c>
      <c r="K36" s="64">
        <v>338.44</v>
      </c>
      <c r="L36" s="64">
        <v>25.87</v>
      </c>
      <c r="M36" s="64">
        <v>98.75</v>
      </c>
      <c r="N36" s="64">
        <v>148.1</v>
      </c>
      <c r="O36" s="64">
        <v>0</v>
      </c>
      <c r="P36" s="64">
        <v>0.44</v>
      </c>
      <c r="Q36" s="64">
        <v>9.2899999999999991</v>
      </c>
      <c r="R36" s="198"/>
      <c r="S36" s="198"/>
      <c r="T36" s="198"/>
      <c r="U36" s="198"/>
    </row>
    <row r="37" spans="1:21" s="12" customFormat="1" x14ac:dyDescent="0.25">
      <c r="A37" s="213" t="s">
        <v>1904</v>
      </c>
      <c r="B37" s="64">
        <v>28.38</v>
      </c>
      <c r="C37" s="64">
        <v>17.66</v>
      </c>
      <c r="D37" s="64">
        <v>31.98</v>
      </c>
      <c r="E37" s="64">
        <v>5.7</v>
      </c>
      <c r="F37" s="64">
        <v>6.14</v>
      </c>
      <c r="G37" s="64">
        <v>35.04</v>
      </c>
      <c r="H37" s="64">
        <v>12.71</v>
      </c>
      <c r="I37" s="64">
        <v>0.98</v>
      </c>
      <c r="J37" s="64">
        <v>0.3</v>
      </c>
      <c r="K37" s="64">
        <v>340.61</v>
      </c>
      <c r="L37" s="64">
        <v>26.2</v>
      </c>
      <c r="M37" s="64">
        <v>98.75</v>
      </c>
      <c r="N37" s="64">
        <v>173.5</v>
      </c>
      <c r="O37" s="64">
        <v>0</v>
      </c>
      <c r="P37" s="64">
        <v>0.37</v>
      </c>
      <c r="Q37" s="64">
        <v>9.32</v>
      </c>
      <c r="R37" s="198"/>
      <c r="S37" s="198"/>
      <c r="T37" s="198"/>
      <c r="U37" s="198"/>
    </row>
    <row r="38" spans="1:21" s="12" customFormat="1" x14ac:dyDescent="0.25">
      <c r="A38" s="213" t="s">
        <v>1905</v>
      </c>
      <c r="B38" s="64">
        <v>17.489999999999998</v>
      </c>
      <c r="C38" s="64">
        <v>14.9</v>
      </c>
      <c r="D38" s="64">
        <v>21.81</v>
      </c>
      <c r="E38" s="64">
        <v>5.8</v>
      </c>
      <c r="F38" s="64">
        <v>5.58</v>
      </c>
      <c r="G38" s="64">
        <v>41.08</v>
      </c>
      <c r="H38" s="64">
        <v>12.74</v>
      </c>
      <c r="I38" s="64">
        <v>1.03</v>
      </c>
      <c r="J38" s="64">
        <v>0.06</v>
      </c>
      <c r="K38" s="64">
        <v>68.16</v>
      </c>
      <c r="L38" s="64">
        <v>26.42</v>
      </c>
      <c r="M38" s="64">
        <v>98.77</v>
      </c>
      <c r="N38" s="64">
        <v>204.1</v>
      </c>
      <c r="O38" s="64">
        <v>0</v>
      </c>
      <c r="P38" s="64">
        <v>0.38</v>
      </c>
      <c r="Q38" s="64">
        <v>9.32</v>
      </c>
      <c r="R38" s="198"/>
      <c r="S38" s="198"/>
      <c r="T38" s="198"/>
      <c r="U38" s="198"/>
    </row>
    <row r="39" spans="1:21" s="12" customFormat="1" x14ac:dyDescent="0.25">
      <c r="A39" s="213" t="s">
        <v>1906</v>
      </c>
      <c r="B39" s="64">
        <v>24.9</v>
      </c>
      <c r="C39" s="64">
        <v>22.71</v>
      </c>
      <c r="D39" s="64">
        <v>31.84</v>
      </c>
      <c r="E39" s="64">
        <v>5.62</v>
      </c>
      <c r="F39" s="64">
        <v>6.6</v>
      </c>
      <c r="G39" s="64">
        <v>55.94</v>
      </c>
      <c r="H39" s="64">
        <v>12.82</v>
      </c>
      <c r="I39" s="64">
        <v>1.0900000000000001</v>
      </c>
      <c r="J39" s="64">
        <v>0.06</v>
      </c>
      <c r="K39" s="64">
        <v>54.44</v>
      </c>
      <c r="L39" s="64">
        <v>26.79</v>
      </c>
      <c r="M39" s="64">
        <v>98.72</v>
      </c>
      <c r="N39" s="64">
        <v>226.2</v>
      </c>
      <c r="O39" s="64">
        <v>0</v>
      </c>
      <c r="P39" s="64">
        <v>0.62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3" t="s">
        <v>1907</v>
      </c>
      <c r="B40" s="64">
        <v>14.9</v>
      </c>
      <c r="C40" s="64">
        <v>15.45</v>
      </c>
      <c r="D40" s="64">
        <v>20.02</v>
      </c>
      <c r="E40" s="64">
        <v>4.25</v>
      </c>
      <c r="F40" s="64">
        <v>6.78</v>
      </c>
      <c r="G40" s="64">
        <v>55.94</v>
      </c>
      <c r="H40" s="64">
        <v>12.82</v>
      </c>
      <c r="I40" s="64">
        <v>1.1399999999999999</v>
      </c>
      <c r="J40" s="64">
        <v>0.49</v>
      </c>
      <c r="K40" s="64">
        <v>118.48</v>
      </c>
      <c r="L40" s="64">
        <v>26.62</v>
      </c>
      <c r="M40" s="64">
        <v>98.69</v>
      </c>
      <c r="N40" s="64">
        <v>228.8</v>
      </c>
      <c r="O40" s="64">
        <v>0</v>
      </c>
      <c r="P40" s="64">
        <v>0.39</v>
      </c>
      <c r="Q40" s="64">
        <v>9.36</v>
      </c>
      <c r="R40" s="198"/>
      <c r="S40" s="198"/>
      <c r="T40" s="198"/>
      <c r="U40" s="198"/>
    </row>
    <row r="41" spans="1:21" s="12" customFormat="1" x14ac:dyDescent="0.25">
      <c r="A41" s="213" t="s">
        <v>1908</v>
      </c>
      <c r="B41" s="64">
        <v>14.64</v>
      </c>
      <c r="C41" s="64">
        <v>16.77</v>
      </c>
      <c r="D41" s="64">
        <v>20.5</v>
      </c>
      <c r="E41" s="64">
        <v>4.37</v>
      </c>
      <c r="F41" s="64">
        <v>7.65</v>
      </c>
      <c r="G41" s="64">
        <v>55.94</v>
      </c>
      <c r="H41" s="64">
        <v>12.82</v>
      </c>
      <c r="I41" s="64">
        <v>1.1200000000000001</v>
      </c>
      <c r="J41" s="64">
        <v>0.3</v>
      </c>
      <c r="K41" s="64">
        <v>132.61000000000001</v>
      </c>
      <c r="L41" s="64">
        <v>26.96</v>
      </c>
      <c r="M41" s="64">
        <v>98.7</v>
      </c>
      <c r="N41" s="64">
        <v>239.4</v>
      </c>
      <c r="O41" s="64">
        <v>0</v>
      </c>
      <c r="P41" s="64">
        <v>0.41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3" t="s">
        <v>1909</v>
      </c>
      <c r="B42" s="64">
        <v>15.72</v>
      </c>
      <c r="C42" s="64">
        <v>15.53</v>
      </c>
      <c r="D42" s="64">
        <v>20.72</v>
      </c>
      <c r="E42" s="64">
        <v>4.38</v>
      </c>
      <c r="F42" s="64">
        <v>7.73</v>
      </c>
      <c r="G42" s="64">
        <v>56.62</v>
      </c>
      <c r="H42" s="64">
        <v>10.97</v>
      </c>
      <c r="I42" s="64">
        <v>1.1000000000000001</v>
      </c>
      <c r="J42" s="64">
        <v>0.42</v>
      </c>
      <c r="K42" s="64">
        <v>158.49</v>
      </c>
      <c r="L42" s="64">
        <v>26.92</v>
      </c>
      <c r="M42" s="64">
        <v>98.73</v>
      </c>
      <c r="N42" s="64">
        <v>283.60000000000002</v>
      </c>
      <c r="O42" s="64">
        <v>0</v>
      </c>
      <c r="P42" s="64">
        <v>0.37</v>
      </c>
      <c r="Q42" s="64">
        <v>9.36</v>
      </c>
      <c r="R42" s="198"/>
      <c r="S42" s="198"/>
      <c r="T42" s="198"/>
      <c r="U42" s="198"/>
    </row>
    <row r="43" spans="1:21" s="12" customFormat="1" x14ac:dyDescent="0.25">
      <c r="A43" s="213" t="s">
        <v>1910</v>
      </c>
      <c r="B43" s="64">
        <v>14.69</v>
      </c>
      <c r="C43" s="64">
        <v>13.33</v>
      </c>
      <c r="D43" s="64">
        <v>18.75</v>
      </c>
      <c r="E43" s="64">
        <v>4.3499999999999996</v>
      </c>
      <c r="F43" s="64">
        <v>6.86</v>
      </c>
      <c r="G43" s="64">
        <v>58.29</v>
      </c>
      <c r="H43" s="64">
        <v>6.41</v>
      </c>
      <c r="I43" s="64">
        <v>1.1200000000000001</v>
      </c>
      <c r="J43" s="64">
        <v>0.65</v>
      </c>
      <c r="K43" s="64">
        <v>144.72999999999999</v>
      </c>
      <c r="L43" s="64">
        <v>26.96</v>
      </c>
      <c r="M43" s="64">
        <v>98.74</v>
      </c>
      <c r="N43" s="64">
        <v>295.39999999999998</v>
      </c>
      <c r="O43" s="64">
        <v>0</v>
      </c>
      <c r="P43" s="64">
        <v>0.34</v>
      </c>
      <c r="Q43" s="64">
        <v>9.36</v>
      </c>
      <c r="R43" s="198"/>
      <c r="S43" s="198"/>
      <c r="T43" s="198"/>
      <c r="U43" s="198"/>
    </row>
    <row r="44" spans="1:21" s="12" customFormat="1" x14ac:dyDescent="0.25">
      <c r="A44" s="213" t="s">
        <v>1911</v>
      </c>
      <c r="B44" s="64">
        <v>13.96</v>
      </c>
      <c r="C44" s="64">
        <v>12.1</v>
      </c>
      <c r="D44" s="64">
        <v>17.52</v>
      </c>
      <c r="E44" s="64">
        <v>4.47</v>
      </c>
      <c r="F44" s="64">
        <v>7.28</v>
      </c>
      <c r="G44" s="64">
        <v>58.29</v>
      </c>
      <c r="H44" s="64">
        <v>6.41</v>
      </c>
      <c r="I44" s="64">
        <v>1.1399999999999999</v>
      </c>
      <c r="J44" s="64">
        <v>0.56000000000000005</v>
      </c>
      <c r="K44" s="64">
        <v>147.6</v>
      </c>
      <c r="L44" s="64">
        <v>26.95</v>
      </c>
      <c r="M44" s="64">
        <v>98.74</v>
      </c>
      <c r="N44" s="64">
        <v>299.8</v>
      </c>
      <c r="O44" s="64">
        <v>0</v>
      </c>
      <c r="P44" s="64">
        <v>0.33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3" t="s">
        <v>1912</v>
      </c>
      <c r="B45" s="64">
        <v>11.82</v>
      </c>
      <c r="C45" s="64">
        <v>12.24</v>
      </c>
      <c r="D45" s="64">
        <v>15.87</v>
      </c>
      <c r="E45" s="64">
        <v>4.17</v>
      </c>
      <c r="F45" s="64">
        <v>10.9</v>
      </c>
      <c r="G45" s="64">
        <v>58.29</v>
      </c>
      <c r="H45" s="64">
        <v>6.41</v>
      </c>
      <c r="I45" s="64">
        <v>1.1599999999999999</v>
      </c>
      <c r="J45" s="64">
        <v>0.49</v>
      </c>
      <c r="K45" s="64">
        <v>149.22999999999999</v>
      </c>
      <c r="L45" s="64">
        <v>27.22</v>
      </c>
      <c r="M45" s="64">
        <v>98.62</v>
      </c>
      <c r="N45" s="64">
        <v>301.5</v>
      </c>
      <c r="O45" s="64">
        <v>0</v>
      </c>
      <c r="P45" s="64">
        <v>0.28999999999999998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13" t="s">
        <v>1913</v>
      </c>
      <c r="B46" s="64">
        <v>14.72</v>
      </c>
      <c r="C46" s="64">
        <v>12.41</v>
      </c>
      <c r="D46" s="64">
        <v>18.29</v>
      </c>
      <c r="E46" s="64">
        <v>4.57</v>
      </c>
      <c r="F46" s="64">
        <v>7.6</v>
      </c>
      <c r="G46" s="64">
        <v>55.24</v>
      </c>
      <c r="H46" s="64">
        <v>10.029999999999999</v>
      </c>
      <c r="I46" s="64">
        <v>1.1599999999999999</v>
      </c>
      <c r="J46" s="64">
        <v>7.0000000000000007E-2</v>
      </c>
      <c r="K46" s="64">
        <v>163.02000000000001</v>
      </c>
      <c r="L46" s="64">
        <v>28.06</v>
      </c>
      <c r="M46" s="64">
        <v>96.89</v>
      </c>
      <c r="N46" s="64">
        <v>311.2</v>
      </c>
      <c r="O46" s="64">
        <v>0</v>
      </c>
      <c r="P46" s="64">
        <v>0.35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3" t="s">
        <v>1914</v>
      </c>
      <c r="B47" s="64">
        <v>11.95</v>
      </c>
      <c r="C47" s="64">
        <v>12.37</v>
      </c>
      <c r="D47" s="64">
        <v>16.05</v>
      </c>
      <c r="E47" s="64">
        <v>4.17</v>
      </c>
      <c r="F47" s="64">
        <v>8.64</v>
      </c>
      <c r="G47" s="64">
        <v>47.75</v>
      </c>
      <c r="H47" s="64">
        <v>18.940000000000001</v>
      </c>
      <c r="I47" s="64">
        <v>1.1399999999999999</v>
      </c>
      <c r="J47" s="64">
        <v>0.23</v>
      </c>
      <c r="K47" s="64">
        <v>158.52000000000001</v>
      </c>
      <c r="L47" s="64">
        <v>28.13</v>
      </c>
      <c r="M47" s="64">
        <v>94.27</v>
      </c>
      <c r="N47" s="64">
        <v>422.3</v>
      </c>
      <c r="O47" s="64">
        <v>0</v>
      </c>
      <c r="P47" s="64">
        <v>0.37</v>
      </c>
      <c r="Q47" s="64">
        <v>9.2799999999999994</v>
      </c>
      <c r="R47" s="198"/>
      <c r="S47" s="198"/>
      <c r="T47" s="198"/>
      <c r="U47" s="198"/>
    </row>
    <row r="48" spans="1:21" s="12" customFormat="1" x14ac:dyDescent="0.25">
      <c r="A48" s="213" t="s">
        <v>1915</v>
      </c>
      <c r="B48" s="64">
        <v>11.01</v>
      </c>
      <c r="C48" s="64">
        <v>17</v>
      </c>
      <c r="D48" s="64">
        <v>17.71</v>
      </c>
      <c r="E48" s="64">
        <v>4.17</v>
      </c>
      <c r="F48" s="64">
        <v>12.01</v>
      </c>
      <c r="G48" s="64">
        <v>47.75</v>
      </c>
      <c r="H48" s="64">
        <v>18.940000000000001</v>
      </c>
      <c r="I48" s="64">
        <v>1.23</v>
      </c>
      <c r="J48" s="64">
        <v>0.14000000000000001</v>
      </c>
      <c r="K48" s="64">
        <v>169.15</v>
      </c>
      <c r="L48" s="64">
        <v>28.68</v>
      </c>
      <c r="M48" s="64">
        <v>89.84</v>
      </c>
      <c r="N48" s="64">
        <v>458.4</v>
      </c>
      <c r="O48" s="64">
        <v>0</v>
      </c>
      <c r="P48" s="64">
        <v>0.53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3" t="s">
        <v>1916</v>
      </c>
      <c r="B49" s="64">
        <v>8.92</v>
      </c>
      <c r="C49" s="64">
        <v>16.41</v>
      </c>
      <c r="D49" s="64">
        <v>15.73</v>
      </c>
      <c r="E49" s="64">
        <v>4.4000000000000004</v>
      </c>
      <c r="F49" s="64">
        <v>14.78</v>
      </c>
      <c r="G49" s="64">
        <v>47.75</v>
      </c>
      <c r="H49" s="64">
        <v>18.940000000000001</v>
      </c>
      <c r="I49" s="64">
        <v>1.31</v>
      </c>
      <c r="J49" s="64">
        <v>0.49</v>
      </c>
      <c r="K49" s="64">
        <v>138.55000000000001</v>
      </c>
      <c r="L49" s="64">
        <v>28.48</v>
      </c>
      <c r="M49" s="64">
        <v>91.44</v>
      </c>
      <c r="N49" s="64">
        <v>382.2</v>
      </c>
      <c r="O49" s="64">
        <v>0</v>
      </c>
      <c r="P49" s="64">
        <v>0.55000000000000004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3" t="s">
        <v>1917</v>
      </c>
      <c r="B50" s="64">
        <v>13.59</v>
      </c>
      <c r="C50" s="64">
        <v>18.57</v>
      </c>
      <c r="D50" s="64">
        <v>20.37</v>
      </c>
      <c r="E50" s="64">
        <v>4.34</v>
      </c>
      <c r="F50" s="64">
        <v>12.14</v>
      </c>
      <c r="G50" s="64">
        <v>47.71</v>
      </c>
      <c r="H50" s="64">
        <v>19.27</v>
      </c>
      <c r="I50" s="64">
        <v>1.34</v>
      </c>
      <c r="J50" s="64">
        <v>0.15</v>
      </c>
      <c r="K50" s="64">
        <v>193.63</v>
      </c>
      <c r="L50" s="64">
        <v>28.89</v>
      </c>
      <c r="M50" s="64">
        <v>91.12</v>
      </c>
      <c r="N50" s="64">
        <v>428.2</v>
      </c>
      <c r="O50" s="64">
        <v>0</v>
      </c>
      <c r="P50" s="64">
        <v>0.54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13" t="s">
        <v>1918</v>
      </c>
      <c r="B51" s="64">
        <v>8.9700000000000006</v>
      </c>
      <c r="C51" s="64">
        <v>13.51</v>
      </c>
      <c r="D51" s="64">
        <v>14.25</v>
      </c>
      <c r="E51" s="64">
        <v>4.26</v>
      </c>
      <c r="F51" s="64">
        <v>12.44</v>
      </c>
      <c r="G51" s="64">
        <v>47.63</v>
      </c>
      <c r="H51" s="64">
        <v>20.07</v>
      </c>
      <c r="I51" s="64">
        <v>1.38</v>
      </c>
      <c r="J51" s="64">
        <v>0.06</v>
      </c>
      <c r="K51" s="64">
        <v>230.19</v>
      </c>
      <c r="L51" s="64">
        <v>29.1</v>
      </c>
      <c r="M51" s="64">
        <v>88.71</v>
      </c>
      <c r="N51" s="64">
        <v>467.8</v>
      </c>
      <c r="O51" s="64">
        <v>0</v>
      </c>
      <c r="P51" s="64">
        <v>0.41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3" t="s">
        <v>1919</v>
      </c>
      <c r="B52" s="64">
        <v>10.35</v>
      </c>
      <c r="C52" s="64">
        <v>14.63</v>
      </c>
      <c r="D52" s="64">
        <v>15.94</v>
      </c>
      <c r="E52" s="64">
        <v>4.47</v>
      </c>
      <c r="F52" s="64">
        <v>11.24</v>
      </c>
      <c r="G52" s="64">
        <v>47.63</v>
      </c>
      <c r="H52" s="64">
        <v>20.07</v>
      </c>
      <c r="I52" s="64">
        <v>1.38</v>
      </c>
      <c r="J52" s="64">
        <v>0.16</v>
      </c>
      <c r="K52" s="64">
        <v>262.83</v>
      </c>
      <c r="L52" s="64">
        <v>30.15</v>
      </c>
      <c r="M52" s="64">
        <v>82.79</v>
      </c>
      <c r="N52" s="64">
        <v>422.2</v>
      </c>
      <c r="O52" s="64">
        <v>0</v>
      </c>
      <c r="P52" s="64">
        <v>0.47</v>
      </c>
      <c r="Q52" s="64">
        <v>9.26</v>
      </c>
      <c r="R52" s="198"/>
      <c r="S52" s="198"/>
      <c r="T52" s="198"/>
      <c r="U52" s="198"/>
    </row>
    <row r="53" spans="1:21" s="12" customFormat="1" x14ac:dyDescent="0.25">
      <c r="A53" s="213" t="s">
        <v>1920</v>
      </c>
      <c r="B53" s="64">
        <v>9.7799999999999994</v>
      </c>
      <c r="C53" s="64">
        <v>15.54</v>
      </c>
      <c r="D53" s="64">
        <v>15.96</v>
      </c>
      <c r="E53" s="64">
        <v>4.3899999999999997</v>
      </c>
      <c r="F53" s="64">
        <v>8.64</v>
      </c>
      <c r="G53" s="64">
        <v>47.63</v>
      </c>
      <c r="H53" s="64">
        <v>20.07</v>
      </c>
      <c r="I53" s="64">
        <v>1.4</v>
      </c>
      <c r="J53" s="64">
        <v>0.21</v>
      </c>
      <c r="K53" s="64">
        <v>292.52999999999997</v>
      </c>
      <c r="L53" s="64">
        <v>29.65</v>
      </c>
      <c r="M53" s="64">
        <v>86.3</v>
      </c>
      <c r="N53" s="64">
        <v>357.3</v>
      </c>
      <c r="O53" s="64">
        <v>0</v>
      </c>
      <c r="P53" s="64">
        <v>0.46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3" t="s">
        <v>1921</v>
      </c>
      <c r="B54" s="64">
        <v>11.13</v>
      </c>
      <c r="C54" s="64">
        <v>19.989999999999998</v>
      </c>
      <c r="D54" s="64">
        <v>19.37</v>
      </c>
      <c r="E54" s="64">
        <v>4.67</v>
      </c>
      <c r="F54" s="64">
        <v>11.87</v>
      </c>
      <c r="G54" s="64">
        <v>48.22</v>
      </c>
      <c r="H54" s="64">
        <v>18.850000000000001</v>
      </c>
      <c r="I54" s="64">
        <v>1.44</v>
      </c>
      <c r="J54" s="64">
        <v>0.16</v>
      </c>
      <c r="K54" s="64">
        <v>290.77</v>
      </c>
      <c r="L54" s="64">
        <v>30.04</v>
      </c>
      <c r="M54" s="64">
        <v>84.69</v>
      </c>
      <c r="N54" s="64">
        <v>290.60000000000002</v>
      </c>
      <c r="O54" s="64">
        <v>0</v>
      </c>
      <c r="P54" s="64">
        <v>0.61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3" t="s">
        <v>1922</v>
      </c>
      <c r="B55" s="64">
        <v>10.130000000000001</v>
      </c>
      <c r="C55" s="64">
        <v>20</v>
      </c>
      <c r="D55" s="64">
        <v>18.579999999999998</v>
      </c>
      <c r="E55" s="64">
        <v>4.5199999999999996</v>
      </c>
      <c r="F55" s="64">
        <v>6.11</v>
      </c>
      <c r="G55" s="64">
        <v>49.67</v>
      </c>
      <c r="H55" s="64">
        <v>15.84</v>
      </c>
      <c r="I55" s="64">
        <v>1.47</v>
      </c>
      <c r="J55" s="64">
        <v>0.11</v>
      </c>
      <c r="K55" s="64">
        <v>260.69</v>
      </c>
      <c r="L55" s="64">
        <v>29.24</v>
      </c>
      <c r="M55" s="64">
        <v>87.87</v>
      </c>
      <c r="N55" s="64">
        <v>233.4</v>
      </c>
      <c r="O55" s="64">
        <v>0</v>
      </c>
      <c r="P55" s="64">
        <v>0.57999999999999996</v>
      </c>
      <c r="Q55" s="64">
        <v>9.1999999999999993</v>
      </c>
      <c r="R55" s="198"/>
      <c r="S55" s="198"/>
      <c r="T55" s="198"/>
      <c r="U55" s="198"/>
    </row>
    <row r="56" spans="1:21" s="12" customFormat="1" x14ac:dyDescent="0.25">
      <c r="A56" s="213" t="s">
        <v>1923</v>
      </c>
      <c r="B56" s="64">
        <v>11.25</v>
      </c>
      <c r="C56" s="64">
        <v>16.940000000000001</v>
      </c>
      <c r="D56" s="64">
        <v>17.88</v>
      </c>
      <c r="E56" s="64">
        <v>4.5199999999999996</v>
      </c>
      <c r="F56" s="64">
        <v>6.13</v>
      </c>
      <c r="G56" s="64">
        <v>49.67</v>
      </c>
      <c r="H56" s="64">
        <v>15.84</v>
      </c>
      <c r="I56" s="64">
        <v>1.55</v>
      </c>
      <c r="J56" s="64">
        <v>0.28999999999999998</v>
      </c>
      <c r="K56" s="64">
        <v>306.85000000000002</v>
      </c>
      <c r="L56" s="64">
        <v>30.33</v>
      </c>
      <c r="M56" s="64">
        <v>84.39</v>
      </c>
      <c r="N56" s="64">
        <v>708.8</v>
      </c>
      <c r="O56" s="64">
        <v>0</v>
      </c>
      <c r="P56" s="64">
        <v>0.56000000000000005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13" t="s">
        <v>1924</v>
      </c>
      <c r="B57" s="64">
        <v>11.87</v>
      </c>
      <c r="C57" s="64">
        <v>15.39</v>
      </c>
      <c r="D57" s="64">
        <v>17.559999999999999</v>
      </c>
      <c r="E57" s="64">
        <v>4.54</v>
      </c>
      <c r="F57" s="64">
        <v>7.11</v>
      </c>
      <c r="G57" s="64">
        <v>49.67</v>
      </c>
      <c r="H57" s="64">
        <v>15.84</v>
      </c>
      <c r="I57" s="64">
        <v>1.64</v>
      </c>
      <c r="J57" s="64">
        <v>0.31</v>
      </c>
      <c r="K57" s="64">
        <v>308.69</v>
      </c>
      <c r="L57" s="64">
        <v>30.7</v>
      </c>
      <c r="M57" s="64">
        <v>81.41</v>
      </c>
      <c r="N57" s="64">
        <v>947.4</v>
      </c>
      <c r="O57" s="64">
        <v>0</v>
      </c>
      <c r="P57" s="64">
        <v>0.5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3" t="s">
        <v>1925</v>
      </c>
      <c r="B58" s="64">
        <v>9.74</v>
      </c>
      <c r="C58" s="64">
        <v>15.94</v>
      </c>
      <c r="D58" s="64">
        <v>16.14</v>
      </c>
      <c r="E58" s="64">
        <v>4.3899999999999997</v>
      </c>
      <c r="F58" s="64">
        <v>5.13</v>
      </c>
      <c r="G58" s="64">
        <v>53.13</v>
      </c>
      <c r="H58" s="64">
        <v>18.21</v>
      </c>
      <c r="I58" s="64">
        <v>1.73</v>
      </c>
      <c r="J58" s="64">
        <v>0.36</v>
      </c>
      <c r="K58" s="64">
        <v>301.54000000000002</v>
      </c>
      <c r="L58" s="64">
        <v>32.51</v>
      </c>
      <c r="M58" s="64">
        <v>73.17</v>
      </c>
      <c r="N58" s="64">
        <v>691.6</v>
      </c>
      <c r="O58" s="64">
        <v>0</v>
      </c>
      <c r="P58" s="64">
        <v>0.5</v>
      </c>
      <c r="Q58" s="64">
        <v>9.1300000000000008</v>
      </c>
      <c r="R58" s="198"/>
      <c r="S58" s="198"/>
      <c r="T58" s="198"/>
      <c r="U58" s="198"/>
    </row>
    <row r="59" spans="1:21" s="12" customFormat="1" x14ac:dyDescent="0.25">
      <c r="A59" s="213" t="s">
        <v>1926</v>
      </c>
      <c r="B59" s="64">
        <v>8.5</v>
      </c>
      <c r="C59" s="64">
        <v>15.01</v>
      </c>
      <c r="D59" s="64">
        <v>14.65</v>
      </c>
      <c r="E59" s="64">
        <v>4.22</v>
      </c>
      <c r="F59" s="64">
        <v>6.47</v>
      </c>
      <c r="G59" s="64">
        <v>61.65</v>
      </c>
      <c r="H59" s="64">
        <v>24.03</v>
      </c>
      <c r="I59" s="64">
        <v>1.65</v>
      </c>
      <c r="J59" s="64">
        <v>0.52</v>
      </c>
      <c r="K59" s="64">
        <v>321.55</v>
      </c>
      <c r="L59" s="64">
        <v>32.950000000000003</v>
      </c>
      <c r="M59" s="64">
        <v>72.349999999999994</v>
      </c>
      <c r="N59" s="64">
        <v>652.4</v>
      </c>
      <c r="O59" s="64">
        <v>0</v>
      </c>
      <c r="P59" s="64">
        <v>0.49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3" t="s">
        <v>1927</v>
      </c>
      <c r="B60" s="64">
        <v>10.14</v>
      </c>
      <c r="C60" s="64">
        <v>15.64</v>
      </c>
      <c r="D60" s="64">
        <v>16.3</v>
      </c>
      <c r="E60" s="64">
        <v>4.4400000000000004</v>
      </c>
      <c r="F60" s="64">
        <v>6.6</v>
      </c>
      <c r="G60" s="64">
        <v>61.65</v>
      </c>
      <c r="H60" s="64">
        <v>24.03</v>
      </c>
      <c r="I60" s="64">
        <v>1.66</v>
      </c>
      <c r="J60" s="64">
        <v>0.64</v>
      </c>
      <c r="K60" s="64">
        <v>324.45</v>
      </c>
      <c r="L60" s="64">
        <v>33.1</v>
      </c>
      <c r="M60" s="64">
        <v>69.36</v>
      </c>
      <c r="N60" s="64">
        <v>378.9</v>
      </c>
      <c r="O60" s="64">
        <v>0</v>
      </c>
      <c r="P60" s="64">
        <v>0.47</v>
      </c>
      <c r="Q60" s="64">
        <v>9.11</v>
      </c>
      <c r="R60" s="198"/>
      <c r="S60" s="198"/>
      <c r="T60" s="198"/>
      <c r="U60" s="198"/>
    </row>
    <row r="61" spans="1:21" s="12" customFormat="1" x14ac:dyDescent="0.25">
      <c r="A61" s="213" t="s">
        <v>1928</v>
      </c>
      <c r="B61" s="64">
        <v>9.83</v>
      </c>
      <c r="C61" s="64">
        <v>16.77</v>
      </c>
      <c r="D61" s="64">
        <v>16.649999999999999</v>
      </c>
      <c r="E61" s="64">
        <v>4.29</v>
      </c>
      <c r="F61" s="64">
        <v>10.77</v>
      </c>
      <c r="G61" s="64">
        <v>61.65</v>
      </c>
      <c r="H61" s="64">
        <v>24.03</v>
      </c>
      <c r="I61" s="64">
        <v>1.72</v>
      </c>
      <c r="J61" s="64">
        <v>0.24</v>
      </c>
      <c r="K61" s="64">
        <v>317.52999999999997</v>
      </c>
      <c r="L61" s="64">
        <v>32.85</v>
      </c>
      <c r="M61" s="64">
        <v>69.069999999999993</v>
      </c>
      <c r="N61" s="64">
        <v>335.8</v>
      </c>
      <c r="O61" s="64">
        <v>0</v>
      </c>
      <c r="P61" s="64">
        <v>0.33</v>
      </c>
      <c r="Q61" s="64">
        <v>9.09</v>
      </c>
      <c r="R61" s="198"/>
      <c r="S61" s="198"/>
      <c r="T61" s="198"/>
      <c r="U61" s="198"/>
    </row>
    <row r="62" spans="1:21" s="12" customFormat="1" x14ac:dyDescent="0.25">
      <c r="A62" s="213" t="s">
        <v>1929</v>
      </c>
      <c r="B62" s="64">
        <v>8.5</v>
      </c>
      <c r="C62" s="64">
        <v>15.77</v>
      </c>
      <c r="D62" s="64">
        <v>15.05</v>
      </c>
      <c r="E62" s="64">
        <v>4.1500000000000004</v>
      </c>
      <c r="F62" s="64">
        <v>7.77</v>
      </c>
      <c r="G62" s="64">
        <v>60.98</v>
      </c>
      <c r="H62" s="64">
        <v>22.6</v>
      </c>
      <c r="I62" s="64">
        <v>1.69</v>
      </c>
      <c r="J62" s="64">
        <v>0.23</v>
      </c>
      <c r="K62" s="64">
        <v>286.8</v>
      </c>
      <c r="L62" s="64">
        <v>31.84</v>
      </c>
      <c r="M62" s="64">
        <v>71.510000000000005</v>
      </c>
      <c r="N62" s="64">
        <v>322.60000000000002</v>
      </c>
      <c r="O62" s="64">
        <v>0</v>
      </c>
      <c r="P62" s="64">
        <v>0.36</v>
      </c>
      <c r="Q62" s="64">
        <v>9.07</v>
      </c>
      <c r="R62" s="198"/>
      <c r="S62" s="198"/>
      <c r="T62" s="198"/>
      <c r="U62" s="198"/>
    </row>
    <row r="63" spans="1:21" s="12" customFormat="1" x14ac:dyDescent="0.25">
      <c r="A63" s="213" t="s">
        <v>1930</v>
      </c>
      <c r="B63" s="64">
        <v>8.9600000000000009</v>
      </c>
      <c r="C63" s="64">
        <v>17.02</v>
      </c>
      <c r="D63" s="64">
        <v>16.079999999999998</v>
      </c>
      <c r="E63" s="64">
        <v>4.79</v>
      </c>
      <c r="F63" s="64">
        <v>4.96</v>
      </c>
      <c r="G63" s="64">
        <v>59.32</v>
      </c>
      <c r="H63" s="64">
        <v>19.079999999999998</v>
      </c>
      <c r="I63" s="64">
        <v>1.65</v>
      </c>
      <c r="J63" s="64">
        <v>0.2</v>
      </c>
      <c r="K63" s="64">
        <v>318.38</v>
      </c>
      <c r="L63" s="64">
        <v>32.28</v>
      </c>
      <c r="M63" s="64">
        <v>70.22</v>
      </c>
      <c r="N63" s="64">
        <v>360.9</v>
      </c>
      <c r="O63" s="64">
        <v>0</v>
      </c>
      <c r="P63" s="64">
        <v>0.39</v>
      </c>
      <c r="Q63" s="64">
        <v>9.0500000000000007</v>
      </c>
      <c r="R63" s="198"/>
      <c r="S63" s="198"/>
      <c r="T63" s="198"/>
      <c r="U63" s="198"/>
    </row>
    <row r="64" spans="1:21" s="12" customFormat="1" x14ac:dyDescent="0.25">
      <c r="A64" s="213" t="s">
        <v>1931</v>
      </c>
      <c r="B64" s="64">
        <v>7.39</v>
      </c>
      <c r="C64" s="64">
        <v>16.54</v>
      </c>
      <c r="D64" s="64">
        <v>14.57</v>
      </c>
      <c r="E64" s="64">
        <v>4.08</v>
      </c>
      <c r="F64" s="64">
        <v>7.99</v>
      </c>
      <c r="G64" s="64">
        <v>59.32</v>
      </c>
      <c r="H64" s="64">
        <v>19.079999999999998</v>
      </c>
      <c r="I64" s="64">
        <v>1.6</v>
      </c>
      <c r="J64" s="64">
        <v>0.22</v>
      </c>
      <c r="K64" s="64">
        <v>306.8</v>
      </c>
      <c r="L64" s="64">
        <v>31.16</v>
      </c>
      <c r="M64" s="64">
        <v>75.17</v>
      </c>
      <c r="N64" s="64">
        <v>265.3</v>
      </c>
      <c r="O64" s="64">
        <v>0</v>
      </c>
      <c r="P64" s="64">
        <v>0.35</v>
      </c>
      <c r="Q64" s="64">
        <v>9.07</v>
      </c>
      <c r="R64" s="198"/>
      <c r="S64" s="198"/>
      <c r="T64" s="198"/>
      <c r="U64" s="198"/>
    </row>
    <row r="65" spans="1:21" s="12" customFormat="1" x14ac:dyDescent="0.25">
      <c r="A65" s="213" t="s">
        <v>1932</v>
      </c>
      <c r="B65" s="64">
        <v>11.91</v>
      </c>
      <c r="C65" s="64">
        <v>21.51</v>
      </c>
      <c r="D65" s="64">
        <v>20.79</v>
      </c>
      <c r="E65" s="64">
        <v>4.16</v>
      </c>
      <c r="F65" s="64">
        <v>10.33</v>
      </c>
      <c r="G65" s="64">
        <v>59.32</v>
      </c>
      <c r="H65" s="64">
        <v>19.079999999999998</v>
      </c>
      <c r="I65" s="64">
        <v>1.57</v>
      </c>
      <c r="J65" s="64">
        <v>0.2</v>
      </c>
      <c r="K65" s="64">
        <v>307.23</v>
      </c>
      <c r="L65" s="64">
        <v>31.28</v>
      </c>
      <c r="M65" s="64">
        <v>73.599999999999994</v>
      </c>
      <c r="N65" s="64">
        <v>215.3</v>
      </c>
      <c r="O65" s="64">
        <v>0</v>
      </c>
      <c r="P65" s="64">
        <v>0.37</v>
      </c>
      <c r="Q65" s="64">
        <v>9.06</v>
      </c>
      <c r="R65" s="198"/>
      <c r="S65" s="198"/>
      <c r="T65" s="198"/>
      <c r="U65" s="198"/>
    </row>
    <row r="66" spans="1:21" s="12" customFormat="1" x14ac:dyDescent="0.25">
      <c r="A66" s="213" t="s">
        <v>1933</v>
      </c>
      <c r="B66" s="64">
        <v>11.22</v>
      </c>
      <c r="C66" s="64">
        <v>23.71</v>
      </c>
      <c r="D66" s="64">
        <v>21.39</v>
      </c>
      <c r="E66" s="64">
        <v>4.2699999999999996</v>
      </c>
      <c r="F66" s="64">
        <v>13.45</v>
      </c>
      <c r="G66" s="64">
        <v>57.74</v>
      </c>
      <c r="H66" s="64">
        <v>19.489999999999998</v>
      </c>
      <c r="I66" s="64">
        <v>1.45</v>
      </c>
      <c r="J66" s="64">
        <v>0.15</v>
      </c>
      <c r="K66" s="64">
        <v>279.91000000000003</v>
      </c>
      <c r="L66" s="64">
        <v>30.93</v>
      </c>
      <c r="M66" s="64">
        <v>76.180000000000007</v>
      </c>
      <c r="N66" s="64">
        <v>239</v>
      </c>
      <c r="O66" s="64">
        <v>0</v>
      </c>
      <c r="P66" s="64">
        <v>0.31</v>
      </c>
      <c r="Q66" s="64">
        <v>9.07</v>
      </c>
      <c r="R66" s="198"/>
      <c r="S66" s="198"/>
      <c r="T66" s="198"/>
      <c r="U66" s="198"/>
    </row>
    <row r="67" spans="1:21" s="12" customFormat="1" x14ac:dyDescent="0.25">
      <c r="A67" s="213" t="s">
        <v>1934</v>
      </c>
      <c r="B67" s="64">
        <v>7.34</v>
      </c>
      <c r="C67" s="64">
        <v>17.739999999999998</v>
      </c>
      <c r="D67" s="64">
        <v>15.15</v>
      </c>
      <c r="E67" s="64">
        <v>4.2300000000000004</v>
      </c>
      <c r="F67" s="64">
        <v>12.62</v>
      </c>
      <c r="G67" s="64">
        <v>53.86</v>
      </c>
      <c r="H67" s="64">
        <v>20.52</v>
      </c>
      <c r="I67" s="64">
        <v>1.38</v>
      </c>
      <c r="J67" s="64">
        <v>0.23</v>
      </c>
      <c r="K67" s="64">
        <v>286.7</v>
      </c>
      <c r="L67" s="64">
        <v>30.67</v>
      </c>
      <c r="M67" s="64">
        <v>78.2</v>
      </c>
      <c r="N67" s="64">
        <v>238.7</v>
      </c>
      <c r="O67" s="64">
        <v>0</v>
      </c>
      <c r="P67" s="64">
        <v>0.32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3" t="s">
        <v>1935</v>
      </c>
      <c r="B68" s="64">
        <v>7.77</v>
      </c>
      <c r="C68" s="64">
        <v>17.170000000000002</v>
      </c>
      <c r="D68" s="64">
        <v>15.2</v>
      </c>
      <c r="E68" s="64">
        <v>4.3099999999999996</v>
      </c>
      <c r="F68" s="64">
        <v>11.94</v>
      </c>
      <c r="G68" s="64">
        <v>53.86</v>
      </c>
      <c r="H68" s="64">
        <v>20.52</v>
      </c>
      <c r="I68" s="64">
        <v>1.48</v>
      </c>
      <c r="J68" s="64">
        <v>0.22</v>
      </c>
      <c r="K68" s="64">
        <v>291.60000000000002</v>
      </c>
      <c r="L68" s="64">
        <v>30.63</v>
      </c>
      <c r="M68" s="64">
        <v>78.05</v>
      </c>
      <c r="N68" s="64">
        <v>134.80000000000001</v>
      </c>
      <c r="O68" s="64">
        <v>0</v>
      </c>
      <c r="P68" s="64">
        <v>0.33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3" t="s">
        <v>1936</v>
      </c>
      <c r="B69" s="64">
        <v>9.6</v>
      </c>
      <c r="C69" s="64">
        <v>19.09</v>
      </c>
      <c r="D69" s="64">
        <v>17.68</v>
      </c>
      <c r="E69" s="64">
        <v>4.22</v>
      </c>
      <c r="F69" s="64">
        <v>12.12</v>
      </c>
      <c r="G69" s="64">
        <v>53.86</v>
      </c>
      <c r="H69" s="64">
        <v>20.52</v>
      </c>
      <c r="I69" s="64">
        <v>1.54</v>
      </c>
      <c r="J69" s="64">
        <v>0.19</v>
      </c>
      <c r="K69" s="64">
        <v>294.76</v>
      </c>
      <c r="L69" s="64">
        <v>30.01</v>
      </c>
      <c r="M69" s="64">
        <v>80.06</v>
      </c>
      <c r="N69" s="64">
        <v>89.4</v>
      </c>
      <c r="O69" s="64">
        <v>0</v>
      </c>
      <c r="P69" s="64">
        <v>0.31</v>
      </c>
      <c r="Q69" s="64">
        <v>9.1199999999999992</v>
      </c>
      <c r="R69" s="198"/>
      <c r="S69" s="198"/>
      <c r="T69" s="198"/>
      <c r="U69" s="198"/>
    </row>
    <row r="70" spans="1:21" s="12" customFormat="1" x14ac:dyDescent="0.25">
      <c r="A70" s="213" t="s">
        <v>1937</v>
      </c>
      <c r="B70" s="64">
        <v>6.44</v>
      </c>
      <c r="C70" s="64">
        <v>17.420000000000002</v>
      </c>
      <c r="D70" s="64">
        <v>14.27</v>
      </c>
      <c r="E70" s="64">
        <v>4.1399999999999997</v>
      </c>
      <c r="F70" s="64">
        <v>14.2</v>
      </c>
      <c r="G70" s="64">
        <v>53.34</v>
      </c>
      <c r="H70" s="64">
        <v>20.059999999999999</v>
      </c>
      <c r="I70" s="64">
        <v>1.51</v>
      </c>
      <c r="J70" s="64">
        <v>0.13</v>
      </c>
      <c r="K70" s="64">
        <v>284.12</v>
      </c>
      <c r="L70" s="64">
        <v>29.24</v>
      </c>
      <c r="M70" s="64">
        <v>81.569999999999993</v>
      </c>
      <c r="N70" s="64">
        <v>79.2</v>
      </c>
      <c r="O70" s="64">
        <v>0</v>
      </c>
      <c r="P70" s="64">
        <v>0.25</v>
      </c>
      <c r="Q70" s="64">
        <v>9.1</v>
      </c>
      <c r="R70" s="198"/>
      <c r="S70" s="198"/>
      <c r="T70" s="198"/>
      <c r="U70" s="198"/>
    </row>
    <row r="71" spans="1:21" s="12" customFormat="1" x14ac:dyDescent="0.25">
      <c r="A71" s="213" t="s">
        <v>1938</v>
      </c>
      <c r="B71" s="64">
        <v>7.89</v>
      </c>
      <c r="C71" s="64">
        <v>20.190000000000001</v>
      </c>
      <c r="D71" s="64">
        <v>16.87</v>
      </c>
      <c r="E71" s="64">
        <v>3.96</v>
      </c>
      <c r="F71" s="64">
        <v>12.59</v>
      </c>
      <c r="G71" s="64">
        <v>52.08</v>
      </c>
      <c r="H71" s="64">
        <v>18.920000000000002</v>
      </c>
      <c r="I71" s="64">
        <v>1.49</v>
      </c>
      <c r="J71" s="64">
        <v>7.0000000000000007E-2</v>
      </c>
      <c r="K71" s="64">
        <v>283.25</v>
      </c>
      <c r="L71" s="64">
        <v>28.77</v>
      </c>
      <c r="M71" s="64">
        <v>80.95</v>
      </c>
      <c r="N71" s="64">
        <v>74.5</v>
      </c>
      <c r="O71" s="64">
        <v>0</v>
      </c>
      <c r="P71" s="64">
        <v>0.23</v>
      </c>
      <c r="Q71" s="64">
        <v>9.11</v>
      </c>
      <c r="R71" s="198"/>
      <c r="S71" s="198"/>
      <c r="T71" s="198"/>
      <c r="U71" s="198"/>
    </row>
    <row r="72" spans="1:21" s="12" customFormat="1" x14ac:dyDescent="0.25">
      <c r="A72" s="213" t="s">
        <v>1939</v>
      </c>
      <c r="B72" s="64">
        <v>9.17</v>
      </c>
      <c r="C72" s="64">
        <v>21.72</v>
      </c>
      <c r="D72" s="64">
        <v>18.7</v>
      </c>
      <c r="E72" s="64">
        <v>4.21</v>
      </c>
      <c r="F72" s="64">
        <v>11.6</v>
      </c>
      <c r="G72" s="64">
        <v>52.08</v>
      </c>
      <c r="H72" s="64">
        <v>18.920000000000002</v>
      </c>
      <c r="I72" s="64">
        <v>1.47</v>
      </c>
      <c r="J72" s="64">
        <v>0.08</v>
      </c>
      <c r="K72" s="64">
        <v>260.97000000000003</v>
      </c>
      <c r="L72" s="64">
        <v>28.58</v>
      </c>
      <c r="M72" s="64">
        <v>81.569999999999993</v>
      </c>
      <c r="N72" s="64">
        <v>71.8</v>
      </c>
      <c r="O72" s="64">
        <v>0</v>
      </c>
      <c r="P72" s="64">
        <v>0.22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3" t="s">
        <v>1940</v>
      </c>
      <c r="B73" s="64">
        <v>6.54</v>
      </c>
      <c r="C73" s="64">
        <v>15.21</v>
      </c>
      <c r="D73" s="64">
        <v>13.19</v>
      </c>
      <c r="E73" s="64">
        <v>4.6100000000000003</v>
      </c>
      <c r="F73" s="64">
        <v>7.99</v>
      </c>
      <c r="G73" s="64">
        <v>52.08</v>
      </c>
      <c r="H73" s="64">
        <v>18.920000000000002</v>
      </c>
      <c r="I73" s="64">
        <v>1.45</v>
      </c>
      <c r="J73" s="64">
        <v>0.08</v>
      </c>
      <c r="K73" s="64">
        <v>206.18</v>
      </c>
      <c r="L73" s="64">
        <v>28.44</v>
      </c>
      <c r="M73" s="64">
        <v>80.86</v>
      </c>
      <c r="N73" s="64">
        <v>67.099999999999994</v>
      </c>
      <c r="O73" s="64">
        <v>0</v>
      </c>
      <c r="P73" s="64">
        <v>0.25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3" t="s">
        <v>1941</v>
      </c>
      <c r="B74" s="64">
        <v>7.22</v>
      </c>
      <c r="C74" s="64">
        <v>23.42</v>
      </c>
      <c r="D74" s="64">
        <v>18.03</v>
      </c>
      <c r="E74" s="64">
        <v>5.01</v>
      </c>
      <c r="F74" s="64">
        <v>10.95</v>
      </c>
      <c r="G74" s="64">
        <v>51.22</v>
      </c>
      <c r="H74" s="64">
        <v>17.190000000000001</v>
      </c>
      <c r="I74" s="64">
        <v>1.35</v>
      </c>
      <c r="J74" s="64">
        <v>0.33</v>
      </c>
      <c r="K74" s="64">
        <v>140.04</v>
      </c>
      <c r="L74" s="64">
        <v>28.38</v>
      </c>
      <c r="M74" s="64">
        <v>82.33</v>
      </c>
      <c r="N74" s="64">
        <v>60.8</v>
      </c>
      <c r="O74" s="64">
        <v>0</v>
      </c>
      <c r="P74" s="64">
        <v>0.19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3" t="s">
        <v>1942</v>
      </c>
      <c r="B75" s="64">
        <v>5.91</v>
      </c>
      <c r="C75" s="64">
        <v>23.92</v>
      </c>
      <c r="D75" s="64">
        <v>17.239999999999998</v>
      </c>
      <c r="E75" s="64">
        <v>4.9400000000000004</v>
      </c>
      <c r="F75" s="64">
        <v>11.42</v>
      </c>
      <c r="G75" s="64">
        <v>49.13</v>
      </c>
      <c r="H75" s="64">
        <v>12.94</v>
      </c>
      <c r="I75" s="64">
        <v>1.25</v>
      </c>
      <c r="J75" s="64">
        <v>0.28000000000000003</v>
      </c>
      <c r="K75" s="64">
        <v>144</v>
      </c>
      <c r="L75" s="64">
        <v>28.26</v>
      </c>
      <c r="M75" s="64">
        <v>82.94</v>
      </c>
      <c r="N75" s="64">
        <v>58</v>
      </c>
      <c r="O75" s="64">
        <v>0</v>
      </c>
      <c r="P75" s="64">
        <v>0.19</v>
      </c>
      <c r="Q75" s="64">
        <v>9.08</v>
      </c>
      <c r="R75" s="198"/>
      <c r="S75" s="198"/>
      <c r="T75" s="198"/>
      <c r="U75" s="198"/>
    </row>
    <row r="76" spans="1:21" s="12" customFormat="1" x14ac:dyDescent="0.25">
      <c r="A76" s="213" t="s">
        <v>1943</v>
      </c>
      <c r="B76" s="64">
        <v>7.22</v>
      </c>
      <c r="C76" s="64">
        <v>22.2</v>
      </c>
      <c r="D76" s="64">
        <v>17.39</v>
      </c>
      <c r="E76" s="64">
        <v>4.8899999999999997</v>
      </c>
      <c r="F76" s="64">
        <v>9.68</v>
      </c>
      <c r="G76" s="64">
        <v>49.13</v>
      </c>
      <c r="H76" s="64">
        <v>12.94</v>
      </c>
      <c r="I76" s="64">
        <v>1.21</v>
      </c>
      <c r="J76" s="64">
        <v>0.75</v>
      </c>
      <c r="K76" s="64">
        <v>142.69</v>
      </c>
      <c r="L76" s="64">
        <v>28.19</v>
      </c>
      <c r="M76" s="64">
        <v>83.57</v>
      </c>
      <c r="N76" s="64">
        <v>55</v>
      </c>
      <c r="O76" s="64">
        <v>0</v>
      </c>
      <c r="P76" s="64">
        <v>0.22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3" t="s">
        <v>1944</v>
      </c>
      <c r="B77" s="64">
        <v>8.36</v>
      </c>
      <c r="C77" s="64">
        <v>22.06</v>
      </c>
      <c r="D77" s="64">
        <v>18.23</v>
      </c>
      <c r="E77" s="64">
        <v>4.96</v>
      </c>
      <c r="F77" s="64">
        <v>8.1999999999999993</v>
      </c>
      <c r="G77" s="64">
        <v>49.13</v>
      </c>
      <c r="H77" s="64">
        <v>12.94</v>
      </c>
      <c r="I77" s="64">
        <v>1.19</v>
      </c>
      <c r="J77" s="64">
        <v>0.54</v>
      </c>
      <c r="K77" s="64">
        <v>134.02000000000001</v>
      </c>
      <c r="L77" s="64">
        <v>28.11</v>
      </c>
      <c r="M77" s="64">
        <v>85.83</v>
      </c>
      <c r="N77" s="64">
        <v>52.3</v>
      </c>
      <c r="O77" s="64">
        <v>0</v>
      </c>
      <c r="P77" s="64">
        <v>0.22</v>
      </c>
      <c r="Q77" s="64">
        <v>9.06</v>
      </c>
      <c r="R77" s="198"/>
      <c r="S77" s="198"/>
      <c r="T77" s="198"/>
      <c r="U77" s="198"/>
    </row>
    <row r="78" spans="1:21" s="12" customFormat="1" x14ac:dyDescent="0.25">
      <c r="A78" s="213" t="s">
        <v>1945</v>
      </c>
      <c r="B78" s="64">
        <v>6.63</v>
      </c>
      <c r="C78" s="64">
        <v>21.92</v>
      </c>
      <c r="D78" s="64">
        <v>16.77</v>
      </c>
      <c r="E78" s="64">
        <v>4.8099999999999996</v>
      </c>
      <c r="F78" s="64">
        <v>10.86</v>
      </c>
      <c r="G78" s="64">
        <v>49.95</v>
      </c>
      <c r="H78" s="64">
        <v>11.87</v>
      </c>
      <c r="I78" s="64">
        <v>1.18</v>
      </c>
      <c r="J78" s="64">
        <v>0.09</v>
      </c>
      <c r="K78" s="64">
        <v>178.95</v>
      </c>
      <c r="L78" s="64">
        <v>27.83</v>
      </c>
      <c r="M78" s="64">
        <v>87.4</v>
      </c>
      <c r="N78" s="64">
        <v>50.9</v>
      </c>
      <c r="O78" s="64">
        <v>0</v>
      </c>
      <c r="P78" s="64">
        <v>0.19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3" t="s">
        <v>1946</v>
      </c>
      <c r="B79" s="64">
        <v>5.08</v>
      </c>
      <c r="C79" s="64">
        <v>16.899999999999999</v>
      </c>
      <c r="D79" s="64">
        <v>12.91</v>
      </c>
      <c r="E79" s="64">
        <v>4.57</v>
      </c>
      <c r="F79" s="64">
        <v>9.16</v>
      </c>
      <c r="G79" s="64">
        <v>51.98</v>
      </c>
      <c r="H79" s="64">
        <v>9.25</v>
      </c>
      <c r="I79" s="64">
        <v>1.1499999999999999</v>
      </c>
      <c r="J79" s="64">
        <v>0.05</v>
      </c>
      <c r="K79" s="64">
        <v>236.19</v>
      </c>
      <c r="L79" s="64">
        <v>27.63</v>
      </c>
      <c r="M79" s="64">
        <v>90.45</v>
      </c>
      <c r="N79" s="64">
        <v>50.7</v>
      </c>
      <c r="O79" s="64">
        <v>0</v>
      </c>
      <c r="P79" s="64">
        <v>0.24</v>
      </c>
      <c r="Q79" s="64">
        <v>9.07</v>
      </c>
      <c r="R79" s="198"/>
      <c r="S79" s="198"/>
      <c r="T79" s="198"/>
      <c r="U79" s="198"/>
    </row>
    <row r="80" spans="1:21" s="12" customFormat="1" x14ac:dyDescent="0.25">
      <c r="A80" s="213" t="s">
        <v>1947</v>
      </c>
      <c r="B80" s="64">
        <v>5.4</v>
      </c>
      <c r="C80" s="64">
        <v>17.170000000000002</v>
      </c>
      <c r="D80" s="64">
        <v>13.3</v>
      </c>
      <c r="E80" s="64">
        <v>4.74</v>
      </c>
      <c r="F80" s="64">
        <v>9.4499999999999993</v>
      </c>
      <c r="G80" s="64">
        <v>51.98</v>
      </c>
      <c r="H80" s="64">
        <v>9.25</v>
      </c>
      <c r="I80" s="64">
        <v>1.1399999999999999</v>
      </c>
      <c r="J80" s="64">
        <v>0.24</v>
      </c>
      <c r="K80" s="64">
        <v>140.80000000000001</v>
      </c>
      <c r="L80" s="64">
        <v>27.54</v>
      </c>
      <c r="M80" s="64">
        <v>92.22</v>
      </c>
      <c r="N80" s="64">
        <v>49.9</v>
      </c>
      <c r="O80" s="64">
        <v>0</v>
      </c>
      <c r="P80" s="64">
        <v>0.23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3" t="s">
        <v>1948</v>
      </c>
      <c r="B81" s="64">
        <v>10.25</v>
      </c>
      <c r="C81" s="64">
        <v>23.17</v>
      </c>
      <c r="D81" s="64">
        <v>20.32</v>
      </c>
      <c r="E81" s="64">
        <v>5.05</v>
      </c>
      <c r="F81" s="64">
        <v>9.99</v>
      </c>
      <c r="G81" s="64">
        <v>51.98</v>
      </c>
      <c r="H81" s="64">
        <v>9.25</v>
      </c>
      <c r="I81" s="64">
        <v>1.1499999999999999</v>
      </c>
      <c r="J81" s="64">
        <v>0.02</v>
      </c>
      <c r="K81" s="64">
        <v>5.65</v>
      </c>
      <c r="L81" s="64">
        <v>27.6</v>
      </c>
      <c r="M81" s="64">
        <v>93.99</v>
      </c>
      <c r="N81" s="64">
        <v>48.9</v>
      </c>
      <c r="O81" s="64">
        <v>0</v>
      </c>
      <c r="P81" s="64">
        <v>0.44</v>
      </c>
      <c r="Q81" s="64">
        <v>9.08</v>
      </c>
      <c r="R81" s="198"/>
      <c r="S81" s="198"/>
      <c r="T81" s="198"/>
      <c r="U81" s="198"/>
    </row>
    <row r="82" spans="1:26" s="12" customFormat="1" x14ac:dyDescent="0.25">
      <c r="A82" s="213" t="s">
        <v>1949</v>
      </c>
      <c r="B82" s="64">
        <v>8.67</v>
      </c>
      <c r="C82" s="64">
        <v>25.59</v>
      </c>
      <c r="D82" s="64">
        <v>20.32</v>
      </c>
      <c r="E82" s="64">
        <v>4.92</v>
      </c>
      <c r="F82" s="64">
        <v>9.43</v>
      </c>
      <c r="G82" s="64">
        <v>52.66</v>
      </c>
      <c r="H82" s="64">
        <v>11.35</v>
      </c>
      <c r="I82" s="64">
        <v>1.1499999999999999</v>
      </c>
      <c r="J82" s="64">
        <v>0.02</v>
      </c>
      <c r="K82" s="64">
        <v>102.07</v>
      </c>
      <c r="L82" s="64">
        <v>27.34</v>
      </c>
      <c r="M82" s="64">
        <v>97.05</v>
      </c>
      <c r="N82" s="64">
        <v>45.7</v>
      </c>
      <c r="O82" s="64">
        <v>0</v>
      </c>
      <c r="P82" s="64">
        <v>0.47</v>
      </c>
      <c r="Q82" s="64">
        <v>9.08</v>
      </c>
      <c r="R82" s="198"/>
      <c r="S82" s="198"/>
      <c r="T82" s="198"/>
      <c r="U82" s="198"/>
    </row>
    <row r="83" spans="1:26" s="12" customFormat="1" x14ac:dyDescent="0.25">
      <c r="A83" s="213" t="s">
        <v>1950</v>
      </c>
      <c r="B83" s="64">
        <v>6.57</v>
      </c>
      <c r="C83" s="64">
        <v>24.06</v>
      </c>
      <c r="D83" s="64">
        <v>17.84</v>
      </c>
      <c r="E83" s="64">
        <v>4.8</v>
      </c>
      <c r="F83" s="64">
        <v>9.65</v>
      </c>
      <c r="G83" s="64">
        <v>54.31</v>
      </c>
      <c r="H83" s="64">
        <v>16.54</v>
      </c>
      <c r="I83" s="64">
        <v>1.1599999999999999</v>
      </c>
      <c r="J83" s="64">
        <v>0.41</v>
      </c>
      <c r="K83" s="64">
        <v>154.13999999999999</v>
      </c>
      <c r="L83" s="64">
        <v>27.21</v>
      </c>
      <c r="M83" s="64">
        <v>97.57</v>
      </c>
      <c r="N83" s="64">
        <v>42.1</v>
      </c>
      <c r="O83" s="64">
        <v>0</v>
      </c>
      <c r="P83" s="64">
        <v>0.27</v>
      </c>
      <c r="Q83" s="64">
        <v>9.08</v>
      </c>
      <c r="R83" s="198"/>
      <c r="S83" s="198"/>
      <c r="T83" s="198"/>
      <c r="U83" s="198"/>
    </row>
    <row r="84" spans="1:26" s="12" customFormat="1" x14ac:dyDescent="0.25">
      <c r="A84" s="213" t="s">
        <v>1951</v>
      </c>
      <c r="B84" s="64">
        <v>7.91</v>
      </c>
      <c r="C84" s="64">
        <v>23.9</v>
      </c>
      <c r="D84" s="64">
        <v>18.829999999999998</v>
      </c>
      <c r="E84" s="64">
        <v>4.72</v>
      </c>
      <c r="F84" s="64">
        <v>9.81</v>
      </c>
      <c r="G84" s="64">
        <v>54.31</v>
      </c>
      <c r="H84" s="64">
        <v>16.54</v>
      </c>
      <c r="I84" s="64">
        <v>1.19</v>
      </c>
      <c r="J84" s="64">
        <v>0.49</v>
      </c>
      <c r="K84" s="64">
        <v>140.21</v>
      </c>
      <c r="L84" s="64">
        <v>27.19</v>
      </c>
      <c r="M84" s="64">
        <v>97.75</v>
      </c>
      <c r="N84" s="64">
        <v>41.9</v>
      </c>
      <c r="O84" s="64">
        <v>0</v>
      </c>
      <c r="P84" s="64">
        <v>0.28000000000000003</v>
      </c>
      <c r="Q84" s="64">
        <v>9.1</v>
      </c>
      <c r="R84" s="198"/>
      <c r="S84" s="198"/>
      <c r="T84" s="198"/>
      <c r="U84" s="198"/>
    </row>
    <row r="85" spans="1:26" s="12" customFormat="1" x14ac:dyDescent="0.25">
      <c r="A85" s="213" t="s">
        <v>1952</v>
      </c>
      <c r="B85" s="64">
        <v>9.3000000000000007</v>
      </c>
      <c r="C85" s="64">
        <v>28.59</v>
      </c>
      <c r="D85" s="64">
        <v>22.39</v>
      </c>
      <c r="E85" s="64">
        <v>4.72</v>
      </c>
      <c r="F85" s="64">
        <v>7.81</v>
      </c>
      <c r="G85" s="64">
        <v>54.31</v>
      </c>
      <c r="H85" s="64">
        <v>16.54</v>
      </c>
      <c r="I85" s="64">
        <v>1.21</v>
      </c>
      <c r="J85" s="64">
        <v>0.28999999999999998</v>
      </c>
      <c r="K85" s="64">
        <v>150.56</v>
      </c>
      <c r="L85" s="64">
        <v>27.18</v>
      </c>
      <c r="M85" s="64">
        <v>98.04</v>
      </c>
      <c r="N85" s="64">
        <v>42</v>
      </c>
      <c r="O85" s="64">
        <v>0</v>
      </c>
      <c r="P85" s="64">
        <v>0.41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3" t="s">
        <v>1953</v>
      </c>
      <c r="B86" s="64">
        <v>26.07</v>
      </c>
      <c r="C86" s="64">
        <v>31.24</v>
      </c>
      <c r="D86" s="64">
        <v>37.229999999999997</v>
      </c>
      <c r="E86" s="64">
        <v>5.13</v>
      </c>
      <c r="F86" s="64">
        <v>7.64</v>
      </c>
      <c r="G86" s="64">
        <v>54.57</v>
      </c>
      <c r="H86" s="64">
        <v>16.579999999999998</v>
      </c>
      <c r="I86" s="64">
        <v>1.21</v>
      </c>
      <c r="J86" s="64">
        <v>0.02</v>
      </c>
      <c r="K86" s="64">
        <v>46.34</v>
      </c>
      <c r="L86" s="64">
        <v>27.11</v>
      </c>
      <c r="M86" s="64">
        <v>98.07</v>
      </c>
      <c r="N86" s="64">
        <v>42.1</v>
      </c>
      <c r="O86" s="64">
        <v>0</v>
      </c>
      <c r="P86" s="64">
        <v>0.96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3" t="s">
        <v>1954</v>
      </c>
      <c r="B87" s="64">
        <v>8.7200000000000006</v>
      </c>
      <c r="C87" s="64">
        <v>31.83</v>
      </c>
      <c r="D87" s="64">
        <v>23.62</v>
      </c>
      <c r="E87" s="64">
        <v>5.28</v>
      </c>
      <c r="F87" s="64">
        <v>7.64</v>
      </c>
      <c r="G87" s="64">
        <v>55.2</v>
      </c>
      <c r="H87" s="64">
        <v>16.7</v>
      </c>
      <c r="I87" s="64">
        <v>1.22</v>
      </c>
      <c r="J87" s="64">
        <v>0.17</v>
      </c>
      <c r="K87" s="64">
        <v>159.77000000000001</v>
      </c>
      <c r="L87" s="64">
        <v>26.94</v>
      </c>
      <c r="M87" s="64">
        <v>98.56</v>
      </c>
      <c r="N87" s="64">
        <v>42</v>
      </c>
      <c r="O87" s="64">
        <v>0</v>
      </c>
      <c r="P87" s="64">
        <v>0.65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3" t="s">
        <v>1955</v>
      </c>
      <c r="B88" s="64">
        <v>16.55</v>
      </c>
      <c r="C88" s="64">
        <v>22.61</v>
      </c>
      <c r="D88" s="64">
        <v>25.09</v>
      </c>
      <c r="E88" s="64">
        <v>5.04</v>
      </c>
      <c r="F88" s="64">
        <v>7.11</v>
      </c>
      <c r="G88" s="64">
        <v>55.2</v>
      </c>
      <c r="H88" s="64">
        <v>16.7</v>
      </c>
      <c r="I88" s="64">
        <v>1.25</v>
      </c>
      <c r="J88" s="64">
        <v>1.29</v>
      </c>
      <c r="K88" s="64">
        <v>339.65</v>
      </c>
      <c r="L88" s="64">
        <v>26.8</v>
      </c>
      <c r="M88" s="64">
        <v>94.9</v>
      </c>
      <c r="N88" s="64">
        <v>42.3</v>
      </c>
      <c r="O88" s="64">
        <v>0</v>
      </c>
      <c r="P88" s="64">
        <v>0.68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3" t="s">
        <v>1956</v>
      </c>
      <c r="B89" s="64">
        <v>15.73</v>
      </c>
      <c r="C89" s="64">
        <v>16.13</v>
      </c>
      <c r="D89" s="64">
        <v>21.04</v>
      </c>
      <c r="E89" s="64">
        <v>5.1100000000000003</v>
      </c>
      <c r="F89" s="64">
        <v>7.52</v>
      </c>
      <c r="G89" s="64">
        <v>55.2</v>
      </c>
      <c r="H89" s="64">
        <v>16.7</v>
      </c>
      <c r="I89" s="64">
        <v>1.31</v>
      </c>
      <c r="J89" s="64">
        <v>1.23</v>
      </c>
      <c r="K89" s="64">
        <v>335.84</v>
      </c>
      <c r="L89" s="64">
        <v>26.42</v>
      </c>
      <c r="M89" s="64">
        <v>89.55</v>
      </c>
      <c r="N89" s="64">
        <v>42.4</v>
      </c>
      <c r="O89" s="64">
        <v>0</v>
      </c>
      <c r="P89" s="64">
        <v>0.51</v>
      </c>
      <c r="Q89" s="64">
        <v>9.23</v>
      </c>
      <c r="R89" s="198"/>
      <c r="S89" s="198"/>
      <c r="T89" s="198"/>
      <c r="U89" s="198"/>
    </row>
    <row r="90" spans="1:26" s="12" customFormat="1" x14ac:dyDescent="0.25">
      <c r="A90" s="213" t="s">
        <v>1957</v>
      </c>
      <c r="B90" s="64">
        <v>17.13</v>
      </c>
      <c r="C90" s="64">
        <v>21.03</v>
      </c>
      <c r="D90" s="64">
        <v>24.73</v>
      </c>
      <c r="E90" s="64">
        <v>4.92</v>
      </c>
      <c r="F90" s="64">
        <v>9.23</v>
      </c>
      <c r="G90" s="64">
        <v>56.3</v>
      </c>
      <c r="H90" s="64">
        <v>16.98</v>
      </c>
      <c r="I90" s="64">
        <v>1.36</v>
      </c>
      <c r="J90" s="64">
        <v>0.31</v>
      </c>
      <c r="K90" s="64">
        <v>344.75</v>
      </c>
      <c r="L90" s="64">
        <v>26.29</v>
      </c>
      <c r="M90" s="64">
        <v>90.03</v>
      </c>
      <c r="N90" s="64">
        <v>42.2</v>
      </c>
      <c r="O90" s="64">
        <v>0</v>
      </c>
      <c r="P90" s="64">
        <v>0.77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3" t="s">
        <v>1958</v>
      </c>
      <c r="B91" s="64">
        <v>26.73</v>
      </c>
      <c r="C91" s="64">
        <v>20.5</v>
      </c>
      <c r="D91" s="64">
        <v>32.14</v>
      </c>
      <c r="E91" s="64">
        <v>5.14</v>
      </c>
      <c r="F91" s="64">
        <v>6.25</v>
      </c>
      <c r="G91" s="64">
        <v>59.03</v>
      </c>
      <c r="H91" s="64">
        <v>17.649999999999999</v>
      </c>
      <c r="I91" s="64">
        <v>1.39</v>
      </c>
      <c r="J91" s="64">
        <v>0.15</v>
      </c>
      <c r="K91" s="64">
        <v>355.75</v>
      </c>
      <c r="L91" s="64">
        <v>26.05</v>
      </c>
      <c r="M91" s="64">
        <v>91.37</v>
      </c>
      <c r="N91" s="64">
        <v>42</v>
      </c>
      <c r="O91" s="64">
        <v>0</v>
      </c>
      <c r="P91" s="64">
        <v>0.91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3" t="s">
        <v>1959</v>
      </c>
      <c r="B92" s="64">
        <v>26.1</v>
      </c>
      <c r="C92" s="64">
        <v>21.58</v>
      </c>
      <c r="D92" s="64">
        <v>32.21</v>
      </c>
      <c r="E92" s="64">
        <v>5.27</v>
      </c>
      <c r="F92" s="64">
        <v>7</v>
      </c>
      <c r="G92" s="64">
        <v>59.03</v>
      </c>
      <c r="H92" s="64">
        <v>17.649999999999999</v>
      </c>
      <c r="I92" s="64">
        <v>1.41</v>
      </c>
      <c r="J92" s="64">
        <v>0.25</v>
      </c>
      <c r="K92" s="64">
        <v>329.04</v>
      </c>
      <c r="L92" s="64">
        <v>25.99</v>
      </c>
      <c r="M92" s="64">
        <v>92.16</v>
      </c>
      <c r="N92" s="64">
        <v>42</v>
      </c>
      <c r="O92" s="64">
        <v>0</v>
      </c>
      <c r="P92" s="64">
        <v>0.92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3" t="s">
        <v>1960</v>
      </c>
      <c r="B93" s="64">
        <v>30.27</v>
      </c>
      <c r="C93" s="64">
        <v>19.13</v>
      </c>
      <c r="D93" s="64">
        <v>34.26</v>
      </c>
      <c r="E93" s="64">
        <v>5.36</v>
      </c>
      <c r="F93" s="64">
        <v>5.32</v>
      </c>
      <c r="G93" s="64">
        <v>59.03</v>
      </c>
      <c r="H93" s="64">
        <v>17.649999999999999</v>
      </c>
      <c r="I93" s="64">
        <v>1.46</v>
      </c>
      <c r="J93" s="64">
        <v>0.05</v>
      </c>
      <c r="K93" s="64">
        <v>329.23</v>
      </c>
      <c r="L93" s="64">
        <v>25.97</v>
      </c>
      <c r="M93" s="64">
        <v>91.75</v>
      </c>
      <c r="N93" s="64">
        <v>42.1</v>
      </c>
      <c r="O93" s="64">
        <v>0</v>
      </c>
      <c r="P93" s="64">
        <v>0.87</v>
      </c>
      <c r="Q93" s="64">
        <v>9.35</v>
      </c>
      <c r="R93" s="198"/>
      <c r="S93" s="198"/>
      <c r="T93" s="198"/>
      <c r="U93" s="198"/>
    </row>
    <row r="94" spans="1:26" s="12" customFormat="1" x14ac:dyDescent="0.25">
      <c r="A94" s="213" t="s">
        <v>1961</v>
      </c>
      <c r="B94" s="64">
        <v>24.36</v>
      </c>
      <c r="C94" s="64">
        <v>20.67</v>
      </c>
      <c r="D94" s="64">
        <v>30.33</v>
      </c>
      <c r="E94" s="64">
        <v>4.7699999999999996</v>
      </c>
      <c r="F94" s="64">
        <v>4.71</v>
      </c>
      <c r="G94" s="64">
        <v>62.18</v>
      </c>
      <c r="H94" s="64">
        <v>20.28</v>
      </c>
      <c r="I94" s="64">
        <v>1.53</v>
      </c>
      <c r="J94" s="64">
        <v>0.03</v>
      </c>
      <c r="K94" s="64">
        <v>310.27999999999997</v>
      </c>
      <c r="L94" s="64">
        <v>26.15</v>
      </c>
      <c r="M94" s="64">
        <v>92.68</v>
      </c>
      <c r="N94" s="64">
        <v>42</v>
      </c>
      <c r="O94" s="64">
        <v>0</v>
      </c>
      <c r="P94" s="64">
        <v>0.79</v>
      </c>
      <c r="Q94" s="64">
        <v>9.39</v>
      </c>
      <c r="R94" s="198"/>
      <c r="S94" s="198"/>
      <c r="T94" s="198"/>
      <c r="U94" s="198"/>
    </row>
    <row r="95" spans="1:26" s="12" customFormat="1" x14ac:dyDescent="0.25">
      <c r="A95" s="213" t="s">
        <v>1962</v>
      </c>
      <c r="B95" s="64">
        <v>26.42</v>
      </c>
      <c r="C95" s="64">
        <v>26.09</v>
      </c>
      <c r="D95" s="64">
        <v>34.82</v>
      </c>
      <c r="E95" s="64">
        <v>4.67</v>
      </c>
      <c r="F95" s="64">
        <v>5.47</v>
      </c>
      <c r="G95" s="64">
        <v>69.95</v>
      </c>
      <c r="H95" s="64">
        <v>26.78</v>
      </c>
      <c r="I95" s="64">
        <v>1.58</v>
      </c>
      <c r="J95" s="64">
        <v>0.09</v>
      </c>
      <c r="K95" s="64">
        <v>327.83</v>
      </c>
      <c r="L95" s="64">
        <v>26.11</v>
      </c>
      <c r="M95" s="64">
        <v>94.13</v>
      </c>
      <c r="N95" s="64">
        <v>42.1</v>
      </c>
      <c r="O95" s="64">
        <v>0</v>
      </c>
      <c r="P95" s="64">
        <v>0.77</v>
      </c>
      <c r="Q95" s="64">
        <v>9.41</v>
      </c>
      <c r="R95" s="198"/>
      <c r="S95" s="198"/>
      <c r="T95" s="198"/>
      <c r="U95" s="198"/>
    </row>
    <row r="96" spans="1:26" s="12" customFormat="1" x14ac:dyDescent="0.25">
      <c r="A96" s="213" t="s">
        <v>1963</v>
      </c>
      <c r="B96" s="64">
        <v>28.76</v>
      </c>
      <c r="C96" s="64">
        <v>16.75</v>
      </c>
      <c r="D96" s="64">
        <v>31.82</v>
      </c>
      <c r="E96" s="64">
        <v>4.67</v>
      </c>
      <c r="F96" s="64">
        <v>5.32</v>
      </c>
      <c r="G96" s="64">
        <v>69.95</v>
      </c>
      <c r="H96" s="64">
        <v>26.78</v>
      </c>
      <c r="I96" s="64">
        <v>1.63</v>
      </c>
      <c r="J96" s="64">
        <v>0.11</v>
      </c>
      <c r="K96" s="64">
        <v>333</v>
      </c>
      <c r="L96" s="64">
        <v>26.02</v>
      </c>
      <c r="M96" s="64">
        <v>95.5</v>
      </c>
      <c r="N96" s="64">
        <v>42.1</v>
      </c>
      <c r="O96" s="64">
        <v>0</v>
      </c>
      <c r="P96" s="64">
        <v>0.81</v>
      </c>
      <c r="Q96" s="64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1964</v>
      </c>
      <c r="B97" s="64">
        <v>19.11</v>
      </c>
      <c r="C97" s="64">
        <v>19.84</v>
      </c>
      <c r="D97" s="64">
        <v>25.69</v>
      </c>
      <c r="E97" s="64">
        <v>4.92</v>
      </c>
      <c r="F97" s="64">
        <v>6.37</v>
      </c>
      <c r="G97" s="64">
        <v>69.95</v>
      </c>
      <c r="H97" s="64">
        <v>26.78</v>
      </c>
      <c r="I97" s="64">
        <v>1.67</v>
      </c>
      <c r="J97" s="64">
        <v>7.0000000000000007E-2</v>
      </c>
      <c r="K97" s="64">
        <v>351.83</v>
      </c>
      <c r="L97" s="64">
        <v>25.92</v>
      </c>
      <c r="M97" s="64">
        <v>95.67</v>
      </c>
      <c r="N97" s="64">
        <v>42.1</v>
      </c>
      <c r="O97" s="64">
        <v>0</v>
      </c>
      <c r="P97" s="64">
        <v>0.63</v>
      </c>
      <c r="Q97" s="64">
        <v>9.49</v>
      </c>
      <c r="R97" s="198"/>
      <c r="S97" s="198"/>
      <c r="T97" s="198"/>
      <c r="U97" s="198"/>
    </row>
    <row r="98" spans="1:33" s="12" customFormat="1" x14ac:dyDescent="0.25">
      <c r="A98" s="213" t="s">
        <v>1965</v>
      </c>
      <c r="B98" s="64">
        <v>13.63</v>
      </c>
      <c r="C98" s="64">
        <v>20.99</v>
      </c>
      <c r="D98" s="64">
        <v>21.9</v>
      </c>
      <c r="E98" s="64">
        <v>5.05</v>
      </c>
      <c r="F98" s="64">
        <v>7.13</v>
      </c>
      <c r="G98" s="64">
        <v>71.45</v>
      </c>
      <c r="H98" s="64">
        <v>25.16</v>
      </c>
      <c r="I98" s="64">
        <v>1.69</v>
      </c>
      <c r="J98" s="64">
        <v>0.06</v>
      </c>
      <c r="K98" s="64">
        <v>311.56</v>
      </c>
      <c r="L98" s="64">
        <v>25.82</v>
      </c>
      <c r="M98" s="64">
        <v>95.99</v>
      </c>
      <c r="N98" s="64">
        <v>41.9</v>
      </c>
      <c r="O98" s="64">
        <v>0</v>
      </c>
      <c r="P98" s="64">
        <v>0.48</v>
      </c>
      <c r="Q98" s="64">
        <v>9.5</v>
      </c>
      <c r="R98" s="198"/>
      <c r="S98" s="198"/>
      <c r="T98" s="198"/>
      <c r="U98" s="198"/>
    </row>
    <row r="99" spans="1:33" s="12" customFormat="1" x14ac:dyDescent="0.25">
      <c r="A99" s="213" t="s">
        <v>1966</v>
      </c>
      <c r="B99" s="64">
        <v>18.61</v>
      </c>
      <c r="C99" s="64">
        <v>16.25</v>
      </c>
      <c r="D99" s="64">
        <v>23.41</v>
      </c>
      <c r="E99" s="64">
        <v>4.5199999999999996</v>
      </c>
      <c r="F99" s="64">
        <v>5.1100000000000003</v>
      </c>
      <c r="G99" s="64">
        <v>75.13</v>
      </c>
      <c r="H99" s="64">
        <v>21.2</v>
      </c>
      <c r="I99" s="64">
        <v>1.72</v>
      </c>
      <c r="J99" s="64">
        <v>0.04</v>
      </c>
      <c r="K99" s="64">
        <v>302.82</v>
      </c>
      <c r="L99" s="64">
        <v>25.74</v>
      </c>
      <c r="M99" s="64">
        <v>97.45</v>
      </c>
      <c r="N99" s="64">
        <v>42</v>
      </c>
      <c r="O99" s="64">
        <v>0</v>
      </c>
      <c r="P99" s="64">
        <v>0.61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3" t="s">
        <v>1967</v>
      </c>
      <c r="B100" s="64">
        <v>17.14</v>
      </c>
      <c r="C100" s="64">
        <v>21.19</v>
      </c>
      <c r="D100" s="64">
        <v>24.82</v>
      </c>
      <c r="E100" s="64">
        <v>4.4800000000000004</v>
      </c>
      <c r="F100" s="64">
        <v>7.02</v>
      </c>
      <c r="G100" s="64">
        <v>75.13</v>
      </c>
      <c r="H100" s="64">
        <v>21.2</v>
      </c>
      <c r="I100" s="64">
        <v>1.73</v>
      </c>
      <c r="J100" s="64">
        <v>0.1</v>
      </c>
      <c r="K100" s="64">
        <v>320.81</v>
      </c>
      <c r="L100" s="64">
        <v>25.7</v>
      </c>
      <c r="M100" s="64">
        <v>98.47</v>
      </c>
      <c r="N100" s="64">
        <v>41.9</v>
      </c>
      <c r="O100" s="64">
        <v>0</v>
      </c>
      <c r="P100" s="64">
        <v>0.51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1968</v>
      </c>
      <c r="B101" s="64">
        <v>13.82</v>
      </c>
      <c r="C101" s="64">
        <v>22.84</v>
      </c>
      <c r="D101" s="64">
        <v>23.02</v>
      </c>
      <c r="E101" s="64">
        <v>4.79</v>
      </c>
      <c r="F101" s="64">
        <v>8.7200000000000006</v>
      </c>
      <c r="G101" s="64">
        <v>75.13</v>
      </c>
      <c r="H101" s="64">
        <v>21.2</v>
      </c>
      <c r="I101" s="64">
        <v>1.73</v>
      </c>
      <c r="J101" s="64">
        <v>7.0000000000000007E-2</v>
      </c>
      <c r="K101" s="64">
        <v>306.33</v>
      </c>
      <c r="L101" s="64">
        <v>25.61</v>
      </c>
      <c r="M101" s="64">
        <v>98.62</v>
      </c>
      <c r="N101" s="64">
        <v>42</v>
      </c>
      <c r="O101" s="64">
        <v>0</v>
      </c>
      <c r="P101" s="64">
        <v>0.5</v>
      </c>
      <c r="Q101" s="64">
        <v>9.52</v>
      </c>
      <c r="R101" s="198"/>
      <c r="S101" s="198"/>
      <c r="T101" s="198"/>
      <c r="U101" s="198"/>
    </row>
    <row r="102" spans="1:33" s="12" customFormat="1" x14ac:dyDescent="0.25">
      <c r="A102" s="213" t="s">
        <v>1969</v>
      </c>
      <c r="B102" s="64">
        <v>21.61</v>
      </c>
      <c r="C102" s="64">
        <v>22.25</v>
      </c>
      <c r="D102" s="64">
        <v>28.95</v>
      </c>
      <c r="E102" s="64">
        <v>4.55</v>
      </c>
      <c r="F102" s="64">
        <v>7.87</v>
      </c>
      <c r="G102" s="64">
        <v>75</v>
      </c>
      <c r="H102" s="64">
        <v>21.13</v>
      </c>
      <c r="I102" s="64">
        <v>1.74</v>
      </c>
      <c r="J102" s="64">
        <v>0.08</v>
      </c>
      <c r="K102" s="64">
        <v>315.94</v>
      </c>
      <c r="L102" s="64">
        <v>25.67</v>
      </c>
      <c r="M102" s="64">
        <v>98.62</v>
      </c>
      <c r="N102" s="64">
        <v>41.9</v>
      </c>
      <c r="O102" s="64">
        <v>0</v>
      </c>
      <c r="P102" s="64">
        <v>0.57999999999999996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3" t="s">
        <v>1970</v>
      </c>
      <c r="B103" s="64">
        <v>20.79</v>
      </c>
      <c r="C103" s="64">
        <v>19.36</v>
      </c>
      <c r="D103" s="64">
        <v>26.79</v>
      </c>
      <c r="E103" s="64">
        <v>4.88</v>
      </c>
      <c r="F103" s="64">
        <v>7.36</v>
      </c>
      <c r="G103" s="64">
        <v>74.69</v>
      </c>
      <c r="H103" s="64">
        <v>20.97</v>
      </c>
      <c r="I103" s="64">
        <v>1.78</v>
      </c>
      <c r="J103" s="64">
        <v>0.17</v>
      </c>
      <c r="K103" s="64">
        <v>320.42</v>
      </c>
      <c r="L103" s="64">
        <v>25.62</v>
      </c>
      <c r="M103" s="64">
        <v>98.62</v>
      </c>
      <c r="N103" s="64">
        <v>41.9</v>
      </c>
      <c r="O103" s="64">
        <v>0</v>
      </c>
      <c r="P103" s="64">
        <v>0.54</v>
      </c>
      <c r="Q103" s="64">
        <v>9.5399999999999991</v>
      </c>
      <c r="R103" s="198"/>
      <c r="S103" s="198"/>
      <c r="T103" s="198"/>
      <c r="U103" s="198"/>
    </row>
    <row r="104" spans="1:33" s="12" customFormat="1" x14ac:dyDescent="0.25">
      <c r="A104" s="213" t="s">
        <v>1971</v>
      </c>
      <c r="B104" s="64">
        <v>10.54</v>
      </c>
      <c r="C104" s="64">
        <v>20.329999999999998</v>
      </c>
      <c r="D104" s="64">
        <v>19.07</v>
      </c>
      <c r="E104" s="64">
        <v>4.84</v>
      </c>
      <c r="F104" s="64">
        <v>8.0500000000000007</v>
      </c>
      <c r="G104" s="64">
        <v>74.69</v>
      </c>
      <c r="H104" s="64">
        <v>20.97</v>
      </c>
      <c r="I104" s="64">
        <v>1.83</v>
      </c>
      <c r="J104" s="64">
        <v>0.06</v>
      </c>
      <c r="K104" s="64">
        <v>283.23</v>
      </c>
      <c r="L104" s="64">
        <v>25.61</v>
      </c>
      <c r="M104" s="64">
        <v>98.63</v>
      </c>
      <c r="N104" s="64">
        <v>41.9</v>
      </c>
      <c r="O104" s="64">
        <v>0</v>
      </c>
      <c r="P104" s="64">
        <v>0.48</v>
      </c>
      <c r="Q104" s="64">
        <v>9.57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4.7699999999999996</v>
      </c>
      <c r="C106" s="67">
        <f>MIN(C9:C104)</f>
        <v>8.99</v>
      </c>
      <c r="D106" s="67">
        <f t="shared" ref="D106:Q106" si="0">MIN(D9:D104)</f>
        <v>8.77</v>
      </c>
      <c r="E106" s="67">
        <f t="shared" si="0"/>
        <v>3.96</v>
      </c>
      <c r="F106" s="67">
        <f t="shared" si="0"/>
        <v>4.71</v>
      </c>
      <c r="G106" s="67">
        <f t="shared" si="0"/>
        <v>14.42</v>
      </c>
      <c r="H106" s="67">
        <f t="shared" si="0"/>
        <v>2.13</v>
      </c>
      <c r="I106" s="67">
        <f t="shared" si="0"/>
        <v>0.9</v>
      </c>
      <c r="J106" s="67">
        <f t="shared" si="0"/>
        <v>0</v>
      </c>
      <c r="K106" s="67">
        <f t="shared" si="0"/>
        <v>5.65</v>
      </c>
      <c r="L106" s="67">
        <f t="shared" si="0"/>
        <v>23.85</v>
      </c>
      <c r="M106" s="67">
        <f t="shared" si="0"/>
        <v>69.069999999999993</v>
      </c>
      <c r="N106" s="67">
        <f t="shared" si="0"/>
        <v>38.799999999999997</v>
      </c>
      <c r="O106" s="67">
        <f t="shared" si="0"/>
        <v>0</v>
      </c>
      <c r="P106" s="67">
        <f t="shared" si="0"/>
        <v>0.17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30.27</v>
      </c>
      <c r="C107" s="66">
        <f t="shared" ref="C107:Q107" si="1">MAX(C9:C104)</f>
        <v>31.83</v>
      </c>
      <c r="D107" s="66">
        <f t="shared" si="1"/>
        <v>37.229999999999997</v>
      </c>
      <c r="E107" s="66">
        <f t="shared" si="1"/>
        <v>6.07</v>
      </c>
      <c r="F107" s="66">
        <f t="shared" si="1"/>
        <v>14.78</v>
      </c>
      <c r="G107" s="66">
        <f t="shared" si="1"/>
        <v>75.13</v>
      </c>
      <c r="H107" s="66">
        <f t="shared" si="1"/>
        <v>26.78</v>
      </c>
      <c r="I107" s="66">
        <f t="shared" si="1"/>
        <v>1.83</v>
      </c>
      <c r="J107" s="66">
        <f t="shared" si="1"/>
        <v>1.29</v>
      </c>
      <c r="K107" s="66">
        <f t="shared" si="1"/>
        <v>355.75</v>
      </c>
      <c r="L107" s="66">
        <f t="shared" si="1"/>
        <v>33.1</v>
      </c>
      <c r="M107" s="66">
        <f t="shared" si="1"/>
        <v>98.82</v>
      </c>
      <c r="N107" s="66">
        <f t="shared" si="1"/>
        <v>947.4</v>
      </c>
      <c r="O107" s="66">
        <f t="shared" si="1"/>
        <v>0.2</v>
      </c>
      <c r="P107" s="66">
        <f t="shared" si="1"/>
        <v>0.96</v>
      </c>
      <c r="Q107" s="66">
        <f t="shared" si="1"/>
        <v>9.57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12.205833333333333</v>
      </c>
      <c r="C108" s="67">
        <f t="shared" ref="C108:Q108" si="2">AVERAGE(C9:C104)</f>
        <v>16.942187499999999</v>
      </c>
      <c r="D108" s="67">
        <f t="shared" si="2"/>
        <v>18.635416666666661</v>
      </c>
      <c r="E108" s="67">
        <f t="shared" si="2"/>
        <v>4.9228125000000009</v>
      </c>
      <c r="F108" s="67">
        <f t="shared" si="2"/>
        <v>8.5817708333333336</v>
      </c>
      <c r="G108" s="67">
        <f t="shared" si="2"/>
        <v>46.5621875</v>
      </c>
      <c r="H108" s="67">
        <f t="shared" si="2"/>
        <v>14.011041666666673</v>
      </c>
      <c r="I108" s="67">
        <f t="shared" si="2"/>
        <v>1.2838541666666663</v>
      </c>
      <c r="J108" s="67">
        <f t="shared" si="2"/>
        <v>0.22802083333333331</v>
      </c>
      <c r="K108" s="67">
        <f t="shared" si="2"/>
        <v>223.67937500000002</v>
      </c>
      <c r="L108" s="67">
        <f t="shared" si="2"/>
        <v>26.998020833333332</v>
      </c>
      <c r="M108" s="67">
        <f t="shared" si="2"/>
        <v>91.914375000000007</v>
      </c>
      <c r="N108" s="67">
        <f t="shared" si="2"/>
        <v>153.61562499999994</v>
      </c>
      <c r="O108" s="67">
        <f t="shared" si="2"/>
        <v>2.0833333333333333E-3</v>
      </c>
      <c r="P108" s="67">
        <f t="shared" si="2"/>
        <v>0.40093749999999995</v>
      </c>
      <c r="Q108" s="67">
        <f t="shared" si="2"/>
        <v>9.2117708333333361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6.6922591051022895</v>
      </c>
      <c r="C109" s="67">
        <f t="shared" ref="C109:Q109" si="3">STDEV(C9:C104)</f>
        <v>5.210181773397375</v>
      </c>
      <c r="D109" s="67">
        <f t="shared" si="3"/>
        <v>6.815354941780825</v>
      </c>
      <c r="E109" s="67">
        <f t="shared" si="3"/>
        <v>0.5610510871287977</v>
      </c>
      <c r="F109" s="67">
        <f t="shared" si="3"/>
        <v>2.382862937415581</v>
      </c>
      <c r="G109" s="67">
        <f t="shared" si="3"/>
        <v>17.417105941430133</v>
      </c>
      <c r="H109" s="67">
        <f t="shared" si="3"/>
        <v>7.0235466343266397</v>
      </c>
      <c r="I109" s="67">
        <f t="shared" si="3"/>
        <v>0.26210632551923352</v>
      </c>
      <c r="J109" s="67">
        <f t="shared" si="3"/>
        <v>0.22840693044912844</v>
      </c>
      <c r="K109" s="67">
        <f t="shared" si="3"/>
        <v>92.983241136437229</v>
      </c>
      <c r="L109" s="67">
        <f t="shared" si="3"/>
        <v>2.560816325352715</v>
      </c>
      <c r="M109" s="67">
        <f t="shared" si="3"/>
        <v>8.8472906126231958</v>
      </c>
      <c r="N109" s="67">
        <f t="shared" si="3"/>
        <v>178.56665883648705</v>
      </c>
      <c r="O109" s="67">
        <f t="shared" si="3"/>
        <v>2.0412414523193152E-2</v>
      </c>
      <c r="P109" s="67">
        <f t="shared" si="3"/>
        <v>0.19166900265548256</v>
      </c>
      <c r="Q109" s="67">
        <f t="shared" si="3"/>
        <v>0.13313226341275616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1972</v>
      </c>
      <c r="B9" s="64">
        <v>8.5500000000000007</v>
      </c>
      <c r="C9" s="64">
        <v>22.77</v>
      </c>
      <c r="D9" s="64">
        <v>18.75</v>
      </c>
      <c r="E9" s="64">
        <v>5.16</v>
      </c>
      <c r="F9" s="64">
        <v>6.37</v>
      </c>
      <c r="G9" s="64">
        <v>74.69</v>
      </c>
      <c r="H9" s="64">
        <v>20.97</v>
      </c>
      <c r="I9" s="64">
        <v>1.87</v>
      </c>
      <c r="J9" s="64">
        <v>0.05</v>
      </c>
      <c r="K9" s="64">
        <v>206.61</v>
      </c>
      <c r="L9" s="64">
        <v>25.61</v>
      </c>
      <c r="M9" s="64">
        <v>98.63</v>
      </c>
      <c r="N9" s="64">
        <v>41.9</v>
      </c>
      <c r="O9" s="64">
        <v>0</v>
      </c>
      <c r="P9" s="64">
        <v>0.96</v>
      </c>
      <c r="Q9" s="64">
        <v>9.56</v>
      </c>
      <c r="R9" s="198"/>
      <c r="S9" s="198"/>
      <c r="T9" s="198"/>
      <c r="U9" s="198"/>
    </row>
    <row r="10" spans="1:21" s="12" customFormat="1" x14ac:dyDescent="0.25">
      <c r="A10" s="213" t="s">
        <v>1973</v>
      </c>
      <c r="B10" s="64">
        <v>7.33</v>
      </c>
      <c r="C10" s="64">
        <v>22.75</v>
      </c>
      <c r="D10" s="64">
        <v>17.760000000000002</v>
      </c>
      <c r="E10" s="64">
        <v>5.35</v>
      </c>
      <c r="F10" s="64">
        <v>6.88</v>
      </c>
      <c r="G10" s="64">
        <v>73.58</v>
      </c>
      <c r="H10" s="64">
        <v>19.440000000000001</v>
      </c>
      <c r="I10" s="64">
        <v>1.9</v>
      </c>
      <c r="J10" s="64">
        <v>0.04</v>
      </c>
      <c r="K10" s="64">
        <v>275.22000000000003</v>
      </c>
      <c r="L10" s="64">
        <v>25.55</v>
      </c>
      <c r="M10" s="64">
        <v>98.65</v>
      </c>
      <c r="N10" s="64">
        <v>41.9</v>
      </c>
      <c r="O10" s="64">
        <v>0</v>
      </c>
      <c r="P10" s="64">
        <v>1.23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3" t="s">
        <v>1974</v>
      </c>
      <c r="B11" s="64">
        <v>9.2200000000000006</v>
      </c>
      <c r="C11" s="64">
        <v>20.23</v>
      </c>
      <c r="D11" s="64">
        <v>17.96</v>
      </c>
      <c r="E11" s="64">
        <v>5.47</v>
      </c>
      <c r="F11" s="64">
        <v>7.35</v>
      </c>
      <c r="G11" s="64">
        <v>70.849999999999994</v>
      </c>
      <c r="H11" s="64">
        <v>15.68</v>
      </c>
      <c r="I11" s="64">
        <v>1.94</v>
      </c>
      <c r="J11" s="64">
        <v>0.04</v>
      </c>
      <c r="K11" s="64">
        <v>290.77999999999997</v>
      </c>
      <c r="L11" s="64">
        <v>25.48</v>
      </c>
      <c r="M11" s="64">
        <v>98.66</v>
      </c>
      <c r="N11" s="64">
        <v>41.9</v>
      </c>
      <c r="O11" s="64">
        <v>0</v>
      </c>
      <c r="P11" s="64">
        <v>0.98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3" t="s">
        <v>1975</v>
      </c>
      <c r="B12" s="64">
        <v>9.15</v>
      </c>
      <c r="C12" s="64">
        <v>18.04</v>
      </c>
      <c r="D12" s="64">
        <v>16.760000000000002</v>
      </c>
      <c r="E12" s="64">
        <v>5.44</v>
      </c>
      <c r="F12" s="64">
        <v>6.41</v>
      </c>
      <c r="G12" s="64">
        <v>70.849999999999994</v>
      </c>
      <c r="H12" s="64">
        <v>15.68</v>
      </c>
      <c r="I12" s="64">
        <v>2.02</v>
      </c>
      <c r="J12" s="64">
        <v>0.04</v>
      </c>
      <c r="K12" s="64">
        <v>267.77</v>
      </c>
      <c r="L12" s="64">
        <v>25.39</v>
      </c>
      <c r="M12" s="64">
        <v>98.68</v>
      </c>
      <c r="N12" s="64">
        <v>42</v>
      </c>
      <c r="O12" s="64">
        <v>0</v>
      </c>
      <c r="P12" s="64">
        <v>0.76</v>
      </c>
      <c r="Q12" s="64">
        <v>9.52</v>
      </c>
      <c r="R12" s="198"/>
      <c r="S12" s="198"/>
      <c r="T12" s="198"/>
      <c r="U12" s="198"/>
    </row>
    <row r="13" spans="1:21" s="12" customFormat="1" x14ac:dyDescent="0.25">
      <c r="A13" s="213" t="s">
        <v>1976</v>
      </c>
      <c r="B13" s="64">
        <v>9.41</v>
      </c>
      <c r="C13" s="64">
        <v>16.600000000000001</v>
      </c>
      <c r="D13" s="64">
        <v>16.22</v>
      </c>
      <c r="E13" s="64">
        <v>5.64</v>
      </c>
      <c r="F13" s="64">
        <v>6.97</v>
      </c>
      <c r="G13" s="64">
        <v>70.849999999999994</v>
      </c>
      <c r="H13" s="64">
        <v>15.68</v>
      </c>
      <c r="I13" s="64">
        <v>2.1</v>
      </c>
      <c r="J13" s="64">
        <v>0.04</v>
      </c>
      <c r="K13" s="64">
        <v>192.16</v>
      </c>
      <c r="L13" s="64">
        <v>25.38</v>
      </c>
      <c r="M13" s="64">
        <v>98.68</v>
      </c>
      <c r="N13" s="64">
        <v>41.9</v>
      </c>
      <c r="O13" s="64">
        <v>0</v>
      </c>
      <c r="P13" s="64">
        <v>0.56000000000000005</v>
      </c>
      <c r="Q13" s="64">
        <v>9.49</v>
      </c>
      <c r="R13" s="198"/>
      <c r="S13" s="198"/>
      <c r="T13" s="198"/>
      <c r="U13" s="198"/>
    </row>
    <row r="14" spans="1:21" s="12" customFormat="1" x14ac:dyDescent="0.25">
      <c r="A14" s="213" t="s">
        <v>1977</v>
      </c>
      <c r="B14" s="64">
        <v>9.57</v>
      </c>
      <c r="C14" s="64">
        <v>15.15</v>
      </c>
      <c r="D14" s="64">
        <v>15.59</v>
      </c>
      <c r="E14" s="64">
        <v>5.37</v>
      </c>
      <c r="F14" s="64">
        <v>8.76</v>
      </c>
      <c r="G14" s="64">
        <v>69.36</v>
      </c>
      <c r="H14" s="64">
        <v>16.670000000000002</v>
      </c>
      <c r="I14" s="64">
        <v>2.14</v>
      </c>
      <c r="J14" s="64">
        <v>0.04</v>
      </c>
      <c r="K14" s="64">
        <v>301.87</v>
      </c>
      <c r="L14" s="64">
        <v>25.41</v>
      </c>
      <c r="M14" s="64">
        <v>98.68</v>
      </c>
      <c r="N14" s="64">
        <v>41.9</v>
      </c>
      <c r="O14" s="64">
        <v>0</v>
      </c>
      <c r="P14" s="64">
        <v>0.46</v>
      </c>
      <c r="Q14" s="64">
        <v>9.4600000000000009</v>
      </c>
      <c r="R14" s="198"/>
      <c r="S14" s="198"/>
      <c r="T14" s="198"/>
      <c r="U14" s="198"/>
    </row>
    <row r="15" spans="1:21" s="12" customFormat="1" x14ac:dyDescent="0.25">
      <c r="A15" s="213" t="s">
        <v>1978</v>
      </c>
      <c r="B15" s="64">
        <v>15.34</v>
      </c>
      <c r="C15" s="64">
        <v>11.28</v>
      </c>
      <c r="D15" s="64">
        <v>18.190000000000001</v>
      </c>
      <c r="E15" s="64">
        <v>5.46</v>
      </c>
      <c r="F15" s="64">
        <v>4.4800000000000004</v>
      </c>
      <c r="G15" s="64">
        <v>65.48</v>
      </c>
      <c r="H15" s="64">
        <v>19.11</v>
      </c>
      <c r="I15" s="64">
        <v>2.16</v>
      </c>
      <c r="J15" s="64">
        <v>7.0000000000000007E-2</v>
      </c>
      <c r="K15" s="64">
        <v>279.49</v>
      </c>
      <c r="L15" s="64">
        <v>25.35</v>
      </c>
      <c r="M15" s="64">
        <v>98.7</v>
      </c>
      <c r="N15" s="64">
        <v>41.9</v>
      </c>
      <c r="O15" s="64">
        <v>0</v>
      </c>
      <c r="P15" s="64">
        <v>0.54</v>
      </c>
      <c r="Q15" s="64">
        <v>9.43</v>
      </c>
      <c r="R15" s="198"/>
      <c r="S15" s="198"/>
      <c r="T15" s="198"/>
      <c r="U15" s="198"/>
    </row>
    <row r="16" spans="1:21" s="12" customFormat="1" x14ac:dyDescent="0.25">
      <c r="A16" s="213" t="s">
        <v>1979</v>
      </c>
      <c r="B16" s="64">
        <v>10.56</v>
      </c>
      <c r="C16" s="64">
        <v>12.35</v>
      </c>
      <c r="D16" s="64">
        <v>14.92</v>
      </c>
      <c r="E16" s="64">
        <v>5.4</v>
      </c>
      <c r="F16" s="64">
        <v>7.82</v>
      </c>
      <c r="G16" s="64">
        <v>65.48</v>
      </c>
      <c r="H16" s="64">
        <v>19.11</v>
      </c>
      <c r="I16" s="64">
        <v>2.15</v>
      </c>
      <c r="J16" s="64">
        <v>0.05</v>
      </c>
      <c r="K16" s="64">
        <v>269.23</v>
      </c>
      <c r="L16" s="64">
        <v>25.31</v>
      </c>
      <c r="M16" s="64">
        <v>98.7</v>
      </c>
      <c r="N16" s="64">
        <v>42</v>
      </c>
      <c r="O16" s="64">
        <v>0</v>
      </c>
      <c r="P16" s="64">
        <v>0.36</v>
      </c>
      <c r="Q16" s="64">
        <v>9.4</v>
      </c>
      <c r="R16" s="198"/>
      <c r="S16" s="198"/>
      <c r="T16" s="198"/>
      <c r="U16" s="198"/>
    </row>
    <row r="17" spans="1:21" s="12" customFormat="1" x14ac:dyDescent="0.25">
      <c r="A17" s="213" t="s">
        <v>1980</v>
      </c>
      <c r="B17" s="64">
        <v>10.38</v>
      </c>
      <c r="C17" s="64">
        <v>11.63</v>
      </c>
      <c r="D17" s="64">
        <v>14.4</v>
      </c>
      <c r="E17" s="64">
        <v>5.46</v>
      </c>
      <c r="F17" s="64">
        <v>8.07</v>
      </c>
      <c r="G17" s="64">
        <v>65.48</v>
      </c>
      <c r="H17" s="64">
        <v>19.11</v>
      </c>
      <c r="I17" s="64">
        <v>2.11</v>
      </c>
      <c r="J17" s="64">
        <v>0.05</v>
      </c>
      <c r="K17" s="64">
        <v>287.61</v>
      </c>
      <c r="L17" s="64">
        <v>25.22</v>
      </c>
      <c r="M17" s="64">
        <v>98.73</v>
      </c>
      <c r="N17" s="64">
        <v>41.6</v>
      </c>
      <c r="O17" s="64">
        <v>0</v>
      </c>
      <c r="P17" s="64">
        <v>0.35</v>
      </c>
      <c r="Q17" s="64">
        <v>9.39</v>
      </c>
      <c r="R17" s="198"/>
      <c r="S17" s="198"/>
      <c r="T17" s="198"/>
      <c r="U17" s="198"/>
    </row>
    <row r="18" spans="1:21" s="12" customFormat="1" x14ac:dyDescent="0.25">
      <c r="A18" s="213" t="s">
        <v>1981</v>
      </c>
      <c r="B18" s="64">
        <v>12.38</v>
      </c>
      <c r="C18" s="64">
        <v>10.5</v>
      </c>
      <c r="D18" s="64">
        <v>15.41</v>
      </c>
      <c r="E18" s="64">
        <v>5.37</v>
      </c>
      <c r="F18" s="64">
        <v>6.13</v>
      </c>
      <c r="G18" s="64">
        <v>64.95</v>
      </c>
      <c r="H18" s="64">
        <v>18.29</v>
      </c>
      <c r="I18" s="64">
        <v>2.08</v>
      </c>
      <c r="J18" s="64">
        <v>0.05</v>
      </c>
      <c r="K18" s="64">
        <v>277.58</v>
      </c>
      <c r="L18" s="64">
        <v>25.19</v>
      </c>
      <c r="M18" s="64">
        <v>98.75</v>
      </c>
      <c r="N18" s="64">
        <v>41.9</v>
      </c>
      <c r="O18" s="64">
        <v>0</v>
      </c>
      <c r="P18" s="64">
        <v>0.43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3" t="s">
        <v>1982</v>
      </c>
      <c r="B19" s="64">
        <v>8.76</v>
      </c>
      <c r="C19" s="64">
        <v>12</v>
      </c>
      <c r="D19" s="64">
        <v>13.29</v>
      </c>
      <c r="E19" s="64">
        <v>5.23</v>
      </c>
      <c r="F19" s="64">
        <v>8.15</v>
      </c>
      <c r="G19" s="64">
        <v>63.59</v>
      </c>
      <c r="H19" s="64">
        <v>16.260000000000002</v>
      </c>
      <c r="I19" s="64">
        <v>2.02</v>
      </c>
      <c r="J19" s="64">
        <v>0.05</v>
      </c>
      <c r="K19" s="64">
        <v>286.06</v>
      </c>
      <c r="L19" s="64">
        <v>25.18</v>
      </c>
      <c r="M19" s="64">
        <v>98.73</v>
      </c>
      <c r="N19" s="64">
        <v>41.9</v>
      </c>
      <c r="O19" s="64">
        <v>0</v>
      </c>
      <c r="P19" s="64">
        <v>0.27</v>
      </c>
      <c r="Q19" s="64">
        <v>9.32</v>
      </c>
      <c r="R19" s="198"/>
      <c r="S19" s="198"/>
      <c r="T19" s="198"/>
      <c r="U19" s="198"/>
    </row>
    <row r="20" spans="1:21" s="12" customFormat="1" x14ac:dyDescent="0.25">
      <c r="A20" s="213" t="s">
        <v>1983</v>
      </c>
      <c r="B20" s="64">
        <v>6.74</v>
      </c>
      <c r="C20" s="64">
        <v>12.35</v>
      </c>
      <c r="D20" s="64">
        <v>11.86</v>
      </c>
      <c r="E20" s="64">
        <v>5.43</v>
      </c>
      <c r="F20" s="64">
        <v>8.8699999999999992</v>
      </c>
      <c r="G20" s="64">
        <v>63.59</v>
      </c>
      <c r="H20" s="64">
        <v>16.260000000000002</v>
      </c>
      <c r="I20" s="64">
        <v>1.96</v>
      </c>
      <c r="J20" s="64">
        <v>0.04</v>
      </c>
      <c r="K20" s="64">
        <v>202.03</v>
      </c>
      <c r="L20" s="64">
        <v>25.16</v>
      </c>
      <c r="M20" s="64">
        <v>98.72</v>
      </c>
      <c r="N20" s="64">
        <v>41.9</v>
      </c>
      <c r="O20" s="64">
        <v>0</v>
      </c>
      <c r="P20" s="64">
        <v>0.26</v>
      </c>
      <c r="Q20" s="64">
        <v>9.31</v>
      </c>
      <c r="R20" s="198"/>
      <c r="S20" s="198"/>
      <c r="T20" s="198"/>
      <c r="U20" s="198"/>
    </row>
    <row r="21" spans="1:21" s="12" customFormat="1" x14ac:dyDescent="0.25">
      <c r="A21" s="213" t="s">
        <v>1984</v>
      </c>
      <c r="B21" s="64">
        <v>9.9499999999999993</v>
      </c>
      <c r="C21" s="64">
        <v>11.8</v>
      </c>
      <c r="D21" s="64">
        <v>14.14</v>
      </c>
      <c r="E21" s="64">
        <v>5.27</v>
      </c>
      <c r="F21" s="64">
        <v>6.57</v>
      </c>
      <c r="G21" s="64">
        <v>63.59</v>
      </c>
      <c r="H21" s="64">
        <v>16.260000000000002</v>
      </c>
      <c r="I21" s="64">
        <v>1.91</v>
      </c>
      <c r="J21" s="64">
        <v>0.04</v>
      </c>
      <c r="K21" s="64">
        <v>102.07</v>
      </c>
      <c r="L21" s="64">
        <v>25.11</v>
      </c>
      <c r="M21" s="64">
        <v>98.73</v>
      </c>
      <c r="N21" s="64">
        <v>41.9</v>
      </c>
      <c r="O21" s="64">
        <v>0</v>
      </c>
      <c r="P21" s="64">
        <v>0.32</v>
      </c>
      <c r="Q21" s="64">
        <v>9.2799999999999994</v>
      </c>
      <c r="R21" s="198"/>
      <c r="S21" s="198"/>
      <c r="T21" s="198"/>
      <c r="U21" s="198"/>
    </row>
    <row r="22" spans="1:21" s="12" customFormat="1" x14ac:dyDescent="0.25">
      <c r="A22" s="213" t="s">
        <v>1985</v>
      </c>
      <c r="B22" s="64">
        <v>7.55</v>
      </c>
      <c r="C22" s="64">
        <v>13.44</v>
      </c>
      <c r="D22" s="64">
        <v>13.07</v>
      </c>
      <c r="E22" s="64">
        <v>4.9800000000000004</v>
      </c>
      <c r="F22" s="64">
        <v>8.92</v>
      </c>
      <c r="G22" s="64">
        <v>60.04</v>
      </c>
      <c r="H22" s="64">
        <v>16.87</v>
      </c>
      <c r="I22" s="64">
        <v>1.87</v>
      </c>
      <c r="J22" s="64">
        <v>0.01</v>
      </c>
      <c r="K22" s="64">
        <v>151.94999999999999</v>
      </c>
      <c r="L22" s="64">
        <v>25.06</v>
      </c>
      <c r="M22" s="64">
        <v>98.72</v>
      </c>
      <c r="N22" s="64">
        <v>42</v>
      </c>
      <c r="O22" s="64">
        <v>0</v>
      </c>
      <c r="P22" s="64">
        <v>0.21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3" t="s">
        <v>1986</v>
      </c>
      <c r="B23" s="64">
        <v>5.81</v>
      </c>
      <c r="C23" s="64">
        <v>13.12</v>
      </c>
      <c r="D23" s="64">
        <v>11.51</v>
      </c>
      <c r="E23" s="64">
        <v>4.87</v>
      </c>
      <c r="F23" s="64">
        <v>9.09</v>
      </c>
      <c r="G23" s="64">
        <v>51.32</v>
      </c>
      <c r="H23" s="64">
        <v>18.37</v>
      </c>
      <c r="I23" s="64">
        <v>1.81</v>
      </c>
      <c r="J23" s="64">
        <v>0.06</v>
      </c>
      <c r="K23" s="64">
        <v>110.51</v>
      </c>
      <c r="L23" s="64">
        <v>25.05</v>
      </c>
      <c r="M23" s="64">
        <v>98.72</v>
      </c>
      <c r="N23" s="64">
        <v>41.9</v>
      </c>
      <c r="O23" s="64">
        <v>0</v>
      </c>
      <c r="P23" s="64">
        <v>0.19</v>
      </c>
      <c r="Q23" s="64">
        <v>9.2799999999999994</v>
      </c>
      <c r="R23" s="198"/>
      <c r="S23" s="198"/>
      <c r="T23" s="198"/>
      <c r="U23" s="198"/>
    </row>
    <row r="24" spans="1:21" s="12" customFormat="1" x14ac:dyDescent="0.25">
      <c r="A24" s="213" t="s">
        <v>1987</v>
      </c>
      <c r="B24" s="64">
        <v>7.94</v>
      </c>
      <c r="C24" s="64">
        <v>13.72</v>
      </c>
      <c r="D24" s="64">
        <v>13.54</v>
      </c>
      <c r="E24" s="64">
        <v>5.0199999999999996</v>
      </c>
      <c r="F24" s="64">
        <v>8.4600000000000009</v>
      </c>
      <c r="G24" s="64">
        <v>51.32</v>
      </c>
      <c r="H24" s="64">
        <v>18.37</v>
      </c>
      <c r="I24" s="64">
        <v>1.78</v>
      </c>
      <c r="J24" s="64">
        <v>0.03</v>
      </c>
      <c r="K24" s="64">
        <v>80.19</v>
      </c>
      <c r="L24" s="64">
        <v>25.04</v>
      </c>
      <c r="M24" s="64">
        <v>98.73</v>
      </c>
      <c r="N24" s="64">
        <v>41.9</v>
      </c>
      <c r="O24" s="64">
        <v>0</v>
      </c>
      <c r="P24" s="64">
        <v>0.23</v>
      </c>
      <c r="Q24" s="64">
        <v>9.31</v>
      </c>
      <c r="R24" s="198"/>
      <c r="S24" s="198"/>
      <c r="T24" s="198"/>
      <c r="U24" s="198"/>
    </row>
    <row r="25" spans="1:21" s="12" customFormat="1" x14ac:dyDescent="0.25">
      <c r="A25" s="213" t="s">
        <v>1988</v>
      </c>
      <c r="B25" s="64">
        <v>5.71</v>
      </c>
      <c r="C25" s="64">
        <v>13.25</v>
      </c>
      <c r="D25" s="64">
        <v>11.5</v>
      </c>
      <c r="E25" s="64">
        <v>5.0999999999999996</v>
      </c>
      <c r="F25" s="64">
        <v>9.34</v>
      </c>
      <c r="G25" s="64">
        <v>51.32</v>
      </c>
      <c r="H25" s="64">
        <v>18.37</v>
      </c>
      <c r="I25" s="64">
        <v>1.77</v>
      </c>
      <c r="J25" s="64">
        <v>0.18</v>
      </c>
      <c r="K25" s="64">
        <v>137.65</v>
      </c>
      <c r="L25" s="64">
        <v>25.11</v>
      </c>
      <c r="M25" s="64">
        <v>98.73</v>
      </c>
      <c r="N25" s="64">
        <v>41.8</v>
      </c>
      <c r="O25" s="64">
        <v>0</v>
      </c>
      <c r="P25" s="64">
        <v>0.19</v>
      </c>
      <c r="Q25" s="64">
        <v>9.3000000000000007</v>
      </c>
      <c r="R25" s="198"/>
      <c r="S25" s="198"/>
      <c r="T25" s="198"/>
      <c r="U25" s="198"/>
    </row>
    <row r="26" spans="1:21" s="12" customFormat="1" x14ac:dyDescent="0.25">
      <c r="A26" s="213" t="s">
        <v>1989</v>
      </c>
      <c r="B26" s="64">
        <v>4.51</v>
      </c>
      <c r="C26" s="64">
        <v>12.05</v>
      </c>
      <c r="D26" s="64">
        <v>9.92</v>
      </c>
      <c r="E26" s="64">
        <v>5.45</v>
      </c>
      <c r="F26" s="64">
        <v>9.27</v>
      </c>
      <c r="G26" s="64">
        <v>49.47</v>
      </c>
      <c r="H26" s="64">
        <v>17.63</v>
      </c>
      <c r="I26" s="64">
        <v>1.73</v>
      </c>
      <c r="J26" s="64">
        <v>0.19</v>
      </c>
      <c r="K26" s="64">
        <v>147.79</v>
      </c>
      <c r="L26" s="64">
        <v>25.06</v>
      </c>
      <c r="M26" s="64">
        <v>98.73</v>
      </c>
      <c r="N26" s="64">
        <v>41.9</v>
      </c>
      <c r="O26" s="64">
        <v>0</v>
      </c>
      <c r="P26" s="64">
        <v>0.18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3" t="s">
        <v>1990</v>
      </c>
      <c r="B27" s="64">
        <v>5.58</v>
      </c>
      <c r="C27" s="64">
        <v>13.55</v>
      </c>
      <c r="D27" s="64">
        <v>11.55</v>
      </c>
      <c r="E27" s="64">
        <v>5.26</v>
      </c>
      <c r="F27" s="64">
        <v>8.8800000000000008</v>
      </c>
      <c r="G27" s="64">
        <v>44.67</v>
      </c>
      <c r="H27" s="64">
        <v>15.81</v>
      </c>
      <c r="I27" s="64">
        <v>1.71</v>
      </c>
      <c r="J27" s="64">
        <v>0.06</v>
      </c>
      <c r="K27" s="64">
        <v>226.67</v>
      </c>
      <c r="L27" s="64">
        <v>25.01</v>
      </c>
      <c r="M27" s="64">
        <v>98.68</v>
      </c>
      <c r="N27" s="64">
        <v>41.9</v>
      </c>
      <c r="O27" s="64">
        <v>0</v>
      </c>
      <c r="P27" s="64">
        <v>0.21</v>
      </c>
      <c r="Q27" s="64">
        <v>9.3000000000000007</v>
      </c>
      <c r="R27" s="198"/>
      <c r="S27" s="198"/>
      <c r="T27" s="198"/>
      <c r="U27" s="198"/>
    </row>
    <row r="28" spans="1:21" s="12" customFormat="1" x14ac:dyDescent="0.25">
      <c r="A28" s="213" t="s">
        <v>1991</v>
      </c>
      <c r="B28" s="64">
        <v>8.09</v>
      </c>
      <c r="C28" s="64">
        <v>16.39</v>
      </c>
      <c r="D28" s="64">
        <v>15.04</v>
      </c>
      <c r="E28" s="64">
        <v>5.08</v>
      </c>
      <c r="F28" s="64">
        <v>7.74</v>
      </c>
      <c r="G28" s="64">
        <v>44.67</v>
      </c>
      <c r="H28" s="64">
        <v>15.81</v>
      </c>
      <c r="I28" s="64">
        <v>1.8</v>
      </c>
      <c r="J28" s="64">
        <v>0.05</v>
      </c>
      <c r="K28" s="64">
        <v>227.23</v>
      </c>
      <c r="L28" s="64">
        <v>24.95</v>
      </c>
      <c r="M28" s="64">
        <v>98.65</v>
      </c>
      <c r="N28" s="64">
        <v>41.9</v>
      </c>
      <c r="O28" s="64">
        <v>0</v>
      </c>
      <c r="P28" s="64">
        <v>0.26</v>
      </c>
      <c r="Q28" s="64">
        <v>9.3000000000000007</v>
      </c>
      <c r="R28" s="198"/>
      <c r="S28" s="198"/>
      <c r="T28" s="198"/>
      <c r="U28" s="198"/>
    </row>
    <row r="29" spans="1:21" s="12" customFormat="1" x14ac:dyDescent="0.25">
      <c r="A29" s="213" t="s">
        <v>1992</v>
      </c>
      <c r="B29" s="64">
        <v>7.98</v>
      </c>
      <c r="C29" s="64">
        <v>16.75</v>
      </c>
      <c r="D29" s="64">
        <v>15.15</v>
      </c>
      <c r="E29" s="64">
        <v>5.37</v>
      </c>
      <c r="F29" s="64">
        <v>8.36</v>
      </c>
      <c r="G29" s="64">
        <v>44.67</v>
      </c>
      <c r="H29" s="64">
        <v>15.81</v>
      </c>
      <c r="I29" s="64">
        <v>1.75</v>
      </c>
      <c r="J29" s="64">
        <v>7.0000000000000007E-2</v>
      </c>
      <c r="K29" s="64">
        <v>249.41</v>
      </c>
      <c r="L29" s="64">
        <v>24.91</v>
      </c>
      <c r="M29" s="64">
        <v>98.65</v>
      </c>
      <c r="N29" s="64">
        <v>42</v>
      </c>
      <c r="O29" s="64">
        <v>0</v>
      </c>
      <c r="P29" s="64">
        <v>0.24</v>
      </c>
      <c r="Q29" s="64">
        <v>9.3000000000000007</v>
      </c>
      <c r="R29" s="198"/>
      <c r="S29" s="198"/>
      <c r="T29" s="198"/>
      <c r="U29" s="198"/>
    </row>
    <row r="30" spans="1:21" s="12" customFormat="1" x14ac:dyDescent="0.25">
      <c r="A30" s="213" t="s">
        <v>1993</v>
      </c>
      <c r="B30" s="64">
        <v>9.42</v>
      </c>
      <c r="C30" s="64">
        <v>16.07</v>
      </c>
      <c r="D30" s="64">
        <v>15.95</v>
      </c>
      <c r="E30" s="64">
        <v>5.36</v>
      </c>
      <c r="F30" s="64">
        <v>6.43</v>
      </c>
      <c r="G30" s="64">
        <v>44.48</v>
      </c>
      <c r="H30" s="64">
        <v>14.79</v>
      </c>
      <c r="I30" s="64">
        <v>1.76</v>
      </c>
      <c r="J30" s="64">
        <v>0.06</v>
      </c>
      <c r="K30" s="64">
        <v>246.94</v>
      </c>
      <c r="L30" s="64">
        <v>24.85</v>
      </c>
      <c r="M30" s="64">
        <v>98.67</v>
      </c>
      <c r="N30" s="64">
        <v>43.5</v>
      </c>
      <c r="O30" s="64">
        <v>0</v>
      </c>
      <c r="P30" s="64">
        <v>0.28999999999999998</v>
      </c>
      <c r="Q30" s="64">
        <v>9.2799999999999994</v>
      </c>
      <c r="R30" s="198"/>
      <c r="S30" s="198"/>
      <c r="T30" s="198"/>
      <c r="U30" s="198"/>
    </row>
    <row r="31" spans="1:21" s="12" customFormat="1" x14ac:dyDescent="0.25">
      <c r="A31" s="213" t="s">
        <v>1994</v>
      </c>
      <c r="B31" s="64">
        <v>8.42</v>
      </c>
      <c r="C31" s="64">
        <v>12.68</v>
      </c>
      <c r="D31" s="64">
        <v>13.38</v>
      </c>
      <c r="E31" s="64">
        <v>5.57</v>
      </c>
      <c r="F31" s="64">
        <v>9.17</v>
      </c>
      <c r="G31" s="64">
        <v>43.99</v>
      </c>
      <c r="H31" s="64">
        <v>12.28</v>
      </c>
      <c r="I31" s="64">
        <v>1.8</v>
      </c>
      <c r="J31" s="64">
        <v>0.05</v>
      </c>
      <c r="K31" s="64">
        <v>249.8</v>
      </c>
      <c r="L31" s="64">
        <v>24.82</v>
      </c>
      <c r="M31" s="64">
        <v>98.7</v>
      </c>
      <c r="N31" s="64">
        <v>49.2</v>
      </c>
      <c r="O31" s="64">
        <v>0</v>
      </c>
      <c r="P31" s="64">
        <v>0.26</v>
      </c>
      <c r="Q31" s="64">
        <v>9.27</v>
      </c>
      <c r="R31" s="198"/>
      <c r="S31" s="198"/>
      <c r="T31" s="198"/>
      <c r="U31" s="198"/>
    </row>
    <row r="32" spans="1:21" s="12" customFormat="1" x14ac:dyDescent="0.25">
      <c r="A32" s="213" t="s">
        <v>1995</v>
      </c>
      <c r="B32" s="64">
        <v>6.02</v>
      </c>
      <c r="C32" s="64">
        <v>12.26</v>
      </c>
      <c r="D32" s="64">
        <v>11.23</v>
      </c>
      <c r="E32" s="64">
        <v>5.62</v>
      </c>
      <c r="F32" s="64">
        <v>8.92</v>
      </c>
      <c r="G32" s="64">
        <v>43.99</v>
      </c>
      <c r="H32" s="64">
        <v>12.28</v>
      </c>
      <c r="I32" s="64">
        <v>1.65</v>
      </c>
      <c r="J32" s="64">
        <v>0.08</v>
      </c>
      <c r="K32" s="64">
        <v>207.45</v>
      </c>
      <c r="L32" s="64">
        <v>24.86</v>
      </c>
      <c r="M32" s="64">
        <v>98.7</v>
      </c>
      <c r="N32" s="64">
        <v>62.1</v>
      </c>
      <c r="O32" s="64">
        <v>0</v>
      </c>
      <c r="P32" s="64">
        <v>0.22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3" t="s">
        <v>1996</v>
      </c>
      <c r="B33" s="64">
        <v>8.6</v>
      </c>
      <c r="C33" s="64">
        <v>11.12</v>
      </c>
      <c r="D33" s="64">
        <v>12.71</v>
      </c>
      <c r="E33" s="64">
        <v>5.44</v>
      </c>
      <c r="F33" s="64">
        <v>7.56</v>
      </c>
      <c r="G33" s="64">
        <v>43.99</v>
      </c>
      <c r="H33" s="64">
        <v>12.28</v>
      </c>
      <c r="I33" s="64">
        <v>1.54</v>
      </c>
      <c r="J33" s="64">
        <v>0.1</v>
      </c>
      <c r="K33" s="64">
        <v>154.93</v>
      </c>
      <c r="L33" s="64">
        <v>25.04</v>
      </c>
      <c r="M33" s="64">
        <v>98.71</v>
      </c>
      <c r="N33" s="64">
        <v>81.599999999999994</v>
      </c>
      <c r="O33" s="64">
        <v>0</v>
      </c>
      <c r="P33" s="64">
        <v>0.27</v>
      </c>
      <c r="Q33" s="64">
        <v>9.2200000000000006</v>
      </c>
      <c r="R33" s="198"/>
      <c r="S33" s="198"/>
      <c r="T33" s="198"/>
      <c r="U33" s="198"/>
    </row>
    <row r="34" spans="1:21" s="12" customFormat="1" x14ac:dyDescent="0.25">
      <c r="A34" s="213" t="s">
        <v>1997</v>
      </c>
      <c r="B34" s="64">
        <v>11.18</v>
      </c>
      <c r="C34" s="64">
        <v>13.93</v>
      </c>
      <c r="D34" s="64">
        <v>16.239999999999998</v>
      </c>
      <c r="E34" s="64">
        <v>5.3</v>
      </c>
      <c r="F34" s="64">
        <v>6.61</v>
      </c>
      <c r="G34" s="64">
        <v>42.99</v>
      </c>
      <c r="H34" s="64">
        <v>11.97</v>
      </c>
      <c r="I34" s="64">
        <v>1.5</v>
      </c>
      <c r="J34" s="64">
        <v>0.08</v>
      </c>
      <c r="K34" s="64">
        <v>266.12</v>
      </c>
      <c r="L34" s="64">
        <v>25.35</v>
      </c>
      <c r="M34" s="64">
        <v>98.71</v>
      </c>
      <c r="N34" s="64">
        <v>91.1</v>
      </c>
      <c r="O34" s="64">
        <v>0</v>
      </c>
      <c r="P34" s="64">
        <v>0.28999999999999998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3" t="s">
        <v>1998</v>
      </c>
      <c r="B35" s="64">
        <v>12.29</v>
      </c>
      <c r="C35" s="64">
        <v>11</v>
      </c>
      <c r="D35" s="64">
        <v>15.61</v>
      </c>
      <c r="E35" s="64">
        <v>5.27</v>
      </c>
      <c r="F35" s="64">
        <v>6.2</v>
      </c>
      <c r="G35" s="64">
        <v>40.54</v>
      </c>
      <c r="H35" s="64">
        <v>11.2</v>
      </c>
      <c r="I35" s="64">
        <v>1.47</v>
      </c>
      <c r="J35" s="64">
        <v>0.06</v>
      </c>
      <c r="K35" s="64">
        <v>301.58</v>
      </c>
      <c r="L35" s="64">
        <v>25.51</v>
      </c>
      <c r="M35" s="64">
        <v>98.69</v>
      </c>
      <c r="N35" s="64">
        <v>119</v>
      </c>
      <c r="O35" s="64">
        <v>0</v>
      </c>
      <c r="P35" s="64">
        <v>0.33</v>
      </c>
      <c r="Q35" s="64">
        <v>9.2200000000000006</v>
      </c>
      <c r="R35" s="198"/>
      <c r="S35" s="198"/>
      <c r="T35" s="198"/>
      <c r="U35" s="198"/>
    </row>
    <row r="36" spans="1:21" s="12" customFormat="1" x14ac:dyDescent="0.25">
      <c r="A36" s="213" t="s">
        <v>1999</v>
      </c>
      <c r="B36" s="64">
        <v>12</v>
      </c>
      <c r="C36" s="64">
        <v>11.44</v>
      </c>
      <c r="D36" s="64">
        <v>15.6</v>
      </c>
      <c r="E36" s="64">
        <v>5.27</v>
      </c>
      <c r="F36" s="64">
        <v>6.74</v>
      </c>
      <c r="G36" s="64">
        <v>40.54</v>
      </c>
      <c r="H36" s="64">
        <v>11.2</v>
      </c>
      <c r="I36" s="64">
        <v>1.45</v>
      </c>
      <c r="J36" s="64">
        <v>0.08</v>
      </c>
      <c r="K36" s="64">
        <v>257.52</v>
      </c>
      <c r="L36" s="64">
        <v>25.61</v>
      </c>
      <c r="M36" s="64">
        <v>98.68</v>
      </c>
      <c r="N36" s="64">
        <v>116.7</v>
      </c>
      <c r="O36" s="64">
        <v>0</v>
      </c>
      <c r="P36" s="64">
        <v>0.31</v>
      </c>
      <c r="Q36" s="64">
        <v>9.2100000000000009</v>
      </c>
      <c r="R36" s="198"/>
      <c r="S36" s="198"/>
      <c r="T36" s="198"/>
      <c r="U36" s="198"/>
    </row>
    <row r="37" spans="1:21" s="12" customFormat="1" x14ac:dyDescent="0.25">
      <c r="A37" s="213" t="s">
        <v>2000</v>
      </c>
      <c r="B37" s="64">
        <v>13.65</v>
      </c>
      <c r="C37" s="64">
        <v>13.21</v>
      </c>
      <c r="D37" s="64">
        <v>17.850000000000001</v>
      </c>
      <c r="E37" s="64">
        <v>5.14</v>
      </c>
      <c r="F37" s="64">
        <v>9.19</v>
      </c>
      <c r="G37" s="64">
        <v>40.54</v>
      </c>
      <c r="H37" s="64">
        <v>11.2</v>
      </c>
      <c r="I37" s="64">
        <v>1.43</v>
      </c>
      <c r="J37" s="64">
        <v>0.09</v>
      </c>
      <c r="K37" s="64">
        <v>261.83999999999997</v>
      </c>
      <c r="L37" s="64">
        <v>26.27</v>
      </c>
      <c r="M37" s="64">
        <v>98.67</v>
      </c>
      <c r="N37" s="64">
        <v>219.1</v>
      </c>
      <c r="O37" s="64">
        <v>0</v>
      </c>
      <c r="P37" s="64">
        <v>0.37</v>
      </c>
      <c r="Q37" s="64">
        <v>9.1999999999999993</v>
      </c>
      <c r="R37" s="198"/>
      <c r="S37" s="198"/>
      <c r="T37" s="198"/>
      <c r="U37" s="198"/>
    </row>
    <row r="38" spans="1:21" s="12" customFormat="1" x14ac:dyDescent="0.25">
      <c r="A38" s="213" t="s">
        <v>2001</v>
      </c>
      <c r="B38" s="64">
        <v>11.27</v>
      </c>
      <c r="C38" s="64">
        <v>12.71</v>
      </c>
      <c r="D38" s="64">
        <v>15.68</v>
      </c>
      <c r="E38" s="64">
        <v>5.2</v>
      </c>
      <c r="F38" s="64">
        <v>8.5500000000000007</v>
      </c>
      <c r="G38" s="64">
        <v>43.2</v>
      </c>
      <c r="H38" s="64">
        <v>12.54</v>
      </c>
      <c r="I38" s="64">
        <v>1.52</v>
      </c>
      <c r="J38" s="64">
        <v>0.06</v>
      </c>
      <c r="K38" s="64">
        <v>257.91000000000003</v>
      </c>
      <c r="L38" s="64">
        <v>27.04</v>
      </c>
      <c r="M38" s="64">
        <v>98.62</v>
      </c>
      <c r="N38" s="64">
        <v>241</v>
      </c>
      <c r="O38" s="64">
        <v>0</v>
      </c>
      <c r="P38" s="64">
        <v>0.37</v>
      </c>
      <c r="Q38" s="64">
        <v>9.1999999999999993</v>
      </c>
      <c r="R38" s="198"/>
      <c r="S38" s="198"/>
      <c r="T38" s="198"/>
      <c r="U38" s="198"/>
    </row>
    <row r="39" spans="1:21" s="12" customFormat="1" x14ac:dyDescent="0.25">
      <c r="A39" s="213" t="s">
        <v>2002</v>
      </c>
      <c r="B39" s="64">
        <v>11.88</v>
      </c>
      <c r="C39" s="64">
        <v>10.64</v>
      </c>
      <c r="D39" s="64">
        <v>15.09</v>
      </c>
      <c r="E39" s="64">
        <v>5.17</v>
      </c>
      <c r="F39" s="64">
        <v>5.41</v>
      </c>
      <c r="G39" s="64">
        <v>49.75</v>
      </c>
      <c r="H39" s="64">
        <v>15.83</v>
      </c>
      <c r="I39" s="64">
        <v>1.49</v>
      </c>
      <c r="J39" s="64">
        <v>7.0000000000000007E-2</v>
      </c>
      <c r="K39" s="64">
        <v>240.23</v>
      </c>
      <c r="L39" s="64">
        <v>27.51</v>
      </c>
      <c r="M39" s="64">
        <v>97.61</v>
      </c>
      <c r="N39" s="64">
        <v>348.4</v>
      </c>
      <c r="O39" s="64">
        <v>0</v>
      </c>
      <c r="P39" s="64">
        <v>0.37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3" t="s">
        <v>2003</v>
      </c>
      <c r="B40" s="64">
        <v>8.8000000000000007</v>
      </c>
      <c r="C40" s="64">
        <v>11.85</v>
      </c>
      <c r="D40" s="64">
        <v>13.25</v>
      </c>
      <c r="E40" s="64">
        <v>4.47</v>
      </c>
      <c r="F40" s="64">
        <v>13.85</v>
      </c>
      <c r="G40" s="64">
        <v>49.75</v>
      </c>
      <c r="H40" s="64">
        <v>15.83</v>
      </c>
      <c r="I40" s="64">
        <v>1.51</v>
      </c>
      <c r="J40" s="64">
        <v>0.36</v>
      </c>
      <c r="K40" s="64">
        <v>152.19</v>
      </c>
      <c r="L40" s="64">
        <v>27.9</v>
      </c>
      <c r="M40" s="64">
        <v>97.08</v>
      </c>
      <c r="N40" s="64">
        <v>426.4</v>
      </c>
      <c r="O40" s="64">
        <v>0</v>
      </c>
      <c r="P40" s="64">
        <v>0.31</v>
      </c>
      <c r="Q40" s="64">
        <v>9.2100000000000009</v>
      </c>
      <c r="R40" s="198"/>
      <c r="S40" s="198"/>
      <c r="T40" s="198"/>
      <c r="U40" s="198"/>
    </row>
    <row r="41" spans="1:21" s="12" customFormat="1" x14ac:dyDescent="0.25">
      <c r="A41" s="213" t="s">
        <v>2004</v>
      </c>
      <c r="B41" s="64">
        <v>12.65</v>
      </c>
      <c r="C41" s="64">
        <v>12.5</v>
      </c>
      <c r="D41" s="64">
        <v>16.68</v>
      </c>
      <c r="E41" s="64">
        <v>4.96</v>
      </c>
      <c r="F41" s="64">
        <v>13.16</v>
      </c>
      <c r="G41" s="64">
        <v>49.75</v>
      </c>
      <c r="H41" s="64">
        <v>15.83</v>
      </c>
      <c r="I41" s="64">
        <v>1.57</v>
      </c>
      <c r="J41" s="64">
        <v>0.26</v>
      </c>
      <c r="K41" s="64">
        <v>321.24</v>
      </c>
      <c r="L41" s="64">
        <v>29.46</v>
      </c>
      <c r="M41" s="64">
        <v>90.21</v>
      </c>
      <c r="N41" s="64">
        <v>493.5</v>
      </c>
      <c r="O41" s="64">
        <v>0</v>
      </c>
      <c r="P41" s="64">
        <v>0.35</v>
      </c>
      <c r="Q41" s="64">
        <v>9.2200000000000006</v>
      </c>
      <c r="R41" s="198"/>
      <c r="S41" s="198"/>
      <c r="T41" s="198"/>
      <c r="U41" s="198"/>
    </row>
    <row r="42" spans="1:21" s="12" customFormat="1" x14ac:dyDescent="0.25">
      <c r="A42" s="213" t="s">
        <v>2005</v>
      </c>
      <c r="B42" s="64">
        <v>10.65</v>
      </c>
      <c r="C42" s="64">
        <v>12.16</v>
      </c>
      <c r="D42" s="64">
        <v>14.89</v>
      </c>
      <c r="E42" s="64">
        <v>4.68</v>
      </c>
      <c r="F42" s="64">
        <v>14.59</v>
      </c>
      <c r="G42" s="64">
        <v>50.72</v>
      </c>
      <c r="H42" s="64">
        <v>15.95</v>
      </c>
      <c r="I42" s="64">
        <v>1.57</v>
      </c>
      <c r="J42" s="64">
        <v>0.24</v>
      </c>
      <c r="K42" s="64">
        <v>339.37</v>
      </c>
      <c r="L42" s="64">
        <v>31.96</v>
      </c>
      <c r="M42" s="64">
        <v>76.02</v>
      </c>
      <c r="N42" s="64">
        <v>621.4</v>
      </c>
      <c r="O42" s="64">
        <v>0</v>
      </c>
      <c r="P42" s="64">
        <v>0.34</v>
      </c>
      <c r="Q42" s="64">
        <v>9.23</v>
      </c>
      <c r="R42" s="198"/>
      <c r="S42" s="198"/>
      <c r="T42" s="198"/>
      <c r="U42" s="198"/>
    </row>
    <row r="43" spans="1:21" s="12" customFormat="1" x14ac:dyDescent="0.25">
      <c r="A43" s="213" t="s">
        <v>2006</v>
      </c>
      <c r="B43" s="64">
        <v>13.89</v>
      </c>
      <c r="C43" s="64">
        <v>13.52</v>
      </c>
      <c r="D43" s="64">
        <v>18.2</v>
      </c>
      <c r="E43" s="64">
        <v>4.74</v>
      </c>
      <c r="F43" s="64">
        <v>11.3</v>
      </c>
      <c r="G43" s="64">
        <v>53.1</v>
      </c>
      <c r="H43" s="64">
        <v>16.25</v>
      </c>
      <c r="I43" s="64">
        <v>1.56</v>
      </c>
      <c r="J43" s="64">
        <v>0.06</v>
      </c>
      <c r="K43" s="64">
        <v>251.78</v>
      </c>
      <c r="L43" s="64">
        <v>29.97</v>
      </c>
      <c r="M43" s="64">
        <v>87</v>
      </c>
      <c r="N43" s="64">
        <v>269.8</v>
      </c>
      <c r="O43" s="64">
        <v>0</v>
      </c>
      <c r="P43" s="64">
        <v>0.34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3" t="s">
        <v>2007</v>
      </c>
      <c r="B44" s="64">
        <v>13.88</v>
      </c>
      <c r="C44" s="64">
        <v>15.03</v>
      </c>
      <c r="D44" s="64">
        <v>18.98</v>
      </c>
      <c r="E44" s="64">
        <v>4.8</v>
      </c>
      <c r="F44" s="64">
        <v>10.55</v>
      </c>
      <c r="G44" s="64">
        <v>53.1</v>
      </c>
      <c r="H44" s="64">
        <v>16.25</v>
      </c>
      <c r="I44" s="64">
        <v>1.56</v>
      </c>
      <c r="J44" s="64">
        <v>0.2</v>
      </c>
      <c r="K44" s="64">
        <v>280.10000000000002</v>
      </c>
      <c r="L44" s="64">
        <v>28.91</v>
      </c>
      <c r="M44" s="64">
        <v>92.1</v>
      </c>
      <c r="N44" s="64">
        <v>259.10000000000002</v>
      </c>
      <c r="O44" s="64">
        <v>0</v>
      </c>
      <c r="P44" s="64">
        <v>0.39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3" t="s">
        <v>2008</v>
      </c>
      <c r="B45" s="64">
        <v>14.89</v>
      </c>
      <c r="C45" s="64">
        <v>14.27</v>
      </c>
      <c r="D45" s="64">
        <v>19.399999999999999</v>
      </c>
      <c r="E45" s="64">
        <v>4.87</v>
      </c>
      <c r="F45" s="64">
        <v>10.5</v>
      </c>
      <c r="G45" s="64">
        <v>53.1</v>
      </c>
      <c r="H45" s="64">
        <v>16.25</v>
      </c>
      <c r="I45" s="64">
        <v>1.55</v>
      </c>
      <c r="J45" s="64">
        <v>0.19</v>
      </c>
      <c r="K45" s="64">
        <v>285.41000000000003</v>
      </c>
      <c r="L45" s="64">
        <v>29.62</v>
      </c>
      <c r="M45" s="64">
        <v>86.76</v>
      </c>
      <c r="N45" s="64">
        <v>273.5</v>
      </c>
      <c r="O45" s="64">
        <v>0</v>
      </c>
      <c r="P45" s="64">
        <v>0.39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3" t="s">
        <v>2009</v>
      </c>
      <c r="B46" s="64">
        <v>13.51</v>
      </c>
      <c r="C46" s="64">
        <v>16.510000000000002</v>
      </c>
      <c r="D46" s="64">
        <v>19.46</v>
      </c>
      <c r="E46" s="64">
        <v>4.8499999999999996</v>
      </c>
      <c r="F46" s="64">
        <v>10.49</v>
      </c>
      <c r="G46" s="64">
        <v>54.54</v>
      </c>
      <c r="H46" s="64">
        <v>17.21</v>
      </c>
      <c r="I46" s="64">
        <v>1.54</v>
      </c>
      <c r="J46" s="64">
        <v>0.24</v>
      </c>
      <c r="K46" s="64">
        <v>291.2</v>
      </c>
      <c r="L46" s="64">
        <v>29.97</v>
      </c>
      <c r="M46" s="64">
        <v>85.07</v>
      </c>
      <c r="N46" s="64">
        <v>278.7</v>
      </c>
      <c r="O46" s="64">
        <v>0</v>
      </c>
      <c r="P46" s="64">
        <v>0.42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13" t="s">
        <v>2010</v>
      </c>
      <c r="B47" s="64">
        <v>11.31</v>
      </c>
      <c r="C47" s="64">
        <v>13.91</v>
      </c>
      <c r="D47" s="64">
        <v>16.34</v>
      </c>
      <c r="E47" s="64">
        <v>4.97</v>
      </c>
      <c r="F47" s="64">
        <v>9.15</v>
      </c>
      <c r="G47" s="64">
        <v>58.08</v>
      </c>
      <c r="H47" s="64">
        <v>19.57</v>
      </c>
      <c r="I47" s="64">
        <v>1.54</v>
      </c>
      <c r="J47" s="64">
        <v>0.17</v>
      </c>
      <c r="K47" s="64">
        <v>290.33</v>
      </c>
      <c r="L47" s="64">
        <v>29.4</v>
      </c>
      <c r="M47" s="64">
        <v>87.65</v>
      </c>
      <c r="N47" s="64">
        <v>324.60000000000002</v>
      </c>
      <c r="O47" s="64">
        <v>0</v>
      </c>
      <c r="P47" s="64">
        <v>0.38</v>
      </c>
      <c r="Q47" s="64">
        <v>9.23</v>
      </c>
      <c r="R47" s="198"/>
      <c r="S47" s="198"/>
      <c r="T47" s="198"/>
      <c r="U47" s="198"/>
    </row>
    <row r="48" spans="1:21" s="12" customFormat="1" x14ac:dyDescent="0.25">
      <c r="A48" s="213" t="s">
        <v>2011</v>
      </c>
      <c r="B48" s="64">
        <v>12.93</v>
      </c>
      <c r="C48" s="64">
        <v>13.28</v>
      </c>
      <c r="D48" s="64">
        <v>17.3</v>
      </c>
      <c r="E48" s="64">
        <v>4.99</v>
      </c>
      <c r="F48" s="64">
        <v>4.41</v>
      </c>
      <c r="G48" s="64">
        <v>58.08</v>
      </c>
      <c r="H48" s="64">
        <v>19.57</v>
      </c>
      <c r="I48" s="64">
        <v>1.54</v>
      </c>
      <c r="J48" s="64">
        <v>0.22</v>
      </c>
      <c r="K48" s="64">
        <v>271.18</v>
      </c>
      <c r="L48" s="64">
        <v>30.15</v>
      </c>
      <c r="M48" s="64">
        <v>84.11</v>
      </c>
      <c r="N48" s="64">
        <v>361.8</v>
      </c>
      <c r="O48" s="64">
        <v>0</v>
      </c>
      <c r="P48" s="64">
        <v>0.44</v>
      </c>
      <c r="Q48" s="64">
        <v>9.2200000000000006</v>
      </c>
      <c r="R48" s="198"/>
      <c r="S48" s="198"/>
      <c r="T48" s="198"/>
      <c r="U48" s="198"/>
    </row>
    <row r="49" spans="1:21" s="12" customFormat="1" x14ac:dyDescent="0.25">
      <c r="A49" s="213" t="s">
        <v>2012</v>
      </c>
      <c r="B49" s="64">
        <v>12.31</v>
      </c>
      <c r="C49" s="64">
        <v>12.91</v>
      </c>
      <c r="D49" s="64">
        <v>16.62</v>
      </c>
      <c r="E49" s="64">
        <v>5.13</v>
      </c>
      <c r="F49" s="64">
        <v>7.05</v>
      </c>
      <c r="G49" s="64">
        <v>58.08</v>
      </c>
      <c r="H49" s="64">
        <v>19.57</v>
      </c>
      <c r="I49" s="64">
        <v>1.54</v>
      </c>
      <c r="J49" s="64">
        <v>0.17</v>
      </c>
      <c r="K49" s="64">
        <v>285.7</v>
      </c>
      <c r="L49" s="64">
        <v>29.73</v>
      </c>
      <c r="M49" s="64">
        <v>86.64</v>
      </c>
      <c r="N49" s="64">
        <v>361.5</v>
      </c>
      <c r="O49" s="64">
        <v>0</v>
      </c>
      <c r="P49" s="64">
        <v>0.47</v>
      </c>
      <c r="Q49" s="64">
        <v>9.2100000000000009</v>
      </c>
      <c r="R49" s="198"/>
      <c r="S49" s="198"/>
      <c r="T49" s="198"/>
      <c r="U49" s="198"/>
    </row>
    <row r="50" spans="1:21" s="12" customFormat="1" x14ac:dyDescent="0.25">
      <c r="A50" s="213" t="s">
        <v>2013</v>
      </c>
      <c r="B50" s="64">
        <v>10.89</v>
      </c>
      <c r="C50" s="64">
        <v>12.95</v>
      </c>
      <c r="D50" s="64">
        <v>15.5</v>
      </c>
      <c r="E50" s="64">
        <v>4.49</v>
      </c>
      <c r="F50" s="64">
        <v>8.58</v>
      </c>
      <c r="G50" s="64">
        <v>60.4</v>
      </c>
      <c r="H50" s="64">
        <v>19.899999999999999</v>
      </c>
      <c r="I50" s="64">
        <v>1.49</v>
      </c>
      <c r="J50" s="64">
        <v>7.0000000000000007E-2</v>
      </c>
      <c r="K50" s="64">
        <v>249.11</v>
      </c>
      <c r="L50" s="64">
        <v>30.08</v>
      </c>
      <c r="M50" s="64">
        <v>82.53</v>
      </c>
      <c r="N50" s="64">
        <v>398</v>
      </c>
      <c r="O50" s="64">
        <v>0</v>
      </c>
      <c r="P50" s="64">
        <v>0.46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3" t="s">
        <v>2014</v>
      </c>
      <c r="B51" s="64">
        <v>9.11</v>
      </c>
      <c r="C51" s="64">
        <v>14.32</v>
      </c>
      <c r="D51" s="64">
        <v>14.79</v>
      </c>
      <c r="E51" s="64">
        <v>4.8099999999999996</v>
      </c>
      <c r="F51" s="64">
        <v>9.83</v>
      </c>
      <c r="G51" s="64">
        <v>66.12</v>
      </c>
      <c r="H51" s="64">
        <v>20.71</v>
      </c>
      <c r="I51" s="64">
        <v>1.59</v>
      </c>
      <c r="J51" s="64">
        <v>0.14000000000000001</v>
      </c>
      <c r="K51" s="64">
        <v>241.97</v>
      </c>
      <c r="L51" s="64">
        <v>29.46</v>
      </c>
      <c r="M51" s="64">
        <v>84.86</v>
      </c>
      <c r="N51" s="64">
        <v>540.1</v>
      </c>
      <c r="O51" s="64">
        <v>0</v>
      </c>
      <c r="P51" s="64">
        <v>0.45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13" t="s">
        <v>2015</v>
      </c>
      <c r="B52" s="64">
        <v>8.83</v>
      </c>
      <c r="C52" s="64">
        <v>16.04</v>
      </c>
      <c r="D52" s="64">
        <v>15.46</v>
      </c>
      <c r="E52" s="64">
        <v>4.8600000000000003</v>
      </c>
      <c r="F52" s="64">
        <v>12.67</v>
      </c>
      <c r="G52" s="64">
        <v>66.12</v>
      </c>
      <c r="H52" s="64">
        <v>20.71</v>
      </c>
      <c r="I52" s="64">
        <v>1.73</v>
      </c>
      <c r="J52" s="64">
        <v>0.14000000000000001</v>
      </c>
      <c r="K52" s="64">
        <v>188.55</v>
      </c>
      <c r="L52" s="64">
        <v>30.68</v>
      </c>
      <c r="M52" s="64">
        <v>78.67</v>
      </c>
      <c r="N52" s="64">
        <v>945.5</v>
      </c>
      <c r="O52" s="64">
        <v>0</v>
      </c>
      <c r="P52" s="64">
        <v>0.45</v>
      </c>
      <c r="Q52" s="64">
        <v>9.1199999999999992</v>
      </c>
      <c r="R52" s="198"/>
      <c r="S52" s="198"/>
      <c r="T52" s="198"/>
      <c r="U52" s="198"/>
    </row>
    <row r="53" spans="1:21" s="12" customFormat="1" x14ac:dyDescent="0.25">
      <c r="A53" s="213" t="s">
        <v>2016</v>
      </c>
      <c r="B53" s="64">
        <v>10.74</v>
      </c>
      <c r="C53" s="64">
        <v>16.41</v>
      </c>
      <c r="D53" s="64">
        <v>17.190000000000001</v>
      </c>
      <c r="E53" s="64">
        <v>4.54</v>
      </c>
      <c r="F53" s="64">
        <v>9.8800000000000008</v>
      </c>
      <c r="G53" s="64">
        <v>66.12</v>
      </c>
      <c r="H53" s="64">
        <v>20.71</v>
      </c>
      <c r="I53" s="64">
        <v>1.65</v>
      </c>
      <c r="J53" s="64">
        <v>0.31</v>
      </c>
      <c r="K53" s="64">
        <v>315.81</v>
      </c>
      <c r="L53" s="64">
        <v>31.67</v>
      </c>
      <c r="M53" s="64">
        <v>75.22</v>
      </c>
      <c r="N53" s="64">
        <v>965.8</v>
      </c>
      <c r="O53" s="64">
        <v>0</v>
      </c>
      <c r="P53" s="64">
        <v>0.46</v>
      </c>
      <c r="Q53" s="64">
        <v>9.1</v>
      </c>
      <c r="R53" s="198"/>
      <c r="S53" s="198"/>
      <c r="T53" s="198"/>
      <c r="U53" s="198"/>
    </row>
    <row r="54" spans="1:21" s="12" customFormat="1" x14ac:dyDescent="0.25">
      <c r="A54" s="213" t="s">
        <v>2017</v>
      </c>
      <c r="B54" s="64">
        <v>10.43</v>
      </c>
      <c r="C54" s="64">
        <v>16.7</v>
      </c>
      <c r="D54" s="64">
        <v>17.09</v>
      </c>
      <c r="E54" s="64">
        <v>4.6900000000000004</v>
      </c>
      <c r="F54" s="64">
        <v>6.82</v>
      </c>
      <c r="G54" s="64">
        <v>67.75</v>
      </c>
      <c r="H54" s="64">
        <v>21.56</v>
      </c>
      <c r="I54" s="64">
        <v>1.6</v>
      </c>
      <c r="J54" s="64">
        <v>0.33</v>
      </c>
      <c r="K54" s="64">
        <v>315.36</v>
      </c>
      <c r="L54" s="64">
        <v>33.1</v>
      </c>
      <c r="M54" s="64">
        <v>70.599999999999994</v>
      </c>
      <c r="N54" s="64">
        <v>890.7</v>
      </c>
      <c r="O54" s="64">
        <v>0</v>
      </c>
      <c r="P54" s="64">
        <v>0.5</v>
      </c>
      <c r="Q54" s="64">
        <v>9.09</v>
      </c>
      <c r="R54" s="198"/>
      <c r="S54" s="198"/>
      <c r="T54" s="198"/>
      <c r="U54" s="198"/>
    </row>
    <row r="55" spans="1:21" s="12" customFormat="1" x14ac:dyDescent="0.25">
      <c r="A55" s="213" t="s">
        <v>2018</v>
      </c>
      <c r="B55" s="64">
        <v>8</v>
      </c>
      <c r="C55" s="64">
        <v>16.23</v>
      </c>
      <c r="D55" s="64">
        <v>14.9</v>
      </c>
      <c r="E55" s="64">
        <v>4.4000000000000004</v>
      </c>
      <c r="F55" s="64">
        <v>9.76</v>
      </c>
      <c r="G55" s="64">
        <v>71.739999999999995</v>
      </c>
      <c r="H55" s="64">
        <v>23.67</v>
      </c>
      <c r="I55" s="64">
        <v>1.72</v>
      </c>
      <c r="J55" s="64">
        <v>0.15</v>
      </c>
      <c r="K55" s="64">
        <v>307.19</v>
      </c>
      <c r="L55" s="64">
        <v>33.340000000000003</v>
      </c>
      <c r="M55" s="64">
        <v>67</v>
      </c>
      <c r="N55" s="64">
        <v>821.1</v>
      </c>
      <c r="O55" s="64">
        <v>0</v>
      </c>
      <c r="P55" s="64">
        <v>0.51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13" t="s">
        <v>2019</v>
      </c>
      <c r="B56" s="64">
        <v>7.28</v>
      </c>
      <c r="C56" s="64">
        <v>17.940000000000001</v>
      </c>
      <c r="D56" s="64">
        <v>15.21</v>
      </c>
      <c r="E56" s="64">
        <v>4.6900000000000004</v>
      </c>
      <c r="F56" s="64">
        <v>10.71</v>
      </c>
      <c r="G56" s="64">
        <v>71.739999999999995</v>
      </c>
      <c r="H56" s="64">
        <v>23.67</v>
      </c>
      <c r="I56" s="64">
        <v>1.85</v>
      </c>
      <c r="J56" s="64">
        <v>0.32</v>
      </c>
      <c r="K56" s="64">
        <v>174.55</v>
      </c>
      <c r="L56" s="64">
        <v>31.82</v>
      </c>
      <c r="M56" s="64">
        <v>71.47</v>
      </c>
      <c r="N56" s="64">
        <v>652.29999999999995</v>
      </c>
      <c r="O56" s="64">
        <v>0</v>
      </c>
      <c r="P56" s="64">
        <v>0.5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3" t="s">
        <v>2020</v>
      </c>
      <c r="B57" s="64">
        <v>6.6</v>
      </c>
      <c r="C57" s="64">
        <v>17.149999999999999</v>
      </c>
      <c r="D57" s="64">
        <v>14.25</v>
      </c>
      <c r="E57" s="64">
        <v>4.88</v>
      </c>
      <c r="F57" s="64">
        <v>15.54</v>
      </c>
      <c r="G57" s="64">
        <v>71.739999999999995</v>
      </c>
      <c r="H57" s="64">
        <v>23.67</v>
      </c>
      <c r="I57" s="64">
        <v>1.88</v>
      </c>
      <c r="J57" s="64">
        <v>0.28000000000000003</v>
      </c>
      <c r="K57" s="64">
        <v>173.22</v>
      </c>
      <c r="L57" s="64">
        <v>30.92</v>
      </c>
      <c r="M57" s="64">
        <v>76.38</v>
      </c>
      <c r="N57" s="64">
        <v>875.2</v>
      </c>
      <c r="O57" s="64">
        <v>0</v>
      </c>
      <c r="P57" s="64">
        <v>0.48</v>
      </c>
      <c r="Q57" s="64">
        <v>9.0500000000000007</v>
      </c>
      <c r="R57" s="198"/>
      <c r="S57" s="198"/>
      <c r="T57" s="198"/>
      <c r="U57" s="198"/>
    </row>
    <row r="58" spans="1:21" s="12" customFormat="1" x14ac:dyDescent="0.25">
      <c r="A58" s="213" t="s">
        <v>2021</v>
      </c>
      <c r="B58" s="64">
        <v>5.92</v>
      </c>
      <c r="C58" s="64">
        <v>18.309999999999999</v>
      </c>
      <c r="D58" s="64">
        <v>14.31</v>
      </c>
      <c r="E58" s="64">
        <v>5.18</v>
      </c>
      <c r="F58" s="64">
        <v>12.29</v>
      </c>
      <c r="G58" s="64">
        <v>70.510000000000005</v>
      </c>
      <c r="H58" s="64">
        <v>24.05</v>
      </c>
      <c r="I58" s="64">
        <v>1.89</v>
      </c>
      <c r="J58" s="64">
        <v>0.27</v>
      </c>
      <c r="K58" s="64">
        <v>189.74</v>
      </c>
      <c r="L58" s="64">
        <v>31.32</v>
      </c>
      <c r="M58" s="64">
        <v>74.040000000000006</v>
      </c>
      <c r="N58" s="64">
        <v>904.8</v>
      </c>
      <c r="O58" s="64">
        <v>0</v>
      </c>
      <c r="P58" s="64">
        <v>0.5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3" t="s">
        <v>2022</v>
      </c>
      <c r="B59" s="64">
        <v>5.05</v>
      </c>
      <c r="C59" s="64">
        <v>18.239999999999998</v>
      </c>
      <c r="D59" s="64">
        <v>13.58</v>
      </c>
      <c r="E59" s="64">
        <v>4.74</v>
      </c>
      <c r="F59" s="64">
        <v>13.79</v>
      </c>
      <c r="G59" s="64">
        <v>67.489999999999995</v>
      </c>
      <c r="H59" s="64">
        <v>25</v>
      </c>
      <c r="I59" s="64">
        <v>1.89</v>
      </c>
      <c r="J59" s="64">
        <v>0.08</v>
      </c>
      <c r="K59" s="64">
        <v>246.81</v>
      </c>
      <c r="L59" s="64">
        <v>32.18</v>
      </c>
      <c r="M59" s="64">
        <v>68.739999999999995</v>
      </c>
      <c r="N59" s="64">
        <v>727.4</v>
      </c>
      <c r="O59" s="64">
        <v>0</v>
      </c>
      <c r="P59" s="64">
        <v>0.51</v>
      </c>
      <c r="Q59" s="64">
        <v>9.0399999999999991</v>
      </c>
      <c r="R59" s="198"/>
      <c r="S59" s="198"/>
      <c r="T59" s="198"/>
      <c r="U59" s="198"/>
    </row>
    <row r="60" spans="1:21" s="12" customFormat="1" x14ac:dyDescent="0.25">
      <c r="A60" s="213" t="s">
        <v>2023</v>
      </c>
      <c r="B60" s="64">
        <v>5.39</v>
      </c>
      <c r="C60" s="64">
        <v>18.690000000000001</v>
      </c>
      <c r="D60" s="64">
        <v>14.09</v>
      </c>
      <c r="E60" s="64">
        <v>4.95</v>
      </c>
      <c r="F60" s="64">
        <v>7.49</v>
      </c>
      <c r="G60" s="64">
        <v>67.489999999999995</v>
      </c>
      <c r="H60" s="64">
        <v>25</v>
      </c>
      <c r="I60" s="64">
        <v>1.9</v>
      </c>
      <c r="J60" s="64">
        <v>0.28999999999999998</v>
      </c>
      <c r="K60" s="64">
        <v>289.01</v>
      </c>
      <c r="L60" s="64">
        <v>32.07</v>
      </c>
      <c r="M60" s="64">
        <v>70.510000000000005</v>
      </c>
      <c r="N60" s="64">
        <v>531.6</v>
      </c>
      <c r="O60" s="64">
        <v>0</v>
      </c>
      <c r="P60" s="64">
        <v>0.52</v>
      </c>
      <c r="Q60" s="64">
        <v>9.0299999999999994</v>
      </c>
      <c r="R60" s="198"/>
      <c r="S60" s="198"/>
      <c r="T60" s="198"/>
      <c r="U60" s="198"/>
    </row>
    <row r="61" spans="1:21" s="12" customFormat="1" x14ac:dyDescent="0.25">
      <c r="A61" s="213" t="s">
        <v>2024</v>
      </c>
      <c r="B61" s="64">
        <v>4.2300000000000004</v>
      </c>
      <c r="C61" s="64">
        <v>18.23</v>
      </c>
      <c r="D61" s="64">
        <v>12.92</v>
      </c>
      <c r="E61" s="64">
        <v>4.88</v>
      </c>
      <c r="F61" s="64">
        <v>8.07</v>
      </c>
      <c r="G61" s="64">
        <v>67.489999999999995</v>
      </c>
      <c r="H61" s="64">
        <v>25</v>
      </c>
      <c r="I61" s="64">
        <v>1.92</v>
      </c>
      <c r="J61" s="64">
        <v>0.38</v>
      </c>
      <c r="K61" s="64">
        <v>293.23</v>
      </c>
      <c r="L61" s="64">
        <v>32.71</v>
      </c>
      <c r="M61" s="64">
        <v>69.14</v>
      </c>
      <c r="N61" s="64">
        <v>417.1</v>
      </c>
      <c r="O61" s="64">
        <v>0</v>
      </c>
      <c r="P61" s="64">
        <v>0.46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3" t="s">
        <v>2025</v>
      </c>
      <c r="B62" s="64">
        <v>4.03</v>
      </c>
      <c r="C62" s="64">
        <v>18.329999999999998</v>
      </c>
      <c r="D62" s="64">
        <v>12.81</v>
      </c>
      <c r="E62" s="64">
        <v>4.58</v>
      </c>
      <c r="F62" s="64">
        <v>10.41</v>
      </c>
      <c r="G62" s="64">
        <v>69.739999999999995</v>
      </c>
      <c r="H62" s="64">
        <v>26.61</v>
      </c>
      <c r="I62" s="64">
        <v>1.98</v>
      </c>
      <c r="J62" s="64">
        <v>0.48</v>
      </c>
      <c r="K62" s="64">
        <v>296.58</v>
      </c>
      <c r="L62" s="64">
        <v>33.1</v>
      </c>
      <c r="M62" s="64">
        <v>66.069999999999993</v>
      </c>
      <c r="N62" s="64">
        <v>335.1</v>
      </c>
      <c r="O62" s="64">
        <v>0</v>
      </c>
      <c r="P62" s="64">
        <v>0.49</v>
      </c>
      <c r="Q62" s="64">
        <v>9.0299999999999994</v>
      </c>
      <c r="R62" s="198"/>
      <c r="S62" s="198"/>
      <c r="T62" s="198"/>
      <c r="U62" s="198"/>
    </row>
    <row r="63" spans="1:21" s="12" customFormat="1" x14ac:dyDescent="0.25">
      <c r="A63" s="213" t="s">
        <v>2026</v>
      </c>
      <c r="B63" s="64">
        <v>4.26</v>
      </c>
      <c r="C63" s="64">
        <v>17.399999999999999</v>
      </c>
      <c r="D63" s="64">
        <v>12.51</v>
      </c>
      <c r="E63" s="64">
        <v>5.44</v>
      </c>
      <c r="F63" s="64">
        <v>10.96</v>
      </c>
      <c r="G63" s="64">
        <v>75.28</v>
      </c>
      <c r="H63" s="64">
        <v>30.56</v>
      </c>
      <c r="I63" s="64">
        <v>2.04</v>
      </c>
      <c r="J63" s="64">
        <v>0.3</v>
      </c>
      <c r="K63" s="64">
        <v>290.69</v>
      </c>
      <c r="L63" s="64">
        <v>32.19</v>
      </c>
      <c r="M63" s="64">
        <v>67.19</v>
      </c>
      <c r="N63" s="64">
        <v>271.39999999999998</v>
      </c>
      <c r="O63" s="64">
        <v>0</v>
      </c>
      <c r="P63" s="64">
        <v>0.51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13" t="s">
        <v>2027</v>
      </c>
      <c r="B64" s="64">
        <v>5.44</v>
      </c>
      <c r="C64" s="64">
        <v>25.95</v>
      </c>
      <c r="D64" s="64">
        <v>17.93</v>
      </c>
      <c r="E64" s="64">
        <v>5.92</v>
      </c>
      <c r="F64" s="64">
        <v>16.57</v>
      </c>
      <c r="G64" s="64">
        <v>75.28</v>
      </c>
      <c r="H64" s="64">
        <v>30.56</v>
      </c>
      <c r="I64" s="64">
        <v>2.1</v>
      </c>
      <c r="J64" s="64">
        <v>0.31</v>
      </c>
      <c r="K64" s="64">
        <v>311.08999999999997</v>
      </c>
      <c r="L64" s="64">
        <v>31.56</v>
      </c>
      <c r="M64" s="64">
        <v>70.05</v>
      </c>
      <c r="N64" s="64">
        <v>139.4</v>
      </c>
      <c r="O64" s="64">
        <v>0</v>
      </c>
      <c r="P64" s="64">
        <v>0.71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3" t="s">
        <v>2028</v>
      </c>
      <c r="B65" s="64">
        <v>6.33</v>
      </c>
      <c r="C65" s="64">
        <v>23.69</v>
      </c>
      <c r="D65" s="64">
        <v>17.45</v>
      </c>
      <c r="E65" s="64">
        <v>6</v>
      </c>
      <c r="F65" s="64">
        <v>13.57</v>
      </c>
      <c r="G65" s="64">
        <v>75.28</v>
      </c>
      <c r="H65" s="64">
        <v>30.56</v>
      </c>
      <c r="I65" s="64">
        <v>2.16</v>
      </c>
      <c r="J65" s="64">
        <v>1.24</v>
      </c>
      <c r="K65" s="64">
        <v>335.43</v>
      </c>
      <c r="L65" s="64">
        <v>30.83</v>
      </c>
      <c r="M65" s="64">
        <v>76.13</v>
      </c>
      <c r="N65" s="64">
        <v>105.5</v>
      </c>
      <c r="O65" s="64">
        <v>0</v>
      </c>
      <c r="P65" s="64">
        <v>0.65</v>
      </c>
      <c r="Q65" s="64">
        <v>9.0299999999999994</v>
      </c>
      <c r="R65" s="198"/>
      <c r="S65" s="198"/>
      <c r="T65" s="198"/>
      <c r="U65" s="198"/>
    </row>
    <row r="66" spans="1:21" s="12" customFormat="1" x14ac:dyDescent="0.25">
      <c r="A66" s="213" t="s">
        <v>2029</v>
      </c>
      <c r="B66" s="64">
        <v>12.93</v>
      </c>
      <c r="C66" s="64">
        <v>21.92</v>
      </c>
      <c r="D66" s="64">
        <v>21.77</v>
      </c>
      <c r="E66" s="64">
        <v>5.42</v>
      </c>
      <c r="F66" s="64">
        <v>19.27</v>
      </c>
      <c r="G66" s="64">
        <v>77.790000000000006</v>
      </c>
      <c r="H66" s="64">
        <v>28.91</v>
      </c>
      <c r="I66" s="64">
        <v>2.27</v>
      </c>
      <c r="J66" s="64">
        <v>1.2</v>
      </c>
      <c r="K66" s="64">
        <v>339.02</v>
      </c>
      <c r="L66" s="64">
        <v>28.81</v>
      </c>
      <c r="M66" s="64">
        <v>94.52</v>
      </c>
      <c r="N66" s="64">
        <v>103.9</v>
      </c>
      <c r="O66" s="64">
        <v>0.2</v>
      </c>
      <c r="P66" s="64">
        <v>0.54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3" t="s">
        <v>2030</v>
      </c>
      <c r="B67" s="64">
        <v>10.76</v>
      </c>
      <c r="C67" s="64">
        <v>29.1</v>
      </c>
      <c r="D67" s="64">
        <v>23.83</v>
      </c>
      <c r="E67" s="64">
        <v>4.99</v>
      </c>
      <c r="F67" s="64">
        <v>17.98</v>
      </c>
      <c r="G67" s="64">
        <v>83.97</v>
      </c>
      <c r="H67" s="64">
        <v>24.85</v>
      </c>
      <c r="I67" s="64">
        <v>2.35</v>
      </c>
      <c r="J67" s="64">
        <v>0.75</v>
      </c>
      <c r="K67" s="64">
        <v>339.26</v>
      </c>
      <c r="L67" s="64">
        <v>27.62</v>
      </c>
      <c r="M67" s="64">
        <v>98.67</v>
      </c>
      <c r="N67" s="64">
        <v>101.8</v>
      </c>
      <c r="O67" s="64">
        <v>0.6</v>
      </c>
      <c r="P67" s="64">
        <v>0.55000000000000004</v>
      </c>
      <c r="Q67" s="64">
        <v>9.0500000000000007</v>
      </c>
      <c r="R67" s="198"/>
      <c r="S67" s="198"/>
      <c r="T67" s="198"/>
      <c r="U67" s="198"/>
    </row>
    <row r="68" spans="1:21" s="12" customFormat="1" x14ac:dyDescent="0.25">
      <c r="A68" s="213" t="s">
        <v>2031</v>
      </c>
      <c r="B68" s="64">
        <v>8.39</v>
      </c>
      <c r="C68" s="64">
        <v>19.760000000000002</v>
      </c>
      <c r="D68" s="64">
        <v>17.05</v>
      </c>
      <c r="E68" s="64">
        <v>5.0999999999999996</v>
      </c>
      <c r="F68" s="64">
        <v>11.54</v>
      </c>
      <c r="G68" s="64">
        <v>83.97</v>
      </c>
      <c r="H68" s="64">
        <v>24.85</v>
      </c>
      <c r="I68" s="64">
        <v>2.35</v>
      </c>
      <c r="J68" s="64">
        <v>1.1299999999999999</v>
      </c>
      <c r="K68" s="64">
        <v>340.83</v>
      </c>
      <c r="L68" s="64">
        <v>26.93</v>
      </c>
      <c r="M68" s="64">
        <v>98.7</v>
      </c>
      <c r="N68" s="64">
        <v>115.6</v>
      </c>
      <c r="O68" s="64">
        <v>0.2</v>
      </c>
      <c r="P68" s="64">
        <v>0.54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3" t="s">
        <v>2032</v>
      </c>
      <c r="B69" s="64">
        <v>9.92</v>
      </c>
      <c r="C69" s="64">
        <v>20.16</v>
      </c>
      <c r="D69" s="64">
        <v>18.489999999999998</v>
      </c>
      <c r="E69" s="64">
        <v>5.0599999999999996</v>
      </c>
      <c r="F69" s="64">
        <v>11.11</v>
      </c>
      <c r="G69" s="64">
        <v>83.97</v>
      </c>
      <c r="H69" s="64">
        <v>24.85</v>
      </c>
      <c r="I69" s="64">
        <v>2.34</v>
      </c>
      <c r="J69" s="64">
        <v>1.05</v>
      </c>
      <c r="K69" s="64">
        <v>337.14</v>
      </c>
      <c r="L69" s="64">
        <v>26.67</v>
      </c>
      <c r="M69" s="64">
        <v>98.71</v>
      </c>
      <c r="N69" s="64">
        <v>130.19999999999999</v>
      </c>
      <c r="O69" s="64">
        <v>0</v>
      </c>
      <c r="P69" s="64">
        <v>0.57999999999999996</v>
      </c>
      <c r="Q69" s="64">
        <v>9.08</v>
      </c>
      <c r="R69" s="198"/>
      <c r="S69" s="198"/>
      <c r="T69" s="198"/>
      <c r="U69" s="198"/>
    </row>
    <row r="70" spans="1:21" s="12" customFormat="1" x14ac:dyDescent="0.25">
      <c r="A70" s="213" t="s">
        <v>2033</v>
      </c>
      <c r="B70" s="64">
        <v>9.52</v>
      </c>
      <c r="C70" s="64">
        <v>20.75</v>
      </c>
      <c r="D70" s="64">
        <v>18.47</v>
      </c>
      <c r="E70" s="64">
        <v>5.15</v>
      </c>
      <c r="F70" s="64">
        <v>10.71</v>
      </c>
      <c r="G70" s="64">
        <v>78.930000000000007</v>
      </c>
      <c r="H70" s="64">
        <v>25</v>
      </c>
      <c r="I70" s="64">
        <v>2.33</v>
      </c>
      <c r="J70" s="64">
        <v>0.78</v>
      </c>
      <c r="K70" s="64">
        <v>338.03</v>
      </c>
      <c r="L70" s="64">
        <v>26.82</v>
      </c>
      <c r="M70" s="64">
        <v>98.71</v>
      </c>
      <c r="N70" s="64">
        <v>147.4</v>
      </c>
      <c r="O70" s="64">
        <v>0</v>
      </c>
      <c r="P70" s="64">
        <v>0.61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3" t="s">
        <v>2034</v>
      </c>
      <c r="B71" s="64">
        <v>9.8800000000000008</v>
      </c>
      <c r="C71" s="64">
        <v>18.82</v>
      </c>
      <c r="D71" s="64">
        <v>17.760000000000002</v>
      </c>
      <c r="E71" s="64">
        <v>5.16</v>
      </c>
      <c r="F71" s="64">
        <v>5.87</v>
      </c>
      <c r="G71" s="64">
        <v>66.510000000000005</v>
      </c>
      <c r="H71" s="64">
        <v>25.37</v>
      </c>
      <c r="I71" s="64">
        <v>2.3199999999999998</v>
      </c>
      <c r="J71" s="64">
        <v>0.98</v>
      </c>
      <c r="K71" s="64">
        <v>336.06</v>
      </c>
      <c r="L71" s="64">
        <v>26.93</v>
      </c>
      <c r="M71" s="64">
        <v>98.67</v>
      </c>
      <c r="N71" s="64">
        <v>173.6</v>
      </c>
      <c r="O71" s="64">
        <v>0</v>
      </c>
      <c r="P71" s="64">
        <v>0.64</v>
      </c>
      <c r="Q71" s="64">
        <v>9.09</v>
      </c>
      <c r="R71" s="198"/>
      <c r="S71" s="198"/>
      <c r="T71" s="198"/>
      <c r="U71" s="198"/>
    </row>
    <row r="72" spans="1:21" s="12" customFormat="1" x14ac:dyDescent="0.25">
      <c r="A72" s="213" t="s">
        <v>2035</v>
      </c>
      <c r="B72" s="64">
        <v>9.9600000000000009</v>
      </c>
      <c r="C72" s="64">
        <v>19.329999999999998</v>
      </c>
      <c r="D72" s="64">
        <v>18.09</v>
      </c>
      <c r="E72" s="64">
        <v>4.4000000000000004</v>
      </c>
      <c r="F72" s="64">
        <v>4.63</v>
      </c>
      <c r="G72" s="64">
        <v>66.510000000000005</v>
      </c>
      <c r="H72" s="64">
        <v>25.37</v>
      </c>
      <c r="I72" s="64">
        <v>2.33</v>
      </c>
      <c r="J72" s="64">
        <v>0.85</v>
      </c>
      <c r="K72" s="64">
        <v>338.79</v>
      </c>
      <c r="L72" s="64">
        <v>27.01</v>
      </c>
      <c r="M72" s="64">
        <v>98.37</v>
      </c>
      <c r="N72" s="64">
        <v>115.7</v>
      </c>
      <c r="O72" s="64">
        <v>0</v>
      </c>
      <c r="P72" s="64">
        <v>0.64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3" t="s">
        <v>2036</v>
      </c>
      <c r="B73" s="64">
        <v>15.21</v>
      </c>
      <c r="C73" s="64">
        <v>21.16</v>
      </c>
      <c r="D73" s="64">
        <v>23.25</v>
      </c>
      <c r="E73" s="64">
        <v>5.03</v>
      </c>
      <c r="F73" s="64">
        <v>5.57</v>
      </c>
      <c r="G73" s="64">
        <v>66.510000000000005</v>
      </c>
      <c r="H73" s="64">
        <v>25.37</v>
      </c>
      <c r="I73" s="64">
        <v>2.2400000000000002</v>
      </c>
      <c r="J73" s="64">
        <v>0.7</v>
      </c>
      <c r="K73" s="64">
        <v>338.09</v>
      </c>
      <c r="L73" s="64">
        <v>26.96</v>
      </c>
      <c r="M73" s="64">
        <v>98.63</v>
      </c>
      <c r="N73" s="64">
        <v>98.7</v>
      </c>
      <c r="O73" s="64">
        <v>0</v>
      </c>
      <c r="P73" s="64">
        <v>0.69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3" t="s">
        <v>2037</v>
      </c>
      <c r="B74" s="64">
        <v>13.14</v>
      </c>
      <c r="C74" s="64">
        <v>17.96</v>
      </c>
      <c r="D74" s="64">
        <v>19.920000000000002</v>
      </c>
      <c r="E74" s="64">
        <v>4.57</v>
      </c>
      <c r="F74" s="64">
        <v>5.34</v>
      </c>
      <c r="G74" s="64">
        <v>74.849999999999994</v>
      </c>
      <c r="H74" s="64">
        <v>25.96</v>
      </c>
      <c r="I74" s="64">
        <v>2.1800000000000002</v>
      </c>
      <c r="J74" s="64">
        <v>0.51</v>
      </c>
      <c r="K74" s="64">
        <v>339.08</v>
      </c>
      <c r="L74" s="64">
        <v>27.15</v>
      </c>
      <c r="M74" s="64">
        <v>98.6</v>
      </c>
      <c r="N74" s="64">
        <v>114.3</v>
      </c>
      <c r="O74" s="64">
        <v>0</v>
      </c>
      <c r="P74" s="64">
        <v>0.69</v>
      </c>
      <c r="Q74" s="64">
        <v>9.2100000000000009</v>
      </c>
      <c r="R74" s="198"/>
      <c r="S74" s="198"/>
      <c r="T74" s="198"/>
      <c r="U74" s="198"/>
    </row>
    <row r="75" spans="1:21" s="12" customFormat="1" x14ac:dyDescent="0.25">
      <c r="A75" s="213" t="s">
        <v>2038</v>
      </c>
      <c r="B75" s="64">
        <v>22.49</v>
      </c>
      <c r="C75" s="64">
        <v>24.47</v>
      </c>
      <c r="D75" s="64">
        <v>30.82</v>
      </c>
      <c r="E75" s="64">
        <v>4.59</v>
      </c>
      <c r="F75" s="64">
        <v>4.5</v>
      </c>
      <c r="G75" s="64">
        <v>95.4</v>
      </c>
      <c r="H75" s="64">
        <v>27.41</v>
      </c>
      <c r="I75" s="64">
        <v>2.21</v>
      </c>
      <c r="J75" s="64">
        <v>0.33</v>
      </c>
      <c r="K75" s="64">
        <v>337.72</v>
      </c>
      <c r="L75" s="64">
        <v>27.39</v>
      </c>
      <c r="M75" s="64">
        <v>98.59</v>
      </c>
      <c r="N75" s="64">
        <v>112.9</v>
      </c>
      <c r="O75" s="64">
        <v>0</v>
      </c>
      <c r="P75" s="64">
        <v>0.91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13" t="s">
        <v>2039</v>
      </c>
      <c r="B76" s="64">
        <v>33.67</v>
      </c>
      <c r="C76" s="64">
        <v>30.11</v>
      </c>
      <c r="D76" s="64">
        <v>42.73</v>
      </c>
      <c r="E76" s="64">
        <v>5</v>
      </c>
      <c r="F76" s="64">
        <v>6.26</v>
      </c>
      <c r="G76" s="64">
        <v>95.4</v>
      </c>
      <c r="H76" s="64">
        <v>27.41</v>
      </c>
      <c r="I76" s="64">
        <v>2.2599999999999998</v>
      </c>
      <c r="J76" s="64">
        <v>0.14000000000000001</v>
      </c>
      <c r="K76" s="64">
        <v>331.96</v>
      </c>
      <c r="L76" s="64">
        <v>27.5</v>
      </c>
      <c r="M76" s="64">
        <v>98.57</v>
      </c>
      <c r="N76" s="64">
        <v>90</v>
      </c>
      <c r="O76" s="64">
        <v>0</v>
      </c>
      <c r="P76" s="64">
        <v>1.2</v>
      </c>
      <c r="Q76" s="64">
        <v>9.33</v>
      </c>
      <c r="R76" s="198"/>
      <c r="S76" s="198"/>
      <c r="T76" s="198"/>
      <c r="U76" s="198"/>
    </row>
    <row r="77" spans="1:21" s="12" customFormat="1" x14ac:dyDescent="0.25">
      <c r="A77" s="213" t="s">
        <v>2040</v>
      </c>
      <c r="B77" s="64">
        <v>25.65</v>
      </c>
      <c r="C77" s="64">
        <v>38.03</v>
      </c>
      <c r="D77" s="64">
        <v>40.44</v>
      </c>
      <c r="E77" s="64">
        <v>5.38</v>
      </c>
      <c r="F77" s="64">
        <v>6.97</v>
      </c>
      <c r="G77" s="64">
        <v>95.4</v>
      </c>
      <c r="H77" s="64">
        <v>27.41</v>
      </c>
      <c r="I77" s="64">
        <v>2.34</v>
      </c>
      <c r="J77" s="64">
        <v>7.0000000000000007E-2</v>
      </c>
      <c r="K77" s="64">
        <v>31.55</v>
      </c>
      <c r="L77" s="64">
        <v>27.21</v>
      </c>
      <c r="M77" s="64">
        <v>98.58</v>
      </c>
      <c r="N77" s="64">
        <v>77.3</v>
      </c>
      <c r="O77" s="64">
        <v>0</v>
      </c>
      <c r="P77" s="64">
        <v>1.06</v>
      </c>
      <c r="Q77" s="64">
        <v>9.3800000000000008</v>
      </c>
      <c r="R77" s="198"/>
      <c r="S77" s="198"/>
      <c r="T77" s="198"/>
      <c r="U77" s="198"/>
    </row>
    <row r="78" spans="1:21" s="12" customFormat="1" x14ac:dyDescent="0.25">
      <c r="A78" s="213" t="s">
        <v>2041</v>
      </c>
      <c r="B78" s="64">
        <v>12.84</v>
      </c>
      <c r="C78" s="64">
        <v>43.91</v>
      </c>
      <c r="D78" s="64">
        <v>33.24</v>
      </c>
      <c r="E78" s="64">
        <v>4.5999999999999996</v>
      </c>
      <c r="F78" s="64">
        <v>7.39</v>
      </c>
      <c r="G78" s="64">
        <v>103.02</v>
      </c>
      <c r="H78" s="64">
        <v>28.67</v>
      </c>
      <c r="I78" s="64">
        <v>2.44</v>
      </c>
      <c r="J78" s="64">
        <v>0.03</v>
      </c>
      <c r="K78" s="64">
        <v>72.2</v>
      </c>
      <c r="L78" s="64">
        <v>27.26</v>
      </c>
      <c r="M78" s="64">
        <v>98.54</v>
      </c>
      <c r="N78" s="64">
        <v>67.2</v>
      </c>
      <c r="O78" s="64">
        <v>0</v>
      </c>
      <c r="P78" s="64">
        <v>0.82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3" t="s">
        <v>2042</v>
      </c>
      <c r="B79" s="64">
        <v>34.08</v>
      </c>
      <c r="C79" s="64">
        <v>43.48</v>
      </c>
      <c r="D79" s="64">
        <v>50.05</v>
      </c>
      <c r="E79" s="64">
        <v>4.8</v>
      </c>
      <c r="F79" s="64">
        <v>6.78</v>
      </c>
      <c r="G79" s="64">
        <v>121.79</v>
      </c>
      <c r="H79" s="64">
        <v>31.77</v>
      </c>
      <c r="I79" s="64">
        <v>2.5099999999999998</v>
      </c>
      <c r="J79" s="64">
        <v>0.06</v>
      </c>
      <c r="K79" s="64">
        <v>38.15</v>
      </c>
      <c r="L79" s="64">
        <v>27.18</v>
      </c>
      <c r="M79" s="64">
        <v>98.55</v>
      </c>
      <c r="N79" s="64">
        <v>62.2</v>
      </c>
      <c r="O79" s="64">
        <v>0</v>
      </c>
      <c r="P79" s="64">
        <v>1.29</v>
      </c>
      <c r="Q79" s="64">
        <v>9.43</v>
      </c>
      <c r="R79" s="198"/>
      <c r="S79" s="198"/>
      <c r="T79" s="198"/>
      <c r="U79" s="198"/>
    </row>
    <row r="80" spans="1:21" s="12" customFormat="1" x14ac:dyDescent="0.25">
      <c r="A80" s="213" t="s">
        <v>2043</v>
      </c>
      <c r="B80" s="64">
        <v>29.9</v>
      </c>
      <c r="C80" s="64">
        <v>47.87</v>
      </c>
      <c r="D80" s="64">
        <v>48.99</v>
      </c>
      <c r="E80" s="64">
        <v>4.8600000000000003</v>
      </c>
      <c r="F80" s="64">
        <v>6.23</v>
      </c>
      <c r="G80" s="64">
        <v>121.79</v>
      </c>
      <c r="H80" s="64">
        <v>31.77</v>
      </c>
      <c r="I80" s="64">
        <v>2.54</v>
      </c>
      <c r="J80" s="64">
        <v>0.1</v>
      </c>
      <c r="K80" s="64">
        <v>321.43</v>
      </c>
      <c r="L80" s="64">
        <v>27.14</v>
      </c>
      <c r="M80" s="64">
        <v>98.55</v>
      </c>
      <c r="N80" s="64">
        <v>55.5</v>
      </c>
      <c r="O80" s="64">
        <v>0</v>
      </c>
      <c r="P80" s="64">
        <v>1.1599999999999999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3" t="s">
        <v>2044</v>
      </c>
      <c r="B81" s="64">
        <v>34.31</v>
      </c>
      <c r="C81" s="64">
        <v>37.729999999999997</v>
      </c>
      <c r="D81" s="64">
        <v>47.22</v>
      </c>
      <c r="E81" s="64">
        <v>4.93</v>
      </c>
      <c r="F81" s="64">
        <v>6.25</v>
      </c>
      <c r="G81" s="64">
        <v>121.79</v>
      </c>
      <c r="H81" s="64">
        <v>31.77</v>
      </c>
      <c r="I81" s="64">
        <v>2.59</v>
      </c>
      <c r="J81" s="64">
        <v>0.4</v>
      </c>
      <c r="K81" s="64">
        <v>341.53</v>
      </c>
      <c r="L81" s="64">
        <v>27.27</v>
      </c>
      <c r="M81" s="64">
        <v>98.58</v>
      </c>
      <c r="N81" s="64">
        <v>54.3</v>
      </c>
      <c r="O81" s="64">
        <v>0</v>
      </c>
      <c r="P81" s="64">
        <v>1.5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3" t="s">
        <v>2045</v>
      </c>
      <c r="B82" s="64">
        <v>45.18</v>
      </c>
      <c r="C82" s="64">
        <v>33.93</v>
      </c>
      <c r="D82" s="64">
        <v>53.96</v>
      </c>
      <c r="E82" s="64">
        <v>4.8499999999999996</v>
      </c>
      <c r="F82" s="64">
        <v>6.08</v>
      </c>
      <c r="G82" s="64">
        <v>124.31</v>
      </c>
      <c r="H82" s="64">
        <v>34.4</v>
      </c>
      <c r="I82" s="64">
        <v>2.74</v>
      </c>
      <c r="J82" s="64">
        <v>0.49</v>
      </c>
      <c r="K82" s="64">
        <v>346.02</v>
      </c>
      <c r="L82" s="64">
        <v>27.3</v>
      </c>
      <c r="M82" s="64">
        <v>98.58</v>
      </c>
      <c r="N82" s="64">
        <v>52.3</v>
      </c>
      <c r="O82" s="64">
        <v>0</v>
      </c>
      <c r="P82" s="64">
        <v>1.66</v>
      </c>
      <c r="Q82" s="64">
        <v>9.5299999999999994</v>
      </c>
      <c r="R82" s="198"/>
      <c r="S82" s="198"/>
      <c r="T82" s="198"/>
      <c r="U82" s="198"/>
    </row>
    <row r="83" spans="1:26" s="12" customFormat="1" x14ac:dyDescent="0.25">
      <c r="A83" s="213" t="s">
        <v>2046</v>
      </c>
      <c r="B83" s="64">
        <v>14.62</v>
      </c>
      <c r="C83" s="64">
        <v>36.11</v>
      </c>
      <c r="D83" s="64">
        <v>30.59</v>
      </c>
      <c r="E83" s="64">
        <v>4.7699999999999996</v>
      </c>
      <c r="F83" s="64">
        <v>7.47</v>
      </c>
      <c r="G83" s="64">
        <v>130.49</v>
      </c>
      <c r="H83" s="64">
        <v>40.869999999999997</v>
      </c>
      <c r="I83" s="64">
        <v>2.88</v>
      </c>
      <c r="J83" s="64">
        <v>0.05</v>
      </c>
      <c r="K83" s="64">
        <v>272.38</v>
      </c>
      <c r="L83" s="64">
        <v>27.16</v>
      </c>
      <c r="M83" s="64">
        <v>98.56</v>
      </c>
      <c r="N83" s="64">
        <v>45.7</v>
      </c>
      <c r="O83" s="64">
        <v>0</v>
      </c>
      <c r="P83" s="64">
        <v>0.92</v>
      </c>
      <c r="Q83" s="64">
        <v>9.5299999999999994</v>
      </c>
      <c r="R83" s="198"/>
      <c r="S83" s="198"/>
      <c r="T83" s="198"/>
      <c r="U83" s="198"/>
    </row>
    <row r="84" spans="1:26" s="12" customFormat="1" x14ac:dyDescent="0.25">
      <c r="A84" s="213" t="s">
        <v>2047</v>
      </c>
      <c r="B84" s="64">
        <v>10.94</v>
      </c>
      <c r="C84" s="64">
        <v>38.25</v>
      </c>
      <c r="D84" s="64">
        <v>28.76</v>
      </c>
      <c r="E84" s="64">
        <v>4.74</v>
      </c>
      <c r="F84" s="64">
        <v>7.25</v>
      </c>
      <c r="G84" s="64">
        <v>130.49</v>
      </c>
      <c r="H84" s="64">
        <v>40.869999999999997</v>
      </c>
      <c r="I84" s="64">
        <v>2.97</v>
      </c>
      <c r="J84" s="64">
        <v>0.04</v>
      </c>
      <c r="K84" s="64">
        <v>279.14999999999998</v>
      </c>
      <c r="L84" s="64">
        <v>26.94</v>
      </c>
      <c r="M84" s="64">
        <v>98.55</v>
      </c>
      <c r="N84" s="64">
        <v>43.5</v>
      </c>
      <c r="O84" s="64">
        <v>0</v>
      </c>
      <c r="P84" s="64">
        <v>0.99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3" t="s">
        <v>2048</v>
      </c>
      <c r="B85" s="64">
        <v>28.98</v>
      </c>
      <c r="C85" s="64">
        <v>38.69</v>
      </c>
      <c r="D85" s="64">
        <v>43.45</v>
      </c>
      <c r="E85" s="64">
        <v>4.75</v>
      </c>
      <c r="F85" s="64">
        <v>6.12</v>
      </c>
      <c r="G85" s="64">
        <v>130.49</v>
      </c>
      <c r="H85" s="64">
        <v>40.869999999999997</v>
      </c>
      <c r="I85" s="64">
        <v>3</v>
      </c>
      <c r="J85" s="64">
        <v>7.0000000000000007E-2</v>
      </c>
      <c r="K85" s="64">
        <v>294.89</v>
      </c>
      <c r="L85" s="64">
        <v>26.85</v>
      </c>
      <c r="M85" s="64">
        <v>98.56</v>
      </c>
      <c r="N85" s="64">
        <v>43.3</v>
      </c>
      <c r="O85" s="64">
        <v>0</v>
      </c>
      <c r="P85" s="64">
        <v>1.0900000000000001</v>
      </c>
      <c r="Q85" s="64">
        <v>9.5399999999999991</v>
      </c>
      <c r="R85" s="198"/>
      <c r="S85" s="198"/>
      <c r="T85" s="198"/>
      <c r="U85" s="198"/>
    </row>
    <row r="86" spans="1:26" s="12" customFormat="1" x14ac:dyDescent="0.25">
      <c r="A86" s="213" t="s">
        <v>2049</v>
      </c>
      <c r="B86" s="64">
        <v>16.43</v>
      </c>
      <c r="C86" s="64">
        <v>34.770000000000003</v>
      </c>
      <c r="D86" s="64">
        <v>31.34</v>
      </c>
      <c r="E86" s="64">
        <v>4.93</v>
      </c>
      <c r="F86" s="64">
        <v>5.84</v>
      </c>
      <c r="G86" s="64">
        <v>128.99</v>
      </c>
      <c r="H86" s="64">
        <v>40.31</v>
      </c>
      <c r="I86" s="64">
        <v>3.04</v>
      </c>
      <c r="J86" s="64">
        <v>0.11</v>
      </c>
      <c r="K86" s="64">
        <v>209.67</v>
      </c>
      <c r="L86" s="64">
        <v>26.94</v>
      </c>
      <c r="M86" s="64">
        <v>98.6</v>
      </c>
      <c r="N86" s="64">
        <v>43</v>
      </c>
      <c r="O86" s="64">
        <v>0</v>
      </c>
      <c r="P86" s="64">
        <v>1</v>
      </c>
      <c r="Q86" s="64">
        <v>9.57</v>
      </c>
      <c r="R86" s="198"/>
      <c r="S86" s="198"/>
      <c r="T86" s="198"/>
      <c r="U86" s="198"/>
    </row>
    <row r="87" spans="1:26" s="12" customFormat="1" x14ac:dyDescent="0.25">
      <c r="A87" s="213" t="s">
        <v>2050</v>
      </c>
      <c r="B87" s="64">
        <v>14.53</v>
      </c>
      <c r="C87" s="64">
        <v>29.91</v>
      </c>
      <c r="D87" s="64">
        <v>27.28</v>
      </c>
      <c r="E87" s="64">
        <v>4.74</v>
      </c>
      <c r="F87" s="64">
        <v>6.04</v>
      </c>
      <c r="G87" s="64">
        <v>125.29</v>
      </c>
      <c r="H87" s="64">
        <v>38.94</v>
      </c>
      <c r="I87" s="64">
        <v>3.09</v>
      </c>
      <c r="J87" s="64">
        <v>0.08</v>
      </c>
      <c r="K87" s="64">
        <v>218.02</v>
      </c>
      <c r="L87" s="64">
        <v>26.86</v>
      </c>
      <c r="M87" s="64">
        <v>98.6</v>
      </c>
      <c r="N87" s="64">
        <v>43</v>
      </c>
      <c r="O87" s="64">
        <v>0</v>
      </c>
      <c r="P87" s="64">
        <v>0.79</v>
      </c>
      <c r="Q87" s="64">
        <v>9.57</v>
      </c>
      <c r="R87" s="198"/>
      <c r="S87" s="198"/>
      <c r="T87" s="198"/>
      <c r="U87" s="198"/>
    </row>
    <row r="88" spans="1:26" s="12" customFormat="1" x14ac:dyDescent="0.25">
      <c r="A88" s="213" t="s">
        <v>2051</v>
      </c>
      <c r="B88" s="64">
        <v>10.37</v>
      </c>
      <c r="C88" s="64">
        <v>26.49</v>
      </c>
      <c r="D88" s="64">
        <v>22.15</v>
      </c>
      <c r="E88" s="64">
        <v>4.75</v>
      </c>
      <c r="F88" s="64">
        <v>7.26</v>
      </c>
      <c r="G88" s="64">
        <v>125.29</v>
      </c>
      <c r="H88" s="64">
        <v>38.94</v>
      </c>
      <c r="I88" s="64">
        <v>3.14</v>
      </c>
      <c r="J88" s="64">
        <v>0.3</v>
      </c>
      <c r="K88" s="64">
        <v>140.36000000000001</v>
      </c>
      <c r="L88" s="64">
        <v>26.8</v>
      </c>
      <c r="M88" s="64">
        <v>98.62</v>
      </c>
      <c r="N88" s="64">
        <v>43</v>
      </c>
      <c r="O88" s="64">
        <v>0</v>
      </c>
      <c r="P88" s="64">
        <v>0.74</v>
      </c>
      <c r="Q88" s="64">
        <v>9.6</v>
      </c>
      <c r="R88" s="198"/>
      <c r="S88" s="198"/>
      <c r="T88" s="198"/>
      <c r="U88" s="198"/>
    </row>
    <row r="89" spans="1:26" s="12" customFormat="1" x14ac:dyDescent="0.25">
      <c r="A89" s="213" t="s">
        <v>2052</v>
      </c>
      <c r="B89" s="64">
        <v>12.82</v>
      </c>
      <c r="C89" s="64">
        <v>32.159999999999997</v>
      </c>
      <c r="D89" s="64">
        <v>27.09</v>
      </c>
      <c r="E89" s="64">
        <v>4.71</v>
      </c>
      <c r="F89" s="64">
        <v>6.86</v>
      </c>
      <c r="G89" s="64">
        <v>125.29</v>
      </c>
      <c r="H89" s="64">
        <v>38.94</v>
      </c>
      <c r="I89" s="64">
        <v>3.16</v>
      </c>
      <c r="J89" s="64">
        <v>0.19</v>
      </c>
      <c r="K89" s="64">
        <v>139.46</v>
      </c>
      <c r="L89" s="64">
        <v>26.81</v>
      </c>
      <c r="M89" s="64">
        <v>98.63</v>
      </c>
      <c r="N89" s="64">
        <v>43.1</v>
      </c>
      <c r="O89" s="64">
        <v>0</v>
      </c>
      <c r="P89" s="64">
        <v>0.79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3" t="s">
        <v>2053</v>
      </c>
      <c r="B90" s="64">
        <v>25.67</v>
      </c>
      <c r="C90" s="64">
        <v>28.06</v>
      </c>
      <c r="D90" s="64">
        <v>35.24</v>
      </c>
      <c r="E90" s="64">
        <v>4.67</v>
      </c>
      <c r="F90" s="64">
        <v>5.69</v>
      </c>
      <c r="G90" s="64">
        <v>123.66</v>
      </c>
      <c r="H90" s="64">
        <v>38.619999999999997</v>
      </c>
      <c r="I90" s="64">
        <v>3.14</v>
      </c>
      <c r="J90" s="64">
        <v>0.35</v>
      </c>
      <c r="K90" s="64">
        <v>152.59</v>
      </c>
      <c r="L90" s="64">
        <v>26.8</v>
      </c>
      <c r="M90" s="64">
        <v>98.64</v>
      </c>
      <c r="N90" s="64">
        <v>42.8</v>
      </c>
      <c r="O90" s="64">
        <v>0</v>
      </c>
      <c r="P90" s="64">
        <v>0.85</v>
      </c>
      <c r="Q90" s="64">
        <v>9.6</v>
      </c>
      <c r="R90" s="198"/>
      <c r="S90" s="198"/>
      <c r="T90" s="198"/>
      <c r="U90" s="198"/>
    </row>
    <row r="91" spans="1:26" s="12" customFormat="1" x14ac:dyDescent="0.25">
      <c r="A91" s="213" t="s">
        <v>2054</v>
      </c>
      <c r="B91" s="64">
        <v>24.51</v>
      </c>
      <c r="C91" s="64">
        <v>24.82</v>
      </c>
      <c r="D91" s="64">
        <v>32.619999999999997</v>
      </c>
      <c r="E91" s="64">
        <v>4.6100000000000003</v>
      </c>
      <c r="F91" s="64">
        <v>6.48</v>
      </c>
      <c r="G91" s="64">
        <v>119.64</v>
      </c>
      <c r="H91" s="64">
        <v>37.83</v>
      </c>
      <c r="I91" s="64">
        <v>3.12</v>
      </c>
      <c r="J91" s="64">
        <v>0.11</v>
      </c>
      <c r="K91" s="64">
        <v>156.35</v>
      </c>
      <c r="L91" s="64">
        <v>26.9</v>
      </c>
      <c r="M91" s="64">
        <v>98.63</v>
      </c>
      <c r="N91" s="64">
        <v>43.1</v>
      </c>
      <c r="O91" s="64">
        <v>0</v>
      </c>
      <c r="P91" s="64">
        <v>0.82</v>
      </c>
      <c r="Q91" s="64">
        <v>9.58</v>
      </c>
      <c r="R91" s="198"/>
      <c r="S91" s="198"/>
      <c r="T91" s="198"/>
      <c r="U91" s="198"/>
    </row>
    <row r="92" spans="1:26" s="12" customFormat="1" x14ac:dyDescent="0.25">
      <c r="A92" s="213" t="s">
        <v>2055</v>
      </c>
      <c r="B92" s="64">
        <v>20.260000000000002</v>
      </c>
      <c r="C92" s="64">
        <v>32.04</v>
      </c>
      <c r="D92" s="64">
        <v>32.979999999999997</v>
      </c>
      <c r="E92" s="64">
        <v>4.7</v>
      </c>
      <c r="F92" s="64">
        <v>6.02</v>
      </c>
      <c r="G92" s="64">
        <v>119.64</v>
      </c>
      <c r="H92" s="64">
        <v>37.83</v>
      </c>
      <c r="I92" s="64">
        <v>3.09</v>
      </c>
      <c r="J92" s="64">
        <v>0.17</v>
      </c>
      <c r="K92" s="64">
        <v>133.44999999999999</v>
      </c>
      <c r="L92" s="64">
        <v>26.92</v>
      </c>
      <c r="M92" s="64">
        <v>98.64</v>
      </c>
      <c r="N92" s="64">
        <v>43.1</v>
      </c>
      <c r="O92" s="64">
        <v>0</v>
      </c>
      <c r="P92" s="64">
        <v>0.77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13" t="s">
        <v>2056</v>
      </c>
      <c r="B93" s="64">
        <v>12.14</v>
      </c>
      <c r="C93" s="64">
        <v>32.200000000000003</v>
      </c>
      <c r="D93" s="64">
        <v>26.56</v>
      </c>
      <c r="E93" s="64">
        <v>4.8099999999999996</v>
      </c>
      <c r="F93" s="64">
        <v>6.75</v>
      </c>
      <c r="G93" s="64">
        <v>119.64</v>
      </c>
      <c r="H93" s="64">
        <v>37.83</v>
      </c>
      <c r="I93" s="64">
        <v>3.03</v>
      </c>
      <c r="J93" s="64">
        <v>0.22</v>
      </c>
      <c r="K93" s="64">
        <v>137.22</v>
      </c>
      <c r="L93" s="64">
        <v>26.92</v>
      </c>
      <c r="M93" s="64">
        <v>98.67</v>
      </c>
      <c r="N93" s="64">
        <v>43.1</v>
      </c>
      <c r="O93" s="64">
        <v>0</v>
      </c>
      <c r="P93" s="64">
        <v>0.62</v>
      </c>
      <c r="Q93" s="64">
        <v>9.61</v>
      </c>
      <c r="R93" s="198"/>
      <c r="S93" s="198"/>
      <c r="T93" s="198"/>
      <c r="U93" s="198"/>
    </row>
    <row r="94" spans="1:26" s="12" customFormat="1" x14ac:dyDescent="0.25">
      <c r="A94" s="213" t="s">
        <v>2057</v>
      </c>
      <c r="B94" s="64">
        <v>37.409999999999997</v>
      </c>
      <c r="C94" s="64">
        <v>28.12</v>
      </c>
      <c r="D94" s="64">
        <v>44.69</v>
      </c>
      <c r="E94" s="64">
        <v>4.47</v>
      </c>
      <c r="F94" s="64">
        <v>6.12</v>
      </c>
      <c r="G94" s="64">
        <v>117.72</v>
      </c>
      <c r="H94" s="64">
        <v>37.950000000000003</v>
      </c>
      <c r="I94" s="64">
        <v>3</v>
      </c>
      <c r="J94" s="64">
        <v>0.15</v>
      </c>
      <c r="K94" s="64">
        <v>128.07</v>
      </c>
      <c r="L94" s="64">
        <v>26.96</v>
      </c>
      <c r="M94" s="64">
        <v>98.66</v>
      </c>
      <c r="N94" s="64">
        <v>43</v>
      </c>
      <c r="O94" s="64">
        <v>0</v>
      </c>
      <c r="P94" s="64">
        <v>0.74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3" t="s">
        <v>2058</v>
      </c>
      <c r="B95" s="64">
        <v>23.44</v>
      </c>
      <c r="C95" s="64">
        <v>29.6</v>
      </c>
      <c r="D95" s="64">
        <v>34.26</v>
      </c>
      <c r="E95" s="64">
        <v>4.3600000000000003</v>
      </c>
      <c r="F95" s="64">
        <v>5.75</v>
      </c>
      <c r="G95" s="64">
        <v>113</v>
      </c>
      <c r="H95" s="64">
        <v>38.26</v>
      </c>
      <c r="I95" s="64">
        <v>2.96</v>
      </c>
      <c r="J95" s="64">
        <v>0.19</v>
      </c>
      <c r="K95" s="64">
        <v>162.75</v>
      </c>
      <c r="L95" s="64">
        <v>26.93</v>
      </c>
      <c r="M95" s="64">
        <v>98.68</v>
      </c>
      <c r="N95" s="64">
        <v>42.7</v>
      </c>
      <c r="O95" s="64">
        <v>0</v>
      </c>
      <c r="P95" s="64">
        <v>0.71</v>
      </c>
      <c r="Q95" s="64">
        <v>9.58</v>
      </c>
      <c r="R95" s="198"/>
      <c r="S95" s="198"/>
      <c r="T95" s="198"/>
      <c r="U95" s="198"/>
    </row>
    <row r="96" spans="1:26" s="12" customFormat="1" x14ac:dyDescent="0.25">
      <c r="A96" s="213" t="s">
        <v>2059</v>
      </c>
      <c r="B96" s="64">
        <v>24.13</v>
      </c>
      <c r="C96" s="64">
        <v>31.45</v>
      </c>
      <c r="D96" s="64">
        <v>35.78</v>
      </c>
      <c r="E96" s="64">
        <v>4.43</v>
      </c>
      <c r="F96" s="64">
        <v>5.09</v>
      </c>
      <c r="G96" s="64">
        <v>113</v>
      </c>
      <c r="H96" s="64">
        <v>38.26</v>
      </c>
      <c r="I96" s="64">
        <v>2.91</v>
      </c>
      <c r="J96" s="64">
        <v>0.21</v>
      </c>
      <c r="K96" s="64">
        <v>143.88</v>
      </c>
      <c r="L96" s="64">
        <v>26.88</v>
      </c>
      <c r="M96" s="64">
        <v>98.68</v>
      </c>
      <c r="N96" s="64">
        <v>42.7</v>
      </c>
      <c r="O96" s="64">
        <v>0</v>
      </c>
      <c r="P96" s="64">
        <v>0.75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2060</v>
      </c>
      <c r="B97" s="64">
        <v>51.66</v>
      </c>
      <c r="C97" s="64">
        <v>20.67</v>
      </c>
      <c r="D97" s="64">
        <v>51.62</v>
      </c>
      <c r="E97" s="64">
        <v>4.4400000000000004</v>
      </c>
      <c r="F97" s="64">
        <v>5.0999999999999996</v>
      </c>
      <c r="G97" s="64">
        <v>113</v>
      </c>
      <c r="H97" s="64">
        <v>38.26</v>
      </c>
      <c r="I97" s="64">
        <v>2.89</v>
      </c>
      <c r="J97" s="64">
        <v>7.0000000000000007E-2</v>
      </c>
      <c r="K97" s="64">
        <v>78.260000000000005</v>
      </c>
      <c r="L97" s="64">
        <v>26.89</v>
      </c>
      <c r="M97" s="64">
        <v>98.69</v>
      </c>
      <c r="N97" s="64">
        <v>43.2</v>
      </c>
      <c r="O97" s="64">
        <v>0</v>
      </c>
      <c r="P97" s="64">
        <v>0.91</v>
      </c>
      <c r="Q97" s="64">
        <v>9.6199999999999992</v>
      </c>
      <c r="R97" s="198"/>
      <c r="S97" s="198"/>
      <c r="T97" s="198"/>
      <c r="U97" s="198"/>
    </row>
    <row r="98" spans="1:33" s="12" customFormat="1" x14ac:dyDescent="0.25">
      <c r="A98" s="213" t="s">
        <v>2061</v>
      </c>
      <c r="B98" s="64">
        <v>24.51</v>
      </c>
      <c r="C98" s="64">
        <v>20.95</v>
      </c>
      <c r="D98" s="64">
        <v>30.6</v>
      </c>
      <c r="E98" s="64">
        <v>4.55</v>
      </c>
      <c r="F98" s="64">
        <v>5.28</v>
      </c>
      <c r="G98" s="64">
        <v>110.06</v>
      </c>
      <c r="H98" s="64">
        <v>37.65</v>
      </c>
      <c r="I98" s="64">
        <v>2.89</v>
      </c>
      <c r="J98" s="64">
        <v>0.28999999999999998</v>
      </c>
      <c r="K98" s="64">
        <v>124.24</v>
      </c>
      <c r="L98" s="64">
        <v>26.69</v>
      </c>
      <c r="M98" s="64">
        <v>98.7</v>
      </c>
      <c r="N98" s="64">
        <v>43.4</v>
      </c>
      <c r="O98" s="64">
        <v>0</v>
      </c>
      <c r="P98" s="64">
        <v>0.91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3" t="s">
        <v>2062</v>
      </c>
      <c r="B99" s="64">
        <v>8.06</v>
      </c>
      <c r="C99" s="64">
        <v>24.54</v>
      </c>
      <c r="D99" s="64">
        <v>19.29</v>
      </c>
      <c r="E99" s="64">
        <v>4.42</v>
      </c>
      <c r="F99" s="64">
        <v>6.13</v>
      </c>
      <c r="G99" s="64">
        <v>102.82</v>
      </c>
      <c r="H99" s="64">
        <v>36.159999999999997</v>
      </c>
      <c r="I99" s="64">
        <v>2.87</v>
      </c>
      <c r="J99" s="64">
        <v>0.79</v>
      </c>
      <c r="K99" s="64">
        <v>128.12</v>
      </c>
      <c r="L99" s="64">
        <v>26.56</v>
      </c>
      <c r="M99" s="64">
        <v>98.7</v>
      </c>
      <c r="N99" s="64">
        <v>43.4</v>
      </c>
      <c r="O99" s="64">
        <v>0</v>
      </c>
      <c r="P99" s="64">
        <v>0.56999999999999995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3" t="s">
        <v>2063</v>
      </c>
      <c r="B100" s="64">
        <v>15.29</v>
      </c>
      <c r="C100" s="64">
        <v>21.72</v>
      </c>
      <c r="D100" s="64">
        <v>23.61</v>
      </c>
      <c r="E100" s="64">
        <v>4.18</v>
      </c>
      <c r="F100" s="64">
        <v>6.44</v>
      </c>
      <c r="G100" s="64">
        <v>102.82</v>
      </c>
      <c r="H100" s="64">
        <v>36.159999999999997</v>
      </c>
      <c r="I100" s="64">
        <v>2.85</v>
      </c>
      <c r="J100" s="64">
        <v>0.44</v>
      </c>
      <c r="K100" s="64">
        <v>122.86</v>
      </c>
      <c r="L100" s="64">
        <v>26.48</v>
      </c>
      <c r="M100" s="64">
        <v>98.71</v>
      </c>
      <c r="N100" s="64">
        <v>43.4</v>
      </c>
      <c r="O100" s="64">
        <v>0</v>
      </c>
      <c r="P100" s="64">
        <v>0.55000000000000004</v>
      </c>
      <c r="Q100" s="64">
        <v>9.64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2064</v>
      </c>
      <c r="B101" s="64">
        <v>12.18</v>
      </c>
      <c r="C101" s="64">
        <v>21.47</v>
      </c>
      <c r="D101" s="64">
        <v>20.99</v>
      </c>
      <c r="E101" s="64">
        <v>3.97</v>
      </c>
      <c r="F101" s="64">
        <v>6.96</v>
      </c>
      <c r="G101" s="64">
        <v>102.82</v>
      </c>
      <c r="H101" s="64">
        <v>36.159999999999997</v>
      </c>
      <c r="I101" s="64">
        <v>2.83</v>
      </c>
      <c r="J101" s="64">
        <v>0.48</v>
      </c>
      <c r="K101" s="64">
        <v>120.5</v>
      </c>
      <c r="L101" s="64">
        <v>26.44</v>
      </c>
      <c r="M101" s="64">
        <v>98.74</v>
      </c>
      <c r="N101" s="64">
        <v>43.3</v>
      </c>
      <c r="O101" s="64">
        <v>0</v>
      </c>
      <c r="P101" s="64">
        <v>0.5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3" t="s">
        <v>2065</v>
      </c>
      <c r="B102" s="64">
        <v>9.94</v>
      </c>
      <c r="C102" s="64">
        <v>16.39</v>
      </c>
      <c r="D102" s="64">
        <v>16.53</v>
      </c>
      <c r="E102" s="64">
        <v>4.33</v>
      </c>
      <c r="F102" s="64">
        <v>8.82</v>
      </c>
      <c r="G102" s="64">
        <v>99.14</v>
      </c>
      <c r="H102" s="64">
        <v>35.68</v>
      </c>
      <c r="I102" s="64">
        <v>2.78</v>
      </c>
      <c r="J102" s="64">
        <v>0.84</v>
      </c>
      <c r="K102" s="64">
        <v>124.65</v>
      </c>
      <c r="L102" s="64">
        <v>26.34</v>
      </c>
      <c r="M102" s="64">
        <v>98.75</v>
      </c>
      <c r="N102" s="64">
        <v>43.4</v>
      </c>
      <c r="O102" s="64">
        <v>0</v>
      </c>
      <c r="P102" s="64">
        <v>0.38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3" t="s">
        <v>2066</v>
      </c>
      <c r="B103" s="64">
        <v>9.6</v>
      </c>
      <c r="C103" s="64">
        <v>12.99</v>
      </c>
      <c r="D103" s="64">
        <v>14.49</v>
      </c>
      <c r="E103" s="64">
        <v>4.3099999999999996</v>
      </c>
      <c r="F103" s="64">
        <v>9.39</v>
      </c>
      <c r="G103" s="64">
        <v>90.07</v>
      </c>
      <c r="H103" s="64">
        <v>34.51</v>
      </c>
      <c r="I103" s="64">
        <v>2.74</v>
      </c>
      <c r="J103" s="64">
        <v>0.79</v>
      </c>
      <c r="K103" s="64">
        <v>124.09</v>
      </c>
      <c r="L103" s="64">
        <v>26.22</v>
      </c>
      <c r="M103" s="64">
        <v>98.79</v>
      </c>
      <c r="N103" s="64">
        <v>43.4</v>
      </c>
      <c r="O103" s="64">
        <v>0</v>
      </c>
      <c r="P103" s="64">
        <v>0.41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3" t="s">
        <v>2067</v>
      </c>
      <c r="B104" s="64">
        <v>9.5</v>
      </c>
      <c r="C104" s="64">
        <v>11.97</v>
      </c>
      <c r="D104" s="64">
        <v>13.87</v>
      </c>
      <c r="E104" s="64">
        <v>3.56</v>
      </c>
      <c r="F104" s="64">
        <v>9.9700000000000006</v>
      </c>
      <c r="G104" s="64">
        <v>90.07</v>
      </c>
      <c r="H104" s="64">
        <v>34.51</v>
      </c>
      <c r="I104" s="64">
        <v>2.7</v>
      </c>
      <c r="J104" s="64">
        <v>0.68</v>
      </c>
      <c r="K104" s="64">
        <v>119.07</v>
      </c>
      <c r="L104" s="64">
        <v>26.11</v>
      </c>
      <c r="M104" s="64">
        <v>98.78</v>
      </c>
      <c r="N104" s="64">
        <v>43.4</v>
      </c>
      <c r="O104" s="64">
        <v>0</v>
      </c>
      <c r="P104" s="64">
        <v>0.33</v>
      </c>
      <c r="Q104" s="64">
        <v>9.6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4.03</v>
      </c>
      <c r="C106" s="67">
        <f>MIN(C9:C104)</f>
        <v>10.5</v>
      </c>
      <c r="D106" s="67">
        <f t="shared" ref="D106:Q106" si="0">MIN(D9:D104)</f>
        <v>9.92</v>
      </c>
      <c r="E106" s="67">
        <f t="shared" si="0"/>
        <v>3.56</v>
      </c>
      <c r="F106" s="67">
        <f t="shared" si="0"/>
        <v>4.41</v>
      </c>
      <c r="G106" s="67">
        <f t="shared" si="0"/>
        <v>40.54</v>
      </c>
      <c r="H106" s="67">
        <f t="shared" si="0"/>
        <v>11.2</v>
      </c>
      <c r="I106" s="67">
        <f t="shared" si="0"/>
        <v>1.43</v>
      </c>
      <c r="J106" s="67">
        <f t="shared" si="0"/>
        <v>0.01</v>
      </c>
      <c r="K106" s="67">
        <f t="shared" si="0"/>
        <v>31.55</v>
      </c>
      <c r="L106" s="67">
        <f t="shared" si="0"/>
        <v>24.82</v>
      </c>
      <c r="M106" s="67">
        <f t="shared" si="0"/>
        <v>66.069999999999993</v>
      </c>
      <c r="N106" s="67">
        <f t="shared" si="0"/>
        <v>41.6</v>
      </c>
      <c r="O106" s="67">
        <f t="shared" si="0"/>
        <v>0</v>
      </c>
      <c r="P106" s="67">
        <f t="shared" si="0"/>
        <v>0.18</v>
      </c>
      <c r="Q106" s="67">
        <f t="shared" si="0"/>
        <v>9.0299999999999994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51.66</v>
      </c>
      <c r="C107" s="66">
        <f t="shared" ref="C107:Q107" si="1">MAX(C9:C104)</f>
        <v>47.87</v>
      </c>
      <c r="D107" s="66">
        <f t="shared" si="1"/>
        <v>53.96</v>
      </c>
      <c r="E107" s="66">
        <f t="shared" si="1"/>
        <v>6</v>
      </c>
      <c r="F107" s="66">
        <f t="shared" si="1"/>
        <v>19.27</v>
      </c>
      <c r="G107" s="66">
        <f t="shared" si="1"/>
        <v>130.49</v>
      </c>
      <c r="H107" s="66">
        <f t="shared" si="1"/>
        <v>40.869999999999997</v>
      </c>
      <c r="I107" s="66">
        <f t="shared" si="1"/>
        <v>3.16</v>
      </c>
      <c r="J107" s="66">
        <f t="shared" si="1"/>
        <v>1.24</v>
      </c>
      <c r="K107" s="66">
        <f t="shared" si="1"/>
        <v>346.02</v>
      </c>
      <c r="L107" s="66">
        <f t="shared" si="1"/>
        <v>33.340000000000003</v>
      </c>
      <c r="M107" s="66">
        <f t="shared" si="1"/>
        <v>98.79</v>
      </c>
      <c r="N107" s="66">
        <f t="shared" si="1"/>
        <v>965.8</v>
      </c>
      <c r="O107" s="66">
        <f t="shared" si="1"/>
        <v>0.6</v>
      </c>
      <c r="P107" s="66">
        <f t="shared" si="1"/>
        <v>1.66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13.306354166666667</v>
      </c>
      <c r="C108" s="67">
        <f t="shared" ref="C108:Q108" si="2">AVERAGE(C9:C104)</f>
        <v>20.199583333333337</v>
      </c>
      <c r="D108" s="67">
        <f t="shared" si="2"/>
        <v>21.217187499999994</v>
      </c>
      <c r="E108" s="67">
        <f t="shared" si="2"/>
        <v>4.9491666666666685</v>
      </c>
      <c r="F108" s="67">
        <f t="shared" si="2"/>
        <v>8.4267708333333378</v>
      </c>
      <c r="G108" s="67">
        <f t="shared" si="2"/>
        <v>77.684999999999988</v>
      </c>
      <c r="H108" s="67">
        <f t="shared" si="2"/>
        <v>24.603124999999995</v>
      </c>
      <c r="I108" s="67">
        <f t="shared" si="2"/>
        <v>2.1508333333333329</v>
      </c>
      <c r="J108" s="67">
        <f t="shared" si="2"/>
        <v>0.26427083333333334</v>
      </c>
      <c r="K108" s="67">
        <f t="shared" si="2"/>
        <v>233.10343750000004</v>
      </c>
      <c r="L108" s="67">
        <f t="shared" si="2"/>
        <v>27.521250000000009</v>
      </c>
      <c r="M108" s="67">
        <f t="shared" si="2"/>
        <v>93.149479166666751</v>
      </c>
      <c r="N108" s="67">
        <f t="shared" si="2"/>
        <v>188.20625000000007</v>
      </c>
      <c r="O108" s="67">
        <f t="shared" si="2"/>
        <v>1.0416666666666666E-2</v>
      </c>
      <c r="P108" s="67">
        <f t="shared" si="2"/>
        <v>0.57791666666666663</v>
      </c>
      <c r="Q108" s="67">
        <f t="shared" si="2"/>
        <v>9.3218750000000039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8.8458211507547624</v>
      </c>
      <c r="C109" s="67">
        <f t="shared" ref="C109:Q109" si="3">STDEV(C9:C104)</f>
        <v>8.7619804198133693</v>
      </c>
      <c r="D109" s="67">
        <f t="shared" si="3"/>
        <v>10.367282616418072</v>
      </c>
      <c r="E109" s="67">
        <f t="shared" si="3"/>
        <v>0.41548112039358515</v>
      </c>
      <c r="F109" s="67">
        <f t="shared" si="3"/>
        <v>2.9770676122624993</v>
      </c>
      <c r="G109" s="67">
        <f t="shared" si="3"/>
        <v>27.37720361714721</v>
      </c>
      <c r="H109" s="67">
        <f t="shared" si="3"/>
        <v>8.9964944415501122</v>
      </c>
      <c r="I109" s="67">
        <f t="shared" si="3"/>
        <v>0.53077830968784789</v>
      </c>
      <c r="J109" s="67">
        <f t="shared" si="3"/>
        <v>0.29100459316927285</v>
      </c>
      <c r="K109" s="67">
        <f t="shared" si="3"/>
        <v>83.941678322738525</v>
      </c>
      <c r="L109" s="67">
        <f t="shared" si="3"/>
        <v>2.3566681431296401</v>
      </c>
      <c r="M109" s="67">
        <f t="shared" si="3"/>
        <v>10.07418737689566</v>
      </c>
      <c r="N109" s="67">
        <f t="shared" si="3"/>
        <v>242.07545401012982</v>
      </c>
      <c r="O109" s="67">
        <f t="shared" si="3"/>
        <v>6.7245295928870769E-2</v>
      </c>
      <c r="P109" s="67">
        <f t="shared" si="3"/>
        <v>0.30216383379905082</v>
      </c>
      <c r="Q109" s="67">
        <f t="shared" si="3"/>
        <v>0.19843764763774033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2068</v>
      </c>
      <c r="B9" s="64">
        <v>8.7100000000000009</v>
      </c>
      <c r="C9" s="64">
        <v>10.28</v>
      </c>
      <c r="D9" s="64">
        <v>12.36</v>
      </c>
      <c r="E9" s="64">
        <v>4</v>
      </c>
      <c r="F9" s="64">
        <v>11.04</v>
      </c>
      <c r="G9" s="64">
        <v>90.07</v>
      </c>
      <c r="H9" s="64">
        <v>34.51</v>
      </c>
      <c r="I9" s="64">
        <v>2.65</v>
      </c>
      <c r="J9" s="64">
        <v>0.8</v>
      </c>
      <c r="K9" s="64">
        <v>122.43</v>
      </c>
      <c r="L9" s="64">
        <v>26.01</v>
      </c>
      <c r="M9" s="64">
        <v>98.78</v>
      </c>
      <c r="N9" s="64">
        <v>43.5</v>
      </c>
      <c r="O9" s="64">
        <v>0</v>
      </c>
      <c r="P9" s="64">
        <v>0.27</v>
      </c>
      <c r="Q9" s="64">
        <v>9.6199999999999992</v>
      </c>
      <c r="R9" s="198"/>
      <c r="S9" s="198"/>
      <c r="T9" s="198"/>
      <c r="U9" s="198"/>
    </row>
    <row r="10" spans="1:21" s="12" customFormat="1" x14ac:dyDescent="0.25">
      <c r="A10" s="213" t="s">
        <v>2069</v>
      </c>
      <c r="B10" s="64">
        <v>8.49</v>
      </c>
      <c r="C10" s="64">
        <v>10.1</v>
      </c>
      <c r="D10" s="64">
        <v>12.09</v>
      </c>
      <c r="E10" s="64">
        <v>3.53</v>
      </c>
      <c r="F10" s="64">
        <v>11.27</v>
      </c>
      <c r="G10" s="64">
        <v>82.55</v>
      </c>
      <c r="H10" s="64">
        <v>31.52</v>
      </c>
      <c r="I10" s="64">
        <v>2.59</v>
      </c>
      <c r="J10" s="64">
        <v>0.67</v>
      </c>
      <c r="K10" s="64">
        <v>122.35</v>
      </c>
      <c r="L10" s="64">
        <v>25.88</v>
      </c>
      <c r="M10" s="64">
        <v>98.79</v>
      </c>
      <c r="N10" s="64">
        <v>43.5</v>
      </c>
      <c r="O10" s="64">
        <v>0</v>
      </c>
      <c r="P10" s="64">
        <v>0.21</v>
      </c>
      <c r="Q10" s="64">
        <v>9.6199999999999992</v>
      </c>
      <c r="R10" s="198"/>
      <c r="S10" s="198"/>
      <c r="T10" s="198"/>
      <c r="U10" s="198"/>
    </row>
    <row r="11" spans="1:21" s="12" customFormat="1" x14ac:dyDescent="0.25">
      <c r="A11" s="213" t="s">
        <v>2070</v>
      </c>
      <c r="B11" s="64">
        <v>8.5299999999999994</v>
      </c>
      <c r="C11" s="64">
        <v>9.6999999999999993</v>
      </c>
      <c r="D11" s="64">
        <v>11.91</v>
      </c>
      <c r="E11" s="64">
        <v>3.54</v>
      </c>
      <c r="F11" s="64">
        <v>11.45</v>
      </c>
      <c r="G11" s="64">
        <v>64.03</v>
      </c>
      <c r="H11" s="64">
        <v>24.14</v>
      </c>
      <c r="I11" s="64">
        <v>2.5099999999999998</v>
      </c>
      <c r="J11" s="64">
        <v>0.73</v>
      </c>
      <c r="K11" s="64">
        <v>125.39</v>
      </c>
      <c r="L11" s="64">
        <v>25.66</v>
      </c>
      <c r="M11" s="64">
        <v>98.79</v>
      </c>
      <c r="N11" s="64">
        <v>43.3</v>
      </c>
      <c r="O11" s="64">
        <v>0</v>
      </c>
      <c r="P11" s="64">
        <v>0.24</v>
      </c>
      <c r="Q11" s="64">
        <v>9.6</v>
      </c>
      <c r="R11" s="198"/>
      <c r="S11" s="198"/>
      <c r="T11" s="198"/>
      <c r="U11" s="198"/>
    </row>
    <row r="12" spans="1:21" s="12" customFormat="1" x14ac:dyDescent="0.25">
      <c r="A12" s="213" t="s">
        <v>2071</v>
      </c>
      <c r="B12" s="64">
        <v>11.78</v>
      </c>
      <c r="C12" s="64">
        <v>8.76</v>
      </c>
      <c r="D12" s="64">
        <v>14.02</v>
      </c>
      <c r="E12" s="64">
        <v>3.66</v>
      </c>
      <c r="F12" s="64">
        <v>10.17</v>
      </c>
      <c r="G12" s="64">
        <v>64.03</v>
      </c>
      <c r="H12" s="64">
        <v>24.14</v>
      </c>
      <c r="I12" s="64">
        <v>2.44</v>
      </c>
      <c r="J12" s="64">
        <v>0.09</v>
      </c>
      <c r="K12" s="64">
        <v>29.15</v>
      </c>
      <c r="L12" s="64">
        <v>25.6</v>
      </c>
      <c r="M12" s="64">
        <v>98.56</v>
      </c>
      <c r="N12" s="64">
        <v>43.7</v>
      </c>
      <c r="O12" s="64">
        <v>0</v>
      </c>
      <c r="P12" s="64">
        <v>0.38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3" t="s">
        <v>2072</v>
      </c>
      <c r="B13" s="64">
        <v>14.26</v>
      </c>
      <c r="C13" s="64">
        <v>7.11</v>
      </c>
      <c r="D13" s="64">
        <v>15.15</v>
      </c>
      <c r="E13" s="64">
        <v>3.69</v>
      </c>
      <c r="F13" s="64">
        <v>9.32</v>
      </c>
      <c r="G13" s="64">
        <v>64.03</v>
      </c>
      <c r="H13" s="64">
        <v>24.14</v>
      </c>
      <c r="I13" s="64">
        <v>2.38</v>
      </c>
      <c r="J13" s="64">
        <v>0.49</v>
      </c>
      <c r="K13" s="64">
        <v>118.29</v>
      </c>
      <c r="L13" s="64">
        <v>24.66</v>
      </c>
      <c r="M13" s="64">
        <v>98.61</v>
      </c>
      <c r="N13" s="64">
        <v>46.7</v>
      </c>
      <c r="O13" s="64">
        <v>5</v>
      </c>
      <c r="P13" s="64">
        <v>0.45</v>
      </c>
      <c r="Q13" s="64">
        <v>9.58</v>
      </c>
      <c r="R13" s="198"/>
      <c r="S13" s="198"/>
      <c r="T13" s="198"/>
      <c r="U13" s="198"/>
    </row>
    <row r="14" spans="1:21" s="12" customFormat="1" x14ac:dyDescent="0.25">
      <c r="A14" s="213" t="s">
        <v>2073</v>
      </c>
      <c r="B14" s="64">
        <v>14.21</v>
      </c>
      <c r="C14" s="64">
        <v>20.04</v>
      </c>
      <c r="D14" s="64">
        <v>21.86</v>
      </c>
      <c r="E14" s="64">
        <v>3.73</v>
      </c>
      <c r="F14" s="64">
        <v>7.69</v>
      </c>
      <c r="G14" s="64">
        <v>57.38</v>
      </c>
      <c r="H14" s="64">
        <v>23.25</v>
      </c>
      <c r="I14" s="64">
        <v>2.29</v>
      </c>
      <c r="J14" s="64">
        <v>0.85</v>
      </c>
      <c r="K14" s="64">
        <v>127.81</v>
      </c>
      <c r="L14" s="64">
        <v>22.67</v>
      </c>
      <c r="M14" s="64">
        <v>98.85</v>
      </c>
      <c r="N14" s="64">
        <v>43.6</v>
      </c>
      <c r="O14" s="64">
        <v>4</v>
      </c>
      <c r="P14" s="64">
        <v>0.44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3" t="s">
        <v>2074</v>
      </c>
      <c r="B15" s="64">
        <v>16.66</v>
      </c>
      <c r="C15" s="64">
        <v>55.28</v>
      </c>
      <c r="D15" s="64">
        <v>42.24</v>
      </c>
      <c r="E15" s="64">
        <v>3.89</v>
      </c>
      <c r="F15" s="64">
        <v>6.46</v>
      </c>
      <c r="G15" s="64">
        <v>40.99</v>
      </c>
      <c r="H15" s="64">
        <v>21.06</v>
      </c>
      <c r="I15" s="64">
        <v>2.19</v>
      </c>
      <c r="J15" s="64">
        <v>0.09</v>
      </c>
      <c r="K15" s="64">
        <v>41.37</v>
      </c>
      <c r="L15" s="64">
        <v>22.86</v>
      </c>
      <c r="M15" s="64">
        <v>98.86</v>
      </c>
      <c r="N15" s="64">
        <v>43.1</v>
      </c>
      <c r="O15" s="64">
        <v>2.8</v>
      </c>
      <c r="P15" s="64">
        <v>0.54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3" t="s">
        <v>2075</v>
      </c>
      <c r="B16" s="64">
        <v>12.11</v>
      </c>
      <c r="C16" s="64">
        <v>54.36</v>
      </c>
      <c r="D16" s="64">
        <v>38.11</v>
      </c>
      <c r="E16" s="64">
        <v>3.41</v>
      </c>
      <c r="F16" s="64">
        <v>9.44</v>
      </c>
      <c r="G16" s="64">
        <v>40.99</v>
      </c>
      <c r="H16" s="64">
        <v>21.06</v>
      </c>
      <c r="I16" s="64">
        <v>2.09</v>
      </c>
      <c r="J16" s="64">
        <v>0.78</v>
      </c>
      <c r="K16" s="64">
        <v>122.33</v>
      </c>
      <c r="L16" s="64">
        <v>22.81</v>
      </c>
      <c r="M16" s="64">
        <v>98.87</v>
      </c>
      <c r="N16" s="64">
        <v>43.6</v>
      </c>
      <c r="O16" s="64">
        <v>1.6</v>
      </c>
      <c r="P16" s="64">
        <v>0.37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3" t="s">
        <v>2076</v>
      </c>
      <c r="B17" s="64">
        <v>13.3</v>
      </c>
      <c r="C17" s="64">
        <v>9.8699999999999992</v>
      </c>
      <c r="D17" s="64">
        <v>15.82</v>
      </c>
      <c r="E17" s="64">
        <v>3.04</v>
      </c>
      <c r="F17" s="64">
        <v>5.13</v>
      </c>
      <c r="G17" s="64">
        <v>40.99</v>
      </c>
      <c r="H17" s="64">
        <v>21.06</v>
      </c>
      <c r="I17" s="64">
        <v>2.0299999999999998</v>
      </c>
      <c r="J17" s="64">
        <v>0.06</v>
      </c>
      <c r="K17" s="64">
        <v>156.99</v>
      </c>
      <c r="L17" s="64">
        <v>22.89</v>
      </c>
      <c r="M17" s="64">
        <v>98.88</v>
      </c>
      <c r="N17" s="64">
        <v>43.3</v>
      </c>
      <c r="O17" s="64">
        <v>1.4</v>
      </c>
      <c r="P17" s="64">
        <v>0.46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3" t="s">
        <v>2077</v>
      </c>
      <c r="B18" s="64">
        <v>11.78</v>
      </c>
      <c r="C18" s="64">
        <v>10.86</v>
      </c>
      <c r="D18" s="64">
        <v>15.12</v>
      </c>
      <c r="E18" s="64">
        <v>3.38</v>
      </c>
      <c r="F18" s="64">
        <v>9.33</v>
      </c>
      <c r="G18" s="64">
        <v>40.229999999999997</v>
      </c>
      <c r="H18" s="64">
        <v>20.78</v>
      </c>
      <c r="I18" s="64">
        <v>1.96</v>
      </c>
      <c r="J18" s="64">
        <v>0.28999999999999998</v>
      </c>
      <c r="K18" s="64">
        <v>123.44</v>
      </c>
      <c r="L18" s="64">
        <v>22.9</v>
      </c>
      <c r="M18" s="64">
        <v>98.88</v>
      </c>
      <c r="N18" s="64">
        <v>43.3</v>
      </c>
      <c r="O18" s="64">
        <v>1.4</v>
      </c>
      <c r="P18" s="64">
        <v>0.3</v>
      </c>
      <c r="Q18" s="64">
        <v>9.4</v>
      </c>
      <c r="R18" s="198"/>
      <c r="S18" s="198"/>
      <c r="T18" s="198"/>
      <c r="U18" s="198"/>
    </row>
    <row r="19" spans="1:21" s="12" customFormat="1" x14ac:dyDescent="0.25">
      <c r="A19" s="213" t="s">
        <v>2078</v>
      </c>
      <c r="B19" s="64">
        <v>10.97</v>
      </c>
      <c r="C19" s="64">
        <v>10.74</v>
      </c>
      <c r="D19" s="64">
        <v>14.41</v>
      </c>
      <c r="E19" s="64">
        <v>3.41</v>
      </c>
      <c r="F19" s="64">
        <v>6.29</v>
      </c>
      <c r="G19" s="64">
        <v>38.35</v>
      </c>
      <c r="H19" s="64">
        <v>20.11</v>
      </c>
      <c r="I19" s="64">
        <v>1.88</v>
      </c>
      <c r="J19" s="64">
        <v>0.37</v>
      </c>
      <c r="K19" s="64">
        <v>125.06</v>
      </c>
      <c r="L19" s="64">
        <v>22.93</v>
      </c>
      <c r="M19" s="64">
        <v>98.88</v>
      </c>
      <c r="N19" s="64">
        <v>43.6</v>
      </c>
      <c r="O19" s="64">
        <v>1</v>
      </c>
      <c r="P19" s="64">
        <v>0.39</v>
      </c>
      <c r="Q19" s="64">
        <v>9.3699999999999992</v>
      </c>
      <c r="R19" s="198"/>
      <c r="S19" s="198"/>
      <c r="T19" s="198"/>
      <c r="U19" s="198"/>
    </row>
    <row r="20" spans="1:21" s="12" customFormat="1" x14ac:dyDescent="0.25">
      <c r="A20" s="213" t="s">
        <v>2079</v>
      </c>
      <c r="B20" s="64">
        <v>12.52</v>
      </c>
      <c r="C20" s="64">
        <v>9.58</v>
      </c>
      <c r="D20" s="64">
        <v>15.05</v>
      </c>
      <c r="E20" s="64">
        <v>3.59</v>
      </c>
      <c r="F20" s="64">
        <v>6.92</v>
      </c>
      <c r="G20" s="64">
        <v>38.35</v>
      </c>
      <c r="H20" s="64">
        <v>20.11</v>
      </c>
      <c r="I20" s="64">
        <v>1.84</v>
      </c>
      <c r="J20" s="64">
        <v>0.44</v>
      </c>
      <c r="K20" s="64">
        <v>170.66</v>
      </c>
      <c r="L20" s="64">
        <v>22.75</v>
      </c>
      <c r="M20" s="64">
        <v>98.9</v>
      </c>
      <c r="N20" s="64">
        <v>43.8</v>
      </c>
      <c r="O20" s="64">
        <v>0.8</v>
      </c>
      <c r="P20" s="64">
        <v>0.37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3" t="s">
        <v>2080</v>
      </c>
      <c r="B21" s="64">
        <v>12.56</v>
      </c>
      <c r="C21" s="64">
        <v>9.5</v>
      </c>
      <c r="D21" s="64">
        <v>15.03</v>
      </c>
      <c r="E21" s="64">
        <v>3.38</v>
      </c>
      <c r="F21" s="64">
        <v>5.76</v>
      </c>
      <c r="G21" s="64">
        <v>38.35</v>
      </c>
      <c r="H21" s="64">
        <v>20.11</v>
      </c>
      <c r="I21" s="64">
        <v>1.78</v>
      </c>
      <c r="J21" s="64">
        <v>0.43</v>
      </c>
      <c r="K21" s="64">
        <v>154.91999999999999</v>
      </c>
      <c r="L21" s="64">
        <v>22.68</v>
      </c>
      <c r="M21" s="64">
        <v>98.9</v>
      </c>
      <c r="N21" s="64">
        <v>43.6</v>
      </c>
      <c r="O21" s="64">
        <v>0.4</v>
      </c>
      <c r="P21" s="64">
        <v>0.37</v>
      </c>
      <c r="Q21" s="64">
        <v>9.2899999999999991</v>
      </c>
      <c r="R21" s="198"/>
      <c r="S21" s="198"/>
      <c r="T21" s="198"/>
      <c r="U21" s="198"/>
    </row>
    <row r="22" spans="1:21" s="12" customFormat="1" x14ac:dyDescent="0.25">
      <c r="A22" s="213" t="s">
        <v>2081</v>
      </c>
      <c r="B22" s="64">
        <v>10.98</v>
      </c>
      <c r="C22" s="64">
        <v>10.029999999999999</v>
      </c>
      <c r="D22" s="64">
        <v>14.04</v>
      </c>
      <c r="E22" s="64">
        <v>3.42</v>
      </c>
      <c r="F22" s="64">
        <v>10.14</v>
      </c>
      <c r="G22" s="64">
        <v>36.17</v>
      </c>
      <c r="H22" s="64">
        <v>19.329999999999998</v>
      </c>
      <c r="I22" s="64">
        <v>1.72</v>
      </c>
      <c r="J22" s="64">
        <v>0.5</v>
      </c>
      <c r="K22" s="64">
        <v>161.38999999999999</v>
      </c>
      <c r="L22" s="64">
        <v>22.62</v>
      </c>
      <c r="M22" s="64">
        <v>98.9</v>
      </c>
      <c r="N22" s="64">
        <v>43.6</v>
      </c>
      <c r="O22" s="64">
        <v>0.4</v>
      </c>
      <c r="P22" s="64">
        <v>0.28999999999999998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3" t="s">
        <v>2082</v>
      </c>
      <c r="B23" s="64">
        <v>7.01</v>
      </c>
      <c r="C23" s="64">
        <v>10.95</v>
      </c>
      <c r="D23" s="64">
        <v>11.34</v>
      </c>
      <c r="E23" s="64">
        <v>3.29</v>
      </c>
      <c r="F23" s="64">
        <v>13.53</v>
      </c>
      <c r="G23" s="64">
        <v>30.79</v>
      </c>
      <c r="H23" s="64">
        <v>17.41</v>
      </c>
      <c r="I23" s="64">
        <v>1.66</v>
      </c>
      <c r="J23" s="64">
        <v>0.38</v>
      </c>
      <c r="K23" s="64">
        <v>139.94999999999999</v>
      </c>
      <c r="L23" s="64">
        <v>22.68</v>
      </c>
      <c r="M23" s="64">
        <v>98.9</v>
      </c>
      <c r="N23" s="64">
        <v>43.3</v>
      </c>
      <c r="O23" s="64">
        <v>0</v>
      </c>
      <c r="P23" s="64">
        <v>0.16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13" t="s">
        <v>2083</v>
      </c>
      <c r="B24" s="64">
        <v>6.71</v>
      </c>
      <c r="C24" s="64">
        <v>10.16</v>
      </c>
      <c r="D24" s="64">
        <v>10.69</v>
      </c>
      <c r="E24" s="64">
        <v>3.4</v>
      </c>
      <c r="F24" s="64">
        <v>13.25</v>
      </c>
      <c r="G24" s="64">
        <v>30.79</v>
      </c>
      <c r="H24" s="64">
        <v>17.41</v>
      </c>
      <c r="I24" s="64">
        <v>1.61</v>
      </c>
      <c r="J24" s="64">
        <v>0.17</v>
      </c>
      <c r="K24" s="64">
        <v>135.36000000000001</v>
      </c>
      <c r="L24" s="64">
        <v>22.67</v>
      </c>
      <c r="M24" s="64">
        <v>98.91</v>
      </c>
      <c r="N24" s="64">
        <v>43.5</v>
      </c>
      <c r="O24" s="64">
        <v>0</v>
      </c>
      <c r="P24" s="64">
        <v>0.17</v>
      </c>
      <c r="Q24" s="64">
        <v>9.2799999999999994</v>
      </c>
      <c r="R24" s="198"/>
      <c r="S24" s="198"/>
      <c r="T24" s="198"/>
      <c r="U24" s="198"/>
    </row>
    <row r="25" spans="1:21" s="12" customFormat="1" x14ac:dyDescent="0.25">
      <c r="A25" s="213" t="s">
        <v>2084</v>
      </c>
      <c r="B25" s="64">
        <v>8.5399999999999991</v>
      </c>
      <c r="C25" s="64">
        <v>13.42</v>
      </c>
      <c r="D25" s="64">
        <v>13.87</v>
      </c>
      <c r="E25" s="64">
        <v>3.53</v>
      </c>
      <c r="F25" s="64">
        <v>10.53</v>
      </c>
      <c r="G25" s="64">
        <v>30.79</v>
      </c>
      <c r="H25" s="64">
        <v>17.41</v>
      </c>
      <c r="I25" s="64">
        <v>1.57</v>
      </c>
      <c r="J25" s="64">
        <v>0.03</v>
      </c>
      <c r="K25" s="64">
        <v>285.5</v>
      </c>
      <c r="L25" s="64">
        <v>22.79</v>
      </c>
      <c r="M25" s="64">
        <v>98.92</v>
      </c>
      <c r="N25" s="64">
        <v>43.2</v>
      </c>
      <c r="O25" s="64">
        <v>0</v>
      </c>
      <c r="P25" s="64">
        <v>0.17</v>
      </c>
      <c r="Q25" s="64">
        <v>9.2799999999999994</v>
      </c>
      <c r="R25" s="198"/>
      <c r="S25" s="198"/>
      <c r="T25" s="198"/>
      <c r="U25" s="198"/>
    </row>
    <row r="26" spans="1:21" s="12" customFormat="1" x14ac:dyDescent="0.25">
      <c r="A26" s="213" t="s">
        <v>2085</v>
      </c>
      <c r="B26" s="64">
        <v>6.4</v>
      </c>
      <c r="C26" s="64">
        <v>15.7</v>
      </c>
      <c r="D26" s="64">
        <v>13.34</v>
      </c>
      <c r="E26" s="64">
        <v>3.5</v>
      </c>
      <c r="F26" s="64">
        <v>11.32</v>
      </c>
      <c r="G26" s="64">
        <v>28.16</v>
      </c>
      <c r="H26" s="64">
        <v>15.93</v>
      </c>
      <c r="I26" s="64">
        <v>1.54</v>
      </c>
      <c r="J26" s="64">
        <v>0.08</v>
      </c>
      <c r="K26" s="64">
        <v>313.58999999999997</v>
      </c>
      <c r="L26" s="64">
        <v>22.96</v>
      </c>
      <c r="M26" s="64">
        <v>98.93</v>
      </c>
      <c r="N26" s="64">
        <v>43.6</v>
      </c>
      <c r="O26" s="64">
        <v>0</v>
      </c>
      <c r="P26" s="64">
        <v>0.15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3" t="s">
        <v>2086</v>
      </c>
      <c r="B27" s="64">
        <v>6.23</v>
      </c>
      <c r="C27" s="64">
        <v>15.04</v>
      </c>
      <c r="D27" s="64">
        <v>12.86</v>
      </c>
      <c r="E27" s="64">
        <v>3.37</v>
      </c>
      <c r="F27" s="64">
        <v>10.27</v>
      </c>
      <c r="G27" s="64">
        <v>21.67</v>
      </c>
      <c r="H27" s="64">
        <v>12.29</v>
      </c>
      <c r="I27" s="64">
        <v>1.49</v>
      </c>
      <c r="J27" s="64">
        <v>0.08</v>
      </c>
      <c r="K27" s="64">
        <v>305.17</v>
      </c>
      <c r="L27" s="64">
        <v>23.08</v>
      </c>
      <c r="M27" s="64">
        <v>98.93</v>
      </c>
      <c r="N27" s="64">
        <v>43.3</v>
      </c>
      <c r="O27" s="64">
        <v>0</v>
      </c>
      <c r="P27" s="64">
        <v>0.22</v>
      </c>
      <c r="Q27" s="64">
        <v>9.3000000000000007</v>
      </c>
      <c r="R27" s="198"/>
      <c r="S27" s="198"/>
      <c r="T27" s="198"/>
      <c r="U27" s="198"/>
    </row>
    <row r="28" spans="1:21" s="12" customFormat="1" x14ac:dyDescent="0.25">
      <c r="A28" s="213" t="s">
        <v>2087</v>
      </c>
      <c r="B28" s="64">
        <v>18.329999999999998</v>
      </c>
      <c r="C28" s="64">
        <v>18.239999999999998</v>
      </c>
      <c r="D28" s="64">
        <v>24.23</v>
      </c>
      <c r="E28" s="64">
        <v>3.25</v>
      </c>
      <c r="F28" s="64">
        <v>7.1</v>
      </c>
      <c r="G28" s="64">
        <v>21.67</v>
      </c>
      <c r="H28" s="64">
        <v>12.29</v>
      </c>
      <c r="I28" s="64">
        <v>1.47</v>
      </c>
      <c r="J28" s="64">
        <v>0.05</v>
      </c>
      <c r="K28" s="64">
        <v>4.03</v>
      </c>
      <c r="L28" s="64">
        <v>23.2</v>
      </c>
      <c r="M28" s="64">
        <v>98.94</v>
      </c>
      <c r="N28" s="64">
        <v>43.2</v>
      </c>
      <c r="O28" s="64">
        <v>0</v>
      </c>
      <c r="P28" s="64">
        <v>0.25</v>
      </c>
      <c r="Q28" s="64">
        <v>9.31</v>
      </c>
      <c r="R28" s="198"/>
      <c r="S28" s="198"/>
      <c r="T28" s="198"/>
      <c r="U28" s="198"/>
    </row>
    <row r="29" spans="1:21" s="12" customFormat="1" x14ac:dyDescent="0.25">
      <c r="A29" s="213" t="s">
        <v>2088</v>
      </c>
      <c r="B29" s="64">
        <v>7.31</v>
      </c>
      <c r="C29" s="64">
        <v>20.329999999999998</v>
      </c>
      <c r="D29" s="64">
        <v>16.48</v>
      </c>
      <c r="E29" s="64">
        <v>3.42</v>
      </c>
      <c r="F29" s="64">
        <v>7.9</v>
      </c>
      <c r="G29" s="64">
        <v>21.67</v>
      </c>
      <c r="H29" s="64">
        <v>12.29</v>
      </c>
      <c r="I29" s="64">
        <v>1.47</v>
      </c>
      <c r="J29" s="64">
        <v>0.08</v>
      </c>
      <c r="K29" s="64">
        <v>92.54</v>
      </c>
      <c r="L29" s="64">
        <v>23.28</v>
      </c>
      <c r="M29" s="64">
        <v>98.95</v>
      </c>
      <c r="N29" s="64">
        <v>43.4</v>
      </c>
      <c r="O29" s="64">
        <v>0.2</v>
      </c>
      <c r="P29" s="64">
        <v>0.24</v>
      </c>
      <c r="Q29" s="64">
        <v>9.31</v>
      </c>
      <c r="R29" s="198"/>
      <c r="S29" s="198"/>
      <c r="T29" s="198"/>
      <c r="U29" s="198"/>
    </row>
    <row r="30" spans="1:21" s="12" customFormat="1" x14ac:dyDescent="0.25">
      <c r="A30" s="213" t="s">
        <v>2089</v>
      </c>
      <c r="B30" s="64">
        <v>11.26</v>
      </c>
      <c r="C30" s="64">
        <v>16</v>
      </c>
      <c r="D30" s="64">
        <v>17.39</v>
      </c>
      <c r="E30" s="64">
        <v>3.45</v>
      </c>
      <c r="F30" s="64">
        <v>4.88</v>
      </c>
      <c r="G30" s="64">
        <v>22.68</v>
      </c>
      <c r="H30" s="64">
        <v>12.83</v>
      </c>
      <c r="I30" s="64">
        <v>1.46</v>
      </c>
      <c r="J30" s="64">
        <v>0.1</v>
      </c>
      <c r="K30" s="64">
        <v>336.16</v>
      </c>
      <c r="L30" s="64">
        <v>23.31</v>
      </c>
      <c r="M30" s="64">
        <v>98.95</v>
      </c>
      <c r="N30" s="64">
        <v>44.5</v>
      </c>
      <c r="O30" s="64">
        <v>0</v>
      </c>
      <c r="P30" s="64">
        <v>0.31</v>
      </c>
      <c r="Q30" s="64">
        <v>9.31</v>
      </c>
      <c r="R30" s="198"/>
      <c r="S30" s="198"/>
      <c r="T30" s="198"/>
      <c r="U30" s="198"/>
    </row>
    <row r="31" spans="1:21" s="12" customFormat="1" x14ac:dyDescent="0.25">
      <c r="A31" s="213" t="s">
        <v>2090</v>
      </c>
      <c r="B31" s="64">
        <v>14.58</v>
      </c>
      <c r="C31" s="64">
        <v>11.62</v>
      </c>
      <c r="D31" s="64">
        <v>17.77</v>
      </c>
      <c r="E31" s="64">
        <v>3.5</v>
      </c>
      <c r="F31" s="64">
        <v>5.28</v>
      </c>
      <c r="G31" s="64">
        <v>25.18</v>
      </c>
      <c r="H31" s="64">
        <v>14.17</v>
      </c>
      <c r="I31" s="64">
        <v>1.44</v>
      </c>
      <c r="J31" s="64">
        <v>0.13</v>
      </c>
      <c r="K31" s="64">
        <v>1.45</v>
      </c>
      <c r="L31" s="64">
        <v>23.09</v>
      </c>
      <c r="M31" s="64">
        <v>98.97</v>
      </c>
      <c r="N31" s="64">
        <v>49.5</v>
      </c>
      <c r="O31" s="64">
        <v>0</v>
      </c>
      <c r="P31" s="64">
        <v>0.33</v>
      </c>
      <c r="Q31" s="64">
        <v>9.3000000000000007</v>
      </c>
      <c r="R31" s="198"/>
      <c r="S31" s="198"/>
      <c r="T31" s="198"/>
      <c r="U31" s="198"/>
    </row>
    <row r="32" spans="1:21" s="12" customFormat="1" x14ac:dyDescent="0.25">
      <c r="A32" s="213" t="s">
        <v>2091</v>
      </c>
      <c r="B32" s="64">
        <v>11.52</v>
      </c>
      <c r="C32" s="64">
        <v>13.55</v>
      </c>
      <c r="D32" s="64">
        <v>16.32</v>
      </c>
      <c r="E32" s="64">
        <v>3.69</v>
      </c>
      <c r="F32" s="64">
        <v>7.55</v>
      </c>
      <c r="G32" s="64">
        <v>25.18</v>
      </c>
      <c r="H32" s="64">
        <v>14.17</v>
      </c>
      <c r="I32" s="64">
        <v>1.41</v>
      </c>
      <c r="J32" s="64">
        <v>7.0000000000000007E-2</v>
      </c>
      <c r="K32" s="64">
        <v>125.36</v>
      </c>
      <c r="L32" s="64">
        <v>22.98</v>
      </c>
      <c r="M32" s="64">
        <v>98.98</v>
      </c>
      <c r="N32" s="64">
        <v>54.6</v>
      </c>
      <c r="O32" s="64">
        <v>0</v>
      </c>
      <c r="P32" s="64">
        <v>0.27</v>
      </c>
      <c r="Q32" s="64">
        <v>9.2899999999999991</v>
      </c>
      <c r="R32" s="198"/>
      <c r="S32" s="198"/>
      <c r="T32" s="198"/>
      <c r="U32" s="198"/>
    </row>
    <row r="33" spans="1:21" s="12" customFormat="1" x14ac:dyDescent="0.25">
      <c r="A33" s="213" t="s">
        <v>2092</v>
      </c>
      <c r="B33" s="64">
        <v>13.36</v>
      </c>
      <c r="C33" s="64">
        <v>10.25</v>
      </c>
      <c r="D33" s="64">
        <v>16.07</v>
      </c>
      <c r="E33" s="64">
        <v>3.69</v>
      </c>
      <c r="F33" s="64">
        <v>4.47</v>
      </c>
      <c r="G33" s="64">
        <v>25.18</v>
      </c>
      <c r="H33" s="64">
        <v>14.17</v>
      </c>
      <c r="I33" s="64">
        <v>1.38</v>
      </c>
      <c r="J33" s="64">
        <v>0.08</v>
      </c>
      <c r="K33" s="64">
        <v>273.74</v>
      </c>
      <c r="L33" s="64">
        <v>23.08</v>
      </c>
      <c r="M33" s="64">
        <v>98.98</v>
      </c>
      <c r="N33" s="64">
        <v>51.6</v>
      </c>
      <c r="O33" s="64">
        <v>0</v>
      </c>
      <c r="P33" s="64">
        <v>0.34</v>
      </c>
      <c r="Q33" s="64">
        <v>9.2799999999999994</v>
      </c>
      <c r="R33" s="198"/>
      <c r="S33" s="198"/>
      <c r="T33" s="198"/>
      <c r="U33" s="198"/>
    </row>
    <row r="34" spans="1:21" s="12" customFormat="1" x14ac:dyDescent="0.25">
      <c r="A34" s="213" t="s">
        <v>2093</v>
      </c>
      <c r="B34" s="64">
        <v>13.86</v>
      </c>
      <c r="C34" s="64">
        <v>9.81</v>
      </c>
      <c r="D34" s="64">
        <v>16.25</v>
      </c>
      <c r="E34" s="64">
        <v>3.53</v>
      </c>
      <c r="F34" s="64">
        <v>2.97</v>
      </c>
      <c r="G34" s="64">
        <v>23.43</v>
      </c>
      <c r="H34" s="64">
        <v>13.03</v>
      </c>
      <c r="I34" s="64">
        <v>1.35</v>
      </c>
      <c r="J34" s="64">
        <v>0.73</v>
      </c>
      <c r="K34" s="64">
        <v>314.08999999999997</v>
      </c>
      <c r="L34" s="64">
        <v>22.43</v>
      </c>
      <c r="M34" s="64">
        <v>98.98</v>
      </c>
      <c r="N34" s="64">
        <v>47.2</v>
      </c>
      <c r="O34" s="64">
        <v>0.6</v>
      </c>
      <c r="P34" s="64">
        <v>0.32</v>
      </c>
      <c r="Q34" s="64">
        <v>9.27</v>
      </c>
      <c r="R34" s="198"/>
      <c r="S34" s="198"/>
      <c r="T34" s="198"/>
      <c r="U34" s="198"/>
    </row>
    <row r="35" spans="1:21" s="12" customFormat="1" x14ac:dyDescent="0.25">
      <c r="A35" s="213" t="s">
        <v>2094</v>
      </c>
      <c r="B35" s="64">
        <v>12.28</v>
      </c>
      <c r="C35" s="64">
        <v>10.76</v>
      </c>
      <c r="D35" s="64">
        <v>15.47</v>
      </c>
      <c r="E35" s="64">
        <v>3.29</v>
      </c>
      <c r="F35" s="64">
        <v>4.29</v>
      </c>
      <c r="G35" s="64">
        <v>19.13</v>
      </c>
      <c r="H35" s="64">
        <v>10.220000000000001</v>
      </c>
      <c r="I35" s="64">
        <v>1.33</v>
      </c>
      <c r="J35" s="64">
        <v>1.27</v>
      </c>
      <c r="K35" s="64">
        <v>318.2</v>
      </c>
      <c r="L35" s="64">
        <v>21.73</v>
      </c>
      <c r="M35" s="64">
        <v>98.93</v>
      </c>
      <c r="N35" s="64">
        <v>48</v>
      </c>
      <c r="O35" s="64">
        <v>4.2</v>
      </c>
      <c r="P35" s="64">
        <v>0.3</v>
      </c>
      <c r="Q35" s="64">
        <v>9.23</v>
      </c>
      <c r="R35" s="198"/>
      <c r="S35" s="198"/>
      <c r="T35" s="198"/>
      <c r="U35" s="198"/>
    </row>
    <row r="36" spans="1:21" s="12" customFormat="1" x14ac:dyDescent="0.25">
      <c r="A36" s="213" t="s">
        <v>2095</v>
      </c>
      <c r="B36" s="64">
        <v>10.26</v>
      </c>
      <c r="C36" s="64">
        <v>12.38</v>
      </c>
      <c r="D36" s="64">
        <v>14.7</v>
      </c>
      <c r="E36" s="64">
        <v>3.24</v>
      </c>
      <c r="F36" s="64">
        <v>3.23</v>
      </c>
      <c r="G36" s="64">
        <v>19.13</v>
      </c>
      <c r="H36" s="64">
        <v>10.220000000000001</v>
      </c>
      <c r="I36" s="64">
        <v>1.27</v>
      </c>
      <c r="J36" s="64">
        <v>1.68</v>
      </c>
      <c r="K36" s="64">
        <v>323.73</v>
      </c>
      <c r="L36" s="64">
        <v>21.04</v>
      </c>
      <c r="M36" s="64">
        <v>98.93</v>
      </c>
      <c r="N36" s="64">
        <v>50.5</v>
      </c>
      <c r="O36" s="64">
        <v>4</v>
      </c>
      <c r="P36" s="64">
        <v>0.27</v>
      </c>
      <c r="Q36" s="64">
        <v>9.19</v>
      </c>
      <c r="R36" s="198"/>
      <c r="S36" s="198"/>
      <c r="T36" s="198"/>
      <c r="U36" s="198"/>
    </row>
    <row r="37" spans="1:21" s="12" customFormat="1" x14ac:dyDescent="0.25">
      <c r="A37" s="213" t="s">
        <v>2096</v>
      </c>
      <c r="B37" s="64">
        <v>8.76</v>
      </c>
      <c r="C37" s="64">
        <v>13.37</v>
      </c>
      <c r="D37" s="64">
        <v>14.01</v>
      </c>
      <c r="E37" s="64">
        <v>2.99</v>
      </c>
      <c r="F37" s="64">
        <v>4.33</v>
      </c>
      <c r="G37" s="64">
        <v>19.13</v>
      </c>
      <c r="H37" s="64">
        <v>10.220000000000001</v>
      </c>
      <c r="I37" s="64">
        <v>1.1599999999999999</v>
      </c>
      <c r="J37" s="64">
        <v>1.04</v>
      </c>
      <c r="K37" s="64">
        <v>321.20999999999998</v>
      </c>
      <c r="L37" s="64">
        <v>21.01</v>
      </c>
      <c r="M37" s="64">
        <v>98.93</v>
      </c>
      <c r="N37" s="64">
        <v>57.6</v>
      </c>
      <c r="O37" s="64">
        <v>4.8</v>
      </c>
      <c r="P37" s="64">
        <v>0.3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13" t="s">
        <v>2097</v>
      </c>
      <c r="B38" s="64">
        <v>8.01</v>
      </c>
      <c r="C38" s="64">
        <v>13.81</v>
      </c>
      <c r="D38" s="64">
        <v>13.64</v>
      </c>
      <c r="E38" s="64">
        <v>2.99</v>
      </c>
      <c r="F38" s="64">
        <v>3.55</v>
      </c>
      <c r="G38" s="64">
        <v>17.52</v>
      </c>
      <c r="H38" s="64">
        <v>10.06</v>
      </c>
      <c r="I38" s="64">
        <v>1.1299999999999999</v>
      </c>
      <c r="J38" s="64">
        <v>1.7</v>
      </c>
      <c r="K38" s="64">
        <v>330.43</v>
      </c>
      <c r="L38" s="64">
        <v>21.17</v>
      </c>
      <c r="M38" s="64">
        <v>98.93</v>
      </c>
      <c r="N38" s="64">
        <v>64.599999999999994</v>
      </c>
      <c r="O38" s="64">
        <v>0.2</v>
      </c>
      <c r="P38" s="64">
        <v>0.28999999999999998</v>
      </c>
      <c r="Q38" s="64">
        <v>9.11</v>
      </c>
      <c r="R38" s="198"/>
      <c r="S38" s="198"/>
      <c r="T38" s="198"/>
      <c r="U38" s="198"/>
    </row>
    <row r="39" spans="1:21" s="12" customFormat="1" x14ac:dyDescent="0.25">
      <c r="A39" s="213" t="s">
        <v>2098</v>
      </c>
      <c r="B39" s="64">
        <v>7.6</v>
      </c>
      <c r="C39" s="64">
        <v>13.9</v>
      </c>
      <c r="D39" s="64">
        <v>13.36</v>
      </c>
      <c r="E39" s="64">
        <v>3.01</v>
      </c>
      <c r="F39" s="64">
        <v>4.72</v>
      </c>
      <c r="G39" s="64">
        <v>13.56</v>
      </c>
      <c r="H39" s="64">
        <v>9.67</v>
      </c>
      <c r="I39" s="64">
        <v>1.03</v>
      </c>
      <c r="J39" s="64">
        <v>2.2200000000000002</v>
      </c>
      <c r="K39" s="64">
        <v>331.85</v>
      </c>
      <c r="L39" s="64">
        <v>21.06</v>
      </c>
      <c r="M39" s="64">
        <v>98.94</v>
      </c>
      <c r="N39" s="64">
        <v>81.5</v>
      </c>
      <c r="O39" s="64">
        <v>0.6</v>
      </c>
      <c r="P39" s="64">
        <v>0.28999999999999998</v>
      </c>
      <c r="Q39" s="64">
        <v>9.08</v>
      </c>
      <c r="R39" s="198"/>
      <c r="S39" s="198"/>
      <c r="T39" s="198"/>
      <c r="U39" s="198"/>
    </row>
    <row r="40" spans="1:21" s="12" customFormat="1" x14ac:dyDescent="0.25">
      <c r="A40" s="213" t="s">
        <v>2099</v>
      </c>
      <c r="B40" s="64">
        <v>7.85</v>
      </c>
      <c r="C40" s="64">
        <v>15.23</v>
      </c>
      <c r="D40" s="64">
        <v>14.25</v>
      </c>
      <c r="E40" s="64">
        <v>4.9800000000000004</v>
      </c>
      <c r="F40" s="64">
        <v>3.97</v>
      </c>
      <c r="G40" s="64">
        <v>13.56</v>
      </c>
      <c r="H40" s="64">
        <v>9.67</v>
      </c>
      <c r="I40" s="64">
        <v>0.99</v>
      </c>
      <c r="J40" s="64">
        <v>2.27</v>
      </c>
      <c r="K40" s="64">
        <v>334</v>
      </c>
      <c r="L40" s="64">
        <v>21.08</v>
      </c>
      <c r="M40" s="64">
        <v>98.93</v>
      </c>
      <c r="N40" s="64">
        <v>75.3</v>
      </c>
      <c r="O40" s="64">
        <v>1.4</v>
      </c>
      <c r="P40" s="64">
        <v>0.27</v>
      </c>
      <c r="Q40" s="64">
        <v>9.08</v>
      </c>
      <c r="R40" s="198"/>
      <c r="S40" s="198"/>
      <c r="T40" s="198"/>
      <c r="U40" s="198"/>
    </row>
    <row r="41" spans="1:21" s="12" customFormat="1" x14ac:dyDescent="0.25">
      <c r="A41" s="213" t="s">
        <v>2100</v>
      </c>
      <c r="B41" s="64">
        <v>7.7</v>
      </c>
      <c r="C41" s="64">
        <v>15.89</v>
      </c>
      <c r="D41" s="64">
        <v>14.47</v>
      </c>
      <c r="E41" s="64">
        <v>4.99</v>
      </c>
      <c r="F41" s="64">
        <v>4.92</v>
      </c>
      <c r="G41" s="64">
        <v>13.56</v>
      </c>
      <c r="H41" s="64">
        <v>9.67</v>
      </c>
      <c r="I41" s="64">
        <v>1</v>
      </c>
      <c r="J41" s="64">
        <v>1.39</v>
      </c>
      <c r="K41" s="64">
        <v>332.84</v>
      </c>
      <c r="L41" s="64">
        <v>21.21</v>
      </c>
      <c r="M41" s="64">
        <v>98.93</v>
      </c>
      <c r="N41" s="64">
        <v>87.7</v>
      </c>
      <c r="O41" s="64">
        <v>0.6</v>
      </c>
      <c r="P41" s="64">
        <v>0.25</v>
      </c>
      <c r="Q41" s="64">
        <v>9.1</v>
      </c>
      <c r="R41" s="198"/>
      <c r="S41" s="198"/>
      <c r="T41" s="198"/>
      <c r="U41" s="198"/>
    </row>
    <row r="42" spans="1:21" s="12" customFormat="1" x14ac:dyDescent="0.25">
      <c r="A42" s="213" t="s">
        <v>2101</v>
      </c>
      <c r="B42" s="64">
        <v>7.94</v>
      </c>
      <c r="C42" s="64">
        <v>13.6</v>
      </c>
      <c r="D42" s="64">
        <v>13.47</v>
      </c>
      <c r="E42" s="64">
        <v>4.6500000000000004</v>
      </c>
      <c r="F42" s="64">
        <v>3.8</v>
      </c>
      <c r="G42" s="64">
        <v>13.03</v>
      </c>
      <c r="H42" s="64">
        <v>9.17</v>
      </c>
      <c r="I42" s="64">
        <v>0.95</v>
      </c>
      <c r="J42" s="64">
        <v>1.08</v>
      </c>
      <c r="K42" s="64">
        <v>328.34</v>
      </c>
      <c r="L42" s="64">
        <v>21.54</v>
      </c>
      <c r="M42" s="64">
        <v>98.93</v>
      </c>
      <c r="N42" s="64">
        <v>140.30000000000001</v>
      </c>
      <c r="O42" s="64">
        <v>0.2</v>
      </c>
      <c r="P42" s="64">
        <v>0.26</v>
      </c>
      <c r="Q42" s="64">
        <v>9.1</v>
      </c>
      <c r="R42" s="198"/>
      <c r="S42" s="198"/>
      <c r="T42" s="198"/>
      <c r="U42" s="198"/>
    </row>
    <row r="43" spans="1:21" s="12" customFormat="1" x14ac:dyDescent="0.25">
      <c r="A43" s="213" t="s">
        <v>2102</v>
      </c>
      <c r="B43" s="64">
        <v>8.33</v>
      </c>
      <c r="C43" s="64">
        <v>13.02</v>
      </c>
      <c r="D43" s="64">
        <v>13.48</v>
      </c>
      <c r="E43" s="64">
        <v>4.92</v>
      </c>
      <c r="F43" s="64">
        <v>3.75</v>
      </c>
      <c r="G43" s="64">
        <v>11.74</v>
      </c>
      <c r="H43" s="64">
        <v>7.94</v>
      </c>
      <c r="I43" s="64">
        <v>0.93</v>
      </c>
      <c r="J43" s="64">
        <v>1.21</v>
      </c>
      <c r="K43" s="64">
        <v>328.06</v>
      </c>
      <c r="L43" s="64">
        <v>21.81</v>
      </c>
      <c r="M43" s="64">
        <v>98.92</v>
      </c>
      <c r="N43" s="64">
        <v>177.2</v>
      </c>
      <c r="O43" s="64">
        <v>0.2</v>
      </c>
      <c r="P43" s="64">
        <v>0.27</v>
      </c>
      <c r="Q43" s="64">
        <v>9.1199999999999992</v>
      </c>
      <c r="R43" s="198"/>
      <c r="S43" s="198"/>
      <c r="T43" s="198"/>
      <c r="U43" s="198"/>
    </row>
    <row r="44" spans="1:21" s="12" customFormat="1" x14ac:dyDescent="0.25">
      <c r="A44" s="213" t="s">
        <v>2103</v>
      </c>
      <c r="B44" s="64">
        <v>8.2200000000000006</v>
      </c>
      <c r="C44" s="64">
        <v>12.81</v>
      </c>
      <c r="D44" s="64">
        <v>13.29</v>
      </c>
      <c r="E44" s="64">
        <v>4.88</v>
      </c>
      <c r="F44" s="64">
        <v>4.2</v>
      </c>
      <c r="G44" s="64">
        <v>11.74</v>
      </c>
      <c r="H44" s="64">
        <v>7.94</v>
      </c>
      <c r="I44" s="64">
        <v>0.94</v>
      </c>
      <c r="J44" s="64">
        <v>1.18</v>
      </c>
      <c r="K44" s="64">
        <v>327.41000000000003</v>
      </c>
      <c r="L44" s="64">
        <v>21.84</v>
      </c>
      <c r="M44" s="64">
        <v>98.93</v>
      </c>
      <c r="N44" s="64">
        <v>155.30000000000001</v>
      </c>
      <c r="O44" s="64">
        <v>0</v>
      </c>
      <c r="P44" s="64">
        <v>0.27</v>
      </c>
      <c r="Q44" s="64">
        <v>9.1300000000000008</v>
      </c>
      <c r="R44" s="198"/>
      <c r="S44" s="198"/>
      <c r="T44" s="198"/>
      <c r="U44" s="198"/>
    </row>
    <row r="45" spans="1:21" s="12" customFormat="1" x14ac:dyDescent="0.25">
      <c r="A45" s="213" t="s">
        <v>2104</v>
      </c>
      <c r="B45" s="64">
        <v>9.2799999999999994</v>
      </c>
      <c r="C45" s="64">
        <v>12.95</v>
      </c>
      <c r="D45" s="64">
        <v>14.21</v>
      </c>
      <c r="E45" s="64">
        <v>4.71</v>
      </c>
      <c r="F45" s="64">
        <v>4.3099999999999996</v>
      </c>
      <c r="G45" s="64">
        <v>11.74</v>
      </c>
      <c r="H45" s="64">
        <v>7.94</v>
      </c>
      <c r="I45" s="64">
        <v>0.96</v>
      </c>
      <c r="J45" s="64">
        <v>0.73</v>
      </c>
      <c r="K45" s="64">
        <v>326.81</v>
      </c>
      <c r="L45" s="64">
        <v>22.15</v>
      </c>
      <c r="M45" s="64">
        <v>98.94</v>
      </c>
      <c r="N45" s="64">
        <v>192</v>
      </c>
      <c r="O45" s="64">
        <v>0</v>
      </c>
      <c r="P45" s="64">
        <v>0.27</v>
      </c>
      <c r="Q45" s="64">
        <v>9.15</v>
      </c>
      <c r="R45" s="198"/>
      <c r="S45" s="198"/>
      <c r="T45" s="198"/>
      <c r="U45" s="198"/>
    </row>
    <row r="46" spans="1:21" s="12" customFormat="1" x14ac:dyDescent="0.25">
      <c r="A46" s="213" t="s">
        <v>2105</v>
      </c>
      <c r="B46" s="64">
        <v>9.8699999999999992</v>
      </c>
      <c r="C46" s="64">
        <v>14.28</v>
      </c>
      <c r="D46" s="64">
        <v>15.37</v>
      </c>
      <c r="E46" s="64">
        <v>4.88</v>
      </c>
      <c r="F46" s="64">
        <v>4.6100000000000003</v>
      </c>
      <c r="G46" s="64">
        <v>11.76</v>
      </c>
      <c r="H46" s="64">
        <v>9.0399999999999991</v>
      </c>
      <c r="I46" s="64">
        <v>0.96</v>
      </c>
      <c r="J46" s="64">
        <v>0.34</v>
      </c>
      <c r="K46" s="64">
        <v>313.72000000000003</v>
      </c>
      <c r="L46" s="64">
        <v>22.84</v>
      </c>
      <c r="M46" s="64">
        <v>98.92</v>
      </c>
      <c r="N46" s="64">
        <v>292.10000000000002</v>
      </c>
      <c r="O46" s="64">
        <v>0</v>
      </c>
      <c r="P46" s="64">
        <v>0.28999999999999998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3" t="s">
        <v>2106</v>
      </c>
      <c r="B47" s="64">
        <v>11.45</v>
      </c>
      <c r="C47" s="64">
        <v>14.55</v>
      </c>
      <c r="D47" s="64">
        <v>16.78</v>
      </c>
      <c r="E47" s="64">
        <v>4.6900000000000004</v>
      </c>
      <c r="F47" s="64">
        <v>4.55</v>
      </c>
      <c r="G47" s="64">
        <v>11.81</v>
      </c>
      <c r="H47" s="64">
        <v>11.75</v>
      </c>
      <c r="I47" s="64">
        <v>0.97</v>
      </c>
      <c r="J47" s="64">
        <v>0.45</v>
      </c>
      <c r="K47" s="64">
        <v>326.62</v>
      </c>
      <c r="L47" s="64">
        <v>23.88</v>
      </c>
      <c r="M47" s="64">
        <v>98.87</v>
      </c>
      <c r="N47" s="64">
        <v>640.79999999999995</v>
      </c>
      <c r="O47" s="64">
        <v>0</v>
      </c>
      <c r="P47" s="64">
        <v>0.3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3" t="s">
        <v>2107</v>
      </c>
      <c r="B48" s="64">
        <v>9.65</v>
      </c>
      <c r="C48" s="64">
        <v>13.91</v>
      </c>
      <c r="D48" s="64">
        <v>15</v>
      </c>
      <c r="E48" s="64">
        <v>4.95</v>
      </c>
      <c r="F48" s="64">
        <v>4.21</v>
      </c>
      <c r="G48" s="64">
        <v>11.81</v>
      </c>
      <c r="H48" s="64">
        <v>11.75</v>
      </c>
      <c r="I48" s="64">
        <v>0.99</v>
      </c>
      <c r="J48" s="64">
        <v>0.3</v>
      </c>
      <c r="K48" s="64">
        <v>320.60000000000002</v>
      </c>
      <c r="L48" s="64">
        <v>25.21</v>
      </c>
      <c r="M48" s="64">
        <v>98.92</v>
      </c>
      <c r="N48" s="64">
        <v>394.5</v>
      </c>
      <c r="O48" s="64">
        <v>0</v>
      </c>
      <c r="P48" s="64">
        <v>0.3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3" t="s">
        <v>2108</v>
      </c>
      <c r="B49" s="64">
        <v>10</v>
      </c>
      <c r="C49" s="64">
        <v>13.3</v>
      </c>
      <c r="D49" s="64">
        <v>14.96</v>
      </c>
      <c r="E49" s="64">
        <v>4.95</v>
      </c>
      <c r="F49" s="64">
        <v>3.55</v>
      </c>
      <c r="G49" s="64">
        <v>11.81</v>
      </c>
      <c r="H49" s="64">
        <v>11.75</v>
      </c>
      <c r="I49" s="64">
        <v>1.01</v>
      </c>
      <c r="J49" s="64">
        <v>0.23</v>
      </c>
      <c r="K49" s="64">
        <v>303.14999999999998</v>
      </c>
      <c r="L49" s="64">
        <v>25.3</v>
      </c>
      <c r="M49" s="64">
        <v>98.7</v>
      </c>
      <c r="N49" s="64">
        <v>264.10000000000002</v>
      </c>
      <c r="O49" s="64">
        <v>0</v>
      </c>
      <c r="P49" s="64">
        <v>0.32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3" t="s">
        <v>2109</v>
      </c>
      <c r="B50" s="64">
        <v>11.53</v>
      </c>
      <c r="C50" s="64">
        <v>12.41</v>
      </c>
      <c r="D50" s="64">
        <v>15.73</v>
      </c>
      <c r="E50" s="64">
        <v>4.71</v>
      </c>
      <c r="F50" s="64">
        <v>4.2699999999999996</v>
      </c>
      <c r="G50" s="64">
        <v>14.2</v>
      </c>
      <c r="H50" s="64">
        <v>10.85</v>
      </c>
      <c r="I50" s="64">
        <v>1.01</v>
      </c>
      <c r="J50" s="64">
        <v>0.19</v>
      </c>
      <c r="K50" s="64">
        <v>306.27</v>
      </c>
      <c r="L50" s="64">
        <v>25.3</v>
      </c>
      <c r="M50" s="64">
        <v>98.65</v>
      </c>
      <c r="N50" s="64">
        <v>222.5</v>
      </c>
      <c r="O50" s="64">
        <v>0</v>
      </c>
      <c r="P50" s="64">
        <v>0.33</v>
      </c>
      <c r="Q50" s="64">
        <v>9.16</v>
      </c>
      <c r="R50" s="198"/>
      <c r="S50" s="198"/>
      <c r="T50" s="198"/>
      <c r="U50" s="198"/>
    </row>
    <row r="51" spans="1:21" s="12" customFormat="1" x14ac:dyDescent="0.25">
      <c r="A51" s="213" t="s">
        <v>2110</v>
      </c>
      <c r="B51" s="64">
        <v>11.96</v>
      </c>
      <c r="C51" s="64">
        <v>14.54</v>
      </c>
      <c r="D51" s="64">
        <v>17.18</v>
      </c>
      <c r="E51" s="64">
        <v>4.83</v>
      </c>
      <c r="F51" s="64">
        <v>4.5199999999999996</v>
      </c>
      <c r="G51" s="64">
        <v>20.079999999999998</v>
      </c>
      <c r="H51" s="64">
        <v>8.66</v>
      </c>
      <c r="I51" s="64">
        <v>1.02</v>
      </c>
      <c r="J51" s="64">
        <v>0.19</v>
      </c>
      <c r="K51" s="64">
        <v>328.26</v>
      </c>
      <c r="L51" s="64">
        <v>25.43</v>
      </c>
      <c r="M51" s="64">
        <v>98.65</v>
      </c>
      <c r="N51" s="64">
        <v>236.1</v>
      </c>
      <c r="O51" s="64">
        <v>0</v>
      </c>
      <c r="P51" s="64">
        <v>0.37</v>
      </c>
      <c r="Q51" s="64">
        <v>9.17</v>
      </c>
      <c r="R51" s="198"/>
      <c r="S51" s="198"/>
      <c r="T51" s="198"/>
      <c r="U51" s="198"/>
    </row>
    <row r="52" spans="1:21" s="12" customFormat="1" x14ac:dyDescent="0.25">
      <c r="A52" s="213" t="s">
        <v>2111</v>
      </c>
      <c r="B52" s="64">
        <v>11.94</v>
      </c>
      <c r="C52" s="64">
        <v>12.11</v>
      </c>
      <c r="D52" s="64">
        <v>15.9</v>
      </c>
      <c r="E52" s="64">
        <v>4.79</v>
      </c>
      <c r="F52" s="64">
        <v>4.0999999999999996</v>
      </c>
      <c r="G52" s="64">
        <v>20.079999999999998</v>
      </c>
      <c r="H52" s="64">
        <v>8.66</v>
      </c>
      <c r="I52" s="64">
        <v>1.05</v>
      </c>
      <c r="J52" s="64">
        <v>0.11</v>
      </c>
      <c r="K52" s="64">
        <v>269.7</v>
      </c>
      <c r="L52" s="64">
        <v>25.43</v>
      </c>
      <c r="M52" s="64">
        <v>98.59</v>
      </c>
      <c r="N52" s="64">
        <v>250.2</v>
      </c>
      <c r="O52" s="64">
        <v>0</v>
      </c>
      <c r="P52" s="64">
        <v>0.35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3" t="s">
        <v>2112</v>
      </c>
      <c r="B53" s="64">
        <v>10.87</v>
      </c>
      <c r="C53" s="64">
        <v>13.16</v>
      </c>
      <c r="D53" s="64">
        <v>15.59</v>
      </c>
      <c r="E53" s="64">
        <v>4.55</v>
      </c>
      <c r="F53" s="64">
        <v>4.45</v>
      </c>
      <c r="G53" s="64">
        <v>20.079999999999998</v>
      </c>
      <c r="H53" s="64">
        <v>8.66</v>
      </c>
      <c r="I53" s="64">
        <v>1.08</v>
      </c>
      <c r="J53" s="64">
        <v>0.12</v>
      </c>
      <c r="K53" s="64">
        <v>287.81</v>
      </c>
      <c r="L53" s="64">
        <v>25.79</v>
      </c>
      <c r="M53" s="64">
        <v>98.58</v>
      </c>
      <c r="N53" s="64">
        <v>297.60000000000002</v>
      </c>
      <c r="O53" s="64">
        <v>0</v>
      </c>
      <c r="P53" s="64">
        <v>0.36</v>
      </c>
      <c r="Q53" s="64">
        <v>9.17</v>
      </c>
      <c r="R53" s="198"/>
      <c r="S53" s="198"/>
      <c r="T53" s="198"/>
      <c r="U53" s="198"/>
    </row>
    <row r="54" spans="1:21" s="12" customFormat="1" x14ac:dyDescent="0.25">
      <c r="A54" s="213" t="s">
        <v>2113</v>
      </c>
      <c r="B54" s="64">
        <v>10.76</v>
      </c>
      <c r="C54" s="64">
        <v>13.93</v>
      </c>
      <c r="D54" s="64">
        <v>15.91</v>
      </c>
      <c r="E54" s="64">
        <v>5.13</v>
      </c>
      <c r="F54" s="64">
        <v>3.63</v>
      </c>
      <c r="G54" s="64">
        <v>24.71</v>
      </c>
      <c r="H54" s="64">
        <v>9.89</v>
      </c>
      <c r="I54" s="64">
        <v>1.1000000000000001</v>
      </c>
      <c r="J54" s="64">
        <v>0.14000000000000001</v>
      </c>
      <c r="K54" s="64">
        <v>287.16000000000003</v>
      </c>
      <c r="L54" s="64">
        <v>26.23</v>
      </c>
      <c r="M54" s="64">
        <v>98.54</v>
      </c>
      <c r="N54" s="64">
        <v>305.3</v>
      </c>
      <c r="O54" s="64">
        <v>0</v>
      </c>
      <c r="P54" s="64">
        <v>0.38</v>
      </c>
      <c r="Q54" s="64">
        <v>9.18</v>
      </c>
      <c r="R54" s="198"/>
      <c r="S54" s="198"/>
      <c r="T54" s="198"/>
      <c r="U54" s="198"/>
    </row>
    <row r="55" spans="1:21" s="12" customFormat="1" x14ac:dyDescent="0.25">
      <c r="A55" s="213" t="s">
        <v>2114</v>
      </c>
      <c r="B55" s="64">
        <v>10.37</v>
      </c>
      <c r="C55" s="64">
        <v>13.82</v>
      </c>
      <c r="D55" s="64">
        <v>15.54</v>
      </c>
      <c r="E55" s="64">
        <v>5.01</v>
      </c>
      <c r="F55" s="64">
        <v>4.68</v>
      </c>
      <c r="G55" s="64">
        <v>36.11</v>
      </c>
      <c r="H55" s="64">
        <v>12.92</v>
      </c>
      <c r="I55" s="64">
        <v>1.1000000000000001</v>
      </c>
      <c r="J55" s="64">
        <v>0.11</v>
      </c>
      <c r="K55" s="64">
        <v>250.18</v>
      </c>
      <c r="L55" s="64">
        <v>26.25</v>
      </c>
      <c r="M55" s="64">
        <v>98.56</v>
      </c>
      <c r="N55" s="64">
        <v>265.2</v>
      </c>
      <c r="O55" s="64">
        <v>0</v>
      </c>
      <c r="P55" s="64">
        <v>0.36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3" t="s">
        <v>2115</v>
      </c>
      <c r="B56" s="64">
        <v>10.77</v>
      </c>
      <c r="C56" s="64">
        <v>16.05</v>
      </c>
      <c r="D56" s="64">
        <v>17.02</v>
      </c>
      <c r="E56" s="64">
        <v>4.9800000000000004</v>
      </c>
      <c r="F56" s="64">
        <v>4.25</v>
      </c>
      <c r="G56" s="64">
        <v>36.11</v>
      </c>
      <c r="H56" s="64">
        <v>12.92</v>
      </c>
      <c r="I56" s="64">
        <v>1.05</v>
      </c>
      <c r="J56" s="64">
        <v>0.05</v>
      </c>
      <c r="K56" s="64">
        <v>199.69</v>
      </c>
      <c r="L56" s="64">
        <v>26.54</v>
      </c>
      <c r="M56" s="64">
        <v>98.14</v>
      </c>
      <c r="N56" s="64">
        <v>337.8</v>
      </c>
      <c r="O56" s="64">
        <v>0</v>
      </c>
      <c r="P56" s="64">
        <v>0.4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3" t="s">
        <v>2116</v>
      </c>
      <c r="B57" s="64">
        <v>10.77</v>
      </c>
      <c r="C57" s="64">
        <v>18.57</v>
      </c>
      <c r="D57" s="64">
        <v>18.34</v>
      </c>
      <c r="E57" s="64">
        <v>4.84</v>
      </c>
      <c r="F57" s="64">
        <v>5.99</v>
      </c>
      <c r="G57" s="64">
        <v>36.11</v>
      </c>
      <c r="H57" s="64">
        <v>12.92</v>
      </c>
      <c r="I57" s="64">
        <v>1.06</v>
      </c>
      <c r="J57" s="64">
        <v>0.61</v>
      </c>
      <c r="K57" s="64">
        <v>140.04</v>
      </c>
      <c r="L57" s="64">
        <v>25.97</v>
      </c>
      <c r="M57" s="64">
        <v>98.4</v>
      </c>
      <c r="N57" s="64">
        <v>305.10000000000002</v>
      </c>
      <c r="O57" s="64">
        <v>0</v>
      </c>
      <c r="P57" s="64">
        <v>0.56999999999999995</v>
      </c>
      <c r="Q57" s="64">
        <v>9.17</v>
      </c>
      <c r="R57" s="198"/>
      <c r="S57" s="198"/>
      <c r="T57" s="198"/>
      <c r="U57" s="198"/>
    </row>
    <row r="58" spans="1:21" s="12" customFormat="1" x14ac:dyDescent="0.25">
      <c r="A58" s="213" t="s">
        <v>2117</v>
      </c>
      <c r="B58" s="64">
        <v>10.34</v>
      </c>
      <c r="C58" s="64">
        <v>20.56</v>
      </c>
      <c r="D58" s="64">
        <v>19.03</v>
      </c>
      <c r="E58" s="64">
        <v>4.99</v>
      </c>
      <c r="F58" s="64">
        <v>11.67</v>
      </c>
      <c r="G58" s="64">
        <v>38.94</v>
      </c>
      <c r="H58" s="64">
        <v>12.94</v>
      </c>
      <c r="I58" s="64">
        <v>1.18</v>
      </c>
      <c r="J58" s="64">
        <v>0.17</v>
      </c>
      <c r="K58" s="64">
        <v>162.66</v>
      </c>
      <c r="L58" s="64">
        <v>25.87</v>
      </c>
      <c r="M58" s="64">
        <v>98.41</v>
      </c>
      <c r="N58" s="64">
        <v>315.10000000000002</v>
      </c>
      <c r="O58" s="64">
        <v>0</v>
      </c>
      <c r="P58" s="64">
        <v>0.89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3" t="s">
        <v>2118</v>
      </c>
      <c r="B59" s="64">
        <v>9.51</v>
      </c>
      <c r="C59" s="64">
        <v>18.53</v>
      </c>
      <c r="D59" s="64">
        <v>17.309999999999999</v>
      </c>
      <c r="E59" s="64">
        <v>4.74</v>
      </c>
      <c r="F59" s="64">
        <v>8.89</v>
      </c>
      <c r="G59" s="64">
        <v>45.91</v>
      </c>
      <c r="H59" s="64">
        <v>12.97</v>
      </c>
      <c r="I59" s="64">
        <v>1.47</v>
      </c>
      <c r="J59" s="64">
        <v>0.23</v>
      </c>
      <c r="K59" s="64">
        <v>185.7</v>
      </c>
      <c r="L59" s="64">
        <v>26.2</v>
      </c>
      <c r="M59" s="64">
        <v>98.39</v>
      </c>
      <c r="N59" s="64">
        <v>413.3</v>
      </c>
      <c r="O59" s="64">
        <v>0</v>
      </c>
      <c r="P59" s="64">
        <v>0.68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3" t="s">
        <v>2119</v>
      </c>
      <c r="B60" s="64">
        <v>9.58</v>
      </c>
      <c r="C60" s="64">
        <v>16.61</v>
      </c>
      <c r="D60" s="64">
        <v>16.36</v>
      </c>
      <c r="E60" s="64">
        <v>4.8499999999999996</v>
      </c>
      <c r="F60" s="64">
        <v>5.25</v>
      </c>
      <c r="G60" s="64">
        <v>45.91</v>
      </c>
      <c r="H60" s="64">
        <v>12.97</v>
      </c>
      <c r="I60" s="64">
        <v>1.75</v>
      </c>
      <c r="J60" s="64">
        <v>0.49</v>
      </c>
      <c r="K60" s="64">
        <v>154.74</v>
      </c>
      <c r="L60" s="64">
        <v>26.53</v>
      </c>
      <c r="M60" s="64">
        <v>98.34</v>
      </c>
      <c r="N60" s="64">
        <v>569.29999999999995</v>
      </c>
      <c r="O60" s="64">
        <v>0</v>
      </c>
      <c r="P60" s="64">
        <v>0.64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3" t="s">
        <v>2120</v>
      </c>
      <c r="B61" s="64">
        <v>8.91</v>
      </c>
      <c r="C61" s="64">
        <v>16.02</v>
      </c>
      <c r="D61" s="64">
        <v>15.52</v>
      </c>
      <c r="E61" s="64">
        <v>4.87</v>
      </c>
      <c r="F61" s="64">
        <v>7.69</v>
      </c>
      <c r="G61" s="64">
        <v>45.91</v>
      </c>
      <c r="H61" s="64">
        <v>12.97</v>
      </c>
      <c r="I61" s="64">
        <v>1.94</v>
      </c>
      <c r="J61" s="64">
        <v>0.2</v>
      </c>
      <c r="K61" s="64">
        <v>172.53</v>
      </c>
      <c r="L61" s="64">
        <v>26.96</v>
      </c>
      <c r="M61" s="64">
        <v>97.43</v>
      </c>
      <c r="N61" s="64">
        <v>428.3</v>
      </c>
      <c r="O61" s="64">
        <v>0</v>
      </c>
      <c r="P61" s="64">
        <v>0.53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3" t="s">
        <v>2121</v>
      </c>
      <c r="B62" s="64">
        <v>8.24</v>
      </c>
      <c r="C62" s="64">
        <v>16.649999999999999</v>
      </c>
      <c r="D62" s="64">
        <v>15.3</v>
      </c>
      <c r="E62" s="64">
        <v>4.8</v>
      </c>
      <c r="F62" s="64">
        <v>10.029999999999999</v>
      </c>
      <c r="G62" s="64">
        <v>45.4</v>
      </c>
      <c r="H62" s="64">
        <v>14.16</v>
      </c>
      <c r="I62" s="64">
        <v>2.08</v>
      </c>
      <c r="J62" s="64">
        <v>0.26</v>
      </c>
      <c r="K62" s="64">
        <v>150.81</v>
      </c>
      <c r="L62" s="64">
        <v>27.02</v>
      </c>
      <c r="M62" s="64">
        <v>97.34</v>
      </c>
      <c r="N62" s="64">
        <v>347</v>
      </c>
      <c r="O62" s="64">
        <v>0</v>
      </c>
      <c r="P62" s="64">
        <v>0.56000000000000005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3" t="s">
        <v>2122</v>
      </c>
      <c r="B63" s="64">
        <v>7.38</v>
      </c>
      <c r="C63" s="64">
        <v>16.559999999999999</v>
      </c>
      <c r="D63" s="64">
        <v>14.57</v>
      </c>
      <c r="E63" s="64">
        <v>4.9800000000000004</v>
      </c>
      <c r="F63" s="64">
        <v>12.01</v>
      </c>
      <c r="G63" s="64">
        <v>44.16</v>
      </c>
      <c r="H63" s="64">
        <v>17.100000000000001</v>
      </c>
      <c r="I63" s="64">
        <v>2.2000000000000002</v>
      </c>
      <c r="J63" s="64">
        <v>0.24</v>
      </c>
      <c r="K63" s="64">
        <v>145.15</v>
      </c>
      <c r="L63" s="64">
        <v>26.96</v>
      </c>
      <c r="M63" s="64">
        <v>97.63</v>
      </c>
      <c r="N63" s="64">
        <v>333.6</v>
      </c>
      <c r="O63" s="64">
        <v>0</v>
      </c>
      <c r="P63" s="64">
        <v>0.56000000000000005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3" t="s">
        <v>2123</v>
      </c>
      <c r="B64" s="64">
        <v>7.65</v>
      </c>
      <c r="C64" s="64">
        <v>18.71</v>
      </c>
      <c r="D64" s="64">
        <v>15.91</v>
      </c>
      <c r="E64" s="64">
        <v>4.74</v>
      </c>
      <c r="F64" s="64">
        <v>14.37</v>
      </c>
      <c r="G64" s="64">
        <v>44.16</v>
      </c>
      <c r="H64" s="64">
        <v>17.100000000000001</v>
      </c>
      <c r="I64" s="64">
        <v>2.27</v>
      </c>
      <c r="J64" s="64">
        <v>0.41</v>
      </c>
      <c r="K64" s="64">
        <v>148.16</v>
      </c>
      <c r="L64" s="64">
        <v>27.09</v>
      </c>
      <c r="M64" s="64">
        <v>96.7</v>
      </c>
      <c r="N64" s="64">
        <v>288.3</v>
      </c>
      <c r="O64" s="64">
        <v>0</v>
      </c>
      <c r="P64" s="64">
        <v>0.57999999999999996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3" t="s">
        <v>2124</v>
      </c>
      <c r="B65" s="64">
        <v>6.94</v>
      </c>
      <c r="C65" s="64">
        <v>17.11</v>
      </c>
      <c r="D65" s="64">
        <v>14.51</v>
      </c>
      <c r="E65" s="64">
        <v>5.0199999999999996</v>
      </c>
      <c r="F65" s="64">
        <v>8.1</v>
      </c>
      <c r="G65" s="64">
        <v>44.16</v>
      </c>
      <c r="H65" s="64">
        <v>17.100000000000001</v>
      </c>
      <c r="I65" s="64">
        <v>2.2999999999999998</v>
      </c>
      <c r="J65" s="64">
        <v>0.08</v>
      </c>
      <c r="K65" s="64">
        <v>246.78</v>
      </c>
      <c r="L65" s="64">
        <v>27.23</v>
      </c>
      <c r="M65" s="64">
        <v>96.24</v>
      </c>
      <c r="N65" s="64">
        <v>284.5</v>
      </c>
      <c r="O65" s="64">
        <v>0</v>
      </c>
      <c r="P65" s="64">
        <v>0.6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3" t="s">
        <v>2125</v>
      </c>
      <c r="B66" s="64">
        <v>6.9</v>
      </c>
      <c r="C66" s="64">
        <v>15.89</v>
      </c>
      <c r="D66" s="64">
        <v>13.84</v>
      </c>
      <c r="E66" s="64">
        <v>4.99</v>
      </c>
      <c r="F66" s="64">
        <v>5.84</v>
      </c>
      <c r="G66" s="64">
        <v>43.95</v>
      </c>
      <c r="H66" s="64">
        <v>17.28</v>
      </c>
      <c r="I66" s="64">
        <v>2.33</v>
      </c>
      <c r="J66" s="64">
        <v>0.25</v>
      </c>
      <c r="K66" s="64">
        <v>143.59</v>
      </c>
      <c r="L66" s="64">
        <v>27.04</v>
      </c>
      <c r="M66" s="64">
        <v>97.18</v>
      </c>
      <c r="N66" s="64">
        <v>260.39999999999998</v>
      </c>
      <c r="O66" s="64">
        <v>0</v>
      </c>
      <c r="P66" s="64">
        <v>0.59</v>
      </c>
      <c r="Q66" s="64">
        <v>9.1199999999999992</v>
      </c>
      <c r="R66" s="198"/>
      <c r="S66" s="198"/>
      <c r="T66" s="198"/>
      <c r="U66" s="198"/>
    </row>
    <row r="67" spans="1:21" s="12" customFormat="1" x14ac:dyDescent="0.25">
      <c r="A67" s="213" t="s">
        <v>2126</v>
      </c>
      <c r="B67" s="64">
        <v>6.79</v>
      </c>
      <c r="C67" s="64">
        <v>16.57</v>
      </c>
      <c r="D67" s="64">
        <v>14.1</v>
      </c>
      <c r="E67" s="64">
        <v>5.01</v>
      </c>
      <c r="F67" s="64">
        <v>6.93</v>
      </c>
      <c r="G67" s="64">
        <v>43.44</v>
      </c>
      <c r="H67" s="64">
        <v>17.72</v>
      </c>
      <c r="I67" s="64">
        <v>2.34</v>
      </c>
      <c r="J67" s="64">
        <v>0.12</v>
      </c>
      <c r="K67" s="64">
        <v>275.83999999999997</v>
      </c>
      <c r="L67" s="64">
        <v>27.15</v>
      </c>
      <c r="M67" s="64">
        <v>96.8</v>
      </c>
      <c r="N67" s="64">
        <v>275.3</v>
      </c>
      <c r="O67" s="64">
        <v>0</v>
      </c>
      <c r="P67" s="64">
        <v>0.6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3" t="s">
        <v>2127</v>
      </c>
      <c r="B68" s="64">
        <v>6.31</v>
      </c>
      <c r="C68" s="64">
        <v>16.25</v>
      </c>
      <c r="D68" s="64">
        <v>13.55</v>
      </c>
      <c r="E68" s="64">
        <v>4.84</v>
      </c>
      <c r="F68" s="64">
        <v>6.31</v>
      </c>
      <c r="G68" s="64">
        <v>43.44</v>
      </c>
      <c r="H68" s="64">
        <v>17.72</v>
      </c>
      <c r="I68" s="64">
        <v>2.33</v>
      </c>
      <c r="J68" s="64">
        <v>0.16</v>
      </c>
      <c r="K68" s="64">
        <v>225.74</v>
      </c>
      <c r="L68" s="64">
        <v>27.3</v>
      </c>
      <c r="M68" s="64">
        <v>96.85</v>
      </c>
      <c r="N68" s="64">
        <v>242.5</v>
      </c>
      <c r="O68" s="64">
        <v>0</v>
      </c>
      <c r="P68" s="64">
        <v>0.61</v>
      </c>
      <c r="Q68" s="64">
        <v>9.08</v>
      </c>
      <c r="R68" s="198"/>
      <c r="S68" s="198"/>
      <c r="T68" s="198"/>
      <c r="U68" s="198"/>
    </row>
    <row r="69" spans="1:21" s="12" customFormat="1" x14ac:dyDescent="0.25">
      <c r="A69" s="213" t="s">
        <v>2128</v>
      </c>
      <c r="B69" s="64">
        <v>6.57</v>
      </c>
      <c r="C69" s="64">
        <v>17.25</v>
      </c>
      <c r="D69" s="64">
        <v>14.28</v>
      </c>
      <c r="E69" s="64">
        <v>4.8</v>
      </c>
      <c r="F69" s="64">
        <v>5.65</v>
      </c>
      <c r="G69" s="64">
        <v>43.44</v>
      </c>
      <c r="H69" s="64">
        <v>17.72</v>
      </c>
      <c r="I69" s="64">
        <v>2.33</v>
      </c>
      <c r="J69" s="64">
        <v>0.12</v>
      </c>
      <c r="K69" s="64">
        <v>222.51</v>
      </c>
      <c r="L69" s="64">
        <v>27.5</v>
      </c>
      <c r="M69" s="64">
        <v>97.55</v>
      </c>
      <c r="N69" s="64">
        <v>180.2</v>
      </c>
      <c r="O69" s="64">
        <v>0</v>
      </c>
      <c r="P69" s="64">
        <v>0.64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3" t="s">
        <v>2129</v>
      </c>
      <c r="B70" s="64">
        <v>7.6</v>
      </c>
      <c r="C70" s="64">
        <v>19.2</v>
      </c>
      <c r="D70" s="64">
        <v>16.12</v>
      </c>
      <c r="E70" s="64">
        <v>4.76</v>
      </c>
      <c r="F70" s="64">
        <v>10.31</v>
      </c>
      <c r="G70" s="64">
        <v>43.98</v>
      </c>
      <c r="H70" s="64">
        <v>17.55</v>
      </c>
      <c r="I70" s="64">
        <v>2.33</v>
      </c>
      <c r="J70" s="64">
        <v>0.08</v>
      </c>
      <c r="K70" s="64">
        <v>233.08</v>
      </c>
      <c r="L70" s="64">
        <v>27.28</v>
      </c>
      <c r="M70" s="64">
        <v>98.02</v>
      </c>
      <c r="N70" s="64">
        <v>181.9</v>
      </c>
      <c r="O70" s="64">
        <v>0</v>
      </c>
      <c r="P70" s="64">
        <v>0.61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3" t="s">
        <v>2130</v>
      </c>
      <c r="B71" s="64">
        <v>5.34</v>
      </c>
      <c r="C71" s="64">
        <v>15.95</v>
      </c>
      <c r="D71" s="64">
        <v>12.61</v>
      </c>
      <c r="E71" s="64">
        <v>4.8099999999999996</v>
      </c>
      <c r="F71" s="64">
        <v>13.14</v>
      </c>
      <c r="G71" s="64">
        <v>45.33</v>
      </c>
      <c r="H71" s="64">
        <v>17.16</v>
      </c>
      <c r="I71" s="64">
        <v>2.34</v>
      </c>
      <c r="J71" s="64">
        <v>0.08</v>
      </c>
      <c r="K71" s="64">
        <v>243.6</v>
      </c>
      <c r="L71" s="64">
        <v>27.11</v>
      </c>
      <c r="M71" s="64">
        <v>98.35</v>
      </c>
      <c r="N71" s="64">
        <v>180.1</v>
      </c>
      <c r="O71" s="64">
        <v>0</v>
      </c>
      <c r="P71" s="64">
        <v>0.54</v>
      </c>
      <c r="Q71" s="64">
        <v>9.0500000000000007</v>
      </c>
      <c r="R71" s="198"/>
      <c r="S71" s="198"/>
      <c r="T71" s="198"/>
      <c r="U71" s="198"/>
    </row>
    <row r="72" spans="1:21" s="12" customFormat="1" x14ac:dyDescent="0.25">
      <c r="A72" s="213" t="s">
        <v>2131</v>
      </c>
      <c r="B72" s="64">
        <v>9.18</v>
      </c>
      <c r="C72" s="64">
        <v>20.99</v>
      </c>
      <c r="D72" s="64">
        <v>18.329999999999998</v>
      </c>
      <c r="E72" s="64">
        <v>4.75</v>
      </c>
      <c r="F72" s="64">
        <v>12.56</v>
      </c>
      <c r="G72" s="64">
        <v>45.33</v>
      </c>
      <c r="H72" s="64">
        <v>17.16</v>
      </c>
      <c r="I72" s="64">
        <v>2.35</v>
      </c>
      <c r="J72" s="64">
        <v>0.27</v>
      </c>
      <c r="K72" s="64">
        <v>326.57</v>
      </c>
      <c r="L72" s="64">
        <v>27.76</v>
      </c>
      <c r="M72" s="64">
        <v>97.73</v>
      </c>
      <c r="N72" s="64">
        <v>193.1</v>
      </c>
      <c r="O72" s="64">
        <v>0</v>
      </c>
      <c r="P72" s="64">
        <v>0.72</v>
      </c>
      <c r="Q72" s="64">
        <v>9.0399999999999991</v>
      </c>
      <c r="R72" s="198"/>
      <c r="S72" s="198"/>
      <c r="T72" s="198"/>
      <c r="U72" s="198"/>
    </row>
    <row r="73" spans="1:21" s="12" customFormat="1" x14ac:dyDescent="0.25">
      <c r="A73" s="213" t="s">
        <v>2132</v>
      </c>
      <c r="B73" s="64">
        <v>11.97</v>
      </c>
      <c r="C73" s="64">
        <v>24.72</v>
      </c>
      <c r="D73" s="64">
        <v>22.51</v>
      </c>
      <c r="E73" s="64">
        <v>4.5</v>
      </c>
      <c r="F73" s="64">
        <v>14.41</v>
      </c>
      <c r="G73" s="64">
        <v>45.33</v>
      </c>
      <c r="H73" s="64">
        <v>17.16</v>
      </c>
      <c r="I73" s="64">
        <v>2.35</v>
      </c>
      <c r="J73" s="64">
        <v>0.22</v>
      </c>
      <c r="K73" s="64">
        <v>326.82</v>
      </c>
      <c r="L73" s="64">
        <v>28.49</v>
      </c>
      <c r="M73" s="64">
        <v>94.23</v>
      </c>
      <c r="N73" s="64">
        <v>169.8</v>
      </c>
      <c r="O73" s="64">
        <v>0</v>
      </c>
      <c r="P73" s="64">
        <v>0.83</v>
      </c>
      <c r="Q73" s="64">
        <v>9.0399999999999991</v>
      </c>
      <c r="R73" s="198"/>
      <c r="S73" s="198"/>
      <c r="T73" s="198"/>
      <c r="U73" s="198"/>
    </row>
    <row r="74" spans="1:21" s="12" customFormat="1" x14ac:dyDescent="0.25">
      <c r="A74" s="213" t="s">
        <v>2133</v>
      </c>
      <c r="B74" s="64">
        <v>10.31</v>
      </c>
      <c r="C74" s="64">
        <v>22.82</v>
      </c>
      <c r="D74" s="64">
        <v>20.190000000000001</v>
      </c>
      <c r="E74" s="64">
        <v>4.0599999999999996</v>
      </c>
      <c r="F74" s="64">
        <v>9.11</v>
      </c>
      <c r="G74" s="64">
        <v>45.11</v>
      </c>
      <c r="H74" s="64">
        <v>16.29</v>
      </c>
      <c r="I74" s="64">
        <v>2.36</v>
      </c>
      <c r="J74" s="64">
        <v>0.22</v>
      </c>
      <c r="K74" s="64">
        <v>323.45999999999998</v>
      </c>
      <c r="L74" s="64">
        <v>28.05</v>
      </c>
      <c r="M74" s="64">
        <v>96.36</v>
      </c>
      <c r="N74" s="64">
        <v>146</v>
      </c>
      <c r="O74" s="64">
        <v>0</v>
      </c>
      <c r="P74" s="64">
        <v>0.76</v>
      </c>
      <c r="Q74" s="64">
        <v>9.0399999999999991</v>
      </c>
      <c r="R74" s="198"/>
      <c r="S74" s="198"/>
      <c r="T74" s="198"/>
      <c r="U74" s="198"/>
    </row>
    <row r="75" spans="1:21" s="12" customFormat="1" x14ac:dyDescent="0.25">
      <c r="A75" s="213" t="s">
        <v>2134</v>
      </c>
      <c r="B75" s="64">
        <v>9.6</v>
      </c>
      <c r="C75" s="64">
        <v>27.49</v>
      </c>
      <c r="D75" s="64">
        <v>22.06</v>
      </c>
      <c r="E75" s="64">
        <v>4.46</v>
      </c>
      <c r="F75" s="64">
        <v>12.91</v>
      </c>
      <c r="G75" s="64">
        <v>44.55</v>
      </c>
      <c r="H75" s="64">
        <v>14.14</v>
      </c>
      <c r="I75" s="64">
        <v>2.37</v>
      </c>
      <c r="J75" s="64">
        <v>0.14000000000000001</v>
      </c>
      <c r="K75" s="64">
        <v>305.11</v>
      </c>
      <c r="L75" s="64">
        <v>28.32</v>
      </c>
      <c r="M75" s="64">
        <v>95.66</v>
      </c>
      <c r="N75" s="64">
        <v>121.8</v>
      </c>
      <c r="O75" s="64">
        <v>0</v>
      </c>
      <c r="P75" s="64">
        <v>0.89</v>
      </c>
      <c r="Q75" s="64">
        <v>9.07</v>
      </c>
      <c r="R75" s="198"/>
      <c r="S75" s="198"/>
      <c r="T75" s="198"/>
      <c r="U75" s="198"/>
    </row>
    <row r="76" spans="1:21" s="12" customFormat="1" x14ac:dyDescent="0.25">
      <c r="A76" s="213" t="s">
        <v>2135</v>
      </c>
      <c r="B76" s="64">
        <v>13.27</v>
      </c>
      <c r="C76" s="64">
        <v>29.98</v>
      </c>
      <c r="D76" s="64">
        <v>26.3</v>
      </c>
      <c r="E76" s="64">
        <v>4.5199999999999996</v>
      </c>
      <c r="F76" s="64">
        <v>14.52</v>
      </c>
      <c r="G76" s="64">
        <v>44.55</v>
      </c>
      <c r="H76" s="64">
        <v>14.14</v>
      </c>
      <c r="I76" s="64">
        <v>2.4300000000000002</v>
      </c>
      <c r="J76" s="64">
        <v>0.15</v>
      </c>
      <c r="K76" s="64">
        <v>302.45999999999998</v>
      </c>
      <c r="L76" s="64">
        <v>28.31</v>
      </c>
      <c r="M76" s="64">
        <v>96.52</v>
      </c>
      <c r="N76" s="64">
        <v>128.69999999999999</v>
      </c>
      <c r="O76" s="64">
        <v>0</v>
      </c>
      <c r="P76" s="64">
        <v>1.1100000000000001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3" t="s">
        <v>2136</v>
      </c>
      <c r="B77" s="64">
        <v>13.73</v>
      </c>
      <c r="C77" s="64">
        <v>28.95</v>
      </c>
      <c r="D77" s="64">
        <v>26.14</v>
      </c>
      <c r="E77" s="64">
        <v>4.25</v>
      </c>
      <c r="F77" s="64">
        <v>12.9</v>
      </c>
      <c r="G77" s="64">
        <v>44.55</v>
      </c>
      <c r="H77" s="64">
        <v>14.14</v>
      </c>
      <c r="I77" s="64">
        <v>2.5</v>
      </c>
      <c r="J77" s="64">
        <v>0.42</v>
      </c>
      <c r="K77" s="64">
        <v>321.49</v>
      </c>
      <c r="L77" s="64">
        <v>28.29</v>
      </c>
      <c r="M77" s="64">
        <v>97.23</v>
      </c>
      <c r="N77" s="64">
        <v>116.5</v>
      </c>
      <c r="O77" s="64">
        <v>0</v>
      </c>
      <c r="P77" s="64">
        <v>0.98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3" t="s">
        <v>2137</v>
      </c>
      <c r="B78" s="64">
        <v>16.760000000000002</v>
      </c>
      <c r="C78" s="64">
        <v>27.87</v>
      </c>
      <c r="D78" s="64">
        <v>28</v>
      </c>
      <c r="E78" s="64">
        <v>4.5</v>
      </c>
      <c r="F78" s="64">
        <v>13.67</v>
      </c>
      <c r="G78" s="64">
        <v>48.6</v>
      </c>
      <c r="H78" s="64">
        <v>16.72</v>
      </c>
      <c r="I78" s="64">
        <v>2.56</v>
      </c>
      <c r="J78" s="64">
        <v>0.53</v>
      </c>
      <c r="K78" s="64">
        <v>329.79</v>
      </c>
      <c r="L78" s="64">
        <v>28.15</v>
      </c>
      <c r="M78" s="64">
        <v>98.17</v>
      </c>
      <c r="N78" s="64">
        <v>90.5</v>
      </c>
      <c r="O78" s="64">
        <v>0</v>
      </c>
      <c r="P78" s="64">
        <v>0.93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3" t="s">
        <v>2138</v>
      </c>
      <c r="B79" s="64">
        <v>13.27</v>
      </c>
      <c r="C79" s="64">
        <v>23.97</v>
      </c>
      <c r="D79" s="64">
        <v>23.17</v>
      </c>
      <c r="E79" s="64">
        <v>4.49</v>
      </c>
      <c r="F79" s="64">
        <v>14.16</v>
      </c>
      <c r="G79" s="64">
        <v>58.56</v>
      </c>
      <c r="H79" s="64">
        <v>23.07</v>
      </c>
      <c r="I79" s="64">
        <v>2.62</v>
      </c>
      <c r="J79" s="64">
        <v>0.73</v>
      </c>
      <c r="K79" s="64">
        <v>323.67</v>
      </c>
      <c r="L79" s="64">
        <v>27.86</v>
      </c>
      <c r="M79" s="64">
        <v>98.37</v>
      </c>
      <c r="N79" s="64">
        <v>64.599999999999994</v>
      </c>
      <c r="O79" s="64">
        <v>0</v>
      </c>
      <c r="P79" s="64">
        <v>0.78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3" t="s">
        <v>2139</v>
      </c>
      <c r="B80" s="64">
        <v>13.82</v>
      </c>
      <c r="C80" s="64">
        <v>20.63</v>
      </c>
      <c r="D80" s="64">
        <v>21.86</v>
      </c>
      <c r="E80" s="64">
        <v>4.93</v>
      </c>
      <c r="F80" s="64">
        <v>16.2</v>
      </c>
      <c r="G80" s="64">
        <v>58.56</v>
      </c>
      <c r="H80" s="64">
        <v>23.07</v>
      </c>
      <c r="I80" s="64">
        <v>2.69</v>
      </c>
      <c r="J80" s="64">
        <v>1.04</v>
      </c>
      <c r="K80" s="64">
        <v>337.12</v>
      </c>
      <c r="L80" s="64">
        <v>27.5</v>
      </c>
      <c r="M80" s="64">
        <v>98.4</v>
      </c>
      <c r="N80" s="64">
        <v>58.7</v>
      </c>
      <c r="O80" s="64">
        <v>0</v>
      </c>
      <c r="P80" s="64">
        <v>0.72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3" t="s">
        <v>2140</v>
      </c>
      <c r="B81" s="64">
        <v>13.57</v>
      </c>
      <c r="C81" s="64">
        <v>18.04</v>
      </c>
      <c r="D81" s="64">
        <v>20.170000000000002</v>
      </c>
      <c r="E81" s="64">
        <v>5.15</v>
      </c>
      <c r="F81" s="64">
        <v>11.44</v>
      </c>
      <c r="G81" s="64">
        <v>58.56</v>
      </c>
      <c r="H81" s="64">
        <v>23.07</v>
      </c>
      <c r="I81" s="64">
        <v>2.72</v>
      </c>
      <c r="J81" s="64">
        <v>1.48</v>
      </c>
      <c r="K81" s="64">
        <v>336.81</v>
      </c>
      <c r="L81" s="64">
        <v>27.15</v>
      </c>
      <c r="M81" s="64">
        <v>98.34</v>
      </c>
      <c r="N81" s="64">
        <v>54.6</v>
      </c>
      <c r="O81" s="64">
        <v>0</v>
      </c>
      <c r="P81" s="64">
        <v>0.74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3" t="s">
        <v>2141</v>
      </c>
      <c r="B82" s="64">
        <v>12.8</v>
      </c>
      <c r="C82" s="64">
        <v>20.25</v>
      </c>
      <c r="D82" s="64">
        <v>20.84</v>
      </c>
      <c r="E82" s="64">
        <v>5.32</v>
      </c>
      <c r="F82" s="64">
        <v>13.68</v>
      </c>
      <c r="G82" s="64">
        <v>59.69</v>
      </c>
      <c r="H82" s="64">
        <v>22.36</v>
      </c>
      <c r="I82" s="64">
        <v>2.68</v>
      </c>
      <c r="J82" s="64">
        <v>0.92</v>
      </c>
      <c r="K82" s="64">
        <v>337.48</v>
      </c>
      <c r="L82" s="64">
        <v>26.71</v>
      </c>
      <c r="M82" s="64">
        <v>98.4</v>
      </c>
      <c r="N82" s="64">
        <v>48.6</v>
      </c>
      <c r="O82" s="64">
        <v>0</v>
      </c>
      <c r="P82" s="64">
        <v>0.69</v>
      </c>
      <c r="Q82" s="64">
        <v>9.2799999999999994</v>
      </c>
      <c r="R82" s="198"/>
      <c r="S82" s="198"/>
      <c r="T82" s="198"/>
      <c r="U82" s="198"/>
    </row>
    <row r="83" spans="1:26" s="12" customFormat="1" x14ac:dyDescent="0.25">
      <c r="A83" s="213" t="s">
        <v>2142</v>
      </c>
      <c r="B83" s="64">
        <v>19.12</v>
      </c>
      <c r="C83" s="64">
        <v>20.12</v>
      </c>
      <c r="D83" s="64">
        <v>24.19</v>
      </c>
      <c r="E83" s="64">
        <v>4.84</v>
      </c>
      <c r="F83" s="64">
        <v>9.61</v>
      </c>
      <c r="G83" s="64">
        <v>62.48</v>
      </c>
      <c r="H83" s="64">
        <v>20.63</v>
      </c>
      <c r="I83" s="64">
        <v>2.65</v>
      </c>
      <c r="J83" s="64">
        <v>0.5</v>
      </c>
      <c r="K83" s="64">
        <v>335.52</v>
      </c>
      <c r="L83" s="64">
        <v>26.32</v>
      </c>
      <c r="M83" s="64">
        <v>98.42</v>
      </c>
      <c r="N83" s="64">
        <v>43.6</v>
      </c>
      <c r="O83" s="64">
        <v>0</v>
      </c>
      <c r="P83" s="64">
        <v>0.75</v>
      </c>
      <c r="Q83" s="64">
        <v>9.2899999999999991</v>
      </c>
      <c r="R83" s="198"/>
      <c r="S83" s="198"/>
      <c r="T83" s="198"/>
      <c r="U83" s="198"/>
    </row>
    <row r="84" spans="1:26" s="12" customFormat="1" x14ac:dyDescent="0.25">
      <c r="A84" s="213" t="s">
        <v>2143</v>
      </c>
      <c r="B84" s="64">
        <v>24.95</v>
      </c>
      <c r="C84" s="64">
        <v>27.89</v>
      </c>
      <c r="D84" s="64">
        <v>34.58</v>
      </c>
      <c r="E84" s="64">
        <v>5.14</v>
      </c>
      <c r="F84" s="64">
        <v>6.91</v>
      </c>
      <c r="G84" s="64">
        <v>62.48</v>
      </c>
      <c r="H84" s="64">
        <v>20.63</v>
      </c>
      <c r="I84" s="64">
        <v>2.63</v>
      </c>
      <c r="J84" s="64">
        <v>0.54</v>
      </c>
      <c r="K84" s="64">
        <v>337.29</v>
      </c>
      <c r="L84" s="64">
        <v>26.11</v>
      </c>
      <c r="M84" s="64">
        <v>98.48</v>
      </c>
      <c r="N84" s="64">
        <v>42.2</v>
      </c>
      <c r="O84" s="64">
        <v>0</v>
      </c>
      <c r="P84" s="64">
        <v>0.92</v>
      </c>
      <c r="Q84" s="64">
        <v>9.31</v>
      </c>
      <c r="R84" s="198"/>
      <c r="S84" s="198"/>
      <c r="T84" s="198"/>
      <c r="U84" s="198"/>
    </row>
    <row r="85" spans="1:26" s="12" customFormat="1" x14ac:dyDescent="0.25">
      <c r="A85" s="213" t="s">
        <v>2144</v>
      </c>
      <c r="B85" s="64">
        <v>20.94</v>
      </c>
      <c r="C85" s="64">
        <v>29.92</v>
      </c>
      <c r="D85" s="64">
        <v>32.409999999999997</v>
      </c>
      <c r="E85" s="64">
        <v>4.84</v>
      </c>
      <c r="F85" s="64">
        <v>6.98</v>
      </c>
      <c r="G85" s="64">
        <v>62.48</v>
      </c>
      <c r="H85" s="64">
        <v>20.63</v>
      </c>
      <c r="I85" s="64">
        <v>2.48</v>
      </c>
      <c r="J85" s="64">
        <v>0.34</v>
      </c>
      <c r="K85" s="64">
        <v>343.76</v>
      </c>
      <c r="L85" s="64">
        <v>25.99</v>
      </c>
      <c r="M85" s="64">
        <v>98.48</v>
      </c>
      <c r="N85" s="64">
        <v>42.1</v>
      </c>
      <c r="O85" s="64">
        <v>0</v>
      </c>
      <c r="P85" s="64">
        <v>0.9</v>
      </c>
      <c r="Q85" s="64">
        <v>9.32</v>
      </c>
      <c r="R85" s="198"/>
      <c r="S85" s="198"/>
      <c r="T85" s="198"/>
      <c r="U85" s="198"/>
    </row>
    <row r="86" spans="1:26" s="12" customFormat="1" x14ac:dyDescent="0.25">
      <c r="A86" s="213" t="s">
        <v>2145</v>
      </c>
      <c r="B86" s="64">
        <v>24.74</v>
      </c>
      <c r="C86" s="64">
        <v>28.43</v>
      </c>
      <c r="D86" s="64">
        <v>34.69</v>
      </c>
      <c r="E86" s="64">
        <v>4.62</v>
      </c>
      <c r="F86" s="64">
        <v>9.0399999999999991</v>
      </c>
      <c r="G86" s="64">
        <v>62.38</v>
      </c>
      <c r="H86" s="64">
        <v>20.94</v>
      </c>
      <c r="I86" s="64">
        <v>2.38</v>
      </c>
      <c r="J86" s="64">
        <v>0.56999999999999995</v>
      </c>
      <c r="K86" s="64">
        <v>341.41</v>
      </c>
      <c r="L86" s="64">
        <v>25.94</v>
      </c>
      <c r="M86" s="64">
        <v>98.48</v>
      </c>
      <c r="N86" s="64">
        <v>41.9</v>
      </c>
      <c r="O86" s="64">
        <v>0</v>
      </c>
      <c r="P86" s="64">
        <v>1.08</v>
      </c>
      <c r="Q86" s="64">
        <v>9.35</v>
      </c>
      <c r="R86" s="198"/>
      <c r="S86" s="198"/>
      <c r="T86" s="198"/>
      <c r="U86" s="198"/>
    </row>
    <row r="87" spans="1:26" s="12" customFormat="1" x14ac:dyDescent="0.25">
      <c r="A87" s="213" t="s">
        <v>2146</v>
      </c>
      <c r="B87" s="64">
        <v>12.63</v>
      </c>
      <c r="C87" s="64">
        <v>32.65</v>
      </c>
      <c r="D87" s="64">
        <v>27.19</v>
      </c>
      <c r="E87" s="64">
        <v>4.7699999999999996</v>
      </c>
      <c r="F87" s="64">
        <v>8.24</v>
      </c>
      <c r="G87" s="64">
        <v>62.11</v>
      </c>
      <c r="H87" s="64">
        <v>21.7</v>
      </c>
      <c r="I87" s="64">
        <v>2.39</v>
      </c>
      <c r="J87" s="64">
        <v>0.09</v>
      </c>
      <c r="K87" s="64">
        <v>121.57</v>
      </c>
      <c r="L87" s="64">
        <v>25.84</v>
      </c>
      <c r="M87" s="64">
        <v>98.48</v>
      </c>
      <c r="N87" s="64">
        <v>41.9</v>
      </c>
      <c r="O87" s="64">
        <v>0</v>
      </c>
      <c r="P87" s="64">
        <v>1.0900000000000001</v>
      </c>
      <c r="Q87" s="64">
        <v>9.3800000000000008</v>
      </c>
      <c r="R87" s="198"/>
      <c r="S87" s="198"/>
      <c r="T87" s="198"/>
      <c r="U87" s="198"/>
    </row>
    <row r="88" spans="1:26" s="12" customFormat="1" x14ac:dyDescent="0.25">
      <c r="A88" s="213" t="s">
        <v>2147</v>
      </c>
      <c r="B88" s="64">
        <v>9.7799999999999994</v>
      </c>
      <c r="C88" s="64">
        <v>27.48</v>
      </c>
      <c r="D88" s="64">
        <v>22.2</v>
      </c>
      <c r="E88" s="64">
        <v>4.49</v>
      </c>
      <c r="F88" s="64">
        <v>7.53</v>
      </c>
      <c r="G88" s="64">
        <v>62.11</v>
      </c>
      <c r="H88" s="64">
        <v>21.7</v>
      </c>
      <c r="I88" s="64">
        <v>2.42</v>
      </c>
      <c r="J88" s="64">
        <v>0.2</v>
      </c>
      <c r="K88" s="64">
        <v>119.41</v>
      </c>
      <c r="L88" s="64">
        <v>25.75</v>
      </c>
      <c r="M88" s="64">
        <v>98.51</v>
      </c>
      <c r="N88" s="64">
        <v>42</v>
      </c>
      <c r="O88" s="64">
        <v>0</v>
      </c>
      <c r="P88" s="64">
        <v>0.78</v>
      </c>
      <c r="Q88" s="64">
        <v>9.4</v>
      </c>
      <c r="R88" s="198"/>
      <c r="S88" s="198"/>
      <c r="T88" s="198"/>
      <c r="U88" s="198"/>
    </row>
    <row r="89" spans="1:26" s="12" customFormat="1" x14ac:dyDescent="0.25">
      <c r="A89" s="213" t="s">
        <v>2148</v>
      </c>
      <c r="B89" s="64">
        <v>19.43</v>
      </c>
      <c r="C89" s="64">
        <v>30.58</v>
      </c>
      <c r="D89" s="64">
        <v>31.56</v>
      </c>
      <c r="E89" s="64">
        <v>4.78</v>
      </c>
      <c r="F89" s="64">
        <v>8.24</v>
      </c>
      <c r="G89" s="64">
        <v>62.11</v>
      </c>
      <c r="H89" s="64">
        <v>21.7</v>
      </c>
      <c r="I89" s="64">
        <v>2.4700000000000002</v>
      </c>
      <c r="J89" s="64">
        <v>0.1</v>
      </c>
      <c r="K89" s="64">
        <v>136.4</v>
      </c>
      <c r="L89" s="64">
        <v>25.76</v>
      </c>
      <c r="M89" s="64">
        <v>98.53</v>
      </c>
      <c r="N89" s="64">
        <v>42.2</v>
      </c>
      <c r="O89" s="64">
        <v>0</v>
      </c>
      <c r="P89" s="64">
        <v>1.02</v>
      </c>
      <c r="Q89" s="64">
        <v>9.41</v>
      </c>
      <c r="R89" s="198"/>
      <c r="S89" s="198"/>
      <c r="T89" s="198"/>
      <c r="U89" s="198"/>
    </row>
    <row r="90" spans="1:26" s="12" customFormat="1" x14ac:dyDescent="0.25">
      <c r="A90" s="213" t="s">
        <v>2149</v>
      </c>
      <c r="B90" s="64">
        <v>17.600000000000001</v>
      </c>
      <c r="C90" s="64">
        <v>38.01</v>
      </c>
      <c r="D90" s="64">
        <v>33.97</v>
      </c>
      <c r="E90" s="64">
        <v>4.8899999999999997</v>
      </c>
      <c r="F90" s="64">
        <v>5.85</v>
      </c>
      <c r="G90" s="64">
        <v>63.88</v>
      </c>
      <c r="H90" s="64">
        <v>21.43</v>
      </c>
      <c r="I90" s="64">
        <v>2.5099999999999998</v>
      </c>
      <c r="J90" s="64">
        <v>7.0000000000000007E-2</v>
      </c>
      <c r="K90" s="64">
        <v>111.4</v>
      </c>
      <c r="L90" s="64">
        <v>25.71</v>
      </c>
      <c r="M90" s="64">
        <v>98.53</v>
      </c>
      <c r="N90" s="64">
        <v>42.2</v>
      </c>
      <c r="O90" s="64">
        <v>0</v>
      </c>
      <c r="P90" s="64">
        <v>1.1299999999999999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3" t="s">
        <v>2150</v>
      </c>
      <c r="B91" s="64">
        <v>26.96</v>
      </c>
      <c r="C91" s="64">
        <v>30.66</v>
      </c>
      <c r="D91" s="64">
        <v>37.630000000000003</v>
      </c>
      <c r="E91" s="64">
        <v>4.6399999999999997</v>
      </c>
      <c r="F91" s="64">
        <v>5.77</v>
      </c>
      <c r="G91" s="64">
        <v>68.239999999999995</v>
      </c>
      <c r="H91" s="64">
        <v>20.76</v>
      </c>
      <c r="I91" s="64">
        <v>2.5499999999999998</v>
      </c>
      <c r="J91" s="64">
        <v>0.02</v>
      </c>
      <c r="K91" s="64">
        <v>128.63999999999999</v>
      </c>
      <c r="L91" s="64">
        <v>25.64</v>
      </c>
      <c r="M91" s="64">
        <v>98.56</v>
      </c>
      <c r="N91" s="64">
        <v>42.2</v>
      </c>
      <c r="O91" s="64">
        <v>0</v>
      </c>
      <c r="P91" s="64">
        <v>1.1499999999999999</v>
      </c>
      <c r="Q91" s="64">
        <v>9.42</v>
      </c>
      <c r="R91" s="198"/>
      <c r="S91" s="198"/>
      <c r="T91" s="198"/>
      <c r="U91" s="198"/>
    </row>
    <row r="92" spans="1:26" s="12" customFormat="1" x14ac:dyDescent="0.25">
      <c r="A92" s="213" t="s">
        <v>2151</v>
      </c>
      <c r="B92" s="64">
        <v>8.86</v>
      </c>
      <c r="C92" s="64">
        <v>36.69</v>
      </c>
      <c r="D92" s="64">
        <v>26.27</v>
      </c>
      <c r="E92" s="64">
        <v>4.75</v>
      </c>
      <c r="F92" s="64">
        <v>6.05</v>
      </c>
      <c r="G92" s="64">
        <v>68.239999999999995</v>
      </c>
      <c r="H92" s="64">
        <v>20.76</v>
      </c>
      <c r="I92" s="64">
        <v>2.61</v>
      </c>
      <c r="J92" s="64">
        <v>0.14000000000000001</v>
      </c>
      <c r="K92" s="64">
        <v>128.80000000000001</v>
      </c>
      <c r="L92" s="64">
        <v>25.6</v>
      </c>
      <c r="M92" s="64">
        <v>98.58</v>
      </c>
      <c r="N92" s="64">
        <v>41.9</v>
      </c>
      <c r="O92" s="64">
        <v>0</v>
      </c>
      <c r="P92" s="64">
        <v>0.81</v>
      </c>
      <c r="Q92" s="64">
        <v>9.4600000000000009</v>
      </c>
      <c r="R92" s="198"/>
      <c r="S92" s="198"/>
      <c r="T92" s="198"/>
      <c r="U92" s="198"/>
    </row>
    <row r="93" spans="1:26" s="12" customFormat="1" x14ac:dyDescent="0.25">
      <c r="A93" s="213" t="s">
        <v>2152</v>
      </c>
      <c r="B93" s="64">
        <v>29.38</v>
      </c>
      <c r="C93" s="64">
        <v>31.6</v>
      </c>
      <c r="D93" s="64">
        <v>40.07</v>
      </c>
      <c r="E93" s="64">
        <v>4.7</v>
      </c>
      <c r="F93" s="64">
        <v>5.94</v>
      </c>
      <c r="G93" s="64">
        <v>68.239999999999995</v>
      </c>
      <c r="H93" s="64">
        <v>20.76</v>
      </c>
      <c r="I93" s="64">
        <v>2.67</v>
      </c>
      <c r="J93" s="64">
        <v>0.1</v>
      </c>
      <c r="K93" s="64">
        <v>119.13</v>
      </c>
      <c r="L93" s="64">
        <v>25.63</v>
      </c>
      <c r="M93" s="64">
        <v>98.53</v>
      </c>
      <c r="N93" s="64">
        <v>42.1</v>
      </c>
      <c r="O93" s="64">
        <v>0</v>
      </c>
      <c r="P93" s="64">
        <v>0.77</v>
      </c>
      <c r="Q93" s="64">
        <v>9.48</v>
      </c>
      <c r="R93" s="198"/>
      <c r="S93" s="198"/>
      <c r="T93" s="198"/>
      <c r="U93" s="198"/>
    </row>
    <row r="94" spans="1:26" s="12" customFormat="1" x14ac:dyDescent="0.25">
      <c r="A94" s="213" t="s">
        <v>2153</v>
      </c>
      <c r="B94" s="64">
        <v>11.61</v>
      </c>
      <c r="C94" s="64">
        <v>33.08</v>
      </c>
      <c r="D94" s="64">
        <v>26.59</v>
      </c>
      <c r="E94" s="64">
        <v>4.62</v>
      </c>
      <c r="F94" s="64">
        <v>6.8</v>
      </c>
      <c r="G94" s="64">
        <v>67.77</v>
      </c>
      <c r="H94" s="64">
        <v>21.61</v>
      </c>
      <c r="I94" s="64">
        <v>2.71</v>
      </c>
      <c r="J94" s="64">
        <v>0.11</v>
      </c>
      <c r="K94" s="64">
        <v>141.09</v>
      </c>
      <c r="L94" s="64">
        <v>25.53</v>
      </c>
      <c r="M94" s="64">
        <v>98.47</v>
      </c>
      <c r="N94" s="64">
        <v>41.9</v>
      </c>
      <c r="O94" s="64">
        <v>0</v>
      </c>
      <c r="P94" s="64">
        <v>0.61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13" t="s">
        <v>2154</v>
      </c>
      <c r="B95" s="64">
        <v>12.15</v>
      </c>
      <c r="C95" s="64">
        <v>31.65</v>
      </c>
      <c r="D95" s="64">
        <v>26.28</v>
      </c>
      <c r="E95" s="64">
        <v>4.7699999999999996</v>
      </c>
      <c r="F95" s="64">
        <v>6.96</v>
      </c>
      <c r="G95" s="64">
        <v>66.599999999999994</v>
      </c>
      <c r="H95" s="64">
        <v>23.69</v>
      </c>
      <c r="I95" s="64">
        <v>2.71</v>
      </c>
      <c r="J95" s="64">
        <v>0.27</v>
      </c>
      <c r="K95" s="64">
        <v>151.66999999999999</v>
      </c>
      <c r="L95" s="64">
        <v>25.35</v>
      </c>
      <c r="M95" s="64">
        <v>98.48</v>
      </c>
      <c r="N95" s="64">
        <v>42.1</v>
      </c>
      <c r="O95" s="64">
        <v>0</v>
      </c>
      <c r="P95" s="64">
        <v>0.72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3" t="s">
        <v>2155</v>
      </c>
      <c r="B96" s="64">
        <v>21.12</v>
      </c>
      <c r="C96" s="64">
        <v>31.74</v>
      </c>
      <c r="D96" s="64">
        <v>33.520000000000003</v>
      </c>
      <c r="E96" s="64">
        <v>4.47</v>
      </c>
      <c r="F96" s="64">
        <v>6.49</v>
      </c>
      <c r="G96" s="64">
        <v>66.599999999999994</v>
      </c>
      <c r="H96" s="64">
        <v>23.69</v>
      </c>
      <c r="I96" s="64">
        <v>2.7</v>
      </c>
      <c r="J96" s="64">
        <v>0.08</v>
      </c>
      <c r="K96" s="64">
        <v>219.9</v>
      </c>
      <c r="L96" s="64">
        <v>25.33</v>
      </c>
      <c r="M96" s="64">
        <v>98.48</v>
      </c>
      <c r="N96" s="64">
        <v>42.1</v>
      </c>
      <c r="O96" s="64">
        <v>0</v>
      </c>
      <c r="P96" s="64">
        <v>0.66</v>
      </c>
      <c r="Q96" s="64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2156</v>
      </c>
      <c r="B97" s="64">
        <v>16.760000000000002</v>
      </c>
      <c r="C97" s="64">
        <v>29.94</v>
      </c>
      <c r="D97" s="64">
        <v>29.09</v>
      </c>
      <c r="E97" s="64">
        <v>4.62</v>
      </c>
      <c r="F97" s="64">
        <v>7.05</v>
      </c>
      <c r="G97" s="64">
        <v>66.599999999999994</v>
      </c>
      <c r="H97" s="64">
        <v>23.69</v>
      </c>
      <c r="I97" s="64">
        <v>2.68</v>
      </c>
      <c r="J97" s="64">
        <v>0.02</v>
      </c>
      <c r="K97" s="64">
        <v>357.14</v>
      </c>
      <c r="L97" s="64">
        <v>25.29</v>
      </c>
      <c r="M97" s="64">
        <v>98.49</v>
      </c>
      <c r="N97" s="64">
        <v>42</v>
      </c>
      <c r="O97" s="64">
        <v>0</v>
      </c>
      <c r="P97" s="64">
        <v>0.67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3" t="s">
        <v>2157</v>
      </c>
      <c r="B98" s="64">
        <v>42.68</v>
      </c>
      <c r="C98" s="64">
        <v>24.16</v>
      </c>
      <c r="D98" s="64">
        <v>46.85</v>
      </c>
      <c r="E98" s="64">
        <v>4.62</v>
      </c>
      <c r="F98" s="64">
        <v>5.67</v>
      </c>
      <c r="G98" s="64">
        <v>67.11</v>
      </c>
      <c r="H98" s="64">
        <v>23.04</v>
      </c>
      <c r="I98" s="64">
        <v>2.66</v>
      </c>
      <c r="J98" s="64">
        <v>0.05</v>
      </c>
      <c r="K98" s="64">
        <v>298.45</v>
      </c>
      <c r="L98" s="64">
        <v>25.31</v>
      </c>
      <c r="M98" s="64">
        <v>98.52</v>
      </c>
      <c r="N98" s="64">
        <v>42.2</v>
      </c>
      <c r="O98" s="64">
        <v>0</v>
      </c>
      <c r="P98" s="64">
        <v>1.05</v>
      </c>
      <c r="Q98" s="64">
        <v>9.56</v>
      </c>
      <c r="R98" s="198"/>
      <c r="S98" s="198"/>
      <c r="T98" s="198"/>
      <c r="U98" s="198"/>
    </row>
    <row r="99" spans="1:33" s="12" customFormat="1" x14ac:dyDescent="0.25">
      <c r="A99" s="213" t="s">
        <v>2158</v>
      </c>
      <c r="B99" s="64">
        <v>35.36</v>
      </c>
      <c r="C99" s="64">
        <v>25.53</v>
      </c>
      <c r="D99" s="64">
        <v>41.7</v>
      </c>
      <c r="E99" s="64">
        <v>4.8</v>
      </c>
      <c r="F99" s="64">
        <v>5.49</v>
      </c>
      <c r="G99" s="64">
        <v>68.37</v>
      </c>
      <c r="H99" s="64">
        <v>21.46</v>
      </c>
      <c r="I99" s="64">
        <v>2.64</v>
      </c>
      <c r="J99" s="64">
        <v>0.17</v>
      </c>
      <c r="K99" s="64">
        <v>341.14</v>
      </c>
      <c r="L99" s="64">
        <v>25.25</v>
      </c>
      <c r="M99" s="64">
        <v>98.53</v>
      </c>
      <c r="N99" s="64">
        <v>42</v>
      </c>
      <c r="O99" s="64">
        <v>0</v>
      </c>
      <c r="P99" s="64">
        <v>0.89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3" t="s">
        <v>2159</v>
      </c>
      <c r="B100" s="64">
        <v>29.47</v>
      </c>
      <c r="C100" s="64">
        <v>26.92</v>
      </c>
      <c r="D100" s="64">
        <v>37.69</v>
      </c>
      <c r="E100" s="64">
        <v>4.9000000000000004</v>
      </c>
      <c r="F100" s="64">
        <v>5.94</v>
      </c>
      <c r="G100" s="64">
        <v>68.37</v>
      </c>
      <c r="H100" s="64">
        <v>21.46</v>
      </c>
      <c r="I100" s="64">
        <v>2.65</v>
      </c>
      <c r="J100" s="64">
        <v>0.05</v>
      </c>
      <c r="K100" s="64">
        <v>342.36</v>
      </c>
      <c r="L100" s="64">
        <v>25.23</v>
      </c>
      <c r="M100" s="64">
        <v>98.53</v>
      </c>
      <c r="N100" s="64">
        <v>42.2</v>
      </c>
      <c r="O100" s="64">
        <v>0</v>
      </c>
      <c r="P100" s="64">
        <v>1.08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2160</v>
      </c>
      <c r="B101" s="64">
        <v>25.48</v>
      </c>
      <c r="C101" s="64">
        <v>23.26</v>
      </c>
      <c r="D101" s="64">
        <v>32.590000000000003</v>
      </c>
      <c r="E101" s="64">
        <v>4.8899999999999997</v>
      </c>
      <c r="F101" s="64">
        <v>5.59</v>
      </c>
      <c r="G101" s="64">
        <v>68.37</v>
      </c>
      <c r="H101" s="64">
        <v>21.46</v>
      </c>
      <c r="I101" s="64">
        <v>2.69</v>
      </c>
      <c r="J101" s="64">
        <v>0.06</v>
      </c>
      <c r="K101" s="64">
        <v>315.32</v>
      </c>
      <c r="L101" s="64">
        <v>25.17</v>
      </c>
      <c r="M101" s="64">
        <v>98.55</v>
      </c>
      <c r="N101" s="64">
        <v>42.2</v>
      </c>
      <c r="O101" s="64">
        <v>0</v>
      </c>
      <c r="P101" s="64">
        <v>0.82</v>
      </c>
      <c r="Q101" s="64">
        <v>9.57</v>
      </c>
      <c r="R101" s="198"/>
      <c r="S101" s="198"/>
      <c r="T101" s="198"/>
      <c r="U101" s="198"/>
    </row>
    <row r="102" spans="1:33" s="12" customFormat="1" x14ac:dyDescent="0.25">
      <c r="A102" s="213" t="s">
        <v>2161</v>
      </c>
      <c r="B102" s="64">
        <v>12.69</v>
      </c>
      <c r="C102" s="64">
        <v>27.44</v>
      </c>
      <c r="D102" s="64">
        <v>24.52</v>
      </c>
      <c r="E102" s="64">
        <v>4.83</v>
      </c>
      <c r="F102" s="64">
        <v>6.11</v>
      </c>
      <c r="G102" s="64">
        <v>71.650000000000006</v>
      </c>
      <c r="H102" s="64">
        <v>21.29</v>
      </c>
      <c r="I102" s="64">
        <v>2.7</v>
      </c>
      <c r="J102" s="64">
        <v>7.0000000000000007E-2</v>
      </c>
      <c r="K102" s="64">
        <v>132.97</v>
      </c>
      <c r="L102" s="64">
        <v>25.19</v>
      </c>
      <c r="M102" s="64">
        <v>98.54</v>
      </c>
      <c r="N102" s="64">
        <v>42.1</v>
      </c>
      <c r="O102" s="64">
        <v>0</v>
      </c>
      <c r="P102" s="64">
        <v>0.63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3" t="s">
        <v>2162</v>
      </c>
      <c r="B103" s="64">
        <v>21.66</v>
      </c>
      <c r="C103" s="64">
        <v>24.57</v>
      </c>
      <c r="D103" s="64">
        <v>30.21</v>
      </c>
      <c r="E103" s="64">
        <v>4.54</v>
      </c>
      <c r="F103" s="64">
        <v>6.06</v>
      </c>
      <c r="G103" s="64">
        <v>79.72</v>
      </c>
      <c r="H103" s="64">
        <v>20.87</v>
      </c>
      <c r="I103" s="64">
        <v>2.67</v>
      </c>
      <c r="J103" s="64">
        <v>0.08</v>
      </c>
      <c r="K103" s="64">
        <v>98.8</v>
      </c>
      <c r="L103" s="64">
        <v>25.23</v>
      </c>
      <c r="M103" s="64">
        <v>98.53</v>
      </c>
      <c r="N103" s="64">
        <v>42.1</v>
      </c>
      <c r="O103" s="64">
        <v>0</v>
      </c>
      <c r="P103" s="64">
        <v>0.71</v>
      </c>
      <c r="Q103" s="64">
        <v>9.61</v>
      </c>
      <c r="R103" s="198"/>
      <c r="S103" s="198"/>
      <c r="T103" s="198"/>
      <c r="U103" s="198"/>
    </row>
    <row r="104" spans="1:33" s="12" customFormat="1" x14ac:dyDescent="0.25">
      <c r="A104" s="213" t="s">
        <v>2163</v>
      </c>
      <c r="B104" s="64">
        <v>18.63</v>
      </c>
      <c r="C104" s="64">
        <v>20.29</v>
      </c>
      <c r="D104" s="64">
        <v>25.54</v>
      </c>
      <c r="E104" s="64">
        <v>3.91</v>
      </c>
      <c r="F104" s="64">
        <v>4.99</v>
      </c>
      <c r="G104" s="64">
        <v>79.72</v>
      </c>
      <c r="H104" s="64">
        <v>20.87</v>
      </c>
      <c r="I104" s="64">
        <v>2.64</v>
      </c>
      <c r="J104" s="64">
        <v>0.03</v>
      </c>
      <c r="K104" s="64">
        <v>179.81</v>
      </c>
      <c r="L104" s="64">
        <v>25.2</v>
      </c>
      <c r="M104" s="64">
        <v>98.56</v>
      </c>
      <c r="N104" s="64">
        <v>42.5</v>
      </c>
      <c r="O104" s="64">
        <v>0.2</v>
      </c>
      <c r="P104" s="64">
        <v>0.8</v>
      </c>
      <c r="Q104" s="64">
        <v>9.6199999999999992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5.34</v>
      </c>
      <c r="C106" s="67">
        <f>MIN(C9:C104)</f>
        <v>7.11</v>
      </c>
      <c r="D106" s="67">
        <f t="shared" ref="D106:Q106" si="0">MIN(D9:D104)</f>
        <v>10.69</v>
      </c>
      <c r="E106" s="67">
        <f t="shared" si="0"/>
        <v>2.99</v>
      </c>
      <c r="F106" s="67">
        <f t="shared" si="0"/>
        <v>2.97</v>
      </c>
      <c r="G106" s="67">
        <f t="shared" si="0"/>
        <v>11.74</v>
      </c>
      <c r="H106" s="67">
        <f t="shared" si="0"/>
        <v>7.94</v>
      </c>
      <c r="I106" s="67">
        <f t="shared" si="0"/>
        <v>0.93</v>
      </c>
      <c r="J106" s="67">
        <f t="shared" si="0"/>
        <v>0.02</v>
      </c>
      <c r="K106" s="67">
        <f t="shared" si="0"/>
        <v>1.45</v>
      </c>
      <c r="L106" s="67">
        <f t="shared" si="0"/>
        <v>21.01</v>
      </c>
      <c r="M106" s="67">
        <f t="shared" si="0"/>
        <v>94.23</v>
      </c>
      <c r="N106" s="67">
        <f t="shared" si="0"/>
        <v>41.9</v>
      </c>
      <c r="O106" s="67">
        <f t="shared" si="0"/>
        <v>0</v>
      </c>
      <c r="P106" s="67">
        <f t="shared" si="0"/>
        <v>0.15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42.68</v>
      </c>
      <c r="C107" s="66">
        <f t="shared" ref="C107:Q107" si="1">MAX(C9:C104)</f>
        <v>55.28</v>
      </c>
      <c r="D107" s="66">
        <f t="shared" si="1"/>
        <v>46.85</v>
      </c>
      <c r="E107" s="66">
        <f t="shared" si="1"/>
        <v>5.32</v>
      </c>
      <c r="F107" s="66">
        <f t="shared" si="1"/>
        <v>16.2</v>
      </c>
      <c r="G107" s="66">
        <f t="shared" si="1"/>
        <v>90.07</v>
      </c>
      <c r="H107" s="66">
        <f t="shared" si="1"/>
        <v>34.51</v>
      </c>
      <c r="I107" s="66">
        <f t="shared" si="1"/>
        <v>2.72</v>
      </c>
      <c r="J107" s="66">
        <f t="shared" si="1"/>
        <v>2.27</v>
      </c>
      <c r="K107" s="66">
        <f t="shared" si="1"/>
        <v>357.14</v>
      </c>
      <c r="L107" s="66">
        <f t="shared" si="1"/>
        <v>28.49</v>
      </c>
      <c r="M107" s="66">
        <f t="shared" si="1"/>
        <v>98.98</v>
      </c>
      <c r="N107" s="66">
        <f t="shared" si="1"/>
        <v>640.79999999999995</v>
      </c>
      <c r="O107" s="66">
        <f t="shared" si="1"/>
        <v>5</v>
      </c>
      <c r="P107" s="66">
        <f t="shared" si="1"/>
        <v>1.1499999999999999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12.775833333333336</v>
      </c>
      <c r="C108" s="67">
        <f t="shared" ref="C108:Q108" si="2">AVERAGE(C9:C104)</f>
        <v>19.373020833333339</v>
      </c>
      <c r="D108" s="67">
        <f t="shared" si="2"/>
        <v>20.348020833333333</v>
      </c>
      <c r="E108" s="67">
        <f t="shared" si="2"/>
        <v>4.3417708333333325</v>
      </c>
      <c r="F108" s="67">
        <f t="shared" si="2"/>
        <v>7.6708333333333316</v>
      </c>
      <c r="G108" s="67">
        <f t="shared" si="2"/>
        <v>42.805833333333332</v>
      </c>
      <c r="H108" s="67">
        <f t="shared" si="2"/>
        <v>16.97666666666667</v>
      </c>
      <c r="I108" s="67">
        <f t="shared" si="2"/>
        <v>1.9408333333333323</v>
      </c>
      <c r="J108" s="67">
        <f t="shared" si="2"/>
        <v>0.41510416666666677</v>
      </c>
      <c r="K108" s="67">
        <f t="shared" si="2"/>
        <v>229.66927083333346</v>
      </c>
      <c r="L108" s="67">
        <f t="shared" si="2"/>
        <v>24.942499999999992</v>
      </c>
      <c r="M108" s="67">
        <f t="shared" si="2"/>
        <v>98.379687499999989</v>
      </c>
      <c r="N108" s="67">
        <f t="shared" si="2"/>
        <v>130.46666666666675</v>
      </c>
      <c r="O108" s="67">
        <f t="shared" si="2"/>
        <v>0.37500000000000006</v>
      </c>
      <c r="P108" s="67">
        <f t="shared" si="2"/>
        <v>0.54374999999999996</v>
      </c>
      <c r="Q108" s="67">
        <f t="shared" si="2"/>
        <v>9.2855208333333348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6.5034848418151325</v>
      </c>
      <c r="C109" s="67">
        <f t="shared" ref="C109:Q109" si="3">STDEV(C9:C104)</f>
        <v>9.0070896192991974</v>
      </c>
      <c r="D109" s="67">
        <f t="shared" si="3"/>
        <v>8.3458944990357402</v>
      </c>
      <c r="E109" s="67">
        <f t="shared" si="3"/>
        <v>0.66708477294737578</v>
      </c>
      <c r="F109" s="67">
        <f t="shared" si="3"/>
        <v>3.3308689135566798</v>
      </c>
      <c r="G109" s="67">
        <f t="shared" si="3"/>
        <v>20.30722213591001</v>
      </c>
      <c r="H109" s="67">
        <f t="shared" si="3"/>
        <v>5.4327311473418431</v>
      </c>
      <c r="I109" s="67">
        <f t="shared" si="3"/>
        <v>0.6394860875268169</v>
      </c>
      <c r="J109" s="67">
        <f t="shared" si="3"/>
        <v>0.47636340570854652</v>
      </c>
      <c r="K109" s="67">
        <f t="shared" si="3"/>
        <v>97.859610680916489</v>
      </c>
      <c r="L109" s="67">
        <f t="shared" si="3"/>
        <v>2.0820157236880346</v>
      </c>
      <c r="M109" s="67">
        <f t="shared" si="3"/>
        <v>0.81238369612938655</v>
      </c>
      <c r="N109" s="67">
        <f t="shared" si="3"/>
        <v>128.86335207797407</v>
      </c>
      <c r="O109" s="67">
        <f t="shared" si="3"/>
        <v>1.0447865558899678</v>
      </c>
      <c r="P109" s="67">
        <f t="shared" si="3"/>
        <v>0.27405051397603025</v>
      </c>
      <c r="Q109" s="67">
        <f t="shared" si="3"/>
        <v>0.17244294123696716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2164</v>
      </c>
      <c r="B9" s="64">
        <v>13.7</v>
      </c>
      <c r="C9" s="64">
        <v>20.07</v>
      </c>
      <c r="D9" s="64">
        <v>21.47</v>
      </c>
      <c r="E9" s="64">
        <v>4.5999999999999996</v>
      </c>
      <c r="F9" s="64">
        <v>5.0199999999999996</v>
      </c>
      <c r="G9" s="64">
        <v>79.72</v>
      </c>
      <c r="H9" s="64">
        <v>20.87</v>
      </c>
      <c r="I9" s="64">
        <v>2.63</v>
      </c>
      <c r="J9" s="64">
        <v>0.1</v>
      </c>
      <c r="K9" s="64">
        <v>154.19</v>
      </c>
      <c r="L9" s="64">
        <v>24.94</v>
      </c>
      <c r="M9" s="64">
        <v>98.58</v>
      </c>
      <c r="N9" s="64">
        <v>42.3</v>
      </c>
      <c r="O9" s="64">
        <v>0</v>
      </c>
      <c r="P9" s="64">
        <v>0.63</v>
      </c>
      <c r="Q9" s="64">
        <v>9.6</v>
      </c>
      <c r="R9" s="198"/>
      <c r="S9" s="198"/>
      <c r="T9" s="198"/>
      <c r="U9" s="198"/>
    </row>
    <row r="10" spans="1:21" s="12" customFormat="1" x14ac:dyDescent="0.25">
      <c r="A10" s="213" t="s">
        <v>2165</v>
      </c>
      <c r="B10" s="64">
        <v>12.38</v>
      </c>
      <c r="C10" s="64">
        <v>16.38</v>
      </c>
      <c r="D10" s="64">
        <v>18.48</v>
      </c>
      <c r="E10" s="64">
        <v>4.42</v>
      </c>
      <c r="F10" s="64">
        <v>5.69</v>
      </c>
      <c r="G10" s="64">
        <v>77.42</v>
      </c>
      <c r="H10" s="64">
        <v>19.420000000000002</v>
      </c>
      <c r="I10" s="64">
        <v>2.62</v>
      </c>
      <c r="J10" s="64">
        <v>0.08</v>
      </c>
      <c r="K10" s="64">
        <v>222.98</v>
      </c>
      <c r="L10" s="64">
        <v>24.75</v>
      </c>
      <c r="M10" s="64">
        <v>98.58</v>
      </c>
      <c r="N10" s="64">
        <v>42.5</v>
      </c>
      <c r="O10" s="64">
        <v>0</v>
      </c>
      <c r="P10" s="64">
        <v>0.51</v>
      </c>
      <c r="Q10" s="64">
        <v>9.6</v>
      </c>
      <c r="R10" s="198"/>
      <c r="S10" s="198"/>
      <c r="T10" s="198"/>
      <c r="U10" s="198"/>
    </row>
    <row r="11" spans="1:21" s="12" customFormat="1" x14ac:dyDescent="0.25">
      <c r="A11" s="213" t="s">
        <v>2166</v>
      </c>
      <c r="B11" s="64">
        <v>12</v>
      </c>
      <c r="C11" s="64">
        <v>13.19</v>
      </c>
      <c r="D11" s="64">
        <v>16.52</v>
      </c>
      <c r="E11" s="64">
        <v>4.29</v>
      </c>
      <c r="F11" s="64">
        <v>6.51</v>
      </c>
      <c r="G11" s="64">
        <v>71.760000000000005</v>
      </c>
      <c r="H11" s="64">
        <v>15.85</v>
      </c>
      <c r="I11" s="64">
        <v>2.58</v>
      </c>
      <c r="J11" s="64">
        <v>0.06</v>
      </c>
      <c r="K11" s="64">
        <v>223.37</v>
      </c>
      <c r="L11" s="64">
        <v>24.66</v>
      </c>
      <c r="M11" s="64">
        <v>98.58</v>
      </c>
      <c r="N11" s="64">
        <v>42.3</v>
      </c>
      <c r="O11" s="64">
        <v>0</v>
      </c>
      <c r="P11" s="64">
        <v>0.47</v>
      </c>
      <c r="Q11" s="64">
        <v>9.58</v>
      </c>
      <c r="R11" s="198"/>
      <c r="S11" s="198"/>
      <c r="T11" s="198"/>
      <c r="U11" s="198"/>
    </row>
    <row r="12" spans="1:21" s="12" customFormat="1" x14ac:dyDescent="0.25">
      <c r="A12" s="213" t="s">
        <v>2167</v>
      </c>
      <c r="B12" s="64">
        <v>9.9499999999999993</v>
      </c>
      <c r="C12" s="64">
        <v>13.17</v>
      </c>
      <c r="D12" s="64">
        <v>14.86</v>
      </c>
      <c r="E12" s="64">
        <v>4.55</v>
      </c>
      <c r="F12" s="64">
        <v>6.81</v>
      </c>
      <c r="G12" s="64">
        <v>71.760000000000005</v>
      </c>
      <c r="H12" s="64">
        <v>15.85</v>
      </c>
      <c r="I12" s="64">
        <v>2.54</v>
      </c>
      <c r="J12" s="64">
        <v>0.08</v>
      </c>
      <c r="K12" s="64">
        <v>207.54</v>
      </c>
      <c r="L12" s="64">
        <v>24.62</v>
      </c>
      <c r="M12" s="64">
        <v>98.58</v>
      </c>
      <c r="N12" s="64">
        <v>42.3</v>
      </c>
      <c r="O12" s="64">
        <v>0</v>
      </c>
      <c r="P12" s="64">
        <v>0.4</v>
      </c>
      <c r="Q12" s="64">
        <v>9.5399999999999991</v>
      </c>
      <c r="R12" s="198"/>
      <c r="S12" s="198"/>
      <c r="T12" s="198"/>
      <c r="U12" s="198"/>
    </row>
    <row r="13" spans="1:21" s="12" customFormat="1" x14ac:dyDescent="0.25">
      <c r="A13" s="213" t="s">
        <v>2168</v>
      </c>
      <c r="B13" s="64">
        <v>8.58</v>
      </c>
      <c r="C13" s="64">
        <v>14.5</v>
      </c>
      <c r="D13" s="64">
        <v>14.46</v>
      </c>
      <c r="E13" s="64">
        <v>4.13</v>
      </c>
      <c r="F13" s="64">
        <v>6.35</v>
      </c>
      <c r="G13" s="64">
        <v>71.760000000000005</v>
      </c>
      <c r="H13" s="64">
        <v>15.85</v>
      </c>
      <c r="I13" s="64">
        <v>2.5</v>
      </c>
      <c r="J13" s="64">
        <v>0.03</v>
      </c>
      <c r="K13" s="64">
        <v>239.35</v>
      </c>
      <c r="L13" s="64">
        <v>24.66</v>
      </c>
      <c r="M13" s="64">
        <v>98.58</v>
      </c>
      <c r="N13" s="64">
        <v>42.3</v>
      </c>
      <c r="O13" s="64">
        <v>0</v>
      </c>
      <c r="P13" s="64">
        <v>0.34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3" t="s">
        <v>2169</v>
      </c>
      <c r="B14" s="64">
        <v>7.65</v>
      </c>
      <c r="C14" s="64">
        <v>13.89</v>
      </c>
      <c r="D14" s="64">
        <v>13.39</v>
      </c>
      <c r="E14" s="64">
        <v>4.07</v>
      </c>
      <c r="F14" s="64">
        <v>7.01</v>
      </c>
      <c r="G14" s="64">
        <v>66.56</v>
      </c>
      <c r="H14" s="64">
        <v>14.76</v>
      </c>
      <c r="I14" s="64">
        <v>2.46</v>
      </c>
      <c r="J14" s="64">
        <v>0.03</v>
      </c>
      <c r="K14" s="64">
        <v>200.07</v>
      </c>
      <c r="L14" s="64">
        <v>24.63</v>
      </c>
      <c r="M14" s="64">
        <v>98.58</v>
      </c>
      <c r="N14" s="64">
        <v>42.3</v>
      </c>
      <c r="O14" s="64">
        <v>0</v>
      </c>
      <c r="P14" s="64">
        <v>0.3</v>
      </c>
      <c r="Q14" s="64">
        <v>9.48</v>
      </c>
      <c r="R14" s="198"/>
      <c r="S14" s="198"/>
      <c r="T14" s="198"/>
      <c r="U14" s="198"/>
    </row>
    <row r="15" spans="1:21" s="12" customFormat="1" x14ac:dyDescent="0.25">
      <c r="A15" s="213" t="s">
        <v>2170</v>
      </c>
      <c r="B15" s="64">
        <v>9.35</v>
      </c>
      <c r="C15" s="64">
        <v>13.89</v>
      </c>
      <c r="D15" s="64">
        <v>14.75</v>
      </c>
      <c r="E15" s="64">
        <v>4.26</v>
      </c>
      <c r="F15" s="64">
        <v>6.91</v>
      </c>
      <c r="G15" s="64">
        <v>53.75</v>
      </c>
      <c r="H15" s="64">
        <v>12.07</v>
      </c>
      <c r="I15" s="64">
        <v>2.4</v>
      </c>
      <c r="J15" s="64">
        <v>0.05</v>
      </c>
      <c r="K15" s="64">
        <v>294.77</v>
      </c>
      <c r="L15" s="64">
        <v>24.62</v>
      </c>
      <c r="M15" s="64">
        <v>98.58</v>
      </c>
      <c r="N15" s="64">
        <v>42.3</v>
      </c>
      <c r="O15" s="64">
        <v>0</v>
      </c>
      <c r="P15" s="64">
        <v>0.32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3" t="s">
        <v>2171</v>
      </c>
      <c r="B16" s="64">
        <v>9.57</v>
      </c>
      <c r="C16" s="64">
        <v>13.17</v>
      </c>
      <c r="D16" s="64">
        <v>14.56</v>
      </c>
      <c r="E16" s="64">
        <v>4.24</v>
      </c>
      <c r="F16" s="64">
        <v>7.15</v>
      </c>
      <c r="G16" s="64">
        <v>53.75</v>
      </c>
      <c r="H16" s="64">
        <v>12.07</v>
      </c>
      <c r="I16" s="64">
        <v>2.34</v>
      </c>
      <c r="J16" s="64">
        <v>0.25</v>
      </c>
      <c r="K16" s="64">
        <v>330.67</v>
      </c>
      <c r="L16" s="64">
        <v>24.54</v>
      </c>
      <c r="M16" s="64">
        <v>98.58</v>
      </c>
      <c r="N16" s="64">
        <v>42.3</v>
      </c>
      <c r="O16" s="64">
        <v>0</v>
      </c>
      <c r="P16" s="64">
        <v>0.31</v>
      </c>
      <c r="Q16" s="64">
        <v>9.4700000000000006</v>
      </c>
      <c r="R16" s="198"/>
      <c r="S16" s="198"/>
      <c r="T16" s="198"/>
      <c r="U16" s="198"/>
    </row>
    <row r="17" spans="1:21" s="12" customFormat="1" x14ac:dyDescent="0.25">
      <c r="A17" s="213" t="s">
        <v>2172</v>
      </c>
      <c r="B17" s="64">
        <v>9.92</v>
      </c>
      <c r="C17" s="64">
        <v>13.5</v>
      </c>
      <c r="D17" s="64">
        <v>15.01</v>
      </c>
      <c r="E17" s="64">
        <v>4.01</v>
      </c>
      <c r="F17" s="64">
        <v>7.45</v>
      </c>
      <c r="G17" s="64">
        <v>53.75</v>
      </c>
      <c r="H17" s="64">
        <v>12.07</v>
      </c>
      <c r="I17" s="64">
        <v>2.29</v>
      </c>
      <c r="J17" s="64">
        <v>0.26</v>
      </c>
      <c r="K17" s="64">
        <v>331.92</v>
      </c>
      <c r="L17" s="64">
        <v>24.51</v>
      </c>
      <c r="M17" s="64">
        <v>98.58</v>
      </c>
      <c r="N17" s="64">
        <v>42.3</v>
      </c>
      <c r="O17" s="64">
        <v>0</v>
      </c>
      <c r="P17" s="64">
        <v>0.36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3" t="s">
        <v>2173</v>
      </c>
      <c r="B18" s="64">
        <v>9.65</v>
      </c>
      <c r="C18" s="64">
        <v>16.82</v>
      </c>
      <c r="D18" s="64">
        <v>16.52</v>
      </c>
      <c r="E18" s="64">
        <v>4</v>
      </c>
      <c r="F18" s="64">
        <v>6.47</v>
      </c>
      <c r="G18" s="64">
        <v>52.03</v>
      </c>
      <c r="H18" s="64">
        <v>12.83</v>
      </c>
      <c r="I18" s="64">
        <v>2.27</v>
      </c>
      <c r="J18" s="64">
        <v>0.19</v>
      </c>
      <c r="K18" s="64">
        <v>320.33999999999997</v>
      </c>
      <c r="L18" s="64">
        <v>24.48</v>
      </c>
      <c r="M18" s="64">
        <v>98.58</v>
      </c>
      <c r="N18" s="64">
        <v>42.5</v>
      </c>
      <c r="O18" s="64">
        <v>0</v>
      </c>
      <c r="P18" s="64">
        <v>0.38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13" t="s">
        <v>2174</v>
      </c>
      <c r="B19" s="64">
        <v>12.4</v>
      </c>
      <c r="C19" s="64">
        <v>15.75</v>
      </c>
      <c r="D19" s="64">
        <v>18.11</v>
      </c>
      <c r="E19" s="64">
        <v>4.41</v>
      </c>
      <c r="F19" s="64">
        <v>9.49</v>
      </c>
      <c r="G19" s="64">
        <v>47.82</v>
      </c>
      <c r="H19" s="64">
        <v>14.7</v>
      </c>
      <c r="I19" s="64">
        <v>2.2799999999999998</v>
      </c>
      <c r="J19" s="64">
        <v>0.35</v>
      </c>
      <c r="K19" s="64">
        <v>321.44</v>
      </c>
      <c r="L19" s="64">
        <v>24.45</v>
      </c>
      <c r="M19" s="64">
        <v>98.6</v>
      </c>
      <c r="N19" s="64">
        <v>42.4</v>
      </c>
      <c r="O19" s="64">
        <v>0</v>
      </c>
      <c r="P19" s="64">
        <v>0.38</v>
      </c>
      <c r="Q19" s="64">
        <v>9.49</v>
      </c>
      <c r="R19" s="198"/>
      <c r="S19" s="198"/>
      <c r="T19" s="198"/>
      <c r="U19" s="198"/>
    </row>
    <row r="20" spans="1:21" s="12" customFormat="1" x14ac:dyDescent="0.25">
      <c r="A20" s="213" t="s">
        <v>2175</v>
      </c>
      <c r="B20" s="64">
        <v>11.03</v>
      </c>
      <c r="C20" s="64">
        <v>13.94</v>
      </c>
      <c r="D20" s="64">
        <v>16.13</v>
      </c>
      <c r="E20" s="64">
        <v>4.76</v>
      </c>
      <c r="F20" s="64">
        <v>9.0500000000000007</v>
      </c>
      <c r="G20" s="64">
        <v>47.82</v>
      </c>
      <c r="H20" s="64">
        <v>14.7</v>
      </c>
      <c r="I20" s="64">
        <v>2.34</v>
      </c>
      <c r="J20" s="64">
        <v>0.3</v>
      </c>
      <c r="K20" s="64">
        <v>320.54000000000002</v>
      </c>
      <c r="L20" s="64">
        <v>24.44</v>
      </c>
      <c r="M20" s="64">
        <v>98.6</v>
      </c>
      <c r="N20" s="64">
        <v>42.3</v>
      </c>
      <c r="O20" s="64">
        <v>0</v>
      </c>
      <c r="P20" s="64">
        <v>0.36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13" t="s">
        <v>2176</v>
      </c>
      <c r="B21" s="64">
        <v>11.89</v>
      </c>
      <c r="C21" s="64">
        <v>11.8</v>
      </c>
      <c r="D21" s="64">
        <v>15.7</v>
      </c>
      <c r="E21" s="64">
        <v>4.32</v>
      </c>
      <c r="F21" s="64">
        <v>7.3</v>
      </c>
      <c r="G21" s="64">
        <v>47.82</v>
      </c>
      <c r="H21" s="64">
        <v>14.7</v>
      </c>
      <c r="I21" s="64">
        <v>2.38</v>
      </c>
      <c r="J21" s="64">
        <v>0.31</v>
      </c>
      <c r="K21" s="64">
        <v>312.08999999999997</v>
      </c>
      <c r="L21" s="64">
        <v>24.4</v>
      </c>
      <c r="M21" s="64">
        <v>98.6</v>
      </c>
      <c r="N21" s="64">
        <v>42.3</v>
      </c>
      <c r="O21" s="64">
        <v>0</v>
      </c>
      <c r="P21" s="64">
        <v>0.39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13" t="s">
        <v>2177</v>
      </c>
      <c r="B22" s="64">
        <v>11.51</v>
      </c>
      <c r="C22" s="64">
        <v>13.11</v>
      </c>
      <c r="D22" s="64">
        <v>16.079999999999998</v>
      </c>
      <c r="E22" s="64">
        <v>4.24</v>
      </c>
      <c r="F22" s="64">
        <v>8.4600000000000009</v>
      </c>
      <c r="G22" s="64">
        <v>45.39</v>
      </c>
      <c r="H22" s="64">
        <v>14.41</v>
      </c>
      <c r="I22" s="64">
        <v>2.37</v>
      </c>
      <c r="J22" s="64">
        <v>0.21</v>
      </c>
      <c r="K22" s="64">
        <v>318.3</v>
      </c>
      <c r="L22" s="64">
        <v>24.43</v>
      </c>
      <c r="M22" s="64">
        <v>98.6</v>
      </c>
      <c r="N22" s="64">
        <v>42.3</v>
      </c>
      <c r="O22" s="64">
        <v>0</v>
      </c>
      <c r="P22" s="64">
        <v>0.37</v>
      </c>
      <c r="Q22" s="64">
        <v>9.48</v>
      </c>
      <c r="R22" s="198"/>
      <c r="S22" s="198"/>
      <c r="T22" s="198"/>
      <c r="U22" s="198"/>
    </row>
    <row r="23" spans="1:21" s="12" customFormat="1" x14ac:dyDescent="0.25">
      <c r="A23" s="213" t="s">
        <v>2178</v>
      </c>
      <c r="B23" s="64">
        <v>15.65</v>
      </c>
      <c r="C23" s="64">
        <v>10.3</v>
      </c>
      <c r="D23" s="64">
        <v>17.93</v>
      </c>
      <c r="E23" s="64">
        <v>4.4800000000000004</v>
      </c>
      <c r="F23" s="64">
        <v>4.3899999999999997</v>
      </c>
      <c r="G23" s="64">
        <v>39.409999999999997</v>
      </c>
      <c r="H23" s="64">
        <v>13.69</v>
      </c>
      <c r="I23" s="64">
        <v>2.34</v>
      </c>
      <c r="J23" s="64">
        <v>0.31</v>
      </c>
      <c r="K23" s="64">
        <v>314.27999999999997</v>
      </c>
      <c r="L23" s="64">
        <v>24.44</v>
      </c>
      <c r="M23" s="64">
        <v>98.61</v>
      </c>
      <c r="N23" s="64">
        <v>42.3</v>
      </c>
      <c r="O23" s="64">
        <v>0</v>
      </c>
      <c r="P23" s="64">
        <v>0.52</v>
      </c>
      <c r="Q23" s="64">
        <v>9.4499999999999993</v>
      </c>
      <c r="R23" s="198"/>
      <c r="S23" s="198"/>
      <c r="T23" s="198"/>
      <c r="U23" s="198"/>
    </row>
    <row r="24" spans="1:21" s="12" customFormat="1" x14ac:dyDescent="0.25">
      <c r="A24" s="213" t="s">
        <v>2179</v>
      </c>
      <c r="B24" s="64">
        <v>12.95</v>
      </c>
      <c r="C24" s="64">
        <v>11.26</v>
      </c>
      <c r="D24" s="64">
        <v>16.27</v>
      </c>
      <c r="E24" s="64">
        <v>4.4400000000000004</v>
      </c>
      <c r="F24" s="64">
        <v>7.81</v>
      </c>
      <c r="G24" s="64">
        <v>39.409999999999997</v>
      </c>
      <c r="H24" s="64">
        <v>13.69</v>
      </c>
      <c r="I24" s="64">
        <v>2.29</v>
      </c>
      <c r="J24" s="64">
        <v>0.2</v>
      </c>
      <c r="K24" s="64">
        <v>322.36</v>
      </c>
      <c r="L24" s="64">
        <v>24.42</v>
      </c>
      <c r="M24" s="64">
        <v>98.63</v>
      </c>
      <c r="N24" s="64">
        <v>42.3</v>
      </c>
      <c r="O24" s="64">
        <v>0</v>
      </c>
      <c r="P24" s="64">
        <v>0.34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3" t="s">
        <v>2180</v>
      </c>
      <c r="B25" s="64">
        <v>15.2</v>
      </c>
      <c r="C25" s="64">
        <v>11.46</v>
      </c>
      <c r="D25" s="64">
        <v>18.18</v>
      </c>
      <c r="E25" s="64">
        <v>4.03</v>
      </c>
      <c r="F25" s="64">
        <v>6.45</v>
      </c>
      <c r="G25" s="64">
        <v>39.409999999999997</v>
      </c>
      <c r="H25" s="64">
        <v>13.69</v>
      </c>
      <c r="I25" s="64">
        <v>2.2200000000000002</v>
      </c>
      <c r="J25" s="64">
        <v>0.62</v>
      </c>
      <c r="K25" s="64">
        <v>334</v>
      </c>
      <c r="L25" s="64">
        <v>24.44</v>
      </c>
      <c r="M25" s="64">
        <v>98.62</v>
      </c>
      <c r="N25" s="64">
        <v>42.3</v>
      </c>
      <c r="O25" s="64">
        <v>0</v>
      </c>
      <c r="P25" s="64">
        <v>0.4</v>
      </c>
      <c r="Q25" s="64">
        <v>9.4</v>
      </c>
      <c r="R25" s="198"/>
      <c r="S25" s="198"/>
      <c r="T25" s="198"/>
      <c r="U25" s="198"/>
    </row>
    <row r="26" spans="1:21" s="12" customFormat="1" x14ac:dyDescent="0.25">
      <c r="A26" s="213" t="s">
        <v>2181</v>
      </c>
      <c r="B26" s="64">
        <v>15.68</v>
      </c>
      <c r="C26" s="64">
        <v>10.35</v>
      </c>
      <c r="D26" s="64">
        <v>17.989999999999998</v>
      </c>
      <c r="E26" s="64">
        <v>4.4000000000000004</v>
      </c>
      <c r="F26" s="64">
        <v>5.97</v>
      </c>
      <c r="G26" s="64">
        <v>38.25</v>
      </c>
      <c r="H26" s="64">
        <v>12.6</v>
      </c>
      <c r="I26" s="64">
        <v>2.16</v>
      </c>
      <c r="J26" s="64">
        <v>0.44</v>
      </c>
      <c r="K26" s="64">
        <v>333.52</v>
      </c>
      <c r="L26" s="64">
        <v>24.42</v>
      </c>
      <c r="M26" s="64">
        <v>98.63</v>
      </c>
      <c r="N26" s="64">
        <v>42.4</v>
      </c>
      <c r="O26" s="64">
        <v>0</v>
      </c>
      <c r="P26" s="64">
        <v>0.41</v>
      </c>
      <c r="Q26" s="64">
        <v>9.3800000000000008</v>
      </c>
      <c r="R26" s="198"/>
      <c r="S26" s="198"/>
      <c r="T26" s="198"/>
      <c r="U26" s="198"/>
    </row>
    <row r="27" spans="1:21" s="12" customFormat="1" x14ac:dyDescent="0.25">
      <c r="A27" s="213" t="s">
        <v>2182</v>
      </c>
      <c r="B27" s="64">
        <v>15.04</v>
      </c>
      <c r="C27" s="64">
        <v>11.44</v>
      </c>
      <c r="D27" s="64">
        <v>18.02</v>
      </c>
      <c r="E27" s="64">
        <v>4.01</v>
      </c>
      <c r="F27" s="64">
        <v>8.8699999999999992</v>
      </c>
      <c r="G27" s="64">
        <v>35.22</v>
      </c>
      <c r="H27" s="64">
        <v>9.92</v>
      </c>
      <c r="I27" s="64">
        <v>2.08</v>
      </c>
      <c r="J27" s="64">
        <v>0.42</v>
      </c>
      <c r="K27" s="64">
        <v>344.09</v>
      </c>
      <c r="L27" s="64">
        <v>24.41</v>
      </c>
      <c r="M27" s="64">
        <v>98.63</v>
      </c>
      <c r="N27" s="64">
        <v>42.3</v>
      </c>
      <c r="O27" s="64">
        <v>0</v>
      </c>
      <c r="P27" s="64">
        <v>0.27</v>
      </c>
      <c r="Q27" s="64">
        <v>9.3699999999999992</v>
      </c>
      <c r="R27" s="198"/>
      <c r="S27" s="198"/>
      <c r="T27" s="198"/>
      <c r="U27" s="198"/>
    </row>
    <row r="28" spans="1:21" s="12" customFormat="1" x14ac:dyDescent="0.25">
      <c r="A28" s="213" t="s">
        <v>2183</v>
      </c>
      <c r="B28" s="64">
        <v>15.09</v>
      </c>
      <c r="C28" s="64">
        <v>9.94</v>
      </c>
      <c r="D28" s="64">
        <v>17.3</v>
      </c>
      <c r="E28" s="64">
        <v>3.99</v>
      </c>
      <c r="F28" s="64">
        <v>4.3899999999999997</v>
      </c>
      <c r="G28" s="64">
        <v>35.22</v>
      </c>
      <c r="H28" s="64">
        <v>9.92</v>
      </c>
      <c r="I28" s="64">
        <v>2.02</v>
      </c>
      <c r="J28" s="64">
        <v>0.38</v>
      </c>
      <c r="K28" s="64">
        <v>328.26</v>
      </c>
      <c r="L28" s="64">
        <v>24.37</v>
      </c>
      <c r="M28" s="64">
        <v>98.63</v>
      </c>
      <c r="N28" s="64">
        <v>42.4</v>
      </c>
      <c r="O28" s="64">
        <v>0</v>
      </c>
      <c r="P28" s="64">
        <v>0.44</v>
      </c>
      <c r="Q28" s="64">
        <v>9.36</v>
      </c>
      <c r="R28" s="198"/>
      <c r="S28" s="198"/>
      <c r="T28" s="198"/>
      <c r="U28" s="198"/>
    </row>
    <row r="29" spans="1:21" s="12" customFormat="1" x14ac:dyDescent="0.25">
      <c r="A29" s="213" t="s">
        <v>2184</v>
      </c>
      <c r="B29" s="64">
        <v>15.82</v>
      </c>
      <c r="C29" s="64">
        <v>12.4</v>
      </c>
      <c r="D29" s="64">
        <v>19.170000000000002</v>
      </c>
      <c r="E29" s="64">
        <v>4.0599999999999996</v>
      </c>
      <c r="F29" s="64">
        <v>6.59</v>
      </c>
      <c r="G29" s="64">
        <v>35.22</v>
      </c>
      <c r="H29" s="64">
        <v>9.92</v>
      </c>
      <c r="I29" s="64">
        <v>1.98</v>
      </c>
      <c r="J29" s="64">
        <v>0.14000000000000001</v>
      </c>
      <c r="K29" s="64">
        <v>311.36</v>
      </c>
      <c r="L29" s="64">
        <v>24.31</v>
      </c>
      <c r="M29" s="64">
        <v>98.65</v>
      </c>
      <c r="N29" s="64">
        <v>42.3</v>
      </c>
      <c r="O29" s="64">
        <v>0</v>
      </c>
      <c r="P29" s="64">
        <v>0.35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3" t="s">
        <v>2185</v>
      </c>
      <c r="B30" s="64">
        <v>17.690000000000001</v>
      </c>
      <c r="C30" s="64">
        <v>11.44</v>
      </c>
      <c r="D30" s="64">
        <v>20.16</v>
      </c>
      <c r="E30" s="64">
        <v>4.17</v>
      </c>
      <c r="F30" s="64">
        <v>6.42</v>
      </c>
      <c r="G30" s="64">
        <v>35.35</v>
      </c>
      <c r="H30" s="64">
        <v>10.78</v>
      </c>
      <c r="I30" s="64">
        <v>1.93</v>
      </c>
      <c r="J30" s="64">
        <v>0.27</v>
      </c>
      <c r="K30" s="64">
        <v>326.07</v>
      </c>
      <c r="L30" s="64">
        <v>24.32</v>
      </c>
      <c r="M30" s="64">
        <v>98.65</v>
      </c>
      <c r="N30" s="64">
        <v>42.9</v>
      </c>
      <c r="O30" s="64">
        <v>0</v>
      </c>
      <c r="P30" s="64">
        <v>0.32</v>
      </c>
      <c r="Q30" s="64">
        <v>9.36</v>
      </c>
      <c r="R30" s="198"/>
      <c r="S30" s="198"/>
      <c r="T30" s="198"/>
      <c r="U30" s="198"/>
    </row>
    <row r="31" spans="1:21" s="12" customFormat="1" x14ac:dyDescent="0.25">
      <c r="A31" s="213" t="s">
        <v>2186</v>
      </c>
      <c r="B31" s="64">
        <v>18.5</v>
      </c>
      <c r="C31" s="64">
        <v>12.13</v>
      </c>
      <c r="D31" s="64">
        <v>21.17</v>
      </c>
      <c r="E31" s="64">
        <v>4.08</v>
      </c>
      <c r="F31" s="64">
        <v>5.84</v>
      </c>
      <c r="G31" s="64">
        <v>35.67</v>
      </c>
      <c r="H31" s="64">
        <v>12.92</v>
      </c>
      <c r="I31" s="64">
        <v>1.89</v>
      </c>
      <c r="J31" s="64">
        <v>0.39</v>
      </c>
      <c r="K31" s="64">
        <v>340.78</v>
      </c>
      <c r="L31" s="64">
        <v>24.36</v>
      </c>
      <c r="M31" s="64">
        <v>98.65</v>
      </c>
      <c r="N31" s="64">
        <v>44.7</v>
      </c>
      <c r="O31" s="64">
        <v>0</v>
      </c>
      <c r="P31" s="64">
        <v>0.36</v>
      </c>
      <c r="Q31" s="64">
        <v>9.36</v>
      </c>
      <c r="R31" s="198"/>
      <c r="S31" s="198"/>
      <c r="T31" s="198"/>
      <c r="U31" s="198"/>
    </row>
    <row r="32" spans="1:21" s="12" customFormat="1" x14ac:dyDescent="0.25">
      <c r="A32" s="213" t="s">
        <v>2187</v>
      </c>
      <c r="B32" s="64">
        <v>13.24</v>
      </c>
      <c r="C32" s="64">
        <v>11.94</v>
      </c>
      <c r="D32" s="64">
        <v>16.86</v>
      </c>
      <c r="E32" s="64">
        <v>4.09</v>
      </c>
      <c r="F32" s="64">
        <v>9.81</v>
      </c>
      <c r="G32" s="64">
        <v>35.67</v>
      </c>
      <c r="H32" s="64">
        <v>12.92</v>
      </c>
      <c r="I32" s="64">
        <v>1.84</v>
      </c>
      <c r="J32" s="64">
        <v>0.18</v>
      </c>
      <c r="K32" s="64">
        <v>347.23</v>
      </c>
      <c r="L32" s="64">
        <v>24.44</v>
      </c>
      <c r="M32" s="64">
        <v>98.65</v>
      </c>
      <c r="N32" s="64">
        <v>45.9</v>
      </c>
      <c r="O32" s="64">
        <v>0</v>
      </c>
      <c r="P32" s="64">
        <v>0.35</v>
      </c>
      <c r="Q32" s="64">
        <v>9.3800000000000008</v>
      </c>
      <c r="R32" s="198"/>
      <c r="S32" s="198"/>
      <c r="T32" s="198"/>
      <c r="U32" s="198"/>
    </row>
    <row r="33" spans="1:21" s="12" customFormat="1" x14ac:dyDescent="0.25">
      <c r="A33" s="213" t="s">
        <v>2188</v>
      </c>
      <c r="B33" s="64">
        <v>14.76</v>
      </c>
      <c r="C33" s="64">
        <v>21.31</v>
      </c>
      <c r="D33" s="64">
        <v>22.97</v>
      </c>
      <c r="E33" s="64">
        <v>3.91</v>
      </c>
      <c r="F33" s="64">
        <v>6.9</v>
      </c>
      <c r="G33" s="64">
        <v>35.67</v>
      </c>
      <c r="H33" s="64">
        <v>12.92</v>
      </c>
      <c r="I33" s="64">
        <v>1.81</v>
      </c>
      <c r="J33" s="64">
        <v>0.06</v>
      </c>
      <c r="K33" s="64">
        <v>36.67</v>
      </c>
      <c r="L33" s="64">
        <v>24.41</v>
      </c>
      <c r="M33" s="64">
        <v>98.63</v>
      </c>
      <c r="N33" s="64">
        <v>46.3</v>
      </c>
      <c r="O33" s="64">
        <v>0</v>
      </c>
      <c r="P33" s="64">
        <v>0.35</v>
      </c>
      <c r="Q33" s="64">
        <v>9.41</v>
      </c>
      <c r="R33" s="198"/>
      <c r="S33" s="198"/>
      <c r="T33" s="198"/>
      <c r="U33" s="198"/>
    </row>
    <row r="34" spans="1:21" s="12" customFormat="1" x14ac:dyDescent="0.25">
      <c r="A34" s="213" t="s">
        <v>2189</v>
      </c>
      <c r="B34" s="64">
        <v>36.5</v>
      </c>
      <c r="C34" s="64">
        <v>19.98</v>
      </c>
      <c r="D34" s="64">
        <v>39.71</v>
      </c>
      <c r="E34" s="64">
        <v>3.83</v>
      </c>
      <c r="F34" s="64">
        <v>6.48</v>
      </c>
      <c r="G34" s="64">
        <v>35.549999999999997</v>
      </c>
      <c r="H34" s="64">
        <v>12.55</v>
      </c>
      <c r="I34" s="64">
        <v>1.76</v>
      </c>
      <c r="J34" s="64">
        <v>0.03</v>
      </c>
      <c r="K34" s="64">
        <v>334.03</v>
      </c>
      <c r="L34" s="64">
        <v>24.42</v>
      </c>
      <c r="M34" s="64">
        <v>98.63</v>
      </c>
      <c r="N34" s="64">
        <v>49.3</v>
      </c>
      <c r="O34" s="64">
        <v>0</v>
      </c>
      <c r="P34" s="64">
        <v>0.48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3" t="s">
        <v>2190</v>
      </c>
      <c r="B35" s="64">
        <v>39.020000000000003</v>
      </c>
      <c r="C35" s="64">
        <v>22.13</v>
      </c>
      <c r="D35" s="64">
        <v>42.85</v>
      </c>
      <c r="E35" s="64">
        <v>4.37</v>
      </c>
      <c r="F35" s="64">
        <v>5.94</v>
      </c>
      <c r="G35" s="64">
        <v>35.270000000000003</v>
      </c>
      <c r="H35" s="64">
        <v>11.65</v>
      </c>
      <c r="I35" s="64">
        <v>1.75</v>
      </c>
      <c r="J35" s="64">
        <v>0.06</v>
      </c>
      <c r="K35" s="64">
        <v>62.54</v>
      </c>
      <c r="L35" s="64">
        <v>24.44</v>
      </c>
      <c r="M35" s="64">
        <v>98.62</v>
      </c>
      <c r="N35" s="64">
        <v>54</v>
      </c>
      <c r="O35" s="64">
        <v>0</v>
      </c>
      <c r="P35" s="64">
        <v>0.47</v>
      </c>
      <c r="Q35" s="64">
        <v>9.4499999999999993</v>
      </c>
      <c r="R35" s="198"/>
      <c r="S35" s="198"/>
      <c r="T35" s="198"/>
      <c r="U35" s="198"/>
    </row>
    <row r="36" spans="1:21" s="12" customFormat="1" x14ac:dyDescent="0.25">
      <c r="A36" s="213" t="s">
        <v>2191</v>
      </c>
      <c r="B36" s="64">
        <v>34.94</v>
      </c>
      <c r="C36" s="64">
        <v>24.57</v>
      </c>
      <c r="D36" s="64">
        <v>40.85</v>
      </c>
      <c r="E36" s="64">
        <v>4.5599999999999996</v>
      </c>
      <c r="F36" s="64">
        <v>5.79</v>
      </c>
      <c r="G36" s="64">
        <v>35.270000000000003</v>
      </c>
      <c r="H36" s="64">
        <v>11.65</v>
      </c>
      <c r="I36" s="64">
        <v>1.74</v>
      </c>
      <c r="J36" s="64">
        <v>0.15</v>
      </c>
      <c r="K36" s="64">
        <v>119.76</v>
      </c>
      <c r="L36" s="64">
        <v>24.49</v>
      </c>
      <c r="M36" s="64">
        <v>98.63</v>
      </c>
      <c r="N36" s="64">
        <v>60.7</v>
      </c>
      <c r="O36" s="64">
        <v>0.2</v>
      </c>
      <c r="P36" s="64">
        <v>0.56000000000000005</v>
      </c>
      <c r="Q36" s="64">
        <v>9.51</v>
      </c>
      <c r="R36" s="198"/>
      <c r="S36" s="198"/>
      <c r="T36" s="198"/>
      <c r="U36" s="198"/>
    </row>
    <row r="37" spans="1:21" s="12" customFormat="1" x14ac:dyDescent="0.25">
      <c r="A37" s="213" t="s">
        <v>2192</v>
      </c>
      <c r="B37" s="64">
        <v>16.12</v>
      </c>
      <c r="C37" s="64">
        <v>26.69</v>
      </c>
      <c r="D37" s="64">
        <v>26.87</v>
      </c>
      <c r="E37" s="64">
        <v>4.34</v>
      </c>
      <c r="F37" s="64">
        <v>6.25</v>
      </c>
      <c r="G37" s="64">
        <v>35.270000000000003</v>
      </c>
      <c r="H37" s="64">
        <v>11.65</v>
      </c>
      <c r="I37" s="64">
        <v>1.75</v>
      </c>
      <c r="J37" s="64">
        <v>7.0000000000000007E-2</v>
      </c>
      <c r="K37" s="64">
        <v>130.88999999999999</v>
      </c>
      <c r="L37" s="64">
        <v>24.38</v>
      </c>
      <c r="M37" s="64">
        <v>98.63</v>
      </c>
      <c r="N37" s="64">
        <v>77.8</v>
      </c>
      <c r="O37" s="64">
        <v>1.8</v>
      </c>
      <c r="P37" s="64">
        <v>0.4</v>
      </c>
      <c r="Q37" s="64">
        <v>9.5399999999999991</v>
      </c>
      <c r="R37" s="198"/>
      <c r="S37" s="198"/>
      <c r="T37" s="198"/>
      <c r="U37" s="198"/>
    </row>
    <row r="38" spans="1:21" s="12" customFormat="1" x14ac:dyDescent="0.25">
      <c r="A38" s="213" t="s">
        <v>2193</v>
      </c>
      <c r="B38" s="64">
        <v>33.21</v>
      </c>
      <c r="C38" s="64">
        <v>25.97</v>
      </c>
      <c r="D38" s="64">
        <v>39.75</v>
      </c>
      <c r="E38" s="64">
        <v>4.6100000000000003</v>
      </c>
      <c r="F38" s="64">
        <v>6.25</v>
      </c>
      <c r="G38" s="64">
        <v>40.29</v>
      </c>
      <c r="H38" s="64">
        <v>14.71</v>
      </c>
      <c r="I38" s="64">
        <v>1.76</v>
      </c>
      <c r="J38" s="64">
        <v>0.02</v>
      </c>
      <c r="K38" s="64">
        <v>279.94</v>
      </c>
      <c r="L38" s="64">
        <v>24.38</v>
      </c>
      <c r="M38" s="64">
        <v>98.65</v>
      </c>
      <c r="N38" s="64">
        <v>92</v>
      </c>
      <c r="O38" s="64">
        <v>0.2</v>
      </c>
      <c r="P38" s="64">
        <v>0.73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3" t="s">
        <v>2194</v>
      </c>
      <c r="B39" s="64">
        <v>38.04</v>
      </c>
      <c r="C39" s="64">
        <v>23.5</v>
      </c>
      <c r="D39" s="64">
        <v>42.78</v>
      </c>
      <c r="E39" s="64">
        <v>4.57</v>
      </c>
      <c r="F39" s="64">
        <v>6.55</v>
      </c>
      <c r="G39" s="64">
        <v>40.29</v>
      </c>
      <c r="H39" s="64">
        <v>14.71</v>
      </c>
      <c r="I39" s="64">
        <v>1.76</v>
      </c>
      <c r="J39" s="64">
        <v>0.05</v>
      </c>
      <c r="K39" s="64">
        <v>14.18</v>
      </c>
      <c r="L39" s="64">
        <v>24.45</v>
      </c>
      <c r="M39" s="64">
        <v>98.66</v>
      </c>
      <c r="N39" s="64">
        <v>106.4</v>
      </c>
      <c r="O39" s="64">
        <v>0</v>
      </c>
      <c r="P39" s="64">
        <v>0.84</v>
      </c>
      <c r="Q39" s="64">
        <v>9.59</v>
      </c>
      <c r="R39" s="198"/>
      <c r="S39" s="198"/>
      <c r="T39" s="198"/>
      <c r="U39" s="198"/>
    </row>
    <row r="40" spans="1:21" s="12" customFormat="1" x14ac:dyDescent="0.25">
      <c r="A40" s="213" t="s">
        <v>2195</v>
      </c>
      <c r="B40" s="64">
        <v>34.549999999999997</v>
      </c>
      <c r="C40" s="64">
        <v>17.579999999999998</v>
      </c>
      <c r="D40" s="64">
        <v>36.89</v>
      </c>
      <c r="E40" s="64">
        <v>4.83</v>
      </c>
      <c r="F40" s="64">
        <v>5.68</v>
      </c>
      <c r="G40" s="64">
        <v>40.29</v>
      </c>
      <c r="H40" s="64">
        <v>14.71</v>
      </c>
      <c r="I40" s="64">
        <v>1.8</v>
      </c>
      <c r="J40" s="64">
        <v>0.28999999999999998</v>
      </c>
      <c r="K40" s="64">
        <v>335.74</v>
      </c>
      <c r="L40" s="64">
        <v>24.9</v>
      </c>
      <c r="M40" s="64">
        <v>98.7</v>
      </c>
      <c r="N40" s="64">
        <v>223.4</v>
      </c>
      <c r="O40" s="64">
        <v>0.2</v>
      </c>
      <c r="P40" s="64">
        <v>0.73</v>
      </c>
      <c r="Q40" s="64">
        <v>9.6</v>
      </c>
      <c r="R40" s="198"/>
      <c r="S40" s="198"/>
      <c r="T40" s="198"/>
      <c r="U40" s="198"/>
    </row>
    <row r="41" spans="1:21" s="12" customFormat="1" x14ac:dyDescent="0.25">
      <c r="A41" s="213" t="s">
        <v>2196</v>
      </c>
      <c r="B41" s="64">
        <v>31.93</v>
      </c>
      <c r="C41" s="64">
        <v>13.25</v>
      </c>
      <c r="D41" s="64">
        <v>32.53</v>
      </c>
      <c r="E41" s="64">
        <v>5.04</v>
      </c>
      <c r="F41" s="64">
        <v>6.85</v>
      </c>
      <c r="G41" s="64">
        <v>40.29</v>
      </c>
      <c r="H41" s="64">
        <v>14.71</v>
      </c>
      <c r="I41" s="64">
        <v>1.85</v>
      </c>
      <c r="J41" s="64">
        <v>0.5</v>
      </c>
      <c r="K41" s="64">
        <v>341.33</v>
      </c>
      <c r="L41" s="64">
        <v>26.05</v>
      </c>
      <c r="M41" s="64">
        <v>98.67</v>
      </c>
      <c r="N41" s="64">
        <v>330.8</v>
      </c>
      <c r="O41" s="64">
        <v>0</v>
      </c>
      <c r="P41" s="64">
        <v>0.54</v>
      </c>
      <c r="Q41" s="64">
        <v>9.59</v>
      </c>
      <c r="R41" s="198"/>
      <c r="S41" s="198"/>
      <c r="T41" s="198"/>
      <c r="U41" s="198"/>
    </row>
    <row r="42" spans="1:21" s="12" customFormat="1" x14ac:dyDescent="0.25">
      <c r="A42" s="213" t="s">
        <v>2197</v>
      </c>
      <c r="B42" s="64">
        <v>28.09</v>
      </c>
      <c r="C42" s="64">
        <v>15.4</v>
      </c>
      <c r="D42" s="64">
        <v>30.58</v>
      </c>
      <c r="E42" s="64">
        <v>5.16</v>
      </c>
      <c r="F42" s="64">
        <v>9.6300000000000008</v>
      </c>
      <c r="G42" s="64">
        <v>44.15</v>
      </c>
      <c r="H42" s="64">
        <v>17.91</v>
      </c>
      <c r="I42" s="64">
        <v>1.87</v>
      </c>
      <c r="J42" s="64">
        <v>0.71</v>
      </c>
      <c r="K42" s="64">
        <v>339.4</v>
      </c>
      <c r="L42" s="64">
        <v>27.9</v>
      </c>
      <c r="M42" s="64">
        <v>98.6</v>
      </c>
      <c r="N42" s="64">
        <v>506</v>
      </c>
      <c r="O42" s="64">
        <v>0</v>
      </c>
      <c r="P42" s="64">
        <v>0.54</v>
      </c>
      <c r="Q42" s="64">
        <v>9.6</v>
      </c>
      <c r="R42" s="198"/>
      <c r="S42" s="198"/>
      <c r="T42" s="198"/>
      <c r="U42" s="198"/>
    </row>
    <row r="43" spans="1:21" s="12" customFormat="1" x14ac:dyDescent="0.25">
      <c r="A43" s="213" t="s">
        <v>2198</v>
      </c>
      <c r="B43" s="64">
        <v>30.39</v>
      </c>
      <c r="C43" s="64">
        <v>11.99</v>
      </c>
      <c r="D43" s="64">
        <v>30.63</v>
      </c>
      <c r="E43" s="64">
        <v>5.19</v>
      </c>
      <c r="F43" s="64">
        <v>5.7</v>
      </c>
      <c r="G43" s="64">
        <v>53.64</v>
      </c>
      <c r="H43" s="64">
        <v>25.79</v>
      </c>
      <c r="I43" s="64">
        <v>1.89</v>
      </c>
      <c r="J43" s="64">
        <v>0.85</v>
      </c>
      <c r="K43" s="64">
        <v>337.47</v>
      </c>
      <c r="L43" s="64">
        <v>29.8</v>
      </c>
      <c r="M43" s="64">
        <v>95.65</v>
      </c>
      <c r="N43" s="64">
        <v>537.4</v>
      </c>
      <c r="O43" s="64">
        <v>0</v>
      </c>
      <c r="P43" s="64">
        <v>0.55000000000000004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3" t="s">
        <v>2199</v>
      </c>
      <c r="B44" s="64">
        <v>30.47</v>
      </c>
      <c r="C44" s="64">
        <v>24.89</v>
      </c>
      <c r="D44" s="64">
        <v>37.44</v>
      </c>
      <c r="E44" s="64">
        <v>5.31</v>
      </c>
      <c r="F44" s="64">
        <v>9.61</v>
      </c>
      <c r="G44" s="64">
        <v>53.64</v>
      </c>
      <c r="H44" s="64">
        <v>25.79</v>
      </c>
      <c r="I44" s="64">
        <v>1.89</v>
      </c>
      <c r="J44" s="64">
        <v>0.37</v>
      </c>
      <c r="K44" s="64">
        <v>340.13</v>
      </c>
      <c r="L44" s="64">
        <v>30.06</v>
      </c>
      <c r="M44" s="64">
        <v>91.9</v>
      </c>
      <c r="N44" s="64">
        <v>459</v>
      </c>
      <c r="O44" s="64">
        <v>0</v>
      </c>
      <c r="P44" s="64">
        <v>0.65</v>
      </c>
      <c r="Q44" s="64">
        <v>9.61</v>
      </c>
      <c r="R44" s="198"/>
      <c r="S44" s="198"/>
      <c r="T44" s="198"/>
      <c r="U44" s="198"/>
    </row>
    <row r="45" spans="1:21" s="12" customFormat="1" x14ac:dyDescent="0.25">
      <c r="A45" s="213" t="s">
        <v>2200</v>
      </c>
      <c r="B45" s="64">
        <v>39.89</v>
      </c>
      <c r="C45" s="64">
        <v>24.86</v>
      </c>
      <c r="D45" s="64">
        <v>44.98</v>
      </c>
      <c r="E45" s="64">
        <v>5</v>
      </c>
      <c r="F45" s="64">
        <v>7.84</v>
      </c>
      <c r="G45" s="64">
        <v>53.64</v>
      </c>
      <c r="H45" s="64">
        <v>25.79</v>
      </c>
      <c r="I45" s="64">
        <v>1.9</v>
      </c>
      <c r="J45" s="64">
        <v>0.39</v>
      </c>
      <c r="K45" s="64">
        <v>341.73</v>
      </c>
      <c r="L45" s="64">
        <v>30.21</v>
      </c>
      <c r="M45" s="64">
        <v>90.53</v>
      </c>
      <c r="N45" s="64">
        <v>497.9</v>
      </c>
      <c r="O45" s="64">
        <v>0</v>
      </c>
      <c r="P45" s="64">
        <v>0.83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3" t="s">
        <v>2201</v>
      </c>
      <c r="B46" s="64">
        <v>33.020000000000003</v>
      </c>
      <c r="C46" s="64">
        <v>26.23</v>
      </c>
      <c r="D46" s="64">
        <v>39.97</v>
      </c>
      <c r="E46" s="64">
        <v>5</v>
      </c>
      <c r="F46" s="64">
        <v>7.51</v>
      </c>
      <c r="G46" s="64">
        <v>59.54</v>
      </c>
      <c r="H46" s="64">
        <v>27.13</v>
      </c>
      <c r="I46" s="64">
        <v>1.92</v>
      </c>
      <c r="J46" s="64">
        <v>0.19</v>
      </c>
      <c r="K46" s="64">
        <v>316.31</v>
      </c>
      <c r="L46" s="64">
        <v>29.88</v>
      </c>
      <c r="M46" s="64">
        <v>93.04</v>
      </c>
      <c r="N46" s="64">
        <v>323.2</v>
      </c>
      <c r="O46" s="64">
        <v>0</v>
      </c>
      <c r="P46" s="64">
        <v>0.84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3" t="s">
        <v>2202</v>
      </c>
      <c r="B47" s="64">
        <v>31.12</v>
      </c>
      <c r="C47" s="64">
        <v>32.340000000000003</v>
      </c>
      <c r="D47" s="64">
        <v>41.86</v>
      </c>
      <c r="E47" s="64">
        <v>4.84</v>
      </c>
      <c r="F47" s="64">
        <v>8.5399999999999991</v>
      </c>
      <c r="G47" s="64">
        <v>74.06</v>
      </c>
      <c r="H47" s="64">
        <v>30.44</v>
      </c>
      <c r="I47" s="64">
        <v>1.96</v>
      </c>
      <c r="J47" s="64">
        <v>0.22</v>
      </c>
      <c r="K47" s="64">
        <v>346.43</v>
      </c>
      <c r="L47" s="64">
        <v>28.73</v>
      </c>
      <c r="M47" s="64">
        <v>97.14</v>
      </c>
      <c r="N47" s="64">
        <v>266.10000000000002</v>
      </c>
      <c r="O47" s="64">
        <v>0</v>
      </c>
      <c r="P47" s="64">
        <v>0.87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3" t="s">
        <v>2203</v>
      </c>
      <c r="B48" s="64">
        <v>31.86</v>
      </c>
      <c r="C48" s="64">
        <v>21.71</v>
      </c>
      <c r="D48" s="64">
        <v>36.9</v>
      </c>
      <c r="E48" s="64">
        <v>4.8099999999999996</v>
      </c>
      <c r="F48" s="64">
        <v>8.58</v>
      </c>
      <c r="G48" s="64">
        <v>74.06</v>
      </c>
      <c r="H48" s="64">
        <v>30.44</v>
      </c>
      <c r="I48" s="64">
        <v>2.0099999999999998</v>
      </c>
      <c r="J48" s="64">
        <v>0.32</v>
      </c>
      <c r="K48" s="64">
        <v>344.86</v>
      </c>
      <c r="L48" s="64">
        <v>29.55</v>
      </c>
      <c r="M48" s="64">
        <v>93.73</v>
      </c>
      <c r="N48" s="64">
        <v>546.79999999999995</v>
      </c>
      <c r="O48" s="64">
        <v>0</v>
      </c>
      <c r="P48" s="64">
        <v>0.86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3" t="s">
        <v>2204</v>
      </c>
      <c r="B49" s="64">
        <v>27.38</v>
      </c>
      <c r="C49" s="64">
        <v>31.82</v>
      </c>
      <c r="D49" s="64">
        <v>38.58</v>
      </c>
      <c r="E49" s="64">
        <v>4.99</v>
      </c>
      <c r="F49" s="64">
        <v>10.73</v>
      </c>
      <c r="G49" s="64">
        <v>74.06</v>
      </c>
      <c r="H49" s="64">
        <v>30.44</v>
      </c>
      <c r="I49" s="64">
        <v>2.06</v>
      </c>
      <c r="J49" s="64">
        <v>0.56000000000000005</v>
      </c>
      <c r="K49" s="64">
        <v>340.98</v>
      </c>
      <c r="L49" s="64">
        <v>30.82</v>
      </c>
      <c r="M49" s="64">
        <v>87.13</v>
      </c>
      <c r="N49" s="64">
        <v>709.7</v>
      </c>
      <c r="O49" s="64">
        <v>0</v>
      </c>
      <c r="P49" s="64">
        <v>0.85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3" t="s">
        <v>2205</v>
      </c>
      <c r="B50" s="64">
        <v>28.5</v>
      </c>
      <c r="C50" s="64">
        <v>29.71</v>
      </c>
      <c r="D50" s="64">
        <v>38.380000000000003</v>
      </c>
      <c r="E50" s="64">
        <v>4.96</v>
      </c>
      <c r="F50" s="64">
        <v>13.58</v>
      </c>
      <c r="G50" s="64">
        <v>83.59</v>
      </c>
      <c r="H50" s="64">
        <v>27.36</v>
      </c>
      <c r="I50" s="64">
        <v>2.1</v>
      </c>
      <c r="J50" s="64">
        <v>0.59</v>
      </c>
      <c r="K50" s="64">
        <v>338.55</v>
      </c>
      <c r="L50" s="64">
        <v>32.229999999999997</v>
      </c>
      <c r="M50" s="64">
        <v>77.290000000000006</v>
      </c>
      <c r="N50" s="64">
        <v>525.70000000000005</v>
      </c>
      <c r="O50" s="64">
        <v>0</v>
      </c>
      <c r="P50" s="64">
        <v>0.8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3" t="s">
        <v>2206</v>
      </c>
      <c r="B51" s="64">
        <v>22.71</v>
      </c>
      <c r="C51" s="64">
        <v>33.700000000000003</v>
      </c>
      <c r="D51" s="64">
        <v>35.82</v>
      </c>
      <c r="E51" s="64">
        <v>5.22</v>
      </c>
      <c r="F51" s="64">
        <v>12.01</v>
      </c>
      <c r="G51" s="64">
        <v>108.36</v>
      </c>
      <c r="H51" s="64">
        <v>19.79</v>
      </c>
      <c r="I51" s="64">
        <v>2.14</v>
      </c>
      <c r="J51" s="64">
        <v>0.51</v>
      </c>
      <c r="K51" s="64">
        <v>337.79</v>
      </c>
      <c r="L51" s="64">
        <v>31.38</v>
      </c>
      <c r="M51" s="64">
        <v>80.319999999999993</v>
      </c>
      <c r="N51" s="64">
        <v>411.3</v>
      </c>
      <c r="O51" s="64">
        <v>0</v>
      </c>
      <c r="P51" s="64">
        <v>0.76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3" t="s">
        <v>2207</v>
      </c>
      <c r="B52" s="64">
        <v>35.61</v>
      </c>
      <c r="C52" s="64">
        <v>33.1</v>
      </c>
      <c r="D52" s="64">
        <v>45.85</v>
      </c>
      <c r="E52" s="64">
        <v>5.38</v>
      </c>
      <c r="F52" s="64">
        <v>12.95</v>
      </c>
      <c r="G52" s="64">
        <v>108.36</v>
      </c>
      <c r="H52" s="64">
        <v>19.79</v>
      </c>
      <c r="I52" s="64">
        <v>2.1800000000000002</v>
      </c>
      <c r="J52" s="64">
        <v>0.74</v>
      </c>
      <c r="K52" s="64">
        <v>341.99</v>
      </c>
      <c r="L52" s="64">
        <v>32.15</v>
      </c>
      <c r="M52" s="64">
        <v>76.63</v>
      </c>
      <c r="N52" s="64">
        <v>749</v>
      </c>
      <c r="O52" s="64">
        <v>0</v>
      </c>
      <c r="P52" s="64">
        <v>0.77</v>
      </c>
      <c r="Q52" s="64">
        <v>9.6199999999999992</v>
      </c>
      <c r="R52" s="198"/>
      <c r="S52" s="198"/>
      <c r="T52" s="198"/>
      <c r="U52" s="198"/>
    </row>
    <row r="53" spans="1:21" s="12" customFormat="1" x14ac:dyDescent="0.25">
      <c r="A53" s="213" t="s">
        <v>2208</v>
      </c>
      <c r="B53" s="64">
        <v>29.64</v>
      </c>
      <c r="C53" s="64">
        <v>28.14</v>
      </c>
      <c r="D53" s="64">
        <v>38.44</v>
      </c>
      <c r="E53" s="64">
        <v>5.44</v>
      </c>
      <c r="F53" s="64">
        <v>13.14</v>
      </c>
      <c r="G53" s="64">
        <v>108.36</v>
      </c>
      <c r="H53" s="64">
        <v>19.79</v>
      </c>
      <c r="I53" s="64">
        <v>2.2000000000000002</v>
      </c>
      <c r="J53" s="64">
        <v>0.43</v>
      </c>
      <c r="K53" s="64">
        <v>343.72</v>
      </c>
      <c r="L53" s="64">
        <v>32.68</v>
      </c>
      <c r="M53" s="64">
        <v>73.08</v>
      </c>
      <c r="N53" s="64">
        <v>614.70000000000005</v>
      </c>
      <c r="O53" s="64">
        <v>0</v>
      </c>
      <c r="P53" s="64">
        <v>0.77</v>
      </c>
      <c r="Q53" s="64">
        <v>9.61</v>
      </c>
      <c r="R53" s="198"/>
      <c r="S53" s="198"/>
      <c r="T53" s="198"/>
      <c r="U53" s="198"/>
    </row>
    <row r="54" spans="1:21" s="12" customFormat="1" x14ac:dyDescent="0.25">
      <c r="A54" s="213" t="s">
        <v>2209</v>
      </c>
      <c r="B54" s="64">
        <v>19.71</v>
      </c>
      <c r="C54" s="64">
        <v>28.83</v>
      </c>
      <c r="D54" s="64">
        <v>30.86</v>
      </c>
      <c r="E54" s="64">
        <v>5.81</v>
      </c>
      <c r="F54" s="64">
        <v>15.01</v>
      </c>
      <c r="G54" s="64">
        <v>108.48</v>
      </c>
      <c r="H54" s="64">
        <v>29.45</v>
      </c>
      <c r="I54" s="64">
        <v>2.2000000000000002</v>
      </c>
      <c r="J54" s="64">
        <v>0.2</v>
      </c>
      <c r="K54" s="64">
        <v>79.510000000000005</v>
      </c>
      <c r="L54" s="64">
        <v>31.77</v>
      </c>
      <c r="M54" s="64">
        <v>75.77</v>
      </c>
      <c r="N54" s="64">
        <v>796.9</v>
      </c>
      <c r="O54" s="64">
        <v>0</v>
      </c>
      <c r="P54" s="64">
        <v>0.55000000000000004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3" t="s">
        <v>2210</v>
      </c>
      <c r="B55" s="64">
        <v>16.079999999999998</v>
      </c>
      <c r="C55" s="64">
        <v>24.83</v>
      </c>
      <c r="D55" s="64">
        <v>25.86</v>
      </c>
      <c r="E55" s="64">
        <v>5.2</v>
      </c>
      <c r="F55" s="64">
        <v>17.27</v>
      </c>
      <c r="G55" s="64">
        <v>108.8</v>
      </c>
      <c r="H55" s="64">
        <v>53.25</v>
      </c>
      <c r="I55" s="64">
        <v>2.19</v>
      </c>
      <c r="J55" s="64">
        <v>0.17</v>
      </c>
      <c r="K55" s="64">
        <v>92.61</v>
      </c>
      <c r="L55" s="64">
        <v>31.19</v>
      </c>
      <c r="M55" s="64">
        <v>77.5</v>
      </c>
      <c r="N55" s="64">
        <v>351.8</v>
      </c>
      <c r="O55" s="64">
        <v>0</v>
      </c>
      <c r="P55" s="64">
        <v>0.49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3" t="s">
        <v>2211</v>
      </c>
      <c r="B56" s="64">
        <v>10.66</v>
      </c>
      <c r="C56" s="64">
        <v>16.29</v>
      </c>
      <c r="D56" s="64">
        <v>17.059999999999999</v>
      </c>
      <c r="E56" s="64">
        <v>5.2</v>
      </c>
      <c r="F56" s="64">
        <v>19.8</v>
      </c>
      <c r="G56" s="64">
        <v>108.8</v>
      </c>
      <c r="H56" s="64">
        <v>53.25</v>
      </c>
      <c r="I56" s="64">
        <v>2.17</v>
      </c>
      <c r="J56" s="64">
        <v>0.67</v>
      </c>
      <c r="K56" s="64">
        <v>125.07</v>
      </c>
      <c r="L56" s="64">
        <v>29.29</v>
      </c>
      <c r="M56" s="64">
        <v>88.33</v>
      </c>
      <c r="N56" s="64">
        <v>190</v>
      </c>
      <c r="O56" s="64">
        <v>0</v>
      </c>
      <c r="P56" s="64">
        <v>0.34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3" t="s">
        <v>2212</v>
      </c>
      <c r="B57" s="64">
        <v>10.3</v>
      </c>
      <c r="C57" s="64">
        <v>19.47</v>
      </c>
      <c r="D57" s="64">
        <v>18.43</v>
      </c>
      <c r="E57" s="64">
        <v>5.13</v>
      </c>
      <c r="F57" s="64">
        <v>18.02</v>
      </c>
      <c r="G57" s="64">
        <v>108.8</v>
      </c>
      <c r="H57" s="64">
        <v>53.25</v>
      </c>
      <c r="I57" s="64">
        <v>2.15</v>
      </c>
      <c r="J57" s="64">
        <v>0.54</v>
      </c>
      <c r="K57" s="64">
        <v>120.5</v>
      </c>
      <c r="L57" s="64">
        <v>28.5</v>
      </c>
      <c r="M57" s="64">
        <v>93.6</v>
      </c>
      <c r="N57" s="64">
        <v>204.5</v>
      </c>
      <c r="O57" s="64">
        <v>0</v>
      </c>
      <c r="P57" s="64">
        <v>0.35</v>
      </c>
      <c r="Q57" s="64">
        <v>9.6199999999999992</v>
      </c>
      <c r="R57" s="198"/>
      <c r="S57" s="198"/>
      <c r="T57" s="198"/>
      <c r="U57" s="198"/>
    </row>
    <row r="58" spans="1:21" s="12" customFormat="1" x14ac:dyDescent="0.25">
      <c r="A58" s="213" t="s">
        <v>2213</v>
      </c>
      <c r="B58" s="64">
        <v>22.51</v>
      </c>
      <c r="C58" s="64">
        <v>23.41</v>
      </c>
      <c r="D58" s="64">
        <v>30.28</v>
      </c>
      <c r="E58" s="64">
        <v>5.19</v>
      </c>
      <c r="F58" s="64">
        <v>11</v>
      </c>
      <c r="G58" s="64">
        <v>101.81</v>
      </c>
      <c r="H58" s="64">
        <v>47.87</v>
      </c>
      <c r="I58" s="64">
        <v>2.11</v>
      </c>
      <c r="J58" s="64">
        <v>0.14000000000000001</v>
      </c>
      <c r="K58" s="64">
        <v>72.989999999999995</v>
      </c>
      <c r="L58" s="64">
        <v>29.11</v>
      </c>
      <c r="M58" s="64">
        <v>92.03</v>
      </c>
      <c r="N58" s="64">
        <v>308.89999999999998</v>
      </c>
      <c r="O58" s="64">
        <v>0</v>
      </c>
      <c r="P58" s="64">
        <v>0.66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3" t="s">
        <v>2214</v>
      </c>
      <c r="B59" s="64">
        <v>20.8</v>
      </c>
      <c r="C59" s="64">
        <v>26.05</v>
      </c>
      <c r="D59" s="64">
        <v>30.29</v>
      </c>
      <c r="E59" s="64">
        <v>5.34</v>
      </c>
      <c r="F59" s="64">
        <v>12.39</v>
      </c>
      <c r="G59" s="64">
        <v>84.6</v>
      </c>
      <c r="H59" s="64">
        <v>34.61</v>
      </c>
      <c r="I59" s="64">
        <v>2.0699999999999998</v>
      </c>
      <c r="J59" s="64">
        <v>0.25</v>
      </c>
      <c r="K59" s="64">
        <v>97.29</v>
      </c>
      <c r="L59" s="64">
        <v>29.45</v>
      </c>
      <c r="M59" s="64">
        <v>89.91</v>
      </c>
      <c r="N59" s="64">
        <v>231.2</v>
      </c>
      <c r="O59" s="64">
        <v>0</v>
      </c>
      <c r="P59" s="64">
        <v>0.52</v>
      </c>
      <c r="Q59" s="64">
        <v>9.6</v>
      </c>
      <c r="R59" s="198"/>
      <c r="S59" s="198"/>
      <c r="T59" s="198"/>
      <c r="U59" s="198"/>
    </row>
    <row r="60" spans="1:21" s="12" customFormat="1" x14ac:dyDescent="0.25">
      <c r="A60" s="213" t="s">
        <v>2215</v>
      </c>
      <c r="B60" s="64">
        <v>25.63</v>
      </c>
      <c r="C60" s="64">
        <v>31.91</v>
      </c>
      <c r="D60" s="64">
        <v>37.22</v>
      </c>
      <c r="E60" s="64">
        <v>5.45</v>
      </c>
      <c r="F60" s="64">
        <v>14.86</v>
      </c>
      <c r="G60" s="64">
        <v>84.6</v>
      </c>
      <c r="H60" s="64">
        <v>34.61</v>
      </c>
      <c r="I60" s="64">
        <v>2.04</v>
      </c>
      <c r="J60" s="64">
        <v>0.44</v>
      </c>
      <c r="K60" s="64">
        <v>337.67</v>
      </c>
      <c r="L60" s="64">
        <v>29.73</v>
      </c>
      <c r="M60" s="64">
        <v>88.25</v>
      </c>
      <c r="N60" s="64">
        <v>338</v>
      </c>
      <c r="O60" s="64">
        <v>0</v>
      </c>
      <c r="P60" s="64">
        <v>0.63</v>
      </c>
      <c r="Q60" s="64">
        <v>9.6199999999999992</v>
      </c>
      <c r="R60" s="198"/>
      <c r="S60" s="198"/>
      <c r="T60" s="198"/>
      <c r="U60" s="198"/>
    </row>
    <row r="61" spans="1:21" s="12" customFormat="1" x14ac:dyDescent="0.25">
      <c r="A61" s="213" t="s">
        <v>2216</v>
      </c>
      <c r="B61" s="64">
        <v>19.14</v>
      </c>
      <c r="C61" s="64">
        <v>22.85</v>
      </c>
      <c r="D61" s="64">
        <v>27.28</v>
      </c>
      <c r="E61" s="64">
        <v>5.55</v>
      </c>
      <c r="F61" s="64">
        <v>16.61</v>
      </c>
      <c r="G61" s="64">
        <v>84.6</v>
      </c>
      <c r="H61" s="64">
        <v>34.61</v>
      </c>
      <c r="I61" s="64">
        <v>2.02</v>
      </c>
      <c r="J61" s="64">
        <v>0.62</v>
      </c>
      <c r="K61" s="64">
        <v>338.24</v>
      </c>
      <c r="L61" s="64">
        <v>30.78</v>
      </c>
      <c r="M61" s="64">
        <v>84.17</v>
      </c>
      <c r="N61" s="64">
        <v>279.89999999999998</v>
      </c>
      <c r="O61" s="64">
        <v>0</v>
      </c>
      <c r="P61" s="64">
        <v>0.56999999999999995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3" t="s">
        <v>2217</v>
      </c>
      <c r="B62" s="64">
        <v>21.45</v>
      </c>
      <c r="C62" s="64">
        <v>19.43</v>
      </c>
      <c r="D62" s="64">
        <v>27.35</v>
      </c>
      <c r="E62" s="64">
        <v>6.24</v>
      </c>
      <c r="F62" s="64">
        <v>11.15</v>
      </c>
      <c r="G62" s="64">
        <v>84.83</v>
      </c>
      <c r="H62" s="64">
        <v>34.979999999999997</v>
      </c>
      <c r="I62" s="64">
        <v>2</v>
      </c>
      <c r="J62" s="64">
        <v>0.43</v>
      </c>
      <c r="K62" s="64">
        <v>328.95</v>
      </c>
      <c r="L62" s="64">
        <v>30.99</v>
      </c>
      <c r="M62" s="64">
        <v>85.15</v>
      </c>
      <c r="N62" s="64">
        <v>196.4</v>
      </c>
      <c r="O62" s="64">
        <v>0</v>
      </c>
      <c r="P62" s="64">
        <v>0.65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3" t="s">
        <v>2218</v>
      </c>
      <c r="B63" s="64">
        <v>23.22</v>
      </c>
      <c r="C63" s="64">
        <v>23.85</v>
      </c>
      <c r="D63" s="64">
        <v>31.08</v>
      </c>
      <c r="E63" s="64">
        <v>5.62</v>
      </c>
      <c r="F63" s="64">
        <v>14.93</v>
      </c>
      <c r="G63" s="64">
        <v>85.39</v>
      </c>
      <c r="H63" s="64">
        <v>35.89</v>
      </c>
      <c r="I63" s="64">
        <v>1.99</v>
      </c>
      <c r="J63" s="64">
        <v>0.84</v>
      </c>
      <c r="K63" s="64">
        <v>335.05</v>
      </c>
      <c r="L63" s="64">
        <v>30.52</v>
      </c>
      <c r="M63" s="64">
        <v>86.15</v>
      </c>
      <c r="N63" s="64">
        <v>171.1</v>
      </c>
      <c r="O63" s="64">
        <v>0</v>
      </c>
      <c r="P63" s="64">
        <v>0.72</v>
      </c>
      <c r="Q63" s="64">
        <v>9.58</v>
      </c>
      <c r="R63" s="198"/>
      <c r="S63" s="198"/>
      <c r="T63" s="198"/>
      <c r="U63" s="198"/>
    </row>
    <row r="64" spans="1:21" s="12" customFormat="1" x14ac:dyDescent="0.25">
      <c r="A64" s="213" t="s">
        <v>2219</v>
      </c>
      <c r="B64" s="64">
        <v>21.06</v>
      </c>
      <c r="C64" s="64">
        <v>34.65</v>
      </c>
      <c r="D64" s="64">
        <v>34.99</v>
      </c>
      <c r="E64" s="64">
        <v>5.74</v>
      </c>
      <c r="F64" s="64">
        <v>17.989999999999998</v>
      </c>
      <c r="G64" s="64">
        <v>85.39</v>
      </c>
      <c r="H64" s="64">
        <v>35.89</v>
      </c>
      <c r="I64" s="64">
        <v>1.98</v>
      </c>
      <c r="J64" s="64">
        <v>0.65</v>
      </c>
      <c r="K64" s="64">
        <v>341.17</v>
      </c>
      <c r="L64" s="64">
        <v>30.18</v>
      </c>
      <c r="M64" s="64">
        <v>87.68</v>
      </c>
      <c r="N64" s="64">
        <v>133.19999999999999</v>
      </c>
      <c r="O64" s="64">
        <v>0</v>
      </c>
      <c r="P64" s="64">
        <v>0.85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3" t="s">
        <v>2220</v>
      </c>
      <c r="B65" s="64">
        <v>14.81</v>
      </c>
      <c r="C65" s="64">
        <v>34.03</v>
      </c>
      <c r="D65" s="64">
        <v>29.66</v>
      </c>
      <c r="E65" s="64">
        <v>5.78</v>
      </c>
      <c r="F65" s="64">
        <v>14.49</v>
      </c>
      <c r="G65" s="64">
        <v>85.39</v>
      </c>
      <c r="H65" s="64">
        <v>35.89</v>
      </c>
      <c r="I65" s="64">
        <v>1.99</v>
      </c>
      <c r="J65" s="64">
        <v>0.19</v>
      </c>
      <c r="K65" s="64">
        <v>341.82</v>
      </c>
      <c r="L65" s="64">
        <v>29.64</v>
      </c>
      <c r="M65" s="64">
        <v>88.32</v>
      </c>
      <c r="N65" s="64">
        <v>119.6</v>
      </c>
      <c r="O65" s="64">
        <v>0</v>
      </c>
      <c r="P65" s="64">
        <v>0.81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3" t="s">
        <v>2221</v>
      </c>
      <c r="B66" s="64">
        <v>24.96</v>
      </c>
      <c r="C66" s="64">
        <v>43.63</v>
      </c>
      <c r="D66" s="64">
        <v>42.82</v>
      </c>
      <c r="E66" s="64">
        <v>5.56</v>
      </c>
      <c r="F66" s="64">
        <v>13.35</v>
      </c>
      <c r="G66" s="64">
        <v>85.2</v>
      </c>
      <c r="H66" s="64">
        <v>37.06</v>
      </c>
      <c r="I66" s="64">
        <v>2</v>
      </c>
      <c r="J66" s="64">
        <v>0.09</v>
      </c>
      <c r="K66" s="64">
        <v>8.11</v>
      </c>
      <c r="L66" s="64">
        <v>29.17</v>
      </c>
      <c r="M66" s="64">
        <v>89.93</v>
      </c>
      <c r="N66" s="64">
        <v>175.7</v>
      </c>
      <c r="O66" s="64">
        <v>0</v>
      </c>
      <c r="P66" s="64">
        <v>0.77</v>
      </c>
      <c r="Q66" s="64">
        <v>9.56</v>
      </c>
      <c r="R66" s="198"/>
      <c r="S66" s="198"/>
      <c r="T66" s="198"/>
      <c r="U66" s="198"/>
    </row>
    <row r="67" spans="1:21" s="12" customFormat="1" x14ac:dyDescent="0.25">
      <c r="A67" s="213" t="s">
        <v>2222</v>
      </c>
      <c r="B67" s="64">
        <v>31.84</v>
      </c>
      <c r="C67" s="64">
        <v>42.35</v>
      </c>
      <c r="D67" s="64">
        <v>47.66</v>
      </c>
      <c r="E67" s="64">
        <v>5.17</v>
      </c>
      <c r="F67" s="64">
        <v>15.05</v>
      </c>
      <c r="G67" s="64">
        <v>84.73</v>
      </c>
      <c r="H67" s="64">
        <v>39.93</v>
      </c>
      <c r="I67" s="64">
        <v>2.02</v>
      </c>
      <c r="J67" s="64">
        <v>0.42</v>
      </c>
      <c r="K67" s="64">
        <v>343.53</v>
      </c>
      <c r="L67" s="64">
        <v>29.92</v>
      </c>
      <c r="M67" s="64">
        <v>87.06</v>
      </c>
      <c r="N67" s="64">
        <v>216</v>
      </c>
      <c r="O67" s="64">
        <v>0</v>
      </c>
      <c r="P67" s="64">
        <v>0.9</v>
      </c>
      <c r="Q67" s="64">
        <v>9.57</v>
      </c>
      <c r="R67" s="198"/>
      <c r="S67" s="198"/>
      <c r="T67" s="198"/>
      <c r="U67" s="198"/>
    </row>
    <row r="68" spans="1:21" s="12" customFormat="1" x14ac:dyDescent="0.25">
      <c r="A68" s="213" t="s">
        <v>2223</v>
      </c>
      <c r="B68" s="64">
        <v>12.15</v>
      </c>
      <c r="C68" s="64">
        <v>29.26</v>
      </c>
      <c r="D68" s="64">
        <v>25.03</v>
      </c>
      <c r="E68" s="64">
        <v>5.3</v>
      </c>
      <c r="F68" s="64">
        <v>20.71</v>
      </c>
      <c r="G68" s="64">
        <v>84.73</v>
      </c>
      <c r="H68" s="64">
        <v>39.93</v>
      </c>
      <c r="I68" s="64">
        <v>2.0499999999999998</v>
      </c>
      <c r="J68" s="64">
        <v>0.16</v>
      </c>
      <c r="K68" s="64">
        <v>101.43</v>
      </c>
      <c r="L68" s="64">
        <v>29.66</v>
      </c>
      <c r="M68" s="64">
        <v>87.42</v>
      </c>
      <c r="N68" s="64">
        <v>172.4</v>
      </c>
      <c r="O68" s="64">
        <v>0</v>
      </c>
      <c r="P68" s="64">
        <v>0.5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3" t="s">
        <v>2224</v>
      </c>
      <c r="B69" s="64">
        <v>11.99</v>
      </c>
      <c r="C69" s="64">
        <v>30.39</v>
      </c>
      <c r="D69" s="64">
        <v>25.49</v>
      </c>
      <c r="E69" s="64">
        <v>5.72</v>
      </c>
      <c r="F69" s="64">
        <v>18.47</v>
      </c>
      <c r="G69" s="64">
        <v>84.73</v>
      </c>
      <c r="H69" s="64">
        <v>39.93</v>
      </c>
      <c r="I69" s="64">
        <v>2.08</v>
      </c>
      <c r="J69" s="64">
        <v>0.13</v>
      </c>
      <c r="K69" s="64">
        <v>159.26</v>
      </c>
      <c r="L69" s="64">
        <v>29.41</v>
      </c>
      <c r="M69" s="64">
        <v>88.19</v>
      </c>
      <c r="N69" s="64">
        <v>143</v>
      </c>
      <c r="O69" s="64">
        <v>0</v>
      </c>
      <c r="P69" s="64">
        <v>0.61</v>
      </c>
      <c r="Q69" s="64">
        <v>9.58</v>
      </c>
      <c r="R69" s="198"/>
      <c r="S69" s="198"/>
      <c r="T69" s="198"/>
      <c r="U69" s="198"/>
    </row>
    <row r="70" spans="1:21" s="12" customFormat="1" x14ac:dyDescent="0.25">
      <c r="A70" s="213" t="s">
        <v>2225</v>
      </c>
      <c r="B70" s="64">
        <v>10.25</v>
      </c>
      <c r="C70" s="64">
        <v>34.909999999999997</v>
      </c>
      <c r="D70" s="64">
        <v>26.45</v>
      </c>
      <c r="E70" s="64">
        <v>5.03</v>
      </c>
      <c r="F70" s="64">
        <v>20.46</v>
      </c>
      <c r="G70" s="64">
        <v>85.58</v>
      </c>
      <c r="H70" s="64">
        <v>40.11</v>
      </c>
      <c r="I70" s="64">
        <v>2.08</v>
      </c>
      <c r="J70" s="64">
        <v>0.11</v>
      </c>
      <c r="K70" s="64">
        <v>119.24</v>
      </c>
      <c r="L70" s="64">
        <v>29.01</v>
      </c>
      <c r="M70" s="64">
        <v>89.94</v>
      </c>
      <c r="N70" s="64">
        <v>101.4</v>
      </c>
      <c r="O70" s="64">
        <v>0</v>
      </c>
      <c r="P70" s="64">
        <v>0.59</v>
      </c>
      <c r="Q70" s="64">
        <v>9.57</v>
      </c>
      <c r="R70" s="198"/>
      <c r="S70" s="198"/>
      <c r="T70" s="198"/>
      <c r="U70" s="198"/>
    </row>
    <row r="71" spans="1:21" s="12" customFormat="1" x14ac:dyDescent="0.25">
      <c r="A71" s="213" t="s">
        <v>2226</v>
      </c>
      <c r="B71" s="64">
        <v>19.440000000000001</v>
      </c>
      <c r="C71" s="64">
        <v>38.51</v>
      </c>
      <c r="D71" s="64">
        <v>35.71</v>
      </c>
      <c r="E71" s="64">
        <v>5.0999999999999996</v>
      </c>
      <c r="F71" s="64">
        <v>18.14</v>
      </c>
      <c r="G71" s="64">
        <v>87.65</v>
      </c>
      <c r="H71" s="64">
        <v>40.53</v>
      </c>
      <c r="I71" s="64">
        <v>2.0499999999999998</v>
      </c>
      <c r="J71" s="64">
        <v>0.11</v>
      </c>
      <c r="K71" s="64">
        <v>343.3</v>
      </c>
      <c r="L71" s="64">
        <v>28.78</v>
      </c>
      <c r="M71" s="64">
        <v>91.68</v>
      </c>
      <c r="N71" s="64">
        <v>110.6</v>
      </c>
      <c r="O71" s="64">
        <v>0</v>
      </c>
      <c r="P71" s="64">
        <v>0.76</v>
      </c>
      <c r="Q71" s="64">
        <v>9.56</v>
      </c>
      <c r="R71" s="198"/>
      <c r="S71" s="198"/>
      <c r="T71" s="198"/>
      <c r="U71" s="198"/>
    </row>
    <row r="72" spans="1:21" s="12" customFormat="1" x14ac:dyDescent="0.25">
      <c r="A72" s="213" t="s">
        <v>2227</v>
      </c>
      <c r="B72" s="64">
        <v>19.079999999999998</v>
      </c>
      <c r="C72" s="64">
        <v>37.08</v>
      </c>
      <c r="D72" s="64">
        <v>34.67</v>
      </c>
      <c r="E72" s="64">
        <v>4.04</v>
      </c>
      <c r="F72" s="64">
        <v>15.07</v>
      </c>
      <c r="G72" s="64">
        <v>87.65</v>
      </c>
      <c r="H72" s="64">
        <v>40.53</v>
      </c>
      <c r="I72" s="64">
        <v>2.06</v>
      </c>
      <c r="J72" s="64">
        <v>0.23</v>
      </c>
      <c r="K72" s="64">
        <v>335.89</v>
      </c>
      <c r="L72" s="64">
        <v>28.93</v>
      </c>
      <c r="M72" s="64">
        <v>94.85</v>
      </c>
      <c r="N72" s="64">
        <v>104.1</v>
      </c>
      <c r="O72" s="64">
        <v>0</v>
      </c>
      <c r="P72" s="64">
        <v>0.89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3" t="s">
        <v>2228</v>
      </c>
      <c r="B73" s="64">
        <v>13.48</v>
      </c>
      <c r="C73" s="64">
        <v>28.92</v>
      </c>
      <c r="D73" s="64">
        <v>25.92</v>
      </c>
      <c r="E73" s="64">
        <v>4.7</v>
      </c>
      <c r="F73" s="64">
        <v>15.6</v>
      </c>
      <c r="G73" s="64">
        <v>87.65</v>
      </c>
      <c r="H73" s="64">
        <v>40.53</v>
      </c>
      <c r="I73" s="64">
        <v>2.0699999999999998</v>
      </c>
      <c r="J73" s="64">
        <v>0.31</v>
      </c>
      <c r="K73" s="64">
        <v>170.35</v>
      </c>
      <c r="L73" s="64">
        <v>28.24</v>
      </c>
      <c r="M73" s="64">
        <v>97.33</v>
      </c>
      <c r="N73" s="64">
        <v>110.7</v>
      </c>
      <c r="O73" s="64">
        <v>0</v>
      </c>
      <c r="P73" s="64">
        <v>0.56000000000000005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3" t="s">
        <v>2229</v>
      </c>
      <c r="B74" s="64">
        <v>29.19</v>
      </c>
      <c r="C74" s="64">
        <v>37.9</v>
      </c>
      <c r="D74" s="64">
        <v>43.21</v>
      </c>
      <c r="E74" s="64">
        <v>4.93</v>
      </c>
      <c r="F74" s="64">
        <v>11.37</v>
      </c>
      <c r="G74" s="64">
        <v>89.7</v>
      </c>
      <c r="H74" s="64">
        <v>40.53</v>
      </c>
      <c r="I74" s="64">
        <v>2.0699999999999998</v>
      </c>
      <c r="J74" s="64">
        <v>0.13</v>
      </c>
      <c r="K74" s="64">
        <v>306.97000000000003</v>
      </c>
      <c r="L74" s="64">
        <v>28.03</v>
      </c>
      <c r="M74" s="64">
        <v>98.47</v>
      </c>
      <c r="N74" s="64">
        <v>118.1</v>
      </c>
      <c r="O74" s="64">
        <v>0</v>
      </c>
      <c r="P74" s="64">
        <v>0.91</v>
      </c>
      <c r="Q74" s="64">
        <v>9.58</v>
      </c>
      <c r="R74" s="198"/>
      <c r="S74" s="198"/>
      <c r="T74" s="198"/>
      <c r="U74" s="198"/>
    </row>
    <row r="75" spans="1:21" s="12" customFormat="1" x14ac:dyDescent="0.25">
      <c r="A75" s="213" t="s">
        <v>2230</v>
      </c>
      <c r="B75" s="64">
        <v>13.83</v>
      </c>
      <c r="C75" s="64">
        <v>20.440000000000001</v>
      </c>
      <c r="D75" s="64">
        <v>21.77</v>
      </c>
      <c r="E75" s="64">
        <v>4.63</v>
      </c>
      <c r="F75" s="64">
        <v>13.81</v>
      </c>
      <c r="G75" s="64">
        <v>94.74</v>
      </c>
      <c r="H75" s="64">
        <v>40.53</v>
      </c>
      <c r="I75" s="64">
        <v>2.0699999999999998</v>
      </c>
      <c r="J75" s="64">
        <v>0.15</v>
      </c>
      <c r="K75" s="64">
        <v>295.69</v>
      </c>
      <c r="L75" s="64">
        <v>27.96</v>
      </c>
      <c r="M75" s="64">
        <v>98.35</v>
      </c>
      <c r="N75" s="64">
        <v>106.6</v>
      </c>
      <c r="O75" s="64">
        <v>0</v>
      </c>
      <c r="P75" s="64">
        <v>0.52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3" t="s">
        <v>2231</v>
      </c>
      <c r="B76" s="64">
        <v>20</v>
      </c>
      <c r="C76" s="64">
        <v>16.079999999999998</v>
      </c>
      <c r="D76" s="64">
        <v>24.44</v>
      </c>
      <c r="E76" s="64">
        <v>5.01</v>
      </c>
      <c r="F76" s="64">
        <v>6</v>
      </c>
      <c r="G76" s="64">
        <v>94.74</v>
      </c>
      <c r="H76" s="64">
        <v>40.53</v>
      </c>
      <c r="I76" s="64">
        <v>2.08</v>
      </c>
      <c r="J76" s="64">
        <v>1.1000000000000001</v>
      </c>
      <c r="K76" s="64">
        <v>325.42</v>
      </c>
      <c r="L76" s="64">
        <v>28.01</v>
      </c>
      <c r="M76" s="64">
        <v>97.63</v>
      </c>
      <c r="N76" s="64">
        <v>96.6</v>
      </c>
      <c r="O76" s="64">
        <v>0</v>
      </c>
      <c r="P76" s="64">
        <v>0.69</v>
      </c>
      <c r="Q76" s="64">
        <v>9.57</v>
      </c>
      <c r="R76" s="198"/>
      <c r="S76" s="198"/>
      <c r="T76" s="198"/>
      <c r="U76" s="198"/>
    </row>
    <row r="77" spans="1:21" s="12" customFormat="1" x14ac:dyDescent="0.25">
      <c r="A77" s="213" t="s">
        <v>2232</v>
      </c>
      <c r="B77" s="64">
        <v>19.55</v>
      </c>
      <c r="C77" s="64">
        <v>17.309999999999999</v>
      </c>
      <c r="D77" s="64">
        <v>24.72</v>
      </c>
      <c r="E77" s="64">
        <v>5.17</v>
      </c>
      <c r="F77" s="64">
        <v>9.3000000000000007</v>
      </c>
      <c r="G77" s="64">
        <v>94.74</v>
      </c>
      <c r="H77" s="64">
        <v>40.53</v>
      </c>
      <c r="I77" s="64">
        <v>2.08</v>
      </c>
      <c r="J77" s="64">
        <v>0.67</v>
      </c>
      <c r="K77" s="64">
        <v>325.08999999999997</v>
      </c>
      <c r="L77" s="64">
        <v>27.6</v>
      </c>
      <c r="M77" s="64">
        <v>95.49</v>
      </c>
      <c r="N77" s="64">
        <v>80.3</v>
      </c>
      <c r="O77" s="64">
        <v>0</v>
      </c>
      <c r="P77" s="64">
        <v>0.68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13" t="s">
        <v>2233</v>
      </c>
      <c r="B78" s="64">
        <v>22.05</v>
      </c>
      <c r="C78" s="64">
        <v>24.2</v>
      </c>
      <c r="D78" s="64">
        <v>30.33</v>
      </c>
      <c r="E78" s="64">
        <v>4.97</v>
      </c>
      <c r="F78" s="64">
        <v>11.97</v>
      </c>
      <c r="G78" s="64">
        <v>89.9</v>
      </c>
      <c r="H78" s="64">
        <v>40.53</v>
      </c>
      <c r="I78" s="64">
        <v>2.02</v>
      </c>
      <c r="J78" s="64">
        <v>0.81</v>
      </c>
      <c r="K78" s="64">
        <v>340.6</v>
      </c>
      <c r="L78" s="64">
        <v>27.35</v>
      </c>
      <c r="M78" s="64">
        <v>96.3</v>
      </c>
      <c r="N78" s="64">
        <v>68.099999999999994</v>
      </c>
      <c r="O78" s="64">
        <v>0</v>
      </c>
      <c r="P78" s="64">
        <v>0.73</v>
      </c>
      <c r="Q78" s="64">
        <v>9.56</v>
      </c>
      <c r="R78" s="198"/>
      <c r="S78" s="198"/>
      <c r="T78" s="198"/>
      <c r="U78" s="198"/>
    </row>
    <row r="79" spans="1:21" s="12" customFormat="1" x14ac:dyDescent="0.25">
      <c r="A79" s="213" t="s">
        <v>2234</v>
      </c>
      <c r="B79" s="64">
        <v>22.07</v>
      </c>
      <c r="C79" s="64">
        <v>20.74</v>
      </c>
      <c r="D79" s="64">
        <v>28.53</v>
      </c>
      <c r="E79" s="64">
        <v>5.14</v>
      </c>
      <c r="F79" s="64">
        <v>8.7799999999999994</v>
      </c>
      <c r="G79" s="64">
        <v>77.3</v>
      </c>
      <c r="H79" s="64">
        <v>44.06</v>
      </c>
      <c r="I79" s="64">
        <v>1.97</v>
      </c>
      <c r="J79" s="64">
        <v>0.88</v>
      </c>
      <c r="K79" s="64">
        <v>332.93</v>
      </c>
      <c r="L79" s="64">
        <v>27.1</v>
      </c>
      <c r="M79" s="64">
        <v>98.13</v>
      </c>
      <c r="N79" s="64">
        <v>54.3</v>
      </c>
      <c r="O79" s="64">
        <v>0</v>
      </c>
      <c r="P79" s="64">
        <v>0.78</v>
      </c>
      <c r="Q79" s="64">
        <v>9.5399999999999991</v>
      </c>
      <c r="R79" s="198"/>
      <c r="S79" s="198"/>
      <c r="T79" s="198"/>
      <c r="U79" s="198"/>
    </row>
    <row r="80" spans="1:21" s="12" customFormat="1" x14ac:dyDescent="0.25">
      <c r="A80" s="213" t="s">
        <v>2235</v>
      </c>
      <c r="B80" s="64">
        <v>21.9</v>
      </c>
      <c r="C80" s="64">
        <v>19.190000000000001</v>
      </c>
      <c r="D80" s="64">
        <v>27.58</v>
      </c>
      <c r="E80" s="64">
        <v>4.78</v>
      </c>
      <c r="F80" s="64">
        <v>9.34</v>
      </c>
      <c r="G80" s="64">
        <v>77.3</v>
      </c>
      <c r="H80" s="64">
        <v>44.06</v>
      </c>
      <c r="I80" s="64">
        <v>1.97</v>
      </c>
      <c r="J80" s="64">
        <v>1.02</v>
      </c>
      <c r="K80" s="64">
        <v>332.22</v>
      </c>
      <c r="L80" s="64">
        <v>26.71</v>
      </c>
      <c r="M80" s="64">
        <v>98.3</v>
      </c>
      <c r="N80" s="64">
        <v>49.2</v>
      </c>
      <c r="O80" s="64">
        <v>0</v>
      </c>
      <c r="P80" s="64">
        <v>0.75</v>
      </c>
      <c r="Q80" s="64">
        <v>9.5500000000000007</v>
      </c>
      <c r="R80" s="198"/>
      <c r="S80" s="198"/>
      <c r="T80" s="198"/>
      <c r="U80" s="198"/>
    </row>
    <row r="81" spans="1:26" s="12" customFormat="1" x14ac:dyDescent="0.25">
      <c r="A81" s="213" t="s">
        <v>2236</v>
      </c>
      <c r="B81" s="64">
        <v>21.15</v>
      </c>
      <c r="C81" s="64">
        <v>20</v>
      </c>
      <c r="D81" s="64">
        <v>27.41</v>
      </c>
      <c r="E81" s="64">
        <v>4.8099999999999996</v>
      </c>
      <c r="F81" s="64">
        <v>7.18</v>
      </c>
      <c r="G81" s="64">
        <v>77.3</v>
      </c>
      <c r="H81" s="64">
        <v>44.06</v>
      </c>
      <c r="I81" s="64">
        <v>1.99</v>
      </c>
      <c r="J81" s="64">
        <v>1.47</v>
      </c>
      <c r="K81" s="64">
        <v>337.63</v>
      </c>
      <c r="L81" s="64">
        <v>26.33</v>
      </c>
      <c r="M81" s="64">
        <v>98.35</v>
      </c>
      <c r="N81" s="64">
        <v>46.6</v>
      </c>
      <c r="O81" s="64">
        <v>0</v>
      </c>
      <c r="P81" s="64">
        <v>0.78</v>
      </c>
      <c r="Q81" s="64">
        <v>9.56</v>
      </c>
      <c r="R81" s="198"/>
      <c r="S81" s="198"/>
      <c r="T81" s="198"/>
      <c r="U81" s="198"/>
    </row>
    <row r="82" spans="1:26" s="12" customFormat="1" x14ac:dyDescent="0.25">
      <c r="A82" s="213" t="s">
        <v>2237</v>
      </c>
      <c r="B82" s="64">
        <v>20.25</v>
      </c>
      <c r="C82" s="64">
        <v>22.47</v>
      </c>
      <c r="D82" s="64">
        <v>27.98</v>
      </c>
      <c r="E82" s="64">
        <v>4.75</v>
      </c>
      <c r="F82" s="64">
        <v>10.51</v>
      </c>
      <c r="G82" s="64">
        <v>78.91</v>
      </c>
      <c r="H82" s="64">
        <v>39.15</v>
      </c>
      <c r="I82" s="64">
        <v>2.0299999999999998</v>
      </c>
      <c r="J82" s="64">
        <v>1.61</v>
      </c>
      <c r="K82" s="64">
        <v>337.2</v>
      </c>
      <c r="L82" s="64">
        <v>26</v>
      </c>
      <c r="M82" s="64">
        <v>98.34</v>
      </c>
      <c r="N82" s="64">
        <v>41.2</v>
      </c>
      <c r="O82" s="64">
        <v>0</v>
      </c>
      <c r="P82" s="64">
        <v>0.79</v>
      </c>
      <c r="Q82" s="64">
        <v>9.5500000000000007</v>
      </c>
      <c r="R82" s="198"/>
      <c r="S82" s="198"/>
      <c r="T82" s="198"/>
      <c r="U82" s="198"/>
    </row>
    <row r="83" spans="1:26" s="12" customFormat="1" x14ac:dyDescent="0.25">
      <c r="A83" s="213" t="s">
        <v>2238</v>
      </c>
      <c r="B83" s="64">
        <v>20.440000000000001</v>
      </c>
      <c r="C83" s="64">
        <v>23.24</v>
      </c>
      <c r="D83" s="64">
        <v>28.54</v>
      </c>
      <c r="E83" s="64">
        <v>5.15</v>
      </c>
      <c r="F83" s="64">
        <v>9.94</v>
      </c>
      <c r="G83" s="64">
        <v>82.87</v>
      </c>
      <c r="H83" s="64">
        <v>27.07</v>
      </c>
      <c r="I83" s="64">
        <v>2.0699999999999998</v>
      </c>
      <c r="J83" s="64">
        <v>0.53</v>
      </c>
      <c r="K83" s="64">
        <v>336.53</v>
      </c>
      <c r="L83" s="64">
        <v>25.77</v>
      </c>
      <c r="M83" s="64">
        <v>98.35</v>
      </c>
      <c r="N83" s="64">
        <v>39.4</v>
      </c>
      <c r="O83" s="64">
        <v>0</v>
      </c>
      <c r="P83" s="64">
        <v>0.83</v>
      </c>
      <c r="Q83" s="64">
        <v>9.58</v>
      </c>
      <c r="R83" s="198"/>
      <c r="S83" s="198"/>
      <c r="T83" s="198"/>
      <c r="U83" s="198"/>
    </row>
    <row r="84" spans="1:26" s="12" customFormat="1" x14ac:dyDescent="0.25">
      <c r="A84" s="213" t="s">
        <v>2239</v>
      </c>
      <c r="B84" s="64">
        <v>16.46</v>
      </c>
      <c r="C84" s="64">
        <v>24.52</v>
      </c>
      <c r="D84" s="64">
        <v>26.01</v>
      </c>
      <c r="E84" s="64">
        <v>4.71</v>
      </c>
      <c r="F84" s="64">
        <v>10.97</v>
      </c>
      <c r="G84" s="64">
        <v>82.87</v>
      </c>
      <c r="H84" s="64">
        <v>27.07</v>
      </c>
      <c r="I84" s="64">
        <v>2.09</v>
      </c>
      <c r="J84" s="64">
        <v>0.17</v>
      </c>
      <c r="K84" s="64">
        <v>353.45</v>
      </c>
      <c r="L84" s="64">
        <v>25.48</v>
      </c>
      <c r="M84" s="64">
        <v>98.35</v>
      </c>
      <c r="N84" s="64">
        <v>37.9</v>
      </c>
      <c r="O84" s="64">
        <v>0</v>
      </c>
      <c r="P84" s="64">
        <v>0.77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3" t="s">
        <v>2240</v>
      </c>
      <c r="B85" s="64">
        <v>16.649999999999999</v>
      </c>
      <c r="C85" s="64">
        <v>27.98</v>
      </c>
      <c r="D85" s="64">
        <v>27.97</v>
      </c>
      <c r="E85" s="64">
        <v>4.8099999999999996</v>
      </c>
      <c r="F85" s="64">
        <v>9.8000000000000007</v>
      </c>
      <c r="G85" s="64">
        <v>82.87</v>
      </c>
      <c r="H85" s="64">
        <v>27.07</v>
      </c>
      <c r="I85" s="64">
        <v>2.11</v>
      </c>
      <c r="J85" s="64">
        <v>0.21</v>
      </c>
      <c r="K85" s="64">
        <v>345.27</v>
      </c>
      <c r="L85" s="64">
        <v>25.08</v>
      </c>
      <c r="M85" s="64">
        <v>98.36</v>
      </c>
      <c r="N85" s="64">
        <v>37.1</v>
      </c>
      <c r="O85" s="64">
        <v>0</v>
      </c>
      <c r="P85" s="64">
        <v>0.7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3" t="s">
        <v>2241</v>
      </c>
      <c r="B86" s="64">
        <v>19.09</v>
      </c>
      <c r="C86" s="64">
        <v>30.67</v>
      </c>
      <c r="D86" s="64">
        <v>31.33</v>
      </c>
      <c r="E86" s="64">
        <v>4.68</v>
      </c>
      <c r="F86" s="64">
        <v>10.98</v>
      </c>
      <c r="G86" s="64">
        <v>77.28</v>
      </c>
      <c r="H86" s="64">
        <v>28.16</v>
      </c>
      <c r="I86" s="64">
        <v>2.11</v>
      </c>
      <c r="J86" s="64">
        <v>0.02</v>
      </c>
      <c r="K86" s="64">
        <v>287.14999999999998</v>
      </c>
      <c r="L86" s="64">
        <v>24.97</v>
      </c>
      <c r="M86" s="64">
        <v>98.39</v>
      </c>
      <c r="N86" s="64">
        <v>37.4</v>
      </c>
      <c r="O86" s="64">
        <v>0</v>
      </c>
      <c r="P86" s="64">
        <v>1.1000000000000001</v>
      </c>
      <c r="Q86" s="64">
        <v>9.59</v>
      </c>
      <c r="R86" s="198"/>
      <c r="S86" s="198"/>
      <c r="T86" s="198"/>
      <c r="U86" s="198"/>
    </row>
    <row r="87" spans="1:26" s="12" customFormat="1" x14ac:dyDescent="0.25">
      <c r="A87" s="213" t="s">
        <v>2242</v>
      </c>
      <c r="B87" s="64">
        <v>19.72</v>
      </c>
      <c r="C87" s="64">
        <v>36.67</v>
      </c>
      <c r="D87" s="64">
        <v>34.97</v>
      </c>
      <c r="E87" s="64">
        <v>4.68</v>
      </c>
      <c r="F87" s="64">
        <v>8.5500000000000007</v>
      </c>
      <c r="G87" s="64">
        <v>63.52</v>
      </c>
      <c r="H87" s="64">
        <v>30.82</v>
      </c>
      <c r="I87" s="64">
        <v>2.11</v>
      </c>
      <c r="J87" s="64">
        <v>0.06</v>
      </c>
      <c r="K87" s="64">
        <v>3.52</v>
      </c>
      <c r="L87" s="64">
        <v>24.91</v>
      </c>
      <c r="M87" s="64">
        <v>98.38</v>
      </c>
      <c r="N87" s="64">
        <v>37.9</v>
      </c>
      <c r="O87" s="64">
        <v>0</v>
      </c>
      <c r="P87" s="64">
        <v>1.18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3" t="s">
        <v>2243</v>
      </c>
      <c r="B88" s="64">
        <v>23.56</v>
      </c>
      <c r="C88" s="64">
        <v>37.94</v>
      </c>
      <c r="D88" s="64">
        <v>38.71</v>
      </c>
      <c r="E88" s="64">
        <v>4.84</v>
      </c>
      <c r="F88" s="64">
        <v>8.5299999999999994</v>
      </c>
      <c r="G88" s="64">
        <v>63.52</v>
      </c>
      <c r="H88" s="64">
        <v>30.82</v>
      </c>
      <c r="I88" s="64">
        <v>2.15</v>
      </c>
      <c r="J88" s="64">
        <v>0.15</v>
      </c>
      <c r="K88" s="64">
        <v>347.98</v>
      </c>
      <c r="L88" s="64">
        <v>24.88</v>
      </c>
      <c r="M88" s="64">
        <v>98.4</v>
      </c>
      <c r="N88" s="64">
        <v>38</v>
      </c>
      <c r="O88" s="64">
        <v>0</v>
      </c>
      <c r="P88" s="64">
        <v>1.53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3" t="s">
        <v>2244</v>
      </c>
      <c r="B89" s="64">
        <v>40.71</v>
      </c>
      <c r="C89" s="64">
        <v>32.979999999999997</v>
      </c>
      <c r="D89" s="64">
        <v>49.88</v>
      </c>
      <c r="E89" s="64">
        <v>4.6500000000000004</v>
      </c>
      <c r="F89" s="64">
        <v>7.76</v>
      </c>
      <c r="G89" s="64">
        <v>63.52</v>
      </c>
      <c r="H89" s="64">
        <v>30.82</v>
      </c>
      <c r="I89" s="64">
        <v>2.21</v>
      </c>
      <c r="J89" s="64">
        <v>0.27</v>
      </c>
      <c r="K89" s="64">
        <v>340.02</v>
      </c>
      <c r="L89" s="64">
        <v>24.81</v>
      </c>
      <c r="M89" s="64">
        <v>98.41</v>
      </c>
      <c r="N89" s="64">
        <v>37.9</v>
      </c>
      <c r="O89" s="64">
        <v>0</v>
      </c>
      <c r="P89" s="64">
        <v>1.69</v>
      </c>
      <c r="Q89" s="64">
        <v>9.59</v>
      </c>
      <c r="R89" s="198"/>
      <c r="S89" s="198"/>
      <c r="T89" s="198"/>
      <c r="U89" s="198"/>
    </row>
    <row r="90" spans="1:26" s="12" customFormat="1" x14ac:dyDescent="0.25">
      <c r="A90" s="213" t="s">
        <v>2245</v>
      </c>
      <c r="B90" s="64">
        <v>36.74</v>
      </c>
      <c r="C90" s="64">
        <v>38.6</v>
      </c>
      <c r="D90" s="64">
        <v>49.63</v>
      </c>
      <c r="E90" s="64">
        <v>4.6500000000000004</v>
      </c>
      <c r="F90" s="64">
        <v>6.2</v>
      </c>
      <c r="G90" s="64">
        <v>64.239999999999995</v>
      </c>
      <c r="H90" s="64">
        <v>27.19</v>
      </c>
      <c r="I90" s="64">
        <v>2.31</v>
      </c>
      <c r="J90" s="64">
        <v>7.0000000000000007E-2</v>
      </c>
      <c r="K90" s="64">
        <v>96.65</v>
      </c>
      <c r="L90" s="64">
        <v>24.77</v>
      </c>
      <c r="M90" s="64">
        <v>98.42</v>
      </c>
      <c r="N90" s="64">
        <v>38</v>
      </c>
      <c r="O90" s="64">
        <v>0</v>
      </c>
      <c r="P90" s="64">
        <v>1.36</v>
      </c>
      <c r="Q90" s="64">
        <v>9.59</v>
      </c>
      <c r="R90" s="198"/>
      <c r="S90" s="198"/>
      <c r="T90" s="198"/>
      <c r="U90" s="198"/>
    </row>
    <row r="91" spans="1:26" s="12" customFormat="1" x14ac:dyDescent="0.25">
      <c r="A91" s="213" t="s">
        <v>2246</v>
      </c>
      <c r="B91" s="64">
        <v>31.39</v>
      </c>
      <c r="C91" s="64">
        <v>39.03</v>
      </c>
      <c r="D91" s="64">
        <v>45.52</v>
      </c>
      <c r="E91" s="64">
        <v>4.82</v>
      </c>
      <c r="F91" s="64">
        <v>6.52</v>
      </c>
      <c r="G91" s="64">
        <v>66</v>
      </c>
      <c r="H91" s="64">
        <v>18.25</v>
      </c>
      <c r="I91" s="64">
        <v>2.4</v>
      </c>
      <c r="J91" s="64">
        <v>0.1</v>
      </c>
      <c r="K91" s="64">
        <v>348.31</v>
      </c>
      <c r="L91" s="64">
        <v>24.75</v>
      </c>
      <c r="M91" s="64">
        <v>98.4</v>
      </c>
      <c r="N91" s="64">
        <v>38</v>
      </c>
      <c r="O91" s="64">
        <v>0</v>
      </c>
      <c r="P91" s="64">
        <v>1.5</v>
      </c>
      <c r="Q91" s="64">
        <v>9.59</v>
      </c>
      <c r="R91" s="198"/>
      <c r="S91" s="198"/>
      <c r="T91" s="198"/>
      <c r="U91" s="198"/>
    </row>
    <row r="92" spans="1:26" s="12" customFormat="1" x14ac:dyDescent="0.25">
      <c r="A92" s="213" t="s">
        <v>2247</v>
      </c>
      <c r="B92" s="64">
        <v>44.04</v>
      </c>
      <c r="C92" s="64">
        <v>34.86</v>
      </c>
      <c r="D92" s="64">
        <v>53.53</v>
      </c>
      <c r="E92" s="64">
        <v>4.7300000000000004</v>
      </c>
      <c r="F92" s="64">
        <v>6.6</v>
      </c>
      <c r="G92" s="64">
        <v>66</v>
      </c>
      <c r="H92" s="64">
        <v>18.25</v>
      </c>
      <c r="I92" s="64">
        <v>2.4700000000000002</v>
      </c>
      <c r="J92" s="64">
        <v>0.03</v>
      </c>
      <c r="K92" s="64">
        <v>216.2</v>
      </c>
      <c r="L92" s="64">
        <v>24.8</v>
      </c>
      <c r="M92" s="64">
        <v>98.43</v>
      </c>
      <c r="N92" s="64">
        <v>38</v>
      </c>
      <c r="O92" s="64">
        <v>0</v>
      </c>
      <c r="P92" s="64">
        <v>1.9</v>
      </c>
      <c r="Q92" s="64">
        <v>9.59</v>
      </c>
      <c r="R92" s="198"/>
      <c r="S92" s="198"/>
      <c r="T92" s="198"/>
      <c r="U92" s="198"/>
    </row>
    <row r="93" spans="1:26" s="12" customFormat="1" x14ac:dyDescent="0.25">
      <c r="A93" s="213" t="s">
        <v>2248</v>
      </c>
      <c r="B93" s="64">
        <v>40.520000000000003</v>
      </c>
      <c r="C93" s="64">
        <v>34.770000000000003</v>
      </c>
      <c r="D93" s="64">
        <v>50.63</v>
      </c>
      <c r="E93" s="64">
        <v>4.9800000000000004</v>
      </c>
      <c r="F93" s="64">
        <v>5.01</v>
      </c>
      <c r="G93" s="64">
        <v>66</v>
      </c>
      <c r="H93" s="64">
        <v>18.25</v>
      </c>
      <c r="I93" s="64">
        <v>2.56</v>
      </c>
      <c r="J93" s="64">
        <v>0.1</v>
      </c>
      <c r="K93" s="64">
        <v>306.07</v>
      </c>
      <c r="L93" s="64">
        <v>24.7</v>
      </c>
      <c r="M93" s="64">
        <v>98.43</v>
      </c>
      <c r="N93" s="64">
        <v>38</v>
      </c>
      <c r="O93" s="64">
        <v>0</v>
      </c>
      <c r="P93" s="64">
        <v>1.57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3" t="s">
        <v>2249</v>
      </c>
      <c r="B94" s="64">
        <v>52.93</v>
      </c>
      <c r="C94" s="64">
        <v>28.08</v>
      </c>
      <c r="D94" s="64">
        <v>57.06</v>
      </c>
      <c r="E94" s="64">
        <v>5.09</v>
      </c>
      <c r="F94" s="64">
        <v>6.22</v>
      </c>
      <c r="G94" s="64">
        <v>67.48</v>
      </c>
      <c r="H94" s="64">
        <v>23.82</v>
      </c>
      <c r="I94" s="64">
        <v>2.67</v>
      </c>
      <c r="J94" s="64">
        <v>0.08</v>
      </c>
      <c r="K94" s="64">
        <v>322.19</v>
      </c>
      <c r="L94" s="64">
        <v>24.73</v>
      </c>
      <c r="M94" s="64">
        <v>98.38</v>
      </c>
      <c r="N94" s="64">
        <v>38</v>
      </c>
      <c r="O94" s="64">
        <v>0</v>
      </c>
      <c r="P94" s="64">
        <v>1.85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3" t="s">
        <v>2250</v>
      </c>
      <c r="B95" s="64">
        <v>45.46</v>
      </c>
      <c r="C95" s="64">
        <v>29.88</v>
      </c>
      <c r="D95" s="64">
        <v>52.06</v>
      </c>
      <c r="E95" s="64">
        <v>4.97</v>
      </c>
      <c r="F95" s="64">
        <v>6.18</v>
      </c>
      <c r="G95" s="64">
        <v>71.12</v>
      </c>
      <c r="H95" s="64">
        <v>37.54</v>
      </c>
      <c r="I95" s="64">
        <v>2.81</v>
      </c>
      <c r="J95" s="64">
        <v>0.24</v>
      </c>
      <c r="K95" s="64">
        <v>1.95</v>
      </c>
      <c r="L95" s="64">
        <v>24.88</v>
      </c>
      <c r="M95" s="64">
        <v>98.39</v>
      </c>
      <c r="N95" s="64">
        <v>38</v>
      </c>
      <c r="O95" s="64">
        <v>0</v>
      </c>
      <c r="P95" s="64">
        <v>1.91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3" t="s">
        <v>2251</v>
      </c>
      <c r="B96" s="64">
        <v>48.27</v>
      </c>
      <c r="C96" s="64">
        <v>34.24</v>
      </c>
      <c r="D96" s="64">
        <v>56.6</v>
      </c>
      <c r="E96" s="64">
        <v>4.8499999999999996</v>
      </c>
      <c r="F96" s="64">
        <v>6.13</v>
      </c>
      <c r="G96" s="64">
        <v>71.12</v>
      </c>
      <c r="H96" s="64">
        <v>37.54</v>
      </c>
      <c r="I96" s="64">
        <v>2.99</v>
      </c>
      <c r="J96" s="64">
        <v>0.09</v>
      </c>
      <c r="K96" s="64">
        <v>118.37</v>
      </c>
      <c r="L96" s="64">
        <v>24.88</v>
      </c>
      <c r="M96" s="64">
        <v>98.39</v>
      </c>
      <c r="N96" s="64">
        <v>38</v>
      </c>
      <c r="O96" s="64">
        <v>0</v>
      </c>
      <c r="P96" s="64">
        <v>2.0499999999999998</v>
      </c>
      <c r="Q96" s="64">
        <v>9.6300000000000008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2252</v>
      </c>
      <c r="B97" s="64">
        <v>44.68</v>
      </c>
      <c r="C97" s="64">
        <v>39.700000000000003</v>
      </c>
      <c r="D97" s="64">
        <v>56.57</v>
      </c>
      <c r="E97" s="64">
        <v>4.6900000000000004</v>
      </c>
      <c r="F97" s="64">
        <v>5.79</v>
      </c>
      <c r="G97" s="64">
        <v>71.12</v>
      </c>
      <c r="H97" s="64">
        <v>37.54</v>
      </c>
      <c r="I97" s="64">
        <v>3.22</v>
      </c>
      <c r="J97" s="64">
        <v>0.24</v>
      </c>
      <c r="K97" s="64">
        <v>130.9</v>
      </c>
      <c r="L97" s="64">
        <v>24.99</v>
      </c>
      <c r="M97" s="64">
        <v>98.39</v>
      </c>
      <c r="N97" s="64">
        <v>37.700000000000003</v>
      </c>
      <c r="O97" s="64">
        <v>0</v>
      </c>
      <c r="P97" s="64">
        <v>2.42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3" t="s">
        <v>2253</v>
      </c>
      <c r="B98" s="64">
        <v>42.29</v>
      </c>
      <c r="C98" s="64">
        <v>32.93</v>
      </c>
      <c r="D98" s="64">
        <v>51.12</v>
      </c>
      <c r="E98" s="64">
        <v>4.91</v>
      </c>
      <c r="F98" s="64">
        <v>5.59</v>
      </c>
      <c r="G98" s="64">
        <v>73.760000000000005</v>
      </c>
      <c r="H98" s="64">
        <v>36.020000000000003</v>
      </c>
      <c r="I98" s="64">
        <v>3.45</v>
      </c>
      <c r="J98" s="64">
        <v>0.15</v>
      </c>
      <c r="K98" s="64">
        <v>162.78</v>
      </c>
      <c r="L98" s="64">
        <v>24.98</v>
      </c>
      <c r="M98" s="64">
        <v>98.39</v>
      </c>
      <c r="N98" s="64">
        <v>38</v>
      </c>
      <c r="O98" s="64">
        <v>0</v>
      </c>
      <c r="P98" s="64">
        <v>1.95</v>
      </c>
      <c r="Q98" s="64">
        <v>9.6300000000000008</v>
      </c>
      <c r="R98" s="198"/>
      <c r="S98" s="198"/>
      <c r="T98" s="198"/>
      <c r="U98" s="198"/>
    </row>
    <row r="99" spans="1:33" s="12" customFormat="1" x14ac:dyDescent="0.25">
      <c r="A99" s="213" t="s">
        <v>2254</v>
      </c>
      <c r="B99" s="64">
        <v>34.15</v>
      </c>
      <c r="C99" s="64">
        <v>28.61</v>
      </c>
      <c r="D99" s="64">
        <v>42.34</v>
      </c>
      <c r="E99" s="64">
        <v>4.6100000000000003</v>
      </c>
      <c r="F99" s="64">
        <v>5.65</v>
      </c>
      <c r="G99" s="64">
        <v>80.239999999999995</v>
      </c>
      <c r="H99" s="64">
        <v>32.299999999999997</v>
      </c>
      <c r="I99" s="64">
        <v>3.69</v>
      </c>
      <c r="J99" s="64">
        <v>0.24</v>
      </c>
      <c r="K99" s="64">
        <v>156.41</v>
      </c>
      <c r="L99" s="64">
        <v>25.01</v>
      </c>
      <c r="M99" s="64">
        <v>98.39</v>
      </c>
      <c r="N99" s="64">
        <v>38</v>
      </c>
      <c r="O99" s="64">
        <v>0</v>
      </c>
      <c r="P99" s="64">
        <v>1.38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3" t="s">
        <v>2255</v>
      </c>
      <c r="B100" s="64">
        <v>64.25</v>
      </c>
      <c r="C100" s="64">
        <v>26.01</v>
      </c>
      <c r="D100" s="64">
        <v>65.11</v>
      </c>
      <c r="E100" s="64">
        <v>4.6500000000000004</v>
      </c>
      <c r="F100" s="64">
        <v>5.97</v>
      </c>
      <c r="G100" s="64">
        <v>80.239999999999995</v>
      </c>
      <c r="H100" s="64">
        <v>32.299999999999997</v>
      </c>
      <c r="I100" s="64">
        <v>3.87</v>
      </c>
      <c r="J100" s="64">
        <v>7.0000000000000007E-2</v>
      </c>
      <c r="K100" s="64">
        <v>359.54</v>
      </c>
      <c r="L100" s="64">
        <v>24.93</v>
      </c>
      <c r="M100" s="64">
        <v>98.4</v>
      </c>
      <c r="N100" s="64">
        <v>38.1</v>
      </c>
      <c r="O100" s="64">
        <v>0</v>
      </c>
      <c r="P100" s="64">
        <v>1.66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2256</v>
      </c>
      <c r="B101" s="64">
        <v>27.89</v>
      </c>
      <c r="C101" s="64">
        <v>29.4</v>
      </c>
      <c r="D101" s="64">
        <v>37.729999999999997</v>
      </c>
      <c r="E101" s="64">
        <v>4.46</v>
      </c>
      <c r="F101" s="64">
        <v>5.0599999999999996</v>
      </c>
      <c r="G101" s="64">
        <v>80.239999999999995</v>
      </c>
      <c r="H101" s="64">
        <v>32.299999999999997</v>
      </c>
      <c r="I101" s="64">
        <v>3.94</v>
      </c>
      <c r="J101" s="64">
        <v>0.13</v>
      </c>
      <c r="K101" s="64">
        <v>337.97</v>
      </c>
      <c r="L101" s="64">
        <v>24.81</v>
      </c>
      <c r="M101" s="64">
        <v>98.41</v>
      </c>
      <c r="N101" s="64">
        <v>38.1</v>
      </c>
      <c r="O101" s="64">
        <v>0</v>
      </c>
      <c r="P101" s="64">
        <v>1.22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3" t="s">
        <v>2257</v>
      </c>
      <c r="B102" s="64">
        <v>33.979999999999997</v>
      </c>
      <c r="C102" s="64">
        <v>20.2</v>
      </c>
      <c r="D102" s="64">
        <v>37.799999999999997</v>
      </c>
      <c r="E102" s="64">
        <v>4.47</v>
      </c>
      <c r="F102" s="64">
        <v>4.7699999999999996</v>
      </c>
      <c r="G102" s="64">
        <v>79.290000000000006</v>
      </c>
      <c r="H102" s="64">
        <v>30.57</v>
      </c>
      <c r="I102" s="64">
        <v>4.01</v>
      </c>
      <c r="J102" s="64">
        <v>0.08</v>
      </c>
      <c r="K102" s="64">
        <v>294.94</v>
      </c>
      <c r="L102" s="64">
        <v>24.77</v>
      </c>
      <c r="M102" s="64">
        <v>98.43</v>
      </c>
      <c r="N102" s="64">
        <v>38</v>
      </c>
      <c r="O102" s="64">
        <v>0</v>
      </c>
      <c r="P102" s="64">
        <v>1.31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3" t="s">
        <v>2258</v>
      </c>
      <c r="B103" s="64">
        <v>24.55</v>
      </c>
      <c r="C103" s="64">
        <v>28.19</v>
      </c>
      <c r="D103" s="64">
        <v>34.409999999999997</v>
      </c>
      <c r="E103" s="64">
        <v>4.43</v>
      </c>
      <c r="F103" s="64">
        <v>4.8600000000000003</v>
      </c>
      <c r="G103" s="64">
        <v>76.930000000000007</v>
      </c>
      <c r="H103" s="64">
        <v>26.31</v>
      </c>
      <c r="I103" s="64">
        <v>4.05</v>
      </c>
      <c r="J103" s="64">
        <v>0.25</v>
      </c>
      <c r="K103" s="64">
        <v>145.58000000000001</v>
      </c>
      <c r="L103" s="64">
        <v>24.73</v>
      </c>
      <c r="M103" s="64">
        <v>98.42</v>
      </c>
      <c r="N103" s="64">
        <v>37.9</v>
      </c>
      <c r="O103" s="64">
        <v>0</v>
      </c>
      <c r="P103" s="64">
        <v>1.07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3" t="s">
        <v>2259</v>
      </c>
      <c r="B104" s="64">
        <v>16.010000000000002</v>
      </c>
      <c r="C104" s="64">
        <v>26.63</v>
      </c>
      <c r="D104" s="64">
        <v>26.75</v>
      </c>
      <c r="E104" s="64">
        <v>3.83</v>
      </c>
      <c r="F104" s="64">
        <v>6.13</v>
      </c>
      <c r="G104" s="64">
        <v>76.930000000000007</v>
      </c>
      <c r="H104" s="64">
        <v>26.31</v>
      </c>
      <c r="I104" s="64">
        <v>4.0599999999999996</v>
      </c>
      <c r="J104" s="64">
        <v>0.01</v>
      </c>
      <c r="K104" s="64">
        <v>117.34</v>
      </c>
      <c r="L104" s="64">
        <v>24.76</v>
      </c>
      <c r="M104" s="64">
        <v>98.42</v>
      </c>
      <c r="N104" s="64">
        <v>38.1</v>
      </c>
      <c r="O104" s="64">
        <v>0</v>
      </c>
      <c r="P104" s="64">
        <v>0.86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7.65</v>
      </c>
      <c r="C106" s="67">
        <f>MIN(C9:C104)</f>
        <v>9.94</v>
      </c>
      <c r="D106" s="67">
        <f t="shared" ref="D106:Q106" si="0">MIN(D9:D104)</f>
        <v>13.39</v>
      </c>
      <c r="E106" s="67">
        <f t="shared" si="0"/>
        <v>3.83</v>
      </c>
      <c r="F106" s="67">
        <f t="shared" si="0"/>
        <v>4.3899999999999997</v>
      </c>
      <c r="G106" s="67">
        <f t="shared" si="0"/>
        <v>35.22</v>
      </c>
      <c r="H106" s="67">
        <f t="shared" si="0"/>
        <v>9.92</v>
      </c>
      <c r="I106" s="67">
        <f t="shared" si="0"/>
        <v>1.74</v>
      </c>
      <c r="J106" s="67">
        <f t="shared" si="0"/>
        <v>0.01</v>
      </c>
      <c r="K106" s="67">
        <f t="shared" si="0"/>
        <v>1.95</v>
      </c>
      <c r="L106" s="67">
        <f t="shared" si="0"/>
        <v>24.31</v>
      </c>
      <c r="M106" s="67">
        <f t="shared" si="0"/>
        <v>73.08</v>
      </c>
      <c r="N106" s="67">
        <f t="shared" si="0"/>
        <v>37.1</v>
      </c>
      <c r="O106" s="67">
        <f t="shared" si="0"/>
        <v>0</v>
      </c>
      <c r="P106" s="67">
        <f t="shared" si="0"/>
        <v>0.27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64.25</v>
      </c>
      <c r="C107" s="66">
        <f t="shared" ref="C107:Q107" si="1">MAX(C9:C104)</f>
        <v>43.63</v>
      </c>
      <c r="D107" s="66">
        <f t="shared" si="1"/>
        <v>65.11</v>
      </c>
      <c r="E107" s="66">
        <f t="shared" si="1"/>
        <v>6.24</v>
      </c>
      <c r="F107" s="66">
        <f t="shared" si="1"/>
        <v>20.71</v>
      </c>
      <c r="G107" s="66">
        <f t="shared" si="1"/>
        <v>108.8</v>
      </c>
      <c r="H107" s="66">
        <f t="shared" si="1"/>
        <v>53.25</v>
      </c>
      <c r="I107" s="66">
        <f t="shared" si="1"/>
        <v>4.0599999999999996</v>
      </c>
      <c r="J107" s="66">
        <f t="shared" si="1"/>
        <v>1.61</v>
      </c>
      <c r="K107" s="66">
        <f t="shared" si="1"/>
        <v>359.54</v>
      </c>
      <c r="L107" s="66">
        <f t="shared" si="1"/>
        <v>32.68</v>
      </c>
      <c r="M107" s="66">
        <f t="shared" si="1"/>
        <v>98.7</v>
      </c>
      <c r="N107" s="66">
        <f t="shared" si="1"/>
        <v>796.9</v>
      </c>
      <c r="O107" s="66">
        <f t="shared" si="1"/>
        <v>1.8</v>
      </c>
      <c r="P107" s="66">
        <f t="shared" si="1"/>
        <v>2.42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23.484583333333344</v>
      </c>
      <c r="C108" s="67">
        <f t="shared" ref="C108:Q108" si="2">AVERAGE(C9:C104)</f>
        <v>23.946041666666673</v>
      </c>
      <c r="D108" s="67">
        <f t="shared" si="2"/>
        <v>31.334062500000002</v>
      </c>
      <c r="E108" s="67">
        <f t="shared" si="2"/>
        <v>4.7721875000000002</v>
      </c>
      <c r="F108" s="67">
        <f t="shared" si="2"/>
        <v>9.4224999999999977</v>
      </c>
      <c r="G108" s="67">
        <f t="shared" si="2"/>
        <v>69.216562499999995</v>
      </c>
      <c r="H108" s="67">
        <f t="shared" si="2"/>
        <v>26.690833333333345</v>
      </c>
      <c r="I108" s="67">
        <f t="shared" si="2"/>
        <v>2.2687500000000012</v>
      </c>
      <c r="J108" s="67">
        <f t="shared" si="2"/>
        <v>0.31864583333333324</v>
      </c>
      <c r="K108" s="67">
        <f t="shared" si="2"/>
        <v>261.2376041666667</v>
      </c>
      <c r="L108" s="67">
        <f t="shared" si="2"/>
        <v>26.699166666666667</v>
      </c>
      <c r="M108" s="67">
        <f t="shared" si="2"/>
        <v>94.966250000000002</v>
      </c>
      <c r="N108" s="67">
        <f t="shared" si="2"/>
        <v>147.51979166666669</v>
      </c>
      <c r="O108" s="67">
        <f t="shared" si="2"/>
        <v>2.5000000000000005E-2</v>
      </c>
      <c r="P108" s="67">
        <f t="shared" si="2"/>
        <v>0.77739583333333317</v>
      </c>
      <c r="Q108" s="67">
        <f t="shared" si="2"/>
        <v>9.5570833333333365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11.453143895355502</v>
      </c>
      <c r="C109" s="67">
        <f t="shared" ref="C109:Q109" si="3">STDEV(C9:C104)</f>
        <v>8.9217616243909941</v>
      </c>
      <c r="D109" s="67">
        <f t="shared" si="3"/>
        <v>12.07570205679462</v>
      </c>
      <c r="E109" s="67">
        <f t="shared" si="3"/>
        <v>0.50558606560786057</v>
      </c>
      <c r="F109" s="67">
        <f t="shared" si="3"/>
        <v>4.1624921684769083</v>
      </c>
      <c r="G109" s="67">
        <f t="shared" si="3"/>
        <v>21.723152084360716</v>
      </c>
      <c r="H109" s="67">
        <f t="shared" si="3"/>
        <v>11.877237022904152</v>
      </c>
      <c r="I109" s="67">
        <f t="shared" si="3"/>
        <v>0.52497869630961413</v>
      </c>
      <c r="J109" s="67">
        <f t="shared" si="3"/>
        <v>0.30373333107103812</v>
      </c>
      <c r="K109" s="67">
        <f t="shared" si="3"/>
        <v>106.68115194595217</v>
      </c>
      <c r="L109" s="67">
        <f t="shared" si="3"/>
        <v>2.5633443067773238</v>
      </c>
      <c r="M109" s="67">
        <f t="shared" si="3"/>
        <v>6.1993750533930081</v>
      </c>
      <c r="N109" s="67">
        <f t="shared" si="3"/>
        <v>179.31437058669761</v>
      </c>
      <c r="O109" s="67">
        <f t="shared" si="3"/>
        <v>0.18637822325921868</v>
      </c>
      <c r="P109" s="67">
        <f t="shared" si="3"/>
        <v>0.45708284356032564</v>
      </c>
      <c r="Q109" s="67">
        <f t="shared" si="3"/>
        <v>7.9338271997244678E-2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2260</v>
      </c>
      <c r="B9" s="64">
        <v>11.51</v>
      </c>
      <c r="C9" s="64">
        <v>25.55</v>
      </c>
      <c r="D9" s="64">
        <v>22.58</v>
      </c>
      <c r="E9" s="64">
        <v>4.07</v>
      </c>
      <c r="F9" s="64">
        <v>6.59</v>
      </c>
      <c r="G9" s="64">
        <v>76.930000000000007</v>
      </c>
      <c r="H9" s="64">
        <v>26.31</v>
      </c>
      <c r="I9" s="64">
        <v>4.05</v>
      </c>
      <c r="J9" s="64">
        <v>0.12</v>
      </c>
      <c r="K9" s="64">
        <v>339.85</v>
      </c>
      <c r="L9" s="64">
        <v>24.74</v>
      </c>
      <c r="M9" s="64">
        <v>98.4</v>
      </c>
      <c r="N9" s="64">
        <v>38.1</v>
      </c>
      <c r="O9" s="64">
        <v>0</v>
      </c>
      <c r="P9" s="64">
        <v>0.73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3" t="s">
        <v>2261</v>
      </c>
      <c r="B10" s="64">
        <v>14.22</v>
      </c>
      <c r="C10" s="64">
        <v>26.52</v>
      </c>
      <c r="D10" s="64">
        <v>25.26</v>
      </c>
      <c r="E10" s="64">
        <v>4.13</v>
      </c>
      <c r="F10" s="64">
        <v>6.11</v>
      </c>
      <c r="G10" s="64">
        <v>75.540000000000006</v>
      </c>
      <c r="H10" s="64">
        <v>27.16</v>
      </c>
      <c r="I10" s="64">
        <v>4.0199999999999996</v>
      </c>
      <c r="J10" s="64">
        <v>0.08</v>
      </c>
      <c r="K10" s="64">
        <v>313</v>
      </c>
      <c r="L10" s="64">
        <v>24.7</v>
      </c>
      <c r="M10" s="64">
        <v>98.41</v>
      </c>
      <c r="N10" s="64">
        <v>38.1</v>
      </c>
      <c r="O10" s="64">
        <v>0</v>
      </c>
      <c r="P10" s="64">
        <v>0.79</v>
      </c>
      <c r="Q10" s="64">
        <v>9.67</v>
      </c>
      <c r="R10" s="198"/>
      <c r="S10" s="198"/>
      <c r="T10" s="198"/>
      <c r="U10" s="198"/>
    </row>
    <row r="11" spans="1:21" s="12" customFormat="1" x14ac:dyDescent="0.25">
      <c r="A11" s="213" t="s">
        <v>2262</v>
      </c>
      <c r="B11" s="64">
        <v>13.29</v>
      </c>
      <c r="C11" s="64">
        <v>25.38</v>
      </c>
      <c r="D11" s="64">
        <v>23.92</v>
      </c>
      <c r="E11" s="64">
        <v>4.2699999999999996</v>
      </c>
      <c r="F11" s="64">
        <v>6.27</v>
      </c>
      <c r="G11" s="64">
        <v>72.099999999999994</v>
      </c>
      <c r="H11" s="64">
        <v>29.26</v>
      </c>
      <c r="I11" s="64">
        <v>3.98</v>
      </c>
      <c r="J11" s="64">
        <v>0.06</v>
      </c>
      <c r="K11" s="64">
        <v>289.89</v>
      </c>
      <c r="L11" s="64">
        <v>24.6</v>
      </c>
      <c r="M11" s="64">
        <v>98.43</v>
      </c>
      <c r="N11" s="64">
        <v>38.1</v>
      </c>
      <c r="O11" s="64">
        <v>0</v>
      </c>
      <c r="P11" s="64">
        <v>0.67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3" t="s">
        <v>2263</v>
      </c>
      <c r="B12" s="64">
        <v>11.34</v>
      </c>
      <c r="C12" s="64">
        <v>22.68</v>
      </c>
      <c r="D12" s="64">
        <v>20.95</v>
      </c>
      <c r="E12" s="64">
        <v>4.21</v>
      </c>
      <c r="F12" s="64">
        <v>7.59</v>
      </c>
      <c r="G12" s="64">
        <v>72.099999999999994</v>
      </c>
      <c r="H12" s="64">
        <v>29.26</v>
      </c>
      <c r="I12" s="64">
        <v>3.92</v>
      </c>
      <c r="J12" s="64">
        <v>0.05</v>
      </c>
      <c r="K12" s="64">
        <v>316.70999999999998</v>
      </c>
      <c r="L12" s="64">
        <v>24.62</v>
      </c>
      <c r="M12" s="64">
        <v>98.43</v>
      </c>
      <c r="N12" s="64">
        <v>38.1</v>
      </c>
      <c r="O12" s="64">
        <v>0</v>
      </c>
      <c r="P12" s="64">
        <v>0.62</v>
      </c>
      <c r="Q12" s="64">
        <v>9.68</v>
      </c>
      <c r="R12" s="198"/>
      <c r="S12" s="198"/>
      <c r="T12" s="198"/>
      <c r="U12" s="198"/>
    </row>
    <row r="13" spans="1:21" s="12" customFormat="1" x14ac:dyDescent="0.25">
      <c r="A13" s="213" t="s">
        <v>2264</v>
      </c>
      <c r="B13" s="64">
        <v>10.33</v>
      </c>
      <c r="C13" s="64">
        <v>23.86</v>
      </c>
      <c r="D13" s="64">
        <v>20.75</v>
      </c>
      <c r="E13" s="64">
        <v>4.07</v>
      </c>
      <c r="F13" s="64">
        <v>7.55</v>
      </c>
      <c r="G13" s="64">
        <v>72.099999999999994</v>
      </c>
      <c r="H13" s="64">
        <v>29.26</v>
      </c>
      <c r="I13" s="64">
        <v>3.85</v>
      </c>
      <c r="J13" s="64">
        <v>0.09</v>
      </c>
      <c r="K13" s="64">
        <v>315.60000000000002</v>
      </c>
      <c r="L13" s="64">
        <v>24.69</v>
      </c>
      <c r="M13" s="64">
        <v>98.43</v>
      </c>
      <c r="N13" s="64">
        <v>38.1</v>
      </c>
      <c r="O13" s="64">
        <v>0</v>
      </c>
      <c r="P13" s="64">
        <v>0.45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3" t="s">
        <v>2265</v>
      </c>
      <c r="B14" s="64">
        <v>10.88</v>
      </c>
      <c r="C14" s="64">
        <v>21.92</v>
      </c>
      <c r="D14" s="64">
        <v>20.18</v>
      </c>
      <c r="E14" s="64">
        <v>4.21</v>
      </c>
      <c r="F14" s="64">
        <v>9.24</v>
      </c>
      <c r="G14" s="64">
        <v>70.48</v>
      </c>
      <c r="H14" s="64">
        <v>29.05</v>
      </c>
      <c r="I14" s="64">
        <v>3.79</v>
      </c>
      <c r="J14" s="64">
        <v>0.3</v>
      </c>
      <c r="K14" s="64">
        <v>337.21</v>
      </c>
      <c r="L14" s="64">
        <v>24.79</v>
      </c>
      <c r="M14" s="64">
        <v>98.43</v>
      </c>
      <c r="N14" s="64">
        <v>37.9</v>
      </c>
      <c r="O14" s="64">
        <v>0</v>
      </c>
      <c r="P14" s="64">
        <v>0.44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3" t="s">
        <v>2266</v>
      </c>
      <c r="B15" s="64">
        <v>22.53</v>
      </c>
      <c r="C15" s="64">
        <v>16.23</v>
      </c>
      <c r="D15" s="64">
        <v>26.55</v>
      </c>
      <c r="E15" s="64">
        <v>4.51</v>
      </c>
      <c r="F15" s="64">
        <v>7.17</v>
      </c>
      <c r="G15" s="64">
        <v>66.489999999999995</v>
      </c>
      <c r="H15" s="64">
        <v>28.53</v>
      </c>
      <c r="I15" s="64">
        <v>3.72</v>
      </c>
      <c r="J15" s="64">
        <v>0.3</v>
      </c>
      <c r="K15" s="64">
        <v>338.26</v>
      </c>
      <c r="L15" s="64">
        <v>24.81</v>
      </c>
      <c r="M15" s="64">
        <v>98.44</v>
      </c>
      <c r="N15" s="64">
        <v>38.1</v>
      </c>
      <c r="O15" s="64">
        <v>0</v>
      </c>
      <c r="P15" s="64">
        <v>0.66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3" t="s">
        <v>2267</v>
      </c>
      <c r="B16" s="64">
        <v>18.079999999999998</v>
      </c>
      <c r="C16" s="64">
        <v>14.1</v>
      </c>
      <c r="D16" s="64">
        <v>21.87</v>
      </c>
      <c r="E16" s="64">
        <v>4.45</v>
      </c>
      <c r="F16" s="64">
        <v>9.2100000000000009</v>
      </c>
      <c r="G16" s="64">
        <v>66.489999999999995</v>
      </c>
      <c r="H16" s="64">
        <v>28.53</v>
      </c>
      <c r="I16" s="64">
        <v>3.63</v>
      </c>
      <c r="J16" s="64">
        <v>0.18</v>
      </c>
      <c r="K16" s="64">
        <v>326.57</v>
      </c>
      <c r="L16" s="64">
        <v>24.73</v>
      </c>
      <c r="M16" s="64">
        <v>98.43</v>
      </c>
      <c r="N16" s="64">
        <v>38.1</v>
      </c>
      <c r="O16" s="64">
        <v>0</v>
      </c>
      <c r="P16" s="64">
        <v>0.57999999999999996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3" t="s">
        <v>2268</v>
      </c>
      <c r="B17" s="64">
        <v>11.67</v>
      </c>
      <c r="C17" s="64">
        <v>15.22</v>
      </c>
      <c r="D17" s="64">
        <v>17.309999999999999</v>
      </c>
      <c r="E17" s="64">
        <v>4.34</v>
      </c>
      <c r="F17" s="64">
        <v>9.98</v>
      </c>
      <c r="G17" s="64">
        <v>66.489999999999995</v>
      </c>
      <c r="H17" s="64">
        <v>28.53</v>
      </c>
      <c r="I17" s="64">
        <v>3.52</v>
      </c>
      <c r="J17" s="64">
        <v>0.05</v>
      </c>
      <c r="K17" s="64">
        <v>177.75</v>
      </c>
      <c r="L17" s="64">
        <v>24.67</v>
      </c>
      <c r="M17" s="64">
        <v>98.45</v>
      </c>
      <c r="N17" s="64">
        <v>38.1</v>
      </c>
      <c r="O17" s="64">
        <v>0</v>
      </c>
      <c r="P17" s="64">
        <v>0.38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3" t="s">
        <v>2269</v>
      </c>
      <c r="B18" s="64">
        <v>23.94</v>
      </c>
      <c r="C18" s="64">
        <v>10.75</v>
      </c>
      <c r="D18" s="64">
        <v>24.82</v>
      </c>
      <c r="E18" s="64">
        <v>4.51</v>
      </c>
      <c r="F18" s="64">
        <v>5.54</v>
      </c>
      <c r="G18" s="64">
        <v>64.89</v>
      </c>
      <c r="H18" s="64">
        <v>26.77</v>
      </c>
      <c r="I18" s="64">
        <v>3.41</v>
      </c>
      <c r="J18" s="64">
        <v>0.02</v>
      </c>
      <c r="K18" s="64">
        <v>239.91</v>
      </c>
      <c r="L18" s="64">
        <v>24.57</v>
      </c>
      <c r="M18" s="64">
        <v>98.45</v>
      </c>
      <c r="N18" s="64">
        <v>38.1</v>
      </c>
      <c r="O18" s="64">
        <v>0</v>
      </c>
      <c r="P18" s="64">
        <v>0.71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3" t="s">
        <v>2270</v>
      </c>
      <c r="B19" s="64">
        <v>14.57</v>
      </c>
      <c r="C19" s="64">
        <v>19.41</v>
      </c>
      <c r="D19" s="64">
        <v>21.82</v>
      </c>
      <c r="E19" s="64">
        <v>4.54</v>
      </c>
      <c r="F19" s="64">
        <v>8.1199999999999992</v>
      </c>
      <c r="G19" s="64">
        <v>60.94</v>
      </c>
      <c r="H19" s="64">
        <v>22.44</v>
      </c>
      <c r="I19" s="64">
        <v>3.32</v>
      </c>
      <c r="J19" s="64">
        <v>0.05</v>
      </c>
      <c r="K19" s="64">
        <v>333.11</v>
      </c>
      <c r="L19" s="64">
        <v>24.55</v>
      </c>
      <c r="M19" s="64">
        <v>98.45</v>
      </c>
      <c r="N19" s="64">
        <v>38.1</v>
      </c>
      <c r="O19" s="64">
        <v>0</v>
      </c>
      <c r="P19" s="64">
        <v>0.44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3" t="s">
        <v>2271</v>
      </c>
      <c r="B20" s="64">
        <v>17.71</v>
      </c>
      <c r="C20" s="64">
        <v>16.59</v>
      </c>
      <c r="D20" s="64">
        <v>22.87</v>
      </c>
      <c r="E20" s="64">
        <v>4.2699999999999996</v>
      </c>
      <c r="F20" s="64">
        <v>8.23</v>
      </c>
      <c r="G20" s="64">
        <v>60.94</v>
      </c>
      <c r="H20" s="64">
        <v>22.44</v>
      </c>
      <c r="I20" s="64">
        <v>3.25</v>
      </c>
      <c r="J20" s="64">
        <v>0.4</v>
      </c>
      <c r="K20" s="64">
        <v>342.3</v>
      </c>
      <c r="L20" s="64">
        <v>24.57</v>
      </c>
      <c r="M20" s="64">
        <v>98.45</v>
      </c>
      <c r="N20" s="64">
        <v>37.9</v>
      </c>
      <c r="O20" s="64">
        <v>0</v>
      </c>
      <c r="P20" s="64">
        <v>0.51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3" t="s">
        <v>2272</v>
      </c>
      <c r="B21" s="64">
        <v>11.67</v>
      </c>
      <c r="C21" s="64">
        <v>19.84</v>
      </c>
      <c r="D21" s="64">
        <v>19.72</v>
      </c>
      <c r="E21" s="64">
        <v>4.12</v>
      </c>
      <c r="F21" s="64">
        <v>7.02</v>
      </c>
      <c r="G21" s="64">
        <v>60.94</v>
      </c>
      <c r="H21" s="64">
        <v>22.44</v>
      </c>
      <c r="I21" s="64">
        <v>3.21</v>
      </c>
      <c r="J21" s="64">
        <v>7.0000000000000007E-2</v>
      </c>
      <c r="K21" s="64">
        <v>359.85</v>
      </c>
      <c r="L21" s="64">
        <v>24.55</v>
      </c>
      <c r="M21" s="64">
        <v>98.45</v>
      </c>
      <c r="N21" s="64">
        <v>38.1</v>
      </c>
      <c r="O21" s="64">
        <v>0</v>
      </c>
      <c r="P21" s="64">
        <v>0.4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3" t="s">
        <v>2273</v>
      </c>
      <c r="B22" s="64">
        <v>9.51</v>
      </c>
      <c r="C22" s="64">
        <v>20.73</v>
      </c>
      <c r="D22" s="64">
        <v>18.46</v>
      </c>
      <c r="E22" s="64">
        <v>3.96</v>
      </c>
      <c r="F22" s="64">
        <v>6.78</v>
      </c>
      <c r="G22" s="64">
        <v>59.7</v>
      </c>
      <c r="H22" s="64">
        <v>23.58</v>
      </c>
      <c r="I22" s="64">
        <v>3.16</v>
      </c>
      <c r="J22" s="64">
        <v>7.0000000000000007E-2</v>
      </c>
      <c r="K22" s="64">
        <v>87.92</v>
      </c>
      <c r="L22" s="64">
        <v>24.42</v>
      </c>
      <c r="M22" s="64">
        <v>98.45</v>
      </c>
      <c r="N22" s="64">
        <v>38.1</v>
      </c>
      <c r="O22" s="64">
        <v>0</v>
      </c>
      <c r="P22" s="64">
        <v>0.28000000000000003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3" t="s">
        <v>2274</v>
      </c>
      <c r="B23" s="64">
        <v>14.86</v>
      </c>
      <c r="C23" s="64">
        <v>16.88</v>
      </c>
      <c r="D23" s="64">
        <v>20.74</v>
      </c>
      <c r="E23" s="64">
        <v>4.1900000000000004</v>
      </c>
      <c r="F23" s="64">
        <v>5.38</v>
      </c>
      <c r="G23" s="64">
        <v>56.64</v>
      </c>
      <c r="H23" s="64">
        <v>26.4</v>
      </c>
      <c r="I23" s="64">
        <v>3.13</v>
      </c>
      <c r="J23" s="64">
        <v>7.0000000000000007E-2</v>
      </c>
      <c r="K23" s="64">
        <v>116.03</v>
      </c>
      <c r="L23" s="64">
        <v>24.35</v>
      </c>
      <c r="M23" s="64">
        <v>98.47</v>
      </c>
      <c r="N23" s="64">
        <v>38.1</v>
      </c>
      <c r="O23" s="64">
        <v>0</v>
      </c>
      <c r="P23" s="64">
        <v>0.51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3" t="s">
        <v>2275</v>
      </c>
      <c r="B24" s="64">
        <v>19.32</v>
      </c>
      <c r="C24" s="64">
        <v>18.7</v>
      </c>
      <c r="D24" s="64">
        <v>25.26</v>
      </c>
      <c r="E24" s="64">
        <v>4.1900000000000004</v>
      </c>
      <c r="F24" s="64">
        <v>6.45</v>
      </c>
      <c r="G24" s="64">
        <v>56.64</v>
      </c>
      <c r="H24" s="64">
        <v>26.4</v>
      </c>
      <c r="I24" s="64">
        <v>3.1</v>
      </c>
      <c r="J24" s="64">
        <v>0.1</v>
      </c>
      <c r="K24" s="64">
        <v>342.21</v>
      </c>
      <c r="L24" s="64">
        <v>24.32</v>
      </c>
      <c r="M24" s="64">
        <v>98.49</v>
      </c>
      <c r="N24" s="64">
        <v>38.1</v>
      </c>
      <c r="O24" s="64">
        <v>0</v>
      </c>
      <c r="P24" s="64">
        <v>0.38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3" t="s">
        <v>2276</v>
      </c>
      <c r="B25" s="64">
        <v>10.91</v>
      </c>
      <c r="C25" s="64">
        <v>19.559999999999999</v>
      </c>
      <c r="D25" s="64">
        <v>18.97</v>
      </c>
      <c r="E25" s="64">
        <v>3.93</v>
      </c>
      <c r="F25" s="64">
        <v>6.04</v>
      </c>
      <c r="G25" s="64">
        <v>56.64</v>
      </c>
      <c r="H25" s="64">
        <v>26.4</v>
      </c>
      <c r="I25" s="64">
        <v>3.06</v>
      </c>
      <c r="J25" s="64">
        <v>0.06</v>
      </c>
      <c r="K25" s="64">
        <v>317.16000000000003</v>
      </c>
      <c r="L25" s="64">
        <v>24.26</v>
      </c>
      <c r="M25" s="64">
        <v>98.48</v>
      </c>
      <c r="N25" s="64">
        <v>38.1</v>
      </c>
      <c r="O25" s="64">
        <v>0</v>
      </c>
      <c r="P25" s="64">
        <v>0.28000000000000003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3" t="s">
        <v>2277</v>
      </c>
      <c r="B26" s="64">
        <v>9.1999999999999993</v>
      </c>
      <c r="C26" s="64">
        <v>18.82</v>
      </c>
      <c r="D26" s="64">
        <v>17.21</v>
      </c>
      <c r="E26" s="64">
        <v>4.24</v>
      </c>
      <c r="F26" s="64">
        <v>7.34</v>
      </c>
      <c r="G26" s="64">
        <v>56.33</v>
      </c>
      <c r="H26" s="64">
        <v>23.25</v>
      </c>
      <c r="I26" s="64">
        <v>3.02</v>
      </c>
      <c r="J26" s="64">
        <v>0.06</v>
      </c>
      <c r="K26" s="64">
        <v>317.16000000000003</v>
      </c>
      <c r="L26" s="64">
        <v>24.14</v>
      </c>
      <c r="M26" s="64">
        <v>98.48</v>
      </c>
      <c r="N26" s="64">
        <v>38.1</v>
      </c>
      <c r="O26" s="64">
        <v>0</v>
      </c>
      <c r="P26" s="64">
        <v>0.23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3" t="s">
        <v>2278</v>
      </c>
      <c r="B27" s="64">
        <v>16.54</v>
      </c>
      <c r="C27" s="64">
        <v>18.87</v>
      </c>
      <c r="D27" s="64">
        <v>23.13</v>
      </c>
      <c r="E27" s="64">
        <v>4.03</v>
      </c>
      <c r="F27" s="64">
        <v>6.75</v>
      </c>
      <c r="G27" s="64">
        <v>55.59</v>
      </c>
      <c r="H27" s="64">
        <v>15.5</v>
      </c>
      <c r="I27" s="64">
        <v>2.98</v>
      </c>
      <c r="J27" s="64">
        <v>0.04</v>
      </c>
      <c r="K27" s="64">
        <v>231.18</v>
      </c>
      <c r="L27" s="64">
        <v>24.14</v>
      </c>
      <c r="M27" s="64">
        <v>98.48</v>
      </c>
      <c r="N27" s="64">
        <v>38</v>
      </c>
      <c r="O27" s="64">
        <v>0</v>
      </c>
      <c r="P27" s="64">
        <v>0.25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3" t="s">
        <v>2279</v>
      </c>
      <c r="B28" s="64">
        <v>37.61</v>
      </c>
      <c r="C28" s="64">
        <v>17.22</v>
      </c>
      <c r="D28" s="64">
        <v>39.15</v>
      </c>
      <c r="E28" s="64">
        <v>3.88</v>
      </c>
      <c r="F28" s="64">
        <v>5.28</v>
      </c>
      <c r="G28" s="64">
        <v>55.59</v>
      </c>
      <c r="H28" s="64">
        <v>15.5</v>
      </c>
      <c r="I28" s="64">
        <v>2.95</v>
      </c>
      <c r="J28" s="64">
        <v>0.03</v>
      </c>
      <c r="K28" s="64">
        <v>214.04</v>
      </c>
      <c r="L28" s="64">
        <v>24.18</v>
      </c>
      <c r="M28" s="64">
        <v>98.48</v>
      </c>
      <c r="N28" s="64">
        <v>38.1</v>
      </c>
      <c r="O28" s="64">
        <v>0</v>
      </c>
      <c r="P28" s="64">
        <v>0.45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3" t="s">
        <v>2280</v>
      </c>
      <c r="B29" s="64">
        <v>20.04</v>
      </c>
      <c r="C29" s="64">
        <v>19.059999999999999</v>
      </c>
      <c r="D29" s="64">
        <v>26.03</v>
      </c>
      <c r="E29" s="64">
        <v>4.4000000000000004</v>
      </c>
      <c r="F29" s="64">
        <v>4.8</v>
      </c>
      <c r="G29" s="64">
        <v>55.59</v>
      </c>
      <c r="H29" s="64">
        <v>15.5</v>
      </c>
      <c r="I29" s="64">
        <v>2.92</v>
      </c>
      <c r="J29" s="64">
        <v>0.04</v>
      </c>
      <c r="K29" s="64">
        <v>202.71</v>
      </c>
      <c r="L29" s="64">
        <v>24.15</v>
      </c>
      <c r="M29" s="64">
        <v>98.48</v>
      </c>
      <c r="N29" s="64">
        <v>38.1</v>
      </c>
      <c r="O29" s="64">
        <v>0</v>
      </c>
      <c r="P29" s="64">
        <v>0.41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3" t="s">
        <v>2281</v>
      </c>
      <c r="B30" s="64">
        <v>16.5</v>
      </c>
      <c r="C30" s="64">
        <v>18.87</v>
      </c>
      <c r="D30" s="64">
        <v>23.09</v>
      </c>
      <c r="E30" s="64">
        <v>4.0599999999999996</v>
      </c>
      <c r="F30" s="64">
        <v>5.04</v>
      </c>
      <c r="G30" s="64">
        <v>56.59</v>
      </c>
      <c r="H30" s="64">
        <v>18.309999999999999</v>
      </c>
      <c r="I30" s="64">
        <v>2.88</v>
      </c>
      <c r="J30" s="64">
        <v>0.1</v>
      </c>
      <c r="K30" s="64">
        <v>179.43</v>
      </c>
      <c r="L30" s="64">
        <v>24.17</v>
      </c>
      <c r="M30" s="64">
        <v>98.47</v>
      </c>
      <c r="N30" s="64">
        <v>38.6</v>
      </c>
      <c r="O30" s="64">
        <v>0</v>
      </c>
      <c r="P30" s="64">
        <v>0.31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3" t="s">
        <v>2282</v>
      </c>
      <c r="B31" s="64">
        <v>21.38</v>
      </c>
      <c r="C31" s="64">
        <v>18.3</v>
      </c>
      <c r="D31" s="64">
        <v>26.7</v>
      </c>
      <c r="E31" s="64">
        <v>4.16</v>
      </c>
      <c r="F31" s="64">
        <v>5.67</v>
      </c>
      <c r="G31" s="64">
        <v>59.07</v>
      </c>
      <c r="H31" s="64">
        <v>25.22</v>
      </c>
      <c r="I31" s="64">
        <v>2.87</v>
      </c>
      <c r="J31" s="64">
        <v>0.28000000000000003</v>
      </c>
      <c r="K31" s="64">
        <v>152.11000000000001</v>
      </c>
      <c r="L31" s="64">
        <v>24.25</v>
      </c>
      <c r="M31" s="64">
        <v>98.45</v>
      </c>
      <c r="N31" s="64">
        <v>41.7</v>
      </c>
      <c r="O31" s="64">
        <v>0</v>
      </c>
      <c r="P31" s="64">
        <v>0.35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3" t="s">
        <v>2283</v>
      </c>
      <c r="B32" s="64">
        <v>18.97</v>
      </c>
      <c r="C32" s="64">
        <v>19.02</v>
      </c>
      <c r="D32" s="64">
        <v>25.15</v>
      </c>
      <c r="E32" s="64">
        <v>4.03</v>
      </c>
      <c r="F32" s="64">
        <v>5.88</v>
      </c>
      <c r="G32" s="64">
        <v>59.07</v>
      </c>
      <c r="H32" s="64">
        <v>25.22</v>
      </c>
      <c r="I32" s="64">
        <v>2.85</v>
      </c>
      <c r="J32" s="64">
        <v>0.05</v>
      </c>
      <c r="K32" s="64">
        <v>210</v>
      </c>
      <c r="L32" s="64">
        <v>24.36</v>
      </c>
      <c r="M32" s="64">
        <v>98.44</v>
      </c>
      <c r="N32" s="64">
        <v>47</v>
      </c>
      <c r="O32" s="64">
        <v>0</v>
      </c>
      <c r="P32" s="64">
        <v>0.35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3" t="s">
        <v>2284</v>
      </c>
      <c r="B33" s="64">
        <v>24.74</v>
      </c>
      <c r="C33" s="64">
        <v>16.920000000000002</v>
      </c>
      <c r="D33" s="64">
        <v>28.68</v>
      </c>
      <c r="E33" s="64">
        <v>4.24</v>
      </c>
      <c r="F33" s="64">
        <v>4.9800000000000004</v>
      </c>
      <c r="G33" s="64">
        <v>59.07</v>
      </c>
      <c r="H33" s="64">
        <v>25.22</v>
      </c>
      <c r="I33" s="64">
        <v>2.83</v>
      </c>
      <c r="J33" s="64">
        <v>0.08</v>
      </c>
      <c r="K33" s="64">
        <v>329.36</v>
      </c>
      <c r="L33" s="64">
        <v>24.5</v>
      </c>
      <c r="M33" s="64">
        <v>98.45</v>
      </c>
      <c r="N33" s="64">
        <v>58.8</v>
      </c>
      <c r="O33" s="64">
        <v>0</v>
      </c>
      <c r="P33" s="64">
        <v>0.48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3" t="s">
        <v>2285</v>
      </c>
      <c r="B34" s="64">
        <v>21.82</v>
      </c>
      <c r="C34" s="64">
        <v>17.88</v>
      </c>
      <c r="D34" s="64">
        <v>26.84</v>
      </c>
      <c r="E34" s="64">
        <v>4.4800000000000004</v>
      </c>
      <c r="F34" s="64">
        <v>6.22</v>
      </c>
      <c r="G34" s="64">
        <v>60.3</v>
      </c>
      <c r="H34" s="64">
        <v>25.07</v>
      </c>
      <c r="I34" s="64">
        <v>2.8</v>
      </c>
      <c r="J34" s="64">
        <v>0.04</v>
      </c>
      <c r="K34" s="64">
        <v>330.96</v>
      </c>
      <c r="L34" s="64">
        <v>24.7</v>
      </c>
      <c r="M34" s="64">
        <v>98.44</v>
      </c>
      <c r="N34" s="64">
        <v>78.5</v>
      </c>
      <c r="O34" s="64">
        <v>0</v>
      </c>
      <c r="P34" s="64">
        <v>0.5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3" t="s">
        <v>2286</v>
      </c>
      <c r="B35" s="64">
        <v>26.28</v>
      </c>
      <c r="C35" s="64">
        <v>14.92</v>
      </c>
      <c r="D35" s="64">
        <v>28.87</v>
      </c>
      <c r="E35" s="64">
        <v>4.17</v>
      </c>
      <c r="F35" s="64">
        <v>4.46</v>
      </c>
      <c r="G35" s="64">
        <v>63.35</v>
      </c>
      <c r="H35" s="64">
        <v>24.69</v>
      </c>
      <c r="I35" s="64">
        <v>2.76</v>
      </c>
      <c r="J35" s="64">
        <v>0.03</v>
      </c>
      <c r="K35" s="64">
        <v>204.61</v>
      </c>
      <c r="L35" s="64">
        <v>24.94</v>
      </c>
      <c r="M35" s="64">
        <v>98.43</v>
      </c>
      <c r="N35" s="64">
        <v>101.3</v>
      </c>
      <c r="O35" s="64">
        <v>0</v>
      </c>
      <c r="P35" s="64">
        <v>0.51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3" t="s">
        <v>2287</v>
      </c>
      <c r="B36" s="64">
        <v>27.86</v>
      </c>
      <c r="C36" s="64">
        <v>14.47</v>
      </c>
      <c r="D36" s="64">
        <v>29.91</v>
      </c>
      <c r="E36" s="64">
        <v>4.03</v>
      </c>
      <c r="F36" s="64">
        <v>6.63</v>
      </c>
      <c r="G36" s="64">
        <v>63.35</v>
      </c>
      <c r="H36" s="64">
        <v>24.69</v>
      </c>
      <c r="I36" s="64">
        <v>2.73</v>
      </c>
      <c r="J36" s="64">
        <v>0.17</v>
      </c>
      <c r="K36" s="64">
        <v>343.91</v>
      </c>
      <c r="L36" s="64">
        <v>25.5</v>
      </c>
      <c r="M36" s="64">
        <v>98.42</v>
      </c>
      <c r="N36" s="64">
        <v>142.1</v>
      </c>
      <c r="O36" s="64">
        <v>0</v>
      </c>
      <c r="P36" s="64">
        <v>0.53</v>
      </c>
      <c r="Q36" s="64">
        <v>9.6199999999999992</v>
      </c>
      <c r="R36" s="198"/>
      <c r="S36" s="198"/>
      <c r="T36" s="198"/>
      <c r="U36" s="198"/>
    </row>
    <row r="37" spans="1:21" s="12" customFormat="1" x14ac:dyDescent="0.25">
      <c r="A37" s="213" t="s">
        <v>2288</v>
      </c>
      <c r="B37" s="64">
        <v>32.24</v>
      </c>
      <c r="C37" s="64">
        <v>13.97</v>
      </c>
      <c r="D37" s="64">
        <v>33.15</v>
      </c>
      <c r="E37" s="64">
        <v>3.96</v>
      </c>
      <c r="F37" s="64">
        <v>6.64</v>
      </c>
      <c r="G37" s="64">
        <v>63.35</v>
      </c>
      <c r="H37" s="64">
        <v>24.69</v>
      </c>
      <c r="I37" s="64">
        <v>2.72</v>
      </c>
      <c r="J37" s="64">
        <v>0.21</v>
      </c>
      <c r="K37" s="64">
        <v>323.85000000000002</v>
      </c>
      <c r="L37" s="64">
        <v>26.6</v>
      </c>
      <c r="M37" s="64">
        <v>98.35</v>
      </c>
      <c r="N37" s="64">
        <v>184.1</v>
      </c>
      <c r="O37" s="64">
        <v>0</v>
      </c>
      <c r="P37" s="64">
        <v>0.63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3" t="s">
        <v>2289</v>
      </c>
      <c r="B38" s="64">
        <v>29.09</v>
      </c>
      <c r="C38" s="64">
        <v>9.4700000000000006</v>
      </c>
      <c r="D38" s="64">
        <v>28.28</v>
      </c>
      <c r="E38" s="64">
        <v>4.09</v>
      </c>
      <c r="F38" s="64">
        <v>5.24</v>
      </c>
      <c r="G38" s="64">
        <v>63.72</v>
      </c>
      <c r="H38" s="64">
        <v>25.93</v>
      </c>
      <c r="I38" s="64">
        <v>2.72</v>
      </c>
      <c r="J38" s="64">
        <v>0.08</v>
      </c>
      <c r="K38" s="64">
        <v>260.27999999999997</v>
      </c>
      <c r="L38" s="64">
        <v>26.87</v>
      </c>
      <c r="M38" s="64">
        <v>98.32</v>
      </c>
      <c r="N38" s="64">
        <v>195.1</v>
      </c>
      <c r="O38" s="64">
        <v>0</v>
      </c>
      <c r="P38" s="64">
        <v>0.64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3" t="s">
        <v>2290</v>
      </c>
      <c r="B39" s="64">
        <v>30.11</v>
      </c>
      <c r="C39" s="64">
        <v>10.75</v>
      </c>
      <c r="D39" s="64">
        <v>29.77</v>
      </c>
      <c r="E39" s="64">
        <v>4.16</v>
      </c>
      <c r="F39" s="64">
        <v>6</v>
      </c>
      <c r="G39" s="64">
        <v>64.64</v>
      </c>
      <c r="H39" s="64">
        <v>29</v>
      </c>
      <c r="I39" s="64">
        <v>2.72</v>
      </c>
      <c r="J39" s="64">
        <v>0.15</v>
      </c>
      <c r="K39" s="64">
        <v>298.89999999999998</v>
      </c>
      <c r="L39" s="64">
        <v>26.75</v>
      </c>
      <c r="M39" s="64">
        <v>98.32</v>
      </c>
      <c r="N39" s="64">
        <v>161.6</v>
      </c>
      <c r="O39" s="64">
        <v>0</v>
      </c>
      <c r="P39" s="64">
        <v>0.66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3" t="s">
        <v>2291</v>
      </c>
      <c r="B40" s="64">
        <v>29.65</v>
      </c>
      <c r="C40" s="64">
        <v>13.3</v>
      </c>
      <c r="D40" s="64">
        <v>30.59</v>
      </c>
      <c r="E40" s="64">
        <v>4.6900000000000004</v>
      </c>
      <c r="F40" s="64">
        <v>8.41</v>
      </c>
      <c r="G40" s="64">
        <v>64.64</v>
      </c>
      <c r="H40" s="64">
        <v>29</v>
      </c>
      <c r="I40" s="64">
        <v>2.72</v>
      </c>
      <c r="J40" s="64">
        <v>0.13</v>
      </c>
      <c r="K40" s="64">
        <v>319.51</v>
      </c>
      <c r="L40" s="64">
        <v>27.2</v>
      </c>
      <c r="M40" s="64">
        <v>98.3</v>
      </c>
      <c r="N40" s="64">
        <v>201.8</v>
      </c>
      <c r="O40" s="64">
        <v>0</v>
      </c>
      <c r="P40" s="64">
        <v>0.65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3" t="s">
        <v>2292</v>
      </c>
      <c r="B41" s="64">
        <v>26.33</v>
      </c>
      <c r="C41" s="64">
        <v>12</v>
      </c>
      <c r="D41" s="64">
        <v>27.38</v>
      </c>
      <c r="E41" s="64">
        <v>4.5</v>
      </c>
      <c r="F41" s="64">
        <v>7.28</v>
      </c>
      <c r="G41" s="64">
        <v>64.64</v>
      </c>
      <c r="H41" s="64">
        <v>29</v>
      </c>
      <c r="I41" s="64">
        <v>2.73</v>
      </c>
      <c r="J41" s="64">
        <v>0.05</v>
      </c>
      <c r="K41" s="64">
        <v>250.76</v>
      </c>
      <c r="L41" s="64">
        <v>27.3</v>
      </c>
      <c r="M41" s="64">
        <v>98.3</v>
      </c>
      <c r="N41" s="64">
        <v>229.4</v>
      </c>
      <c r="O41" s="64">
        <v>0</v>
      </c>
      <c r="P41" s="64">
        <v>0.64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3" t="s">
        <v>2293</v>
      </c>
      <c r="B42" s="64">
        <v>20.57</v>
      </c>
      <c r="C42" s="64">
        <v>17.47</v>
      </c>
      <c r="D42" s="64">
        <v>25.62</v>
      </c>
      <c r="E42" s="64">
        <v>4.87</v>
      </c>
      <c r="F42" s="64">
        <v>10.94</v>
      </c>
      <c r="G42" s="64">
        <v>68.040000000000006</v>
      </c>
      <c r="H42" s="64">
        <v>27.9</v>
      </c>
      <c r="I42" s="64">
        <v>2.72</v>
      </c>
      <c r="J42" s="64">
        <v>0.06</v>
      </c>
      <c r="K42" s="64">
        <v>119.81</v>
      </c>
      <c r="L42" s="64">
        <v>28.05</v>
      </c>
      <c r="M42" s="64">
        <v>97.92</v>
      </c>
      <c r="N42" s="64">
        <v>347.4</v>
      </c>
      <c r="O42" s="64">
        <v>0</v>
      </c>
      <c r="P42" s="64">
        <v>0.56000000000000005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3" t="s">
        <v>2294</v>
      </c>
      <c r="B43" s="64">
        <v>15.97</v>
      </c>
      <c r="C43" s="64">
        <v>18.27</v>
      </c>
      <c r="D43" s="64">
        <v>22.35</v>
      </c>
      <c r="E43" s="64">
        <v>4.76</v>
      </c>
      <c r="F43" s="64">
        <v>13.04</v>
      </c>
      <c r="G43" s="64">
        <v>76.430000000000007</v>
      </c>
      <c r="H43" s="64">
        <v>25.19</v>
      </c>
      <c r="I43" s="64">
        <v>2.69</v>
      </c>
      <c r="J43" s="64">
        <v>0.31</v>
      </c>
      <c r="K43" s="64">
        <v>147.37</v>
      </c>
      <c r="L43" s="64">
        <v>28.29</v>
      </c>
      <c r="M43" s="64">
        <v>97.78</v>
      </c>
      <c r="N43" s="64">
        <v>338.8</v>
      </c>
      <c r="O43" s="64">
        <v>0</v>
      </c>
      <c r="P43" s="64">
        <v>0.5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3" t="s">
        <v>2295</v>
      </c>
      <c r="B44" s="64">
        <v>15.78</v>
      </c>
      <c r="C44" s="64">
        <v>21.68</v>
      </c>
      <c r="D44" s="64">
        <v>23.98</v>
      </c>
      <c r="E44" s="64">
        <v>4.93</v>
      </c>
      <c r="F44" s="64">
        <v>14.67</v>
      </c>
      <c r="G44" s="64">
        <v>76.430000000000007</v>
      </c>
      <c r="H44" s="64">
        <v>25.19</v>
      </c>
      <c r="I44" s="64">
        <v>2.67</v>
      </c>
      <c r="J44" s="64">
        <v>0.12</v>
      </c>
      <c r="K44" s="64">
        <v>146.91</v>
      </c>
      <c r="L44" s="64">
        <v>27.87</v>
      </c>
      <c r="M44" s="64">
        <v>98.28</v>
      </c>
      <c r="N44" s="64">
        <v>165.3</v>
      </c>
      <c r="O44" s="64">
        <v>0</v>
      </c>
      <c r="P44" s="64">
        <v>0.51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3" t="s">
        <v>2296</v>
      </c>
      <c r="B45" s="64">
        <v>12.61</v>
      </c>
      <c r="C45" s="64">
        <v>19.96</v>
      </c>
      <c r="D45" s="64">
        <v>20.54</v>
      </c>
      <c r="E45" s="64">
        <v>4.9400000000000004</v>
      </c>
      <c r="F45" s="64">
        <v>13.06</v>
      </c>
      <c r="G45" s="64">
        <v>76.430000000000007</v>
      </c>
      <c r="H45" s="64">
        <v>25.19</v>
      </c>
      <c r="I45" s="64">
        <v>2.65</v>
      </c>
      <c r="J45" s="64">
        <v>0.27</v>
      </c>
      <c r="K45" s="64">
        <v>147.46</v>
      </c>
      <c r="L45" s="64">
        <v>27.71</v>
      </c>
      <c r="M45" s="64">
        <v>98.27</v>
      </c>
      <c r="N45" s="64">
        <v>257.60000000000002</v>
      </c>
      <c r="O45" s="64">
        <v>0</v>
      </c>
      <c r="P45" s="64">
        <v>0.42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3" t="s">
        <v>2297</v>
      </c>
      <c r="B46" s="64">
        <v>16.62</v>
      </c>
      <c r="C46" s="64">
        <v>19.28</v>
      </c>
      <c r="D46" s="64">
        <v>23.4</v>
      </c>
      <c r="E46" s="64">
        <v>5.12</v>
      </c>
      <c r="F46" s="64">
        <v>13.29</v>
      </c>
      <c r="G46" s="64">
        <v>75.510000000000005</v>
      </c>
      <c r="H46" s="64">
        <v>24.63</v>
      </c>
      <c r="I46" s="64">
        <v>2.62</v>
      </c>
      <c r="J46" s="64">
        <v>0.26</v>
      </c>
      <c r="K46" s="64">
        <v>143.21</v>
      </c>
      <c r="L46" s="64">
        <v>28</v>
      </c>
      <c r="M46" s="64">
        <v>98.02</v>
      </c>
      <c r="N46" s="64">
        <v>281.5</v>
      </c>
      <c r="O46" s="64">
        <v>0</v>
      </c>
      <c r="P46" s="64">
        <v>0.5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3" t="s">
        <v>2298</v>
      </c>
      <c r="B47" s="64">
        <v>15.5</v>
      </c>
      <c r="C47" s="64">
        <v>17.600000000000001</v>
      </c>
      <c r="D47" s="64">
        <v>21.63</v>
      </c>
      <c r="E47" s="64">
        <v>5</v>
      </c>
      <c r="F47" s="64">
        <v>14.81</v>
      </c>
      <c r="G47" s="64">
        <v>73.23</v>
      </c>
      <c r="H47" s="64">
        <v>23.26</v>
      </c>
      <c r="I47" s="64">
        <v>2.6</v>
      </c>
      <c r="J47" s="64">
        <v>0.14000000000000001</v>
      </c>
      <c r="K47" s="64">
        <v>140.75</v>
      </c>
      <c r="L47" s="64">
        <v>28.45</v>
      </c>
      <c r="M47" s="64">
        <v>96.4</v>
      </c>
      <c r="N47" s="64">
        <v>449.2</v>
      </c>
      <c r="O47" s="64">
        <v>0</v>
      </c>
      <c r="P47" s="64">
        <v>0.45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3" t="s">
        <v>2299</v>
      </c>
      <c r="B48" s="64">
        <v>14.57</v>
      </c>
      <c r="C48" s="64">
        <v>17.309999999999999</v>
      </c>
      <c r="D48" s="64">
        <v>20.73</v>
      </c>
      <c r="E48" s="64">
        <v>5.3</v>
      </c>
      <c r="F48" s="64">
        <v>15.81</v>
      </c>
      <c r="G48" s="64">
        <v>73.23</v>
      </c>
      <c r="H48" s="64">
        <v>23.26</v>
      </c>
      <c r="I48" s="64">
        <v>2.57</v>
      </c>
      <c r="J48" s="64">
        <v>0.77</v>
      </c>
      <c r="K48" s="64">
        <v>142.29</v>
      </c>
      <c r="L48" s="64">
        <v>28.63</v>
      </c>
      <c r="M48" s="64">
        <v>95.7</v>
      </c>
      <c r="N48" s="64">
        <v>427.8</v>
      </c>
      <c r="O48" s="64">
        <v>0</v>
      </c>
      <c r="P48" s="64">
        <v>0.44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3" t="s">
        <v>2300</v>
      </c>
      <c r="B49" s="64">
        <v>14.4</v>
      </c>
      <c r="C49" s="64">
        <v>17.29</v>
      </c>
      <c r="D49" s="64">
        <v>20.59</v>
      </c>
      <c r="E49" s="64">
        <v>5.36</v>
      </c>
      <c r="F49" s="64">
        <v>18.09</v>
      </c>
      <c r="G49" s="64">
        <v>73.23</v>
      </c>
      <c r="H49" s="64">
        <v>23.26</v>
      </c>
      <c r="I49" s="64">
        <v>2.54</v>
      </c>
      <c r="J49" s="64">
        <v>0.22</v>
      </c>
      <c r="K49" s="64">
        <v>158.66</v>
      </c>
      <c r="L49" s="64">
        <v>28.52</v>
      </c>
      <c r="M49" s="64">
        <v>97</v>
      </c>
      <c r="N49" s="64">
        <v>321.89999999999998</v>
      </c>
      <c r="O49" s="64">
        <v>0</v>
      </c>
      <c r="P49" s="64">
        <v>0.44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3" t="s">
        <v>2301</v>
      </c>
      <c r="B50" s="64">
        <v>16.91</v>
      </c>
      <c r="C50" s="64">
        <v>15.01</v>
      </c>
      <c r="D50" s="64">
        <v>21.4</v>
      </c>
      <c r="E50" s="64">
        <v>5.32</v>
      </c>
      <c r="F50" s="64">
        <v>9.52</v>
      </c>
      <c r="G50" s="64">
        <v>72.819999999999993</v>
      </c>
      <c r="H50" s="64">
        <v>28.46</v>
      </c>
      <c r="I50" s="64">
        <v>2.5</v>
      </c>
      <c r="J50" s="64">
        <v>1.29</v>
      </c>
      <c r="K50" s="64">
        <v>329.58</v>
      </c>
      <c r="L50" s="64">
        <v>28.27</v>
      </c>
      <c r="M50" s="64">
        <v>97.01</v>
      </c>
      <c r="N50" s="64">
        <v>99.2</v>
      </c>
      <c r="O50" s="64">
        <v>0</v>
      </c>
      <c r="P50" s="64">
        <v>0.51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3" t="s">
        <v>2302</v>
      </c>
      <c r="B51" s="64">
        <v>21</v>
      </c>
      <c r="C51" s="64">
        <v>11.5</v>
      </c>
      <c r="D51" s="64">
        <v>22.85</v>
      </c>
      <c r="E51" s="64">
        <v>5.1100000000000003</v>
      </c>
      <c r="F51" s="64">
        <v>5.8</v>
      </c>
      <c r="G51" s="64">
        <v>71.81</v>
      </c>
      <c r="H51" s="64">
        <v>41.25</v>
      </c>
      <c r="I51" s="64">
        <v>2.4700000000000002</v>
      </c>
      <c r="J51" s="64">
        <v>3</v>
      </c>
      <c r="K51" s="64">
        <v>339.77</v>
      </c>
      <c r="L51" s="64">
        <v>24.71</v>
      </c>
      <c r="M51" s="64">
        <v>98.36</v>
      </c>
      <c r="N51" s="64">
        <v>61.2</v>
      </c>
      <c r="O51" s="64">
        <v>8.6</v>
      </c>
      <c r="P51" s="64">
        <v>0.52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3" t="s">
        <v>2303</v>
      </c>
      <c r="B52" s="64">
        <v>16.7</v>
      </c>
      <c r="C52" s="64">
        <v>13.12</v>
      </c>
      <c r="D52" s="64">
        <v>20.25</v>
      </c>
      <c r="E52" s="64">
        <v>5.27</v>
      </c>
      <c r="F52" s="64">
        <v>8.0399999999999991</v>
      </c>
      <c r="G52" s="64">
        <v>71.81</v>
      </c>
      <c r="H52" s="64">
        <v>41.25</v>
      </c>
      <c r="I52" s="64">
        <v>2.38</v>
      </c>
      <c r="J52" s="64">
        <v>0.94</v>
      </c>
      <c r="K52" s="64">
        <v>335.16</v>
      </c>
      <c r="L52" s="64">
        <v>22.16</v>
      </c>
      <c r="M52" s="64">
        <v>98.45</v>
      </c>
      <c r="N52" s="64">
        <v>68.7</v>
      </c>
      <c r="O52" s="64">
        <v>13.6</v>
      </c>
      <c r="P52" s="64">
        <v>0.42</v>
      </c>
      <c r="Q52" s="64">
        <v>9.5</v>
      </c>
      <c r="R52" s="198"/>
      <c r="S52" s="198"/>
      <c r="T52" s="198"/>
      <c r="U52" s="198"/>
    </row>
    <row r="53" spans="1:21" s="12" customFormat="1" x14ac:dyDescent="0.25">
      <c r="A53" s="213" t="s">
        <v>2304</v>
      </c>
      <c r="B53" s="64">
        <v>11.09</v>
      </c>
      <c r="C53" s="64">
        <v>19.7</v>
      </c>
      <c r="D53" s="64">
        <v>19.190000000000001</v>
      </c>
      <c r="E53" s="64">
        <v>5.01</v>
      </c>
      <c r="F53" s="64">
        <v>5.13</v>
      </c>
      <c r="G53" s="64">
        <v>71.81</v>
      </c>
      <c r="H53" s="64">
        <v>41.25</v>
      </c>
      <c r="I53" s="64">
        <v>2.15</v>
      </c>
      <c r="J53" s="64">
        <v>0.45</v>
      </c>
      <c r="K53" s="64">
        <v>167.66</v>
      </c>
      <c r="L53" s="64">
        <v>22.14</v>
      </c>
      <c r="M53" s="64">
        <v>98.43</v>
      </c>
      <c r="N53" s="64">
        <v>112.9</v>
      </c>
      <c r="O53" s="64">
        <v>9.8000000000000007</v>
      </c>
      <c r="P53" s="64">
        <v>0.4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3" t="s">
        <v>2305</v>
      </c>
      <c r="B54" s="64">
        <v>8.4499999999999993</v>
      </c>
      <c r="C54" s="64">
        <v>22.74</v>
      </c>
      <c r="D54" s="64">
        <v>18.66</v>
      </c>
      <c r="E54" s="64">
        <v>4.93</v>
      </c>
      <c r="F54" s="64">
        <v>4.71</v>
      </c>
      <c r="G54" s="64">
        <v>64.34</v>
      </c>
      <c r="H54" s="64">
        <v>34.67</v>
      </c>
      <c r="I54" s="64">
        <v>1.79</v>
      </c>
      <c r="J54" s="64">
        <v>0.1</v>
      </c>
      <c r="K54" s="64">
        <v>331.74</v>
      </c>
      <c r="L54" s="64">
        <v>22.59</v>
      </c>
      <c r="M54" s="64">
        <v>98.43</v>
      </c>
      <c r="N54" s="64">
        <v>241.4</v>
      </c>
      <c r="O54" s="64">
        <v>1</v>
      </c>
      <c r="P54" s="64">
        <v>0.34</v>
      </c>
      <c r="Q54" s="64">
        <v>9.25</v>
      </c>
      <c r="R54" s="198"/>
      <c r="S54" s="198"/>
      <c r="T54" s="198"/>
      <c r="U54" s="198"/>
    </row>
    <row r="55" spans="1:21" s="12" customFormat="1" x14ac:dyDescent="0.25">
      <c r="A55" s="213" t="s">
        <v>2306</v>
      </c>
      <c r="B55" s="64">
        <v>5.89</v>
      </c>
      <c r="C55" s="64">
        <v>24.18</v>
      </c>
      <c r="D55" s="64">
        <v>17.350000000000001</v>
      </c>
      <c r="E55" s="64">
        <v>5.0199999999999996</v>
      </c>
      <c r="F55" s="64">
        <v>6.26</v>
      </c>
      <c r="G55" s="64">
        <v>45.96</v>
      </c>
      <c r="H55" s="64">
        <v>18.46</v>
      </c>
      <c r="I55" s="64">
        <v>1.54</v>
      </c>
      <c r="J55" s="64">
        <v>0.05</v>
      </c>
      <c r="K55" s="64">
        <v>275.82</v>
      </c>
      <c r="L55" s="64">
        <v>22.75</v>
      </c>
      <c r="M55" s="64">
        <v>98.43</v>
      </c>
      <c r="N55" s="64">
        <v>221.3</v>
      </c>
      <c r="O55" s="64">
        <v>0</v>
      </c>
      <c r="P55" s="64">
        <v>0.33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3" t="s">
        <v>2307</v>
      </c>
      <c r="B56" s="64">
        <v>5.9</v>
      </c>
      <c r="C56" s="64">
        <v>25.81</v>
      </c>
      <c r="D56" s="64">
        <v>18.22</v>
      </c>
      <c r="E56" s="64">
        <v>4.72</v>
      </c>
      <c r="F56" s="64">
        <v>6.99</v>
      </c>
      <c r="G56" s="64">
        <v>45.96</v>
      </c>
      <c r="H56" s="64">
        <v>18.46</v>
      </c>
      <c r="I56" s="64">
        <v>1.39</v>
      </c>
      <c r="J56" s="64">
        <v>0.17</v>
      </c>
      <c r="K56" s="64">
        <v>138.80000000000001</v>
      </c>
      <c r="L56" s="64">
        <v>23.35</v>
      </c>
      <c r="M56" s="64">
        <v>98.43</v>
      </c>
      <c r="N56" s="64">
        <v>298</v>
      </c>
      <c r="O56" s="64">
        <v>0</v>
      </c>
      <c r="P56" s="64">
        <v>0.33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3" t="s">
        <v>2308</v>
      </c>
      <c r="B57" s="64">
        <v>4.8899999999999997</v>
      </c>
      <c r="C57" s="64">
        <v>22.97</v>
      </c>
      <c r="D57" s="64">
        <v>15.92</v>
      </c>
      <c r="E57" s="64">
        <v>5.04</v>
      </c>
      <c r="F57" s="64">
        <v>9.4499999999999993</v>
      </c>
      <c r="G57" s="64">
        <v>45.96</v>
      </c>
      <c r="H57" s="64">
        <v>18.46</v>
      </c>
      <c r="I57" s="64">
        <v>1.41</v>
      </c>
      <c r="J57" s="64">
        <v>0.08</v>
      </c>
      <c r="K57" s="64">
        <v>302.47000000000003</v>
      </c>
      <c r="L57" s="64">
        <v>23.79</v>
      </c>
      <c r="M57" s="64">
        <v>98.42</v>
      </c>
      <c r="N57" s="64">
        <v>351.9</v>
      </c>
      <c r="O57" s="64">
        <v>0</v>
      </c>
      <c r="P57" s="64">
        <v>0.33</v>
      </c>
      <c r="Q57" s="64">
        <v>9.08</v>
      </c>
      <c r="R57" s="198"/>
      <c r="S57" s="198"/>
      <c r="T57" s="198"/>
      <c r="U57" s="198"/>
    </row>
    <row r="58" spans="1:21" s="12" customFormat="1" x14ac:dyDescent="0.25">
      <c r="A58" s="213" t="s">
        <v>2309</v>
      </c>
      <c r="B58" s="64">
        <v>5.25</v>
      </c>
      <c r="C58" s="64">
        <v>23.31</v>
      </c>
      <c r="D58" s="64">
        <v>16.39</v>
      </c>
      <c r="E58" s="64">
        <v>4.72</v>
      </c>
      <c r="F58" s="64">
        <v>6.87</v>
      </c>
      <c r="G58" s="64">
        <v>41.86</v>
      </c>
      <c r="H58" s="64">
        <v>15.47</v>
      </c>
      <c r="I58" s="64">
        <v>1.47</v>
      </c>
      <c r="J58" s="64">
        <v>0.1</v>
      </c>
      <c r="K58" s="64">
        <v>271.89</v>
      </c>
      <c r="L58" s="64">
        <v>24.53</v>
      </c>
      <c r="M58" s="64">
        <v>98.41</v>
      </c>
      <c r="N58" s="64">
        <v>609.4</v>
      </c>
      <c r="O58" s="64">
        <v>0</v>
      </c>
      <c r="P58" s="64">
        <v>0.36</v>
      </c>
      <c r="Q58" s="64">
        <v>9.0399999999999991</v>
      </c>
      <c r="R58" s="198"/>
      <c r="S58" s="198"/>
      <c r="T58" s="198"/>
      <c r="U58" s="198"/>
    </row>
    <row r="59" spans="1:21" s="12" customFormat="1" x14ac:dyDescent="0.25">
      <c r="A59" s="213" t="s">
        <v>2310</v>
      </c>
      <c r="B59" s="64">
        <v>3.77</v>
      </c>
      <c r="C59" s="64">
        <v>20.59</v>
      </c>
      <c r="D59" s="64">
        <v>13.78</v>
      </c>
      <c r="E59" s="64">
        <v>4.54</v>
      </c>
      <c r="F59" s="64">
        <v>6.47</v>
      </c>
      <c r="G59" s="64">
        <v>31.76</v>
      </c>
      <c r="H59" s="64">
        <v>8.1</v>
      </c>
      <c r="I59" s="64">
        <v>1.43</v>
      </c>
      <c r="J59" s="64">
        <v>0.12</v>
      </c>
      <c r="K59" s="64">
        <v>295.10000000000002</v>
      </c>
      <c r="L59" s="64">
        <v>24.71</v>
      </c>
      <c r="M59" s="64">
        <v>98.37</v>
      </c>
      <c r="N59" s="64">
        <v>815.2</v>
      </c>
      <c r="O59" s="64">
        <v>0</v>
      </c>
      <c r="P59" s="64">
        <v>0.33</v>
      </c>
      <c r="Q59" s="64">
        <v>9.0399999999999991</v>
      </c>
      <c r="R59" s="198"/>
      <c r="S59" s="198"/>
      <c r="T59" s="198"/>
      <c r="U59" s="198"/>
    </row>
    <row r="60" spans="1:21" s="12" customFormat="1" x14ac:dyDescent="0.25">
      <c r="A60" s="213" t="s">
        <v>2311</v>
      </c>
      <c r="B60" s="64">
        <v>3.44</v>
      </c>
      <c r="C60" s="64">
        <v>17.989999999999998</v>
      </c>
      <c r="D60" s="64">
        <v>12.15</v>
      </c>
      <c r="E60" s="64">
        <v>4.6399999999999997</v>
      </c>
      <c r="F60" s="64">
        <v>9.1300000000000008</v>
      </c>
      <c r="G60" s="64">
        <v>31.76</v>
      </c>
      <c r="H60" s="64">
        <v>8.1</v>
      </c>
      <c r="I60" s="64">
        <v>1.4</v>
      </c>
      <c r="J60" s="64">
        <v>0.59</v>
      </c>
      <c r="K60" s="64">
        <v>143.74</v>
      </c>
      <c r="L60" s="64">
        <v>25.79</v>
      </c>
      <c r="M60" s="64">
        <v>98.37</v>
      </c>
      <c r="N60" s="64">
        <v>648.9</v>
      </c>
      <c r="O60" s="64">
        <v>0</v>
      </c>
      <c r="P60" s="64">
        <v>0.28000000000000003</v>
      </c>
      <c r="Q60" s="64">
        <v>9.0500000000000007</v>
      </c>
      <c r="R60" s="198"/>
      <c r="S60" s="198"/>
      <c r="T60" s="198"/>
      <c r="U60" s="198"/>
    </row>
    <row r="61" spans="1:21" s="12" customFormat="1" x14ac:dyDescent="0.25">
      <c r="A61" s="213" t="s">
        <v>2312</v>
      </c>
      <c r="B61" s="64">
        <v>3.45</v>
      </c>
      <c r="C61" s="64">
        <v>16.399999999999999</v>
      </c>
      <c r="D61" s="64">
        <v>11.34</v>
      </c>
      <c r="E61" s="64">
        <v>4.6399999999999997</v>
      </c>
      <c r="F61" s="64">
        <v>15.28</v>
      </c>
      <c r="G61" s="64">
        <v>31.76</v>
      </c>
      <c r="H61" s="64">
        <v>8.1</v>
      </c>
      <c r="I61" s="64">
        <v>1.36</v>
      </c>
      <c r="J61" s="64">
        <v>0.56000000000000005</v>
      </c>
      <c r="K61" s="64">
        <v>141.81</v>
      </c>
      <c r="L61" s="64">
        <v>26.7</v>
      </c>
      <c r="M61" s="64">
        <v>98.24</v>
      </c>
      <c r="N61" s="64">
        <v>479.4</v>
      </c>
      <c r="O61" s="64">
        <v>0</v>
      </c>
      <c r="P61" s="64">
        <v>0.3</v>
      </c>
      <c r="Q61" s="64">
        <v>9.0500000000000007</v>
      </c>
      <c r="R61" s="198"/>
      <c r="S61" s="198"/>
      <c r="T61" s="198"/>
      <c r="U61" s="198"/>
    </row>
    <row r="62" spans="1:21" s="12" customFormat="1" x14ac:dyDescent="0.25">
      <c r="A62" s="213" t="s">
        <v>2313</v>
      </c>
      <c r="B62" s="64">
        <v>3.37</v>
      </c>
      <c r="C62" s="64">
        <v>15.22</v>
      </c>
      <c r="D62" s="64">
        <v>10.65</v>
      </c>
      <c r="E62" s="64">
        <v>4.8</v>
      </c>
      <c r="F62" s="64">
        <v>14.83</v>
      </c>
      <c r="G62" s="64">
        <v>30.07</v>
      </c>
      <c r="H62" s="64">
        <v>11.22</v>
      </c>
      <c r="I62" s="64">
        <v>1.29</v>
      </c>
      <c r="J62" s="64">
        <v>0.22</v>
      </c>
      <c r="K62" s="64">
        <v>157.1</v>
      </c>
      <c r="L62" s="64">
        <v>27.1</v>
      </c>
      <c r="M62" s="64">
        <v>96.51</v>
      </c>
      <c r="N62" s="64">
        <v>404.9</v>
      </c>
      <c r="O62" s="64">
        <v>0</v>
      </c>
      <c r="P62" s="64">
        <v>0.28999999999999998</v>
      </c>
      <c r="Q62" s="64">
        <v>9.0299999999999994</v>
      </c>
      <c r="R62" s="198"/>
      <c r="S62" s="198"/>
      <c r="T62" s="198"/>
      <c r="U62" s="198"/>
    </row>
    <row r="63" spans="1:21" s="12" customFormat="1" x14ac:dyDescent="0.25">
      <c r="A63" s="213" t="s">
        <v>2314</v>
      </c>
      <c r="B63" s="64">
        <v>3.58</v>
      </c>
      <c r="C63" s="64">
        <v>14.07</v>
      </c>
      <c r="D63" s="64">
        <v>10.220000000000001</v>
      </c>
      <c r="E63" s="64">
        <v>5.26</v>
      </c>
      <c r="F63" s="64">
        <v>14.8</v>
      </c>
      <c r="G63" s="64">
        <v>25.9</v>
      </c>
      <c r="H63" s="64">
        <v>18.899999999999999</v>
      </c>
      <c r="I63" s="64">
        <v>1.23</v>
      </c>
      <c r="J63" s="64">
        <v>0.17</v>
      </c>
      <c r="K63" s="64">
        <v>160.85</v>
      </c>
      <c r="L63" s="64">
        <v>27.73</v>
      </c>
      <c r="M63" s="64">
        <v>91.86</v>
      </c>
      <c r="N63" s="64">
        <v>347</v>
      </c>
      <c r="O63" s="64">
        <v>0</v>
      </c>
      <c r="P63" s="64">
        <v>0.31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13" t="s">
        <v>2315</v>
      </c>
      <c r="B64" s="64">
        <v>3.87</v>
      </c>
      <c r="C64" s="64">
        <v>13.65</v>
      </c>
      <c r="D64" s="64">
        <v>10.24</v>
      </c>
      <c r="E64" s="64">
        <v>4.6399999999999997</v>
      </c>
      <c r="F64" s="64">
        <v>13.44</v>
      </c>
      <c r="G64" s="64">
        <v>25.9</v>
      </c>
      <c r="H64" s="64">
        <v>18.899999999999999</v>
      </c>
      <c r="I64" s="64">
        <v>1.21</v>
      </c>
      <c r="J64" s="64">
        <v>0.17</v>
      </c>
      <c r="K64" s="64">
        <v>156.29</v>
      </c>
      <c r="L64" s="64">
        <v>28.13</v>
      </c>
      <c r="M64" s="64">
        <v>88.62</v>
      </c>
      <c r="N64" s="64">
        <v>348.7</v>
      </c>
      <c r="O64" s="64">
        <v>0</v>
      </c>
      <c r="P64" s="64">
        <v>0.28000000000000003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3" t="s">
        <v>2316</v>
      </c>
      <c r="B65" s="64">
        <v>5.92</v>
      </c>
      <c r="C65" s="64">
        <v>16.670000000000002</v>
      </c>
      <c r="D65" s="64">
        <v>13.46</v>
      </c>
      <c r="E65" s="64">
        <v>4.6900000000000004</v>
      </c>
      <c r="F65" s="64">
        <v>13.84</v>
      </c>
      <c r="G65" s="64">
        <v>25.9</v>
      </c>
      <c r="H65" s="64">
        <v>18.899999999999999</v>
      </c>
      <c r="I65" s="64">
        <v>1.21</v>
      </c>
      <c r="J65" s="64">
        <v>0.02</v>
      </c>
      <c r="K65" s="64">
        <v>204.24</v>
      </c>
      <c r="L65" s="64">
        <v>28.94</v>
      </c>
      <c r="M65" s="64">
        <v>85.42</v>
      </c>
      <c r="N65" s="64">
        <v>337</v>
      </c>
      <c r="O65" s="64">
        <v>0</v>
      </c>
      <c r="P65" s="64">
        <v>0.31</v>
      </c>
      <c r="Q65" s="64">
        <v>9.0299999999999994</v>
      </c>
      <c r="R65" s="198"/>
      <c r="S65" s="198"/>
      <c r="T65" s="198"/>
      <c r="U65" s="198"/>
    </row>
    <row r="66" spans="1:21" s="12" customFormat="1" x14ac:dyDescent="0.25">
      <c r="A66" s="213" t="s">
        <v>2317</v>
      </c>
      <c r="B66" s="64">
        <v>5.0199999999999996</v>
      </c>
      <c r="C66" s="64">
        <v>15.86</v>
      </c>
      <c r="D66" s="64">
        <v>12.31</v>
      </c>
      <c r="E66" s="64">
        <v>4.9000000000000004</v>
      </c>
      <c r="F66" s="64">
        <v>12.19</v>
      </c>
      <c r="G66" s="64">
        <v>25.14</v>
      </c>
      <c r="H66" s="64">
        <v>16.29</v>
      </c>
      <c r="I66" s="64">
        <v>1.2</v>
      </c>
      <c r="J66" s="64">
        <v>0.13</v>
      </c>
      <c r="K66" s="64">
        <v>237.62</v>
      </c>
      <c r="L66" s="64">
        <v>29.25</v>
      </c>
      <c r="M66" s="64">
        <v>80.28</v>
      </c>
      <c r="N66" s="64">
        <v>306.5</v>
      </c>
      <c r="O66" s="64">
        <v>0</v>
      </c>
      <c r="P66" s="64">
        <v>0.31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3" t="s">
        <v>2318</v>
      </c>
      <c r="B67" s="64">
        <v>6.81</v>
      </c>
      <c r="C67" s="64">
        <v>16.27</v>
      </c>
      <c r="D67" s="64">
        <v>13.96</v>
      </c>
      <c r="E67" s="64">
        <v>4.9400000000000004</v>
      </c>
      <c r="F67" s="64">
        <v>18.149999999999999</v>
      </c>
      <c r="G67" s="64">
        <v>23.17</v>
      </c>
      <c r="H67" s="64">
        <v>9.8699999999999992</v>
      </c>
      <c r="I67" s="64">
        <v>1.18</v>
      </c>
      <c r="J67" s="64">
        <v>0.35</v>
      </c>
      <c r="K67" s="64">
        <v>331.6</v>
      </c>
      <c r="L67" s="64">
        <v>29.47</v>
      </c>
      <c r="M67" s="64">
        <v>82.66</v>
      </c>
      <c r="N67" s="64">
        <v>288.2</v>
      </c>
      <c r="O67" s="64">
        <v>0</v>
      </c>
      <c r="P67" s="64">
        <v>0.35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3" t="s">
        <v>2319</v>
      </c>
      <c r="B68" s="64">
        <v>6.28</v>
      </c>
      <c r="C68" s="64">
        <v>17.190000000000001</v>
      </c>
      <c r="D68" s="64">
        <v>14.02</v>
      </c>
      <c r="E68" s="64">
        <v>4.8</v>
      </c>
      <c r="F68" s="64">
        <v>7.51</v>
      </c>
      <c r="G68" s="64">
        <v>23.17</v>
      </c>
      <c r="H68" s="64">
        <v>9.8699999999999992</v>
      </c>
      <c r="I68" s="64">
        <v>1.1399999999999999</v>
      </c>
      <c r="J68" s="64">
        <v>0.38</v>
      </c>
      <c r="K68" s="64">
        <v>324.14</v>
      </c>
      <c r="L68" s="64">
        <v>30.68</v>
      </c>
      <c r="M68" s="64">
        <v>78.77</v>
      </c>
      <c r="N68" s="64">
        <v>284</v>
      </c>
      <c r="O68" s="64">
        <v>0</v>
      </c>
      <c r="P68" s="64">
        <v>0.32</v>
      </c>
      <c r="Q68" s="64">
        <v>9.02</v>
      </c>
      <c r="R68" s="198"/>
      <c r="S68" s="198"/>
      <c r="T68" s="198"/>
      <c r="U68" s="198"/>
    </row>
    <row r="69" spans="1:21" s="12" customFormat="1" x14ac:dyDescent="0.25">
      <c r="A69" s="213" t="s">
        <v>2320</v>
      </c>
      <c r="B69" s="64">
        <v>6.13</v>
      </c>
      <c r="C69" s="64">
        <v>17.37</v>
      </c>
      <c r="D69" s="64">
        <v>13.99</v>
      </c>
      <c r="E69" s="64">
        <v>4.68</v>
      </c>
      <c r="F69" s="64">
        <v>7.88</v>
      </c>
      <c r="G69" s="64">
        <v>23.17</v>
      </c>
      <c r="H69" s="64">
        <v>9.8699999999999992</v>
      </c>
      <c r="I69" s="64">
        <v>1.1200000000000001</v>
      </c>
      <c r="J69" s="64">
        <v>0.21</v>
      </c>
      <c r="K69" s="64">
        <v>316.95</v>
      </c>
      <c r="L69" s="64">
        <v>30.98</v>
      </c>
      <c r="M69" s="64">
        <v>77.040000000000006</v>
      </c>
      <c r="N69" s="64">
        <v>251</v>
      </c>
      <c r="O69" s="64">
        <v>0</v>
      </c>
      <c r="P69" s="64">
        <v>0.37</v>
      </c>
      <c r="Q69" s="64">
        <v>9.02</v>
      </c>
      <c r="R69" s="198"/>
      <c r="S69" s="198"/>
      <c r="T69" s="198"/>
      <c r="U69" s="198"/>
    </row>
    <row r="70" spans="1:21" s="12" customFormat="1" x14ac:dyDescent="0.25">
      <c r="A70" s="213" t="s">
        <v>2321</v>
      </c>
      <c r="B70" s="64">
        <v>6.21</v>
      </c>
      <c r="C70" s="64">
        <v>20.89</v>
      </c>
      <c r="D70" s="64">
        <v>15.89</v>
      </c>
      <c r="E70" s="64">
        <v>5</v>
      </c>
      <c r="F70" s="64">
        <v>14.37</v>
      </c>
      <c r="G70" s="64">
        <v>28.94</v>
      </c>
      <c r="H70" s="64">
        <v>12.92</v>
      </c>
      <c r="I70" s="64">
        <v>1.1100000000000001</v>
      </c>
      <c r="J70" s="64">
        <v>0.56000000000000005</v>
      </c>
      <c r="K70" s="64">
        <v>322.07</v>
      </c>
      <c r="L70" s="64">
        <v>31.08</v>
      </c>
      <c r="M70" s="64">
        <v>76.84</v>
      </c>
      <c r="N70" s="64">
        <v>235.1</v>
      </c>
      <c r="O70" s="64">
        <v>0</v>
      </c>
      <c r="P70" s="64">
        <v>0.45</v>
      </c>
      <c r="Q70" s="64">
        <v>9.02</v>
      </c>
      <c r="R70" s="198"/>
      <c r="S70" s="198"/>
      <c r="T70" s="198"/>
      <c r="U70" s="198"/>
    </row>
    <row r="71" spans="1:21" s="12" customFormat="1" x14ac:dyDescent="0.25">
      <c r="A71" s="213" t="s">
        <v>2322</v>
      </c>
      <c r="B71" s="64">
        <v>4.95</v>
      </c>
      <c r="C71" s="64">
        <v>31.1</v>
      </c>
      <c r="D71" s="64">
        <v>20.21</v>
      </c>
      <c r="E71" s="64">
        <v>4.99</v>
      </c>
      <c r="F71" s="64">
        <v>20.16</v>
      </c>
      <c r="G71" s="64">
        <v>43.16</v>
      </c>
      <c r="H71" s="64">
        <v>20.43</v>
      </c>
      <c r="I71" s="64">
        <v>1.1100000000000001</v>
      </c>
      <c r="J71" s="64">
        <v>0.16</v>
      </c>
      <c r="K71" s="64">
        <v>289.82</v>
      </c>
      <c r="L71" s="64">
        <v>30.51</v>
      </c>
      <c r="M71" s="64">
        <v>78.23</v>
      </c>
      <c r="N71" s="64">
        <v>234.4</v>
      </c>
      <c r="O71" s="64">
        <v>0</v>
      </c>
      <c r="P71" s="64">
        <v>0.46</v>
      </c>
      <c r="Q71" s="64">
        <v>9.08</v>
      </c>
      <c r="R71" s="198"/>
      <c r="S71" s="198"/>
      <c r="T71" s="198"/>
      <c r="U71" s="198"/>
    </row>
    <row r="72" spans="1:21" s="12" customFormat="1" x14ac:dyDescent="0.25">
      <c r="A72" s="213" t="s">
        <v>2323</v>
      </c>
      <c r="B72" s="64">
        <v>5</v>
      </c>
      <c r="C72" s="64">
        <v>25.24</v>
      </c>
      <c r="D72" s="64">
        <v>17.2</v>
      </c>
      <c r="E72" s="64">
        <v>5.23</v>
      </c>
      <c r="F72" s="64">
        <v>19.32</v>
      </c>
      <c r="G72" s="64">
        <v>43.16</v>
      </c>
      <c r="H72" s="64">
        <v>20.43</v>
      </c>
      <c r="I72" s="64">
        <v>1.04</v>
      </c>
      <c r="J72" s="64">
        <v>0.16</v>
      </c>
      <c r="K72" s="64">
        <v>309.20999999999998</v>
      </c>
      <c r="L72" s="64">
        <v>30.35</v>
      </c>
      <c r="M72" s="64">
        <v>80.98</v>
      </c>
      <c r="N72" s="64">
        <v>174.1</v>
      </c>
      <c r="O72" s="64">
        <v>0</v>
      </c>
      <c r="P72" s="64">
        <v>0.44</v>
      </c>
      <c r="Q72" s="64">
        <v>9.07</v>
      </c>
      <c r="R72" s="198"/>
      <c r="S72" s="198"/>
      <c r="T72" s="198"/>
      <c r="U72" s="198"/>
    </row>
    <row r="73" spans="1:21" s="12" customFormat="1" x14ac:dyDescent="0.25">
      <c r="A73" s="213" t="s">
        <v>2324</v>
      </c>
      <c r="B73" s="64">
        <v>8.08</v>
      </c>
      <c r="C73" s="64">
        <v>30.28</v>
      </c>
      <c r="D73" s="64">
        <v>22.31</v>
      </c>
      <c r="E73" s="64">
        <v>5.57</v>
      </c>
      <c r="F73" s="64">
        <v>17.899999999999999</v>
      </c>
      <c r="G73" s="64">
        <v>43.16</v>
      </c>
      <c r="H73" s="64">
        <v>20.43</v>
      </c>
      <c r="I73" s="64">
        <v>0.84</v>
      </c>
      <c r="J73" s="64">
        <v>0.72</v>
      </c>
      <c r="K73" s="64">
        <v>328.54</v>
      </c>
      <c r="L73" s="64">
        <v>30.08</v>
      </c>
      <c r="M73" s="64">
        <v>82.28</v>
      </c>
      <c r="N73" s="64">
        <v>151</v>
      </c>
      <c r="O73" s="64">
        <v>0</v>
      </c>
      <c r="P73" s="64">
        <v>0.81</v>
      </c>
      <c r="Q73" s="64">
        <v>9.0500000000000007</v>
      </c>
      <c r="R73" s="198"/>
      <c r="S73" s="198"/>
      <c r="T73" s="198"/>
      <c r="U73" s="198"/>
    </row>
    <row r="74" spans="1:21" s="12" customFormat="1" x14ac:dyDescent="0.25">
      <c r="A74" s="213" t="s">
        <v>2325</v>
      </c>
      <c r="B74" s="64">
        <v>14.41</v>
      </c>
      <c r="C74" s="64">
        <v>46.5</v>
      </c>
      <c r="D74" s="64">
        <v>35.85</v>
      </c>
      <c r="E74" s="64">
        <v>6</v>
      </c>
      <c r="F74" s="64">
        <v>17.52</v>
      </c>
      <c r="G74" s="64">
        <v>44.1</v>
      </c>
      <c r="H74" s="64">
        <v>21.17</v>
      </c>
      <c r="I74" s="64">
        <v>0.88</v>
      </c>
      <c r="J74" s="64">
        <v>0.28999999999999998</v>
      </c>
      <c r="K74" s="64">
        <v>330.6</v>
      </c>
      <c r="L74" s="64">
        <v>29.57</v>
      </c>
      <c r="M74" s="64">
        <v>84.32</v>
      </c>
      <c r="N74" s="64">
        <v>143.80000000000001</v>
      </c>
      <c r="O74" s="64">
        <v>0</v>
      </c>
      <c r="P74" s="64">
        <v>1.38</v>
      </c>
      <c r="Q74" s="64">
        <v>9.08</v>
      </c>
      <c r="R74" s="198"/>
      <c r="S74" s="198"/>
      <c r="T74" s="198"/>
      <c r="U74" s="198"/>
    </row>
    <row r="75" spans="1:21" s="12" customFormat="1" x14ac:dyDescent="0.25">
      <c r="A75" s="213" t="s">
        <v>2326</v>
      </c>
      <c r="B75" s="64">
        <v>5.37</v>
      </c>
      <c r="C75" s="64">
        <v>47.17</v>
      </c>
      <c r="D75" s="64">
        <v>31.52</v>
      </c>
      <c r="E75" s="64">
        <v>6.06</v>
      </c>
      <c r="F75" s="64">
        <v>19.18</v>
      </c>
      <c r="G75" s="64">
        <v>46.42</v>
      </c>
      <c r="H75" s="64">
        <v>22.98</v>
      </c>
      <c r="I75" s="64">
        <v>1.8</v>
      </c>
      <c r="J75" s="64">
        <v>0.53</v>
      </c>
      <c r="K75" s="64">
        <v>329.39</v>
      </c>
      <c r="L75" s="64">
        <v>29.65</v>
      </c>
      <c r="M75" s="64">
        <v>87.86</v>
      </c>
      <c r="N75" s="64">
        <v>171.2</v>
      </c>
      <c r="O75" s="64">
        <v>0</v>
      </c>
      <c r="P75" s="64">
        <v>1.5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3" t="s">
        <v>2327</v>
      </c>
      <c r="B76" s="64">
        <v>5.98</v>
      </c>
      <c r="C76" s="64">
        <v>51.58</v>
      </c>
      <c r="D76" s="64">
        <v>31.75</v>
      </c>
      <c r="E76" s="64">
        <v>5.89</v>
      </c>
      <c r="F76" s="64">
        <v>16.13</v>
      </c>
      <c r="G76" s="64">
        <v>46.42</v>
      </c>
      <c r="H76" s="64">
        <v>22.98</v>
      </c>
      <c r="I76" s="64">
        <v>2.59</v>
      </c>
      <c r="J76" s="64">
        <v>1.04</v>
      </c>
      <c r="K76" s="64">
        <v>331.32</v>
      </c>
      <c r="L76" s="64">
        <v>29.42</v>
      </c>
      <c r="M76" s="64">
        <v>91.86</v>
      </c>
      <c r="N76" s="64">
        <v>148.6</v>
      </c>
      <c r="O76" s="64">
        <v>0</v>
      </c>
      <c r="P76" s="64">
        <v>1.48</v>
      </c>
      <c r="Q76" s="64">
        <v>9.31</v>
      </c>
      <c r="R76" s="198"/>
      <c r="S76" s="198"/>
      <c r="T76" s="198"/>
      <c r="U76" s="198"/>
    </row>
    <row r="77" spans="1:21" s="12" customFormat="1" x14ac:dyDescent="0.25">
      <c r="A77" s="213" t="s">
        <v>2328</v>
      </c>
      <c r="B77" s="64">
        <v>8.4</v>
      </c>
      <c r="C77" s="64">
        <v>44.74</v>
      </c>
      <c r="D77" s="64">
        <v>30.12</v>
      </c>
      <c r="E77" s="64">
        <v>5.66</v>
      </c>
      <c r="F77" s="64">
        <v>16.7</v>
      </c>
      <c r="G77" s="64">
        <v>46.42</v>
      </c>
      <c r="H77" s="64">
        <v>22.98</v>
      </c>
      <c r="I77" s="64">
        <v>4.17</v>
      </c>
      <c r="J77" s="64">
        <v>1.43</v>
      </c>
      <c r="K77" s="64">
        <v>337.51</v>
      </c>
      <c r="L77" s="64">
        <v>28.88</v>
      </c>
      <c r="M77" s="64">
        <v>93.21</v>
      </c>
      <c r="N77" s="64">
        <v>136.9</v>
      </c>
      <c r="O77" s="64">
        <v>0</v>
      </c>
      <c r="P77" s="64">
        <v>1.33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3" t="s">
        <v>2329</v>
      </c>
      <c r="B78" s="64">
        <v>9.89</v>
      </c>
      <c r="C78" s="64">
        <v>37.72</v>
      </c>
      <c r="D78" s="64">
        <v>27.64</v>
      </c>
      <c r="E78" s="64">
        <v>5.48</v>
      </c>
      <c r="F78" s="64">
        <v>15.1</v>
      </c>
      <c r="G78" s="64">
        <v>54.22</v>
      </c>
      <c r="H78" s="64">
        <v>23.89</v>
      </c>
      <c r="I78" s="64">
        <v>4.78</v>
      </c>
      <c r="J78" s="64">
        <v>1.34</v>
      </c>
      <c r="K78" s="64">
        <v>336.76</v>
      </c>
      <c r="L78" s="64">
        <v>28.53</v>
      </c>
      <c r="M78" s="64">
        <v>95.63</v>
      </c>
      <c r="N78" s="64">
        <v>166.5</v>
      </c>
      <c r="O78" s="64">
        <v>0</v>
      </c>
      <c r="P78" s="64">
        <v>1.24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3" t="s">
        <v>2330</v>
      </c>
      <c r="B79" s="64">
        <v>8.4</v>
      </c>
      <c r="C79" s="64">
        <v>33.04</v>
      </c>
      <c r="D79" s="64">
        <v>24</v>
      </c>
      <c r="E79" s="64">
        <v>5.45</v>
      </c>
      <c r="F79" s="64">
        <v>12.72</v>
      </c>
      <c r="G79" s="64">
        <v>73.41</v>
      </c>
      <c r="H79" s="64">
        <v>26.12</v>
      </c>
      <c r="I79" s="64">
        <v>4.62</v>
      </c>
      <c r="J79" s="64">
        <v>1.43</v>
      </c>
      <c r="K79" s="64">
        <v>335.29</v>
      </c>
      <c r="L79" s="64">
        <v>28.21</v>
      </c>
      <c r="M79" s="64">
        <v>97.79</v>
      </c>
      <c r="N79" s="64">
        <v>125.2</v>
      </c>
      <c r="O79" s="64">
        <v>0</v>
      </c>
      <c r="P79" s="64">
        <v>1.31</v>
      </c>
      <c r="Q79" s="64">
        <v>9.34</v>
      </c>
      <c r="R79" s="198"/>
      <c r="S79" s="198"/>
      <c r="T79" s="198"/>
      <c r="U79" s="198"/>
    </row>
    <row r="80" spans="1:21" s="12" customFormat="1" x14ac:dyDescent="0.25">
      <c r="A80" s="213" t="s">
        <v>2331</v>
      </c>
      <c r="B80" s="64">
        <v>9.06</v>
      </c>
      <c r="C80" s="64">
        <v>31.07</v>
      </c>
      <c r="D80" s="64">
        <v>23.5</v>
      </c>
      <c r="E80" s="64">
        <v>4.95</v>
      </c>
      <c r="F80" s="64">
        <v>11.19</v>
      </c>
      <c r="G80" s="64">
        <v>73.41</v>
      </c>
      <c r="H80" s="64">
        <v>26.12</v>
      </c>
      <c r="I80" s="64">
        <v>4.5</v>
      </c>
      <c r="J80" s="64">
        <v>1.25</v>
      </c>
      <c r="K80" s="64">
        <v>334.99</v>
      </c>
      <c r="L80" s="64">
        <v>27.98</v>
      </c>
      <c r="M80" s="64">
        <v>97.41</v>
      </c>
      <c r="N80" s="64">
        <v>130.19999999999999</v>
      </c>
      <c r="O80" s="64">
        <v>0</v>
      </c>
      <c r="P80" s="64">
        <v>1.2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3" t="s">
        <v>2332</v>
      </c>
      <c r="B81" s="64">
        <v>10.4</v>
      </c>
      <c r="C81" s="64">
        <v>29.96</v>
      </c>
      <c r="D81" s="64">
        <v>23.99</v>
      </c>
      <c r="E81" s="64">
        <v>5.15</v>
      </c>
      <c r="F81" s="64">
        <v>11.39</v>
      </c>
      <c r="G81" s="64">
        <v>73.41</v>
      </c>
      <c r="H81" s="64">
        <v>26.12</v>
      </c>
      <c r="I81" s="64">
        <v>4.3899999999999997</v>
      </c>
      <c r="J81" s="64">
        <v>0.99</v>
      </c>
      <c r="K81" s="64">
        <v>334.06</v>
      </c>
      <c r="L81" s="64">
        <v>27.71</v>
      </c>
      <c r="M81" s="64">
        <v>98.2</v>
      </c>
      <c r="N81" s="64">
        <v>126.3</v>
      </c>
      <c r="O81" s="64">
        <v>0</v>
      </c>
      <c r="P81" s="64">
        <v>1.1499999999999999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3" t="s">
        <v>2333</v>
      </c>
      <c r="B82" s="64">
        <v>13.53</v>
      </c>
      <c r="C82" s="64">
        <v>26.64</v>
      </c>
      <c r="D82" s="64">
        <v>24.76</v>
      </c>
      <c r="E82" s="64">
        <v>5.15</v>
      </c>
      <c r="F82" s="64">
        <v>11.66</v>
      </c>
      <c r="G82" s="64">
        <v>71.66</v>
      </c>
      <c r="H82" s="64">
        <v>26.04</v>
      </c>
      <c r="I82" s="64">
        <v>4.28</v>
      </c>
      <c r="J82" s="64">
        <v>0.8</v>
      </c>
      <c r="K82" s="64">
        <v>329.48</v>
      </c>
      <c r="L82" s="64">
        <v>27.44</v>
      </c>
      <c r="M82" s="64">
        <v>98.36</v>
      </c>
      <c r="N82" s="64">
        <v>106.9</v>
      </c>
      <c r="O82" s="64">
        <v>0</v>
      </c>
      <c r="P82" s="64">
        <v>1.1200000000000001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3" t="s">
        <v>2334</v>
      </c>
      <c r="B83" s="64">
        <v>14.68</v>
      </c>
      <c r="C83" s="64">
        <v>27.1</v>
      </c>
      <c r="D83" s="64">
        <v>25.93</v>
      </c>
      <c r="E83" s="64">
        <v>5.23</v>
      </c>
      <c r="F83" s="64">
        <v>12.03</v>
      </c>
      <c r="G83" s="64">
        <v>67.349999999999994</v>
      </c>
      <c r="H83" s="64">
        <v>25.82</v>
      </c>
      <c r="I83" s="64">
        <v>4.18</v>
      </c>
      <c r="J83" s="64">
        <v>0.47</v>
      </c>
      <c r="K83" s="64">
        <v>321.86</v>
      </c>
      <c r="L83" s="64">
        <v>27.17</v>
      </c>
      <c r="M83" s="64">
        <v>98.37</v>
      </c>
      <c r="N83" s="64">
        <v>92.8</v>
      </c>
      <c r="O83" s="64">
        <v>0</v>
      </c>
      <c r="P83" s="64">
        <v>1.0900000000000001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3" t="s">
        <v>2335</v>
      </c>
      <c r="B84" s="64">
        <v>13.76</v>
      </c>
      <c r="C84" s="64">
        <v>26.86</v>
      </c>
      <c r="D84" s="64">
        <v>25.07</v>
      </c>
      <c r="E84" s="64">
        <v>5.04</v>
      </c>
      <c r="F84" s="64">
        <v>11.27</v>
      </c>
      <c r="G84" s="64">
        <v>67.349999999999994</v>
      </c>
      <c r="H84" s="64">
        <v>25.82</v>
      </c>
      <c r="I84" s="64">
        <v>4.1100000000000003</v>
      </c>
      <c r="J84" s="64">
        <v>0.66</v>
      </c>
      <c r="K84" s="64">
        <v>330.24</v>
      </c>
      <c r="L84" s="64">
        <v>26.91</v>
      </c>
      <c r="M84" s="64">
        <v>98.35</v>
      </c>
      <c r="N84" s="64">
        <v>68</v>
      </c>
      <c r="O84" s="64">
        <v>0</v>
      </c>
      <c r="P84" s="64">
        <v>1.1499999999999999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3" t="s">
        <v>2336</v>
      </c>
      <c r="B85" s="64">
        <v>17.899999999999999</v>
      </c>
      <c r="C85" s="64">
        <v>25.07</v>
      </c>
      <c r="D85" s="64">
        <v>27.45</v>
      </c>
      <c r="E85" s="64">
        <v>4.9800000000000004</v>
      </c>
      <c r="F85" s="64">
        <v>10.86</v>
      </c>
      <c r="G85" s="64">
        <v>67.349999999999994</v>
      </c>
      <c r="H85" s="64">
        <v>25.82</v>
      </c>
      <c r="I85" s="64">
        <v>4.05</v>
      </c>
      <c r="J85" s="64">
        <v>0.83</v>
      </c>
      <c r="K85" s="64">
        <v>338.87</v>
      </c>
      <c r="L85" s="64">
        <v>26.72</v>
      </c>
      <c r="M85" s="64">
        <v>98.37</v>
      </c>
      <c r="N85" s="64">
        <v>69.400000000000006</v>
      </c>
      <c r="O85" s="64">
        <v>0</v>
      </c>
      <c r="P85" s="64">
        <v>0.92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3" t="s">
        <v>2337</v>
      </c>
      <c r="B86" s="64">
        <v>14.4</v>
      </c>
      <c r="C86" s="64">
        <v>26.77</v>
      </c>
      <c r="D86" s="64">
        <v>25.53</v>
      </c>
      <c r="E86" s="64">
        <v>5.27</v>
      </c>
      <c r="F86" s="64">
        <v>10.93</v>
      </c>
      <c r="G86" s="64">
        <v>65.760000000000005</v>
      </c>
      <c r="H86" s="64">
        <v>23.98</v>
      </c>
      <c r="I86" s="64">
        <v>3.82</v>
      </c>
      <c r="J86" s="64">
        <v>0.2</v>
      </c>
      <c r="K86" s="64">
        <v>334.39</v>
      </c>
      <c r="L86" s="64">
        <v>26.54</v>
      </c>
      <c r="M86" s="64">
        <v>98.38</v>
      </c>
      <c r="N86" s="64">
        <v>90.5</v>
      </c>
      <c r="O86" s="64">
        <v>0</v>
      </c>
      <c r="P86" s="64">
        <v>0.91</v>
      </c>
      <c r="Q86" s="64">
        <v>9.41</v>
      </c>
      <c r="R86" s="198"/>
      <c r="S86" s="198"/>
      <c r="T86" s="198"/>
      <c r="U86" s="198"/>
    </row>
    <row r="87" spans="1:26" s="12" customFormat="1" x14ac:dyDescent="0.25">
      <c r="A87" s="213" t="s">
        <v>2338</v>
      </c>
      <c r="B87" s="64">
        <v>13.63</v>
      </c>
      <c r="C87" s="64">
        <v>30.22</v>
      </c>
      <c r="D87" s="64">
        <v>26.72</v>
      </c>
      <c r="E87" s="64">
        <v>5.2</v>
      </c>
      <c r="F87" s="64">
        <v>10.66</v>
      </c>
      <c r="G87" s="64">
        <v>61.62</v>
      </c>
      <c r="H87" s="64">
        <v>19.47</v>
      </c>
      <c r="I87" s="64">
        <v>3.64</v>
      </c>
      <c r="J87" s="64">
        <v>0.12</v>
      </c>
      <c r="K87" s="64">
        <v>334.04</v>
      </c>
      <c r="L87" s="64">
        <v>26.36</v>
      </c>
      <c r="M87" s="64">
        <v>98.38</v>
      </c>
      <c r="N87" s="64">
        <v>88.7</v>
      </c>
      <c r="O87" s="64">
        <v>0</v>
      </c>
      <c r="P87" s="64">
        <v>0.94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3" t="s">
        <v>2339</v>
      </c>
      <c r="B88" s="64">
        <v>19.670000000000002</v>
      </c>
      <c r="C88" s="64">
        <v>27.71</v>
      </c>
      <c r="D88" s="64">
        <v>30.25</v>
      </c>
      <c r="E88" s="64">
        <v>5.28</v>
      </c>
      <c r="F88" s="64">
        <v>8.82</v>
      </c>
      <c r="G88" s="64">
        <v>61.62</v>
      </c>
      <c r="H88" s="64">
        <v>19.47</v>
      </c>
      <c r="I88" s="64">
        <v>3.57</v>
      </c>
      <c r="J88" s="64">
        <v>0.23</v>
      </c>
      <c r="K88" s="64">
        <v>333.41</v>
      </c>
      <c r="L88" s="64">
        <v>26.37</v>
      </c>
      <c r="M88" s="64">
        <v>98.39</v>
      </c>
      <c r="N88" s="64">
        <v>87.4</v>
      </c>
      <c r="O88" s="64">
        <v>0</v>
      </c>
      <c r="P88" s="64">
        <v>1.08</v>
      </c>
      <c r="Q88" s="64">
        <v>9.39</v>
      </c>
      <c r="R88" s="198"/>
      <c r="S88" s="198"/>
      <c r="T88" s="198"/>
      <c r="U88" s="198"/>
    </row>
    <row r="89" spans="1:26" s="12" customFormat="1" x14ac:dyDescent="0.25">
      <c r="A89" s="213" t="s">
        <v>2340</v>
      </c>
      <c r="B89" s="64">
        <v>13.42</v>
      </c>
      <c r="C89" s="64">
        <v>19.45</v>
      </c>
      <c r="D89" s="64">
        <v>20.92</v>
      </c>
      <c r="E89" s="64">
        <v>5.01</v>
      </c>
      <c r="F89" s="64">
        <v>5.52</v>
      </c>
      <c r="G89" s="64">
        <v>61.62</v>
      </c>
      <c r="H89" s="64">
        <v>19.47</v>
      </c>
      <c r="I89" s="64">
        <v>3.53</v>
      </c>
      <c r="J89" s="64">
        <v>0.03</v>
      </c>
      <c r="K89" s="64">
        <v>346.28</v>
      </c>
      <c r="L89" s="64">
        <v>26.07</v>
      </c>
      <c r="M89" s="64">
        <v>98.4</v>
      </c>
      <c r="N89" s="64">
        <v>87</v>
      </c>
      <c r="O89" s="64">
        <v>0</v>
      </c>
      <c r="P89" s="64">
        <v>1.06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13" t="s">
        <v>2341</v>
      </c>
      <c r="B90" s="64">
        <v>9.4</v>
      </c>
      <c r="C90" s="64">
        <v>25.32</v>
      </c>
      <c r="D90" s="64">
        <v>20.77</v>
      </c>
      <c r="E90" s="64">
        <v>5.16</v>
      </c>
      <c r="F90" s="64">
        <v>8.9700000000000006</v>
      </c>
      <c r="G90" s="64">
        <v>60.75</v>
      </c>
      <c r="H90" s="64">
        <v>18.25</v>
      </c>
      <c r="I90" s="64">
        <v>3.5</v>
      </c>
      <c r="J90" s="64">
        <v>0.04</v>
      </c>
      <c r="K90" s="64">
        <v>307.94</v>
      </c>
      <c r="L90" s="64">
        <v>25.83</v>
      </c>
      <c r="M90" s="64">
        <v>98.4</v>
      </c>
      <c r="N90" s="64">
        <v>85.7</v>
      </c>
      <c r="O90" s="64">
        <v>0</v>
      </c>
      <c r="P90" s="64">
        <v>0.66</v>
      </c>
      <c r="Q90" s="64">
        <v>9.3699999999999992</v>
      </c>
      <c r="R90" s="198"/>
      <c r="S90" s="198"/>
      <c r="T90" s="198"/>
      <c r="U90" s="198"/>
    </row>
    <row r="91" spans="1:26" s="12" customFormat="1" x14ac:dyDescent="0.25">
      <c r="A91" s="213" t="s">
        <v>2342</v>
      </c>
      <c r="B91" s="64">
        <v>8</v>
      </c>
      <c r="C91" s="64">
        <v>26.71</v>
      </c>
      <c r="D91" s="64">
        <v>20.37</v>
      </c>
      <c r="E91" s="64">
        <v>4.96</v>
      </c>
      <c r="F91" s="64">
        <v>10.34</v>
      </c>
      <c r="G91" s="64">
        <v>58.61</v>
      </c>
      <c r="H91" s="64">
        <v>15.25</v>
      </c>
      <c r="I91" s="64">
        <v>3.46</v>
      </c>
      <c r="J91" s="64">
        <v>0.04</v>
      </c>
      <c r="K91" s="64">
        <v>312.8</v>
      </c>
      <c r="L91" s="64">
        <v>25.73</v>
      </c>
      <c r="M91" s="64">
        <v>98.41</v>
      </c>
      <c r="N91" s="64">
        <v>83.2</v>
      </c>
      <c r="O91" s="64">
        <v>0</v>
      </c>
      <c r="P91" s="64">
        <v>0.59</v>
      </c>
      <c r="Q91" s="64">
        <v>9.3699999999999992</v>
      </c>
      <c r="R91" s="198"/>
      <c r="S91" s="198"/>
      <c r="T91" s="198"/>
      <c r="U91" s="198"/>
    </row>
    <row r="92" spans="1:26" s="12" customFormat="1" x14ac:dyDescent="0.25">
      <c r="A92" s="213" t="s">
        <v>2343</v>
      </c>
      <c r="B92" s="64">
        <v>15.4</v>
      </c>
      <c r="C92" s="64">
        <v>22.53</v>
      </c>
      <c r="D92" s="64">
        <v>24.12</v>
      </c>
      <c r="E92" s="64">
        <v>5.05</v>
      </c>
      <c r="F92" s="64">
        <v>5.42</v>
      </c>
      <c r="G92" s="64">
        <v>58.61</v>
      </c>
      <c r="H92" s="64">
        <v>15.25</v>
      </c>
      <c r="I92" s="64">
        <v>3.42</v>
      </c>
      <c r="J92" s="64">
        <v>0.02</v>
      </c>
      <c r="K92" s="64">
        <v>299.33</v>
      </c>
      <c r="L92" s="64">
        <v>25.64</v>
      </c>
      <c r="M92" s="64">
        <v>98.39</v>
      </c>
      <c r="N92" s="64">
        <v>81.7</v>
      </c>
      <c r="O92" s="64">
        <v>0</v>
      </c>
      <c r="P92" s="64">
        <v>0.95</v>
      </c>
      <c r="Q92" s="64">
        <v>9.35</v>
      </c>
      <c r="R92" s="198"/>
      <c r="S92" s="198"/>
      <c r="T92" s="198"/>
      <c r="U92" s="198"/>
    </row>
    <row r="93" spans="1:26" s="12" customFormat="1" x14ac:dyDescent="0.25">
      <c r="A93" s="213" t="s">
        <v>2344</v>
      </c>
      <c r="B93" s="64">
        <v>13.51</v>
      </c>
      <c r="C93" s="64">
        <v>20.05</v>
      </c>
      <c r="D93" s="64">
        <v>21.31</v>
      </c>
      <c r="E93" s="64">
        <v>4.5599999999999996</v>
      </c>
      <c r="F93" s="64">
        <v>8.6300000000000008</v>
      </c>
      <c r="G93" s="64">
        <v>58.61</v>
      </c>
      <c r="H93" s="64">
        <v>15.25</v>
      </c>
      <c r="I93" s="64">
        <v>3.36</v>
      </c>
      <c r="J93" s="64">
        <v>0.09</v>
      </c>
      <c r="K93" s="64">
        <v>357.54</v>
      </c>
      <c r="L93" s="64">
        <v>25.65</v>
      </c>
      <c r="M93" s="64">
        <v>98.38</v>
      </c>
      <c r="N93" s="64">
        <v>81.5</v>
      </c>
      <c r="O93" s="64">
        <v>0</v>
      </c>
      <c r="P93" s="64">
        <v>0.86</v>
      </c>
      <c r="Q93" s="64">
        <v>9.35</v>
      </c>
      <c r="R93" s="198"/>
      <c r="S93" s="198"/>
      <c r="T93" s="198"/>
      <c r="U93" s="198"/>
    </row>
    <row r="94" spans="1:26" s="12" customFormat="1" x14ac:dyDescent="0.25">
      <c r="A94" s="213" t="s">
        <v>2345</v>
      </c>
      <c r="B94" s="64">
        <v>20.25</v>
      </c>
      <c r="C94" s="64">
        <v>26.82</v>
      </c>
      <c r="D94" s="64">
        <v>30.25</v>
      </c>
      <c r="E94" s="64">
        <v>4.63</v>
      </c>
      <c r="F94" s="64">
        <v>10.07</v>
      </c>
      <c r="G94" s="64">
        <v>55.67</v>
      </c>
      <c r="H94" s="64">
        <v>15.02</v>
      </c>
      <c r="I94" s="64">
        <v>3.29</v>
      </c>
      <c r="J94" s="64">
        <v>0.01</v>
      </c>
      <c r="K94" s="64">
        <v>299.91000000000003</v>
      </c>
      <c r="L94" s="64">
        <v>25.6</v>
      </c>
      <c r="M94" s="64">
        <v>98.38</v>
      </c>
      <c r="N94" s="64">
        <v>81.8</v>
      </c>
      <c r="O94" s="64">
        <v>0</v>
      </c>
      <c r="P94" s="64">
        <v>0.73</v>
      </c>
      <c r="Q94" s="64">
        <v>9.35</v>
      </c>
      <c r="R94" s="198"/>
      <c r="S94" s="198"/>
      <c r="T94" s="198"/>
      <c r="U94" s="198"/>
    </row>
    <row r="95" spans="1:26" s="12" customFormat="1" x14ac:dyDescent="0.25">
      <c r="A95" s="213" t="s">
        <v>2346</v>
      </c>
      <c r="B95" s="64">
        <v>17.04</v>
      </c>
      <c r="C95" s="64">
        <v>22.26</v>
      </c>
      <c r="D95" s="64">
        <v>25.29</v>
      </c>
      <c r="E95" s="64">
        <v>4.7300000000000004</v>
      </c>
      <c r="F95" s="64">
        <v>6.21</v>
      </c>
      <c r="G95" s="64">
        <v>48.43</v>
      </c>
      <c r="H95" s="64">
        <v>14.47</v>
      </c>
      <c r="I95" s="64">
        <v>3.22</v>
      </c>
      <c r="J95" s="64">
        <v>0.15</v>
      </c>
      <c r="K95" s="64">
        <v>329.88</v>
      </c>
      <c r="L95" s="64">
        <v>25.62</v>
      </c>
      <c r="M95" s="64">
        <v>98.38</v>
      </c>
      <c r="N95" s="64">
        <v>83.4</v>
      </c>
      <c r="O95" s="64">
        <v>0</v>
      </c>
      <c r="P95" s="64">
        <v>0.88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3" t="s">
        <v>2347</v>
      </c>
      <c r="B96" s="64">
        <v>16.45</v>
      </c>
      <c r="C96" s="64">
        <v>21.81</v>
      </c>
      <c r="D96" s="64">
        <v>24.58</v>
      </c>
      <c r="E96" s="64">
        <v>5.07</v>
      </c>
      <c r="F96" s="64">
        <v>10.8</v>
      </c>
      <c r="G96" s="64">
        <v>48.43</v>
      </c>
      <c r="H96" s="64">
        <v>14.47</v>
      </c>
      <c r="I96" s="64">
        <v>3.17</v>
      </c>
      <c r="J96" s="64">
        <v>0.1</v>
      </c>
      <c r="K96" s="64">
        <v>318.98</v>
      </c>
      <c r="L96" s="64">
        <v>25.59</v>
      </c>
      <c r="M96" s="64">
        <v>98.38</v>
      </c>
      <c r="N96" s="64">
        <v>85.2</v>
      </c>
      <c r="O96" s="64">
        <v>0</v>
      </c>
      <c r="P96" s="64">
        <v>0.71</v>
      </c>
      <c r="Q96" s="64">
        <v>9.36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2348</v>
      </c>
      <c r="B97" s="64">
        <v>21.8</v>
      </c>
      <c r="C97" s="64">
        <v>23.92</v>
      </c>
      <c r="D97" s="64">
        <v>29.97</v>
      </c>
      <c r="E97" s="64">
        <v>5.0199999999999996</v>
      </c>
      <c r="F97" s="64">
        <v>9.0500000000000007</v>
      </c>
      <c r="G97" s="64">
        <v>48.43</v>
      </c>
      <c r="H97" s="64">
        <v>14.47</v>
      </c>
      <c r="I97" s="64">
        <v>3.15</v>
      </c>
      <c r="J97" s="64">
        <v>0.11</v>
      </c>
      <c r="K97" s="64">
        <v>313.64</v>
      </c>
      <c r="L97" s="64">
        <v>25.52</v>
      </c>
      <c r="M97" s="64">
        <v>98.38</v>
      </c>
      <c r="N97" s="64">
        <v>86.3</v>
      </c>
      <c r="O97" s="64">
        <v>0</v>
      </c>
      <c r="P97" s="64">
        <v>0.76</v>
      </c>
      <c r="Q97" s="64">
        <v>9.39</v>
      </c>
      <c r="R97" s="198"/>
      <c r="S97" s="198"/>
      <c r="T97" s="198"/>
      <c r="U97" s="198"/>
    </row>
    <row r="98" spans="1:33" s="12" customFormat="1" x14ac:dyDescent="0.25">
      <c r="A98" s="213" t="s">
        <v>2349</v>
      </c>
      <c r="B98" s="64">
        <v>23.29</v>
      </c>
      <c r="C98" s="64">
        <v>24.01</v>
      </c>
      <c r="D98" s="64">
        <v>31.22</v>
      </c>
      <c r="E98" s="64">
        <v>4.9000000000000004</v>
      </c>
      <c r="F98" s="64">
        <v>9.6199999999999992</v>
      </c>
      <c r="G98" s="64">
        <v>49.39</v>
      </c>
      <c r="H98" s="64">
        <v>14.83</v>
      </c>
      <c r="I98" s="64">
        <v>3.13</v>
      </c>
      <c r="J98" s="64">
        <v>0.23</v>
      </c>
      <c r="K98" s="64">
        <v>344.34</v>
      </c>
      <c r="L98" s="64">
        <v>25.43</v>
      </c>
      <c r="M98" s="64">
        <v>98.4</v>
      </c>
      <c r="N98" s="64">
        <v>86.6</v>
      </c>
      <c r="O98" s="64">
        <v>0</v>
      </c>
      <c r="P98" s="64">
        <v>0.73</v>
      </c>
      <c r="Q98" s="64">
        <v>9.42</v>
      </c>
      <c r="R98" s="198"/>
      <c r="S98" s="198"/>
      <c r="T98" s="198"/>
      <c r="U98" s="198"/>
    </row>
    <row r="99" spans="1:33" s="12" customFormat="1" x14ac:dyDescent="0.25">
      <c r="A99" s="213" t="s">
        <v>2350</v>
      </c>
      <c r="B99" s="64">
        <v>9.1</v>
      </c>
      <c r="C99" s="64">
        <v>22.88</v>
      </c>
      <c r="D99" s="64">
        <v>19.25</v>
      </c>
      <c r="E99" s="64">
        <v>5.01</v>
      </c>
      <c r="F99" s="64">
        <v>8.2100000000000009</v>
      </c>
      <c r="G99" s="64">
        <v>51.87</v>
      </c>
      <c r="H99" s="64">
        <v>15.71</v>
      </c>
      <c r="I99" s="64">
        <v>3.12</v>
      </c>
      <c r="J99" s="64">
        <v>0.08</v>
      </c>
      <c r="K99" s="64">
        <v>179.95</v>
      </c>
      <c r="L99" s="64">
        <v>25.32</v>
      </c>
      <c r="M99" s="64">
        <v>98.4</v>
      </c>
      <c r="N99" s="64">
        <v>101.4</v>
      </c>
      <c r="O99" s="64">
        <v>0</v>
      </c>
      <c r="P99" s="64">
        <v>0.52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13" t="s">
        <v>2351</v>
      </c>
      <c r="B100" s="64">
        <v>9.19</v>
      </c>
      <c r="C100" s="64">
        <v>20.46</v>
      </c>
      <c r="D100" s="64">
        <v>18.059999999999999</v>
      </c>
      <c r="E100" s="64">
        <v>4.96</v>
      </c>
      <c r="F100" s="64">
        <v>9.48</v>
      </c>
      <c r="G100" s="64">
        <v>51.87</v>
      </c>
      <c r="H100" s="64">
        <v>15.71</v>
      </c>
      <c r="I100" s="64">
        <v>3.1</v>
      </c>
      <c r="J100" s="64">
        <v>0.05</v>
      </c>
      <c r="K100" s="64">
        <v>152.4</v>
      </c>
      <c r="L100" s="64">
        <v>25.24</v>
      </c>
      <c r="M100" s="64">
        <v>98.4</v>
      </c>
      <c r="N100" s="64">
        <v>112.8</v>
      </c>
      <c r="O100" s="64">
        <v>0</v>
      </c>
      <c r="P100" s="64">
        <v>0.45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2352</v>
      </c>
      <c r="B101" s="64">
        <v>8.82</v>
      </c>
      <c r="C101" s="64">
        <v>18.23</v>
      </c>
      <c r="D101" s="64">
        <v>16.600000000000001</v>
      </c>
      <c r="E101" s="64">
        <v>4.62</v>
      </c>
      <c r="F101" s="64">
        <v>9.83</v>
      </c>
      <c r="G101" s="64">
        <v>51.87</v>
      </c>
      <c r="H101" s="64">
        <v>15.71</v>
      </c>
      <c r="I101" s="64">
        <v>3.07</v>
      </c>
      <c r="J101" s="64">
        <v>0.02</v>
      </c>
      <c r="K101" s="64">
        <v>279.62</v>
      </c>
      <c r="L101" s="64">
        <v>25.28</v>
      </c>
      <c r="M101" s="64">
        <v>98.39</v>
      </c>
      <c r="N101" s="64">
        <v>87.9</v>
      </c>
      <c r="O101" s="64">
        <v>0</v>
      </c>
      <c r="P101" s="64">
        <v>0.44</v>
      </c>
      <c r="Q101" s="64">
        <v>9.4700000000000006</v>
      </c>
      <c r="R101" s="198"/>
      <c r="S101" s="198"/>
      <c r="T101" s="198"/>
      <c r="U101" s="198"/>
    </row>
    <row r="102" spans="1:33" s="12" customFormat="1" x14ac:dyDescent="0.25">
      <c r="A102" s="213" t="s">
        <v>2353</v>
      </c>
      <c r="B102" s="64">
        <v>7.25</v>
      </c>
      <c r="C102" s="64">
        <v>16.940000000000001</v>
      </c>
      <c r="D102" s="64">
        <v>14.66</v>
      </c>
      <c r="E102" s="64">
        <v>4.68</v>
      </c>
      <c r="F102" s="64">
        <v>10.94</v>
      </c>
      <c r="G102" s="64">
        <v>48.62</v>
      </c>
      <c r="H102" s="64">
        <v>14.98</v>
      </c>
      <c r="I102" s="64">
        <v>3.03</v>
      </c>
      <c r="J102" s="64">
        <v>0.06</v>
      </c>
      <c r="K102" s="64">
        <v>141.16999999999999</v>
      </c>
      <c r="L102" s="64">
        <v>25.32</v>
      </c>
      <c r="M102" s="64">
        <v>98.4</v>
      </c>
      <c r="N102" s="64">
        <v>103.6</v>
      </c>
      <c r="O102" s="64">
        <v>0</v>
      </c>
      <c r="P102" s="64">
        <v>0.31</v>
      </c>
      <c r="Q102" s="64">
        <v>9.4600000000000009</v>
      </c>
      <c r="R102" s="198"/>
      <c r="S102" s="198"/>
      <c r="T102" s="198"/>
      <c r="U102" s="198"/>
    </row>
    <row r="103" spans="1:33" s="12" customFormat="1" x14ac:dyDescent="0.25">
      <c r="A103" s="213" t="s">
        <v>2354</v>
      </c>
      <c r="B103" s="64">
        <v>10.44</v>
      </c>
      <c r="C103" s="64">
        <v>11.6</v>
      </c>
      <c r="D103" s="64">
        <v>14.44</v>
      </c>
      <c r="E103" s="64">
        <v>5.2</v>
      </c>
      <c r="F103" s="64">
        <v>10.33</v>
      </c>
      <c r="G103" s="64">
        <v>40.619999999999997</v>
      </c>
      <c r="H103" s="64">
        <v>13.21</v>
      </c>
      <c r="I103" s="64">
        <v>2.99</v>
      </c>
      <c r="J103" s="64">
        <v>0.04</v>
      </c>
      <c r="K103" s="64">
        <v>203.54</v>
      </c>
      <c r="L103" s="64">
        <v>25.13</v>
      </c>
      <c r="M103" s="64">
        <v>98.4</v>
      </c>
      <c r="N103" s="64">
        <v>103.4</v>
      </c>
      <c r="O103" s="64">
        <v>0</v>
      </c>
      <c r="P103" s="64">
        <v>0.56999999999999995</v>
      </c>
      <c r="Q103" s="64">
        <v>9.44</v>
      </c>
      <c r="R103" s="198"/>
      <c r="S103" s="198"/>
      <c r="T103" s="198"/>
      <c r="U103" s="198"/>
    </row>
    <row r="104" spans="1:33" s="12" customFormat="1" x14ac:dyDescent="0.25">
      <c r="A104" s="213" t="s">
        <v>2355</v>
      </c>
      <c r="B104" s="64">
        <v>10.16</v>
      </c>
      <c r="C104" s="64">
        <v>9.6199999999999992</v>
      </c>
      <c r="D104" s="64">
        <v>13.18</v>
      </c>
      <c r="E104" s="64">
        <v>4.63</v>
      </c>
      <c r="F104" s="64">
        <v>11.99</v>
      </c>
      <c r="G104" s="64">
        <v>40.619999999999997</v>
      </c>
      <c r="H104" s="64">
        <v>13.21</v>
      </c>
      <c r="I104" s="64">
        <v>2.96</v>
      </c>
      <c r="J104" s="64">
        <v>0.04</v>
      </c>
      <c r="K104" s="64">
        <v>263.69</v>
      </c>
      <c r="L104" s="64">
        <v>24.93</v>
      </c>
      <c r="M104" s="64">
        <v>98.39</v>
      </c>
      <c r="N104" s="64">
        <v>108.4</v>
      </c>
      <c r="O104" s="64">
        <v>0</v>
      </c>
      <c r="P104" s="64">
        <v>0.41</v>
      </c>
      <c r="Q104" s="64">
        <v>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3.37</v>
      </c>
      <c r="C106" s="67">
        <f>MIN(C9:C104)</f>
        <v>9.4700000000000006</v>
      </c>
      <c r="D106" s="67">
        <f t="shared" ref="D106:Q106" si="0">MIN(D9:D104)</f>
        <v>10.220000000000001</v>
      </c>
      <c r="E106" s="67">
        <f t="shared" si="0"/>
        <v>3.88</v>
      </c>
      <c r="F106" s="67">
        <f t="shared" si="0"/>
        <v>4.46</v>
      </c>
      <c r="G106" s="67">
        <f t="shared" si="0"/>
        <v>23.17</v>
      </c>
      <c r="H106" s="67">
        <f t="shared" si="0"/>
        <v>8.1</v>
      </c>
      <c r="I106" s="67">
        <f t="shared" si="0"/>
        <v>0.84</v>
      </c>
      <c r="J106" s="67">
        <f t="shared" si="0"/>
        <v>0.01</v>
      </c>
      <c r="K106" s="67">
        <f t="shared" si="0"/>
        <v>87.92</v>
      </c>
      <c r="L106" s="67">
        <f t="shared" si="0"/>
        <v>22.14</v>
      </c>
      <c r="M106" s="67">
        <f t="shared" si="0"/>
        <v>76.84</v>
      </c>
      <c r="N106" s="67">
        <f t="shared" si="0"/>
        <v>37.9</v>
      </c>
      <c r="O106" s="67">
        <f t="shared" si="0"/>
        <v>0</v>
      </c>
      <c r="P106" s="67">
        <f t="shared" si="0"/>
        <v>0.23</v>
      </c>
      <c r="Q106" s="67">
        <f t="shared" si="0"/>
        <v>9.02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37.61</v>
      </c>
      <c r="C107" s="66">
        <f t="shared" ref="C107:Q107" si="1">MAX(C9:C104)</f>
        <v>51.58</v>
      </c>
      <c r="D107" s="66">
        <f t="shared" si="1"/>
        <v>39.15</v>
      </c>
      <c r="E107" s="66">
        <f t="shared" si="1"/>
        <v>6.06</v>
      </c>
      <c r="F107" s="66">
        <f t="shared" si="1"/>
        <v>20.16</v>
      </c>
      <c r="G107" s="66">
        <f t="shared" si="1"/>
        <v>76.930000000000007</v>
      </c>
      <c r="H107" s="66">
        <f t="shared" si="1"/>
        <v>41.25</v>
      </c>
      <c r="I107" s="66">
        <f t="shared" si="1"/>
        <v>4.78</v>
      </c>
      <c r="J107" s="66">
        <f t="shared" si="1"/>
        <v>3</v>
      </c>
      <c r="K107" s="66">
        <f t="shared" si="1"/>
        <v>359.85</v>
      </c>
      <c r="L107" s="66">
        <f t="shared" si="1"/>
        <v>31.08</v>
      </c>
      <c r="M107" s="66">
        <f t="shared" si="1"/>
        <v>98.49</v>
      </c>
      <c r="N107" s="66">
        <f t="shared" si="1"/>
        <v>815.2</v>
      </c>
      <c r="O107" s="66">
        <f t="shared" si="1"/>
        <v>13.6</v>
      </c>
      <c r="P107" s="66">
        <f t="shared" si="1"/>
        <v>1.5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13.809166666666675</v>
      </c>
      <c r="C108" s="67">
        <f t="shared" ref="C108:Q108" si="2">AVERAGE(C9:C104)</f>
        <v>21.338645833333331</v>
      </c>
      <c r="D108" s="67">
        <f t="shared" si="2"/>
        <v>22.248229166666661</v>
      </c>
      <c r="E108" s="67">
        <f t="shared" si="2"/>
        <v>4.7584374999999994</v>
      </c>
      <c r="F108" s="67">
        <f t="shared" si="2"/>
        <v>9.8251041666666676</v>
      </c>
      <c r="G108" s="67">
        <f t="shared" si="2"/>
        <v>56.421458333333341</v>
      </c>
      <c r="H108" s="67">
        <f t="shared" si="2"/>
        <v>21.880520833333335</v>
      </c>
      <c r="I108" s="67">
        <f t="shared" si="2"/>
        <v>2.7940624999999994</v>
      </c>
      <c r="J108" s="67">
        <f t="shared" si="2"/>
        <v>0.30395833333333327</v>
      </c>
      <c r="K108" s="67">
        <f t="shared" si="2"/>
        <v>269.41406249999994</v>
      </c>
      <c r="L108" s="67">
        <f t="shared" si="2"/>
        <v>26.232916666666672</v>
      </c>
      <c r="M108" s="67">
        <f t="shared" si="2"/>
        <v>95.994999999999933</v>
      </c>
      <c r="N108" s="67">
        <f t="shared" si="2"/>
        <v>160.94583333333333</v>
      </c>
      <c r="O108" s="67">
        <f t="shared" si="2"/>
        <v>0.34375</v>
      </c>
      <c r="P108" s="67">
        <f t="shared" si="2"/>
        <v>0.60229166666666656</v>
      </c>
      <c r="Q108" s="67">
        <f t="shared" si="2"/>
        <v>9.4298958333333314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7.3621776907975454</v>
      </c>
      <c r="C109" s="67">
        <f t="shared" ref="C109:Q109" si="3">STDEV(C9:C104)</f>
        <v>7.7800521740628801</v>
      </c>
      <c r="D109" s="67">
        <f t="shared" si="3"/>
        <v>5.9588836811836927</v>
      </c>
      <c r="E109" s="67">
        <f t="shared" si="3"/>
        <v>0.49206402691008139</v>
      </c>
      <c r="F109" s="67">
        <f t="shared" si="3"/>
        <v>3.9895146769320293</v>
      </c>
      <c r="G109" s="67">
        <f t="shared" si="3"/>
        <v>14.728462168565976</v>
      </c>
      <c r="H109" s="67">
        <f t="shared" si="3"/>
        <v>6.8630187266002904</v>
      </c>
      <c r="I109" s="67">
        <f t="shared" si="3"/>
        <v>0.98500288872138642</v>
      </c>
      <c r="J109" s="67">
        <f t="shared" si="3"/>
        <v>0.44261538291498914</v>
      </c>
      <c r="K109" s="67">
        <f t="shared" si="3"/>
        <v>77.957906287919741</v>
      </c>
      <c r="L109" s="67">
        <f t="shared" si="3"/>
        <v>2.1012747592913898</v>
      </c>
      <c r="M109" s="67">
        <f t="shared" si="3"/>
        <v>5.6308286760429285</v>
      </c>
      <c r="N109" s="67">
        <f t="shared" si="3"/>
        <v>147.75149614821197</v>
      </c>
      <c r="O109" s="67">
        <f t="shared" si="3"/>
        <v>1.9046100581704934</v>
      </c>
      <c r="P109" s="67">
        <f t="shared" si="3"/>
        <v>0.30879555207686593</v>
      </c>
      <c r="Q109" s="67">
        <f t="shared" si="3"/>
        <v>0.2305256911891724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2356</v>
      </c>
      <c r="B9" s="64">
        <v>6.23</v>
      </c>
      <c r="C9" s="64">
        <v>9.4</v>
      </c>
      <c r="D9" s="64">
        <v>9.91</v>
      </c>
      <c r="E9" s="64">
        <v>5.03</v>
      </c>
      <c r="F9" s="64">
        <v>14.46</v>
      </c>
      <c r="G9" s="64">
        <v>40.619999999999997</v>
      </c>
      <c r="H9" s="64">
        <v>13.21</v>
      </c>
      <c r="I9" s="64">
        <v>2.88</v>
      </c>
      <c r="J9" s="64">
        <v>7.0000000000000007E-2</v>
      </c>
      <c r="K9" s="64">
        <v>155.5</v>
      </c>
      <c r="L9" s="64">
        <v>24.89</v>
      </c>
      <c r="M9" s="64">
        <v>98.4</v>
      </c>
      <c r="N9" s="64">
        <v>107.7</v>
      </c>
      <c r="O9" s="64">
        <v>0</v>
      </c>
      <c r="P9" s="64">
        <v>0.15</v>
      </c>
      <c r="Q9" s="64">
        <v>9.4</v>
      </c>
      <c r="S9" s="198"/>
      <c r="T9" s="198"/>
      <c r="U9" s="198"/>
    </row>
    <row r="10" spans="1:21" s="12" customFormat="1" x14ac:dyDescent="0.25">
      <c r="A10" s="213" t="s">
        <v>2357</v>
      </c>
      <c r="B10" s="64">
        <v>11.49</v>
      </c>
      <c r="C10" s="64">
        <v>8.84</v>
      </c>
      <c r="D10" s="64">
        <v>13.83</v>
      </c>
      <c r="E10" s="64">
        <v>5.27</v>
      </c>
      <c r="F10" s="64">
        <v>6.79</v>
      </c>
      <c r="G10" s="64">
        <v>38.04</v>
      </c>
      <c r="H10" s="64">
        <v>13.21</v>
      </c>
      <c r="I10" s="64">
        <v>2.79</v>
      </c>
      <c r="J10" s="64">
        <v>0.06</v>
      </c>
      <c r="K10" s="64">
        <v>347.91</v>
      </c>
      <c r="L10" s="64">
        <v>24.87</v>
      </c>
      <c r="M10" s="64">
        <v>98.39</v>
      </c>
      <c r="N10" s="64">
        <v>100.5</v>
      </c>
      <c r="O10" s="64">
        <v>0</v>
      </c>
      <c r="P10" s="64">
        <v>0.59</v>
      </c>
      <c r="Q10" s="64">
        <v>9.3699999999999992</v>
      </c>
      <c r="S10" s="198"/>
      <c r="T10" s="198"/>
      <c r="U10" s="198"/>
    </row>
    <row r="11" spans="1:21" s="12" customFormat="1" x14ac:dyDescent="0.25">
      <c r="A11" s="213" t="s">
        <v>2358</v>
      </c>
      <c r="B11" s="64">
        <v>10.14</v>
      </c>
      <c r="C11" s="64">
        <v>9.89</v>
      </c>
      <c r="D11" s="64">
        <v>13.3</v>
      </c>
      <c r="E11" s="64">
        <v>5.25</v>
      </c>
      <c r="F11" s="64">
        <v>12.85</v>
      </c>
      <c r="G11" s="64">
        <v>31.69</v>
      </c>
      <c r="H11" s="64">
        <v>13.23</v>
      </c>
      <c r="I11" s="64">
        <v>2.7</v>
      </c>
      <c r="J11" s="64">
        <v>0.02</v>
      </c>
      <c r="K11" s="64">
        <v>291.02</v>
      </c>
      <c r="L11" s="64">
        <v>24.86</v>
      </c>
      <c r="M11" s="64">
        <v>98.4</v>
      </c>
      <c r="N11" s="64">
        <v>100.1</v>
      </c>
      <c r="O11" s="64">
        <v>0</v>
      </c>
      <c r="P11" s="64">
        <v>0.36</v>
      </c>
      <c r="Q11" s="64">
        <v>9.35</v>
      </c>
      <c r="S11" s="198"/>
      <c r="T11" s="198"/>
      <c r="U11" s="198"/>
    </row>
    <row r="12" spans="1:21" s="12" customFormat="1" x14ac:dyDescent="0.25">
      <c r="A12" s="213" t="s">
        <v>2359</v>
      </c>
      <c r="B12" s="64">
        <v>8.35</v>
      </c>
      <c r="C12" s="64">
        <v>9.43</v>
      </c>
      <c r="D12" s="64">
        <v>11.62</v>
      </c>
      <c r="E12" s="64">
        <v>4.92</v>
      </c>
      <c r="F12" s="64">
        <v>13.12</v>
      </c>
      <c r="G12" s="64">
        <v>31.69</v>
      </c>
      <c r="H12" s="64">
        <v>13.23</v>
      </c>
      <c r="I12" s="64">
        <v>2.62</v>
      </c>
      <c r="J12" s="64">
        <v>0.08</v>
      </c>
      <c r="K12" s="64">
        <v>124.62</v>
      </c>
      <c r="L12" s="64">
        <v>24.75</v>
      </c>
      <c r="M12" s="64">
        <v>98.4</v>
      </c>
      <c r="N12" s="64">
        <v>102.4</v>
      </c>
      <c r="O12" s="64">
        <v>0</v>
      </c>
      <c r="P12" s="64">
        <v>0.28000000000000003</v>
      </c>
      <c r="Q12" s="64">
        <v>9.33</v>
      </c>
      <c r="S12" s="198"/>
      <c r="T12" s="198"/>
      <c r="U12" s="198"/>
    </row>
    <row r="13" spans="1:21" s="12" customFormat="1" x14ac:dyDescent="0.25">
      <c r="A13" s="213" t="s">
        <v>2360</v>
      </c>
      <c r="B13" s="64">
        <v>11.56</v>
      </c>
      <c r="C13" s="64">
        <v>9.0399999999999991</v>
      </c>
      <c r="D13" s="64">
        <v>14</v>
      </c>
      <c r="E13" s="64">
        <v>5.15</v>
      </c>
      <c r="F13" s="64">
        <v>5.27</v>
      </c>
      <c r="G13" s="64">
        <v>31.69</v>
      </c>
      <c r="H13" s="64">
        <v>13.23</v>
      </c>
      <c r="I13" s="64">
        <v>2.5499999999999998</v>
      </c>
      <c r="J13" s="64">
        <v>0.1</v>
      </c>
      <c r="K13" s="64">
        <v>310.14999999999998</v>
      </c>
      <c r="L13" s="64">
        <v>24.69</v>
      </c>
      <c r="M13" s="64">
        <v>98.4</v>
      </c>
      <c r="N13" s="64">
        <v>99.2</v>
      </c>
      <c r="O13" s="64">
        <v>0</v>
      </c>
      <c r="P13" s="64">
        <v>0.6</v>
      </c>
      <c r="Q13" s="64">
        <v>9.31</v>
      </c>
      <c r="S13" s="198"/>
      <c r="T13" s="198"/>
      <c r="U13" s="198"/>
    </row>
    <row r="14" spans="1:21" s="12" customFormat="1" x14ac:dyDescent="0.25">
      <c r="A14" s="213" t="s">
        <v>2361</v>
      </c>
      <c r="B14" s="64">
        <v>11.17</v>
      </c>
      <c r="C14" s="64">
        <v>9.68</v>
      </c>
      <c r="D14" s="64">
        <v>14.01</v>
      </c>
      <c r="E14" s="64">
        <v>5.05</v>
      </c>
      <c r="F14" s="64">
        <v>9.57</v>
      </c>
      <c r="G14" s="64">
        <v>31.07</v>
      </c>
      <c r="H14" s="64">
        <v>12.48</v>
      </c>
      <c r="I14" s="64">
        <v>2.46</v>
      </c>
      <c r="J14" s="64">
        <v>0.11</v>
      </c>
      <c r="K14" s="64">
        <v>318.58</v>
      </c>
      <c r="L14" s="64">
        <v>24.67</v>
      </c>
      <c r="M14" s="64">
        <v>98.4</v>
      </c>
      <c r="N14" s="64">
        <v>93.4</v>
      </c>
      <c r="O14" s="64">
        <v>0</v>
      </c>
      <c r="P14" s="64">
        <v>0.54</v>
      </c>
      <c r="Q14" s="64">
        <v>9.3000000000000007</v>
      </c>
      <c r="S14" s="198"/>
      <c r="T14" s="198"/>
      <c r="U14" s="198"/>
    </row>
    <row r="15" spans="1:21" s="12" customFormat="1" x14ac:dyDescent="0.25">
      <c r="A15" s="213" t="s">
        <v>2362</v>
      </c>
      <c r="B15" s="64">
        <v>11.6</v>
      </c>
      <c r="C15" s="64">
        <v>9.83</v>
      </c>
      <c r="D15" s="64">
        <v>14.44</v>
      </c>
      <c r="E15" s="64">
        <v>5.08</v>
      </c>
      <c r="F15" s="64">
        <v>5.92</v>
      </c>
      <c r="G15" s="64">
        <v>29.53</v>
      </c>
      <c r="H15" s="64">
        <v>10.64</v>
      </c>
      <c r="I15" s="64">
        <v>2.38</v>
      </c>
      <c r="J15" s="64">
        <v>7.0000000000000007E-2</v>
      </c>
      <c r="K15" s="64">
        <v>308.92</v>
      </c>
      <c r="L15" s="64">
        <v>24.6</v>
      </c>
      <c r="M15" s="64">
        <v>98.4</v>
      </c>
      <c r="N15" s="64">
        <v>95.1</v>
      </c>
      <c r="O15" s="64">
        <v>0</v>
      </c>
      <c r="P15" s="64">
        <v>0.64</v>
      </c>
      <c r="Q15" s="64">
        <v>9.2799999999999994</v>
      </c>
      <c r="S15" s="198"/>
      <c r="T15" s="198"/>
      <c r="U15" s="198"/>
    </row>
    <row r="16" spans="1:21" s="12" customFormat="1" x14ac:dyDescent="0.25">
      <c r="A16" s="213" t="s">
        <v>2363</v>
      </c>
      <c r="B16" s="64">
        <v>9.64</v>
      </c>
      <c r="C16" s="64">
        <v>9.6300000000000008</v>
      </c>
      <c r="D16" s="64">
        <v>12.76</v>
      </c>
      <c r="E16" s="64">
        <v>4.8600000000000003</v>
      </c>
      <c r="F16" s="64">
        <v>7.93</v>
      </c>
      <c r="G16" s="64">
        <v>29.53</v>
      </c>
      <c r="H16" s="64">
        <v>10.64</v>
      </c>
      <c r="I16" s="64">
        <v>2.29</v>
      </c>
      <c r="J16" s="64">
        <v>0.06</v>
      </c>
      <c r="K16" s="64">
        <v>311.73</v>
      </c>
      <c r="L16" s="64">
        <v>24.53</v>
      </c>
      <c r="M16" s="64">
        <v>98.4</v>
      </c>
      <c r="N16" s="64">
        <v>94.4</v>
      </c>
      <c r="O16" s="64">
        <v>0</v>
      </c>
      <c r="P16" s="64">
        <v>0.46</v>
      </c>
      <c r="Q16" s="64">
        <v>9.26</v>
      </c>
      <c r="S16" s="198"/>
      <c r="T16" s="198"/>
      <c r="U16" s="198"/>
    </row>
    <row r="17" spans="1:21" s="12" customFormat="1" x14ac:dyDescent="0.25">
      <c r="A17" s="213" t="s">
        <v>2364</v>
      </c>
      <c r="B17" s="64">
        <v>10.09</v>
      </c>
      <c r="C17" s="64">
        <v>9.51</v>
      </c>
      <c r="D17" s="64">
        <v>13.06</v>
      </c>
      <c r="E17" s="64">
        <v>5.09</v>
      </c>
      <c r="F17" s="64">
        <v>9.6199999999999992</v>
      </c>
      <c r="G17" s="64">
        <v>29.53</v>
      </c>
      <c r="H17" s="64">
        <v>10.64</v>
      </c>
      <c r="I17" s="64">
        <v>2.21</v>
      </c>
      <c r="J17" s="64">
        <v>0.09</v>
      </c>
      <c r="K17" s="64">
        <v>314.56</v>
      </c>
      <c r="L17" s="64">
        <v>24.46</v>
      </c>
      <c r="M17" s="64">
        <v>98.4</v>
      </c>
      <c r="N17" s="64">
        <v>101.9</v>
      </c>
      <c r="O17" s="64">
        <v>0</v>
      </c>
      <c r="P17" s="64">
        <v>0.44</v>
      </c>
      <c r="Q17" s="64">
        <v>9.24</v>
      </c>
      <c r="S17" s="198"/>
      <c r="T17" s="198"/>
      <c r="U17" s="198"/>
    </row>
    <row r="18" spans="1:21" s="12" customFormat="1" x14ac:dyDescent="0.25">
      <c r="A18" s="213" t="s">
        <v>2365</v>
      </c>
      <c r="B18" s="64">
        <v>8.7799999999999994</v>
      </c>
      <c r="C18" s="64">
        <v>9.3800000000000008</v>
      </c>
      <c r="D18" s="64">
        <v>11.94</v>
      </c>
      <c r="E18" s="64">
        <v>5.01</v>
      </c>
      <c r="F18" s="64">
        <v>10.210000000000001</v>
      </c>
      <c r="G18" s="64">
        <v>28.44</v>
      </c>
      <c r="H18" s="64">
        <v>9.89</v>
      </c>
      <c r="I18" s="64">
        <v>2.14</v>
      </c>
      <c r="J18" s="64">
        <v>0.08</v>
      </c>
      <c r="K18" s="64">
        <v>322.64999999999998</v>
      </c>
      <c r="L18" s="64">
        <v>24.38</v>
      </c>
      <c r="M18" s="64">
        <v>98.41</v>
      </c>
      <c r="N18" s="64">
        <v>94.9</v>
      </c>
      <c r="O18" s="64">
        <v>0</v>
      </c>
      <c r="P18" s="64">
        <v>0.41</v>
      </c>
      <c r="Q18" s="64">
        <v>9.23</v>
      </c>
      <c r="S18" s="198"/>
      <c r="T18" s="198"/>
      <c r="U18" s="198"/>
    </row>
    <row r="19" spans="1:21" s="12" customFormat="1" x14ac:dyDescent="0.25">
      <c r="A19" s="213" t="s">
        <v>2366</v>
      </c>
      <c r="B19" s="64">
        <v>8.02</v>
      </c>
      <c r="C19" s="64">
        <v>9.5500000000000007</v>
      </c>
      <c r="D19" s="64">
        <v>11.42</v>
      </c>
      <c r="E19" s="64">
        <v>4.92</v>
      </c>
      <c r="F19" s="64">
        <v>11.35</v>
      </c>
      <c r="G19" s="64">
        <v>25.76</v>
      </c>
      <c r="H19" s="64">
        <v>8.0399999999999991</v>
      </c>
      <c r="I19" s="64">
        <v>2.0499999999999998</v>
      </c>
      <c r="J19" s="64">
        <v>0.05</v>
      </c>
      <c r="K19" s="64">
        <v>289.95</v>
      </c>
      <c r="L19" s="64">
        <v>24.3</v>
      </c>
      <c r="M19" s="64">
        <v>98.45</v>
      </c>
      <c r="N19" s="64">
        <v>86.1</v>
      </c>
      <c r="O19" s="64">
        <v>0</v>
      </c>
      <c r="P19" s="64">
        <v>0.36</v>
      </c>
      <c r="Q19" s="64">
        <v>9.23</v>
      </c>
      <c r="S19" s="198"/>
      <c r="T19" s="198"/>
      <c r="U19" s="198"/>
    </row>
    <row r="20" spans="1:21" s="12" customFormat="1" x14ac:dyDescent="0.25">
      <c r="A20" s="213" t="s">
        <v>2367</v>
      </c>
      <c r="B20" s="64">
        <v>7.49</v>
      </c>
      <c r="C20" s="64">
        <v>9.11</v>
      </c>
      <c r="D20" s="64">
        <v>10.77</v>
      </c>
      <c r="E20" s="64">
        <v>4.88</v>
      </c>
      <c r="F20" s="64">
        <v>11.16</v>
      </c>
      <c r="G20" s="64">
        <v>25.76</v>
      </c>
      <c r="H20" s="64">
        <v>8.0399999999999991</v>
      </c>
      <c r="I20" s="64">
        <v>1.99</v>
      </c>
      <c r="J20" s="64">
        <v>0.04</v>
      </c>
      <c r="K20" s="64">
        <v>322.83</v>
      </c>
      <c r="L20" s="64">
        <v>24.25</v>
      </c>
      <c r="M20" s="64">
        <v>98.45</v>
      </c>
      <c r="N20" s="64">
        <v>83.6</v>
      </c>
      <c r="O20" s="64">
        <v>0</v>
      </c>
      <c r="P20" s="64">
        <v>0.36</v>
      </c>
      <c r="Q20" s="64">
        <v>9.24</v>
      </c>
      <c r="S20" s="198"/>
      <c r="T20" s="198"/>
      <c r="U20" s="198"/>
    </row>
    <row r="21" spans="1:21" s="12" customFormat="1" x14ac:dyDescent="0.25">
      <c r="A21" s="213" t="s">
        <v>2368</v>
      </c>
      <c r="B21" s="64">
        <v>8.5500000000000007</v>
      </c>
      <c r="C21" s="64">
        <v>8.7200000000000006</v>
      </c>
      <c r="D21" s="64">
        <v>11.41</v>
      </c>
      <c r="E21" s="64">
        <v>5.03</v>
      </c>
      <c r="F21" s="64">
        <v>7.36</v>
      </c>
      <c r="G21" s="64">
        <v>25.76</v>
      </c>
      <c r="H21" s="64">
        <v>8.0399999999999991</v>
      </c>
      <c r="I21" s="64">
        <v>1.95</v>
      </c>
      <c r="J21" s="64">
        <v>0.12</v>
      </c>
      <c r="K21" s="64">
        <v>313.07</v>
      </c>
      <c r="L21" s="64">
        <v>24.19</v>
      </c>
      <c r="M21" s="64">
        <v>98.45</v>
      </c>
      <c r="N21" s="64">
        <v>80.900000000000006</v>
      </c>
      <c r="O21" s="64">
        <v>0</v>
      </c>
      <c r="P21" s="64">
        <v>0.4</v>
      </c>
      <c r="Q21" s="64">
        <v>9.24</v>
      </c>
      <c r="S21" s="198"/>
      <c r="T21" s="198"/>
      <c r="U21" s="198"/>
    </row>
    <row r="22" spans="1:21" s="12" customFormat="1" x14ac:dyDescent="0.25">
      <c r="A22" s="213" t="s">
        <v>2369</v>
      </c>
      <c r="B22" s="64">
        <v>8.17</v>
      </c>
      <c r="C22" s="64">
        <v>9.08</v>
      </c>
      <c r="D22" s="64">
        <v>11.3</v>
      </c>
      <c r="E22" s="64">
        <v>4.79</v>
      </c>
      <c r="F22" s="64">
        <v>10.76</v>
      </c>
      <c r="G22" s="64">
        <v>24.23</v>
      </c>
      <c r="H22" s="64">
        <v>7.86</v>
      </c>
      <c r="I22" s="64">
        <v>2.0099999999999998</v>
      </c>
      <c r="J22" s="64">
        <v>0.09</v>
      </c>
      <c r="K22" s="64">
        <v>305.63</v>
      </c>
      <c r="L22" s="64">
        <v>24.09</v>
      </c>
      <c r="M22" s="64">
        <v>98.45</v>
      </c>
      <c r="N22" s="64">
        <v>80.5</v>
      </c>
      <c r="O22" s="64">
        <v>0</v>
      </c>
      <c r="P22" s="64">
        <v>0.33</v>
      </c>
      <c r="Q22" s="64">
        <v>9.24</v>
      </c>
      <c r="S22" s="198"/>
      <c r="T22" s="198"/>
      <c r="U22" s="198"/>
    </row>
    <row r="23" spans="1:21" s="12" customFormat="1" x14ac:dyDescent="0.25">
      <c r="A23" s="213" t="s">
        <v>2370</v>
      </c>
      <c r="B23" s="64">
        <v>8.92</v>
      </c>
      <c r="C23" s="64">
        <v>9.5</v>
      </c>
      <c r="D23" s="64">
        <v>12.12</v>
      </c>
      <c r="E23" s="64">
        <v>4.8600000000000003</v>
      </c>
      <c r="F23" s="64">
        <v>5.36</v>
      </c>
      <c r="G23" s="64">
        <v>20.46</v>
      </c>
      <c r="H23" s="64">
        <v>7.41</v>
      </c>
      <c r="I23" s="64">
        <v>1.93</v>
      </c>
      <c r="J23" s="64">
        <v>0.11</v>
      </c>
      <c r="K23" s="64">
        <v>309.58</v>
      </c>
      <c r="L23" s="64">
        <v>24.1</v>
      </c>
      <c r="M23" s="64">
        <v>98.45</v>
      </c>
      <c r="N23" s="64">
        <v>80.5</v>
      </c>
      <c r="O23" s="64">
        <v>0</v>
      </c>
      <c r="P23" s="64">
        <v>0.43</v>
      </c>
      <c r="Q23" s="64">
        <v>9.24</v>
      </c>
      <c r="S23" s="198"/>
      <c r="T23" s="198"/>
      <c r="U23" s="198"/>
    </row>
    <row r="24" spans="1:21" s="12" customFormat="1" x14ac:dyDescent="0.25">
      <c r="A24" s="213" t="s">
        <v>2371</v>
      </c>
      <c r="B24" s="64">
        <v>9.7799999999999994</v>
      </c>
      <c r="C24" s="64">
        <v>10.14</v>
      </c>
      <c r="D24" s="64">
        <v>13.14</v>
      </c>
      <c r="E24" s="64">
        <v>5</v>
      </c>
      <c r="F24" s="64">
        <v>5.93</v>
      </c>
      <c r="G24" s="64">
        <v>20.46</v>
      </c>
      <c r="H24" s="64">
        <v>7.41</v>
      </c>
      <c r="I24" s="64">
        <v>1.92</v>
      </c>
      <c r="J24" s="64">
        <v>0.12</v>
      </c>
      <c r="K24" s="64">
        <v>296.88</v>
      </c>
      <c r="L24" s="64">
        <v>24.14</v>
      </c>
      <c r="M24" s="64">
        <v>98.45</v>
      </c>
      <c r="N24" s="64">
        <v>81.099999999999994</v>
      </c>
      <c r="O24" s="64">
        <v>0</v>
      </c>
      <c r="P24" s="64">
        <v>0.43</v>
      </c>
      <c r="Q24" s="64">
        <v>9.2200000000000006</v>
      </c>
      <c r="S24" s="198"/>
      <c r="T24" s="198"/>
      <c r="U24" s="198"/>
    </row>
    <row r="25" spans="1:21" s="12" customFormat="1" x14ac:dyDescent="0.25">
      <c r="A25" s="213" t="s">
        <v>2372</v>
      </c>
      <c r="B25" s="64">
        <v>9.8800000000000008</v>
      </c>
      <c r="C25" s="64">
        <v>10.119999999999999</v>
      </c>
      <c r="D25" s="64">
        <v>13.21</v>
      </c>
      <c r="E25" s="64">
        <v>5.2</v>
      </c>
      <c r="F25" s="64">
        <v>5.66</v>
      </c>
      <c r="G25" s="64">
        <v>20.46</v>
      </c>
      <c r="H25" s="64">
        <v>7.41</v>
      </c>
      <c r="I25" s="64">
        <v>1.94</v>
      </c>
      <c r="J25" s="64">
        <v>0.13</v>
      </c>
      <c r="K25" s="64">
        <v>308.52</v>
      </c>
      <c r="L25" s="64">
        <v>24.14</v>
      </c>
      <c r="M25" s="64">
        <v>98.45</v>
      </c>
      <c r="N25" s="64">
        <v>81.7</v>
      </c>
      <c r="O25" s="64">
        <v>0</v>
      </c>
      <c r="P25" s="64">
        <v>0.47</v>
      </c>
      <c r="Q25" s="64">
        <v>9.2100000000000009</v>
      </c>
      <c r="S25" s="198"/>
      <c r="T25" s="198"/>
      <c r="U25" s="198"/>
    </row>
    <row r="26" spans="1:21" s="12" customFormat="1" x14ac:dyDescent="0.25">
      <c r="A26" s="213" t="s">
        <v>2373</v>
      </c>
      <c r="B26" s="64">
        <v>9.6199999999999992</v>
      </c>
      <c r="C26" s="64">
        <v>9.94</v>
      </c>
      <c r="D26" s="64">
        <v>12.91</v>
      </c>
      <c r="E26" s="64">
        <v>4.9800000000000004</v>
      </c>
      <c r="F26" s="64">
        <v>5.36</v>
      </c>
      <c r="G26" s="64">
        <v>19.21</v>
      </c>
      <c r="H26" s="64">
        <v>7.2</v>
      </c>
      <c r="I26" s="64">
        <v>1.86</v>
      </c>
      <c r="J26" s="64">
        <v>0.11</v>
      </c>
      <c r="K26" s="64">
        <v>291.89</v>
      </c>
      <c r="L26" s="64">
        <v>24.04</v>
      </c>
      <c r="M26" s="64">
        <v>98.44</v>
      </c>
      <c r="N26" s="64">
        <v>82.7</v>
      </c>
      <c r="O26" s="64">
        <v>0</v>
      </c>
      <c r="P26" s="64">
        <v>0.4</v>
      </c>
      <c r="Q26" s="64">
        <v>9.18</v>
      </c>
      <c r="S26" s="198"/>
      <c r="T26" s="198"/>
      <c r="U26" s="198"/>
    </row>
    <row r="27" spans="1:21" s="12" customFormat="1" x14ac:dyDescent="0.25">
      <c r="A27" s="213" t="s">
        <v>2374</v>
      </c>
      <c r="B27" s="64">
        <v>9.15</v>
      </c>
      <c r="C27" s="64">
        <v>10.19</v>
      </c>
      <c r="D27" s="64">
        <v>12.66</v>
      </c>
      <c r="E27" s="64">
        <v>4.96</v>
      </c>
      <c r="F27" s="64">
        <v>5.37</v>
      </c>
      <c r="G27" s="64">
        <v>16.149999999999999</v>
      </c>
      <c r="H27" s="64">
        <v>6.69</v>
      </c>
      <c r="I27" s="64">
        <v>1.8</v>
      </c>
      <c r="J27" s="64">
        <v>0.1</v>
      </c>
      <c r="K27" s="64">
        <v>309.72000000000003</v>
      </c>
      <c r="L27" s="64">
        <v>24.02</v>
      </c>
      <c r="M27" s="64">
        <v>98.42</v>
      </c>
      <c r="N27" s="64">
        <v>86.5</v>
      </c>
      <c r="O27" s="64">
        <v>0</v>
      </c>
      <c r="P27" s="64">
        <v>0.38</v>
      </c>
      <c r="Q27" s="64">
        <v>9.17</v>
      </c>
      <c r="S27" s="198"/>
      <c r="T27" s="198"/>
      <c r="U27" s="198"/>
    </row>
    <row r="28" spans="1:21" s="12" customFormat="1" x14ac:dyDescent="0.25">
      <c r="A28" s="213" t="s">
        <v>2375</v>
      </c>
      <c r="B28" s="64">
        <v>9.43</v>
      </c>
      <c r="C28" s="64">
        <v>9.75</v>
      </c>
      <c r="D28" s="64">
        <v>12.66</v>
      </c>
      <c r="E28" s="64">
        <v>4.92</v>
      </c>
      <c r="F28" s="64">
        <v>4.93</v>
      </c>
      <c r="G28" s="64">
        <v>16.149999999999999</v>
      </c>
      <c r="H28" s="64">
        <v>6.69</v>
      </c>
      <c r="I28" s="64">
        <v>1.73</v>
      </c>
      <c r="J28" s="64">
        <v>0.09</v>
      </c>
      <c r="K28" s="64">
        <v>305.14999999999998</v>
      </c>
      <c r="L28" s="64">
        <v>24</v>
      </c>
      <c r="M28" s="64">
        <v>98.35</v>
      </c>
      <c r="N28" s="64">
        <v>90.7</v>
      </c>
      <c r="O28" s="64">
        <v>0</v>
      </c>
      <c r="P28" s="64">
        <v>0.42</v>
      </c>
      <c r="Q28" s="64">
        <v>9.15</v>
      </c>
      <c r="S28" s="198"/>
      <c r="T28" s="198"/>
      <c r="U28" s="198"/>
    </row>
    <row r="29" spans="1:21" s="12" customFormat="1" x14ac:dyDescent="0.25">
      <c r="A29" s="213" t="s">
        <v>2376</v>
      </c>
      <c r="B29" s="64">
        <v>8.89</v>
      </c>
      <c r="C29" s="64">
        <v>10.49</v>
      </c>
      <c r="D29" s="64">
        <v>12.61</v>
      </c>
      <c r="E29" s="64">
        <v>4.99</v>
      </c>
      <c r="F29" s="64">
        <v>5</v>
      </c>
      <c r="G29" s="64">
        <v>16.149999999999999</v>
      </c>
      <c r="H29" s="64">
        <v>6.69</v>
      </c>
      <c r="I29" s="64">
        <v>1.68</v>
      </c>
      <c r="J29" s="64">
        <v>0.11</v>
      </c>
      <c r="K29" s="64">
        <v>279.83</v>
      </c>
      <c r="L29" s="64">
        <v>24.02</v>
      </c>
      <c r="M29" s="64">
        <v>98.38</v>
      </c>
      <c r="N29" s="64">
        <v>94.9</v>
      </c>
      <c r="O29" s="64">
        <v>0</v>
      </c>
      <c r="P29" s="64">
        <v>0.38</v>
      </c>
      <c r="Q29" s="64">
        <v>9.14</v>
      </c>
      <c r="S29" s="198"/>
      <c r="T29" s="198"/>
      <c r="U29" s="198"/>
    </row>
    <row r="30" spans="1:21" s="12" customFormat="1" x14ac:dyDescent="0.25">
      <c r="A30" s="213" t="s">
        <v>2377</v>
      </c>
      <c r="B30" s="64">
        <v>9.0500000000000007</v>
      </c>
      <c r="C30" s="64">
        <v>10.72</v>
      </c>
      <c r="D30" s="64">
        <v>12.86</v>
      </c>
      <c r="E30" s="64">
        <v>4.9400000000000004</v>
      </c>
      <c r="F30" s="64">
        <v>5.08</v>
      </c>
      <c r="G30" s="64">
        <v>16.760000000000002</v>
      </c>
      <c r="H30" s="64">
        <v>6.27</v>
      </c>
      <c r="I30" s="64">
        <v>1.65</v>
      </c>
      <c r="J30" s="64">
        <v>0.08</v>
      </c>
      <c r="K30" s="64">
        <v>305.08999999999997</v>
      </c>
      <c r="L30" s="64">
        <v>23.98</v>
      </c>
      <c r="M30" s="64">
        <v>98.39</v>
      </c>
      <c r="N30" s="64">
        <v>96.4</v>
      </c>
      <c r="O30" s="64">
        <v>0</v>
      </c>
      <c r="P30" s="64">
        <v>0.37</v>
      </c>
      <c r="Q30" s="64">
        <v>9.1300000000000008</v>
      </c>
      <c r="S30" s="198"/>
      <c r="T30" s="198"/>
      <c r="U30" s="198"/>
    </row>
    <row r="31" spans="1:21" s="12" customFormat="1" x14ac:dyDescent="0.25">
      <c r="A31" s="213" t="s">
        <v>2378</v>
      </c>
      <c r="B31" s="64">
        <v>9.2899999999999991</v>
      </c>
      <c r="C31" s="64">
        <v>10.68</v>
      </c>
      <c r="D31" s="64">
        <v>13.03</v>
      </c>
      <c r="E31" s="64">
        <v>5.19</v>
      </c>
      <c r="F31" s="64">
        <v>4.3600000000000003</v>
      </c>
      <c r="G31" s="64">
        <v>18.28</v>
      </c>
      <c r="H31" s="64">
        <v>5.22</v>
      </c>
      <c r="I31" s="64">
        <v>1.61</v>
      </c>
      <c r="J31" s="64">
        <v>0.11</v>
      </c>
      <c r="K31" s="64">
        <v>301.16000000000003</v>
      </c>
      <c r="L31" s="64">
        <v>24</v>
      </c>
      <c r="M31" s="64">
        <v>98.4</v>
      </c>
      <c r="N31" s="64">
        <v>103.9</v>
      </c>
      <c r="O31" s="64">
        <v>0</v>
      </c>
      <c r="P31" s="64">
        <v>0.38</v>
      </c>
      <c r="Q31" s="64">
        <v>9.1199999999999992</v>
      </c>
      <c r="S31" s="198"/>
      <c r="T31" s="198"/>
      <c r="U31" s="198"/>
    </row>
    <row r="32" spans="1:21" s="12" customFormat="1" x14ac:dyDescent="0.25">
      <c r="A32" s="213" t="s">
        <v>2379</v>
      </c>
      <c r="B32" s="64">
        <v>9.07</v>
      </c>
      <c r="C32" s="64">
        <v>11.02</v>
      </c>
      <c r="D32" s="64">
        <v>13.03</v>
      </c>
      <c r="E32" s="64">
        <v>4.75</v>
      </c>
      <c r="F32" s="64">
        <v>5.7</v>
      </c>
      <c r="G32" s="64">
        <v>18.28</v>
      </c>
      <c r="H32" s="64">
        <v>5.22</v>
      </c>
      <c r="I32" s="64">
        <v>1.58</v>
      </c>
      <c r="J32" s="64">
        <v>0.1</v>
      </c>
      <c r="K32" s="64">
        <v>299.14999999999998</v>
      </c>
      <c r="L32" s="64">
        <v>24.01</v>
      </c>
      <c r="M32" s="64">
        <v>98.39</v>
      </c>
      <c r="N32" s="64">
        <v>116.1</v>
      </c>
      <c r="O32" s="64">
        <v>0</v>
      </c>
      <c r="P32" s="64">
        <v>0.34</v>
      </c>
      <c r="Q32" s="64">
        <v>9.1300000000000008</v>
      </c>
      <c r="S32" s="198"/>
      <c r="T32" s="198"/>
      <c r="U32" s="198"/>
    </row>
    <row r="33" spans="1:21" s="12" customFormat="1" x14ac:dyDescent="0.25">
      <c r="A33" s="213" t="s">
        <v>2380</v>
      </c>
      <c r="B33" s="64">
        <v>9.41</v>
      </c>
      <c r="C33" s="64">
        <v>10.74</v>
      </c>
      <c r="D33" s="64">
        <v>13.16</v>
      </c>
      <c r="E33" s="64">
        <v>5.04</v>
      </c>
      <c r="F33" s="64">
        <v>4.88</v>
      </c>
      <c r="G33" s="64">
        <v>18.28</v>
      </c>
      <c r="H33" s="64">
        <v>5.22</v>
      </c>
      <c r="I33" s="64">
        <v>1.55</v>
      </c>
      <c r="J33" s="64">
        <v>7.0000000000000007E-2</v>
      </c>
      <c r="K33" s="64">
        <v>308.66000000000003</v>
      </c>
      <c r="L33" s="64">
        <v>24.07</v>
      </c>
      <c r="M33" s="64">
        <v>98.4</v>
      </c>
      <c r="N33" s="64">
        <v>110</v>
      </c>
      <c r="O33" s="64">
        <v>0</v>
      </c>
      <c r="P33" s="64">
        <v>0.37</v>
      </c>
      <c r="Q33" s="64">
        <v>9.1199999999999992</v>
      </c>
      <c r="S33" s="198"/>
      <c r="T33" s="198"/>
      <c r="U33" s="198"/>
    </row>
    <row r="34" spans="1:21" s="12" customFormat="1" x14ac:dyDescent="0.25">
      <c r="A34" s="213" t="s">
        <v>2381</v>
      </c>
      <c r="B34" s="64">
        <v>9.2200000000000006</v>
      </c>
      <c r="C34" s="64">
        <v>11.85</v>
      </c>
      <c r="D34" s="64">
        <v>13.58</v>
      </c>
      <c r="E34" s="64">
        <v>4.7</v>
      </c>
      <c r="F34" s="64">
        <v>7.51</v>
      </c>
      <c r="G34" s="64">
        <v>18.64</v>
      </c>
      <c r="H34" s="64">
        <v>5.54</v>
      </c>
      <c r="I34" s="64">
        <v>1.54</v>
      </c>
      <c r="J34" s="64">
        <v>0.11</v>
      </c>
      <c r="K34" s="64">
        <v>286.77</v>
      </c>
      <c r="L34" s="64">
        <v>24.37</v>
      </c>
      <c r="M34" s="64">
        <v>98.34</v>
      </c>
      <c r="N34" s="64">
        <v>131.19999999999999</v>
      </c>
      <c r="O34" s="64">
        <v>0</v>
      </c>
      <c r="P34" s="64">
        <v>0.35</v>
      </c>
      <c r="Q34" s="64">
        <v>9.1300000000000008</v>
      </c>
      <c r="S34" s="198"/>
      <c r="T34" s="198"/>
      <c r="U34" s="198"/>
    </row>
    <row r="35" spans="1:21" s="12" customFormat="1" x14ac:dyDescent="0.25">
      <c r="A35" s="213" t="s">
        <v>2382</v>
      </c>
      <c r="B35" s="64">
        <v>10.67</v>
      </c>
      <c r="C35" s="64">
        <v>11.89</v>
      </c>
      <c r="D35" s="64">
        <v>14.77</v>
      </c>
      <c r="E35" s="64">
        <v>4.55</v>
      </c>
      <c r="F35" s="64">
        <v>5.53</v>
      </c>
      <c r="G35" s="64">
        <v>19.510000000000002</v>
      </c>
      <c r="H35" s="64">
        <v>6.33</v>
      </c>
      <c r="I35" s="64">
        <v>1.52</v>
      </c>
      <c r="J35" s="64">
        <v>0.22</v>
      </c>
      <c r="K35" s="64">
        <v>301.14999999999998</v>
      </c>
      <c r="L35" s="64">
        <v>24.92</v>
      </c>
      <c r="M35" s="64">
        <v>98.29</v>
      </c>
      <c r="N35" s="64">
        <v>177.9</v>
      </c>
      <c r="O35" s="64">
        <v>0</v>
      </c>
      <c r="P35" s="64">
        <v>0.37</v>
      </c>
      <c r="Q35" s="64">
        <v>9.14</v>
      </c>
      <c r="S35" s="198"/>
      <c r="T35" s="198"/>
      <c r="U35" s="198"/>
    </row>
    <row r="36" spans="1:21" s="12" customFormat="1" x14ac:dyDescent="0.25">
      <c r="A36" s="213" t="s">
        <v>2383</v>
      </c>
      <c r="B36" s="64">
        <v>13.27</v>
      </c>
      <c r="C36" s="64">
        <v>11.61</v>
      </c>
      <c r="D36" s="64">
        <v>16.7</v>
      </c>
      <c r="E36" s="64">
        <v>4.54</v>
      </c>
      <c r="F36" s="64">
        <v>6.03</v>
      </c>
      <c r="G36" s="64">
        <v>19.510000000000002</v>
      </c>
      <c r="H36" s="64">
        <v>6.33</v>
      </c>
      <c r="I36" s="64">
        <v>1.52</v>
      </c>
      <c r="J36" s="64">
        <v>0.15</v>
      </c>
      <c r="K36" s="64">
        <v>297.93</v>
      </c>
      <c r="L36" s="64">
        <v>25.59</v>
      </c>
      <c r="M36" s="64">
        <v>98.25</v>
      </c>
      <c r="N36" s="64">
        <v>202.8</v>
      </c>
      <c r="O36" s="64">
        <v>0</v>
      </c>
      <c r="P36" s="64">
        <v>0.49</v>
      </c>
      <c r="Q36" s="64">
        <v>9.16</v>
      </c>
      <c r="S36" s="198"/>
      <c r="T36" s="198"/>
      <c r="U36" s="198"/>
    </row>
    <row r="37" spans="1:21" s="12" customFormat="1" x14ac:dyDescent="0.25">
      <c r="A37" s="213" t="s">
        <v>2384</v>
      </c>
      <c r="B37" s="64">
        <v>12.82</v>
      </c>
      <c r="C37" s="64">
        <v>14.31</v>
      </c>
      <c r="D37" s="64">
        <v>17.760000000000002</v>
      </c>
      <c r="E37" s="64">
        <v>4.7</v>
      </c>
      <c r="F37" s="64">
        <v>9.1</v>
      </c>
      <c r="G37" s="64">
        <v>19.510000000000002</v>
      </c>
      <c r="H37" s="64">
        <v>6.33</v>
      </c>
      <c r="I37" s="64">
        <v>1.52</v>
      </c>
      <c r="J37" s="64">
        <v>0.1</v>
      </c>
      <c r="K37" s="64">
        <v>303.16000000000003</v>
      </c>
      <c r="L37" s="64">
        <v>26.12</v>
      </c>
      <c r="M37" s="64">
        <v>98.23</v>
      </c>
      <c r="N37" s="64">
        <v>226</v>
      </c>
      <c r="O37" s="64">
        <v>0</v>
      </c>
      <c r="P37" s="64">
        <v>0.59</v>
      </c>
      <c r="Q37" s="64">
        <v>9.18</v>
      </c>
      <c r="S37" s="198"/>
      <c r="T37" s="198"/>
      <c r="U37" s="198"/>
    </row>
    <row r="38" spans="1:21" s="12" customFormat="1" x14ac:dyDescent="0.25">
      <c r="A38" s="213" t="s">
        <v>2385</v>
      </c>
      <c r="B38" s="64">
        <v>16.45</v>
      </c>
      <c r="C38" s="64">
        <v>19.600000000000001</v>
      </c>
      <c r="D38" s="64">
        <v>23.43</v>
      </c>
      <c r="E38" s="64">
        <v>5.0599999999999996</v>
      </c>
      <c r="F38" s="64">
        <v>8.92</v>
      </c>
      <c r="G38" s="64">
        <v>20.95</v>
      </c>
      <c r="H38" s="64">
        <v>7.75</v>
      </c>
      <c r="I38" s="64">
        <v>1.6</v>
      </c>
      <c r="J38" s="64">
        <v>0.11</v>
      </c>
      <c r="K38" s="64">
        <v>282.70999999999998</v>
      </c>
      <c r="L38" s="64">
        <v>26.41</v>
      </c>
      <c r="M38" s="64">
        <v>98.23</v>
      </c>
      <c r="N38" s="64">
        <v>186.5</v>
      </c>
      <c r="O38" s="64">
        <v>0</v>
      </c>
      <c r="P38" s="64">
        <v>0.8</v>
      </c>
      <c r="Q38" s="64">
        <v>9.2100000000000009</v>
      </c>
      <c r="S38" s="198"/>
      <c r="T38" s="198"/>
      <c r="U38" s="198"/>
    </row>
    <row r="39" spans="1:21" s="12" customFormat="1" x14ac:dyDescent="0.25">
      <c r="A39" s="213" t="s">
        <v>2386</v>
      </c>
      <c r="B39" s="64">
        <v>13.63</v>
      </c>
      <c r="C39" s="64">
        <v>18.12</v>
      </c>
      <c r="D39" s="64">
        <v>20.399999999999999</v>
      </c>
      <c r="E39" s="64">
        <v>4.8099999999999996</v>
      </c>
      <c r="F39" s="64">
        <v>7.71</v>
      </c>
      <c r="G39" s="64">
        <v>24.48</v>
      </c>
      <c r="H39" s="64">
        <v>11.23</v>
      </c>
      <c r="I39" s="64">
        <v>1.73</v>
      </c>
      <c r="J39" s="64">
        <v>0.13</v>
      </c>
      <c r="K39" s="64">
        <v>284.20999999999998</v>
      </c>
      <c r="L39" s="64">
        <v>26.18</v>
      </c>
      <c r="M39" s="64">
        <v>98.23</v>
      </c>
      <c r="N39" s="64">
        <v>212.6</v>
      </c>
      <c r="O39" s="64">
        <v>0</v>
      </c>
      <c r="P39" s="64">
        <v>0.62</v>
      </c>
      <c r="Q39" s="64">
        <v>9.24</v>
      </c>
      <c r="S39" s="198"/>
      <c r="T39" s="198"/>
      <c r="U39" s="198"/>
    </row>
    <row r="40" spans="1:21" s="12" customFormat="1" x14ac:dyDescent="0.25">
      <c r="A40" s="213" t="s">
        <v>2387</v>
      </c>
      <c r="B40" s="64">
        <v>12.99</v>
      </c>
      <c r="C40" s="64">
        <v>15.53</v>
      </c>
      <c r="D40" s="64">
        <v>18.53</v>
      </c>
      <c r="E40" s="64">
        <v>4.51</v>
      </c>
      <c r="F40" s="64">
        <v>5.51</v>
      </c>
      <c r="G40" s="64">
        <v>24.48</v>
      </c>
      <c r="H40" s="64">
        <v>11.23</v>
      </c>
      <c r="I40" s="64">
        <v>1.86</v>
      </c>
      <c r="J40" s="64">
        <v>0.15</v>
      </c>
      <c r="K40" s="64">
        <v>283.66000000000003</v>
      </c>
      <c r="L40" s="64">
        <v>26.22</v>
      </c>
      <c r="M40" s="64">
        <v>98.22</v>
      </c>
      <c r="N40" s="64">
        <v>214.4</v>
      </c>
      <c r="O40" s="64">
        <v>0</v>
      </c>
      <c r="P40" s="64">
        <v>0.54</v>
      </c>
      <c r="Q40" s="64">
        <v>9.26</v>
      </c>
      <c r="S40" s="198"/>
      <c r="T40" s="198"/>
      <c r="U40" s="198"/>
    </row>
    <row r="41" spans="1:21" s="12" customFormat="1" x14ac:dyDescent="0.25">
      <c r="A41" s="213" t="s">
        <v>2388</v>
      </c>
      <c r="B41" s="64">
        <v>13.56</v>
      </c>
      <c r="C41" s="64">
        <v>13.84</v>
      </c>
      <c r="D41" s="64">
        <v>18.11</v>
      </c>
      <c r="E41" s="64">
        <v>4.26</v>
      </c>
      <c r="F41" s="64">
        <v>3.89</v>
      </c>
      <c r="G41" s="64">
        <v>24.48</v>
      </c>
      <c r="H41" s="64">
        <v>11.23</v>
      </c>
      <c r="I41" s="64">
        <v>1.99</v>
      </c>
      <c r="J41" s="64">
        <v>0.18</v>
      </c>
      <c r="K41" s="64">
        <v>280.52</v>
      </c>
      <c r="L41" s="64">
        <v>26.54</v>
      </c>
      <c r="M41" s="64">
        <v>98.22</v>
      </c>
      <c r="N41" s="64">
        <v>287.7</v>
      </c>
      <c r="O41" s="64">
        <v>0</v>
      </c>
      <c r="P41" s="64">
        <v>0.49</v>
      </c>
      <c r="Q41" s="64">
        <v>9.2799999999999994</v>
      </c>
      <c r="S41" s="198"/>
      <c r="T41" s="198"/>
      <c r="U41" s="198"/>
    </row>
    <row r="42" spans="1:21" s="12" customFormat="1" x14ac:dyDescent="0.25">
      <c r="A42" s="213" t="s">
        <v>2389</v>
      </c>
      <c r="B42" s="64">
        <v>13.29</v>
      </c>
      <c r="C42" s="64">
        <v>14.01</v>
      </c>
      <c r="D42" s="64">
        <v>17.98</v>
      </c>
      <c r="E42" s="64">
        <v>4.5199999999999996</v>
      </c>
      <c r="F42" s="64">
        <v>7.21</v>
      </c>
      <c r="G42" s="64">
        <v>27.65</v>
      </c>
      <c r="H42" s="64">
        <v>10.33</v>
      </c>
      <c r="I42" s="64">
        <v>2.09</v>
      </c>
      <c r="J42" s="64">
        <v>0.18</v>
      </c>
      <c r="K42" s="64">
        <v>287.05</v>
      </c>
      <c r="L42" s="64">
        <v>27.1</v>
      </c>
      <c r="M42" s="64">
        <v>98.13</v>
      </c>
      <c r="N42" s="64">
        <v>388</v>
      </c>
      <c r="O42" s="64">
        <v>0</v>
      </c>
      <c r="P42" s="64">
        <v>0.47</v>
      </c>
      <c r="Q42" s="64">
        <v>9.2799999999999994</v>
      </c>
      <c r="S42" s="198"/>
      <c r="T42" s="198"/>
      <c r="U42" s="198"/>
    </row>
    <row r="43" spans="1:21" s="12" customFormat="1" x14ac:dyDescent="0.25">
      <c r="A43" s="213" t="s">
        <v>2390</v>
      </c>
      <c r="B43" s="64">
        <v>13.96</v>
      </c>
      <c r="C43" s="64">
        <v>12.75</v>
      </c>
      <c r="D43" s="64">
        <v>17.86</v>
      </c>
      <c r="E43" s="64">
        <v>4.66</v>
      </c>
      <c r="F43" s="64">
        <v>4.49</v>
      </c>
      <c r="G43" s="64">
        <v>35.46</v>
      </c>
      <c r="H43" s="64">
        <v>8.1</v>
      </c>
      <c r="I43" s="64">
        <v>2.15</v>
      </c>
      <c r="J43" s="64">
        <v>0.24</v>
      </c>
      <c r="K43" s="64">
        <v>305.29000000000002</v>
      </c>
      <c r="L43" s="64">
        <v>28.47</v>
      </c>
      <c r="M43" s="64">
        <v>94.4</v>
      </c>
      <c r="N43" s="64">
        <v>334.6</v>
      </c>
      <c r="O43" s="64">
        <v>0</v>
      </c>
      <c r="P43" s="64">
        <v>0.49</v>
      </c>
      <c r="Q43" s="64">
        <v>9.27</v>
      </c>
      <c r="S43" s="198"/>
      <c r="T43" s="198"/>
      <c r="U43" s="198"/>
    </row>
    <row r="44" spans="1:21" s="12" customFormat="1" x14ac:dyDescent="0.25">
      <c r="A44" s="213" t="s">
        <v>2391</v>
      </c>
      <c r="B44" s="64">
        <v>14.72</v>
      </c>
      <c r="C44" s="64">
        <v>12.39</v>
      </c>
      <c r="D44" s="64">
        <v>18.239999999999998</v>
      </c>
      <c r="E44" s="64">
        <v>4.3600000000000003</v>
      </c>
      <c r="F44" s="64">
        <v>5.23</v>
      </c>
      <c r="G44" s="64">
        <v>35.46</v>
      </c>
      <c r="H44" s="64">
        <v>8.1</v>
      </c>
      <c r="I44" s="64">
        <v>2.17</v>
      </c>
      <c r="J44" s="64">
        <v>0.48</v>
      </c>
      <c r="K44" s="64">
        <v>319.74</v>
      </c>
      <c r="L44" s="64">
        <v>29.48</v>
      </c>
      <c r="M44" s="64">
        <v>88.64</v>
      </c>
      <c r="N44" s="64">
        <v>500.9</v>
      </c>
      <c r="O44" s="64">
        <v>0</v>
      </c>
      <c r="P44" s="64">
        <v>0.5</v>
      </c>
      <c r="Q44" s="64">
        <v>9.27</v>
      </c>
      <c r="S44" s="198"/>
      <c r="T44" s="198"/>
      <c r="U44" s="198"/>
    </row>
    <row r="45" spans="1:21" s="12" customFormat="1" x14ac:dyDescent="0.25">
      <c r="A45" s="213" t="s">
        <v>2392</v>
      </c>
      <c r="B45" s="64">
        <v>15.11</v>
      </c>
      <c r="C45" s="64">
        <v>11.01</v>
      </c>
      <c r="D45" s="64">
        <v>17.87</v>
      </c>
      <c r="E45" s="64">
        <v>4.6100000000000003</v>
      </c>
      <c r="F45" s="64">
        <v>6.59</v>
      </c>
      <c r="G45" s="64">
        <v>35.46</v>
      </c>
      <c r="H45" s="64">
        <v>8.1</v>
      </c>
      <c r="I45" s="64">
        <v>2.17</v>
      </c>
      <c r="J45" s="64">
        <v>0.36</v>
      </c>
      <c r="K45" s="64">
        <v>305.92</v>
      </c>
      <c r="L45" s="64">
        <v>31.03</v>
      </c>
      <c r="M45" s="64">
        <v>80.48</v>
      </c>
      <c r="N45" s="64">
        <v>497.3</v>
      </c>
      <c r="O45" s="64">
        <v>0</v>
      </c>
      <c r="P45" s="64">
        <v>0.46</v>
      </c>
      <c r="Q45" s="64">
        <v>9.27</v>
      </c>
      <c r="S45" s="198"/>
      <c r="T45" s="198"/>
      <c r="U45" s="198"/>
    </row>
    <row r="46" spans="1:21" s="12" customFormat="1" x14ac:dyDescent="0.25">
      <c r="A46" s="213" t="s">
        <v>2393</v>
      </c>
      <c r="B46" s="64">
        <v>13.9</v>
      </c>
      <c r="C46" s="64">
        <v>10.84</v>
      </c>
      <c r="D46" s="64">
        <v>16.809999999999999</v>
      </c>
      <c r="E46" s="64">
        <v>4.38</v>
      </c>
      <c r="F46" s="64">
        <v>6.58</v>
      </c>
      <c r="G46" s="64">
        <v>35.409999999999997</v>
      </c>
      <c r="H46" s="64">
        <v>8.58</v>
      </c>
      <c r="I46" s="64">
        <v>2.15</v>
      </c>
      <c r="J46" s="64">
        <v>0.6</v>
      </c>
      <c r="K46" s="64">
        <v>323.55</v>
      </c>
      <c r="L46" s="64">
        <v>31.61</v>
      </c>
      <c r="M46" s="64">
        <v>79.010000000000005</v>
      </c>
      <c r="N46" s="64">
        <v>598.5</v>
      </c>
      <c r="O46" s="64">
        <v>0</v>
      </c>
      <c r="P46" s="64">
        <v>0.47</v>
      </c>
      <c r="Q46" s="64">
        <v>9.26</v>
      </c>
      <c r="S46" s="198"/>
      <c r="T46" s="198"/>
      <c r="U46" s="198"/>
    </row>
    <row r="47" spans="1:21" s="12" customFormat="1" x14ac:dyDescent="0.25">
      <c r="A47" s="213" t="s">
        <v>2394</v>
      </c>
      <c r="B47" s="64">
        <v>15.11</v>
      </c>
      <c r="C47" s="64">
        <v>13.11</v>
      </c>
      <c r="D47" s="64">
        <v>18.97</v>
      </c>
      <c r="E47" s="64">
        <v>4.5199999999999996</v>
      </c>
      <c r="F47" s="64">
        <v>8.1199999999999992</v>
      </c>
      <c r="G47" s="64">
        <v>35.270000000000003</v>
      </c>
      <c r="H47" s="64">
        <v>9.7799999999999994</v>
      </c>
      <c r="I47" s="64">
        <v>2.09</v>
      </c>
      <c r="J47" s="64">
        <v>0.59</v>
      </c>
      <c r="K47" s="64">
        <v>325.42</v>
      </c>
      <c r="L47" s="64">
        <v>32.58</v>
      </c>
      <c r="M47" s="64">
        <v>74.19</v>
      </c>
      <c r="N47" s="64">
        <v>567.4</v>
      </c>
      <c r="O47" s="64">
        <v>0</v>
      </c>
      <c r="P47" s="64">
        <v>0.49</v>
      </c>
      <c r="Q47" s="64">
        <v>9.25</v>
      </c>
      <c r="S47" s="198"/>
      <c r="T47" s="198"/>
      <c r="U47" s="198"/>
    </row>
    <row r="48" spans="1:21" s="12" customFormat="1" x14ac:dyDescent="0.25">
      <c r="A48" s="213" t="s">
        <v>2395</v>
      </c>
      <c r="B48" s="64">
        <v>13.95</v>
      </c>
      <c r="C48" s="64">
        <v>13.29</v>
      </c>
      <c r="D48" s="64">
        <v>18.13</v>
      </c>
      <c r="E48" s="64">
        <v>4.4400000000000004</v>
      </c>
      <c r="F48" s="64">
        <v>10.31</v>
      </c>
      <c r="G48" s="64">
        <v>35.270000000000003</v>
      </c>
      <c r="H48" s="64">
        <v>9.7799999999999994</v>
      </c>
      <c r="I48" s="64">
        <v>2.0499999999999998</v>
      </c>
      <c r="J48" s="64">
        <v>0.25</v>
      </c>
      <c r="K48" s="64">
        <v>306.14999999999998</v>
      </c>
      <c r="L48" s="64">
        <v>32.380000000000003</v>
      </c>
      <c r="M48" s="64">
        <v>75.55</v>
      </c>
      <c r="N48" s="64">
        <v>488.9</v>
      </c>
      <c r="O48" s="64">
        <v>0</v>
      </c>
      <c r="P48" s="64">
        <v>0.52</v>
      </c>
      <c r="Q48" s="64">
        <v>9.25</v>
      </c>
      <c r="S48" s="198"/>
      <c r="T48" s="198"/>
      <c r="U48" s="198"/>
    </row>
    <row r="49" spans="1:21" s="12" customFormat="1" x14ac:dyDescent="0.25">
      <c r="A49" s="213" t="s">
        <v>2396</v>
      </c>
      <c r="B49" s="64">
        <v>13.65</v>
      </c>
      <c r="C49" s="64">
        <v>12.68</v>
      </c>
      <c r="D49" s="64">
        <v>17.57</v>
      </c>
      <c r="E49" s="64">
        <v>4.54</v>
      </c>
      <c r="F49" s="64">
        <v>6.83</v>
      </c>
      <c r="G49" s="64">
        <v>35.270000000000003</v>
      </c>
      <c r="H49" s="64">
        <v>9.7799999999999994</v>
      </c>
      <c r="I49" s="64">
        <v>2.04</v>
      </c>
      <c r="J49" s="64">
        <v>0.24</v>
      </c>
      <c r="K49" s="64">
        <v>294.27</v>
      </c>
      <c r="L49" s="64">
        <v>31.72</v>
      </c>
      <c r="M49" s="64">
        <v>78.25</v>
      </c>
      <c r="N49" s="64">
        <v>452.4</v>
      </c>
      <c r="O49" s="64">
        <v>0</v>
      </c>
      <c r="P49" s="64">
        <v>0.49</v>
      </c>
      <c r="Q49" s="64">
        <v>9.26</v>
      </c>
      <c r="S49" s="198"/>
      <c r="T49" s="198"/>
      <c r="U49" s="198"/>
    </row>
    <row r="50" spans="1:21" s="12" customFormat="1" x14ac:dyDescent="0.25">
      <c r="A50" s="213" t="s">
        <v>2397</v>
      </c>
      <c r="B50" s="64">
        <v>14.27</v>
      </c>
      <c r="C50" s="64">
        <v>15.8</v>
      </c>
      <c r="D50" s="64">
        <v>19.7</v>
      </c>
      <c r="E50" s="64">
        <v>4.37</v>
      </c>
      <c r="F50" s="64">
        <v>9.56</v>
      </c>
      <c r="G50" s="64">
        <v>36.18</v>
      </c>
      <c r="H50" s="64">
        <v>9.64</v>
      </c>
      <c r="I50" s="64">
        <v>2.0099999999999998</v>
      </c>
      <c r="J50" s="64">
        <v>0.32</v>
      </c>
      <c r="K50" s="64">
        <v>310.14</v>
      </c>
      <c r="L50" s="64">
        <v>31.68</v>
      </c>
      <c r="M50" s="64">
        <v>78.790000000000006</v>
      </c>
      <c r="N50" s="64">
        <v>614.70000000000005</v>
      </c>
      <c r="O50" s="64">
        <v>0</v>
      </c>
      <c r="P50" s="64">
        <v>0.5</v>
      </c>
      <c r="Q50" s="64">
        <v>9.25</v>
      </c>
      <c r="S50" s="198"/>
      <c r="T50" s="198"/>
      <c r="U50" s="198"/>
    </row>
    <row r="51" spans="1:21" s="12" customFormat="1" x14ac:dyDescent="0.25">
      <c r="A51" s="213" t="s">
        <v>2398</v>
      </c>
      <c r="B51" s="64">
        <v>13.41</v>
      </c>
      <c r="C51" s="64">
        <v>15.16</v>
      </c>
      <c r="D51" s="64">
        <v>18.68</v>
      </c>
      <c r="E51" s="64">
        <v>4.32</v>
      </c>
      <c r="F51" s="64">
        <v>12.33</v>
      </c>
      <c r="G51" s="64">
        <v>38.42</v>
      </c>
      <c r="H51" s="64">
        <v>9.2899999999999991</v>
      </c>
      <c r="I51" s="64">
        <v>1.98</v>
      </c>
      <c r="J51" s="64">
        <v>0.34</v>
      </c>
      <c r="K51" s="64">
        <v>313.42</v>
      </c>
      <c r="L51" s="64">
        <v>32.270000000000003</v>
      </c>
      <c r="M51" s="64">
        <v>75.86</v>
      </c>
      <c r="N51" s="64">
        <v>305.89999999999998</v>
      </c>
      <c r="O51" s="64">
        <v>0</v>
      </c>
      <c r="P51" s="64">
        <v>0.51</v>
      </c>
      <c r="Q51" s="64">
        <v>9.26</v>
      </c>
      <c r="S51" s="198"/>
      <c r="T51" s="198"/>
      <c r="U51" s="198"/>
    </row>
    <row r="52" spans="1:21" s="12" customFormat="1" x14ac:dyDescent="0.25">
      <c r="A52" s="213" t="s">
        <v>2399</v>
      </c>
      <c r="B52" s="64">
        <v>14.04</v>
      </c>
      <c r="C52" s="64">
        <v>17.079999999999998</v>
      </c>
      <c r="D52" s="64">
        <v>20.18</v>
      </c>
      <c r="E52" s="64">
        <v>4.66</v>
      </c>
      <c r="F52" s="64">
        <v>8.8800000000000008</v>
      </c>
      <c r="G52" s="64">
        <v>38.42</v>
      </c>
      <c r="H52" s="64">
        <v>9.2899999999999991</v>
      </c>
      <c r="I52" s="64">
        <v>1.97</v>
      </c>
      <c r="J52" s="64">
        <v>0.38</v>
      </c>
      <c r="K52" s="64">
        <v>316.99</v>
      </c>
      <c r="L52" s="64">
        <v>31.41</v>
      </c>
      <c r="M52" s="64">
        <v>78.400000000000006</v>
      </c>
      <c r="N52" s="64">
        <v>379.6</v>
      </c>
      <c r="O52" s="64">
        <v>0</v>
      </c>
      <c r="P52" s="64">
        <v>0.52</v>
      </c>
      <c r="Q52" s="64">
        <v>9.23</v>
      </c>
      <c r="S52" s="198"/>
      <c r="T52" s="198"/>
      <c r="U52" s="198"/>
    </row>
    <row r="53" spans="1:21" s="12" customFormat="1" x14ac:dyDescent="0.25">
      <c r="A53" s="213" t="s">
        <v>2400</v>
      </c>
      <c r="B53" s="64">
        <v>12.58</v>
      </c>
      <c r="C53" s="64">
        <v>17.05</v>
      </c>
      <c r="D53" s="64">
        <v>18.850000000000001</v>
      </c>
      <c r="E53" s="64">
        <v>4.37</v>
      </c>
      <c r="F53" s="64">
        <v>12.55</v>
      </c>
      <c r="G53" s="64">
        <v>38.42</v>
      </c>
      <c r="H53" s="64">
        <v>9.2899999999999991</v>
      </c>
      <c r="I53" s="64">
        <v>1.95</v>
      </c>
      <c r="J53" s="64">
        <v>0.26</v>
      </c>
      <c r="K53" s="64">
        <v>308.72000000000003</v>
      </c>
      <c r="L53" s="64">
        <v>31.05</v>
      </c>
      <c r="M53" s="64">
        <v>79.87</v>
      </c>
      <c r="N53" s="64">
        <v>654.6</v>
      </c>
      <c r="O53" s="64">
        <v>0</v>
      </c>
      <c r="P53" s="64">
        <v>0.48</v>
      </c>
      <c r="Q53" s="64">
        <v>9.23</v>
      </c>
      <c r="S53" s="198"/>
      <c r="T53" s="198"/>
      <c r="U53" s="198"/>
    </row>
    <row r="54" spans="1:21" s="12" customFormat="1" x14ac:dyDescent="0.25">
      <c r="A54" s="213" t="s">
        <v>2401</v>
      </c>
      <c r="B54" s="64">
        <v>11.02</v>
      </c>
      <c r="C54" s="64">
        <v>15.73</v>
      </c>
      <c r="D54" s="64">
        <v>17.059999999999999</v>
      </c>
      <c r="E54" s="64">
        <v>4.21</v>
      </c>
      <c r="F54" s="64">
        <v>15.28</v>
      </c>
      <c r="G54" s="64">
        <v>37.93</v>
      </c>
      <c r="H54" s="64">
        <v>9.83</v>
      </c>
      <c r="I54" s="64">
        <v>1.92</v>
      </c>
      <c r="J54" s="64">
        <v>0.24</v>
      </c>
      <c r="K54" s="64">
        <v>313.01</v>
      </c>
      <c r="L54" s="64">
        <v>31.5</v>
      </c>
      <c r="M54" s="64">
        <v>78.02</v>
      </c>
      <c r="N54" s="64">
        <v>834</v>
      </c>
      <c r="O54" s="64">
        <v>0</v>
      </c>
      <c r="P54" s="64">
        <v>0.39</v>
      </c>
      <c r="Q54" s="64">
        <v>9.25</v>
      </c>
      <c r="S54" s="198"/>
      <c r="T54" s="198"/>
      <c r="U54" s="198"/>
    </row>
    <row r="55" spans="1:21" s="12" customFormat="1" x14ac:dyDescent="0.25">
      <c r="A55" s="213" t="s">
        <v>2402</v>
      </c>
      <c r="B55" s="64">
        <v>10.85</v>
      </c>
      <c r="C55" s="64">
        <v>17.02</v>
      </c>
      <c r="D55" s="64">
        <v>17.59</v>
      </c>
      <c r="E55" s="64">
        <v>4.3600000000000003</v>
      </c>
      <c r="F55" s="64">
        <v>15.53</v>
      </c>
      <c r="G55" s="64">
        <v>36.71</v>
      </c>
      <c r="H55" s="64">
        <v>11.17</v>
      </c>
      <c r="I55" s="64">
        <v>1.92</v>
      </c>
      <c r="J55" s="64">
        <v>0.03</v>
      </c>
      <c r="K55" s="64">
        <v>258.18</v>
      </c>
      <c r="L55" s="64">
        <v>31.76</v>
      </c>
      <c r="M55" s="64">
        <v>77.09</v>
      </c>
      <c r="N55" s="64">
        <v>475.8</v>
      </c>
      <c r="O55" s="64">
        <v>0</v>
      </c>
      <c r="P55" s="64">
        <v>0.41</v>
      </c>
      <c r="Q55" s="64">
        <v>9.26</v>
      </c>
      <c r="S55" s="198"/>
      <c r="T55" s="198"/>
      <c r="U55" s="198"/>
    </row>
    <row r="56" spans="1:21" s="12" customFormat="1" x14ac:dyDescent="0.25">
      <c r="A56" s="213" t="s">
        <v>2403</v>
      </c>
      <c r="B56" s="64">
        <v>10.16</v>
      </c>
      <c r="C56" s="64">
        <v>15.78</v>
      </c>
      <c r="D56" s="64">
        <v>16.39</v>
      </c>
      <c r="E56" s="64">
        <v>4.78</v>
      </c>
      <c r="F56" s="64">
        <v>13.69</v>
      </c>
      <c r="G56" s="64">
        <v>36.71</v>
      </c>
      <c r="H56" s="64">
        <v>11.17</v>
      </c>
      <c r="I56" s="64">
        <v>1.92</v>
      </c>
      <c r="J56" s="64">
        <v>0.14000000000000001</v>
      </c>
      <c r="K56" s="64">
        <v>286.76</v>
      </c>
      <c r="L56" s="64">
        <v>31.94</v>
      </c>
      <c r="M56" s="64">
        <v>75.709999999999994</v>
      </c>
      <c r="N56" s="64">
        <v>600</v>
      </c>
      <c r="O56" s="64">
        <v>0</v>
      </c>
      <c r="P56" s="64">
        <v>0.44</v>
      </c>
      <c r="Q56" s="64">
        <v>9.27</v>
      </c>
      <c r="S56" s="198"/>
      <c r="T56" s="198"/>
      <c r="U56" s="198"/>
    </row>
    <row r="57" spans="1:21" s="12" customFormat="1" x14ac:dyDescent="0.25">
      <c r="A57" s="213" t="s">
        <v>2404</v>
      </c>
      <c r="B57" s="64">
        <v>12.22</v>
      </c>
      <c r="C57" s="64">
        <v>16.72</v>
      </c>
      <c r="D57" s="64">
        <v>18.54</v>
      </c>
      <c r="E57" s="64">
        <v>4.51</v>
      </c>
      <c r="F57" s="64">
        <v>15.75</v>
      </c>
      <c r="G57" s="64">
        <v>36.71</v>
      </c>
      <c r="H57" s="64">
        <v>11.17</v>
      </c>
      <c r="I57" s="64">
        <v>1.92</v>
      </c>
      <c r="J57" s="64">
        <v>0.28000000000000003</v>
      </c>
      <c r="K57" s="64">
        <v>311.10000000000002</v>
      </c>
      <c r="L57" s="64">
        <v>31.71</v>
      </c>
      <c r="M57" s="64">
        <v>76.14</v>
      </c>
      <c r="N57" s="64">
        <v>242.3</v>
      </c>
      <c r="O57" s="64">
        <v>0</v>
      </c>
      <c r="P57" s="64">
        <v>0.48</v>
      </c>
      <c r="Q57" s="64">
        <v>9.25</v>
      </c>
      <c r="S57" s="198"/>
      <c r="T57" s="198"/>
      <c r="U57" s="198"/>
    </row>
    <row r="58" spans="1:21" s="12" customFormat="1" x14ac:dyDescent="0.25">
      <c r="A58" s="213" t="s">
        <v>2405</v>
      </c>
      <c r="B58" s="64">
        <v>12.47</v>
      </c>
      <c r="C58" s="64">
        <v>18.809999999999999</v>
      </c>
      <c r="D58" s="64">
        <v>19.829999999999998</v>
      </c>
      <c r="E58" s="64">
        <v>4.71</v>
      </c>
      <c r="F58" s="64">
        <v>13.58</v>
      </c>
      <c r="G58" s="64">
        <v>35.97</v>
      </c>
      <c r="H58" s="64">
        <v>10.48</v>
      </c>
      <c r="I58" s="64">
        <v>1.89</v>
      </c>
      <c r="J58" s="64">
        <v>0.18</v>
      </c>
      <c r="K58" s="64">
        <v>298.83</v>
      </c>
      <c r="L58" s="64">
        <v>31.84</v>
      </c>
      <c r="M58" s="64">
        <v>75.739999999999995</v>
      </c>
      <c r="N58" s="64">
        <v>379.8</v>
      </c>
      <c r="O58" s="64">
        <v>0</v>
      </c>
      <c r="P58" s="64">
        <v>0.48</v>
      </c>
      <c r="Q58" s="64">
        <v>9.24</v>
      </c>
      <c r="S58" s="198"/>
      <c r="T58" s="198"/>
      <c r="U58" s="198"/>
    </row>
    <row r="59" spans="1:21" s="12" customFormat="1" x14ac:dyDescent="0.25">
      <c r="A59" s="213" t="s">
        <v>2406</v>
      </c>
      <c r="B59" s="64">
        <v>10.78</v>
      </c>
      <c r="C59" s="64">
        <v>15.56</v>
      </c>
      <c r="D59" s="64">
        <v>16.77</v>
      </c>
      <c r="E59" s="64">
        <v>4.4400000000000004</v>
      </c>
      <c r="F59" s="64">
        <v>14.79</v>
      </c>
      <c r="G59" s="64">
        <v>34.18</v>
      </c>
      <c r="H59" s="64">
        <v>8.76</v>
      </c>
      <c r="I59" s="64">
        <v>1.88</v>
      </c>
      <c r="J59" s="64">
        <v>0.21</v>
      </c>
      <c r="K59" s="64">
        <v>311.83999999999997</v>
      </c>
      <c r="L59" s="64">
        <v>31.61</v>
      </c>
      <c r="M59" s="64">
        <v>78.53</v>
      </c>
      <c r="N59" s="64">
        <v>570.4</v>
      </c>
      <c r="O59" s="64">
        <v>0</v>
      </c>
      <c r="P59" s="64">
        <v>0.41</v>
      </c>
      <c r="Q59" s="64">
        <v>9.24</v>
      </c>
      <c r="S59" s="198"/>
      <c r="T59" s="198"/>
      <c r="U59" s="198"/>
    </row>
    <row r="60" spans="1:21" s="12" customFormat="1" x14ac:dyDescent="0.25">
      <c r="A60" s="213" t="s">
        <v>2407</v>
      </c>
      <c r="B60" s="64">
        <v>9.61</v>
      </c>
      <c r="C60" s="64">
        <v>15.09</v>
      </c>
      <c r="D60" s="64">
        <v>15.59</v>
      </c>
      <c r="E60" s="64">
        <v>4.5199999999999996</v>
      </c>
      <c r="F60" s="64">
        <v>16.32</v>
      </c>
      <c r="G60" s="64">
        <v>34.18</v>
      </c>
      <c r="H60" s="64">
        <v>8.76</v>
      </c>
      <c r="I60" s="64">
        <v>1.88</v>
      </c>
      <c r="J60" s="64">
        <v>0.1</v>
      </c>
      <c r="K60" s="64">
        <v>353.82</v>
      </c>
      <c r="L60" s="64">
        <v>30.96</v>
      </c>
      <c r="M60" s="64">
        <v>81.790000000000006</v>
      </c>
      <c r="N60" s="64">
        <v>170.2</v>
      </c>
      <c r="O60" s="64">
        <v>0.2</v>
      </c>
      <c r="P60" s="64">
        <v>0.4</v>
      </c>
      <c r="Q60" s="64">
        <v>9.24</v>
      </c>
      <c r="S60" s="198"/>
      <c r="T60" s="198"/>
      <c r="U60" s="198"/>
    </row>
    <row r="61" spans="1:21" s="12" customFormat="1" x14ac:dyDescent="0.25">
      <c r="A61" s="213" t="s">
        <v>2408</v>
      </c>
      <c r="B61" s="64">
        <v>10.32</v>
      </c>
      <c r="C61" s="64">
        <v>14.35</v>
      </c>
      <c r="D61" s="64">
        <v>15.77</v>
      </c>
      <c r="E61" s="64">
        <v>4.75</v>
      </c>
      <c r="F61" s="64">
        <v>10.59</v>
      </c>
      <c r="G61" s="64">
        <v>34.18</v>
      </c>
      <c r="H61" s="64">
        <v>8.76</v>
      </c>
      <c r="I61" s="64">
        <v>1.87</v>
      </c>
      <c r="J61" s="64">
        <v>1.37</v>
      </c>
      <c r="K61" s="64">
        <v>338.72</v>
      </c>
      <c r="L61" s="64">
        <v>27.34</v>
      </c>
      <c r="M61" s="64">
        <v>97.78</v>
      </c>
      <c r="N61" s="64">
        <v>85.7</v>
      </c>
      <c r="O61" s="64">
        <v>12.8</v>
      </c>
      <c r="P61" s="64">
        <v>0.42</v>
      </c>
      <c r="Q61" s="64">
        <v>9.2200000000000006</v>
      </c>
      <c r="S61" s="198"/>
      <c r="T61" s="198"/>
      <c r="U61" s="198"/>
    </row>
    <row r="62" spans="1:21" s="12" customFormat="1" x14ac:dyDescent="0.25">
      <c r="A62" s="213" t="s">
        <v>2409</v>
      </c>
      <c r="B62" s="64">
        <v>10.02</v>
      </c>
      <c r="C62" s="64">
        <v>11.77</v>
      </c>
      <c r="D62" s="64">
        <v>14.19</v>
      </c>
      <c r="E62" s="64">
        <v>4.9400000000000004</v>
      </c>
      <c r="F62" s="64">
        <v>10.98</v>
      </c>
      <c r="G62" s="64">
        <v>33.69</v>
      </c>
      <c r="H62" s="64">
        <v>9.09</v>
      </c>
      <c r="I62" s="64">
        <v>1.83</v>
      </c>
      <c r="J62" s="64">
        <v>0.66</v>
      </c>
      <c r="K62" s="64">
        <v>325.64</v>
      </c>
      <c r="L62" s="64">
        <v>24.61</v>
      </c>
      <c r="M62" s="64">
        <v>98.11</v>
      </c>
      <c r="N62" s="64">
        <v>95.5</v>
      </c>
      <c r="O62" s="64">
        <v>11.8</v>
      </c>
      <c r="P62" s="64">
        <v>0.43</v>
      </c>
      <c r="Q62" s="64">
        <v>9.1999999999999993</v>
      </c>
      <c r="S62" s="198"/>
      <c r="T62" s="198"/>
      <c r="U62" s="198"/>
    </row>
    <row r="63" spans="1:21" s="12" customFormat="1" x14ac:dyDescent="0.25">
      <c r="A63" s="213" t="s">
        <v>2410</v>
      </c>
      <c r="B63" s="64">
        <v>9.82</v>
      </c>
      <c r="C63" s="64">
        <v>17.54</v>
      </c>
      <c r="D63" s="64">
        <v>17.04</v>
      </c>
      <c r="E63" s="64">
        <v>4.5</v>
      </c>
      <c r="F63" s="64">
        <v>8.6199999999999992</v>
      </c>
      <c r="G63" s="64">
        <v>32.479999999999997</v>
      </c>
      <c r="H63" s="64">
        <v>9.9</v>
      </c>
      <c r="I63" s="64">
        <v>1.74</v>
      </c>
      <c r="J63" s="64">
        <v>0.19</v>
      </c>
      <c r="K63" s="64">
        <v>161.1</v>
      </c>
      <c r="L63" s="64">
        <v>24.11</v>
      </c>
      <c r="M63" s="64">
        <v>98.11</v>
      </c>
      <c r="N63" s="64">
        <v>124.9</v>
      </c>
      <c r="O63" s="64">
        <v>0.2</v>
      </c>
      <c r="P63" s="64">
        <v>0.42</v>
      </c>
      <c r="Q63" s="64">
        <v>9.18</v>
      </c>
      <c r="S63" s="198"/>
      <c r="T63" s="198"/>
      <c r="U63" s="198"/>
    </row>
    <row r="64" spans="1:21" s="12" customFormat="1" x14ac:dyDescent="0.25">
      <c r="A64" s="213" t="s">
        <v>2411</v>
      </c>
      <c r="B64" s="64">
        <v>10.14</v>
      </c>
      <c r="C64" s="64">
        <v>21.13</v>
      </c>
      <c r="D64" s="64">
        <v>19.170000000000002</v>
      </c>
      <c r="E64" s="64">
        <v>4.4800000000000004</v>
      </c>
      <c r="F64" s="64">
        <v>6.86</v>
      </c>
      <c r="G64" s="64">
        <v>32.479999999999997</v>
      </c>
      <c r="H64" s="64">
        <v>9.9</v>
      </c>
      <c r="I64" s="64">
        <v>1.69</v>
      </c>
      <c r="J64" s="64">
        <v>0.7</v>
      </c>
      <c r="K64" s="64">
        <v>141.38999999999999</v>
      </c>
      <c r="L64" s="64">
        <v>24.22</v>
      </c>
      <c r="M64" s="64">
        <v>98.1</v>
      </c>
      <c r="N64" s="64">
        <v>142.1</v>
      </c>
      <c r="O64" s="64">
        <v>0</v>
      </c>
      <c r="P64" s="64">
        <v>0.42</v>
      </c>
      <c r="Q64" s="64">
        <v>9.18</v>
      </c>
      <c r="S64" s="198"/>
      <c r="T64" s="198"/>
      <c r="U64" s="198"/>
    </row>
    <row r="65" spans="1:21" s="12" customFormat="1" x14ac:dyDescent="0.25">
      <c r="A65" s="213" t="s">
        <v>2412</v>
      </c>
      <c r="B65" s="64">
        <v>10.16</v>
      </c>
      <c r="C65" s="64">
        <v>15.38</v>
      </c>
      <c r="D65" s="64">
        <v>16.18</v>
      </c>
      <c r="E65" s="64">
        <v>4.58</v>
      </c>
      <c r="F65" s="64">
        <v>8.74</v>
      </c>
      <c r="G65" s="64">
        <v>32.479999999999997</v>
      </c>
      <c r="H65" s="64">
        <v>9.9</v>
      </c>
      <c r="I65" s="64">
        <v>1.65</v>
      </c>
      <c r="J65" s="64">
        <v>0.23</v>
      </c>
      <c r="K65" s="64">
        <v>134.4</v>
      </c>
      <c r="L65" s="64">
        <v>24.09</v>
      </c>
      <c r="M65" s="64">
        <v>98.13</v>
      </c>
      <c r="N65" s="64">
        <v>190.8</v>
      </c>
      <c r="O65" s="64">
        <v>0</v>
      </c>
      <c r="P65" s="64">
        <v>0.44</v>
      </c>
      <c r="Q65" s="64">
        <v>9.18</v>
      </c>
      <c r="S65" s="198"/>
      <c r="T65" s="198"/>
      <c r="U65" s="198"/>
    </row>
    <row r="66" spans="1:21" s="12" customFormat="1" x14ac:dyDescent="0.25">
      <c r="A66" s="213" t="s">
        <v>2413</v>
      </c>
      <c r="B66" s="64">
        <v>9.1199999999999992</v>
      </c>
      <c r="C66" s="64">
        <v>16.97</v>
      </c>
      <c r="D66" s="64">
        <v>16.18</v>
      </c>
      <c r="E66" s="64">
        <v>4.6900000000000004</v>
      </c>
      <c r="F66" s="64">
        <v>12.22</v>
      </c>
      <c r="G66" s="64">
        <v>31.16</v>
      </c>
      <c r="H66" s="64">
        <v>10.14</v>
      </c>
      <c r="I66" s="64">
        <v>1.62</v>
      </c>
      <c r="J66" s="64">
        <v>0.18</v>
      </c>
      <c r="K66" s="64">
        <v>140.99</v>
      </c>
      <c r="L66" s="64">
        <v>24.75</v>
      </c>
      <c r="M66" s="64">
        <v>98.14</v>
      </c>
      <c r="N66" s="64">
        <v>285.2</v>
      </c>
      <c r="O66" s="64">
        <v>0</v>
      </c>
      <c r="P66" s="64">
        <v>0.38</v>
      </c>
      <c r="Q66" s="64">
        <v>9.18</v>
      </c>
      <c r="S66" s="198"/>
      <c r="T66" s="198"/>
      <c r="U66" s="198"/>
    </row>
    <row r="67" spans="1:21" s="12" customFormat="1" x14ac:dyDescent="0.25">
      <c r="A67" s="213" t="s">
        <v>2414</v>
      </c>
      <c r="B67" s="64">
        <v>9.74</v>
      </c>
      <c r="C67" s="64">
        <v>14.27</v>
      </c>
      <c r="D67" s="64">
        <v>15.26</v>
      </c>
      <c r="E67" s="64">
        <v>4.43</v>
      </c>
      <c r="F67" s="64">
        <v>10.67</v>
      </c>
      <c r="G67" s="64">
        <v>27.9</v>
      </c>
      <c r="H67" s="64">
        <v>10.71</v>
      </c>
      <c r="I67" s="64">
        <v>1.61</v>
      </c>
      <c r="J67" s="64">
        <v>0.31</v>
      </c>
      <c r="K67" s="64">
        <v>152.52000000000001</v>
      </c>
      <c r="L67" s="64">
        <v>25.46</v>
      </c>
      <c r="M67" s="64">
        <v>98.15</v>
      </c>
      <c r="N67" s="64">
        <v>290.8</v>
      </c>
      <c r="O67" s="64">
        <v>0</v>
      </c>
      <c r="P67" s="64">
        <v>0.4</v>
      </c>
      <c r="Q67" s="64">
        <v>9.16</v>
      </c>
      <c r="S67" s="198"/>
      <c r="T67" s="198"/>
      <c r="U67" s="198"/>
    </row>
    <row r="68" spans="1:21" s="12" customFormat="1" x14ac:dyDescent="0.25">
      <c r="A68" s="213" t="s">
        <v>2415</v>
      </c>
      <c r="B68" s="64">
        <v>8.33</v>
      </c>
      <c r="C68" s="64">
        <v>13.33</v>
      </c>
      <c r="D68" s="64">
        <v>13.64</v>
      </c>
      <c r="E68" s="64">
        <v>4.4000000000000004</v>
      </c>
      <c r="F68" s="64">
        <v>14.43</v>
      </c>
      <c r="G68" s="64">
        <v>27.9</v>
      </c>
      <c r="H68" s="64">
        <v>10.71</v>
      </c>
      <c r="I68" s="64">
        <v>1.6</v>
      </c>
      <c r="J68" s="64">
        <v>0.25</v>
      </c>
      <c r="K68" s="64">
        <v>157.74</v>
      </c>
      <c r="L68" s="64">
        <v>26.1</v>
      </c>
      <c r="M68" s="64">
        <v>98.13</v>
      </c>
      <c r="N68" s="64">
        <v>267.8</v>
      </c>
      <c r="O68" s="64">
        <v>0</v>
      </c>
      <c r="P68" s="64">
        <v>0.38</v>
      </c>
      <c r="Q68" s="64">
        <v>9.14</v>
      </c>
      <c r="S68" s="198"/>
      <c r="T68" s="198"/>
      <c r="U68" s="198"/>
    </row>
    <row r="69" spans="1:21" s="12" customFormat="1" x14ac:dyDescent="0.25">
      <c r="A69" s="213" t="s">
        <v>2416</v>
      </c>
      <c r="B69" s="64">
        <v>7.95</v>
      </c>
      <c r="C69" s="64">
        <v>15.44</v>
      </c>
      <c r="D69" s="64">
        <v>14.45</v>
      </c>
      <c r="E69" s="64">
        <v>4.79</v>
      </c>
      <c r="F69" s="64">
        <v>15.73</v>
      </c>
      <c r="G69" s="64">
        <v>27.9</v>
      </c>
      <c r="H69" s="64">
        <v>10.71</v>
      </c>
      <c r="I69" s="64">
        <v>1.57</v>
      </c>
      <c r="J69" s="64">
        <v>0.56999999999999995</v>
      </c>
      <c r="K69" s="64">
        <v>136.35</v>
      </c>
      <c r="L69" s="64">
        <v>27.42</v>
      </c>
      <c r="M69" s="64">
        <v>98</v>
      </c>
      <c r="N69" s="64">
        <v>253</v>
      </c>
      <c r="O69" s="64">
        <v>0</v>
      </c>
      <c r="P69" s="64">
        <v>0.31</v>
      </c>
      <c r="Q69" s="64">
        <v>9.1300000000000008</v>
      </c>
      <c r="S69" s="198"/>
      <c r="T69" s="198"/>
      <c r="U69" s="198"/>
    </row>
    <row r="70" spans="1:21" s="12" customFormat="1" x14ac:dyDescent="0.25">
      <c r="A70" s="213" t="s">
        <v>2417</v>
      </c>
      <c r="B70" s="64">
        <v>7.12</v>
      </c>
      <c r="C70" s="64">
        <v>14.63</v>
      </c>
      <c r="D70" s="64">
        <v>13.36</v>
      </c>
      <c r="E70" s="64">
        <v>4.72</v>
      </c>
      <c r="F70" s="64">
        <v>14.3</v>
      </c>
      <c r="G70" s="64">
        <v>27.21</v>
      </c>
      <c r="H70" s="64">
        <v>10.64</v>
      </c>
      <c r="I70" s="64">
        <v>1.53</v>
      </c>
      <c r="J70" s="64">
        <v>7.0000000000000007E-2</v>
      </c>
      <c r="K70" s="64">
        <v>164.52</v>
      </c>
      <c r="L70" s="64">
        <v>28.02</v>
      </c>
      <c r="M70" s="64">
        <v>96.79</v>
      </c>
      <c r="N70" s="64">
        <v>237.6</v>
      </c>
      <c r="O70" s="64">
        <v>0</v>
      </c>
      <c r="P70" s="64">
        <v>0.33</v>
      </c>
      <c r="Q70" s="64">
        <v>9.11</v>
      </c>
      <c r="S70" s="198"/>
      <c r="T70" s="198"/>
      <c r="U70" s="198"/>
    </row>
    <row r="71" spans="1:21" s="12" customFormat="1" x14ac:dyDescent="0.25">
      <c r="A71" s="213" t="s">
        <v>2418</v>
      </c>
      <c r="B71" s="64">
        <v>7.14</v>
      </c>
      <c r="C71" s="64">
        <v>16.600000000000001</v>
      </c>
      <c r="D71" s="64">
        <v>14.4</v>
      </c>
      <c r="E71" s="64">
        <v>4.45</v>
      </c>
      <c r="F71" s="64">
        <v>12.77</v>
      </c>
      <c r="G71" s="64">
        <v>25.51</v>
      </c>
      <c r="H71" s="64">
        <v>10.45</v>
      </c>
      <c r="I71" s="64">
        <v>1.51</v>
      </c>
      <c r="J71" s="64">
        <v>0.03</v>
      </c>
      <c r="K71" s="64">
        <v>233.25</v>
      </c>
      <c r="L71" s="64">
        <v>28.31</v>
      </c>
      <c r="M71" s="64">
        <v>96.47</v>
      </c>
      <c r="N71" s="64">
        <v>212.5</v>
      </c>
      <c r="O71" s="64">
        <v>0</v>
      </c>
      <c r="P71" s="64">
        <v>0.38</v>
      </c>
      <c r="Q71" s="64">
        <v>9.11</v>
      </c>
      <c r="S71" s="198"/>
      <c r="T71" s="198"/>
      <c r="U71" s="198"/>
    </row>
    <row r="72" spans="1:21" s="12" customFormat="1" x14ac:dyDescent="0.25">
      <c r="A72" s="213" t="s">
        <v>2419</v>
      </c>
      <c r="B72" s="64">
        <v>8.4499999999999993</v>
      </c>
      <c r="C72" s="64">
        <v>20.260000000000002</v>
      </c>
      <c r="D72" s="64">
        <v>17.36</v>
      </c>
      <c r="E72" s="64">
        <v>3.69</v>
      </c>
      <c r="F72" s="64">
        <v>13.79</v>
      </c>
      <c r="G72" s="64">
        <v>25.51</v>
      </c>
      <c r="H72" s="64">
        <v>10.45</v>
      </c>
      <c r="I72" s="64">
        <v>1.48</v>
      </c>
      <c r="J72" s="64">
        <v>0.1</v>
      </c>
      <c r="K72" s="64">
        <v>277.62</v>
      </c>
      <c r="L72" s="64">
        <v>28.49</v>
      </c>
      <c r="M72" s="64">
        <v>95.84</v>
      </c>
      <c r="N72" s="64">
        <v>180.4</v>
      </c>
      <c r="O72" s="64">
        <v>0</v>
      </c>
      <c r="P72" s="64">
        <v>0.43</v>
      </c>
      <c r="Q72" s="64">
        <v>9.1300000000000008</v>
      </c>
      <c r="S72" s="198"/>
      <c r="T72" s="198"/>
      <c r="U72" s="198"/>
    </row>
    <row r="73" spans="1:21" s="12" customFormat="1" x14ac:dyDescent="0.25">
      <c r="A73" s="213" t="s">
        <v>2420</v>
      </c>
      <c r="B73" s="64">
        <v>7.36</v>
      </c>
      <c r="C73" s="64">
        <v>18.600000000000001</v>
      </c>
      <c r="D73" s="64">
        <v>15.62</v>
      </c>
      <c r="E73" s="64">
        <v>4.01</v>
      </c>
      <c r="F73" s="64">
        <v>14.09</v>
      </c>
      <c r="G73" s="64">
        <v>25.51</v>
      </c>
      <c r="H73" s="64">
        <v>10.45</v>
      </c>
      <c r="I73" s="64">
        <v>1.48</v>
      </c>
      <c r="J73" s="64">
        <v>0.08</v>
      </c>
      <c r="K73" s="64">
        <v>262.45</v>
      </c>
      <c r="L73" s="64">
        <v>28.66</v>
      </c>
      <c r="M73" s="64">
        <v>95.67</v>
      </c>
      <c r="N73" s="64">
        <v>200.2</v>
      </c>
      <c r="O73" s="64">
        <v>0</v>
      </c>
      <c r="P73" s="64">
        <v>0.41</v>
      </c>
      <c r="Q73" s="64">
        <v>9.14</v>
      </c>
      <c r="S73" s="198"/>
      <c r="T73" s="198"/>
      <c r="U73" s="198"/>
    </row>
    <row r="74" spans="1:21" s="12" customFormat="1" x14ac:dyDescent="0.25">
      <c r="A74" s="213" t="s">
        <v>2421</v>
      </c>
      <c r="B74" s="64">
        <v>11.19</v>
      </c>
      <c r="C74" s="64">
        <v>22.37</v>
      </c>
      <c r="D74" s="64">
        <v>20.66</v>
      </c>
      <c r="E74" s="64">
        <v>4</v>
      </c>
      <c r="F74" s="64">
        <v>15.16</v>
      </c>
      <c r="G74" s="64">
        <v>25.26</v>
      </c>
      <c r="H74" s="64">
        <v>10.33</v>
      </c>
      <c r="I74" s="64">
        <v>1.48</v>
      </c>
      <c r="J74" s="64">
        <v>0.08</v>
      </c>
      <c r="K74" s="64">
        <v>300.08999999999997</v>
      </c>
      <c r="L74" s="64">
        <v>28.78</v>
      </c>
      <c r="M74" s="64">
        <v>97.08</v>
      </c>
      <c r="N74" s="64">
        <v>165.2</v>
      </c>
      <c r="O74" s="64">
        <v>0</v>
      </c>
      <c r="P74" s="64">
        <v>0.43</v>
      </c>
      <c r="Q74" s="64">
        <v>9.14</v>
      </c>
      <c r="S74" s="198"/>
      <c r="T74" s="198"/>
      <c r="U74" s="198"/>
    </row>
    <row r="75" spans="1:21" s="12" customFormat="1" x14ac:dyDescent="0.25">
      <c r="A75" s="213" t="s">
        <v>2422</v>
      </c>
      <c r="B75" s="64">
        <v>6.46</v>
      </c>
      <c r="C75" s="64">
        <v>18.100000000000001</v>
      </c>
      <c r="D75" s="64">
        <v>14.63</v>
      </c>
      <c r="E75" s="64">
        <v>4.42</v>
      </c>
      <c r="F75" s="64">
        <v>13.53</v>
      </c>
      <c r="G75" s="64">
        <v>24.66</v>
      </c>
      <c r="H75" s="64">
        <v>10.050000000000001</v>
      </c>
      <c r="I75" s="64">
        <v>1.49</v>
      </c>
      <c r="J75" s="64">
        <v>0.1</v>
      </c>
      <c r="K75" s="64">
        <v>296.86</v>
      </c>
      <c r="L75" s="64">
        <v>28.77</v>
      </c>
      <c r="M75" s="64">
        <v>95.92</v>
      </c>
      <c r="N75" s="64">
        <v>115</v>
      </c>
      <c r="O75" s="64">
        <v>0</v>
      </c>
      <c r="P75" s="64">
        <v>0.38</v>
      </c>
      <c r="Q75" s="64">
        <v>9.15</v>
      </c>
      <c r="S75" s="198"/>
      <c r="T75" s="198"/>
      <c r="U75" s="198"/>
    </row>
    <row r="76" spans="1:21" s="12" customFormat="1" x14ac:dyDescent="0.25">
      <c r="A76" s="213" t="s">
        <v>2423</v>
      </c>
      <c r="B76" s="64">
        <v>11.51</v>
      </c>
      <c r="C76" s="64">
        <v>15.99</v>
      </c>
      <c r="D76" s="64">
        <v>17.440000000000001</v>
      </c>
      <c r="E76" s="64">
        <v>4.18</v>
      </c>
      <c r="F76" s="64">
        <v>11.31</v>
      </c>
      <c r="G76" s="64">
        <v>24.66</v>
      </c>
      <c r="H76" s="64">
        <v>10.050000000000001</v>
      </c>
      <c r="I76" s="64">
        <v>1.5</v>
      </c>
      <c r="J76" s="64">
        <v>1.01</v>
      </c>
      <c r="K76" s="64">
        <v>332.19</v>
      </c>
      <c r="L76" s="64">
        <v>28.52</v>
      </c>
      <c r="M76" s="64">
        <v>93.37</v>
      </c>
      <c r="N76" s="64">
        <v>75.900000000000006</v>
      </c>
      <c r="O76" s="64">
        <v>0</v>
      </c>
      <c r="P76" s="64">
        <v>0.48</v>
      </c>
      <c r="Q76" s="64">
        <v>9.15</v>
      </c>
      <c r="S76" s="198"/>
      <c r="T76" s="198"/>
      <c r="U76" s="198"/>
    </row>
    <row r="77" spans="1:21" s="12" customFormat="1" x14ac:dyDescent="0.25">
      <c r="A77" s="213" t="s">
        <v>2424</v>
      </c>
      <c r="B77" s="64">
        <v>15.46</v>
      </c>
      <c r="C77" s="64">
        <v>19.16</v>
      </c>
      <c r="D77" s="64">
        <v>22.4</v>
      </c>
      <c r="E77" s="64">
        <v>4.51</v>
      </c>
      <c r="F77" s="64">
        <v>12.67</v>
      </c>
      <c r="G77" s="64">
        <v>24.66</v>
      </c>
      <c r="H77" s="64">
        <v>10.050000000000001</v>
      </c>
      <c r="I77" s="64">
        <v>1.51</v>
      </c>
      <c r="J77" s="64">
        <v>1.06</v>
      </c>
      <c r="K77" s="64">
        <v>336.16</v>
      </c>
      <c r="L77" s="64">
        <v>28.11</v>
      </c>
      <c r="M77" s="64">
        <v>91.57</v>
      </c>
      <c r="N77" s="64">
        <v>74.7</v>
      </c>
      <c r="O77" s="64">
        <v>0</v>
      </c>
      <c r="P77" s="64">
        <v>0.53</v>
      </c>
      <c r="Q77" s="64">
        <v>9.15</v>
      </c>
      <c r="S77" s="198"/>
      <c r="T77" s="198"/>
      <c r="U77" s="198"/>
    </row>
    <row r="78" spans="1:21" s="12" customFormat="1" x14ac:dyDescent="0.25">
      <c r="A78" s="213" t="s">
        <v>2425</v>
      </c>
      <c r="B78" s="64">
        <v>14.74</v>
      </c>
      <c r="C78" s="64">
        <v>16.38</v>
      </c>
      <c r="D78" s="64">
        <v>20.32</v>
      </c>
      <c r="E78" s="64">
        <v>4.5999999999999996</v>
      </c>
      <c r="F78" s="64">
        <v>11.01</v>
      </c>
      <c r="G78" s="64">
        <v>25.72</v>
      </c>
      <c r="H78" s="64">
        <v>10.47</v>
      </c>
      <c r="I78" s="64">
        <v>1.51</v>
      </c>
      <c r="J78" s="64">
        <v>0.92</v>
      </c>
      <c r="K78" s="64">
        <v>334.14</v>
      </c>
      <c r="L78" s="64">
        <v>27.75</v>
      </c>
      <c r="M78" s="64">
        <v>94.9</v>
      </c>
      <c r="N78" s="64">
        <v>72.599999999999994</v>
      </c>
      <c r="O78" s="64">
        <v>0</v>
      </c>
      <c r="P78" s="64">
        <v>0.53</v>
      </c>
      <c r="Q78" s="64">
        <v>9.17</v>
      </c>
      <c r="S78" s="198"/>
      <c r="T78" s="198"/>
      <c r="U78" s="198"/>
    </row>
    <row r="79" spans="1:21" s="12" customFormat="1" x14ac:dyDescent="0.25">
      <c r="A79" s="213" t="s">
        <v>2426</v>
      </c>
      <c r="B79" s="64">
        <v>18.510000000000002</v>
      </c>
      <c r="C79" s="64">
        <v>22.21</v>
      </c>
      <c r="D79" s="64">
        <v>26.45</v>
      </c>
      <c r="E79" s="64">
        <v>4.6500000000000004</v>
      </c>
      <c r="F79" s="64">
        <v>11.33</v>
      </c>
      <c r="G79" s="64">
        <v>28.35</v>
      </c>
      <c r="H79" s="64">
        <v>11.49</v>
      </c>
      <c r="I79" s="64">
        <v>1.52</v>
      </c>
      <c r="J79" s="64">
        <v>0.91</v>
      </c>
      <c r="K79" s="64">
        <v>338.2</v>
      </c>
      <c r="L79" s="64">
        <v>27.57</v>
      </c>
      <c r="M79" s="64">
        <v>95.04</v>
      </c>
      <c r="N79" s="64">
        <v>72</v>
      </c>
      <c r="O79" s="64">
        <v>0</v>
      </c>
      <c r="P79" s="64">
        <v>0.72</v>
      </c>
      <c r="Q79" s="64">
        <v>9.19</v>
      </c>
      <c r="S79" s="198"/>
      <c r="T79" s="198"/>
      <c r="U79" s="198"/>
    </row>
    <row r="80" spans="1:21" s="12" customFormat="1" x14ac:dyDescent="0.25">
      <c r="A80" s="213" t="s">
        <v>2427</v>
      </c>
      <c r="B80" s="64">
        <v>19.48</v>
      </c>
      <c r="C80" s="64">
        <v>28.02</v>
      </c>
      <c r="D80" s="64">
        <v>30.26</v>
      </c>
      <c r="E80" s="64">
        <v>4.57</v>
      </c>
      <c r="F80" s="64">
        <v>10.130000000000001</v>
      </c>
      <c r="G80" s="64">
        <v>28.35</v>
      </c>
      <c r="H80" s="64">
        <v>11.49</v>
      </c>
      <c r="I80" s="64">
        <v>1.44</v>
      </c>
      <c r="J80" s="64">
        <v>0.7</v>
      </c>
      <c r="K80" s="64">
        <v>338.18</v>
      </c>
      <c r="L80" s="64">
        <v>27.54</v>
      </c>
      <c r="M80" s="64">
        <v>93.92</v>
      </c>
      <c r="N80" s="64">
        <v>63.7</v>
      </c>
      <c r="O80" s="64">
        <v>0</v>
      </c>
      <c r="P80" s="64">
        <v>0.89</v>
      </c>
      <c r="Q80" s="64">
        <v>9.2200000000000006</v>
      </c>
      <c r="S80" s="198"/>
      <c r="T80" s="198"/>
      <c r="U80" s="198"/>
    </row>
    <row r="81" spans="1:26" s="12" customFormat="1" x14ac:dyDescent="0.25">
      <c r="A81" s="213" t="s">
        <v>2428</v>
      </c>
      <c r="B81" s="64">
        <v>24.25</v>
      </c>
      <c r="C81" s="64">
        <v>28.95</v>
      </c>
      <c r="D81" s="64">
        <v>34.57</v>
      </c>
      <c r="E81" s="64">
        <v>4.83</v>
      </c>
      <c r="F81" s="64">
        <v>7.49</v>
      </c>
      <c r="G81" s="64">
        <v>28.35</v>
      </c>
      <c r="H81" s="64">
        <v>11.49</v>
      </c>
      <c r="I81" s="64">
        <v>1.4</v>
      </c>
      <c r="J81" s="64">
        <v>0.79</v>
      </c>
      <c r="K81" s="64">
        <v>338.12</v>
      </c>
      <c r="L81" s="64">
        <v>27.37</v>
      </c>
      <c r="M81" s="64">
        <v>95.26</v>
      </c>
      <c r="N81" s="64">
        <v>55.4</v>
      </c>
      <c r="O81" s="64">
        <v>0</v>
      </c>
      <c r="P81" s="64">
        <v>0.81</v>
      </c>
      <c r="Q81" s="64">
        <v>9.24</v>
      </c>
      <c r="S81" s="198"/>
      <c r="T81" s="198"/>
      <c r="U81" s="198"/>
    </row>
    <row r="82" spans="1:26" s="12" customFormat="1" x14ac:dyDescent="0.25">
      <c r="A82" s="213" t="s">
        <v>2429</v>
      </c>
      <c r="B82" s="64">
        <v>40.950000000000003</v>
      </c>
      <c r="C82" s="64">
        <v>42.5</v>
      </c>
      <c r="D82" s="64">
        <v>55.04</v>
      </c>
      <c r="E82" s="64">
        <v>4.79</v>
      </c>
      <c r="F82" s="64">
        <v>8.83</v>
      </c>
      <c r="G82" s="64">
        <v>34.04</v>
      </c>
      <c r="H82" s="64">
        <v>12.53</v>
      </c>
      <c r="I82" s="64">
        <v>1.46</v>
      </c>
      <c r="J82" s="64">
        <v>0</v>
      </c>
      <c r="K82" s="64">
        <v>56.05</v>
      </c>
      <c r="L82" s="64">
        <v>27.04</v>
      </c>
      <c r="M82" s="64">
        <v>97.71</v>
      </c>
      <c r="N82" s="64">
        <v>49</v>
      </c>
      <c r="O82" s="64">
        <v>0</v>
      </c>
      <c r="P82" s="64">
        <v>1.43</v>
      </c>
      <c r="Q82" s="64">
        <v>9.2899999999999991</v>
      </c>
      <c r="S82" s="198"/>
      <c r="T82" s="198"/>
      <c r="U82" s="198"/>
    </row>
    <row r="83" spans="1:26" s="12" customFormat="1" x14ac:dyDescent="0.25">
      <c r="A83" s="213" t="s">
        <v>2430</v>
      </c>
      <c r="B83" s="64">
        <v>69.39</v>
      </c>
      <c r="C83" s="64">
        <v>41.49</v>
      </c>
      <c r="D83" s="64">
        <v>77.319999999999993</v>
      </c>
      <c r="E83" s="64">
        <v>4.99</v>
      </c>
      <c r="F83" s="64">
        <v>6.58</v>
      </c>
      <c r="G83" s="64">
        <v>48.05</v>
      </c>
      <c r="H83" s="64">
        <v>15.1</v>
      </c>
      <c r="I83" s="64">
        <v>1.52</v>
      </c>
      <c r="J83" s="64">
        <v>0.11</v>
      </c>
      <c r="K83" s="64">
        <v>333.43</v>
      </c>
      <c r="L83" s="64">
        <v>26.7</v>
      </c>
      <c r="M83" s="64">
        <v>97.99</v>
      </c>
      <c r="N83" s="64">
        <v>44.1</v>
      </c>
      <c r="O83" s="64">
        <v>0</v>
      </c>
      <c r="P83" s="64">
        <v>2.21</v>
      </c>
      <c r="Q83" s="64">
        <v>9.33</v>
      </c>
      <c r="S83" s="198"/>
      <c r="T83" s="198"/>
      <c r="U83" s="198"/>
    </row>
    <row r="84" spans="1:26" s="12" customFormat="1" x14ac:dyDescent="0.25">
      <c r="A84" s="213" t="s">
        <v>2431</v>
      </c>
      <c r="B84" s="64">
        <v>34.99</v>
      </c>
      <c r="C84" s="64">
        <v>41.86</v>
      </c>
      <c r="D84" s="64">
        <v>49.92</v>
      </c>
      <c r="E84" s="64">
        <v>4.7</v>
      </c>
      <c r="F84" s="64">
        <v>7.33</v>
      </c>
      <c r="G84" s="64">
        <v>48.05</v>
      </c>
      <c r="H84" s="64">
        <v>15.1</v>
      </c>
      <c r="I84" s="64">
        <v>1.59</v>
      </c>
      <c r="J84" s="64">
        <v>0.23</v>
      </c>
      <c r="K84" s="64">
        <v>336.9</v>
      </c>
      <c r="L84" s="64">
        <v>26.55</v>
      </c>
      <c r="M84" s="64">
        <v>97.99</v>
      </c>
      <c r="N84" s="64">
        <v>43.5</v>
      </c>
      <c r="O84" s="64">
        <v>0</v>
      </c>
      <c r="P84" s="64">
        <v>1.7</v>
      </c>
      <c r="Q84" s="64">
        <v>9.3800000000000008</v>
      </c>
      <c r="S84" s="198"/>
      <c r="T84" s="198"/>
      <c r="U84" s="198"/>
    </row>
    <row r="85" spans="1:26" s="12" customFormat="1" x14ac:dyDescent="0.25">
      <c r="A85" s="213" t="s">
        <v>2432</v>
      </c>
      <c r="B85" s="64">
        <v>33.229999999999997</v>
      </c>
      <c r="C85" s="64">
        <v>35.049999999999997</v>
      </c>
      <c r="D85" s="64">
        <v>44.96</v>
      </c>
      <c r="E85" s="64">
        <v>4.47</v>
      </c>
      <c r="F85" s="64">
        <v>7.09</v>
      </c>
      <c r="G85" s="64">
        <v>48.05</v>
      </c>
      <c r="H85" s="64">
        <v>15.1</v>
      </c>
      <c r="I85" s="64">
        <v>1.7</v>
      </c>
      <c r="J85" s="64">
        <v>0.02</v>
      </c>
      <c r="K85" s="64">
        <v>353.59</v>
      </c>
      <c r="L85" s="64">
        <v>26.42</v>
      </c>
      <c r="M85" s="64">
        <v>98</v>
      </c>
      <c r="N85" s="64">
        <v>43.6</v>
      </c>
      <c r="O85" s="64">
        <v>0</v>
      </c>
      <c r="P85" s="64">
        <v>1.53</v>
      </c>
      <c r="Q85" s="64">
        <v>9.44</v>
      </c>
      <c r="S85" s="198"/>
      <c r="T85" s="198"/>
      <c r="U85" s="198"/>
    </row>
    <row r="86" spans="1:26" s="12" customFormat="1" x14ac:dyDescent="0.25">
      <c r="A86" s="213" t="s">
        <v>2433</v>
      </c>
      <c r="B86" s="64">
        <v>48.46</v>
      </c>
      <c r="C86" s="64">
        <v>35.61</v>
      </c>
      <c r="D86" s="64">
        <v>57.46</v>
      </c>
      <c r="E86" s="64">
        <v>4.38</v>
      </c>
      <c r="F86" s="64">
        <v>7</v>
      </c>
      <c r="G86" s="64">
        <v>52.78</v>
      </c>
      <c r="H86" s="64">
        <v>17.34</v>
      </c>
      <c r="I86" s="64">
        <v>1.97</v>
      </c>
      <c r="J86" s="64">
        <v>0.32</v>
      </c>
      <c r="K86" s="64">
        <v>341.83</v>
      </c>
      <c r="L86" s="64">
        <v>26.41</v>
      </c>
      <c r="M86" s="64">
        <v>98.02</v>
      </c>
      <c r="N86" s="64">
        <v>43.7</v>
      </c>
      <c r="O86" s="64">
        <v>0</v>
      </c>
      <c r="P86" s="64">
        <v>1.9</v>
      </c>
      <c r="Q86" s="64">
        <v>9.48</v>
      </c>
      <c r="S86" s="198"/>
      <c r="T86" s="198"/>
      <c r="U86" s="198"/>
    </row>
    <row r="87" spans="1:26" s="12" customFormat="1" x14ac:dyDescent="0.25">
      <c r="A87" s="213" t="s">
        <v>2434</v>
      </c>
      <c r="B87" s="64">
        <v>30.97</v>
      </c>
      <c r="C87" s="64">
        <v>36.72</v>
      </c>
      <c r="D87" s="64">
        <v>44.02</v>
      </c>
      <c r="E87" s="64">
        <v>4.67</v>
      </c>
      <c r="F87" s="64">
        <v>7.09</v>
      </c>
      <c r="G87" s="64">
        <v>64.430000000000007</v>
      </c>
      <c r="H87" s="64">
        <v>22.86</v>
      </c>
      <c r="I87" s="64">
        <v>2.08</v>
      </c>
      <c r="J87" s="64">
        <v>0.2</v>
      </c>
      <c r="K87" s="64">
        <v>336.21</v>
      </c>
      <c r="L87" s="64">
        <v>26.49</v>
      </c>
      <c r="M87" s="64">
        <v>98</v>
      </c>
      <c r="N87" s="64">
        <v>43.9</v>
      </c>
      <c r="O87" s="64">
        <v>0</v>
      </c>
      <c r="P87" s="64">
        <v>1.67</v>
      </c>
      <c r="Q87" s="64">
        <v>9.52</v>
      </c>
      <c r="S87" s="198"/>
      <c r="T87" s="198"/>
      <c r="U87" s="198"/>
    </row>
    <row r="88" spans="1:26" s="12" customFormat="1" x14ac:dyDescent="0.25">
      <c r="A88" s="213" t="s">
        <v>2435</v>
      </c>
      <c r="B88" s="64">
        <v>13.12</v>
      </c>
      <c r="C88" s="64">
        <v>40.22</v>
      </c>
      <c r="D88" s="64">
        <v>31.53</v>
      </c>
      <c r="E88" s="64">
        <v>4.6100000000000003</v>
      </c>
      <c r="F88" s="64">
        <v>6.87</v>
      </c>
      <c r="G88" s="64">
        <v>64.430000000000007</v>
      </c>
      <c r="H88" s="64">
        <v>22.86</v>
      </c>
      <c r="I88" s="64">
        <v>2.11</v>
      </c>
      <c r="J88" s="64">
        <v>0.09</v>
      </c>
      <c r="K88" s="64">
        <v>130.26</v>
      </c>
      <c r="L88" s="64">
        <v>26.35</v>
      </c>
      <c r="M88" s="64">
        <v>97.98</v>
      </c>
      <c r="N88" s="64">
        <v>44</v>
      </c>
      <c r="O88" s="64">
        <v>0</v>
      </c>
      <c r="P88" s="64">
        <v>1.42</v>
      </c>
      <c r="Q88" s="64">
        <v>9.57</v>
      </c>
      <c r="S88" s="198"/>
      <c r="T88" s="198"/>
      <c r="U88" s="198"/>
    </row>
    <row r="89" spans="1:26" s="12" customFormat="1" x14ac:dyDescent="0.25">
      <c r="A89" s="213" t="s">
        <v>2436</v>
      </c>
      <c r="B89" s="64">
        <v>37.409999999999997</v>
      </c>
      <c r="C89" s="64">
        <v>34.26</v>
      </c>
      <c r="D89" s="64">
        <v>47.9</v>
      </c>
      <c r="E89" s="64">
        <v>4.83</v>
      </c>
      <c r="F89" s="64">
        <v>5.59</v>
      </c>
      <c r="G89" s="64">
        <v>64.430000000000007</v>
      </c>
      <c r="H89" s="64">
        <v>22.86</v>
      </c>
      <c r="I89" s="64">
        <v>2.23</v>
      </c>
      <c r="J89" s="64">
        <v>0.05</v>
      </c>
      <c r="K89" s="64">
        <v>357.33</v>
      </c>
      <c r="L89" s="64">
        <v>26.38</v>
      </c>
      <c r="M89" s="64">
        <v>97.99</v>
      </c>
      <c r="N89" s="64">
        <v>43.8</v>
      </c>
      <c r="O89" s="64">
        <v>0</v>
      </c>
      <c r="P89" s="64">
        <v>2.15</v>
      </c>
      <c r="Q89" s="64">
        <v>9.6</v>
      </c>
      <c r="S89" s="198"/>
      <c r="T89" s="198"/>
      <c r="U89" s="198"/>
    </row>
    <row r="90" spans="1:26" s="12" customFormat="1" x14ac:dyDescent="0.25">
      <c r="A90" s="213" t="s">
        <v>2437</v>
      </c>
      <c r="B90" s="64">
        <v>30.44</v>
      </c>
      <c r="C90" s="64">
        <v>42.29</v>
      </c>
      <c r="D90" s="64">
        <v>46.5</v>
      </c>
      <c r="E90" s="64">
        <v>5.07</v>
      </c>
      <c r="F90" s="64">
        <v>5.64</v>
      </c>
      <c r="G90" s="64">
        <v>70.08</v>
      </c>
      <c r="H90" s="64">
        <v>24.1</v>
      </c>
      <c r="I90" s="64">
        <v>2.36</v>
      </c>
      <c r="J90" s="64">
        <v>0.41</v>
      </c>
      <c r="K90" s="64">
        <v>130.6</v>
      </c>
      <c r="L90" s="64">
        <v>26.16</v>
      </c>
      <c r="M90" s="64">
        <v>98</v>
      </c>
      <c r="N90" s="64">
        <v>43.1</v>
      </c>
      <c r="O90" s="64">
        <v>0</v>
      </c>
      <c r="P90" s="64">
        <v>2.02</v>
      </c>
      <c r="Q90" s="64">
        <v>9.61</v>
      </c>
      <c r="S90" s="198"/>
      <c r="T90" s="198"/>
      <c r="U90" s="198"/>
    </row>
    <row r="91" spans="1:26" s="12" customFormat="1" x14ac:dyDescent="0.25">
      <c r="A91" s="213" t="s">
        <v>2438</v>
      </c>
      <c r="B91" s="64">
        <v>15.19</v>
      </c>
      <c r="C91" s="64">
        <v>39.479999999999997</v>
      </c>
      <c r="D91" s="64">
        <v>32.81</v>
      </c>
      <c r="E91" s="64">
        <v>4.88</v>
      </c>
      <c r="F91" s="64">
        <v>8.32</v>
      </c>
      <c r="G91" s="64">
        <v>83.99</v>
      </c>
      <c r="H91" s="64">
        <v>27.15</v>
      </c>
      <c r="I91" s="64">
        <v>2.57</v>
      </c>
      <c r="J91" s="64">
        <v>0.7</v>
      </c>
      <c r="K91" s="64">
        <v>129.66</v>
      </c>
      <c r="L91" s="64">
        <v>25.79</v>
      </c>
      <c r="M91" s="64">
        <v>97.97</v>
      </c>
      <c r="N91" s="64">
        <v>44.3</v>
      </c>
      <c r="O91" s="64">
        <v>0.2</v>
      </c>
      <c r="P91" s="64">
        <v>0.9</v>
      </c>
      <c r="Q91" s="64">
        <v>9.61</v>
      </c>
      <c r="S91" s="198"/>
      <c r="T91" s="198"/>
      <c r="U91" s="198"/>
    </row>
    <row r="92" spans="1:26" s="12" customFormat="1" x14ac:dyDescent="0.25">
      <c r="A92" s="213" t="s">
        <v>2439</v>
      </c>
      <c r="B92" s="64">
        <v>16.61</v>
      </c>
      <c r="C92" s="64">
        <v>32.79</v>
      </c>
      <c r="D92" s="64">
        <v>30.45</v>
      </c>
      <c r="E92" s="64">
        <v>4.9400000000000004</v>
      </c>
      <c r="F92" s="64">
        <v>9.82</v>
      </c>
      <c r="G92" s="64">
        <v>83.99</v>
      </c>
      <c r="H92" s="64">
        <v>27.15</v>
      </c>
      <c r="I92" s="64">
        <v>2.73</v>
      </c>
      <c r="J92" s="64">
        <v>0.05</v>
      </c>
      <c r="K92" s="64">
        <v>200.42</v>
      </c>
      <c r="L92" s="64">
        <v>25.25</v>
      </c>
      <c r="M92" s="64">
        <v>98.02</v>
      </c>
      <c r="N92" s="64">
        <v>44.2</v>
      </c>
      <c r="O92" s="64">
        <v>0.2</v>
      </c>
      <c r="P92" s="64">
        <v>0.84</v>
      </c>
      <c r="Q92" s="64">
        <v>9.6199999999999992</v>
      </c>
      <c r="S92" s="198"/>
      <c r="T92" s="198"/>
      <c r="U92" s="198"/>
    </row>
    <row r="93" spans="1:26" s="12" customFormat="1" x14ac:dyDescent="0.25">
      <c r="A93" s="213" t="s">
        <v>2440</v>
      </c>
      <c r="B93" s="64">
        <v>13.95</v>
      </c>
      <c r="C93" s="64">
        <v>23.25</v>
      </c>
      <c r="D93" s="64">
        <v>23.33</v>
      </c>
      <c r="E93" s="64">
        <v>4.76</v>
      </c>
      <c r="F93" s="64">
        <v>10.51</v>
      </c>
      <c r="G93" s="64">
        <v>83.99</v>
      </c>
      <c r="H93" s="64">
        <v>27.15</v>
      </c>
      <c r="I93" s="64">
        <v>2.79</v>
      </c>
      <c r="J93" s="64">
        <v>0.11</v>
      </c>
      <c r="K93" s="64">
        <v>222.72</v>
      </c>
      <c r="L93" s="64">
        <v>24.86</v>
      </c>
      <c r="M93" s="64">
        <v>98.04</v>
      </c>
      <c r="N93" s="64">
        <v>43.9</v>
      </c>
      <c r="O93" s="64">
        <v>0</v>
      </c>
      <c r="P93" s="64">
        <v>0.75</v>
      </c>
      <c r="Q93" s="64">
        <v>9.61</v>
      </c>
      <c r="S93" s="198"/>
      <c r="T93" s="198"/>
      <c r="U93" s="198"/>
    </row>
    <row r="94" spans="1:26" s="12" customFormat="1" x14ac:dyDescent="0.25">
      <c r="A94" s="213" t="s">
        <v>2441</v>
      </c>
      <c r="B94" s="64">
        <v>21.25</v>
      </c>
      <c r="C94" s="64">
        <v>11.59</v>
      </c>
      <c r="D94" s="64">
        <v>23.1</v>
      </c>
      <c r="E94" s="64">
        <v>5.17</v>
      </c>
      <c r="F94" s="64">
        <v>6.12</v>
      </c>
      <c r="G94" s="64">
        <v>75.41</v>
      </c>
      <c r="H94" s="64">
        <v>26.27</v>
      </c>
      <c r="I94" s="64">
        <v>2.79</v>
      </c>
      <c r="J94" s="64">
        <v>0.12</v>
      </c>
      <c r="K94" s="64">
        <v>321.18</v>
      </c>
      <c r="L94" s="64">
        <v>25.04</v>
      </c>
      <c r="M94" s="64">
        <v>98.02</v>
      </c>
      <c r="N94" s="64">
        <v>44.2</v>
      </c>
      <c r="O94" s="64">
        <v>0</v>
      </c>
      <c r="P94" s="64">
        <v>0.88</v>
      </c>
      <c r="Q94" s="64">
        <v>9.61</v>
      </c>
      <c r="S94" s="198"/>
      <c r="T94" s="198"/>
      <c r="U94" s="198"/>
    </row>
    <row r="95" spans="1:26" s="12" customFormat="1" x14ac:dyDescent="0.25">
      <c r="A95" s="213" t="s">
        <v>2442</v>
      </c>
      <c r="B95" s="64">
        <v>21.15</v>
      </c>
      <c r="C95" s="64">
        <v>9.5399999999999991</v>
      </c>
      <c r="D95" s="64">
        <v>21.94</v>
      </c>
      <c r="E95" s="64">
        <v>5.26</v>
      </c>
      <c r="F95" s="64">
        <v>5.41</v>
      </c>
      <c r="G95" s="64">
        <v>54.28</v>
      </c>
      <c r="H95" s="64">
        <v>24.09</v>
      </c>
      <c r="I95" s="64">
        <v>2.75</v>
      </c>
      <c r="J95" s="64">
        <v>0.13</v>
      </c>
      <c r="K95" s="64">
        <v>309.43</v>
      </c>
      <c r="L95" s="64">
        <v>24.71</v>
      </c>
      <c r="M95" s="64">
        <v>98.01</v>
      </c>
      <c r="N95" s="64">
        <v>45.1</v>
      </c>
      <c r="O95" s="64">
        <v>0</v>
      </c>
      <c r="P95" s="64">
        <v>0.89</v>
      </c>
      <c r="Q95" s="64">
        <v>9.6199999999999992</v>
      </c>
      <c r="S95" s="198"/>
      <c r="T95" s="198"/>
      <c r="U95" s="198"/>
    </row>
    <row r="96" spans="1:26" s="12" customFormat="1" x14ac:dyDescent="0.25">
      <c r="A96" s="213" t="s">
        <v>2443</v>
      </c>
      <c r="B96" s="64">
        <v>18.32</v>
      </c>
      <c r="C96" s="64">
        <v>11.15</v>
      </c>
      <c r="D96" s="64">
        <v>20.52</v>
      </c>
      <c r="E96" s="64">
        <v>4.7300000000000004</v>
      </c>
      <c r="F96" s="64">
        <v>5.84</v>
      </c>
      <c r="G96" s="64">
        <v>54.28</v>
      </c>
      <c r="H96" s="64">
        <v>24.09</v>
      </c>
      <c r="I96" s="64">
        <v>2.64</v>
      </c>
      <c r="J96" s="64">
        <v>0.05</v>
      </c>
      <c r="K96" s="64">
        <v>258.81</v>
      </c>
      <c r="L96" s="64">
        <v>24.44</v>
      </c>
      <c r="M96" s="64">
        <v>98.03</v>
      </c>
      <c r="N96" s="64">
        <v>44.9</v>
      </c>
      <c r="O96" s="64">
        <v>0</v>
      </c>
      <c r="P96" s="64">
        <v>0.84</v>
      </c>
      <c r="Q96" s="64">
        <v>9.57</v>
      </c>
      <c r="S96" s="198"/>
      <c r="T96" s="198"/>
      <c r="U96" s="198"/>
      <c r="Z96" s="109"/>
    </row>
    <row r="97" spans="1:33" s="12" customFormat="1" x14ac:dyDescent="0.25">
      <c r="A97" s="213" t="s">
        <v>2444</v>
      </c>
      <c r="B97" s="64">
        <v>16.18</v>
      </c>
      <c r="C97" s="64">
        <v>12.07</v>
      </c>
      <c r="D97" s="64">
        <v>19.28</v>
      </c>
      <c r="E97" s="64">
        <v>4.99</v>
      </c>
      <c r="F97" s="64">
        <v>4.28</v>
      </c>
      <c r="G97" s="64">
        <v>54.28</v>
      </c>
      <c r="H97" s="64">
        <v>24.09</v>
      </c>
      <c r="I97" s="64">
        <v>2.4700000000000002</v>
      </c>
      <c r="J97" s="64">
        <v>0.06</v>
      </c>
      <c r="K97" s="64">
        <v>222.45</v>
      </c>
      <c r="L97" s="64">
        <v>24.23</v>
      </c>
      <c r="M97" s="64">
        <v>98.03</v>
      </c>
      <c r="N97" s="64">
        <v>44.9</v>
      </c>
      <c r="O97" s="64">
        <v>0</v>
      </c>
      <c r="P97" s="64">
        <v>0.77</v>
      </c>
      <c r="Q97" s="64">
        <v>9.48</v>
      </c>
      <c r="S97" s="198"/>
      <c r="T97" s="198"/>
      <c r="U97" s="198"/>
    </row>
    <row r="98" spans="1:33" s="12" customFormat="1" x14ac:dyDescent="0.25">
      <c r="A98" s="213" t="s">
        <v>2445</v>
      </c>
      <c r="B98" s="64">
        <v>14.45</v>
      </c>
      <c r="C98" s="64">
        <v>12.14</v>
      </c>
      <c r="D98" s="64">
        <v>17.93</v>
      </c>
      <c r="E98" s="64">
        <v>4.6500000000000004</v>
      </c>
      <c r="F98" s="64">
        <v>5.53</v>
      </c>
      <c r="G98" s="64">
        <v>46.17</v>
      </c>
      <c r="H98" s="64">
        <v>22.52</v>
      </c>
      <c r="I98" s="64">
        <v>2.31</v>
      </c>
      <c r="J98" s="64">
        <v>0.06</v>
      </c>
      <c r="K98" s="64">
        <v>301.39999999999998</v>
      </c>
      <c r="L98" s="64">
        <v>24.13</v>
      </c>
      <c r="M98" s="64">
        <v>98.04</v>
      </c>
      <c r="N98" s="64">
        <v>44.7</v>
      </c>
      <c r="O98" s="64">
        <v>0</v>
      </c>
      <c r="P98" s="64">
        <v>0.75</v>
      </c>
      <c r="Q98" s="64">
        <v>9.4</v>
      </c>
      <c r="S98" s="198"/>
      <c r="T98" s="198"/>
      <c r="U98" s="198"/>
    </row>
    <row r="99" spans="1:33" s="12" customFormat="1" x14ac:dyDescent="0.25">
      <c r="A99" s="213" t="s">
        <v>2446</v>
      </c>
      <c r="B99" s="64">
        <v>13.2</v>
      </c>
      <c r="C99" s="64">
        <v>12.81</v>
      </c>
      <c r="D99" s="64">
        <v>17.28</v>
      </c>
      <c r="E99" s="64">
        <v>4.46</v>
      </c>
      <c r="F99" s="64">
        <v>4.45</v>
      </c>
      <c r="G99" s="64">
        <v>26.2</v>
      </c>
      <c r="H99" s="64">
        <v>18.68</v>
      </c>
      <c r="I99" s="64">
        <v>2.17</v>
      </c>
      <c r="J99" s="64">
        <v>0.11</v>
      </c>
      <c r="K99" s="64">
        <v>348.29</v>
      </c>
      <c r="L99" s="64">
        <v>24.01</v>
      </c>
      <c r="M99" s="64">
        <v>98.06</v>
      </c>
      <c r="N99" s="64">
        <v>43.9</v>
      </c>
      <c r="O99" s="64">
        <v>0.2</v>
      </c>
      <c r="P99" s="64">
        <v>0.71</v>
      </c>
      <c r="Q99" s="64">
        <v>9.34</v>
      </c>
      <c r="S99" s="198"/>
      <c r="T99" s="198"/>
      <c r="U99" s="198"/>
    </row>
    <row r="100" spans="1:33" s="12" customFormat="1" x14ac:dyDescent="0.25">
      <c r="A100" s="213" t="s">
        <v>2447</v>
      </c>
      <c r="B100" s="64">
        <v>12.65</v>
      </c>
      <c r="C100" s="64">
        <v>12.99</v>
      </c>
      <c r="D100" s="64">
        <v>16.93</v>
      </c>
      <c r="E100" s="64">
        <v>4.76</v>
      </c>
      <c r="F100" s="64">
        <v>3.68</v>
      </c>
      <c r="G100" s="64">
        <v>26.2</v>
      </c>
      <c r="H100" s="64">
        <v>18.68</v>
      </c>
      <c r="I100" s="64">
        <v>2.06</v>
      </c>
      <c r="J100" s="64">
        <v>0.2</v>
      </c>
      <c r="K100" s="64">
        <v>322.56</v>
      </c>
      <c r="L100" s="64">
        <v>23.92</v>
      </c>
      <c r="M100" s="64">
        <v>98.06</v>
      </c>
      <c r="N100" s="64">
        <v>44.2</v>
      </c>
      <c r="O100" s="64">
        <v>0.2</v>
      </c>
      <c r="P100" s="64">
        <v>0.67</v>
      </c>
      <c r="Q100" s="64">
        <v>9.3000000000000007</v>
      </c>
      <c r="S100" s="198"/>
      <c r="T100" s="198"/>
      <c r="U100" s="198"/>
      <c r="AB100" s="110"/>
      <c r="AG100" s="109"/>
    </row>
    <row r="101" spans="1:33" s="12" customFormat="1" x14ac:dyDescent="0.25">
      <c r="A101" s="213" t="s">
        <v>2448</v>
      </c>
      <c r="B101" s="64">
        <v>11.2</v>
      </c>
      <c r="C101" s="64">
        <v>13.64</v>
      </c>
      <c r="D101" s="64">
        <v>16.100000000000001</v>
      </c>
      <c r="E101" s="64">
        <v>4.3499999999999996</v>
      </c>
      <c r="F101" s="64">
        <v>3.96</v>
      </c>
      <c r="G101" s="64">
        <v>26.2</v>
      </c>
      <c r="H101" s="64">
        <v>18.68</v>
      </c>
      <c r="I101" s="64">
        <v>1.96</v>
      </c>
      <c r="J101" s="64">
        <v>0.21</v>
      </c>
      <c r="K101" s="64">
        <v>337.74</v>
      </c>
      <c r="L101" s="64">
        <v>23.74</v>
      </c>
      <c r="M101" s="64">
        <v>98.06</v>
      </c>
      <c r="N101" s="64">
        <v>44.1</v>
      </c>
      <c r="O101" s="64">
        <v>0.2</v>
      </c>
      <c r="P101" s="64">
        <v>0.61</v>
      </c>
      <c r="Q101" s="64">
        <v>9.24</v>
      </c>
      <c r="S101" s="198"/>
      <c r="T101" s="198"/>
      <c r="U101" s="198"/>
    </row>
    <row r="102" spans="1:33" s="12" customFormat="1" x14ac:dyDescent="0.25">
      <c r="A102" s="213" t="s">
        <v>2449</v>
      </c>
      <c r="B102" s="64">
        <v>9.85</v>
      </c>
      <c r="C102" s="64">
        <v>14.1</v>
      </c>
      <c r="D102" s="64">
        <v>15.27</v>
      </c>
      <c r="E102" s="64">
        <v>4.0999999999999996</v>
      </c>
      <c r="F102" s="64">
        <v>4.38</v>
      </c>
      <c r="G102" s="64">
        <v>21.73</v>
      </c>
      <c r="H102" s="64">
        <v>17.34</v>
      </c>
      <c r="I102" s="64">
        <v>1.84</v>
      </c>
      <c r="J102" s="64">
        <v>0.16</v>
      </c>
      <c r="K102" s="64">
        <v>340.71</v>
      </c>
      <c r="L102" s="64">
        <v>23.68</v>
      </c>
      <c r="M102" s="64">
        <v>98.07</v>
      </c>
      <c r="N102" s="64">
        <v>44</v>
      </c>
      <c r="O102" s="64">
        <v>0.2</v>
      </c>
      <c r="P102" s="64">
        <v>0.59</v>
      </c>
      <c r="Q102" s="64">
        <v>9.18</v>
      </c>
      <c r="S102" s="198"/>
      <c r="T102" s="198"/>
      <c r="U102" s="198"/>
    </row>
    <row r="103" spans="1:33" s="12" customFormat="1" x14ac:dyDescent="0.25">
      <c r="A103" s="213" t="s">
        <v>2450</v>
      </c>
      <c r="B103" s="64">
        <v>9.17</v>
      </c>
      <c r="C103" s="64">
        <v>13.87</v>
      </c>
      <c r="D103" s="64">
        <v>14.6</v>
      </c>
      <c r="E103" s="64">
        <v>3.84</v>
      </c>
      <c r="F103" s="64">
        <v>3.82</v>
      </c>
      <c r="G103" s="64">
        <v>10.73</v>
      </c>
      <c r="H103" s="64">
        <v>14.05</v>
      </c>
      <c r="I103" s="64">
        <v>1.73</v>
      </c>
      <c r="J103" s="64">
        <v>0.18</v>
      </c>
      <c r="K103" s="64">
        <v>329.54</v>
      </c>
      <c r="L103" s="64">
        <v>23.63</v>
      </c>
      <c r="M103" s="64">
        <v>98.1</v>
      </c>
      <c r="N103" s="64">
        <v>43.9</v>
      </c>
      <c r="O103" s="64">
        <v>0</v>
      </c>
      <c r="P103" s="64">
        <v>0.57999999999999996</v>
      </c>
      <c r="Q103" s="64">
        <v>9.16</v>
      </c>
      <c r="S103" s="198"/>
      <c r="T103" s="198"/>
      <c r="U103" s="198"/>
    </row>
    <row r="104" spans="1:33" s="12" customFormat="1" x14ac:dyDescent="0.25">
      <c r="A104" s="213" t="s">
        <v>2451</v>
      </c>
      <c r="B104" s="64">
        <v>8.36</v>
      </c>
      <c r="C104" s="64">
        <v>13.76</v>
      </c>
      <c r="D104" s="64">
        <v>13.89</v>
      </c>
      <c r="E104" s="64">
        <v>4.99</v>
      </c>
      <c r="F104" s="64">
        <v>3.92</v>
      </c>
      <c r="G104" s="64">
        <v>10.73</v>
      </c>
      <c r="H104" s="64">
        <v>14.05</v>
      </c>
      <c r="I104" s="64">
        <v>1.66</v>
      </c>
      <c r="J104" s="64">
        <v>0.16</v>
      </c>
      <c r="K104" s="64">
        <v>333.4</v>
      </c>
      <c r="L104" s="64">
        <v>23.62</v>
      </c>
      <c r="M104" s="64">
        <v>98.1</v>
      </c>
      <c r="N104" s="64">
        <v>43.8</v>
      </c>
      <c r="O104" s="64">
        <v>0</v>
      </c>
      <c r="P104" s="64">
        <v>0.56000000000000005</v>
      </c>
      <c r="Q104" s="64">
        <v>9.15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6.23</v>
      </c>
      <c r="C106" s="67">
        <f>MIN(C9:C104)</f>
        <v>8.7200000000000006</v>
      </c>
      <c r="D106" s="67">
        <f t="shared" ref="D106:Q106" si="0">MIN(D9:D104)</f>
        <v>9.91</v>
      </c>
      <c r="E106" s="67">
        <f t="shared" si="0"/>
        <v>3.69</v>
      </c>
      <c r="F106" s="67">
        <f t="shared" si="0"/>
        <v>3.68</v>
      </c>
      <c r="G106" s="67">
        <f t="shared" si="0"/>
        <v>10.73</v>
      </c>
      <c r="H106" s="67">
        <f t="shared" si="0"/>
        <v>5.22</v>
      </c>
      <c r="I106" s="67">
        <f t="shared" si="0"/>
        <v>1.4</v>
      </c>
      <c r="J106" s="67">
        <f t="shared" si="0"/>
        <v>0</v>
      </c>
      <c r="K106" s="67">
        <f t="shared" si="0"/>
        <v>56.05</v>
      </c>
      <c r="L106" s="67">
        <f t="shared" si="0"/>
        <v>23.62</v>
      </c>
      <c r="M106" s="67">
        <f t="shared" si="0"/>
        <v>74.19</v>
      </c>
      <c r="N106" s="67">
        <f t="shared" si="0"/>
        <v>43.1</v>
      </c>
      <c r="O106" s="67">
        <f t="shared" si="0"/>
        <v>0</v>
      </c>
      <c r="P106" s="67">
        <f t="shared" si="0"/>
        <v>0.15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69.39</v>
      </c>
      <c r="C107" s="66">
        <f t="shared" ref="C107:Q107" si="1">MAX(C9:C104)</f>
        <v>42.5</v>
      </c>
      <c r="D107" s="66">
        <f t="shared" si="1"/>
        <v>77.319999999999993</v>
      </c>
      <c r="E107" s="66">
        <f t="shared" si="1"/>
        <v>5.27</v>
      </c>
      <c r="F107" s="66">
        <f t="shared" si="1"/>
        <v>16.32</v>
      </c>
      <c r="G107" s="66">
        <f t="shared" si="1"/>
        <v>83.99</v>
      </c>
      <c r="H107" s="66">
        <f t="shared" si="1"/>
        <v>27.15</v>
      </c>
      <c r="I107" s="66">
        <f t="shared" si="1"/>
        <v>2.88</v>
      </c>
      <c r="J107" s="66">
        <f t="shared" si="1"/>
        <v>1.37</v>
      </c>
      <c r="K107" s="66">
        <f t="shared" si="1"/>
        <v>357.33</v>
      </c>
      <c r="L107" s="66">
        <f t="shared" si="1"/>
        <v>32.58</v>
      </c>
      <c r="M107" s="66">
        <f t="shared" si="1"/>
        <v>98.45</v>
      </c>
      <c r="N107" s="66">
        <f t="shared" si="1"/>
        <v>834</v>
      </c>
      <c r="O107" s="66">
        <f t="shared" si="1"/>
        <v>12.8</v>
      </c>
      <c r="P107" s="66">
        <f t="shared" si="1"/>
        <v>2.21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14.158750000000007</v>
      </c>
      <c r="C108" s="67">
        <f t="shared" ref="C108:Q108" si="2">AVERAGE(C9:C104)</f>
        <v>16.725416666666664</v>
      </c>
      <c r="D108" s="67">
        <f t="shared" si="2"/>
        <v>20.088333333333335</v>
      </c>
      <c r="E108" s="67">
        <f t="shared" si="2"/>
        <v>4.6890625000000012</v>
      </c>
      <c r="F108" s="67">
        <f t="shared" si="2"/>
        <v>8.7531250000000007</v>
      </c>
      <c r="G108" s="67">
        <f t="shared" si="2"/>
        <v>33.552708333333342</v>
      </c>
      <c r="H108" s="67">
        <f t="shared" si="2"/>
        <v>12.085937500000002</v>
      </c>
      <c r="I108" s="67">
        <f t="shared" si="2"/>
        <v>1.9397916666666666</v>
      </c>
      <c r="J108" s="67">
        <f t="shared" si="2"/>
        <v>0.2372916666666666</v>
      </c>
      <c r="K108" s="67">
        <f t="shared" si="2"/>
        <v>282.4812500000001</v>
      </c>
      <c r="L108" s="67">
        <f t="shared" si="2"/>
        <v>26.583749999999991</v>
      </c>
      <c r="M108" s="67">
        <f t="shared" si="2"/>
        <v>94.267604166666686</v>
      </c>
      <c r="N108" s="67">
        <f t="shared" si="2"/>
        <v>180.41041666666669</v>
      </c>
      <c r="O108" s="67">
        <f t="shared" si="2"/>
        <v>0.27291666666666664</v>
      </c>
      <c r="P108" s="67">
        <f t="shared" si="2"/>
        <v>0.62229166666666691</v>
      </c>
      <c r="Q108" s="67">
        <f t="shared" si="2"/>
        <v>9.2691666666666652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9.4018687112274417</v>
      </c>
      <c r="C109" s="67">
        <f t="shared" ref="C109:Q109" si="3">STDEV(C9:C104)</f>
        <v>8.8656750170966721</v>
      </c>
      <c r="D109" s="67">
        <f t="shared" si="3"/>
        <v>11.393005487363185</v>
      </c>
      <c r="E109" s="67">
        <f t="shared" si="3"/>
        <v>0.32034546524847707</v>
      </c>
      <c r="F109" s="67">
        <f t="shared" si="3"/>
        <v>3.5654438898374177</v>
      </c>
      <c r="G109" s="67">
        <f t="shared" si="3"/>
        <v>15.427581485199031</v>
      </c>
      <c r="H109" s="67">
        <f t="shared" si="3"/>
        <v>5.5728551839533509</v>
      </c>
      <c r="I109" s="67">
        <f t="shared" si="3"/>
        <v>0.38049546415905444</v>
      </c>
      <c r="J109" s="67">
        <f t="shared" si="3"/>
        <v>0.25993715502290848</v>
      </c>
      <c r="K109" s="67">
        <f t="shared" si="3"/>
        <v>67.065923314303092</v>
      </c>
      <c r="L109" s="67">
        <f t="shared" si="3"/>
        <v>2.7308118129771097</v>
      </c>
      <c r="M109" s="67">
        <f t="shared" si="3"/>
        <v>7.6377119396613544</v>
      </c>
      <c r="N109" s="67">
        <f t="shared" si="3"/>
        <v>174.55494594398849</v>
      </c>
      <c r="O109" s="67">
        <f t="shared" si="3"/>
        <v>1.7659039233963629</v>
      </c>
      <c r="P109" s="67">
        <f t="shared" si="3"/>
        <v>0.41269965928254587</v>
      </c>
      <c r="Q109" s="67">
        <f t="shared" si="3"/>
        <v>0.13622478842874414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2452</v>
      </c>
      <c r="B9" s="64">
        <v>7.76</v>
      </c>
      <c r="C9" s="64">
        <v>13.97</v>
      </c>
      <c r="D9" s="64">
        <v>13.53</v>
      </c>
      <c r="E9" s="64">
        <v>5.57</v>
      </c>
      <c r="F9" s="64">
        <v>3.95</v>
      </c>
      <c r="G9" s="64">
        <v>10.73</v>
      </c>
      <c r="H9" s="64">
        <v>4.05</v>
      </c>
      <c r="I9" s="64">
        <v>1.61</v>
      </c>
      <c r="J9" s="64">
        <v>0.24</v>
      </c>
      <c r="K9" s="64">
        <v>311.33999999999997</v>
      </c>
      <c r="L9" s="64">
        <v>23.61</v>
      </c>
      <c r="M9" s="64">
        <v>98.09</v>
      </c>
      <c r="N9" s="64">
        <v>44.2</v>
      </c>
      <c r="O9" s="64">
        <v>0</v>
      </c>
      <c r="P9" s="64">
        <v>0.59</v>
      </c>
      <c r="Q9" s="64">
        <v>9.11</v>
      </c>
      <c r="R9" s="198"/>
      <c r="S9" s="198"/>
      <c r="T9" s="198"/>
      <c r="U9" s="198"/>
    </row>
    <row r="10" spans="1:21" s="12" customFormat="1" x14ac:dyDescent="0.25">
      <c r="A10" s="213" t="s">
        <v>2453</v>
      </c>
      <c r="B10" s="64">
        <v>6.95</v>
      </c>
      <c r="C10" s="64">
        <v>14.89</v>
      </c>
      <c r="D10" s="64">
        <v>13.35</v>
      </c>
      <c r="E10" s="64">
        <v>5.31</v>
      </c>
      <c r="F10" s="64">
        <v>3.96</v>
      </c>
      <c r="G10" s="64">
        <v>9.08</v>
      </c>
      <c r="H10" s="64">
        <v>4.05</v>
      </c>
      <c r="I10" s="64">
        <v>1.59</v>
      </c>
      <c r="J10" s="64">
        <v>0.28999999999999998</v>
      </c>
      <c r="K10" s="64">
        <v>314.58</v>
      </c>
      <c r="L10" s="64">
        <v>23.5</v>
      </c>
      <c r="M10" s="64">
        <v>98.08</v>
      </c>
      <c r="N10" s="64">
        <v>44.4</v>
      </c>
      <c r="O10" s="64">
        <v>0</v>
      </c>
      <c r="P10" s="64">
        <v>0.62</v>
      </c>
      <c r="Q10" s="64">
        <v>9.09</v>
      </c>
      <c r="R10" s="198"/>
      <c r="S10" s="198"/>
      <c r="T10" s="198"/>
      <c r="U10" s="198"/>
    </row>
    <row r="11" spans="1:21" s="12" customFormat="1" x14ac:dyDescent="0.25">
      <c r="A11" s="213" t="s">
        <v>2454</v>
      </c>
      <c r="B11" s="64">
        <v>6.08</v>
      </c>
      <c r="C11" s="64">
        <v>15.31</v>
      </c>
      <c r="D11" s="64">
        <v>12.87</v>
      </c>
      <c r="E11" s="64">
        <v>5.25</v>
      </c>
      <c r="F11" s="64">
        <v>3.87</v>
      </c>
      <c r="G11" s="64">
        <v>5.04</v>
      </c>
      <c r="H11" s="211" t="s">
        <v>42</v>
      </c>
      <c r="I11" s="64">
        <v>1.79</v>
      </c>
      <c r="J11" s="64">
        <v>0.18</v>
      </c>
      <c r="K11" s="64">
        <v>313.93</v>
      </c>
      <c r="L11" s="64">
        <v>23.53</v>
      </c>
      <c r="M11" s="64">
        <v>98.07</v>
      </c>
      <c r="N11" s="64">
        <v>44</v>
      </c>
      <c r="O11" s="64">
        <v>0</v>
      </c>
      <c r="P11" s="64">
        <v>0.62</v>
      </c>
      <c r="Q11" s="64">
        <v>9.08</v>
      </c>
      <c r="R11" s="198"/>
      <c r="S11" s="198"/>
      <c r="T11" s="198"/>
      <c r="U11" s="198"/>
    </row>
    <row r="12" spans="1:21" s="12" customFormat="1" x14ac:dyDescent="0.25">
      <c r="A12" s="213" t="s">
        <v>2455</v>
      </c>
      <c r="B12" s="64">
        <v>5.46</v>
      </c>
      <c r="C12" s="64">
        <v>15.19</v>
      </c>
      <c r="D12" s="64">
        <v>12.32</v>
      </c>
      <c r="E12" s="64">
        <v>5.66</v>
      </c>
      <c r="F12" s="64">
        <v>3.83</v>
      </c>
      <c r="G12" s="64">
        <v>5.04</v>
      </c>
      <c r="H12" s="211" t="s">
        <v>42</v>
      </c>
      <c r="I12" s="64">
        <v>1.98</v>
      </c>
      <c r="J12" s="64">
        <v>0.2</v>
      </c>
      <c r="K12" s="64">
        <v>300.91000000000003</v>
      </c>
      <c r="L12" s="64">
        <v>23.47</v>
      </c>
      <c r="M12" s="64">
        <v>98.07</v>
      </c>
      <c r="N12" s="64">
        <v>44.1</v>
      </c>
      <c r="O12" s="64">
        <v>0.2</v>
      </c>
      <c r="P12" s="64">
        <v>0.6</v>
      </c>
      <c r="Q12" s="64">
        <v>9.08</v>
      </c>
      <c r="R12" s="198"/>
      <c r="S12" s="198"/>
      <c r="T12" s="198"/>
      <c r="U12" s="198"/>
    </row>
    <row r="13" spans="1:21" s="12" customFormat="1" x14ac:dyDescent="0.25">
      <c r="A13" s="213" t="s">
        <v>2456</v>
      </c>
      <c r="B13" s="64">
        <v>5.08</v>
      </c>
      <c r="C13" s="64">
        <v>15.62</v>
      </c>
      <c r="D13" s="64">
        <v>12.23</v>
      </c>
      <c r="E13" s="64">
        <v>5.36</v>
      </c>
      <c r="F13" s="64">
        <v>3.89</v>
      </c>
      <c r="G13" s="64">
        <v>5.04</v>
      </c>
      <c r="H13" s="211" t="s">
        <v>42</v>
      </c>
      <c r="I13" s="64">
        <v>2.02</v>
      </c>
      <c r="J13" s="64">
        <v>0.2</v>
      </c>
      <c r="K13" s="64">
        <v>311.25</v>
      </c>
      <c r="L13" s="64">
        <v>23.36</v>
      </c>
      <c r="M13" s="64">
        <v>98.08</v>
      </c>
      <c r="N13" s="64">
        <v>44.1</v>
      </c>
      <c r="O13" s="64">
        <v>0</v>
      </c>
      <c r="P13" s="64">
        <v>0.48</v>
      </c>
      <c r="Q13" s="64">
        <v>9.08</v>
      </c>
      <c r="R13" s="198"/>
      <c r="S13" s="198"/>
      <c r="T13" s="198"/>
      <c r="U13" s="198"/>
    </row>
    <row r="14" spans="1:21" s="12" customFormat="1" x14ac:dyDescent="0.25">
      <c r="A14" s="213" t="s">
        <v>2457</v>
      </c>
      <c r="B14" s="64">
        <v>4.72</v>
      </c>
      <c r="C14" s="64">
        <v>14.99</v>
      </c>
      <c r="D14" s="64">
        <v>11.62</v>
      </c>
      <c r="E14" s="64">
        <v>5.48</v>
      </c>
      <c r="F14" s="64">
        <v>5.54</v>
      </c>
      <c r="G14" s="64">
        <v>5.52</v>
      </c>
      <c r="H14" s="211" t="s">
        <v>42</v>
      </c>
      <c r="I14" s="64">
        <v>2</v>
      </c>
      <c r="J14" s="64">
        <v>0.13</v>
      </c>
      <c r="K14" s="64">
        <v>324.56</v>
      </c>
      <c r="L14" s="64">
        <v>23.13</v>
      </c>
      <c r="M14" s="64">
        <v>98.08</v>
      </c>
      <c r="N14" s="64">
        <v>44.1</v>
      </c>
      <c r="O14" s="64">
        <v>0</v>
      </c>
      <c r="P14" s="64">
        <v>0.44</v>
      </c>
      <c r="Q14" s="64">
        <v>9.08</v>
      </c>
      <c r="R14" s="198"/>
      <c r="S14" s="198"/>
      <c r="T14" s="198"/>
      <c r="U14" s="198"/>
    </row>
    <row r="15" spans="1:21" s="12" customFormat="1" x14ac:dyDescent="0.25">
      <c r="A15" s="213" t="s">
        <v>2458</v>
      </c>
      <c r="B15" s="64">
        <v>4.47</v>
      </c>
      <c r="C15" s="64">
        <v>14.58</v>
      </c>
      <c r="D15" s="64">
        <v>11.21</v>
      </c>
      <c r="E15" s="64">
        <v>5.46</v>
      </c>
      <c r="F15" s="64">
        <v>4.74</v>
      </c>
      <c r="G15" s="64">
        <v>6.73</v>
      </c>
      <c r="H15" s="211" t="s">
        <v>42</v>
      </c>
      <c r="I15" s="64">
        <v>1.93</v>
      </c>
      <c r="J15" s="64">
        <v>0.1</v>
      </c>
      <c r="K15" s="64">
        <v>311.33</v>
      </c>
      <c r="L15" s="64">
        <v>23.09</v>
      </c>
      <c r="M15" s="64">
        <v>98.08</v>
      </c>
      <c r="N15" s="64">
        <v>43.9</v>
      </c>
      <c r="O15" s="64">
        <v>0.2</v>
      </c>
      <c r="P15" s="64">
        <v>0.43</v>
      </c>
      <c r="Q15" s="64">
        <v>9.07</v>
      </c>
      <c r="R15" s="198"/>
      <c r="S15" s="198"/>
      <c r="T15" s="198"/>
      <c r="U15" s="198"/>
    </row>
    <row r="16" spans="1:21" s="12" customFormat="1" x14ac:dyDescent="0.25">
      <c r="A16" s="213" t="s">
        <v>2459</v>
      </c>
      <c r="B16" s="64">
        <v>4.54</v>
      </c>
      <c r="C16" s="64">
        <v>13.97</v>
      </c>
      <c r="D16" s="64">
        <v>10.94</v>
      </c>
      <c r="E16" s="64">
        <v>5.44</v>
      </c>
      <c r="F16" s="64">
        <v>5.0599999999999996</v>
      </c>
      <c r="G16" s="64">
        <v>6.73</v>
      </c>
      <c r="H16" s="211" t="s">
        <v>42</v>
      </c>
      <c r="I16" s="64">
        <v>1.89</v>
      </c>
      <c r="J16" s="64">
        <v>0.12</v>
      </c>
      <c r="K16" s="64">
        <v>313.39</v>
      </c>
      <c r="L16" s="64">
        <v>23.05</v>
      </c>
      <c r="M16" s="64">
        <v>98.08</v>
      </c>
      <c r="N16" s="64">
        <v>43.9</v>
      </c>
      <c r="O16" s="64">
        <v>0</v>
      </c>
      <c r="P16" s="64">
        <v>0.41</v>
      </c>
      <c r="Q16" s="64">
        <v>9.07</v>
      </c>
      <c r="R16" s="198"/>
      <c r="S16" s="198"/>
      <c r="T16" s="198"/>
      <c r="U16" s="198"/>
    </row>
    <row r="17" spans="1:21" s="12" customFormat="1" x14ac:dyDescent="0.25">
      <c r="A17" s="213" t="s">
        <v>2460</v>
      </c>
      <c r="B17" s="64">
        <v>4.53</v>
      </c>
      <c r="C17" s="64">
        <v>13.36</v>
      </c>
      <c r="D17" s="64">
        <v>10.62</v>
      </c>
      <c r="E17" s="64">
        <v>5.13</v>
      </c>
      <c r="F17" s="64">
        <v>7.29</v>
      </c>
      <c r="G17" s="64">
        <v>6.73</v>
      </c>
      <c r="H17" s="211" t="s">
        <v>42</v>
      </c>
      <c r="I17" s="64">
        <v>1.86</v>
      </c>
      <c r="J17" s="64">
        <v>0.03</v>
      </c>
      <c r="K17" s="64">
        <v>213.89</v>
      </c>
      <c r="L17" s="64">
        <v>23.04</v>
      </c>
      <c r="M17" s="64">
        <v>98.08</v>
      </c>
      <c r="N17" s="64">
        <v>43.8</v>
      </c>
      <c r="O17" s="64">
        <v>0</v>
      </c>
      <c r="P17" s="64">
        <v>0.43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3" t="s">
        <v>2461</v>
      </c>
      <c r="B18" s="64">
        <v>4.92</v>
      </c>
      <c r="C18" s="64">
        <v>12.82</v>
      </c>
      <c r="D18" s="64">
        <v>10.65</v>
      </c>
      <c r="E18" s="64">
        <v>5.41</v>
      </c>
      <c r="F18" s="64">
        <v>4.82</v>
      </c>
      <c r="G18" s="64">
        <v>6.38</v>
      </c>
      <c r="H18" s="211" t="s">
        <v>42</v>
      </c>
      <c r="I18" s="64">
        <v>1.82</v>
      </c>
      <c r="J18" s="64">
        <v>0.13</v>
      </c>
      <c r="K18" s="64">
        <v>307.25</v>
      </c>
      <c r="L18" s="64">
        <v>22.99</v>
      </c>
      <c r="M18" s="64">
        <v>98.08</v>
      </c>
      <c r="N18" s="64">
        <v>44.2</v>
      </c>
      <c r="O18" s="64">
        <v>0</v>
      </c>
      <c r="P18" s="64">
        <v>0.44</v>
      </c>
      <c r="Q18" s="64">
        <v>9.0399999999999991</v>
      </c>
      <c r="R18" s="198"/>
      <c r="S18" s="198"/>
      <c r="T18" s="198"/>
      <c r="U18" s="198"/>
    </row>
    <row r="19" spans="1:21" s="12" customFormat="1" x14ac:dyDescent="0.25">
      <c r="A19" s="213" t="s">
        <v>2462</v>
      </c>
      <c r="B19" s="64">
        <v>5.14</v>
      </c>
      <c r="C19" s="64">
        <v>12.33</v>
      </c>
      <c r="D19" s="64">
        <v>10.56</v>
      </c>
      <c r="E19" s="64">
        <v>5.4</v>
      </c>
      <c r="F19" s="64">
        <v>6.16</v>
      </c>
      <c r="G19" s="64">
        <v>5.53</v>
      </c>
      <c r="H19" s="64">
        <v>4.9400000000000004</v>
      </c>
      <c r="I19" s="64">
        <v>1.78</v>
      </c>
      <c r="J19" s="64">
        <v>0.44</v>
      </c>
      <c r="K19" s="64">
        <v>334.24</v>
      </c>
      <c r="L19" s="64">
        <v>23.07</v>
      </c>
      <c r="M19" s="64">
        <v>98.09</v>
      </c>
      <c r="N19" s="64">
        <v>44</v>
      </c>
      <c r="O19" s="64">
        <v>0</v>
      </c>
      <c r="P19" s="64">
        <v>0.38</v>
      </c>
      <c r="Q19" s="64">
        <v>9.0399999999999991</v>
      </c>
      <c r="R19" s="198"/>
      <c r="S19" s="198"/>
      <c r="T19" s="198"/>
      <c r="U19" s="198"/>
    </row>
    <row r="20" spans="1:21" s="12" customFormat="1" x14ac:dyDescent="0.25">
      <c r="A20" s="213" t="s">
        <v>2463</v>
      </c>
      <c r="B20" s="64">
        <v>5.46</v>
      </c>
      <c r="C20" s="64">
        <v>11.7</v>
      </c>
      <c r="D20" s="64">
        <v>10.49</v>
      </c>
      <c r="E20" s="64">
        <v>5.49</v>
      </c>
      <c r="F20" s="64">
        <v>4.4800000000000004</v>
      </c>
      <c r="G20" s="64">
        <v>5.53</v>
      </c>
      <c r="H20" s="64">
        <v>4.9400000000000004</v>
      </c>
      <c r="I20" s="64">
        <v>1.76</v>
      </c>
      <c r="J20" s="64">
        <v>1</v>
      </c>
      <c r="K20" s="64">
        <v>326.85000000000002</v>
      </c>
      <c r="L20" s="64">
        <v>23.14</v>
      </c>
      <c r="M20" s="64">
        <v>98.08</v>
      </c>
      <c r="N20" s="64">
        <v>44</v>
      </c>
      <c r="O20" s="64">
        <v>0</v>
      </c>
      <c r="P20" s="64">
        <v>0.4</v>
      </c>
      <c r="Q20" s="64">
        <v>9.0399999999999991</v>
      </c>
      <c r="R20" s="198"/>
      <c r="S20" s="198"/>
      <c r="T20" s="198"/>
      <c r="U20" s="198"/>
    </row>
    <row r="21" spans="1:21" s="12" customFormat="1" x14ac:dyDescent="0.25">
      <c r="A21" s="213" t="s">
        <v>2464</v>
      </c>
      <c r="B21" s="64">
        <v>5.9</v>
      </c>
      <c r="C21" s="64">
        <v>11.35</v>
      </c>
      <c r="D21" s="64">
        <v>10.66</v>
      </c>
      <c r="E21" s="64">
        <v>5.43</v>
      </c>
      <c r="F21" s="64">
        <v>4.3099999999999996</v>
      </c>
      <c r="G21" s="64">
        <v>5.53</v>
      </c>
      <c r="H21" s="64">
        <v>4.9400000000000004</v>
      </c>
      <c r="I21" s="64">
        <v>1.72</v>
      </c>
      <c r="J21" s="64">
        <v>1.66</v>
      </c>
      <c r="K21" s="64">
        <v>331.82</v>
      </c>
      <c r="L21" s="64">
        <v>23.06</v>
      </c>
      <c r="M21" s="64">
        <v>98.11</v>
      </c>
      <c r="N21" s="64">
        <v>44.2</v>
      </c>
      <c r="O21" s="64">
        <v>0</v>
      </c>
      <c r="P21" s="64">
        <v>0.39</v>
      </c>
      <c r="Q21" s="64">
        <v>9.02</v>
      </c>
      <c r="R21" s="198"/>
      <c r="S21" s="198"/>
      <c r="T21" s="198"/>
      <c r="U21" s="198"/>
    </row>
    <row r="22" spans="1:21" s="12" customFormat="1" x14ac:dyDescent="0.25">
      <c r="A22" s="213" t="s">
        <v>2465</v>
      </c>
      <c r="B22" s="64">
        <v>6.04</v>
      </c>
      <c r="C22" s="64">
        <v>11.44</v>
      </c>
      <c r="D22" s="64">
        <v>10.82</v>
      </c>
      <c r="E22" s="64">
        <v>5.33</v>
      </c>
      <c r="F22" s="64">
        <v>3.85</v>
      </c>
      <c r="G22" s="64">
        <v>5.2</v>
      </c>
      <c r="H22" s="64">
        <v>4.5599999999999996</v>
      </c>
      <c r="I22" s="64">
        <v>1.67</v>
      </c>
      <c r="J22" s="64">
        <v>1.29</v>
      </c>
      <c r="K22" s="64">
        <v>316.27999999999997</v>
      </c>
      <c r="L22" s="64">
        <v>22.99</v>
      </c>
      <c r="M22" s="64">
        <v>98.12</v>
      </c>
      <c r="N22" s="64">
        <v>43.9</v>
      </c>
      <c r="O22" s="64">
        <v>0.4</v>
      </c>
      <c r="P22" s="64">
        <v>0.36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3" t="s">
        <v>2466</v>
      </c>
      <c r="B23" s="64">
        <v>5.82</v>
      </c>
      <c r="C23" s="64">
        <v>11.48</v>
      </c>
      <c r="D23" s="64">
        <v>10.66</v>
      </c>
      <c r="E23" s="64">
        <v>5.25</v>
      </c>
      <c r="F23" s="64">
        <v>4.5999999999999996</v>
      </c>
      <c r="G23" s="64">
        <v>4.37</v>
      </c>
      <c r="H23" s="64">
        <v>3.64</v>
      </c>
      <c r="I23" s="64">
        <v>1.59</v>
      </c>
      <c r="J23" s="64">
        <v>1.42</v>
      </c>
      <c r="K23" s="64">
        <v>326.63</v>
      </c>
      <c r="L23" s="64">
        <v>22.91</v>
      </c>
      <c r="M23" s="64">
        <v>98.12</v>
      </c>
      <c r="N23" s="64">
        <v>44</v>
      </c>
      <c r="O23" s="64">
        <v>0.4</v>
      </c>
      <c r="P23" s="64">
        <v>0.34</v>
      </c>
      <c r="Q23" s="64">
        <v>9.01</v>
      </c>
      <c r="R23" s="198"/>
      <c r="S23" s="198"/>
      <c r="T23" s="198"/>
      <c r="U23" s="198"/>
    </row>
    <row r="24" spans="1:21" s="12" customFormat="1" x14ac:dyDescent="0.25">
      <c r="A24" s="213" t="s">
        <v>2467</v>
      </c>
      <c r="B24" s="64">
        <v>5.77</v>
      </c>
      <c r="C24" s="64">
        <v>11.76</v>
      </c>
      <c r="D24" s="64">
        <v>10.77</v>
      </c>
      <c r="E24" s="64">
        <v>5.38</v>
      </c>
      <c r="F24" s="64">
        <v>3.73</v>
      </c>
      <c r="G24" s="64">
        <v>4.37</v>
      </c>
      <c r="H24" s="64">
        <v>3.64</v>
      </c>
      <c r="I24" s="64">
        <v>1.5</v>
      </c>
      <c r="J24" s="64">
        <v>1.52</v>
      </c>
      <c r="K24" s="64">
        <v>328.88</v>
      </c>
      <c r="L24" s="64">
        <v>22.85</v>
      </c>
      <c r="M24" s="64">
        <v>98.13</v>
      </c>
      <c r="N24" s="64">
        <v>44.1</v>
      </c>
      <c r="O24" s="64">
        <v>0</v>
      </c>
      <c r="P24" s="64">
        <v>0.31</v>
      </c>
      <c r="Q24" s="64">
        <v>9</v>
      </c>
      <c r="R24" s="198"/>
      <c r="S24" s="198"/>
      <c r="T24" s="198"/>
      <c r="U24" s="198"/>
    </row>
    <row r="25" spans="1:21" s="12" customFormat="1" x14ac:dyDescent="0.25">
      <c r="A25" s="213" t="s">
        <v>2468</v>
      </c>
      <c r="B25" s="64">
        <v>5.75</v>
      </c>
      <c r="C25" s="64">
        <v>11.63</v>
      </c>
      <c r="D25" s="64">
        <v>10.69</v>
      </c>
      <c r="E25" s="64">
        <v>5.3</v>
      </c>
      <c r="F25" s="64">
        <v>4.0199999999999996</v>
      </c>
      <c r="G25" s="64">
        <v>4.37</v>
      </c>
      <c r="H25" s="64">
        <v>3.64</v>
      </c>
      <c r="I25" s="64">
        <v>1.43</v>
      </c>
      <c r="J25" s="64">
        <v>1.18</v>
      </c>
      <c r="K25" s="64">
        <v>326.05</v>
      </c>
      <c r="L25" s="64">
        <v>22.79</v>
      </c>
      <c r="M25" s="64">
        <v>98.13</v>
      </c>
      <c r="N25" s="64">
        <v>44.1</v>
      </c>
      <c r="O25" s="64">
        <v>0.4</v>
      </c>
      <c r="P25" s="64">
        <v>0.31</v>
      </c>
      <c r="Q25" s="64">
        <v>9</v>
      </c>
      <c r="R25" s="198"/>
      <c r="S25" s="198"/>
      <c r="T25" s="198"/>
      <c r="U25" s="198"/>
    </row>
    <row r="26" spans="1:21" s="12" customFormat="1" x14ac:dyDescent="0.25">
      <c r="A26" s="213" t="s">
        <v>2469</v>
      </c>
      <c r="B26" s="64">
        <v>5.83</v>
      </c>
      <c r="C26" s="64">
        <v>11.83</v>
      </c>
      <c r="D26" s="64">
        <v>10.85</v>
      </c>
      <c r="E26" s="64">
        <v>5.29</v>
      </c>
      <c r="F26" s="64">
        <v>3.65</v>
      </c>
      <c r="G26" s="64">
        <v>5.21</v>
      </c>
      <c r="H26" s="64">
        <v>3.32</v>
      </c>
      <c r="I26" s="64">
        <v>1.36</v>
      </c>
      <c r="J26" s="64">
        <v>1.08</v>
      </c>
      <c r="K26" s="64">
        <v>327.74</v>
      </c>
      <c r="L26" s="64">
        <v>22.79</v>
      </c>
      <c r="M26" s="64">
        <v>98.13</v>
      </c>
      <c r="N26" s="64">
        <v>44</v>
      </c>
      <c r="O26" s="64">
        <v>0.2</v>
      </c>
      <c r="P26" s="64">
        <v>0.28000000000000003</v>
      </c>
      <c r="Q26" s="64">
        <v>9.01</v>
      </c>
      <c r="R26" s="198"/>
      <c r="S26" s="198"/>
      <c r="T26" s="198"/>
      <c r="U26" s="198"/>
    </row>
    <row r="27" spans="1:21" s="12" customFormat="1" x14ac:dyDescent="0.25">
      <c r="A27" s="213" t="s">
        <v>2470</v>
      </c>
      <c r="B27" s="64">
        <v>6.25</v>
      </c>
      <c r="C27" s="64">
        <v>11.52</v>
      </c>
      <c r="D27" s="64">
        <v>11.03</v>
      </c>
      <c r="E27" s="64">
        <v>5.35</v>
      </c>
      <c r="F27" s="64">
        <v>4.3899999999999997</v>
      </c>
      <c r="G27" s="64">
        <v>7.28</v>
      </c>
      <c r="H27" s="64">
        <v>2.5499999999999998</v>
      </c>
      <c r="I27" s="64">
        <v>1.31</v>
      </c>
      <c r="J27" s="64">
        <v>1.25</v>
      </c>
      <c r="K27" s="64">
        <v>324.61</v>
      </c>
      <c r="L27" s="64">
        <v>22.74</v>
      </c>
      <c r="M27" s="64">
        <v>98.13</v>
      </c>
      <c r="N27" s="64">
        <v>44.1</v>
      </c>
      <c r="O27" s="64">
        <v>0.2</v>
      </c>
      <c r="P27" s="64">
        <v>0.28000000000000003</v>
      </c>
      <c r="Q27" s="64">
        <v>9.01</v>
      </c>
      <c r="R27" s="198"/>
      <c r="S27" s="198"/>
      <c r="T27" s="198"/>
      <c r="U27" s="198"/>
    </row>
    <row r="28" spans="1:21" s="12" customFormat="1" x14ac:dyDescent="0.25">
      <c r="A28" s="213" t="s">
        <v>2471</v>
      </c>
      <c r="B28" s="64">
        <v>6.97</v>
      </c>
      <c r="C28" s="64">
        <v>11</v>
      </c>
      <c r="D28" s="64">
        <v>11.34</v>
      </c>
      <c r="E28" s="64">
        <v>5.42</v>
      </c>
      <c r="F28" s="64">
        <v>4.17</v>
      </c>
      <c r="G28" s="64">
        <v>7.28</v>
      </c>
      <c r="H28" s="64">
        <v>2.5499999999999998</v>
      </c>
      <c r="I28" s="64">
        <v>1.28</v>
      </c>
      <c r="J28" s="64">
        <v>1.85</v>
      </c>
      <c r="K28" s="64">
        <v>333.97</v>
      </c>
      <c r="L28" s="64">
        <v>22.79</v>
      </c>
      <c r="M28" s="64">
        <v>98.13</v>
      </c>
      <c r="N28" s="64">
        <v>44.1</v>
      </c>
      <c r="O28" s="64">
        <v>0.2</v>
      </c>
      <c r="P28" s="64">
        <v>0.25</v>
      </c>
      <c r="Q28" s="64">
        <v>9.0299999999999994</v>
      </c>
      <c r="R28" s="198"/>
      <c r="S28" s="198"/>
      <c r="T28" s="198"/>
      <c r="U28" s="198"/>
    </row>
    <row r="29" spans="1:21" s="12" customFormat="1" x14ac:dyDescent="0.25">
      <c r="A29" s="213" t="s">
        <v>2472</v>
      </c>
      <c r="B29" s="64">
        <v>6.18</v>
      </c>
      <c r="C29" s="64">
        <v>11.12</v>
      </c>
      <c r="D29" s="64">
        <v>10.76</v>
      </c>
      <c r="E29" s="64">
        <v>5.15</v>
      </c>
      <c r="F29" s="64">
        <v>4.78</v>
      </c>
      <c r="G29" s="64">
        <v>7.28</v>
      </c>
      <c r="H29" s="64">
        <v>2.5499999999999998</v>
      </c>
      <c r="I29" s="64">
        <v>1.23</v>
      </c>
      <c r="J29" s="64">
        <v>2.23</v>
      </c>
      <c r="K29" s="64">
        <v>333.3</v>
      </c>
      <c r="L29" s="64">
        <v>22.81</v>
      </c>
      <c r="M29" s="64">
        <v>98.12</v>
      </c>
      <c r="N29" s="64">
        <v>44</v>
      </c>
      <c r="O29" s="64">
        <v>0.2</v>
      </c>
      <c r="P29" s="64">
        <v>0.24</v>
      </c>
      <c r="Q29" s="64">
        <v>9.0399999999999991</v>
      </c>
      <c r="R29" s="198"/>
      <c r="S29" s="198"/>
      <c r="T29" s="198"/>
      <c r="U29" s="198"/>
    </row>
    <row r="30" spans="1:21" s="12" customFormat="1" x14ac:dyDescent="0.25">
      <c r="A30" s="213" t="s">
        <v>2473</v>
      </c>
      <c r="B30" s="64">
        <v>6.4</v>
      </c>
      <c r="C30" s="64">
        <v>10.94</v>
      </c>
      <c r="D30" s="64">
        <v>10.85</v>
      </c>
      <c r="E30" s="64">
        <v>5.19</v>
      </c>
      <c r="F30" s="64">
        <v>5.26</v>
      </c>
      <c r="G30" s="64">
        <v>7.12</v>
      </c>
      <c r="H30" s="64">
        <v>2.33</v>
      </c>
      <c r="I30" s="64">
        <v>1.17</v>
      </c>
      <c r="J30" s="64">
        <v>2.0499999999999998</v>
      </c>
      <c r="K30" s="64">
        <v>334.57</v>
      </c>
      <c r="L30" s="64">
        <v>22.83</v>
      </c>
      <c r="M30" s="64">
        <v>98.1</v>
      </c>
      <c r="N30" s="64">
        <v>44.1</v>
      </c>
      <c r="O30" s="64">
        <v>0.4</v>
      </c>
      <c r="P30" s="64">
        <v>0.24</v>
      </c>
      <c r="Q30" s="64">
        <v>9.0399999999999991</v>
      </c>
      <c r="R30" s="198"/>
      <c r="S30" s="198"/>
      <c r="T30" s="198"/>
      <c r="U30" s="198"/>
    </row>
    <row r="31" spans="1:21" s="12" customFormat="1" x14ac:dyDescent="0.25">
      <c r="A31" s="213" t="s">
        <v>2474</v>
      </c>
      <c r="B31" s="64">
        <v>6.45</v>
      </c>
      <c r="C31" s="64">
        <v>12.52</v>
      </c>
      <c r="D31" s="64">
        <v>11.71</v>
      </c>
      <c r="E31" s="64">
        <v>5.27</v>
      </c>
      <c r="F31" s="64">
        <v>5.77</v>
      </c>
      <c r="G31" s="64">
        <v>6.69</v>
      </c>
      <c r="H31" s="64">
        <v>1.78</v>
      </c>
      <c r="I31" s="64">
        <v>1.1000000000000001</v>
      </c>
      <c r="J31" s="64">
        <v>1.56</v>
      </c>
      <c r="K31" s="64">
        <v>336.39</v>
      </c>
      <c r="L31" s="64">
        <v>22.83</v>
      </c>
      <c r="M31" s="64">
        <v>98.1</v>
      </c>
      <c r="N31" s="64">
        <v>44.7</v>
      </c>
      <c r="O31" s="64">
        <v>0.2</v>
      </c>
      <c r="P31" s="64">
        <v>0.24</v>
      </c>
      <c r="Q31" s="64">
        <v>9.0500000000000007</v>
      </c>
      <c r="R31" s="198"/>
      <c r="S31" s="198"/>
      <c r="T31" s="198"/>
      <c r="U31" s="198"/>
    </row>
    <row r="32" spans="1:21" s="12" customFormat="1" x14ac:dyDescent="0.25">
      <c r="A32" s="213" t="s">
        <v>2475</v>
      </c>
      <c r="B32" s="64">
        <v>6.26</v>
      </c>
      <c r="C32" s="64">
        <v>12.88</v>
      </c>
      <c r="D32" s="64">
        <v>11.75</v>
      </c>
      <c r="E32" s="64">
        <v>5.17</v>
      </c>
      <c r="F32" s="64">
        <v>5.16</v>
      </c>
      <c r="G32" s="64">
        <v>6.69</v>
      </c>
      <c r="H32" s="64">
        <v>1.78</v>
      </c>
      <c r="I32" s="64">
        <v>1.05</v>
      </c>
      <c r="J32" s="64">
        <v>1.29</v>
      </c>
      <c r="K32" s="64">
        <v>334.65</v>
      </c>
      <c r="L32" s="64">
        <v>22.82</v>
      </c>
      <c r="M32" s="64">
        <v>98.1</v>
      </c>
      <c r="N32" s="64">
        <v>46</v>
      </c>
      <c r="O32" s="64">
        <v>0.2</v>
      </c>
      <c r="P32" s="64">
        <v>0.23</v>
      </c>
      <c r="Q32" s="64">
        <v>9.0500000000000007</v>
      </c>
      <c r="R32" s="198"/>
      <c r="S32" s="198"/>
      <c r="T32" s="198"/>
      <c r="U32" s="198"/>
    </row>
    <row r="33" spans="1:21" s="12" customFormat="1" x14ac:dyDescent="0.25">
      <c r="A33" s="213" t="s">
        <v>2476</v>
      </c>
      <c r="B33" s="64">
        <v>6.95</v>
      </c>
      <c r="C33" s="64">
        <v>12.91</v>
      </c>
      <c r="D33" s="64">
        <v>12.32</v>
      </c>
      <c r="E33" s="64">
        <v>5.44</v>
      </c>
      <c r="F33" s="64">
        <v>4.95</v>
      </c>
      <c r="G33" s="64">
        <v>6.69</v>
      </c>
      <c r="H33" s="64">
        <v>1.78</v>
      </c>
      <c r="I33" s="64">
        <v>1.04</v>
      </c>
      <c r="J33" s="64">
        <v>1.56</v>
      </c>
      <c r="K33" s="64">
        <v>333.17</v>
      </c>
      <c r="L33" s="64">
        <v>22.85</v>
      </c>
      <c r="M33" s="64">
        <v>98.1</v>
      </c>
      <c r="N33" s="64">
        <v>48.6</v>
      </c>
      <c r="O33" s="64">
        <v>0</v>
      </c>
      <c r="P33" s="64">
        <v>0.24</v>
      </c>
      <c r="Q33" s="64">
        <v>9.07</v>
      </c>
      <c r="R33" s="198"/>
      <c r="S33" s="198"/>
      <c r="T33" s="198"/>
      <c r="U33" s="198"/>
    </row>
    <row r="34" spans="1:21" s="12" customFormat="1" x14ac:dyDescent="0.25">
      <c r="A34" s="213" t="s">
        <v>2477</v>
      </c>
      <c r="B34" s="64">
        <v>7.12</v>
      </c>
      <c r="C34" s="64">
        <v>12.6</v>
      </c>
      <c r="D34" s="64">
        <v>12.29</v>
      </c>
      <c r="E34" s="64">
        <v>5.81</v>
      </c>
      <c r="F34" s="64">
        <v>5.67</v>
      </c>
      <c r="G34" s="64">
        <v>8.59</v>
      </c>
      <c r="H34" s="64">
        <v>1.64</v>
      </c>
      <c r="I34" s="64">
        <v>1.04</v>
      </c>
      <c r="J34" s="64">
        <v>1.51</v>
      </c>
      <c r="K34" s="64">
        <v>332.99</v>
      </c>
      <c r="L34" s="64">
        <v>22.89</v>
      </c>
      <c r="M34" s="64">
        <v>98.1</v>
      </c>
      <c r="N34" s="64">
        <v>52</v>
      </c>
      <c r="O34" s="64">
        <v>0</v>
      </c>
      <c r="P34" s="64">
        <v>0.24</v>
      </c>
      <c r="Q34" s="64">
        <v>9.08</v>
      </c>
      <c r="R34" s="198"/>
      <c r="S34" s="198"/>
      <c r="T34" s="198"/>
      <c r="U34" s="198"/>
    </row>
    <row r="35" spans="1:21" s="12" customFormat="1" x14ac:dyDescent="0.25">
      <c r="A35" s="213" t="s">
        <v>2478</v>
      </c>
      <c r="B35" s="64">
        <v>7.85</v>
      </c>
      <c r="C35" s="64">
        <v>13.34</v>
      </c>
      <c r="D35" s="64">
        <v>13.27</v>
      </c>
      <c r="E35" s="64">
        <v>5.58</v>
      </c>
      <c r="F35" s="64">
        <v>4.7699999999999996</v>
      </c>
      <c r="G35" s="64">
        <v>13.26</v>
      </c>
      <c r="H35" s="64">
        <v>1.28</v>
      </c>
      <c r="I35" s="64">
        <v>1.04</v>
      </c>
      <c r="J35" s="64">
        <v>1.07</v>
      </c>
      <c r="K35" s="64">
        <v>334.44</v>
      </c>
      <c r="L35" s="64">
        <v>22.98</v>
      </c>
      <c r="M35" s="64">
        <v>98.11</v>
      </c>
      <c r="N35" s="64">
        <v>57.7</v>
      </c>
      <c r="O35" s="64">
        <v>0</v>
      </c>
      <c r="P35" s="64">
        <v>0.25</v>
      </c>
      <c r="Q35" s="64">
        <v>9.09</v>
      </c>
      <c r="R35" s="198"/>
      <c r="S35" s="198"/>
      <c r="T35" s="198"/>
      <c r="U35" s="198"/>
    </row>
    <row r="36" spans="1:21" s="12" customFormat="1" x14ac:dyDescent="0.25">
      <c r="A36" s="213" t="s">
        <v>2479</v>
      </c>
      <c r="B36" s="64">
        <v>9.4600000000000009</v>
      </c>
      <c r="C36" s="64">
        <v>14.28</v>
      </c>
      <c r="D36" s="64">
        <v>15.05</v>
      </c>
      <c r="E36" s="64">
        <v>5.28</v>
      </c>
      <c r="F36" s="64">
        <v>6.65</v>
      </c>
      <c r="G36" s="64">
        <v>13.26</v>
      </c>
      <c r="H36" s="64">
        <v>1.28</v>
      </c>
      <c r="I36" s="64">
        <v>1.07</v>
      </c>
      <c r="J36" s="64">
        <v>0.45</v>
      </c>
      <c r="K36" s="64">
        <v>336.43</v>
      </c>
      <c r="L36" s="64">
        <v>23.09</v>
      </c>
      <c r="M36" s="64">
        <v>98.13</v>
      </c>
      <c r="N36" s="64">
        <v>56.6</v>
      </c>
      <c r="O36" s="64">
        <v>0</v>
      </c>
      <c r="P36" s="64">
        <v>0.35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3" t="s">
        <v>2480</v>
      </c>
      <c r="B37" s="64">
        <v>10.76</v>
      </c>
      <c r="C37" s="64">
        <v>13.23</v>
      </c>
      <c r="D37" s="64">
        <v>15.54</v>
      </c>
      <c r="E37" s="64">
        <v>5.21</v>
      </c>
      <c r="F37" s="64">
        <v>5.28</v>
      </c>
      <c r="G37" s="64">
        <v>13.26</v>
      </c>
      <c r="H37" s="64">
        <v>1.28</v>
      </c>
      <c r="I37" s="64">
        <v>1.0900000000000001</v>
      </c>
      <c r="J37" s="64">
        <v>0.76</v>
      </c>
      <c r="K37" s="64">
        <v>335.38</v>
      </c>
      <c r="L37" s="64">
        <v>23.25</v>
      </c>
      <c r="M37" s="64">
        <v>98.13</v>
      </c>
      <c r="N37" s="64">
        <v>60.8</v>
      </c>
      <c r="O37" s="64">
        <v>0</v>
      </c>
      <c r="P37" s="64">
        <v>0.33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3" t="s">
        <v>2481</v>
      </c>
      <c r="B38" s="64">
        <v>22.93</v>
      </c>
      <c r="C38" s="64">
        <v>17.02</v>
      </c>
      <c r="D38" s="64">
        <v>27.23</v>
      </c>
      <c r="E38" s="64">
        <v>5.68</v>
      </c>
      <c r="F38" s="64">
        <v>7.94</v>
      </c>
      <c r="G38" s="64">
        <v>15.65</v>
      </c>
      <c r="H38" s="64">
        <v>2.7</v>
      </c>
      <c r="I38" s="64">
        <v>1.1000000000000001</v>
      </c>
      <c r="J38" s="64">
        <v>0.66</v>
      </c>
      <c r="K38" s="64">
        <v>337.03</v>
      </c>
      <c r="L38" s="64">
        <v>23.29</v>
      </c>
      <c r="M38" s="64">
        <v>98.13</v>
      </c>
      <c r="N38" s="64">
        <v>53.5</v>
      </c>
      <c r="O38" s="64">
        <v>0</v>
      </c>
      <c r="P38" s="64">
        <v>0.42</v>
      </c>
      <c r="Q38" s="64">
        <v>9.1199999999999992</v>
      </c>
      <c r="R38" s="198"/>
      <c r="S38" s="198"/>
      <c r="T38" s="198"/>
      <c r="U38" s="198"/>
    </row>
    <row r="39" spans="1:21" s="12" customFormat="1" x14ac:dyDescent="0.25">
      <c r="A39" s="213" t="s">
        <v>2482</v>
      </c>
      <c r="B39" s="64">
        <v>11.78</v>
      </c>
      <c r="C39" s="64">
        <v>16.12</v>
      </c>
      <c r="D39" s="64">
        <v>17.87</v>
      </c>
      <c r="E39" s="64">
        <v>5.47</v>
      </c>
      <c r="F39" s="64">
        <v>4.83</v>
      </c>
      <c r="G39" s="64">
        <v>21.87</v>
      </c>
      <c r="H39" s="64">
        <v>6.19</v>
      </c>
      <c r="I39" s="64">
        <v>1.1200000000000001</v>
      </c>
      <c r="J39" s="64">
        <v>0.45</v>
      </c>
      <c r="K39" s="64">
        <v>340.93</v>
      </c>
      <c r="L39" s="64">
        <v>23.22</v>
      </c>
      <c r="M39" s="64">
        <v>98.14</v>
      </c>
      <c r="N39" s="64">
        <v>64.400000000000006</v>
      </c>
      <c r="O39" s="64">
        <v>0.2</v>
      </c>
      <c r="P39" s="64">
        <v>0.38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3" t="s">
        <v>2483</v>
      </c>
      <c r="B40" s="64">
        <v>16</v>
      </c>
      <c r="C40" s="64">
        <v>14.87</v>
      </c>
      <c r="D40" s="64">
        <v>20.57</v>
      </c>
      <c r="E40" s="64">
        <v>5.3</v>
      </c>
      <c r="F40" s="64">
        <v>5.83</v>
      </c>
      <c r="G40" s="64">
        <v>21.87</v>
      </c>
      <c r="H40" s="64">
        <v>6.19</v>
      </c>
      <c r="I40" s="64">
        <v>1.1299999999999999</v>
      </c>
      <c r="J40" s="64">
        <v>0.87</v>
      </c>
      <c r="K40" s="64">
        <v>339.26</v>
      </c>
      <c r="L40" s="64">
        <v>23.33</v>
      </c>
      <c r="M40" s="64">
        <v>98.15</v>
      </c>
      <c r="N40" s="64">
        <v>117.1</v>
      </c>
      <c r="O40" s="64">
        <v>0</v>
      </c>
      <c r="P40" s="64">
        <v>0.44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3" t="s">
        <v>2484</v>
      </c>
      <c r="B41" s="64">
        <v>13.4</v>
      </c>
      <c r="C41" s="64">
        <v>12.37</v>
      </c>
      <c r="D41" s="64">
        <v>17.21</v>
      </c>
      <c r="E41" s="64">
        <v>5.34</v>
      </c>
      <c r="F41" s="64">
        <v>4.24</v>
      </c>
      <c r="G41" s="64">
        <v>21.87</v>
      </c>
      <c r="H41" s="64">
        <v>6.19</v>
      </c>
      <c r="I41" s="64">
        <v>1.1499999999999999</v>
      </c>
      <c r="J41" s="64">
        <v>1.1399999999999999</v>
      </c>
      <c r="K41" s="64">
        <v>336.15</v>
      </c>
      <c r="L41" s="64">
        <v>23.67</v>
      </c>
      <c r="M41" s="64">
        <v>98.15</v>
      </c>
      <c r="N41" s="64">
        <v>152.80000000000001</v>
      </c>
      <c r="O41" s="64">
        <v>0</v>
      </c>
      <c r="P41" s="64">
        <v>0.42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3" t="s">
        <v>2485</v>
      </c>
      <c r="B42" s="64">
        <v>15.73</v>
      </c>
      <c r="C42" s="64">
        <v>15.34</v>
      </c>
      <c r="D42" s="64">
        <v>20.62</v>
      </c>
      <c r="E42" s="64">
        <v>5.57</v>
      </c>
      <c r="F42" s="64">
        <v>5.07</v>
      </c>
      <c r="G42" s="64">
        <v>24.02</v>
      </c>
      <c r="H42" s="64">
        <v>5.65</v>
      </c>
      <c r="I42" s="64">
        <v>1.19</v>
      </c>
      <c r="J42" s="64">
        <v>1.04</v>
      </c>
      <c r="K42" s="64">
        <v>336.48</v>
      </c>
      <c r="L42" s="64">
        <v>24.11</v>
      </c>
      <c r="M42" s="64">
        <v>98.15</v>
      </c>
      <c r="N42" s="64">
        <v>179.2</v>
      </c>
      <c r="O42" s="64">
        <v>0</v>
      </c>
      <c r="P42" s="64">
        <v>0.47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3" t="s">
        <v>2486</v>
      </c>
      <c r="B43" s="64">
        <v>15.73</v>
      </c>
      <c r="C43" s="64">
        <v>11.83</v>
      </c>
      <c r="D43" s="64">
        <v>18.8</v>
      </c>
      <c r="E43" s="64">
        <v>5.43</v>
      </c>
      <c r="F43" s="64">
        <v>3.98</v>
      </c>
      <c r="G43" s="64">
        <v>29.6</v>
      </c>
      <c r="H43" s="64">
        <v>4.33</v>
      </c>
      <c r="I43" s="64">
        <v>1.23</v>
      </c>
      <c r="J43" s="64">
        <v>1.1200000000000001</v>
      </c>
      <c r="K43" s="64">
        <v>327.35000000000002</v>
      </c>
      <c r="L43" s="64">
        <v>24.56</v>
      </c>
      <c r="M43" s="64">
        <v>98.11</v>
      </c>
      <c r="N43" s="64">
        <v>202.7</v>
      </c>
      <c r="O43" s="64">
        <v>0</v>
      </c>
      <c r="P43" s="64">
        <v>0.43</v>
      </c>
      <c r="Q43" s="64">
        <v>9.24</v>
      </c>
      <c r="R43" s="198"/>
      <c r="S43" s="198"/>
      <c r="T43" s="198"/>
      <c r="U43" s="198"/>
    </row>
    <row r="44" spans="1:21" s="12" customFormat="1" x14ac:dyDescent="0.25">
      <c r="A44" s="213" t="s">
        <v>2487</v>
      </c>
      <c r="B44" s="64">
        <v>15.03</v>
      </c>
      <c r="C44" s="64">
        <v>11.76</v>
      </c>
      <c r="D44" s="64">
        <v>18.190000000000001</v>
      </c>
      <c r="E44" s="64">
        <v>5.56</v>
      </c>
      <c r="F44" s="64">
        <v>4.74</v>
      </c>
      <c r="G44" s="64">
        <v>29.6</v>
      </c>
      <c r="H44" s="64">
        <v>4.33</v>
      </c>
      <c r="I44" s="64">
        <v>1.29</v>
      </c>
      <c r="J44" s="64">
        <v>1.1100000000000001</v>
      </c>
      <c r="K44" s="64">
        <v>330.54</v>
      </c>
      <c r="L44" s="64">
        <v>25.02</v>
      </c>
      <c r="M44" s="64">
        <v>98.08</v>
      </c>
      <c r="N44" s="64">
        <v>256.7</v>
      </c>
      <c r="O44" s="64">
        <v>0</v>
      </c>
      <c r="P44" s="64">
        <v>0.43</v>
      </c>
      <c r="Q44" s="64">
        <v>9.26</v>
      </c>
      <c r="R44" s="198"/>
      <c r="S44" s="198"/>
      <c r="T44" s="198"/>
      <c r="U44" s="198"/>
    </row>
    <row r="45" spans="1:21" s="12" customFormat="1" x14ac:dyDescent="0.25">
      <c r="A45" s="213" t="s">
        <v>2488</v>
      </c>
      <c r="B45" s="64">
        <v>14.3</v>
      </c>
      <c r="C45" s="64">
        <v>13.43</v>
      </c>
      <c r="D45" s="64">
        <v>18.489999999999998</v>
      </c>
      <c r="E45" s="64">
        <v>5.25</v>
      </c>
      <c r="F45" s="64">
        <v>6.75</v>
      </c>
      <c r="G45" s="64">
        <v>29.6</v>
      </c>
      <c r="H45" s="64">
        <v>4.33</v>
      </c>
      <c r="I45" s="64">
        <v>1.3</v>
      </c>
      <c r="J45" s="64">
        <v>0.78</v>
      </c>
      <c r="K45" s="64">
        <v>327.56</v>
      </c>
      <c r="L45" s="64">
        <v>26.11</v>
      </c>
      <c r="M45" s="64">
        <v>98.04</v>
      </c>
      <c r="N45" s="64">
        <v>367.3</v>
      </c>
      <c r="O45" s="64">
        <v>0</v>
      </c>
      <c r="P45" s="64">
        <v>0.47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3" t="s">
        <v>2489</v>
      </c>
      <c r="B46" s="64">
        <v>15.46</v>
      </c>
      <c r="C46" s="64">
        <v>13.85</v>
      </c>
      <c r="D46" s="64">
        <v>19.64</v>
      </c>
      <c r="E46" s="64">
        <v>5.26</v>
      </c>
      <c r="F46" s="64">
        <v>6.83</v>
      </c>
      <c r="G46" s="64">
        <v>28.6</v>
      </c>
      <c r="H46" s="64">
        <v>10.71</v>
      </c>
      <c r="I46" s="64">
        <v>1.28</v>
      </c>
      <c r="J46" s="64">
        <v>0.7</v>
      </c>
      <c r="K46" s="64">
        <v>321.44</v>
      </c>
      <c r="L46" s="64">
        <v>27.48</v>
      </c>
      <c r="M46" s="64">
        <v>97.99</v>
      </c>
      <c r="N46" s="64">
        <v>495.8</v>
      </c>
      <c r="O46" s="64">
        <v>0</v>
      </c>
      <c r="P46" s="64">
        <v>0.45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3" t="s">
        <v>2490</v>
      </c>
      <c r="B47" s="64">
        <v>16.96</v>
      </c>
      <c r="C47" s="64">
        <v>12.41</v>
      </c>
      <c r="D47" s="64">
        <v>20.079999999999998</v>
      </c>
      <c r="E47" s="64">
        <v>5.45</v>
      </c>
      <c r="F47" s="64">
        <v>5.4</v>
      </c>
      <c r="G47" s="64">
        <v>26.13</v>
      </c>
      <c r="H47" s="64">
        <v>10.71</v>
      </c>
      <c r="I47" s="64">
        <v>1.27</v>
      </c>
      <c r="J47" s="64">
        <v>0.99</v>
      </c>
      <c r="K47" s="64">
        <v>328.08</v>
      </c>
      <c r="L47" s="64">
        <v>28.44</v>
      </c>
      <c r="M47" s="64">
        <v>96.71</v>
      </c>
      <c r="N47" s="64">
        <v>467.2</v>
      </c>
      <c r="O47" s="64">
        <v>0</v>
      </c>
      <c r="P47" s="64">
        <v>0.46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3" t="s">
        <v>2491</v>
      </c>
      <c r="B48" s="64">
        <v>14</v>
      </c>
      <c r="C48" s="64">
        <v>11.86</v>
      </c>
      <c r="D48" s="64">
        <v>17.420000000000002</v>
      </c>
      <c r="E48" s="64">
        <v>5.14</v>
      </c>
      <c r="F48" s="64">
        <v>6.34</v>
      </c>
      <c r="G48" s="64">
        <v>26.13</v>
      </c>
      <c r="H48" s="64">
        <v>10.71</v>
      </c>
      <c r="I48" s="64">
        <v>1.28</v>
      </c>
      <c r="J48" s="64">
        <v>0.92</v>
      </c>
      <c r="K48" s="64">
        <v>326.61</v>
      </c>
      <c r="L48" s="64">
        <v>28.95</v>
      </c>
      <c r="M48" s="64">
        <v>93.24</v>
      </c>
      <c r="N48" s="64">
        <v>515.4</v>
      </c>
      <c r="O48" s="64">
        <v>0</v>
      </c>
      <c r="P48" s="64">
        <v>0.45</v>
      </c>
      <c r="Q48" s="64">
        <v>9.34</v>
      </c>
      <c r="R48" s="198"/>
      <c r="S48" s="198"/>
      <c r="T48" s="198"/>
      <c r="U48" s="198"/>
    </row>
    <row r="49" spans="1:21" s="12" customFormat="1" x14ac:dyDescent="0.25">
      <c r="A49" s="213" t="s">
        <v>2492</v>
      </c>
      <c r="B49" s="64">
        <v>15.6</v>
      </c>
      <c r="C49" s="64">
        <v>10.61</v>
      </c>
      <c r="D49" s="64">
        <v>18.05</v>
      </c>
      <c r="E49" s="64">
        <v>5.1100000000000003</v>
      </c>
      <c r="F49" s="64">
        <v>8.16</v>
      </c>
      <c r="G49" s="64">
        <v>26.13</v>
      </c>
      <c r="H49" s="64">
        <v>10.71</v>
      </c>
      <c r="I49" s="64">
        <v>1.28</v>
      </c>
      <c r="J49" s="64">
        <v>1.07</v>
      </c>
      <c r="K49" s="64">
        <v>332.48</v>
      </c>
      <c r="L49" s="64">
        <v>29.68</v>
      </c>
      <c r="M49" s="64">
        <v>90.36</v>
      </c>
      <c r="N49" s="64">
        <v>605.79999999999995</v>
      </c>
      <c r="O49" s="64">
        <v>0</v>
      </c>
      <c r="P49" s="64">
        <v>0.47</v>
      </c>
      <c r="Q49" s="64">
        <v>9.35</v>
      </c>
      <c r="R49" s="198"/>
      <c r="S49" s="198"/>
      <c r="T49" s="198"/>
      <c r="U49" s="198"/>
    </row>
    <row r="50" spans="1:21" s="12" customFormat="1" x14ac:dyDescent="0.25">
      <c r="A50" s="213" t="s">
        <v>2493</v>
      </c>
      <c r="B50" s="64">
        <v>13.87</v>
      </c>
      <c r="C50" s="64">
        <v>12.26</v>
      </c>
      <c r="D50" s="64">
        <v>17.53</v>
      </c>
      <c r="E50" s="64">
        <v>5.42</v>
      </c>
      <c r="F50" s="64">
        <v>10.36</v>
      </c>
      <c r="G50" s="64">
        <v>26.52</v>
      </c>
      <c r="H50" s="64">
        <v>10.71</v>
      </c>
      <c r="I50" s="64">
        <v>1.26</v>
      </c>
      <c r="J50" s="64">
        <v>1.18</v>
      </c>
      <c r="K50" s="64">
        <v>335.86</v>
      </c>
      <c r="L50" s="64">
        <v>30.98</v>
      </c>
      <c r="M50" s="64">
        <v>82.85</v>
      </c>
      <c r="N50" s="64">
        <v>740.2</v>
      </c>
      <c r="O50" s="64">
        <v>0</v>
      </c>
      <c r="P50" s="64">
        <v>0.45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3" t="s">
        <v>2494</v>
      </c>
      <c r="B51" s="64">
        <v>13.99</v>
      </c>
      <c r="C51" s="64">
        <v>11.47</v>
      </c>
      <c r="D51" s="64">
        <v>17.21</v>
      </c>
      <c r="E51" s="64">
        <v>5.52</v>
      </c>
      <c r="F51" s="64">
        <v>11.33</v>
      </c>
      <c r="G51" s="64">
        <v>27.47</v>
      </c>
      <c r="H51" s="64">
        <v>10.5</v>
      </c>
      <c r="I51" s="64">
        <v>1.25</v>
      </c>
      <c r="J51" s="64">
        <v>0.98</v>
      </c>
      <c r="K51" s="64">
        <v>331.28</v>
      </c>
      <c r="L51" s="64">
        <v>31.85</v>
      </c>
      <c r="M51" s="64">
        <v>75.98</v>
      </c>
      <c r="N51" s="64">
        <v>894.6</v>
      </c>
      <c r="O51" s="64">
        <v>0</v>
      </c>
      <c r="P51" s="64">
        <v>0.47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3" t="s">
        <v>2495</v>
      </c>
      <c r="B52" s="64">
        <v>15.44</v>
      </c>
      <c r="C52" s="64">
        <v>15.34</v>
      </c>
      <c r="D52" s="64">
        <v>20.399999999999999</v>
      </c>
      <c r="E52" s="64">
        <v>5.49</v>
      </c>
      <c r="F52" s="64">
        <v>12.85</v>
      </c>
      <c r="G52" s="64">
        <v>27.47</v>
      </c>
      <c r="H52" s="64">
        <v>10.5</v>
      </c>
      <c r="I52" s="64">
        <v>1.27</v>
      </c>
      <c r="J52" s="64">
        <v>0.67</v>
      </c>
      <c r="K52" s="64">
        <v>330.58</v>
      </c>
      <c r="L52" s="64">
        <v>33.200000000000003</v>
      </c>
      <c r="M52" s="64">
        <v>69.510000000000005</v>
      </c>
      <c r="N52" s="64">
        <v>787.6</v>
      </c>
      <c r="O52" s="64">
        <v>0</v>
      </c>
      <c r="P52" s="64">
        <v>0.46</v>
      </c>
      <c r="Q52" s="64">
        <v>9.35</v>
      </c>
      <c r="R52" s="198"/>
      <c r="S52" s="198"/>
      <c r="T52" s="198"/>
      <c r="U52" s="198"/>
    </row>
    <row r="53" spans="1:21" s="12" customFormat="1" x14ac:dyDescent="0.25">
      <c r="A53" s="213" t="s">
        <v>2496</v>
      </c>
      <c r="B53" s="64">
        <v>13.31</v>
      </c>
      <c r="C53" s="64">
        <v>16.260000000000002</v>
      </c>
      <c r="D53" s="64">
        <v>19.170000000000002</v>
      </c>
      <c r="E53" s="64">
        <v>5.57</v>
      </c>
      <c r="F53" s="64">
        <v>8.36</v>
      </c>
      <c r="G53" s="64">
        <v>27.47</v>
      </c>
      <c r="H53" s="64">
        <v>10.5</v>
      </c>
      <c r="I53" s="64">
        <v>1.29</v>
      </c>
      <c r="J53" s="64">
        <v>0.46</v>
      </c>
      <c r="K53" s="64">
        <v>335.5</v>
      </c>
      <c r="L53" s="64">
        <v>32.92</v>
      </c>
      <c r="M53" s="64">
        <v>68.72</v>
      </c>
      <c r="N53" s="64">
        <v>544.5</v>
      </c>
      <c r="O53" s="64">
        <v>0</v>
      </c>
      <c r="P53" s="64">
        <v>0.49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3" t="s">
        <v>2497</v>
      </c>
      <c r="B54" s="64">
        <v>16.02</v>
      </c>
      <c r="C54" s="64">
        <v>15.49</v>
      </c>
      <c r="D54" s="64">
        <v>20.94</v>
      </c>
      <c r="E54" s="64">
        <v>5.41</v>
      </c>
      <c r="F54" s="64">
        <v>8.77</v>
      </c>
      <c r="G54" s="64">
        <v>28.32</v>
      </c>
      <c r="H54" s="64">
        <v>7.68</v>
      </c>
      <c r="I54" s="64">
        <v>1.3</v>
      </c>
      <c r="J54" s="64">
        <v>0.47</v>
      </c>
      <c r="K54" s="64">
        <v>319.08</v>
      </c>
      <c r="L54" s="64">
        <v>32.54</v>
      </c>
      <c r="M54" s="64">
        <v>71.39</v>
      </c>
      <c r="N54" s="64">
        <v>601.29999999999995</v>
      </c>
      <c r="O54" s="64">
        <v>0</v>
      </c>
      <c r="P54" s="64">
        <v>0.47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3" t="s">
        <v>2498</v>
      </c>
      <c r="B55" s="64">
        <v>13.44</v>
      </c>
      <c r="C55" s="64">
        <v>13.1</v>
      </c>
      <c r="D55" s="64">
        <v>17.62</v>
      </c>
      <c r="E55" s="64">
        <v>5.58</v>
      </c>
      <c r="F55" s="64">
        <v>6.22</v>
      </c>
      <c r="G55" s="64">
        <v>30.42</v>
      </c>
      <c r="H55" s="64">
        <v>0.74</v>
      </c>
      <c r="I55" s="64">
        <v>1.29</v>
      </c>
      <c r="J55" s="64">
        <v>0.37</v>
      </c>
      <c r="K55" s="64">
        <v>309.45999999999998</v>
      </c>
      <c r="L55" s="64">
        <v>32.03</v>
      </c>
      <c r="M55" s="64">
        <v>73.209999999999994</v>
      </c>
      <c r="N55" s="64">
        <v>513.9</v>
      </c>
      <c r="O55" s="64">
        <v>0</v>
      </c>
      <c r="P55" s="64">
        <v>0.45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3" t="s">
        <v>2499</v>
      </c>
      <c r="B56" s="64">
        <v>14.83</v>
      </c>
      <c r="C56" s="64">
        <v>12.11</v>
      </c>
      <c r="D56" s="64">
        <v>18.22</v>
      </c>
      <c r="E56" s="64">
        <v>5.47</v>
      </c>
      <c r="F56" s="64">
        <v>5.45</v>
      </c>
      <c r="G56" s="64">
        <v>30.42</v>
      </c>
      <c r="H56" s="64">
        <v>0.74</v>
      </c>
      <c r="I56" s="64">
        <v>1.27</v>
      </c>
      <c r="J56" s="64">
        <v>0.4</v>
      </c>
      <c r="K56" s="64">
        <v>321.37</v>
      </c>
      <c r="L56" s="64">
        <v>31.1</v>
      </c>
      <c r="M56" s="64">
        <v>77.48</v>
      </c>
      <c r="N56" s="64">
        <v>338.6</v>
      </c>
      <c r="O56" s="64">
        <v>0</v>
      </c>
      <c r="P56" s="64">
        <v>0.46</v>
      </c>
      <c r="Q56" s="64">
        <v>9.2899999999999991</v>
      </c>
      <c r="R56" s="198"/>
      <c r="S56" s="198"/>
      <c r="T56" s="198"/>
      <c r="U56" s="198"/>
    </row>
    <row r="57" spans="1:21" s="12" customFormat="1" x14ac:dyDescent="0.25">
      <c r="A57" s="213" t="s">
        <v>2500</v>
      </c>
      <c r="B57" s="64">
        <v>13.81</v>
      </c>
      <c r="C57" s="64">
        <v>13.32</v>
      </c>
      <c r="D57" s="64">
        <v>18.04</v>
      </c>
      <c r="E57" s="64">
        <v>5.5</v>
      </c>
      <c r="F57" s="64">
        <v>4.8600000000000003</v>
      </c>
      <c r="G57" s="64">
        <v>30.42</v>
      </c>
      <c r="H57" s="64">
        <v>0.74</v>
      </c>
      <c r="I57" s="64">
        <v>1.25</v>
      </c>
      <c r="J57" s="64">
        <v>0.64</v>
      </c>
      <c r="K57" s="64">
        <v>317.48</v>
      </c>
      <c r="L57" s="64">
        <v>30.23</v>
      </c>
      <c r="M57" s="64">
        <v>82.35</v>
      </c>
      <c r="N57" s="64">
        <v>336.4</v>
      </c>
      <c r="O57" s="64">
        <v>0</v>
      </c>
      <c r="P57" s="64">
        <v>0.45</v>
      </c>
      <c r="Q57" s="64">
        <v>9.27</v>
      </c>
      <c r="R57" s="198"/>
      <c r="S57" s="198"/>
      <c r="T57" s="198"/>
      <c r="U57" s="198"/>
    </row>
    <row r="58" spans="1:21" s="12" customFormat="1" x14ac:dyDescent="0.25">
      <c r="A58" s="213" t="s">
        <v>2501</v>
      </c>
      <c r="B58" s="64">
        <v>12.98</v>
      </c>
      <c r="C58" s="64">
        <v>12.83</v>
      </c>
      <c r="D58" s="64">
        <v>17.12</v>
      </c>
      <c r="E58" s="64">
        <v>5.23</v>
      </c>
      <c r="F58" s="64">
        <v>8.0299999999999994</v>
      </c>
      <c r="G58" s="64">
        <v>29.35</v>
      </c>
      <c r="H58" s="211" t="s">
        <v>42</v>
      </c>
      <c r="I58" s="64">
        <v>1.24</v>
      </c>
      <c r="J58" s="64">
        <v>0.86</v>
      </c>
      <c r="K58" s="64">
        <v>323.55</v>
      </c>
      <c r="L58" s="64">
        <v>30.65</v>
      </c>
      <c r="M58" s="64">
        <v>81.239999999999995</v>
      </c>
      <c r="N58" s="64">
        <v>460.7</v>
      </c>
      <c r="O58" s="64">
        <v>0</v>
      </c>
      <c r="P58" s="64">
        <v>0.45</v>
      </c>
      <c r="Q58" s="64">
        <v>9.26</v>
      </c>
      <c r="R58" s="198"/>
      <c r="S58" s="198"/>
      <c r="T58" s="198"/>
      <c r="U58" s="198"/>
    </row>
    <row r="59" spans="1:21" s="12" customFormat="1" x14ac:dyDescent="0.25">
      <c r="A59" s="213" t="s">
        <v>2502</v>
      </c>
      <c r="B59" s="64">
        <v>12.79</v>
      </c>
      <c r="C59" s="64">
        <v>13.36</v>
      </c>
      <c r="D59" s="64">
        <v>17.23</v>
      </c>
      <c r="E59" s="64">
        <v>5.0999999999999996</v>
      </c>
      <c r="F59" s="64">
        <v>5</v>
      </c>
      <c r="G59" s="64">
        <v>26.74</v>
      </c>
      <c r="H59" s="211" t="s">
        <v>42</v>
      </c>
      <c r="I59" s="64">
        <v>1.23</v>
      </c>
      <c r="J59" s="64">
        <v>0.53</v>
      </c>
      <c r="K59" s="64">
        <v>315.61</v>
      </c>
      <c r="L59" s="64">
        <v>30.96</v>
      </c>
      <c r="M59" s="64">
        <v>78.84</v>
      </c>
      <c r="N59" s="64">
        <v>487.4</v>
      </c>
      <c r="O59" s="64">
        <v>0</v>
      </c>
      <c r="P59" s="64">
        <v>0.46</v>
      </c>
      <c r="Q59" s="64">
        <v>9.25</v>
      </c>
      <c r="R59" s="198"/>
      <c r="S59" s="198"/>
      <c r="T59" s="198"/>
      <c r="U59" s="198"/>
    </row>
    <row r="60" spans="1:21" s="12" customFormat="1" x14ac:dyDescent="0.25">
      <c r="A60" s="213" t="s">
        <v>2503</v>
      </c>
      <c r="B60" s="64">
        <v>13.6</v>
      </c>
      <c r="C60" s="64">
        <v>14.25</v>
      </c>
      <c r="D60" s="64">
        <v>18.36</v>
      </c>
      <c r="E60" s="64">
        <v>5.32</v>
      </c>
      <c r="F60" s="64">
        <v>3.78</v>
      </c>
      <c r="G60" s="64">
        <v>26.74</v>
      </c>
      <c r="H60" s="211" t="s">
        <v>42</v>
      </c>
      <c r="I60" s="64">
        <v>1.22</v>
      </c>
      <c r="J60" s="64">
        <v>0.75</v>
      </c>
      <c r="K60" s="64">
        <v>321.76</v>
      </c>
      <c r="L60" s="64">
        <v>31.27</v>
      </c>
      <c r="M60" s="64">
        <v>78.88</v>
      </c>
      <c r="N60" s="64">
        <v>502.2</v>
      </c>
      <c r="O60" s="64">
        <v>0</v>
      </c>
      <c r="P60" s="64">
        <v>0.45</v>
      </c>
      <c r="Q60" s="64">
        <v>9.25</v>
      </c>
      <c r="R60" s="198"/>
      <c r="S60" s="198"/>
      <c r="T60" s="198"/>
      <c r="U60" s="198"/>
    </row>
    <row r="61" spans="1:21" s="12" customFormat="1" x14ac:dyDescent="0.25">
      <c r="A61" s="213" t="s">
        <v>2504</v>
      </c>
      <c r="B61" s="64">
        <v>12.29</v>
      </c>
      <c r="C61" s="64">
        <v>14.07</v>
      </c>
      <c r="D61" s="64">
        <v>17.21</v>
      </c>
      <c r="E61" s="64">
        <v>5.38</v>
      </c>
      <c r="F61" s="64">
        <v>4.22</v>
      </c>
      <c r="G61" s="64">
        <v>26.74</v>
      </c>
      <c r="H61" s="211" t="s">
        <v>42</v>
      </c>
      <c r="I61" s="64">
        <v>1.21</v>
      </c>
      <c r="J61" s="64">
        <v>0.68</v>
      </c>
      <c r="K61" s="64">
        <v>316.5</v>
      </c>
      <c r="L61" s="64">
        <v>31.8</v>
      </c>
      <c r="M61" s="64">
        <v>77.25</v>
      </c>
      <c r="N61" s="64">
        <v>431.3</v>
      </c>
      <c r="O61" s="64">
        <v>0</v>
      </c>
      <c r="P61" s="64">
        <v>0.36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3" t="s">
        <v>2505</v>
      </c>
      <c r="B62" s="64">
        <v>11.75</v>
      </c>
      <c r="C62" s="64">
        <v>13.58</v>
      </c>
      <c r="D62" s="64">
        <v>16.52</v>
      </c>
      <c r="E62" s="64">
        <v>5.7</v>
      </c>
      <c r="F62" s="64">
        <v>4.2699999999999996</v>
      </c>
      <c r="G62" s="64">
        <v>25.25</v>
      </c>
      <c r="H62" s="211" t="s">
        <v>42</v>
      </c>
      <c r="I62" s="64">
        <v>1.19</v>
      </c>
      <c r="J62" s="64">
        <v>0.5</v>
      </c>
      <c r="K62" s="64">
        <v>308.99</v>
      </c>
      <c r="L62" s="64">
        <v>31.69</v>
      </c>
      <c r="M62" s="64">
        <v>75.92</v>
      </c>
      <c r="N62" s="64">
        <v>357.9</v>
      </c>
      <c r="O62" s="64">
        <v>0</v>
      </c>
      <c r="P62" s="64">
        <v>0.37</v>
      </c>
      <c r="Q62" s="64">
        <v>9.1999999999999993</v>
      </c>
      <c r="R62" s="198"/>
      <c r="S62" s="198"/>
      <c r="T62" s="198"/>
      <c r="U62" s="198"/>
    </row>
    <row r="63" spans="1:21" s="12" customFormat="1" x14ac:dyDescent="0.25">
      <c r="A63" s="213" t="s">
        <v>2506</v>
      </c>
      <c r="B63" s="64">
        <v>10.47</v>
      </c>
      <c r="C63" s="64">
        <v>13.7</v>
      </c>
      <c r="D63" s="64">
        <v>15.55</v>
      </c>
      <c r="E63" s="64">
        <v>5.14</v>
      </c>
      <c r="F63" s="64">
        <v>7.13</v>
      </c>
      <c r="G63" s="64">
        <v>21.59</v>
      </c>
      <c r="H63" s="211" t="s">
        <v>42</v>
      </c>
      <c r="I63" s="64">
        <v>1.19</v>
      </c>
      <c r="J63" s="64">
        <v>0.55000000000000004</v>
      </c>
      <c r="K63" s="64">
        <v>311</v>
      </c>
      <c r="L63" s="64">
        <v>30.93</v>
      </c>
      <c r="M63" s="64">
        <v>76.81</v>
      </c>
      <c r="N63" s="64">
        <v>319.60000000000002</v>
      </c>
      <c r="O63" s="64">
        <v>0</v>
      </c>
      <c r="P63" s="64">
        <v>0.36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13" t="s">
        <v>2507</v>
      </c>
      <c r="B64" s="64">
        <v>9.82</v>
      </c>
      <c r="C64" s="64">
        <v>14.8</v>
      </c>
      <c r="D64" s="64">
        <v>15.61</v>
      </c>
      <c r="E64" s="64">
        <v>4.8899999999999997</v>
      </c>
      <c r="F64" s="64">
        <v>5.95</v>
      </c>
      <c r="G64" s="64">
        <v>21.59</v>
      </c>
      <c r="H64" s="211" t="s">
        <v>42</v>
      </c>
      <c r="I64" s="64">
        <v>1.18</v>
      </c>
      <c r="J64" s="64">
        <v>0.52</v>
      </c>
      <c r="K64" s="64">
        <v>314.91000000000003</v>
      </c>
      <c r="L64" s="64">
        <v>30.7</v>
      </c>
      <c r="M64" s="64">
        <v>77.12</v>
      </c>
      <c r="N64" s="64">
        <v>299.8</v>
      </c>
      <c r="O64" s="64">
        <v>0</v>
      </c>
      <c r="P64" s="64">
        <v>0.36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3" t="s">
        <v>2508</v>
      </c>
      <c r="B65" s="64">
        <v>10.24</v>
      </c>
      <c r="C65" s="64">
        <v>15.06</v>
      </c>
      <c r="D65" s="64">
        <v>16.079999999999998</v>
      </c>
      <c r="E65" s="64">
        <v>5.34</v>
      </c>
      <c r="F65" s="64">
        <v>8.5</v>
      </c>
      <c r="G65" s="64">
        <v>21.59</v>
      </c>
      <c r="H65" s="211" t="s">
        <v>42</v>
      </c>
      <c r="I65" s="64">
        <v>1.1499999999999999</v>
      </c>
      <c r="J65" s="64">
        <v>0.37</v>
      </c>
      <c r="K65" s="64">
        <v>301.63</v>
      </c>
      <c r="L65" s="64">
        <v>30.6</v>
      </c>
      <c r="M65" s="64">
        <v>77.84</v>
      </c>
      <c r="N65" s="64">
        <v>288.8</v>
      </c>
      <c r="O65" s="64">
        <v>0</v>
      </c>
      <c r="P65" s="64">
        <v>0.36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3" t="s">
        <v>2509</v>
      </c>
      <c r="B66" s="64">
        <v>10.57</v>
      </c>
      <c r="C66" s="64">
        <v>16.61</v>
      </c>
      <c r="D66" s="64">
        <v>17.16</v>
      </c>
      <c r="E66" s="64">
        <v>4.88</v>
      </c>
      <c r="F66" s="64">
        <v>10.41</v>
      </c>
      <c r="G66" s="64">
        <v>21.46</v>
      </c>
      <c r="H66" s="211" t="s">
        <v>42</v>
      </c>
      <c r="I66" s="64">
        <v>1.1399999999999999</v>
      </c>
      <c r="J66" s="64">
        <v>0.42</v>
      </c>
      <c r="K66" s="64">
        <v>309.60000000000002</v>
      </c>
      <c r="L66" s="64">
        <v>30.75</v>
      </c>
      <c r="M66" s="64">
        <v>77.290000000000006</v>
      </c>
      <c r="N66" s="64">
        <v>291.3</v>
      </c>
      <c r="O66" s="64">
        <v>0</v>
      </c>
      <c r="P66" s="64">
        <v>0.39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3" t="s">
        <v>2510</v>
      </c>
      <c r="B67" s="64">
        <v>10.28</v>
      </c>
      <c r="C67" s="64">
        <v>16.420000000000002</v>
      </c>
      <c r="D67" s="64">
        <v>16.829999999999998</v>
      </c>
      <c r="E67" s="64">
        <v>5.15</v>
      </c>
      <c r="F67" s="64">
        <v>10.79</v>
      </c>
      <c r="G67" s="64">
        <v>21.15</v>
      </c>
      <c r="H67" s="211" t="s">
        <v>42</v>
      </c>
      <c r="I67" s="64">
        <v>1.1299999999999999</v>
      </c>
      <c r="J67" s="64">
        <v>0.45</v>
      </c>
      <c r="K67" s="64">
        <v>311.32</v>
      </c>
      <c r="L67" s="64">
        <v>30.75</v>
      </c>
      <c r="M67" s="64">
        <v>76.81</v>
      </c>
      <c r="N67" s="64">
        <v>264.3</v>
      </c>
      <c r="O67" s="64">
        <v>0</v>
      </c>
      <c r="P67" s="64">
        <v>0.36</v>
      </c>
      <c r="Q67" s="64">
        <v>9.18</v>
      </c>
      <c r="R67" s="198"/>
      <c r="S67" s="198"/>
      <c r="T67" s="198"/>
      <c r="U67" s="198"/>
    </row>
    <row r="68" spans="1:21" s="12" customFormat="1" x14ac:dyDescent="0.25">
      <c r="A68" s="213" t="s">
        <v>2511</v>
      </c>
      <c r="B68" s="64">
        <v>12.65</v>
      </c>
      <c r="C68" s="64">
        <v>15.41</v>
      </c>
      <c r="D68" s="64">
        <v>18.190000000000001</v>
      </c>
      <c r="E68" s="64">
        <v>5.25</v>
      </c>
      <c r="F68" s="64">
        <v>12.28</v>
      </c>
      <c r="G68" s="64">
        <v>21.15</v>
      </c>
      <c r="H68" s="211" t="s">
        <v>42</v>
      </c>
      <c r="I68" s="64">
        <v>1.1599999999999999</v>
      </c>
      <c r="J68" s="64">
        <v>0.28999999999999998</v>
      </c>
      <c r="K68" s="64">
        <v>308.27</v>
      </c>
      <c r="L68" s="64">
        <v>30.36</v>
      </c>
      <c r="M68" s="64">
        <v>79.599999999999994</v>
      </c>
      <c r="N68" s="64">
        <v>198.8</v>
      </c>
      <c r="O68" s="64">
        <v>0</v>
      </c>
      <c r="P68" s="64">
        <v>0.41</v>
      </c>
      <c r="Q68" s="64">
        <v>9.18</v>
      </c>
      <c r="R68" s="198"/>
      <c r="S68" s="198"/>
      <c r="T68" s="198"/>
      <c r="U68" s="198"/>
    </row>
    <row r="69" spans="1:21" s="12" customFormat="1" x14ac:dyDescent="0.25">
      <c r="A69" s="213" t="s">
        <v>2512</v>
      </c>
      <c r="B69" s="64">
        <v>12.74</v>
      </c>
      <c r="C69" s="64">
        <v>18.510000000000002</v>
      </c>
      <c r="D69" s="64">
        <v>19.88</v>
      </c>
      <c r="E69" s="64">
        <v>5.52</v>
      </c>
      <c r="F69" s="64">
        <v>13.64</v>
      </c>
      <c r="G69" s="64">
        <v>21.15</v>
      </c>
      <c r="H69" s="211" t="s">
        <v>42</v>
      </c>
      <c r="I69" s="64">
        <v>1.17</v>
      </c>
      <c r="J69" s="64">
        <v>0.26</v>
      </c>
      <c r="K69" s="64">
        <v>304.64</v>
      </c>
      <c r="L69" s="64">
        <v>29.75</v>
      </c>
      <c r="M69" s="64">
        <v>81.84</v>
      </c>
      <c r="N69" s="64">
        <v>187.5</v>
      </c>
      <c r="O69" s="64">
        <v>0</v>
      </c>
      <c r="P69" s="64">
        <v>0.43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3" t="s">
        <v>2513</v>
      </c>
      <c r="B70" s="64">
        <v>12.28</v>
      </c>
      <c r="C70" s="64">
        <v>18.47</v>
      </c>
      <c r="D70" s="64">
        <v>19.5</v>
      </c>
      <c r="E70" s="64">
        <v>5.09</v>
      </c>
      <c r="F70" s="64">
        <v>12.18</v>
      </c>
      <c r="G70" s="64">
        <v>21.39</v>
      </c>
      <c r="H70" s="211" t="s">
        <v>42</v>
      </c>
      <c r="I70" s="64">
        <v>1.17</v>
      </c>
      <c r="J70" s="64">
        <v>0.12</v>
      </c>
      <c r="K70" s="64">
        <v>275.99</v>
      </c>
      <c r="L70" s="64">
        <v>29.28</v>
      </c>
      <c r="M70" s="64">
        <v>83.4</v>
      </c>
      <c r="N70" s="64">
        <v>220.8</v>
      </c>
      <c r="O70" s="64">
        <v>0</v>
      </c>
      <c r="P70" s="64">
        <v>0.38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3" t="s">
        <v>2514</v>
      </c>
      <c r="B71" s="64">
        <v>10.27</v>
      </c>
      <c r="C71" s="64">
        <v>15.63</v>
      </c>
      <c r="D71" s="64">
        <v>16.399999999999999</v>
      </c>
      <c r="E71" s="64">
        <v>5.33</v>
      </c>
      <c r="F71" s="64">
        <v>6.52</v>
      </c>
      <c r="G71" s="64">
        <v>21.99</v>
      </c>
      <c r="H71" s="211" t="s">
        <v>42</v>
      </c>
      <c r="I71" s="64">
        <v>1.19</v>
      </c>
      <c r="J71" s="64">
        <v>0.27</v>
      </c>
      <c r="K71" s="64">
        <v>304.73</v>
      </c>
      <c r="L71" s="64">
        <v>29.41</v>
      </c>
      <c r="M71" s="64">
        <v>83.98</v>
      </c>
      <c r="N71" s="64">
        <v>208.6</v>
      </c>
      <c r="O71" s="64">
        <v>0</v>
      </c>
      <c r="P71" s="64">
        <v>0.38</v>
      </c>
      <c r="Q71" s="64">
        <v>9.19</v>
      </c>
      <c r="R71" s="198"/>
      <c r="S71" s="198"/>
      <c r="T71" s="198"/>
      <c r="U71" s="198"/>
    </row>
    <row r="72" spans="1:21" s="12" customFormat="1" x14ac:dyDescent="0.25">
      <c r="A72" s="213" t="s">
        <v>2515</v>
      </c>
      <c r="B72" s="64">
        <v>9.4700000000000006</v>
      </c>
      <c r="C72" s="64">
        <v>14.34</v>
      </c>
      <c r="D72" s="64">
        <v>15.09</v>
      </c>
      <c r="E72" s="64">
        <v>4.87</v>
      </c>
      <c r="F72" s="64">
        <v>7.89</v>
      </c>
      <c r="G72" s="64">
        <v>21.99</v>
      </c>
      <c r="H72" s="211" t="s">
        <v>42</v>
      </c>
      <c r="I72" s="64">
        <v>1.21</v>
      </c>
      <c r="J72" s="64">
        <v>0.31</v>
      </c>
      <c r="K72" s="64">
        <v>301.23</v>
      </c>
      <c r="L72" s="64">
        <v>29.66</v>
      </c>
      <c r="M72" s="64">
        <v>82.32</v>
      </c>
      <c r="N72" s="64">
        <v>164.8</v>
      </c>
      <c r="O72" s="64">
        <v>0</v>
      </c>
      <c r="P72" s="64">
        <v>0.35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3" t="s">
        <v>2516</v>
      </c>
      <c r="B73" s="64">
        <v>9.82</v>
      </c>
      <c r="C73" s="64">
        <v>14.34</v>
      </c>
      <c r="D73" s="64">
        <v>15.37</v>
      </c>
      <c r="E73" s="64">
        <v>5.25</v>
      </c>
      <c r="F73" s="64">
        <v>6.47</v>
      </c>
      <c r="G73" s="64">
        <v>21.99</v>
      </c>
      <c r="H73" s="211" t="s">
        <v>42</v>
      </c>
      <c r="I73" s="64">
        <v>1.1200000000000001</v>
      </c>
      <c r="J73" s="64">
        <v>0.78</v>
      </c>
      <c r="K73" s="64">
        <v>324.16000000000003</v>
      </c>
      <c r="L73" s="64">
        <v>29.34</v>
      </c>
      <c r="M73" s="64">
        <v>84.02</v>
      </c>
      <c r="N73" s="64">
        <v>159.80000000000001</v>
      </c>
      <c r="O73" s="64">
        <v>0</v>
      </c>
      <c r="P73" s="64">
        <v>0.36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3" t="s">
        <v>2517</v>
      </c>
      <c r="B74" s="64">
        <v>10.15</v>
      </c>
      <c r="C74" s="64">
        <v>14.46</v>
      </c>
      <c r="D74" s="64">
        <v>15.69</v>
      </c>
      <c r="E74" s="64">
        <v>5.47</v>
      </c>
      <c r="F74" s="64">
        <v>4.92</v>
      </c>
      <c r="G74" s="64">
        <v>21.55</v>
      </c>
      <c r="H74" s="211" t="s">
        <v>42</v>
      </c>
      <c r="I74" s="64">
        <v>1.1200000000000001</v>
      </c>
      <c r="J74" s="64">
        <v>0.28000000000000003</v>
      </c>
      <c r="K74" s="64">
        <v>300.68</v>
      </c>
      <c r="L74" s="64">
        <v>29.15</v>
      </c>
      <c r="M74" s="64">
        <v>84.99</v>
      </c>
      <c r="N74" s="64">
        <v>150</v>
      </c>
      <c r="O74" s="64">
        <v>0</v>
      </c>
      <c r="P74" s="64">
        <v>0.37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3" t="s">
        <v>2518</v>
      </c>
      <c r="B75" s="64">
        <v>9.84</v>
      </c>
      <c r="C75" s="64">
        <v>14</v>
      </c>
      <c r="D75" s="64">
        <v>15.21</v>
      </c>
      <c r="E75" s="64">
        <v>5.25</v>
      </c>
      <c r="F75" s="64">
        <v>5.43</v>
      </c>
      <c r="G75" s="64">
        <v>20.47</v>
      </c>
      <c r="H75" s="211" t="s">
        <v>42</v>
      </c>
      <c r="I75" s="64">
        <v>1.1599999999999999</v>
      </c>
      <c r="J75" s="64">
        <v>0.3</v>
      </c>
      <c r="K75" s="64">
        <v>301.36</v>
      </c>
      <c r="L75" s="64">
        <v>28.82</v>
      </c>
      <c r="M75" s="64">
        <v>84.11</v>
      </c>
      <c r="N75" s="64">
        <v>130.19999999999999</v>
      </c>
      <c r="O75" s="64">
        <v>0</v>
      </c>
      <c r="P75" s="64">
        <v>0.34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3" t="s">
        <v>2519</v>
      </c>
      <c r="B76" s="64">
        <v>11.63</v>
      </c>
      <c r="C76" s="64">
        <v>14.78</v>
      </c>
      <c r="D76" s="64">
        <v>17.05</v>
      </c>
      <c r="E76" s="64">
        <v>5.22</v>
      </c>
      <c r="F76" s="64">
        <v>9.6300000000000008</v>
      </c>
      <c r="G76" s="64">
        <v>20.47</v>
      </c>
      <c r="H76" s="211" t="s">
        <v>42</v>
      </c>
      <c r="I76" s="64">
        <v>1.1299999999999999</v>
      </c>
      <c r="J76" s="64">
        <v>0.39</v>
      </c>
      <c r="K76" s="64">
        <v>319.33999999999997</v>
      </c>
      <c r="L76" s="64">
        <v>28.63</v>
      </c>
      <c r="M76" s="64">
        <v>86.84</v>
      </c>
      <c r="N76" s="64">
        <v>115.9</v>
      </c>
      <c r="O76" s="64">
        <v>0</v>
      </c>
      <c r="P76" s="64">
        <v>0.35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13" t="s">
        <v>2520</v>
      </c>
      <c r="B77" s="64">
        <v>11.7</v>
      </c>
      <c r="C77" s="64">
        <v>16.43</v>
      </c>
      <c r="D77" s="64">
        <v>17.97</v>
      </c>
      <c r="E77" s="64">
        <v>5.3</v>
      </c>
      <c r="F77" s="64">
        <v>5.31</v>
      </c>
      <c r="G77" s="64">
        <v>20.47</v>
      </c>
      <c r="H77" s="211" t="s">
        <v>42</v>
      </c>
      <c r="I77" s="64">
        <v>1.1100000000000001</v>
      </c>
      <c r="J77" s="64">
        <v>0.22</v>
      </c>
      <c r="K77" s="64">
        <v>304.79000000000002</v>
      </c>
      <c r="L77" s="64">
        <v>28.43</v>
      </c>
      <c r="M77" s="64">
        <v>88.11</v>
      </c>
      <c r="N77" s="64">
        <v>99</v>
      </c>
      <c r="O77" s="64">
        <v>0</v>
      </c>
      <c r="P77" s="64">
        <v>0.37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3" t="s">
        <v>2521</v>
      </c>
      <c r="B78" s="64">
        <v>10.130000000000001</v>
      </c>
      <c r="C78" s="64">
        <v>15.31</v>
      </c>
      <c r="D78" s="64">
        <v>16.13</v>
      </c>
      <c r="E78" s="64">
        <v>5.26</v>
      </c>
      <c r="F78" s="64">
        <v>7.71</v>
      </c>
      <c r="G78" s="64">
        <v>19.71</v>
      </c>
      <c r="H78" s="211" t="s">
        <v>42</v>
      </c>
      <c r="I78" s="64">
        <v>1.1200000000000001</v>
      </c>
      <c r="J78" s="64">
        <v>0.24</v>
      </c>
      <c r="K78" s="64">
        <v>310.31</v>
      </c>
      <c r="L78" s="64">
        <v>28.28</v>
      </c>
      <c r="M78" s="64">
        <v>90.51</v>
      </c>
      <c r="N78" s="64">
        <v>81.2</v>
      </c>
      <c r="O78" s="64">
        <v>0</v>
      </c>
      <c r="P78" s="64">
        <v>0.4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13" t="s">
        <v>2522</v>
      </c>
      <c r="B79" s="64">
        <v>10.82</v>
      </c>
      <c r="C79" s="64">
        <v>16.899999999999999</v>
      </c>
      <c r="D79" s="64">
        <v>17.510000000000002</v>
      </c>
      <c r="E79" s="64">
        <v>4.95</v>
      </c>
      <c r="F79" s="64">
        <v>6.35</v>
      </c>
      <c r="G79" s="64">
        <v>17.82</v>
      </c>
      <c r="H79" s="211" t="s">
        <v>42</v>
      </c>
      <c r="I79" s="64">
        <v>1.1200000000000001</v>
      </c>
      <c r="J79" s="64">
        <v>0.15</v>
      </c>
      <c r="K79" s="64">
        <v>339.9</v>
      </c>
      <c r="L79" s="64">
        <v>27.65</v>
      </c>
      <c r="M79" s="64">
        <v>96.02</v>
      </c>
      <c r="N79" s="64">
        <v>63.7</v>
      </c>
      <c r="O79" s="64">
        <v>0</v>
      </c>
      <c r="P79" s="64">
        <v>0.46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3" t="s">
        <v>2523</v>
      </c>
      <c r="B80" s="64">
        <v>9.56</v>
      </c>
      <c r="C80" s="64">
        <v>13.62</v>
      </c>
      <c r="D80" s="64">
        <v>14.78</v>
      </c>
      <c r="E80" s="64">
        <v>4.9000000000000004</v>
      </c>
      <c r="F80" s="64">
        <v>4.8899999999999997</v>
      </c>
      <c r="G80" s="64">
        <v>17.82</v>
      </c>
      <c r="H80" s="211" t="s">
        <v>42</v>
      </c>
      <c r="I80" s="64">
        <v>1.07</v>
      </c>
      <c r="J80" s="64">
        <v>0.22</v>
      </c>
      <c r="K80" s="64">
        <v>326.82</v>
      </c>
      <c r="L80" s="64">
        <v>26.98</v>
      </c>
      <c r="M80" s="64">
        <v>95.65</v>
      </c>
      <c r="N80" s="64">
        <v>65.900000000000006</v>
      </c>
      <c r="O80" s="64">
        <v>0</v>
      </c>
      <c r="P80" s="64">
        <v>0.41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3" t="s">
        <v>2524</v>
      </c>
      <c r="B81" s="64">
        <v>9.9</v>
      </c>
      <c r="C81" s="64">
        <v>17.68</v>
      </c>
      <c r="D81" s="64">
        <v>17.18</v>
      </c>
      <c r="E81" s="64">
        <v>5.29</v>
      </c>
      <c r="F81" s="64">
        <v>4.3499999999999996</v>
      </c>
      <c r="G81" s="64">
        <v>17.82</v>
      </c>
      <c r="H81" s="211" t="s">
        <v>42</v>
      </c>
      <c r="I81" s="64">
        <v>1.1299999999999999</v>
      </c>
      <c r="J81" s="64">
        <v>0.18</v>
      </c>
      <c r="K81" s="64">
        <v>330.03</v>
      </c>
      <c r="L81" s="64">
        <v>26.66</v>
      </c>
      <c r="M81" s="64">
        <v>96.37</v>
      </c>
      <c r="N81" s="64">
        <v>61.6</v>
      </c>
      <c r="O81" s="64">
        <v>0</v>
      </c>
      <c r="P81" s="64">
        <v>0.53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3" t="s">
        <v>2525</v>
      </c>
      <c r="B82" s="64">
        <v>10.67</v>
      </c>
      <c r="C82" s="64">
        <v>17.37</v>
      </c>
      <c r="D82" s="64">
        <v>17.63</v>
      </c>
      <c r="E82" s="64">
        <v>5.31</v>
      </c>
      <c r="F82" s="64">
        <v>6.76</v>
      </c>
      <c r="G82" s="64">
        <v>18.62</v>
      </c>
      <c r="H82" s="211" t="s">
        <v>42</v>
      </c>
      <c r="I82" s="64">
        <v>1.3</v>
      </c>
      <c r="J82" s="64">
        <v>0.16</v>
      </c>
      <c r="K82" s="64">
        <v>339.85</v>
      </c>
      <c r="L82" s="64">
        <v>26.48</v>
      </c>
      <c r="M82" s="64">
        <v>98.01</v>
      </c>
      <c r="N82" s="64">
        <v>51.7</v>
      </c>
      <c r="O82" s="64">
        <v>0</v>
      </c>
      <c r="P82" s="64">
        <v>0.64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3" t="s">
        <v>2526</v>
      </c>
      <c r="B83" s="64">
        <v>10.37</v>
      </c>
      <c r="C83" s="64">
        <v>16.989999999999998</v>
      </c>
      <c r="D83" s="64">
        <v>17.2</v>
      </c>
      <c r="E83" s="64">
        <v>5.45</v>
      </c>
      <c r="F83" s="64">
        <v>5.35</v>
      </c>
      <c r="G83" s="64">
        <v>20.59</v>
      </c>
      <c r="H83" s="211" t="s">
        <v>42</v>
      </c>
      <c r="I83" s="64">
        <v>1.47</v>
      </c>
      <c r="J83" s="64">
        <v>0.23</v>
      </c>
      <c r="K83" s="64">
        <v>337.49</v>
      </c>
      <c r="L83" s="64">
        <v>26.31</v>
      </c>
      <c r="M83" s="64">
        <v>98.03</v>
      </c>
      <c r="N83" s="64">
        <v>45.4</v>
      </c>
      <c r="O83" s="64">
        <v>0</v>
      </c>
      <c r="P83" s="64">
        <v>0.63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3" t="s">
        <v>2527</v>
      </c>
      <c r="B84" s="64">
        <v>12.7</v>
      </c>
      <c r="C84" s="64">
        <v>17.329999999999998</v>
      </c>
      <c r="D84" s="64">
        <v>19.239999999999998</v>
      </c>
      <c r="E84" s="64">
        <v>5.31</v>
      </c>
      <c r="F84" s="64">
        <v>7.19</v>
      </c>
      <c r="G84" s="64">
        <v>20.59</v>
      </c>
      <c r="H84" s="211" t="s">
        <v>42</v>
      </c>
      <c r="I84" s="64">
        <v>1.6</v>
      </c>
      <c r="J84" s="64">
        <v>0.17</v>
      </c>
      <c r="K84" s="64">
        <v>343.09</v>
      </c>
      <c r="L84" s="64">
        <v>26.25</v>
      </c>
      <c r="M84" s="64">
        <v>98.03</v>
      </c>
      <c r="N84" s="64">
        <v>44.2</v>
      </c>
      <c r="O84" s="64">
        <v>0</v>
      </c>
      <c r="P84" s="64">
        <v>0.62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13" t="s">
        <v>2528</v>
      </c>
      <c r="B85" s="64">
        <v>12.67</v>
      </c>
      <c r="C85" s="64">
        <v>18.079999999999998</v>
      </c>
      <c r="D85" s="64">
        <v>19.61</v>
      </c>
      <c r="E85" s="64">
        <v>5.38</v>
      </c>
      <c r="F85" s="64">
        <v>9.1999999999999993</v>
      </c>
      <c r="G85" s="64">
        <v>20.59</v>
      </c>
      <c r="H85" s="211" t="s">
        <v>42</v>
      </c>
      <c r="I85" s="64">
        <v>1.65</v>
      </c>
      <c r="J85" s="64">
        <v>0.14000000000000001</v>
      </c>
      <c r="K85" s="64">
        <v>340.25</v>
      </c>
      <c r="L85" s="64">
        <v>26.18</v>
      </c>
      <c r="M85" s="64">
        <v>98.05</v>
      </c>
      <c r="N85" s="64">
        <v>44.1</v>
      </c>
      <c r="O85" s="64">
        <v>0</v>
      </c>
      <c r="P85" s="64">
        <v>0.63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3" t="s">
        <v>2529</v>
      </c>
      <c r="B86" s="64">
        <v>12.46</v>
      </c>
      <c r="C86" s="64">
        <v>18.059999999999999</v>
      </c>
      <c r="D86" s="64">
        <v>19.43</v>
      </c>
      <c r="E86" s="64">
        <v>5.05</v>
      </c>
      <c r="F86" s="64">
        <v>8.57</v>
      </c>
      <c r="G86" s="64">
        <v>21.86</v>
      </c>
      <c r="H86" s="64">
        <v>1.05</v>
      </c>
      <c r="I86" s="64">
        <v>1.68</v>
      </c>
      <c r="J86" s="64">
        <v>0.14000000000000001</v>
      </c>
      <c r="K86" s="64">
        <v>335</v>
      </c>
      <c r="L86" s="64">
        <v>26.19</v>
      </c>
      <c r="M86" s="64">
        <v>98.06</v>
      </c>
      <c r="N86" s="64">
        <v>44.1</v>
      </c>
      <c r="O86" s="64">
        <v>0</v>
      </c>
      <c r="P86" s="64">
        <v>0.63</v>
      </c>
      <c r="Q86" s="64">
        <v>9.1999999999999993</v>
      </c>
      <c r="R86" s="198"/>
      <c r="S86" s="198"/>
      <c r="T86" s="198"/>
      <c r="U86" s="198"/>
    </row>
    <row r="87" spans="1:26" s="12" customFormat="1" x14ac:dyDescent="0.25">
      <c r="A87" s="213" t="s">
        <v>2530</v>
      </c>
      <c r="B87" s="64">
        <v>12.26</v>
      </c>
      <c r="C87" s="64">
        <v>17.170000000000002</v>
      </c>
      <c r="D87" s="64">
        <v>18.8</v>
      </c>
      <c r="E87" s="64">
        <v>5.31</v>
      </c>
      <c r="F87" s="64">
        <v>6.63</v>
      </c>
      <c r="G87" s="64">
        <v>24.98</v>
      </c>
      <c r="H87" s="64">
        <v>3.63</v>
      </c>
      <c r="I87" s="64">
        <v>1.73</v>
      </c>
      <c r="J87" s="64">
        <v>0.13</v>
      </c>
      <c r="K87" s="64">
        <v>339.7</v>
      </c>
      <c r="L87" s="64">
        <v>26.25</v>
      </c>
      <c r="M87" s="64">
        <v>98.03</v>
      </c>
      <c r="N87" s="64">
        <v>44.1</v>
      </c>
      <c r="O87" s="64">
        <v>0</v>
      </c>
      <c r="P87" s="64">
        <v>0.67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13" t="s">
        <v>2531</v>
      </c>
      <c r="B88" s="64">
        <v>12.96</v>
      </c>
      <c r="C88" s="64">
        <v>16.27</v>
      </c>
      <c r="D88" s="64">
        <v>18.89</v>
      </c>
      <c r="E88" s="64">
        <v>5.19</v>
      </c>
      <c r="F88" s="64">
        <v>6.22</v>
      </c>
      <c r="G88" s="64">
        <v>24.98</v>
      </c>
      <c r="H88" s="64">
        <v>3.63</v>
      </c>
      <c r="I88" s="64">
        <v>1.79</v>
      </c>
      <c r="J88" s="64">
        <v>0.13</v>
      </c>
      <c r="K88" s="64">
        <v>337.81</v>
      </c>
      <c r="L88" s="64">
        <v>26.15</v>
      </c>
      <c r="M88" s="64">
        <v>98.03</v>
      </c>
      <c r="N88" s="64">
        <v>44.1</v>
      </c>
      <c r="O88" s="64">
        <v>0</v>
      </c>
      <c r="P88" s="64">
        <v>0.63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3" t="s">
        <v>2532</v>
      </c>
      <c r="B89" s="64">
        <v>11.94</v>
      </c>
      <c r="C89" s="64">
        <v>13.74</v>
      </c>
      <c r="D89" s="64">
        <v>16.760000000000002</v>
      </c>
      <c r="E89" s="64">
        <v>5.43</v>
      </c>
      <c r="F89" s="64">
        <v>4.72</v>
      </c>
      <c r="G89" s="64">
        <v>24.98</v>
      </c>
      <c r="H89" s="64">
        <v>3.63</v>
      </c>
      <c r="I89" s="64">
        <v>1.76</v>
      </c>
      <c r="J89" s="64">
        <v>0.15</v>
      </c>
      <c r="K89" s="64">
        <v>335.42</v>
      </c>
      <c r="L89" s="64">
        <v>26.1</v>
      </c>
      <c r="M89" s="64">
        <v>98.04</v>
      </c>
      <c r="N89" s="64">
        <v>44.2</v>
      </c>
      <c r="O89" s="64">
        <v>0</v>
      </c>
      <c r="P89" s="64">
        <v>0.6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3" t="s">
        <v>2533</v>
      </c>
      <c r="B90" s="64">
        <v>19.829999999999998</v>
      </c>
      <c r="C90" s="64">
        <v>16.02</v>
      </c>
      <c r="D90" s="64">
        <v>24.27</v>
      </c>
      <c r="E90" s="64">
        <v>5.27</v>
      </c>
      <c r="F90" s="64">
        <v>6.48</v>
      </c>
      <c r="G90" s="64">
        <v>25.5</v>
      </c>
      <c r="H90" s="64">
        <v>2.79</v>
      </c>
      <c r="I90" s="64">
        <v>1.72</v>
      </c>
      <c r="J90" s="64">
        <v>0.17</v>
      </c>
      <c r="K90" s="64">
        <v>333.63</v>
      </c>
      <c r="L90" s="64">
        <v>26.11</v>
      </c>
      <c r="M90" s="64">
        <v>98.04</v>
      </c>
      <c r="N90" s="64">
        <v>44.3</v>
      </c>
      <c r="O90" s="64">
        <v>0</v>
      </c>
      <c r="P90" s="64">
        <v>0.84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3" t="s">
        <v>2534</v>
      </c>
      <c r="B91" s="64">
        <v>14.54</v>
      </c>
      <c r="C91" s="64">
        <v>14.94</v>
      </c>
      <c r="D91" s="64">
        <v>19.47</v>
      </c>
      <c r="E91" s="64">
        <v>5.17</v>
      </c>
      <c r="F91" s="64">
        <v>4.5599999999999996</v>
      </c>
      <c r="G91" s="64">
        <v>26.79</v>
      </c>
      <c r="H91" s="64">
        <v>0.73</v>
      </c>
      <c r="I91" s="64">
        <v>1.74</v>
      </c>
      <c r="J91" s="64">
        <v>0.17</v>
      </c>
      <c r="K91" s="64">
        <v>342.14</v>
      </c>
      <c r="L91" s="64">
        <v>25.89</v>
      </c>
      <c r="M91" s="64">
        <v>98.05</v>
      </c>
      <c r="N91" s="64">
        <v>44.5</v>
      </c>
      <c r="O91" s="64">
        <v>0</v>
      </c>
      <c r="P91" s="64">
        <v>0.67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3" t="s">
        <v>2535</v>
      </c>
      <c r="B92" s="64">
        <v>15.23</v>
      </c>
      <c r="C92" s="64">
        <v>15.98</v>
      </c>
      <c r="D92" s="64">
        <v>20.56</v>
      </c>
      <c r="E92" s="64">
        <v>5.51</v>
      </c>
      <c r="F92" s="64">
        <v>7.22</v>
      </c>
      <c r="G92" s="64">
        <v>26.79</v>
      </c>
      <c r="H92" s="64">
        <v>0.73</v>
      </c>
      <c r="I92" s="64">
        <v>1.83</v>
      </c>
      <c r="J92" s="64">
        <v>0.22</v>
      </c>
      <c r="K92" s="64">
        <v>325.83999999999997</v>
      </c>
      <c r="L92" s="64">
        <v>25.79</v>
      </c>
      <c r="M92" s="64">
        <v>98.05</v>
      </c>
      <c r="N92" s="64">
        <v>44.3</v>
      </c>
      <c r="O92" s="64">
        <v>0</v>
      </c>
      <c r="P92" s="64">
        <v>0.9</v>
      </c>
      <c r="Q92" s="64">
        <v>9.26</v>
      </c>
      <c r="R92" s="198"/>
      <c r="S92" s="198"/>
      <c r="T92" s="198"/>
      <c r="U92" s="198"/>
    </row>
    <row r="93" spans="1:26" s="12" customFormat="1" x14ac:dyDescent="0.25">
      <c r="A93" s="213" t="s">
        <v>2536</v>
      </c>
      <c r="B93" s="64">
        <v>14.51</v>
      </c>
      <c r="C93" s="64">
        <v>13.95</v>
      </c>
      <c r="D93" s="64">
        <v>18.93</v>
      </c>
      <c r="E93" s="64">
        <v>5.59</v>
      </c>
      <c r="F93" s="64">
        <v>3.97</v>
      </c>
      <c r="G93" s="64">
        <v>26.79</v>
      </c>
      <c r="H93" s="64">
        <v>0.73</v>
      </c>
      <c r="I93" s="64">
        <v>1.92</v>
      </c>
      <c r="J93" s="64">
        <v>0.2</v>
      </c>
      <c r="K93" s="64">
        <v>320.17</v>
      </c>
      <c r="L93" s="64">
        <v>25.71</v>
      </c>
      <c r="M93" s="64">
        <v>98.05</v>
      </c>
      <c r="N93" s="64">
        <v>44.4</v>
      </c>
      <c r="O93" s="64">
        <v>0</v>
      </c>
      <c r="P93" s="64">
        <v>0.7</v>
      </c>
      <c r="Q93" s="64">
        <v>9.26</v>
      </c>
      <c r="R93" s="198"/>
      <c r="S93" s="198"/>
      <c r="T93" s="198"/>
      <c r="U93" s="198"/>
    </row>
    <row r="94" spans="1:26" s="12" customFormat="1" x14ac:dyDescent="0.25">
      <c r="A94" s="213" t="s">
        <v>2537</v>
      </c>
      <c r="B94" s="64">
        <v>14.11</v>
      </c>
      <c r="C94" s="64">
        <v>13.61</v>
      </c>
      <c r="D94" s="64">
        <v>18.420000000000002</v>
      </c>
      <c r="E94" s="64">
        <v>5.2</v>
      </c>
      <c r="F94" s="64">
        <v>4.09</v>
      </c>
      <c r="G94" s="64">
        <v>27.03</v>
      </c>
      <c r="H94" s="64">
        <v>0.56000000000000005</v>
      </c>
      <c r="I94" s="64">
        <v>2.0099999999999998</v>
      </c>
      <c r="J94" s="64">
        <v>0.11</v>
      </c>
      <c r="K94" s="64">
        <v>333.02</v>
      </c>
      <c r="L94" s="64">
        <v>25.57</v>
      </c>
      <c r="M94" s="64">
        <v>98.06</v>
      </c>
      <c r="N94" s="64">
        <v>44.5</v>
      </c>
      <c r="O94" s="64">
        <v>0</v>
      </c>
      <c r="P94" s="64">
        <v>0.77</v>
      </c>
      <c r="Q94" s="64">
        <v>9.27</v>
      </c>
      <c r="R94" s="198"/>
      <c r="S94" s="198"/>
      <c r="T94" s="198"/>
      <c r="U94" s="198"/>
    </row>
    <row r="95" spans="1:26" s="12" customFormat="1" x14ac:dyDescent="0.25">
      <c r="A95" s="213" t="s">
        <v>2538</v>
      </c>
      <c r="B95" s="64">
        <v>15.35</v>
      </c>
      <c r="C95" s="64">
        <v>14.17</v>
      </c>
      <c r="D95" s="64">
        <v>19.71</v>
      </c>
      <c r="E95" s="64">
        <v>5.52</v>
      </c>
      <c r="F95" s="64">
        <v>4</v>
      </c>
      <c r="G95" s="64">
        <v>27.59</v>
      </c>
      <c r="H95" s="64">
        <v>0.16</v>
      </c>
      <c r="I95" s="64">
        <v>2.08</v>
      </c>
      <c r="J95" s="64">
        <v>0.22</v>
      </c>
      <c r="K95" s="64">
        <v>331.86</v>
      </c>
      <c r="L95" s="64">
        <v>25.46</v>
      </c>
      <c r="M95" s="64">
        <v>98.06</v>
      </c>
      <c r="N95" s="64">
        <v>44.5</v>
      </c>
      <c r="O95" s="64">
        <v>0</v>
      </c>
      <c r="P95" s="64">
        <v>0.76</v>
      </c>
      <c r="Q95" s="64">
        <v>9.2899999999999991</v>
      </c>
      <c r="R95" s="198"/>
      <c r="S95" s="198"/>
      <c r="T95" s="198"/>
      <c r="U95" s="198"/>
    </row>
    <row r="96" spans="1:26" s="12" customFormat="1" x14ac:dyDescent="0.25">
      <c r="A96" s="213" t="s">
        <v>2539</v>
      </c>
      <c r="B96" s="64">
        <v>15.14</v>
      </c>
      <c r="C96" s="64">
        <v>12.87</v>
      </c>
      <c r="D96" s="64">
        <v>18.87</v>
      </c>
      <c r="E96" s="64">
        <v>5.37</v>
      </c>
      <c r="F96" s="64">
        <v>4.3499999999999996</v>
      </c>
      <c r="G96" s="64">
        <v>27.59</v>
      </c>
      <c r="H96" s="64">
        <v>0.16</v>
      </c>
      <c r="I96" s="64">
        <v>2.15</v>
      </c>
      <c r="J96" s="64">
        <v>0.28999999999999998</v>
      </c>
      <c r="K96" s="64">
        <v>315.55</v>
      </c>
      <c r="L96" s="64">
        <v>25.42</v>
      </c>
      <c r="M96" s="64">
        <v>98.05</v>
      </c>
      <c r="N96" s="64">
        <v>44.5</v>
      </c>
      <c r="O96" s="64">
        <v>0</v>
      </c>
      <c r="P96" s="64">
        <v>0.74</v>
      </c>
      <c r="Q96" s="64">
        <v>9.3000000000000007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2540</v>
      </c>
      <c r="B97" s="64">
        <v>19.54</v>
      </c>
      <c r="C97" s="64">
        <v>14.76</v>
      </c>
      <c r="D97" s="64">
        <v>23.38</v>
      </c>
      <c r="E97" s="64">
        <v>5.38</v>
      </c>
      <c r="F97" s="64">
        <v>4.38</v>
      </c>
      <c r="G97" s="64">
        <v>27.59</v>
      </c>
      <c r="H97" s="64">
        <v>0.16</v>
      </c>
      <c r="I97" s="64">
        <v>2.36</v>
      </c>
      <c r="J97" s="64">
        <v>0.21</v>
      </c>
      <c r="K97" s="64">
        <v>323.39</v>
      </c>
      <c r="L97" s="64">
        <v>25.31</v>
      </c>
      <c r="M97" s="64">
        <v>98.05</v>
      </c>
      <c r="N97" s="64">
        <v>44.5</v>
      </c>
      <c r="O97" s="64">
        <v>0</v>
      </c>
      <c r="P97" s="64">
        <v>0.97</v>
      </c>
      <c r="Q97" s="64">
        <v>9.3000000000000007</v>
      </c>
      <c r="R97" s="198"/>
      <c r="S97" s="198"/>
      <c r="T97" s="198"/>
      <c r="U97" s="198"/>
    </row>
    <row r="98" spans="1:33" s="12" customFormat="1" x14ac:dyDescent="0.25">
      <c r="A98" s="213" t="s">
        <v>2541</v>
      </c>
      <c r="B98" s="64">
        <v>15.05</v>
      </c>
      <c r="C98" s="64">
        <v>12.09</v>
      </c>
      <c r="D98" s="64">
        <v>18.39</v>
      </c>
      <c r="E98" s="64">
        <v>5.53</v>
      </c>
      <c r="F98" s="64">
        <v>3.79</v>
      </c>
      <c r="G98" s="64">
        <v>28.53</v>
      </c>
      <c r="H98" s="64">
        <v>0.2</v>
      </c>
      <c r="I98" s="64">
        <v>2.5099999999999998</v>
      </c>
      <c r="J98" s="64">
        <v>0.28999999999999998</v>
      </c>
      <c r="K98" s="64">
        <v>313.08</v>
      </c>
      <c r="L98" s="64">
        <v>25.21</v>
      </c>
      <c r="M98" s="64">
        <v>98.04</v>
      </c>
      <c r="N98" s="64">
        <v>44.6</v>
      </c>
      <c r="O98" s="64">
        <v>0</v>
      </c>
      <c r="P98" s="64">
        <v>0.76</v>
      </c>
      <c r="Q98" s="64">
        <v>9.31</v>
      </c>
      <c r="R98" s="198"/>
      <c r="S98" s="198"/>
      <c r="T98" s="198"/>
      <c r="U98" s="198"/>
    </row>
    <row r="99" spans="1:33" s="12" customFormat="1" x14ac:dyDescent="0.25">
      <c r="A99" s="213" t="s">
        <v>2542</v>
      </c>
      <c r="B99" s="64">
        <v>14.19</v>
      </c>
      <c r="C99" s="64">
        <v>14.17</v>
      </c>
      <c r="D99" s="64">
        <v>18.78</v>
      </c>
      <c r="E99" s="64">
        <v>5.07</v>
      </c>
      <c r="F99" s="64">
        <v>4.66</v>
      </c>
      <c r="G99" s="64">
        <v>30.83</v>
      </c>
      <c r="H99" s="64">
        <v>0.3</v>
      </c>
      <c r="I99" s="64">
        <v>2.63</v>
      </c>
      <c r="J99" s="64">
        <v>0.18</v>
      </c>
      <c r="K99" s="64">
        <v>320.79000000000002</v>
      </c>
      <c r="L99" s="64">
        <v>25.19</v>
      </c>
      <c r="M99" s="64">
        <v>98.05</v>
      </c>
      <c r="N99" s="64">
        <v>44.5</v>
      </c>
      <c r="O99" s="64">
        <v>0</v>
      </c>
      <c r="P99" s="64">
        <v>0.73</v>
      </c>
      <c r="Q99" s="64">
        <v>9.3000000000000007</v>
      </c>
      <c r="R99" s="198"/>
      <c r="S99" s="198"/>
      <c r="T99" s="198"/>
      <c r="U99" s="198"/>
    </row>
    <row r="100" spans="1:33" s="12" customFormat="1" x14ac:dyDescent="0.25">
      <c r="A100" s="213" t="s">
        <v>2543</v>
      </c>
      <c r="B100" s="64">
        <v>11.68</v>
      </c>
      <c r="C100" s="64">
        <v>14.8</v>
      </c>
      <c r="D100" s="64">
        <v>17.100000000000001</v>
      </c>
      <c r="E100" s="64">
        <v>5.44</v>
      </c>
      <c r="F100" s="64">
        <v>5.35</v>
      </c>
      <c r="G100" s="64">
        <v>30.83</v>
      </c>
      <c r="H100" s="64">
        <v>0.3</v>
      </c>
      <c r="I100" s="64">
        <v>2.7</v>
      </c>
      <c r="J100" s="64">
        <v>0.23</v>
      </c>
      <c r="K100" s="64">
        <v>317.10000000000002</v>
      </c>
      <c r="L100" s="64">
        <v>25.12</v>
      </c>
      <c r="M100" s="64">
        <v>98.05</v>
      </c>
      <c r="N100" s="64">
        <v>44.7</v>
      </c>
      <c r="O100" s="64">
        <v>0</v>
      </c>
      <c r="P100" s="64">
        <v>0.65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2544</v>
      </c>
      <c r="B101" s="64">
        <v>12.62</v>
      </c>
      <c r="C101" s="64">
        <v>13.31</v>
      </c>
      <c r="D101" s="64">
        <v>17.079999999999998</v>
      </c>
      <c r="E101" s="64">
        <v>5.23</v>
      </c>
      <c r="F101" s="64">
        <v>4.45</v>
      </c>
      <c r="G101" s="64">
        <v>30.83</v>
      </c>
      <c r="H101" s="64">
        <v>0.3</v>
      </c>
      <c r="I101" s="64">
        <v>2.65</v>
      </c>
      <c r="J101" s="64">
        <v>0.26</v>
      </c>
      <c r="K101" s="64">
        <v>315.43</v>
      </c>
      <c r="L101" s="64">
        <v>25.04</v>
      </c>
      <c r="M101" s="64">
        <v>98.05</v>
      </c>
      <c r="N101" s="64">
        <v>44.8</v>
      </c>
      <c r="O101" s="64">
        <v>0</v>
      </c>
      <c r="P101" s="64">
        <v>0.69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3" t="s">
        <v>2545</v>
      </c>
      <c r="B102" s="64">
        <v>11.93</v>
      </c>
      <c r="C102" s="64">
        <v>12.88</v>
      </c>
      <c r="D102" s="64">
        <v>16.3</v>
      </c>
      <c r="E102" s="64">
        <v>5.49</v>
      </c>
      <c r="F102" s="64">
        <v>5.4</v>
      </c>
      <c r="G102" s="64">
        <v>30.35</v>
      </c>
      <c r="H102" s="64">
        <v>8.15</v>
      </c>
      <c r="I102" s="64">
        <v>2.58</v>
      </c>
      <c r="J102" s="64">
        <v>0.2</v>
      </c>
      <c r="K102" s="64">
        <v>314.87</v>
      </c>
      <c r="L102" s="64">
        <v>24.94</v>
      </c>
      <c r="M102" s="64">
        <v>98.05</v>
      </c>
      <c r="N102" s="64">
        <v>44.8</v>
      </c>
      <c r="O102" s="64">
        <v>0</v>
      </c>
      <c r="P102" s="64">
        <v>0.63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3" t="s">
        <v>2546</v>
      </c>
      <c r="B103" s="64">
        <v>11.16</v>
      </c>
      <c r="C103" s="64">
        <v>13.69</v>
      </c>
      <c r="D103" s="64">
        <v>16.100000000000001</v>
      </c>
      <c r="E103" s="64">
        <v>5.7</v>
      </c>
      <c r="F103" s="64">
        <v>4.53</v>
      </c>
      <c r="G103" s="64">
        <v>29.17</v>
      </c>
      <c r="H103" s="64">
        <v>27.47</v>
      </c>
      <c r="I103" s="64">
        <v>2.5099999999999998</v>
      </c>
      <c r="J103" s="64">
        <v>0.13</v>
      </c>
      <c r="K103" s="64">
        <v>329.11</v>
      </c>
      <c r="L103" s="64">
        <v>24.75</v>
      </c>
      <c r="M103" s="64">
        <v>98.06</v>
      </c>
      <c r="N103" s="64">
        <v>44.8</v>
      </c>
      <c r="O103" s="64">
        <v>0</v>
      </c>
      <c r="P103" s="64">
        <v>0.66</v>
      </c>
      <c r="Q103" s="64">
        <v>9.31</v>
      </c>
      <c r="R103" s="198"/>
      <c r="S103" s="198"/>
      <c r="T103" s="198"/>
      <c r="U103" s="198"/>
    </row>
    <row r="104" spans="1:33" s="12" customFormat="1" x14ac:dyDescent="0.25">
      <c r="A104" s="213" t="s">
        <v>2547</v>
      </c>
      <c r="B104" s="64">
        <v>11.67</v>
      </c>
      <c r="C104" s="64">
        <v>13.49</v>
      </c>
      <c r="D104" s="64">
        <v>16.41</v>
      </c>
      <c r="E104" s="64">
        <v>4.63</v>
      </c>
      <c r="F104" s="64">
        <v>4.92</v>
      </c>
      <c r="G104" s="64">
        <v>29.17</v>
      </c>
      <c r="H104" s="64">
        <v>27.47</v>
      </c>
      <c r="I104" s="64">
        <v>2.4500000000000002</v>
      </c>
      <c r="J104" s="64">
        <v>0.18</v>
      </c>
      <c r="K104" s="64">
        <v>327.08</v>
      </c>
      <c r="L104" s="64">
        <v>24.57</v>
      </c>
      <c r="M104" s="64">
        <v>98.1</v>
      </c>
      <c r="N104" s="64">
        <v>44.9</v>
      </c>
      <c r="O104" s="64">
        <v>0</v>
      </c>
      <c r="P104" s="64">
        <v>0.71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4.47</v>
      </c>
      <c r="C106" s="67">
        <f>MIN(C9:C104)</f>
        <v>10.61</v>
      </c>
      <c r="D106" s="67">
        <f t="shared" ref="D106:Q106" si="0">MIN(D9:D104)</f>
        <v>10.49</v>
      </c>
      <c r="E106" s="67">
        <f t="shared" si="0"/>
        <v>4.63</v>
      </c>
      <c r="F106" s="67">
        <f t="shared" si="0"/>
        <v>3.65</v>
      </c>
      <c r="G106" s="67">
        <f t="shared" si="0"/>
        <v>4.37</v>
      </c>
      <c r="H106" s="67">
        <f t="shared" si="0"/>
        <v>0.16</v>
      </c>
      <c r="I106" s="67">
        <f t="shared" si="0"/>
        <v>1.04</v>
      </c>
      <c r="J106" s="67">
        <f t="shared" si="0"/>
        <v>0.03</v>
      </c>
      <c r="K106" s="67">
        <f t="shared" si="0"/>
        <v>213.89</v>
      </c>
      <c r="L106" s="67">
        <f t="shared" si="0"/>
        <v>22.74</v>
      </c>
      <c r="M106" s="67">
        <f t="shared" si="0"/>
        <v>68.72</v>
      </c>
      <c r="N106" s="67">
        <f t="shared" si="0"/>
        <v>43.8</v>
      </c>
      <c r="O106" s="67">
        <f t="shared" si="0"/>
        <v>0</v>
      </c>
      <c r="P106" s="67">
        <f t="shared" si="0"/>
        <v>0.23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22.93</v>
      </c>
      <c r="C107" s="66">
        <f t="shared" ref="C107:Q107" si="1">MAX(C9:C104)</f>
        <v>18.510000000000002</v>
      </c>
      <c r="D107" s="66">
        <f t="shared" si="1"/>
        <v>27.23</v>
      </c>
      <c r="E107" s="66">
        <f t="shared" si="1"/>
        <v>5.81</v>
      </c>
      <c r="F107" s="66">
        <f t="shared" si="1"/>
        <v>13.64</v>
      </c>
      <c r="G107" s="66">
        <f t="shared" si="1"/>
        <v>30.83</v>
      </c>
      <c r="H107" s="66">
        <f t="shared" si="1"/>
        <v>27.47</v>
      </c>
      <c r="I107" s="66">
        <f t="shared" si="1"/>
        <v>2.7</v>
      </c>
      <c r="J107" s="66">
        <f t="shared" si="1"/>
        <v>2.23</v>
      </c>
      <c r="K107" s="66">
        <f t="shared" si="1"/>
        <v>343.09</v>
      </c>
      <c r="L107" s="66">
        <f t="shared" si="1"/>
        <v>33.200000000000003</v>
      </c>
      <c r="M107" s="66">
        <f t="shared" si="1"/>
        <v>98.15</v>
      </c>
      <c r="N107" s="66">
        <f t="shared" si="1"/>
        <v>894.6</v>
      </c>
      <c r="O107" s="66">
        <f t="shared" si="1"/>
        <v>0.4</v>
      </c>
      <c r="P107" s="66">
        <f t="shared" si="1"/>
        <v>0.97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11.050312500000004</v>
      </c>
      <c r="C108" s="67">
        <f t="shared" ref="C108:Q108" si="2">AVERAGE(C9:C104)</f>
        <v>14.121666666666664</v>
      </c>
      <c r="D108" s="67">
        <f t="shared" si="2"/>
        <v>16.239583333333339</v>
      </c>
      <c r="E108" s="67">
        <f t="shared" si="2"/>
        <v>5.3327083333333318</v>
      </c>
      <c r="F108" s="67">
        <f t="shared" si="2"/>
        <v>6.0348958333333336</v>
      </c>
      <c r="G108" s="67">
        <f t="shared" si="2"/>
        <v>19.423645833333325</v>
      </c>
      <c r="H108" s="67">
        <f t="shared" si="2"/>
        <v>4.6588333333333338</v>
      </c>
      <c r="I108" s="67">
        <f t="shared" si="2"/>
        <v>1.4916666666666665</v>
      </c>
      <c r="J108" s="67">
        <f t="shared" si="2"/>
        <v>0.59125000000000005</v>
      </c>
      <c r="K108" s="67">
        <f t="shared" si="2"/>
        <v>322.43885416666672</v>
      </c>
      <c r="L108" s="67">
        <f t="shared" si="2"/>
        <v>26.390104166666678</v>
      </c>
      <c r="M108" s="67">
        <f t="shared" si="2"/>
        <v>92.297291666666652</v>
      </c>
      <c r="N108" s="67">
        <f t="shared" si="2"/>
        <v>168.87812499999995</v>
      </c>
      <c r="O108" s="67">
        <f t="shared" si="2"/>
        <v>3.5416666666666673E-2</v>
      </c>
      <c r="P108" s="67">
        <f t="shared" si="2"/>
        <v>0.47291666666666671</v>
      </c>
      <c r="Q108" s="67">
        <f t="shared" si="2"/>
        <v>9.1794791666666651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3.9247979373063391</v>
      </c>
      <c r="C109" s="67">
        <f t="shared" ref="C109:Q109" si="3">STDEV(C9:C104)</f>
        <v>1.925971889540008</v>
      </c>
      <c r="D109" s="67">
        <f t="shared" si="3"/>
        <v>3.5361144053493345</v>
      </c>
      <c r="E109" s="67">
        <f t="shared" si="3"/>
        <v>0.20021293489244296</v>
      </c>
      <c r="F109" s="67">
        <f t="shared" si="3"/>
        <v>2.2493521850063809</v>
      </c>
      <c r="G109" s="67">
        <f t="shared" si="3"/>
        <v>8.9428114170917805</v>
      </c>
      <c r="H109" s="67">
        <f t="shared" si="3"/>
        <v>5.3977195723676568</v>
      </c>
      <c r="I109" s="67">
        <f t="shared" si="3"/>
        <v>0.43690940086178492</v>
      </c>
      <c r="J109" s="67">
        <f t="shared" si="3"/>
        <v>0.50413291898069912</v>
      </c>
      <c r="K109" s="67">
        <f t="shared" si="3"/>
        <v>16.768396833253206</v>
      </c>
      <c r="L109" s="67">
        <f t="shared" si="3"/>
        <v>3.1945735222458174</v>
      </c>
      <c r="M109" s="67">
        <f t="shared" si="3"/>
        <v>8.9075328829818794</v>
      </c>
      <c r="N109" s="67">
        <f t="shared" si="3"/>
        <v>196.04181466053294</v>
      </c>
      <c r="O109" s="67">
        <f t="shared" si="3"/>
        <v>9.6222512593595072E-2</v>
      </c>
      <c r="P109" s="67">
        <f t="shared" si="3"/>
        <v>0.15868483605241718</v>
      </c>
      <c r="Q109" s="67">
        <f t="shared" si="3"/>
        <v>0.10317455614194682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COUNT(H9:H104)+36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4" sqref="A6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2548</v>
      </c>
      <c r="B9" s="64">
        <v>10.6</v>
      </c>
      <c r="C9" s="64">
        <v>12.26</v>
      </c>
      <c r="D9" s="64">
        <v>14.91</v>
      </c>
      <c r="E9" s="64">
        <v>4.83</v>
      </c>
      <c r="F9" s="64">
        <v>5.52</v>
      </c>
      <c r="G9" s="64">
        <v>29.17</v>
      </c>
      <c r="H9" s="64">
        <v>27.47</v>
      </c>
      <c r="I9" s="64">
        <v>2.4700000000000002</v>
      </c>
      <c r="J9" s="64">
        <v>0.17</v>
      </c>
      <c r="K9" s="64">
        <v>321.17</v>
      </c>
      <c r="L9" s="64">
        <v>24.39</v>
      </c>
      <c r="M9" s="64">
        <v>98.1</v>
      </c>
      <c r="N9" s="64">
        <v>44.9</v>
      </c>
      <c r="O9" s="64">
        <v>0</v>
      </c>
      <c r="P9" s="64">
        <v>0.59</v>
      </c>
      <c r="Q9" s="64">
        <v>9.3000000000000007</v>
      </c>
      <c r="R9" s="198"/>
      <c r="S9" s="198"/>
      <c r="T9" s="198"/>
      <c r="U9" s="198"/>
    </row>
    <row r="10" spans="1:21" s="12" customFormat="1" x14ac:dyDescent="0.25">
      <c r="A10" s="213" t="s">
        <v>2549</v>
      </c>
      <c r="B10" s="64">
        <v>11.06</v>
      </c>
      <c r="C10" s="64">
        <v>11.76</v>
      </c>
      <c r="D10" s="64">
        <v>15.01</v>
      </c>
      <c r="E10" s="64">
        <v>5.07</v>
      </c>
      <c r="F10" s="64">
        <v>5.09</v>
      </c>
      <c r="G10" s="64">
        <v>27.62</v>
      </c>
      <c r="H10" s="64">
        <v>21.94</v>
      </c>
      <c r="I10" s="64">
        <v>2.52</v>
      </c>
      <c r="J10" s="64">
        <v>0.16</v>
      </c>
      <c r="K10" s="64">
        <v>323.26</v>
      </c>
      <c r="L10" s="64">
        <v>24.18</v>
      </c>
      <c r="M10" s="64">
        <v>98.11</v>
      </c>
      <c r="N10" s="64">
        <v>44.9</v>
      </c>
      <c r="O10" s="64">
        <v>0</v>
      </c>
      <c r="P10" s="64">
        <v>0.65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3" t="s">
        <v>2550</v>
      </c>
      <c r="B11" s="64">
        <v>12.72</v>
      </c>
      <c r="C11" s="64">
        <v>11.79</v>
      </c>
      <c r="D11" s="64">
        <v>16.36</v>
      </c>
      <c r="E11" s="64">
        <v>5.07</v>
      </c>
      <c r="F11" s="64">
        <v>3.47</v>
      </c>
      <c r="G11" s="64">
        <v>23.8</v>
      </c>
      <c r="H11" s="64">
        <v>8.33</v>
      </c>
      <c r="I11" s="64">
        <v>2.4700000000000002</v>
      </c>
      <c r="J11" s="64">
        <v>0.13</v>
      </c>
      <c r="K11" s="64">
        <v>317.94</v>
      </c>
      <c r="L11" s="64">
        <v>24.01</v>
      </c>
      <c r="M11" s="64">
        <v>98.12</v>
      </c>
      <c r="N11" s="64">
        <v>44.9</v>
      </c>
      <c r="O11" s="64">
        <v>0</v>
      </c>
      <c r="P11" s="64">
        <v>0.64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3" t="s">
        <v>2551</v>
      </c>
      <c r="B12" s="64">
        <v>10.92</v>
      </c>
      <c r="C12" s="64">
        <v>12.04</v>
      </c>
      <c r="D12" s="64">
        <v>15.04</v>
      </c>
      <c r="E12" s="64">
        <v>4.9400000000000004</v>
      </c>
      <c r="F12" s="64">
        <v>3.79</v>
      </c>
      <c r="G12" s="64">
        <v>23.8</v>
      </c>
      <c r="H12" s="64">
        <v>8.33</v>
      </c>
      <c r="I12" s="64">
        <v>2.36</v>
      </c>
      <c r="J12" s="64">
        <v>0.16</v>
      </c>
      <c r="K12" s="64">
        <v>305.82</v>
      </c>
      <c r="L12" s="64">
        <v>23.93</v>
      </c>
      <c r="M12" s="64">
        <v>98.11</v>
      </c>
      <c r="N12" s="64">
        <v>45</v>
      </c>
      <c r="O12" s="64">
        <v>0</v>
      </c>
      <c r="P12" s="64">
        <v>0.6</v>
      </c>
      <c r="Q12" s="64">
        <v>9.2100000000000009</v>
      </c>
      <c r="R12" s="198"/>
      <c r="S12" s="198"/>
      <c r="T12" s="198"/>
      <c r="U12" s="198"/>
    </row>
    <row r="13" spans="1:21" s="12" customFormat="1" x14ac:dyDescent="0.25">
      <c r="A13" s="213" t="s">
        <v>2552</v>
      </c>
      <c r="B13" s="64">
        <v>9.7899999999999991</v>
      </c>
      <c r="C13" s="64">
        <v>11.9</v>
      </c>
      <c r="D13" s="64">
        <v>14.07</v>
      </c>
      <c r="E13" s="64">
        <v>4.99</v>
      </c>
      <c r="F13" s="64">
        <v>4.2300000000000004</v>
      </c>
      <c r="G13" s="64">
        <v>23.8</v>
      </c>
      <c r="H13" s="64">
        <v>8.33</v>
      </c>
      <c r="I13" s="64">
        <v>2.2599999999999998</v>
      </c>
      <c r="J13" s="64">
        <v>0.18</v>
      </c>
      <c r="K13" s="64">
        <v>315.18</v>
      </c>
      <c r="L13" s="64">
        <v>23.84</v>
      </c>
      <c r="M13" s="64">
        <v>98.13</v>
      </c>
      <c r="N13" s="64">
        <v>45.1</v>
      </c>
      <c r="O13" s="64">
        <v>0</v>
      </c>
      <c r="P13" s="64">
        <v>0.56999999999999995</v>
      </c>
      <c r="Q13" s="64">
        <v>9.18</v>
      </c>
      <c r="R13" s="198"/>
      <c r="S13" s="198"/>
      <c r="T13" s="198"/>
      <c r="U13" s="198"/>
    </row>
    <row r="14" spans="1:21" s="12" customFormat="1" x14ac:dyDescent="0.25">
      <c r="A14" s="213" t="s">
        <v>2553</v>
      </c>
      <c r="B14" s="64">
        <v>8.73</v>
      </c>
      <c r="C14" s="64">
        <v>12.51</v>
      </c>
      <c r="D14" s="64">
        <v>13.53</v>
      </c>
      <c r="E14" s="64">
        <v>4.76</v>
      </c>
      <c r="F14" s="64">
        <v>3.01</v>
      </c>
      <c r="G14" s="64">
        <v>22.6</v>
      </c>
      <c r="H14" s="64">
        <v>8.36</v>
      </c>
      <c r="I14" s="64">
        <v>2.17</v>
      </c>
      <c r="J14" s="64">
        <v>0.19</v>
      </c>
      <c r="K14" s="64">
        <v>314.16000000000003</v>
      </c>
      <c r="L14" s="64">
        <v>23.75</v>
      </c>
      <c r="M14" s="64">
        <v>98.13</v>
      </c>
      <c r="N14" s="64">
        <v>45.2</v>
      </c>
      <c r="O14" s="64">
        <v>0</v>
      </c>
      <c r="P14" s="64">
        <v>0.52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3" t="s">
        <v>2554</v>
      </c>
      <c r="B15" s="64">
        <v>7.64</v>
      </c>
      <c r="C15" s="64">
        <v>12.99</v>
      </c>
      <c r="D15" s="64">
        <v>12.91</v>
      </c>
      <c r="E15" s="64">
        <v>4.97</v>
      </c>
      <c r="F15" s="64">
        <v>3.92</v>
      </c>
      <c r="G15" s="64">
        <v>19.66</v>
      </c>
      <c r="H15" s="64">
        <v>8.4499999999999993</v>
      </c>
      <c r="I15" s="64">
        <v>2.04</v>
      </c>
      <c r="J15" s="64">
        <v>0.2</v>
      </c>
      <c r="K15" s="64">
        <v>318.8</v>
      </c>
      <c r="L15" s="64">
        <v>23.65</v>
      </c>
      <c r="M15" s="64">
        <v>98.13</v>
      </c>
      <c r="N15" s="64">
        <v>45</v>
      </c>
      <c r="O15" s="64">
        <v>0</v>
      </c>
      <c r="P15" s="64">
        <v>0.49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3" t="s">
        <v>2555</v>
      </c>
      <c r="B16" s="64">
        <v>6.78</v>
      </c>
      <c r="C16" s="64">
        <v>13.14</v>
      </c>
      <c r="D16" s="64">
        <v>12.31</v>
      </c>
      <c r="E16" s="64">
        <v>4.92</v>
      </c>
      <c r="F16" s="64">
        <v>3.41</v>
      </c>
      <c r="G16" s="64">
        <v>19.66</v>
      </c>
      <c r="H16" s="64">
        <v>8.4499999999999993</v>
      </c>
      <c r="I16" s="64">
        <v>1.89</v>
      </c>
      <c r="J16" s="64">
        <v>0.18</v>
      </c>
      <c r="K16" s="64">
        <v>306.81</v>
      </c>
      <c r="L16" s="64">
        <v>23.72</v>
      </c>
      <c r="M16" s="64">
        <v>98.13</v>
      </c>
      <c r="N16" s="64">
        <v>44.9</v>
      </c>
      <c r="O16" s="64">
        <v>0</v>
      </c>
      <c r="P16" s="64">
        <v>0.45</v>
      </c>
      <c r="Q16" s="64">
        <v>9.0500000000000007</v>
      </c>
      <c r="R16" s="198"/>
      <c r="S16" s="198"/>
      <c r="T16" s="198"/>
      <c r="U16" s="198"/>
    </row>
    <row r="17" spans="1:21" s="12" customFormat="1" x14ac:dyDescent="0.25">
      <c r="A17" s="213" t="s">
        <v>2556</v>
      </c>
      <c r="B17" s="64">
        <v>6.21</v>
      </c>
      <c r="C17" s="64">
        <v>13.09</v>
      </c>
      <c r="D17" s="64">
        <v>11.82</v>
      </c>
      <c r="E17" s="64">
        <v>4.87</v>
      </c>
      <c r="F17" s="64">
        <v>3.77</v>
      </c>
      <c r="G17" s="64">
        <v>19.66</v>
      </c>
      <c r="H17" s="64">
        <v>8.4499999999999993</v>
      </c>
      <c r="I17" s="64">
        <v>1.77</v>
      </c>
      <c r="J17" s="64">
        <v>0.18</v>
      </c>
      <c r="K17" s="64">
        <v>302.66000000000003</v>
      </c>
      <c r="L17" s="64">
        <v>23.71</v>
      </c>
      <c r="M17" s="64">
        <v>98.13</v>
      </c>
      <c r="N17" s="64">
        <v>45.1</v>
      </c>
      <c r="O17" s="64">
        <v>0</v>
      </c>
      <c r="P17" s="64">
        <v>0.4</v>
      </c>
      <c r="Q17" s="64">
        <v>9.0299999999999994</v>
      </c>
      <c r="R17" s="198"/>
      <c r="S17" s="198"/>
      <c r="T17" s="198"/>
      <c r="U17" s="198"/>
    </row>
    <row r="18" spans="1:21" s="12" customFormat="1" x14ac:dyDescent="0.25">
      <c r="A18" s="213" t="s">
        <v>2557</v>
      </c>
      <c r="B18" s="64">
        <v>5.89</v>
      </c>
      <c r="C18" s="64">
        <v>13.1</v>
      </c>
      <c r="D18" s="64">
        <v>11.57</v>
      </c>
      <c r="E18" s="64">
        <v>4.6100000000000003</v>
      </c>
      <c r="F18" s="64">
        <v>3.87</v>
      </c>
      <c r="G18" s="64">
        <v>18.670000000000002</v>
      </c>
      <c r="H18" s="64">
        <v>6.79</v>
      </c>
      <c r="I18" s="64">
        <v>1.68</v>
      </c>
      <c r="J18" s="64">
        <v>0.11</v>
      </c>
      <c r="K18" s="64">
        <v>311.51</v>
      </c>
      <c r="L18" s="64">
        <v>23.68</v>
      </c>
      <c r="M18" s="64">
        <v>98.13</v>
      </c>
      <c r="N18" s="64">
        <v>45.2</v>
      </c>
      <c r="O18" s="64">
        <v>0</v>
      </c>
      <c r="P18" s="64">
        <v>0.4</v>
      </c>
      <c r="Q18" s="64">
        <v>9</v>
      </c>
      <c r="R18" s="198"/>
      <c r="S18" s="198"/>
      <c r="T18" s="198"/>
      <c r="U18" s="198"/>
    </row>
    <row r="19" spans="1:21" s="12" customFormat="1" x14ac:dyDescent="0.25">
      <c r="A19" s="213" t="s">
        <v>2558</v>
      </c>
      <c r="B19" s="64">
        <v>5.86</v>
      </c>
      <c r="C19" s="64">
        <v>12.86</v>
      </c>
      <c r="D19" s="64">
        <v>11.42</v>
      </c>
      <c r="E19" s="64">
        <v>4.6900000000000004</v>
      </c>
      <c r="F19" s="64">
        <v>3.38</v>
      </c>
      <c r="G19" s="64">
        <v>16.23</v>
      </c>
      <c r="H19" s="64">
        <v>2.7</v>
      </c>
      <c r="I19" s="64">
        <v>1.58</v>
      </c>
      <c r="J19" s="64">
        <v>0.13</v>
      </c>
      <c r="K19" s="64">
        <v>308.02</v>
      </c>
      <c r="L19" s="64">
        <v>23.62</v>
      </c>
      <c r="M19" s="64">
        <v>98.16</v>
      </c>
      <c r="N19" s="64">
        <v>45.3</v>
      </c>
      <c r="O19" s="64">
        <v>0</v>
      </c>
      <c r="P19" s="64">
        <v>0.4</v>
      </c>
      <c r="Q19" s="64">
        <v>9.01</v>
      </c>
      <c r="R19" s="198"/>
      <c r="S19" s="198"/>
      <c r="T19" s="198"/>
      <c r="U19" s="198"/>
    </row>
    <row r="20" spans="1:21" s="12" customFormat="1" x14ac:dyDescent="0.25">
      <c r="A20" s="213" t="s">
        <v>2559</v>
      </c>
      <c r="B20" s="64">
        <v>5.75</v>
      </c>
      <c r="C20" s="64">
        <v>12.4</v>
      </c>
      <c r="D20" s="64">
        <v>11.09</v>
      </c>
      <c r="E20" s="64">
        <v>4.92</v>
      </c>
      <c r="F20" s="64">
        <v>4.7</v>
      </c>
      <c r="G20" s="64">
        <v>16.23</v>
      </c>
      <c r="H20" s="64">
        <v>2.7</v>
      </c>
      <c r="I20" s="64">
        <v>1.54</v>
      </c>
      <c r="J20" s="64">
        <v>0.12</v>
      </c>
      <c r="K20" s="64">
        <v>309.05</v>
      </c>
      <c r="L20" s="64">
        <v>23.62</v>
      </c>
      <c r="M20" s="64">
        <v>98.16</v>
      </c>
      <c r="N20" s="64">
        <v>45.2</v>
      </c>
      <c r="O20" s="64">
        <v>0</v>
      </c>
      <c r="P20" s="64">
        <v>0.38</v>
      </c>
      <c r="Q20" s="64">
        <v>9.02</v>
      </c>
      <c r="R20" s="198"/>
      <c r="S20" s="198"/>
      <c r="T20" s="198"/>
      <c r="U20" s="198"/>
    </row>
    <row r="21" spans="1:21" s="12" customFormat="1" x14ac:dyDescent="0.25">
      <c r="A21" s="213" t="s">
        <v>2560</v>
      </c>
      <c r="B21" s="64">
        <v>5.41</v>
      </c>
      <c r="C21" s="64">
        <v>12.23</v>
      </c>
      <c r="D21" s="64">
        <v>10.73</v>
      </c>
      <c r="E21" s="64">
        <v>4.74</v>
      </c>
      <c r="F21" s="64">
        <v>5.85</v>
      </c>
      <c r="G21" s="64">
        <v>16.23</v>
      </c>
      <c r="H21" s="64">
        <v>2.7</v>
      </c>
      <c r="I21" s="64">
        <v>1.51</v>
      </c>
      <c r="J21" s="64">
        <v>0.15</v>
      </c>
      <c r="K21" s="64">
        <v>299.88</v>
      </c>
      <c r="L21" s="64">
        <v>23.72</v>
      </c>
      <c r="M21" s="64">
        <v>98.15</v>
      </c>
      <c r="N21" s="64">
        <v>45.2</v>
      </c>
      <c r="O21" s="64">
        <v>0</v>
      </c>
      <c r="P21" s="64">
        <v>0.36</v>
      </c>
      <c r="Q21" s="64">
        <v>9.0299999999999994</v>
      </c>
      <c r="R21" s="198"/>
      <c r="S21" s="198"/>
      <c r="T21" s="198"/>
      <c r="U21" s="198"/>
    </row>
    <row r="22" spans="1:21" s="12" customFormat="1" x14ac:dyDescent="0.25">
      <c r="A22" s="213" t="s">
        <v>2561</v>
      </c>
      <c r="B22" s="64">
        <v>5.49</v>
      </c>
      <c r="C22" s="64">
        <v>12.27</v>
      </c>
      <c r="D22" s="64">
        <v>10.82</v>
      </c>
      <c r="E22" s="64">
        <v>4.58</v>
      </c>
      <c r="F22" s="64">
        <v>4.82</v>
      </c>
      <c r="G22" s="64">
        <v>16.16</v>
      </c>
      <c r="H22" s="64">
        <v>2.44</v>
      </c>
      <c r="I22" s="64">
        <v>1.45</v>
      </c>
      <c r="J22" s="64">
        <v>0.15</v>
      </c>
      <c r="K22" s="64">
        <v>296.77</v>
      </c>
      <c r="L22" s="64">
        <v>23.81</v>
      </c>
      <c r="M22" s="64">
        <v>98.14</v>
      </c>
      <c r="N22" s="64">
        <v>45.3</v>
      </c>
      <c r="O22" s="64">
        <v>0</v>
      </c>
      <c r="P22" s="64">
        <v>0.36</v>
      </c>
      <c r="Q22" s="64">
        <v>9.0399999999999991</v>
      </c>
      <c r="R22" s="198"/>
      <c r="S22" s="198"/>
      <c r="T22" s="198"/>
      <c r="U22" s="198"/>
    </row>
    <row r="23" spans="1:21" s="12" customFormat="1" x14ac:dyDescent="0.25">
      <c r="A23" s="213" t="s">
        <v>2562</v>
      </c>
      <c r="B23" s="64">
        <v>5.69</v>
      </c>
      <c r="C23" s="64">
        <v>12.58</v>
      </c>
      <c r="D23" s="64">
        <v>11.14</v>
      </c>
      <c r="E23" s="64">
        <v>4.7699999999999996</v>
      </c>
      <c r="F23" s="64">
        <v>3.95</v>
      </c>
      <c r="G23" s="64">
        <v>15.99</v>
      </c>
      <c r="H23" s="64">
        <v>1.79</v>
      </c>
      <c r="I23" s="64">
        <v>1.41</v>
      </c>
      <c r="J23" s="64">
        <v>0.14000000000000001</v>
      </c>
      <c r="K23" s="64">
        <v>298.70999999999998</v>
      </c>
      <c r="L23" s="64">
        <v>23.84</v>
      </c>
      <c r="M23" s="64">
        <v>98.13</v>
      </c>
      <c r="N23" s="64">
        <v>45.3</v>
      </c>
      <c r="O23" s="64">
        <v>0</v>
      </c>
      <c r="P23" s="64">
        <v>0.35</v>
      </c>
      <c r="Q23" s="64">
        <v>9.0399999999999991</v>
      </c>
      <c r="R23" s="198"/>
      <c r="S23" s="198"/>
      <c r="T23" s="198"/>
      <c r="U23" s="198"/>
    </row>
    <row r="24" spans="1:21" s="12" customFormat="1" x14ac:dyDescent="0.25">
      <c r="A24" s="213" t="s">
        <v>2563</v>
      </c>
      <c r="B24" s="64">
        <v>5.86</v>
      </c>
      <c r="C24" s="64">
        <v>12.41</v>
      </c>
      <c r="D24" s="64">
        <v>11.19</v>
      </c>
      <c r="E24" s="64">
        <v>4.79</v>
      </c>
      <c r="F24" s="64">
        <v>3.69</v>
      </c>
      <c r="G24" s="64">
        <v>15.99</v>
      </c>
      <c r="H24" s="64">
        <v>1.79</v>
      </c>
      <c r="I24" s="64">
        <v>1.4</v>
      </c>
      <c r="J24" s="64">
        <v>0.19</v>
      </c>
      <c r="K24" s="64">
        <v>303.58999999999997</v>
      </c>
      <c r="L24" s="64">
        <v>23.83</v>
      </c>
      <c r="M24" s="64">
        <v>98.14</v>
      </c>
      <c r="N24" s="64">
        <v>45.5</v>
      </c>
      <c r="O24" s="64">
        <v>0</v>
      </c>
      <c r="P24" s="64">
        <v>0.39</v>
      </c>
      <c r="Q24" s="64">
        <v>9.0500000000000007</v>
      </c>
      <c r="R24" s="198"/>
      <c r="S24" s="198"/>
      <c r="T24" s="198"/>
      <c r="U24" s="198"/>
    </row>
    <row r="25" spans="1:21" s="12" customFormat="1" x14ac:dyDescent="0.25">
      <c r="A25" s="213" t="s">
        <v>2564</v>
      </c>
      <c r="B25" s="64">
        <v>6.18</v>
      </c>
      <c r="C25" s="64">
        <v>12.47</v>
      </c>
      <c r="D25" s="64">
        <v>11.48</v>
      </c>
      <c r="E25" s="64">
        <v>4.96</v>
      </c>
      <c r="F25" s="64">
        <v>3.9</v>
      </c>
      <c r="G25" s="64">
        <v>15.99</v>
      </c>
      <c r="H25" s="64">
        <v>1.79</v>
      </c>
      <c r="I25" s="64">
        <v>1.42</v>
      </c>
      <c r="J25" s="64">
        <v>0.18</v>
      </c>
      <c r="K25" s="64">
        <v>313.29000000000002</v>
      </c>
      <c r="L25" s="64">
        <v>23.88</v>
      </c>
      <c r="M25" s="64">
        <v>98.14</v>
      </c>
      <c r="N25" s="64">
        <v>45.6</v>
      </c>
      <c r="O25" s="64">
        <v>0</v>
      </c>
      <c r="P25" s="64">
        <v>0.38</v>
      </c>
      <c r="Q25" s="64">
        <v>9.06</v>
      </c>
      <c r="R25" s="198"/>
      <c r="S25" s="198"/>
      <c r="T25" s="198"/>
      <c r="U25" s="198"/>
    </row>
    <row r="26" spans="1:21" s="12" customFormat="1" x14ac:dyDescent="0.25">
      <c r="A26" s="213" t="s">
        <v>2565</v>
      </c>
      <c r="B26" s="64">
        <v>6.14</v>
      </c>
      <c r="C26" s="64">
        <v>12.44</v>
      </c>
      <c r="D26" s="64">
        <v>11.43</v>
      </c>
      <c r="E26" s="64">
        <v>4.66</v>
      </c>
      <c r="F26" s="64">
        <v>4.53</v>
      </c>
      <c r="G26" s="64">
        <v>14.78</v>
      </c>
      <c r="H26" s="64">
        <v>1.81</v>
      </c>
      <c r="I26" s="64">
        <v>1.42</v>
      </c>
      <c r="J26" s="64">
        <v>0.16</v>
      </c>
      <c r="K26" s="64">
        <v>293.33999999999997</v>
      </c>
      <c r="L26" s="64">
        <v>23.85</v>
      </c>
      <c r="M26" s="64">
        <v>98.15</v>
      </c>
      <c r="N26" s="64">
        <v>45.6</v>
      </c>
      <c r="O26" s="64">
        <v>0</v>
      </c>
      <c r="P26" s="64">
        <v>0.4</v>
      </c>
      <c r="Q26" s="64">
        <v>9.07</v>
      </c>
      <c r="R26" s="198"/>
      <c r="S26" s="198"/>
      <c r="T26" s="198"/>
      <c r="U26" s="198"/>
    </row>
    <row r="27" spans="1:21" s="12" customFormat="1" x14ac:dyDescent="0.25">
      <c r="A27" s="213" t="s">
        <v>2566</v>
      </c>
      <c r="B27" s="64">
        <v>6.1</v>
      </c>
      <c r="C27" s="64">
        <v>13.11</v>
      </c>
      <c r="D27" s="64">
        <v>11.74</v>
      </c>
      <c r="E27" s="64">
        <v>4.7300000000000004</v>
      </c>
      <c r="F27" s="64">
        <v>4.3899999999999997</v>
      </c>
      <c r="G27" s="64">
        <v>11.79</v>
      </c>
      <c r="H27" s="64">
        <v>1.85</v>
      </c>
      <c r="I27" s="64">
        <v>1.42</v>
      </c>
      <c r="J27" s="64">
        <v>0.13</v>
      </c>
      <c r="K27" s="64">
        <v>296.16000000000003</v>
      </c>
      <c r="L27" s="64">
        <v>23.85</v>
      </c>
      <c r="M27" s="64">
        <v>98.17</v>
      </c>
      <c r="N27" s="64">
        <v>45.6</v>
      </c>
      <c r="O27" s="64">
        <v>0</v>
      </c>
      <c r="P27" s="64">
        <v>0.43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3" t="s">
        <v>2567</v>
      </c>
      <c r="B28" s="64">
        <v>6.56</v>
      </c>
      <c r="C28" s="64">
        <v>12.64</v>
      </c>
      <c r="D28" s="64">
        <v>11.86</v>
      </c>
      <c r="E28" s="64">
        <v>5.01</v>
      </c>
      <c r="F28" s="64">
        <v>3.93</v>
      </c>
      <c r="G28" s="64">
        <v>11.79</v>
      </c>
      <c r="H28" s="64">
        <v>1.85</v>
      </c>
      <c r="I28" s="64">
        <v>1.45</v>
      </c>
      <c r="J28" s="64">
        <v>0.11</v>
      </c>
      <c r="K28" s="64">
        <v>297.69</v>
      </c>
      <c r="L28" s="64">
        <v>23.75</v>
      </c>
      <c r="M28" s="64">
        <v>98.18</v>
      </c>
      <c r="N28" s="64">
        <v>45.6</v>
      </c>
      <c r="O28" s="64">
        <v>0</v>
      </c>
      <c r="P28" s="64">
        <v>0.43</v>
      </c>
      <c r="Q28" s="64">
        <v>9.06</v>
      </c>
      <c r="R28" s="198"/>
      <c r="S28" s="198"/>
      <c r="T28" s="198"/>
      <c r="U28" s="198"/>
    </row>
    <row r="29" spans="1:21" s="12" customFormat="1" x14ac:dyDescent="0.25">
      <c r="A29" s="213" t="s">
        <v>2568</v>
      </c>
      <c r="B29" s="64">
        <v>7.17</v>
      </c>
      <c r="C29" s="64">
        <v>13</v>
      </c>
      <c r="D29" s="64">
        <v>12.54</v>
      </c>
      <c r="E29" s="64">
        <v>4.82</v>
      </c>
      <c r="F29" s="64">
        <v>2.75</v>
      </c>
      <c r="G29" s="64">
        <v>11.79</v>
      </c>
      <c r="H29" s="64">
        <v>1.85</v>
      </c>
      <c r="I29" s="64">
        <v>1.5</v>
      </c>
      <c r="J29" s="64">
        <v>0.15</v>
      </c>
      <c r="K29" s="64">
        <v>292.31</v>
      </c>
      <c r="L29" s="64">
        <v>23.79</v>
      </c>
      <c r="M29" s="64">
        <v>98.19</v>
      </c>
      <c r="N29" s="64">
        <v>45.6</v>
      </c>
      <c r="O29" s="64">
        <v>0</v>
      </c>
      <c r="P29" s="64">
        <v>0.51</v>
      </c>
      <c r="Q29" s="64">
        <v>9.06</v>
      </c>
      <c r="R29" s="198"/>
      <c r="S29" s="198"/>
      <c r="T29" s="198"/>
      <c r="U29" s="198"/>
    </row>
    <row r="30" spans="1:21" s="12" customFormat="1" x14ac:dyDescent="0.25">
      <c r="A30" s="213" t="s">
        <v>2569</v>
      </c>
      <c r="B30" s="64">
        <v>7.6</v>
      </c>
      <c r="C30" s="64">
        <v>12.45</v>
      </c>
      <c r="D30" s="64">
        <v>12.6</v>
      </c>
      <c r="E30" s="64">
        <v>4.82</v>
      </c>
      <c r="F30" s="64">
        <v>3.39</v>
      </c>
      <c r="G30" s="64">
        <v>14.94</v>
      </c>
      <c r="H30" s="64">
        <v>1.59</v>
      </c>
      <c r="I30" s="64">
        <v>1.54</v>
      </c>
      <c r="J30" s="64">
        <v>0.18</v>
      </c>
      <c r="K30" s="64">
        <v>295.08999999999997</v>
      </c>
      <c r="L30" s="64">
        <v>23.8</v>
      </c>
      <c r="M30" s="64">
        <v>98.18</v>
      </c>
      <c r="N30" s="64">
        <v>45.9</v>
      </c>
      <c r="O30" s="64">
        <v>0</v>
      </c>
      <c r="P30" s="64">
        <v>0.47</v>
      </c>
      <c r="Q30" s="64">
        <v>9.06</v>
      </c>
      <c r="R30" s="198"/>
      <c r="S30" s="198"/>
      <c r="T30" s="198"/>
      <c r="U30" s="198"/>
    </row>
    <row r="31" spans="1:21" s="12" customFormat="1" x14ac:dyDescent="0.25">
      <c r="A31" s="213" t="s">
        <v>2570</v>
      </c>
      <c r="B31" s="64">
        <v>7.77</v>
      </c>
      <c r="C31" s="64">
        <v>12.07</v>
      </c>
      <c r="D31" s="64">
        <v>12.54</v>
      </c>
      <c r="E31" s="64">
        <v>4.88</v>
      </c>
      <c r="F31" s="64">
        <v>3.76</v>
      </c>
      <c r="G31" s="64">
        <v>22.68</v>
      </c>
      <c r="H31" s="64">
        <v>0.95</v>
      </c>
      <c r="I31" s="64">
        <v>1.56</v>
      </c>
      <c r="J31" s="64">
        <v>0.2</v>
      </c>
      <c r="K31" s="64">
        <v>290.68</v>
      </c>
      <c r="L31" s="64">
        <v>23.81</v>
      </c>
      <c r="M31" s="64">
        <v>98.18</v>
      </c>
      <c r="N31" s="64">
        <v>47.6</v>
      </c>
      <c r="O31" s="64">
        <v>0</v>
      </c>
      <c r="P31" s="64">
        <v>0.46</v>
      </c>
      <c r="Q31" s="64">
        <v>9.06</v>
      </c>
      <c r="R31" s="198"/>
      <c r="S31" s="198"/>
      <c r="T31" s="198"/>
      <c r="U31" s="198"/>
    </row>
    <row r="32" spans="1:21" s="12" customFormat="1" x14ac:dyDescent="0.25">
      <c r="A32" s="213" t="s">
        <v>2571</v>
      </c>
      <c r="B32" s="64">
        <v>7.87</v>
      </c>
      <c r="C32" s="64">
        <v>12.33</v>
      </c>
      <c r="D32" s="64">
        <v>12.76</v>
      </c>
      <c r="E32" s="64">
        <v>4.87</v>
      </c>
      <c r="F32" s="64">
        <v>3.41</v>
      </c>
      <c r="G32" s="64">
        <v>22.68</v>
      </c>
      <c r="H32" s="64">
        <v>0.95</v>
      </c>
      <c r="I32" s="64">
        <v>1.57</v>
      </c>
      <c r="J32" s="64">
        <v>0.18</v>
      </c>
      <c r="K32" s="64">
        <v>288.60000000000002</v>
      </c>
      <c r="L32" s="64">
        <v>23.87</v>
      </c>
      <c r="M32" s="64">
        <v>98.18</v>
      </c>
      <c r="N32" s="64">
        <v>50.4</v>
      </c>
      <c r="O32" s="64">
        <v>0</v>
      </c>
      <c r="P32" s="64">
        <v>0.43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3" t="s">
        <v>2572</v>
      </c>
      <c r="B33" s="64">
        <v>8.14</v>
      </c>
      <c r="C33" s="64">
        <v>12.47</v>
      </c>
      <c r="D33" s="64">
        <v>13.04</v>
      </c>
      <c r="E33" s="64">
        <v>4.45</v>
      </c>
      <c r="F33" s="64">
        <v>4.12</v>
      </c>
      <c r="G33" s="64">
        <v>22.68</v>
      </c>
      <c r="H33" s="64">
        <v>0.95</v>
      </c>
      <c r="I33" s="64">
        <v>1.55</v>
      </c>
      <c r="J33" s="64">
        <v>0.15</v>
      </c>
      <c r="K33" s="64">
        <v>283.86</v>
      </c>
      <c r="L33" s="64">
        <v>23.96</v>
      </c>
      <c r="M33" s="64">
        <v>98.18</v>
      </c>
      <c r="N33" s="64">
        <v>56.2</v>
      </c>
      <c r="O33" s="64">
        <v>0</v>
      </c>
      <c r="P33" s="64">
        <v>0.44</v>
      </c>
      <c r="Q33" s="64">
        <v>9.06</v>
      </c>
      <c r="R33" s="198"/>
      <c r="S33" s="198"/>
      <c r="T33" s="198"/>
      <c r="U33" s="198"/>
    </row>
    <row r="34" spans="1:21" s="12" customFormat="1" x14ac:dyDescent="0.25">
      <c r="A34" s="213" t="s">
        <v>2573</v>
      </c>
      <c r="B34" s="64">
        <v>8.7799999999999994</v>
      </c>
      <c r="C34" s="64">
        <v>12.21</v>
      </c>
      <c r="D34" s="64">
        <v>13.42</v>
      </c>
      <c r="E34" s="64">
        <v>4.6399999999999997</v>
      </c>
      <c r="F34" s="64">
        <v>3.62</v>
      </c>
      <c r="G34" s="64">
        <v>23.02</v>
      </c>
      <c r="H34" s="64">
        <v>2.25</v>
      </c>
      <c r="I34" s="64">
        <v>1.51</v>
      </c>
      <c r="J34" s="64">
        <v>0.15</v>
      </c>
      <c r="K34" s="64">
        <v>289.66000000000003</v>
      </c>
      <c r="L34" s="64">
        <v>24.04</v>
      </c>
      <c r="M34" s="64">
        <v>98.18</v>
      </c>
      <c r="N34" s="64">
        <v>62.5</v>
      </c>
      <c r="O34" s="64">
        <v>0</v>
      </c>
      <c r="P34" s="64">
        <v>0.48</v>
      </c>
      <c r="Q34" s="64">
        <v>9.07</v>
      </c>
      <c r="R34" s="198"/>
      <c r="S34" s="198"/>
      <c r="T34" s="198"/>
      <c r="U34" s="198"/>
    </row>
    <row r="35" spans="1:21" s="12" customFormat="1" x14ac:dyDescent="0.25">
      <c r="A35" s="213" t="s">
        <v>2574</v>
      </c>
      <c r="B35" s="64">
        <v>10.94</v>
      </c>
      <c r="C35" s="64">
        <v>13.69</v>
      </c>
      <c r="D35" s="64">
        <v>15.93</v>
      </c>
      <c r="E35" s="64">
        <v>4.8499999999999996</v>
      </c>
      <c r="F35" s="64">
        <v>3.43</v>
      </c>
      <c r="G35" s="64">
        <v>23.86</v>
      </c>
      <c r="H35" s="64">
        <v>5.47</v>
      </c>
      <c r="I35" s="64">
        <v>1.5</v>
      </c>
      <c r="J35" s="64">
        <v>0.14000000000000001</v>
      </c>
      <c r="K35" s="64">
        <v>302.20999999999998</v>
      </c>
      <c r="L35" s="64">
        <v>24.13</v>
      </c>
      <c r="M35" s="64">
        <v>98.18</v>
      </c>
      <c r="N35" s="64">
        <v>63.4</v>
      </c>
      <c r="O35" s="64">
        <v>0</v>
      </c>
      <c r="P35" s="64">
        <v>0.52</v>
      </c>
      <c r="Q35" s="64">
        <v>9.09</v>
      </c>
      <c r="R35" s="198"/>
      <c r="S35" s="198"/>
      <c r="T35" s="198"/>
      <c r="U35" s="198"/>
    </row>
    <row r="36" spans="1:21" s="12" customFormat="1" x14ac:dyDescent="0.25">
      <c r="A36" s="213" t="s">
        <v>2575</v>
      </c>
      <c r="B36" s="64">
        <v>10.18</v>
      </c>
      <c r="C36" s="64">
        <v>12.14</v>
      </c>
      <c r="D36" s="64">
        <v>14.51</v>
      </c>
      <c r="E36" s="64">
        <v>4.82</v>
      </c>
      <c r="F36" s="64">
        <v>3.45</v>
      </c>
      <c r="G36" s="64">
        <v>23.86</v>
      </c>
      <c r="H36" s="64">
        <v>5.47</v>
      </c>
      <c r="I36" s="64">
        <v>1.53</v>
      </c>
      <c r="J36" s="64">
        <v>0.15</v>
      </c>
      <c r="K36" s="64">
        <v>297.33</v>
      </c>
      <c r="L36" s="64">
        <v>24.23</v>
      </c>
      <c r="M36" s="64">
        <v>98.18</v>
      </c>
      <c r="N36" s="64">
        <v>68.599999999999994</v>
      </c>
      <c r="O36" s="64">
        <v>0</v>
      </c>
      <c r="P36" s="64">
        <v>0.54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3" t="s">
        <v>2576</v>
      </c>
      <c r="B37" s="64">
        <v>10.97</v>
      </c>
      <c r="C37" s="64">
        <v>12.39</v>
      </c>
      <c r="D37" s="64">
        <v>15.27</v>
      </c>
      <c r="E37" s="64">
        <v>5</v>
      </c>
      <c r="F37" s="64">
        <v>3.43</v>
      </c>
      <c r="G37" s="64">
        <v>23.86</v>
      </c>
      <c r="H37" s="64">
        <v>5.47</v>
      </c>
      <c r="I37" s="64">
        <v>1.56</v>
      </c>
      <c r="J37" s="64">
        <v>0.22</v>
      </c>
      <c r="K37" s="64">
        <v>293.25</v>
      </c>
      <c r="L37" s="64">
        <v>24.39</v>
      </c>
      <c r="M37" s="64">
        <v>98.15</v>
      </c>
      <c r="N37" s="64">
        <v>74.2</v>
      </c>
      <c r="O37" s="64">
        <v>0</v>
      </c>
      <c r="P37" s="64">
        <v>0.54</v>
      </c>
      <c r="Q37" s="64">
        <v>9.1199999999999992</v>
      </c>
      <c r="R37" s="198"/>
      <c r="S37" s="198"/>
      <c r="T37" s="198"/>
      <c r="U37" s="198"/>
    </row>
    <row r="38" spans="1:21" s="12" customFormat="1" x14ac:dyDescent="0.25">
      <c r="A38" s="213" t="s">
        <v>2577</v>
      </c>
      <c r="B38" s="64">
        <v>13.08</v>
      </c>
      <c r="C38" s="64">
        <v>13.62</v>
      </c>
      <c r="D38" s="64">
        <v>17.61</v>
      </c>
      <c r="E38" s="64">
        <v>4.8600000000000003</v>
      </c>
      <c r="F38" s="64">
        <v>3.8</v>
      </c>
      <c r="G38" s="64">
        <v>25.17</v>
      </c>
      <c r="H38" s="64">
        <v>8.06</v>
      </c>
      <c r="I38" s="64">
        <v>1.65</v>
      </c>
      <c r="J38" s="64">
        <v>0.19</v>
      </c>
      <c r="K38" s="64">
        <v>286</v>
      </c>
      <c r="L38" s="64">
        <v>24.58</v>
      </c>
      <c r="M38" s="64">
        <v>98.15</v>
      </c>
      <c r="N38" s="64">
        <v>87.5</v>
      </c>
      <c r="O38" s="64">
        <v>0</v>
      </c>
      <c r="P38" s="64">
        <v>0.63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13" t="s">
        <v>2578</v>
      </c>
      <c r="B39" s="64">
        <v>15.6</v>
      </c>
      <c r="C39" s="64">
        <v>14.91</v>
      </c>
      <c r="D39" s="64">
        <v>20.3</v>
      </c>
      <c r="E39" s="64">
        <v>4.4800000000000004</v>
      </c>
      <c r="F39" s="64">
        <v>3.92</v>
      </c>
      <c r="G39" s="64">
        <v>28.58</v>
      </c>
      <c r="H39" s="64">
        <v>14.46</v>
      </c>
      <c r="I39" s="64">
        <v>1.79</v>
      </c>
      <c r="J39" s="64">
        <v>0.17</v>
      </c>
      <c r="K39" s="64">
        <v>287.35000000000002</v>
      </c>
      <c r="L39" s="64">
        <v>24.73</v>
      </c>
      <c r="M39" s="64">
        <v>98.13</v>
      </c>
      <c r="N39" s="64">
        <v>104.7</v>
      </c>
      <c r="O39" s="64">
        <v>0</v>
      </c>
      <c r="P39" s="64">
        <v>0.68</v>
      </c>
      <c r="Q39" s="64">
        <v>9.19</v>
      </c>
      <c r="R39" s="198"/>
      <c r="S39" s="198"/>
      <c r="T39" s="198"/>
      <c r="U39" s="198"/>
    </row>
    <row r="40" spans="1:21" s="12" customFormat="1" x14ac:dyDescent="0.25">
      <c r="A40" s="213" t="s">
        <v>2579</v>
      </c>
      <c r="B40" s="64">
        <v>14.98</v>
      </c>
      <c r="C40" s="64">
        <v>13.75</v>
      </c>
      <c r="D40" s="64">
        <v>19.2</v>
      </c>
      <c r="E40" s="64">
        <v>3.93</v>
      </c>
      <c r="F40" s="64">
        <v>3.09</v>
      </c>
      <c r="G40" s="64">
        <v>28.58</v>
      </c>
      <c r="H40" s="64">
        <v>14.46</v>
      </c>
      <c r="I40" s="64">
        <v>1.95</v>
      </c>
      <c r="J40" s="64">
        <v>0.21</v>
      </c>
      <c r="K40" s="64">
        <v>285.88</v>
      </c>
      <c r="L40" s="64">
        <v>24.83</v>
      </c>
      <c r="M40" s="64">
        <v>98.11</v>
      </c>
      <c r="N40" s="64">
        <v>114.7</v>
      </c>
      <c r="O40" s="64">
        <v>0</v>
      </c>
      <c r="P40" s="64">
        <v>0.7</v>
      </c>
      <c r="Q40" s="64">
        <v>9.23</v>
      </c>
      <c r="R40" s="198"/>
      <c r="S40" s="198"/>
      <c r="T40" s="198"/>
      <c r="U40" s="198"/>
    </row>
    <row r="41" spans="1:21" s="12" customFormat="1" x14ac:dyDescent="0.25">
      <c r="A41" s="213" t="s">
        <v>2580</v>
      </c>
      <c r="B41" s="64">
        <v>14.77</v>
      </c>
      <c r="C41" s="64">
        <v>12.8</v>
      </c>
      <c r="D41" s="64">
        <v>18.53</v>
      </c>
      <c r="E41" s="64">
        <v>5.01</v>
      </c>
      <c r="F41" s="64">
        <v>3.69</v>
      </c>
      <c r="G41" s="64">
        <v>28.58</v>
      </c>
      <c r="H41" s="64">
        <v>14.46</v>
      </c>
      <c r="I41" s="64">
        <v>2.13</v>
      </c>
      <c r="J41" s="64">
        <v>0.22</v>
      </c>
      <c r="K41" s="64">
        <v>295.20999999999998</v>
      </c>
      <c r="L41" s="64">
        <v>24.87</v>
      </c>
      <c r="M41" s="64">
        <v>98.11</v>
      </c>
      <c r="N41" s="64">
        <v>145.80000000000001</v>
      </c>
      <c r="O41" s="64">
        <v>0</v>
      </c>
      <c r="P41" s="64">
        <v>0.71</v>
      </c>
      <c r="Q41" s="64">
        <v>9.2799999999999994</v>
      </c>
      <c r="R41" s="198"/>
      <c r="S41" s="198"/>
      <c r="T41" s="198"/>
      <c r="U41" s="198"/>
    </row>
    <row r="42" spans="1:21" s="12" customFormat="1" x14ac:dyDescent="0.25">
      <c r="A42" s="213" t="s">
        <v>2581</v>
      </c>
      <c r="B42" s="64">
        <v>15.89</v>
      </c>
      <c r="C42" s="64">
        <v>13.55</v>
      </c>
      <c r="D42" s="64">
        <v>19.82</v>
      </c>
      <c r="E42" s="64">
        <v>4.75</v>
      </c>
      <c r="F42" s="64">
        <v>3.84</v>
      </c>
      <c r="G42" s="64">
        <v>30.74</v>
      </c>
      <c r="H42" s="64">
        <v>13.34</v>
      </c>
      <c r="I42" s="64">
        <v>2.29</v>
      </c>
      <c r="J42" s="64">
        <v>0.22</v>
      </c>
      <c r="K42" s="64">
        <v>287.66000000000003</v>
      </c>
      <c r="L42" s="64">
        <v>25.2</v>
      </c>
      <c r="M42" s="64">
        <v>98.1</v>
      </c>
      <c r="N42" s="64">
        <v>158.80000000000001</v>
      </c>
      <c r="O42" s="64">
        <v>0</v>
      </c>
      <c r="P42" s="64">
        <v>0.72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3" t="s">
        <v>2582</v>
      </c>
      <c r="B43" s="64">
        <v>15.17</v>
      </c>
      <c r="C43" s="64">
        <v>12.01</v>
      </c>
      <c r="D43" s="64">
        <v>18.440000000000001</v>
      </c>
      <c r="E43" s="64">
        <v>5</v>
      </c>
      <c r="F43" s="64">
        <v>2.99</v>
      </c>
      <c r="G43" s="64">
        <v>36.049999999999997</v>
      </c>
      <c r="H43" s="64">
        <v>10.58</v>
      </c>
      <c r="I43" s="64">
        <v>2.39</v>
      </c>
      <c r="J43" s="64">
        <v>0.21</v>
      </c>
      <c r="K43" s="64">
        <v>290.14999999999998</v>
      </c>
      <c r="L43" s="64">
        <v>25.43</v>
      </c>
      <c r="M43" s="64">
        <v>98.1</v>
      </c>
      <c r="N43" s="64">
        <v>217.8</v>
      </c>
      <c r="O43" s="64">
        <v>0</v>
      </c>
      <c r="P43" s="64">
        <v>0.75</v>
      </c>
      <c r="Q43" s="64">
        <v>9.32</v>
      </c>
      <c r="R43" s="198"/>
      <c r="S43" s="198"/>
      <c r="T43" s="198"/>
      <c r="U43" s="198"/>
    </row>
    <row r="44" spans="1:21" s="12" customFormat="1" x14ac:dyDescent="0.25">
      <c r="A44" s="213" t="s">
        <v>2583</v>
      </c>
      <c r="B44" s="64">
        <v>15.28</v>
      </c>
      <c r="C44" s="64">
        <v>11.82</v>
      </c>
      <c r="D44" s="64">
        <v>18.43</v>
      </c>
      <c r="E44" s="64">
        <v>4.79</v>
      </c>
      <c r="F44" s="64">
        <v>3.23</v>
      </c>
      <c r="G44" s="64">
        <v>36.049999999999997</v>
      </c>
      <c r="H44" s="64">
        <v>10.58</v>
      </c>
      <c r="I44" s="64">
        <v>2.46</v>
      </c>
      <c r="J44" s="64">
        <v>0.26</v>
      </c>
      <c r="K44" s="64">
        <v>287.43</v>
      </c>
      <c r="L44" s="64">
        <v>25.49</v>
      </c>
      <c r="M44" s="64">
        <v>98.1</v>
      </c>
      <c r="N44" s="64">
        <v>156.1</v>
      </c>
      <c r="O44" s="64">
        <v>0</v>
      </c>
      <c r="P44" s="64">
        <v>0.76</v>
      </c>
      <c r="Q44" s="64">
        <v>9.34</v>
      </c>
      <c r="R44" s="198"/>
      <c r="S44" s="198"/>
      <c r="T44" s="198"/>
      <c r="U44" s="198"/>
    </row>
    <row r="45" spans="1:21" s="12" customFormat="1" x14ac:dyDescent="0.25">
      <c r="A45" s="213" t="s">
        <v>2584</v>
      </c>
      <c r="B45" s="64">
        <v>15.44</v>
      </c>
      <c r="C45" s="64">
        <v>11.93</v>
      </c>
      <c r="D45" s="64">
        <v>18.61</v>
      </c>
      <c r="E45" s="64">
        <v>4.8499999999999996</v>
      </c>
      <c r="F45" s="64">
        <v>3.38</v>
      </c>
      <c r="G45" s="64">
        <v>36.049999999999997</v>
      </c>
      <c r="H45" s="64">
        <v>10.58</v>
      </c>
      <c r="I45" s="64">
        <v>2.56</v>
      </c>
      <c r="J45" s="64">
        <v>0.19</v>
      </c>
      <c r="K45" s="64">
        <v>288.49</v>
      </c>
      <c r="L45" s="64">
        <v>25.29</v>
      </c>
      <c r="M45" s="64">
        <v>98.13</v>
      </c>
      <c r="N45" s="64">
        <v>132.6</v>
      </c>
      <c r="O45" s="64">
        <v>0</v>
      </c>
      <c r="P45" s="64">
        <v>0.77</v>
      </c>
      <c r="Q45" s="64">
        <v>9.34</v>
      </c>
      <c r="R45" s="198"/>
      <c r="S45" s="198"/>
      <c r="T45" s="198"/>
      <c r="U45" s="198"/>
    </row>
    <row r="46" spans="1:21" s="12" customFormat="1" x14ac:dyDescent="0.25">
      <c r="A46" s="213" t="s">
        <v>2585</v>
      </c>
      <c r="B46" s="64">
        <v>15.32</v>
      </c>
      <c r="C46" s="64">
        <v>11.85</v>
      </c>
      <c r="D46" s="64">
        <v>18.47</v>
      </c>
      <c r="E46" s="64">
        <v>5.18</v>
      </c>
      <c r="F46" s="64">
        <v>3.81</v>
      </c>
      <c r="G46" s="64">
        <v>35.86</v>
      </c>
      <c r="H46" s="64">
        <v>11.3</v>
      </c>
      <c r="I46" s="64">
        <v>2.68</v>
      </c>
      <c r="J46" s="64">
        <v>0.24</v>
      </c>
      <c r="K46" s="64">
        <v>289.95</v>
      </c>
      <c r="L46" s="64">
        <v>25.19</v>
      </c>
      <c r="M46" s="64">
        <v>98.15</v>
      </c>
      <c r="N46" s="64">
        <v>130.6</v>
      </c>
      <c r="O46" s="64">
        <v>0</v>
      </c>
      <c r="P46" s="64">
        <v>0.77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13" t="s">
        <v>2586</v>
      </c>
      <c r="B47" s="64">
        <v>15.22</v>
      </c>
      <c r="C47" s="64">
        <v>11.9</v>
      </c>
      <c r="D47" s="64">
        <v>18.420000000000002</v>
      </c>
      <c r="E47" s="64">
        <v>5.04</v>
      </c>
      <c r="F47" s="64">
        <v>2.81</v>
      </c>
      <c r="G47" s="64">
        <v>35.380000000000003</v>
      </c>
      <c r="H47" s="64">
        <v>13.07</v>
      </c>
      <c r="I47" s="64">
        <v>2.68</v>
      </c>
      <c r="J47" s="64">
        <v>0.3</v>
      </c>
      <c r="K47" s="64">
        <v>290.14</v>
      </c>
      <c r="L47" s="64">
        <v>24.97</v>
      </c>
      <c r="M47" s="64">
        <v>98.13</v>
      </c>
      <c r="N47" s="64">
        <v>132.30000000000001</v>
      </c>
      <c r="O47" s="64">
        <v>0</v>
      </c>
      <c r="P47" s="64">
        <v>0.72</v>
      </c>
      <c r="Q47" s="64">
        <v>9.32</v>
      </c>
      <c r="R47" s="198"/>
      <c r="S47" s="198"/>
      <c r="T47" s="198"/>
      <c r="U47" s="198"/>
    </row>
    <row r="48" spans="1:21" s="12" customFormat="1" x14ac:dyDescent="0.25">
      <c r="A48" s="213" t="s">
        <v>2587</v>
      </c>
      <c r="B48" s="64">
        <v>14.91</v>
      </c>
      <c r="C48" s="64">
        <v>12.26</v>
      </c>
      <c r="D48" s="64">
        <v>18.600000000000001</v>
      </c>
      <c r="E48" s="64">
        <v>4.9400000000000004</v>
      </c>
      <c r="F48" s="64">
        <v>3.17</v>
      </c>
      <c r="G48" s="64">
        <v>35.380000000000003</v>
      </c>
      <c r="H48" s="64">
        <v>13.07</v>
      </c>
      <c r="I48" s="64">
        <v>2.5299999999999998</v>
      </c>
      <c r="J48" s="64">
        <v>0.25</v>
      </c>
      <c r="K48" s="64">
        <v>281.29000000000002</v>
      </c>
      <c r="L48" s="64">
        <v>24.85</v>
      </c>
      <c r="M48" s="64">
        <v>98.15</v>
      </c>
      <c r="N48" s="64">
        <v>107.8</v>
      </c>
      <c r="O48" s="64">
        <v>0</v>
      </c>
      <c r="P48" s="64">
        <v>0.67</v>
      </c>
      <c r="Q48" s="64">
        <v>9.3000000000000007</v>
      </c>
      <c r="R48" s="198"/>
      <c r="S48" s="198"/>
      <c r="T48" s="198"/>
      <c r="U48" s="198"/>
    </row>
    <row r="49" spans="1:21" s="12" customFormat="1" x14ac:dyDescent="0.25">
      <c r="A49" s="213" t="s">
        <v>2588</v>
      </c>
      <c r="B49" s="64">
        <v>14.42</v>
      </c>
      <c r="C49" s="64">
        <v>12.76</v>
      </c>
      <c r="D49" s="64">
        <v>18.23</v>
      </c>
      <c r="E49" s="64">
        <v>4.88</v>
      </c>
      <c r="F49" s="64">
        <v>3.65</v>
      </c>
      <c r="G49" s="64">
        <v>35.380000000000003</v>
      </c>
      <c r="H49" s="64">
        <v>13.07</v>
      </c>
      <c r="I49" s="64">
        <v>2.44</v>
      </c>
      <c r="J49" s="64">
        <v>0.22</v>
      </c>
      <c r="K49" s="64">
        <v>286.44</v>
      </c>
      <c r="L49" s="64">
        <v>24.64</v>
      </c>
      <c r="M49" s="64">
        <v>98.16</v>
      </c>
      <c r="N49" s="64">
        <v>100.1</v>
      </c>
      <c r="O49" s="64">
        <v>0</v>
      </c>
      <c r="P49" s="64">
        <v>0.65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3" t="s">
        <v>2589</v>
      </c>
      <c r="B50" s="64">
        <v>13.9</v>
      </c>
      <c r="C50" s="64">
        <v>13.35</v>
      </c>
      <c r="D50" s="64">
        <v>18.12</v>
      </c>
      <c r="E50" s="64">
        <v>4.87</v>
      </c>
      <c r="F50" s="64">
        <v>3.07</v>
      </c>
      <c r="G50" s="64">
        <v>35.85</v>
      </c>
      <c r="H50" s="64">
        <v>11.2</v>
      </c>
      <c r="I50" s="64">
        <v>2.31</v>
      </c>
      <c r="J50" s="64">
        <v>0.24</v>
      </c>
      <c r="K50" s="64">
        <v>288.81</v>
      </c>
      <c r="L50" s="64">
        <v>24.65</v>
      </c>
      <c r="M50" s="64">
        <v>98.13</v>
      </c>
      <c r="N50" s="64">
        <v>127.6</v>
      </c>
      <c r="O50" s="64">
        <v>0</v>
      </c>
      <c r="P50" s="64">
        <v>0.62</v>
      </c>
      <c r="Q50" s="64">
        <v>9.2799999999999994</v>
      </c>
      <c r="R50" s="198"/>
      <c r="S50" s="198"/>
      <c r="T50" s="198"/>
      <c r="U50" s="198"/>
    </row>
    <row r="51" spans="1:21" s="12" customFormat="1" x14ac:dyDescent="0.25">
      <c r="A51" s="213" t="s">
        <v>2590</v>
      </c>
      <c r="B51" s="64">
        <v>13.81</v>
      </c>
      <c r="C51" s="64">
        <v>13.28</v>
      </c>
      <c r="D51" s="64">
        <v>18.010000000000002</v>
      </c>
      <c r="E51" s="64">
        <v>4.82</v>
      </c>
      <c r="F51" s="64">
        <v>4</v>
      </c>
      <c r="G51" s="64">
        <v>37</v>
      </c>
      <c r="H51" s="64">
        <v>6.61</v>
      </c>
      <c r="I51" s="64">
        <v>2.2000000000000002</v>
      </c>
      <c r="J51" s="64">
        <v>0.18</v>
      </c>
      <c r="K51" s="64">
        <v>285.67</v>
      </c>
      <c r="L51" s="64">
        <v>24.6</v>
      </c>
      <c r="M51" s="64">
        <v>98.12</v>
      </c>
      <c r="N51" s="64">
        <v>105</v>
      </c>
      <c r="O51" s="64">
        <v>0</v>
      </c>
      <c r="P51" s="64">
        <v>0.63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3" t="s">
        <v>2591</v>
      </c>
      <c r="B52" s="64">
        <v>14.05</v>
      </c>
      <c r="C52" s="64">
        <v>13.07</v>
      </c>
      <c r="D52" s="64">
        <v>18.100000000000001</v>
      </c>
      <c r="E52" s="64">
        <v>4.8600000000000003</v>
      </c>
      <c r="F52" s="64">
        <v>2.68</v>
      </c>
      <c r="G52" s="64">
        <v>37</v>
      </c>
      <c r="H52" s="64">
        <v>6.61</v>
      </c>
      <c r="I52" s="64">
        <v>2.12</v>
      </c>
      <c r="J52" s="64">
        <v>0.19</v>
      </c>
      <c r="K52" s="64">
        <v>283.01</v>
      </c>
      <c r="L52" s="64">
        <v>24.33</v>
      </c>
      <c r="M52" s="64">
        <v>98.12</v>
      </c>
      <c r="N52" s="64">
        <v>105.8</v>
      </c>
      <c r="O52" s="64">
        <v>0.2</v>
      </c>
      <c r="P52" s="64">
        <v>0.62</v>
      </c>
      <c r="Q52" s="64">
        <v>9.2799999999999994</v>
      </c>
      <c r="R52" s="198"/>
      <c r="S52" s="198"/>
      <c r="T52" s="198"/>
      <c r="U52" s="198"/>
    </row>
    <row r="53" spans="1:21" s="12" customFormat="1" x14ac:dyDescent="0.25">
      <c r="A53" s="213" t="s">
        <v>2592</v>
      </c>
      <c r="B53" s="64">
        <v>17.04</v>
      </c>
      <c r="C53" s="64">
        <v>13.15</v>
      </c>
      <c r="D53" s="64">
        <v>20.54</v>
      </c>
      <c r="E53" s="64">
        <v>5.0599999999999996</v>
      </c>
      <c r="F53" s="64">
        <v>3.17</v>
      </c>
      <c r="G53" s="64">
        <v>37</v>
      </c>
      <c r="H53" s="64">
        <v>6.61</v>
      </c>
      <c r="I53" s="64">
        <v>2.08</v>
      </c>
      <c r="J53" s="64">
        <v>0.22</v>
      </c>
      <c r="K53" s="64">
        <v>293.31</v>
      </c>
      <c r="L53" s="64">
        <v>24.32</v>
      </c>
      <c r="M53" s="64">
        <v>98.11</v>
      </c>
      <c r="N53" s="64">
        <v>98.6</v>
      </c>
      <c r="O53" s="64">
        <v>0</v>
      </c>
      <c r="P53" s="64">
        <v>0.59</v>
      </c>
      <c r="Q53" s="64">
        <v>9.32</v>
      </c>
      <c r="R53" s="198"/>
      <c r="S53" s="198"/>
      <c r="T53" s="198"/>
      <c r="U53" s="198"/>
    </row>
    <row r="54" spans="1:21" s="12" customFormat="1" x14ac:dyDescent="0.25">
      <c r="A54" s="213" t="s">
        <v>2593</v>
      </c>
      <c r="B54" s="64">
        <v>17.45</v>
      </c>
      <c r="C54" s="64">
        <v>12.79</v>
      </c>
      <c r="D54" s="64">
        <v>20.68</v>
      </c>
      <c r="E54" s="64">
        <v>4.95</v>
      </c>
      <c r="F54" s="64">
        <v>3.17</v>
      </c>
      <c r="G54" s="64">
        <v>37</v>
      </c>
      <c r="H54" s="64">
        <v>6.61</v>
      </c>
      <c r="I54" s="64">
        <v>2.04</v>
      </c>
      <c r="J54" s="64">
        <v>0.23</v>
      </c>
      <c r="K54" s="64">
        <v>291.58</v>
      </c>
      <c r="L54" s="64">
        <v>24.42</v>
      </c>
      <c r="M54" s="64">
        <v>98.12</v>
      </c>
      <c r="N54" s="64">
        <v>147.9</v>
      </c>
      <c r="O54" s="64">
        <v>0</v>
      </c>
      <c r="P54" s="64">
        <v>0.59</v>
      </c>
      <c r="Q54" s="64">
        <v>9.35</v>
      </c>
      <c r="R54" s="198"/>
      <c r="S54" s="198"/>
      <c r="T54" s="198"/>
      <c r="U54" s="198"/>
    </row>
    <row r="55" spans="1:21" s="12" customFormat="1" x14ac:dyDescent="0.25">
      <c r="A55" s="213" t="s">
        <v>2594</v>
      </c>
      <c r="B55" s="64">
        <v>17.600000000000001</v>
      </c>
      <c r="C55" s="64">
        <v>11.77</v>
      </c>
      <c r="D55" s="64">
        <v>20.260000000000002</v>
      </c>
      <c r="E55" s="64">
        <v>5.09</v>
      </c>
      <c r="F55" s="64">
        <v>3.5</v>
      </c>
      <c r="G55" s="64">
        <v>37</v>
      </c>
      <c r="H55" s="64">
        <v>6.61</v>
      </c>
      <c r="I55" s="64">
        <v>2.0099999999999998</v>
      </c>
      <c r="J55" s="64">
        <v>0.22</v>
      </c>
      <c r="K55" s="64">
        <v>289.92</v>
      </c>
      <c r="L55" s="64">
        <v>24.33</v>
      </c>
      <c r="M55" s="64">
        <v>98.12</v>
      </c>
      <c r="N55" s="64">
        <v>140.4</v>
      </c>
      <c r="O55" s="64">
        <v>0</v>
      </c>
      <c r="P55" s="64">
        <v>0.61</v>
      </c>
      <c r="Q55" s="64">
        <v>9.3699999999999992</v>
      </c>
      <c r="R55" s="198"/>
      <c r="S55" s="198"/>
      <c r="T55" s="198"/>
      <c r="U55" s="198"/>
    </row>
    <row r="56" spans="1:21" s="12" customFormat="1" x14ac:dyDescent="0.25">
      <c r="A56" s="213" t="s">
        <v>2595</v>
      </c>
      <c r="B56" s="64">
        <v>17.96</v>
      </c>
      <c r="C56" s="64">
        <v>12.1</v>
      </c>
      <c r="D56" s="64">
        <v>20.73</v>
      </c>
      <c r="E56" s="64">
        <v>4.87</v>
      </c>
      <c r="F56" s="64">
        <v>4.34</v>
      </c>
      <c r="G56" s="64">
        <v>37</v>
      </c>
      <c r="H56" s="64">
        <v>6.61</v>
      </c>
      <c r="I56" s="64">
        <v>2.0099999999999998</v>
      </c>
      <c r="J56" s="64">
        <v>0.22</v>
      </c>
      <c r="K56" s="64">
        <v>291.66000000000003</v>
      </c>
      <c r="L56" s="64">
        <v>24.25</v>
      </c>
      <c r="M56" s="64">
        <v>98.13</v>
      </c>
      <c r="N56" s="64">
        <v>158.69999999999999</v>
      </c>
      <c r="O56" s="64">
        <v>0</v>
      </c>
      <c r="P56" s="64">
        <v>0.61</v>
      </c>
      <c r="Q56" s="64">
        <v>9.4</v>
      </c>
      <c r="R56" s="198"/>
      <c r="S56" s="198"/>
      <c r="T56" s="198"/>
      <c r="U56" s="198"/>
    </row>
    <row r="57" spans="1:21" s="12" customFormat="1" x14ac:dyDescent="0.25">
      <c r="A57" s="213" t="s">
        <v>2596</v>
      </c>
      <c r="B57" s="64">
        <v>19.190000000000001</v>
      </c>
      <c r="C57" s="64">
        <v>14.29</v>
      </c>
      <c r="D57" s="64">
        <v>22.85</v>
      </c>
      <c r="E57" s="64">
        <v>4.87</v>
      </c>
      <c r="F57" s="64">
        <v>4.3600000000000003</v>
      </c>
      <c r="G57" s="6" t="s">
        <v>42</v>
      </c>
      <c r="H57" s="6" t="s">
        <v>42</v>
      </c>
      <c r="I57" s="64">
        <v>2.02</v>
      </c>
      <c r="J57" s="64">
        <v>0.21</v>
      </c>
      <c r="K57" s="64">
        <v>292.20999999999998</v>
      </c>
      <c r="L57" s="64">
        <v>24.3</v>
      </c>
      <c r="M57" s="64">
        <v>98.14</v>
      </c>
      <c r="N57" s="64">
        <v>157.9</v>
      </c>
      <c r="O57" s="64">
        <v>0.2</v>
      </c>
      <c r="P57" s="64">
        <v>0.62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3" t="s">
        <v>2597</v>
      </c>
      <c r="B58" s="64">
        <v>18.03</v>
      </c>
      <c r="C58" s="64">
        <v>12.91</v>
      </c>
      <c r="D58" s="64">
        <v>21.2</v>
      </c>
      <c r="E58" s="64">
        <v>4.92</v>
      </c>
      <c r="F58" s="64">
        <v>3.12</v>
      </c>
      <c r="G58" s="6" t="s">
        <v>42</v>
      </c>
      <c r="H58" s="6" t="s">
        <v>42</v>
      </c>
      <c r="I58" s="64">
        <v>2.02</v>
      </c>
      <c r="J58" s="64">
        <v>0.19</v>
      </c>
      <c r="K58" s="64">
        <v>292.02</v>
      </c>
      <c r="L58" s="64">
        <v>24.18</v>
      </c>
      <c r="M58" s="64">
        <v>98.15</v>
      </c>
      <c r="N58" s="64">
        <v>125</v>
      </c>
      <c r="O58" s="64">
        <v>0</v>
      </c>
      <c r="P58" s="64">
        <v>0.65</v>
      </c>
      <c r="Q58" s="64">
        <v>9.44</v>
      </c>
      <c r="R58" s="198"/>
      <c r="S58" s="198"/>
      <c r="T58" s="198"/>
      <c r="U58" s="198"/>
    </row>
    <row r="59" spans="1:21" s="12" customFormat="1" x14ac:dyDescent="0.25">
      <c r="A59" s="213" t="s">
        <v>2598</v>
      </c>
      <c r="B59" s="64">
        <v>17.75</v>
      </c>
      <c r="C59" s="64">
        <v>11.29</v>
      </c>
      <c r="D59" s="64">
        <v>20.14</v>
      </c>
      <c r="E59" s="64">
        <v>4.8499999999999996</v>
      </c>
      <c r="F59" s="64">
        <v>4.4000000000000004</v>
      </c>
      <c r="G59" s="6" t="s">
        <v>42</v>
      </c>
      <c r="H59" s="6" t="s">
        <v>42</v>
      </c>
      <c r="I59" s="64">
        <v>1.99</v>
      </c>
      <c r="J59" s="64">
        <v>0.26</v>
      </c>
      <c r="K59" s="64">
        <v>295.48</v>
      </c>
      <c r="L59" s="64">
        <v>23.99</v>
      </c>
      <c r="M59" s="64">
        <v>98.15</v>
      </c>
      <c r="N59" s="64">
        <v>161.1</v>
      </c>
      <c r="O59" s="64">
        <v>0</v>
      </c>
      <c r="P59" s="64">
        <v>0.61</v>
      </c>
      <c r="Q59" s="64">
        <v>9.4499999999999993</v>
      </c>
      <c r="R59" s="198"/>
      <c r="S59" s="198"/>
      <c r="T59" s="198"/>
      <c r="U59" s="198"/>
    </row>
    <row r="60" spans="1:21" s="12" customFormat="1" x14ac:dyDescent="0.25">
      <c r="A60" s="213" t="s">
        <v>2599</v>
      </c>
      <c r="B60" s="64">
        <v>10.18</v>
      </c>
      <c r="C60" s="64">
        <v>20.37</v>
      </c>
      <c r="D60" s="64">
        <v>18.8</v>
      </c>
      <c r="E60" s="64">
        <v>5.13</v>
      </c>
      <c r="F60" s="64">
        <v>5</v>
      </c>
      <c r="G60" s="6" t="s">
        <v>42</v>
      </c>
      <c r="H60" s="6" t="s">
        <v>42</v>
      </c>
      <c r="I60" s="64">
        <v>2.0099999999999998</v>
      </c>
      <c r="J60" s="64">
        <v>0.23</v>
      </c>
      <c r="K60" s="64">
        <v>306.25</v>
      </c>
      <c r="L60" s="64">
        <v>24.16</v>
      </c>
      <c r="M60" s="64">
        <v>98.17</v>
      </c>
      <c r="N60" s="64">
        <v>217.9</v>
      </c>
      <c r="O60" s="64">
        <v>0.2</v>
      </c>
      <c r="P60" s="64">
        <v>0.43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3" t="s">
        <v>2600</v>
      </c>
      <c r="B61" s="64">
        <v>8.5299999999999994</v>
      </c>
      <c r="C61" s="64">
        <v>22.17</v>
      </c>
      <c r="D61" s="64">
        <v>18.420000000000002</v>
      </c>
      <c r="E61" s="64">
        <v>4.91</v>
      </c>
      <c r="F61" s="64">
        <v>3.9</v>
      </c>
      <c r="G61" s="6" t="s">
        <v>42</v>
      </c>
      <c r="H61" s="6" t="s">
        <v>42</v>
      </c>
      <c r="I61" s="64">
        <v>1.89</v>
      </c>
      <c r="J61" s="64">
        <v>0.19</v>
      </c>
      <c r="K61" s="64">
        <v>299.45</v>
      </c>
      <c r="L61" s="64">
        <v>24.1</v>
      </c>
      <c r="M61" s="64">
        <v>98.17</v>
      </c>
      <c r="N61" s="64">
        <v>146.19999999999999</v>
      </c>
      <c r="O61" s="64">
        <v>0</v>
      </c>
      <c r="P61" s="64">
        <v>0.44</v>
      </c>
      <c r="Q61" s="64">
        <v>9.26</v>
      </c>
      <c r="R61" s="198"/>
      <c r="S61" s="198"/>
      <c r="T61" s="198"/>
      <c r="U61" s="198"/>
    </row>
    <row r="62" spans="1:21" s="12" customFormat="1" x14ac:dyDescent="0.25">
      <c r="A62" s="213" t="s">
        <v>2601</v>
      </c>
      <c r="B62" s="64">
        <v>9.0399999999999991</v>
      </c>
      <c r="C62" s="64">
        <v>21.14</v>
      </c>
      <c r="D62" s="64">
        <v>18.29</v>
      </c>
      <c r="E62" s="64">
        <v>4.66</v>
      </c>
      <c r="F62" s="64">
        <v>3.22</v>
      </c>
      <c r="G62" s="26" t="s">
        <v>40</v>
      </c>
      <c r="H62" s="26" t="s">
        <v>40</v>
      </c>
      <c r="I62" s="64">
        <v>1.66</v>
      </c>
      <c r="J62" s="64">
        <v>0.22</v>
      </c>
      <c r="K62" s="64">
        <v>294.49</v>
      </c>
      <c r="L62" s="64">
        <v>23.93</v>
      </c>
      <c r="M62" s="64">
        <v>98.15</v>
      </c>
      <c r="N62" s="64">
        <v>101.3</v>
      </c>
      <c r="O62" s="64">
        <v>0</v>
      </c>
      <c r="P62" s="64">
        <v>0.48</v>
      </c>
      <c r="Q62" s="64">
        <v>9.24</v>
      </c>
      <c r="R62" s="198"/>
      <c r="S62" s="198"/>
      <c r="T62" s="198"/>
      <c r="U62" s="198"/>
    </row>
    <row r="63" spans="1:21" s="12" customFormat="1" x14ac:dyDescent="0.25">
      <c r="A63" s="213" t="s">
        <v>2602</v>
      </c>
      <c r="B63" s="64">
        <v>9.42</v>
      </c>
      <c r="C63" s="64">
        <v>18.29</v>
      </c>
      <c r="D63" s="64">
        <v>17.11</v>
      </c>
      <c r="E63" s="64">
        <v>5.3</v>
      </c>
      <c r="F63" s="64">
        <v>3.54</v>
      </c>
      <c r="G63" s="26" t="s">
        <v>40</v>
      </c>
      <c r="H63" s="26" t="s">
        <v>40</v>
      </c>
      <c r="I63" s="64">
        <v>1.59</v>
      </c>
      <c r="J63" s="64">
        <v>0.2</v>
      </c>
      <c r="K63" s="64">
        <v>306.38</v>
      </c>
      <c r="L63" s="64">
        <v>23.89</v>
      </c>
      <c r="M63" s="64">
        <v>98.19</v>
      </c>
      <c r="N63" s="64">
        <v>108.8</v>
      </c>
      <c r="O63" s="64">
        <v>0</v>
      </c>
      <c r="P63" s="64">
        <v>0.49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13" t="s">
        <v>2603</v>
      </c>
      <c r="B64" s="64">
        <v>9.86</v>
      </c>
      <c r="C64" s="64">
        <v>16.62</v>
      </c>
      <c r="D64" s="64">
        <v>16.59</v>
      </c>
      <c r="E64" s="64">
        <v>4.8499999999999996</v>
      </c>
      <c r="F64" s="64">
        <v>3.65</v>
      </c>
      <c r="G64" s="26" t="s">
        <v>40</v>
      </c>
      <c r="H64" s="26" t="s">
        <v>40</v>
      </c>
      <c r="I64" s="64">
        <v>1.63</v>
      </c>
      <c r="J64" s="64">
        <v>0.16</v>
      </c>
      <c r="K64" s="64">
        <v>309.04000000000002</v>
      </c>
      <c r="L64" s="64">
        <v>23.82</v>
      </c>
      <c r="M64" s="64">
        <v>98.2</v>
      </c>
      <c r="N64" s="64">
        <v>96.8</v>
      </c>
      <c r="O64" s="64">
        <v>0.2</v>
      </c>
      <c r="P64" s="64">
        <v>0.53</v>
      </c>
      <c r="Q64" s="64">
        <v>9.23</v>
      </c>
      <c r="R64" s="198"/>
      <c r="S64" s="198"/>
      <c r="T64" s="198"/>
      <c r="U64" s="198"/>
    </row>
    <row r="65" spans="1:21" s="12" customFormat="1" x14ac:dyDescent="0.25">
      <c r="A65" s="213" t="s">
        <v>2604</v>
      </c>
      <c r="B65" s="64">
        <v>10.59</v>
      </c>
      <c r="C65" s="64">
        <v>15.47</v>
      </c>
      <c r="D65" s="64">
        <v>16.579999999999998</v>
      </c>
      <c r="E65" s="64">
        <v>4.93</v>
      </c>
      <c r="F65" s="64">
        <v>3.51</v>
      </c>
      <c r="G65" s="64">
        <v>4.7300000000000004</v>
      </c>
      <c r="H65" s="64">
        <v>1.24</v>
      </c>
      <c r="I65" s="64">
        <v>1.68</v>
      </c>
      <c r="J65" s="64">
        <v>0.16</v>
      </c>
      <c r="K65" s="64">
        <v>306.72000000000003</v>
      </c>
      <c r="L65" s="64">
        <v>23.77</v>
      </c>
      <c r="M65" s="64">
        <v>98.2</v>
      </c>
      <c r="N65" s="64">
        <v>76.3</v>
      </c>
      <c r="O65" s="64">
        <v>0</v>
      </c>
      <c r="P65" s="64">
        <v>0.57999999999999996</v>
      </c>
      <c r="Q65" s="64">
        <v>9.23</v>
      </c>
      <c r="R65" s="198"/>
      <c r="S65" s="198"/>
      <c r="T65" s="198"/>
      <c r="U65" s="198"/>
    </row>
    <row r="66" spans="1:21" s="12" customFormat="1" x14ac:dyDescent="0.25">
      <c r="A66" s="213" t="s">
        <v>2605</v>
      </c>
      <c r="B66" s="64">
        <v>11.06</v>
      </c>
      <c r="C66" s="64">
        <v>14.35</v>
      </c>
      <c r="D66" s="64">
        <v>16.37</v>
      </c>
      <c r="E66" s="64">
        <v>4.8899999999999997</v>
      </c>
      <c r="F66" s="64">
        <v>4.45</v>
      </c>
      <c r="G66" s="64">
        <v>20.27</v>
      </c>
      <c r="H66" s="64">
        <v>4.59</v>
      </c>
      <c r="I66" s="64">
        <v>1.78</v>
      </c>
      <c r="J66" s="64">
        <v>0.15</v>
      </c>
      <c r="K66" s="64">
        <v>312.27</v>
      </c>
      <c r="L66" s="64">
        <v>23.58</v>
      </c>
      <c r="M66" s="64">
        <v>98.21</v>
      </c>
      <c r="N66" s="64">
        <v>69.8</v>
      </c>
      <c r="O66" s="64">
        <v>0.2</v>
      </c>
      <c r="P66" s="64">
        <v>0.59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3" t="s">
        <v>2606</v>
      </c>
      <c r="B67" s="64">
        <v>11.91</v>
      </c>
      <c r="C67" s="64">
        <v>14.31</v>
      </c>
      <c r="D67" s="64">
        <v>17.03</v>
      </c>
      <c r="E67" s="64">
        <v>5.0199999999999996</v>
      </c>
      <c r="F67" s="64">
        <v>2.42</v>
      </c>
      <c r="G67" s="64">
        <v>20.27</v>
      </c>
      <c r="H67" s="64">
        <v>4.59</v>
      </c>
      <c r="I67" s="64">
        <v>1.89</v>
      </c>
      <c r="J67" s="64">
        <v>0.2</v>
      </c>
      <c r="K67" s="64">
        <v>301.45999999999998</v>
      </c>
      <c r="L67" s="64">
        <v>23.52</v>
      </c>
      <c r="M67" s="64">
        <v>98.21</v>
      </c>
      <c r="N67" s="64">
        <v>76.900000000000006</v>
      </c>
      <c r="O67" s="64">
        <v>0</v>
      </c>
      <c r="P67" s="64">
        <v>0.61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13" t="s">
        <v>2607</v>
      </c>
      <c r="B68" s="64">
        <v>12.55</v>
      </c>
      <c r="C68" s="64">
        <v>13.72</v>
      </c>
      <c r="D68" s="64">
        <v>17.23</v>
      </c>
      <c r="E68" s="64">
        <v>4.87</v>
      </c>
      <c r="F68" s="64">
        <v>2.97</v>
      </c>
      <c r="G68" s="64">
        <v>20.27</v>
      </c>
      <c r="H68" s="64">
        <v>4.59</v>
      </c>
      <c r="I68" s="64">
        <v>1.99</v>
      </c>
      <c r="J68" s="64">
        <v>0.17</v>
      </c>
      <c r="K68" s="64">
        <v>306.58999999999997</v>
      </c>
      <c r="L68" s="64">
        <v>23.51</v>
      </c>
      <c r="M68" s="64">
        <v>98.2</v>
      </c>
      <c r="N68" s="64">
        <v>79.5</v>
      </c>
      <c r="O68" s="64">
        <v>0</v>
      </c>
      <c r="P68" s="64">
        <v>0.63</v>
      </c>
      <c r="Q68" s="64">
        <v>9.24</v>
      </c>
      <c r="R68" s="198"/>
      <c r="S68" s="198"/>
      <c r="T68" s="198"/>
      <c r="U68" s="198"/>
    </row>
    <row r="69" spans="1:21" s="12" customFormat="1" x14ac:dyDescent="0.25">
      <c r="A69" s="213" t="s">
        <v>2608</v>
      </c>
      <c r="B69" s="64">
        <v>13.12</v>
      </c>
      <c r="C69" s="64">
        <v>13.03</v>
      </c>
      <c r="D69" s="64">
        <v>17.329999999999998</v>
      </c>
      <c r="E69" s="64">
        <v>4.5599999999999996</v>
      </c>
      <c r="F69" s="64">
        <v>4.05</v>
      </c>
      <c r="G69" s="64">
        <v>21.24</v>
      </c>
      <c r="H69" s="64">
        <v>4.59</v>
      </c>
      <c r="I69" s="64">
        <v>2.0699999999999998</v>
      </c>
      <c r="J69" s="64">
        <v>0.19</v>
      </c>
      <c r="K69" s="64">
        <v>315.02999999999997</v>
      </c>
      <c r="L69" s="64">
        <v>23.46</v>
      </c>
      <c r="M69" s="64">
        <v>98.2</v>
      </c>
      <c r="N69" s="64">
        <v>89.3</v>
      </c>
      <c r="O69" s="64">
        <v>0</v>
      </c>
      <c r="P69" s="64">
        <v>0.7</v>
      </c>
      <c r="Q69" s="64">
        <v>9.25</v>
      </c>
      <c r="R69" s="198"/>
      <c r="S69" s="198"/>
      <c r="T69" s="198"/>
      <c r="U69" s="198"/>
    </row>
    <row r="70" spans="1:21" s="12" customFormat="1" x14ac:dyDescent="0.25">
      <c r="A70" s="213" t="s">
        <v>2609</v>
      </c>
      <c r="B70" s="64">
        <v>13.3</v>
      </c>
      <c r="C70" s="64">
        <v>13.49</v>
      </c>
      <c r="D70" s="64">
        <v>17.71</v>
      </c>
      <c r="E70" s="64">
        <v>4.91</v>
      </c>
      <c r="F70" s="64">
        <v>3.03</v>
      </c>
      <c r="G70" s="64">
        <v>24.41</v>
      </c>
      <c r="H70" s="64">
        <v>4.59</v>
      </c>
      <c r="I70" s="64">
        <v>2.23</v>
      </c>
      <c r="J70" s="64">
        <v>0.22</v>
      </c>
      <c r="K70" s="64">
        <v>311.8</v>
      </c>
      <c r="L70" s="64">
        <v>23.49</v>
      </c>
      <c r="M70" s="64">
        <v>98.2</v>
      </c>
      <c r="N70" s="64">
        <v>102.8</v>
      </c>
      <c r="O70" s="64">
        <v>0.2</v>
      </c>
      <c r="P70" s="64">
        <v>0.75</v>
      </c>
      <c r="Q70" s="64">
        <v>9.27</v>
      </c>
      <c r="R70" s="198"/>
      <c r="S70" s="198"/>
      <c r="T70" s="198"/>
      <c r="U70" s="198"/>
    </row>
    <row r="71" spans="1:21" s="12" customFormat="1" x14ac:dyDescent="0.25">
      <c r="A71" s="213" t="s">
        <v>2610</v>
      </c>
      <c r="B71" s="64">
        <v>13.82</v>
      </c>
      <c r="C71" s="64">
        <v>13.63</v>
      </c>
      <c r="D71" s="64">
        <v>18.2</v>
      </c>
      <c r="E71" s="64">
        <v>4.67</v>
      </c>
      <c r="F71" s="64">
        <v>3.26</v>
      </c>
      <c r="G71" s="64">
        <v>24.41</v>
      </c>
      <c r="H71" s="64">
        <v>4.59</v>
      </c>
      <c r="I71" s="64">
        <v>2.4500000000000002</v>
      </c>
      <c r="J71" s="64">
        <v>0.2</v>
      </c>
      <c r="K71" s="64">
        <v>305.68</v>
      </c>
      <c r="L71" s="64">
        <v>23.55</v>
      </c>
      <c r="M71" s="64">
        <v>98.2</v>
      </c>
      <c r="N71" s="64">
        <v>92</v>
      </c>
      <c r="O71" s="64">
        <v>0.2</v>
      </c>
      <c r="P71" s="64">
        <v>0.76</v>
      </c>
      <c r="Q71" s="64">
        <v>9.2799999999999994</v>
      </c>
      <c r="R71" s="198"/>
      <c r="S71" s="198"/>
      <c r="T71" s="198"/>
      <c r="U71" s="198"/>
    </row>
    <row r="72" spans="1:21" s="12" customFormat="1" x14ac:dyDescent="0.25">
      <c r="A72" s="213" t="s">
        <v>2611</v>
      </c>
      <c r="B72" s="64">
        <v>14.04</v>
      </c>
      <c r="C72" s="64">
        <v>13.45</v>
      </c>
      <c r="D72" s="64">
        <v>18.29</v>
      </c>
      <c r="E72" s="64">
        <v>3.57</v>
      </c>
      <c r="F72" s="64">
        <v>3.92</v>
      </c>
      <c r="G72" s="64">
        <v>24.41</v>
      </c>
      <c r="H72" s="64">
        <v>4.59</v>
      </c>
      <c r="I72" s="64">
        <v>2.61</v>
      </c>
      <c r="J72" s="64">
        <v>0.24</v>
      </c>
      <c r="K72" s="64">
        <v>296.83999999999997</v>
      </c>
      <c r="L72" s="64">
        <v>23.63</v>
      </c>
      <c r="M72" s="64">
        <v>98.2</v>
      </c>
      <c r="N72" s="64">
        <v>83.2</v>
      </c>
      <c r="O72" s="64">
        <v>0</v>
      </c>
      <c r="P72" s="64">
        <v>0.8</v>
      </c>
      <c r="Q72" s="64">
        <v>9.27</v>
      </c>
      <c r="R72" s="198"/>
      <c r="S72" s="198"/>
      <c r="T72" s="198"/>
      <c r="U72" s="198"/>
    </row>
    <row r="73" spans="1:21" s="12" customFormat="1" x14ac:dyDescent="0.25">
      <c r="A73" s="213" t="s">
        <v>2612</v>
      </c>
      <c r="B73" s="64">
        <v>14.03</v>
      </c>
      <c r="C73" s="64">
        <v>14.08</v>
      </c>
      <c r="D73" s="64">
        <v>18.61</v>
      </c>
      <c r="E73" s="64">
        <v>3.82</v>
      </c>
      <c r="F73" s="64">
        <v>3.34</v>
      </c>
      <c r="G73" s="64">
        <v>23.88</v>
      </c>
      <c r="H73" s="64">
        <v>2.46</v>
      </c>
      <c r="I73" s="64">
        <v>2.71</v>
      </c>
      <c r="J73" s="64">
        <v>0.32</v>
      </c>
      <c r="K73" s="64">
        <v>302.27</v>
      </c>
      <c r="L73" s="64">
        <v>23.48</v>
      </c>
      <c r="M73" s="64">
        <v>98.2</v>
      </c>
      <c r="N73" s="64">
        <v>85.7</v>
      </c>
      <c r="O73" s="64">
        <v>0.2</v>
      </c>
      <c r="P73" s="64">
        <v>0.8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3" t="s">
        <v>2613</v>
      </c>
      <c r="B74" s="64">
        <v>13.43</v>
      </c>
      <c r="C74" s="64">
        <v>14.04</v>
      </c>
      <c r="D74" s="64">
        <v>18.11</v>
      </c>
      <c r="E74" s="64">
        <v>3.83</v>
      </c>
      <c r="F74" s="64">
        <v>3.67</v>
      </c>
      <c r="G74" s="64">
        <v>22.14</v>
      </c>
      <c r="H74" s="64">
        <v>10.52</v>
      </c>
      <c r="I74" s="64">
        <v>2.82</v>
      </c>
      <c r="J74" s="64">
        <v>0.3</v>
      </c>
      <c r="K74" s="64">
        <v>309.89</v>
      </c>
      <c r="L74" s="64">
        <v>23.37</v>
      </c>
      <c r="M74" s="64">
        <v>98.19</v>
      </c>
      <c r="N74" s="64">
        <v>82.9</v>
      </c>
      <c r="O74" s="64">
        <v>0.2</v>
      </c>
      <c r="P74" s="64">
        <v>0.76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3" t="s">
        <v>2614</v>
      </c>
      <c r="B75" s="64">
        <v>14.56</v>
      </c>
      <c r="C75" s="64">
        <v>17.05</v>
      </c>
      <c r="D75" s="64">
        <v>20.58</v>
      </c>
      <c r="E75" s="64">
        <v>4.16</v>
      </c>
      <c r="F75" s="64">
        <v>4.6900000000000004</v>
      </c>
      <c r="G75" s="64">
        <v>22.14</v>
      </c>
      <c r="H75" s="64">
        <v>10.52</v>
      </c>
      <c r="I75" s="64">
        <v>2.84</v>
      </c>
      <c r="J75" s="64">
        <v>0.17</v>
      </c>
      <c r="K75" s="64">
        <v>314.45999999999998</v>
      </c>
      <c r="L75" s="64">
        <v>23.49</v>
      </c>
      <c r="M75" s="64">
        <v>98.2</v>
      </c>
      <c r="N75" s="64">
        <v>82.7</v>
      </c>
      <c r="O75" s="64">
        <v>0</v>
      </c>
      <c r="P75" s="64">
        <v>0.88</v>
      </c>
      <c r="Q75" s="64">
        <v>9.3000000000000007</v>
      </c>
      <c r="R75" s="198"/>
      <c r="S75" s="198"/>
      <c r="T75" s="198"/>
      <c r="U75" s="198"/>
    </row>
    <row r="76" spans="1:21" s="12" customFormat="1" x14ac:dyDescent="0.25">
      <c r="A76" s="213" t="s">
        <v>2615</v>
      </c>
      <c r="B76" s="64">
        <v>13.97</v>
      </c>
      <c r="C76" s="64">
        <v>16.239999999999998</v>
      </c>
      <c r="D76" s="64">
        <v>19.690000000000001</v>
      </c>
      <c r="E76" s="64">
        <v>4.1399999999999997</v>
      </c>
      <c r="F76" s="64">
        <v>3.96</v>
      </c>
      <c r="G76" s="64">
        <v>22.14</v>
      </c>
      <c r="H76" s="64">
        <v>10.52</v>
      </c>
      <c r="I76" s="64">
        <v>2.75</v>
      </c>
      <c r="J76" s="64">
        <v>0.18</v>
      </c>
      <c r="K76" s="64">
        <v>318.68</v>
      </c>
      <c r="L76" s="64">
        <v>23.57</v>
      </c>
      <c r="M76" s="64">
        <v>98.2</v>
      </c>
      <c r="N76" s="64">
        <v>93.3</v>
      </c>
      <c r="O76" s="64">
        <v>0.2</v>
      </c>
      <c r="P76" s="64">
        <v>0.86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3" t="s">
        <v>2616</v>
      </c>
      <c r="B77" s="64">
        <v>12.8</v>
      </c>
      <c r="C77" s="64">
        <v>14.73</v>
      </c>
      <c r="D77" s="64">
        <v>17.96</v>
      </c>
      <c r="E77" s="64">
        <v>4.01</v>
      </c>
      <c r="F77" s="64">
        <v>4.1100000000000003</v>
      </c>
      <c r="G77" s="64">
        <v>22.1</v>
      </c>
      <c r="H77" s="64">
        <v>9.85</v>
      </c>
      <c r="I77" s="64">
        <v>2.8</v>
      </c>
      <c r="J77" s="64">
        <v>0.16</v>
      </c>
      <c r="K77" s="64">
        <v>303.62</v>
      </c>
      <c r="L77" s="64">
        <v>23.65</v>
      </c>
      <c r="M77" s="64">
        <v>98.2</v>
      </c>
      <c r="N77" s="64">
        <v>90.1</v>
      </c>
      <c r="O77" s="64">
        <v>0.2</v>
      </c>
      <c r="P77" s="64">
        <v>0.76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3" t="s">
        <v>2617</v>
      </c>
      <c r="B78" s="64">
        <v>12.4</v>
      </c>
      <c r="C78" s="64">
        <v>14.28</v>
      </c>
      <c r="D78" s="64">
        <v>17.399999999999999</v>
      </c>
      <c r="E78" s="64">
        <v>4.25</v>
      </c>
      <c r="F78" s="64">
        <v>3.7</v>
      </c>
      <c r="G78" s="64">
        <v>21.96</v>
      </c>
      <c r="H78" s="64">
        <v>7.63</v>
      </c>
      <c r="I78" s="64">
        <v>2.91</v>
      </c>
      <c r="J78" s="64">
        <v>0.18</v>
      </c>
      <c r="K78" s="64">
        <v>305.08</v>
      </c>
      <c r="L78" s="64">
        <v>23.72</v>
      </c>
      <c r="M78" s="64">
        <v>98.2</v>
      </c>
      <c r="N78" s="64">
        <v>81.599999999999994</v>
      </c>
      <c r="O78" s="64">
        <v>0</v>
      </c>
      <c r="P78" s="64">
        <v>0.76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3" t="s">
        <v>2618</v>
      </c>
      <c r="B79" s="64">
        <v>12.44</v>
      </c>
      <c r="C79" s="64">
        <v>14.25</v>
      </c>
      <c r="D79" s="64">
        <v>17.420000000000002</v>
      </c>
      <c r="E79" s="64">
        <v>4.13</v>
      </c>
      <c r="F79" s="64">
        <v>4.22</v>
      </c>
      <c r="G79" s="64">
        <v>21.96</v>
      </c>
      <c r="H79" s="64">
        <v>7.63</v>
      </c>
      <c r="I79" s="64">
        <v>2.89</v>
      </c>
      <c r="J79" s="64">
        <v>0.18</v>
      </c>
      <c r="K79" s="64">
        <v>303.49</v>
      </c>
      <c r="L79" s="64">
        <v>23.8</v>
      </c>
      <c r="M79" s="64">
        <v>98.2</v>
      </c>
      <c r="N79" s="64">
        <v>70.8</v>
      </c>
      <c r="O79" s="64">
        <v>0</v>
      </c>
      <c r="P79" s="64">
        <v>0.74</v>
      </c>
      <c r="Q79" s="64">
        <v>9.2899999999999991</v>
      </c>
      <c r="R79" s="198"/>
      <c r="S79" s="198"/>
      <c r="T79" s="198"/>
      <c r="U79" s="198"/>
    </row>
    <row r="80" spans="1:21" s="12" customFormat="1" x14ac:dyDescent="0.25">
      <c r="A80" s="213" t="s">
        <v>2619</v>
      </c>
      <c r="B80" s="64">
        <v>12.33</v>
      </c>
      <c r="C80" s="64">
        <v>14.88</v>
      </c>
      <c r="D80" s="64">
        <v>17.66</v>
      </c>
      <c r="E80" s="64">
        <v>4.22</v>
      </c>
      <c r="F80" s="64">
        <v>2.96</v>
      </c>
      <c r="G80" s="64">
        <v>21.96</v>
      </c>
      <c r="H80" s="64">
        <v>7.63</v>
      </c>
      <c r="I80" s="64">
        <v>2.78</v>
      </c>
      <c r="J80" s="64">
        <v>0.18</v>
      </c>
      <c r="K80" s="64">
        <v>293.83999999999997</v>
      </c>
      <c r="L80" s="64">
        <v>23.81</v>
      </c>
      <c r="M80" s="64">
        <v>98.2</v>
      </c>
      <c r="N80" s="64">
        <v>65.599999999999994</v>
      </c>
      <c r="O80" s="64">
        <v>0.2</v>
      </c>
      <c r="P80" s="64">
        <v>0.71</v>
      </c>
      <c r="Q80" s="64">
        <v>9.2799999999999994</v>
      </c>
      <c r="R80" s="198"/>
      <c r="S80" s="198"/>
      <c r="T80" s="198"/>
      <c r="U80" s="198"/>
    </row>
    <row r="81" spans="1:26" s="12" customFormat="1" x14ac:dyDescent="0.25">
      <c r="A81" s="213" t="s">
        <v>2620</v>
      </c>
      <c r="B81" s="64">
        <v>11.76</v>
      </c>
      <c r="C81" s="64">
        <v>14.48</v>
      </c>
      <c r="D81" s="64">
        <v>17</v>
      </c>
      <c r="E81" s="64">
        <v>3.92</v>
      </c>
      <c r="F81" s="64">
        <v>4.2</v>
      </c>
      <c r="G81" s="64">
        <v>21.08</v>
      </c>
      <c r="H81" s="64">
        <v>7.76</v>
      </c>
      <c r="I81" s="64">
        <v>2.65</v>
      </c>
      <c r="J81" s="64">
        <v>0.15</v>
      </c>
      <c r="K81" s="64">
        <v>302.85000000000002</v>
      </c>
      <c r="L81" s="64">
        <v>23.77</v>
      </c>
      <c r="M81" s="64">
        <v>98.2</v>
      </c>
      <c r="N81" s="64">
        <v>58.5</v>
      </c>
      <c r="O81" s="64">
        <v>0.2</v>
      </c>
      <c r="P81" s="64">
        <v>0.71</v>
      </c>
      <c r="Q81" s="64">
        <v>9.27</v>
      </c>
      <c r="R81" s="198"/>
      <c r="S81" s="198"/>
      <c r="T81" s="198"/>
      <c r="U81" s="198"/>
    </row>
    <row r="82" spans="1:26" s="12" customFormat="1" x14ac:dyDescent="0.25">
      <c r="A82" s="213" t="s">
        <v>2621</v>
      </c>
      <c r="B82" s="64">
        <v>11.82</v>
      </c>
      <c r="C82" s="64">
        <v>13.3</v>
      </c>
      <c r="D82" s="64">
        <v>16.43</v>
      </c>
      <c r="E82" s="64">
        <v>4.0199999999999996</v>
      </c>
      <c r="F82" s="64">
        <v>2.9</v>
      </c>
      <c r="G82" s="64">
        <v>18.190000000000001</v>
      </c>
      <c r="H82" s="64">
        <v>8.19</v>
      </c>
      <c r="I82" s="64">
        <v>2.5299999999999998</v>
      </c>
      <c r="J82" s="64">
        <v>0.17</v>
      </c>
      <c r="K82" s="64">
        <v>310.91000000000003</v>
      </c>
      <c r="L82" s="64">
        <v>23.74</v>
      </c>
      <c r="M82" s="64">
        <v>98.22</v>
      </c>
      <c r="N82" s="64">
        <v>52.8</v>
      </c>
      <c r="O82" s="64">
        <v>0</v>
      </c>
      <c r="P82" s="64">
        <v>0.68</v>
      </c>
      <c r="Q82" s="64">
        <v>9.26</v>
      </c>
      <c r="R82" s="198"/>
      <c r="S82" s="198"/>
      <c r="T82" s="198"/>
      <c r="U82" s="198"/>
    </row>
    <row r="83" spans="1:26" s="12" customFormat="1" x14ac:dyDescent="0.25">
      <c r="A83" s="213" t="s">
        <v>2622</v>
      </c>
      <c r="B83" s="64">
        <v>11.51</v>
      </c>
      <c r="C83" s="64">
        <v>13.49</v>
      </c>
      <c r="D83" s="64">
        <v>16.28</v>
      </c>
      <c r="E83" s="64">
        <v>3.97</v>
      </c>
      <c r="F83" s="64">
        <v>3.51</v>
      </c>
      <c r="G83" s="64">
        <v>18.190000000000001</v>
      </c>
      <c r="H83" s="64">
        <v>8.19</v>
      </c>
      <c r="I83" s="64">
        <v>2.44</v>
      </c>
      <c r="J83" s="64">
        <v>0.15</v>
      </c>
      <c r="K83" s="64">
        <v>301.13</v>
      </c>
      <c r="L83" s="64">
        <v>23.7</v>
      </c>
      <c r="M83" s="64">
        <v>98.21</v>
      </c>
      <c r="N83" s="64">
        <v>49.6</v>
      </c>
      <c r="O83" s="64">
        <v>0</v>
      </c>
      <c r="P83" s="64">
        <v>0.67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3" t="s">
        <v>2623</v>
      </c>
      <c r="B84" s="64">
        <v>11.41</v>
      </c>
      <c r="C84" s="64">
        <v>13.55</v>
      </c>
      <c r="D84" s="64">
        <v>16.23</v>
      </c>
      <c r="E84" s="64">
        <v>3.91</v>
      </c>
      <c r="F84" s="64">
        <v>3.02</v>
      </c>
      <c r="G84" s="64">
        <v>18.190000000000001</v>
      </c>
      <c r="H84" s="64">
        <v>8.19</v>
      </c>
      <c r="I84" s="64">
        <v>2.35</v>
      </c>
      <c r="J84" s="64">
        <v>0.19</v>
      </c>
      <c r="K84" s="64">
        <v>301.20999999999998</v>
      </c>
      <c r="L84" s="64">
        <v>23.64</v>
      </c>
      <c r="M84" s="64">
        <v>98.2</v>
      </c>
      <c r="N84" s="64">
        <v>48.7</v>
      </c>
      <c r="O84" s="64">
        <v>0.2</v>
      </c>
      <c r="P84" s="64">
        <v>0.65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3" t="s">
        <v>2624</v>
      </c>
      <c r="B85" s="64">
        <v>11.31</v>
      </c>
      <c r="C85" s="64">
        <v>13.58</v>
      </c>
      <c r="D85" s="64">
        <v>16.16</v>
      </c>
      <c r="E85" s="64">
        <v>4.16</v>
      </c>
      <c r="F85" s="64">
        <v>3.35</v>
      </c>
      <c r="G85" s="64">
        <v>17.23</v>
      </c>
      <c r="H85" s="64">
        <v>7.77</v>
      </c>
      <c r="I85" s="64">
        <v>2.31</v>
      </c>
      <c r="J85" s="64">
        <v>0.19</v>
      </c>
      <c r="K85" s="64">
        <v>301.68</v>
      </c>
      <c r="L85" s="64">
        <v>23.63</v>
      </c>
      <c r="M85" s="64">
        <v>98.2</v>
      </c>
      <c r="N85" s="64">
        <v>48.8</v>
      </c>
      <c r="O85" s="64">
        <v>0.2</v>
      </c>
      <c r="P85" s="64">
        <v>0.62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3" t="s">
        <v>2625</v>
      </c>
      <c r="B86" s="64">
        <v>12.27</v>
      </c>
      <c r="C86" s="64">
        <v>14.38</v>
      </c>
      <c r="D86" s="64">
        <v>17.350000000000001</v>
      </c>
      <c r="E86" s="64">
        <v>3.72</v>
      </c>
      <c r="F86" s="64">
        <v>4.03</v>
      </c>
      <c r="G86" s="64">
        <v>14.07</v>
      </c>
      <c r="H86" s="64">
        <v>6.4</v>
      </c>
      <c r="I86" s="64">
        <v>2.27</v>
      </c>
      <c r="J86" s="64">
        <v>0.18</v>
      </c>
      <c r="K86" s="64">
        <v>294.83</v>
      </c>
      <c r="L86" s="64">
        <v>23.63</v>
      </c>
      <c r="M86" s="64">
        <v>98.2</v>
      </c>
      <c r="N86" s="64">
        <v>49</v>
      </c>
      <c r="O86" s="64">
        <v>0</v>
      </c>
      <c r="P86" s="64">
        <v>0.67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3" t="s">
        <v>2626</v>
      </c>
      <c r="B87" s="64">
        <v>11.43</v>
      </c>
      <c r="C87" s="64">
        <v>13.99</v>
      </c>
      <c r="D87" s="64">
        <v>16.47</v>
      </c>
      <c r="E87" s="64">
        <v>3.75</v>
      </c>
      <c r="F87" s="64">
        <v>3.58</v>
      </c>
      <c r="G87" s="64">
        <v>14.07</v>
      </c>
      <c r="H87" s="64">
        <v>6.4</v>
      </c>
      <c r="I87" s="64">
        <v>2.13</v>
      </c>
      <c r="J87" s="64">
        <v>0.32</v>
      </c>
      <c r="K87" s="64">
        <v>297.51</v>
      </c>
      <c r="L87" s="64">
        <v>23.61</v>
      </c>
      <c r="M87" s="64">
        <v>98.19</v>
      </c>
      <c r="N87" s="64">
        <v>49.3</v>
      </c>
      <c r="O87" s="64">
        <v>0</v>
      </c>
      <c r="P87" s="64">
        <v>0.73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3" t="s">
        <v>2627</v>
      </c>
      <c r="B88" s="64">
        <v>11.18</v>
      </c>
      <c r="C88" s="64">
        <v>14.36</v>
      </c>
      <c r="D88" s="64">
        <v>16.47</v>
      </c>
      <c r="E88" s="64">
        <v>3.99</v>
      </c>
      <c r="F88" s="64">
        <v>2.98</v>
      </c>
      <c r="G88" s="64">
        <v>14.07</v>
      </c>
      <c r="H88" s="64">
        <v>6.4</v>
      </c>
      <c r="I88" s="64">
        <v>2.23</v>
      </c>
      <c r="J88" s="64">
        <v>0.23</v>
      </c>
      <c r="K88" s="64">
        <v>293.79000000000002</v>
      </c>
      <c r="L88" s="64">
        <v>23.61</v>
      </c>
      <c r="M88" s="64">
        <v>98.18</v>
      </c>
      <c r="N88" s="64">
        <v>49.1</v>
      </c>
      <c r="O88" s="64">
        <v>0.2</v>
      </c>
      <c r="P88" s="64">
        <v>0.79</v>
      </c>
      <c r="Q88" s="64">
        <v>9.1999999999999993</v>
      </c>
      <c r="R88" s="198"/>
      <c r="S88" s="198"/>
      <c r="T88" s="198"/>
      <c r="U88" s="198"/>
    </row>
    <row r="89" spans="1:26" s="12" customFormat="1" x14ac:dyDescent="0.25">
      <c r="A89" s="213" t="s">
        <v>2628</v>
      </c>
      <c r="B89" s="64">
        <v>11.32</v>
      </c>
      <c r="C89" s="64">
        <v>14.72</v>
      </c>
      <c r="D89" s="64">
        <v>16.77</v>
      </c>
      <c r="E89" s="64">
        <v>4.0999999999999996</v>
      </c>
      <c r="F89" s="64">
        <v>3.81</v>
      </c>
      <c r="G89" s="64">
        <v>14.4</v>
      </c>
      <c r="H89" s="64">
        <v>6.64</v>
      </c>
      <c r="I89" s="64">
        <v>2.46</v>
      </c>
      <c r="J89" s="64">
        <v>0.19</v>
      </c>
      <c r="K89" s="64">
        <v>299.31</v>
      </c>
      <c r="L89" s="64">
        <v>23.61</v>
      </c>
      <c r="M89" s="64">
        <v>98.18</v>
      </c>
      <c r="N89" s="64">
        <v>49.2</v>
      </c>
      <c r="O89" s="64">
        <v>0</v>
      </c>
      <c r="P89" s="64">
        <v>0.9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3" t="s">
        <v>2629</v>
      </c>
      <c r="B90" s="64">
        <v>11.73</v>
      </c>
      <c r="C90" s="64">
        <v>14.72</v>
      </c>
      <c r="D90" s="64">
        <v>17.100000000000001</v>
      </c>
      <c r="E90" s="64">
        <v>4.24</v>
      </c>
      <c r="F90" s="64">
        <v>3.19</v>
      </c>
      <c r="G90" s="64">
        <v>15.49</v>
      </c>
      <c r="H90" s="64">
        <v>7.44</v>
      </c>
      <c r="I90" s="64">
        <v>2.63</v>
      </c>
      <c r="J90" s="64">
        <v>0.21</v>
      </c>
      <c r="K90" s="64">
        <v>295.79000000000002</v>
      </c>
      <c r="L90" s="64">
        <v>23.55</v>
      </c>
      <c r="M90" s="64">
        <v>98.18</v>
      </c>
      <c r="N90" s="64">
        <v>49.3</v>
      </c>
      <c r="O90" s="64">
        <v>0.2</v>
      </c>
      <c r="P90" s="64">
        <v>0.93</v>
      </c>
      <c r="Q90" s="64">
        <v>9.23</v>
      </c>
      <c r="R90" s="198"/>
      <c r="S90" s="198"/>
      <c r="T90" s="198"/>
      <c r="U90" s="198"/>
    </row>
    <row r="91" spans="1:26" s="12" customFormat="1" x14ac:dyDescent="0.25">
      <c r="A91" s="213" t="s">
        <v>2630</v>
      </c>
      <c r="B91" s="64">
        <v>11.28</v>
      </c>
      <c r="C91" s="64">
        <v>14.6</v>
      </c>
      <c r="D91" s="64">
        <v>16.670000000000002</v>
      </c>
      <c r="E91" s="64">
        <v>3.86</v>
      </c>
      <c r="F91" s="64">
        <v>3.16</v>
      </c>
      <c r="G91" s="64">
        <v>15.49</v>
      </c>
      <c r="H91" s="64">
        <v>7.44</v>
      </c>
      <c r="I91" s="64">
        <v>2.82</v>
      </c>
      <c r="J91" s="64">
        <v>0.18</v>
      </c>
      <c r="K91" s="64">
        <v>301.22000000000003</v>
      </c>
      <c r="L91" s="64">
        <v>23.52</v>
      </c>
      <c r="M91" s="64">
        <v>98.17</v>
      </c>
      <c r="N91" s="64">
        <v>49.2</v>
      </c>
      <c r="O91" s="64">
        <v>0</v>
      </c>
      <c r="P91" s="64">
        <v>0.86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3" t="s">
        <v>2631</v>
      </c>
      <c r="B92" s="64">
        <v>10.61</v>
      </c>
      <c r="C92" s="64">
        <v>14.48</v>
      </c>
      <c r="D92" s="64">
        <v>16.07</v>
      </c>
      <c r="E92" s="64">
        <v>3.8</v>
      </c>
      <c r="F92" s="64">
        <v>3.72</v>
      </c>
      <c r="G92" s="64">
        <v>15.49</v>
      </c>
      <c r="H92" s="64">
        <v>7.44</v>
      </c>
      <c r="I92" s="64">
        <v>2.84</v>
      </c>
      <c r="J92" s="64">
        <v>0.17</v>
      </c>
      <c r="K92" s="64">
        <v>294.08999999999997</v>
      </c>
      <c r="L92" s="64">
        <v>23.53</v>
      </c>
      <c r="M92" s="64">
        <v>98.17</v>
      </c>
      <c r="N92" s="64">
        <v>49.2</v>
      </c>
      <c r="O92" s="64">
        <v>0</v>
      </c>
      <c r="P92" s="64">
        <v>0.82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3" t="s">
        <v>2632</v>
      </c>
      <c r="B93" s="64">
        <v>9.98</v>
      </c>
      <c r="C93" s="64">
        <v>14.49</v>
      </c>
      <c r="D93" s="64">
        <v>15.57</v>
      </c>
      <c r="E93" s="64">
        <v>3.87</v>
      </c>
      <c r="F93" s="64">
        <v>3.49</v>
      </c>
      <c r="G93" s="64">
        <v>14.43</v>
      </c>
      <c r="H93" s="64">
        <v>6.94</v>
      </c>
      <c r="I93" s="64">
        <v>2.72</v>
      </c>
      <c r="J93" s="64">
        <v>0.15</v>
      </c>
      <c r="K93" s="64">
        <v>305.01</v>
      </c>
      <c r="L93" s="64">
        <v>23.6</v>
      </c>
      <c r="M93" s="64">
        <v>98.16</v>
      </c>
      <c r="N93" s="64">
        <v>49.1</v>
      </c>
      <c r="O93" s="64">
        <v>0</v>
      </c>
      <c r="P93" s="64">
        <v>0.78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13" t="s">
        <v>2633</v>
      </c>
      <c r="B94" s="64">
        <v>10.77</v>
      </c>
      <c r="C94" s="64">
        <v>13.11</v>
      </c>
      <c r="D94" s="64">
        <v>15.49</v>
      </c>
      <c r="E94" s="64">
        <v>3.77</v>
      </c>
      <c r="F94" s="64">
        <v>4.32</v>
      </c>
      <c r="G94" s="64">
        <v>10.95</v>
      </c>
      <c r="H94" s="64">
        <v>5.3</v>
      </c>
      <c r="I94" s="64">
        <v>2.59</v>
      </c>
      <c r="J94" s="64">
        <v>0.19</v>
      </c>
      <c r="K94" s="64">
        <v>302.67</v>
      </c>
      <c r="L94" s="64">
        <v>23.64</v>
      </c>
      <c r="M94" s="64">
        <v>98.16</v>
      </c>
      <c r="N94" s="64">
        <v>49.3</v>
      </c>
      <c r="O94" s="64">
        <v>0.2</v>
      </c>
      <c r="P94" s="64">
        <v>0.71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3" t="s">
        <v>2634</v>
      </c>
      <c r="B95" s="64">
        <v>10.02</v>
      </c>
      <c r="C95" s="64">
        <v>13.19</v>
      </c>
      <c r="D95" s="64">
        <v>14.93</v>
      </c>
      <c r="E95" s="64">
        <v>3.85</v>
      </c>
      <c r="F95" s="64">
        <v>4.68</v>
      </c>
      <c r="G95" s="64">
        <v>10.95</v>
      </c>
      <c r="H95" s="64">
        <v>5.3</v>
      </c>
      <c r="I95" s="64">
        <v>2.48</v>
      </c>
      <c r="J95" s="64">
        <v>0.17</v>
      </c>
      <c r="K95" s="64">
        <v>295.49</v>
      </c>
      <c r="L95" s="64">
        <v>23.63</v>
      </c>
      <c r="M95" s="64">
        <v>98.18</v>
      </c>
      <c r="N95" s="64">
        <v>48.8</v>
      </c>
      <c r="O95" s="64">
        <v>0</v>
      </c>
      <c r="P95" s="64">
        <v>0.67</v>
      </c>
      <c r="Q95" s="64">
        <v>9.1999999999999993</v>
      </c>
      <c r="R95" s="198"/>
      <c r="S95" s="198"/>
      <c r="T95" s="198"/>
      <c r="U95" s="198"/>
    </row>
    <row r="96" spans="1:26" s="12" customFormat="1" x14ac:dyDescent="0.25">
      <c r="A96" s="213" t="s">
        <v>2635</v>
      </c>
      <c r="B96" s="64">
        <v>9.7899999999999991</v>
      </c>
      <c r="C96" s="64">
        <v>13.4</v>
      </c>
      <c r="D96" s="64">
        <v>14.85</v>
      </c>
      <c r="E96" s="64">
        <v>4.2</v>
      </c>
      <c r="F96" s="64">
        <v>3.22</v>
      </c>
      <c r="G96" s="64">
        <v>10.95</v>
      </c>
      <c r="H96" s="64">
        <v>5.3</v>
      </c>
      <c r="I96" s="64">
        <v>2.39</v>
      </c>
      <c r="J96" s="64">
        <v>0.18</v>
      </c>
      <c r="K96" s="64">
        <v>300.11</v>
      </c>
      <c r="L96" s="64">
        <v>23.49</v>
      </c>
      <c r="M96" s="64">
        <v>98.2</v>
      </c>
      <c r="N96" s="64">
        <v>48.9</v>
      </c>
      <c r="O96" s="64">
        <v>0.2</v>
      </c>
      <c r="P96" s="64">
        <v>0.7</v>
      </c>
      <c r="Q96" s="64">
        <v>9.19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2636</v>
      </c>
      <c r="B97" s="64">
        <v>9.7100000000000009</v>
      </c>
      <c r="C97" s="64">
        <v>13.09</v>
      </c>
      <c r="D97" s="64">
        <v>14.62</v>
      </c>
      <c r="E97" s="64">
        <v>3.87</v>
      </c>
      <c r="F97" s="64">
        <v>4.0599999999999996</v>
      </c>
      <c r="G97" s="64">
        <v>10.18</v>
      </c>
      <c r="H97" s="64">
        <v>4.9400000000000004</v>
      </c>
      <c r="I97" s="64">
        <v>2.33</v>
      </c>
      <c r="J97" s="64">
        <v>0.21</v>
      </c>
      <c r="K97" s="64">
        <v>307.49</v>
      </c>
      <c r="L97" s="64">
        <v>23.39</v>
      </c>
      <c r="M97" s="64">
        <v>98.23</v>
      </c>
      <c r="N97" s="64">
        <v>49</v>
      </c>
      <c r="O97" s="64">
        <v>0</v>
      </c>
      <c r="P97" s="64">
        <v>0.65</v>
      </c>
      <c r="Q97" s="64">
        <v>9.1999999999999993</v>
      </c>
      <c r="R97" s="198"/>
      <c r="S97" s="198"/>
      <c r="T97" s="198"/>
      <c r="U97" s="198"/>
    </row>
    <row r="98" spans="1:33" s="12" customFormat="1" x14ac:dyDescent="0.25">
      <c r="A98" s="213" t="s">
        <v>2637</v>
      </c>
      <c r="B98" s="64">
        <v>9.43</v>
      </c>
      <c r="C98" s="64">
        <v>12.82</v>
      </c>
      <c r="D98" s="64">
        <v>14.26</v>
      </c>
      <c r="E98" s="64">
        <v>3.87</v>
      </c>
      <c r="F98" s="64">
        <v>4.58</v>
      </c>
      <c r="G98" s="64">
        <v>7.67</v>
      </c>
      <c r="H98" s="64">
        <v>3.73</v>
      </c>
      <c r="I98" s="64">
        <v>2.25</v>
      </c>
      <c r="J98" s="64">
        <v>0.16</v>
      </c>
      <c r="K98" s="64">
        <v>307.89</v>
      </c>
      <c r="L98" s="64">
        <v>23.29</v>
      </c>
      <c r="M98" s="64">
        <v>98.23</v>
      </c>
      <c r="N98" s="64">
        <v>49</v>
      </c>
      <c r="O98" s="64">
        <v>0</v>
      </c>
      <c r="P98" s="64">
        <v>0.64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3" t="s">
        <v>2638</v>
      </c>
      <c r="B99" s="64">
        <v>9.36</v>
      </c>
      <c r="C99" s="64">
        <v>12.49</v>
      </c>
      <c r="D99" s="64">
        <v>14.03</v>
      </c>
      <c r="E99" s="64">
        <v>4.13</v>
      </c>
      <c r="F99" s="64">
        <v>4.4400000000000004</v>
      </c>
      <c r="G99" s="64">
        <v>7.67</v>
      </c>
      <c r="H99" s="64">
        <v>3.73</v>
      </c>
      <c r="I99" s="64">
        <v>2.15</v>
      </c>
      <c r="J99" s="64">
        <v>0.15</v>
      </c>
      <c r="K99" s="64">
        <v>313.2</v>
      </c>
      <c r="L99" s="64">
        <v>23.23</v>
      </c>
      <c r="M99" s="64">
        <v>98.26</v>
      </c>
      <c r="N99" s="64">
        <v>49</v>
      </c>
      <c r="O99" s="64">
        <v>0.2</v>
      </c>
      <c r="P99" s="64">
        <v>0.63</v>
      </c>
      <c r="Q99" s="64">
        <v>9.17</v>
      </c>
      <c r="R99" s="198"/>
      <c r="S99" s="198"/>
      <c r="T99" s="198"/>
      <c r="U99" s="198"/>
    </row>
    <row r="100" spans="1:33" s="12" customFormat="1" x14ac:dyDescent="0.25">
      <c r="A100" s="213" t="s">
        <v>2639</v>
      </c>
      <c r="B100" s="64">
        <v>9.2899999999999991</v>
      </c>
      <c r="C100" s="64">
        <v>12.17</v>
      </c>
      <c r="D100" s="64">
        <v>13.81</v>
      </c>
      <c r="E100" s="64">
        <v>4.24</v>
      </c>
      <c r="F100" s="64">
        <v>3</v>
      </c>
      <c r="G100" s="64">
        <v>7.67</v>
      </c>
      <c r="H100" s="64">
        <v>3.73</v>
      </c>
      <c r="I100" s="64">
        <v>2.0499999999999998</v>
      </c>
      <c r="J100" s="64">
        <v>0.15</v>
      </c>
      <c r="K100" s="64">
        <v>313.38</v>
      </c>
      <c r="L100" s="64">
        <v>23.16</v>
      </c>
      <c r="M100" s="64">
        <v>98.26</v>
      </c>
      <c r="N100" s="64">
        <v>49</v>
      </c>
      <c r="O100" s="64">
        <v>0</v>
      </c>
      <c r="P100" s="64">
        <v>0.57999999999999996</v>
      </c>
      <c r="Q100" s="64">
        <v>9.15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2640</v>
      </c>
      <c r="B101" s="64">
        <v>9.0500000000000007</v>
      </c>
      <c r="C101" s="64">
        <v>11.95</v>
      </c>
      <c r="D101" s="64">
        <v>13.5</v>
      </c>
      <c r="E101" s="64">
        <v>4.13</v>
      </c>
      <c r="F101" s="64">
        <v>3.34</v>
      </c>
      <c r="G101" s="64">
        <v>8.73</v>
      </c>
      <c r="H101" s="64">
        <v>3.52</v>
      </c>
      <c r="I101" s="64">
        <v>1.93</v>
      </c>
      <c r="J101" s="64">
        <v>0.14000000000000001</v>
      </c>
      <c r="K101" s="64">
        <v>312.18</v>
      </c>
      <c r="L101" s="64">
        <v>23.16</v>
      </c>
      <c r="M101" s="64">
        <v>98.25</v>
      </c>
      <c r="N101" s="64">
        <v>49</v>
      </c>
      <c r="O101" s="64">
        <v>0.2</v>
      </c>
      <c r="P101" s="64">
        <v>0.54</v>
      </c>
      <c r="Q101" s="64">
        <v>9.1300000000000008</v>
      </c>
      <c r="R101" s="198"/>
      <c r="S101" s="198"/>
      <c r="T101" s="198"/>
      <c r="U101" s="198"/>
    </row>
    <row r="102" spans="1:33" s="12" customFormat="1" x14ac:dyDescent="0.25">
      <c r="A102" s="213" t="s">
        <v>2641</v>
      </c>
      <c r="B102" s="64">
        <v>8.86</v>
      </c>
      <c r="C102" s="64">
        <v>11.76</v>
      </c>
      <c r="D102" s="64">
        <v>13.25</v>
      </c>
      <c r="E102" s="64">
        <v>3.83</v>
      </c>
      <c r="F102" s="64">
        <v>3.88</v>
      </c>
      <c r="G102" s="64">
        <v>12.22</v>
      </c>
      <c r="H102" s="64">
        <v>2.84</v>
      </c>
      <c r="I102" s="64">
        <v>1.84</v>
      </c>
      <c r="J102" s="64">
        <v>0.16</v>
      </c>
      <c r="K102" s="64">
        <v>315.58</v>
      </c>
      <c r="L102" s="64">
        <v>23.14</v>
      </c>
      <c r="M102" s="64">
        <v>98.26</v>
      </c>
      <c r="N102" s="64">
        <v>49</v>
      </c>
      <c r="O102" s="64">
        <v>0</v>
      </c>
      <c r="P102" s="64">
        <v>0.53</v>
      </c>
      <c r="Q102" s="64">
        <v>9.09</v>
      </c>
      <c r="R102" s="198"/>
      <c r="S102" s="198"/>
      <c r="T102" s="198"/>
      <c r="U102" s="198"/>
    </row>
    <row r="103" spans="1:33" s="12" customFormat="1" x14ac:dyDescent="0.25">
      <c r="A103" s="213" t="s">
        <v>2642</v>
      </c>
      <c r="B103" s="64">
        <v>8.7200000000000006</v>
      </c>
      <c r="C103" s="64">
        <v>11.67</v>
      </c>
      <c r="D103" s="64">
        <v>13.09</v>
      </c>
      <c r="E103" s="64">
        <v>3.96</v>
      </c>
      <c r="F103" s="64">
        <v>3.47</v>
      </c>
      <c r="G103" s="64">
        <v>12.22</v>
      </c>
      <c r="H103" s="64">
        <v>2.84</v>
      </c>
      <c r="I103" s="64">
        <v>1.78</v>
      </c>
      <c r="J103" s="64">
        <v>0.16</v>
      </c>
      <c r="K103" s="64">
        <v>310.2</v>
      </c>
      <c r="L103" s="64">
        <v>23.12</v>
      </c>
      <c r="M103" s="64">
        <v>98.27</v>
      </c>
      <c r="N103" s="64">
        <v>49.1</v>
      </c>
      <c r="O103" s="64">
        <v>0</v>
      </c>
      <c r="P103" s="64">
        <v>0.52</v>
      </c>
      <c r="Q103" s="64">
        <v>9.09</v>
      </c>
      <c r="R103" s="198"/>
      <c r="S103" s="198"/>
      <c r="T103" s="198"/>
      <c r="U103" s="198"/>
    </row>
    <row r="104" spans="1:33" s="12" customFormat="1" x14ac:dyDescent="0.25">
      <c r="A104" s="213" t="s">
        <v>2643</v>
      </c>
      <c r="B104" s="64">
        <v>8.5299999999999994</v>
      </c>
      <c r="C104" s="64">
        <v>11.62</v>
      </c>
      <c r="D104" s="64">
        <v>12.91</v>
      </c>
      <c r="E104" s="64">
        <v>4.16</v>
      </c>
      <c r="F104" s="64">
        <v>3.36</v>
      </c>
      <c r="G104" s="64">
        <v>12.22</v>
      </c>
      <c r="H104" s="64">
        <v>2.84</v>
      </c>
      <c r="I104" s="64">
        <v>1.71</v>
      </c>
      <c r="J104" s="64">
        <v>0.18</v>
      </c>
      <c r="K104" s="64">
        <v>305.7</v>
      </c>
      <c r="L104" s="64">
        <v>23.04</v>
      </c>
      <c r="M104" s="64">
        <v>98.25</v>
      </c>
      <c r="N104" s="64">
        <v>49.2</v>
      </c>
      <c r="O104" s="64">
        <v>0.2</v>
      </c>
      <c r="P104" s="64">
        <v>0.47</v>
      </c>
      <c r="Q104" s="64">
        <v>9.09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5.41</v>
      </c>
      <c r="C106" s="67">
        <f>MIN(C9:C104)</f>
        <v>11.29</v>
      </c>
      <c r="D106" s="67">
        <f t="shared" ref="D106:Q106" si="0">MIN(D9:D104)</f>
        <v>10.73</v>
      </c>
      <c r="E106" s="67">
        <f t="shared" si="0"/>
        <v>3.57</v>
      </c>
      <c r="F106" s="67">
        <f t="shared" si="0"/>
        <v>2.42</v>
      </c>
      <c r="G106" s="67">
        <f t="shared" si="0"/>
        <v>4.7300000000000004</v>
      </c>
      <c r="H106" s="67">
        <f t="shared" si="0"/>
        <v>0.95</v>
      </c>
      <c r="I106" s="67">
        <f t="shared" si="0"/>
        <v>1.4</v>
      </c>
      <c r="J106" s="67">
        <f t="shared" si="0"/>
        <v>0.11</v>
      </c>
      <c r="K106" s="67">
        <f t="shared" si="0"/>
        <v>281.29000000000002</v>
      </c>
      <c r="L106" s="67">
        <f t="shared" si="0"/>
        <v>23.04</v>
      </c>
      <c r="M106" s="67">
        <f t="shared" si="0"/>
        <v>98.1</v>
      </c>
      <c r="N106" s="67">
        <f t="shared" si="0"/>
        <v>44.9</v>
      </c>
      <c r="O106" s="67">
        <f t="shared" si="0"/>
        <v>0</v>
      </c>
      <c r="P106" s="67">
        <f t="shared" si="0"/>
        <v>0.35</v>
      </c>
      <c r="Q106" s="67">
        <f t="shared" si="0"/>
        <v>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19.190000000000001</v>
      </c>
      <c r="C107" s="66">
        <f t="shared" ref="C107:Q107" si="1">MAX(C9:C104)</f>
        <v>22.17</v>
      </c>
      <c r="D107" s="66">
        <f t="shared" si="1"/>
        <v>22.85</v>
      </c>
      <c r="E107" s="66">
        <f t="shared" si="1"/>
        <v>5.3</v>
      </c>
      <c r="F107" s="66">
        <f t="shared" si="1"/>
        <v>5.85</v>
      </c>
      <c r="G107" s="66">
        <f t="shared" si="1"/>
        <v>37</v>
      </c>
      <c r="H107" s="66">
        <f t="shared" si="1"/>
        <v>27.47</v>
      </c>
      <c r="I107" s="66">
        <f t="shared" si="1"/>
        <v>2.91</v>
      </c>
      <c r="J107" s="66">
        <f t="shared" si="1"/>
        <v>0.32</v>
      </c>
      <c r="K107" s="66">
        <f t="shared" si="1"/>
        <v>323.26</v>
      </c>
      <c r="L107" s="66">
        <f t="shared" si="1"/>
        <v>25.49</v>
      </c>
      <c r="M107" s="66">
        <f t="shared" si="1"/>
        <v>98.27</v>
      </c>
      <c r="N107" s="66">
        <f t="shared" si="1"/>
        <v>217.9</v>
      </c>
      <c r="O107" s="66">
        <f t="shared" si="1"/>
        <v>0.2</v>
      </c>
      <c r="P107" s="66">
        <f t="shared" si="1"/>
        <v>0.93</v>
      </c>
      <c r="Q107" s="66">
        <f t="shared" si="1"/>
        <v>9.4499999999999993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11.251874999999993</v>
      </c>
      <c r="C108" s="67">
        <f t="shared" ref="C108:Q108" si="2">AVERAGE(C9:C104)</f>
        <v>13.488541666666663</v>
      </c>
      <c r="D108" s="67">
        <f t="shared" si="2"/>
        <v>16.073125000000001</v>
      </c>
      <c r="E108" s="67">
        <f t="shared" si="2"/>
        <v>4.5526041666666686</v>
      </c>
      <c r="F108" s="67">
        <f t="shared" si="2"/>
        <v>3.7148958333333337</v>
      </c>
      <c r="G108" s="67">
        <f t="shared" si="2"/>
        <v>21.349431818181834</v>
      </c>
      <c r="H108" s="67">
        <f t="shared" si="2"/>
        <v>6.8018181818181827</v>
      </c>
      <c r="I108" s="67">
        <f t="shared" si="2"/>
        <v>2.1068750000000005</v>
      </c>
      <c r="J108" s="67">
        <f t="shared" si="2"/>
        <v>0.18760416666666668</v>
      </c>
      <c r="K108" s="67">
        <f t="shared" si="2"/>
        <v>300.55218750000012</v>
      </c>
      <c r="L108" s="67">
        <f t="shared" si="2"/>
        <v>23.92520833333332</v>
      </c>
      <c r="M108" s="67">
        <f t="shared" si="2"/>
        <v>98.1692708333333</v>
      </c>
      <c r="N108" s="67">
        <f t="shared" si="2"/>
        <v>78.335416666666688</v>
      </c>
      <c r="O108" s="67">
        <f t="shared" si="2"/>
        <v>4.5833333333333344E-2</v>
      </c>
      <c r="P108" s="67">
        <f t="shared" si="2"/>
        <v>0.6121875</v>
      </c>
      <c r="Q108" s="67">
        <f t="shared" si="2"/>
        <v>9.2057291666666661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3.3822179930678216</v>
      </c>
      <c r="C109" s="67">
        <f t="shared" ref="C109:Q109" si="3">STDEV(C9:C104)</f>
        <v>1.8711831208970648</v>
      </c>
      <c r="D109" s="67">
        <f t="shared" si="3"/>
        <v>2.8851041438833187</v>
      </c>
      <c r="E109" s="67">
        <f t="shared" si="3"/>
        <v>0.45629917423057964</v>
      </c>
      <c r="F109" s="67">
        <f t="shared" si="3"/>
        <v>0.61980471422209449</v>
      </c>
      <c r="G109" s="67">
        <f t="shared" si="3"/>
        <v>8.4721867277179683</v>
      </c>
      <c r="H109" s="67">
        <f t="shared" si="3"/>
        <v>4.4677638587549291</v>
      </c>
      <c r="I109" s="67">
        <f t="shared" si="3"/>
        <v>0.44496318594025591</v>
      </c>
      <c r="J109" s="67">
        <f t="shared" si="3"/>
        <v>4.1211771227639207E-2</v>
      </c>
      <c r="K109" s="67">
        <f t="shared" si="3"/>
        <v>9.8546794872310599</v>
      </c>
      <c r="L109" s="67">
        <f t="shared" si="3"/>
        <v>0.52814467548732713</v>
      </c>
      <c r="M109" s="67">
        <f t="shared" si="3"/>
        <v>4.0839732760265805E-2</v>
      </c>
      <c r="N109" s="67">
        <f t="shared" si="3"/>
        <v>40.739699968320423</v>
      </c>
      <c r="O109" s="67">
        <f t="shared" si="3"/>
        <v>8.4500596904359127E-2</v>
      </c>
      <c r="P109" s="67">
        <f t="shared" si="3"/>
        <v>0.13945912908164426</v>
      </c>
      <c r="Q109" s="67">
        <f t="shared" si="3"/>
        <v>0.10762258412635832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2644</v>
      </c>
      <c r="B9" s="64">
        <v>8.08</v>
      </c>
      <c r="C9" s="64">
        <v>11.75</v>
      </c>
      <c r="D9" s="64">
        <v>12.62</v>
      </c>
      <c r="E9" s="64">
        <v>3.88</v>
      </c>
      <c r="F9" s="64">
        <v>3.91</v>
      </c>
      <c r="G9" s="64">
        <v>11.43</v>
      </c>
      <c r="H9" s="64">
        <v>3.17</v>
      </c>
      <c r="I9" s="64">
        <v>1.64</v>
      </c>
      <c r="J9" s="64">
        <v>0.21</v>
      </c>
      <c r="K9" s="64">
        <v>319.44</v>
      </c>
      <c r="L9" s="64">
        <v>22.76</v>
      </c>
      <c r="M9" s="64">
        <v>98.26</v>
      </c>
      <c r="N9" s="64">
        <v>49.5</v>
      </c>
      <c r="O9" s="64">
        <v>0</v>
      </c>
      <c r="P9" s="64">
        <v>0.45</v>
      </c>
      <c r="Q9" s="64">
        <v>9.07</v>
      </c>
      <c r="R9" s="198"/>
      <c r="S9" s="198"/>
      <c r="T9" s="198"/>
      <c r="U9" s="198"/>
    </row>
    <row r="10" spans="1:21" s="12" customFormat="1" x14ac:dyDescent="0.25">
      <c r="A10" s="213" t="s">
        <v>2645</v>
      </c>
      <c r="B10" s="64">
        <v>7.25</v>
      </c>
      <c r="C10" s="64">
        <v>12.28</v>
      </c>
      <c r="D10" s="64">
        <v>12.23</v>
      </c>
      <c r="E10" s="64">
        <v>4.08</v>
      </c>
      <c r="F10" s="64">
        <v>3.44</v>
      </c>
      <c r="G10" s="64">
        <v>8.86</v>
      </c>
      <c r="H10" s="64">
        <v>4.26</v>
      </c>
      <c r="I10" s="64">
        <v>1.56</v>
      </c>
      <c r="J10" s="64">
        <v>0.2</v>
      </c>
      <c r="K10" s="64">
        <v>309.92</v>
      </c>
      <c r="L10" s="64">
        <v>22.71</v>
      </c>
      <c r="M10" s="64">
        <v>98.25</v>
      </c>
      <c r="N10" s="64">
        <v>49</v>
      </c>
      <c r="O10" s="64">
        <v>0.2</v>
      </c>
      <c r="P10" s="64">
        <v>0.41</v>
      </c>
      <c r="Q10" s="64">
        <v>9.0500000000000007</v>
      </c>
      <c r="R10" s="198"/>
      <c r="S10" s="198"/>
      <c r="T10" s="198"/>
      <c r="U10" s="198"/>
    </row>
    <row r="11" spans="1:21" s="12" customFormat="1" x14ac:dyDescent="0.25">
      <c r="A11" s="213" t="s">
        <v>2646</v>
      </c>
      <c r="B11" s="64">
        <v>6.6</v>
      </c>
      <c r="C11" s="64">
        <v>12.52</v>
      </c>
      <c r="D11" s="64">
        <v>11.83</v>
      </c>
      <c r="E11" s="64">
        <v>3.82</v>
      </c>
      <c r="F11" s="64">
        <v>3.53</v>
      </c>
      <c r="G11" s="64">
        <v>8.86</v>
      </c>
      <c r="H11" s="64">
        <v>4.26</v>
      </c>
      <c r="I11" s="64">
        <v>1.47</v>
      </c>
      <c r="J11" s="64">
        <v>0.21</v>
      </c>
      <c r="K11" s="64">
        <v>313.11</v>
      </c>
      <c r="L11" s="64">
        <v>22.75</v>
      </c>
      <c r="M11" s="64">
        <v>98.25</v>
      </c>
      <c r="N11" s="64">
        <v>49.2</v>
      </c>
      <c r="O11" s="64">
        <v>0</v>
      </c>
      <c r="P11" s="64">
        <v>0.38</v>
      </c>
      <c r="Q11" s="64">
        <v>9.0299999999999994</v>
      </c>
      <c r="R11" s="198"/>
      <c r="S11" s="198"/>
      <c r="T11" s="198"/>
      <c r="U11" s="198"/>
    </row>
    <row r="12" spans="1:21" s="12" customFormat="1" x14ac:dyDescent="0.25">
      <c r="A12" s="213" t="s">
        <v>2647</v>
      </c>
      <c r="B12" s="64">
        <v>6.12</v>
      </c>
      <c r="C12" s="64">
        <v>12.53</v>
      </c>
      <c r="D12" s="64">
        <v>11.46</v>
      </c>
      <c r="E12" s="64">
        <v>3.73</v>
      </c>
      <c r="F12" s="64">
        <v>3.84</v>
      </c>
      <c r="G12" s="64">
        <v>8.86</v>
      </c>
      <c r="H12" s="64">
        <v>4.26</v>
      </c>
      <c r="I12" s="64">
        <v>1.36</v>
      </c>
      <c r="J12" s="64">
        <v>0.19</v>
      </c>
      <c r="K12" s="64">
        <v>321.35000000000002</v>
      </c>
      <c r="L12" s="64">
        <v>22.49</v>
      </c>
      <c r="M12" s="64">
        <v>98.23</v>
      </c>
      <c r="N12" s="64">
        <v>49.7</v>
      </c>
      <c r="O12" s="64">
        <v>0</v>
      </c>
      <c r="P12" s="64">
        <v>0.35</v>
      </c>
      <c r="Q12" s="64">
        <v>9.01</v>
      </c>
      <c r="R12" s="198"/>
      <c r="S12" s="198"/>
      <c r="T12" s="198"/>
      <c r="U12" s="198"/>
    </row>
    <row r="13" spans="1:21" s="12" customFormat="1" x14ac:dyDescent="0.25">
      <c r="A13" s="213" t="s">
        <v>2648</v>
      </c>
      <c r="B13" s="64">
        <v>5.48</v>
      </c>
      <c r="C13" s="64">
        <v>12.52</v>
      </c>
      <c r="D13" s="64">
        <v>10.94</v>
      </c>
      <c r="E13" s="64">
        <v>3.72</v>
      </c>
      <c r="F13" s="64">
        <v>3.83</v>
      </c>
      <c r="G13" s="64">
        <v>8.31</v>
      </c>
      <c r="H13" s="64">
        <v>3.99</v>
      </c>
      <c r="I13" s="64">
        <v>1.26</v>
      </c>
      <c r="J13" s="64">
        <v>0.01</v>
      </c>
      <c r="K13" s="64">
        <v>252.05</v>
      </c>
      <c r="L13" s="64">
        <v>22.26</v>
      </c>
      <c r="M13" s="64">
        <v>98.23</v>
      </c>
      <c r="N13" s="64">
        <v>49.3</v>
      </c>
      <c r="O13" s="64">
        <v>0.2</v>
      </c>
      <c r="P13" s="64">
        <v>0.3</v>
      </c>
      <c r="Q13" s="64">
        <v>9</v>
      </c>
      <c r="R13" s="198"/>
      <c r="S13" s="198"/>
      <c r="T13" s="198"/>
      <c r="U13" s="198"/>
    </row>
    <row r="14" spans="1:21" s="12" customFormat="1" x14ac:dyDescent="0.25">
      <c r="A14" s="213" t="s">
        <v>2649</v>
      </c>
      <c r="B14" s="64">
        <v>4.99</v>
      </c>
      <c r="C14" s="64">
        <v>12.27</v>
      </c>
      <c r="D14" s="64">
        <v>10.41</v>
      </c>
      <c r="E14" s="64">
        <v>3.82</v>
      </c>
      <c r="F14" s="64">
        <v>5.27</v>
      </c>
      <c r="G14" s="64">
        <v>6.52</v>
      </c>
      <c r="H14" s="64">
        <v>3.1</v>
      </c>
      <c r="I14" s="64">
        <v>1.1599999999999999</v>
      </c>
      <c r="J14" s="64">
        <v>0.44</v>
      </c>
      <c r="K14" s="64">
        <v>147.62</v>
      </c>
      <c r="L14" s="64">
        <v>22.4</v>
      </c>
      <c r="M14" s="64">
        <v>98.22</v>
      </c>
      <c r="N14" s="64">
        <v>49</v>
      </c>
      <c r="O14" s="64">
        <v>0.2</v>
      </c>
      <c r="P14" s="64">
        <v>0.28999999999999998</v>
      </c>
      <c r="Q14" s="64">
        <v>9</v>
      </c>
      <c r="R14" s="198"/>
      <c r="S14" s="198"/>
      <c r="T14" s="198"/>
      <c r="U14" s="198"/>
    </row>
    <row r="15" spans="1:21" s="12" customFormat="1" x14ac:dyDescent="0.25">
      <c r="A15" s="213" t="s">
        <v>2650</v>
      </c>
      <c r="B15" s="64">
        <v>4.87</v>
      </c>
      <c r="C15" s="64">
        <v>11.89</v>
      </c>
      <c r="D15" s="64">
        <v>10.119999999999999</v>
      </c>
      <c r="E15" s="64">
        <v>4.05</v>
      </c>
      <c r="F15" s="64">
        <v>5.62</v>
      </c>
      <c r="G15" s="64">
        <v>6.52</v>
      </c>
      <c r="H15" s="64">
        <v>3.1</v>
      </c>
      <c r="I15" s="64">
        <v>1.1000000000000001</v>
      </c>
      <c r="J15" s="64">
        <v>1.35</v>
      </c>
      <c r="K15" s="64">
        <v>337.15</v>
      </c>
      <c r="L15" s="64">
        <v>22.56</v>
      </c>
      <c r="M15" s="64">
        <v>98.2</v>
      </c>
      <c r="N15" s="64">
        <v>49.1</v>
      </c>
      <c r="O15" s="64">
        <v>0.4</v>
      </c>
      <c r="P15" s="64">
        <v>0.28999999999999998</v>
      </c>
      <c r="Q15" s="64">
        <v>9.01</v>
      </c>
      <c r="R15" s="198"/>
      <c r="S15" s="198"/>
      <c r="T15" s="198"/>
      <c r="U15" s="198"/>
    </row>
    <row r="16" spans="1:21" s="12" customFormat="1" x14ac:dyDescent="0.25">
      <c r="A16" s="213" t="s">
        <v>2651</v>
      </c>
      <c r="B16" s="64">
        <v>5.0599999999999996</v>
      </c>
      <c r="C16" s="64">
        <v>11.87</v>
      </c>
      <c r="D16" s="64">
        <v>10.25</v>
      </c>
      <c r="E16" s="64">
        <v>4.16</v>
      </c>
      <c r="F16" s="64">
        <v>5.05</v>
      </c>
      <c r="G16" s="64">
        <v>6.52</v>
      </c>
      <c r="H16" s="64">
        <v>3.1</v>
      </c>
      <c r="I16" s="64">
        <v>1.06</v>
      </c>
      <c r="J16" s="64">
        <v>0.56000000000000005</v>
      </c>
      <c r="K16" s="64">
        <v>325.10000000000002</v>
      </c>
      <c r="L16" s="64">
        <v>22.65</v>
      </c>
      <c r="M16" s="64">
        <v>98.2</v>
      </c>
      <c r="N16" s="64">
        <v>49.2</v>
      </c>
      <c r="O16" s="64">
        <v>0</v>
      </c>
      <c r="P16" s="64">
        <v>0.28999999999999998</v>
      </c>
      <c r="Q16" s="64">
        <v>9.01</v>
      </c>
      <c r="R16" s="198"/>
      <c r="S16" s="198"/>
      <c r="T16" s="198"/>
      <c r="U16" s="198"/>
    </row>
    <row r="17" spans="1:21" s="12" customFormat="1" x14ac:dyDescent="0.25">
      <c r="A17" s="213" t="s">
        <v>2652</v>
      </c>
      <c r="B17" s="64">
        <v>5.39</v>
      </c>
      <c r="C17" s="64">
        <v>11.74</v>
      </c>
      <c r="D17" s="64">
        <v>10.46</v>
      </c>
      <c r="E17" s="64">
        <v>3.75</v>
      </c>
      <c r="F17" s="64">
        <v>5.33</v>
      </c>
      <c r="G17" s="64">
        <v>6.14</v>
      </c>
      <c r="H17" s="64">
        <v>3.36</v>
      </c>
      <c r="I17" s="64">
        <v>1.04</v>
      </c>
      <c r="J17" s="64">
        <v>0.06</v>
      </c>
      <c r="K17" s="64">
        <v>9.99</v>
      </c>
      <c r="L17" s="64">
        <v>22.64</v>
      </c>
      <c r="M17" s="64">
        <v>98.2</v>
      </c>
      <c r="N17" s="64">
        <v>49.2</v>
      </c>
      <c r="O17" s="64">
        <v>0.4</v>
      </c>
      <c r="P17" s="64">
        <v>0.26</v>
      </c>
      <c r="Q17" s="64">
        <v>9.0399999999999991</v>
      </c>
      <c r="R17" s="198"/>
      <c r="S17" s="198"/>
      <c r="T17" s="198"/>
      <c r="U17" s="198"/>
    </row>
    <row r="18" spans="1:21" s="12" customFormat="1" x14ac:dyDescent="0.25">
      <c r="A18" s="213" t="s">
        <v>2653</v>
      </c>
      <c r="B18" s="64">
        <v>5.51</v>
      </c>
      <c r="C18" s="64">
        <v>11.09</v>
      </c>
      <c r="D18" s="64">
        <v>10.210000000000001</v>
      </c>
      <c r="E18" s="64">
        <v>3.84</v>
      </c>
      <c r="F18" s="64">
        <v>3.88</v>
      </c>
      <c r="G18" s="64">
        <v>4.9000000000000004</v>
      </c>
      <c r="H18" s="64">
        <v>4.22</v>
      </c>
      <c r="I18" s="64">
        <v>1.03</v>
      </c>
      <c r="J18" s="64">
        <v>0.26</v>
      </c>
      <c r="K18" s="64">
        <v>314.20999999999998</v>
      </c>
      <c r="L18" s="64">
        <v>22.68</v>
      </c>
      <c r="M18" s="64">
        <v>98.2</v>
      </c>
      <c r="N18" s="64">
        <v>49.3</v>
      </c>
      <c r="O18" s="64">
        <v>0.8</v>
      </c>
      <c r="P18" s="64">
        <v>0.27</v>
      </c>
      <c r="Q18" s="64">
        <v>9.0399999999999991</v>
      </c>
      <c r="R18" s="198"/>
      <c r="S18" s="198"/>
      <c r="T18" s="198"/>
      <c r="U18" s="198"/>
    </row>
    <row r="19" spans="1:21" s="12" customFormat="1" x14ac:dyDescent="0.25">
      <c r="A19" s="213" t="s">
        <v>2654</v>
      </c>
      <c r="B19" s="64">
        <v>5.76</v>
      </c>
      <c r="C19" s="64">
        <v>11.21</v>
      </c>
      <c r="D19" s="64">
        <v>10.48</v>
      </c>
      <c r="E19" s="64">
        <v>4.08</v>
      </c>
      <c r="F19" s="64">
        <v>3.55</v>
      </c>
      <c r="G19" s="64">
        <v>4.9000000000000004</v>
      </c>
      <c r="H19" s="64">
        <v>4.22</v>
      </c>
      <c r="I19" s="64">
        <v>1.04</v>
      </c>
      <c r="J19" s="64">
        <v>0.26</v>
      </c>
      <c r="K19" s="64">
        <v>329.52</v>
      </c>
      <c r="L19" s="64">
        <v>22.67</v>
      </c>
      <c r="M19" s="64">
        <v>98.2</v>
      </c>
      <c r="N19" s="64">
        <v>49.4</v>
      </c>
      <c r="O19" s="64">
        <v>2.8</v>
      </c>
      <c r="P19" s="64">
        <v>0.27</v>
      </c>
      <c r="Q19" s="64">
        <v>9.0299999999999994</v>
      </c>
      <c r="R19" s="198"/>
      <c r="S19" s="198"/>
      <c r="T19" s="198"/>
      <c r="U19" s="198"/>
    </row>
    <row r="20" spans="1:21" s="12" customFormat="1" x14ac:dyDescent="0.25">
      <c r="A20" s="213" t="s">
        <v>2655</v>
      </c>
      <c r="B20" s="64">
        <v>5.42</v>
      </c>
      <c r="C20" s="64">
        <v>11.53</v>
      </c>
      <c r="D20" s="64">
        <v>10.37</v>
      </c>
      <c r="E20" s="64">
        <v>3.58</v>
      </c>
      <c r="F20" s="64">
        <v>4.45</v>
      </c>
      <c r="G20" s="64">
        <v>4.9000000000000004</v>
      </c>
      <c r="H20" s="64">
        <v>4.22</v>
      </c>
      <c r="I20" s="64">
        <v>1.04</v>
      </c>
      <c r="J20" s="64">
        <v>0.16</v>
      </c>
      <c r="K20" s="64">
        <v>335.38</v>
      </c>
      <c r="L20" s="64">
        <v>22.63</v>
      </c>
      <c r="M20" s="64">
        <v>98.21</v>
      </c>
      <c r="N20" s="64">
        <v>49.4</v>
      </c>
      <c r="O20" s="64">
        <v>0</v>
      </c>
      <c r="P20" s="64">
        <v>0.26</v>
      </c>
      <c r="Q20" s="64">
        <v>9.02</v>
      </c>
      <c r="R20" s="198"/>
      <c r="S20" s="198"/>
      <c r="T20" s="198"/>
      <c r="U20" s="198"/>
    </row>
    <row r="21" spans="1:21" s="12" customFormat="1" x14ac:dyDescent="0.25">
      <c r="A21" s="213" t="s">
        <v>2656</v>
      </c>
      <c r="B21" s="64">
        <v>5.19</v>
      </c>
      <c r="C21" s="64">
        <v>11.61</v>
      </c>
      <c r="D21" s="64">
        <v>10.23</v>
      </c>
      <c r="E21" s="64">
        <v>3.72</v>
      </c>
      <c r="F21" s="64">
        <v>3.55</v>
      </c>
      <c r="G21" s="64">
        <v>5.05</v>
      </c>
      <c r="H21" s="64">
        <v>3.99</v>
      </c>
      <c r="I21" s="64">
        <v>0.99</v>
      </c>
      <c r="J21" s="64">
        <v>0.22</v>
      </c>
      <c r="K21" s="64">
        <v>338.37</v>
      </c>
      <c r="L21" s="64">
        <v>22.64</v>
      </c>
      <c r="M21" s="64">
        <v>98.2</v>
      </c>
      <c r="N21" s="64">
        <v>49.5</v>
      </c>
      <c r="O21" s="64">
        <v>0.4</v>
      </c>
      <c r="P21" s="64">
        <v>0.25</v>
      </c>
      <c r="Q21" s="64">
        <v>8.99</v>
      </c>
      <c r="R21" s="198"/>
      <c r="S21" s="198"/>
      <c r="T21" s="198"/>
      <c r="U21" s="198"/>
    </row>
    <row r="22" spans="1:21" s="12" customFormat="1" x14ac:dyDescent="0.25">
      <c r="A22" s="213" t="s">
        <v>2657</v>
      </c>
      <c r="B22" s="64">
        <v>4.91</v>
      </c>
      <c r="C22" s="64">
        <v>11.67</v>
      </c>
      <c r="D22" s="64">
        <v>10.029999999999999</v>
      </c>
      <c r="E22" s="64">
        <v>3.76</v>
      </c>
      <c r="F22" s="64">
        <v>2.93</v>
      </c>
      <c r="G22" s="64">
        <v>5.56</v>
      </c>
      <c r="H22" s="64">
        <v>3.22</v>
      </c>
      <c r="I22" s="64">
        <v>0.91</v>
      </c>
      <c r="J22" s="64">
        <v>0.23</v>
      </c>
      <c r="K22" s="64">
        <v>344.08</v>
      </c>
      <c r="L22" s="64">
        <v>22.65</v>
      </c>
      <c r="M22" s="64">
        <v>98.14</v>
      </c>
      <c r="N22" s="64">
        <v>49.5</v>
      </c>
      <c r="O22" s="64">
        <v>0</v>
      </c>
      <c r="P22" s="64">
        <v>0.22</v>
      </c>
      <c r="Q22" s="64">
        <v>8.98</v>
      </c>
      <c r="R22" s="198"/>
      <c r="S22" s="198"/>
      <c r="T22" s="198"/>
      <c r="U22" s="198"/>
    </row>
    <row r="23" spans="1:21" s="12" customFormat="1" x14ac:dyDescent="0.25">
      <c r="A23" s="213" t="s">
        <v>2658</v>
      </c>
      <c r="B23" s="64">
        <v>4.8</v>
      </c>
      <c r="C23" s="64">
        <v>11.34</v>
      </c>
      <c r="D23" s="64">
        <v>9.77</v>
      </c>
      <c r="E23" s="64">
        <v>3.71</v>
      </c>
      <c r="F23" s="64">
        <v>4.66</v>
      </c>
      <c r="G23" s="64">
        <v>5.56</v>
      </c>
      <c r="H23" s="64">
        <v>3.22</v>
      </c>
      <c r="I23" s="64">
        <v>0.84</v>
      </c>
      <c r="J23" s="64">
        <v>0.23</v>
      </c>
      <c r="K23" s="64">
        <v>333.14</v>
      </c>
      <c r="L23" s="64">
        <v>22.63</v>
      </c>
      <c r="M23" s="64">
        <v>98.15</v>
      </c>
      <c r="N23" s="64">
        <v>49.7</v>
      </c>
      <c r="O23" s="64">
        <v>0</v>
      </c>
      <c r="P23" s="64">
        <v>0.21</v>
      </c>
      <c r="Q23" s="64">
        <v>8.9700000000000006</v>
      </c>
      <c r="R23" s="198"/>
      <c r="S23" s="198"/>
      <c r="T23" s="198"/>
      <c r="U23" s="198"/>
    </row>
    <row r="24" spans="1:21" s="12" customFormat="1" x14ac:dyDescent="0.25">
      <c r="A24" s="213" t="s">
        <v>2659</v>
      </c>
      <c r="B24" s="64">
        <v>4.74</v>
      </c>
      <c r="C24" s="64">
        <v>11.33</v>
      </c>
      <c r="D24" s="64">
        <v>9.7200000000000006</v>
      </c>
      <c r="E24" s="64">
        <v>3.8</v>
      </c>
      <c r="F24" s="64">
        <v>2.89</v>
      </c>
      <c r="G24" s="64">
        <v>5.56</v>
      </c>
      <c r="H24" s="64">
        <v>3.22</v>
      </c>
      <c r="I24" s="64">
        <v>0.8</v>
      </c>
      <c r="J24" s="64">
        <v>0.21</v>
      </c>
      <c r="K24" s="64">
        <v>340.83</v>
      </c>
      <c r="L24" s="64">
        <v>22.58</v>
      </c>
      <c r="M24" s="64">
        <v>98.15</v>
      </c>
      <c r="N24" s="64">
        <v>49.7</v>
      </c>
      <c r="O24" s="64">
        <v>0.4</v>
      </c>
      <c r="P24" s="64">
        <v>0.2</v>
      </c>
      <c r="Q24" s="64">
        <v>8.9600000000000009</v>
      </c>
      <c r="R24" s="198"/>
      <c r="S24" s="198"/>
      <c r="T24" s="198"/>
      <c r="U24" s="198"/>
    </row>
    <row r="25" spans="1:21" s="12" customFormat="1" x14ac:dyDescent="0.25">
      <c r="A25" s="213" t="s">
        <v>2660</v>
      </c>
      <c r="B25" s="64">
        <v>4.6900000000000004</v>
      </c>
      <c r="C25" s="64">
        <v>11.41</v>
      </c>
      <c r="D25" s="64">
        <v>9.73</v>
      </c>
      <c r="E25" s="64">
        <v>3.94</v>
      </c>
      <c r="F25" s="64">
        <v>3.45</v>
      </c>
      <c r="G25" s="64">
        <v>5.24</v>
      </c>
      <c r="H25" s="64">
        <v>3.15</v>
      </c>
      <c r="I25" s="64">
        <v>0.76</v>
      </c>
      <c r="J25" s="64">
        <v>0.16</v>
      </c>
      <c r="K25" s="64">
        <v>326.47000000000003</v>
      </c>
      <c r="L25" s="64">
        <v>22.66</v>
      </c>
      <c r="M25" s="64">
        <v>98.14</v>
      </c>
      <c r="N25" s="64">
        <v>49.5</v>
      </c>
      <c r="O25" s="64">
        <v>0</v>
      </c>
      <c r="P25" s="64">
        <v>0.18</v>
      </c>
      <c r="Q25" s="64">
        <v>8.9499999999999993</v>
      </c>
      <c r="R25" s="198"/>
      <c r="S25" s="198"/>
      <c r="T25" s="198"/>
      <c r="U25" s="198"/>
    </row>
    <row r="26" spans="1:21" s="12" customFormat="1" x14ac:dyDescent="0.25">
      <c r="A26" s="213" t="s">
        <v>2661</v>
      </c>
      <c r="B26" s="64">
        <v>4.8499999999999996</v>
      </c>
      <c r="C26" s="64">
        <v>11.46</v>
      </c>
      <c r="D26" s="64">
        <v>9.8800000000000008</v>
      </c>
      <c r="E26" s="64">
        <v>3.55</v>
      </c>
      <c r="F26" s="64">
        <v>4.1900000000000004</v>
      </c>
      <c r="G26" s="64">
        <v>4.17</v>
      </c>
      <c r="H26" s="64">
        <v>2.91</v>
      </c>
      <c r="I26" s="64">
        <v>0.73</v>
      </c>
      <c r="J26" s="64">
        <v>0.12</v>
      </c>
      <c r="K26" s="64">
        <v>323.87</v>
      </c>
      <c r="L26" s="64">
        <v>22.7</v>
      </c>
      <c r="M26" s="64">
        <v>98.14</v>
      </c>
      <c r="N26" s="64">
        <v>49.6</v>
      </c>
      <c r="O26" s="64">
        <v>0.4</v>
      </c>
      <c r="P26" s="64">
        <v>0.2</v>
      </c>
      <c r="Q26" s="64">
        <v>8.94</v>
      </c>
      <c r="R26" s="198"/>
      <c r="S26" s="198"/>
      <c r="T26" s="198"/>
      <c r="U26" s="198"/>
    </row>
    <row r="27" spans="1:21" s="12" customFormat="1" x14ac:dyDescent="0.25">
      <c r="A27" s="213" t="s">
        <v>2662</v>
      </c>
      <c r="B27" s="64">
        <v>5.0999999999999996</v>
      </c>
      <c r="C27" s="64">
        <v>11.49</v>
      </c>
      <c r="D27" s="64">
        <v>10.1</v>
      </c>
      <c r="E27" s="64">
        <v>3.71</v>
      </c>
      <c r="F27" s="64">
        <v>2.9</v>
      </c>
      <c r="G27" s="64">
        <v>4.17</v>
      </c>
      <c r="H27" s="64">
        <v>2.91</v>
      </c>
      <c r="I27" s="64">
        <v>0.71</v>
      </c>
      <c r="J27" s="64">
        <v>0.21</v>
      </c>
      <c r="K27" s="64">
        <v>342.07</v>
      </c>
      <c r="L27" s="64">
        <v>22.69</v>
      </c>
      <c r="M27" s="64">
        <v>98.14</v>
      </c>
      <c r="N27" s="64">
        <v>49.7</v>
      </c>
      <c r="O27" s="64">
        <v>0.4</v>
      </c>
      <c r="P27" s="64">
        <v>0.19</v>
      </c>
      <c r="Q27" s="64">
        <v>8.9499999999999993</v>
      </c>
      <c r="R27" s="198"/>
      <c r="S27" s="198"/>
      <c r="T27" s="198"/>
      <c r="U27" s="198"/>
    </row>
    <row r="28" spans="1:21" s="12" customFormat="1" x14ac:dyDescent="0.25">
      <c r="A28" s="213" t="s">
        <v>2663</v>
      </c>
      <c r="B28" s="64">
        <v>5.28</v>
      </c>
      <c r="C28" s="64">
        <v>11.52</v>
      </c>
      <c r="D28" s="64">
        <v>10.26</v>
      </c>
      <c r="E28" s="64">
        <v>4.0999999999999996</v>
      </c>
      <c r="F28" s="64">
        <v>3.79</v>
      </c>
      <c r="G28" s="64">
        <v>4.17</v>
      </c>
      <c r="H28" s="64">
        <v>2.91</v>
      </c>
      <c r="I28" s="64">
        <v>0.72</v>
      </c>
      <c r="J28" s="64">
        <v>0.21</v>
      </c>
      <c r="K28" s="64">
        <v>344.2</v>
      </c>
      <c r="L28" s="64">
        <v>22.7</v>
      </c>
      <c r="M28" s="64">
        <v>98.13</v>
      </c>
      <c r="N28" s="64">
        <v>49.8</v>
      </c>
      <c r="O28" s="64">
        <v>0.6</v>
      </c>
      <c r="P28" s="64">
        <v>0.17</v>
      </c>
      <c r="Q28" s="64">
        <v>8.9499999999999993</v>
      </c>
      <c r="R28" s="198"/>
      <c r="S28" s="198"/>
      <c r="T28" s="198"/>
      <c r="U28" s="198"/>
    </row>
    <row r="29" spans="1:21" s="12" customFormat="1" x14ac:dyDescent="0.25">
      <c r="A29" s="213" t="s">
        <v>2664</v>
      </c>
      <c r="B29" s="64">
        <v>5.3</v>
      </c>
      <c r="C29" s="64">
        <v>11.6</v>
      </c>
      <c r="D29" s="64">
        <v>10.31</v>
      </c>
      <c r="E29" s="64">
        <v>4.0599999999999996</v>
      </c>
      <c r="F29" s="64">
        <v>4.13</v>
      </c>
      <c r="G29" s="64">
        <v>3.89</v>
      </c>
      <c r="H29" s="64">
        <v>2.78</v>
      </c>
      <c r="I29" s="64">
        <v>0.74</v>
      </c>
      <c r="J29" s="64">
        <v>0.22</v>
      </c>
      <c r="K29" s="64">
        <v>338.57</v>
      </c>
      <c r="L29" s="64">
        <v>22.7</v>
      </c>
      <c r="M29" s="64">
        <v>98.13</v>
      </c>
      <c r="N29" s="64">
        <v>50</v>
      </c>
      <c r="O29" s="64">
        <v>0.6</v>
      </c>
      <c r="P29" s="64">
        <v>0.19</v>
      </c>
      <c r="Q29" s="64">
        <v>8.94</v>
      </c>
      <c r="R29" s="198"/>
      <c r="S29" s="198"/>
      <c r="T29" s="198"/>
      <c r="U29" s="198"/>
    </row>
    <row r="30" spans="1:21" s="12" customFormat="1" x14ac:dyDescent="0.25">
      <c r="A30" s="213" t="s">
        <v>2665</v>
      </c>
      <c r="B30" s="64">
        <v>5.28</v>
      </c>
      <c r="C30" s="64">
        <v>11.75</v>
      </c>
      <c r="D30" s="64">
        <v>10.37</v>
      </c>
      <c r="E30" s="64">
        <v>4.1500000000000004</v>
      </c>
      <c r="F30" s="64">
        <v>3.2</v>
      </c>
      <c r="G30" s="64">
        <v>2.97</v>
      </c>
      <c r="H30" s="64">
        <v>2.3199999999999998</v>
      </c>
      <c r="I30" s="64">
        <v>0.72</v>
      </c>
      <c r="J30" s="64">
        <v>0.27</v>
      </c>
      <c r="K30" s="64">
        <v>339.71</v>
      </c>
      <c r="L30" s="64">
        <v>22.71</v>
      </c>
      <c r="M30" s="64">
        <v>98.13</v>
      </c>
      <c r="N30" s="64">
        <v>50.2</v>
      </c>
      <c r="O30" s="64">
        <v>0</v>
      </c>
      <c r="P30" s="64">
        <v>0.18</v>
      </c>
      <c r="Q30" s="64">
        <v>8.9499999999999993</v>
      </c>
      <c r="R30" s="198"/>
      <c r="S30" s="198"/>
      <c r="T30" s="198"/>
      <c r="U30" s="198"/>
    </row>
    <row r="31" spans="1:21" s="12" customFormat="1" x14ac:dyDescent="0.25">
      <c r="A31" s="213" t="s">
        <v>2666</v>
      </c>
      <c r="B31" s="64">
        <v>5.37</v>
      </c>
      <c r="C31" s="64">
        <v>11.79</v>
      </c>
      <c r="D31" s="64">
        <v>10.47</v>
      </c>
      <c r="E31" s="64">
        <v>3.9</v>
      </c>
      <c r="F31" s="64">
        <v>3.59</v>
      </c>
      <c r="G31" s="64">
        <v>2.97</v>
      </c>
      <c r="H31" s="64">
        <v>2.3199999999999998</v>
      </c>
      <c r="I31" s="64">
        <v>0.68</v>
      </c>
      <c r="J31" s="64">
        <v>0.18</v>
      </c>
      <c r="K31" s="64">
        <v>329.64</v>
      </c>
      <c r="L31" s="64">
        <v>22.7</v>
      </c>
      <c r="M31" s="64">
        <v>98.13</v>
      </c>
      <c r="N31" s="64">
        <v>51.4</v>
      </c>
      <c r="O31" s="64">
        <v>0</v>
      </c>
      <c r="P31" s="64">
        <v>0.17</v>
      </c>
      <c r="Q31" s="64">
        <v>8.98</v>
      </c>
      <c r="R31" s="198"/>
      <c r="S31" s="198"/>
      <c r="T31" s="198"/>
      <c r="U31" s="198"/>
    </row>
    <row r="32" spans="1:21" s="12" customFormat="1" x14ac:dyDescent="0.25">
      <c r="A32" s="213" t="s">
        <v>2667</v>
      </c>
      <c r="B32" s="64">
        <v>5.63</v>
      </c>
      <c r="C32" s="64">
        <v>11.97</v>
      </c>
      <c r="D32" s="64">
        <v>10.77</v>
      </c>
      <c r="E32" s="64">
        <v>3.74</v>
      </c>
      <c r="F32" s="64">
        <v>3.56</v>
      </c>
      <c r="G32" s="64">
        <v>2.97</v>
      </c>
      <c r="H32" s="64">
        <v>2.3199999999999998</v>
      </c>
      <c r="I32" s="64">
        <v>0.65</v>
      </c>
      <c r="J32" s="64">
        <v>0.19</v>
      </c>
      <c r="K32" s="64">
        <v>325.58999999999997</v>
      </c>
      <c r="L32" s="64">
        <v>22.73</v>
      </c>
      <c r="M32" s="64">
        <v>98.13</v>
      </c>
      <c r="N32" s="64">
        <v>54.9</v>
      </c>
      <c r="O32" s="64">
        <v>0</v>
      </c>
      <c r="P32" s="64">
        <v>0.16</v>
      </c>
      <c r="Q32" s="64">
        <v>8.99</v>
      </c>
      <c r="R32" s="198"/>
      <c r="S32" s="198"/>
      <c r="T32" s="198"/>
      <c r="U32" s="198"/>
    </row>
    <row r="33" spans="1:21" s="12" customFormat="1" x14ac:dyDescent="0.25">
      <c r="A33" s="213" t="s">
        <v>2668</v>
      </c>
      <c r="B33" s="64">
        <v>5.62</v>
      </c>
      <c r="C33" s="64">
        <v>12.03</v>
      </c>
      <c r="D33" s="64">
        <v>10.79</v>
      </c>
      <c r="E33" s="64">
        <v>3.74</v>
      </c>
      <c r="F33" s="64">
        <v>3.87</v>
      </c>
      <c r="G33" s="64">
        <v>2.85</v>
      </c>
      <c r="H33" s="64">
        <v>2.25</v>
      </c>
      <c r="I33" s="64">
        <v>0.65</v>
      </c>
      <c r="J33" s="64">
        <v>0.19</v>
      </c>
      <c r="K33" s="64">
        <v>336.17</v>
      </c>
      <c r="L33" s="64">
        <v>22.67</v>
      </c>
      <c r="M33" s="64">
        <v>98.06</v>
      </c>
      <c r="N33" s="64">
        <v>56.5</v>
      </c>
      <c r="O33" s="64">
        <v>0</v>
      </c>
      <c r="P33" s="64">
        <v>0.16</v>
      </c>
      <c r="Q33" s="64">
        <v>8.99</v>
      </c>
      <c r="R33" s="198"/>
      <c r="S33" s="198"/>
      <c r="T33" s="198"/>
      <c r="U33" s="198"/>
    </row>
    <row r="34" spans="1:21" s="12" customFormat="1" x14ac:dyDescent="0.25">
      <c r="A34" s="213" t="s">
        <v>2669</v>
      </c>
      <c r="B34" s="64">
        <v>6.05</v>
      </c>
      <c r="C34" s="64">
        <v>13.11</v>
      </c>
      <c r="D34" s="64">
        <v>11.7</v>
      </c>
      <c r="E34" s="64">
        <v>3.6</v>
      </c>
      <c r="F34" s="64">
        <v>3.82</v>
      </c>
      <c r="G34" s="64">
        <v>2.4300000000000002</v>
      </c>
      <c r="H34" s="64">
        <v>2</v>
      </c>
      <c r="I34" s="64">
        <v>0.64</v>
      </c>
      <c r="J34" s="64">
        <v>0.16</v>
      </c>
      <c r="K34" s="64">
        <v>329.73</v>
      </c>
      <c r="L34" s="64">
        <v>22.66</v>
      </c>
      <c r="M34" s="64">
        <v>98.05</v>
      </c>
      <c r="N34" s="64">
        <v>56.9</v>
      </c>
      <c r="O34" s="64">
        <v>0</v>
      </c>
      <c r="P34" s="64">
        <v>0.16</v>
      </c>
      <c r="Q34" s="64">
        <v>9.01</v>
      </c>
      <c r="R34" s="198"/>
      <c r="S34" s="198"/>
      <c r="T34" s="198"/>
      <c r="U34" s="198"/>
    </row>
    <row r="35" spans="1:21" s="12" customFormat="1" x14ac:dyDescent="0.25">
      <c r="A35" s="213" t="s">
        <v>2670</v>
      </c>
      <c r="B35" s="64">
        <v>6.62</v>
      </c>
      <c r="C35" s="64">
        <v>12.36</v>
      </c>
      <c r="D35" s="64">
        <v>11.77</v>
      </c>
      <c r="E35" s="64">
        <v>3.9</v>
      </c>
      <c r="F35" s="64">
        <v>3.8</v>
      </c>
      <c r="G35" s="64">
        <v>2.4300000000000002</v>
      </c>
      <c r="H35" s="64">
        <v>2</v>
      </c>
      <c r="I35" s="64">
        <v>0.64</v>
      </c>
      <c r="J35" s="64">
        <v>0.17</v>
      </c>
      <c r="K35" s="64">
        <v>319.98</v>
      </c>
      <c r="L35" s="64">
        <v>22.62</v>
      </c>
      <c r="M35" s="64">
        <v>98.04</v>
      </c>
      <c r="N35" s="64">
        <v>60.9</v>
      </c>
      <c r="O35" s="64">
        <v>0</v>
      </c>
      <c r="P35" s="64">
        <v>0.16</v>
      </c>
      <c r="Q35" s="64">
        <v>9.02</v>
      </c>
      <c r="R35" s="198"/>
      <c r="S35" s="198"/>
      <c r="T35" s="198"/>
      <c r="U35" s="198"/>
    </row>
    <row r="36" spans="1:21" s="12" customFormat="1" x14ac:dyDescent="0.25">
      <c r="A36" s="213" t="s">
        <v>2671</v>
      </c>
      <c r="B36" s="64">
        <v>5.97</v>
      </c>
      <c r="C36" s="64">
        <v>12.05</v>
      </c>
      <c r="D36" s="64">
        <v>11.09</v>
      </c>
      <c r="E36" s="64">
        <v>3.95</v>
      </c>
      <c r="F36" s="64">
        <v>3.86</v>
      </c>
      <c r="G36" s="64">
        <v>2.4300000000000002</v>
      </c>
      <c r="H36" s="64">
        <v>2</v>
      </c>
      <c r="I36" s="64">
        <v>0.64</v>
      </c>
      <c r="J36" s="64">
        <v>0.27</v>
      </c>
      <c r="K36" s="64">
        <v>322.95</v>
      </c>
      <c r="L36" s="64">
        <v>22.48</v>
      </c>
      <c r="M36" s="64">
        <v>98.05</v>
      </c>
      <c r="N36" s="64">
        <v>71.5</v>
      </c>
      <c r="O36" s="64">
        <v>0</v>
      </c>
      <c r="P36" s="64">
        <v>0.17</v>
      </c>
      <c r="Q36" s="64">
        <v>9.02</v>
      </c>
      <c r="R36" s="198"/>
      <c r="S36" s="198"/>
      <c r="T36" s="198"/>
      <c r="U36" s="198"/>
    </row>
    <row r="37" spans="1:21" s="12" customFormat="1" x14ac:dyDescent="0.25">
      <c r="A37" s="213" t="s">
        <v>2672</v>
      </c>
      <c r="B37" s="64">
        <v>5.78</v>
      </c>
      <c r="C37" s="64">
        <v>12.18</v>
      </c>
      <c r="D37" s="64">
        <v>11</v>
      </c>
      <c r="E37" s="64">
        <v>3.8</v>
      </c>
      <c r="F37" s="64">
        <v>3.72</v>
      </c>
      <c r="G37" s="64">
        <v>2.27</v>
      </c>
      <c r="H37" s="64">
        <v>1.94</v>
      </c>
      <c r="I37" s="64">
        <v>0.66</v>
      </c>
      <c r="J37" s="64">
        <v>0.24</v>
      </c>
      <c r="K37" s="64">
        <v>326.58999999999997</v>
      </c>
      <c r="L37" s="64">
        <v>22.41</v>
      </c>
      <c r="M37" s="64">
        <v>98.05</v>
      </c>
      <c r="N37" s="64">
        <v>71.099999999999994</v>
      </c>
      <c r="O37" s="64">
        <v>0</v>
      </c>
      <c r="P37" s="64">
        <v>0.15</v>
      </c>
      <c r="Q37" s="64">
        <v>9.02</v>
      </c>
      <c r="R37" s="198"/>
      <c r="S37" s="198"/>
      <c r="T37" s="198"/>
      <c r="U37" s="198"/>
    </row>
    <row r="38" spans="1:21" s="12" customFormat="1" x14ac:dyDescent="0.25">
      <c r="A38" s="213" t="s">
        <v>2673</v>
      </c>
      <c r="B38" s="64">
        <v>5.71</v>
      </c>
      <c r="C38" s="64">
        <v>12.16</v>
      </c>
      <c r="D38" s="64">
        <v>10.93</v>
      </c>
      <c r="E38" s="64">
        <v>3.95</v>
      </c>
      <c r="F38" s="64">
        <v>4.26</v>
      </c>
      <c r="G38" s="64">
        <v>1.75</v>
      </c>
      <c r="H38" s="64">
        <v>1.74</v>
      </c>
      <c r="I38" s="64">
        <v>0.67</v>
      </c>
      <c r="J38" s="64">
        <v>0.23</v>
      </c>
      <c r="K38" s="64">
        <v>316.04000000000002</v>
      </c>
      <c r="L38" s="64">
        <v>22.36</v>
      </c>
      <c r="M38" s="64">
        <v>98.06</v>
      </c>
      <c r="N38" s="64">
        <v>85.8</v>
      </c>
      <c r="O38" s="64">
        <v>0</v>
      </c>
      <c r="P38" s="64">
        <v>0.17</v>
      </c>
      <c r="Q38" s="64">
        <v>9.01</v>
      </c>
      <c r="R38" s="198"/>
      <c r="S38" s="198"/>
      <c r="T38" s="198"/>
      <c r="U38" s="198"/>
    </row>
    <row r="39" spans="1:21" s="12" customFormat="1" x14ac:dyDescent="0.25">
      <c r="A39" s="213" t="s">
        <v>2674</v>
      </c>
      <c r="B39" s="64">
        <v>5.75</v>
      </c>
      <c r="C39" s="64">
        <v>12.07</v>
      </c>
      <c r="D39" s="64">
        <v>10.91</v>
      </c>
      <c r="E39" s="64">
        <v>4.1100000000000003</v>
      </c>
      <c r="F39" s="64">
        <v>3.37</v>
      </c>
      <c r="G39" s="64">
        <v>1.75</v>
      </c>
      <c r="H39" s="64">
        <v>1.74</v>
      </c>
      <c r="I39" s="64">
        <v>0.67</v>
      </c>
      <c r="J39" s="64">
        <v>0.18</v>
      </c>
      <c r="K39" s="64">
        <v>319.79000000000002</v>
      </c>
      <c r="L39" s="64">
        <v>22.35</v>
      </c>
      <c r="M39" s="64">
        <v>98.08</v>
      </c>
      <c r="N39" s="64">
        <v>88.9</v>
      </c>
      <c r="O39" s="64">
        <v>0</v>
      </c>
      <c r="P39" s="64">
        <v>0.18</v>
      </c>
      <c r="Q39" s="64">
        <v>8.99</v>
      </c>
      <c r="R39" s="198"/>
      <c r="S39" s="198"/>
      <c r="T39" s="198"/>
      <c r="U39" s="198"/>
    </row>
    <row r="40" spans="1:21" s="12" customFormat="1" x14ac:dyDescent="0.25">
      <c r="A40" s="213" t="s">
        <v>2675</v>
      </c>
      <c r="B40" s="64">
        <v>5.64</v>
      </c>
      <c r="C40" s="64">
        <v>12.21</v>
      </c>
      <c r="D40" s="64">
        <v>10.91</v>
      </c>
      <c r="E40" s="64">
        <v>2.9</v>
      </c>
      <c r="F40" s="64">
        <v>3.24</v>
      </c>
      <c r="G40" s="64">
        <v>1.75</v>
      </c>
      <c r="H40" s="64">
        <v>1.74</v>
      </c>
      <c r="I40" s="64">
        <v>0.66</v>
      </c>
      <c r="J40" s="64">
        <v>0.15</v>
      </c>
      <c r="K40" s="64">
        <v>328.61</v>
      </c>
      <c r="L40" s="64">
        <v>22.38</v>
      </c>
      <c r="M40" s="64">
        <v>98.07</v>
      </c>
      <c r="N40" s="64">
        <v>92.2</v>
      </c>
      <c r="O40" s="64">
        <v>0</v>
      </c>
      <c r="P40" s="64">
        <v>0.17</v>
      </c>
      <c r="Q40" s="64">
        <v>8.99</v>
      </c>
      <c r="R40" s="198"/>
      <c r="S40" s="198"/>
      <c r="T40" s="198"/>
      <c r="U40" s="198"/>
    </row>
    <row r="41" spans="1:21" s="12" customFormat="1" x14ac:dyDescent="0.25">
      <c r="A41" s="213" t="s">
        <v>2676</v>
      </c>
      <c r="B41" s="64">
        <v>5.66</v>
      </c>
      <c r="C41" s="64">
        <v>12.17</v>
      </c>
      <c r="D41" s="64">
        <v>10.9</v>
      </c>
      <c r="E41" s="64">
        <v>3.69</v>
      </c>
      <c r="F41" s="64">
        <v>3.75</v>
      </c>
      <c r="G41" s="64">
        <v>1.65</v>
      </c>
      <c r="H41" s="64">
        <v>1.65</v>
      </c>
      <c r="I41" s="64">
        <v>0.67</v>
      </c>
      <c r="J41" s="64">
        <v>0.24</v>
      </c>
      <c r="K41" s="64">
        <v>324.95999999999998</v>
      </c>
      <c r="L41" s="64">
        <v>22.58</v>
      </c>
      <c r="M41" s="64">
        <v>98.07</v>
      </c>
      <c r="N41" s="64">
        <v>112.1</v>
      </c>
      <c r="O41" s="64">
        <v>0</v>
      </c>
      <c r="P41" s="64">
        <v>0.18</v>
      </c>
      <c r="Q41" s="64">
        <v>8.98</v>
      </c>
      <c r="R41" s="198"/>
      <c r="S41" s="198"/>
      <c r="T41" s="198"/>
      <c r="U41" s="198"/>
    </row>
    <row r="42" spans="1:21" s="12" customFormat="1" x14ac:dyDescent="0.25">
      <c r="A42" s="213" t="s">
        <v>2677</v>
      </c>
      <c r="B42" s="64">
        <v>5.76</v>
      </c>
      <c r="C42" s="64">
        <v>12.27</v>
      </c>
      <c r="D42" s="64">
        <v>11.04</v>
      </c>
      <c r="E42" s="64">
        <v>3.76</v>
      </c>
      <c r="F42" s="64">
        <v>3.39</v>
      </c>
      <c r="G42" s="64">
        <v>1.32</v>
      </c>
      <c r="H42" s="64">
        <v>1.37</v>
      </c>
      <c r="I42" s="64">
        <v>0.67</v>
      </c>
      <c r="J42" s="64">
        <v>0.18</v>
      </c>
      <c r="K42" s="64">
        <v>316.55</v>
      </c>
      <c r="L42" s="64">
        <v>22.75</v>
      </c>
      <c r="M42" s="64">
        <v>98.06</v>
      </c>
      <c r="N42" s="64">
        <v>99.1</v>
      </c>
      <c r="O42" s="64">
        <v>0</v>
      </c>
      <c r="P42" s="64">
        <v>0.18</v>
      </c>
      <c r="Q42" s="64">
        <v>8.98</v>
      </c>
      <c r="R42" s="198"/>
      <c r="S42" s="198"/>
      <c r="T42" s="198"/>
      <c r="U42" s="198"/>
    </row>
    <row r="43" spans="1:21" s="12" customFormat="1" x14ac:dyDescent="0.25">
      <c r="A43" s="213" t="s">
        <v>2678</v>
      </c>
      <c r="B43" s="64">
        <v>5.81</v>
      </c>
      <c r="C43" s="64">
        <v>12.38</v>
      </c>
      <c r="D43" s="64">
        <v>11.13</v>
      </c>
      <c r="E43" s="64">
        <v>3.79</v>
      </c>
      <c r="F43" s="64">
        <v>3.53</v>
      </c>
      <c r="G43" s="64">
        <v>1.32</v>
      </c>
      <c r="H43" s="64">
        <v>1.37</v>
      </c>
      <c r="I43" s="64">
        <v>0.69</v>
      </c>
      <c r="J43" s="64">
        <v>0.16</v>
      </c>
      <c r="K43" s="64">
        <v>315.35000000000002</v>
      </c>
      <c r="L43" s="64">
        <v>22.85</v>
      </c>
      <c r="M43" s="64">
        <v>98.08</v>
      </c>
      <c r="N43" s="64">
        <v>81.099999999999994</v>
      </c>
      <c r="O43" s="64">
        <v>0</v>
      </c>
      <c r="P43" s="64">
        <v>0.18</v>
      </c>
      <c r="Q43" s="64">
        <v>8.9700000000000006</v>
      </c>
      <c r="R43" s="198"/>
      <c r="S43" s="198"/>
      <c r="T43" s="198"/>
      <c r="U43" s="198"/>
    </row>
    <row r="44" spans="1:21" s="12" customFormat="1" x14ac:dyDescent="0.25">
      <c r="A44" s="213" t="s">
        <v>2679</v>
      </c>
      <c r="B44" s="64">
        <v>5.87</v>
      </c>
      <c r="C44" s="64">
        <v>12.48</v>
      </c>
      <c r="D44" s="64">
        <v>11.23</v>
      </c>
      <c r="E44" s="64">
        <v>3.59</v>
      </c>
      <c r="F44" s="64">
        <v>3.66</v>
      </c>
      <c r="G44" s="64">
        <v>1.32</v>
      </c>
      <c r="H44" s="64">
        <v>1.37</v>
      </c>
      <c r="I44" s="64">
        <v>0.71</v>
      </c>
      <c r="J44" s="64">
        <v>0.21</v>
      </c>
      <c r="K44" s="64">
        <v>315.85000000000002</v>
      </c>
      <c r="L44" s="64">
        <v>22.9</v>
      </c>
      <c r="M44" s="64">
        <v>98.09</v>
      </c>
      <c r="N44" s="64">
        <v>101</v>
      </c>
      <c r="O44" s="64">
        <v>0</v>
      </c>
      <c r="P44" s="64">
        <v>0.19</v>
      </c>
      <c r="Q44" s="64">
        <v>8.9600000000000009</v>
      </c>
      <c r="R44" s="198"/>
      <c r="S44" s="198"/>
      <c r="T44" s="198"/>
      <c r="U44" s="198"/>
    </row>
    <row r="45" spans="1:21" s="12" customFormat="1" x14ac:dyDescent="0.25">
      <c r="A45" s="213" t="s">
        <v>2680</v>
      </c>
      <c r="B45" s="64">
        <v>6.08</v>
      </c>
      <c r="C45" s="64">
        <v>12.43</v>
      </c>
      <c r="D45" s="64">
        <v>11.37</v>
      </c>
      <c r="E45" s="64">
        <v>3.61</v>
      </c>
      <c r="F45" s="64">
        <v>3.65</v>
      </c>
      <c r="G45" s="64">
        <v>1.28</v>
      </c>
      <c r="H45" s="64">
        <v>1.33</v>
      </c>
      <c r="I45" s="64">
        <v>0.72</v>
      </c>
      <c r="J45" s="64">
        <v>0.21</v>
      </c>
      <c r="K45" s="64">
        <v>303.12</v>
      </c>
      <c r="L45" s="64">
        <v>23.02</v>
      </c>
      <c r="M45" s="64">
        <v>98.1</v>
      </c>
      <c r="N45" s="64">
        <v>101</v>
      </c>
      <c r="O45" s="64">
        <v>0</v>
      </c>
      <c r="P45" s="64">
        <v>0.19</v>
      </c>
      <c r="Q45" s="64">
        <v>8.9600000000000009</v>
      </c>
      <c r="R45" s="198"/>
      <c r="S45" s="198"/>
      <c r="T45" s="198"/>
      <c r="U45" s="198"/>
    </row>
    <row r="46" spans="1:21" s="12" customFormat="1" x14ac:dyDescent="0.25">
      <c r="A46" s="213" t="s">
        <v>2681</v>
      </c>
      <c r="B46" s="64">
        <v>6.32</v>
      </c>
      <c r="C46" s="64">
        <v>12.6</v>
      </c>
      <c r="D46" s="64">
        <v>11.65</v>
      </c>
      <c r="E46" s="64">
        <v>3.57</v>
      </c>
      <c r="F46" s="64">
        <v>4.0999999999999996</v>
      </c>
      <c r="G46" s="64">
        <v>1.1399999999999999</v>
      </c>
      <c r="H46" s="64">
        <v>1.21</v>
      </c>
      <c r="I46" s="64">
        <v>0.75</v>
      </c>
      <c r="J46" s="64">
        <v>0.14000000000000001</v>
      </c>
      <c r="K46" s="64">
        <v>307.88</v>
      </c>
      <c r="L46" s="64">
        <v>23.07</v>
      </c>
      <c r="M46" s="64">
        <v>98.12</v>
      </c>
      <c r="N46" s="64">
        <v>98.8</v>
      </c>
      <c r="O46" s="64">
        <v>0</v>
      </c>
      <c r="P46" s="64">
        <v>0.21</v>
      </c>
      <c r="Q46" s="64">
        <v>8.9700000000000006</v>
      </c>
      <c r="R46" s="198"/>
      <c r="S46" s="198"/>
      <c r="T46" s="198"/>
      <c r="U46" s="198"/>
    </row>
    <row r="47" spans="1:21" s="12" customFormat="1" x14ac:dyDescent="0.25">
      <c r="A47" s="213" t="s">
        <v>2682</v>
      </c>
      <c r="B47" s="64">
        <v>6.51</v>
      </c>
      <c r="C47" s="64">
        <v>12.48</v>
      </c>
      <c r="D47" s="64">
        <v>11.74</v>
      </c>
      <c r="E47" s="64">
        <v>3.35</v>
      </c>
      <c r="F47" s="64">
        <v>3.04</v>
      </c>
      <c r="G47" s="64">
        <v>1.1399999999999999</v>
      </c>
      <c r="H47" s="64">
        <v>1.21</v>
      </c>
      <c r="I47" s="64">
        <v>0.78</v>
      </c>
      <c r="J47" s="64">
        <v>0.22</v>
      </c>
      <c r="K47" s="64">
        <v>298.23</v>
      </c>
      <c r="L47" s="64">
        <v>23.28</v>
      </c>
      <c r="M47" s="64">
        <v>98.12</v>
      </c>
      <c r="N47" s="64">
        <v>126.2</v>
      </c>
      <c r="O47" s="64">
        <v>0</v>
      </c>
      <c r="P47" s="64">
        <v>0.22</v>
      </c>
      <c r="Q47" s="64">
        <v>8.98</v>
      </c>
      <c r="R47" s="198"/>
      <c r="S47" s="198"/>
      <c r="T47" s="198"/>
      <c r="U47" s="198"/>
    </row>
    <row r="48" spans="1:21" s="12" customFormat="1" x14ac:dyDescent="0.25">
      <c r="A48" s="213" t="s">
        <v>2683</v>
      </c>
      <c r="B48" s="64">
        <v>6.58</v>
      </c>
      <c r="C48" s="64">
        <v>12.64</v>
      </c>
      <c r="D48" s="64">
        <v>11.88</v>
      </c>
      <c r="E48" s="64">
        <v>3.76</v>
      </c>
      <c r="F48" s="64">
        <v>3.54</v>
      </c>
      <c r="G48" s="64">
        <v>1.1399999999999999</v>
      </c>
      <c r="H48" s="64">
        <v>1.21</v>
      </c>
      <c r="I48" s="64">
        <v>0.81</v>
      </c>
      <c r="J48" s="64">
        <v>0.2</v>
      </c>
      <c r="K48" s="64">
        <v>302.33999999999997</v>
      </c>
      <c r="L48" s="64">
        <v>23.45</v>
      </c>
      <c r="M48" s="64">
        <v>98.1</v>
      </c>
      <c r="N48" s="64">
        <v>106.2</v>
      </c>
      <c r="O48" s="64">
        <v>0</v>
      </c>
      <c r="P48" s="64">
        <v>0.23</v>
      </c>
      <c r="Q48" s="64">
        <v>9</v>
      </c>
      <c r="R48" s="198"/>
      <c r="S48" s="198"/>
      <c r="T48" s="198"/>
      <c r="U48" s="198"/>
    </row>
    <row r="49" spans="1:21" s="12" customFormat="1" x14ac:dyDescent="0.25">
      <c r="A49" s="213" t="s">
        <v>2684</v>
      </c>
      <c r="B49" s="64">
        <v>7.12</v>
      </c>
      <c r="C49" s="64">
        <v>13.49</v>
      </c>
      <c r="D49" s="64">
        <v>12.76</v>
      </c>
      <c r="E49" s="64">
        <v>3.83</v>
      </c>
      <c r="F49" s="64">
        <v>3.78</v>
      </c>
      <c r="G49" s="64">
        <v>1.1200000000000001</v>
      </c>
      <c r="H49" s="64">
        <v>1.1499999999999999</v>
      </c>
      <c r="I49" s="64">
        <v>0.81</v>
      </c>
      <c r="J49" s="64">
        <v>0.21</v>
      </c>
      <c r="K49" s="64">
        <v>309.32</v>
      </c>
      <c r="L49" s="64">
        <v>23.44</v>
      </c>
      <c r="M49" s="64">
        <v>98.06</v>
      </c>
      <c r="N49" s="64">
        <v>129.69999999999999</v>
      </c>
      <c r="O49" s="64">
        <v>0</v>
      </c>
      <c r="P49" s="64">
        <v>0.24</v>
      </c>
      <c r="Q49" s="64">
        <v>9.02</v>
      </c>
      <c r="R49" s="198"/>
      <c r="S49" s="198"/>
      <c r="T49" s="198"/>
      <c r="U49" s="198"/>
    </row>
    <row r="50" spans="1:21" s="12" customFormat="1" x14ac:dyDescent="0.25">
      <c r="A50" s="213" t="s">
        <v>2685</v>
      </c>
      <c r="B50" s="64">
        <v>6.7</v>
      </c>
      <c r="C50" s="64">
        <v>12.77</v>
      </c>
      <c r="D50" s="64">
        <v>12.04</v>
      </c>
      <c r="E50" s="64">
        <v>3.09</v>
      </c>
      <c r="F50" s="64">
        <v>3.17</v>
      </c>
      <c r="G50" s="64">
        <v>1.06</v>
      </c>
      <c r="H50" s="64">
        <v>0.96</v>
      </c>
      <c r="I50" s="64">
        <v>0.81</v>
      </c>
      <c r="J50" s="64">
        <v>0.21</v>
      </c>
      <c r="K50" s="64">
        <v>302.45</v>
      </c>
      <c r="L50" s="64">
        <v>23.61</v>
      </c>
      <c r="M50" s="64">
        <v>98.06</v>
      </c>
      <c r="N50" s="64">
        <v>135.30000000000001</v>
      </c>
      <c r="O50" s="64">
        <v>0</v>
      </c>
      <c r="P50" s="64">
        <v>0.23</v>
      </c>
      <c r="Q50" s="64">
        <v>9.0399999999999991</v>
      </c>
      <c r="R50" s="198"/>
      <c r="S50" s="198"/>
      <c r="T50" s="198"/>
      <c r="U50" s="198"/>
    </row>
    <row r="51" spans="1:21" s="12" customFormat="1" x14ac:dyDescent="0.25">
      <c r="A51" s="213" t="s">
        <v>2686</v>
      </c>
      <c r="B51" s="64">
        <v>6.75</v>
      </c>
      <c r="C51" s="64">
        <v>12.62</v>
      </c>
      <c r="D51" s="64">
        <v>12.01</v>
      </c>
      <c r="E51" s="64">
        <v>3.73</v>
      </c>
      <c r="F51" s="64">
        <v>2.84</v>
      </c>
      <c r="G51" s="64">
        <v>1.06</v>
      </c>
      <c r="H51" s="64">
        <v>0.96</v>
      </c>
      <c r="I51" s="64">
        <v>0.83</v>
      </c>
      <c r="J51" s="64">
        <v>0.28000000000000003</v>
      </c>
      <c r="K51" s="64">
        <v>304.81</v>
      </c>
      <c r="L51" s="64">
        <v>23.79</v>
      </c>
      <c r="M51" s="64">
        <v>98.07</v>
      </c>
      <c r="N51" s="64">
        <v>166.9</v>
      </c>
      <c r="O51" s="64">
        <v>0</v>
      </c>
      <c r="P51" s="64">
        <v>0.25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2687</v>
      </c>
      <c r="B52" s="64">
        <v>6.63</v>
      </c>
      <c r="C52" s="64">
        <v>12.69</v>
      </c>
      <c r="D52" s="64">
        <v>11.95</v>
      </c>
      <c r="E52" s="64">
        <v>3.73</v>
      </c>
      <c r="F52" s="64">
        <v>3.14</v>
      </c>
      <c r="G52" s="64">
        <v>1.06</v>
      </c>
      <c r="H52" s="64">
        <v>0.96</v>
      </c>
      <c r="I52" s="64">
        <v>0.86</v>
      </c>
      <c r="J52" s="64">
        <v>0.19</v>
      </c>
      <c r="K52" s="64">
        <v>300.55</v>
      </c>
      <c r="L52" s="64">
        <v>23.82</v>
      </c>
      <c r="M52" s="64">
        <v>98.07</v>
      </c>
      <c r="N52" s="64">
        <v>163.30000000000001</v>
      </c>
      <c r="O52" s="64">
        <v>0</v>
      </c>
      <c r="P52" s="64">
        <v>0.25</v>
      </c>
      <c r="Q52" s="64">
        <v>9.0500000000000007</v>
      </c>
      <c r="R52" s="198"/>
      <c r="S52" s="198"/>
      <c r="T52" s="198"/>
      <c r="U52" s="198"/>
    </row>
    <row r="53" spans="1:21" s="12" customFormat="1" x14ac:dyDescent="0.25">
      <c r="A53" s="213" t="s">
        <v>2688</v>
      </c>
      <c r="B53" s="64">
        <v>6.59</v>
      </c>
      <c r="C53" s="64">
        <v>12.73</v>
      </c>
      <c r="D53" s="64">
        <v>11.93</v>
      </c>
      <c r="E53" s="64">
        <v>3.77</v>
      </c>
      <c r="F53" s="64">
        <v>3.41</v>
      </c>
      <c r="G53" s="64">
        <v>1.0900000000000001</v>
      </c>
      <c r="H53" s="64">
        <v>0.94</v>
      </c>
      <c r="I53" s="64">
        <v>0.87</v>
      </c>
      <c r="J53" s="64">
        <v>0.19</v>
      </c>
      <c r="K53" s="64">
        <v>306.67</v>
      </c>
      <c r="L53" s="64">
        <v>24.03</v>
      </c>
      <c r="M53" s="64">
        <v>98.05</v>
      </c>
      <c r="N53" s="64">
        <v>184.1</v>
      </c>
      <c r="O53" s="64">
        <v>0</v>
      </c>
      <c r="P53" s="64">
        <v>0.26</v>
      </c>
      <c r="Q53" s="64">
        <v>9.0500000000000007</v>
      </c>
      <c r="R53" s="198"/>
      <c r="S53" s="198"/>
      <c r="T53" s="198"/>
      <c r="U53" s="198"/>
    </row>
    <row r="54" spans="1:21" s="12" customFormat="1" x14ac:dyDescent="0.25">
      <c r="A54" s="213" t="s">
        <v>2689</v>
      </c>
      <c r="B54" s="64">
        <v>6.65</v>
      </c>
      <c r="C54" s="64">
        <v>13.24</v>
      </c>
      <c r="D54" s="64">
        <v>12.25</v>
      </c>
      <c r="E54" s="64">
        <v>3.84</v>
      </c>
      <c r="F54" s="64">
        <v>4.1399999999999997</v>
      </c>
      <c r="G54" s="64">
        <v>1.19</v>
      </c>
      <c r="H54" s="64">
        <v>0.87</v>
      </c>
      <c r="I54" s="64">
        <v>0.87</v>
      </c>
      <c r="J54" s="64">
        <v>0.19</v>
      </c>
      <c r="K54" s="64">
        <v>299.5</v>
      </c>
      <c r="L54" s="64">
        <v>24.25</v>
      </c>
      <c r="M54" s="64">
        <v>98.03</v>
      </c>
      <c r="N54" s="64">
        <v>175.1</v>
      </c>
      <c r="O54" s="64">
        <v>0</v>
      </c>
      <c r="P54" s="64">
        <v>0.27</v>
      </c>
      <c r="Q54" s="64">
        <v>9.07</v>
      </c>
      <c r="R54" s="198"/>
      <c r="S54" s="198"/>
      <c r="T54" s="198"/>
      <c r="U54" s="198"/>
    </row>
    <row r="55" spans="1:21" s="12" customFormat="1" x14ac:dyDescent="0.25">
      <c r="A55" s="213" t="s">
        <v>2690</v>
      </c>
      <c r="B55" s="64">
        <v>6.57</v>
      </c>
      <c r="C55" s="64">
        <v>13.12</v>
      </c>
      <c r="D55" s="64">
        <v>12.12</v>
      </c>
      <c r="E55" s="64">
        <v>3.78</v>
      </c>
      <c r="F55" s="64">
        <v>3.53</v>
      </c>
      <c r="G55" s="64">
        <v>1.19</v>
      </c>
      <c r="H55" s="64">
        <v>0.87</v>
      </c>
      <c r="I55" s="64">
        <v>0.88</v>
      </c>
      <c r="J55" s="64">
        <v>0.23</v>
      </c>
      <c r="K55" s="64">
        <v>297.04000000000002</v>
      </c>
      <c r="L55" s="64">
        <v>24.02</v>
      </c>
      <c r="M55" s="64">
        <v>98.03</v>
      </c>
      <c r="N55" s="64">
        <v>139.1</v>
      </c>
      <c r="O55" s="64">
        <v>0</v>
      </c>
      <c r="P55" s="64">
        <v>0.26</v>
      </c>
      <c r="Q55" s="64">
        <v>9.06</v>
      </c>
      <c r="R55" s="198"/>
      <c r="S55" s="198"/>
      <c r="T55" s="198"/>
      <c r="U55" s="198"/>
    </row>
    <row r="56" spans="1:21" s="12" customFormat="1" x14ac:dyDescent="0.25">
      <c r="A56" s="213" t="s">
        <v>2691</v>
      </c>
      <c r="B56" s="64">
        <v>6.34</v>
      </c>
      <c r="C56" s="64">
        <v>12.99</v>
      </c>
      <c r="D56" s="64">
        <v>11.87</v>
      </c>
      <c r="E56" s="64">
        <v>3.77</v>
      </c>
      <c r="F56" s="64">
        <v>4.21</v>
      </c>
      <c r="G56" s="64">
        <v>1.19</v>
      </c>
      <c r="H56" s="64">
        <v>0.87</v>
      </c>
      <c r="I56" s="64">
        <v>0.9</v>
      </c>
      <c r="J56" s="64">
        <v>0.19</v>
      </c>
      <c r="K56" s="64">
        <v>300.11</v>
      </c>
      <c r="L56" s="64">
        <v>24.12</v>
      </c>
      <c r="M56" s="64">
        <v>98.05</v>
      </c>
      <c r="N56" s="64">
        <v>156.5</v>
      </c>
      <c r="O56" s="64">
        <v>0</v>
      </c>
      <c r="P56" s="64">
        <v>0.27</v>
      </c>
      <c r="Q56" s="64">
        <v>9.0399999999999991</v>
      </c>
      <c r="R56" s="198"/>
      <c r="S56" s="198"/>
      <c r="T56" s="198"/>
      <c r="U56" s="198"/>
    </row>
    <row r="57" spans="1:21" s="12" customFormat="1" x14ac:dyDescent="0.25">
      <c r="A57" s="213" t="s">
        <v>2692</v>
      </c>
      <c r="B57" s="64">
        <v>6.42</v>
      </c>
      <c r="C57" s="64">
        <v>12.97</v>
      </c>
      <c r="D57" s="64">
        <v>11.92</v>
      </c>
      <c r="E57" s="64">
        <v>4.04</v>
      </c>
      <c r="F57" s="64">
        <v>2.84</v>
      </c>
      <c r="G57" s="64">
        <v>1.25</v>
      </c>
      <c r="H57" s="64">
        <v>0.92</v>
      </c>
      <c r="I57" s="64">
        <v>0.93</v>
      </c>
      <c r="J57" s="64">
        <v>0.25</v>
      </c>
      <c r="K57" s="64">
        <v>300.64999999999998</v>
      </c>
      <c r="L57" s="64">
        <v>24.17</v>
      </c>
      <c r="M57" s="64">
        <v>98.05</v>
      </c>
      <c r="N57" s="64">
        <v>150.4</v>
      </c>
      <c r="O57" s="64">
        <v>0</v>
      </c>
      <c r="P57" s="64">
        <v>0.27</v>
      </c>
      <c r="Q57" s="64">
        <v>9.0399999999999991</v>
      </c>
      <c r="R57" s="198"/>
      <c r="S57" s="198"/>
      <c r="T57" s="198"/>
      <c r="U57" s="198"/>
    </row>
    <row r="58" spans="1:21" s="12" customFormat="1" x14ac:dyDescent="0.25">
      <c r="A58" s="213" t="s">
        <v>2693</v>
      </c>
      <c r="B58" s="64">
        <v>6.39</v>
      </c>
      <c r="C58" s="64">
        <v>13</v>
      </c>
      <c r="D58" s="64">
        <v>11.91</v>
      </c>
      <c r="E58" s="64">
        <v>3.66</v>
      </c>
      <c r="F58" s="64">
        <v>3.93</v>
      </c>
      <c r="G58" s="64">
        <v>1.45</v>
      </c>
      <c r="H58" s="64">
        <v>1.08</v>
      </c>
      <c r="I58" s="64">
        <v>0.95</v>
      </c>
      <c r="J58" s="64">
        <v>0.24</v>
      </c>
      <c r="K58" s="64">
        <v>297.27999999999997</v>
      </c>
      <c r="L58" s="64">
        <v>24.15</v>
      </c>
      <c r="M58" s="64">
        <v>98.04</v>
      </c>
      <c r="N58" s="64">
        <v>171.3</v>
      </c>
      <c r="O58" s="64">
        <v>0</v>
      </c>
      <c r="P58" s="64">
        <v>0.26</v>
      </c>
      <c r="Q58" s="64">
        <v>9.0299999999999994</v>
      </c>
      <c r="R58" s="198"/>
      <c r="S58" s="198"/>
      <c r="T58" s="198"/>
      <c r="U58" s="198"/>
    </row>
    <row r="59" spans="1:21" s="12" customFormat="1" x14ac:dyDescent="0.25">
      <c r="A59" s="213" t="s">
        <v>2694</v>
      </c>
      <c r="B59" s="64">
        <v>6.14</v>
      </c>
      <c r="C59" s="64">
        <v>13.1</v>
      </c>
      <c r="D59" s="64">
        <v>11.77</v>
      </c>
      <c r="E59" s="64">
        <v>3.62</v>
      </c>
      <c r="F59" s="64">
        <v>3.28</v>
      </c>
      <c r="G59" s="64">
        <v>1.45</v>
      </c>
      <c r="H59" s="64">
        <v>1.08</v>
      </c>
      <c r="I59" s="64">
        <v>0.89</v>
      </c>
      <c r="J59" s="64">
        <v>0.32</v>
      </c>
      <c r="K59" s="64">
        <v>287.04000000000002</v>
      </c>
      <c r="L59" s="64">
        <v>24.08</v>
      </c>
      <c r="M59" s="64">
        <v>98.05</v>
      </c>
      <c r="N59" s="64">
        <v>179.9</v>
      </c>
      <c r="O59" s="64">
        <v>0</v>
      </c>
      <c r="P59" s="64">
        <v>0.28000000000000003</v>
      </c>
      <c r="Q59" s="64">
        <v>9.01</v>
      </c>
      <c r="R59" s="198"/>
      <c r="S59" s="198"/>
      <c r="T59" s="198"/>
      <c r="U59" s="198"/>
    </row>
    <row r="60" spans="1:21" s="12" customFormat="1" x14ac:dyDescent="0.25">
      <c r="A60" s="213" t="s">
        <v>2695</v>
      </c>
      <c r="B60" s="64">
        <v>5.8</v>
      </c>
      <c r="C60" s="64">
        <v>13.37</v>
      </c>
      <c r="D60" s="64">
        <v>11.63</v>
      </c>
      <c r="E60" s="64">
        <v>3.66</v>
      </c>
      <c r="F60" s="64">
        <v>3.22</v>
      </c>
      <c r="G60" s="64">
        <v>1.45</v>
      </c>
      <c r="H60" s="64">
        <v>1.08</v>
      </c>
      <c r="I60" s="64">
        <v>0.83</v>
      </c>
      <c r="J60" s="64">
        <v>0.34</v>
      </c>
      <c r="K60" s="64">
        <v>286.76</v>
      </c>
      <c r="L60" s="64">
        <v>24.32</v>
      </c>
      <c r="M60" s="64">
        <v>98.05</v>
      </c>
      <c r="N60" s="64">
        <v>170.9</v>
      </c>
      <c r="O60" s="64">
        <v>0</v>
      </c>
      <c r="P60" s="64">
        <v>0.24</v>
      </c>
      <c r="Q60" s="64">
        <v>9.01</v>
      </c>
      <c r="R60" s="198"/>
      <c r="S60" s="198"/>
      <c r="T60" s="198"/>
      <c r="U60" s="198"/>
    </row>
    <row r="61" spans="1:21" s="12" customFormat="1" x14ac:dyDescent="0.25">
      <c r="A61" s="213" t="s">
        <v>2696</v>
      </c>
      <c r="B61" s="64">
        <v>5.59</v>
      </c>
      <c r="C61" s="64">
        <v>13.74</v>
      </c>
      <c r="D61" s="64">
        <v>11.66</v>
      </c>
      <c r="E61" s="64">
        <v>3.77</v>
      </c>
      <c r="F61" s="64">
        <v>4.5599999999999996</v>
      </c>
      <c r="G61" s="64">
        <v>1.84</v>
      </c>
      <c r="H61" s="64">
        <v>1.07</v>
      </c>
      <c r="I61" s="64">
        <v>0.8</v>
      </c>
      <c r="J61" s="64">
        <v>0.33</v>
      </c>
      <c r="K61" s="64">
        <v>288.43</v>
      </c>
      <c r="L61" s="64">
        <v>24.28</v>
      </c>
      <c r="M61" s="64">
        <v>98.05</v>
      </c>
      <c r="N61" s="64">
        <v>147</v>
      </c>
      <c r="O61" s="64">
        <v>0</v>
      </c>
      <c r="P61" s="64">
        <v>0.25</v>
      </c>
      <c r="Q61" s="64">
        <v>8.99</v>
      </c>
      <c r="R61" s="198"/>
      <c r="S61" s="198"/>
      <c r="T61" s="198"/>
      <c r="U61" s="198"/>
    </row>
    <row r="62" spans="1:21" s="12" customFormat="1" x14ac:dyDescent="0.25">
      <c r="A62" s="213" t="s">
        <v>2697</v>
      </c>
      <c r="B62" s="64">
        <v>5.7</v>
      </c>
      <c r="C62" s="64">
        <v>14.21</v>
      </c>
      <c r="D62" s="64">
        <v>11.99</v>
      </c>
      <c r="E62" s="64">
        <v>3.31</v>
      </c>
      <c r="F62" s="64">
        <v>3.32</v>
      </c>
      <c r="G62" s="64">
        <v>3.12</v>
      </c>
      <c r="H62" s="64">
        <v>1.02</v>
      </c>
      <c r="I62" s="64">
        <v>0.76</v>
      </c>
      <c r="J62" s="64">
        <v>0.33</v>
      </c>
      <c r="K62" s="64">
        <v>292.73</v>
      </c>
      <c r="L62" s="64">
        <v>24.17</v>
      </c>
      <c r="M62" s="64">
        <v>98.06</v>
      </c>
      <c r="N62" s="64">
        <v>220.3</v>
      </c>
      <c r="O62" s="64">
        <v>0</v>
      </c>
      <c r="P62" s="64">
        <v>0.26</v>
      </c>
      <c r="Q62" s="64">
        <v>8.98</v>
      </c>
      <c r="R62" s="198"/>
      <c r="S62" s="198"/>
      <c r="T62" s="198"/>
      <c r="U62" s="198"/>
    </row>
    <row r="63" spans="1:21" s="12" customFormat="1" x14ac:dyDescent="0.25">
      <c r="A63" s="213" t="s">
        <v>2698</v>
      </c>
      <c r="B63" s="64">
        <v>5.81</v>
      </c>
      <c r="C63" s="64">
        <v>14.11</v>
      </c>
      <c r="D63" s="64">
        <v>12.03</v>
      </c>
      <c r="E63" s="64">
        <v>3.55</v>
      </c>
      <c r="F63" s="64">
        <v>3.75</v>
      </c>
      <c r="G63" s="64">
        <v>3.12</v>
      </c>
      <c r="H63" s="64">
        <v>1.02</v>
      </c>
      <c r="I63" s="64">
        <v>0.74</v>
      </c>
      <c r="J63" s="64">
        <v>0.26</v>
      </c>
      <c r="K63" s="64">
        <v>292.5</v>
      </c>
      <c r="L63" s="64">
        <v>24.55</v>
      </c>
      <c r="M63" s="64">
        <v>98.04</v>
      </c>
      <c r="N63" s="64">
        <v>241.9</v>
      </c>
      <c r="O63" s="64">
        <v>0</v>
      </c>
      <c r="P63" s="64">
        <v>0.24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13" t="s">
        <v>2699</v>
      </c>
      <c r="B64" s="64">
        <v>5.76</v>
      </c>
      <c r="C64" s="64">
        <v>14.2</v>
      </c>
      <c r="D64" s="64">
        <v>12.04</v>
      </c>
      <c r="E64" s="64">
        <v>3.57</v>
      </c>
      <c r="F64" s="64">
        <v>3.87</v>
      </c>
      <c r="G64" s="64">
        <v>3.12</v>
      </c>
      <c r="H64" s="64">
        <v>1.02</v>
      </c>
      <c r="I64" s="64">
        <v>0.72</v>
      </c>
      <c r="J64" s="64">
        <v>0.32</v>
      </c>
      <c r="K64" s="64">
        <v>294.60000000000002</v>
      </c>
      <c r="L64" s="64">
        <v>24.84</v>
      </c>
      <c r="M64" s="64">
        <v>98.03</v>
      </c>
      <c r="N64" s="64">
        <v>252.2</v>
      </c>
      <c r="O64" s="64">
        <v>0</v>
      </c>
      <c r="P64" s="64">
        <v>0.25</v>
      </c>
      <c r="Q64" s="64">
        <v>8.99</v>
      </c>
      <c r="R64" s="198"/>
      <c r="S64" s="198"/>
      <c r="T64" s="198"/>
      <c r="U64" s="198"/>
    </row>
    <row r="65" spans="1:21" s="12" customFormat="1" x14ac:dyDescent="0.25">
      <c r="A65" s="213" t="s">
        <v>2700</v>
      </c>
      <c r="B65" s="64">
        <v>5.62</v>
      </c>
      <c r="C65" s="64">
        <v>14.15</v>
      </c>
      <c r="D65" s="64">
        <v>11.9</v>
      </c>
      <c r="E65" s="64">
        <v>3.75</v>
      </c>
      <c r="F65" s="64">
        <v>3.77</v>
      </c>
      <c r="G65" s="64">
        <v>3.29</v>
      </c>
      <c r="H65" s="64">
        <v>1.02</v>
      </c>
      <c r="I65" s="64">
        <v>0.71</v>
      </c>
      <c r="J65" s="64">
        <v>0.28999999999999998</v>
      </c>
      <c r="K65" s="64">
        <v>287.75</v>
      </c>
      <c r="L65" s="64">
        <v>24.92</v>
      </c>
      <c r="M65" s="64">
        <v>98.02</v>
      </c>
      <c r="N65" s="64">
        <v>240.1</v>
      </c>
      <c r="O65" s="64">
        <v>0</v>
      </c>
      <c r="P65" s="64">
        <v>0.25</v>
      </c>
      <c r="Q65" s="64">
        <v>8.99</v>
      </c>
      <c r="R65" s="198"/>
      <c r="S65" s="198"/>
      <c r="T65" s="198"/>
      <c r="U65" s="198"/>
    </row>
    <row r="66" spans="1:21" s="12" customFormat="1" x14ac:dyDescent="0.25">
      <c r="A66" s="213" t="s">
        <v>2701</v>
      </c>
      <c r="B66" s="64">
        <v>5.4</v>
      </c>
      <c r="C66" s="64">
        <v>14.06</v>
      </c>
      <c r="D66" s="64">
        <v>11.68</v>
      </c>
      <c r="E66" s="64">
        <v>3.87</v>
      </c>
      <c r="F66" s="64">
        <v>3.78</v>
      </c>
      <c r="G66" s="64">
        <v>3.82</v>
      </c>
      <c r="H66" s="64">
        <v>1.03</v>
      </c>
      <c r="I66" s="64">
        <v>0.71</v>
      </c>
      <c r="J66" s="64">
        <v>0.35</v>
      </c>
      <c r="K66" s="64">
        <v>289.87</v>
      </c>
      <c r="L66" s="64">
        <v>24.73</v>
      </c>
      <c r="M66" s="64">
        <v>98.02</v>
      </c>
      <c r="N66" s="64">
        <v>209.1</v>
      </c>
      <c r="O66" s="64">
        <v>0</v>
      </c>
      <c r="P66" s="64">
        <v>0.24</v>
      </c>
      <c r="Q66" s="64">
        <v>8.99</v>
      </c>
      <c r="R66" s="198"/>
      <c r="S66" s="198"/>
      <c r="T66" s="198"/>
      <c r="U66" s="198"/>
    </row>
    <row r="67" spans="1:21" s="12" customFormat="1" x14ac:dyDescent="0.25">
      <c r="A67" s="213" t="s">
        <v>2702</v>
      </c>
      <c r="B67" s="64">
        <v>5</v>
      </c>
      <c r="C67" s="64">
        <v>14.07</v>
      </c>
      <c r="D67" s="64">
        <v>11.36</v>
      </c>
      <c r="E67" s="64">
        <v>3.42</v>
      </c>
      <c r="F67" s="64">
        <v>4.1500000000000004</v>
      </c>
      <c r="G67" s="64">
        <v>3.82</v>
      </c>
      <c r="H67" s="64">
        <v>1.03</v>
      </c>
      <c r="I67" s="64">
        <v>0.7</v>
      </c>
      <c r="J67" s="64">
        <v>0.3</v>
      </c>
      <c r="K67" s="64">
        <v>279.94</v>
      </c>
      <c r="L67" s="64">
        <v>24.79</v>
      </c>
      <c r="M67" s="64">
        <v>98.02</v>
      </c>
      <c r="N67" s="64">
        <v>233.8</v>
      </c>
      <c r="O67" s="64">
        <v>0</v>
      </c>
      <c r="P67" s="64">
        <v>0.23</v>
      </c>
      <c r="Q67" s="64">
        <v>9</v>
      </c>
      <c r="R67" s="198"/>
      <c r="S67" s="198"/>
      <c r="T67" s="198"/>
      <c r="U67" s="198"/>
    </row>
    <row r="68" spans="1:21" s="12" customFormat="1" x14ac:dyDescent="0.25">
      <c r="A68" s="213" t="s">
        <v>2703</v>
      </c>
      <c r="B68" s="64">
        <v>4.6399999999999997</v>
      </c>
      <c r="C68" s="64">
        <v>14.15</v>
      </c>
      <c r="D68" s="64">
        <v>11.11</v>
      </c>
      <c r="E68" s="64">
        <v>3.75</v>
      </c>
      <c r="F68" s="64">
        <v>4.1500000000000004</v>
      </c>
      <c r="G68" s="64">
        <v>3.82</v>
      </c>
      <c r="H68" s="64">
        <v>1.03</v>
      </c>
      <c r="I68" s="64">
        <v>0.67</v>
      </c>
      <c r="J68" s="64">
        <v>0.26</v>
      </c>
      <c r="K68" s="64">
        <v>300.68</v>
      </c>
      <c r="L68" s="64">
        <v>24.76</v>
      </c>
      <c r="M68" s="64">
        <v>98.02</v>
      </c>
      <c r="N68" s="64">
        <v>166.7</v>
      </c>
      <c r="O68" s="64">
        <v>0</v>
      </c>
      <c r="P68" s="64">
        <v>0.22</v>
      </c>
      <c r="Q68" s="64">
        <v>9</v>
      </c>
      <c r="R68" s="198"/>
      <c r="S68" s="198"/>
      <c r="T68" s="198"/>
      <c r="U68" s="198"/>
    </row>
    <row r="69" spans="1:21" s="12" customFormat="1" x14ac:dyDescent="0.25">
      <c r="A69" s="213" t="s">
        <v>2704</v>
      </c>
      <c r="B69" s="64">
        <v>4.5199999999999996</v>
      </c>
      <c r="C69" s="64">
        <v>14.13</v>
      </c>
      <c r="D69" s="64">
        <v>11</v>
      </c>
      <c r="E69" s="64">
        <v>3.57</v>
      </c>
      <c r="F69" s="64">
        <v>4.04</v>
      </c>
      <c r="G69" s="64">
        <v>4.2</v>
      </c>
      <c r="H69" s="64">
        <v>1.03</v>
      </c>
      <c r="I69" s="64">
        <v>0.64</v>
      </c>
      <c r="J69" s="64">
        <v>0.27</v>
      </c>
      <c r="K69" s="64">
        <v>288.79000000000002</v>
      </c>
      <c r="L69" s="64">
        <v>24.59</v>
      </c>
      <c r="M69" s="64">
        <v>98.03</v>
      </c>
      <c r="N69" s="64">
        <v>117.5</v>
      </c>
      <c r="O69" s="64">
        <v>0</v>
      </c>
      <c r="P69" s="64">
        <v>0.22</v>
      </c>
      <c r="Q69" s="64">
        <v>9</v>
      </c>
      <c r="R69" s="198"/>
      <c r="S69" s="198"/>
      <c r="T69" s="198"/>
      <c r="U69" s="198"/>
    </row>
    <row r="70" spans="1:21" s="12" customFormat="1" x14ac:dyDescent="0.25">
      <c r="A70" s="213" t="s">
        <v>2705</v>
      </c>
      <c r="B70" s="64">
        <v>4.76</v>
      </c>
      <c r="C70" s="64">
        <v>14.1</v>
      </c>
      <c r="D70" s="64">
        <v>11.18</v>
      </c>
      <c r="E70" s="64">
        <v>3.55</v>
      </c>
      <c r="F70" s="64">
        <v>4.18</v>
      </c>
      <c r="G70" s="64">
        <v>5.46</v>
      </c>
      <c r="H70" s="64">
        <v>1.04</v>
      </c>
      <c r="I70" s="64">
        <v>0.67</v>
      </c>
      <c r="J70" s="64">
        <v>0.34</v>
      </c>
      <c r="K70" s="64">
        <v>297.42</v>
      </c>
      <c r="L70" s="64">
        <v>24.46</v>
      </c>
      <c r="M70" s="64">
        <v>98.03</v>
      </c>
      <c r="N70" s="64">
        <v>107.2</v>
      </c>
      <c r="O70" s="64">
        <v>0</v>
      </c>
      <c r="P70" s="64">
        <v>0.21</v>
      </c>
      <c r="Q70" s="64">
        <v>9</v>
      </c>
      <c r="R70" s="198"/>
      <c r="S70" s="198"/>
      <c r="T70" s="198"/>
      <c r="U70" s="198"/>
    </row>
    <row r="71" spans="1:21" s="12" customFormat="1" x14ac:dyDescent="0.25">
      <c r="A71" s="213" t="s">
        <v>2706</v>
      </c>
      <c r="B71" s="64">
        <v>4.76</v>
      </c>
      <c r="C71" s="64">
        <v>14.04</v>
      </c>
      <c r="D71" s="64">
        <v>11.15</v>
      </c>
      <c r="E71" s="64">
        <v>3.98</v>
      </c>
      <c r="F71" s="64">
        <v>3.99</v>
      </c>
      <c r="G71" s="64">
        <v>5.46</v>
      </c>
      <c r="H71" s="64">
        <v>1.04</v>
      </c>
      <c r="I71" s="64">
        <v>0.66</v>
      </c>
      <c r="J71" s="64">
        <v>0.32</v>
      </c>
      <c r="K71" s="64">
        <v>295.86</v>
      </c>
      <c r="L71" s="64">
        <v>24.3</v>
      </c>
      <c r="M71" s="64">
        <v>98.03</v>
      </c>
      <c r="N71" s="64">
        <v>93</v>
      </c>
      <c r="O71" s="64">
        <v>0</v>
      </c>
      <c r="P71" s="64">
        <v>0.22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3" t="s">
        <v>2707</v>
      </c>
      <c r="B72" s="64">
        <v>4.8099999999999996</v>
      </c>
      <c r="C72" s="64">
        <v>14.04</v>
      </c>
      <c r="D72" s="64">
        <v>11.19</v>
      </c>
      <c r="E72" s="64">
        <v>3.86</v>
      </c>
      <c r="F72" s="64">
        <v>4.08</v>
      </c>
      <c r="G72" s="64">
        <v>5.46</v>
      </c>
      <c r="H72" s="64">
        <v>1.04</v>
      </c>
      <c r="I72" s="64">
        <v>0.62</v>
      </c>
      <c r="J72" s="64">
        <v>0.28000000000000003</v>
      </c>
      <c r="K72" s="64">
        <v>301.08</v>
      </c>
      <c r="L72" s="64">
        <v>24.28</v>
      </c>
      <c r="M72" s="64">
        <v>98.03</v>
      </c>
      <c r="N72" s="64">
        <v>116.2</v>
      </c>
      <c r="O72" s="64">
        <v>0</v>
      </c>
      <c r="P72" s="64">
        <v>0.22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3" t="s">
        <v>2708</v>
      </c>
      <c r="B73" s="64">
        <v>4.83</v>
      </c>
      <c r="C73" s="64">
        <v>15.03</v>
      </c>
      <c r="D73" s="64">
        <v>11.72</v>
      </c>
      <c r="E73" s="64">
        <v>4.3499999999999996</v>
      </c>
      <c r="F73" s="64">
        <v>4.21</v>
      </c>
      <c r="G73" s="64">
        <v>6.06</v>
      </c>
      <c r="H73" s="64">
        <v>1.0900000000000001</v>
      </c>
      <c r="I73" s="64">
        <v>0.66</v>
      </c>
      <c r="J73" s="64">
        <v>0.3</v>
      </c>
      <c r="K73" s="64">
        <v>299.19</v>
      </c>
      <c r="L73" s="64">
        <v>24.35</v>
      </c>
      <c r="M73" s="64">
        <v>98.03</v>
      </c>
      <c r="N73" s="64">
        <v>125.9</v>
      </c>
      <c r="O73" s="64">
        <v>0</v>
      </c>
      <c r="P73" s="64">
        <v>0.22</v>
      </c>
      <c r="Q73" s="64">
        <v>9.01</v>
      </c>
      <c r="R73" s="198"/>
      <c r="S73" s="198"/>
      <c r="T73" s="198"/>
      <c r="U73" s="198"/>
    </row>
    <row r="74" spans="1:21" s="12" customFormat="1" x14ac:dyDescent="0.25">
      <c r="A74" s="213" t="s">
        <v>2709</v>
      </c>
      <c r="B74" s="64">
        <v>4.92</v>
      </c>
      <c r="C74" s="64">
        <v>14.54</v>
      </c>
      <c r="D74" s="64">
        <v>11.54</v>
      </c>
      <c r="E74" s="64">
        <v>4.5</v>
      </c>
      <c r="F74" s="64">
        <v>4.04</v>
      </c>
      <c r="G74" s="64">
        <v>8.0299999999999994</v>
      </c>
      <c r="H74" s="64">
        <v>1.26</v>
      </c>
      <c r="I74" s="64">
        <v>0.69</v>
      </c>
      <c r="J74" s="64">
        <v>0.3</v>
      </c>
      <c r="K74" s="64">
        <v>298.24</v>
      </c>
      <c r="L74" s="64">
        <v>24.38</v>
      </c>
      <c r="M74" s="64">
        <v>98.04</v>
      </c>
      <c r="N74" s="64">
        <v>135.4</v>
      </c>
      <c r="O74" s="64">
        <v>0</v>
      </c>
      <c r="P74" s="64">
        <v>0.23</v>
      </c>
      <c r="Q74" s="64">
        <v>9</v>
      </c>
      <c r="R74" s="198"/>
      <c r="S74" s="198"/>
      <c r="T74" s="198"/>
      <c r="U74" s="198"/>
    </row>
    <row r="75" spans="1:21" s="12" customFormat="1" x14ac:dyDescent="0.25">
      <c r="A75" s="213" t="s">
        <v>2710</v>
      </c>
      <c r="B75" s="64">
        <v>5.09</v>
      </c>
      <c r="C75" s="64">
        <v>14.11</v>
      </c>
      <c r="D75" s="64">
        <v>11.45</v>
      </c>
      <c r="E75" s="64">
        <v>4.16</v>
      </c>
      <c r="F75" s="64">
        <v>3.42</v>
      </c>
      <c r="G75" s="64">
        <v>8.0299999999999994</v>
      </c>
      <c r="H75" s="64">
        <v>1.26</v>
      </c>
      <c r="I75" s="64">
        <v>0.71</v>
      </c>
      <c r="J75" s="64">
        <v>0.24</v>
      </c>
      <c r="K75" s="64">
        <v>299.70999999999998</v>
      </c>
      <c r="L75" s="64">
        <v>24.55</v>
      </c>
      <c r="M75" s="64">
        <v>98.05</v>
      </c>
      <c r="N75" s="64">
        <v>127.3</v>
      </c>
      <c r="O75" s="64">
        <v>0</v>
      </c>
      <c r="P75" s="64">
        <v>0.21</v>
      </c>
      <c r="Q75" s="64">
        <v>8.98</v>
      </c>
      <c r="R75" s="198"/>
      <c r="S75" s="198"/>
      <c r="T75" s="198"/>
      <c r="U75" s="198"/>
    </row>
    <row r="76" spans="1:21" s="12" customFormat="1" x14ac:dyDescent="0.25">
      <c r="A76" s="213" t="s">
        <v>2711</v>
      </c>
      <c r="B76" s="64">
        <v>5.31</v>
      </c>
      <c r="C76" s="64">
        <v>14.1</v>
      </c>
      <c r="D76" s="64">
        <v>11.62</v>
      </c>
      <c r="E76" s="64">
        <v>4.38</v>
      </c>
      <c r="F76" s="64">
        <v>4.3099999999999996</v>
      </c>
      <c r="G76" s="64">
        <v>8.0299999999999994</v>
      </c>
      <c r="H76" s="64">
        <v>1.26</v>
      </c>
      <c r="I76" s="64">
        <v>0.72</v>
      </c>
      <c r="J76" s="64">
        <v>0.23</v>
      </c>
      <c r="K76" s="64">
        <v>310.36</v>
      </c>
      <c r="L76" s="64">
        <v>24.34</v>
      </c>
      <c r="M76" s="64">
        <v>98.07</v>
      </c>
      <c r="N76" s="64">
        <v>101</v>
      </c>
      <c r="O76" s="64">
        <v>0</v>
      </c>
      <c r="P76" s="64">
        <v>0.23</v>
      </c>
      <c r="Q76" s="64">
        <v>8.99</v>
      </c>
      <c r="R76" s="198"/>
      <c r="S76" s="198"/>
      <c r="T76" s="198"/>
      <c r="U76" s="198"/>
    </row>
    <row r="77" spans="1:21" s="12" customFormat="1" x14ac:dyDescent="0.25">
      <c r="A77" s="213" t="s">
        <v>2712</v>
      </c>
      <c r="B77" s="64">
        <v>5.55</v>
      </c>
      <c r="C77" s="64">
        <v>13.9</v>
      </c>
      <c r="D77" s="64">
        <v>11.72</v>
      </c>
      <c r="E77" s="64">
        <v>4.4400000000000004</v>
      </c>
      <c r="F77" s="64">
        <v>2.85</v>
      </c>
      <c r="G77" s="64">
        <v>8.58</v>
      </c>
      <c r="H77" s="64">
        <v>1.24</v>
      </c>
      <c r="I77" s="64">
        <v>0.68</v>
      </c>
      <c r="J77" s="64">
        <v>0.22</v>
      </c>
      <c r="K77" s="64">
        <v>308.33999999999997</v>
      </c>
      <c r="L77" s="64">
        <v>23.85</v>
      </c>
      <c r="M77" s="64">
        <v>98.11</v>
      </c>
      <c r="N77" s="64">
        <v>86.4</v>
      </c>
      <c r="O77" s="64">
        <v>0</v>
      </c>
      <c r="P77" s="64">
        <v>0.23</v>
      </c>
      <c r="Q77" s="64">
        <v>8.99</v>
      </c>
      <c r="R77" s="198"/>
      <c r="S77" s="198"/>
      <c r="T77" s="198"/>
      <c r="U77" s="198"/>
    </row>
    <row r="78" spans="1:21" s="12" customFormat="1" x14ac:dyDescent="0.25">
      <c r="A78" s="213" t="s">
        <v>2713</v>
      </c>
      <c r="B78" s="64">
        <v>5.48</v>
      </c>
      <c r="C78" s="64">
        <v>13.68</v>
      </c>
      <c r="D78" s="64">
        <v>11.55</v>
      </c>
      <c r="E78" s="64">
        <v>4.34</v>
      </c>
      <c r="F78" s="64">
        <v>3.78</v>
      </c>
      <c r="G78" s="64">
        <v>10.37</v>
      </c>
      <c r="H78" s="64">
        <v>1.1599999999999999</v>
      </c>
      <c r="I78" s="64">
        <v>0.65</v>
      </c>
      <c r="J78" s="64">
        <v>0.27</v>
      </c>
      <c r="K78" s="64">
        <v>316.91000000000003</v>
      </c>
      <c r="L78" s="64">
        <v>23.48</v>
      </c>
      <c r="M78" s="64">
        <v>98.14</v>
      </c>
      <c r="N78" s="64">
        <v>74.2</v>
      </c>
      <c r="O78" s="64">
        <v>0</v>
      </c>
      <c r="P78" s="64">
        <v>0.24</v>
      </c>
      <c r="Q78" s="64">
        <v>8.98</v>
      </c>
      <c r="R78" s="198"/>
      <c r="S78" s="198"/>
      <c r="T78" s="198"/>
      <c r="U78" s="198"/>
    </row>
    <row r="79" spans="1:21" s="12" customFormat="1" x14ac:dyDescent="0.25">
      <c r="A79" s="213" t="s">
        <v>2714</v>
      </c>
      <c r="B79" s="64">
        <v>5.49</v>
      </c>
      <c r="C79" s="64">
        <v>13.69</v>
      </c>
      <c r="D79" s="64">
        <v>11.55</v>
      </c>
      <c r="E79" s="64">
        <v>4.16</v>
      </c>
      <c r="F79" s="64">
        <v>3.68</v>
      </c>
      <c r="G79" s="64">
        <v>10.37</v>
      </c>
      <c r="H79" s="64">
        <v>1.1599999999999999</v>
      </c>
      <c r="I79" s="64">
        <v>0.71</v>
      </c>
      <c r="J79" s="64">
        <v>0.25</v>
      </c>
      <c r="K79" s="64">
        <v>311.45</v>
      </c>
      <c r="L79" s="64">
        <v>23.21</v>
      </c>
      <c r="M79" s="64">
        <v>98.18</v>
      </c>
      <c r="N79" s="64">
        <v>69.099999999999994</v>
      </c>
      <c r="O79" s="64">
        <v>0</v>
      </c>
      <c r="P79" s="64">
        <v>0.25</v>
      </c>
      <c r="Q79" s="64">
        <v>8.98</v>
      </c>
      <c r="R79" s="198"/>
      <c r="S79" s="198"/>
      <c r="T79" s="198"/>
      <c r="U79" s="198"/>
    </row>
    <row r="80" spans="1:21" s="12" customFormat="1" x14ac:dyDescent="0.25">
      <c r="A80" s="213" t="s">
        <v>2715</v>
      </c>
      <c r="B80" s="64">
        <v>5.44</v>
      </c>
      <c r="C80" s="64">
        <v>13.75</v>
      </c>
      <c r="D80" s="64">
        <v>11.54</v>
      </c>
      <c r="E80" s="64">
        <v>4.16</v>
      </c>
      <c r="F80" s="64">
        <v>3.42</v>
      </c>
      <c r="G80" s="64">
        <v>10.37</v>
      </c>
      <c r="H80" s="64">
        <v>1.1599999999999999</v>
      </c>
      <c r="I80" s="64">
        <v>0.7</v>
      </c>
      <c r="J80" s="64">
        <v>0.24</v>
      </c>
      <c r="K80" s="64">
        <v>315.33999999999997</v>
      </c>
      <c r="L80" s="64">
        <v>23.12</v>
      </c>
      <c r="M80" s="64">
        <v>98.18</v>
      </c>
      <c r="N80" s="64">
        <v>70.599999999999994</v>
      </c>
      <c r="O80" s="64">
        <v>0.2</v>
      </c>
      <c r="P80" s="64">
        <v>0.25</v>
      </c>
      <c r="Q80" s="64">
        <v>8.98</v>
      </c>
      <c r="R80" s="198"/>
      <c r="S80" s="198"/>
      <c r="T80" s="198"/>
      <c r="U80" s="198"/>
    </row>
    <row r="81" spans="1:26" s="12" customFormat="1" x14ac:dyDescent="0.25">
      <c r="A81" s="213" t="s">
        <v>2716</v>
      </c>
      <c r="B81" s="64">
        <v>5.33</v>
      </c>
      <c r="C81" s="64">
        <v>13.76</v>
      </c>
      <c r="D81" s="64">
        <v>11.46</v>
      </c>
      <c r="E81" s="64">
        <v>4.12</v>
      </c>
      <c r="F81" s="64">
        <v>3.89</v>
      </c>
      <c r="G81" s="64">
        <v>9.74</v>
      </c>
      <c r="H81" s="64">
        <v>1.1499999999999999</v>
      </c>
      <c r="I81" s="64">
        <v>0.68</v>
      </c>
      <c r="J81" s="64">
        <v>0.24</v>
      </c>
      <c r="K81" s="64">
        <v>321.75</v>
      </c>
      <c r="L81" s="64">
        <v>23.28</v>
      </c>
      <c r="M81" s="64">
        <v>98.18</v>
      </c>
      <c r="N81" s="64">
        <v>72.5</v>
      </c>
      <c r="O81" s="64">
        <v>0.2</v>
      </c>
      <c r="P81" s="64">
        <v>0.25</v>
      </c>
      <c r="Q81" s="64">
        <v>8.9700000000000006</v>
      </c>
      <c r="R81" s="198"/>
      <c r="S81" s="198"/>
      <c r="T81" s="198"/>
      <c r="U81" s="198"/>
    </row>
    <row r="82" spans="1:26" s="12" customFormat="1" x14ac:dyDescent="0.25">
      <c r="A82" s="213" t="s">
        <v>2717</v>
      </c>
      <c r="B82" s="64">
        <v>5.15</v>
      </c>
      <c r="C82" s="64">
        <v>13.92</v>
      </c>
      <c r="D82" s="64">
        <v>11.4</v>
      </c>
      <c r="E82" s="64">
        <v>4.1900000000000004</v>
      </c>
      <c r="F82" s="64">
        <v>3.98</v>
      </c>
      <c r="G82" s="64">
        <v>7.67</v>
      </c>
      <c r="H82" s="64">
        <v>1.0900000000000001</v>
      </c>
      <c r="I82" s="64">
        <v>0.69</v>
      </c>
      <c r="J82" s="64">
        <v>0.28000000000000003</v>
      </c>
      <c r="K82" s="64">
        <v>312.25</v>
      </c>
      <c r="L82" s="64">
        <v>23.28</v>
      </c>
      <c r="M82" s="64">
        <v>98.18</v>
      </c>
      <c r="N82" s="64">
        <v>78.8</v>
      </c>
      <c r="O82" s="64">
        <v>0</v>
      </c>
      <c r="P82" s="64">
        <v>0.25</v>
      </c>
      <c r="Q82" s="64">
        <v>8.9700000000000006</v>
      </c>
      <c r="R82" s="198"/>
      <c r="S82" s="198"/>
      <c r="T82" s="198"/>
      <c r="U82" s="198"/>
    </row>
    <row r="83" spans="1:26" s="12" customFormat="1" x14ac:dyDescent="0.25">
      <c r="A83" s="213" t="s">
        <v>2718</v>
      </c>
      <c r="B83" s="64">
        <v>4.99</v>
      </c>
      <c r="C83" s="64">
        <v>14.01</v>
      </c>
      <c r="D83" s="64">
        <v>11.32</v>
      </c>
      <c r="E83" s="64">
        <v>4.1900000000000004</v>
      </c>
      <c r="F83" s="64">
        <v>3.68</v>
      </c>
      <c r="G83" s="64">
        <v>7.67</v>
      </c>
      <c r="H83" s="64">
        <v>1.0900000000000001</v>
      </c>
      <c r="I83" s="64">
        <v>0.71</v>
      </c>
      <c r="J83" s="64">
        <v>0.27</v>
      </c>
      <c r="K83" s="64">
        <v>306.02</v>
      </c>
      <c r="L83" s="64">
        <v>23.16</v>
      </c>
      <c r="M83" s="64">
        <v>98.19</v>
      </c>
      <c r="N83" s="64">
        <v>79</v>
      </c>
      <c r="O83" s="64">
        <v>0</v>
      </c>
      <c r="P83" s="64">
        <v>0.27</v>
      </c>
      <c r="Q83" s="64">
        <v>8.9499999999999993</v>
      </c>
      <c r="R83" s="198"/>
      <c r="S83" s="198"/>
      <c r="T83" s="198"/>
      <c r="U83" s="198"/>
    </row>
    <row r="84" spans="1:26" s="12" customFormat="1" x14ac:dyDescent="0.25">
      <c r="A84" s="213" t="s">
        <v>2719</v>
      </c>
      <c r="B84" s="64">
        <v>4.88</v>
      </c>
      <c r="C84" s="64">
        <v>13.94</v>
      </c>
      <c r="D84" s="64">
        <v>11.19</v>
      </c>
      <c r="E84" s="64">
        <v>4.72</v>
      </c>
      <c r="F84" s="64">
        <v>3.7</v>
      </c>
      <c r="G84" s="64">
        <v>7.67</v>
      </c>
      <c r="H84" s="64">
        <v>1.0900000000000001</v>
      </c>
      <c r="I84" s="64">
        <v>0.76</v>
      </c>
      <c r="J84" s="64">
        <v>0.28999999999999998</v>
      </c>
      <c r="K84" s="64">
        <v>316.45</v>
      </c>
      <c r="L84" s="64">
        <v>23.22</v>
      </c>
      <c r="M84" s="64">
        <v>98.15</v>
      </c>
      <c r="N84" s="64">
        <v>68.900000000000006</v>
      </c>
      <c r="O84" s="64">
        <v>0</v>
      </c>
      <c r="P84" s="64">
        <v>0.26</v>
      </c>
      <c r="Q84" s="64">
        <v>8.98</v>
      </c>
      <c r="R84" s="198"/>
      <c r="S84" s="198"/>
      <c r="T84" s="198"/>
      <c r="U84" s="198"/>
    </row>
    <row r="85" spans="1:26" s="12" customFormat="1" x14ac:dyDescent="0.25">
      <c r="A85" s="213" t="s">
        <v>2720</v>
      </c>
      <c r="B85" s="64">
        <v>4.72</v>
      </c>
      <c r="C85" s="64">
        <v>14.17</v>
      </c>
      <c r="D85" s="64">
        <v>11.19</v>
      </c>
      <c r="E85" s="64">
        <v>4.22</v>
      </c>
      <c r="F85" s="64">
        <v>4.07</v>
      </c>
      <c r="G85" s="64">
        <v>7.13</v>
      </c>
      <c r="H85" s="64">
        <v>1.08</v>
      </c>
      <c r="I85" s="64">
        <v>0.75</v>
      </c>
      <c r="J85" s="64">
        <v>0.23</v>
      </c>
      <c r="K85" s="64">
        <v>304.73</v>
      </c>
      <c r="L85" s="64">
        <v>23.32</v>
      </c>
      <c r="M85" s="64">
        <v>98.15</v>
      </c>
      <c r="N85" s="64">
        <v>69.599999999999994</v>
      </c>
      <c r="O85" s="64">
        <v>0</v>
      </c>
      <c r="P85" s="64">
        <v>0.27</v>
      </c>
      <c r="Q85" s="64">
        <v>9</v>
      </c>
      <c r="R85" s="198"/>
      <c r="S85" s="198"/>
      <c r="T85" s="198"/>
      <c r="U85" s="198"/>
    </row>
    <row r="86" spans="1:26" s="12" customFormat="1" x14ac:dyDescent="0.25">
      <c r="A86" s="213" t="s">
        <v>2721</v>
      </c>
      <c r="B86" s="64">
        <v>4.84</v>
      </c>
      <c r="C86" s="64">
        <v>14.85</v>
      </c>
      <c r="D86" s="64">
        <v>11.64</v>
      </c>
      <c r="E86" s="64">
        <v>4.38</v>
      </c>
      <c r="F86" s="64">
        <v>4.07</v>
      </c>
      <c r="G86" s="64">
        <v>5.37</v>
      </c>
      <c r="H86" s="64">
        <v>1.05</v>
      </c>
      <c r="I86" s="64">
        <v>0.72</v>
      </c>
      <c r="J86" s="64">
        <v>0.21</v>
      </c>
      <c r="K86" s="64">
        <v>308.14</v>
      </c>
      <c r="L86" s="64">
        <v>23.22</v>
      </c>
      <c r="M86" s="64">
        <v>98.16</v>
      </c>
      <c r="N86" s="64">
        <v>71.099999999999994</v>
      </c>
      <c r="O86" s="64">
        <v>0</v>
      </c>
      <c r="P86" s="64">
        <v>0.31</v>
      </c>
      <c r="Q86" s="64">
        <v>9.01</v>
      </c>
      <c r="R86" s="198"/>
      <c r="S86" s="198"/>
      <c r="T86" s="198"/>
      <c r="U86" s="198"/>
    </row>
    <row r="87" spans="1:26" s="12" customFormat="1" x14ac:dyDescent="0.25">
      <c r="A87" s="213" t="s">
        <v>2722</v>
      </c>
      <c r="B87" s="64">
        <v>4.54</v>
      </c>
      <c r="C87" s="64">
        <v>14.54</v>
      </c>
      <c r="D87" s="64">
        <v>11.24</v>
      </c>
      <c r="E87" s="64">
        <v>4.3499999999999996</v>
      </c>
      <c r="F87" s="64">
        <v>4.04</v>
      </c>
      <c r="G87" s="64">
        <v>5.37</v>
      </c>
      <c r="H87" s="64">
        <v>1.05</v>
      </c>
      <c r="I87" s="64">
        <v>0.75</v>
      </c>
      <c r="J87" s="64">
        <v>0.26</v>
      </c>
      <c r="K87" s="64">
        <v>312.12</v>
      </c>
      <c r="L87" s="64">
        <v>23.13</v>
      </c>
      <c r="M87" s="64">
        <v>98.16</v>
      </c>
      <c r="N87" s="64">
        <v>82.6</v>
      </c>
      <c r="O87" s="64">
        <v>0</v>
      </c>
      <c r="P87" s="64">
        <v>0.31</v>
      </c>
      <c r="Q87" s="64">
        <v>9</v>
      </c>
      <c r="R87" s="198"/>
      <c r="S87" s="198"/>
      <c r="T87" s="198"/>
      <c r="U87" s="198"/>
    </row>
    <row r="88" spans="1:26" s="12" customFormat="1" x14ac:dyDescent="0.25">
      <c r="A88" s="213" t="s">
        <v>2723</v>
      </c>
      <c r="B88" s="64">
        <v>4.42</v>
      </c>
      <c r="C88" s="64">
        <v>14.38</v>
      </c>
      <c r="D88" s="64">
        <v>11.06</v>
      </c>
      <c r="E88" s="64">
        <v>4.3600000000000003</v>
      </c>
      <c r="F88" s="64">
        <v>3.89</v>
      </c>
      <c r="G88" s="64">
        <v>5.37</v>
      </c>
      <c r="H88" s="64">
        <v>1.05</v>
      </c>
      <c r="I88" s="64">
        <v>0.78</v>
      </c>
      <c r="J88" s="64">
        <v>0.28999999999999998</v>
      </c>
      <c r="K88" s="64">
        <v>314.27999999999997</v>
      </c>
      <c r="L88" s="64">
        <v>23.21</v>
      </c>
      <c r="M88" s="64">
        <v>98.14</v>
      </c>
      <c r="N88" s="64">
        <v>91.1</v>
      </c>
      <c r="O88" s="64">
        <v>0</v>
      </c>
      <c r="P88" s="64">
        <v>0.3</v>
      </c>
      <c r="Q88" s="64">
        <v>9</v>
      </c>
      <c r="R88" s="198"/>
      <c r="S88" s="198"/>
      <c r="T88" s="198"/>
      <c r="U88" s="198"/>
    </row>
    <row r="89" spans="1:26" s="12" customFormat="1" x14ac:dyDescent="0.25">
      <c r="A89" s="213" t="s">
        <v>2724</v>
      </c>
      <c r="B89" s="64">
        <v>4.2699999999999996</v>
      </c>
      <c r="C89" s="64">
        <v>14.36</v>
      </c>
      <c r="D89" s="64">
        <v>10.93</v>
      </c>
      <c r="E89" s="64">
        <v>4.4000000000000004</v>
      </c>
      <c r="F89" s="64">
        <v>4.21</v>
      </c>
      <c r="G89" s="64">
        <v>4.99</v>
      </c>
      <c r="H89" s="64">
        <v>1.04</v>
      </c>
      <c r="I89" s="64">
        <v>0.85</v>
      </c>
      <c r="J89" s="64">
        <v>0.2</v>
      </c>
      <c r="K89" s="64">
        <v>313.10000000000002</v>
      </c>
      <c r="L89" s="64">
        <v>23.37</v>
      </c>
      <c r="M89" s="64">
        <v>98.1</v>
      </c>
      <c r="N89" s="64">
        <v>87.1</v>
      </c>
      <c r="O89" s="64">
        <v>0</v>
      </c>
      <c r="P89" s="64">
        <v>0.31</v>
      </c>
      <c r="Q89" s="64">
        <v>9</v>
      </c>
      <c r="R89" s="198"/>
      <c r="S89" s="198"/>
      <c r="T89" s="198"/>
      <c r="U89" s="198"/>
    </row>
    <row r="90" spans="1:26" s="12" customFormat="1" x14ac:dyDescent="0.25">
      <c r="A90" s="213" t="s">
        <v>2725</v>
      </c>
      <c r="B90" s="64">
        <v>4.13</v>
      </c>
      <c r="C90" s="64">
        <v>14.27</v>
      </c>
      <c r="D90" s="64">
        <v>10.77</v>
      </c>
      <c r="E90" s="64">
        <v>4.7</v>
      </c>
      <c r="F90" s="64">
        <v>4.09</v>
      </c>
      <c r="G90" s="64">
        <v>3.76</v>
      </c>
      <c r="H90" s="64">
        <v>1.02</v>
      </c>
      <c r="I90" s="64">
        <v>0.89</v>
      </c>
      <c r="J90" s="64">
        <v>0.2</v>
      </c>
      <c r="K90" s="64">
        <v>310.83</v>
      </c>
      <c r="L90" s="64">
        <v>23.38</v>
      </c>
      <c r="M90" s="64">
        <v>98.1</v>
      </c>
      <c r="N90" s="64">
        <v>79.599999999999994</v>
      </c>
      <c r="O90" s="64">
        <v>0</v>
      </c>
      <c r="P90" s="64">
        <v>0.31</v>
      </c>
      <c r="Q90" s="64">
        <v>9</v>
      </c>
      <c r="R90" s="198"/>
      <c r="S90" s="198"/>
      <c r="T90" s="198"/>
      <c r="U90" s="198"/>
    </row>
    <row r="91" spans="1:26" s="12" customFormat="1" x14ac:dyDescent="0.25">
      <c r="A91" s="213" t="s">
        <v>2726</v>
      </c>
      <c r="B91" s="64">
        <v>4.12</v>
      </c>
      <c r="C91" s="64">
        <v>14.01</v>
      </c>
      <c r="D91" s="64">
        <v>10.62</v>
      </c>
      <c r="E91" s="64">
        <v>4.16</v>
      </c>
      <c r="F91" s="64">
        <v>4.26</v>
      </c>
      <c r="G91" s="64">
        <v>3.76</v>
      </c>
      <c r="H91" s="64">
        <v>1.02</v>
      </c>
      <c r="I91" s="64">
        <v>0.82</v>
      </c>
      <c r="J91" s="64">
        <v>0.15</v>
      </c>
      <c r="K91" s="64">
        <v>301.69</v>
      </c>
      <c r="L91" s="64">
        <v>23.39</v>
      </c>
      <c r="M91" s="64">
        <v>98.12</v>
      </c>
      <c r="N91" s="64">
        <v>68.7</v>
      </c>
      <c r="O91" s="64">
        <v>0</v>
      </c>
      <c r="P91" s="64">
        <v>0.31</v>
      </c>
      <c r="Q91" s="64">
        <v>8.99</v>
      </c>
      <c r="R91" s="198"/>
      <c r="S91" s="198"/>
      <c r="T91" s="198"/>
      <c r="U91" s="198"/>
    </row>
    <row r="92" spans="1:26" s="12" customFormat="1" x14ac:dyDescent="0.25">
      <c r="A92" s="213" t="s">
        <v>2727</v>
      </c>
      <c r="B92" s="64">
        <v>4.24</v>
      </c>
      <c r="C92" s="64">
        <v>13.84</v>
      </c>
      <c r="D92" s="64">
        <v>10.63</v>
      </c>
      <c r="E92" s="64">
        <v>4.0199999999999996</v>
      </c>
      <c r="F92" s="64">
        <v>3.69</v>
      </c>
      <c r="G92" s="64">
        <v>3.76</v>
      </c>
      <c r="H92" s="64">
        <v>1.02</v>
      </c>
      <c r="I92" s="64">
        <v>0.83</v>
      </c>
      <c r="J92" s="64">
        <v>0.16</v>
      </c>
      <c r="K92" s="64">
        <v>307.13</v>
      </c>
      <c r="L92" s="64">
        <v>23.39</v>
      </c>
      <c r="M92" s="64">
        <v>98.13</v>
      </c>
      <c r="N92" s="64">
        <v>67.7</v>
      </c>
      <c r="O92" s="64">
        <v>0</v>
      </c>
      <c r="P92" s="64">
        <v>0.31</v>
      </c>
      <c r="Q92" s="64">
        <v>8.9600000000000009</v>
      </c>
      <c r="R92" s="198"/>
      <c r="S92" s="198"/>
      <c r="T92" s="198"/>
      <c r="U92" s="198"/>
    </row>
    <row r="93" spans="1:26" s="12" customFormat="1" x14ac:dyDescent="0.25">
      <c r="A93" s="213" t="s">
        <v>2728</v>
      </c>
      <c r="B93" s="64">
        <v>4.2699999999999996</v>
      </c>
      <c r="C93" s="64">
        <v>13.42</v>
      </c>
      <c r="D93" s="64">
        <v>10.43</v>
      </c>
      <c r="E93" s="64">
        <v>4.34</v>
      </c>
      <c r="F93" s="64">
        <v>3.81</v>
      </c>
      <c r="G93" s="64">
        <v>3.56</v>
      </c>
      <c r="H93" s="64">
        <v>1.01</v>
      </c>
      <c r="I93" s="64">
        <v>0.86</v>
      </c>
      <c r="J93" s="64">
        <v>0.17</v>
      </c>
      <c r="K93" s="64">
        <v>308.83999999999997</v>
      </c>
      <c r="L93" s="64">
        <v>23.39</v>
      </c>
      <c r="M93" s="64">
        <v>98.13</v>
      </c>
      <c r="N93" s="64">
        <v>67.099999999999994</v>
      </c>
      <c r="O93" s="64">
        <v>0</v>
      </c>
      <c r="P93" s="64">
        <v>0.3</v>
      </c>
      <c r="Q93" s="64">
        <v>8.94</v>
      </c>
      <c r="R93" s="198"/>
      <c r="S93" s="198"/>
      <c r="T93" s="198"/>
      <c r="U93" s="198"/>
    </row>
    <row r="94" spans="1:26" s="12" customFormat="1" x14ac:dyDescent="0.25">
      <c r="A94" s="213" t="s">
        <v>2729</v>
      </c>
      <c r="B94" s="64">
        <v>4.33</v>
      </c>
      <c r="C94" s="64">
        <v>13.22</v>
      </c>
      <c r="D94" s="64">
        <v>10.38</v>
      </c>
      <c r="E94" s="64">
        <v>4.3899999999999997</v>
      </c>
      <c r="F94" s="64">
        <v>3.61</v>
      </c>
      <c r="G94" s="64">
        <v>2.89</v>
      </c>
      <c r="H94" s="64">
        <v>1</v>
      </c>
      <c r="I94" s="64">
        <v>0.83</v>
      </c>
      <c r="J94" s="64">
        <v>0.14000000000000001</v>
      </c>
      <c r="K94" s="64">
        <v>317.75</v>
      </c>
      <c r="L94" s="64">
        <v>23.37</v>
      </c>
      <c r="M94" s="64">
        <v>98.13</v>
      </c>
      <c r="N94" s="64">
        <v>66.8</v>
      </c>
      <c r="O94" s="64">
        <v>0</v>
      </c>
      <c r="P94" s="64">
        <v>0.28000000000000003</v>
      </c>
      <c r="Q94" s="64">
        <v>8.93</v>
      </c>
      <c r="R94" s="198"/>
      <c r="S94" s="198"/>
      <c r="T94" s="198"/>
      <c r="U94" s="198"/>
    </row>
    <row r="95" spans="1:26" s="12" customFormat="1" x14ac:dyDescent="0.25">
      <c r="A95" s="213" t="s">
        <v>2730</v>
      </c>
      <c r="B95" s="64">
        <v>4.2699999999999996</v>
      </c>
      <c r="C95" s="64">
        <v>13.11</v>
      </c>
      <c r="D95" s="64">
        <v>10.27</v>
      </c>
      <c r="E95" s="64">
        <v>4.3</v>
      </c>
      <c r="F95" s="64">
        <v>4.3600000000000003</v>
      </c>
      <c r="G95" s="64">
        <v>2.89</v>
      </c>
      <c r="H95" s="64">
        <v>1</v>
      </c>
      <c r="I95" s="64">
        <v>0.81</v>
      </c>
      <c r="J95" s="64">
        <v>0.14000000000000001</v>
      </c>
      <c r="K95" s="64">
        <v>309.8</v>
      </c>
      <c r="L95" s="64">
        <v>23.32</v>
      </c>
      <c r="M95" s="64">
        <v>98.15</v>
      </c>
      <c r="N95" s="64">
        <v>66.8</v>
      </c>
      <c r="O95" s="64">
        <v>0</v>
      </c>
      <c r="P95" s="64">
        <v>0.28999999999999998</v>
      </c>
      <c r="Q95" s="64">
        <v>8.93</v>
      </c>
      <c r="R95" s="198"/>
      <c r="S95" s="198"/>
      <c r="T95" s="198"/>
      <c r="U95" s="198"/>
    </row>
    <row r="96" spans="1:26" s="12" customFormat="1" x14ac:dyDescent="0.25">
      <c r="A96" s="213" t="s">
        <v>2731</v>
      </c>
      <c r="B96" s="64">
        <v>4.3099999999999996</v>
      </c>
      <c r="C96" s="64">
        <v>12.89</v>
      </c>
      <c r="D96" s="64">
        <v>10.19</v>
      </c>
      <c r="E96" s="64">
        <v>4.13</v>
      </c>
      <c r="F96" s="64">
        <v>3.73</v>
      </c>
      <c r="G96" s="64">
        <v>2.89</v>
      </c>
      <c r="H96" s="64">
        <v>1</v>
      </c>
      <c r="I96" s="64">
        <v>0.79</v>
      </c>
      <c r="J96" s="64">
        <v>0.16</v>
      </c>
      <c r="K96" s="64">
        <v>289.8</v>
      </c>
      <c r="L96" s="64">
        <v>23.3</v>
      </c>
      <c r="M96" s="64">
        <v>98.11</v>
      </c>
      <c r="N96" s="64">
        <v>66.8</v>
      </c>
      <c r="O96" s="64">
        <v>0</v>
      </c>
      <c r="P96" s="64">
        <v>0.27</v>
      </c>
      <c r="Q96" s="64">
        <v>8.93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2732</v>
      </c>
      <c r="B97" s="64">
        <v>4.3499999999999996</v>
      </c>
      <c r="C97" s="64">
        <v>12.52</v>
      </c>
      <c r="D97" s="64">
        <v>10.029999999999999</v>
      </c>
      <c r="E97" s="64">
        <v>4.3</v>
      </c>
      <c r="F97" s="64">
        <v>4.5</v>
      </c>
      <c r="G97" s="64">
        <v>3.17</v>
      </c>
      <c r="H97" s="64">
        <v>1.01</v>
      </c>
      <c r="I97" s="64">
        <v>0.77</v>
      </c>
      <c r="J97" s="64">
        <v>0.17</v>
      </c>
      <c r="K97" s="64">
        <v>294.63</v>
      </c>
      <c r="L97" s="64">
        <v>23.3</v>
      </c>
      <c r="M97" s="64">
        <v>98.03</v>
      </c>
      <c r="N97" s="64">
        <v>66.900000000000006</v>
      </c>
      <c r="O97" s="64">
        <v>0</v>
      </c>
      <c r="P97" s="64">
        <v>0.26</v>
      </c>
      <c r="Q97" s="64">
        <v>8.93</v>
      </c>
      <c r="R97" s="198"/>
      <c r="S97" s="198"/>
      <c r="T97" s="198"/>
      <c r="U97" s="198"/>
    </row>
    <row r="98" spans="1:33" s="12" customFormat="1" x14ac:dyDescent="0.25">
      <c r="A98" s="213" t="s">
        <v>2733</v>
      </c>
      <c r="B98" s="64">
        <v>4.34</v>
      </c>
      <c r="C98" s="64">
        <v>12.52</v>
      </c>
      <c r="D98" s="64">
        <v>10.02</v>
      </c>
      <c r="E98" s="64">
        <v>4.21</v>
      </c>
      <c r="F98" s="64">
        <v>3.53</v>
      </c>
      <c r="G98" s="64">
        <v>4.07</v>
      </c>
      <c r="H98" s="64">
        <v>1.02</v>
      </c>
      <c r="I98" s="64">
        <v>0.74</v>
      </c>
      <c r="J98" s="64">
        <v>0.16</v>
      </c>
      <c r="K98" s="64">
        <v>303.52</v>
      </c>
      <c r="L98" s="64">
        <v>23.35</v>
      </c>
      <c r="M98" s="64">
        <v>98.03</v>
      </c>
      <c r="N98" s="64">
        <v>67</v>
      </c>
      <c r="O98" s="64">
        <v>0</v>
      </c>
      <c r="P98" s="64">
        <v>0.26</v>
      </c>
      <c r="Q98" s="64">
        <v>8.94</v>
      </c>
      <c r="R98" s="198"/>
      <c r="S98" s="198"/>
      <c r="T98" s="198"/>
      <c r="U98" s="198"/>
    </row>
    <row r="99" spans="1:33" s="12" customFormat="1" x14ac:dyDescent="0.25">
      <c r="A99" s="213" t="s">
        <v>2734</v>
      </c>
      <c r="B99" s="64">
        <v>4.37</v>
      </c>
      <c r="C99" s="64">
        <v>12.33</v>
      </c>
      <c r="D99" s="64">
        <v>9.9499999999999993</v>
      </c>
      <c r="E99" s="64">
        <v>4.47</v>
      </c>
      <c r="F99" s="64">
        <v>4.08</v>
      </c>
      <c r="G99" s="64">
        <v>4.07</v>
      </c>
      <c r="H99" s="64">
        <v>1.02</v>
      </c>
      <c r="I99" s="64">
        <v>0.72</v>
      </c>
      <c r="J99" s="64">
        <v>0.17</v>
      </c>
      <c r="K99" s="64">
        <v>316.10000000000002</v>
      </c>
      <c r="L99" s="64">
        <v>23.43</v>
      </c>
      <c r="M99" s="64">
        <v>98.03</v>
      </c>
      <c r="N99" s="64">
        <v>66.900000000000006</v>
      </c>
      <c r="O99" s="64">
        <v>0</v>
      </c>
      <c r="P99" s="64">
        <v>0.24</v>
      </c>
      <c r="Q99" s="64">
        <v>8.94</v>
      </c>
      <c r="R99" s="198"/>
      <c r="S99" s="198"/>
      <c r="T99" s="198"/>
      <c r="U99" s="198"/>
    </row>
    <row r="100" spans="1:33" s="12" customFormat="1" x14ac:dyDescent="0.25">
      <c r="A100" s="213" t="s">
        <v>2735</v>
      </c>
      <c r="B100" s="64">
        <v>4.3899999999999997</v>
      </c>
      <c r="C100" s="64">
        <v>12.2</v>
      </c>
      <c r="D100" s="64">
        <v>9.89</v>
      </c>
      <c r="E100" s="64">
        <v>4.16</v>
      </c>
      <c r="F100" s="64">
        <v>4.42</v>
      </c>
      <c r="G100" s="64">
        <v>4.07</v>
      </c>
      <c r="H100" s="64">
        <v>1.02</v>
      </c>
      <c r="I100" s="64">
        <v>0.71</v>
      </c>
      <c r="J100" s="64">
        <v>0.15</v>
      </c>
      <c r="K100" s="64">
        <v>316.64</v>
      </c>
      <c r="L100" s="64">
        <v>23.5</v>
      </c>
      <c r="M100" s="64">
        <v>98.05</v>
      </c>
      <c r="N100" s="64">
        <v>67</v>
      </c>
      <c r="O100" s="64">
        <v>0</v>
      </c>
      <c r="P100" s="64">
        <v>0.25</v>
      </c>
      <c r="Q100" s="64">
        <v>8.93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2736</v>
      </c>
      <c r="B101" s="64">
        <v>4.3899999999999997</v>
      </c>
      <c r="C101" s="64">
        <v>12.12</v>
      </c>
      <c r="D101" s="64">
        <v>9.85</v>
      </c>
      <c r="E101" s="64">
        <v>4.2699999999999996</v>
      </c>
      <c r="F101" s="64">
        <v>4.2699999999999996</v>
      </c>
      <c r="G101" s="64">
        <v>4.22</v>
      </c>
      <c r="H101" s="64">
        <v>1.02</v>
      </c>
      <c r="I101" s="64">
        <v>0.69</v>
      </c>
      <c r="J101" s="64">
        <v>0.15</v>
      </c>
      <c r="K101" s="64">
        <v>306.66000000000003</v>
      </c>
      <c r="L101" s="64">
        <v>23.55</v>
      </c>
      <c r="M101" s="64">
        <v>98.05</v>
      </c>
      <c r="N101" s="64">
        <v>67.3</v>
      </c>
      <c r="O101" s="64">
        <v>0</v>
      </c>
      <c r="P101" s="64">
        <v>0.23</v>
      </c>
      <c r="Q101" s="64">
        <v>8.94</v>
      </c>
      <c r="R101" s="198"/>
      <c r="S101" s="198"/>
      <c r="T101" s="198"/>
      <c r="U101" s="198"/>
    </row>
    <row r="102" spans="1:33" s="12" customFormat="1" x14ac:dyDescent="0.25">
      <c r="A102" s="213" t="s">
        <v>2737</v>
      </c>
      <c r="B102" s="64">
        <v>4.47</v>
      </c>
      <c r="C102" s="64">
        <v>11.76</v>
      </c>
      <c r="D102" s="64">
        <v>9.73</v>
      </c>
      <c r="E102" s="64">
        <v>4.37</v>
      </c>
      <c r="F102" s="64">
        <v>3.76</v>
      </c>
      <c r="G102" s="64">
        <v>4.6900000000000004</v>
      </c>
      <c r="H102" s="64">
        <v>1</v>
      </c>
      <c r="I102" s="64">
        <v>0.65</v>
      </c>
      <c r="J102" s="64">
        <v>0.2</v>
      </c>
      <c r="K102" s="64">
        <v>312.31</v>
      </c>
      <c r="L102" s="64">
        <v>23.6</v>
      </c>
      <c r="M102" s="64">
        <v>98.05</v>
      </c>
      <c r="N102" s="64">
        <v>67.400000000000006</v>
      </c>
      <c r="O102" s="64">
        <v>0</v>
      </c>
      <c r="P102" s="64">
        <v>0.22</v>
      </c>
      <c r="Q102" s="64">
        <v>8.9600000000000009</v>
      </c>
      <c r="R102" s="198"/>
      <c r="S102" s="198"/>
      <c r="T102" s="198"/>
      <c r="U102" s="198"/>
    </row>
    <row r="103" spans="1:33" s="12" customFormat="1" x14ac:dyDescent="0.25">
      <c r="A103" s="213" t="s">
        <v>2738</v>
      </c>
      <c r="B103" s="64">
        <v>4.45</v>
      </c>
      <c r="C103" s="64">
        <v>11.69</v>
      </c>
      <c r="D103" s="64">
        <v>9.68</v>
      </c>
      <c r="E103" s="64">
        <v>4.4800000000000004</v>
      </c>
      <c r="F103" s="64">
        <v>3.58</v>
      </c>
      <c r="G103" s="64">
        <v>4.6900000000000004</v>
      </c>
      <c r="H103" s="64">
        <v>1</v>
      </c>
      <c r="I103" s="64">
        <v>0.62</v>
      </c>
      <c r="J103" s="64">
        <v>0.14000000000000001</v>
      </c>
      <c r="K103" s="64">
        <v>305.08</v>
      </c>
      <c r="L103" s="64">
        <v>23.64</v>
      </c>
      <c r="M103" s="64">
        <v>98.05</v>
      </c>
      <c r="N103" s="64">
        <v>67.599999999999994</v>
      </c>
      <c r="O103" s="64">
        <v>0</v>
      </c>
      <c r="P103" s="64">
        <v>0.21</v>
      </c>
      <c r="Q103" s="64">
        <v>8.9600000000000009</v>
      </c>
      <c r="R103" s="198"/>
      <c r="S103" s="198"/>
      <c r="T103" s="198"/>
      <c r="U103" s="198"/>
    </row>
    <row r="104" spans="1:33" s="12" customFormat="1" x14ac:dyDescent="0.25">
      <c r="A104" s="213" t="s">
        <v>2739</v>
      </c>
      <c r="B104" s="64">
        <v>4.4400000000000004</v>
      </c>
      <c r="C104" s="64">
        <v>11.75</v>
      </c>
      <c r="D104" s="64">
        <v>9.6999999999999993</v>
      </c>
      <c r="E104" s="64">
        <v>5.26</v>
      </c>
      <c r="F104" s="64">
        <v>3.51</v>
      </c>
      <c r="G104" s="64">
        <v>4.6900000000000004</v>
      </c>
      <c r="H104" s="64">
        <v>1</v>
      </c>
      <c r="I104" s="64">
        <v>0.6</v>
      </c>
      <c r="J104" s="64">
        <v>0.17</v>
      </c>
      <c r="K104" s="64">
        <v>307.25</v>
      </c>
      <c r="L104" s="64">
        <v>23.64</v>
      </c>
      <c r="M104" s="64">
        <v>98.05</v>
      </c>
      <c r="N104" s="64">
        <v>67.599999999999994</v>
      </c>
      <c r="O104" s="64">
        <v>0</v>
      </c>
      <c r="P104" s="64">
        <v>0.2</v>
      </c>
      <c r="Q104" s="64">
        <v>8.9700000000000006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4.12</v>
      </c>
      <c r="C106" s="67">
        <f>MIN(C9:C104)</f>
        <v>11.09</v>
      </c>
      <c r="D106" s="67">
        <f t="shared" ref="D106:Q106" si="0">MIN(D9:D104)</f>
        <v>9.68</v>
      </c>
      <c r="E106" s="67">
        <f t="shared" si="0"/>
        <v>2.9</v>
      </c>
      <c r="F106" s="67">
        <f t="shared" si="0"/>
        <v>2.84</v>
      </c>
      <c r="G106" s="67">
        <f t="shared" si="0"/>
        <v>1.06</v>
      </c>
      <c r="H106" s="67">
        <f t="shared" si="0"/>
        <v>0.87</v>
      </c>
      <c r="I106" s="67">
        <f t="shared" si="0"/>
        <v>0.6</v>
      </c>
      <c r="J106" s="67">
        <f t="shared" si="0"/>
        <v>0.01</v>
      </c>
      <c r="K106" s="67">
        <f t="shared" si="0"/>
        <v>9.99</v>
      </c>
      <c r="L106" s="67">
        <f t="shared" si="0"/>
        <v>22.26</v>
      </c>
      <c r="M106" s="67">
        <f t="shared" si="0"/>
        <v>98.02</v>
      </c>
      <c r="N106" s="67">
        <f t="shared" si="0"/>
        <v>49</v>
      </c>
      <c r="O106" s="67">
        <f t="shared" si="0"/>
        <v>0</v>
      </c>
      <c r="P106" s="67">
        <f t="shared" si="0"/>
        <v>0.15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8.08</v>
      </c>
      <c r="C107" s="66">
        <f t="shared" ref="C107:Q107" si="1">MAX(C9:C104)</f>
        <v>15.03</v>
      </c>
      <c r="D107" s="66">
        <f t="shared" si="1"/>
        <v>12.76</v>
      </c>
      <c r="E107" s="66">
        <f t="shared" si="1"/>
        <v>5.26</v>
      </c>
      <c r="F107" s="66">
        <f t="shared" si="1"/>
        <v>5.62</v>
      </c>
      <c r="G107" s="66">
        <f t="shared" si="1"/>
        <v>11.43</v>
      </c>
      <c r="H107" s="66">
        <f t="shared" si="1"/>
        <v>4.26</v>
      </c>
      <c r="I107" s="66">
        <f t="shared" si="1"/>
        <v>1.64</v>
      </c>
      <c r="J107" s="66">
        <f t="shared" si="1"/>
        <v>1.35</v>
      </c>
      <c r="K107" s="66">
        <f t="shared" si="1"/>
        <v>344.2</v>
      </c>
      <c r="L107" s="66">
        <f t="shared" si="1"/>
        <v>24.92</v>
      </c>
      <c r="M107" s="66">
        <f t="shared" si="1"/>
        <v>98.26</v>
      </c>
      <c r="N107" s="66">
        <f t="shared" si="1"/>
        <v>252.2</v>
      </c>
      <c r="O107" s="66">
        <f t="shared" si="1"/>
        <v>2.8</v>
      </c>
      <c r="P107" s="66">
        <f t="shared" si="1"/>
        <v>0.45</v>
      </c>
      <c r="Q107" s="66">
        <f t="shared" si="1"/>
        <v>9.07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5.3957291666666656</v>
      </c>
      <c r="C108" s="67">
        <f t="shared" ref="C108:Q108" si="2">AVERAGE(C9:C104)</f>
        <v>12.887812500000001</v>
      </c>
      <c r="D108" s="67">
        <f t="shared" si="2"/>
        <v>11.060104166666664</v>
      </c>
      <c r="E108" s="67">
        <f t="shared" si="2"/>
        <v>3.9496875000000009</v>
      </c>
      <c r="F108" s="67">
        <f t="shared" si="2"/>
        <v>3.8198958333333324</v>
      </c>
      <c r="G108" s="67">
        <f t="shared" si="2"/>
        <v>4.3339583333333325</v>
      </c>
      <c r="H108" s="67">
        <f t="shared" si="2"/>
        <v>1.7211458333333332</v>
      </c>
      <c r="I108" s="67">
        <f t="shared" si="2"/>
        <v>0.80635416666666637</v>
      </c>
      <c r="J108" s="67">
        <f t="shared" si="2"/>
        <v>0.23697916666666671</v>
      </c>
      <c r="K108" s="67">
        <f t="shared" si="2"/>
        <v>306.28916666666669</v>
      </c>
      <c r="L108" s="67">
        <f t="shared" si="2"/>
        <v>23.350104166666664</v>
      </c>
      <c r="M108" s="67">
        <f t="shared" si="2"/>
        <v>98.103854166666665</v>
      </c>
      <c r="N108" s="67">
        <f t="shared" si="2"/>
        <v>95.660416666666663</v>
      </c>
      <c r="O108" s="67">
        <f t="shared" si="2"/>
        <v>8.5416666666666655E-2</v>
      </c>
      <c r="P108" s="67">
        <f t="shared" si="2"/>
        <v>0.24229166666666666</v>
      </c>
      <c r="Q108" s="67">
        <f t="shared" si="2"/>
        <v>8.9915625000000041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0.82154763425555943</v>
      </c>
      <c r="C109" s="67">
        <f t="shared" ref="C109:Q109" si="3">STDEV(C9:C104)</f>
        <v>1.0210708549309755</v>
      </c>
      <c r="D109" s="67">
        <f t="shared" si="3"/>
        <v>0.76870704130434309</v>
      </c>
      <c r="E109" s="67">
        <f t="shared" si="3"/>
        <v>0.36155061704305053</v>
      </c>
      <c r="F109" s="67">
        <f t="shared" si="3"/>
        <v>0.5150584939528644</v>
      </c>
      <c r="G109" s="67">
        <f t="shared" si="3"/>
        <v>2.632340755084186</v>
      </c>
      <c r="H109" s="67">
        <f t="shared" si="3"/>
        <v>1.0356557747494715</v>
      </c>
      <c r="I109" s="67">
        <f t="shared" si="3"/>
        <v>0.19574483816097854</v>
      </c>
      <c r="J109" s="67">
        <f t="shared" si="3"/>
        <v>0.13610460212387462</v>
      </c>
      <c r="K109" s="67">
        <f t="shared" si="3"/>
        <v>38.304207510173441</v>
      </c>
      <c r="L109" s="67">
        <f t="shared" si="3"/>
        <v>0.71946251106264136</v>
      </c>
      <c r="M109" s="67">
        <f t="shared" si="3"/>
        <v>6.5491980893874688E-2</v>
      </c>
      <c r="N109" s="67">
        <f t="shared" si="3"/>
        <v>51.76809519216021</v>
      </c>
      <c r="O109" s="67">
        <f t="shared" si="3"/>
        <v>0.31887274038619773</v>
      </c>
      <c r="P109" s="67">
        <f t="shared" si="3"/>
        <v>5.3557232872717062E-2</v>
      </c>
      <c r="Q109" s="67">
        <f t="shared" si="3"/>
        <v>3.400706196009725E-2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2740</v>
      </c>
      <c r="B9" s="64">
        <v>4.42</v>
      </c>
      <c r="C9" s="64">
        <v>11.48</v>
      </c>
      <c r="D9" s="64">
        <v>9.5399999999999991</v>
      </c>
      <c r="E9" s="64">
        <v>5.05</v>
      </c>
      <c r="F9" s="64">
        <v>3.42</v>
      </c>
      <c r="G9" s="64">
        <v>4.49</v>
      </c>
      <c r="H9" s="64">
        <v>1.05</v>
      </c>
      <c r="I9" s="64">
        <v>0.57999999999999996</v>
      </c>
      <c r="J9" s="64">
        <v>0.21</v>
      </c>
      <c r="K9" s="64">
        <v>317.88</v>
      </c>
      <c r="L9" s="64">
        <v>23.57</v>
      </c>
      <c r="M9" s="64">
        <v>98.05</v>
      </c>
      <c r="N9" s="64">
        <v>67.7</v>
      </c>
      <c r="O9" s="64">
        <v>0</v>
      </c>
      <c r="P9" s="64">
        <v>0.19</v>
      </c>
      <c r="Q9" s="64">
        <v>8.9600000000000009</v>
      </c>
      <c r="R9" s="198"/>
      <c r="S9" s="198"/>
      <c r="T9" s="198"/>
      <c r="U9" s="198"/>
    </row>
    <row r="10" spans="1:21" s="12" customFormat="1" x14ac:dyDescent="0.25">
      <c r="A10" s="213" t="s">
        <v>2741</v>
      </c>
      <c r="B10" s="64">
        <v>4.43</v>
      </c>
      <c r="C10" s="64">
        <v>11.46</v>
      </c>
      <c r="D10" s="64">
        <v>9.5399999999999991</v>
      </c>
      <c r="E10" s="64">
        <v>5.04</v>
      </c>
      <c r="F10" s="64">
        <v>3.72</v>
      </c>
      <c r="G10" s="64">
        <v>3.81</v>
      </c>
      <c r="H10" s="64">
        <v>1.24</v>
      </c>
      <c r="I10" s="64">
        <v>0.57999999999999996</v>
      </c>
      <c r="J10" s="64">
        <v>0.16</v>
      </c>
      <c r="K10" s="64">
        <v>314.05</v>
      </c>
      <c r="L10" s="64">
        <v>23.53</v>
      </c>
      <c r="M10" s="64">
        <v>98.05</v>
      </c>
      <c r="N10" s="64">
        <v>67.900000000000006</v>
      </c>
      <c r="O10" s="64">
        <v>0</v>
      </c>
      <c r="P10" s="64">
        <v>0.19</v>
      </c>
      <c r="Q10" s="64">
        <v>8.9700000000000006</v>
      </c>
      <c r="R10" s="198"/>
      <c r="S10" s="198"/>
      <c r="T10" s="198"/>
      <c r="U10" s="198"/>
    </row>
    <row r="11" spans="1:21" s="12" customFormat="1" x14ac:dyDescent="0.25">
      <c r="A11" s="213" t="s">
        <v>2742</v>
      </c>
      <c r="B11" s="64">
        <v>4.43</v>
      </c>
      <c r="C11" s="64">
        <v>11.4</v>
      </c>
      <c r="D11" s="64">
        <v>9.51</v>
      </c>
      <c r="E11" s="64">
        <v>5.14</v>
      </c>
      <c r="F11" s="64">
        <v>3.58</v>
      </c>
      <c r="G11" s="64">
        <v>3.81</v>
      </c>
      <c r="H11" s="64">
        <v>1.24</v>
      </c>
      <c r="I11" s="64">
        <v>0.56999999999999995</v>
      </c>
      <c r="J11" s="64">
        <v>0.17</v>
      </c>
      <c r="K11" s="64">
        <v>324.07</v>
      </c>
      <c r="L11" s="64">
        <v>23.51</v>
      </c>
      <c r="M11" s="64">
        <v>98.04</v>
      </c>
      <c r="N11" s="64">
        <v>68.099999999999994</v>
      </c>
      <c r="O11" s="64">
        <v>0</v>
      </c>
      <c r="P11" s="64">
        <v>0.19</v>
      </c>
      <c r="Q11" s="64">
        <v>8.9700000000000006</v>
      </c>
      <c r="R11" s="198"/>
      <c r="S11" s="198"/>
      <c r="T11" s="198"/>
      <c r="U11" s="198"/>
    </row>
    <row r="12" spans="1:21" s="12" customFormat="1" x14ac:dyDescent="0.25">
      <c r="A12" s="213" t="s">
        <v>2743</v>
      </c>
      <c r="B12" s="64">
        <v>4.38</v>
      </c>
      <c r="C12" s="64">
        <v>11.31</v>
      </c>
      <c r="D12" s="64">
        <v>9.42</v>
      </c>
      <c r="E12" s="64">
        <v>5.05</v>
      </c>
      <c r="F12" s="64">
        <v>3.52</v>
      </c>
      <c r="G12" s="64">
        <v>3.81</v>
      </c>
      <c r="H12" s="64">
        <v>1.24</v>
      </c>
      <c r="I12" s="64">
        <v>0.54</v>
      </c>
      <c r="J12" s="64">
        <v>0.14000000000000001</v>
      </c>
      <c r="K12" s="64">
        <v>301.48</v>
      </c>
      <c r="L12" s="64">
        <v>23.53</v>
      </c>
      <c r="M12" s="64">
        <v>98.05</v>
      </c>
      <c r="N12" s="64">
        <v>68.2</v>
      </c>
      <c r="O12" s="64">
        <v>0</v>
      </c>
      <c r="P12" s="64">
        <v>0.18</v>
      </c>
      <c r="Q12" s="64">
        <v>8.9700000000000006</v>
      </c>
      <c r="R12" s="198"/>
      <c r="S12" s="198"/>
      <c r="T12" s="198"/>
      <c r="U12" s="198"/>
    </row>
    <row r="13" spans="1:21" s="12" customFormat="1" x14ac:dyDescent="0.25">
      <c r="A13" s="213" t="s">
        <v>2744</v>
      </c>
      <c r="B13" s="64">
        <v>4.53</v>
      </c>
      <c r="C13" s="64">
        <v>11.37</v>
      </c>
      <c r="D13" s="64">
        <v>9.58</v>
      </c>
      <c r="E13" s="64">
        <v>4.8</v>
      </c>
      <c r="F13" s="64">
        <v>4.26</v>
      </c>
      <c r="G13" s="64">
        <v>3.67</v>
      </c>
      <c r="H13" s="64">
        <v>1.23</v>
      </c>
      <c r="I13" s="64">
        <v>0.53</v>
      </c>
      <c r="J13" s="64">
        <v>0.12</v>
      </c>
      <c r="K13" s="64">
        <v>311.57</v>
      </c>
      <c r="L13" s="64">
        <v>23.51</v>
      </c>
      <c r="M13" s="64">
        <v>98.05</v>
      </c>
      <c r="N13" s="64">
        <v>68.7</v>
      </c>
      <c r="O13" s="64">
        <v>0</v>
      </c>
      <c r="P13" s="64">
        <v>0.17</v>
      </c>
      <c r="Q13" s="64">
        <v>8.9499999999999993</v>
      </c>
      <c r="R13" s="198"/>
      <c r="S13" s="198"/>
      <c r="T13" s="198"/>
      <c r="U13" s="198"/>
    </row>
    <row r="14" spans="1:21" s="12" customFormat="1" x14ac:dyDescent="0.25">
      <c r="A14" s="213" t="s">
        <v>2745</v>
      </c>
      <c r="B14" s="64">
        <v>4.68</v>
      </c>
      <c r="C14" s="64">
        <v>11.29</v>
      </c>
      <c r="D14" s="64">
        <v>9.65</v>
      </c>
      <c r="E14" s="64">
        <v>5.07</v>
      </c>
      <c r="F14" s="64">
        <v>3.68</v>
      </c>
      <c r="G14" s="64">
        <v>3.21</v>
      </c>
      <c r="H14" s="64">
        <v>1.21</v>
      </c>
      <c r="I14" s="64">
        <v>0.53</v>
      </c>
      <c r="J14" s="64">
        <v>0.12</v>
      </c>
      <c r="K14" s="64">
        <v>297.32</v>
      </c>
      <c r="L14" s="64">
        <v>23.51</v>
      </c>
      <c r="M14" s="64">
        <v>98.08</v>
      </c>
      <c r="N14" s="64">
        <v>69.2</v>
      </c>
      <c r="O14" s="64">
        <v>0</v>
      </c>
      <c r="P14" s="64">
        <v>0.19</v>
      </c>
      <c r="Q14" s="64">
        <v>8.94</v>
      </c>
      <c r="R14" s="198"/>
      <c r="S14" s="198"/>
      <c r="T14" s="198"/>
      <c r="U14" s="198"/>
    </row>
    <row r="15" spans="1:21" s="12" customFormat="1" x14ac:dyDescent="0.25">
      <c r="A15" s="213" t="s">
        <v>2746</v>
      </c>
      <c r="B15" s="64">
        <v>4.71</v>
      </c>
      <c r="C15" s="64">
        <v>10.9</v>
      </c>
      <c r="D15" s="64">
        <v>9.4700000000000006</v>
      </c>
      <c r="E15" s="64">
        <v>4.8899999999999997</v>
      </c>
      <c r="F15" s="64">
        <v>3.42</v>
      </c>
      <c r="G15" s="64">
        <v>3.21</v>
      </c>
      <c r="H15" s="64">
        <v>1.21</v>
      </c>
      <c r="I15" s="64">
        <v>0.52</v>
      </c>
      <c r="J15" s="64">
        <v>0.12</v>
      </c>
      <c r="K15" s="64">
        <v>301.42</v>
      </c>
      <c r="L15" s="64">
        <v>23.54</v>
      </c>
      <c r="M15" s="64">
        <v>98.05</v>
      </c>
      <c r="N15" s="64">
        <v>69.400000000000006</v>
      </c>
      <c r="O15" s="64">
        <v>0</v>
      </c>
      <c r="P15" s="64">
        <v>0.16</v>
      </c>
      <c r="Q15" s="64">
        <v>8.94</v>
      </c>
      <c r="R15" s="198"/>
      <c r="S15" s="198"/>
      <c r="T15" s="198"/>
      <c r="U15" s="198"/>
    </row>
    <row r="16" spans="1:21" s="12" customFormat="1" x14ac:dyDescent="0.25">
      <c r="A16" s="213" t="s">
        <v>2747</v>
      </c>
      <c r="B16" s="64">
        <v>4.78</v>
      </c>
      <c r="C16" s="64">
        <v>10.83</v>
      </c>
      <c r="D16" s="64">
        <v>9.49</v>
      </c>
      <c r="E16" s="64">
        <v>4.95</v>
      </c>
      <c r="F16" s="64">
        <v>4.1900000000000004</v>
      </c>
      <c r="G16" s="64">
        <v>3.21</v>
      </c>
      <c r="H16" s="64">
        <v>1.21</v>
      </c>
      <c r="I16" s="64">
        <v>0.5</v>
      </c>
      <c r="J16" s="64">
        <v>0.11</v>
      </c>
      <c r="K16" s="64">
        <v>288.14</v>
      </c>
      <c r="L16" s="64">
        <v>23.61</v>
      </c>
      <c r="M16" s="64">
        <v>98.05</v>
      </c>
      <c r="N16" s="64">
        <v>69.7</v>
      </c>
      <c r="O16" s="64">
        <v>0</v>
      </c>
      <c r="P16" s="64">
        <v>0.16</v>
      </c>
      <c r="Q16" s="64">
        <v>8.92</v>
      </c>
      <c r="R16" s="198"/>
      <c r="S16" s="198"/>
      <c r="T16" s="198"/>
      <c r="U16" s="198"/>
    </row>
    <row r="17" spans="1:21" s="12" customFormat="1" x14ac:dyDescent="0.25">
      <c r="A17" s="213" t="s">
        <v>2748</v>
      </c>
      <c r="B17" s="64">
        <v>4.78</v>
      </c>
      <c r="C17" s="64">
        <v>10.97</v>
      </c>
      <c r="D17" s="64">
        <v>9.57</v>
      </c>
      <c r="E17" s="64">
        <v>4.8600000000000003</v>
      </c>
      <c r="F17" s="64">
        <v>3.72</v>
      </c>
      <c r="G17" s="64">
        <v>3.3</v>
      </c>
      <c r="H17" s="64">
        <v>1.21</v>
      </c>
      <c r="I17" s="64">
        <v>0.48</v>
      </c>
      <c r="J17" s="64">
        <v>0.2</v>
      </c>
      <c r="K17" s="64">
        <v>315.89</v>
      </c>
      <c r="L17" s="64">
        <v>23.54</v>
      </c>
      <c r="M17" s="64">
        <v>98.06</v>
      </c>
      <c r="N17" s="64">
        <v>70</v>
      </c>
      <c r="O17" s="64">
        <v>0</v>
      </c>
      <c r="P17" s="64">
        <v>0.17</v>
      </c>
      <c r="Q17" s="64">
        <v>8.91</v>
      </c>
      <c r="R17" s="198"/>
      <c r="S17" s="198"/>
      <c r="T17" s="198"/>
      <c r="U17" s="198"/>
    </row>
    <row r="18" spans="1:21" s="12" customFormat="1" x14ac:dyDescent="0.25">
      <c r="A18" s="213" t="s">
        <v>2749</v>
      </c>
      <c r="B18" s="64">
        <v>4.5999999999999996</v>
      </c>
      <c r="C18" s="64">
        <v>10.95</v>
      </c>
      <c r="D18" s="64">
        <v>9.41</v>
      </c>
      <c r="E18" s="64">
        <v>5.1100000000000003</v>
      </c>
      <c r="F18" s="64">
        <v>3.58</v>
      </c>
      <c r="G18" s="64">
        <v>3.57</v>
      </c>
      <c r="H18" s="64">
        <v>1.21</v>
      </c>
      <c r="I18" s="64">
        <v>0.48</v>
      </c>
      <c r="J18" s="64">
        <v>0.13</v>
      </c>
      <c r="K18" s="64">
        <v>276.77999999999997</v>
      </c>
      <c r="L18" s="64">
        <v>23.35</v>
      </c>
      <c r="M18" s="64">
        <v>98.06</v>
      </c>
      <c r="N18" s="64">
        <v>70.099999999999994</v>
      </c>
      <c r="O18" s="64">
        <v>0</v>
      </c>
      <c r="P18" s="64">
        <v>0.15</v>
      </c>
      <c r="Q18" s="64">
        <v>8.92</v>
      </c>
      <c r="R18" s="198"/>
      <c r="S18" s="198"/>
      <c r="T18" s="198"/>
      <c r="U18" s="198"/>
    </row>
    <row r="19" spans="1:21" s="12" customFormat="1" x14ac:dyDescent="0.25">
      <c r="A19" s="213" t="s">
        <v>2750</v>
      </c>
      <c r="B19" s="64">
        <v>4.57</v>
      </c>
      <c r="C19" s="64">
        <v>11.04</v>
      </c>
      <c r="D19" s="64">
        <v>9.43</v>
      </c>
      <c r="E19" s="64">
        <v>4.96</v>
      </c>
      <c r="F19" s="64">
        <v>3.79</v>
      </c>
      <c r="G19" s="64">
        <v>3.57</v>
      </c>
      <c r="H19" s="64">
        <v>1.21</v>
      </c>
      <c r="I19" s="64">
        <v>0.48</v>
      </c>
      <c r="J19" s="64">
        <v>0.14000000000000001</v>
      </c>
      <c r="K19" s="64">
        <v>295.64999999999998</v>
      </c>
      <c r="L19" s="64">
        <v>22.99</v>
      </c>
      <c r="M19" s="64">
        <v>98.1</v>
      </c>
      <c r="N19" s="64">
        <v>71.599999999999994</v>
      </c>
      <c r="O19" s="64">
        <v>0</v>
      </c>
      <c r="P19" s="64">
        <v>0.16</v>
      </c>
      <c r="Q19" s="64">
        <v>8.91</v>
      </c>
      <c r="R19" s="198"/>
      <c r="S19" s="198"/>
      <c r="T19" s="198"/>
      <c r="U19" s="198"/>
    </row>
    <row r="20" spans="1:21" s="12" customFormat="1" x14ac:dyDescent="0.25">
      <c r="A20" s="213" t="s">
        <v>2751</v>
      </c>
      <c r="B20" s="64">
        <v>4.53</v>
      </c>
      <c r="C20" s="64">
        <v>10.83</v>
      </c>
      <c r="D20" s="64">
        <v>9.2899999999999991</v>
      </c>
      <c r="E20" s="64">
        <v>5.25</v>
      </c>
      <c r="F20" s="64">
        <v>3.72</v>
      </c>
      <c r="G20" s="64">
        <v>3.57</v>
      </c>
      <c r="H20" s="64">
        <v>1.21</v>
      </c>
      <c r="I20" s="64">
        <v>0.46</v>
      </c>
      <c r="J20" s="64">
        <v>0.04</v>
      </c>
      <c r="K20" s="64">
        <v>272.39</v>
      </c>
      <c r="L20" s="64">
        <v>22.78</v>
      </c>
      <c r="M20" s="64">
        <v>98.13</v>
      </c>
      <c r="N20" s="64">
        <v>72.2</v>
      </c>
      <c r="O20" s="64">
        <v>0</v>
      </c>
      <c r="P20" s="64">
        <v>0.14000000000000001</v>
      </c>
      <c r="Q20" s="64">
        <v>8.92</v>
      </c>
      <c r="R20" s="198"/>
      <c r="S20" s="198"/>
      <c r="T20" s="198"/>
      <c r="U20" s="198"/>
    </row>
    <row r="21" spans="1:21" s="12" customFormat="1" x14ac:dyDescent="0.25">
      <c r="A21" s="213" t="s">
        <v>2752</v>
      </c>
      <c r="B21" s="64">
        <v>4.72</v>
      </c>
      <c r="C21" s="64">
        <v>10.8</v>
      </c>
      <c r="D21" s="64">
        <v>9.42</v>
      </c>
      <c r="E21" s="64">
        <v>5.32</v>
      </c>
      <c r="F21" s="64">
        <v>4.07</v>
      </c>
      <c r="G21" s="64">
        <v>3.37</v>
      </c>
      <c r="H21" s="64">
        <v>1.34</v>
      </c>
      <c r="I21" s="64">
        <v>0.45</v>
      </c>
      <c r="J21" s="64">
        <v>0.03</v>
      </c>
      <c r="K21" s="64">
        <v>338.8</v>
      </c>
      <c r="L21" s="64">
        <v>22.66</v>
      </c>
      <c r="M21" s="64">
        <v>98.13</v>
      </c>
      <c r="N21" s="64">
        <v>73.900000000000006</v>
      </c>
      <c r="O21" s="64">
        <v>0</v>
      </c>
      <c r="P21" s="64">
        <v>0.15</v>
      </c>
      <c r="Q21" s="64">
        <v>8.92</v>
      </c>
      <c r="R21" s="198"/>
      <c r="S21" s="198"/>
      <c r="T21" s="198"/>
      <c r="U21" s="198"/>
    </row>
    <row r="22" spans="1:21" s="12" customFormat="1" x14ac:dyDescent="0.25">
      <c r="A22" s="213" t="s">
        <v>2753</v>
      </c>
      <c r="B22" s="64">
        <v>4.88</v>
      </c>
      <c r="C22" s="64">
        <v>10.79</v>
      </c>
      <c r="D22" s="64">
        <v>9.5500000000000007</v>
      </c>
      <c r="E22" s="64">
        <v>4.8099999999999996</v>
      </c>
      <c r="F22" s="64">
        <v>3.71</v>
      </c>
      <c r="G22" s="64">
        <v>2.72</v>
      </c>
      <c r="H22" s="64">
        <v>1.78</v>
      </c>
      <c r="I22" s="64">
        <v>0.45</v>
      </c>
      <c r="J22" s="64">
        <v>0.05</v>
      </c>
      <c r="K22" s="64">
        <v>275.77</v>
      </c>
      <c r="L22" s="64">
        <v>22.55</v>
      </c>
      <c r="M22" s="64">
        <v>98.13</v>
      </c>
      <c r="N22" s="64">
        <v>75</v>
      </c>
      <c r="O22" s="64">
        <v>0</v>
      </c>
      <c r="P22" s="64">
        <v>0.16</v>
      </c>
      <c r="Q22" s="64">
        <v>8.92</v>
      </c>
      <c r="R22" s="198"/>
      <c r="S22" s="198"/>
      <c r="T22" s="198"/>
      <c r="U22" s="198"/>
    </row>
    <row r="23" spans="1:21" s="12" customFormat="1" x14ac:dyDescent="0.25">
      <c r="A23" s="213" t="s">
        <v>2754</v>
      </c>
      <c r="B23" s="64">
        <v>4.75</v>
      </c>
      <c r="C23" s="64">
        <v>10.15</v>
      </c>
      <c r="D23" s="64">
        <v>9.11</v>
      </c>
      <c r="E23" s="64">
        <v>4.62</v>
      </c>
      <c r="F23" s="64">
        <v>5.84</v>
      </c>
      <c r="G23" s="64">
        <v>2.72</v>
      </c>
      <c r="H23" s="64">
        <v>1.78</v>
      </c>
      <c r="I23" s="64">
        <v>0.46</v>
      </c>
      <c r="J23" s="64">
        <v>0.03</v>
      </c>
      <c r="K23" s="64">
        <v>196.44</v>
      </c>
      <c r="L23" s="64">
        <v>22.54</v>
      </c>
      <c r="M23" s="64">
        <v>98.13</v>
      </c>
      <c r="N23" s="64">
        <v>76.2</v>
      </c>
      <c r="O23" s="64">
        <v>0</v>
      </c>
      <c r="P23" s="64">
        <v>0.14000000000000001</v>
      </c>
      <c r="Q23" s="64">
        <v>8.94</v>
      </c>
      <c r="R23" s="198"/>
      <c r="S23" s="198"/>
      <c r="T23" s="198"/>
      <c r="U23" s="198"/>
    </row>
    <row r="24" spans="1:21" s="12" customFormat="1" x14ac:dyDescent="0.25">
      <c r="A24" s="213" t="s">
        <v>2755</v>
      </c>
      <c r="B24" s="64">
        <v>5.08</v>
      </c>
      <c r="C24" s="64">
        <v>10.01</v>
      </c>
      <c r="D24" s="64">
        <v>9.31</v>
      </c>
      <c r="E24" s="64">
        <v>5.01</v>
      </c>
      <c r="F24" s="64">
        <v>5.15</v>
      </c>
      <c r="G24" s="64">
        <v>2.72</v>
      </c>
      <c r="H24" s="64">
        <v>1.78</v>
      </c>
      <c r="I24" s="64">
        <v>0.46</v>
      </c>
      <c r="J24" s="64">
        <v>0.04</v>
      </c>
      <c r="K24" s="64">
        <v>303.88</v>
      </c>
      <c r="L24" s="64">
        <v>22.63</v>
      </c>
      <c r="M24" s="64">
        <v>98.13</v>
      </c>
      <c r="N24" s="64">
        <v>77.2</v>
      </c>
      <c r="O24" s="64">
        <v>0</v>
      </c>
      <c r="P24" s="64">
        <v>0.15</v>
      </c>
      <c r="Q24" s="64">
        <v>8.9600000000000009</v>
      </c>
      <c r="R24" s="198"/>
      <c r="S24" s="198"/>
      <c r="T24" s="198"/>
      <c r="U24" s="198"/>
    </row>
    <row r="25" spans="1:21" s="12" customFormat="1" x14ac:dyDescent="0.25">
      <c r="A25" s="213" t="s">
        <v>2756</v>
      </c>
      <c r="B25" s="64">
        <v>5.37</v>
      </c>
      <c r="C25" s="64">
        <v>10.06</v>
      </c>
      <c r="D25" s="64">
        <v>9.56</v>
      </c>
      <c r="E25" s="64">
        <v>5.17</v>
      </c>
      <c r="F25" s="64">
        <v>5.42</v>
      </c>
      <c r="G25" s="64">
        <v>3.06</v>
      </c>
      <c r="H25" s="64">
        <v>1.75</v>
      </c>
      <c r="I25" s="64">
        <v>0.45</v>
      </c>
      <c r="J25" s="64">
        <v>0.05</v>
      </c>
      <c r="K25" s="64">
        <v>297.37</v>
      </c>
      <c r="L25" s="64">
        <v>22.69</v>
      </c>
      <c r="M25" s="64">
        <v>98.13</v>
      </c>
      <c r="N25" s="64">
        <v>77.2</v>
      </c>
      <c r="O25" s="64">
        <v>0</v>
      </c>
      <c r="P25" s="64">
        <v>0.14000000000000001</v>
      </c>
      <c r="Q25" s="64">
        <v>8.98</v>
      </c>
      <c r="R25" s="198"/>
      <c r="S25" s="198"/>
      <c r="T25" s="198"/>
      <c r="U25" s="198"/>
    </row>
    <row r="26" spans="1:21" s="12" customFormat="1" x14ac:dyDescent="0.25">
      <c r="A26" s="213" t="s">
        <v>2757</v>
      </c>
      <c r="B26" s="64">
        <v>5.52</v>
      </c>
      <c r="C26" s="64">
        <v>10.32</v>
      </c>
      <c r="D26" s="64">
        <v>9.81</v>
      </c>
      <c r="E26" s="64">
        <v>4.8600000000000003</v>
      </c>
      <c r="F26" s="64">
        <v>5.34</v>
      </c>
      <c r="G26" s="64">
        <v>4.2</v>
      </c>
      <c r="H26" s="64">
        <v>1.66</v>
      </c>
      <c r="I26" s="64">
        <v>0.46</v>
      </c>
      <c r="J26" s="64">
        <v>7.0000000000000007E-2</v>
      </c>
      <c r="K26" s="64">
        <v>324.06</v>
      </c>
      <c r="L26" s="64">
        <v>22.73</v>
      </c>
      <c r="M26" s="64">
        <v>98.13</v>
      </c>
      <c r="N26" s="64">
        <v>76.599999999999994</v>
      </c>
      <c r="O26" s="64">
        <v>0</v>
      </c>
      <c r="P26" s="64">
        <v>0.15</v>
      </c>
      <c r="Q26" s="64">
        <v>8.98</v>
      </c>
      <c r="R26" s="198"/>
      <c r="S26" s="198"/>
      <c r="T26" s="198"/>
      <c r="U26" s="198"/>
    </row>
    <row r="27" spans="1:21" s="12" customFormat="1" x14ac:dyDescent="0.25">
      <c r="A27" s="213" t="s">
        <v>2758</v>
      </c>
      <c r="B27" s="64">
        <v>6.04</v>
      </c>
      <c r="C27" s="64">
        <v>10.31</v>
      </c>
      <c r="D27" s="64">
        <v>10.23</v>
      </c>
      <c r="E27" s="64">
        <v>4.99</v>
      </c>
      <c r="F27" s="64">
        <v>3.79</v>
      </c>
      <c r="G27" s="64">
        <v>4.2</v>
      </c>
      <c r="H27" s="64">
        <v>1.66</v>
      </c>
      <c r="I27" s="64">
        <v>0.46</v>
      </c>
      <c r="J27" s="64">
        <v>0.18</v>
      </c>
      <c r="K27" s="64">
        <v>307.37</v>
      </c>
      <c r="L27" s="64">
        <v>22.77</v>
      </c>
      <c r="M27" s="64">
        <v>98.12</v>
      </c>
      <c r="N27" s="64">
        <v>76.2</v>
      </c>
      <c r="O27" s="64">
        <v>0</v>
      </c>
      <c r="P27" s="64">
        <v>0.14000000000000001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3" t="s">
        <v>2759</v>
      </c>
      <c r="B28" s="64">
        <v>6.02</v>
      </c>
      <c r="C28" s="64">
        <v>10.31</v>
      </c>
      <c r="D28" s="64">
        <v>10.210000000000001</v>
      </c>
      <c r="E28" s="64">
        <v>4.8899999999999997</v>
      </c>
      <c r="F28" s="64">
        <v>4.67</v>
      </c>
      <c r="G28" s="64">
        <v>4.2</v>
      </c>
      <c r="H28" s="64">
        <v>1.66</v>
      </c>
      <c r="I28" s="64">
        <v>0.48</v>
      </c>
      <c r="J28" s="64">
        <v>0.15</v>
      </c>
      <c r="K28" s="64">
        <v>293.8</v>
      </c>
      <c r="L28" s="64">
        <v>22.85</v>
      </c>
      <c r="M28" s="64">
        <v>98.1</v>
      </c>
      <c r="N28" s="64">
        <v>76.3</v>
      </c>
      <c r="O28" s="64">
        <v>0</v>
      </c>
      <c r="P28" s="64">
        <v>0.14000000000000001</v>
      </c>
      <c r="Q28" s="64">
        <v>9.01</v>
      </c>
      <c r="R28" s="198"/>
      <c r="S28" s="198"/>
      <c r="T28" s="198"/>
      <c r="U28" s="198"/>
    </row>
    <row r="29" spans="1:21" s="12" customFormat="1" x14ac:dyDescent="0.25">
      <c r="A29" s="213" t="s">
        <v>2760</v>
      </c>
      <c r="B29" s="64">
        <v>6.07</v>
      </c>
      <c r="C29" s="64">
        <v>10.39</v>
      </c>
      <c r="D29" s="64">
        <v>10.3</v>
      </c>
      <c r="E29" s="64">
        <v>4.8600000000000003</v>
      </c>
      <c r="F29" s="64">
        <v>3.91</v>
      </c>
      <c r="G29" s="64">
        <v>4.0599999999999996</v>
      </c>
      <c r="H29" s="64">
        <v>1.76</v>
      </c>
      <c r="I29" s="64">
        <v>0.5</v>
      </c>
      <c r="J29" s="64">
        <v>0.12</v>
      </c>
      <c r="K29" s="64">
        <v>303.42</v>
      </c>
      <c r="L29" s="64">
        <v>23.01</v>
      </c>
      <c r="M29" s="64">
        <v>98.08</v>
      </c>
      <c r="N29" s="64">
        <v>76.5</v>
      </c>
      <c r="O29" s="64">
        <v>0</v>
      </c>
      <c r="P29" s="64">
        <v>0.15</v>
      </c>
      <c r="Q29" s="64">
        <v>9.01</v>
      </c>
      <c r="R29" s="198"/>
      <c r="S29" s="198"/>
      <c r="T29" s="198"/>
      <c r="U29" s="198"/>
    </row>
    <row r="30" spans="1:21" s="12" customFormat="1" x14ac:dyDescent="0.25">
      <c r="A30" s="213" t="s">
        <v>2761</v>
      </c>
      <c r="B30" s="64">
        <v>5.75</v>
      </c>
      <c r="C30" s="64">
        <v>10.51</v>
      </c>
      <c r="D30" s="64">
        <v>10.1</v>
      </c>
      <c r="E30" s="64">
        <v>4.97</v>
      </c>
      <c r="F30" s="64">
        <v>4.24</v>
      </c>
      <c r="G30" s="64">
        <v>3.58</v>
      </c>
      <c r="H30" s="64">
        <v>2.1</v>
      </c>
      <c r="I30" s="64">
        <v>0.48</v>
      </c>
      <c r="J30" s="64">
        <v>0.11</v>
      </c>
      <c r="K30" s="64">
        <v>307.64</v>
      </c>
      <c r="L30" s="64">
        <v>23.02</v>
      </c>
      <c r="M30" s="64">
        <v>98.09</v>
      </c>
      <c r="N30" s="64">
        <v>78</v>
      </c>
      <c r="O30" s="64">
        <v>0</v>
      </c>
      <c r="P30" s="64">
        <v>0.14000000000000001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3" t="s">
        <v>2762</v>
      </c>
      <c r="B31" s="64">
        <v>5.97</v>
      </c>
      <c r="C31" s="64">
        <v>10.65</v>
      </c>
      <c r="D31" s="64">
        <v>10.35</v>
      </c>
      <c r="E31" s="64">
        <v>4.9800000000000004</v>
      </c>
      <c r="F31" s="64">
        <v>4.13</v>
      </c>
      <c r="G31" s="64">
        <v>3.58</v>
      </c>
      <c r="H31" s="64">
        <v>2.1</v>
      </c>
      <c r="I31" s="64">
        <v>0.47</v>
      </c>
      <c r="J31" s="64">
        <v>0.08</v>
      </c>
      <c r="K31" s="64">
        <v>293.39999999999998</v>
      </c>
      <c r="L31" s="64">
        <v>23.02</v>
      </c>
      <c r="M31" s="64">
        <v>98.11</v>
      </c>
      <c r="N31" s="64">
        <v>79.099999999999994</v>
      </c>
      <c r="O31" s="64">
        <v>0</v>
      </c>
      <c r="P31" s="64">
        <v>0.16</v>
      </c>
      <c r="Q31" s="64">
        <v>8.99</v>
      </c>
      <c r="R31" s="198"/>
      <c r="S31" s="198"/>
      <c r="T31" s="198"/>
      <c r="U31" s="198"/>
    </row>
    <row r="32" spans="1:21" s="12" customFormat="1" x14ac:dyDescent="0.25">
      <c r="A32" s="213" t="s">
        <v>2763</v>
      </c>
      <c r="B32" s="64">
        <v>6.05</v>
      </c>
      <c r="C32" s="64">
        <v>10.78</v>
      </c>
      <c r="D32" s="64">
        <v>10.49</v>
      </c>
      <c r="E32" s="64">
        <v>4.95</v>
      </c>
      <c r="F32" s="64">
        <v>2.97</v>
      </c>
      <c r="G32" s="64">
        <v>3.58</v>
      </c>
      <c r="H32" s="64">
        <v>2.1</v>
      </c>
      <c r="I32" s="64">
        <v>0.48</v>
      </c>
      <c r="J32" s="64">
        <v>0.14000000000000001</v>
      </c>
      <c r="K32" s="64">
        <v>277.39</v>
      </c>
      <c r="L32" s="64">
        <v>23.06</v>
      </c>
      <c r="M32" s="64">
        <v>98.08</v>
      </c>
      <c r="N32" s="64">
        <v>79.8</v>
      </c>
      <c r="O32" s="64">
        <v>0</v>
      </c>
      <c r="P32" s="64">
        <v>0.15</v>
      </c>
      <c r="Q32" s="64">
        <v>8.98</v>
      </c>
      <c r="R32" s="198"/>
      <c r="S32" s="198"/>
      <c r="T32" s="198"/>
      <c r="U32" s="198"/>
    </row>
    <row r="33" spans="1:21" s="12" customFormat="1" x14ac:dyDescent="0.25">
      <c r="A33" s="213" t="s">
        <v>2764</v>
      </c>
      <c r="B33" s="64">
        <v>6.08</v>
      </c>
      <c r="C33" s="64">
        <v>10.68</v>
      </c>
      <c r="D33" s="64">
        <v>10.46</v>
      </c>
      <c r="E33" s="64">
        <v>5.1100000000000003</v>
      </c>
      <c r="F33" s="64">
        <v>4.28</v>
      </c>
      <c r="G33" s="64">
        <v>3.67</v>
      </c>
      <c r="H33" s="64">
        <v>2.2400000000000002</v>
      </c>
      <c r="I33" s="64">
        <v>0.47</v>
      </c>
      <c r="J33" s="64">
        <v>0.1</v>
      </c>
      <c r="K33" s="64">
        <v>265.49</v>
      </c>
      <c r="L33" s="64">
        <v>23</v>
      </c>
      <c r="M33" s="64">
        <v>98.08</v>
      </c>
      <c r="N33" s="64">
        <v>82</v>
      </c>
      <c r="O33" s="64">
        <v>0</v>
      </c>
      <c r="P33" s="64">
        <v>0.15</v>
      </c>
      <c r="Q33" s="64">
        <v>8.9700000000000006</v>
      </c>
      <c r="R33" s="198"/>
      <c r="S33" s="198"/>
      <c r="T33" s="198"/>
      <c r="U33" s="198"/>
    </row>
    <row r="34" spans="1:21" s="12" customFormat="1" x14ac:dyDescent="0.25">
      <c r="A34" s="213" t="s">
        <v>2765</v>
      </c>
      <c r="B34" s="64">
        <v>6.03</v>
      </c>
      <c r="C34" s="64">
        <v>10.88</v>
      </c>
      <c r="D34" s="64">
        <v>10.52</v>
      </c>
      <c r="E34" s="64">
        <v>5.0199999999999996</v>
      </c>
      <c r="F34" s="64">
        <v>3.78</v>
      </c>
      <c r="G34" s="64">
        <v>3.99</v>
      </c>
      <c r="H34" s="64">
        <v>2.7</v>
      </c>
      <c r="I34" s="64">
        <v>0.46</v>
      </c>
      <c r="J34" s="64">
        <v>0.04</v>
      </c>
      <c r="K34" s="64">
        <v>247.75</v>
      </c>
      <c r="L34" s="64">
        <v>22.94</v>
      </c>
      <c r="M34" s="64">
        <v>98.1</v>
      </c>
      <c r="N34" s="64">
        <v>87.6</v>
      </c>
      <c r="O34" s="64">
        <v>0</v>
      </c>
      <c r="P34" s="64">
        <v>0.17</v>
      </c>
      <c r="Q34" s="64">
        <v>8.9600000000000009</v>
      </c>
      <c r="R34" s="198"/>
      <c r="S34" s="198"/>
      <c r="T34" s="198"/>
      <c r="U34" s="198"/>
    </row>
    <row r="35" spans="1:21" s="12" customFormat="1" x14ac:dyDescent="0.25">
      <c r="A35" s="213" t="s">
        <v>2766</v>
      </c>
      <c r="B35" s="64">
        <v>5.92</v>
      </c>
      <c r="C35" s="64">
        <v>10.84</v>
      </c>
      <c r="D35" s="64">
        <v>10.41</v>
      </c>
      <c r="E35" s="64">
        <v>5.04</v>
      </c>
      <c r="F35" s="64">
        <v>4.09</v>
      </c>
      <c r="G35" s="64">
        <v>3.99</v>
      </c>
      <c r="H35" s="64">
        <v>2.7</v>
      </c>
      <c r="I35" s="64">
        <v>0.46</v>
      </c>
      <c r="J35" s="64">
        <v>0.1</v>
      </c>
      <c r="K35" s="64">
        <v>255.55</v>
      </c>
      <c r="L35" s="64">
        <v>22.82</v>
      </c>
      <c r="M35" s="64">
        <v>98.13</v>
      </c>
      <c r="N35" s="64">
        <v>86.1</v>
      </c>
      <c r="O35" s="64">
        <v>0</v>
      </c>
      <c r="P35" s="64">
        <v>0.13</v>
      </c>
      <c r="Q35" s="64">
        <v>8.9499999999999993</v>
      </c>
      <c r="R35" s="198"/>
      <c r="S35" s="198"/>
      <c r="T35" s="198"/>
      <c r="U35" s="198"/>
    </row>
    <row r="36" spans="1:21" s="12" customFormat="1" x14ac:dyDescent="0.25">
      <c r="A36" s="213" t="s">
        <v>2767</v>
      </c>
      <c r="B36" s="64">
        <v>6</v>
      </c>
      <c r="C36" s="64">
        <v>10.91</v>
      </c>
      <c r="D36" s="64">
        <v>10.51</v>
      </c>
      <c r="E36" s="64">
        <v>4.79</v>
      </c>
      <c r="F36" s="64">
        <v>4.42</v>
      </c>
      <c r="G36" s="64">
        <v>3.99</v>
      </c>
      <c r="H36" s="64">
        <v>2.7</v>
      </c>
      <c r="I36" s="64">
        <v>0.47</v>
      </c>
      <c r="J36" s="64">
        <v>0.06</v>
      </c>
      <c r="K36" s="64">
        <v>210.41</v>
      </c>
      <c r="L36" s="64">
        <v>22.82</v>
      </c>
      <c r="M36" s="64">
        <v>98.13</v>
      </c>
      <c r="N36" s="64">
        <v>88.7</v>
      </c>
      <c r="O36" s="64">
        <v>0</v>
      </c>
      <c r="P36" s="64">
        <v>0.15</v>
      </c>
      <c r="Q36" s="64">
        <v>8.94</v>
      </c>
      <c r="R36" s="198"/>
      <c r="S36" s="198"/>
      <c r="T36" s="198"/>
      <c r="U36" s="198"/>
    </row>
    <row r="37" spans="1:21" s="12" customFormat="1" x14ac:dyDescent="0.25">
      <c r="A37" s="213" t="s">
        <v>2768</v>
      </c>
      <c r="B37" s="64">
        <v>6.05</v>
      </c>
      <c r="C37" s="64">
        <v>11.07</v>
      </c>
      <c r="D37" s="64">
        <v>10.63</v>
      </c>
      <c r="E37" s="64">
        <v>5.05</v>
      </c>
      <c r="F37" s="64">
        <v>3.32</v>
      </c>
      <c r="G37" s="64">
        <v>4.4400000000000004</v>
      </c>
      <c r="H37" s="64">
        <v>3.06</v>
      </c>
      <c r="I37" s="64">
        <v>0.47</v>
      </c>
      <c r="J37" s="64">
        <v>0.16</v>
      </c>
      <c r="K37" s="64">
        <v>274.5</v>
      </c>
      <c r="L37" s="64">
        <v>22.79</v>
      </c>
      <c r="M37" s="64">
        <v>98.12</v>
      </c>
      <c r="N37" s="64">
        <v>99.4</v>
      </c>
      <c r="O37" s="64">
        <v>0</v>
      </c>
      <c r="P37" s="64">
        <v>0.13</v>
      </c>
      <c r="Q37" s="64">
        <v>8.94</v>
      </c>
      <c r="R37" s="198"/>
      <c r="S37" s="198"/>
      <c r="T37" s="198"/>
      <c r="U37" s="198"/>
    </row>
    <row r="38" spans="1:21" s="12" customFormat="1" x14ac:dyDescent="0.25">
      <c r="A38" s="213" t="s">
        <v>2769</v>
      </c>
      <c r="B38" s="64">
        <v>5.96</v>
      </c>
      <c r="C38" s="64">
        <v>11.16</v>
      </c>
      <c r="D38" s="64">
        <v>10.61</v>
      </c>
      <c r="E38" s="64">
        <v>4.7699999999999996</v>
      </c>
      <c r="F38" s="64">
        <v>4.03</v>
      </c>
      <c r="G38" s="64">
        <v>5.92</v>
      </c>
      <c r="H38" s="64">
        <v>4.2300000000000004</v>
      </c>
      <c r="I38" s="64">
        <v>0.47</v>
      </c>
      <c r="J38" s="64">
        <v>7.0000000000000007E-2</v>
      </c>
      <c r="K38" s="64">
        <v>287.45999999999998</v>
      </c>
      <c r="L38" s="64">
        <v>22.7</v>
      </c>
      <c r="M38" s="64">
        <v>98.14</v>
      </c>
      <c r="N38" s="64">
        <v>119</v>
      </c>
      <c r="O38" s="64">
        <v>0</v>
      </c>
      <c r="P38" s="64">
        <v>0.16</v>
      </c>
      <c r="Q38" s="64">
        <v>8.94</v>
      </c>
      <c r="R38" s="198"/>
      <c r="S38" s="198"/>
      <c r="T38" s="198"/>
      <c r="U38" s="198"/>
    </row>
    <row r="39" spans="1:21" s="12" customFormat="1" x14ac:dyDescent="0.25">
      <c r="A39" s="213" t="s">
        <v>2770</v>
      </c>
      <c r="B39" s="64">
        <v>6.02</v>
      </c>
      <c r="C39" s="64">
        <v>11.04</v>
      </c>
      <c r="D39" s="64">
        <v>10.59</v>
      </c>
      <c r="E39" s="64">
        <v>5.52</v>
      </c>
      <c r="F39" s="64">
        <v>3.18</v>
      </c>
      <c r="G39" s="64">
        <v>5.92</v>
      </c>
      <c r="H39" s="64">
        <v>4.2300000000000004</v>
      </c>
      <c r="I39" s="64">
        <v>0.48</v>
      </c>
      <c r="J39" s="64">
        <v>0.13</v>
      </c>
      <c r="K39" s="64">
        <v>286.63</v>
      </c>
      <c r="L39" s="64">
        <v>22.8</v>
      </c>
      <c r="M39" s="64">
        <v>98.12</v>
      </c>
      <c r="N39" s="64">
        <v>154.9</v>
      </c>
      <c r="O39" s="64">
        <v>0</v>
      </c>
      <c r="P39" s="64">
        <v>0.16</v>
      </c>
      <c r="Q39" s="64">
        <v>8.9499999999999993</v>
      </c>
      <c r="R39" s="198"/>
      <c r="S39" s="198"/>
      <c r="T39" s="198"/>
      <c r="U39" s="198"/>
    </row>
    <row r="40" spans="1:21" s="12" customFormat="1" x14ac:dyDescent="0.25">
      <c r="A40" s="213" t="s">
        <v>2771</v>
      </c>
      <c r="B40" s="64">
        <v>5.92</v>
      </c>
      <c r="C40" s="64">
        <v>11.05</v>
      </c>
      <c r="D40" s="64">
        <v>10.52</v>
      </c>
      <c r="E40" s="64">
        <v>3.66</v>
      </c>
      <c r="F40" s="64">
        <v>3.75</v>
      </c>
      <c r="G40" s="64">
        <v>5.92</v>
      </c>
      <c r="H40" s="64">
        <v>4.2300000000000004</v>
      </c>
      <c r="I40" s="64">
        <v>0.49</v>
      </c>
      <c r="J40" s="64">
        <v>0.16</v>
      </c>
      <c r="K40" s="64">
        <v>269.29000000000002</v>
      </c>
      <c r="L40" s="64">
        <v>23.07</v>
      </c>
      <c r="M40" s="64">
        <v>98.1</v>
      </c>
      <c r="N40" s="64">
        <v>186</v>
      </c>
      <c r="O40" s="64">
        <v>0</v>
      </c>
      <c r="P40" s="64">
        <v>0.15</v>
      </c>
      <c r="Q40" s="64">
        <v>8.9600000000000009</v>
      </c>
      <c r="R40" s="198"/>
      <c r="S40" s="198"/>
      <c r="T40" s="198"/>
      <c r="U40" s="198"/>
    </row>
    <row r="41" spans="1:21" s="12" customFormat="1" x14ac:dyDescent="0.25">
      <c r="A41" s="213" t="s">
        <v>2772</v>
      </c>
      <c r="B41" s="64">
        <v>5.84</v>
      </c>
      <c r="C41" s="64">
        <v>11.17</v>
      </c>
      <c r="D41" s="64">
        <v>10.52</v>
      </c>
      <c r="E41" s="64">
        <v>3.75</v>
      </c>
      <c r="F41" s="64">
        <v>3.63</v>
      </c>
      <c r="G41" s="64">
        <v>5.8</v>
      </c>
      <c r="H41" s="64">
        <v>3.97</v>
      </c>
      <c r="I41" s="64">
        <v>0.49</v>
      </c>
      <c r="J41" s="64">
        <v>0.17</v>
      </c>
      <c r="K41" s="64">
        <v>303</v>
      </c>
      <c r="L41" s="64">
        <v>23.34</v>
      </c>
      <c r="M41" s="64">
        <v>98.07</v>
      </c>
      <c r="N41" s="64">
        <v>220.1</v>
      </c>
      <c r="O41" s="64">
        <v>0</v>
      </c>
      <c r="P41" s="64">
        <v>0.16</v>
      </c>
      <c r="Q41" s="64">
        <v>8.9700000000000006</v>
      </c>
      <c r="R41" s="198"/>
      <c r="S41" s="198"/>
      <c r="T41" s="198"/>
      <c r="U41" s="198"/>
    </row>
    <row r="42" spans="1:21" s="12" customFormat="1" x14ac:dyDescent="0.25">
      <c r="A42" s="213" t="s">
        <v>2773</v>
      </c>
      <c r="B42" s="64">
        <v>5.76</v>
      </c>
      <c r="C42" s="64">
        <v>11.43</v>
      </c>
      <c r="D42" s="64">
        <v>10.59</v>
      </c>
      <c r="E42" s="64">
        <v>3.76</v>
      </c>
      <c r="F42" s="64">
        <v>3.21</v>
      </c>
      <c r="G42" s="64">
        <v>5.39</v>
      </c>
      <c r="H42" s="64">
        <v>3.12</v>
      </c>
      <c r="I42" s="64">
        <v>0.48</v>
      </c>
      <c r="J42" s="64">
        <v>0.17</v>
      </c>
      <c r="K42" s="64">
        <v>283.89</v>
      </c>
      <c r="L42" s="64">
        <v>23.47</v>
      </c>
      <c r="M42" s="64">
        <v>98.05</v>
      </c>
      <c r="N42" s="64">
        <v>149.9</v>
      </c>
      <c r="O42" s="64">
        <v>0</v>
      </c>
      <c r="P42" s="64">
        <v>0.16</v>
      </c>
      <c r="Q42" s="64">
        <v>8.98</v>
      </c>
      <c r="R42" s="198"/>
      <c r="S42" s="198"/>
      <c r="T42" s="198"/>
      <c r="U42" s="198"/>
    </row>
    <row r="43" spans="1:21" s="12" customFormat="1" x14ac:dyDescent="0.25">
      <c r="A43" s="213" t="s">
        <v>2774</v>
      </c>
      <c r="B43" s="64">
        <v>5.67</v>
      </c>
      <c r="C43" s="64">
        <v>11.57</v>
      </c>
      <c r="D43" s="64">
        <v>10.59</v>
      </c>
      <c r="E43" s="64">
        <v>3.79</v>
      </c>
      <c r="F43" s="64">
        <v>3.43</v>
      </c>
      <c r="G43" s="64">
        <v>5.39</v>
      </c>
      <c r="H43" s="64">
        <v>3.12</v>
      </c>
      <c r="I43" s="64">
        <v>0.48</v>
      </c>
      <c r="J43" s="64">
        <v>0.17</v>
      </c>
      <c r="K43" s="64">
        <v>299.63</v>
      </c>
      <c r="L43" s="64">
        <v>23.29</v>
      </c>
      <c r="M43" s="64">
        <v>98.05</v>
      </c>
      <c r="N43" s="64">
        <v>132.1</v>
      </c>
      <c r="O43" s="64">
        <v>0</v>
      </c>
      <c r="P43" s="64">
        <v>0.16</v>
      </c>
      <c r="Q43" s="64">
        <v>8.99</v>
      </c>
      <c r="R43" s="198"/>
      <c r="S43" s="198"/>
      <c r="T43" s="198"/>
      <c r="U43" s="198"/>
    </row>
    <row r="44" spans="1:21" s="12" customFormat="1" x14ac:dyDescent="0.25">
      <c r="A44" s="213" t="s">
        <v>2775</v>
      </c>
      <c r="B44" s="64">
        <v>5.53</v>
      </c>
      <c r="C44" s="64">
        <v>11.7</v>
      </c>
      <c r="D44" s="64">
        <v>10.54</v>
      </c>
      <c r="E44" s="64">
        <v>3.82</v>
      </c>
      <c r="F44" s="64">
        <v>3.78</v>
      </c>
      <c r="G44" s="64">
        <v>5.39</v>
      </c>
      <c r="H44" s="64">
        <v>3.12</v>
      </c>
      <c r="I44" s="64">
        <v>0.5</v>
      </c>
      <c r="J44" s="64">
        <v>0.12</v>
      </c>
      <c r="K44" s="64">
        <v>285.32</v>
      </c>
      <c r="L44" s="64">
        <v>23.34</v>
      </c>
      <c r="M44" s="64">
        <v>98.07</v>
      </c>
      <c r="N44" s="64">
        <v>149.30000000000001</v>
      </c>
      <c r="O44" s="64">
        <v>0</v>
      </c>
      <c r="P44" s="64">
        <v>0.17</v>
      </c>
      <c r="Q44" s="64">
        <v>8.99</v>
      </c>
      <c r="R44" s="198"/>
      <c r="S44" s="198"/>
      <c r="T44" s="198"/>
      <c r="U44" s="198"/>
    </row>
    <row r="45" spans="1:21" s="12" customFormat="1" x14ac:dyDescent="0.25">
      <c r="A45" s="213" t="s">
        <v>2776</v>
      </c>
      <c r="B45" s="64">
        <v>5.57</v>
      </c>
      <c r="C45" s="64">
        <v>11.76</v>
      </c>
      <c r="D45" s="64">
        <v>10.61</v>
      </c>
      <c r="E45" s="64">
        <v>3.79</v>
      </c>
      <c r="F45" s="64">
        <v>3.43</v>
      </c>
      <c r="G45" s="64">
        <v>5.88</v>
      </c>
      <c r="H45" s="64">
        <v>3</v>
      </c>
      <c r="I45" s="64">
        <v>0.51</v>
      </c>
      <c r="J45" s="64">
        <v>0.17</v>
      </c>
      <c r="K45" s="64">
        <v>292.86</v>
      </c>
      <c r="L45" s="64">
        <v>23.49</v>
      </c>
      <c r="M45" s="64">
        <v>98.07</v>
      </c>
      <c r="N45" s="64">
        <v>157</v>
      </c>
      <c r="O45" s="64">
        <v>0</v>
      </c>
      <c r="P45" s="64">
        <v>0.18</v>
      </c>
      <c r="Q45" s="64">
        <v>8.99</v>
      </c>
      <c r="R45" s="198"/>
      <c r="S45" s="198"/>
      <c r="T45" s="198"/>
      <c r="U45" s="198"/>
    </row>
    <row r="46" spans="1:21" s="12" customFormat="1" x14ac:dyDescent="0.25">
      <c r="A46" s="213" t="s">
        <v>2777</v>
      </c>
      <c r="B46" s="64">
        <v>5.66</v>
      </c>
      <c r="C46" s="64">
        <v>11.87</v>
      </c>
      <c r="D46" s="64">
        <v>10.74</v>
      </c>
      <c r="E46" s="64">
        <v>3.92</v>
      </c>
      <c r="F46" s="64">
        <v>3.41</v>
      </c>
      <c r="G46" s="64">
        <v>7.47</v>
      </c>
      <c r="H46" s="64">
        <v>2.61</v>
      </c>
      <c r="I46" s="64">
        <v>0.52</v>
      </c>
      <c r="J46" s="64">
        <v>0.18</v>
      </c>
      <c r="K46" s="64">
        <v>290.73</v>
      </c>
      <c r="L46" s="64">
        <v>23.71</v>
      </c>
      <c r="M46" s="64">
        <v>98.03</v>
      </c>
      <c r="N46" s="64">
        <v>204.4</v>
      </c>
      <c r="O46" s="64">
        <v>0</v>
      </c>
      <c r="P46" s="64">
        <v>0.18</v>
      </c>
      <c r="Q46" s="64">
        <v>8.99</v>
      </c>
      <c r="R46" s="198"/>
      <c r="S46" s="198"/>
      <c r="T46" s="198"/>
      <c r="U46" s="198"/>
    </row>
    <row r="47" spans="1:21" s="12" customFormat="1" x14ac:dyDescent="0.25">
      <c r="A47" s="213" t="s">
        <v>2778</v>
      </c>
      <c r="B47" s="64">
        <v>5.89</v>
      </c>
      <c r="C47" s="64">
        <v>12.14</v>
      </c>
      <c r="D47" s="64">
        <v>11.07</v>
      </c>
      <c r="E47" s="64">
        <v>3.84</v>
      </c>
      <c r="F47" s="64">
        <v>3.51</v>
      </c>
      <c r="G47" s="64">
        <v>7.47</v>
      </c>
      <c r="H47" s="64">
        <v>2.61</v>
      </c>
      <c r="I47" s="64">
        <v>0.54</v>
      </c>
      <c r="J47" s="64">
        <v>0.23</v>
      </c>
      <c r="K47" s="64">
        <v>295.5</v>
      </c>
      <c r="L47" s="64">
        <v>24.09</v>
      </c>
      <c r="M47" s="64">
        <v>98.02</v>
      </c>
      <c r="N47" s="64">
        <v>257.10000000000002</v>
      </c>
      <c r="O47" s="64">
        <v>0</v>
      </c>
      <c r="P47" s="64">
        <v>0.2</v>
      </c>
      <c r="Q47" s="64">
        <v>9</v>
      </c>
      <c r="R47" s="198"/>
      <c r="S47" s="198"/>
      <c r="T47" s="198"/>
      <c r="U47" s="198"/>
    </row>
    <row r="48" spans="1:21" s="12" customFormat="1" x14ac:dyDescent="0.25">
      <c r="A48" s="213" t="s">
        <v>2779</v>
      </c>
      <c r="B48" s="64">
        <v>6.01</v>
      </c>
      <c r="C48" s="64">
        <v>12.23</v>
      </c>
      <c r="D48" s="64">
        <v>11.21</v>
      </c>
      <c r="E48" s="64">
        <v>3.74</v>
      </c>
      <c r="F48" s="64">
        <v>4.7699999999999996</v>
      </c>
      <c r="G48" s="64">
        <v>7.47</v>
      </c>
      <c r="H48" s="64">
        <v>2.61</v>
      </c>
      <c r="I48" s="64">
        <v>0.56000000000000005</v>
      </c>
      <c r="J48" s="64">
        <v>0.19</v>
      </c>
      <c r="K48" s="64">
        <v>293.05</v>
      </c>
      <c r="L48" s="64">
        <v>24.52</v>
      </c>
      <c r="M48" s="64">
        <v>98.01</v>
      </c>
      <c r="N48" s="64">
        <v>272.7</v>
      </c>
      <c r="O48" s="64">
        <v>0</v>
      </c>
      <c r="P48" s="64">
        <v>0.21</v>
      </c>
      <c r="Q48" s="64">
        <v>9.01</v>
      </c>
      <c r="R48" s="198"/>
      <c r="S48" s="198"/>
      <c r="T48" s="198"/>
      <c r="U48" s="198"/>
    </row>
    <row r="49" spans="1:21" s="12" customFormat="1" x14ac:dyDescent="0.25">
      <c r="A49" s="213" t="s">
        <v>2780</v>
      </c>
      <c r="B49" s="64">
        <v>5.85</v>
      </c>
      <c r="C49" s="64">
        <v>12.45</v>
      </c>
      <c r="D49" s="64">
        <v>11.2</v>
      </c>
      <c r="E49" s="64">
        <v>3.9</v>
      </c>
      <c r="F49" s="64">
        <v>4.04</v>
      </c>
      <c r="G49" s="64">
        <v>7.33</v>
      </c>
      <c r="H49" s="64">
        <v>2.54</v>
      </c>
      <c r="I49" s="64">
        <v>0.59</v>
      </c>
      <c r="J49" s="64">
        <v>0.25</v>
      </c>
      <c r="K49" s="64">
        <v>291.35000000000002</v>
      </c>
      <c r="L49" s="64">
        <v>24.58</v>
      </c>
      <c r="M49" s="64">
        <v>98.03</v>
      </c>
      <c r="N49" s="64">
        <v>215.6</v>
      </c>
      <c r="O49" s="64">
        <v>0</v>
      </c>
      <c r="P49" s="64">
        <v>0.22</v>
      </c>
      <c r="Q49" s="64">
        <v>8.98</v>
      </c>
      <c r="R49" s="198"/>
      <c r="S49" s="198"/>
      <c r="T49" s="198"/>
      <c r="U49" s="198"/>
    </row>
    <row r="50" spans="1:21" s="12" customFormat="1" x14ac:dyDescent="0.25">
      <c r="A50" s="213" t="s">
        <v>2781</v>
      </c>
      <c r="B50" s="64">
        <v>5.53</v>
      </c>
      <c r="C50" s="64">
        <v>12.76</v>
      </c>
      <c r="D50" s="64">
        <v>11.1</v>
      </c>
      <c r="E50" s="64">
        <v>4.07</v>
      </c>
      <c r="F50" s="64">
        <v>3.91</v>
      </c>
      <c r="G50" s="64">
        <v>6.87</v>
      </c>
      <c r="H50" s="64">
        <v>2.33</v>
      </c>
      <c r="I50" s="64">
        <v>0.61</v>
      </c>
      <c r="J50" s="64">
        <v>0.18</v>
      </c>
      <c r="K50" s="64">
        <v>295.79000000000002</v>
      </c>
      <c r="L50" s="64">
        <v>24.58</v>
      </c>
      <c r="M50" s="64">
        <v>98.02</v>
      </c>
      <c r="N50" s="64">
        <v>198.3</v>
      </c>
      <c r="O50" s="64">
        <v>0</v>
      </c>
      <c r="P50" s="64">
        <v>0.21</v>
      </c>
      <c r="Q50" s="64">
        <v>8.9700000000000006</v>
      </c>
      <c r="R50" s="198"/>
      <c r="S50" s="198"/>
      <c r="T50" s="198"/>
      <c r="U50" s="198"/>
    </row>
    <row r="51" spans="1:21" s="12" customFormat="1" x14ac:dyDescent="0.25">
      <c r="A51" s="213" t="s">
        <v>2782</v>
      </c>
      <c r="B51" s="64">
        <v>5.41</v>
      </c>
      <c r="C51" s="64">
        <v>12.88</v>
      </c>
      <c r="D51" s="64">
        <v>11.07</v>
      </c>
      <c r="E51" s="64">
        <v>4.08</v>
      </c>
      <c r="F51" s="64">
        <v>3.71</v>
      </c>
      <c r="G51" s="64">
        <v>6.87</v>
      </c>
      <c r="H51" s="64">
        <v>2.33</v>
      </c>
      <c r="I51" s="64">
        <v>0.6</v>
      </c>
      <c r="J51" s="64">
        <v>0.17</v>
      </c>
      <c r="K51" s="64">
        <v>290.13</v>
      </c>
      <c r="L51" s="64">
        <v>24.8</v>
      </c>
      <c r="M51" s="64">
        <v>98.02</v>
      </c>
      <c r="N51" s="64">
        <v>231</v>
      </c>
      <c r="O51" s="64">
        <v>0</v>
      </c>
      <c r="P51" s="64">
        <v>0.23</v>
      </c>
      <c r="Q51" s="64">
        <v>8.9600000000000009</v>
      </c>
      <c r="R51" s="198"/>
      <c r="S51" s="198"/>
      <c r="T51" s="198"/>
      <c r="U51" s="198"/>
    </row>
    <row r="52" spans="1:21" s="12" customFormat="1" x14ac:dyDescent="0.25">
      <c r="A52" s="213" t="s">
        <v>2783</v>
      </c>
      <c r="B52" s="64">
        <v>5.46</v>
      </c>
      <c r="C52" s="64">
        <v>12.77</v>
      </c>
      <c r="D52" s="64">
        <v>11.06</v>
      </c>
      <c r="E52" s="64">
        <v>3.97</v>
      </c>
      <c r="F52" s="64">
        <v>2.99</v>
      </c>
      <c r="G52" s="64">
        <v>6.87</v>
      </c>
      <c r="H52" s="64">
        <v>2.33</v>
      </c>
      <c r="I52" s="64">
        <v>0.61</v>
      </c>
      <c r="J52" s="64">
        <v>0.2</v>
      </c>
      <c r="K52" s="64">
        <v>296.45</v>
      </c>
      <c r="L52" s="64">
        <v>24.73</v>
      </c>
      <c r="M52" s="64">
        <v>98.02</v>
      </c>
      <c r="N52" s="64">
        <v>192.3</v>
      </c>
      <c r="O52" s="64">
        <v>0</v>
      </c>
      <c r="P52" s="64">
        <v>0.22</v>
      </c>
      <c r="Q52" s="64">
        <v>8.9600000000000009</v>
      </c>
      <c r="R52" s="198"/>
      <c r="S52" s="198"/>
      <c r="T52" s="198"/>
      <c r="U52" s="198"/>
    </row>
    <row r="53" spans="1:21" s="12" customFormat="1" x14ac:dyDescent="0.25">
      <c r="A53" s="213" t="s">
        <v>2784</v>
      </c>
      <c r="B53" s="64">
        <v>5.39</v>
      </c>
      <c r="C53" s="64">
        <v>12.86</v>
      </c>
      <c r="D53" s="64">
        <v>11.04</v>
      </c>
      <c r="E53" s="64">
        <v>3.89</v>
      </c>
      <c r="F53" s="64">
        <v>4.24</v>
      </c>
      <c r="G53" s="64">
        <v>7.56</v>
      </c>
      <c r="H53" s="64">
        <v>2.92</v>
      </c>
      <c r="I53" s="64">
        <v>0.64</v>
      </c>
      <c r="J53" s="64">
        <v>0.19</v>
      </c>
      <c r="K53" s="64">
        <v>275.24</v>
      </c>
      <c r="L53" s="64">
        <v>24.78</v>
      </c>
      <c r="M53" s="64">
        <v>98.03</v>
      </c>
      <c r="N53" s="64">
        <v>231.2</v>
      </c>
      <c r="O53" s="64">
        <v>0</v>
      </c>
      <c r="P53" s="64">
        <v>0.24</v>
      </c>
      <c r="Q53" s="64">
        <v>8.9499999999999993</v>
      </c>
      <c r="R53" s="198"/>
      <c r="S53" s="198"/>
      <c r="T53" s="198"/>
      <c r="U53" s="198"/>
    </row>
    <row r="54" spans="1:21" s="12" customFormat="1" x14ac:dyDescent="0.25">
      <c r="A54" s="213" t="s">
        <v>2785</v>
      </c>
      <c r="B54" s="64">
        <v>5.55</v>
      </c>
      <c r="C54" s="64">
        <v>12.96</v>
      </c>
      <c r="D54" s="64">
        <v>11.22</v>
      </c>
      <c r="E54" s="64">
        <v>3.94</v>
      </c>
      <c r="F54" s="64">
        <v>3.61</v>
      </c>
      <c r="G54" s="64">
        <v>9.84</v>
      </c>
      <c r="H54" s="64">
        <v>4.8499999999999996</v>
      </c>
      <c r="I54" s="64">
        <v>0.65</v>
      </c>
      <c r="J54" s="64">
        <v>0.18</v>
      </c>
      <c r="K54" s="64">
        <v>286.89999999999998</v>
      </c>
      <c r="L54" s="64">
        <v>25.2</v>
      </c>
      <c r="M54" s="64">
        <v>98.01</v>
      </c>
      <c r="N54" s="64">
        <v>300</v>
      </c>
      <c r="O54" s="64">
        <v>0</v>
      </c>
      <c r="P54" s="64">
        <v>0.26</v>
      </c>
      <c r="Q54" s="64">
        <v>8.9499999999999993</v>
      </c>
      <c r="R54" s="198"/>
      <c r="S54" s="198"/>
      <c r="T54" s="198"/>
      <c r="U54" s="198"/>
    </row>
    <row r="55" spans="1:21" s="12" customFormat="1" x14ac:dyDescent="0.25">
      <c r="A55" s="213" t="s">
        <v>2786</v>
      </c>
      <c r="B55" s="64">
        <v>5.71</v>
      </c>
      <c r="C55" s="64">
        <v>12.8</v>
      </c>
      <c r="D55" s="64">
        <v>11.27</v>
      </c>
      <c r="E55" s="64">
        <v>3.86</v>
      </c>
      <c r="F55" s="64">
        <v>3.77</v>
      </c>
      <c r="G55" s="64">
        <v>9.84</v>
      </c>
      <c r="H55" s="64">
        <v>4.8499999999999996</v>
      </c>
      <c r="I55" s="64">
        <v>0.67</v>
      </c>
      <c r="J55" s="64">
        <v>0.25</v>
      </c>
      <c r="K55" s="64">
        <v>292.18</v>
      </c>
      <c r="L55" s="64">
        <v>25.34</v>
      </c>
      <c r="M55" s="64">
        <v>98</v>
      </c>
      <c r="N55" s="64">
        <v>205.1</v>
      </c>
      <c r="O55" s="64">
        <v>0</v>
      </c>
      <c r="P55" s="64">
        <v>0.24</v>
      </c>
      <c r="Q55" s="64">
        <v>8.9700000000000006</v>
      </c>
      <c r="R55" s="198"/>
      <c r="S55" s="198"/>
      <c r="T55" s="198"/>
      <c r="U55" s="198"/>
    </row>
    <row r="56" spans="1:21" s="12" customFormat="1" x14ac:dyDescent="0.25">
      <c r="A56" s="213" t="s">
        <v>2787</v>
      </c>
      <c r="B56" s="64">
        <v>5.5</v>
      </c>
      <c r="C56" s="64">
        <v>13.1</v>
      </c>
      <c r="D56" s="64">
        <v>11.26</v>
      </c>
      <c r="E56" s="64">
        <v>4.18</v>
      </c>
      <c r="F56" s="64">
        <v>4.0199999999999996</v>
      </c>
      <c r="G56" s="64">
        <v>9.84</v>
      </c>
      <c r="H56" s="64">
        <v>4.8499999999999996</v>
      </c>
      <c r="I56" s="64">
        <v>0.7</v>
      </c>
      <c r="J56" s="64">
        <v>0.27</v>
      </c>
      <c r="K56" s="64">
        <v>292.66000000000003</v>
      </c>
      <c r="L56" s="64">
        <v>25.14</v>
      </c>
      <c r="M56" s="64">
        <v>98</v>
      </c>
      <c r="N56" s="64">
        <v>242.4</v>
      </c>
      <c r="O56" s="64">
        <v>0</v>
      </c>
      <c r="P56" s="64">
        <v>0.24</v>
      </c>
      <c r="Q56" s="64">
        <v>8.9600000000000009</v>
      </c>
      <c r="R56" s="198"/>
      <c r="S56" s="198"/>
      <c r="T56" s="198"/>
      <c r="U56" s="198"/>
    </row>
    <row r="57" spans="1:21" s="12" customFormat="1" x14ac:dyDescent="0.25">
      <c r="A57" s="213" t="s">
        <v>2788</v>
      </c>
      <c r="B57" s="64">
        <v>5.4</v>
      </c>
      <c r="C57" s="64">
        <v>14.04</v>
      </c>
      <c r="D57" s="64">
        <v>11.66</v>
      </c>
      <c r="E57" s="64">
        <v>3.69</v>
      </c>
      <c r="F57" s="64">
        <v>4.17</v>
      </c>
      <c r="G57" s="64">
        <v>10.79</v>
      </c>
      <c r="H57" s="64">
        <v>5.61</v>
      </c>
      <c r="I57" s="64">
        <v>0.72</v>
      </c>
      <c r="J57" s="64">
        <v>0.23</v>
      </c>
      <c r="K57" s="64">
        <v>298.69</v>
      </c>
      <c r="L57" s="64">
        <v>25.91</v>
      </c>
      <c r="M57" s="64">
        <v>97.14</v>
      </c>
      <c r="N57" s="64">
        <v>439.4</v>
      </c>
      <c r="O57" s="64">
        <v>0</v>
      </c>
      <c r="P57" s="64">
        <v>0.24</v>
      </c>
      <c r="Q57" s="64">
        <v>8.94</v>
      </c>
      <c r="R57" s="198"/>
      <c r="S57" s="198"/>
      <c r="T57" s="198"/>
      <c r="U57" s="198"/>
    </row>
    <row r="58" spans="1:21" s="12" customFormat="1" x14ac:dyDescent="0.25">
      <c r="A58" s="213" t="s">
        <v>2789</v>
      </c>
      <c r="B58" s="64">
        <v>5.24</v>
      </c>
      <c r="C58" s="64">
        <v>14.47</v>
      </c>
      <c r="D58" s="64">
        <v>11.77</v>
      </c>
      <c r="E58" s="64">
        <v>3.84</v>
      </c>
      <c r="F58" s="64">
        <v>4.32</v>
      </c>
      <c r="G58" s="64">
        <v>13.92</v>
      </c>
      <c r="H58" s="64">
        <v>8.1</v>
      </c>
      <c r="I58" s="64">
        <v>0.72</v>
      </c>
      <c r="J58" s="64">
        <v>0.35</v>
      </c>
      <c r="K58" s="64">
        <v>288.08</v>
      </c>
      <c r="L58" s="64">
        <v>25.92</v>
      </c>
      <c r="M58" s="64">
        <v>95.53</v>
      </c>
      <c r="N58" s="64">
        <v>331.9</v>
      </c>
      <c r="O58" s="64">
        <v>0</v>
      </c>
      <c r="P58" s="64">
        <v>0.25</v>
      </c>
      <c r="Q58" s="64">
        <v>8.94</v>
      </c>
      <c r="R58" s="198"/>
      <c r="S58" s="198"/>
      <c r="T58" s="198"/>
      <c r="U58" s="198"/>
    </row>
    <row r="59" spans="1:21" s="12" customFormat="1" x14ac:dyDescent="0.25">
      <c r="A59" s="213" t="s">
        <v>2790</v>
      </c>
      <c r="B59" s="64">
        <v>4.8099999999999996</v>
      </c>
      <c r="C59" s="64">
        <v>14.18</v>
      </c>
      <c r="D59" s="64">
        <v>11.27</v>
      </c>
      <c r="E59" s="64">
        <v>3.89</v>
      </c>
      <c r="F59" s="64">
        <v>4.12</v>
      </c>
      <c r="G59" s="64">
        <v>13.92</v>
      </c>
      <c r="H59" s="64">
        <v>8.1</v>
      </c>
      <c r="I59" s="64">
        <v>0.64</v>
      </c>
      <c r="J59" s="64">
        <v>0.33</v>
      </c>
      <c r="K59" s="64">
        <v>292.99</v>
      </c>
      <c r="L59" s="64">
        <v>25.73</v>
      </c>
      <c r="M59" s="64">
        <v>96.75</v>
      </c>
      <c r="N59" s="64">
        <v>304.5</v>
      </c>
      <c r="O59" s="64">
        <v>0</v>
      </c>
      <c r="P59" s="64">
        <v>0.24</v>
      </c>
      <c r="Q59" s="64">
        <v>8.9499999999999993</v>
      </c>
      <c r="R59" s="198"/>
      <c r="S59" s="198"/>
      <c r="T59" s="198"/>
      <c r="U59" s="198"/>
    </row>
    <row r="60" spans="1:21" s="12" customFormat="1" x14ac:dyDescent="0.25">
      <c r="A60" s="213" t="s">
        <v>2791</v>
      </c>
      <c r="B60" s="64">
        <v>4.5199999999999996</v>
      </c>
      <c r="C60" s="64">
        <v>14.44</v>
      </c>
      <c r="D60" s="64">
        <v>11.17</v>
      </c>
      <c r="E60" s="64">
        <v>3.98</v>
      </c>
      <c r="F60" s="64">
        <v>4.28</v>
      </c>
      <c r="G60" s="64">
        <v>13.92</v>
      </c>
      <c r="H60" s="64">
        <v>8.1</v>
      </c>
      <c r="I60" s="64">
        <v>0.57999999999999996</v>
      </c>
      <c r="J60" s="64">
        <v>0.3</v>
      </c>
      <c r="K60" s="64">
        <v>292.35000000000002</v>
      </c>
      <c r="L60" s="64">
        <v>25.9</v>
      </c>
      <c r="M60" s="64">
        <v>96.54</v>
      </c>
      <c r="N60" s="64">
        <v>341.9</v>
      </c>
      <c r="O60" s="64">
        <v>0</v>
      </c>
      <c r="P60" s="64">
        <v>0.24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3" t="s">
        <v>2792</v>
      </c>
      <c r="B61" s="64">
        <v>4.6399999999999997</v>
      </c>
      <c r="C61" s="64">
        <v>14.4</v>
      </c>
      <c r="D61" s="64">
        <v>11.24</v>
      </c>
      <c r="E61" s="64">
        <v>3.82</v>
      </c>
      <c r="F61" s="64">
        <v>4.24</v>
      </c>
      <c r="G61" s="64">
        <v>14.45</v>
      </c>
      <c r="H61" s="64">
        <v>7.58</v>
      </c>
      <c r="I61" s="64">
        <v>0.56999999999999995</v>
      </c>
      <c r="J61" s="64">
        <v>0.27</v>
      </c>
      <c r="K61" s="64">
        <v>291.23</v>
      </c>
      <c r="L61" s="64">
        <v>25.98</v>
      </c>
      <c r="M61" s="64">
        <v>97.42</v>
      </c>
      <c r="N61" s="64">
        <v>287.3</v>
      </c>
      <c r="O61" s="64">
        <v>0</v>
      </c>
      <c r="P61" s="64">
        <v>0.23</v>
      </c>
      <c r="Q61" s="64">
        <v>8.98</v>
      </c>
      <c r="R61" s="198"/>
      <c r="S61" s="198"/>
      <c r="T61" s="198"/>
      <c r="U61" s="198"/>
    </row>
    <row r="62" spans="1:21" s="12" customFormat="1" x14ac:dyDescent="0.25">
      <c r="A62" s="213" t="s">
        <v>2793</v>
      </c>
      <c r="B62" s="64">
        <v>4.8</v>
      </c>
      <c r="C62" s="64">
        <v>14.34</v>
      </c>
      <c r="D62" s="64">
        <v>11.34</v>
      </c>
      <c r="E62" s="64">
        <v>4.34</v>
      </c>
      <c r="F62" s="64">
        <v>4.16</v>
      </c>
      <c r="G62" s="64">
        <v>16.2</v>
      </c>
      <c r="H62" s="64">
        <v>5.87</v>
      </c>
      <c r="I62" s="64">
        <v>0.56999999999999995</v>
      </c>
      <c r="J62" s="64">
        <v>0.35</v>
      </c>
      <c r="K62" s="64">
        <v>296.16000000000003</v>
      </c>
      <c r="L62" s="64">
        <v>26.63</v>
      </c>
      <c r="M62" s="64">
        <v>95</v>
      </c>
      <c r="N62" s="64">
        <v>287.10000000000002</v>
      </c>
      <c r="O62" s="64">
        <v>0</v>
      </c>
      <c r="P62" s="64">
        <v>0.25</v>
      </c>
      <c r="Q62" s="64">
        <v>8.99</v>
      </c>
      <c r="R62" s="198"/>
      <c r="S62" s="198"/>
      <c r="T62" s="198"/>
      <c r="U62" s="198"/>
    </row>
    <row r="63" spans="1:21" s="12" customFormat="1" x14ac:dyDescent="0.25">
      <c r="A63" s="213" t="s">
        <v>2794</v>
      </c>
      <c r="B63" s="64">
        <v>5.92</v>
      </c>
      <c r="C63" s="64">
        <v>13.94</v>
      </c>
      <c r="D63" s="64">
        <v>12.02</v>
      </c>
      <c r="E63" s="64">
        <v>4.3099999999999996</v>
      </c>
      <c r="F63" s="64">
        <v>4.2699999999999996</v>
      </c>
      <c r="G63" s="64">
        <v>16.2</v>
      </c>
      <c r="H63" s="64">
        <v>5.87</v>
      </c>
      <c r="I63" s="64">
        <v>0.57999999999999996</v>
      </c>
      <c r="J63" s="64">
        <v>0.27</v>
      </c>
      <c r="K63" s="64">
        <v>296.22000000000003</v>
      </c>
      <c r="L63" s="64">
        <v>27.1</v>
      </c>
      <c r="M63" s="64">
        <v>92.45</v>
      </c>
      <c r="N63" s="64">
        <v>319.5</v>
      </c>
      <c r="O63" s="64">
        <v>0</v>
      </c>
      <c r="P63" s="64">
        <v>0.27</v>
      </c>
      <c r="Q63" s="64">
        <v>9.02</v>
      </c>
      <c r="R63" s="198"/>
      <c r="S63" s="198"/>
      <c r="T63" s="198"/>
      <c r="U63" s="198"/>
    </row>
    <row r="64" spans="1:21" s="12" customFormat="1" x14ac:dyDescent="0.25">
      <c r="A64" s="213" t="s">
        <v>2795</v>
      </c>
      <c r="B64" s="64">
        <v>5.95</v>
      </c>
      <c r="C64" s="64">
        <v>14.6</v>
      </c>
      <c r="D64" s="64">
        <v>12.4</v>
      </c>
      <c r="E64" s="64">
        <v>3.91</v>
      </c>
      <c r="F64" s="64">
        <v>4.7</v>
      </c>
      <c r="G64" s="64">
        <v>16.2</v>
      </c>
      <c r="H64" s="64">
        <v>5.87</v>
      </c>
      <c r="I64" s="64">
        <v>0.6</v>
      </c>
      <c r="J64" s="64">
        <v>0.28999999999999998</v>
      </c>
      <c r="K64" s="64">
        <v>294.63</v>
      </c>
      <c r="L64" s="64">
        <v>27.38</v>
      </c>
      <c r="M64" s="64">
        <v>91.81</v>
      </c>
      <c r="N64" s="64">
        <v>317.8</v>
      </c>
      <c r="O64" s="64">
        <v>0</v>
      </c>
      <c r="P64" s="64">
        <v>0.28000000000000003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3" t="s">
        <v>2796</v>
      </c>
      <c r="B65" s="64">
        <v>5.98</v>
      </c>
      <c r="C65" s="64">
        <v>14.38</v>
      </c>
      <c r="D65" s="64">
        <v>12.31</v>
      </c>
      <c r="E65" s="64">
        <v>3.92</v>
      </c>
      <c r="F65" s="64">
        <v>4.2300000000000004</v>
      </c>
      <c r="G65" s="64">
        <v>16.32</v>
      </c>
      <c r="H65" s="64">
        <v>6.27</v>
      </c>
      <c r="I65" s="64">
        <v>0.68</v>
      </c>
      <c r="J65" s="64">
        <v>0.27</v>
      </c>
      <c r="K65" s="64">
        <v>289.98</v>
      </c>
      <c r="L65" s="64">
        <v>27.48</v>
      </c>
      <c r="M65" s="64">
        <v>90.44</v>
      </c>
      <c r="N65" s="64">
        <v>344.9</v>
      </c>
      <c r="O65" s="64">
        <v>0</v>
      </c>
      <c r="P65" s="64">
        <v>0.28999999999999998</v>
      </c>
      <c r="Q65" s="64">
        <v>9.0399999999999991</v>
      </c>
      <c r="R65" s="198"/>
      <c r="S65" s="198"/>
      <c r="T65" s="198"/>
      <c r="U65" s="198"/>
    </row>
    <row r="66" spans="1:21" s="12" customFormat="1" x14ac:dyDescent="0.25">
      <c r="A66" s="213" t="s">
        <v>2797</v>
      </c>
      <c r="B66" s="64">
        <v>5.85</v>
      </c>
      <c r="C66" s="64">
        <v>14.51</v>
      </c>
      <c r="D66" s="64">
        <v>12.27</v>
      </c>
      <c r="E66" s="64">
        <v>3.97</v>
      </c>
      <c r="F66" s="64">
        <v>4.5</v>
      </c>
      <c r="G66" s="64">
        <v>16.7</v>
      </c>
      <c r="H66" s="64">
        <v>7.56</v>
      </c>
      <c r="I66" s="64">
        <v>0.68</v>
      </c>
      <c r="J66" s="64">
        <v>0.35</v>
      </c>
      <c r="K66" s="64">
        <v>289.73</v>
      </c>
      <c r="L66" s="64">
        <v>27.14</v>
      </c>
      <c r="M66" s="64">
        <v>90.16</v>
      </c>
      <c r="N66" s="64">
        <v>260.8</v>
      </c>
      <c r="O66" s="64">
        <v>0</v>
      </c>
      <c r="P66" s="64">
        <v>0.28999999999999998</v>
      </c>
      <c r="Q66" s="64">
        <v>9.0299999999999994</v>
      </c>
      <c r="R66" s="198"/>
      <c r="S66" s="198"/>
      <c r="T66" s="198"/>
      <c r="U66" s="198"/>
    </row>
    <row r="67" spans="1:21" s="12" customFormat="1" x14ac:dyDescent="0.25">
      <c r="A67" s="213" t="s">
        <v>2798</v>
      </c>
      <c r="B67" s="64">
        <v>6.07</v>
      </c>
      <c r="C67" s="64">
        <v>14.35</v>
      </c>
      <c r="D67" s="64">
        <v>12.36</v>
      </c>
      <c r="E67" s="64">
        <v>4.18</v>
      </c>
      <c r="F67" s="64">
        <v>3.5</v>
      </c>
      <c r="G67" s="64">
        <v>16.7</v>
      </c>
      <c r="H67" s="64">
        <v>7.56</v>
      </c>
      <c r="I67" s="64">
        <v>0.65</v>
      </c>
      <c r="J67" s="64">
        <v>0.37</v>
      </c>
      <c r="K67" s="64">
        <v>293.72000000000003</v>
      </c>
      <c r="L67" s="64">
        <v>27.06</v>
      </c>
      <c r="M67" s="64">
        <v>90.64</v>
      </c>
      <c r="N67" s="64">
        <v>213.9</v>
      </c>
      <c r="O67" s="64">
        <v>0</v>
      </c>
      <c r="P67" s="64">
        <v>0.3</v>
      </c>
      <c r="Q67" s="64">
        <v>9.01</v>
      </c>
      <c r="R67" s="198"/>
      <c r="S67" s="198"/>
      <c r="T67" s="198"/>
      <c r="U67" s="198"/>
    </row>
    <row r="68" spans="1:21" s="12" customFormat="1" x14ac:dyDescent="0.25">
      <c r="A68" s="213" t="s">
        <v>2799</v>
      </c>
      <c r="B68" s="64">
        <v>6.2</v>
      </c>
      <c r="C68" s="64">
        <v>14.18</v>
      </c>
      <c r="D68" s="64">
        <v>12.38</v>
      </c>
      <c r="E68" s="64">
        <v>3.98</v>
      </c>
      <c r="F68" s="64">
        <v>4</v>
      </c>
      <c r="G68" s="64">
        <v>16.7</v>
      </c>
      <c r="H68" s="64">
        <v>7.56</v>
      </c>
      <c r="I68" s="64">
        <v>0.69</v>
      </c>
      <c r="J68" s="64">
        <v>0.32</v>
      </c>
      <c r="K68" s="64">
        <v>293.33999999999997</v>
      </c>
      <c r="L68" s="64">
        <v>27.31</v>
      </c>
      <c r="M68" s="64">
        <v>90.32</v>
      </c>
      <c r="N68" s="64">
        <v>232.3</v>
      </c>
      <c r="O68" s="64">
        <v>0</v>
      </c>
      <c r="P68" s="64">
        <v>0.28999999999999998</v>
      </c>
      <c r="Q68" s="64">
        <v>9.01</v>
      </c>
      <c r="R68" s="198"/>
      <c r="S68" s="198"/>
      <c r="T68" s="198"/>
      <c r="U68" s="198"/>
    </row>
    <row r="69" spans="1:21" s="12" customFormat="1" x14ac:dyDescent="0.25">
      <c r="A69" s="213" t="s">
        <v>2800</v>
      </c>
      <c r="B69" s="64">
        <v>5.89</v>
      </c>
      <c r="C69" s="64">
        <v>14.35</v>
      </c>
      <c r="D69" s="64">
        <v>12.22</v>
      </c>
      <c r="E69" s="64">
        <v>3.58</v>
      </c>
      <c r="F69" s="64">
        <v>4.45</v>
      </c>
      <c r="G69" s="64">
        <v>16.82</v>
      </c>
      <c r="H69" s="64">
        <v>7.13</v>
      </c>
      <c r="I69" s="64">
        <v>0.66</v>
      </c>
      <c r="J69" s="64">
        <v>0.21</v>
      </c>
      <c r="K69" s="64">
        <v>296.24</v>
      </c>
      <c r="L69" s="64">
        <v>26.63</v>
      </c>
      <c r="M69" s="64">
        <v>94.17</v>
      </c>
      <c r="N69" s="64">
        <v>170.8</v>
      </c>
      <c r="O69" s="64">
        <v>0</v>
      </c>
      <c r="P69" s="64">
        <v>0.3</v>
      </c>
      <c r="Q69" s="64">
        <v>8.99</v>
      </c>
      <c r="R69" s="198"/>
      <c r="S69" s="198"/>
      <c r="T69" s="198"/>
      <c r="U69" s="198"/>
    </row>
    <row r="70" spans="1:21" s="12" customFormat="1" x14ac:dyDescent="0.25">
      <c r="A70" s="213" t="s">
        <v>2801</v>
      </c>
      <c r="B70" s="64">
        <v>6.55</v>
      </c>
      <c r="C70" s="64">
        <v>14.01</v>
      </c>
      <c r="D70" s="64">
        <v>12.49</v>
      </c>
      <c r="E70" s="64">
        <v>3.91</v>
      </c>
      <c r="F70" s="64">
        <v>3.49</v>
      </c>
      <c r="G70" s="64">
        <v>17.2</v>
      </c>
      <c r="H70" s="64">
        <v>5.7</v>
      </c>
      <c r="I70" s="64">
        <v>0.63</v>
      </c>
      <c r="J70" s="64">
        <v>0.21</v>
      </c>
      <c r="K70" s="64">
        <v>300.2</v>
      </c>
      <c r="L70" s="64">
        <v>26.48</v>
      </c>
      <c r="M70" s="64">
        <v>94.83</v>
      </c>
      <c r="N70" s="64">
        <v>147.1</v>
      </c>
      <c r="O70" s="64">
        <v>0</v>
      </c>
      <c r="P70" s="64">
        <v>0.31</v>
      </c>
      <c r="Q70" s="64">
        <v>8.99</v>
      </c>
      <c r="R70" s="198"/>
      <c r="S70" s="198"/>
      <c r="T70" s="198"/>
      <c r="U70" s="198"/>
    </row>
    <row r="71" spans="1:21" s="12" customFormat="1" x14ac:dyDescent="0.25">
      <c r="A71" s="213" t="s">
        <v>2802</v>
      </c>
      <c r="B71" s="64">
        <v>6.05</v>
      </c>
      <c r="C71" s="64">
        <v>16.21</v>
      </c>
      <c r="D71" s="64">
        <v>13.32</v>
      </c>
      <c r="E71" s="64">
        <v>4.07</v>
      </c>
      <c r="F71" s="64">
        <v>4.12</v>
      </c>
      <c r="G71" s="64">
        <v>17.2</v>
      </c>
      <c r="H71" s="64">
        <v>5.7</v>
      </c>
      <c r="I71" s="64">
        <v>0.69</v>
      </c>
      <c r="J71" s="64">
        <v>0.28000000000000003</v>
      </c>
      <c r="K71" s="64">
        <v>299.64</v>
      </c>
      <c r="L71" s="64">
        <v>26.42</v>
      </c>
      <c r="M71" s="64">
        <v>94.56</v>
      </c>
      <c r="N71" s="64">
        <v>116.3</v>
      </c>
      <c r="O71" s="64">
        <v>0</v>
      </c>
      <c r="P71" s="64">
        <v>0.3</v>
      </c>
      <c r="Q71" s="64">
        <v>9.01</v>
      </c>
      <c r="R71" s="198"/>
      <c r="S71" s="198"/>
      <c r="T71" s="198"/>
      <c r="U71" s="198"/>
    </row>
    <row r="72" spans="1:21" s="12" customFormat="1" x14ac:dyDescent="0.25">
      <c r="A72" s="213" t="s">
        <v>2803</v>
      </c>
      <c r="B72" s="64">
        <v>6.4</v>
      </c>
      <c r="C72" s="64">
        <v>14.69</v>
      </c>
      <c r="D72" s="64">
        <v>12.81</v>
      </c>
      <c r="E72" s="64">
        <v>4.21</v>
      </c>
      <c r="F72" s="64">
        <v>3.83</v>
      </c>
      <c r="G72" s="64">
        <v>17.2</v>
      </c>
      <c r="H72" s="64">
        <v>5.7</v>
      </c>
      <c r="I72" s="64">
        <v>0.74</v>
      </c>
      <c r="J72" s="64">
        <v>0.24</v>
      </c>
      <c r="K72" s="64">
        <v>296.49</v>
      </c>
      <c r="L72" s="64">
        <v>26.45</v>
      </c>
      <c r="M72" s="64">
        <v>95.05</v>
      </c>
      <c r="N72" s="64">
        <v>171.6</v>
      </c>
      <c r="O72" s="64">
        <v>0</v>
      </c>
      <c r="P72" s="64">
        <v>0.31</v>
      </c>
      <c r="Q72" s="64">
        <v>9</v>
      </c>
      <c r="R72" s="198"/>
      <c r="S72" s="198"/>
      <c r="T72" s="198"/>
      <c r="U72" s="198"/>
    </row>
    <row r="73" spans="1:21" s="12" customFormat="1" x14ac:dyDescent="0.25">
      <c r="A73" s="213" t="s">
        <v>2804</v>
      </c>
      <c r="B73" s="64">
        <v>6.54</v>
      </c>
      <c r="C73" s="64">
        <v>14</v>
      </c>
      <c r="D73" s="64">
        <v>12.56</v>
      </c>
      <c r="E73" s="64">
        <v>4.5599999999999996</v>
      </c>
      <c r="F73" s="64">
        <v>3.98</v>
      </c>
      <c r="G73" s="64">
        <v>17.899999999999999</v>
      </c>
      <c r="H73" s="64">
        <v>5.36</v>
      </c>
      <c r="I73" s="64">
        <v>0.75</v>
      </c>
      <c r="J73" s="64">
        <v>0.19</v>
      </c>
      <c r="K73" s="64">
        <v>295.19</v>
      </c>
      <c r="L73" s="64">
        <v>26.49</v>
      </c>
      <c r="M73" s="64">
        <v>95.18</v>
      </c>
      <c r="N73" s="64">
        <v>166.3</v>
      </c>
      <c r="O73" s="64">
        <v>0</v>
      </c>
      <c r="P73" s="64">
        <v>0.3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3" t="s">
        <v>2805</v>
      </c>
      <c r="B74" s="64">
        <v>6.89</v>
      </c>
      <c r="C74" s="64">
        <v>14.95</v>
      </c>
      <c r="D74" s="64">
        <v>13.34</v>
      </c>
      <c r="E74" s="64">
        <v>4.71</v>
      </c>
      <c r="F74" s="64">
        <v>3.83</v>
      </c>
      <c r="G74" s="64">
        <v>20.170000000000002</v>
      </c>
      <c r="H74" s="64">
        <v>4.25</v>
      </c>
      <c r="I74" s="64">
        <v>0.77</v>
      </c>
      <c r="J74" s="64">
        <v>0.23</v>
      </c>
      <c r="K74" s="64">
        <v>303.87</v>
      </c>
      <c r="L74" s="64">
        <v>26.55</v>
      </c>
      <c r="M74" s="64">
        <v>95.69</v>
      </c>
      <c r="N74" s="64">
        <v>156.4</v>
      </c>
      <c r="O74" s="64">
        <v>0</v>
      </c>
      <c r="P74" s="64">
        <v>0.31</v>
      </c>
      <c r="Q74" s="64">
        <v>8.99</v>
      </c>
      <c r="R74" s="198"/>
      <c r="S74" s="198"/>
      <c r="T74" s="198"/>
      <c r="U74" s="198"/>
    </row>
    <row r="75" spans="1:21" s="12" customFormat="1" x14ac:dyDescent="0.25">
      <c r="A75" s="213" t="s">
        <v>2806</v>
      </c>
      <c r="B75" s="64">
        <v>6.18</v>
      </c>
      <c r="C75" s="64">
        <v>14.29</v>
      </c>
      <c r="D75" s="64">
        <v>12.42</v>
      </c>
      <c r="E75" s="64">
        <v>4.51</v>
      </c>
      <c r="F75" s="64">
        <v>3.91</v>
      </c>
      <c r="G75" s="64">
        <v>20.170000000000002</v>
      </c>
      <c r="H75" s="64">
        <v>4.25</v>
      </c>
      <c r="I75" s="64">
        <v>0.72</v>
      </c>
      <c r="J75" s="64">
        <v>0.21</v>
      </c>
      <c r="K75" s="64">
        <v>309.02999999999997</v>
      </c>
      <c r="L75" s="64">
        <v>26.25</v>
      </c>
      <c r="M75" s="64">
        <v>95.07</v>
      </c>
      <c r="N75" s="64">
        <v>117.3</v>
      </c>
      <c r="O75" s="64">
        <v>0</v>
      </c>
      <c r="P75" s="64">
        <v>0.3</v>
      </c>
      <c r="Q75" s="64">
        <v>8.98</v>
      </c>
      <c r="R75" s="198"/>
      <c r="S75" s="198"/>
      <c r="T75" s="198"/>
      <c r="U75" s="198"/>
    </row>
    <row r="76" spans="1:21" s="12" customFormat="1" x14ac:dyDescent="0.25">
      <c r="A76" s="213" t="s">
        <v>2807</v>
      </c>
      <c r="B76" s="64">
        <v>6.65</v>
      </c>
      <c r="C76" s="64">
        <v>14.87</v>
      </c>
      <c r="D76" s="64">
        <v>13.1</v>
      </c>
      <c r="E76" s="64">
        <v>4.8099999999999996</v>
      </c>
      <c r="F76" s="64">
        <v>4.29</v>
      </c>
      <c r="G76" s="64">
        <v>20.170000000000002</v>
      </c>
      <c r="H76" s="64">
        <v>4.25</v>
      </c>
      <c r="I76" s="64">
        <v>0.68</v>
      </c>
      <c r="J76" s="64">
        <v>0.18</v>
      </c>
      <c r="K76" s="64">
        <v>309.83999999999997</v>
      </c>
      <c r="L76" s="64">
        <v>26.19</v>
      </c>
      <c r="M76" s="64">
        <v>95.75</v>
      </c>
      <c r="N76" s="64">
        <v>115.4</v>
      </c>
      <c r="O76" s="64">
        <v>0</v>
      </c>
      <c r="P76" s="64">
        <v>0.31</v>
      </c>
      <c r="Q76" s="64">
        <v>8.99</v>
      </c>
      <c r="R76" s="198"/>
      <c r="S76" s="198"/>
      <c r="T76" s="198"/>
      <c r="U76" s="198"/>
    </row>
    <row r="77" spans="1:21" s="12" customFormat="1" x14ac:dyDescent="0.25">
      <c r="A77" s="213" t="s">
        <v>2808</v>
      </c>
      <c r="B77" s="64">
        <v>6.19</v>
      </c>
      <c r="C77" s="64">
        <v>16.25</v>
      </c>
      <c r="D77" s="64">
        <v>13.45</v>
      </c>
      <c r="E77" s="64">
        <v>4.26</v>
      </c>
      <c r="F77" s="64">
        <v>3.5</v>
      </c>
      <c r="G77" s="64">
        <v>19.940000000000001</v>
      </c>
      <c r="H77" s="64">
        <v>9.34</v>
      </c>
      <c r="I77" s="64">
        <v>0.74</v>
      </c>
      <c r="J77" s="64">
        <v>0.19</v>
      </c>
      <c r="K77" s="64">
        <v>325.64999999999998</v>
      </c>
      <c r="L77" s="64">
        <v>26.16</v>
      </c>
      <c r="M77" s="64">
        <v>96.84</v>
      </c>
      <c r="N77" s="64">
        <v>103.2</v>
      </c>
      <c r="O77" s="64">
        <v>0</v>
      </c>
      <c r="P77" s="64">
        <v>0.32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13" t="s">
        <v>2809</v>
      </c>
      <c r="B78" s="64">
        <v>6.87</v>
      </c>
      <c r="C78" s="64">
        <v>15.9</v>
      </c>
      <c r="D78" s="64">
        <v>13.82</v>
      </c>
      <c r="E78" s="64">
        <v>4.54</v>
      </c>
      <c r="F78" s="64">
        <v>5.91</v>
      </c>
      <c r="G78" s="64">
        <v>19.16</v>
      </c>
      <c r="H78" s="64">
        <v>9.34</v>
      </c>
      <c r="I78" s="64">
        <v>0.72</v>
      </c>
      <c r="J78" s="64">
        <v>0.12</v>
      </c>
      <c r="K78" s="64">
        <v>322.48</v>
      </c>
      <c r="L78" s="64">
        <v>26.09</v>
      </c>
      <c r="M78" s="64">
        <v>97.94</v>
      </c>
      <c r="N78" s="64">
        <v>108.6</v>
      </c>
      <c r="O78" s="64">
        <v>0</v>
      </c>
      <c r="P78" s="64">
        <v>0.36</v>
      </c>
      <c r="Q78" s="64">
        <v>9.0299999999999994</v>
      </c>
      <c r="R78" s="198"/>
      <c r="S78" s="198"/>
      <c r="T78" s="198"/>
      <c r="U78" s="198"/>
    </row>
    <row r="79" spans="1:21" s="12" customFormat="1" x14ac:dyDescent="0.25">
      <c r="A79" s="213" t="s">
        <v>2810</v>
      </c>
      <c r="B79" s="64">
        <v>7.39</v>
      </c>
      <c r="C79" s="64">
        <v>16.21</v>
      </c>
      <c r="D79" s="64">
        <v>14.4</v>
      </c>
      <c r="E79" s="64">
        <v>4.45</v>
      </c>
      <c r="F79" s="64">
        <v>4.42</v>
      </c>
      <c r="G79" s="64">
        <v>19.16</v>
      </c>
      <c r="H79" s="64">
        <v>9.34</v>
      </c>
      <c r="I79" s="64">
        <v>0.7</v>
      </c>
      <c r="J79" s="64">
        <v>0.21</v>
      </c>
      <c r="K79" s="64">
        <v>318.41000000000003</v>
      </c>
      <c r="L79" s="64">
        <v>26.12</v>
      </c>
      <c r="M79" s="64">
        <v>97.03</v>
      </c>
      <c r="N79" s="64">
        <v>86.4</v>
      </c>
      <c r="O79" s="64">
        <v>0</v>
      </c>
      <c r="P79" s="64">
        <v>0.35</v>
      </c>
      <c r="Q79" s="64">
        <v>9.0500000000000007</v>
      </c>
      <c r="R79" s="198"/>
      <c r="S79" s="198"/>
      <c r="T79" s="198"/>
      <c r="U79" s="198"/>
    </row>
    <row r="80" spans="1:21" s="12" customFormat="1" x14ac:dyDescent="0.25">
      <c r="A80" s="213" t="s">
        <v>2811</v>
      </c>
      <c r="B80" s="64">
        <v>6.94</v>
      </c>
      <c r="C80" s="64">
        <v>15.38</v>
      </c>
      <c r="D80" s="64">
        <v>13.6</v>
      </c>
      <c r="E80" s="64">
        <v>4.5999999999999996</v>
      </c>
      <c r="F80" s="64">
        <v>5.53</v>
      </c>
      <c r="G80" s="64">
        <v>19.16</v>
      </c>
      <c r="H80" s="64">
        <v>9.34</v>
      </c>
      <c r="I80" s="64">
        <v>0.75</v>
      </c>
      <c r="J80" s="64">
        <v>0.13</v>
      </c>
      <c r="K80" s="64">
        <v>338</v>
      </c>
      <c r="L80" s="64">
        <v>25.97</v>
      </c>
      <c r="M80" s="64">
        <v>97.37</v>
      </c>
      <c r="N80" s="64">
        <v>75.5</v>
      </c>
      <c r="O80" s="64">
        <v>0</v>
      </c>
      <c r="P80" s="64">
        <v>0.38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3" t="s">
        <v>2812</v>
      </c>
      <c r="B81" s="64">
        <v>8.25</v>
      </c>
      <c r="C81" s="64">
        <v>17.25</v>
      </c>
      <c r="D81" s="64">
        <v>15.63</v>
      </c>
      <c r="E81" s="64">
        <v>4.34</v>
      </c>
      <c r="F81" s="64">
        <v>5.1100000000000003</v>
      </c>
      <c r="G81" s="64">
        <v>19.239999999999998</v>
      </c>
      <c r="H81" s="64">
        <v>9.34</v>
      </c>
      <c r="I81" s="64">
        <v>0.8</v>
      </c>
      <c r="J81" s="64">
        <v>0.19</v>
      </c>
      <c r="K81" s="64">
        <v>330.53</v>
      </c>
      <c r="L81" s="64">
        <v>25.91</v>
      </c>
      <c r="M81" s="64">
        <v>97.4</v>
      </c>
      <c r="N81" s="64">
        <v>68.7</v>
      </c>
      <c r="O81" s="64">
        <v>0</v>
      </c>
      <c r="P81" s="64">
        <v>0.37</v>
      </c>
      <c r="Q81" s="64">
        <v>9.06</v>
      </c>
      <c r="R81" s="198"/>
      <c r="S81" s="198"/>
      <c r="T81" s="198"/>
      <c r="U81" s="198"/>
    </row>
    <row r="82" spans="1:26" s="12" customFormat="1" x14ac:dyDescent="0.25">
      <c r="A82" s="213" t="s">
        <v>2813</v>
      </c>
      <c r="B82" s="64">
        <v>7.91</v>
      </c>
      <c r="C82" s="64">
        <v>15.58</v>
      </c>
      <c r="D82" s="64">
        <v>14.48</v>
      </c>
      <c r="E82" s="64">
        <v>4.7</v>
      </c>
      <c r="F82" s="64">
        <v>5.54</v>
      </c>
      <c r="G82" s="64">
        <v>19.5</v>
      </c>
      <c r="H82" s="64">
        <v>9.34</v>
      </c>
      <c r="I82" s="64">
        <v>0.85</v>
      </c>
      <c r="J82" s="64">
        <v>0.09</v>
      </c>
      <c r="K82" s="64">
        <v>339.69</v>
      </c>
      <c r="L82" s="64">
        <v>25.7</v>
      </c>
      <c r="M82" s="64">
        <v>97.97</v>
      </c>
      <c r="N82" s="64">
        <v>57.9</v>
      </c>
      <c r="O82" s="64">
        <v>0</v>
      </c>
      <c r="P82" s="64">
        <v>0.38</v>
      </c>
      <c r="Q82" s="64">
        <v>9.07</v>
      </c>
      <c r="R82" s="198"/>
      <c r="S82" s="198"/>
      <c r="T82" s="198"/>
      <c r="U82" s="198"/>
    </row>
    <row r="83" spans="1:26" s="12" customFormat="1" x14ac:dyDescent="0.25">
      <c r="A83" s="213" t="s">
        <v>2814</v>
      </c>
      <c r="B83" s="64">
        <v>6.93</v>
      </c>
      <c r="C83" s="64">
        <v>15.93</v>
      </c>
      <c r="D83" s="64">
        <v>13.88</v>
      </c>
      <c r="E83" s="64">
        <v>4.59</v>
      </c>
      <c r="F83" s="64">
        <v>6.56</v>
      </c>
      <c r="G83" s="64">
        <v>19.5</v>
      </c>
      <c r="H83" s="64">
        <v>9.34</v>
      </c>
      <c r="I83" s="64">
        <v>0.88</v>
      </c>
      <c r="J83" s="64">
        <v>0.05</v>
      </c>
      <c r="K83" s="64">
        <v>345.33</v>
      </c>
      <c r="L83" s="64">
        <v>25.46</v>
      </c>
      <c r="M83" s="64">
        <v>97.48</v>
      </c>
      <c r="N83" s="64">
        <v>51.2</v>
      </c>
      <c r="O83" s="64">
        <v>0</v>
      </c>
      <c r="P83" s="64">
        <v>0.4</v>
      </c>
      <c r="Q83" s="64">
        <v>9.07</v>
      </c>
      <c r="R83" s="198"/>
      <c r="S83" s="198"/>
      <c r="T83" s="198"/>
      <c r="U83" s="198"/>
    </row>
    <row r="84" spans="1:26" s="12" customFormat="1" x14ac:dyDescent="0.25">
      <c r="A84" s="213" t="s">
        <v>2815</v>
      </c>
      <c r="B84" s="64">
        <v>6.96</v>
      </c>
      <c r="C84" s="64">
        <v>14.08</v>
      </c>
      <c r="D84" s="64">
        <v>12.94</v>
      </c>
      <c r="E84" s="64">
        <v>4.54</v>
      </c>
      <c r="F84" s="64">
        <v>4.07</v>
      </c>
      <c r="G84" s="64">
        <v>19.5</v>
      </c>
      <c r="H84" s="64">
        <v>9.34</v>
      </c>
      <c r="I84" s="64">
        <v>0.92</v>
      </c>
      <c r="J84" s="64">
        <v>0.16</v>
      </c>
      <c r="K84" s="64">
        <v>356.67</v>
      </c>
      <c r="L84" s="64">
        <v>25.23</v>
      </c>
      <c r="M84" s="64">
        <v>97.49</v>
      </c>
      <c r="N84" s="64">
        <v>48.9</v>
      </c>
      <c r="O84" s="64">
        <v>0</v>
      </c>
      <c r="P84" s="64">
        <v>0.36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13" t="s">
        <v>2816</v>
      </c>
      <c r="B85" s="64">
        <v>6.87</v>
      </c>
      <c r="C85" s="64">
        <v>13.82</v>
      </c>
      <c r="D85" s="64">
        <v>12.73</v>
      </c>
      <c r="E85" s="64">
        <v>4.66</v>
      </c>
      <c r="F85" s="64">
        <v>5.4</v>
      </c>
      <c r="G85" s="64">
        <v>18.75</v>
      </c>
      <c r="H85" s="64">
        <v>9.34</v>
      </c>
      <c r="I85" s="64">
        <v>0.93</v>
      </c>
      <c r="J85" s="64">
        <v>0.08</v>
      </c>
      <c r="K85" s="64">
        <v>331.46</v>
      </c>
      <c r="L85" s="64">
        <v>25.26</v>
      </c>
      <c r="M85" s="64">
        <v>97.49</v>
      </c>
      <c r="N85" s="64">
        <v>48.4</v>
      </c>
      <c r="O85" s="64">
        <v>0</v>
      </c>
      <c r="P85" s="64">
        <v>0.33</v>
      </c>
      <c r="Q85" s="64">
        <v>9.0399999999999991</v>
      </c>
      <c r="R85" s="198"/>
      <c r="S85" s="198"/>
      <c r="T85" s="198"/>
      <c r="U85" s="198"/>
    </row>
    <row r="86" spans="1:26" s="12" customFormat="1" x14ac:dyDescent="0.25">
      <c r="A86" s="213" t="s">
        <v>2817</v>
      </c>
      <c r="B86" s="64">
        <v>6.86</v>
      </c>
      <c r="C86" s="64">
        <v>13.07</v>
      </c>
      <c r="D86" s="64">
        <v>12.33</v>
      </c>
      <c r="E86" s="64">
        <v>4.8</v>
      </c>
      <c r="F86" s="64">
        <v>3.95</v>
      </c>
      <c r="G86" s="64">
        <v>16.3</v>
      </c>
      <c r="H86" s="64">
        <v>9.34</v>
      </c>
      <c r="I86" s="64">
        <v>0.92</v>
      </c>
      <c r="J86" s="64">
        <v>0.11</v>
      </c>
      <c r="K86" s="64">
        <v>343.39</v>
      </c>
      <c r="L86" s="64">
        <v>25.12</v>
      </c>
      <c r="M86" s="64">
        <v>97.98</v>
      </c>
      <c r="N86" s="64">
        <v>48.4</v>
      </c>
      <c r="O86" s="64">
        <v>0</v>
      </c>
      <c r="P86" s="64">
        <v>0.32</v>
      </c>
      <c r="Q86" s="64">
        <v>9.0399999999999991</v>
      </c>
      <c r="R86" s="198"/>
      <c r="S86" s="198"/>
      <c r="T86" s="198"/>
      <c r="U86" s="198"/>
    </row>
    <row r="87" spans="1:26" s="12" customFormat="1" x14ac:dyDescent="0.25">
      <c r="A87" s="213" t="s">
        <v>2818</v>
      </c>
      <c r="B87" s="64">
        <v>6.8</v>
      </c>
      <c r="C87" s="64">
        <v>12.47</v>
      </c>
      <c r="D87" s="64">
        <v>11.97</v>
      </c>
      <c r="E87" s="64">
        <v>4.4000000000000004</v>
      </c>
      <c r="F87" s="64">
        <v>3.77</v>
      </c>
      <c r="G87" s="64">
        <v>16.3</v>
      </c>
      <c r="H87" s="64">
        <v>9.34</v>
      </c>
      <c r="I87" s="64">
        <v>0.95</v>
      </c>
      <c r="J87" s="64">
        <v>0.09</v>
      </c>
      <c r="K87" s="64">
        <v>332.7</v>
      </c>
      <c r="L87" s="64">
        <v>25.01</v>
      </c>
      <c r="M87" s="64">
        <v>97.44</v>
      </c>
      <c r="N87" s="64">
        <v>48.4</v>
      </c>
      <c r="O87" s="64">
        <v>0</v>
      </c>
      <c r="P87" s="64">
        <v>0.32</v>
      </c>
      <c r="Q87" s="64">
        <v>9.0299999999999994</v>
      </c>
      <c r="R87" s="198"/>
      <c r="S87" s="198"/>
      <c r="T87" s="198"/>
      <c r="U87" s="198"/>
    </row>
    <row r="88" spans="1:26" s="12" customFormat="1" x14ac:dyDescent="0.25">
      <c r="A88" s="213" t="s">
        <v>2819</v>
      </c>
      <c r="B88" s="64">
        <v>6.53</v>
      </c>
      <c r="C88" s="64">
        <v>12.65</v>
      </c>
      <c r="D88" s="64">
        <v>11.84</v>
      </c>
      <c r="E88" s="64">
        <v>4.79</v>
      </c>
      <c r="F88" s="64">
        <v>4.66</v>
      </c>
      <c r="G88" s="64">
        <v>16.3</v>
      </c>
      <c r="H88" s="64">
        <v>9.34</v>
      </c>
      <c r="I88" s="64">
        <v>0.95</v>
      </c>
      <c r="J88" s="64">
        <v>0.14000000000000001</v>
      </c>
      <c r="K88" s="64">
        <v>325.23</v>
      </c>
      <c r="L88" s="64">
        <v>25.01</v>
      </c>
      <c r="M88" s="64">
        <v>97.94</v>
      </c>
      <c r="N88" s="64">
        <v>48.6</v>
      </c>
      <c r="O88" s="64">
        <v>0</v>
      </c>
      <c r="P88" s="64">
        <v>0.32</v>
      </c>
      <c r="Q88" s="64">
        <v>9</v>
      </c>
      <c r="R88" s="198"/>
      <c r="S88" s="198"/>
      <c r="T88" s="198"/>
      <c r="U88" s="198"/>
    </row>
    <row r="89" spans="1:26" s="12" customFormat="1" x14ac:dyDescent="0.25">
      <c r="A89" s="213" t="s">
        <v>2820</v>
      </c>
      <c r="B89" s="64">
        <v>6.59</v>
      </c>
      <c r="C89" s="64">
        <v>12.95</v>
      </c>
      <c r="D89" s="64">
        <v>12.05</v>
      </c>
      <c r="E89" s="64">
        <v>4.41</v>
      </c>
      <c r="F89" s="64">
        <v>3.71</v>
      </c>
      <c r="G89" s="64">
        <v>16.91</v>
      </c>
      <c r="H89" s="64">
        <v>9.34</v>
      </c>
      <c r="I89" s="64">
        <v>0.93</v>
      </c>
      <c r="J89" s="64">
        <v>0.12</v>
      </c>
      <c r="K89" s="64">
        <v>342.53</v>
      </c>
      <c r="L89" s="64">
        <v>24.91</v>
      </c>
      <c r="M89" s="64">
        <v>97.99</v>
      </c>
      <c r="N89" s="64">
        <v>48.7</v>
      </c>
      <c r="O89" s="64">
        <v>0</v>
      </c>
      <c r="P89" s="64">
        <v>0.31</v>
      </c>
      <c r="Q89" s="64">
        <v>9</v>
      </c>
      <c r="R89" s="198"/>
      <c r="S89" s="198"/>
      <c r="T89" s="198"/>
      <c r="U89" s="198"/>
    </row>
    <row r="90" spans="1:26" s="12" customFormat="1" x14ac:dyDescent="0.25">
      <c r="A90" s="213" t="s">
        <v>2821</v>
      </c>
      <c r="B90" s="64">
        <v>6.23</v>
      </c>
      <c r="C90" s="64">
        <v>12.67</v>
      </c>
      <c r="D90" s="64">
        <v>11.61</v>
      </c>
      <c r="E90" s="64">
        <v>4.4800000000000004</v>
      </c>
      <c r="F90" s="64">
        <v>4.09</v>
      </c>
      <c r="G90" s="64">
        <v>18.91</v>
      </c>
      <c r="H90" s="64">
        <v>12.21</v>
      </c>
      <c r="I90" s="64">
        <v>0.92</v>
      </c>
      <c r="J90" s="64">
        <v>0.16</v>
      </c>
      <c r="K90" s="64">
        <v>351.57</v>
      </c>
      <c r="L90" s="64">
        <v>24.76</v>
      </c>
      <c r="M90" s="64">
        <v>97.99</v>
      </c>
      <c r="N90" s="64">
        <v>48.6</v>
      </c>
      <c r="O90" s="64">
        <v>0</v>
      </c>
      <c r="P90" s="64">
        <v>0.3</v>
      </c>
      <c r="Q90" s="64">
        <v>9</v>
      </c>
      <c r="R90" s="198"/>
      <c r="S90" s="198"/>
      <c r="T90" s="198"/>
      <c r="U90" s="198"/>
    </row>
    <row r="91" spans="1:26" s="12" customFormat="1" x14ac:dyDescent="0.25">
      <c r="A91" s="213" t="s">
        <v>2822</v>
      </c>
      <c r="B91" s="64">
        <v>6.12</v>
      </c>
      <c r="C91" s="64">
        <v>12.61</v>
      </c>
      <c r="D91" s="64">
        <v>11.5</v>
      </c>
      <c r="E91" s="64">
        <v>4.4800000000000004</v>
      </c>
      <c r="F91" s="64">
        <v>3.69</v>
      </c>
      <c r="G91" s="64">
        <v>18.91</v>
      </c>
      <c r="H91" s="64">
        <v>12.21</v>
      </c>
      <c r="I91" s="64">
        <v>0.97</v>
      </c>
      <c r="J91" s="64">
        <v>0.11</v>
      </c>
      <c r="K91" s="64">
        <v>342.17</v>
      </c>
      <c r="L91" s="64">
        <v>24.62</v>
      </c>
      <c r="M91" s="64">
        <v>98.02</v>
      </c>
      <c r="N91" s="64">
        <v>48.9</v>
      </c>
      <c r="O91" s="64">
        <v>0</v>
      </c>
      <c r="P91" s="64">
        <v>0.3</v>
      </c>
      <c r="Q91" s="64">
        <v>8.99</v>
      </c>
      <c r="R91" s="198"/>
      <c r="S91" s="198"/>
      <c r="T91" s="198"/>
      <c r="U91" s="198"/>
    </row>
    <row r="92" spans="1:26" s="12" customFormat="1" x14ac:dyDescent="0.25">
      <c r="A92" s="213" t="s">
        <v>2823</v>
      </c>
      <c r="B92" s="64">
        <v>6.09</v>
      </c>
      <c r="C92" s="64">
        <v>12.48</v>
      </c>
      <c r="D92" s="64">
        <v>11.41</v>
      </c>
      <c r="E92" s="64">
        <v>4.74</v>
      </c>
      <c r="F92" s="64">
        <v>2.76</v>
      </c>
      <c r="G92" s="64">
        <v>18.91</v>
      </c>
      <c r="H92" s="64">
        <v>12.21</v>
      </c>
      <c r="I92" s="64">
        <v>0.93</v>
      </c>
      <c r="J92" s="64">
        <v>0.14000000000000001</v>
      </c>
      <c r="K92" s="64">
        <v>334.87</v>
      </c>
      <c r="L92" s="64">
        <v>24.49</v>
      </c>
      <c r="M92" s="64">
        <v>98.04</v>
      </c>
      <c r="N92" s="64">
        <v>48.6</v>
      </c>
      <c r="O92" s="64">
        <v>0</v>
      </c>
      <c r="P92" s="64">
        <v>0.28999999999999998</v>
      </c>
      <c r="Q92" s="64">
        <v>8.99</v>
      </c>
      <c r="R92" s="198"/>
      <c r="S92" s="198"/>
      <c r="T92" s="198"/>
      <c r="U92" s="198"/>
    </row>
    <row r="93" spans="1:26" s="12" customFormat="1" x14ac:dyDescent="0.25">
      <c r="A93" s="213" t="s">
        <v>2824</v>
      </c>
      <c r="B93" s="64">
        <v>5.92</v>
      </c>
      <c r="C93" s="64">
        <v>12.29</v>
      </c>
      <c r="D93" s="64">
        <v>11.17</v>
      </c>
      <c r="E93" s="64">
        <v>4.71</v>
      </c>
      <c r="F93" s="64">
        <v>4.01</v>
      </c>
      <c r="G93" s="64">
        <v>18.98</v>
      </c>
      <c r="H93" s="64">
        <v>14.24</v>
      </c>
      <c r="I93" s="64">
        <v>0.87</v>
      </c>
      <c r="J93" s="64">
        <v>0.17</v>
      </c>
      <c r="K93" s="64">
        <v>336.24</v>
      </c>
      <c r="L93" s="64">
        <v>24.41</v>
      </c>
      <c r="M93" s="64">
        <v>98.04</v>
      </c>
      <c r="N93" s="64">
        <v>48.6</v>
      </c>
      <c r="O93" s="64">
        <v>0</v>
      </c>
      <c r="P93" s="64">
        <v>0.28999999999999998</v>
      </c>
      <c r="Q93" s="64">
        <v>8.9700000000000006</v>
      </c>
      <c r="R93" s="198"/>
      <c r="S93" s="198"/>
      <c r="T93" s="198"/>
      <c r="U93" s="198"/>
    </row>
    <row r="94" spans="1:26" s="12" customFormat="1" x14ac:dyDescent="0.25">
      <c r="A94" s="213" t="s">
        <v>2825</v>
      </c>
      <c r="B94" s="64">
        <v>5.92</v>
      </c>
      <c r="C94" s="64">
        <v>12.21</v>
      </c>
      <c r="D94" s="64">
        <v>11.13</v>
      </c>
      <c r="E94" s="64">
        <v>4.59</v>
      </c>
      <c r="F94" s="64">
        <v>3.37</v>
      </c>
      <c r="G94" s="64">
        <v>19.21</v>
      </c>
      <c r="H94" s="64">
        <v>14.24</v>
      </c>
      <c r="I94" s="64">
        <v>0.87</v>
      </c>
      <c r="J94" s="64">
        <v>0.14000000000000001</v>
      </c>
      <c r="K94" s="64">
        <v>336.29</v>
      </c>
      <c r="L94" s="64">
        <v>24.44</v>
      </c>
      <c r="M94" s="64">
        <v>98.01</v>
      </c>
      <c r="N94" s="64">
        <v>48.5</v>
      </c>
      <c r="O94" s="64">
        <v>0</v>
      </c>
      <c r="P94" s="64">
        <v>0.28000000000000003</v>
      </c>
      <c r="Q94" s="64">
        <v>8.98</v>
      </c>
      <c r="R94" s="198"/>
      <c r="S94" s="198"/>
      <c r="T94" s="198"/>
      <c r="U94" s="198"/>
    </row>
    <row r="95" spans="1:26" s="12" customFormat="1" x14ac:dyDescent="0.25">
      <c r="A95" s="213" t="s">
        <v>2826</v>
      </c>
      <c r="B95" s="64">
        <v>5.87</v>
      </c>
      <c r="C95" s="64">
        <v>12.1</v>
      </c>
      <c r="D95" s="64">
        <v>11.03</v>
      </c>
      <c r="E95" s="64">
        <v>4.46</v>
      </c>
      <c r="F95" s="64">
        <v>3.88</v>
      </c>
      <c r="G95" s="64">
        <v>19.21</v>
      </c>
      <c r="H95" s="64">
        <v>14.24</v>
      </c>
      <c r="I95" s="64">
        <v>0.86</v>
      </c>
      <c r="J95" s="64">
        <v>7.0000000000000007E-2</v>
      </c>
      <c r="K95" s="64">
        <v>318.18</v>
      </c>
      <c r="L95" s="64">
        <v>24.43</v>
      </c>
      <c r="M95" s="64">
        <v>98</v>
      </c>
      <c r="N95" s="64">
        <v>48.6</v>
      </c>
      <c r="O95" s="64">
        <v>0</v>
      </c>
      <c r="P95" s="64">
        <v>0.27</v>
      </c>
      <c r="Q95" s="64">
        <v>9</v>
      </c>
      <c r="R95" s="198"/>
      <c r="S95" s="198"/>
      <c r="T95" s="198"/>
      <c r="U95" s="198"/>
    </row>
    <row r="96" spans="1:26" s="12" customFormat="1" x14ac:dyDescent="0.25">
      <c r="A96" s="213" t="s">
        <v>2827</v>
      </c>
      <c r="B96" s="64">
        <v>5.83</v>
      </c>
      <c r="C96" s="64">
        <v>11.89</v>
      </c>
      <c r="D96" s="64">
        <v>10.89</v>
      </c>
      <c r="E96" s="64">
        <v>4.33</v>
      </c>
      <c r="F96" s="64">
        <v>4.66</v>
      </c>
      <c r="G96" s="64">
        <v>19.21</v>
      </c>
      <c r="H96" s="64">
        <v>14.24</v>
      </c>
      <c r="I96" s="64">
        <v>0.84</v>
      </c>
      <c r="J96" s="64">
        <v>0.09</v>
      </c>
      <c r="K96" s="64">
        <v>317.27999999999997</v>
      </c>
      <c r="L96" s="64">
        <v>24.35</v>
      </c>
      <c r="M96" s="64">
        <v>98.01</v>
      </c>
      <c r="N96" s="64">
        <v>48.7</v>
      </c>
      <c r="O96" s="64">
        <v>0</v>
      </c>
      <c r="P96" s="64">
        <v>0.26</v>
      </c>
      <c r="Q96" s="64">
        <v>9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2828</v>
      </c>
      <c r="B97" s="64">
        <v>5.8</v>
      </c>
      <c r="C97" s="64">
        <v>12.02</v>
      </c>
      <c r="D97" s="64">
        <v>10.93</v>
      </c>
      <c r="E97" s="64">
        <v>4.63</v>
      </c>
      <c r="F97" s="64">
        <v>5.28</v>
      </c>
      <c r="G97" s="64">
        <v>18.59</v>
      </c>
      <c r="H97" s="64">
        <v>14.24</v>
      </c>
      <c r="I97" s="64">
        <v>0.82</v>
      </c>
      <c r="J97" s="64">
        <v>7.0000000000000007E-2</v>
      </c>
      <c r="K97" s="64">
        <v>313.42</v>
      </c>
      <c r="L97" s="64">
        <v>24.31</v>
      </c>
      <c r="M97" s="64">
        <v>98.02</v>
      </c>
      <c r="N97" s="64">
        <v>49</v>
      </c>
      <c r="O97" s="64">
        <v>0</v>
      </c>
      <c r="P97" s="64">
        <v>0.24</v>
      </c>
      <c r="Q97" s="64">
        <v>9.01</v>
      </c>
      <c r="R97" s="198"/>
      <c r="S97" s="198"/>
      <c r="T97" s="198"/>
      <c r="U97" s="198"/>
    </row>
    <row r="98" spans="1:33" s="12" customFormat="1" x14ac:dyDescent="0.25">
      <c r="A98" s="213" t="s">
        <v>2829</v>
      </c>
      <c r="B98" s="64">
        <v>6.02</v>
      </c>
      <c r="C98" s="64">
        <v>12.17</v>
      </c>
      <c r="D98" s="64">
        <v>11.19</v>
      </c>
      <c r="E98" s="64">
        <v>4.6900000000000004</v>
      </c>
      <c r="F98" s="64">
        <v>3.97</v>
      </c>
      <c r="G98" s="64">
        <v>16.55</v>
      </c>
      <c r="H98" s="64">
        <v>14.24</v>
      </c>
      <c r="I98" s="64">
        <v>0.86</v>
      </c>
      <c r="J98" s="64">
        <v>0.06</v>
      </c>
      <c r="K98" s="64">
        <v>338.64</v>
      </c>
      <c r="L98" s="64">
        <v>24.24</v>
      </c>
      <c r="M98" s="64">
        <v>98.03</v>
      </c>
      <c r="N98" s="64">
        <v>49</v>
      </c>
      <c r="O98" s="64">
        <v>0</v>
      </c>
      <c r="P98" s="64">
        <v>0.25</v>
      </c>
      <c r="Q98" s="64">
        <v>9</v>
      </c>
      <c r="R98" s="198"/>
      <c r="S98" s="198"/>
      <c r="T98" s="198"/>
      <c r="U98" s="198"/>
    </row>
    <row r="99" spans="1:33" s="12" customFormat="1" x14ac:dyDescent="0.25">
      <c r="A99" s="213" t="s">
        <v>2830</v>
      </c>
      <c r="B99" s="64">
        <v>6.2</v>
      </c>
      <c r="C99" s="64">
        <v>11.88</v>
      </c>
      <c r="D99" s="64">
        <v>11.18</v>
      </c>
      <c r="E99" s="64">
        <v>4.72</v>
      </c>
      <c r="F99" s="64">
        <v>4.4400000000000004</v>
      </c>
      <c r="G99" s="64">
        <v>16.55</v>
      </c>
      <c r="H99" s="64">
        <v>14.24</v>
      </c>
      <c r="I99" s="64">
        <v>0.89</v>
      </c>
      <c r="J99" s="64">
        <v>0.08</v>
      </c>
      <c r="K99" s="64">
        <v>326.74</v>
      </c>
      <c r="L99" s="64">
        <v>24.15</v>
      </c>
      <c r="M99" s="64">
        <v>98.03</v>
      </c>
      <c r="N99" s="64">
        <v>49</v>
      </c>
      <c r="O99" s="64">
        <v>0</v>
      </c>
      <c r="P99" s="64">
        <v>0.24</v>
      </c>
      <c r="Q99" s="64">
        <v>9.01</v>
      </c>
      <c r="R99" s="198"/>
      <c r="S99" s="198"/>
      <c r="T99" s="198"/>
      <c r="U99" s="198"/>
    </row>
    <row r="100" spans="1:33" s="12" customFormat="1" x14ac:dyDescent="0.25">
      <c r="A100" s="213" t="s">
        <v>2831</v>
      </c>
      <c r="B100" s="64">
        <v>5.89</v>
      </c>
      <c r="C100" s="64">
        <v>11.28</v>
      </c>
      <c r="D100" s="64">
        <v>10.62</v>
      </c>
      <c r="E100" s="64">
        <v>4.62</v>
      </c>
      <c r="F100" s="64">
        <v>5.38</v>
      </c>
      <c r="G100" s="64">
        <v>16.55</v>
      </c>
      <c r="H100" s="64">
        <v>14.24</v>
      </c>
      <c r="I100" s="64">
        <v>0.89</v>
      </c>
      <c r="J100" s="64">
        <v>0.06</v>
      </c>
      <c r="K100" s="64">
        <v>302.68</v>
      </c>
      <c r="L100" s="64">
        <v>24.1</v>
      </c>
      <c r="M100" s="64">
        <v>98.03</v>
      </c>
      <c r="N100" s="64">
        <v>49</v>
      </c>
      <c r="O100" s="64">
        <v>0</v>
      </c>
      <c r="P100" s="64">
        <v>0.22</v>
      </c>
      <c r="Q100" s="64">
        <v>9.02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2832</v>
      </c>
      <c r="B101" s="64">
        <v>7.71</v>
      </c>
      <c r="C101" s="64">
        <v>10.9</v>
      </c>
      <c r="D101" s="64">
        <v>11.88</v>
      </c>
      <c r="E101" s="64">
        <v>4.63</v>
      </c>
      <c r="F101" s="64">
        <v>4.9800000000000004</v>
      </c>
      <c r="G101" s="64">
        <v>15.84</v>
      </c>
      <c r="H101" s="64">
        <v>14.24</v>
      </c>
      <c r="I101" s="64">
        <v>0.86</v>
      </c>
      <c r="J101" s="64">
        <v>0.03</v>
      </c>
      <c r="K101" s="64">
        <v>340.52</v>
      </c>
      <c r="L101" s="64">
        <v>24.1</v>
      </c>
      <c r="M101" s="64">
        <v>98.04</v>
      </c>
      <c r="N101" s="64">
        <v>49</v>
      </c>
      <c r="O101" s="64">
        <v>0</v>
      </c>
      <c r="P101" s="64">
        <v>0.22</v>
      </c>
      <c r="Q101" s="64">
        <v>9.02</v>
      </c>
      <c r="R101" s="198"/>
      <c r="S101" s="198"/>
      <c r="T101" s="198"/>
      <c r="U101" s="198"/>
    </row>
    <row r="102" spans="1:33" s="12" customFormat="1" x14ac:dyDescent="0.25">
      <c r="A102" s="213" t="s">
        <v>2833</v>
      </c>
      <c r="B102" s="64">
        <v>6.55</v>
      </c>
      <c r="C102" s="64">
        <v>11.13</v>
      </c>
      <c r="D102" s="64">
        <v>11.07</v>
      </c>
      <c r="E102" s="64">
        <v>4.8600000000000003</v>
      </c>
      <c r="F102" s="64">
        <v>4.04</v>
      </c>
      <c r="G102" s="64">
        <v>13.51</v>
      </c>
      <c r="H102" s="64">
        <v>9.4700000000000006</v>
      </c>
      <c r="I102" s="64">
        <v>0.8</v>
      </c>
      <c r="J102" s="64">
        <v>0.01</v>
      </c>
      <c r="K102" s="64">
        <v>194.75</v>
      </c>
      <c r="L102" s="64">
        <v>24.1</v>
      </c>
      <c r="M102" s="64">
        <v>98.06</v>
      </c>
      <c r="N102" s="64">
        <v>49</v>
      </c>
      <c r="O102" s="64">
        <v>0</v>
      </c>
      <c r="P102" s="64">
        <v>0.24</v>
      </c>
      <c r="Q102" s="64">
        <v>9.01</v>
      </c>
      <c r="R102" s="198"/>
      <c r="S102" s="198"/>
      <c r="T102" s="198"/>
      <c r="U102" s="198"/>
    </row>
    <row r="103" spans="1:33" s="12" customFormat="1" x14ac:dyDescent="0.25">
      <c r="A103" s="213" t="s">
        <v>2834</v>
      </c>
      <c r="B103" s="64">
        <v>6.48</v>
      </c>
      <c r="C103" s="64">
        <v>10.86</v>
      </c>
      <c r="D103" s="64">
        <v>10.87</v>
      </c>
      <c r="E103" s="64">
        <v>4.9800000000000004</v>
      </c>
      <c r="F103" s="64">
        <v>3.39</v>
      </c>
      <c r="G103" s="64">
        <v>13.51</v>
      </c>
      <c r="H103" s="64">
        <v>9.4700000000000006</v>
      </c>
      <c r="I103" s="64">
        <v>0.79</v>
      </c>
      <c r="J103" s="64">
        <v>0.04</v>
      </c>
      <c r="K103" s="64">
        <v>212.55</v>
      </c>
      <c r="L103" s="64">
        <v>24.03</v>
      </c>
      <c r="M103" s="64">
        <v>98.08</v>
      </c>
      <c r="N103" s="64">
        <v>49</v>
      </c>
      <c r="O103" s="64">
        <v>0</v>
      </c>
      <c r="P103" s="64">
        <v>0.22</v>
      </c>
      <c r="Q103" s="64">
        <v>9</v>
      </c>
      <c r="R103" s="198"/>
      <c r="S103" s="198"/>
      <c r="T103" s="198"/>
      <c r="U103" s="198"/>
    </row>
    <row r="104" spans="1:33" s="12" customFormat="1" x14ac:dyDescent="0.25">
      <c r="A104" s="213" t="s">
        <v>2835</v>
      </c>
      <c r="B104" s="64">
        <v>6.41</v>
      </c>
      <c r="C104" s="64">
        <v>10.68</v>
      </c>
      <c r="D104" s="64">
        <v>10.72</v>
      </c>
      <c r="E104" s="64">
        <v>3.84</v>
      </c>
      <c r="F104" s="64">
        <v>4.54</v>
      </c>
      <c r="G104" s="64">
        <v>13.51</v>
      </c>
      <c r="H104" s="64">
        <v>9.4700000000000006</v>
      </c>
      <c r="I104" s="64">
        <v>0.82</v>
      </c>
      <c r="J104" s="64">
        <v>0.01</v>
      </c>
      <c r="K104" s="64">
        <v>169.44</v>
      </c>
      <c r="L104" s="64">
        <v>23.96</v>
      </c>
      <c r="M104" s="64">
        <v>98.08</v>
      </c>
      <c r="N104" s="64">
        <v>49</v>
      </c>
      <c r="O104" s="64">
        <v>0</v>
      </c>
      <c r="P104" s="64">
        <v>0.2</v>
      </c>
      <c r="Q104" s="64">
        <v>8.98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4.38</v>
      </c>
      <c r="C106" s="67">
        <f>MIN(C9:C104)</f>
        <v>10.01</v>
      </c>
      <c r="D106" s="67">
        <f t="shared" ref="D106:Q106" si="0">MIN(D9:D104)</f>
        <v>9.11</v>
      </c>
      <c r="E106" s="67">
        <f t="shared" si="0"/>
        <v>3.58</v>
      </c>
      <c r="F106" s="67">
        <f t="shared" si="0"/>
        <v>2.76</v>
      </c>
      <c r="G106" s="67">
        <f t="shared" si="0"/>
        <v>2.72</v>
      </c>
      <c r="H106" s="67">
        <f t="shared" si="0"/>
        <v>1.05</v>
      </c>
      <c r="I106" s="67">
        <f t="shared" si="0"/>
        <v>0.45</v>
      </c>
      <c r="J106" s="67">
        <f t="shared" si="0"/>
        <v>0.01</v>
      </c>
      <c r="K106" s="67">
        <f t="shared" si="0"/>
        <v>169.44</v>
      </c>
      <c r="L106" s="67">
        <f t="shared" si="0"/>
        <v>22.54</v>
      </c>
      <c r="M106" s="67">
        <f t="shared" si="0"/>
        <v>90.16</v>
      </c>
      <c r="N106" s="67">
        <f t="shared" si="0"/>
        <v>48.4</v>
      </c>
      <c r="O106" s="67">
        <f t="shared" si="0"/>
        <v>0</v>
      </c>
      <c r="P106" s="67">
        <f t="shared" si="0"/>
        <v>0.13</v>
      </c>
      <c r="Q106" s="67">
        <f t="shared" si="0"/>
        <v>8.91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8.25</v>
      </c>
      <c r="C107" s="66">
        <f t="shared" ref="C107:Q107" si="1">MAX(C9:C104)</f>
        <v>17.25</v>
      </c>
      <c r="D107" s="66">
        <f t="shared" si="1"/>
        <v>15.63</v>
      </c>
      <c r="E107" s="66">
        <f t="shared" si="1"/>
        <v>5.52</v>
      </c>
      <c r="F107" s="66">
        <f t="shared" si="1"/>
        <v>6.56</v>
      </c>
      <c r="G107" s="66">
        <f t="shared" si="1"/>
        <v>20.170000000000002</v>
      </c>
      <c r="H107" s="66">
        <f t="shared" si="1"/>
        <v>14.24</v>
      </c>
      <c r="I107" s="66">
        <f t="shared" si="1"/>
        <v>0.97</v>
      </c>
      <c r="J107" s="66">
        <f t="shared" si="1"/>
        <v>0.37</v>
      </c>
      <c r="K107" s="66">
        <f t="shared" si="1"/>
        <v>356.67</v>
      </c>
      <c r="L107" s="66">
        <f t="shared" si="1"/>
        <v>27.48</v>
      </c>
      <c r="M107" s="66">
        <f t="shared" si="1"/>
        <v>98.14</v>
      </c>
      <c r="N107" s="66">
        <f t="shared" si="1"/>
        <v>439.4</v>
      </c>
      <c r="O107" s="66">
        <f t="shared" si="1"/>
        <v>0</v>
      </c>
      <c r="P107" s="66">
        <f t="shared" si="1"/>
        <v>0.4</v>
      </c>
      <c r="Q107" s="66">
        <f t="shared" si="1"/>
        <v>9.07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5.8336458333333319</v>
      </c>
      <c r="C108" s="67">
        <f t="shared" ref="C108:Q108" si="2">AVERAGE(C9:C104)</f>
        <v>12.509375000000006</v>
      </c>
      <c r="D108" s="67">
        <f t="shared" si="2"/>
        <v>11.213020833333331</v>
      </c>
      <c r="E108" s="67">
        <f t="shared" si="2"/>
        <v>4.4884375000000007</v>
      </c>
      <c r="F108" s="67">
        <f t="shared" si="2"/>
        <v>4.1161458333333343</v>
      </c>
      <c r="G108" s="67">
        <f t="shared" si="2"/>
        <v>11.092291666666661</v>
      </c>
      <c r="H108" s="67">
        <f t="shared" si="2"/>
        <v>5.7729166666666645</v>
      </c>
      <c r="I108" s="67">
        <f t="shared" si="2"/>
        <v>0.64708333333333345</v>
      </c>
      <c r="J108" s="67">
        <f t="shared" si="2"/>
        <v>0.15614583333333334</v>
      </c>
      <c r="K108" s="67">
        <f t="shared" si="2"/>
        <v>299.09135416666658</v>
      </c>
      <c r="L108" s="67">
        <f t="shared" si="2"/>
        <v>24.513333333333335</v>
      </c>
      <c r="M108" s="67">
        <f t="shared" si="2"/>
        <v>97.19677083333336</v>
      </c>
      <c r="N108" s="67">
        <f t="shared" si="2"/>
        <v>129.53020833333332</v>
      </c>
      <c r="O108" s="67">
        <f t="shared" si="2"/>
        <v>0</v>
      </c>
      <c r="P108" s="67">
        <f t="shared" si="2"/>
        <v>0.23177083333333326</v>
      </c>
      <c r="Q108" s="67">
        <f t="shared" si="2"/>
        <v>8.9851041666666642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0.8032619285620427</v>
      </c>
      <c r="C109" s="67">
        <f t="shared" ref="C109:Q109" si="3">STDEV(C9:C104)</f>
        <v>1.7537069385492117</v>
      </c>
      <c r="D109" s="67">
        <f t="shared" si="3"/>
        <v>1.3348653547646294</v>
      </c>
      <c r="E109" s="67">
        <f t="shared" si="3"/>
        <v>0.48170383590574367</v>
      </c>
      <c r="F109" s="67">
        <f t="shared" si="3"/>
        <v>0.69003183723905415</v>
      </c>
      <c r="G109" s="67">
        <f t="shared" si="3"/>
        <v>6.4941308691474822</v>
      </c>
      <c r="H109" s="67">
        <f t="shared" si="3"/>
        <v>4.1418655640758342</v>
      </c>
      <c r="I109" s="67">
        <f t="shared" si="3"/>
        <v>0.16196111727439913</v>
      </c>
      <c r="J109" s="67">
        <f t="shared" si="3"/>
        <v>8.4882206822677081E-2</v>
      </c>
      <c r="K109" s="67">
        <f t="shared" si="3"/>
        <v>32.671148405696023</v>
      </c>
      <c r="L109" s="67">
        <f t="shared" si="3"/>
        <v>1.4068080081979293</v>
      </c>
      <c r="M109" s="67">
        <f t="shared" si="3"/>
        <v>1.8793713925513362</v>
      </c>
      <c r="N109" s="67">
        <f t="shared" si="3"/>
        <v>92.055937365097066</v>
      </c>
      <c r="O109" s="67">
        <f t="shared" si="3"/>
        <v>0</v>
      </c>
      <c r="P109" s="67">
        <f t="shared" si="3"/>
        <v>7.1583514592422279E-2</v>
      </c>
      <c r="Q109" s="67">
        <f t="shared" si="3"/>
        <v>3.6562701491422607E-2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3" t="s">
        <v>2836</v>
      </c>
      <c r="B9" s="64">
        <v>5.65</v>
      </c>
      <c r="C9" s="64">
        <v>10.16</v>
      </c>
      <c r="D9" s="64">
        <v>9.84</v>
      </c>
      <c r="E9" s="64">
        <v>4.7699999999999996</v>
      </c>
      <c r="F9" s="64">
        <v>10.83</v>
      </c>
      <c r="G9" s="64">
        <v>12.67</v>
      </c>
      <c r="H9" s="211" t="s">
        <v>42</v>
      </c>
      <c r="I9" s="64">
        <v>0.81</v>
      </c>
      <c r="J9" s="64">
        <v>0.11</v>
      </c>
      <c r="K9" s="64">
        <v>138.02000000000001</v>
      </c>
      <c r="L9" s="64">
        <v>23.9</v>
      </c>
      <c r="M9" s="64">
        <v>98.07</v>
      </c>
      <c r="N9" s="64">
        <v>49</v>
      </c>
      <c r="O9" s="64">
        <v>0</v>
      </c>
      <c r="P9" s="64">
        <v>0.15</v>
      </c>
      <c r="Q9" s="64">
        <v>8.98</v>
      </c>
      <c r="R9" s="198"/>
      <c r="S9" s="198"/>
      <c r="T9" s="198"/>
      <c r="U9" s="198"/>
    </row>
    <row r="10" spans="1:21" s="12" customFormat="1" x14ac:dyDescent="0.25">
      <c r="A10" s="213" t="s">
        <v>2837</v>
      </c>
      <c r="B10" s="64">
        <v>5.98</v>
      </c>
      <c r="C10" s="64">
        <v>9.99</v>
      </c>
      <c r="D10" s="64">
        <v>10.01</v>
      </c>
      <c r="E10" s="64">
        <v>4.5999999999999996</v>
      </c>
      <c r="F10" s="64">
        <v>5.35</v>
      </c>
      <c r="G10" s="64">
        <v>9.93</v>
      </c>
      <c r="H10" s="211" t="s">
        <v>42</v>
      </c>
      <c r="I10" s="64">
        <v>0.8</v>
      </c>
      <c r="J10" s="64">
        <v>0.13</v>
      </c>
      <c r="K10" s="64">
        <v>133.49</v>
      </c>
      <c r="L10" s="64">
        <v>23.8</v>
      </c>
      <c r="M10" s="64">
        <v>98.09</v>
      </c>
      <c r="N10" s="64">
        <v>49</v>
      </c>
      <c r="O10" s="64">
        <v>0</v>
      </c>
      <c r="P10" s="64">
        <v>0.21</v>
      </c>
      <c r="Q10" s="64">
        <v>8.99</v>
      </c>
      <c r="R10" s="198"/>
      <c r="S10" s="198"/>
      <c r="T10" s="198"/>
      <c r="U10" s="198"/>
    </row>
    <row r="11" spans="1:21" s="12" customFormat="1" x14ac:dyDescent="0.25">
      <c r="A11" s="213" t="s">
        <v>2838</v>
      </c>
      <c r="B11" s="64">
        <v>6.62</v>
      </c>
      <c r="C11" s="64">
        <v>10.17</v>
      </c>
      <c r="D11" s="64">
        <v>10.62</v>
      </c>
      <c r="E11" s="64">
        <v>4.76</v>
      </c>
      <c r="F11" s="64">
        <v>5.33</v>
      </c>
      <c r="G11" s="64">
        <v>9.93</v>
      </c>
      <c r="H11" s="211" t="s">
        <v>42</v>
      </c>
      <c r="I11" s="64">
        <v>0.79</v>
      </c>
      <c r="J11" s="64">
        <v>7.0000000000000007E-2</v>
      </c>
      <c r="K11" s="64">
        <v>164.05</v>
      </c>
      <c r="L11" s="64">
        <v>23.75</v>
      </c>
      <c r="M11" s="64">
        <v>98.1</v>
      </c>
      <c r="N11" s="64">
        <v>49</v>
      </c>
      <c r="O11" s="64">
        <v>0</v>
      </c>
      <c r="P11" s="64">
        <v>0.2</v>
      </c>
      <c r="Q11" s="64">
        <v>9</v>
      </c>
      <c r="R11" s="198"/>
      <c r="S11" s="198"/>
      <c r="T11" s="198"/>
      <c r="U11" s="198"/>
    </row>
    <row r="12" spans="1:21" s="12" customFormat="1" x14ac:dyDescent="0.25">
      <c r="A12" s="213" t="s">
        <v>2839</v>
      </c>
      <c r="B12" s="64">
        <v>5.98</v>
      </c>
      <c r="C12" s="64">
        <v>9.8699999999999992</v>
      </c>
      <c r="D12" s="64">
        <v>9.9600000000000009</v>
      </c>
      <c r="E12" s="64">
        <v>4.7</v>
      </c>
      <c r="F12" s="64">
        <v>6.01</v>
      </c>
      <c r="G12" s="64">
        <v>9.93</v>
      </c>
      <c r="H12" s="211" t="s">
        <v>42</v>
      </c>
      <c r="I12" s="64">
        <v>0.78</v>
      </c>
      <c r="J12" s="64">
        <v>0.02</v>
      </c>
      <c r="K12" s="64">
        <v>5.75</v>
      </c>
      <c r="L12" s="64">
        <v>23.77</v>
      </c>
      <c r="M12" s="64">
        <v>98.1</v>
      </c>
      <c r="N12" s="64">
        <v>49</v>
      </c>
      <c r="O12" s="64">
        <v>0</v>
      </c>
      <c r="P12" s="64">
        <v>0.17</v>
      </c>
      <c r="Q12" s="64">
        <v>9</v>
      </c>
      <c r="R12" s="198"/>
      <c r="S12" s="198"/>
      <c r="T12" s="198"/>
      <c r="U12" s="198"/>
    </row>
    <row r="13" spans="1:21" s="12" customFormat="1" x14ac:dyDescent="0.25">
      <c r="A13" s="213" t="s">
        <v>2840</v>
      </c>
      <c r="B13" s="64">
        <v>6.75</v>
      </c>
      <c r="C13" s="64">
        <v>9.82</v>
      </c>
      <c r="D13" s="64">
        <v>10.54</v>
      </c>
      <c r="E13" s="64">
        <v>4.6500000000000004</v>
      </c>
      <c r="F13" s="64">
        <v>5.04</v>
      </c>
      <c r="G13" s="64">
        <v>9.4600000000000009</v>
      </c>
      <c r="H13" s="211" t="s">
        <v>42</v>
      </c>
      <c r="I13" s="64">
        <v>0.79</v>
      </c>
      <c r="J13" s="64">
        <v>0.05</v>
      </c>
      <c r="K13" s="64">
        <v>257.02999999999997</v>
      </c>
      <c r="L13" s="64">
        <v>23.77</v>
      </c>
      <c r="M13" s="64">
        <v>98.1</v>
      </c>
      <c r="N13" s="64">
        <v>49</v>
      </c>
      <c r="O13" s="64">
        <v>0</v>
      </c>
      <c r="P13" s="64">
        <v>0.21</v>
      </c>
      <c r="Q13" s="64">
        <v>9</v>
      </c>
      <c r="R13" s="198"/>
      <c r="S13" s="198"/>
      <c r="T13" s="198"/>
      <c r="U13" s="198"/>
    </row>
    <row r="14" spans="1:21" s="12" customFormat="1" x14ac:dyDescent="0.25">
      <c r="A14" s="213" t="s">
        <v>2841</v>
      </c>
      <c r="B14" s="64">
        <v>6.7</v>
      </c>
      <c r="C14" s="64">
        <v>9.5</v>
      </c>
      <c r="D14" s="64">
        <v>10.34</v>
      </c>
      <c r="E14" s="64">
        <v>4.91</v>
      </c>
      <c r="F14" s="64">
        <v>4.57</v>
      </c>
      <c r="G14" s="64">
        <v>7.94</v>
      </c>
      <c r="H14" s="211" t="s">
        <v>42</v>
      </c>
      <c r="I14" s="64">
        <v>0.78</v>
      </c>
      <c r="J14" s="64">
        <v>7.0000000000000007E-2</v>
      </c>
      <c r="K14" s="64">
        <v>337.11</v>
      </c>
      <c r="L14" s="64">
        <v>23.88</v>
      </c>
      <c r="M14" s="64">
        <v>98.07</v>
      </c>
      <c r="N14" s="64">
        <v>49</v>
      </c>
      <c r="O14" s="64">
        <v>0</v>
      </c>
      <c r="P14" s="64">
        <v>0.21</v>
      </c>
      <c r="Q14" s="64">
        <v>9</v>
      </c>
      <c r="R14" s="198"/>
      <c r="S14" s="198"/>
      <c r="T14" s="198"/>
      <c r="U14" s="198"/>
    </row>
    <row r="15" spans="1:21" s="12" customFormat="1" x14ac:dyDescent="0.25">
      <c r="A15" s="213" t="s">
        <v>2842</v>
      </c>
      <c r="B15" s="64">
        <v>7.09</v>
      </c>
      <c r="C15" s="64">
        <v>9.8699999999999992</v>
      </c>
      <c r="D15" s="64">
        <v>10.84</v>
      </c>
      <c r="E15" s="64">
        <v>4.4800000000000004</v>
      </c>
      <c r="F15" s="64">
        <v>3.75</v>
      </c>
      <c r="G15" s="64">
        <v>7.94</v>
      </c>
      <c r="H15" s="211" t="s">
        <v>42</v>
      </c>
      <c r="I15" s="64">
        <v>0.77</v>
      </c>
      <c r="J15" s="64">
        <v>0.1</v>
      </c>
      <c r="K15" s="64">
        <v>305.17</v>
      </c>
      <c r="L15" s="64">
        <v>23.99</v>
      </c>
      <c r="M15" s="64">
        <v>98.06</v>
      </c>
      <c r="N15" s="64">
        <v>49</v>
      </c>
      <c r="O15" s="64">
        <v>0.2</v>
      </c>
      <c r="P15" s="64">
        <v>0.22</v>
      </c>
      <c r="Q15" s="64">
        <v>9</v>
      </c>
      <c r="R15" s="198"/>
      <c r="S15" s="198"/>
      <c r="T15" s="198"/>
      <c r="U15" s="198"/>
    </row>
    <row r="16" spans="1:21" s="12" customFormat="1" x14ac:dyDescent="0.25">
      <c r="A16" s="213" t="s">
        <v>2843</v>
      </c>
      <c r="B16" s="64">
        <v>6.94</v>
      </c>
      <c r="C16" s="64">
        <v>10.050000000000001</v>
      </c>
      <c r="D16" s="64">
        <v>10.82</v>
      </c>
      <c r="E16" s="64">
        <v>4.33</v>
      </c>
      <c r="F16" s="64">
        <v>3.3</v>
      </c>
      <c r="G16" s="64">
        <v>7.94</v>
      </c>
      <c r="H16" s="211" t="s">
        <v>42</v>
      </c>
      <c r="I16" s="64">
        <v>0.75</v>
      </c>
      <c r="J16" s="64">
        <v>0.12</v>
      </c>
      <c r="K16" s="64">
        <v>310.60000000000002</v>
      </c>
      <c r="L16" s="64">
        <v>23.96</v>
      </c>
      <c r="M16" s="64">
        <v>98.05</v>
      </c>
      <c r="N16" s="64">
        <v>49.1</v>
      </c>
      <c r="O16" s="64">
        <v>0</v>
      </c>
      <c r="P16" s="64">
        <v>0.21</v>
      </c>
      <c r="Q16" s="64">
        <v>9.01</v>
      </c>
      <c r="R16" s="198"/>
      <c r="S16" s="198"/>
      <c r="T16" s="198"/>
      <c r="U16" s="198"/>
    </row>
    <row r="17" spans="1:21" s="12" customFormat="1" x14ac:dyDescent="0.25">
      <c r="A17" s="213" t="s">
        <v>2844</v>
      </c>
      <c r="B17" s="64">
        <v>6.74</v>
      </c>
      <c r="C17" s="64">
        <v>10.23</v>
      </c>
      <c r="D17" s="64">
        <v>10.75</v>
      </c>
      <c r="E17" s="64">
        <v>4.67</v>
      </c>
      <c r="F17" s="64">
        <v>4.37</v>
      </c>
      <c r="G17" s="64">
        <v>7.76</v>
      </c>
      <c r="H17" s="211" t="s">
        <v>42</v>
      </c>
      <c r="I17" s="64">
        <v>0.71</v>
      </c>
      <c r="J17" s="64">
        <v>0.13</v>
      </c>
      <c r="K17" s="64">
        <v>310.74</v>
      </c>
      <c r="L17" s="64">
        <v>23.96</v>
      </c>
      <c r="M17" s="64">
        <v>98.03</v>
      </c>
      <c r="N17" s="64">
        <v>49</v>
      </c>
      <c r="O17" s="64">
        <v>0</v>
      </c>
      <c r="P17" s="64">
        <v>0.21</v>
      </c>
      <c r="Q17" s="64">
        <v>9.01</v>
      </c>
      <c r="R17" s="198"/>
      <c r="S17" s="198"/>
      <c r="T17" s="198"/>
      <c r="U17" s="198"/>
    </row>
    <row r="18" spans="1:21" s="12" customFormat="1" x14ac:dyDescent="0.25">
      <c r="A18" s="213" t="s">
        <v>2845</v>
      </c>
      <c r="B18" s="64">
        <v>6.5</v>
      </c>
      <c r="C18" s="64">
        <v>10.53</v>
      </c>
      <c r="D18" s="64">
        <v>10.71</v>
      </c>
      <c r="E18" s="64">
        <v>4.46</v>
      </c>
      <c r="F18" s="64">
        <v>3.45</v>
      </c>
      <c r="G18" s="64">
        <v>7.14</v>
      </c>
      <c r="H18" s="211" t="s">
        <v>42</v>
      </c>
      <c r="I18" s="64">
        <v>0.67</v>
      </c>
      <c r="J18" s="64">
        <v>0.14000000000000001</v>
      </c>
      <c r="K18" s="64">
        <v>318.01</v>
      </c>
      <c r="L18" s="64">
        <v>23.99</v>
      </c>
      <c r="M18" s="64">
        <v>98.03</v>
      </c>
      <c r="N18" s="64">
        <v>49.2</v>
      </c>
      <c r="O18" s="64">
        <v>0.2</v>
      </c>
      <c r="P18" s="64">
        <v>0.21</v>
      </c>
      <c r="Q18" s="64">
        <v>9.02</v>
      </c>
      <c r="R18" s="198"/>
      <c r="S18" s="198"/>
      <c r="T18" s="198"/>
      <c r="U18" s="198"/>
    </row>
    <row r="19" spans="1:21" s="12" customFormat="1" x14ac:dyDescent="0.25">
      <c r="A19" s="213" t="s">
        <v>2846</v>
      </c>
      <c r="B19" s="64">
        <v>6.11</v>
      </c>
      <c r="C19" s="64">
        <v>10.59</v>
      </c>
      <c r="D19" s="64">
        <v>10.43</v>
      </c>
      <c r="E19" s="64">
        <v>4.4400000000000004</v>
      </c>
      <c r="F19" s="64">
        <v>4.2</v>
      </c>
      <c r="G19" s="64">
        <v>7.14</v>
      </c>
      <c r="H19" s="211" t="s">
        <v>42</v>
      </c>
      <c r="I19" s="64">
        <v>0.65</v>
      </c>
      <c r="J19" s="64">
        <v>0.16</v>
      </c>
      <c r="K19" s="64">
        <v>306.12</v>
      </c>
      <c r="L19" s="64">
        <v>23.99</v>
      </c>
      <c r="M19" s="64">
        <v>98.01</v>
      </c>
      <c r="N19" s="64">
        <v>49.3</v>
      </c>
      <c r="O19" s="64">
        <v>0</v>
      </c>
      <c r="P19" s="64">
        <v>0.19</v>
      </c>
      <c r="Q19" s="64">
        <v>9.01</v>
      </c>
      <c r="R19" s="198"/>
      <c r="S19" s="198"/>
      <c r="T19" s="198"/>
      <c r="U19" s="198"/>
    </row>
    <row r="20" spans="1:21" s="12" customFormat="1" x14ac:dyDescent="0.25">
      <c r="A20" s="213" t="s">
        <v>2847</v>
      </c>
      <c r="B20" s="64">
        <v>5.77</v>
      </c>
      <c r="C20" s="64">
        <v>10.94</v>
      </c>
      <c r="D20" s="64">
        <v>10.34</v>
      </c>
      <c r="E20" s="64">
        <v>4.1900000000000004</v>
      </c>
      <c r="F20" s="64">
        <v>4</v>
      </c>
      <c r="G20" s="64">
        <v>7.14</v>
      </c>
      <c r="H20" s="211" t="s">
        <v>42</v>
      </c>
      <c r="I20" s="64">
        <v>0.65</v>
      </c>
      <c r="J20" s="64">
        <v>0.13</v>
      </c>
      <c r="K20" s="64">
        <v>319.75</v>
      </c>
      <c r="L20" s="64">
        <v>24.01</v>
      </c>
      <c r="M20" s="64">
        <v>98</v>
      </c>
      <c r="N20" s="64">
        <v>49.4</v>
      </c>
      <c r="O20" s="64">
        <v>0</v>
      </c>
      <c r="P20" s="64">
        <v>0.19</v>
      </c>
      <c r="Q20" s="64">
        <v>9.01</v>
      </c>
      <c r="R20" s="198"/>
      <c r="S20" s="198"/>
      <c r="T20" s="198"/>
      <c r="U20" s="198"/>
    </row>
    <row r="21" spans="1:21" s="12" customFormat="1" x14ac:dyDescent="0.25">
      <c r="A21" s="213" t="s">
        <v>2848</v>
      </c>
      <c r="B21" s="64">
        <v>5.37</v>
      </c>
      <c r="C21" s="64">
        <v>10.85</v>
      </c>
      <c r="D21" s="64">
        <v>9.98</v>
      </c>
      <c r="E21" s="64">
        <v>4.59</v>
      </c>
      <c r="F21" s="64">
        <v>4.8600000000000003</v>
      </c>
      <c r="G21" s="64">
        <v>7.1</v>
      </c>
      <c r="H21" s="211" t="s">
        <v>42</v>
      </c>
      <c r="I21" s="64">
        <v>0.62</v>
      </c>
      <c r="J21" s="64">
        <v>0.13</v>
      </c>
      <c r="K21" s="64">
        <v>302.62</v>
      </c>
      <c r="L21" s="64">
        <v>23.97</v>
      </c>
      <c r="M21" s="64">
        <v>98.02</v>
      </c>
      <c r="N21" s="64">
        <v>49.7</v>
      </c>
      <c r="O21" s="64">
        <v>0</v>
      </c>
      <c r="P21" s="64">
        <v>0.18</v>
      </c>
      <c r="Q21" s="64">
        <v>8.99</v>
      </c>
      <c r="R21" s="198"/>
      <c r="S21" s="198"/>
      <c r="T21" s="198"/>
      <c r="U21" s="198"/>
    </row>
    <row r="22" spans="1:21" s="12" customFormat="1" x14ac:dyDescent="0.25">
      <c r="A22" s="213" t="s">
        <v>2849</v>
      </c>
      <c r="B22" s="64">
        <v>5.48</v>
      </c>
      <c r="C22" s="64">
        <v>10.93</v>
      </c>
      <c r="D22" s="64">
        <v>10.1</v>
      </c>
      <c r="E22" s="64">
        <v>4.79</v>
      </c>
      <c r="F22" s="64">
        <v>3.6</v>
      </c>
      <c r="G22" s="64">
        <v>6.95</v>
      </c>
      <c r="H22" s="211" t="s">
        <v>42</v>
      </c>
      <c r="I22" s="64">
        <v>0.6</v>
      </c>
      <c r="J22" s="64">
        <v>0.15</v>
      </c>
      <c r="K22" s="64">
        <v>305.14999999999998</v>
      </c>
      <c r="L22" s="64">
        <v>23.43</v>
      </c>
      <c r="M22" s="64">
        <v>98.08</v>
      </c>
      <c r="N22" s="64">
        <v>50.8</v>
      </c>
      <c r="O22" s="64">
        <v>0</v>
      </c>
      <c r="P22" s="64">
        <v>0.19</v>
      </c>
      <c r="Q22" s="64">
        <v>8.99</v>
      </c>
      <c r="R22" s="198"/>
      <c r="S22" s="198"/>
      <c r="T22" s="198"/>
      <c r="U22" s="198"/>
    </row>
    <row r="23" spans="1:21" s="12" customFormat="1" x14ac:dyDescent="0.25">
      <c r="A23" s="213" t="s">
        <v>2850</v>
      </c>
      <c r="B23" s="64">
        <v>5.54</v>
      </c>
      <c r="C23" s="64">
        <v>10.81</v>
      </c>
      <c r="D23" s="64">
        <v>10.09</v>
      </c>
      <c r="E23" s="64">
        <v>4.9000000000000004</v>
      </c>
      <c r="F23" s="64">
        <v>4.1900000000000004</v>
      </c>
      <c r="G23" s="64">
        <v>6.95</v>
      </c>
      <c r="H23" s="211" t="s">
        <v>42</v>
      </c>
      <c r="I23" s="64">
        <v>0.6</v>
      </c>
      <c r="J23" s="64">
        <v>0.08</v>
      </c>
      <c r="K23" s="64">
        <v>306.56</v>
      </c>
      <c r="L23" s="64">
        <v>22.88</v>
      </c>
      <c r="M23" s="64">
        <v>98.12</v>
      </c>
      <c r="N23" s="64">
        <v>49.8</v>
      </c>
      <c r="O23" s="64">
        <v>0</v>
      </c>
      <c r="P23" s="64">
        <v>0.19</v>
      </c>
      <c r="Q23" s="64">
        <v>8.98</v>
      </c>
      <c r="R23" s="198"/>
      <c r="S23" s="198"/>
      <c r="T23" s="198"/>
      <c r="U23" s="198"/>
    </row>
    <row r="24" spans="1:21" s="12" customFormat="1" x14ac:dyDescent="0.25">
      <c r="A24" s="213" t="s">
        <v>2851</v>
      </c>
      <c r="B24" s="64">
        <v>5.6</v>
      </c>
      <c r="C24" s="64">
        <v>10.78</v>
      </c>
      <c r="D24" s="64">
        <v>10.119999999999999</v>
      </c>
      <c r="E24" s="64">
        <v>4.67</v>
      </c>
      <c r="F24" s="64">
        <v>3.56</v>
      </c>
      <c r="G24" s="64">
        <v>6.95</v>
      </c>
      <c r="H24" s="211" t="s">
        <v>42</v>
      </c>
      <c r="I24" s="64">
        <v>0.59</v>
      </c>
      <c r="J24" s="64">
        <v>7.0000000000000007E-2</v>
      </c>
      <c r="K24" s="64">
        <v>261.70999999999998</v>
      </c>
      <c r="L24" s="64">
        <v>22.68</v>
      </c>
      <c r="M24" s="64">
        <v>98.15</v>
      </c>
      <c r="N24" s="64">
        <v>49.7</v>
      </c>
      <c r="O24" s="64">
        <v>0</v>
      </c>
      <c r="P24" s="64">
        <v>0.19</v>
      </c>
      <c r="Q24" s="64">
        <v>8.9700000000000006</v>
      </c>
      <c r="R24" s="198"/>
      <c r="S24" s="198"/>
      <c r="T24" s="198"/>
      <c r="U24" s="198"/>
    </row>
    <row r="25" spans="1:21" s="12" customFormat="1" x14ac:dyDescent="0.25">
      <c r="A25" s="213" t="s">
        <v>2852</v>
      </c>
      <c r="B25" s="64">
        <v>5.47</v>
      </c>
      <c r="C25" s="64">
        <v>10.55</v>
      </c>
      <c r="D25" s="64">
        <v>9.9</v>
      </c>
      <c r="E25" s="64">
        <v>4.79</v>
      </c>
      <c r="F25" s="64">
        <v>4.13</v>
      </c>
      <c r="G25" s="64">
        <v>7.29</v>
      </c>
      <c r="H25" s="211" t="s">
        <v>42</v>
      </c>
      <c r="I25" s="64">
        <v>0.56999999999999995</v>
      </c>
      <c r="J25" s="64">
        <v>7.0000000000000007E-2</v>
      </c>
      <c r="K25" s="64">
        <v>279.94</v>
      </c>
      <c r="L25" s="64">
        <v>22.57</v>
      </c>
      <c r="M25" s="64">
        <v>98.13</v>
      </c>
      <c r="N25" s="64">
        <v>49.8</v>
      </c>
      <c r="O25" s="64">
        <v>0</v>
      </c>
      <c r="P25" s="64">
        <v>0.17</v>
      </c>
      <c r="Q25" s="64">
        <v>8.9600000000000009</v>
      </c>
      <c r="R25" s="198"/>
      <c r="S25" s="198"/>
      <c r="T25" s="198"/>
      <c r="U25" s="198"/>
    </row>
    <row r="26" spans="1:21" s="12" customFormat="1" x14ac:dyDescent="0.25">
      <c r="A26" s="213" t="s">
        <v>2853</v>
      </c>
      <c r="B26" s="64">
        <v>5.87</v>
      </c>
      <c r="C26" s="64">
        <v>10.31</v>
      </c>
      <c r="D26" s="64">
        <v>10.09</v>
      </c>
      <c r="E26" s="64">
        <v>4.57</v>
      </c>
      <c r="F26" s="64">
        <v>3.7</v>
      </c>
      <c r="G26" s="64">
        <v>8.41</v>
      </c>
      <c r="H26" s="64">
        <v>6.94</v>
      </c>
      <c r="I26" s="64">
        <v>0.56999999999999995</v>
      </c>
      <c r="J26" s="64">
        <v>0.09</v>
      </c>
      <c r="K26" s="64">
        <v>299.27</v>
      </c>
      <c r="L26" s="64">
        <v>22.54</v>
      </c>
      <c r="M26" s="64">
        <v>98.13</v>
      </c>
      <c r="N26" s="64">
        <v>49.7</v>
      </c>
      <c r="O26" s="64">
        <v>0</v>
      </c>
      <c r="P26" s="64">
        <v>0.19</v>
      </c>
      <c r="Q26" s="64">
        <v>8.9499999999999993</v>
      </c>
      <c r="R26" s="198"/>
      <c r="S26" s="198"/>
      <c r="T26" s="198"/>
      <c r="U26" s="198"/>
    </row>
    <row r="27" spans="1:21" s="12" customFormat="1" x14ac:dyDescent="0.25">
      <c r="A27" s="213" t="s">
        <v>2854</v>
      </c>
      <c r="B27" s="64">
        <v>6.03</v>
      </c>
      <c r="C27" s="64">
        <v>10.37</v>
      </c>
      <c r="D27" s="64">
        <v>10.26</v>
      </c>
      <c r="E27" s="64">
        <v>4.7300000000000004</v>
      </c>
      <c r="F27" s="64">
        <v>2.84</v>
      </c>
      <c r="G27" s="64">
        <v>8.41</v>
      </c>
      <c r="H27" s="64">
        <v>6.94</v>
      </c>
      <c r="I27" s="64">
        <v>0.56999999999999995</v>
      </c>
      <c r="J27" s="64">
        <v>0.15</v>
      </c>
      <c r="K27" s="64">
        <v>317.51</v>
      </c>
      <c r="L27" s="64">
        <v>22.59</v>
      </c>
      <c r="M27" s="64">
        <v>98.13</v>
      </c>
      <c r="N27" s="64">
        <v>49.9</v>
      </c>
      <c r="O27" s="64">
        <v>0</v>
      </c>
      <c r="P27" s="64">
        <v>0.18</v>
      </c>
      <c r="Q27" s="64">
        <v>8.9499999999999993</v>
      </c>
      <c r="R27" s="198"/>
      <c r="S27" s="198"/>
      <c r="T27" s="198"/>
      <c r="U27" s="198"/>
    </row>
    <row r="28" spans="1:21" s="12" customFormat="1" x14ac:dyDescent="0.25">
      <c r="A28" s="213" t="s">
        <v>2855</v>
      </c>
      <c r="B28" s="64">
        <v>6.08</v>
      </c>
      <c r="C28" s="64">
        <v>10.41</v>
      </c>
      <c r="D28" s="64">
        <v>10.32</v>
      </c>
      <c r="E28" s="64">
        <v>4.42</v>
      </c>
      <c r="F28" s="64">
        <v>3.59</v>
      </c>
      <c r="G28" s="64">
        <v>8.41</v>
      </c>
      <c r="H28" s="64">
        <v>6.94</v>
      </c>
      <c r="I28" s="64">
        <v>0.56999999999999995</v>
      </c>
      <c r="J28" s="64">
        <v>0.21</v>
      </c>
      <c r="K28" s="64">
        <v>310.8</v>
      </c>
      <c r="L28" s="64">
        <v>22.71</v>
      </c>
      <c r="M28" s="64">
        <v>98.13</v>
      </c>
      <c r="N28" s="64">
        <v>50.4</v>
      </c>
      <c r="O28" s="64">
        <v>0</v>
      </c>
      <c r="P28" s="64">
        <v>0.16</v>
      </c>
      <c r="Q28" s="64">
        <v>8.9700000000000006</v>
      </c>
      <c r="R28" s="198"/>
      <c r="S28" s="198"/>
      <c r="T28" s="198"/>
      <c r="U28" s="198"/>
    </row>
    <row r="29" spans="1:21" s="12" customFormat="1" x14ac:dyDescent="0.25">
      <c r="A29" s="213" t="s">
        <v>2856</v>
      </c>
      <c r="B29" s="64">
        <v>5.97</v>
      </c>
      <c r="C29" s="64">
        <v>10.66</v>
      </c>
      <c r="D29" s="64">
        <v>10.36</v>
      </c>
      <c r="E29" s="64">
        <v>4.28</v>
      </c>
      <c r="F29" s="64">
        <v>4.3099999999999996</v>
      </c>
      <c r="G29" s="64">
        <v>7.84</v>
      </c>
      <c r="H29" s="64">
        <v>6.18</v>
      </c>
      <c r="I29" s="64">
        <v>0.55000000000000004</v>
      </c>
      <c r="J29" s="64">
        <v>0.16</v>
      </c>
      <c r="K29" s="64">
        <v>313.66000000000003</v>
      </c>
      <c r="L29" s="64">
        <v>22.79</v>
      </c>
      <c r="M29" s="64">
        <v>98.11</v>
      </c>
      <c r="N29" s="64">
        <v>50.5</v>
      </c>
      <c r="O29" s="64">
        <v>0</v>
      </c>
      <c r="P29" s="64">
        <v>0.18</v>
      </c>
      <c r="Q29" s="64">
        <v>8.9499999999999993</v>
      </c>
      <c r="R29" s="198"/>
      <c r="S29" s="198"/>
      <c r="T29" s="198"/>
      <c r="U29" s="198"/>
    </row>
    <row r="30" spans="1:21" s="12" customFormat="1" x14ac:dyDescent="0.25">
      <c r="A30" s="213" t="s">
        <v>2857</v>
      </c>
      <c r="B30" s="64">
        <v>5.83</v>
      </c>
      <c r="C30" s="64">
        <v>10.98</v>
      </c>
      <c r="D30" s="64">
        <v>10.41</v>
      </c>
      <c r="E30" s="64">
        <v>4.57</v>
      </c>
      <c r="F30" s="64">
        <v>3.32</v>
      </c>
      <c r="G30" s="64">
        <v>5.95</v>
      </c>
      <c r="H30" s="64">
        <v>3.68</v>
      </c>
      <c r="I30" s="64">
        <v>0.54</v>
      </c>
      <c r="J30" s="64">
        <v>0.2</v>
      </c>
      <c r="K30" s="64">
        <v>302.87</v>
      </c>
      <c r="L30" s="64">
        <v>22.78</v>
      </c>
      <c r="M30" s="64">
        <v>98.1</v>
      </c>
      <c r="N30" s="64">
        <v>50.9</v>
      </c>
      <c r="O30" s="64">
        <v>0</v>
      </c>
      <c r="P30" s="64">
        <v>0.18</v>
      </c>
      <c r="Q30" s="64">
        <v>8.9499999999999993</v>
      </c>
      <c r="R30" s="198"/>
      <c r="S30" s="198"/>
      <c r="T30" s="198"/>
      <c r="U30" s="198"/>
    </row>
    <row r="31" spans="1:21" s="12" customFormat="1" x14ac:dyDescent="0.25">
      <c r="A31" s="213" t="s">
        <v>2858</v>
      </c>
      <c r="B31" s="64">
        <v>5.63</v>
      </c>
      <c r="C31" s="64">
        <v>11.39</v>
      </c>
      <c r="D31" s="64">
        <v>10.46</v>
      </c>
      <c r="E31" s="64">
        <v>4.66</v>
      </c>
      <c r="F31" s="64">
        <v>3.83</v>
      </c>
      <c r="G31" s="64">
        <v>5.95</v>
      </c>
      <c r="H31" s="64">
        <v>3.68</v>
      </c>
      <c r="I31" s="64">
        <v>0.52</v>
      </c>
      <c r="J31" s="64">
        <v>0.17</v>
      </c>
      <c r="K31" s="64">
        <v>303.41000000000003</v>
      </c>
      <c r="L31" s="64">
        <v>22.76</v>
      </c>
      <c r="M31" s="64">
        <v>98.11</v>
      </c>
      <c r="N31" s="64">
        <v>52.8</v>
      </c>
      <c r="O31" s="64">
        <v>0</v>
      </c>
      <c r="P31" s="64">
        <v>0.17</v>
      </c>
      <c r="Q31" s="64">
        <v>8.9499999999999993</v>
      </c>
      <c r="R31" s="198"/>
      <c r="S31" s="198"/>
      <c r="T31" s="198"/>
      <c r="U31" s="198"/>
    </row>
    <row r="32" spans="1:21" s="12" customFormat="1" x14ac:dyDescent="0.25">
      <c r="A32" s="213" t="s">
        <v>2859</v>
      </c>
      <c r="B32" s="64">
        <v>5.54</v>
      </c>
      <c r="C32" s="64">
        <v>11.46</v>
      </c>
      <c r="D32" s="64">
        <v>10.43</v>
      </c>
      <c r="E32" s="64">
        <v>4.3099999999999996</v>
      </c>
      <c r="F32" s="64">
        <v>3.61</v>
      </c>
      <c r="G32" s="64">
        <v>5.95</v>
      </c>
      <c r="H32" s="64">
        <v>3.68</v>
      </c>
      <c r="I32" s="64">
        <v>0.51</v>
      </c>
      <c r="J32" s="64">
        <v>0.12</v>
      </c>
      <c r="K32" s="64">
        <v>299.81</v>
      </c>
      <c r="L32" s="64">
        <v>22.76</v>
      </c>
      <c r="M32" s="64">
        <v>98.12</v>
      </c>
      <c r="N32" s="64">
        <v>58.1</v>
      </c>
      <c r="O32" s="64">
        <v>0</v>
      </c>
      <c r="P32" s="64">
        <v>0.17</v>
      </c>
      <c r="Q32" s="64">
        <v>8.94</v>
      </c>
      <c r="R32" s="198"/>
      <c r="S32" s="198"/>
      <c r="T32" s="198"/>
      <c r="U32" s="198"/>
    </row>
    <row r="33" spans="1:21" s="12" customFormat="1" x14ac:dyDescent="0.25">
      <c r="A33" s="213" t="s">
        <v>2860</v>
      </c>
      <c r="B33" s="64">
        <v>7.5</v>
      </c>
      <c r="C33" s="64">
        <v>12.59</v>
      </c>
      <c r="D33" s="64">
        <v>12.6</v>
      </c>
      <c r="E33" s="64">
        <v>4.2699999999999996</v>
      </c>
      <c r="F33" s="64">
        <v>5.05</v>
      </c>
      <c r="G33" s="64">
        <v>5.57</v>
      </c>
      <c r="H33" s="64">
        <v>3.29</v>
      </c>
      <c r="I33" s="64">
        <v>0.52</v>
      </c>
      <c r="J33" s="64">
        <v>0.11</v>
      </c>
      <c r="K33" s="64">
        <v>308.48</v>
      </c>
      <c r="L33" s="64">
        <v>22.79</v>
      </c>
      <c r="M33" s="64">
        <v>98.1</v>
      </c>
      <c r="N33" s="64">
        <v>70.2</v>
      </c>
      <c r="O33" s="64">
        <v>0</v>
      </c>
      <c r="P33" s="64">
        <v>0.18</v>
      </c>
      <c r="Q33" s="64">
        <v>8.9499999999999993</v>
      </c>
      <c r="R33" s="198"/>
      <c r="S33" s="198"/>
      <c r="T33" s="198"/>
      <c r="U33" s="198"/>
    </row>
    <row r="34" spans="1:21" s="12" customFormat="1" x14ac:dyDescent="0.25">
      <c r="A34" s="213" t="s">
        <v>2861</v>
      </c>
      <c r="B34" s="64">
        <v>6.73</v>
      </c>
      <c r="C34" s="64">
        <v>12.28</v>
      </c>
      <c r="D34" s="64">
        <v>11.82</v>
      </c>
      <c r="E34" s="64">
        <v>4.3899999999999997</v>
      </c>
      <c r="F34" s="64">
        <v>3.49</v>
      </c>
      <c r="G34" s="64">
        <v>4.32</v>
      </c>
      <c r="H34" s="64">
        <v>2.02</v>
      </c>
      <c r="I34" s="64">
        <v>0.52</v>
      </c>
      <c r="J34" s="64">
        <v>0.14000000000000001</v>
      </c>
      <c r="K34" s="64">
        <v>301.64999999999998</v>
      </c>
      <c r="L34" s="64">
        <v>22.86</v>
      </c>
      <c r="M34" s="64">
        <v>98.1</v>
      </c>
      <c r="N34" s="64">
        <v>90.4</v>
      </c>
      <c r="O34" s="64">
        <v>0</v>
      </c>
      <c r="P34" s="64">
        <v>0.19</v>
      </c>
      <c r="Q34" s="64">
        <v>8.9700000000000006</v>
      </c>
      <c r="R34" s="198"/>
      <c r="S34" s="198"/>
      <c r="T34" s="198"/>
      <c r="U34" s="198"/>
    </row>
    <row r="35" spans="1:21" s="12" customFormat="1" x14ac:dyDescent="0.25">
      <c r="A35" s="213" t="s">
        <v>2862</v>
      </c>
      <c r="B35" s="64">
        <v>7.57</v>
      </c>
      <c r="C35" s="64">
        <v>13.13</v>
      </c>
      <c r="D35" s="64">
        <v>12.93</v>
      </c>
      <c r="E35" s="64">
        <v>4.55</v>
      </c>
      <c r="F35" s="64">
        <v>2.94</v>
      </c>
      <c r="G35" s="64">
        <v>4.32</v>
      </c>
      <c r="H35" s="64">
        <v>2.02</v>
      </c>
      <c r="I35" s="64">
        <v>0.53</v>
      </c>
      <c r="J35" s="64">
        <v>0.13</v>
      </c>
      <c r="K35" s="64">
        <v>302.8</v>
      </c>
      <c r="L35" s="64">
        <v>23.13</v>
      </c>
      <c r="M35" s="64">
        <v>98.1</v>
      </c>
      <c r="N35" s="64">
        <v>115.7</v>
      </c>
      <c r="O35" s="64">
        <v>0</v>
      </c>
      <c r="P35" s="64">
        <v>0.19</v>
      </c>
      <c r="Q35" s="64">
        <v>8.99</v>
      </c>
      <c r="R35" s="198"/>
      <c r="S35" s="198"/>
      <c r="T35" s="198"/>
      <c r="U35" s="198"/>
    </row>
    <row r="36" spans="1:21" s="12" customFormat="1" x14ac:dyDescent="0.25">
      <c r="A36" s="213" t="s">
        <v>2863</v>
      </c>
      <c r="B36" s="64">
        <v>8.42</v>
      </c>
      <c r="C36" s="64">
        <v>12.88</v>
      </c>
      <c r="D36" s="64">
        <v>13.48</v>
      </c>
      <c r="E36" s="64">
        <v>4.8600000000000003</v>
      </c>
      <c r="F36" s="64">
        <v>4.2699999999999996</v>
      </c>
      <c r="G36" s="64">
        <v>4.32</v>
      </c>
      <c r="H36" s="64">
        <v>2.02</v>
      </c>
      <c r="I36" s="64">
        <v>0.56000000000000005</v>
      </c>
      <c r="J36" s="64">
        <v>0.12</v>
      </c>
      <c r="K36" s="64">
        <v>290.04000000000002</v>
      </c>
      <c r="L36" s="64">
        <v>23.49</v>
      </c>
      <c r="M36" s="64">
        <v>98.09</v>
      </c>
      <c r="N36" s="64">
        <v>161.19999999999999</v>
      </c>
      <c r="O36" s="64">
        <v>0</v>
      </c>
      <c r="P36" s="64">
        <v>0.21</v>
      </c>
      <c r="Q36" s="64">
        <v>9.01</v>
      </c>
      <c r="R36" s="198"/>
      <c r="S36" s="198"/>
      <c r="T36" s="198"/>
      <c r="U36" s="198"/>
    </row>
    <row r="37" spans="1:21" s="12" customFormat="1" x14ac:dyDescent="0.25">
      <c r="A37" s="213" t="s">
        <v>2864</v>
      </c>
      <c r="B37" s="64">
        <v>9.52</v>
      </c>
      <c r="C37" s="64">
        <v>12.91</v>
      </c>
      <c r="D37" s="64">
        <v>14.38</v>
      </c>
      <c r="E37" s="64">
        <v>4.62</v>
      </c>
      <c r="F37" s="64">
        <v>4.42</v>
      </c>
      <c r="G37" s="64">
        <v>4.88</v>
      </c>
      <c r="H37" s="64">
        <v>1.82</v>
      </c>
      <c r="I37" s="64">
        <v>0.59</v>
      </c>
      <c r="J37" s="64">
        <v>0.12</v>
      </c>
      <c r="K37" s="64">
        <v>283.95999999999998</v>
      </c>
      <c r="L37" s="64">
        <v>24.04</v>
      </c>
      <c r="M37" s="64">
        <v>98.06</v>
      </c>
      <c r="N37" s="64">
        <v>182.8</v>
      </c>
      <c r="O37" s="64">
        <v>0</v>
      </c>
      <c r="P37" s="64">
        <v>0.2</v>
      </c>
      <c r="Q37" s="64">
        <v>9.0299999999999994</v>
      </c>
      <c r="R37" s="198"/>
      <c r="S37" s="198"/>
      <c r="T37" s="198"/>
      <c r="U37" s="198"/>
    </row>
    <row r="38" spans="1:21" s="12" customFormat="1" x14ac:dyDescent="0.25">
      <c r="A38" s="213" t="s">
        <v>2865</v>
      </c>
      <c r="B38" s="64">
        <v>8.2899999999999991</v>
      </c>
      <c r="C38" s="64">
        <v>11.83</v>
      </c>
      <c r="D38" s="64">
        <v>12.83</v>
      </c>
      <c r="E38" s="64">
        <v>4.84</v>
      </c>
      <c r="F38" s="64">
        <v>3.65</v>
      </c>
      <c r="G38" s="64">
        <v>6.74</v>
      </c>
      <c r="H38" s="64">
        <v>1.1499999999999999</v>
      </c>
      <c r="I38" s="64">
        <v>0.62</v>
      </c>
      <c r="J38" s="64">
        <v>0.12</v>
      </c>
      <c r="K38" s="64">
        <v>283.97000000000003</v>
      </c>
      <c r="L38" s="64">
        <v>24.08</v>
      </c>
      <c r="M38" s="64">
        <v>98.05</v>
      </c>
      <c r="N38" s="64">
        <v>176.4</v>
      </c>
      <c r="O38" s="64">
        <v>0</v>
      </c>
      <c r="P38" s="64">
        <v>0.21</v>
      </c>
      <c r="Q38" s="64">
        <v>9.0500000000000007</v>
      </c>
      <c r="R38" s="198"/>
      <c r="S38" s="198"/>
      <c r="T38" s="198"/>
      <c r="U38" s="198"/>
    </row>
    <row r="39" spans="1:21" s="12" customFormat="1" x14ac:dyDescent="0.25">
      <c r="A39" s="213" t="s">
        <v>2866</v>
      </c>
      <c r="B39" s="64">
        <v>8.68</v>
      </c>
      <c r="C39" s="64">
        <v>11.53</v>
      </c>
      <c r="D39" s="64">
        <v>12.99</v>
      </c>
      <c r="E39" s="64">
        <v>4.5999999999999996</v>
      </c>
      <c r="F39" s="64">
        <v>3.59</v>
      </c>
      <c r="G39" s="64">
        <v>6.74</v>
      </c>
      <c r="H39" s="64">
        <v>1.1499999999999999</v>
      </c>
      <c r="I39" s="64">
        <v>0.64</v>
      </c>
      <c r="J39" s="64">
        <v>0.16</v>
      </c>
      <c r="K39" s="64">
        <v>287.01</v>
      </c>
      <c r="L39" s="64">
        <v>24.25</v>
      </c>
      <c r="M39" s="64">
        <v>98.04</v>
      </c>
      <c r="N39" s="64">
        <v>163.5</v>
      </c>
      <c r="O39" s="64">
        <v>0</v>
      </c>
      <c r="P39" s="64">
        <v>0.22</v>
      </c>
      <c r="Q39" s="64">
        <v>9.06</v>
      </c>
      <c r="R39" s="198"/>
      <c r="S39" s="198"/>
      <c r="T39" s="198"/>
      <c r="U39" s="198"/>
    </row>
    <row r="40" spans="1:21" s="12" customFormat="1" x14ac:dyDescent="0.25">
      <c r="A40" s="213" t="s">
        <v>2867</v>
      </c>
      <c r="B40" s="64">
        <v>9.44</v>
      </c>
      <c r="C40" s="64">
        <v>10.14</v>
      </c>
      <c r="D40" s="64">
        <v>12.87</v>
      </c>
      <c r="E40" s="64">
        <v>4.63</v>
      </c>
      <c r="F40" s="64">
        <v>3.4</v>
      </c>
      <c r="G40" s="64">
        <v>6.74</v>
      </c>
      <c r="H40" s="64">
        <v>1.1499999999999999</v>
      </c>
      <c r="I40" s="64">
        <v>0.67</v>
      </c>
      <c r="J40" s="64">
        <v>0.15</v>
      </c>
      <c r="K40" s="64">
        <v>288.31</v>
      </c>
      <c r="L40" s="64">
        <v>24.3</v>
      </c>
      <c r="M40" s="64">
        <v>98.1</v>
      </c>
      <c r="N40" s="64">
        <v>194.5</v>
      </c>
      <c r="O40" s="64">
        <v>0</v>
      </c>
      <c r="P40" s="64">
        <v>0.23</v>
      </c>
      <c r="Q40" s="64">
        <v>9.07</v>
      </c>
      <c r="R40" s="198"/>
      <c r="S40" s="198"/>
      <c r="T40" s="198"/>
      <c r="U40" s="198"/>
    </row>
    <row r="41" spans="1:21" s="12" customFormat="1" x14ac:dyDescent="0.25">
      <c r="A41" s="213" t="s">
        <v>2868</v>
      </c>
      <c r="B41" s="64">
        <v>8.58</v>
      </c>
      <c r="C41" s="64">
        <v>10.65</v>
      </c>
      <c r="D41" s="64">
        <v>12.44</v>
      </c>
      <c r="E41" s="64">
        <v>4.25</v>
      </c>
      <c r="F41" s="64">
        <v>3.87</v>
      </c>
      <c r="G41" s="64">
        <v>8.11</v>
      </c>
      <c r="H41" s="64">
        <v>1.04</v>
      </c>
      <c r="I41" s="64">
        <v>0.7</v>
      </c>
      <c r="J41" s="64">
        <v>0.13</v>
      </c>
      <c r="K41" s="64">
        <v>278.68</v>
      </c>
      <c r="L41" s="64">
        <v>24.34</v>
      </c>
      <c r="M41" s="64">
        <v>98.1</v>
      </c>
      <c r="N41" s="64">
        <v>124.6</v>
      </c>
      <c r="O41" s="64">
        <v>0</v>
      </c>
      <c r="P41" s="64">
        <v>0.23</v>
      </c>
      <c r="Q41" s="64">
        <v>9.0500000000000007</v>
      </c>
      <c r="R41" s="198"/>
      <c r="S41" s="198"/>
      <c r="T41" s="198"/>
      <c r="U41" s="198"/>
    </row>
    <row r="42" spans="1:21" s="12" customFormat="1" x14ac:dyDescent="0.25">
      <c r="A42" s="213" t="s">
        <v>2869</v>
      </c>
      <c r="B42" s="64">
        <v>8.16</v>
      </c>
      <c r="C42" s="64">
        <v>10.84</v>
      </c>
      <c r="D42" s="64">
        <v>12.21</v>
      </c>
      <c r="E42" s="64">
        <v>4.53</v>
      </c>
      <c r="F42" s="64">
        <v>3.09</v>
      </c>
      <c r="G42" s="64">
        <v>12.62</v>
      </c>
      <c r="H42" s="64">
        <v>0.68</v>
      </c>
      <c r="I42" s="64">
        <v>0.71</v>
      </c>
      <c r="J42" s="64">
        <v>0.21</v>
      </c>
      <c r="K42" s="64">
        <v>294.85000000000002</v>
      </c>
      <c r="L42" s="64">
        <v>24.25</v>
      </c>
      <c r="M42" s="64">
        <v>98.1</v>
      </c>
      <c r="N42" s="64">
        <v>161.19999999999999</v>
      </c>
      <c r="O42" s="64">
        <v>0</v>
      </c>
      <c r="P42" s="64">
        <v>0.24</v>
      </c>
      <c r="Q42" s="64">
        <v>9.0399999999999991</v>
      </c>
      <c r="R42" s="198"/>
      <c r="S42" s="198"/>
      <c r="T42" s="198"/>
      <c r="U42" s="198"/>
    </row>
    <row r="43" spans="1:21" s="12" customFormat="1" x14ac:dyDescent="0.25">
      <c r="A43" s="213" t="s">
        <v>2870</v>
      </c>
      <c r="B43" s="64">
        <v>8.07</v>
      </c>
      <c r="C43" s="64">
        <v>11.07</v>
      </c>
      <c r="D43" s="64">
        <v>12.25</v>
      </c>
      <c r="E43" s="64">
        <v>4.38</v>
      </c>
      <c r="F43" s="64">
        <v>3.69</v>
      </c>
      <c r="G43" s="64">
        <v>12.62</v>
      </c>
      <c r="H43" s="64">
        <v>0.68</v>
      </c>
      <c r="I43" s="64">
        <v>0.7</v>
      </c>
      <c r="J43" s="64">
        <v>0.26</v>
      </c>
      <c r="K43" s="64">
        <v>286.17</v>
      </c>
      <c r="L43" s="64">
        <v>24.78</v>
      </c>
      <c r="M43" s="64">
        <v>98.07</v>
      </c>
      <c r="N43" s="64">
        <v>312.39999999999998</v>
      </c>
      <c r="O43" s="64">
        <v>0</v>
      </c>
      <c r="P43" s="64">
        <v>0.23</v>
      </c>
      <c r="Q43" s="64">
        <v>9.0299999999999994</v>
      </c>
      <c r="R43" s="198"/>
      <c r="S43" s="198"/>
      <c r="T43" s="198"/>
      <c r="U43" s="198"/>
    </row>
    <row r="44" spans="1:21" s="12" customFormat="1" x14ac:dyDescent="0.25">
      <c r="A44" s="213" t="s">
        <v>2871</v>
      </c>
      <c r="B44" s="64">
        <v>7.63</v>
      </c>
      <c r="C44" s="64">
        <v>11.51</v>
      </c>
      <c r="D44" s="64">
        <v>12.14</v>
      </c>
      <c r="E44" s="64">
        <v>4.41</v>
      </c>
      <c r="F44" s="64">
        <v>3.85</v>
      </c>
      <c r="G44" s="64">
        <v>12.62</v>
      </c>
      <c r="H44" s="64">
        <v>0.68</v>
      </c>
      <c r="I44" s="64">
        <v>0.71</v>
      </c>
      <c r="J44" s="64">
        <v>0.22</v>
      </c>
      <c r="K44" s="64">
        <v>299.33</v>
      </c>
      <c r="L44" s="64">
        <v>25.1</v>
      </c>
      <c r="M44" s="64">
        <v>98.04</v>
      </c>
      <c r="N44" s="64">
        <v>278.2</v>
      </c>
      <c r="O44" s="64">
        <v>0</v>
      </c>
      <c r="P44" s="64">
        <v>0.23</v>
      </c>
      <c r="Q44" s="64">
        <v>9.02</v>
      </c>
      <c r="R44" s="198"/>
      <c r="S44" s="198"/>
      <c r="T44" s="198"/>
      <c r="U44" s="198"/>
    </row>
    <row r="45" spans="1:21" s="12" customFormat="1" x14ac:dyDescent="0.25">
      <c r="A45" s="213" t="s">
        <v>2872</v>
      </c>
      <c r="B45" s="64">
        <v>7.42</v>
      </c>
      <c r="C45" s="64">
        <v>11.94</v>
      </c>
      <c r="D45" s="64">
        <v>12.19</v>
      </c>
      <c r="E45" s="64">
        <v>4.54</v>
      </c>
      <c r="F45" s="64">
        <v>3.71</v>
      </c>
      <c r="G45" s="64">
        <v>13.67</v>
      </c>
      <c r="H45" s="211" t="s">
        <v>42</v>
      </c>
      <c r="I45" s="64">
        <v>0.73</v>
      </c>
      <c r="J45" s="64">
        <v>0.25</v>
      </c>
      <c r="K45" s="64">
        <v>288.95999999999998</v>
      </c>
      <c r="L45" s="64">
        <v>25.12</v>
      </c>
      <c r="M45" s="64">
        <v>98.03</v>
      </c>
      <c r="N45" s="64">
        <v>216.4</v>
      </c>
      <c r="O45" s="64">
        <v>0</v>
      </c>
      <c r="P45" s="64">
        <v>0.23</v>
      </c>
      <c r="Q45" s="64">
        <v>9.01</v>
      </c>
      <c r="R45" s="198"/>
      <c r="S45" s="198"/>
      <c r="T45" s="198"/>
      <c r="U45" s="198"/>
    </row>
    <row r="46" spans="1:21" s="12" customFormat="1" x14ac:dyDescent="0.25">
      <c r="A46" s="213" t="s">
        <v>2873</v>
      </c>
      <c r="B46" s="64">
        <v>7.42</v>
      </c>
      <c r="C46" s="64">
        <v>12.67</v>
      </c>
      <c r="D46" s="64">
        <v>12.57</v>
      </c>
      <c r="E46" s="64">
        <v>4.28</v>
      </c>
      <c r="F46" s="64">
        <v>4.24</v>
      </c>
      <c r="G46" s="64">
        <v>17.12</v>
      </c>
      <c r="H46" s="211" t="s">
        <v>42</v>
      </c>
      <c r="I46" s="64">
        <v>0.73</v>
      </c>
      <c r="J46" s="64">
        <v>0.25</v>
      </c>
      <c r="K46" s="64">
        <v>291.48</v>
      </c>
      <c r="L46" s="64">
        <v>25.23</v>
      </c>
      <c r="M46" s="64">
        <v>98.02</v>
      </c>
      <c r="N46" s="64">
        <v>233.9</v>
      </c>
      <c r="O46" s="64">
        <v>0</v>
      </c>
      <c r="P46" s="64">
        <v>0.26</v>
      </c>
      <c r="Q46" s="64">
        <v>8.99</v>
      </c>
      <c r="R46" s="198"/>
      <c r="S46" s="198"/>
      <c r="T46" s="198"/>
      <c r="U46" s="198"/>
    </row>
    <row r="47" spans="1:21" s="12" customFormat="1" x14ac:dyDescent="0.25">
      <c r="A47" s="213" t="s">
        <v>2874</v>
      </c>
      <c r="B47" s="64">
        <v>7.13</v>
      </c>
      <c r="C47" s="64">
        <v>13.08</v>
      </c>
      <c r="D47" s="64">
        <v>12.55</v>
      </c>
      <c r="E47" s="64">
        <v>4.45</v>
      </c>
      <c r="F47" s="64">
        <v>3.48</v>
      </c>
      <c r="G47" s="64">
        <v>17.12</v>
      </c>
      <c r="H47" s="211" t="s">
        <v>42</v>
      </c>
      <c r="I47" s="64">
        <v>0.72</v>
      </c>
      <c r="J47" s="64">
        <v>0.28000000000000003</v>
      </c>
      <c r="K47" s="64">
        <v>285.24</v>
      </c>
      <c r="L47" s="64">
        <v>25.19</v>
      </c>
      <c r="M47" s="64">
        <v>97.99</v>
      </c>
      <c r="N47" s="64">
        <v>229.4</v>
      </c>
      <c r="O47" s="64">
        <v>0</v>
      </c>
      <c r="P47" s="64">
        <v>0.27</v>
      </c>
      <c r="Q47" s="64">
        <v>9</v>
      </c>
      <c r="R47" s="198"/>
      <c r="S47" s="198"/>
      <c r="T47" s="198"/>
      <c r="U47" s="198"/>
    </row>
    <row r="48" spans="1:21" s="12" customFormat="1" x14ac:dyDescent="0.25">
      <c r="A48" s="213" t="s">
        <v>2875</v>
      </c>
      <c r="B48" s="64">
        <v>6.91</v>
      </c>
      <c r="C48" s="64">
        <v>13.23</v>
      </c>
      <c r="D48" s="64">
        <v>12.45</v>
      </c>
      <c r="E48" s="64">
        <v>4.4000000000000004</v>
      </c>
      <c r="F48" s="64">
        <v>3.47</v>
      </c>
      <c r="G48" s="64">
        <v>17.12</v>
      </c>
      <c r="H48" s="211" t="s">
        <v>42</v>
      </c>
      <c r="I48" s="64">
        <v>0.74</v>
      </c>
      <c r="J48" s="64">
        <v>0.27</v>
      </c>
      <c r="K48" s="64">
        <v>292.17</v>
      </c>
      <c r="L48" s="64">
        <v>25.19</v>
      </c>
      <c r="M48" s="64">
        <v>97.85</v>
      </c>
      <c r="N48" s="64">
        <v>184.9</v>
      </c>
      <c r="O48" s="64">
        <v>0</v>
      </c>
      <c r="P48" s="64">
        <v>0.26</v>
      </c>
      <c r="Q48" s="64">
        <v>9</v>
      </c>
      <c r="R48" s="198"/>
      <c r="S48" s="198"/>
      <c r="T48" s="198"/>
      <c r="U48" s="198"/>
    </row>
    <row r="49" spans="1:21" s="12" customFormat="1" x14ac:dyDescent="0.25">
      <c r="A49" s="213" t="s">
        <v>2876</v>
      </c>
      <c r="B49" s="64">
        <v>6.62</v>
      </c>
      <c r="C49" s="64">
        <v>13.66</v>
      </c>
      <c r="D49" s="64">
        <v>12.44</v>
      </c>
      <c r="E49" s="64">
        <v>4.34</v>
      </c>
      <c r="F49" s="64">
        <v>4.46</v>
      </c>
      <c r="G49" s="64">
        <v>16.25</v>
      </c>
      <c r="H49" s="211" t="s">
        <v>42</v>
      </c>
      <c r="I49" s="64">
        <v>0.76</v>
      </c>
      <c r="J49" s="64">
        <v>0.23</v>
      </c>
      <c r="K49" s="64">
        <v>288.25</v>
      </c>
      <c r="L49" s="64">
        <v>25.09</v>
      </c>
      <c r="M49" s="64">
        <v>97.89</v>
      </c>
      <c r="N49" s="64">
        <v>179.3</v>
      </c>
      <c r="O49" s="64">
        <v>0</v>
      </c>
      <c r="P49" s="64">
        <v>0.28000000000000003</v>
      </c>
      <c r="Q49" s="64">
        <v>8.99</v>
      </c>
      <c r="R49" s="198"/>
      <c r="S49" s="198"/>
      <c r="T49" s="198"/>
      <c r="U49" s="198"/>
    </row>
    <row r="50" spans="1:21" s="12" customFormat="1" x14ac:dyDescent="0.25">
      <c r="A50" s="213" t="s">
        <v>2877</v>
      </c>
      <c r="B50" s="64">
        <v>6.44</v>
      </c>
      <c r="C50" s="64">
        <v>13.81</v>
      </c>
      <c r="D50" s="64">
        <v>12.38</v>
      </c>
      <c r="E50" s="64">
        <v>4.01</v>
      </c>
      <c r="F50" s="64">
        <v>3.71</v>
      </c>
      <c r="G50" s="64">
        <v>13.41</v>
      </c>
      <c r="H50" s="211" t="s">
        <v>42</v>
      </c>
      <c r="I50" s="64">
        <v>0.77</v>
      </c>
      <c r="J50" s="64">
        <v>0.22</v>
      </c>
      <c r="K50" s="64">
        <v>297.08</v>
      </c>
      <c r="L50" s="64">
        <v>24.99</v>
      </c>
      <c r="M50" s="64">
        <v>97.79</v>
      </c>
      <c r="N50" s="64">
        <v>197.8</v>
      </c>
      <c r="O50" s="64">
        <v>0</v>
      </c>
      <c r="P50" s="64">
        <v>0.28999999999999998</v>
      </c>
      <c r="Q50" s="64">
        <v>8.99</v>
      </c>
      <c r="R50" s="198"/>
      <c r="S50" s="198"/>
      <c r="T50" s="198"/>
      <c r="U50" s="198"/>
    </row>
    <row r="51" spans="1:21" s="12" customFormat="1" x14ac:dyDescent="0.25">
      <c r="A51" s="213" t="s">
        <v>2878</v>
      </c>
      <c r="B51" s="64">
        <v>6.35</v>
      </c>
      <c r="C51" s="64">
        <v>14.08</v>
      </c>
      <c r="D51" s="64">
        <v>12.45</v>
      </c>
      <c r="E51" s="64">
        <v>4.49</v>
      </c>
      <c r="F51" s="64">
        <v>3.9</v>
      </c>
      <c r="G51" s="64">
        <v>13.41</v>
      </c>
      <c r="H51" s="211" t="s">
        <v>42</v>
      </c>
      <c r="I51" s="64">
        <v>0.79</v>
      </c>
      <c r="J51" s="64">
        <v>0.21</v>
      </c>
      <c r="K51" s="64">
        <v>290.56</v>
      </c>
      <c r="L51" s="64">
        <v>25.43</v>
      </c>
      <c r="M51" s="64">
        <v>96.84</v>
      </c>
      <c r="N51" s="64">
        <v>228.8</v>
      </c>
      <c r="O51" s="64">
        <v>0</v>
      </c>
      <c r="P51" s="64">
        <v>0.3</v>
      </c>
      <c r="Q51" s="64">
        <v>9</v>
      </c>
      <c r="R51" s="198"/>
      <c r="S51" s="198"/>
      <c r="T51" s="198"/>
      <c r="U51" s="198"/>
    </row>
    <row r="52" spans="1:21" s="12" customFormat="1" x14ac:dyDescent="0.25">
      <c r="A52" s="213" t="s">
        <v>2879</v>
      </c>
      <c r="B52" s="64">
        <v>6.02</v>
      </c>
      <c r="C52" s="64">
        <v>15.46</v>
      </c>
      <c r="D52" s="64">
        <v>12.9</v>
      </c>
      <c r="E52" s="64">
        <v>4.4800000000000004</v>
      </c>
      <c r="F52" s="64">
        <v>4.5</v>
      </c>
      <c r="G52" s="64">
        <v>13.41</v>
      </c>
      <c r="H52" s="211" t="s">
        <v>42</v>
      </c>
      <c r="I52" s="64">
        <v>0.8</v>
      </c>
      <c r="J52" s="64">
        <v>0.28000000000000003</v>
      </c>
      <c r="K52" s="64">
        <v>292.33999999999997</v>
      </c>
      <c r="L52" s="64">
        <v>25.39</v>
      </c>
      <c r="M52" s="64">
        <v>97.2</v>
      </c>
      <c r="N52" s="64">
        <v>212.7</v>
      </c>
      <c r="O52" s="64">
        <v>0</v>
      </c>
      <c r="P52" s="64">
        <v>0.33</v>
      </c>
      <c r="Q52" s="64">
        <v>9.01</v>
      </c>
      <c r="R52" s="198"/>
      <c r="S52" s="198"/>
      <c r="T52" s="198"/>
      <c r="U52" s="198"/>
    </row>
    <row r="53" spans="1:21" s="12" customFormat="1" x14ac:dyDescent="0.25">
      <c r="A53" s="213" t="s">
        <v>2880</v>
      </c>
      <c r="B53" s="64">
        <v>5.82</v>
      </c>
      <c r="C53" s="64">
        <v>16.510000000000002</v>
      </c>
      <c r="D53" s="64">
        <v>13.29</v>
      </c>
      <c r="E53" s="64">
        <v>4.24</v>
      </c>
      <c r="F53" s="64">
        <v>4.53</v>
      </c>
      <c r="G53" s="64">
        <v>14.82</v>
      </c>
      <c r="H53" s="211" t="s">
        <v>42</v>
      </c>
      <c r="I53" s="64">
        <v>0.79</v>
      </c>
      <c r="J53" s="64">
        <v>0.25</v>
      </c>
      <c r="K53" s="64">
        <v>284.97000000000003</v>
      </c>
      <c r="L53" s="64">
        <v>26.1</v>
      </c>
      <c r="M53" s="64">
        <v>93</v>
      </c>
      <c r="N53" s="64">
        <v>312.2</v>
      </c>
      <c r="O53" s="64">
        <v>0</v>
      </c>
      <c r="P53" s="64">
        <v>0.32</v>
      </c>
      <c r="Q53" s="64">
        <v>9.01</v>
      </c>
      <c r="R53" s="198"/>
      <c r="S53" s="198"/>
      <c r="T53" s="198"/>
      <c r="U53" s="198"/>
    </row>
    <row r="54" spans="1:21" s="12" customFormat="1" x14ac:dyDescent="0.25">
      <c r="A54" s="213" t="s">
        <v>2881</v>
      </c>
      <c r="B54" s="64">
        <v>7.07</v>
      </c>
      <c r="C54" s="64">
        <v>17.28</v>
      </c>
      <c r="D54" s="64">
        <v>14.7</v>
      </c>
      <c r="E54" s="64">
        <v>4.3</v>
      </c>
      <c r="F54" s="64">
        <v>4.38</v>
      </c>
      <c r="G54" s="64">
        <v>19.18</v>
      </c>
      <c r="H54" s="211" t="s">
        <v>42</v>
      </c>
      <c r="I54" s="64">
        <v>0.78</v>
      </c>
      <c r="J54" s="64">
        <v>0.27</v>
      </c>
      <c r="K54" s="64">
        <v>294.16000000000003</v>
      </c>
      <c r="L54" s="64">
        <v>26.02</v>
      </c>
      <c r="M54" s="64">
        <v>93.02</v>
      </c>
      <c r="N54" s="64">
        <v>239.7</v>
      </c>
      <c r="O54" s="64">
        <v>0</v>
      </c>
      <c r="P54" s="64">
        <v>0.33</v>
      </c>
      <c r="Q54" s="64">
        <v>9.02</v>
      </c>
      <c r="R54" s="198"/>
      <c r="S54" s="198"/>
      <c r="T54" s="198"/>
      <c r="U54" s="198"/>
    </row>
    <row r="55" spans="1:21" s="12" customFormat="1" x14ac:dyDescent="0.25">
      <c r="A55" s="213" t="s">
        <v>2882</v>
      </c>
      <c r="B55" s="64">
        <v>6.44</v>
      </c>
      <c r="C55" s="64">
        <v>18.02</v>
      </c>
      <c r="D55" s="64">
        <v>14.58</v>
      </c>
      <c r="E55" s="64">
        <v>4.55</v>
      </c>
      <c r="F55" s="64">
        <v>4.9400000000000004</v>
      </c>
      <c r="G55" s="64">
        <v>19.18</v>
      </c>
      <c r="H55" s="211" t="s">
        <v>42</v>
      </c>
      <c r="I55" s="64">
        <v>0.8</v>
      </c>
      <c r="J55" s="64">
        <v>0.26</v>
      </c>
      <c r="K55" s="64">
        <v>289.77999999999997</v>
      </c>
      <c r="L55" s="64">
        <v>25.85</v>
      </c>
      <c r="M55" s="64">
        <v>94.07</v>
      </c>
      <c r="N55" s="64">
        <v>261.3</v>
      </c>
      <c r="O55" s="64">
        <v>0</v>
      </c>
      <c r="P55" s="64">
        <v>0.32</v>
      </c>
      <c r="Q55" s="64">
        <v>9.02</v>
      </c>
      <c r="R55" s="198"/>
      <c r="S55" s="198"/>
      <c r="T55" s="198"/>
      <c r="U55" s="198"/>
    </row>
    <row r="56" spans="1:21" s="12" customFormat="1" x14ac:dyDescent="0.25">
      <c r="A56" s="213" t="s">
        <v>2883</v>
      </c>
      <c r="B56" s="64">
        <v>5.44</v>
      </c>
      <c r="C56" s="64">
        <v>18.66</v>
      </c>
      <c r="D56" s="64">
        <v>14.11</v>
      </c>
      <c r="E56" s="64">
        <v>4.41</v>
      </c>
      <c r="F56" s="64">
        <v>4.99</v>
      </c>
      <c r="G56" s="64">
        <v>19.18</v>
      </c>
      <c r="H56" s="211" t="s">
        <v>42</v>
      </c>
      <c r="I56" s="64">
        <v>0.82</v>
      </c>
      <c r="J56" s="64">
        <v>0.26</v>
      </c>
      <c r="K56" s="64">
        <v>279.87</v>
      </c>
      <c r="L56" s="64">
        <v>25.85</v>
      </c>
      <c r="M56" s="64">
        <v>93.05</v>
      </c>
      <c r="N56" s="64">
        <v>289.39999999999998</v>
      </c>
      <c r="O56" s="64">
        <v>0</v>
      </c>
      <c r="P56" s="64">
        <v>0.31</v>
      </c>
      <c r="Q56" s="64">
        <v>9.0399999999999991</v>
      </c>
      <c r="R56" s="198"/>
      <c r="S56" s="198"/>
      <c r="T56" s="198"/>
      <c r="U56" s="198"/>
    </row>
    <row r="57" spans="1:21" s="12" customFormat="1" x14ac:dyDescent="0.25">
      <c r="A57" s="213" t="s">
        <v>2884</v>
      </c>
      <c r="B57" s="64">
        <v>4.82</v>
      </c>
      <c r="C57" s="64">
        <v>17.87</v>
      </c>
      <c r="D57" s="64">
        <v>13.2</v>
      </c>
      <c r="E57" s="64">
        <v>4.63</v>
      </c>
      <c r="F57" s="64">
        <v>4.84</v>
      </c>
      <c r="G57" s="64">
        <v>19.43</v>
      </c>
      <c r="H57" s="211" t="s">
        <v>42</v>
      </c>
      <c r="I57" s="64">
        <v>0.84</v>
      </c>
      <c r="J57" s="64">
        <v>0.24</v>
      </c>
      <c r="K57" s="64">
        <v>295.43</v>
      </c>
      <c r="L57" s="64">
        <v>26.34</v>
      </c>
      <c r="M57" s="64">
        <v>91.24</v>
      </c>
      <c r="N57" s="64">
        <v>385.3</v>
      </c>
      <c r="O57" s="64">
        <v>0</v>
      </c>
      <c r="P57" s="64">
        <v>0.28999999999999998</v>
      </c>
      <c r="Q57" s="64">
        <v>9.0299999999999994</v>
      </c>
      <c r="R57" s="198"/>
      <c r="S57" s="198"/>
      <c r="T57" s="198"/>
      <c r="U57" s="198"/>
    </row>
    <row r="58" spans="1:21" s="12" customFormat="1" x14ac:dyDescent="0.25">
      <c r="A58" s="213" t="s">
        <v>2885</v>
      </c>
      <c r="B58" s="64">
        <v>4.43</v>
      </c>
      <c r="C58" s="64">
        <v>17.16</v>
      </c>
      <c r="D58" s="64">
        <v>12.52</v>
      </c>
      <c r="E58" s="64">
        <v>4.37</v>
      </c>
      <c r="F58" s="64">
        <v>5.12</v>
      </c>
      <c r="G58" s="64">
        <v>20.21</v>
      </c>
      <c r="H58" s="211" t="s">
        <v>42</v>
      </c>
      <c r="I58" s="64">
        <v>0.83</v>
      </c>
      <c r="J58" s="64">
        <v>0.27</v>
      </c>
      <c r="K58" s="64">
        <v>296.24</v>
      </c>
      <c r="L58" s="64">
        <v>26.33</v>
      </c>
      <c r="M58" s="64">
        <v>90.54</v>
      </c>
      <c r="N58" s="64">
        <v>345.9</v>
      </c>
      <c r="O58" s="64">
        <v>0</v>
      </c>
      <c r="P58" s="64">
        <v>0.28000000000000003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3" t="s">
        <v>2886</v>
      </c>
      <c r="B59" s="64">
        <v>4.3600000000000003</v>
      </c>
      <c r="C59" s="64">
        <v>16.690000000000001</v>
      </c>
      <c r="D59" s="64">
        <v>12.22</v>
      </c>
      <c r="E59" s="64">
        <v>4.38</v>
      </c>
      <c r="F59" s="64">
        <v>4.82</v>
      </c>
      <c r="G59" s="64">
        <v>20.21</v>
      </c>
      <c r="H59" s="211" t="s">
        <v>42</v>
      </c>
      <c r="I59" s="64">
        <v>0.8</v>
      </c>
      <c r="J59" s="64">
        <v>0.25</v>
      </c>
      <c r="K59" s="64">
        <v>289.33999999999997</v>
      </c>
      <c r="L59" s="64">
        <v>26.58</v>
      </c>
      <c r="M59" s="64">
        <v>90.43</v>
      </c>
      <c r="N59" s="64">
        <v>270.60000000000002</v>
      </c>
      <c r="O59" s="64">
        <v>0</v>
      </c>
      <c r="P59" s="64">
        <v>0.27</v>
      </c>
      <c r="Q59" s="64">
        <v>8.99</v>
      </c>
      <c r="R59" s="198"/>
      <c r="S59" s="198"/>
      <c r="T59" s="198"/>
      <c r="U59" s="198"/>
    </row>
    <row r="60" spans="1:21" s="12" customFormat="1" x14ac:dyDescent="0.25">
      <c r="A60" s="213" t="s">
        <v>2887</v>
      </c>
      <c r="B60" s="64">
        <v>4.33</v>
      </c>
      <c r="C60" s="64">
        <v>16.36</v>
      </c>
      <c r="D60" s="64">
        <v>12.02</v>
      </c>
      <c r="E60" s="64">
        <v>4.34</v>
      </c>
      <c r="F60" s="64">
        <v>4.9000000000000004</v>
      </c>
      <c r="G60" s="64">
        <v>20.21</v>
      </c>
      <c r="H60" s="211" t="s">
        <v>42</v>
      </c>
      <c r="I60" s="64">
        <v>0.73</v>
      </c>
      <c r="J60" s="64">
        <v>0.24</v>
      </c>
      <c r="K60" s="64">
        <v>298.97000000000003</v>
      </c>
      <c r="L60" s="64">
        <v>26.06</v>
      </c>
      <c r="M60" s="64">
        <v>92.08</v>
      </c>
      <c r="N60" s="64">
        <v>195.9</v>
      </c>
      <c r="O60" s="64">
        <v>0</v>
      </c>
      <c r="P60" s="64">
        <v>0.27</v>
      </c>
      <c r="Q60" s="64">
        <v>8.98</v>
      </c>
      <c r="R60" s="198"/>
      <c r="S60" s="198"/>
      <c r="T60" s="198"/>
      <c r="U60" s="198"/>
    </row>
    <row r="61" spans="1:21" s="12" customFormat="1" x14ac:dyDescent="0.25">
      <c r="A61" s="213" t="s">
        <v>2888</v>
      </c>
      <c r="B61" s="64">
        <v>4.2699999999999996</v>
      </c>
      <c r="C61" s="64">
        <v>16.22</v>
      </c>
      <c r="D61" s="64">
        <v>11.9</v>
      </c>
      <c r="E61" s="64">
        <v>4.51</v>
      </c>
      <c r="F61" s="64">
        <v>4.6399999999999997</v>
      </c>
      <c r="G61" s="64">
        <v>24.89</v>
      </c>
      <c r="H61" s="211" t="s">
        <v>42</v>
      </c>
      <c r="I61" s="64">
        <v>0.69</v>
      </c>
      <c r="J61" s="64">
        <v>0.23</v>
      </c>
      <c r="K61" s="64">
        <v>285.47000000000003</v>
      </c>
      <c r="L61" s="64">
        <v>25.79</v>
      </c>
      <c r="M61" s="64">
        <v>94.11</v>
      </c>
      <c r="N61" s="64">
        <v>157.5</v>
      </c>
      <c r="O61" s="64">
        <v>0</v>
      </c>
      <c r="P61" s="64">
        <v>0.23</v>
      </c>
      <c r="Q61" s="64">
        <v>8.9600000000000009</v>
      </c>
      <c r="R61" s="198"/>
      <c r="S61" s="198"/>
      <c r="T61" s="198"/>
      <c r="U61" s="198"/>
    </row>
    <row r="62" spans="1:21" s="12" customFormat="1" x14ac:dyDescent="0.25">
      <c r="A62" s="213" t="s">
        <v>2889</v>
      </c>
      <c r="B62" s="64">
        <v>4.1500000000000004</v>
      </c>
      <c r="C62" s="64">
        <v>16</v>
      </c>
      <c r="D62" s="64">
        <v>11.69</v>
      </c>
      <c r="E62" s="64">
        <v>4.03</v>
      </c>
      <c r="F62" s="64">
        <v>5.68</v>
      </c>
      <c r="G62" s="64">
        <v>39.39</v>
      </c>
      <c r="H62" s="211" t="s">
        <v>42</v>
      </c>
      <c r="I62" s="64">
        <v>0.65</v>
      </c>
      <c r="J62" s="64">
        <v>0.2</v>
      </c>
      <c r="K62" s="64">
        <v>286.23</v>
      </c>
      <c r="L62" s="64">
        <v>25.85</v>
      </c>
      <c r="M62" s="64">
        <v>94.07</v>
      </c>
      <c r="N62" s="64">
        <v>185.1</v>
      </c>
      <c r="O62" s="64">
        <v>0</v>
      </c>
      <c r="P62" s="64">
        <v>0.25</v>
      </c>
      <c r="Q62" s="64">
        <v>8.94</v>
      </c>
      <c r="R62" s="198"/>
      <c r="S62" s="198"/>
      <c r="T62" s="198"/>
      <c r="U62" s="198"/>
    </row>
    <row r="63" spans="1:21" s="12" customFormat="1" x14ac:dyDescent="0.25">
      <c r="A63" s="213" t="s">
        <v>2890</v>
      </c>
      <c r="B63" s="64">
        <v>4.1900000000000004</v>
      </c>
      <c r="C63" s="64">
        <v>16.23</v>
      </c>
      <c r="D63" s="64">
        <v>11.84</v>
      </c>
      <c r="E63" s="64">
        <v>4.87</v>
      </c>
      <c r="F63" s="64">
        <v>5.29</v>
      </c>
      <c r="G63" s="64">
        <v>39.39</v>
      </c>
      <c r="H63" s="211" t="s">
        <v>42</v>
      </c>
      <c r="I63" s="64">
        <v>0.64</v>
      </c>
      <c r="J63" s="64">
        <v>0.27</v>
      </c>
      <c r="K63" s="64">
        <v>285.42</v>
      </c>
      <c r="L63" s="64">
        <v>25.86</v>
      </c>
      <c r="M63" s="64">
        <v>93.96</v>
      </c>
      <c r="N63" s="64">
        <v>197.2</v>
      </c>
      <c r="O63" s="64">
        <v>0</v>
      </c>
      <c r="P63" s="64">
        <v>0.25</v>
      </c>
      <c r="Q63" s="64">
        <v>8.93</v>
      </c>
      <c r="R63" s="198"/>
      <c r="S63" s="198"/>
      <c r="T63" s="198"/>
      <c r="U63" s="198"/>
    </row>
    <row r="64" spans="1:21" s="12" customFormat="1" x14ac:dyDescent="0.25">
      <c r="A64" s="213" t="s">
        <v>2891</v>
      </c>
      <c r="B64" s="64">
        <v>4.38</v>
      </c>
      <c r="C64" s="64">
        <v>16.45</v>
      </c>
      <c r="D64" s="64">
        <v>12.1</v>
      </c>
      <c r="E64" s="64">
        <v>4.1399999999999997</v>
      </c>
      <c r="F64" s="64">
        <v>5.33</v>
      </c>
      <c r="G64" s="64">
        <v>39.39</v>
      </c>
      <c r="H64" s="211" t="s">
        <v>42</v>
      </c>
      <c r="I64" s="64">
        <v>0.65</v>
      </c>
      <c r="J64" s="64">
        <v>0.24</v>
      </c>
      <c r="K64" s="64">
        <v>289.02</v>
      </c>
      <c r="L64" s="64">
        <v>25.88</v>
      </c>
      <c r="M64" s="64">
        <v>93.83</v>
      </c>
      <c r="N64" s="64">
        <v>169.8</v>
      </c>
      <c r="O64" s="64">
        <v>0</v>
      </c>
      <c r="P64" s="64">
        <v>0.24</v>
      </c>
      <c r="Q64" s="64">
        <v>8.94</v>
      </c>
      <c r="R64" s="198"/>
      <c r="S64" s="198"/>
      <c r="T64" s="198"/>
      <c r="U64" s="198"/>
    </row>
    <row r="65" spans="1:21" s="12" customFormat="1" x14ac:dyDescent="0.25">
      <c r="A65" s="213" t="s">
        <v>2892</v>
      </c>
      <c r="B65" s="64">
        <v>5.31</v>
      </c>
      <c r="C65" s="64">
        <v>17.2</v>
      </c>
      <c r="D65" s="64">
        <v>13.25</v>
      </c>
      <c r="E65" s="64">
        <v>4.1100000000000003</v>
      </c>
      <c r="F65" s="64">
        <v>5.37</v>
      </c>
      <c r="G65" s="64">
        <v>35.72</v>
      </c>
      <c r="H65" s="211" t="s">
        <v>42</v>
      </c>
      <c r="I65" s="64">
        <v>0.64</v>
      </c>
      <c r="J65" s="64">
        <v>0.18</v>
      </c>
      <c r="K65" s="64">
        <v>298.27</v>
      </c>
      <c r="L65" s="64">
        <v>25.6</v>
      </c>
      <c r="M65" s="64">
        <v>96.31</v>
      </c>
      <c r="N65" s="64">
        <v>96.4</v>
      </c>
      <c r="O65" s="64">
        <v>0</v>
      </c>
      <c r="P65" s="64">
        <v>0.26</v>
      </c>
      <c r="Q65" s="64">
        <v>8.93</v>
      </c>
      <c r="R65" s="198"/>
      <c r="S65" s="198"/>
      <c r="T65" s="198"/>
      <c r="U65" s="198"/>
    </row>
    <row r="66" spans="1:21" s="12" customFormat="1" x14ac:dyDescent="0.25">
      <c r="A66" s="213" t="s">
        <v>2893</v>
      </c>
      <c r="B66" s="64">
        <v>5.45</v>
      </c>
      <c r="C66" s="64">
        <v>17.41</v>
      </c>
      <c r="D66" s="64">
        <v>13.47</v>
      </c>
      <c r="E66" s="64">
        <v>4.2300000000000004</v>
      </c>
      <c r="F66" s="64">
        <v>5.3</v>
      </c>
      <c r="G66" s="64">
        <v>23.67</v>
      </c>
      <c r="H66" s="211" t="s">
        <v>42</v>
      </c>
      <c r="I66" s="64">
        <v>0.61</v>
      </c>
      <c r="J66" s="64">
        <v>0.19</v>
      </c>
      <c r="K66" s="64">
        <v>303.22000000000003</v>
      </c>
      <c r="L66" s="64">
        <v>25.49</v>
      </c>
      <c r="M66" s="64">
        <v>97.23</v>
      </c>
      <c r="N66" s="64">
        <v>143.30000000000001</v>
      </c>
      <c r="O66" s="64">
        <v>0</v>
      </c>
      <c r="P66" s="64">
        <v>0.27</v>
      </c>
      <c r="Q66" s="64">
        <v>8.92</v>
      </c>
      <c r="R66" s="198"/>
      <c r="S66" s="198"/>
      <c r="T66" s="198"/>
      <c r="U66" s="198"/>
    </row>
    <row r="67" spans="1:21" s="12" customFormat="1" x14ac:dyDescent="0.25">
      <c r="A67" s="213" t="s">
        <v>2894</v>
      </c>
      <c r="B67" s="64">
        <v>4.71</v>
      </c>
      <c r="C67" s="64">
        <v>19.41</v>
      </c>
      <c r="D67" s="64">
        <v>13.92</v>
      </c>
      <c r="E67" s="64">
        <v>4.42</v>
      </c>
      <c r="F67" s="64">
        <v>10.02</v>
      </c>
      <c r="G67" s="64">
        <v>23.67</v>
      </c>
      <c r="H67" s="211" t="s">
        <v>42</v>
      </c>
      <c r="I67" s="64">
        <v>0.62</v>
      </c>
      <c r="J67" s="64">
        <v>0.26</v>
      </c>
      <c r="K67" s="64">
        <v>287.7</v>
      </c>
      <c r="L67" s="64">
        <v>25.6</v>
      </c>
      <c r="M67" s="64">
        <v>96.52</v>
      </c>
      <c r="N67" s="64">
        <v>113.3</v>
      </c>
      <c r="O67" s="64">
        <v>0</v>
      </c>
      <c r="P67" s="64">
        <v>0.31</v>
      </c>
      <c r="Q67" s="64">
        <v>8.94</v>
      </c>
      <c r="R67" s="198"/>
      <c r="S67" s="198"/>
      <c r="T67" s="198"/>
      <c r="U67" s="198"/>
    </row>
    <row r="68" spans="1:21" s="12" customFormat="1" x14ac:dyDescent="0.25">
      <c r="A68" s="213" t="s">
        <v>2895</v>
      </c>
      <c r="B68" s="64">
        <v>5.47</v>
      </c>
      <c r="C68" s="64">
        <v>21.78</v>
      </c>
      <c r="D68" s="64">
        <v>15.77</v>
      </c>
      <c r="E68" s="64">
        <v>4.66</v>
      </c>
      <c r="F68" s="64">
        <v>10.46</v>
      </c>
      <c r="G68" s="64">
        <v>23.67</v>
      </c>
      <c r="H68" s="211" t="s">
        <v>42</v>
      </c>
      <c r="I68" s="64">
        <v>0.59</v>
      </c>
      <c r="J68" s="64">
        <v>0.35</v>
      </c>
      <c r="K68" s="64">
        <v>297.27999999999997</v>
      </c>
      <c r="L68" s="64">
        <v>25.69</v>
      </c>
      <c r="M68" s="64">
        <v>97.07</v>
      </c>
      <c r="N68" s="64">
        <v>155.5</v>
      </c>
      <c r="O68" s="64">
        <v>0</v>
      </c>
      <c r="P68" s="64">
        <v>0.37</v>
      </c>
      <c r="Q68" s="64">
        <v>9.01</v>
      </c>
      <c r="R68" s="198"/>
      <c r="S68" s="198"/>
      <c r="T68" s="198"/>
      <c r="U68" s="198"/>
    </row>
    <row r="69" spans="1:21" s="12" customFormat="1" x14ac:dyDescent="0.25">
      <c r="A69" s="213" t="s">
        <v>2896</v>
      </c>
      <c r="B69" s="64">
        <v>6.39</v>
      </c>
      <c r="C69" s="64">
        <v>25.43</v>
      </c>
      <c r="D69" s="64">
        <v>18.41</v>
      </c>
      <c r="E69" s="64">
        <v>5.13</v>
      </c>
      <c r="F69" s="64">
        <v>8.94</v>
      </c>
      <c r="G69" s="64">
        <v>25.98</v>
      </c>
      <c r="H69" s="211" t="s">
        <v>42</v>
      </c>
      <c r="I69" s="64">
        <v>0.54</v>
      </c>
      <c r="J69" s="64">
        <v>0.41</v>
      </c>
      <c r="K69" s="64">
        <v>296.44</v>
      </c>
      <c r="L69" s="64">
        <v>25.63</v>
      </c>
      <c r="M69" s="64">
        <v>97.67</v>
      </c>
      <c r="N69" s="64">
        <v>187.9</v>
      </c>
      <c r="O69" s="64">
        <v>0</v>
      </c>
      <c r="P69" s="64">
        <v>0.4</v>
      </c>
      <c r="Q69" s="64">
        <v>9.09</v>
      </c>
      <c r="R69" s="198"/>
      <c r="S69" s="198"/>
      <c r="T69" s="198"/>
      <c r="U69" s="198"/>
    </row>
    <row r="70" spans="1:21" s="12" customFormat="1" x14ac:dyDescent="0.25">
      <c r="A70" s="213" t="s">
        <v>2897</v>
      </c>
      <c r="B70" s="64">
        <v>5.6</v>
      </c>
      <c r="C70" s="64">
        <v>25.49</v>
      </c>
      <c r="D70" s="64">
        <v>17.809999999999999</v>
      </c>
      <c r="E70" s="64">
        <v>4.96</v>
      </c>
      <c r="F70" s="64">
        <v>7.59</v>
      </c>
      <c r="G70" s="64">
        <v>33.119999999999997</v>
      </c>
      <c r="H70" s="211" t="s">
        <v>42</v>
      </c>
      <c r="I70" s="64">
        <v>0.59</v>
      </c>
      <c r="J70" s="64">
        <v>0.22</v>
      </c>
      <c r="K70" s="64">
        <v>302.86</v>
      </c>
      <c r="L70" s="64">
        <v>25.24</v>
      </c>
      <c r="M70" s="64">
        <v>98</v>
      </c>
      <c r="N70" s="64">
        <v>221.1</v>
      </c>
      <c r="O70" s="64">
        <v>0</v>
      </c>
      <c r="P70" s="64">
        <v>0.4</v>
      </c>
      <c r="Q70" s="64">
        <v>9.09</v>
      </c>
      <c r="R70" s="198"/>
      <c r="S70" s="198"/>
      <c r="T70" s="198"/>
      <c r="U70" s="198"/>
    </row>
    <row r="71" spans="1:21" s="12" customFormat="1" x14ac:dyDescent="0.25">
      <c r="A71" s="213" t="s">
        <v>2898</v>
      </c>
      <c r="B71" s="64">
        <v>7.36</v>
      </c>
      <c r="C71" s="64">
        <v>26.14</v>
      </c>
      <c r="D71" s="64">
        <v>19.559999999999999</v>
      </c>
      <c r="E71" s="64">
        <v>4.93</v>
      </c>
      <c r="F71" s="64">
        <v>5.44</v>
      </c>
      <c r="G71" s="64">
        <v>33.119999999999997</v>
      </c>
      <c r="H71" s="211" t="s">
        <v>42</v>
      </c>
      <c r="I71" s="64">
        <v>0.69</v>
      </c>
      <c r="J71" s="64">
        <v>0.26</v>
      </c>
      <c r="K71" s="64">
        <v>293.29000000000002</v>
      </c>
      <c r="L71" s="64">
        <v>25.26</v>
      </c>
      <c r="M71" s="64">
        <v>97.98</v>
      </c>
      <c r="N71" s="64">
        <v>130.19999999999999</v>
      </c>
      <c r="O71" s="64">
        <v>0</v>
      </c>
      <c r="P71" s="64">
        <v>0.42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3" t="s">
        <v>2899</v>
      </c>
      <c r="B72" s="64">
        <v>6.69</v>
      </c>
      <c r="C72" s="64">
        <v>23.98</v>
      </c>
      <c r="D72" s="64">
        <v>17.89</v>
      </c>
      <c r="E72" s="64">
        <v>4.28</v>
      </c>
      <c r="F72" s="64">
        <v>4.41</v>
      </c>
      <c r="G72" s="64">
        <v>33.119999999999997</v>
      </c>
      <c r="H72" s="211" t="s">
        <v>42</v>
      </c>
      <c r="I72" s="64">
        <v>0.71</v>
      </c>
      <c r="J72" s="64">
        <v>0.34</v>
      </c>
      <c r="K72" s="64">
        <v>293.12</v>
      </c>
      <c r="L72" s="64">
        <v>24.59</v>
      </c>
      <c r="M72" s="64">
        <v>98</v>
      </c>
      <c r="N72" s="64">
        <v>96.2</v>
      </c>
      <c r="O72" s="64">
        <v>0</v>
      </c>
      <c r="P72" s="64">
        <v>0.37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3" t="s">
        <v>2900</v>
      </c>
      <c r="B73" s="64">
        <v>6.11</v>
      </c>
      <c r="C73" s="64">
        <v>20.86</v>
      </c>
      <c r="D73" s="64">
        <v>15.79</v>
      </c>
      <c r="E73" s="64">
        <v>3.8</v>
      </c>
      <c r="F73" s="64">
        <v>5.22</v>
      </c>
      <c r="G73" s="64">
        <v>31.93</v>
      </c>
      <c r="H73" s="211" t="s">
        <v>42</v>
      </c>
      <c r="I73" s="64">
        <v>0.7</v>
      </c>
      <c r="J73" s="64">
        <v>0.18</v>
      </c>
      <c r="K73" s="64">
        <v>308.10000000000002</v>
      </c>
      <c r="L73" s="64">
        <v>24.16</v>
      </c>
      <c r="M73" s="64">
        <v>98.01</v>
      </c>
      <c r="N73" s="64">
        <v>88.9</v>
      </c>
      <c r="O73" s="64">
        <v>0</v>
      </c>
      <c r="P73" s="64">
        <v>0.33</v>
      </c>
      <c r="Q73" s="64">
        <v>9.08</v>
      </c>
      <c r="R73" s="198"/>
      <c r="S73" s="198"/>
      <c r="T73" s="198"/>
      <c r="U73" s="198"/>
    </row>
    <row r="74" spans="1:21" s="12" customFormat="1" x14ac:dyDescent="0.25">
      <c r="A74" s="213" t="s">
        <v>2901</v>
      </c>
      <c r="B74" s="64">
        <v>4.3899999999999997</v>
      </c>
      <c r="C74" s="64">
        <v>19.940000000000001</v>
      </c>
      <c r="D74" s="64">
        <v>13.94</v>
      </c>
      <c r="E74" s="64">
        <v>3.52</v>
      </c>
      <c r="F74" s="64">
        <v>5.66</v>
      </c>
      <c r="G74" s="64">
        <v>28.01</v>
      </c>
      <c r="H74" s="211" t="s">
        <v>42</v>
      </c>
      <c r="I74" s="64">
        <v>0.7</v>
      </c>
      <c r="J74" s="64">
        <v>0.15</v>
      </c>
      <c r="K74" s="64">
        <v>294.12</v>
      </c>
      <c r="L74" s="64">
        <v>23.91</v>
      </c>
      <c r="M74" s="64">
        <v>98.03</v>
      </c>
      <c r="N74" s="64">
        <v>82.9</v>
      </c>
      <c r="O74" s="64">
        <v>0</v>
      </c>
      <c r="P74" s="64">
        <v>0.27</v>
      </c>
      <c r="Q74" s="64">
        <v>9.01</v>
      </c>
      <c r="R74" s="198"/>
      <c r="S74" s="198"/>
      <c r="T74" s="198"/>
      <c r="U74" s="198"/>
    </row>
    <row r="75" spans="1:21" s="12" customFormat="1" x14ac:dyDescent="0.25">
      <c r="A75" s="213" t="s">
        <v>2902</v>
      </c>
      <c r="B75" s="64">
        <v>3.87</v>
      </c>
      <c r="C75" s="64">
        <v>19.45</v>
      </c>
      <c r="D75" s="64">
        <v>13.26</v>
      </c>
      <c r="E75" s="64">
        <v>3.46</v>
      </c>
      <c r="F75" s="64">
        <v>3.83</v>
      </c>
      <c r="G75" s="64">
        <v>28.01</v>
      </c>
      <c r="H75" s="211" t="s">
        <v>42</v>
      </c>
      <c r="I75" s="64">
        <v>0.6</v>
      </c>
      <c r="J75" s="64">
        <v>0.14000000000000001</v>
      </c>
      <c r="K75" s="64">
        <v>303.72000000000003</v>
      </c>
      <c r="L75" s="64">
        <v>23.81</v>
      </c>
      <c r="M75" s="64">
        <v>98.05</v>
      </c>
      <c r="N75" s="64">
        <v>82.9</v>
      </c>
      <c r="O75" s="64">
        <v>0</v>
      </c>
      <c r="P75" s="64">
        <v>0.26</v>
      </c>
      <c r="Q75" s="64">
        <v>8.9600000000000009</v>
      </c>
      <c r="R75" s="198"/>
      <c r="S75" s="198"/>
      <c r="T75" s="198"/>
      <c r="U75" s="198"/>
    </row>
    <row r="76" spans="1:21" s="12" customFormat="1" x14ac:dyDescent="0.25">
      <c r="A76" s="213" t="s">
        <v>2903</v>
      </c>
      <c r="B76" s="64">
        <v>4.18</v>
      </c>
      <c r="C76" s="64">
        <v>18.55</v>
      </c>
      <c r="D76" s="64">
        <v>13.04</v>
      </c>
      <c r="E76" s="64">
        <v>3.54</v>
      </c>
      <c r="F76" s="64">
        <v>3.66</v>
      </c>
      <c r="G76" s="64">
        <v>28.01</v>
      </c>
      <c r="H76" s="211" t="s">
        <v>42</v>
      </c>
      <c r="I76" s="64">
        <v>0.55000000000000004</v>
      </c>
      <c r="J76" s="64">
        <v>0.14000000000000001</v>
      </c>
      <c r="K76" s="64">
        <v>311.64999999999998</v>
      </c>
      <c r="L76" s="64">
        <v>23.86</v>
      </c>
      <c r="M76" s="64">
        <v>98.02</v>
      </c>
      <c r="N76" s="64">
        <v>80.400000000000006</v>
      </c>
      <c r="O76" s="64">
        <v>0</v>
      </c>
      <c r="P76" s="64">
        <v>0.28000000000000003</v>
      </c>
      <c r="Q76" s="64">
        <v>8.94</v>
      </c>
      <c r="R76" s="198"/>
      <c r="S76" s="198"/>
      <c r="T76" s="198"/>
      <c r="U76" s="198"/>
    </row>
    <row r="77" spans="1:21" s="12" customFormat="1" x14ac:dyDescent="0.25">
      <c r="A77" s="213" t="s">
        <v>2904</v>
      </c>
      <c r="B77" s="64">
        <v>5.79</v>
      </c>
      <c r="C77" s="64">
        <v>18.239999999999998</v>
      </c>
      <c r="D77" s="64">
        <v>14.17</v>
      </c>
      <c r="E77" s="64">
        <v>3.03</v>
      </c>
      <c r="F77" s="64">
        <v>5.18</v>
      </c>
      <c r="G77" s="64">
        <v>30</v>
      </c>
      <c r="H77" s="211" t="s">
        <v>42</v>
      </c>
      <c r="I77" s="64">
        <v>0.56999999999999995</v>
      </c>
      <c r="J77" s="64">
        <v>0.13</v>
      </c>
      <c r="K77" s="64">
        <v>295.72000000000003</v>
      </c>
      <c r="L77" s="64">
        <v>23.94</v>
      </c>
      <c r="M77" s="64">
        <v>98.05</v>
      </c>
      <c r="N77" s="64">
        <v>62</v>
      </c>
      <c r="O77" s="64">
        <v>0</v>
      </c>
      <c r="P77" s="64">
        <v>0.28999999999999998</v>
      </c>
      <c r="Q77" s="64">
        <v>8.94</v>
      </c>
      <c r="R77" s="198"/>
      <c r="S77" s="198"/>
      <c r="T77" s="198"/>
      <c r="U77" s="198"/>
    </row>
    <row r="78" spans="1:21" s="12" customFormat="1" x14ac:dyDescent="0.25">
      <c r="A78" s="213" t="s">
        <v>2905</v>
      </c>
      <c r="B78" s="64">
        <v>5.47</v>
      </c>
      <c r="C78" s="64">
        <v>17.100000000000001</v>
      </c>
      <c r="D78" s="64">
        <v>13.32</v>
      </c>
      <c r="E78" s="64">
        <v>3.03</v>
      </c>
      <c r="F78" s="64">
        <v>4.32</v>
      </c>
      <c r="G78" s="64">
        <v>36.15</v>
      </c>
      <c r="H78" s="211" t="s">
        <v>42</v>
      </c>
      <c r="I78" s="64">
        <v>0.59</v>
      </c>
      <c r="J78" s="64">
        <v>0.14000000000000001</v>
      </c>
      <c r="K78" s="64">
        <v>300.97000000000003</v>
      </c>
      <c r="L78" s="64">
        <v>23.79</v>
      </c>
      <c r="M78" s="64">
        <v>98.07</v>
      </c>
      <c r="N78" s="64">
        <v>75.8</v>
      </c>
      <c r="O78" s="64">
        <v>0</v>
      </c>
      <c r="P78" s="64">
        <v>0.28000000000000003</v>
      </c>
      <c r="Q78" s="64">
        <v>8.9600000000000009</v>
      </c>
      <c r="R78" s="198"/>
      <c r="S78" s="198"/>
      <c r="T78" s="198"/>
      <c r="U78" s="198"/>
    </row>
    <row r="79" spans="1:21" s="12" customFormat="1" x14ac:dyDescent="0.25">
      <c r="A79" s="213" t="s">
        <v>2906</v>
      </c>
      <c r="B79" s="64">
        <v>5.48</v>
      </c>
      <c r="C79" s="64">
        <v>16</v>
      </c>
      <c r="D79" s="64">
        <v>12.75</v>
      </c>
      <c r="E79" s="64">
        <v>3.38</v>
      </c>
      <c r="F79" s="64">
        <v>3.33</v>
      </c>
      <c r="G79" s="64">
        <v>36.15</v>
      </c>
      <c r="H79" s="211" t="s">
        <v>42</v>
      </c>
      <c r="I79" s="64">
        <v>0.69</v>
      </c>
      <c r="J79" s="64">
        <v>0.13</v>
      </c>
      <c r="K79" s="64">
        <v>302.91000000000003</v>
      </c>
      <c r="L79" s="64">
        <v>23.86</v>
      </c>
      <c r="M79" s="64">
        <v>98.03</v>
      </c>
      <c r="N79" s="64">
        <v>70.2</v>
      </c>
      <c r="O79" s="64">
        <v>0</v>
      </c>
      <c r="P79" s="64">
        <v>0.28000000000000003</v>
      </c>
      <c r="Q79" s="64">
        <v>8.98</v>
      </c>
      <c r="R79" s="198"/>
      <c r="S79" s="198"/>
      <c r="T79" s="198"/>
      <c r="U79" s="198"/>
    </row>
    <row r="80" spans="1:21" s="12" customFormat="1" x14ac:dyDescent="0.25">
      <c r="A80" s="213" t="s">
        <v>2907</v>
      </c>
      <c r="B80" s="64">
        <v>5.5</v>
      </c>
      <c r="C80" s="64">
        <v>15.42</v>
      </c>
      <c r="D80" s="64">
        <v>12.47</v>
      </c>
      <c r="E80" s="64">
        <v>3.67</v>
      </c>
      <c r="F80" s="64">
        <v>4.41</v>
      </c>
      <c r="G80" s="64">
        <v>36.15</v>
      </c>
      <c r="H80" s="211" t="s">
        <v>42</v>
      </c>
      <c r="I80" s="64">
        <v>0.71</v>
      </c>
      <c r="J80" s="64">
        <v>0.17</v>
      </c>
      <c r="K80" s="64">
        <v>311.85000000000002</v>
      </c>
      <c r="L80" s="64">
        <v>23.87</v>
      </c>
      <c r="M80" s="64">
        <v>98.02</v>
      </c>
      <c r="N80" s="64">
        <v>61.9</v>
      </c>
      <c r="O80" s="64">
        <v>0</v>
      </c>
      <c r="P80" s="64">
        <v>0.28999999999999998</v>
      </c>
      <c r="Q80" s="64">
        <v>8.99</v>
      </c>
      <c r="R80" s="198"/>
      <c r="S80" s="198"/>
      <c r="T80" s="198"/>
      <c r="U80" s="198"/>
    </row>
    <row r="81" spans="1:26" s="12" customFormat="1" x14ac:dyDescent="0.25">
      <c r="A81" s="213" t="s">
        <v>2908</v>
      </c>
      <c r="B81" s="64">
        <v>5.47</v>
      </c>
      <c r="C81" s="64">
        <v>15.27</v>
      </c>
      <c r="D81" s="64">
        <v>12.36</v>
      </c>
      <c r="E81" s="64">
        <v>3.74</v>
      </c>
      <c r="F81" s="64">
        <v>4.49</v>
      </c>
      <c r="G81" s="64">
        <v>33.43</v>
      </c>
      <c r="H81" s="211" t="s">
        <v>42</v>
      </c>
      <c r="I81" s="64">
        <v>0.68</v>
      </c>
      <c r="J81" s="64">
        <v>0.13</v>
      </c>
      <c r="K81" s="64">
        <v>312.2</v>
      </c>
      <c r="L81" s="64">
        <v>23.81</v>
      </c>
      <c r="M81" s="64">
        <v>98.03</v>
      </c>
      <c r="N81" s="64">
        <v>59.4</v>
      </c>
      <c r="O81" s="64">
        <v>0</v>
      </c>
      <c r="P81" s="64">
        <v>0.3</v>
      </c>
      <c r="Q81" s="64">
        <v>9.01</v>
      </c>
      <c r="R81" s="198"/>
      <c r="S81" s="198"/>
      <c r="T81" s="198"/>
      <c r="U81" s="198"/>
    </row>
    <row r="82" spans="1:26" s="12" customFormat="1" x14ac:dyDescent="0.25">
      <c r="A82" s="213" t="s">
        <v>2909</v>
      </c>
      <c r="B82" s="64">
        <v>5.52</v>
      </c>
      <c r="C82" s="64">
        <v>15.17</v>
      </c>
      <c r="D82" s="64">
        <v>12.35</v>
      </c>
      <c r="E82" s="64">
        <v>3.45</v>
      </c>
      <c r="F82" s="64">
        <v>4.01</v>
      </c>
      <c r="G82" s="64">
        <v>25.04</v>
      </c>
      <c r="H82" s="211" t="s">
        <v>42</v>
      </c>
      <c r="I82" s="64">
        <v>0.69</v>
      </c>
      <c r="J82" s="64">
        <v>0.13</v>
      </c>
      <c r="K82" s="64">
        <v>314.02999999999997</v>
      </c>
      <c r="L82" s="64">
        <v>23.81</v>
      </c>
      <c r="M82" s="64">
        <v>98.03</v>
      </c>
      <c r="N82" s="64">
        <v>57</v>
      </c>
      <c r="O82" s="64">
        <v>0</v>
      </c>
      <c r="P82" s="64">
        <v>0.3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3" t="s">
        <v>2910</v>
      </c>
      <c r="B83" s="64">
        <v>5.86</v>
      </c>
      <c r="C83" s="64">
        <v>15.68</v>
      </c>
      <c r="D83" s="64">
        <v>12.89</v>
      </c>
      <c r="E83" s="64">
        <v>3.47</v>
      </c>
      <c r="F83" s="64">
        <v>3.07</v>
      </c>
      <c r="G83" s="64">
        <v>25.04</v>
      </c>
      <c r="H83" s="211" t="s">
        <v>42</v>
      </c>
      <c r="I83" s="64">
        <v>0.72</v>
      </c>
      <c r="J83" s="64">
        <v>0.14000000000000001</v>
      </c>
      <c r="K83" s="64">
        <v>306.92</v>
      </c>
      <c r="L83" s="64">
        <v>23.83</v>
      </c>
      <c r="M83" s="64">
        <v>98.03</v>
      </c>
      <c r="N83" s="64">
        <v>53.9</v>
      </c>
      <c r="O83" s="64">
        <v>0</v>
      </c>
      <c r="P83" s="64">
        <v>0.31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3" t="s">
        <v>2911</v>
      </c>
      <c r="B84" s="64">
        <v>6.15</v>
      </c>
      <c r="C84" s="64">
        <v>15.36</v>
      </c>
      <c r="D84" s="64">
        <v>12.95</v>
      </c>
      <c r="E84" s="64">
        <v>3.38</v>
      </c>
      <c r="F84" s="64">
        <v>4.2</v>
      </c>
      <c r="G84" s="64">
        <v>25.04</v>
      </c>
      <c r="H84" s="211" t="s">
        <v>42</v>
      </c>
      <c r="I84" s="64">
        <v>0.75</v>
      </c>
      <c r="J84" s="64">
        <v>0.13</v>
      </c>
      <c r="K84" s="64">
        <v>314.13</v>
      </c>
      <c r="L84" s="64">
        <v>23.85</v>
      </c>
      <c r="M84" s="64">
        <v>98.03</v>
      </c>
      <c r="N84" s="64">
        <v>53.5</v>
      </c>
      <c r="O84" s="64">
        <v>0</v>
      </c>
      <c r="P84" s="64">
        <v>0.3</v>
      </c>
      <c r="Q84" s="64">
        <v>9.0500000000000007</v>
      </c>
      <c r="R84" s="198"/>
      <c r="S84" s="198"/>
      <c r="T84" s="198"/>
      <c r="U84" s="198"/>
    </row>
    <row r="85" spans="1:26" s="12" customFormat="1" x14ac:dyDescent="0.25">
      <c r="A85" s="213" t="s">
        <v>2912</v>
      </c>
      <c r="B85" s="64">
        <v>5.95</v>
      </c>
      <c r="C85" s="64">
        <v>14.46</v>
      </c>
      <c r="D85" s="64">
        <v>12.33</v>
      </c>
      <c r="E85" s="64">
        <v>3.38</v>
      </c>
      <c r="F85" s="64">
        <v>4.0999999999999996</v>
      </c>
      <c r="G85" s="64">
        <v>25.13</v>
      </c>
      <c r="H85" s="211" t="s">
        <v>42</v>
      </c>
      <c r="I85" s="64">
        <v>0.77</v>
      </c>
      <c r="J85" s="64">
        <v>0.09</v>
      </c>
      <c r="K85" s="64">
        <v>301.17</v>
      </c>
      <c r="L85" s="64">
        <v>23.91</v>
      </c>
      <c r="M85" s="64">
        <v>98.03</v>
      </c>
      <c r="N85" s="64">
        <v>53.5</v>
      </c>
      <c r="O85" s="64">
        <v>0</v>
      </c>
      <c r="P85" s="64">
        <v>0.3</v>
      </c>
      <c r="Q85" s="64">
        <v>9.06</v>
      </c>
      <c r="R85" s="198"/>
      <c r="S85" s="198"/>
      <c r="T85" s="198"/>
      <c r="U85" s="198"/>
    </row>
    <row r="86" spans="1:26" s="12" customFormat="1" x14ac:dyDescent="0.25">
      <c r="A86" s="213" t="s">
        <v>2913</v>
      </c>
      <c r="B86" s="64">
        <v>6.3</v>
      </c>
      <c r="C86" s="64">
        <v>14.26</v>
      </c>
      <c r="D86" s="64">
        <v>12.5</v>
      </c>
      <c r="E86" s="64">
        <v>3.4</v>
      </c>
      <c r="F86" s="64">
        <v>3.31</v>
      </c>
      <c r="G86" s="64">
        <v>25.44</v>
      </c>
      <c r="H86" s="211" t="s">
        <v>42</v>
      </c>
      <c r="I86" s="64">
        <v>0.78</v>
      </c>
      <c r="J86" s="64">
        <v>7.0000000000000007E-2</v>
      </c>
      <c r="K86" s="64">
        <v>294.08</v>
      </c>
      <c r="L86" s="64">
        <v>23.92</v>
      </c>
      <c r="M86" s="64">
        <v>98.03</v>
      </c>
      <c r="N86" s="64">
        <v>53.5</v>
      </c>
      <c r="O86" s="64">
        <v>0</v>
      </c>
      <c r="P86" s="64">
        <v>0.31</v>
      </c>
      <c r="Q86" s="64">
        <v>9.06</v>
      </c>
      <c r="R86" s="198"/>
      <c r="S86" s="198"/>
      <c r="T86" s="198"/>
      <c r="U86" s="198"/>
    </row>
    <row r="87" spans="1:26" s="12" customFormat="1" x14ac:dyDescent="0.25">
      <c r="A87" s="213" t="s">
        <v>2914</v>
      </c>
      <c r="B87" s="64">
        <v>6.47</v>
      </c>
      <c r="C87" s="64">
        <v>13.94</v>
      </c>
      <c r="D87" s="64">
        <v>12.47</v>
      </c>
      <c r="E87" s="64">
        <v>3.67</v>
      </c>
      <c r="F87" s="64">
        <v>4.78</v>
      </c>
      <c r="G87" s="64">
        <v>25.44</v>
      </c>
      <c r="H87" s="211" t="s">
        <v>42</v>
      </c>
      <c r="I87" s="64">
        <v>0.86</v>
      </c>
      <c r="J87" s="64">
        <v>0.06</v>
      </c>
      <c r="K87" s="64">
        <v>289.83</v>
      </c>
      <c r="L87" s="64">
        <v>23.9</v>
      </c>
      <c r="M87" s="64">
        <v>98.03</v>
      </c>
      <c r="N87" s="64">
        <v>53.5</v>
      </c>
      <c r="O87" s="64">
        <v>0</v>
      </c>
      <c r="P87" s="64">
        <v>0.32</v>
      </c>
      <c r="Q87" s="64">
        <v>9.06</v>
      </c>
      <c r="R87" s="198"/>
      <c r="S87" s="198"/>
      <c r="T87" s="198"/>
      <c r="U87" s="198"/>
    </row>
    <row r="88" spans="1:26" s="12" customFormat="1" x14ac:dyDescent="0.25">
      <c r="A88" s="213" t="s">
        <v>2915</v>
      </c>
      <c r="B88" s="64">
        <v>6.5</v>
      </c>
      <c r="C88" s="64">
        <v>12.94</v>
      </c>
      <c r="D88" s="64">
        <v>11.98</v>
      </c>
      <c r="E88" s="64">
        <v>3.59</v>
      </c>
      <c r="F88" s="64">
        <v>4.1100000000000003</v>
      </c>
      <c r="G88" s="64">
        <v>25.44</v>
      </c>
      <c r="H88" s="211" t="s">
        <v>42</v>
      </c>
      <c r="I88" s="64">
        <v>0.93</v>
      </c>
      <c r="J88" s="64">
        <v>0.06</v>
      </c>
      <c r="K88" s="64">
        <v>311.52999999999997</v>
      </c>
      <c r="L88" s="64">
        <v>23.9</v>
      </c>
      <c r="M88" s="64">
        <v>98.03</v>
      </c>
      <c r="N88" s="64">
        <v>53.6</v>
      </c>
      <c r="O88" s="64">
        <v>0</v>
      </c>
      <c r="P88" s="64">
        <v>0.32</v>
      </c>
      <c r="Q88" s="64">
        <v>9.0500000000000007</v>
      </c>
      <c r="R88" s="198"/>
      <c r="S88" s="198"/>
      <c r="T88" s="198"/>
      <c r="U88" s="198"/>
    </row>
    <row r="89" spans="1:26" s="12" customFormat="1" x14ac:dyDescent="0.25">
      <c r="A89" s="213" t="s">
        <v>2916</v>
      </c>
      <c r="B89" s="64">
        <v>6.49</v>
      </c>
      <c r="C89" s="64">
        <v>12.52</v>
      </c>
      <c r="D89" s="64">
        <v>11.75</v>
      </c>
      <c r="E89" s="64">
        <v>3.88</v>
      </c>
      <c r="F89" s="64">
        <v>3.77</v>
      </c>
      <c r="G89" s="64">
        <v>24.23</v>
      </c>
      <c r="H89" s="211" t="s">
        <v>42</v>
      </c>
      <c r="I89" s="64">
        <v>0.85</v>
      </c>
      <c r="J89" s="64">
        <v>0.08</v>
      </c>
      <c r="K89" s="64">
        <v>314.27</v>
      </c>
      <c r="L89" s="64">
        <v>23.95</v>
      </c>
      <c r="M89" s="64">
        <v>98.02</v>
      </c>
      <c r="N89" s="64">
        <v>53.7</v>
      </c>
      <c r="O89" s="64">
        <v>0</v>
      </c>
      <c r="P89" s="64">
        <v>0.3</v>
      </c>
      <c r="Q89" s="64">
        <v>9.0399999999999991</v>
      </c>
      <c r="R89" s="198"/>
      <c r="S89" s="198"/>
      <c r="T89" s="198"/>
      <c r="U89" s="198"/>
    </row>
    <row r="90" spans="1:26" s="12" customFormat="1" x14ac:dyDescent="0.25">
      <c r="A90" s="213" t="s">
        <v>2917</v>
      </c>
      <c r="B90" s="64">
        <v>6.51</v>
      </c>
      <c r="C90" s="64">
        <v>12.35</v>
      </c>
      <c r="D90" s="64">
        <v>11.68</v>
      </c>
      <c r="E90" s="64">
        <v>3.68</v>
      </c>
      <c r="F90" s="64">
        <v>4.1100000000000003</v>
      </c>
      <c r="G90" s="64">
        <v>20.28</v>
      </c>
      <c r="H90" s="211" t="s">
        <v>42</v>
      </c>
      <c r="I90" s="64">
        <v>0.77</v>
      </c>
      <c r="J90" s="64">
        <v>0.08</v>
      </c>
      <c r="K90" s="64">
        <v>312.52999999999997</v>
      </c>
      <c r="L90" s="64">
        <v>23.98</v>
      </c>
      <c r="M90" s="64">
        <v>98.02</v>
      </c>
      <c r="N90" s="64">
        <v>53.8</v>
      </c>
      <c r="O90" s="64">
        <v>0</v>
      </c>
      <c r="P90" s="64">
        <v>0.31</v>
      </c>
      <c r="Q90" s="64">
        <v>9.0399999999999991</v>
      </c>
      <c r="R90" s="198"/>
      <c r="S90" s="198"/>
      <c r="T90" s="198"/>
      <c r="U90" s="198"/>
    </row>
    <row r="91" spans="1:26" s="12" customFormat="1" x14ac:dyDescent="0.25">
      <c r="A91" s="213" t="s">
        <v>2918</v>
      </c>
      <c r="B91" s="64">
        <v>6.91</v>
      </c>
      <c r="C91" s="64">
        <v>12.17</v>
      </c>
      <c r="D91" s="64">
        <v>11.9</v>
      </c>
      <c r="E91" s="64">
        <v>3.66</v>
      </c>
      <c r="F91" s="64">
        <v>2.94</v>
      </c>
      <c r="G91" s="64">
        <v>20.28</v>
      </c>
      <c r="H91" s="211" t="s">
        <v>42</v>
      </c>
      <c r="I91" s="64">
        <v>0.75</v>
      </c>
      <c r="J91" s="64">
        <v>0.22</v>
      </c>
      <c r="K91" s="64">
        <v>315.16000000000003</v>
      </c>
      <c r="L91" s="64">
        <v>24.01</v>
      </c>
      <c r="M91" s="64">
        <v>98</v>
      </c>
      <c r="N91" s="64">
        <v>53.9</v>
      </c>
      <c r="O91" s="64">
        <v>0</v>
      </c>
      <c r="P91" s="64">
        <v>0.32</v>
      </c>
      <c r="Q91" s="64">
        <v>9.0299999999999994</v>
      </c>
      <c r="R91" s="198"/>
      <c r="S91" s="198"/>
      <c r="T91" s="198"/>
      <c r="U91" s="198"/>
    </row>
    <row r="92" spans="1:26" s="12" customFormat="1" x14ac:dyDescent="0.25">
      <c r="A92" s="213" t="s">
        <v>2919</v>
      </c>
      <c r="B92" s="64">
        <v>6.93</v>
      </c>
      <c r="C92" s="64">
        <v>12.76</v>
      </c>
      <c r="D92" s="64">
        <v>12.22</v>
      </c>
      <c r="E92" s="64">
        <v>3.69</v>
      </c>
      <c r="F92" s="64">
        <v>3.61</v>
      </c>
      <c r="G92" s="64">
        <v>20.28</v>
      </c>
      <c r="H92" s="211" t="s">
        <v>42</v>
      </c>
      <c r="I92" s="64">
        <v>0.82</v>
      </c>
      <c r="J92" s="64">
        <v>0.15</v>
      </c>
      <c r="K92" s="64">
        <v>315.67</v>
      </c>
      <c r="L92" s="64">
        <v>23.97</v>
      </c>
      <c r="M92" s="64">
        <v>98.01</v>
      </c>
      <c r="N92" s="64">
        <v>54.2</v>
      </c>
      <c r="O92" s="64">
        <v>0</v>
      </c>
      <c r="P92" s="64">
        <v>0.3</v>
      </c>
      <c r="Q92" s="64">
        <v>9.0299999999999994</v>
      </c>
      <c r="R92" s="198"/>
      <c r="S92" s="198"/>
      <c r="T92" s="198"/>
      <c r="U92" s="198"/>
    </row>
    <row r="93" spans="1:26" s="12" customFormat="1" x14ac:dyDescent="0.25">
      <c r="A93" s="213" t="s">
        <v>2920</v>
      </c>
      <c r="B93" s="64">
        <v>6.84</v>
      </c>
      <c r="C93" s="64">
        <v>13.36</v>
      </c>
      <c r="D93" s="64">
        <v>12.46</v>
      </c>
      <c r="E93" s="64">
        <v>3.74</v>
      </c>
      <c r="F93" s="64">
        <v>4.09</v>
      </c>
      <c r="G93" s="64">
        <v>20.14</v>
      </c>
      <c r="H93" s="211" t="s">
        <v>42</v>
      </c>
      <c r="I93" s="64">
        <v>0.82</v>
      </c>
      <c r="J93" s="64">
        <v>0.13</v>
      </c>
      <c r="K93" s="64">
        <v>331.44</v>
      </c>
      <c r="L93" s="64">
        <v>23.88</v>
      </c>
      <c r="M93" s="64">
        <v>98.03</v>
      </c>
      <c r="N93" s="64">
        <v>54.3</v>
      </c>
      <c r="O93" s="64">
        <v>0</v>
      </c>
      <c r="P93" s="64">
        <v>0.33</v>
      </c>
      <c r="Q93" s="64">
        <v>9.02</v>
      </c>
      <c r="R93" s="198"/>
      <c r="S93" s="198"/>
      <c r="T93" s="198"/>
      <c r="U93" s="198"/>
    </row>
    <row r="94" spans="1:26" s="12" customFormat="1" x14ac:dyDescent="0.25">
      <c r="A94" s="213" t="s">
        <v>2921</v>
      </c>
      <c r="B94" s="64">
        <v>7.02</v>
      </c>
      <c r="C94" s="64">
        <v>13.13</v>
      </c>
      <c r="D94" s="64">
        <v>12.49</v>
      </c>
      <c r="E94" s="64">
        <v>3.61</v>
      </c>
      <c r="F94" s="64">
        <v>3.17</v>
      </c>
      <c r="G94" s="64">
        <v>19.72</v>
      </c>
      <c r="H94" s="64">
        <v>1.24</v>
      </c>
      <c r="I94" s="64">
        <v>0.78</v>
      </c>
      <c r="J94" s="64">
        <v>0.17</v>
      </c>
      <c r="K94" s="64">
        <v>339.64</v>
      </c>
      <c r="L94" s="64">
        <v>23.81</v>
      </c>
      <c r="M94" s="64">
        <v>98.01</v>
      </c>
      <c r="N94" s="64">
        <v>54.4</v>
      </c>
      <c r="O94" s="64">
        <v>0</v>
      </c>
      <c r="P94" s="64">
        <v>0.33</v>
      </c>
      <c r="Q94" s="64">
        <v>9.02</v>
      </c>
      <c r="R94" s="198"/>
      <c r="S94" s="198"/>
      <c r="T94" s="198"/>
      <c r="U94" s="198"/>
    </row>
    <row r="95" spans="1:26" s="12" customFormat="1" x14ac:dyDescent="0.25">
      <c r="A95" s="213" t="s">
        <v>2922</v>
      </c>
      <c r="B95" s="64">
        <v>7</v>
      </c>
      <c r="C95" s="64">
        <v>13.21</v>
      </c>
      <c r="D95" s="64">
        <v>12.51</v>
      </c>
      <c r="E95" s="64">
        <v>3.64</v>
      </c>
      <c r="F95" s="64">
        <v>3.22</v>
      </c>
      <c r="G95" s="64">
        <v>19.72</v>
      </c>
      <c r="H95" s="64">
        <v>1.24</v>
      </c>
      <c r="I95" s="64">
        <v>0.79</v>
      </c>
      <c r="J95" s="64">
        <v>0.14000000000000001</v>
      </c>
      <c r="K95" s="64">
        <v>318.73</v>
      </c>
      <c r="L95" s="64">
        <v>23.58</v>
      </c>
      <c r="M95" s="64">
        <v>97.99</v>
      </c>
      <c r="N95" s="64">
        <v>53.5</v>
      </c>
      <c r="O95" s="64">
        <v>0</v>
      </c>
      <c r="P95" s="64">
        <v>0.31</v>
      </c>
      <c r="Q95" s="64">
        <v>9.02</v>
      </c>
      <c r="R95" s="198"/>
      <c r="S95" s="198"/>
      <c r="T95" s="198"/>
      <c r="U95" s="198"/>
    </row>
    <row r="96" spans="1:26" s="12" customFormat="1" x14ac:dyDescent="0.25">
      <c r="A96" s="213" t="s">
        <v>2923</v>
      </c>
      <c r="B96" s="64">
        <v>6.87</v>
      </c>
      <c r="C96" s="64">
        <v>13.21</v>
      </c>
      <c r="D96" s="64">
        <v>12.41</v>
      </c>
      <c r="E96" s="64">
        <v>3.37</v>
      </c>
      <c r="F96" s="64">
        <v>4.1500000000000004</v>
      </c>
      <c r="G96" s="64">
        <v>19.72</v>
      </c>
      <c r="H96" s="64">
        <v>1.24</v>
      </c>
      <c r="I96" s="64">
        <v>0.79</v>
      </c>
      <c r="J96" s="64">
        <v>0.14000000000000001</v>
      </c>
      <c r="K96" s="64">
        <v>326.16000000000003</v>
      </c>
      <c r="L96" s="64">
        <v>23.24</v>
      </c>
      <c r="M96" s="64">
        <v>98.03</v>
      </c>
      <c r="N96" s="64">
        <v>53.7</v>
      </c>
      <c r="O96" s="64">
        <v>0</v>
      </c>
      <c r="P96" s="64">
        <v>0.31</v>
      </c>
      <c r="Q96" s="64">
        <v>9.02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2924</v>
      </c>
      <c r="B97" s="64">
        <v>6.86</v>
      </c>
      <c r="C97" s="64">
        <v>13.05</v>
      </c>
      <c r="D97" s="64">
        <v>12.32</v>
      </c>
      <c r="E97" s="64">
        <v>3.64</v>
      </c>
      <c r="F97" s="64">
        <v>3.49</v>
      </c>
      <c r="G97" s="64">
        <v>19.12</v>
      </c>
      <c r="H97" s="64">
        <v>1.47</v>
      </c>
      <c r="I97" s="64">
        <v>0.78</v>
      </c>
      <c r="J97" s="64">
        <v>0.09</v>
      </c>
      <c r="K97" s="64">
        <v>302.16000000000003</v>
      </c>
      <c r="L97" s="64">
        <v>22.88</v>
      </c>
      <c r="M97" s="64">
        <v>98.05</v>
      </c>
      <c r="N97" s="64">
        <v>53.8</v>
      </c>
      <c r="O97" s="64">
        <v>0</v>
      </c>
      <c r="P97" s="64">
        <v>0.33</v>
      </c>
      <c r="Q97" s="64">
        <v>9.01</v>
      </c>
      <c r="R97" s="198"/>
      <c r="S97" s="198"/>
      <c r="T97" s="198"/>
      <c r="U97" s="198"/>
    </row>
    <row r="98" spans="1:33" s="12" customFormat="1" x14ac:dyDescent="0.25">
      <c r="A98" s="213" t="s">
        <v>2925</v>
      </c>
      <c r="B98" s="64">
        <v>6.85</v>
      </c>
      <c r="C98" s="64">
        <v>12.9</v>
      </c>
      <c r="D98" s="64">
        <v>12.23</v>
      </c>
      <c r="E98" s="64">
        <v>3.55</v>
      </c>
      <c r="F98" s="64">
        <v>3.4</v>
      </c>
      <c r="G98" s="64">
        <v>17.28</v>
      </c>
      <c r="H98" s="64">
        <v>2.23</v>
      </c>
      <c r="I98" s="64">
        <v>0.78</v>
      </c>
      <c r="J98" s="64">
        <v>0.13</v>
      </c>
      <c r="K98" s="64">
        <v>330.38</v>
      </c>
      <c r="L98" s="64">
        <v>22.88</v>
      </c>
      <c r="M98" s="64">
        <v>98.05</v>
      </c>
      <c r="N98" s="64">
        <v>54.1</v>
      </c>
      <c r="O98" s="64">
        <v>0</v>
      </c>
      <c r="P98" s="64">
        <v>0.31</v>
      </c>
      <c r="Q98" s="64">
        <v>9.0299999999999994</v>
      </c>
      <c r="R98" s="198"/>
      <c r="S98" s="198"/>
      <c r="T98" s="198"/>
      <c r="U98" s="198"/>
    </row>
    <row r="99" spans="1:33" s="12" customFormat="1" x14ac:dyDescent="0.25">
      <c r="A99" s="213" t="s">
        <v>2926</v>
      </c>
      <c r="B99" s="64">
        <v>7.04</v>
      </c>
      <c r="C99" s="64">
        <v>14.14</v>
      </c>
      <c r="D99" s="64">
        <v>13.03</v>
      </c>
      <c r="E99" s="64">
        <v>3.58</v>
      </c>
      <c r="F99" s="64">
        <v>3.16</v>
      </c>
      <c r="G99" s="64">
        <v>17.28</v>
      </c>
      <c r="H99" s="64">
        <v>2.23</v>
      </c>
      <c r="I99" s="64">
        <v>0.77</v>
      </c>
      <c r="J99" s="64">
        <v>0.24</v>
      </c>
      <c r="K99" s="64">
        <v>320.39</v>
      </c>
      <c r="L99" s="64">
        <v>23.05</v>
      </c>
      <c r="M99" s="64">
        <v>98.04</v>
      </c>
      <c r="N99" s="64">
        <v>54.4</v>
      </c>
      <c r="O99" s="64">
        <v>0</v>
      </c>
      <c r="P99" s="64">
        <v>0.28999999999999998</v>
      </c>
      <c r="Q99" s="64">
        <v>9.0399999999999991</v>
      </c>
      <c r="R99" s="198"/>
      <c r="S99" s="198"/>
      <c r="T99" s="198"/>
      <c r="U99" s="198"/>
    </row>
    <row r="100" spans="1:33" s="12" customFormat="1" x14ac:dyDescent="0.25">
      <c r="A100" s="213" t="s">
        <v>2927</v>
      </c>
      <c r="B100" s="64">
        <v>7.83</v>
      </c>
      <c r="C100" s="64">
        <v>13.09</v>
      </c>
      <c r="D100" s="64">
        <v>13.11</v>
      </c>
      <c r="E100" s="64">
        <v>3.6</v>
      </c>
      <c r="F100" s="64">
        <v>3.53</v>
      </c>
      <c r="G100" s="64">
        <v>17.28</v>
      </c>
      <c r="H100" s="64">
        <v>2.23</v>
      </c>
      <c r="I100" s="64">
        <v>0.75</v>
      </c>
      <c r="J100" s="64">
        <v>0.21</v>
      </c>
      <c r="K100" s="64">
        <v>320.26</v>
      </c>
      <c r="L100" s="64">
        <v>23.15</v>
      </c>
      <c r="M100" s="64">
        <v>98.03</v>
      </c>
      <c r="N100" s="64">
        <v>54.6</v>
      </c>
      <c r="O100" s="64">
        <v>0</v>
      </c>
      <c r="P100" s="64">
        <v>0.28000000000000003</v>
      </c>
      <c r="Q100" s="64">
        <v>9.0399999999999991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2928</v>
      </c>
      <c r="B101" s="64">
        <v>7.33</v>
      </c>
      <c r="C101" s="64">
        <v>13.04</v>
      </c>
      <c r="D101" s="64">
        <v>12.69</v>
      </c>
      <c r="E101" s="64">
        <v>3.48</v>
      </c>
      <c r="F101" s="64">
        <v>3.44</v>
      </c>
      <c r="G101" s="64">
        <v>16.86</v>
      </c>
      <c r="H101" s="64">
        <v>2.37</v>
      </c>
      <c r="I101" s="64">
        <v>0.73</v>
      </c>
      <c r="J101" s="64">
        <v>0.17</v>
      </c>
      <c r="K101" s="64">
        <v>329.54</v>
      </c>
      <c r="L101" s="64">
        <v>23.15</v>
      </c>
      <c r="M101" s="64">
        <v>98.04</v>
      </c>
      <c r="N101" s="64">
        <v>54.6</v>
      </c>
      <c r="O101" s="64">
        <v>0</v>
      </c>
      <c r="P101" s="64">
        <v>0.27</v>
      </c>
      <c r="Q101" s="64">
        <v>9.0500000000000007</v>
      </c>
      <c r="R101" s="198"/>
      <c r="S101" s="198"/>
      <c r="T101" s="198"/>
      <c r="U101" s="198"/>
    </row>
    <row r="102" spans="1:33" s="12" customFormat="1" x14ac:dyDescent="0.25">
      <c r="A102" s="213" t="s">
        <v>2929</v>
      </c>
      <c r="B102" s="64">
        <v>6.63</v>
      </c>
      <c r="C102" s="64">
        <v>13.1</v>
      </c>
      <c r="D102" s="64">
        <v>12.16</v>
      </c>
      <c r="E102" s="64">
        <v>3.5</v>
      </c>
      <c r="F102" s="64">
        <v>3.63</v>
      </c>
      <c r="G102" s="64">
        <v>15.54</v>
      </c>
      <c r="H102" s="64">
        <v>2.83</v>
      </c>
      <c r="I102" s="64">
        <v>0.71</v>
      </c>
      <c r="J102" s="64">
        <v>0.16</v>
      </c>
      <c r="K102" s="64">
        <v>314.36</v>
      </c>
      <c r="L102" s="64">
        <v>23.2</v>
      </c>
      <c r="M102" s="64">
        <v>98.05</v>
      </c>
      <c r="N102" s="64">
        <v>54.6</v>
      </c>
      <c r="O102" s="64">
        <v>0</v>
      </c>
      <c r="P102" s="64">
        <v>0.27</v>
      </c>
      <c r="Q102" s="64">
        <v>9.0399999999999991</v>
      </c>
      <c r="R102" s="198"/>
      <c r="S102" s="198"/>
      <c r="T102" s="198"/>
      <c r="U102" s="198"/>
    </row>
    <row r="103" spans="1:33" s="12" customFormat="1" x14ac:dyDescent="0.25">
      <c r="A103" s="213" t="s">
        <v>2930</v>
      </c>
      <c r="B103" s="64">
        <v>6.26</v>
      </c>
      <c r="C103" s="64">
        <v>12.98</v>
      </c>
      <c r="D103" s="64">
        <v>11.8</v>
      </c>
      <c r="E103" s="64">
        <v>3.72</v>
      </c>
      <c r="F103" s="64">
        <v>3.41</v>
      </c>
      <c r="G103" s="64">
        <v>15.54</v>
      </c>
      <c r="H103" s="64">
        <v>2.83</v>
      </c>
      <c r="I103" s="64">
        <v>0.69</v>
      </c>
      <c r="J103" s="64">
        <v>0.12</v>
      </c>
      <c r="K103" s="64">
        <v>294.7</v>
      </c>
      <c r="L103" s="64">
        <v>23.25</v>
      </c>
      <c r="M103" s="64">
        <v>98.04</v>
      </c>
      <c r="N103" s="64">
        <v>54.6</v>
      </c>
      <c r="O103" s="64">
        <v>0</v>
      </c>
      <c r="P103" s="64">
        <v>0.27</v>
      </c>
      <c r="Q103" s="64">
        <v>9.0399999999999991</v>
      </c>
      <c r="R103" s="198"/>
      <c r="S103" s="198"/>
      <c r="T103" s="198"/>
      <c r="U103" s="198"/>
    </row>
    <row r="104" spans="1:33" s="12" customFormat="1" x14ac:dyDescent="0.25">
      <c r="A104" s="213" t="s">
        <v>2931</v>
      </c>
      <c r="B104" s="64">
        <v>6.14</v>
      </c>
      <c r="C104" s="64">
        <v>12.77</v>
      </c>
      <c r="D104" s="64">
        <v>11.6</v>
      </c>
      <c r="E104" s="64">
        <v>4.83</v>
      </c>
      <c r="F104" s="64">
        <v>3.56</v>
      </c>
      <c r="G104" s="64">
        <v>15.54</v>
      </c>
      <c r="H104" s="64">
        <v>2.83</v>
      </c>
      <c r="I104" s="64">
        <v>0.73</v>
      </c>
      <c r="J104" s="64">
        <v>0.16</v>
      </c>
      <c r="K104" s="64">
        <v>300.79000000000002</v>
      </c>
      <c r="L104" s="64">
        <v>23.22</v>
      </c>
      <c r="M104" s="64">
        <v>98.04</v>
      </c>
      <c r="N104" s="64">
        <v>54.7</v>
      </c>
      <c r="O104" s="64">
        <v>0</v>
      </c>
      <c r="P104" s="64">
        <v>0.25</v>
      </c>
      <c r="Q104" s="64">
        <v>9.0299999999999994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3.87</v>
      </c>
      <c r="C106" s="67">
        <f>MIN(C9:C104)</f>
        <v>9.5</v>
      </c>
      <c r="D106" s="67">
        <f t="shared" ref="D106:Q106" si="0">MIN(D9:D104)</f>
        <v>9.84</v>
      </c>
      <c r="E106" s="67">
        <f t="shared" si="0"/>
        <v>3.03</v>
      </c>
      <c r="F106" s="67">
        <f t="shared" si="0"/>
        <v>2.84</v>
      </c>
      <c r="G106" s="67">
        <f t="shared" si="0"/>
        <v>4.32</v>
      </c>
      <c r="H106" s="67">
        <f t="shared" si="0"/>
        <v>0.68</v>
      </c>
      <c r="I106" s="67">
        <f t="shared" si="0"/>
        <v>0.51</v>
      </c>
      <c r="J106" s="67">
        <f t="shared" si="0"/>
        <v>0.02</v>
      </c>
      <c r="K106" s="67">
        <f t="shared" si="0"/>
        <v>5.75</v>
      </c>
      <c r="L106" s="67">
        <f t="shared" si="0"/>
        <v>22.54</v>
      </c>
      <c r="M106" s="67">
        <f t="shared" si="0"/>
        <v>90.43</v>
      </c>
      <c r="N106" s="67">
        <f t="shared" si="0"/>
        <v>49</v>
      </c>
      <c r="O106" s="67">
        <f t="shared" si="0"/>
        <v>0</v>
      </c>
      <c r="P106" s="67">
        <f t="shared" si="0"/>
        <v>0.15</v>
      </c>
      <c r="Q106" s="67">
        <f t="shared" si="0"/>
        <v>8.92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9.52</v>
      </c>
      <c r="C107" s="66">
        <f t="shared" ref="C107:Q107" si="1">MAX(C9:C104)</f>
        <v>26.14</v>
      </c>
      <c r="D107" s="66">
        <f t="shared" si="1"/>
        <v>19.559999999999999</v>
      </c>
      <c r="E107" s="66">
        <f t="shared" si="1"/>
        <v>5.13</v>
      </c>
      <c r="F107" s="66">
        <f t="shared" si="1"/>
        <v>10.83</v>
      </c>
      <c r="G107" s="66">
        <f t="shared" si="1"/>
        <v>39.39</v>
      </c>
      <c r="H107" s="66">
        <f t="shared" si="1"/>
        <v>6.94</v>
      </c>
      <c r="I107" s="66">
        <f t="shared" si="1"/>
        <v>0.93</v>
      </c>
      <c r="J107" s="66">
        <f t="shared" si="1"/>
        <v>0.41</v>
      </c>
      <c r="K107" s="66">
        <f t="shared" si="1"/>
        <v>339.64</v>
      </c>
      <c r="L107" s="66">
        <f t="shared" si="1"/>
        <v>26.58</v>
      </c>
      <c r="M107" s="66">
        <f t="shared" si="1"/>
        <v>98.15</v>
      </c>
      <c r="N107" s="66">
        <f t="shared" si="1"/>
        <v>385.3</v>
      </c>
      <c r="O107" s="66">
        <f t="shared" si="1"/>
        <v>0.2</v>
      </c>
      <c r="P107" s="66">
        <f t="shared" si="1"/>
        <v>0.42</v>
      </c>
      <c r="Q107" s="66">
        <f t="shared" si="1"/>
        <v>9.14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6.284791666666667</v>
      </c>
      <c r="C108" s="67">
        <f t="shared" ref="C108:Q108" si="2">AVERAGE(C9:C104)</f>
        <v>14.075208333333334</v>
      </c>
      <c r="D108" s="67">
        <f t="shared" si="2"/>
        <v>12.393437500000003</v>
      </c>
      <c r="E108" s="67">
        <f t="shared" si="2"/>
        <v>4.2055208333333338</v>
      </c>
      <c r="F108" s="67">
        <f t="shared" si="2"/>
        <v>4.4153125000000006</v>
      </c>
      <c r="G108" s="67">
        <f t="shared" si="2"/>
        <v>17.635000000000002</v>
      </c>
      <c r="H108" s="67">
        <f t="shared" si="2"/>
        <v>2.6160000000000001</v>
      </c>
      <c r="I108" s="67">
        <f t="shared" si="2"/>
        <v>0.69666666666666677</v>
      </c>
      <c r="J108" s="67">
        <f t="shared" si="2"/>
        <v>0.16937500000000014</v>
      </c>
      <c r="K108" s="67">
        <f t="shared" si="2"/>
        <v>293.19447916666661</v>
      </c>
      <c r="L108" s="67">
        <f t="shared" si="2"/>
        <v>24.200104166666659</v>
      </c>
      <c r="M108" s="67">
        <f t="shared" si="2"/>
        <v>97.309895833333357</v>
      </c>
      <c r="N108" s="67">
        <f t="shared" si="2"/>
        <v>114.36458333333333</v>
      </c>
      <c r="O108" s="67">
        <f t="shared" si="2"/>
        <v>4.1666666666666666E-3</v>
      </c>
      <c r="P108" s="67">
        <f t="shared" si="2"/>
        <v>0.26031249999999995</v>
      </c>
      <c r="Q108" s="67">
        <f t="shared" si="2"/>
        <v>9.0070833333333269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1.1527669040563766</v>
      </c>
      <c r="C109" s="67">
        <f t="shared" ref="C109:Q109" si="3">STDEV(C9:C104)</f>
        <v>3.7177081166157735</v>
      </c>
      <c r="D109" s="67">
        <f t="shared" si="3"/>
        <v>1.8177521272309056</v>
      </c>
      <c r="E109" s="67">
        <f t="shared" si="3"/>
        <v>0.51158550202013686</v>
      </c>
      <c r="F109" s="67">
        <f t="shared" si="3"/>
        <v>1.4388452629763435</v>
      </c>
      <c r="G109" s="67">
        <f t="shared" si="3"/>
        <v>9.696942654368188</v>
      </c>
      <c r="H109" s="67">
        <f t="shared" si="3"/>
        <v>1.8768712042229676</v>
      </c>
      <c r="I109" s="67">
        <f t="shared" si="3"/>
        <v>9.5945891183977783E-2</v>
      </c>
      <c r="J109" s="67">
        <f t="shared" si="3"/>
        <v>7.3050991563571782E-2</v>
      </c>
      <c r="K109" s="67">
        <f t="shared" si="3"/>
        <v>42.839270446139793</v>
      </c>
      <c r="L109" s="67">
        <f t="shared" si="3"/>
        <v>1.0570460277701073</v>
      </c>
      <c r="M109" s="67">
        <f t="shared" si="3"/>
        <v>1.8094235748562624</v>
      </c>
      <c r="N109" s="67">
        <f t="shared" si="3"/>
        <v>83.854337337736268</v>
      </c>
      <c r="O109" s="67">
        <f t="shared" si="3"/>
        <v>2.8715177232759195E-2</v>
      </c>
      <c r="P109" s="67">
        <f t="shared" si="3"/>
        <v>5.9638439123208695E-2</v>
      </c>
      <c r="Q109" s="67">
        <f t="shared" si="3"/>
        <v>4.3113477357139336E-2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COUNT(H9:H104)+66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25" sqref="G12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2932</v>
      </c>
      <c r="B9" s="64">
        <v>5.89</v>
      </c>
      <c r="C9" s="64">
        <v>12.56</v>
      </c>
      <c r="D9" s="64">
        <v>11.28</v>
      </c>
      <c r="E9" s="64">
        <v>4.78</v>
      </c>
      <c r="F9" s="64">
        <v>4.32</v>
      </c>
      <c r="G9" s="64">
        <v>14.83</v>
      </c>
      <c r="H9" s="64">
        <v>2.6</v>
      </c>
      <c r="I9" s="64">
        <v>0.75</v>
      </c>
      <c r="J9" s="64">
        <v>0.1</v>
      </c>
      <c r="K9" s="64">
        <v>301.05</v>
      </c>
      <c r="L9" s="64">
        <v>23.21</v>
      </c>
      <c r="M9" s="64">
        <v>98.06</v>
      </c>
      <c r="N9" s="64">
        <v>54.9</v>
      </c>
      <c r="O9" s="64">
        <v>0</v>
      </c>
      <c r="P9" s="64">
        <v>0.25</v>
      </c>
      <c r="Q9" s="64">
        <v>9.02</v>
      </c>
      <c r="R9" s="198"/>
      <c r="S9" s="198"/>
      <c r="T9" s="198"/>
      <c r="U9" s="198"/>
    </row>
    <row r="10" spans="1:21" s="12" customFormat="1" x14ac:dyDescent="0.25">
      <c r="A10" s="213" t="s">
        <v>2933</v>
      </c>
      <c r="B10" s="64">
        <v>5.86</v>
      </c>
      <c r="C10" s="64">
        <v>12.2</v>
      </c>
      <c r="D10" s="64">
        <v>11.07</v>
      </c>
      <c r="E10" s="64">
        <v>4.76</v>
      </c>
      <c r="F10" s="64">
        <v>3.52</v>
      </c>
      <c r="G10" s="64">
        <v>12.66</v>
      </c>
      <c r="H10" s="64">
        <v>1.86</v>
      </c>
      <c r="I10" s="64">
        <v>0.72</v>
      </c>
      <c r="J10" s="64">
        <v>0.12</v>
      </c>
      <c r="K10" s="64">
        <v>305.42</v>
      </c>
      <c r="L10" s="64">
        <v>23.2</v>
      </c>
      <c r="M10" s="64">
        <v>98.05</v>
      </c>
      <c r="N10" s="64">
        <v>54.9</v>
      </c>
      <c r="O10" s="64">
        <v>0</v>
      </c>
      <c r="P10" s="64">
        <v>0.24</v>
      </c>
      <c r="Q10" s="64">
        <v>9</v>
      </c>
      <c r="R10" s="198"/>
      <c r="S10" s="198"/>
      <c r="T10" s="198"/>
      <c r="U10" s="198"/>
    </row>
    <row r="11" spans="1:21" s="12" customFormat="1" x14ac:dyDescent="0.25">
      <c r="A11" s="213" t="s">
        <v>2934</v>
      </c>
      <c r="B11" s="64">
        <v>5.71</v>
      </c>
      <c r="C11" s="64">
        <v>11.86</v>
      </c>
      <c r="D11" s="64">
        <v>10.78</v>
      </c>
      <c r="E11" s="64">
        <v>4.72</v>
      </c>
      <c r="F11" s="64">
        <v>3.31</v>
      </c>
      <c r="G11" s="64">
        <v>12.66</v>
      </c>
      <c r="H11" s="64">
        <v>1.86</v>
      </c>
      <c r="I11" s="64">
        <v>0.68</v>
      </c>
      <c r="J11" s="64">
        <v>0.18</v>
      </c>
      <c r="K11" s="64">
        <v>316.33999999999997</v>
      </c>
      <c r="L11" s="64">
        <v>23.16</v>
      </c>
      <c r="M11" s="64">
        <v>98.05</v>
      </c>
      <c r="N11" s="64">
        <v>54.9</v>
      </c>
      <c r="O11" s="64">
        <v>0</v>
      </c>
      <c r="P11" s="64">
        <v>0.21</v>
      </c>
      <c r="Q11" s="64">
        <v>8.99</v>
      </c>
      <c r="R11" s="198"/>
      <c r="S11" s="198"/>
      <c r="T11" s="198"/>
      <c r="U11" s="198"/>
    </row>
    <row r="12" spans="1:21" s="12" customFormat="1" x14ac:dyDescent="0.25">
      <c r="A12" s="213" t="s">
        <v>2935</v>
      </c>
      <c r="B12" s="64">
        <v>5.51</v>
      </c>
      <c r="C12" s="64">
        <v>11.7</v>
      </c>
      <c r="D12" s="64">
        <v>10.53</v>
      </c>
      <c r="E12" s="64">
        <v>4.42</v>
      </c>
      <c r="F12" s="64">
        <v>4.09</v>
      </c>
      <c r="G12" s="64">
        <v>12.66</v>
      </c>
      <c r="H12" s="64">
        <v>1.86</v>
      </c>
      <c r="I12" s="64">
        <v>0.6</v>
      </c>
      <c r="J12" s="64">
        <v>0.09</v>
      </c>
      <c r="K12" s="64">
        <v>301.2</v>
      </c>
      <c r="L12" s="64">
        <v>23.13</v>
      </c>
      <c r="M12" s="64">
        <v>98.05</v>
      </c>
      <c r="N12" s="64">
        <v>54.9</v>
      </c>
      <c r="O12" s="64">
        <v>0</v>
      </c>
      <c r="P12" s="64">
        <v>0.24</v>
      </c>
      <c r="Q12" s="64">
        <v>8.9600000000000009</v>
      </c>
      <c r="R12" s="198"/>
      <c r="S12" s="198"/>
      <c r="T12" s="198"/>
      <c r="U12" s="198"/>
    </row>
    <row r="13" spans="1:21" s="12" customFormat="1" x14ac:dyDescent="0.25">
      <c r="A13" s="213" t="s">
        <v>2936</v>
      </c>
      <c r="B13" s="64">
        <v>5.32</v>
      </c>
      <c r="C13" s="64">
        <v>11.52</v>
      </c>
      <c r="D13" s="64">
        <v>10.28</v>
      </c>
      <c r="E13" s="64">
        <v>4.3099999999999996</v>
      </c>
      <c r="F13" s="64">
        <v>3.29</v>
      </c>
      <c r="G13" s="64">
        <v>11.86</v>
      </c>
      <c r="H13" s="64">
        <v>1.78</v>
      </c>
      <c r="I13" s="64">
        <v>0.57999999999999996</v>
      </c>
      <c r="J13" s="64">
        <v>0.02</v>
      </c>
      <c r="K13" s="64">
        <v>312.02</v>
      </c>
      <c r="L13" s="64">
        <v>23.06</v>
      </c>
      <c r="M13" s="64">
        <v>98.04</v>
      </c>
      <c r="N13" s="64">
        <v>55.4</v>
      </c>
      <c r="O13" s="64">
        <v>0</v>
      </c>
      <c r="P13" s="64">
        <v>0.18</v>
      </c>
      <c r="Q13" s="64">
        <v>8.9499999999999993</v>
      </c>
      <c r="R13" s="198"/>
      <c r="S13" s="198"/>
      <c r="T13" s="198"/>
      <c r="U13" s="198"/>
    </row>
    <row r="14" spans="1:21" s="12" customFormat="1" x14ac:dyDescent="0.25">
      <c r="A14" s="213" t="s">
        <v>2937</v>
      </c>
      <c r="B14" s="64">
        <v>5.21</v>
      </c>
      <c r="C14" s="64">
        <v>11.26</v>
      </c>
      <c r="D14" s="64">
        <v>10.06</v>
      </c>
      <c r="E14" s="64">
        <v>4.2699999999999996</v>
      </c>
      <c r="F14" s="64">
        <v>3.45</v>
      </c>
      <c r="G14" s="64">
        <v>9.24</v>
      </c>
      <c r="H14" s="64">
        <v>1.55</v>
      </c>
      <c r="I14" s="64">
        <v>0.59</v>
      </c>
      <c r="J14" s="64">
        <v>0.08</v>
      </c>
      <c r="K14" s="64">
        <v>323.27999999999997</v>
      </c>
      <c r="L14" s="64">
        <v>22.98</v>
      </c>
      <c r="M14" s="64">
        <v>98.06</v>
      </c>
      <c r="N14" s="64">
        <v>55.7</v>
      </c>
      <c r="O14" s="64">
        <v>0</v>
      </c>
      <c r="P14" s="64">
        <v>0.2</v>
      </c>
      <c r="Q14" s="64">
        <v>8.9499999999999993</v>
      </c>
      <c r="R14" s="198"/>
      <c r="S14" s="198"/>
      <c r="T14" s="198"/>
      <c r="U14" s="198"/>
    </row>
    <row r="15" spans="1:21" s="12" customFormat="1" x14ac:dyDescent="0.25">
      <c r="A15" s="213" t="s">
        <v>2938</v>
      </c>
      <c r="B15" s="64">
        <v>5.28</v>
      </c>
      <c r="C15" s="64">
        <v>11.16</v>
      </c>
      <c r="D15" s="64">
        <v>10.06</v>
      </c>
      <c r="E15" s="64">
        <v>4.5999999999999996</v>
      </c>
      <c r="F15" s="64">
        <v>4.08</v>
      </c>
      <c r="G15" s="64">
        <v>9.24</v>
      </c>
      <c r="H15" s="64">
        <v>1.55</v>
      </c>
      <c r="I15" s="64">
        <v>0.56999999999999995</v>
      </c>
      <c r="J15" s="64">
        <v>0.09</v>
      </c>
      <c r="K15" s="64">
        <v>271.57</v>
      </c>
      <c r="L15" s="64">
        <v>22.8</v>
      </c>
      <c r="M15" s="64">
        <v>98.08</v>
      </c>
      <c r="N15" s="64">
        <v>55.6</v>
      </c>
      <c r="O15" s="64">
        <v>0</v>
      </c>
      <c r="P15" s="64">
        <v>0.2</v>
      </c>
      <c r="Q15" s="64">
        <v>8.94</v>
      </c>
      <c r="R15" s="198"/>
      <c r="S15" s="198"/>
      <c r="T15" s="198"/>
      <c r="U15" s="198"/>
    </row>
    <row r="16" spans="1:21" s="12" customFormat="1" x14ac:dyDescent="0.25">
      <c r="A16" s="213" t="s">
        <v>2939</v>
      </c>
      <c r="B16" s="64">
        <v>5.21</v>
      </c>
      <c r="C16" s="64">
        <v>10.83</v>
      </c>
      <c r="D16" s="64">
        <v>9.84</v>
      </c>
      <c r="E16" s="64">
        <v>4.41</v>
      </c>
      <c r="F16" s="64">
        <v>3.71</v>
      </c>
      <c r="G16" s="64">
        <v>9.24</v>
      </c>
      <c r="H16" s="64">
        <v>1.55</v>
      </c>
      <c r="I16" s="64">
        <v>0.56000000000000005</v>
      </c>
      <c r="J16" s="64">
        <v>0.09</v>
      </c>
      <c r="K16" s="64">
        <v>269.94</v>
      </c>
      <c r="L16" s="64">
        <v>22.55</v>
      </c>
      <c r="M16" s="64">
        <v>98.11</v>
      </c>
      <c r="N16" s="64">
        <v>55.8</v>
      </c>
      <c r="O16" s="64">
        <v>0</v>
      </c>
      <c r="P16" s="64">
        <v>0.18</v>
      </c>
      <c r="Q16" s="64">
        <v>8.94</v>
      </c>
      <c r="R16" s="198"/>
      <c r="S16" s="198"/>
      <c r="T16" s="198"/>
      <c r="U16" s="198"/>
    </row>
    <row r="17" spans="1:21" s="12" customFormat="1" x14ac:dyDescent="0.25">
      <c r="A17" s="213" t="s">
        <v>2940</v>
      </c>
      <c r="B17" s="64">
        <v>5.28</v>
      </c>
      <c r="C17" s="64">
        <v>10.97</v>
      </c>
      <c r="D17" s="64">
        <v>9.9600000000000009</v>
      </c>
      <c r="E17" s="64">
        <v>4.8499999999999996</v>
      </c>
      <c r="F17" s="64">
        <v>3.83</v>
      </c>
      <c r="G17" s="64">
        <v>8.99</v>
      </c>
      <c r="H17" s="64">
        <v>1.81</v>
      </c>
      <c r="I17" s="64">
        <v>0.55000000000000004</v>
      </c>
      <c r="J17" s="64">
        <v>0.11</v>
      </c>
      <c r="K17" s="64">
        <v>319.27999999999997</v>
      </c>
      <c r="L17" s="64">
        <v>22.31</v>
      </c>
      <c r="M17" s="64">
        <v>98.12</v>
      </c>
      <c r="N17" s="64">
        <v>55.8</v>
      </c>
      <c r="O17" s="64">
        <v>0</v>
      </c>
      <c r="P17" s="64">
        <v>0.19</v>
      </c>
      <c r="Q17" s="64">
        <v>8.94</v>
      </c>
      <c r="R17" s="198"/>
      <c r="S17" s="198"/>
      <c r="T17" s="198"/>
      <c r="U17" s="198"/>
    </row>
    <row r="18" spans="1:21" s="12" customFormat="1" x14ac:dyDescent="0.25">
      <c r="A18" s="213" t="s">
        <v>2941</v>
      </c>
      <c r="B18" s="64">
        <v>5.2</v>
      </c>
      <c r="C18" s="64">
        <v>10.79</v>
      </c>
      <c r="D18" s="64">
        <v>9.81</v>
      </c>
      <c r="E18" s="64">
        <v>4.5</v>
      </c>
      <c r="F18" s="64">
        <v>4.28</v>
      </c>
      <c r="G18" s="64">
        <v>8.18</v>
      </c>
      <c r="H18" s="64">
        <v>2.68</v>
      </c>
      <c r="I18" s="64">
        <v>0.54</v>
      </c>
      <c r="J18" s="64">
        <v>0.05</v>
      </c>
      <c r="K18" s="64">
        <v>192.96</v>
      </c>
      <c r="L18" s="64">
        <v>22.24</v>
      </c>
      <c r="M18" s="64">
        <v>98.11</v>
      </c>
      <c r="N18" s="64">
        <v>55.8</v>
      </c>
      <c r="O18" s="64">
        <v>0</v>
      </c>
      <c r="P18" s="64">
        <v>0.18</v>
      </c>
      <c r="Q18" s="64">
        <v>8.94</v>
      </c>
      <c r="R18" s="198"/>
      <c r="S18" s="198"/>
      <c r="T18" s="198"/>
      <c r="U18" s="198"/>
    </row>
    <row r="19" spans="1:21" s="12" customFormat="1" x14ac:dyDescent="0.25">
      <c r="A19" s="213" t="s">
        <v>2942</v>
      </c>
      <c r="B19" s="64">
        <v>5.32</v>
      </c>
      <c r="C19" s="64">
        <v>10.56</v>
      </c>
      <c r="D19" s="64">
        <v>9.7899999999999991</v>
      </c>
      <c r="E19" s="64">
        <v>4.26</v>
      </c>
      <c r="F19" s="64">
        <v>3.93</v>
      </c>
      <c r="G19" s="64">
        <v>8.18</v>
      </c>
      <c r="H19" s="64">
        <v>2.68</v>
      </c>
      <c r="I19" s="64">
        <v>0.53</v>
      </c>
      <c r="J19" s="64">
        <v>0.09</v>
      </c>
      <c r="K19" s="64">
        <v>314.19</v>
      </c>
      <c r="L19" s="64">
        <v>22.22</v>
      </c>
      <c r="M19" s="64">
        <v>98.12</v>
      </c>
      <c r="N19" s="64">
        <v>55.8</v>
      </c>
      <c r="O19" s="64">
        <v>0</v>
      </c>
      <c r="P19" s="64">
        <v>0.18</v>
      </c>
      <c r="Q19" s="64">
        <v>8.93</v>
      </c>
      <c r="R19" s="198"/>
      <c r="S19" s="198"/>
      <c r="T19" s="198"/>
      <c r="U19" s="198"/>
    </row>
    <row r="20" spans="1:21" s="12" customFormat="1" x14ac:dyDescent="0.25">
      <c r="A20" s="213" t="s">
        <v>2943</v>
      </c>
      <c r="B20" s="64">
        <v>5.31</v>
      </c>
      <c r="C20" s="64">
        <v>10.24</v>
      </c>
      <c r="D20" s="64">
        <v>9.61</v>
      </c>
      <c r="E20" s="64">
        <v>4.57</v>
      </c>
      <c r="F20" s="64">
        <v>3.95</v>
      </c>
      <c r="G20" s="64">
        <v>8.18</v>
      </c>
      <c r="H20" s="64">
        <v>2.68</v>
      </c>
      <c r="I20" s="64">
        <v>0.53</v>
      </c>
      <c r="J20" s="64">
        <v>0.1</v>
      </c>
      <c r="K20" s="64">
        <v>284.98</v>
      </c>
      <c r="L20" s="64">
        <v>22.19</v>
      </c>
      <c r="M20" s="64">
        <v>98.12</v>
      </c>
      <c r="N20" s="64">
        <v>55.9</v>
      </c>
      <c r="O20" s="64">
        <v>0</v>
      </c>
      <c r="P20" s="64">
        <v>0.17</v>
      </c>
      <c r="Q20" s="64">
        <v>8.94</v>
      </c>
      <c r="R20" s="198"/>
      <c r="S20" s="198"/>
      <c r="T20" s="198"/>
      <c r="U20" s="198"/>
    </row>
    <row r="21" spans="1:21" s="12" customFormat="1" x14ac:dyDescent="0.25">
      <c r="A21" s="213" t="s">
        <v>2944</v>
      </c>
      <c r="B21" s="64">
        <v>5.34</v>
      </c>
      <c r="C21" s="64">
        <v>10.38</v>
      </c>
      <c r="D21" s="64">
        <v>9.6999999999999993</v>
      </c>
      <c r="E21" s="64">
        <v>4.45</v>
      </c>
      <c r="F21" s="64">
        <v>4.0599999999999996</v>
      </c>
      <c r="G21" s="64">
        <v>7.88</v>
      </c>
      <c r="H21" s="64">
        <v>2.82</v>
      </c>
      <c r="I21" s="64">
        <v>0.51</v>
      </c>
      <c r="J21" s="64">
        <v>0.08</v>
      </c>
      <c r="K21" s="64">
        <v>287.44</v>
      </c>
      <c r="L21" s="64">
        <v>22.2</v>
      </c>
      <c r="M21" s="64">
        <v>98.12</v>
      </c>
      <c r="N21" s="64">
        <v>55.9</v>
      </c>
      <c r="O21" s="64">
        <v>0</v>
      </c>
      <c r="P21" s="64">
        <v>0.17</v>
      </c>
      <c r="Q21" s="64">
        <v>8.9600000000000009</v>
      </c>
      <c r="R21" s="198"/>
      <c r="S21" s="198"/>
      <c r="T21" s="198"/>
      <c r="U21" s="198"/>
    </row>
    <row r="22" spans="1:21" s="12" customFormat="1" x14ac:dyDescent="0.25">
      <c r="A22" s="213" t="s">
        <v>2945</v>
      </c>
      <c r="B22" s="64">
        <v>5.49</v>
      </c>
      <c r="C22" s="64">
        <v>10.53</v>
      </c>
      <c r="D22" s="64">
        <v>9.9</v>
      </c>
      <c r="E22" s="64">
        <v>4.75</v>
      </c>
      <c r="F22" s="64">
        <v>3.78</v>
      </c>
      <c r="G22" s="64">
        <v>6.91</v>
      </c>
      <c r="H22" s="64">
        <v>3.28</v>
      </c>
      <c r="I22" s="64">
        <v>0.5</v>
      </c>
      <c r="J22" s="64">
        <v>0.13</v>
      </c>
      <c r="K22" s="64">
        <v>318.56</v>
      </c>
      <c r="L22" s="64">
        <v>22.2</v>
      </c>
      <c r="M22" s="64">
        <v>98.12</v>
      </c>
      <c r="N22" s="64">
        <v>56</v>
      </c>
      <c r="O22" s="64">
        <v>0</v>
      </c>
      <c r="P22" s="64">
        <v>0.17</v>
      </c>
      <c r="Q22" s="64">
        <v>8.9600000000000009</v>
      </c>
      <c r="R22" s="198"/>
      <c r="S22" s="198"/>
      <c r="T22" s="198"/>
      <c r="U22" s="198"/>
    </row>
    <row r="23" spans="1:21" s="12" customFormat="1" x14ac:dyDescent="0.25">
      <c r="A23" s="213" t="s">
        <v>2946</v>
      </c>
      <c r="B23" s="64">
        <v>5.49</v>
      </c>
      <c r="C23" s="64">
        <v>10.54</v>
      </c>
      <c r="D23" s="64">
        <v>9.91</v>
      </c>
      <c r="E23" s="64">
        <v>4.21</v>
      </c>
      <c r="F23" s="64">
        <v>3.84</v>
      </c>
      <c r="G23" s="64">
        <v>6.91</v>
      </c>
      <c r="H23" s="64">
        <v>3.28</v>
      </c>
      <c r="I23" s="64">
        <v>0.5</v>
      </c>
      <c r="J23" s="64">
        <v>0.08</v>
      </c>
      <c r="K23" s="64">
        <v>291.26</v>
      </c>
      <c r="L23" s="64">
        <v>22.22</v>
      </c>
      <c r="M23" s="64">
        <v>98.13</v>
      </c>
      <c r="N23" s="64">
        <v>56.1</v>
      </c>
      <c r="O23" s="64">
        <v>0</v>
      </c>
      <c r="P23" s="64">
        <v>0.17</v>
      </c>
      <c r="Q23" s="64">
        <v>8.9600000000000009</v>
      </c>
      <c r="R23" s="198"/>
      <c r="S23" s="198"/>
      <c r="T23" s="198"/>
      <c r="U23" s="198"/>
    </row>
    <row r="24" spans="1:21" s="12" customFormat="1" x14ac:dyDescent="0.25">
      <c r="A24" s="213" t="s">
        <v>2947</v>
      </c>
      <c r="B24" s="64">
        <v>5.54</v>
      </c>
      <c r="C24" s="64">
        <v>10.7</v>
      </c>
      <c r="D24" s="64">
        <v>10.039999999999999</v>
      </c>
      <c r="E24" s="64">
        <v>4.2699999999999996</v>
      </c>
      <c r="F24" s="64">
        <v>3.75</v>
      </c>
      <c r="G24" s="64">
        <v>6.91</v>
      </c>
      <c r="H24" s="64">
        <v>3.28</v>
      </c>
      <c r="I24" s="64">
        <v>0.51</v>
      </c>
      <c r="J24" s="64">
        <v>0.14000000000000001</v>
      </c>
      <c r="K24" s="64">
        <v>317.73</v>
      </c>
      <c r="L24" s="64">
        <v>22.25</v>
      </c>
      <c r="M24" s="64">
        <v>98.13</v>
      </c>
      <c r="N24" s="64">
        <v>56.2</v>
      </c>
      <c r="O24" s="64">
        <v>0</v>
      </c>
      <c r="P24" s="64">
        <v>0.17</v>
      </c>
      <c r="Q24" s="64">
        <v>8.9700000000000006</v>
      </c>
      <c r="R24" s="198"/>
      <c r="S24" s="198"/>
      <c r="T24" s="198"/>
      <c r="U24" s="198"/>
    </row>
    <row r="25" spans="1:21" s="12" customFormat="1" x14ac:dyDescent="0.25">
      <c r="A25" s="213" t="s">
        <v>2948</v>
      </c>
      <c r="B25" s="64">
        <v>5.37</v>
      </c>
      <c r="C25" s="64">
        <v>10.75</v>
      </c>
      <c r="D25" s="64">
        <v>9.92</v>
      </c>
      <c r="E25" s="64">
        <v>4.4800000000000004</v>
      </c>
      <c r="F25" s="64">
        <v>4.71</v>
      </c>
      <c r="G25" s="64">
        <v>6.49</v>
      </c>
      <c r="H25" s="64">
        <v>2.82</v>
      </c>
      <c r="I25" s="64">
        <v>0.51</v>
      </c>
      <c r="J25" s="64">
        <v>0.06</v>
      </c>
      <c r="K25" s="64">
        <v>313.66000000000003</v>
      </c>
      <c r="L25" s="64">
        <v>22.24</v>
      </c>
      <c r="M25" s="64">
        <v>98.12</v>
      </c>
      <c r="N25" s="64">
        <v>56.3</v>
      </c>
      <c r="O25" s="64">
        <v>0</v>
      </c>
      <c r="P25" s="64">
        <v>0.16</v>
      </c>
      <c r="Q25" s="64">
        <v>8.9600000000000009</v>
      </c>
      <c r="R25" s="198"/>
      <c r="S25" s="198"/>
      <c r="T25" s="198"/>
      <c r="U25" s="198"/>
    </row>
    <row r="26" spans="1:21" s="12" customFormat="1" x14ac:dyDescent="0.25">
      <c r="A26" s="213" t="s">
        <v>2949</v>
      </c>
      <c r="B26" s="64">
        <v>5.18</v>
      </c>
      <c r="C26" s="64">
        <v>10.45</v>
      </c>
      <c r="D26" s="64">
        <v>9.61</v>
      </c>
      <c r="E26" s="64">
        <v>4.68</v>
      </c>
      <c r="F26" s="64">
        <v>5.01</v>
      </c>
      <c r="G26" s="64">
        <v>5.13</v>
      </c>
      <c r="H26" s="64">
        <v>1.33</v>
      </c>
      <c r="I26" s="64">
        <v>0.5</v>
      </c>
      <c r="J26" s="64">
        <v>0.14000000000000001</v>
      </c>
      <c r="K26" s="64">
        <v>120.73</v>
      </c>
      <c r="L26" s="64">
        <v>22.22</v>
      </c>
      <c r="M26" s="64">
        <v>98.12</v>
      </c>
      <c r="N26" s="64">
        <v>56.5</v>
      </c>
      <c r="O26" s="64">
        <v>0</v>
      </c>
      <c r="P26" s="64">
        <v>0.15</v>
      </c>
      <c r="Q26" s="64">
        <v>8.9700000000000006</v>
      </c>
      <c r="R26" s="198"/>
      <c r="S26" s="198"/>
      <c r="T26" s="198"/>
      <c r="U26" s="198"/>
    </row>
    <row r="27" spans="1:21" s="12" customFormat="1" x14ac:dyDescent="0.25">
      <c r="A27" s="213" t="s">
        <v>2950</v>
      </c>
      <c r="B27" s="64">
        <v>5.78</v>
      </c>
      <c r="C27" s="64">
        <v>10.89</v>
      </c>
      <c r="D27" s="64">
        <v>10.32</v>
      </c>
      <c r="E27" s="64">
        <v>4.55</v>
      </c>
      <c r="F27" s="64">
        <v>3.9</v>
      </c>
      <c r="G27" s="64">
        <v>5.13</v>
      </c>
      <c r="H27" s="64">
        <v>1.33</v>
      </c>
      <c r="I27" s="64">
        <v>0.49</v>
      </c>
      <c r="J27" s="64">
        <v>0.05</v>
      </c>
      <c r="K27" s="64">
        <v>278.29000000000002</v>
      </c>
      <c r="L27" s="64">
        <v>22.11</v>
      </c>
      <c r="M27" s="64">
        <v>98.13</v>
      </c>
      <c r="N27" s="64">
        <v>56.6</v>
      </c>
      <c r="O27" s="64">
        <v>0</v>
      </c>
      <c r="P27" s="64">
        <v>0.17</v>
      </c>
      <c r="Q27" s="64">
        <v>8.9700000000000006</v>
      </c>
      <c r="R27" s="198"/>
      <c r="S27" s="198"/>
      <c r="T27" s="198"/>
      <c r="U27" s="198"/>
    </row>
    <row r="28" spans="1:21" s="12" customFormat="1" x14ac:dyDescent="0.25">
      <c r="A28" s="213" t="s">
        <v>2951</v>
      </c>
      <c r="B28" s="64">
        <v>6.12</v>
      </c>
      <c r="C28" s="64">
        <v>10.9</v>
      </c>
      <c r="D28" s="64">
        <v>10.6</v>
      </c>
      <c r="E28" s="64">
        <v>4.6100000000000003</v>
      </c>
      <c r="F28" s="64">
        <v>3.47</v>
      </c>
      <c r="G28" s="64">
        <v>5.13</v>
      </c>
      <c r="H28" s="64">
        <v>1.33</v>
      </c>
      <c r="I28" s="64">
        <v>0.49</v>
      </c>
      <c r="J28" s="64">
        <v>0.11</v>
      </c>
      <c r="K28" s="64">
        <v>314.64999999999998</v>
      </c>
      <c r="L28" s="64">
        <v>22.04</v>
      </c>
      <c r="M28" s="64">
        <v>98.13</v>
      </c>
      <c r="N28" s="64">
        <v>56.7</v>
      </c>
      <c r="O28" s="64">
        <v>0</v>
      </c>
      <c r="P28" s="64">
        <v>0.16</v>
      </c>
      <c r="Q28" s="64">
        <v>8.9600000000000009</v>
      </c>
      <c r="R28" s="198"/>
      <c r="S28" s="198"/>
      <c r="T28" s="198"/>
      <c r="U28" s="198"/>
    </row>
    <row r="29" spans="1:21" s="12" customFormat="1" x14ac:dyDescent="0.25">
      <c r="A29" s="213" t="s">
        <v>2952</v>
      </c>
      <c r="B29" s="64">
        <v>6.27</v>
      </c>
      <c r="C29" s="64">
        <v>10.61</v>
      </c>
      <c r="D29" s="64">
        <v>10.57</v>
      </c>
      <c r="E29" s="64">
        <v>4.8</v>
      </c>
      <c r="F29" s="64">
        <v>4.21</v>
      </c>
      <c r="G29" s="64">
        <v>4.87</v>
      </c>
      <c r="H29" s="64">
        <v>1.1000000000000001</v>
      </c>
      <c r="I29" s="64">
        <v>0.49</v>
      </c>
      <c r="J29" s="64">
        <v>0.12</v>
      </c>
      <c r="K29" s="64">
        <v>311.70999999999998</v>
      </c>
      <c r="L29" s="64">
        <v>22</v>
      </c>
      <c r="M29" s="64">
        <v>98.13</v>
      </c>
      <c r="N29" s="64">
        <v>56.8</v>
      </c>
      <c r="O29" s="64">
        <v>0</v>
      </c>
      <c r="P29" s="64">
        <v>0.16</v>
      </c>
      <c r="Q29" s="64">
        <v>8.9600000000000009</v>
      </c>
      <c r="R29" s="198"/>
      <c r="S29" s="198"/>
      <c r="T29" s="198"/>
      <c r="U29" s="198"/>
    </row>
    <row r="30" spans="1:21" s="12" customFormat="1" x14ac:dyDescent="0.25">
      <c r="A30" s="213" t="s">
        <v>2953</v>
      </c>
      <c r="B30" s="64">
        <v>6.4</v>
      </c>
      <c r="C30" s="64">
        <v>10.55</v>
      </c>
      <c r="D30" s="64">
        <v>10.65</v>
      </c>
      <c r="E30" s="64">
        <v>4.51</v>
      </c>
      <c r="F30" s="64">
        <v>4.2</v>
      </c>
      <c r="G30" s="64">
        <v>4.01</v>
      </c>
      <c r="H30" s="64">
        <v>0.34</v>
      </c>
      <c r="I30" s="64">
        <v>0.47</v>
      </c>
      <c r="J30" s="64">
        <v>0.11</v>
      </c>
      <c r="K30" s="64">
        <v>314.14999999999998</v>
      </c>
      <c r="L30" s="64">
        <v>22.02</v>
      </c>
      <c r="M30" s="64">
        <v>98.11</v>
      </c>
      <c r="N30" s="64">
        <v>56.9</v>
      </c>
      <c r="O30" s="64">
        <v>0</v>
      </c>
      <c r="P30" s="64">
        <v>0.16</v>
      </c>
      <c r="Q30" s="64">
        <v>8.9600000000000009</v>
      </c>
      <c r="R30" s="198"/>
      <c r="S30" s="198"/>
      <c r="T30" s="198"/>
      <c r="U30" s="198"/>
    </row>
    <row r="31" spans="1:21" s="12" customFormat="1" x14ac:dyDescent="0.25">
      <c r="A31" s="213" t="s">
        <v>2954</v>
      </c>
      <c r="B31" s="64">
        <v>6.51</v>
      </c>
      <c r="C31" s="64">
        <v>10.68</v>
      </c>
      <c r="D31" s="64">
        <v>10.8</v>
      </c>
      <c r="E31" s="64">
        <v>4.4800000000000004</v>
      </c>
      <c r="F31" s="64">
        <v>3.83</v>
      </c>
      <c r="G31" s="64">
        <v>4.01</v>
      </c>
      <c r="H31" s="64">
        <v>0.34</v>
      </c>
      <c r="I31" s="64">
        <v>0.46</v>
      </c>
      <c r="J31" s="64">
        <v>0.11</v>
      </c>
      <c r="K31" s="64">
        <v>309.74</v>
      </c>
      <c r="L31" s="64">
        <v>21.98</v>
      </c>
      <c r="M31" s="64">
        <v>98.11</v>
      </c>
      <c r="N31" s="64">
        <v>57.8</v>
      </c>
      <c r="O31" s="64">
        <v>0</v>
      </c>
      <c r="P31" s="64">
        <v>0.16</v>
      </c>
      <c r="Q31" s="64">
        <v>8.9499999999999993</v>
      </c>
      <c r="R31" s="198"/>
      <c r="S31" s="198"/>
      <c r="T31" s="198"/>
      <c r="U31" s="198"/>
    </row>
    <row r="32" spans="1:21" s="12" customFormat="1" x14ac:dyDescent="0.25">
      <c r="A32" s="213" t="s">
        <v>2955</v>
      </c>
      <c r="B32" s="64">
        <v>6.56</v>
      </c>
      <c r="C32" s="64">
        <v>10.85</v>
      </c>
      <c r="D32" s="64">
        <v>10.93</v>
      </c>
      <c r="E32" s="64">
        <v>4.96</v>
      </c>
      <c r="F32" s="64">
        <v>3.27</v>
      </c>
      <c r="G32" s="64">
        <v>4.01</v>
      </c>
      <c r="H32" s="64">
        <v>0.34</v>
      </c>
      <c r="I32" s="64">
        <v>0.46</v>
      </c>
      <c r="J32" s="64">
        <v>0.11</v>
      </c>
      <c r="K32" s="64">
        <v>316.10000000000002</v>
      </c>
      <c r="L32" s="64">
        <v>21.96</v>
      </c>
      <c r="M32" s="64">
        <v>98.13</v>
      </c>
      <c r="N32" s="64">
        <v>58.9</v>
      </c>
      <c r="O32" s="64">
        <v>0</v>
      </c>
      <c r="P32" s="64">
        <v>0.17</v>
      </c>
      <c r="Q32" s="64">
        <v>8.9600000000000009</v>
      </c>
      <c r="R32" s="198"/>
      <c r="S32" s="198"/>
      <c r="T32" s="198"/>
      <c r="U32" s="198"/>
    </row>
    <row r="33" spans="1:21" s="12" customFormat="1" x14ac:dyDescent="0.25">
      <c r="A33" s="213" t="s">
        <v>2956</v>
      </c>
      <c r="B33" s="64">
        <v>6.63</v>
      </c>
      <c r="C33" s="64">
        <v>10.97</v>
      </c>
      <c r="D33" s="64">
        <v>11.05</v>
      </c>
      <c r="E33" s="64">
        <v>4.57</v>
      </c>
      <c r="F33" s="64">
        <v>3.24</v>
      </c>
      <c r="G33" s="64">
        <v>3.77</v>
      </c>
      <c r="H33" s="64">
        <v>0.33</v>
      </c>
      <c r="I33" s="64">
        <v>0.46</v>
      </c>
      <c r="J33" s="64">
        <v>0.12</v>
      </c>
      <c r="K33" s="64">
        <v>319.89</v>
      </c>
      <c r="L33" s="64">
        <v>21.97</v>
      </c>
      <c r="M33" s="64">
        <v>98.12</v>
      </c>
      <c r="N33" s="64">
        <v>63.1</v>
      </c>
      <c r="O33" s="64">
        <v>0</v>
      </c>
      <c r="P33" s="64">
        <v>0.16</v>
      </c>
      <c r="Q33" s="64">
        <v>8.9600000000000009</v>
      </c>
      <c r="R33" s="198"/>
      <c r="S33" s="198"/>
      <c r="T33" s="198"/>
      <c r="U33" s="198"/>
    </row>
    <row r="34" spans="1:21" s="12" customFormat="1" x14ac:dyDescent="0.25">
      <c r="A34" s="213" t="s">
        <v>2957</v>
      </c>
      <c r="B34" s="64">
        <v>6.85</v>
      </c>
      <c r="C34" s="64">
        <v>10.9</v>
      </c>
      <c r="D34" s="64">
        <v>11.18</v>
      </c>
      <c r="E34" s="64">
        <v>4.66</v>
      </c>
      <c r="F34" s="64">
        <v>4</v>
      </c>
      <c r="G34" s="64">
        <v>3</v>
      </c>
      <c r="H34" s="64">
        <v>0.27</v>
      </c>
      <c r="I34" s="64">
        <v>0.47</v>
      </c>
      <c r="J34" s="64">
        <v>0.08</v>
      </c>
      <c r="K34" s="64">
        <v>301.45999999999998</v>
      </c>
      <c r="L34" s="64">
        <v>21.97</v>
      </c>
      <c r="M34" s="64">
        <v>98.13</v>
      </c>
      <c r="N34" s="64">
        <v>64.7</v>
      </c>
      <c r="O34" s="64">
        <v>0</v>
      </c>
      <c r="P34" s="64">
        <v>0.16</v>
      </c>
      <c r="Q34" s="64">
        <v>8.9700000000000006</v>
      </c>
      <c r="R34" s="198"/>
      <c r="S34" s="198"/>
      <c r="T34" s="198"/>
      <c r="U34" s="198"/>
    </row>
    <row r="35" spans="1:21" s="12" customFormat="1" x14ac:dyDescent="0.25">
      <c r="A35" s="213" t="s">
        <v>2958</v>
      </c>
      <c r="B35" s="64">
        <v>7.02</v>
      </c>
      <c r="C35" s="64">
        <v>11.04</v>
      </c>
      <c r="D35" s="64">
        <v>11.4</v>
      </c>
      <c r="E35" s="64">
        <v>4.46</v>
      </c>
      <c r="F35" s="64">
        <v>3.21</v>
      </c>
      <c r="G35" s="64">
        <v>3</v>
      </c>
      <c r="H35" s="64">
        <v>0.27</v>
      </c>
      <c r="I35" s="64">
        <v>0.49</v>
      </c>
      <c r="J35" s="64">
        <v>0.14000000000000001</v>
      </c>
      <c r="K35" s="64">
        <v>311.83</v>
      </c>
      <c r="L35" s="64">
        <v>21.97</v>
      </c>
      <c r="M35" s="64">
        <v>98.13</v>
      </c>
      <c r="N35" s="64">
        <v>69.5</v>
      </c>
      <c r="O35" s="64">
        <v>0</v>
      </c>
      <c r="P35" s="64">
        <v>0.16</v>
      </c>
      <c r="Q35" s="64">
        <v>8.9700000000000006</v>
      </c>
      <c r="R35" s="198"/>
      <c r="S35" s="198"/>
      <c r="T35" s="198"/>
      <c r="U35" s="198"/>
    </row>
    <row r="36" spans="1:21" s="12" customFormat="1" x14ac:dyDescent="0.25">
      <c r="A36" s="213" t="s">
        <v>2959</v>
      </c>
      <c r="B36" s="64">
        <v>7.17</v>
      </c>
      <c r="C36" s="64">
        <v>10.95</v>
      </c>
      <c r="D36" s="64">
        <v>11.47</v>
      </c>
      <c r="E36" s="64">
        <v>4.58</v>
      </c>
      <c r="F36" s="64">
        <v>4.2</v>
      </c>
      <c r="G36" s="64">
        <v>3</v>
      </c>
      <c r="H36" s="64">
        <v>0.27</v>
      </c>
      <c r="I36" s="64">
        <v>0.51</v>
      </c>
      <c r="J36" s="64">
        <v>0.14000000000000001</v>
      </c>
      <c r="K36" s="64">
        <v>309.63</v>
      </c>
      <c r="L36" s="64">
        <v>21.95</v>
      </c>
      <c r="M36" s="64">
        <v>98.13</v>
      </c>
      <c r="N36" s="64">
        <v>78.400000000000006</v>
      </c>
      <c r="O36" s="64">
        <v>0</v>
      </c>
      <c r="P36" s="64">
        <v>0.17</v>
      </c>
      <c r="Q36" s="64">
        <v>8.9700000000000006</v>
      </c>
      <c r="R36" s="198"/>
      <c r="S36" s="198"/>
      <c r="T36" s="198"/>
      <c r="U36" s="198"/>
    </row>
    <row r="37" spans="1:21" s="12" customFormat="1" x14ac:dyDescent="0.25">
      <c r="A37" s="213" t="s">
        <v>2960</v>
      </c>
      <c r="B37" s="64">
        <v>7.07</v>
      </c>
      <c r="C37" s="64">
        <v>10.9</v>
      </c>
      <c r="D37" s="64">
        <v>11.36</v>
      </c>
      <c r="E37" s="64">
        <v>4.42</v>
      </c>
      <c r="F37" s="64">
        <v>3.29</v>
      </c>
      <c r="G37" s="64">
        <v>2.89</v>
      </c>
      <c r="H37" s="64">
        <v>0.34</v>
      </c>
      <c r="I37" s="64">
        <v>0.51</v>
      </c>
      <c r="J37" s="64">
        <v>0.12</v>
      </c>
      <c r="K37" s="64">
        <v>305.08</v>
      </c>
      <c r="L37" s="64">
        <v>21.97</v>
      </c>
      <c r="M37" s="64">
        <v>98.13</v>
      </c>
      <c r="N37" s="64">
        <v>96.1</v>
      </c>
      <c r="O37" s="64">
        <v>0</v>
      </c>
      <c r="P37" s="64">
        <v>0.16</v>
      </c>
      <c r="Q37" s="64">
        <v>8.99</v>
      </c>
      <c r="R37" s="198"/>
      <c r="S37" s="198"/>
      <c r="T37" s="198"/>
      <c r="U37" s="198"/>
    </row>
    <row r="38" spans="1:21" s="12" customFormat="1" x14ac:dyDescent="0.25">
      <c r="A38" s="213" t="s">
        <v>2961</v>
      </c>
      <c r="B38" s="64">
        <v>7.04</v>
      </c>
      <c r="C38" s="64">
        <v>10.74</v>
      </c>
      <c r="D38" s="64">
        <v>11.25</v>
      </c>
      <c r="E38" s="64">
        <v>4.32</v>
      </c>
      <c r="F38" s="64">
        <v>3.57</v>
      </c>
      <c r="G38" s="64">
        <v>2.5099999999999998</v>
      </c>
      <c r="H38" s="64">
        <v>0.56999999999999995</v>
      </c>
      <c r="I38" s="64">
        <v>0.5</v>
      </c>
      <c r="J38" s="64">
        <v>0.13</v>
      </c>
      <c r="K38" s="64">
        <v>311.32</v>
      </c>
      <c r="L38" s="64">
        <v>22.04</v>
      </c>
      <c r="M38" s="64">
        <v>98.13</v>
      </c>
      <c r="N38" s="64">
        <v>98.3</v>
      </c>
      <c r="O38" s="64">
        <v>0</v>
      </c>
      <c r="P38" s="64">
        <v>0.17</v>
      </c>
      <c r="Q38" s="64">
        <v>9.01</v>
      </c>
      <c r="R38" s="198"/>
      <c r="S38" s="198"/>
      <c r="T38" s="198"/>
      <c r="U38" s="198"/>
    </row>
    <row r="39" spans="1:21" s="12" customFormat="1" x14ac:dyDescent="0.25">
      <c r="A39" s="213" t="s">
        <v>2962</v>
      </c>
      <c r="B39" s="64">
        <v>7.3</v>
      </c>
      <c r="C39" s="64">
        <v>10.73</v>
      </c>
      <c r="D39" s="64">
        <v>11.46</v>
      </c>
      <c r="E39" s="64">
        <v>4.46</v>
      </c>
      <c r="F39" s="64">
        <v>3.25</v>
      </c>
      <c r="G39" s="64">
        <v>2.5099999999999998</v>
      </c>
      <c r="H39" s="64">
        <v>0.56999999999999995</v>
      </c>
      <c r="I39" s="64">
        <v>0.5</v>
      </c>
      <c r="J39" s="64">
        <v>0.09</v>
      </c>
      <c r="K39" s="64">
        <v>301.72000000000003</v>
      </c>
      <c r="L39" s="64">
        <v>22.05</v>
      </c>
      <c r="M39" s="64">
        <v>98.13</v>
      </c>
      <c r="N39" s="64">
        <v>86.5</v>
      </c>
      <c r="O39" s="64">
        <v>0</v>
      </c>
      <c r="P39" s="64">
        <v>0.17</v>
      </c>
      <c r="Q39" s="64">
        <v>9</v>
      </c>
      <c r="R39" s="198"/>
      <c r="S39" s="198"/>
      <c r="T39" s="198"/>
      <c r="U39" s="198"/>
    </row>
    <row r="40" spans="1:21" s="12" customFormat="1" x14ac:dyDescent="0.25">
      <c r="A40" s="213" t="s">
        <v>2963</v>
      </c>
      <c r="B40" s="64">
        <v>7.1</v>
      </c>
      <c r="C40" s="64">
        <v>10.99</v>
      </c>
      <c r="D40" s="64">
        <v>11.43</v>
      </c>
      <c r="E40" s="64">
        <v>4.32</v>
      </c>
      <c r="F40" s="64">
        <v>3.27</v>
      </c>
      <c r="G40" s="64">
        <v>2.5099999999999998</v>
      </c>
      <c r="H40" s="64">
        <v>0.56999999999999995</v>
      </c>
      <c r="I40" s="64">
        <v>0.5</v>
      </c>
      <c r="J40" s="64">
        <v>0.16</v>
      </c>
      <c r="K40" s="64">
        <v>311.55</v>
      </c>
      <c r="L40" s="64">
        <v>22.06</v>
      </c>
      <c r="M40" s="64">
        <v>98.12</v>
      </c>
      <c r="N40" s="64">
        <v>92.9</v>
      </c>
      <c r="O40" s="64">
        <v>0</v>
      </c>
      <c r="P40" s="64">
        <v>0.17</v>
      </c>
      <c r="Q40" s="64">
        <v>9.02</v>
      </c>
      <c r="R40" s="198"/>
      <c r="S40" s="198"/>
      <c r="T40" s="198"/>
      <c r="U40" s="198"/>
    </row>
    <row r="41" spans="1:21" s="12" customFormat="1" x14ac:dyDescent="0.25">
      <c r="A41" s="213" t="s">
        <v>2964</v>
      </c>
      <c r="B41" s="64">
        <v>7.04</v>
      </c>
      <c r="C41" s="64">
        <v>11.02</v>
      </c>
      <c r="D41" s="64">
        <v>11.41</v>
      </c>
      <c r="E41" s="64">
        <v>4.8499999999999996</v>
      </c>
      <c r="F41" s="64">
        <v>3.34</v>
      </c>
      <c r="G41" s="64">
        <v>0</v>
      </c>
      <c r="H41" s="64">
        <v>0.93</v>
      </c>
      <c r="I41" s="64">
        <v>0.52</v>
      </c>
      <c r="J41" s="64">
        <v>0.14000000000000001</v>
      </c>
      <c r="K41" s="64">
        <v>294.67</v>
      </c>
      <c r="L41" s="64">
        <v>10.79</v>
      </c>
      <c r="M41" s="64">
        <v>98.11</v>
      </c>
      <c r="N41" s="64">
        <v>114.1</v>
      </c>
      <c r="O41" s="64">
        <v>0</v>
      </c>
      <c r="P41" s="64">
        <v>0.17</v>
      </c>
      <c r="Q41" s="64">
        <v>9.02</v>
      </c>
      <c r="R41" s="198"/>
      <c r="S41" s="198"/>
      <c r="T41" s="198"/>
      <c r="U41" s="198"/>
    </row>
    <row r="42" spans="1:21" s="12" customFormat="1" x14ac:dyDescent="0.25">
      <c r="A42" s="213" t="s">
        <v>2965</v>
      </c>
      <c r="B42" s="64">
        <v>7.05</v>
      </c>
      <c r="C42" s="64">
        <v>11.1</v>
      </c>
      <c r="D42" s="64">
        <v>11.45</v>
      </c>
      <c r="E42" s="64">
        <v>4.78</v>
      </c>
      <c r="F42" s="64">
        <v>3.35</v>
      </c>
      <c r="G42" s="64">
        <v>5.21</v>
      </c>
      <c r="H42" s="64">
        <v>1.53</v>
      </c>
      <c r="I42" s="64">
        <v>0.53</v>
      </c>
      <c r="J42" s="64">
        <v>0.13</v>
      </c>
      <c r="K42" s="64">
        <v>291.8</v>
      </c>
      <c r="L42" s="64">
        <v>22.17</v>
      </c>
      <c r="M42" s="64">
        <v>98.1</v>
      </c>
      <c r="N42" s="64">
        <v>139.30000000000001</v>
      </c>
      <c r="O42" s="64">
        <v>0</v>
      </c>
      <c r="P42" s="64">
        <v>0.18</v>
      </c>
      <c r="Q42" s="64">
        <v>9.0299999999999994</v>
      </c>
      <c r="R42" s="198"/>
      <c r="S42" s="198"/>
      <c r="T42" s="198"/>
      <c r="U42" s="198"/>
    </row>
    <row r="43" spans="1:21" s="12" customFormat="1" x14ac:dyDescent="0.25">
      <c r="A43" s="213" t="s">
        <v>2966</v>
      </c>
      <c r="B43" s="64">
        <v>6.96</v>
      </c>
      <c r="C43" s="64">
        <v>11.16</v>
      </c>
      <c r="D43" s="64">
        <v>11.41</v>
      </c>
      <c r="E43" s="64">
        <v>4.7699999999999996</v>
      </c>
      <c r="F43" s="64">
        <v>3.37</v>
      </c>
      <c r="G43" s="64">
        <v>5.21</v>
      </c>
      <c r="H43" s="64">
        <v>1.53</v>
      </c>
      <c r="I43" s="64">
        <v>0.52</v>
      </c>
      <c r="J43" s="64">
        <v>0.21</v>
      </c>
      <c r="K43" s="64">
        <v>303.58999999999997</v>
      </c>
      <c r="L43" s="64">
        <v>22.31</v>
      </c>
      <c r="M43" s="64">
        <v>98.1</v>
      </c>
      <c r="N43" s="64">
        <v>169.1</v>
      </c>
      <c r="O43" s="64">
        <v>0</v>
      </c>
      <c r="P43" s="64">
        <v>0.18</v>
      </c>
      <c r="Q43" s="64">
        <v>9.02</v>
      </c>
      <c r="R43" s="198"/>
      <c r="S43" s="198"/>
      <c r="T43" s="198"/>
      <c r="U43" s="198"/>
    </row>
    <row r="44" spans="1:21" s="12" customFormat="1" x14ac:dyDescent="0.25">
      <c r="A44" s="213" t="s">
        <v>2967</v>
      </c>
      <c r="B44" s="64">
        <v>6.79</v>
      </c>
      <c r="C44" s="64">
        <v>11.36</v>
      </c>
      <c r="D44" s="64">
        <v>11.38</v>
      </c>
      <c r="E44" s="64">
        <v>4.71</v>
      </c>
      <c r="F44" s="64">
        <v>3.95</v>
      </c>
      <c r="G44" s="64">
        <v>5.21</v>
      </c>
      <c r="H44" s="64">
        <v>1.53</v>
      </c>
      <c r="I44" s="64">
        <v>0.54</v>
      </c>
      <c r="J44" s="64">
        <v>0.21</v>
      </c>
      <c r="K44" s="64">
        <v>303.88</v>
      </c>
      <c r="L44" s="64">
        <v>22.4</v>
      </c>
      <c r="M44" s="64">
        <v>98.12</v>
      </c>
      <c r="N44" s="64">
        <v>197.3</v>
      </c>
      <c r="O44" s="64">
        <v>0</v>
      </c>
      <c r="P44" s="64">
        <v>0.18</v>
      </c>
      <c r="Q44" s="64">
        <v>9.02</v>
      </c>
      <c r="R44" s="198"/>
      <c r="S44" s="198"/>
      <c r="T44" s="198"/>
      <c r="U44" s="198"/>
    </row>
    <row r="45" spans="1:21" s="12" customFormat="1" x14ac:dyDescent="0.25">
      <c r="A45" s="213" t="s">
        <v>2968</v>
      </c>
      <c r="B45" s="64">
        <v>6.62</v>
      </c>
      <c r="C45" s="64">
        <v>11.67</v>
      </c>
      <c r="D45" s="64">
        <v>11.4</v>
      </c>
      <c r="E45" s="64">
        <v>4.8600000000000003</v>
      </c>
      <c r="F45" s="64">
        <v>3.51</v>
      </c>
      <c r="G45" s="64">
        <v>4.9400000000000004</v>
      </c>
      <c r="H45" s="64">
        <v>1.66</v>
      </c>
      <c r="I45" s="64">
        <v>0.55000000000000004</v>
      </c>
      <c r="J45" s="64">
        <v>0.2</v>
      </c>
      <c r="K45" s="64">
        <v>313.92</v>
      </c>
      <c r="L45" s="64">
        <v>22.35</v>
      </c>
      <c r="M45" s="64">
        <v>98.12</v>
      </c>
      <c r="N45" s="64">
        <v>166.8</v>
      </c>
      <c r="O45" s="64">
        <v>0</v>
      </c>
      <c r="P45" s="64">
        <v>0.19</v>
      </c>
      <c r="Q45" s="64">
        <v>9</v>
      </c>
      <c r="R45" s="198"/>
      <c r="S45" s="198"/>
      <c r="T45" s="198"/>
      <c r="U45" s="198"/>
    </row>
    <row r="46" spans="1:21" s="12" customFormat="1" x14ac:dyDescent="0.25">
      <c r="A46" s="213" t="s">
        <v>2969</v>
      </c>
      <c r="B46" s="64">
        <v>6.51</v>
      </c>
      <c r="C46" s="64">
        <v>11.61</v>
      </c>
      <c r="D46" s="64">
        <v>11.29</v>
      </c>
      <c r="E46" s="64">
        <v>4.58</v>
      </c>
      <c r="F46" s="64">
        <v>3.58</v>
      </c>
      <c r="G46" s="64">
        <v>4.0599999999999996</v>
      </c>
      <c r="H46" s="64">
        <v>2.09</v>
      </c>
      <c r="I46" s="64">
        <v>0.54</v>
      </c>
      <c r="J46" s="64">
        <v>0.18</v>
      </c>
      <c r="K46" s="64">
        <v>285.89999999999998</v>
      </c>
      <c r="L46" s="64">
        <v>22.43</v>
      </c>
      <c r="M46" s="64">
        <v>98.11</v>
      </c>
      <c r="N46" s="64">
        <v>169.1</v>
      </c>
      <c r="O46" s="64">
        <v>0</v>
      </c>
      <c r="P46" s="64">
        <v>0.19</v>
      </c>
      <c r="Q46" s="64">
        <v>8.99</v>
      </c>
      <c r="R46" s="198"/>
      <c r="S46" s="198"/>
      <c r="T46" s="198"/>
      <c r="U46" s="198"/>
    </row>
    <row r="47" spans="1:21" s="12" customFormat="1" x14ac:dyDescent="0.25">
      <c r="A47" s="213" t="s">
        <v>2970</v>
      </c>
      <c r="B47" s="64">
        <v>6.55</v>
      </c>
      <c r="C47" s="64">
        <v>11.73</v>
      </c>
      <c r="D47" s="64">
        <v>11.38</v>
      </c>
      <c r="E47" s="64">
        <v>4.68</v>
      </c>
      <c r="F47" s="64">
        <v>3.09</v>
      </c>
      <c r="G47" s="64">
        <v>4.0599999999999996</v>
      </c>
      <c r="H47" s="64">
        <v>2.09</v>
      </c>
      <c r="I47" s="64">
        <v>0.53</v>
      </c>
      <c r="J47" s="64">
        <v>0.21</v>
      </c>
      <c r="K47" s="64">
        <v>290.22000000000003</v>
      </c>
      <c r="L47" s="64">
        <v>22.66</v>
      </c>
      <c r="M47" s="64">
        <v>98.12</v>
      </c>
      <c r="N47" s="64">
        <v>215.3</v>
      </c>
      <c r="O47" s="64">
        <v>0</v>
      </c>
      <c r="P47" s="64">
        <v>0.2</v>
      </c>
      <c r="Q47" s="64">
        <v>8.99</v>
      </c>
      <c r="R47" s="198"/>
      <c r="S47" s="198"/>
      <c r="T47" s="198"/>
      <c r="U47" s="198"/>
    </row>
    <row r="48" spans="1:21" s="12" customFormat="1" x14ac:dyDescent="0.25">
      <c r="A48" s="213" t="s">
        <v>2971</v>
      </c>
      <c r="B48" s="64">
        <v>6.65</v>
      </c>
      <c r="C48" s="64">
        <v>11.64</v>
      </c>
      <c r="D48" s="64">
        <v>11.42</v>
      </c>
      <c r="E48" s="64">
        <v>4.75</v>
      </c>
      <c r="F48" s="64">
        <v>4.32</v>
      </c>
      <c r="G48" s="64">
        <v>4.0599999999999996</v>
      </c>
      <c r="H48" s="64">
        <v>2.09</v>
      </c>
      <c r="I48" s="64">
        <v>0.56000000000000005</v>
      </c>
      <c r="J48" s="64">
        <v>0.22</v>
      </c>
      <c r="K48" s="64">
        <v>294.79000000000002</v>
      </c>
      <c r="L48" s="64">
        <v>22.86</v>
      </c>
      <c r="M48" s="64">
        <v>98.11</v>
      </c>
      <c r="N48" s="64">
        <v>204.4</v>
      </c>
      <c r="O48" s="64">
        <v>0</v>
      </c>
      <c r="P48" s="64">
        <v>0.21</v>
      </c>
      <c r="Q48" s="64">
        <v>8.99</v>
      </c>
      <c r="R48" s="198"/>
      <c r="S48" s="198"/>
      <c r="T48" s="198"/>
      <c r="U48" s="198"/>
    </row>
    <row r="49" spans="1:21" s="12" customFormat="1" x14ac:dyDescent="0.25">
      <c r="A49" s="213" t="s">
        <v>2972</v>
      </c>
      <c r="B49" s="64">
        <v>6.87</v>
      </c>
      <c r="C49" s="64">
        <v>11.75</v>
      </c>
      <c r="D49" s="64">
        <v>11.65</v>
      </c>
      <c r="E49" s="64">
        <v>4.67</v>
      </c>
      <c r="F49" s="64">
        <v>2.9</v>
      </c>
      <c r="G49" s="64">
        <v>3.94</v>
      </c>
      <c r="H49" s="64">
        <v>2.1</v>
      </c>
      <c r="I49" s="64">
        <v>0.57999999999999996</v>
      </c>
      <c r="J49" s="64">
        <v>0.17</v>
      </c>
      <c r="K49" s="64">
        <v>303.99</v>
      </c>
      <c r="L49" s="64">
        <v>22.94</v>
      </c>
      <c r="M49" s="64">
        <v>98.08</v>
      </c>
      <c r="N49" s="64">
        <v>192.2</v>
      </c>
      <c r="O49" s="64">
        <v>0</v>
      </c>
      <c r="P49" s="64">
        <v>0.22</v>
      </c>
      <c r="Q49" s="64">
        <v>9</v>
      </c>
      <c r="R49" s="198"/>
      <c r="S49" s="198"/>
      <c r="T49" s="198"/>
      <c r="U49" s="198"/>
    </row>
    <row r="50" spans="1:21" s="12" customFormat="1" x14ac:dyDescent="0.25">
      <c r="A50" s="213" t="s">
        <v>2973</v>
      </c>
      <c r="B50" s="64">
        <v>7.12</v>
      </c>
      <c r="C50" s="64">
        <v>11.66</v>
      </c>
      <c r="D50" s="64">
        <v>11.8</v>
      </c>
      <c r="E50" s="64">
        <v>5.1100000000000003</v>
      </c>
      <c r="F50" s="64">
        <v>3.85</v>
      </c>
      <c r="G50" s="64">
        <v>3.55</v>
      </c>
      <c r="H50" s="64">
        <v>2.12</v>
      </c>
      <c r="I50" s="64">
        <v>0.62</v>
      </c>
      <c r="J50" s="64">
        <v>0.25</v>
      </c>
      <c r="K50" s="64">
        <v>291.29000000000002</v>
      </c>
      <c r="L50" s="64">
        <v>22.94</v>
      </c>
      <c r="M50" s="64">
        <v>98.08</v>
      </c>
      <c r="N50" s="64">
        <v>166.1</v>
      </c>
      <c r="O50" s="64">
        <v>0</v>
      </c>
      <c r="P50" s="64">
        <v>0.24</v>
      </c>
      <c r="Q50" s="64">
        <v>9</v>
      </c>
      <c r="R50" s="198"/>
      <c r="S50" s="198"/>
      <c r="T50" s="198"/>
      <c r="U50" s="198"/>
    </row>
    <row r="51" spans="1:21" s="12" customFormat="1" x14ac:dyDescent="0.25">
      <c r="A51" s="213" t="s">
        <v>2974</v>
      </c>
      <c r="B51" s="64">
        <v>7.15</v>
      </c>
      <c r="C51" s="64">
        <v>11.83</v>
      </c>
      <c r="D51" s="64">
        <v>11.92</v>
      </c>
      <c r="E51" s="64">
        <v>4.79</v>
      </c>
      <c r="F51" s="64">
        <v>3.03</v>
      </c>
      <c r="G51" s="64">
        <v>3.55</v>
      </c>
      <c r="H51" s="64">
        <v>2.12</v>
      </c>
      <c r="I51" s="64">
        <v>0.66</v>
      </c>
      <c r="J51" s="64">
        <v>0.22</v>
      </c>
      <c r="K51" s="64">
        <v>301.72000000000003</v>
      </c>
      <c r="L51" s="64">
        <v>22.86</v>
      </c>
      <c r="M51" s="64">
        <v>98.08</v>
      </c>
      <c r="N51" s="64">
        <v>155.9</v>
      </c>
      <c r="O51" s="64">
        <v>0</v>
      </c>
      <c r="P51" s="64">
        <v>0.25</v>
      </c>
      <c r="Q51" s="64">
        <v>9</v>
      </c>
      <c r="R51" s="198"/>
      <c r="S51" s="198"/>
      <c r="T51" s="198"/>
      <c r="U51" s="198"/>
    </row>
    <row r="52" spans="1:21" s="12" customFormat="1" x14ac:dyDescent="0.25">
      <c r="A52" s="213" t="s">
        <v>2975</v>
      </c>
      <c r="B52" s="64">
        <v>7.11</v>
      </c>
      <c r="C52" s="64">
        <v>12.18</v>
      </c>
      <c r="D52" s="64">
        <v>12.06</v>
      </c>
      <c r="E52" s="64">
        <v>4.8899999999999997</v>
      </c>
      <c r="F52" s="64">
        <v>6.09</v>
      </c>
      <c r="G52" s="64">
        <v>3.55</v>
      </c>
      <c r="H52" s="64">
        <v>2.12</v>
      </c>
      <c r="I52" s="64">
        <v>0.68</v>
      </c>
      <c r="J52" s="64">
        <v>0.27</v>
      </c>
      <c r="K52" s="64">
        <v>291.39</v>
      </c>
      <c r="L52" s="64">
        <v>22.99</v>
      </c>
      <c r="M52" s="64">
        <v>98.08</v>
      </c>
      <c r="N52" s="64">
        <v>178.8</v>
      </c>
      <c r="O52" s="64">
        <v>0</v>
      </c>
      <c r="P52" s="64">
        <v>0.27</v>
      </c>
      <c r="Q52" s="64">
        <v>9</v>
      </c>
      <c r="R52" s="198"/>
      <c r="S52" s="198"/>
      <c r="T52" s="198"/>
      <c r="U52" s="198"/>
    </row>
    <row r="53" spans="1:21" s="12" customFormat="1" x14ac:dyDescent="0.25">
      <c r="A53" s="213" t="s">
        <v>2976</v>
      </c>
      <c r="B53" s="64">
        <v>6.26</v>
      </c>
      <c r="C53" s="64">
        <v>14.79</v>
      </c>
      <c r="D53" s="64">
        <v>12.74</v>
      </c>
      <c r="E53" s="64">
        <v>4.79</v>
      </c>
      <c r="F53" s="64">
        <v>5.41</v>
      </c>
      <c r="G53" s="64">
        <v>3.38</v>
      </c>
      <c r="H53" s="64">
        <v>2.06</v>
      </c>
      <c r="I53" s="64">
        <v>0.65</v>
      </c>
      <c r="J53" s="64">
        <v>0.27</v>
      </c>
      <c r="K53" s="64">
        <v>285.99</v>
      </c>
      <c r="L53" s="64">
        <v>23.12</v>
      </c>
      <c r="M53" s="64">
        <v>98.08</v>
      </c>
      <c r="N53" s="64">
        <v>176.7</v>
      </c>
      <c r="O53" s="64">
        <v>0</v>
      </c>
      <c r="P53" s="64">
        <v>0.3</v>
      </c>
      <c r="Q53" s="64">
        <v>9.01</v>
      </c>
      <c r="R53" s="198"/>
      <c r="S53" s="198"/>
      <c r="T53" s="198"/>
      <c r="U53" s="198"/>
    </row>
    <row r="54" spans="1:21" s="12" customFormat="1" x14ac:dyDescent="0.25">
      <c r="A54" s="213" t="s">
        <v>2977</v>
      </c>
      <c r="B54" s="64">
        <v>5.27</v>
      </c>
      <c r="C54" s="64">
        <v>16.5</v>
      </c>
      <c r="D54" s="64">
        <v>12.84</v>
      </c>
      <c r="E54" s="64">
        <v>4.92</v>
      </c>
      <c r="F54" s="64">
        <v>6.27</v>
      </c>
      <c r="G54" s="64">
        <v>2.83</v>
      </c>
      <c r="H54" s="64">
        <v>1.85</v>
      </c>
      <c r="I54" s="64">
        <v>0.67</v>
      </c>
      <c r="J54" s="64">
        <v>0.26</v>
      </c>
      <c r="K54" s="64">
        <v>290.48</v>
      </c>
      <c r="L54" s="64">
        <v>23.18</v>
      </c>
      <c r="M54" s="64">
        <v>98.07</v>
      </c>
      <c r="N54" s="64">
        <v>169.1</v>
      </c>
      <c r="O54" s="64">
        <v>0</v>
      </c>
      <c r="P54" s="64">
        <v>0.27</v>
      </c>
      <c r="Q54" s="64">
        <v>8.99</v>
      </c>
      <c r="R54" s="198"/>
      <c r="S54" s="198"/>
      <c r="T54" s="198"/>
      <c r="U54" s="198"/>
    </row>
    <row r="55" spans="1:21" s="12" customFormat="1" x14ac:dyDescent="0.25">
      <c r="A55" s="213" t="s">
        <v>2978</v>
      </c>
      <c r="B55" s="64">
        <v>4.5999999999999996</v>
      </c>
      <c r="C55" s="64">
        <v>16.899999999999999</v>
      </c>
      <c r="D55" s="64">
        <v>12.52</v>
      </c>
      <c r="E55" s="64">
        <v>4.6100000000000003</v>
      </c>
      <c r="F55" s="64">
        <v>4.2</v>
      </c>
      <c r="G55" s="64">
        <v>2.83</v>
      </c>
      <c r="H55" s="64">
        <v>1.85</v>
      </c>
      <c r="I55" s="64">
        <v>0.61</v>
      </c>
      <c r="J55" s="64">
        <v>0.25</v>
      </c>
      <c r="K55" s="64">
        <v>292.61</v>
      </c>
      <c r="L55" s="64">
        <v>23.24</v>
      </c>
      <c r="M55" s="64">
        <v>98.04</v>
      </c>
      <c r="N55" s="64">
        <v>154.30000000000001</v>
      </c>
      <c r="O55" s="64">
        <v>0</v>
      </c>
      <c r="P55" s="64">
        <v>0.27</v>
      </c>
      <c r="Q55" s="64">
        <v>8.98</v>
      </c>
      <c r="R55" s="198"/>
      <c r="S55" s="198"/>
      <c r="T55" s="198"/>
      <c r="U55" s="198"/>
    </row>
    <row r="56" spans="1:21" s="12" customFormat="1" x14ac:dyDescent="0.25">
      <c r="A56" s="213" t="s">
        <v>2979</v>
      </c>
      <c r="B56" s="64">
        <v>4.7300000000000004</v>
      </c>
      <c r="C56" s="64">
        <v>15.94</v>
      </c>
      <c r="D56" s="64">
        <v>12.12</v>
      </c>
      <c r="E56" s="64">
        <v>4.6399999999999997</v>
      </c>
      <c r="F56" s="64">
        <v>3.5</v>
      </c>
      <c r="G56" s="64">
        <v>2.83</v>
      </c>
      <c r="H56" s="64">
        <v>1.85</v>
      </c>
      <c r="I56" s="64">
        <v>0.54</v>
      </c>
      <c r="J56" s="64">
        <v>0.25</v>
      </c>
      <c r="K56" s="64">
        <v>297.77</v>
      </c>
      <c r="L56" s="64">
        <v>23.34</v>
      </c>
      <c r="M56" s="64">
        <v>98.03</v>
      </c>
      <c r="N56" s="64">
        <v>151.5</v>
      </c>
      <c r="O56" s="64">
        <v>0</v>
      </c>
      <c r="P56" s="64">
        <v>0.28000000000000003</v>
      </c>
      <c r="Q56" s="64">
        <v>8.99</v>
      </c>
      <c r="R56" s="198"/>
      <c r="S56" s="198"/>
      <c r="T56" s="198"/>
      <c r="U56" s="198"/>
    </row>
    <row r="57" spans="1:21" s="12" customFormat="1" x14ac:dyDescent="0.25">
      <c r="A57" s="213" t="s">
        <v>2980</v>
      </c>
      <c r="B57" s="64">
        <v>5</v>
      </c>
      <c r="C57" s="64">
        <v>14.97</v>
      </c>
      <c r="D57" s="64">
        <v>11.83</v>
      </c>
      <c r="E57" s="64">
        <v>4.57</v>
      </c>
      <c r="F57" s="64">
        <v>3.69</v>
      </c>
      <c r="G57" s="64">
        <v>3.56</v>
      </c>
      <c r="H57" s="64">
        <v>1.94</v>
      </c>
      <c r="I57" s="64">
        <v>0.56999999999999995</v>
      </c>
      <c r="J57" s="64">
        <v>0.28000000000000003</v>
      </c>
      <c r="K57" s="64">
        <v>289.18</v>
      </c>
      <c r="L57" s="64">
        <v>23.41</v>
      </c>
      <c r="M57" s="64">
        <v>98.03</v>
      </c>
      <c r="N57" s="64">
        <v>171.2</v>
      </c>
      <c r="O57" s="64">
        <v>0</v>
      </c>
      <c r="P57" s="64">
        <v>0.28000000000000003</v>
      </c>
      <c r="Q57" s="64">
        <v>9</v>
      </c>
      <c r="R57" s="198"/>
      <c r="S57" s="198"/>
      <c r="T57" s="198"/>
      <c r="U57" s="198"/>
    </row>
    <row r="58" spans="1:21" s="12" customFormat="1" x14ac:dyDescent="0.25">
      <c r="A58" s="213" t="s">
        <v>2981</v>
      </c>
      <c r="B58" s="64">
        <v>5.27</v>
      </c>
      <c r="C58" s="64">
        <v>14.48</v>
      </c>
      <c r="D58" s="64">
        <v>11.79</v>
      </c>
      <c r="E58" s="64">
        <v>4.32</v>
      </c>
      <c r="F58" s="64">
        <v>3.56</v>
      </c>
      <c r="G58" s="64">
        <v>5.94</v>
      </c>
      <c r="H58" s="64">
        <v>2.23</v>
      </c>
      <c r="I58" s="64">
        <v>0.6</v>
      </c>
      <c r="J58" s="64">
        <v>0.23</v>
      </c>
      <c r="K58" s="64">
        <v>290.27999999999997</v>
      </c>
      <c r="L58" s="64">
        <v>23.54</v>
      </c>
      <c r="M58" s="64">
        <v>98.02</v>
      </c>
      <c r="N58" s="64">
        <v>154.69999999999999</v>
      </c>
      <c r="O58" s="64">
        <v>0</v>
      </c>
      <c r="P58" s="64">
        <v>0.28000000000000003</v>
      </c>
      <c r="Q58" s="64">
        <v>9.01</v>
      </c>
      <c r="R58" s="198"/>
      <c r="S58" s="198"/>
      <c r="T58" s="198"/>
      <c r="U58" s="198"/>
    </row>
    <row r="59" spans="1:21" s="12" customFormat="1" x14ac:dyDescent="0.25">
      <c r="A59" s="213" t="s">
        <v>2982</v>
      </c>
      <c r="B59" s="64">
        <v>5.51</v>
      </c>
      <c r="C59" s="64">
        <v>13.96</v>
      </c>
      <c r="D59" s="64">
        <v>11.71</v>
      </c>
      <c r="E59" s="64">
        <v>4.3499999999999996</v>
      </c>
      <c r="F59" s="64">
        <v>3.55</v>
      </c>
      <c r="G59" s="64">
        <v>5.94</v>
      </c>
      <c r="H59" s="64">
        <v>2.23</v>
      </c>
      <c r="I59" s="64">
        <v>0.62</v>
      </c>
      <c r="J59" s="64">
        <v>0.25</v>
      </c>
      <c r="K59" s="64">
        <v>281.33999999999997</v>
      </c>
      <c r="L59" s="64">
        <v>23.51</v>
      </c>
      <c r="M59" s="64">
        <v>98.02</v>
      </c>
      <c r="N59" s="64">
        <v>135.9</v>
      </c>
      <c r="O59" s="64">
        <v>0</v>
      </c>
      <c r="P59" s="64">
        <v>0.27</v>
      </c>
      <c r="Q59" s="64">
        <v>9.02</v>
      </c>
      <c r="R59" s="198"/>
      <c r="S59" s="198"/>
      <c r="T59" s="198"/>
      <c r="U59" s="198"/>
    </row>
    <row r="60" spans="1:21" s="12" customFormat="1" x14ac:dyDescent="0.25">
      <c r="A60" s="213" t="s">
        <v>2983</v>
      </c>
      <c r="B60" s="64">
        <v>5.64</v>
      </c>
      <c r="C60" s="64">
        <v>13.6</v>
      </c>
      <c r="D60" s="64">
        <v>11.63</v>
      </c>
      <c r="E60" s="64">
        <v>4.1900000000000004</v>
      </c>
      <c r="F60" s="64">
        <v>3.34</v>
      </c>
      <c r="G60" s="64">
        <v>5.94</v>
      </c>
      <c r="H60" s="64">
        <v>2.23</v>
      </c>
      <c r="I60" s="64">
        <v>0.64</v>
      </c>
      <c r="J60" s="64">
        <v>0.2</v>
      </c>
      <c r="K60" s="64">
        <v>301.7</v>
      </c>
      <c r="L60" s="64">
        <v>23.49</v>
      </c>
      <c r="M60" s="64">
        <v>98.02</v>
      </c>
      <c r="N60" s="64">
        <v>120.5</v>
      </c>
      <c r="O60" s="64">
        <v>0</v>
      </c>
      <c r="P60" s="64">
        <v>0.27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3" t="s">
        <v>2984</v>
      </c>
      <c r="B61" s="64">
        <v>5.7</v>
      </c>
      <c r="C61" s="64">
        <v>13.42</v>
      </c>
      <c r="D61" s="64">
        <v>11.59</v>
      </c>
      <c r="E61" s="64">
        <v>4.6900000000000004</v>
      </c>
      <c r="F61" s="64">
        <v>3.47</v>
      </c>
      <c r="G61" s="64">
        <v>5.66</v>
      </c>
      <c r="H61" s="64">
        <v>3.41</v>
      </c>
      <c r="I61" s="64">
        <v>0.7</v>
      </c>
      <c r="J61" s="64">
        <v>0.23</v>
      </c>
      <c r="K61" s="64">
        <v>292.77</v>
      </c>
      <c r="L61" s="64">
        <v>23.27</v>
      </c>
      <c r="M61" s="64">
        <v>98.04</v>
      </c>
      <c r="N61" s="64">
        <v>120.8</v>
      </c>
      <c r="O61" s="64">
        <v>0</v>
      </c>
      <c r="P61" s="64">
        <v>0.26</v>
      </c>
      <c r="Q61" s="64">
        <v>9.02</v>
      </c>
      <c r="R61" s="198"/>
      <c r="S61" s="198"/>
      <c r="T61" s="198"/>
      <c r="U61" s="198"/>
    </row>
    <row r="62" spans="1:21" s="12" customFormat="1" x14ac:dyDescent="0.25">
      <c r="A62" s="213" t="s">
        <v>2985</v>
      </c>
      <c r="B62" s="64">
        <v>5.84</v>
      </c>
      <c r="C62" s="64">
        <v>13.14</v>
      </c>
      <c r="D62" s="64">
        <v>11.55</v>
      </c>
      <c r="E62" s="64">
        <v>4.46</v>
      </c>
      <c r="F62" s="64">
        <v>3.91</v>
      </c>
      <c r="G62" s="64">
        <v>4.75</v>
      </c>
      <c r="H62" s="64">
        <v>7.26</v>
      </c>
      <c r="I62" s="64">
        <v>0.75</v>
      </c>
      <c r="J62" s="64">
        <v>0.21</v>
      </c>
      <c r="K62" s="64">
        <v>297.01</v>
      </c>
      <c r="L62" s="64">
        <v>23.13</v>
      </c>
      <c r="M62" s="64">
        <v>98.07</v>
      </c>
      <c r="N62" s="64">
        <v>118.5</v>
      </c>
      <c r="O62" s="64">
        <v>0</v>
      </c>
      <c r="P62" s="64">
        <v>0.28000000000000003</v>
      </c>
      <c r="Q62" s="64">
        <v>9.01</v>
      </c>
      <c r="R62" s="198"/>
      <c r="S62" s="198"/>
      <c r="T62" s="198"/>
      <c r="U62" s="198"/>
    </row>
    <row r="63" spans="1:21" s="12" customFormat="1" x14ac:dyDescent="0.25">
      <c r="A63" s="213" t="s">
        <v>2986</v>
      </c>
      <c r="B63" s="64">
        <v>6.1</v>
      </c>
      <c r="C63" s="64">
        <v>12.32</v>
      </c>
      <c r="D63" s="64">
        <v>11.32</v>
      </c>
      <c r="E63" s="64">
        <v>4.43</v>
      </c>
      <c r="F63" s="64">
        <v>3.99</v>
      </c>
      <c r="G63" s="64">
        <v>4.75</v>
      </c>
      <c r="H63" s="64">
        <v>7.26</v>
      </c>
      <c r="I63" s="64">
        <v>0.75</v>
      </c>
      <c r="J63" s="64">
        <v>0.21</v>
      </c>
      <c r="K63" s="64">
        <v>302.88</v>
      </c>
      <c r="L63" s="64">
        <v>22.95</v>
      </c>
      <c r="M63" s="64">
        <v>98.1</v>
      </c>
      <c r="N63" s="64">
        <v>113.8</v>
      </c>
      <c r="O63" s="64">
        <v>0</v>
      </c>
      <c r="P63" s="64">
        <v>0.28999999999999998</v>
      </c>
      <c r="Q63" s="64">
        <v>9</v>
      </c>
      <c r="R63" s="198"/>
      <c r="S63" s="198"/>
      <c r="T63" s="198"/>
      <c r="U63" s="198"/>
    </row>
    <row r="64" spans="1:21" s="12" customFormat="1" x14ac:dyDescent="0.25">
      <c r="A64" s="213" t="s">
        <v>2987</v>
      </c>
      <c r="B64" s="64">
        <v>6.45</v>
      </c>
      <c r="C64" s="64">
        <v>12.17</v>
      </c>
      <c r="D64" s="64">
        <v>11.54</v>
      </c>
      <c r="E64" s="64">
        <v>4.8099999999999996</v>
      </c>
      <c r="F64" s="64">
        <v>2.69</v>
      </c>
      <c r="G64" s="64">
        <v>4.75</v>
      </c>
      <c r="H64" s="64">
        <v>7.26</v>
      </c>
      <c r="I64" s="64">
        <v>0.74</v>
      </c>
      <c r="J64" s="64">
        <v>0.22</v>
      </c>
      <c r="K64" s="64">
        <v>298.42</v>
      </c>
      <c r="L64" s="64">
        <v>23.01</v>
      </c>
      <c r="M64" s="64">
        <v>98.08</v>
      </c>
      <c r="N64" s="64">
        <v>127.4</v>
      </c>
      <c r="O64" s="64">
        <v>0</v>
      </c>
      <c r="P64" s="64">
        <v>0.28000000000000003</v>
      </c>
      <c r="Q64" s="64">
        <v>9</v>
      </c>
      <c r="R64" s="198"/>
      <c r="S64" s="198"/>
      <c r="T64" s="198"/>
      <c r="U64" s="198"/>
    </row>
    <row r="65" spans="1:21" s="12" customFormat="1" x14ac:dyDescent="0.25">
      <c r="A65" s="213" t="s">
        <v>2988</v>
      </c>
      <c r="B65" s="64">
        <v>6.6</v>
      </c>
      <c r="C65" s="64">
        <v>12.2</v>
      </c>
      <c r="D65" s="64">
        <v>11.67</v>
      </c>
      <c r="E65" s="64">
        <v>4.46</v>
      </c>
      <c r="F65" s="64">
        <v>3.87</v>
      </c>
      <c r="G65" s="64">
        <v>4.49</v>
      </c>
      <c r="H65" s="64">
        <v>7.08</v>
      </c>
      <c r="I65" s="64">
        <v>0.67</v>
      </c>
      <c r="J65" s="64">
        <v>0.23</v>
      </c>
      <c r="K65" s="64">
        <v>293.99</v>
      </c>
      <c r="L65" s="64">
        <v>23.12</v>
      </c>
      <c r="M65" s="64">
        <v>98.06</v>
      </c>
      <c r="N65" s="64">
        <v>125.5</v>
      </c>
      <c r="O65" s="64">
        <v>0</v>
      </c>
      <c r="P65" s="64">
        <v>0.3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3" t="s">
        <v>2989</v>
      </c>
      <c r="B66" s="64">
        <v>6.51</v>
      </c>
      <c r="C66" s="64">
        <v>12.11</v>
      </c>
      <c r="D66" s="64">
        <v>11.55</v>
      </c>
      <c r="E66" s="64">
        <v>4.66</v>
      </c>
      <c r="F66" s="64">
        <v>2.87</v>
      </c>
      <c r="G66" s="64">
        <v>3.64</v>
      </c>
      <c r="H66" s="64">
        <v>6.51</v>
      </c>
      <c r="I66" s="64">
        <v>0.62</v>
      </c>
      <c r="J66" s="64">
        <v>0.23</v>
      </c>
      <c r="K66" s="64">
        <v>291.97000000000003</v>
      </c>
      <c r="L66" s="64">
        <v>23.1</v>
      </c>
      <c r="M66" s="64">
        <v>98.07</v>
      </c>
      <c r="N66" s="64">
        <v>108</v>
      </c>
      <c r="O66" s="64">
        <v>0</v>
      </c>
      <c r="P66" s="64">
        <v>0.28999999999999998</v>
      </c>
      <c r="Q66" s="64">
        <v>8.99</v>
      </c>
      <c r="R66" s="198"/>
      <c r="S66" s="198"/>
      <c r="T66" s="198"/>
      <c r="U66" s="198"/>
    </row>
    <row r="67" spans="1:21" s="12" customFormat="1" x14ac:dyDescent="0.25">
      <c r="A67" s="213" t="s">
        <v>2990</v>
      </c>
      <c r="B67" s="64">
        <v>6.61</v>
      </c>
      <c r="C67" s="64">
        <v>12.35</v>
      </c>
      <c r="D67" s="64">
        <v>11.75</v>
      </c>
      <c r="E67" s="64">
        <v>4.54</v>
      </c>
      <c r="F67" s="64">
        <v>3.65</v>
      </c>
      <c r="G67" s="64">
        <v>3.64</v>
      </c>
      <c r="H67" s="64">
        <v>6.51</v>
      </c>
      <c r="I67" s="64">
        <v>0.68</v>
      </c>
      <c r="J67" s="64">
        <v>0.16</v>
      </c>
      <c r="K67" s="64">
        <v>280.70999999999998</v>
      </c>
      <c r="L67" s="64">
        <v>22.87</v>
      </c>
      <c r="M67" s="64">
        <v>98.09</v>
      </c>
      <c r="N67" s="64">
        <v>105</v>
      </c>
      <c r="O67" s="64">
        <v>0</v>
      </c>
      <c r="P67" s="64">
        <v>0.28000000000000003</v>
      </c>
      <c r="Q67" s="64">
        <v>8.99</v>
      </c>
      <c r="R67" s="198"/>
      <c r="S67" s="198"/>
      <c r="T67" s="198"/>
      <c r="U67" s="198"/>
    </row>
    <row r="68" spans="1:21" s="12" customFormat="1" x14ac:dyDescent="0.25">
      <c r="A68" s="213" t="s">
        <v>2991</v>
      </c>
      <c r="B68" s="64">
        <v>6.71</v>
      </c>
      <c r="C68" s="64">
        <v>12.42</v>
      </c>
      <c r="D68" s="64">
        <v>11.87</v>
      </c>
      <c r="E68" s="64">
        <v>4.41</v>
      </c>
      <c r="F68" s="64">
        <v>3.31</v>
      </c>
      <c r="G68" s="64">
        <v>3.64</v>
      </c>
      <c r="H68" s="64">
        <v>6.51</v>
      </c>
      <c r="I68" s="64">
        <v>0.73</v>
      </c>
      <c r="J68" s="64">
        <v>0.16</v>
      </c>
      <c r="K68" s="64">
        <v>286.06</v>
      </c>
      <c r="L68" s="64">
        <v>22.68</v>
      </c>
      <c r="M68" s="64">
        <v>98.13</v>
      </c>
      <c r="N68" s="64">
        <v>102.4</v>
      </c>
      <c r="O68" s="64">
        <v>0</v>
      </c>
      <c r="P68" s="64">
        <v>0.3</v>
      </c>
      <c r="Q68" s="64">
        <v>8.99</v>
      </c>
      <c r="R68" s="198"/>
      <c r="S68" s="198"/>
      <c r="T68" s="198"/>
      <c r="U68" s="198"/>
    </row>
    <row r="69" spans="1:21" s="12" customFormat="1" x14ac:dyDescent="0.25">
      <c r="A69" s="213" t="s">
        <v>2992</v>
      </c>
      <c r="B69" s="64">
        <v>7.03</v>
      </c>
      <c r="C69" s="64">
        <v>12.58</v>
      </c>
      <c r="D69" s="64">
        <v>12.21</v>
      </c>
      <c r="E69" s="64">
        <v>4.54</v>
      </c>
      <c r="F69" s="64">
        <v>3.3</v>
      </c>
      <c r="G69" s="64">
        <v>3.71</v>
      </c>
      <c r="H69" s="64">
        <v>5.78</v>
      </c>
      <c r="I69" s="64">
        <v>0.75</v>
      </c>
      <c r="J69" s="64">
        <v>0.17</v>
      </c>
      <c r="K69" s="64">
        <v>302.77999999999997</v>
      </c>
      <c r="L69" s="64">
        <v>22.67</v>
      </c>
      <c r="M69" s="64">
        <v>98.11</v>
      </c>
      <c r="N69" s="64">
        <v>111.9</v>
      </c>
      <c r="O69" s="64">
        <v>0</v>
      </c>
      <c r="P69" s="64">
        <v>0.27</v>
      </c>
      <c r="Q69" s="64">
        <v>9</v>
      </c>
      <c r="R69" s="198"/>
      <c r="S69" s="198"/>
      <c r="T69" s="198"/>
      <c r="U69" s="198"/>
    </row>
    <row r="70" spans="1:21" s="12" customFormat="1" x14ac:dyDescent="0.25">
      <c r="A70" s="213" t="s">
        <v>2993</v>
      </c>
      <c r="B70" s="64">
        <v>7.19</v>
      </c>
      <c r="C70" s="64">
        <v>12.22</v>
      </c>
      <c r="D70" s="64">
        <v>12.15</v>
      </c>
      <c r="E70" s="64">
        <v>4.46</v>
      </c>
      <c r="F70" s="64">
        <v>4.13</v>
      </c>
      <c r="G70" s="64">
        <v>3.93</v>
      </c>
      <c r="H70" s="64">
        <v>3.37</v>
      </c>
      <c r="I70" s="64">
        <v>0.76</v>
      </c>
      <c r="J70" s="64">
        <v>0.13</v>
      </c>
      <c r="K70" s="64">
        <v>292.77</v>
      </c>
      <c r="L70" s="64">
        <v>22.68</v>
      </c>
      <c r="M70" s="64">
        <v>98.12</v>
      </c>
      <c r="N70" s="64">
        <v>115.2</v>
      </c>
      <c r="O70" s="64">
        <v>0</v>
      </c>
      <c r="P70" s="64">
        <v>0.28999999999999998</v>
      </c>
      <c r="Q70" s="64">
        <v>9</v>
      </c>
      <c r="R70" s="198"/>
      <c r="S70" s="198"/>
      <c r="T70" s="198"/>
      <c r="U70" s="198"/>
    </row>
    <row r="71" spans="1:21" s="12" customFormat="1" x14ac:dyDescent="0.25">
      <c r="A71" s="213" t="s">
        <v>2994</v>
      </c>
      <c r="B71" s="64">
        <v>7.62</v>
      </c>
      <c r="C71" s="64">
        <v>11.79</v>
      </c>
      <c r="D71" s="64">
        <v>12.27</v>
      </c>
      <c r="E71" s="64">
        <v>4.5199999999999996</v>
      </c>
      <c r="F71" s="64">
        <v>3.02</v>
      </c>
      <c r="G71" s="64">
        <v>3.93</v>
      </c>
      <c r="H71" s="64">
        <v>3.37</v>
      </c>
      <c r="I71" s="64">
        <v>0.76</v>
      </c>
      <c r="J71" s="64">
        <v>0.14000000000000001</v>
      </c>
      <c r="K71" s="64">
        <v>280.72000000000003</v>
      </c>
      <c r="L71" s="64">
        <v>22.77</v>
      </c>
      <c r="M71" s="64">
        <v>98.13</v>
      </c>
      <c r="N71" s="64">
        <v>102.5</v>
      </c>
      <c r="O71" s="64">
        <v>0</v>
      </c>
      <c r="P71" s="64">
        <v>0.28999999999999998</v>
      </c>
      <c r="Q71" s="64">
        <v>9</v>
      </c>
      <c r="R71" s="198"/>
      <c r="S71" s="198"/>
      <c r="T71" s="198"/>
      <c r="U71" s="198"/>
    </row>
    <row r="72" spans="1:21" s="12" customFormat="1" x14ac:dyDescent="0.25">
      <c r="A72" s="213" t="s">
        <v>2995</v>
      </c>
      <c r="B72" s="64">
        <v>8.2100000000000009</v>
      </c>
      <c r="C72" s="64">
        <v>11.36</v>
      </c>
      <c r="D72" s="64">
        <v>12.52</v>
      </c>
      <c r="E72" s="64">
        <v>4.3</v>
      </c>
      <c r="F72" s="64">
        <v>3.67</v>
      </c>
      <c r="G72" s="64">
        <v>3.93</v>
      </c>
      <c r="H72" s="64">
        <v>3.37</v>
      </c>
      <c r="I72" s="64">
        <v>0.78</v>
      </c>
      <c r="J72" s="64">
        <v>0.25</v>
      </c>
      <c r="K72" s="64">
        <v>305.72000000000003</v>
      </c>
      <c r="L72" s="64">
        <v>22.9</v>
      </c>
      <c r="M72" s="64">
        <v>98.1</v>
      </c>
      <c r="N72" s="64">
        <v>98.5</v>
      </c>
      <c r="O72" s="64">
        <v>0</v>
      </c>
      <c r="P72" s="64">
        <v>0.28999999999999998</v>
      </c>
      <c r="Q72" s="64">
        <v>9.01</v>
      </c>
      <c r="R72" s="198"/>
      <c r="S72" s="198"/>
      <c r="T72" s="198"/>
      <c r="U72" s="198"/>
    </row>
    <row r="73" spans="1:21" s="12" customFormat="1" x14ac:dyDescent="0.25">
      <c r="A73" s="213" t="s">
        <v>2996</v>
      </c>
      <c r="B73" s="64">
        <v>8.01</v>
      </c>
      <c r="C73" s="64">
        <v>12.02</v>
      </c>
      <c r="D73" s="64">
        <v>12.7</v>
      </c>
      <c r="E73" s="64">
        <v>4.21</v>
      </c>
      <c r="F73" s="64">
        <v>3.55</v>
      </c>
      <c r="G73" s="64">
        <v>4.3499999999999996</v>
      </c>
      <c r="H73" s="64">
        <v>3.37</v>
      </c>
      <c r="I73" s="64">
        <v>0.79</v>
      </c>
      <c r="J73" s="64">
        <v>0.24</v>
      </c>
      <c r="K73" s="64">
        <v>296.14</v>
      </c>
      <c r="L73" s="64">
        <v>22.99</v>
      </c>
      <c r="M73" s="64">
        <v>98.08</v>
      </c>
      <c r="N73" s="64">
        <v>97.1</v>
      </c>
      <c r="O73" s="64">
        <v>0</v>
      </c>
      <c r="P73" s="64">
        <v>0.28999999999999998</v>
      </c>
      <c r="Q73" s="64">
        <v>9.02</v>
      </c>
      <c r="R73" s="198"/>
      <c r="S73" s="198"/>
      <c r="T73" s="198"/>
      <c r="U73" s="198"/>
    </row>
    <row r="74" spans="1:21" s="12" customFormat="1" x14ac:dyDescent="0.25">
      <c r="A74" s="213" t="s">
        <v>2997</v>
      </c>
      <c r="B74" s="64">
        <v>8.39</v>
      </c>
      <c r="C74" s="64">
        <v>14.03</v>
      </c>
      <c r="D74" s="64">
        <v>14.06</v>
      </c>
      <c r="E74" s="64">
        <v>4.12</v>
      </c>
      <c r="F74" s="64">
        <v>2.95</v>
      </c>
      <c r="G74" s="64">
        <v>5.71</v>
      </c>
      <c r="H74" s="64">
        <v>3.37</v>
      </c>
      <c r="I74" s="64">
        <v>0.74</v>
      </c>
      <c r="J74" s="64">
        <v>0.23</v>
      </c>
      <c r="K74" s="64">
        <v>299.44</v>
      </c>
      <c r="L74" s="64">
        <v>23.08</v>
      </c>
      <c r="M74" s="64">
        <v>98.08</v>
      </c>
      <c r="N74" s="64">
        <v>91.1</v>
      </c>
      <c r="O74" s="64">
        <v>0</v>
      </c>
      <c r="P74" s="64">
        <v>0.3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13" t="s">
        <v>2998</v>
      </c>
      <c r="B75" s="64">
        <v>8.1999999999999993</v>
      </c>
      <c r="C75" s="64">
        <v>12.7</v>
      </c>
      <c r="D75" s="64">
        <v>13.21</v>
      </c>
      <c r="E75" s="64">
        <v>4.03</v>
      </c>
      <c r="F75" s="64">
        <v>3</v>
      </c>
      <c r="G75" s="64">
        <v>5.71</v>
      </c>
      <c r="H75" s="64">
        <v>3.37</v>
      </c>
      <c r="I75" s="64">
        <v>0.71</v>
      </c>
      <c r="J75" s="64">
        <v>0.23</v>
      </c>
      <c r="K75" s="64">
        <v>294.51</v>
      </c>
      <c r="L75" s="64">
        <v>23.09</v>
      </c>
      <c r="M75" s="64">
        <v>98.08</v>
      </c>
      <c r="N75" s="64">
        <v>87.4</v>
      </c>
      <c r="O75" s="64">
        <v>0</v>
      </c>
      <c r="P75" s="64">
        <v>0.28999999999999998</v>
      </c>
      <c r="Q75" s="64">
        <v>9.06</v>
      </c>
      <c r="R75" s="198"/>
      <c r="S75" s="198"/>
      <c r="T75" s="198"/>
      <c r="U75" s="198"/>
    </row>
    <row r="76" spans="1:21" s="12" customFormat="1" x14ac:dyDescent="0.25">
      <c r="A76" s="213" t="s">
        <v>2999</v>
      </c>
      <c r="B76" s="64">
        <v>7.92</v>
      </c>
      <c r="C76" s="64">
        <v>12.9</v>
      </c>
      <c r="D76" s="64">
        <v>13.1</v>
      </c>
      <c r="E76" s="64">
        <v>3.93</v>
      </c>
      <c r="F76" s="64">
        <v>3.42</v>
      </c>
      <c r="G76" s="64">
        <v>5.71</v>
      </c>
      <c r="H76" s="64">
        <v>3.37</v>
      </c>
      <c r="I76" s="64">
        <v>0.72</v>
      </c>
      <c r="J76" s="64">
        <v>0.2</v>
      </c>
      <c r="K76" s="64">
        <v>306.91000000000003</v>
      </c>
      <c r="L76" s="64">
        <v>23.1</v>
      </c>
      <c r="M76" s="64">
        <v>98.08</v>
      </c>
      <c r="N76" s="64">
        <v>94.6</v>
      </c>
      <c r="O76" s="64">
        <v>0</v>
      </c>
      <c r="P76" s="64">
        <v>0.28999999999999998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13" t="s">
        <v>3000</v>
      </c>
      <c r="B77" s="64">
        <v>7.86</v>
      </c>
      <c r="C77" s="64">
        <v>13.04</v>
      </c>
      <c r="D77" s="64">
        <v>13.11</v>
      </c>
      <c r="E77" s="64">
        <v>4.28</v>
      </c>
      <c r="F77" s="64">
        <v>3.66</v>
      </c>
      <c r="G77" s="64">
        <v>5.4</v>
      </c>
      <c r="H77" s="64">
        <v>3.37</v>
      </c>
      <c r="I77" s="64">
        <v>0.79</v>
      </c>
      <c r="J77" s="64">
        <v>0.21</v>
      </c>
      <c r="K77" s="64">
        <v>303.31</v>
      </c>
      <c r="L77" s="64">
        <v>23.04</v>
      </c>
      <c r="M77" s="64">
        <v>98.08</v>
      </c>
      <c r="N77" s="64">
        <v>105</v>
      </c>
      <c r="O77" s="64">
        <v>0</v>
      </c>
      <c r="P77" s="64">
        <v>0.3</v>
      </c>
      <c r="Q77" s="64">
        <v>9.08</v>
      </c>
      <c r="R77" s="198"/>
      <c r="S77" s="198"/>
      <c r="T77" s="198"/>
      <c r="U77" s="198"/>
    </row>
    <row r="78" spans="1:21" s="12" customFormat="1" x14ac:dyDescent="0.25">
      <c r="A78" s="213" t="s">
        <v>3001</v>
      </c>
      <c r="B78" s="64">
        <v>8.56</v>
      </c>
      <c r="C78" s="64">
        <v>12.41</v>
      </c>
      <c r="D78" s="64">
        <v>13.35</v>
      </c>
      <c r="E78" s="64">
        <v>4.16</v>
      </c>
      <c r="F78" s="64">
        <v>3.4</v>
      </c>
      <c r="G78" s="64">
        <v>4.4000000000000004</v>
      </c>
      <c r="H78" s="64">
        <v>3.37</v>
      </c>
      <c r="I78" s="64">
        <v>0.84</v>
      </c>
      <c r="J78" s="64">
        <v>0.15</v>
      </c>
      <c r="K78" s="64">
        <v>295.81</v>
      </c>
      <c r="L78" s="64">
        <v>23.03</v>
      </c>
      <c r="M78" s="64">
        <v>98.08</v>
      </c>
      <c r="N78" s="64">
        <v>97.9</v>
      </c>
      <c r="O78" s="64">
        <v>0</v>
      </c>
      <c r="P78" s="64">
        <v>0.31</v>
      </c>
      <c r="Q78" s="64">
        <v>9.08</v>
      </c>
      <c r="R78" s="198"/>
      <c r="S78" s="198"/>
      <c r="T78" s="198"/>
      <c r="U78" s="198"/>
    </row>
    <row r="79" spans="1:21" s="12" customFormat="1" x14ac:dyDescent="0.25">
      <c r="A79" s="213" t="s">
        <v>3002</v>
      </c>
      <c r="B79" s="64">
        <v>8.4600000000000009</v>
      </c>
      <c r="C79" s="64">
        <v>12.91</v>
      </c>
      <c r="D79" s="64">
        <v>13.53</v>
      </c>
      <c r="E79" s="64">
        <v>4.05</v>
      </c>
      <c r="F79" s="64">
        <v>3.5</v>
      </c>
      <c r="G79" s="64">
        <v>4.4000000000000004</v>
      </c>
      <c r="H79" s="64">
        <v>3.37</v>
      </c>
      <c r="I79" s="64">
        <v>0.79</v>
      </c>
      <c r="J79" s="64">
        <v>0.21</v>
      </c>
      <c r="K79" s="64">
        <v>296.91000000000003</v>
      </c>
      <c r="L79" s="64">
        <v>23</v>
      </c>
      <c r="M79" s="64">
        <v>98.08</v>
      </c>
      <c r="N79" s="64">
        <v>97.7</v>
      </c>
      <c r="O79" s="64">
        <v>0</v>
      </c>
      <c r="P79" s="64">
        <v>0.3</v>
      </c>
      <c r="Q79" s="64">
        <v>9.08</v>
      </c>
      <c r="R79" s="198"/>
      <c r="S79" s="198"/>
      <c r="T79" s="198"/>
      <c r="U79" s="198"/>
    </row>
    <row r="80" spans="1:21" s="12" customFormat="1" x14ac:dyDescent="0.25">
      <c r="A80" s="213" t="s">
        <v>3003</v>
      </c>
      <c r="B80" s="64">
        <v>8.32</v>
      </c>
      <c r="C80" s="64">
        <v>12.44</v>
      </c>
      <c r="D80" s="64">
        <v>13.17</v>
      </c>
      <c r="E80" s="64">
        <v>4.26</v>
      </c>
      <c r="F80" s="64">
        <v>4.29</v>
      </c>
      <c r="G80" s="64">
        <v>4.4000000000000004</v>
      </c>
      <c r="H80" s="64">
        <v>3.37</v>
      </c>
      <c r="I80" s="64">
        <v>0.77</v>
      </c>
      <c r="J80" s="64">
        <v>0.14000000000000001</v>
      </c>
      <c r="K80" s="64">
        <v>295.68</v>
      </c>
      <c r="L80" s="64">
        <v>23.09</v>
      </c>
      <c r="M80" s="64">
        <v>98.09</v>
      </c>
      <c r="N80" s="64">
        <v>92.8</v>
      </c>
      <c r="O80" s="64">
        <v>0</v>
      </c>
      <c r="P80" s="64">
        <v>0.33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3" t="s">
        <v>3004</v>
      </c>
      <c r="B81" s="64">
        <v>8.4600000000000009</v>
      </c>
      <c r="C81" s="64">
        <v>11.92</v>
      </c>
      <c r="D81" s="64">
        <v>13.01</v>
      </c>
      <c r="E81" s="64">
        <v>4.55</v>
      </c>
      <c r="F81" s="64">
        <v>3.12</v>
      </c>
      <c r="G81" s="64">
        <v>4.2699999999999996</v>
      </c>
      <c r="H81" s="64">
        <v>3.37</v>
      </c>
      <c r="I81" s="64">
        <v>0.78</v>
      </c>
      <c r="J81" s="64">
        <v>0.17</v>
      </c>
      <c r="K81" s="64">
        <v>313.02</v>
      </c>
      <c r="L81" s="64">
        <v>23.14</v>
      </c>
      <c r="M81" s="64">
        <v>98.09</v>
      </c>
      <c r="N81" s="64">
        <v>78.2</v>
      </c>
      <c r="O81" s="64">
        <v>0</v>
      </c>
      <c r="P81" s="64">
        <v>0.33</v>
      </c>
      <c r="Q81" s="64">
        <v>9.06</v>
      </c>
      <c r="R81" s="198"/>
      <c r="S81" s="198"/>
      <c r="T81" s="198"/>
      <c r="U81" s="198"/>
    </row>
    <row r="82" spans="1:26" s="12" customFormat="1" x14ac:dyDescent="0.25">
      <c r="A82" s="213" t="s">
        <v>3005</v>
      </c>
      <c r="B82" s="64">
        <v>8.5299999999999994</v>
      </c>
      <c r="C82" s="64">
        <v>11.86</v>
      </c>
      <c r="D82" s="64">
        <v>13.04</v>
      </c>
      <c r="E82" s="64">
        <v>4.51</v>
      </c>
      <c r="F82" s="64">
        <v>3.51</v>
      </c>
      <c r="G82" s="64">
        <v>3.82</v>
      </c>
      <c r="H82" s="64">
        <v>2.88</v>
      </c>
      <c r="I82" s="64">
        <v>0.77</v>
      </c>
      <c r="J82" s="64">
        <v>0.16</v>
      </c>
      <c r="K82" s="64">
        <v>304.64999999999998</v>
      </c>
      <c r="L82" s="64">
        <v>23.15</v>
      </c>
      <c r="M82" s="64">
        <v>98.08</v>
      </c>
      <c r="N82" s="64">
        <v>74.900000000000006</v>
      </c>
      <c r="O82" s="64">
        <v>0</v>
      </c>
      <c r="P82" s="64">
        <v>0.33</v>
      </c>
      <c r="Q82" s="64">
        <v>9.06</v>
      </c>
      <c r="R82" s="198"/>
      <c r="S82" s="198"/>
      <c r="T82" s="198"/>
      <c r="U82" s="198"/>
    </row>
    <row r="83" spans="1:26" s="12" customFormat="1" x14ac:dyDescent="0.25">
      <c r="A83" s="213" t="s">
        <v>3006</v>
      </c>
      <c r="B83" s="64">
        <v>8.41</v>
      </c>
      <c r="C83" s="64">
        <v>11.77</v>
      </c>
      <c r="D83" s="64">
        <v>12.9</v>
      </c>
      <c r="E83" s="64">
        <v>4.3600000000000003</v>
      </c>
      <c r="F83" s="64">
        <v>2.83</v>
      </c>
      <c r="G83" s="64">
        <v>3.82</v>
      </c>
      <c r="H83" s="64">
        <v>2.88</v>
      </c>
      <c r="I83" s="64">
        <v>0.77</v>
      </c>
      <c r="J83" s="64">
        <v>0.16</v>
      </c>
      <c r="K83" s="64">
        <v>302.77</v>
      </c>
      <c r="L83" s="64">
        <v>23.17</v>
      </c>
      <c r="M83" s="64">
        <v>98.06</v>
      </c>
      <c r="N83" s="64">
        <v>74.3</v>
      </c>
      <c r="O83" s="64">
        <v>0</v>
      </c>
      <c r="P83" s="64">
        <v>0.34</v>
      </c>
      <c r="Q83" s="64">
        <v>9.0500000000000007</v>
      </c>
      <c r="R83" s="198"/>
      <c r="S83" s="198"/>
      <c r="T83" s="198"/>
      <c r="U83" s="198"/>
    </row>
    <row r="84" spans="1:26" s="12" customFormat="1" x14ac:dyDescent="0.25">
      <c r="A84" s="213" t="s">
        <v>3007</v>
      </c>
      <c r="B84" s="64">
        <v>8.26</v>
      </c>
      <c r="C84" s="64">
        <v>12.03</v>
      </c>
      <c r="D84" s="64">
        <v>12.91</v>
      </c>
      <c r="E84" s="64">
        <v>4.01</v>
      </c>
      <c r="F84" s="64">
        <v>3.79</v>
      </c>
      <c r="G84" s="64">
        <v>3.82</v>
      </c>
      <c r="H84" s="64">
        <v>2.88</v>
      </c>
      <c r="I84" s="64">
        <v>0.86</v>
      </c>
      <c r="J84" s="64">
        <v>0.14000000000000001</v>
      </c>
      <c r="K84" s="64">
        <v>301.76</v>
      </c>
      <c r="L84" s="64">
        <v>23.16</v>
      </c>
      <c r="M84" s="64">
        <v>98.05</v>
      </c>
      <c r="N84" s="64">
        <v>80.2</v>
      </c>
      <c r="O84" s="64">
        <v>0</v>
      </c>
      <c r="P84" s="64">
        <v>0.34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3" t="s">
        <v>3008</v>
      </c>
      <c r="B85" s="64">
        <v>8.17</v>
      </c>
      <c r="C85" s="64">
        <v>12.06</v>
      </c>
      <c r="D85" s="64">
        <v>12.85</v>
      </c>
      <c r="E85" s="64">
        <v>3.86</v>
      </c>
      <c r="F85" s="64">
        <v>3.45</v>
      </c>
      <c r="G85" s="64">
        <v>3.64</v>
      </c>
      <c r="H85" s="64">
        <v>2.88</v>
      </c>
      <c r="I85" s="64">
        <v>0.86</v>
      </c>
      <c r="J85" s="64">
        <v>0.12</v>
      </c>
      <c r="K85" s="64">
        <v>297.2</v>
      </c>
      <c r="L85" s="64">
        <v>23.16</v>
      </c>
      <c r="M85" s="64">
        <v>98.05</v>
      </c>
      <c r="N85" s="64">
        <v>76.599999999999994</v>
      </c>
      <c r="O85" s="64">
        <v>0</v>
      </c>
      <c r="P85" s="64">
        <v>0.33</v>
      </c>
      <c r="Q85" s="64">
        <v>9.0299999999999994</v>
      </c>
      <c r="R85" s="198"/>
      <c r="S85" s="198"/>
      <c r="T85" s="198"/>
      <c r="U85" s="198"/>
    </row>
    <row r="86" spans="1:26" s="12" customFormat="1" x14ac:dyDescent="0.25">
      <c r="A86" s="213" t="s">
        <v>3009</v>
      </c>
      <c r="B86" s="64">
        <v>8.35</v>
      </c>
      <c r="C86" s="64">
        <v>12.21</v>
      </c>
      <c r="D86" s="64">
        <v>13.07</v>
      </c>
      <c r="E86" s="64">
        <v>3.72</v>
      </c>
      <c r="F86" s="64">
        <v>3.44</v>
      </c>
      <c r="G86" s="64">
        <v>3.04</v>
      </c>
      <c r="H86" s="64">
        <v>2.88</v>
      </c>
      <c r="I86" s="64">
        <v>0.83</v>
      </c>
      <c r="J86" s="64">
        <v>0.16</v>
      </c>
      <c r="K86" s="64">
        <v>297.45999999999998</v>
      </c>
      <c r="L86" s="64">
        <v>23.15</v>
      </c>
      <c r="M86" s="64">
        <v>98.06</v>
      </c>
      <c r="N86" s="64">
        <v>69.7</v>
      </c>
      <c r="O86" s="64">
        <v>0</v>
      </c>
      <c r="P86" s="64">
        <v>0.34</v>
      </c>
      <c r="Q86" s="64">
        <v>9.02</v>
      </c>
      <c r="R86" s="198"/>
      <c r="S86" s="198"/>
      <c r="T86" s="198"/>
      <c r="U86" s="198"/>
    </row>
    <row r="87" spans="1:26" s="12" customFormat="1" x14ac:dyDescent="0.25">
      <c r="A87" s="213" t="s">
        <v>3010</v>
      </c>
      <c r="B87" s="64">
        <v>8.2799999999999994</v>
      </c>
      <c r="C87" s="64">
        <v>11.93</v>
      </c>
      <c r="D87" s="64">
        <v>12.87</v>
      </c>
      <c r="E87" s="64">
        <v>3.94</v>
      </c>
      <c r="F87" s="64">
        <v>3.93</v>
      </c>
      <c r="G87" s="64">
        <v>3.04</v>
      </c>
      <c r="H87" s="64">
        <v>2.88</v>
      </c>
      <c r="I87" s="64">
        <v>0.85</v>
      </c>
      <c r="J87" s="64">
        <v>0.17</v>
      </c>
      <c r="K87" s="64">
        <v>297.66000000000003</v>
      </c>
      <c r="L87" s="64">
        <v>23.19</v>
      </c>
      <c r="M87" s="64">
        <v>98.05</v>
      </c>
      <c r="N87" s="64">
        <v>69.3</v>
      </c>
      <c r="O87" s="64">
        <v>0</v>
      </c>
      <c r="P87" s="64">
        <v>0.36</v>
      </c>
      <c r="Q87" s="64">
        <v>9.02</v>
      </c>
      <c r="R87" s="198"/>
      <c r="S87" s="198"/>
      <c r="T87" s="198"/>
      <c r="U87" s="198"/>
    </row>
    <row r="88" spans="1:26" s="12" customFormat="1" x14ac:dyDescent="0.25">
      <c r="A88" s="213" t="s">
        <v>3011</v>
      </c>
      <c r="B88" s="64">
        <v>8.23</v>
      </c>
      <c r="C88" s="64">
        <v>12.11</v>
      </c>
      <c r="D88" s="64">
        <v>12.93</v>
      </c>
      <c r="E88" s="64">
        <v>4.24</v>
      </c>
      <c r="F88" s="64">
        <v>2.94</v>
      </c>
      <c r="G88" s="64">
        <v>3.04</v>
      </c>
      <c r="H88" s="64">
        <v>2.88</v>
      </c>
      <c r="I88" s="64">
        <v>0.86</v>
      </c>
      <c r="J88" s="64">
        <v>0.21</v>
      </c>
      <c r="K88" s="64">
        <v>304.69</v>
      </c>
      <c r="L88" s="64">
        <v>23.21</v>
      </c>
      <c r="M88" s="64">
        <v>98.05</v>
      </c>
      <c r="N88" s="64">
        <v>69.400000000000006</v>
      </c>
      <c r="O88" s="64">
        <v>0</v>
      </c>
      <c r="P88" s="64">
        <v>0.35</v>
      </c>
      <c r="Q88" s="64">
        <v>9.0299999999999994</v>
      </c>
      <c r="R88" s="198"/>
      <c r="S88" s="198"/>
      <c r="T88" s="198"/>
      <c r="U88" s="198"/>
    </row>
    <row r="89" spans="1:26" s="12" customFormat="1" x14ac:dyDescent="0.25">
      <c r="A89" s="213" t="s">
        <v>3012</v>
      </c>
      <c r="B89" s="64">
        <v>7.96</v>
      </c>
      <c r="C89" s="64">
        <v>12.32</v>
      </c>
      <c r="D89" s="64">
        <v>12.81</v>
      </c>
      <c r="E89" s="64">
        <v>4.41</v>
      </c>
      <c r="F89" s="64">
        <v>3.67</v>
      </c>
      <c r="G89" s="64">
        <v>3.86</v>
      </c>
      <c r="H89" s="64">
        <v>2.96</v>
      </c>
      <c r="I89" s="64">
        <v>0.88</v>
      </c>
      <c r="J89" s="64">
        <v>0.16</v>
      </c>
      <c r="K89" s="64">
        <v>300.58999999999997</v>
      </c>
      <c r="L89" s="64">
        <v>23.19</v>
      </c>
      <c r="M89" s="64">
        <v>98.04</v>
      </c>
      <c r="N89" s="64">
        <v>69.8</v>
      </c>
      <c r="O89" s="64">
        <v>0</v>
      </c>
      <c r="P89" s="64">
        <v>0.35</v>
      </c>
      <c r="Q89" s="64">
        <v>9.02</v>
      </c>
      <c r="R89" s="198"/>
      <c r="S89" s="198"/>
      <c r="T89" s="198"/>
      <c r="U89" s="198"/>
    </row>
    <row r="90" spans="1:26" s="12" customFormat="1" x14ac:dyDescent="0.25">
      <c r="A90" s="213" t="s">
        <v>3013</v>
      </c>
      <c r="B90" s="64">
        <v>7.68</v>
      </c>
      <c r="C90" s="64">
        <v>12.59</v>
      </c>
      <c r="D90" s="64">
        <v>12.74</v>
      </c>
      <c r="E90" s="64">
        <v>4.29</v>
      </c>
      <c r="F90" s="64">
        <v>3.14</v>
      </c>
      <c r="G90" s="64">
        <v>6.55</v>
      </c>
      <c r="H90" s="64">
        <v>2.48</v>
      </c>
      <c r="I90" s="64">
        <v>0.88</v>
      </c>
      <c r="J90" s="64">
        <v>0.15</v>
      </c>
      <c r="K90" s="64">
        <v>303.88</v>
      </c>
      <c r="L90" s="64">
        <v>23.18</v>
      </c>
      <c r="M90" s="64">
        <v>98.03</v>
      </c>
      <c r="N90" s="64">
        <v>70.2</v>
      </c>
      <c r="O90" s="64">
        <v>0</v>
      </c>
      <c r="P90" s="64">
        <v>0.35</v>
      </c>
      <c r="Q90" s="64">
        <v>9.02</v>
      </c>
      <c r="R90" s="198"/>
      <c r="S90" s="198"/>
      <c r="T90" s="198"/>
      <c r="U90" s="198"/>
    </row>
    <row r="91" spans="1:26" s="12" customFormat="1" x14ac:dyDescent="0.25">
      <c r="A91" s="213" t="s">
        <v>3014</v>
      </c>
      <c r="B91" s="64">
        <v>7.5</v>
      </c>
      <c r="C91" s="64">
        <v>12.66</v>
      </c>
      <c r="D91" s="64">
        <v>12.63</v>
      </c>
      <c r="E91" s="64">
        <v>3.99</v>
      </c>
      <c r="F91" s="64">
        <v>3.29</v>
      </c>
      <c r="G91" s="64">
        <v>6.55</v>
      </c>
      <c r="H91" s="64">
        <v>2.48</v>
      </c>
      <c r="I91" s="64">
        <v>0.87</v>
      </c>
      <c r="J91" s="64">
        <v>0.18</v>
      </c>
      <c r="K91" s="64">
        <v>313.19</v>
      </c>
      <c r="L91" s="64">
        <v>23.17</v>
      </c>
      <c r="M91" s="64">
        <v>98.03</v>
      </c>
      <c r="N91" s="64">
        <v>71.3</v>
      </c>
      <c r="O91" s="64">
        <v>0</v>
      </c>
      <c r="P91" s="64">
        <v>0.35</v>
      </c>
      <c r="Q91" s="64">
        <v>9.0399999999999991</v>
      </c>
      <c r="R91" s="198"/>
      <c r="S91" s="198"/>
      <c r="T91" s="198"/>
      <c r="U91" s="198"/>
    </row>
    <row r="92" spans="1:26" s="12" customFormat="1" x14ac:dyDescent="0.25">
      <c r="A92" s="213" t="s">
        <v>3015</v>
      </c>
      <c r="B92" s="64">
        <v>7.39</v>
      </c>
      <c r="C92" s="64">
        <v>12.79</v>
      </c>
      <c r="D92" s="64">
        <v>12.61</v>
      </c>
      <c r="E92" s="64">
        <v>4.21</v>
      </c>
      <c r="F92" s="64">
        <v>3.25</v>
      </c>
      <c r="G92" s="64">
        <v>6.55</v>
      </c>
      <c r="H92" s="64">
        <v>2.48</v>
      </c>
      <c r="I92" s="64">
        <v>0.88</v>
      </c>
      <c r="J92" s="64">
        <v>0.12</v>
      </c>
      <c r="K92" s="64">
        <v>281.24</v>
      </c>
      <c r="L92" s="64">
        <v>23.16</v>
      </c>
      <c r="M92" s="64">
        <v>98.03</v>
      </c>
      <c r="N92" s="64">
        <v>72.900000000000006</v>
      </c>
      <c r="O92" s="64">
        <v>0</v>
      </c>
      <c r="P92" s="64">
        <v>0.33</v>
      </c>
      <c r="Q92" s="64">
        <v>9.0500000000000007</v>
      </c>
      <c r="R92" s="198"/>
      <c r="S92" s="198"/>
      <c r="T92" s="198"/>
      <c r="U92" s="198"/>
    </row>
    <row r="93" spans="1:26" s="12" customFormat="1" x14ac:dyDescent="0.25">
      <c r="A93" s="213" t="s">
        <v>3016</v>
      </c>
      <c r="B93" s="64">
        <v>7.27</v>
      </c>
      <c r="C93" s="64">
        <v>12.53</v>
      </c>
      <c r="D93" s="64">
        <v>12.38</v>
      </c>
      <c r="E93" s="64">
        <v>4.1500000000000004</v>
      </c>
      <c r="F93" s="64">
        <v>3.6</v>
      </c>
      <c r="G93" s="64">
        <v>6.87</v>
      </c>
      <c r="H93" s="64">
        <v>2.4700000000000002</v>
      </c>
      <c r="I93" s="64">
        <v>0.88</v>
      </c>
      <c r="J93" s="64">
        <v>0.17</v>
      </c>
      <c r="K93" s="64">
        <v>305.18</v>
      </c>
      <c r="L93" s="64">
        <v>23.1</v>
      </c>
      <c r="M93" s="64">
        <v>98.03</v>
      </c>
      <c r="N93" s="64">
        <v>76.5</v>
      </c>
      <c r="O93" s="64">
        <v>0</v>
      </c>
      <c r="P93" s="64">
        <v>0.33</v>
      </c>
      <c r="Q93" s="64">
        <v>9.0399999999999991</v>
      </c>
      <c r="R93" s="198"/>
      <c r="S93" s="198"/>
      <c r="T93" s="198"/>
      <c r="U93" s="198"/>
    </row>
    <row r="94" spans="1:26" s="12" customFormat="1" x14ac:dyDescent="0.25">
      <c r="A94" s="213" t="s">
        <v>3017</v>
      </c>
      <c r="B94" s="64">
        <v>6.98</v>
      </c>
      <c r="C94" s="64">
        <v>12.54</v>
      </c>
      <c r="D94" s="64">
        <v>12.15</v>
      </c>
      <c r="E94" s="64">
        <v>4.0999999999999996</v>
      </c>
      <c r="F94" s="64">
        <v>3.31</v>
      </c>
      <c r="G94" s="64">
        <v>7.94</v>
      </c>
      <c r="H94" s="64">
        <v>2.4500000000000002</v>
      </c>
      <c r="I94" s="64">
        <v>0.85</v>
      </c>
      <c r="J94" s="64">
        <v>0.14000000000000001</v>
      </c>
      <c r="K94" s="64">
        <v>306.83</v>
      </c>
      <c r="L94" s="64">
        <v>23.06</v>
      </c>
      <c r="M94" s="64">
        <v>98.03</v>
      </c>
      <c r="N94" s="64">
        <v>83.3</v>
      </c>
      <c r="O94" s="64">
        <v>0</v>
      </c>
      <c r="P94" s="64">
        <v>0.32</v>
      </c>
      <c r="Q94" s="64">
        <v>9.0500000000000007</v>
      </c>
      <c r="R94" s="198"/>
      <c r="S94" s="198"/>
      <c r="T94" s="198"/>
      <c r="U94" s="198"/>
    </row>
    <row r="95" spans="1:26" s="12" customFormat="1" x14ac:dyDescent="0.25">
      <c r="A95" s="213" t="s">
        <v>3018</v>
      </c>
      <c r="B95" s="64">
        <v>6.91</v>
      </c>
      <c r="C95" s="64">
        <v>12.53</v>
      </c>
      <c r="D95" s="64">
        <v>12.09</v>
      </c>
      <c r="E95" s="64">
        <v>3.94</v>
      </c>
      <c r="F95" s="64">
        <v>3.37</v>
      </c>
      <c r="G95" s="64">
        <v>7.94</v>
      </c>
      <c r="H95" s="64">
        <v>2.4500000000000002</v>
      </c>
      <c r="I95" s="64">
        <v>0.83</v>
      </c>
      <c r="J95" s="64">
        <v>0.13</v>
      </c>
      <c r="K95" s="64">
        <v>301.86</v>
      </c>
      <c r="L95" s="64">
        <v>22.99</v>
      </c>
      <c r="M95" s="64">
        <v>98.04</v>
      </c>
      <c r="N95" s="64">
        <v>110.8</v>
      </c>
      <c r="O95" s="64">
        <v>0</v>
      </c>
      <c r="P95" s="64">
        <v>0.32</v>
      </c>
      <c r="Q95" s="64">
        <v>9.0399999999999991</v>
      </c>
      <c r="R95" s="198"/>
      <c r="S95" s="198"/>
      <c r="T95" s="198"/>
      <c r="U95" s="198"/>
    </row>
    <row r="96" spans="1:26" s="12" customFormat="1" x14ac:dyDescent="0.25">
      <c r="A96" s="213" t="s">
        <v>3019</v>
      </c>
      <c r="B96" s="64">
        <v>6.84</v>
      </c>
      <c r="C96" s="64">
        <v>12.44</v>
      </c>
      <c r="D96" s="64">
        <v>11.98</v>
      </c>
      <c r="E96" s="64">
        <v>4.3499999999999996</v>
      </c>
      <c r="F96" s="64">
        <v>3.67</v>
      </c>
      <c r="G96" s="64">
        <v>7.94</v>
      </c>
      <c r="H96" s="64">
        <v>2.4500000000000002</v>
      </c>
      <c r="I96" s="64">
        <v>0.89</v>
      </c>
      <c r="J96" s="64">
        <v>0.17</v>
      </c>
      <c r="K96" s="64">
        <v>300.36</v>
      </c>
      <c r="L96" s="64">
        <v>22.85</v>
      </c>
      <c r="M96" s="64">
        <v>98.07</v>
      </c>
      <c r="N96" s="64">
        <v>119.1</v>
      </c>
      <c r="O96" s="64">
        <v>0</v>
      </c>
      <c r="P96" s="64">
        <v>0.31</v>
      </c>
      <c r="Q96" s="64">
        <v>9.0399999999999991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3020</v>
      </c>
      <c r="B97" s="64">
        <v>6.66</v>
      </c>
      <c r="C97" s="64">
        <v>12.25</v>
      </c>
      <c r="D97" s="64">
        <v>11.74</v>
      </c>
      <c r="E97" s="64">
        <v>4.32</v>
      </c>
      <c r="F97" s="64">
        <v>3.9</v>
      </c>
      <c r="G97" s="64">
        <v>7.47</v>
      </c>
      <c r="H97" s="64">
        <v>2.65</v>
      </c>
      <c r="I97" s="64">
        <v>0.86</v>
      </c>
      <c r="J97" s="64">
        <v>0.08</v>
      </c>
      <c r="K97" s="64">
        <v>301.48</v>
      </c>
      <c r="L97" s="64">
        <v>22.85</v>
      </c>
      <c r="M97" s="64">
        <v>98.07</v>
      </c>
      <c r="N97" s="64">
        <v>93</v>
      </c>
      <c r="O97" s="64">
        <v>0</v>
      </c>
      <c r="P97" s="64">
        <v>0.31</v>
      </c>
      <c r="Q97" s="64">
        <v>9.0399999999999991</v>
      </c>
      <c r="R97" s="198"/>
      <c r="S97" s="198"/>
      <c r="T97" s="198"/>
      <c r="U97" s="198"/>
    </row>
    <row r="98" spans="1:33" s="12" customFormat="1" x14ac:dyDescent="0.25">
      <c r="A98" s="213" t="s">
        <v>3021</v>
      </c>
      <c r="B98" s="64">
        <v>6.65</v>
      </c>
      <c r="C98" s="64">
        <v>11.63</v>
      </c>
      <c r="D98" s="64">
        <v>11.41</v>
      </c>
      <c r="E98" s="64">
        <v>4.0999999999999996</v>
      </c>
      <c r="F98" s="64">
        <v>3.89</v>
      </c>
      <c r="G98" s="64">
        <v>5.95</v>
      </c>
      <c r="H98" s="64">
        <v>3.33</v>
      </c>
      <c r="I98" s="64">
        <v>0.85</v>
      </c>
      <c r="J98" s="64">
        <v>0.12</v>
      </c>
      <c r="K98" s="64">
        <v>297.13</v>
      </c>
      <c r="L98" s="64">
        <v>22.81</v>
      </c>
      <c r="M98" s="64">
        <v>98.07</v>
      </c>
      <c r="N98" s="64">
        <v>76.5</v>
      </c>
      <c r="O98" s="64">
        <v>0</v>
      </c>
      <c r="P98" s="64">
        <v>0.31</v>
      </c>
      <c r="Q98" s="64">
        <v>9.01</v>
      </c>
      <c r="R98" s="198"/>
      <c r="S98" s="198"/>
      <c r="T98" s="198"/>
      <c r="U98" s="198"/>
    </row>
    <row r="99" spans="1:33" s="12" customFormat="1" x14ac:dyDescent="0.25">
      <c r="A99" s="213" t="s">
        <v>3022</v>
      </c>
      <c r="B99" s="64">
        <v>6.69</v>
      </c>
      <c r="C99" s="64">
        <v>11.47</v>
      </c>
      <c r="D99" s="64">
        <v>11.36</v>
      </c>
      <c r="E99" s="64">
        <v>4.26</v>
      </c>
      <c r="F99" s="64">
        <v>3.13</v>
      </c>
      <c r="G99" s="64">
        <v>5.95</v>
      </c>
      <c r="H99" s="64">
        <v>3.33</v>
      </c>
      <c r="I99" s="64">
        <v>0.87</v>
      </c>
      <c r="J99" s="64">
        <v>0.16</v>
      </c>
      <c r="K99" s="64">
        <v>293.08</v>
      </c>
      <c r="L99" s="64">
        <v>22.89</v>
      </c>
      <c r="M99" s="64">
        <v>98.05</v>
      </c>
      <c r="N99" s="64">
        <v>85.9</v>
      </c>
      <c r="O99" s="64">
        <v>0</v>
      </c>
      <c r="P99" s="64">
        <v>0.3</v>
      </c>
      <c r="Q99" s="64">
        <v>9</v>
      </c>
      <c r="R99" s="198"/>
      <c r="S99" s="198"/>
      <c r="T99" s="198"/>
      <c r="U99" s="198"/>
    </row>
    <row r="100" spans="1:33" s="12" customFormat="1" x14ac:dyDescent="0.25">
      <c r="A100" s="213" t="s">
        <v>3023</v>
      </c>
      <c r="B100" s="64">
        <v>6.57</v>
      </c>
      <c r="C100" s="64">
        <v>11.37</v>
      </c>
      <c r="D100" s="64">
        <v>11.21</v>
      </c>
      <c r="E100" s="64">
        <v>4.1900000000000004</v>
      </c>
      <c r="F100" s="64">
        <v>4.13</v>
      </c>
      <c r="G100" s="64">
        <v>5.95</v>
      </c>
      <c r="H100" s="64">
        <v>3.33</v>
      </c>
      <c r="I100" s="64">
        <v>0.83</v>
      </c>
      <c r="J100" s="64">
        <v>0.15</v>
      </c>
      <c r="K100" s="64">
        <v>289.89</v>
      </c>
      <c r="L100" s="64">
        <v>22.93</v>
      </c>
      <c r="M100" s="64">
        <v>98.05</v>
      </c>
      <c r="N100" s="64">
        <v>85.2</v>
      </c>
      <c r="O100" s="64">
        <v>0</v>
      </c>
      <c r="P100" s="64">
        <v>0.3</v>
      </c>
      <c r="Q100" s="64">
        <v>8.98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3024</v>
      </c>
      <c r="B101" s="64">
        <v>6.3</v>
      </c>
      <c r="C101" s="64">
        <v>11.45</v>
      </c>
      <c r="D101" s="64">
        <v>11.03</v>
      </c>
      <c r="E101" s="64">
        <v>4.18</v>
      </c>
      <c r="F101" s="64">
        <v>3.33</v>
      </c>
      <c r="G101" s="64">
        <v>6.53</v>
      </c>
      <c r="H101" s="64">
        <v>3.19</v>
      </c>
      <c r="I101" s="64">
        <v>0.8</v>
      </c>
      <c r="J101" s="64">
        <v>0.18</v>
      </c>
      <c r="K101" s="64">
        <v>302.43</v>
      </c>
      <c r="L101" s="64">
        <v>22.91</v>
      </c>
      <c r="M101" s="64">
        <v>98.04</v>
      </c>
      <c r="N101" s="64">
        <v>85.7</v>
      </c>
      <c r="O101" s="64">
        <v>0</v>
      </c>
      <c r="P101" s="64">
        <v>0.28000000000000003</v>
      </c>
      <c r="Q101" s="64">
        <v>8.9700000000000006</v>
      </c>
      <c r="R101" s="198"/>
      <c r="S101" s="198"/>
      <c r="T101" s="198"/>
      <c r="U101" s="198"/>
    </row>
    <row r="102" spans="1:33" s="12" customFormat="1" x14ac:dyDescent="0.25">
      <c r="A102" s="213" t="s">
        <v>3025</v>
      </c>
      <c r="B102" s="64">
        <v>6.12</v>
      </c>
      <c r="C102" s="64">
        <v>12.2</v>
      </c>
      <c r="D102" s="64">
        <v>11.28</v>
      </c>
      <c r="E102" s="64">
        <v>4.3600000000000003</v>
      </c>
      <c r="F102" s="64">
        <v>4.09</v>
      </c>
      <c r="G102" s="64">
        <v>8.43</v>
      </c>
      <c r="H102" s="64">
        <v>2.73</v>
      </c>
      <c r="I102" s="64">
        <v>0.77</v>
      </c>
      <c r="J102" s="64">
        <v>0.16</v>
      </c>
      <c r="K102" s="64">
        <v>312.24</v>
      </c>
      <c r="L102" s="64">
        <v>22.86</v>
      </c>
      <c r="M102" s="64">
        <v>98.04</v>
      </c>
      <c r="N102" s="64">
        <v>85.8</v>
      </c>
      <c r="O102" s="64">
        <v>0</v>
      </c>
      <c r="P102" s="64">
        <v>0.28000000000000003</v>
      </c>
      <c r="Q102" s="64">
        <v>8.9600000000000009</v>
      </c>
      <c r="R102" s="198"/>
      <c r="S102" s="198"/>
      <c r="T102" s="198"/>
      <c r="U102" s="198"/>
    </row>
    <row r="103" spans="1:33" s="12" customFormat="1" x14ac:dyDescent="0.25">
      <c r="A103" s="213" t="s">
        <v>3026</v>
      </c>
      <c r="B103" s="64">
        <v>6.17</v>
      </c>
      <c r="C103" s="64">
        <v>12.07</v>
      </c>
      <c r="D103" s="64">
        <v>11.25</v>
      </c>
      <c r="E103" s="64">
        <v>3.98</v>
      </c>
      <c r="F103" s="64">
        <v>3.04</v>
      </c>
      <c r="G103" s="64">
        <v>8.43</v>
      </c>
      <c r="H103" s="64">
        <v>2.73</v>
      </c>
      <c r="I103" s="64">
        <v>0.73</v>
      </c>
      <c r="J103" s="64">
        <v>0.17</v>
      </c>
      <c r="K103" s="64">
        <v>317.92</v>
      </c>
      <c r="L103" s="64">
        <v>22.83</v>
      </c>
      <c r="M103" s="64">
        <v>98.04</v>
      </c>
      <c r="N103" s="64">
        <v>85.3</v>
      </c>
      <c r="O103" s="64">
        <v>0</v>
      </c>
      <c r="P103" s="64">
        <v>0.26</v>
      </c>
      <c r="Q103" s="64">
        <v>8.9499999999999993</v>
      </c>
      <c r="R103" s="198"/>
      <c r="S103" s="198"/>
      <c r="T103" s="198"/>
      <c r="U103" s="198"/>
    </row>
    <row r="104" spans="1:33" s="12" customFormat="1" x14ac:dyDescent="0.25">
      <c r="A104" s="213" t="s">
        <v>3027</v>
      </c>
      <c r="B104" s="64">
        <v>5.92</v>
      </c>
      <c r="C104" s="64">
        <v>11.91</v>
      </c>
      <c r="D104" s="64">
        <v>10.97</v>
      </c>
      <c r="E104" s="64">
        <v>3.35</v>
      </c>
      <c r="F104" s="64">
        <v>3.46</v>
      </c>
      <c r="G104" s="64">
        <v>8.43</v>
      </c>
      <c r="H104" s="64">
        <v>2.73</v>
      </c>
      <c r="I104" s="64">
        <v>0.71</v>
      </c>
      <c r="J104" s="64">
        <v>0.19</v>
      </c>
      <c r="K104" s="64">
        <v>303.08</v>
      </c>
      <c r="L104" s="64">
        <v>22.77</v>
      </c>
      <c r="M104" s="64">
        <v>98.04</v>
      </c>
      <c r="N104" s="64">
        <v>85.7</v>
      </c>
      <c r="O104" s="64">
        <v>0</v>
      </c>
      <c r="P104" s="64">
        <v>0.25</v>
      </c>
      <c r="Q104" s="64">
        <v>8.9600000000000009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4.5999999999999996</v>
      </c>
      <c r="C106" s="67">
        <f>MIN(C9:C104)</f>
        <v>10.24</v>
      </c>
      <c r="D106" s="67">
        <f t="shared" ref="D106:Q106" si="0">MIN(D9:D104)</f>
        <v>9.61</v>
      </c>
      <c r="E106" s="67">
        <f t="shared" si="0"/>
        <v>3.35</v>
      </c>
      <c r="F106" s="67">
        <f t="shared" si="0"/>
        <v>2.69</v>
      </c>
      <c r="G106" s="67">
        <f t="shared" si="0"/>
        <v>0</v>
      </c>
      <c r="H106" s="67">
        <f t="shared" si="0"/>
        <v>0.27</v>
      </c>
      <c r="I106" s="67">
        <f t="shared" si="0"/>
        <v>0.46</v>
      </c>
      <c r="J106" s="67">
        <f t="shared" si="0"/>
        <v>0.02</v>
      </c>
      <c r="K106" s="67">
        <f t="shared" si="0"/>
        <v>120.73</v>
      </c>
      <c r="L106" s="67">
        <f t="shared" si="0"/>
        <v>10.79</v>
      </c>
      <c r="M106" s="67">
        <f t="shared" si="0"/>
        <v>98.02</v>
      </c>
      <c r="N106" s="67">
        <f t="shared" si="0"/>
        <v>54.9</v>
      </c>
      <c r="O106" s="67">
        <f t="shared" si="0"/>
        <v>0</v>
      </c>
      <c r="P106" s="67">
        <f t="shared" si="0"/>
        <v>0.15</v>
      </c>
      <c r="Q106" s="67">
        <f t="shared" si="0"/>
        <v>8.93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8.56</v>
      </c>
      <c r="C107" s="66">
        <f t="shared" ref="C107:Q107" si="1">MAX(C9:C104)</f>
        <v>16.899999999999999</v>
      </c>
      <c r="D107" s="66">
        <f t="shared" si="1"/>
        <v>14.06</v>
      </c>
      <c r="E107" s="66">
        <f t="shared" si="1"/>
        <v>5.1100000000000003</v>
      </c>
      <c r="F107" s="66">
        <f t="shared" si="1"/>
        <v>6.27</v>
      </c>
      <c r="G107" s="66">
        <f t="shared" si="1"/>
        <v>14.83</v>
      </c>
      <c r="H107" s="66">
        <f t="shared" si="1"/>
        <v>7.26</v>
      </c>
      <c r="I107" s="66">
        <f t="shared" si="1"/>
        <v>0.89</v>
      </c>
      <c r="J107" s="66">
        <f t="shared" si="1"/>
        <v>0.28000000000000003</v>
      </c>
      <c r="K107" s="66">
        <f t="shared" si="1"/>
        <v>323.27999999999997</v>
      </c>
      <c r="L107" s="66">
        <f t="shared" si="1"/>
        <v>23.54</v>
      </c>
      <c r="M107" s="66">
        <f t="shared" si="1"/>
        <v>98.13</v>
      </c>
      <c r="N107" s="66">
        <f t="shared" si="1"/>
        <v>215.3</v>
      </c>
      <c r="O107" s="66">
        <f t="shared" si="1"/>
        <v>0</v>
      </c>
      <c r="P107" s="66">
        <f t="shared" si="1"/>
        <v>0.36</v>
      </c>
      <c r="Q107" s="66">
        <f t="shared" si="1"/>
        <v>9.08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6.652291666666664</v>
      </c>
      <c r="C108" s="67">
        <f t="shared" ref="C108:Q108" si="2">AVERAGE(C9:C104)</f>
        <v>11.997083333333336</v>
      </c>
      <c r="D108" s="67">
        <f t="shared" si="2"/>
        <v>11.602187499999999</v>
      </c>
      <c r="E108" s="67">
        <f t="shared" si="2"/>
        <v>4.4323958333333344</v>
      </c>
      <c r="F108" s="67">
        <f t="shared" si="2"/>
        <v>3.6734374999999999</v>
      </c>
      <c r="G108" s="67">
        <f t="shared" si="2"/>
        <v>5.4981249999999973</v>
      </c>
      <c r="H108" s="67">
        <f t="shared" si="2"/>
        <v>2.6021874999999999</v>
      </c>
      <c r="I108" s="67">
        <f t="shared" si="2"/>
        <v>0.66208333333333347</v>
      </c>
      <c r="J108" s="67">
        <f t="shared" si="2"/>
        <v>0.16052083333333342</v>
      </c>
      <c r="K108" s="67">
        <f t="shared" si="2"/>
        <v>297.28479166666676</v>
      </c>
      <c r="L108" s="67">
        <f t="shared" si="2"/>
        <v>22.640104166666664</v>
      </c>
      <c r="M108" s="67">
        <f t="shared" si="2"/>
        <v>98.082604166666727</v>
      </c>
      <c r="N108" s="67">
        <f t="shared" si="2"/>
        <v>97.50624999999998</v>
      </c>
      <c r="O108" s="67">
        <f t="shared" si="2"/>
        <v>0</v>
      </c>
      <c r="P108" s="67">
        <f t="shared" si="2"/>
        <v>0.24906249999999988</v>
      </c>
      <c r="Q108" s="67">
        <f t="shared" si="2"/>
        <v>9.000104166666663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1.0432555110822781</v>
      </c>
      <c r="C109" s="67">
        <f t="shared" ref="C109:Q109" si="3">STDEV(C9:C104)</f>
        <v>1.2634255162405434</v>
      </c>
      <c r="D109" s="67">
        <f t="shared" si="3"/>
        <v>1.038377482446837</v>
      </c>
      <c r="E109" s="67">
        <f t="shared" si="3"/>
        <v>0.29922969452866688</v>
      </c>
      <c r="F109" s="67">
        <f t="shared" si="3"/>
        <v>0.59243623352178643</v>
      </c>
      <c r="G109" s="67">
        <f t="shared" si="3"/>
        <v>2.5771858632400271</v>
      </c>
      <c r="H109" s="67">
        <f t="shared" si="3"/>
        <v>1.5643927378244558</v>
      </c>
      <c r="I109" s="67">
        <f t="shared" si="3"/>
        <v>0.13729657999088224</v>
      </c>
      <c r="J109" s="67">
        <f t="shared" si="3"/>
        <v>5.7424912834370581E-2</v>
      </c>
      <c r="K109" s="67">
        <f t="shared" si="3"/>
        <v>23.916588472578329</v>
      </c>
      <c r="L109" s="67">
        <f t="shared" si="3"/>
        <v>1.3040701424400101</v>
      </c>
      <c r="M109" s="67">
        <f t="shared" si="3"/>
        <v>3.5191051244872637E-2</v>
      </c>
      <c r="N109" s="67">
        <f t="shared" si="3"/>
        <v>41.400464814324394</v>
      </c>
      <c r="O109" s="67">
        <f t="shared" si="3"/>
        <v>0</v>
      </c>
      <c r="P109" s="67">
        <f t="shared" si="3"/>
        <v>6.4743674757096137E-2</v>
      </c>
      <c r="Q109" s="67">
        <f t="shared" si="3"/>
        <v>3.6720703802069085E-2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3028</v>
      </c>
      <c r="B9" s="64">
        <v>5.64</v>
      </c>
      <c r="C9" s="64">
        <v>11.93</v>
      </c>
      <c r="D9" s="64">
        <v>10.76</v>
      </c>
      <c r="E9" s="64">
        <v>4.3499999999999996</v>
      </c>
      <c r="F9" s="64">
        <v>3.53</v>
      </c>
      <c r="G9" s="64">
        <v>7.94</v>
      </c>
      <c r="H9" s="64">
        <v>2.61</v>
      </c>
      <c r="I9" s="64">
        <v>0.67</v>
      </c>
      <c r="J9" s="64">
        <v>0.26</v>
      </c>
      <c r="K9" s="64">
        <v>305.76</v>
      </c>
      <c r="L9" s="64">
        <v>22.78</v>
      </c>
      <c r="M9" s="64">
        <v>98.04</v>
      </c>
      <c r="N9" s="64">
        <v>86.1</v>
      </c>
      <c r="O9" s="64">
        <v>0</v>
      </c>
      <c r="P9" s="64">
        <v>0.25</v>
      </c>
      <c r="Q9" s="64">
        <v>8.9499999999999993</v>
      </c>
      <c r="R9" s="198"/>
      <c r="S9" s="198"/>
      <c r="T9" s="198"/>
      <c r="U9" s="198"/>
    </row>
    <row r="10" spans="1:21" s="12" customFormat="1" x14ac:dyDescent="0.25">
      <c r="A10" s="213" t="s">
        <v>3029</v>
      </c>
      <c r="B10" s="64">
        <v>5.27</v>
      </c>
      <c r="C10" s="64">
        <v>11.91</v>
      </c>
      <c r="D10" s="64">
        <v>10.45</v>
      </c>
      <c r="E10" s="64">
        <v>4.71</v>
      </c>
      <c r="F10" s="64">
        <v>3.97</v>
      </c>
      <c r="G10" s="64">
        <v>6.33</v>
      </c>
      <c r="H10" s="64">
        <v>2.1800000000000002</v>
      </c>
      <c r="I10" s="64">
        <v>0.64</v>
      </c>
      <c r="J10" s="64">
        <v>0.28999999999999998</v>
      </c>
      <c r="K10" s="64">
        <v>296.64</v>
      </c>
      <c r="L10" s="64">
        <v>22.78</v>
      </c>
      <c r="M10" s="64">
        <v>98.03</v>
      </c>
      <c r="N10" s="64">
        <v>83.8</v>
      </c>
      <c r="O10" s="64">
        <v>0</v>
      </c>
      <c r="P10" s="64">
        <v>0.22</v>
      </c>
      <c r="Q10" s="64">
        <v>8.93</v>
      </c>
      <c r="R10" s="198"/>
      <c r="S10" s="198"/>
      <c r="T10" s="198"/>
      <c r="U10" s="198"/>
    </row>
    <row r="11" spans="1:21" s="12" customFormat="1" x14ac:dyDescent="0.25">
      <c r="A11" s="213" t="s">
        <v>3030</v>
      </c>
      <c r="B11" s="64">
        <v>4.92</v>
      </c>
      <c r="C11" s="64">
        <v>11.8</v>
      </c>
      <c r="D11" s="64">
        <v>10.11</v>
      </c>
      <c r="E11" s="64">
        <v>4.6100000000000003</v>
      </c>
      <c r="F11" s="64">
        <v>3.48</v>
      </c>
      <c r="G11" s="64">
        <v>6.33</v>
      </c>
      <c r="H11" s="64">
        <v>2.1800000000000002</v>
      </c>
      <c r="I11" s="64">
        <v>0.61</v>
      </c>
      <c r="J11" s="64">
        <v>0.24</v>
      </c>
      <c r="K11" s="64">
        <v>308.29000000000002</v>
      </c>
      <c r="L11" s="64">
        <v>22.71</v>
      </c>
      <c r="M11" s="64">
        <v>98.03</v>
      </c>
      <c r="N11" s="64">
        <v>81.900000000000006</v>
      </c>
      <c r="O11" s="64">
        <v>0</v>
      </c>
      <c r="P11" s="64">
        <v>0.23</v>
      </c>
      <c r="Q11" s="64">
        <v>8.92</v>
      </c>
      <c r="R11" s="198"/>
      <c r="S11" s="198"/>
      <c r="T11" s="198"/>
      <c r="U11" s="198"/>
    </row>
    <row r="12" spans="1:21" s="12" customFormat="1" x14ac:dyDescent="0.25">
      <c r="A12" s="213" t="s">
        <v>3031</v>
      </c>
      <c r="B12" s="64">
        <v>4.74</v>
      </c>
      <c r="C12" s="64">
        <v>11.6</v>
      </c>
      <c r="D12" s="64">
        <v>9.86</v>
      </c>
      <c r="E12" s="64">
        <v>4.58</v>
      </c>
      <c r="F12" s="64">
        <v>4.05</v>
      </c>
      <c r="G12" s="64">
        <v>6.33</v>
      </c>
      <c r="H12" s="64">
        <v>2.1800000000000002</v>
      </c>
      <c r="I12" s="64">
        <v>0.57999999999999996</v>
      </c>
      <c r="J12" s="64">
        <v>0.22</v>
      </c>
      <c r="K12" s="64">
        <v>306.39999999999998</v>
      </c>
      <c r="L12" s="64">
        <v>22.66</v>
      </c>
      <c r="M12" s="64">
        <v>98.03</v>
      </c>
      <c r="N12" s="64">
        <v>81</v>
      </c>
      <c r="O12" s="64">
        <v>0</v>
      </c>
      <c r="P12" s="64">
        <v>0.2</v>
      </c>
      <c r="Q12" s="64">
        <v>8.94</v>
      </c>
      <c r="R12" s="198"/>
      <c r="S12" s="198"/>
      <c r="T12" s="198"/>
      <c r="U12" s="198"/>
    </row>
    <row r="13" spans="1:21" s="12" customFormat="1" x14ac:dyDescent="0.25">
      <c r="A13" s="213" t="s">
        <v>3032</v>
      </c>
      <c r="B13" s="64">
        <v>4.63</v>
      </c>
      <c r="C13" s="64">
        <v>11.34</v>
      </c>
      <c r="D13" s="64">
        <v>9.64</v>
      </c>
      <c r="E13" s="64">
        <v>4.45</v>
      </c>
      <c r="F13" s="64">
        <v>4.32</v>
      </c>
      <c r="G13" s="64">
        <v>7.16</v>
      </c>
      <c r="H13" s="64">
        <v>2.15</v>
      </c>
      <c r="I13" s="64">
        <v>0.54</v>
      </c>
      <c r="J13" s="64">
        <v>0.05</v>
      </c>
      <c r="K13" s="64">
        <v>308.18</v>
      </c>
      <c r="L13" s="64">
        <v>22.62</v>
      </c>
      <c r="M13" s="64">
        <v>98.03</v>
      </c>
      <c r="N13" s="64">
        <v>82.5</v>
      </c>
      <c r="O13" s="64">
        <v>0</v>
      </c>
      <c r="P13" s="64">
        <v>0.16</v>
      </c>
      <c r="Q13" s="64">
        <v>8.94</v>
      </c>
      <c r="R13" s="198"/>
      <c r="S13" s="198"/>
      <c r="T13" s="198"/>
      <c r="U13" s="198"/>
    </row>
    <row r="14" spans="1:21" s="12" customFormat="1" x14ac:dyDescent="0.25">
      <c r="A14" s="213" t="s">
        <v>3033</v>
      </c>
      <c r="B14" s="64">
        <v>4.74</v>
      </c>
      <c r="C14" s="64">
        <v>11.06</v>
      </c>
      <c r="D14" s="64">
        <v>9.58</v>
      </c>
      <c r="E14" s="64">
        <v>4.5599999999999996</v>
      </c>
      <c r="F14" s="64">
        <v>3.75</v>
      </c>
      <c r="G14" s="64">
        <v>9.86</v>
      </c>
      <c r="H14" s="64">
        <v>2.0499999999999998</v>
      </c>
      <c r="I14" s="64">
        <v>0.51</v>
      </c>
      <c r="J14" s="64">
        <v>0.13</v>
      </c>
      <c r="K14" s="64">
        <v>299.54000000000002</v>
      </c>
      <c r="L14" s="64">
        <v>22.57</v>
      </c>
      <c r="M14" s="64">
        <v>98.02</v>
      </c>
      <c r="N14" s="64">
        <v>83.5</v>
      </c>
      <c r="O14" s="64">
        <v>0</v>
      </c>
      <c r="P14" s="64">
        <v>0.18</v>
      </c>
      <c r="Q14" s="64">
        <v>8.9499999999999993</v>
      </c>
      <c r="R14" s="198"/>
      <c r="S14" s="198"/>
      <c r="T14" s="198"/>
      <c r="U14" s="198"/>
    </row>
    <row r="15" spans="1:21" s="12" customFormat="1" x14ac:dyDescent="0.25">
      <c r="A15" s="213" t="s">
        <v>3034</v>
      </c>
      <c r="B15" s="64">
        <v>4.8600000000000003</v>
      </c>
      <c r="C15" s="64">
        <v>11.11</v>
      </c>
      <c r="D15" s="64">
        <v>9.6999999999999993</v>
      </c>
      <c r="E15" s="64">
        <v>4.55</v>
      </c>
      <c r="F15" s="64">
        <v>3.58</v>
      </c>
      <c r="G15" s="64">
        <v>9.86</v>
      </c>
      <c r="H15" s="64">
        <v>2.0499999999999998</v>
      </c>
      <c r="I15" s="64">
        <v>0.51</v>
      </c>
      <c r="J15" s="64">
        <v>0.11</v>
      </c>
      <c r="K15" s="64">
        <v>295.39999999999998</v>
      </c>
      <c r="L15" s="64">
        <v>22.55</v>
      </c>
      <c r="M15" s="64">
        <v>98.03</v>
      </c>
      <c r="N15" s="64">
        <v>82.2</v>
      </c>
      <c r="O15" s="64">
        <v>0</v>
      </c>
      <c r="P15" s="64">
        <v>0.18</v>
      </c>
      <c r="Q15" s="64">
        <v>8.9499999999999993</v>
      </c>
      <c r="R15" s="198"/>
      <c r="S15" s="198"/>
      <c r="T15" s="198"/>
      <c r="U15" s="198"/>
    </row>
    <row r="16" spans="1:21" s="12" customFormat="1" x14ac:dyDescent="0.25">
      <c r="A16" s="213" t="s">
        <v>3035</v>
      </c>
      <c r="B16" s="64">
        <v>4.9800000000000004</v>
      </c>
      <c r="C16" s="64">
        <v>11.07</v>
      </c>
      <c r="D16" s="64">
        <v>9.7799999999999994</v>
      </c>
      <c r="E16" s="64">
        <v>4.3499999999999996</v>
      </c>
      <c r="F16" s="64">
        <v>3.38</v>
      </c>
      <c r="G16" s="64">
        <v>9.86</v>
      </c>
      <c r="H16" s="64">
        <v>2.0499999999999998</v>
      </c>
      <c r="I16" s="64">
        <v>0.52</v>
      </c>
      <c r="J16" s="64">
        <v>0.14000000000000001</v>
      </c>
      <c r="K16" s="64">
        <v>296.04000000000002</v>
      </c>
      <c r="L16" s="64">
        <v>22.48</v>
      </c>
      <c r="M16" s="64">
        <v>98.03</v>
      </c>
      <c r="N16" s="64">
        <v>81.8</v>
      </c>
      <c r="O16" s="64">
        <v>0</v>
      </c>
      <c r="P16" s="64">
        <v>0.18</v>
      </c>
      <c r="Q16" s="64">
        <v>8.9499999999999993</v>
      </c>
      <c r="R16" s="198"/>
      <c r="S16" s="198"/>
      <c r="T16" s="198"/>
      <c r="U16" s="198"/>
    </row>
    <row r="17" spans="1:21" s="12" customFormat="1" x14ac:dyDescent="0.25">
      <c r="A17" s="213" t="s">
        <v>3036</v>
      </c>
      <c r="B17" s="64">
        <v>4.9800000000000004</v>
      </c>
      <c r="C17" s="64">
        <v>11.08</v>
      </c>
      <c r="D17" s="64">
        <v>9.7799999999999994</v>
      </c>
      <c r="E17" s="64">
        <v>4.3099999999999996</v>
      </c>
      <c r="F17" s="64">
        <v>3.19</v>
      </c>
      <c r="G17" s="64">
        <v>9.2899999999999991</v>
      </c>
      <c r="H17" s="64">
        <v>2</v>
      </c>
      <c r="I17" s="64">
        <v>0.51</v>
      </c>
      <c r="J17" s="64">
        <v>0.15</v>
      </c>
      <c r="K17" s="64">
        <v>290.66000000000003</v>
      </c>
      <c r="L17" s="64">
        <v>22.48</v>
      </c>
      <c r="M17" s="64">
        <v>98.03</v>
      </c>
      <c r="N17" s="64">
        <v>80</v>
      </c>
      <c r="O17" s="64">
        <v>0</v>
      </c>
      <c r="P17" s="64">
        <v>0.18</v>
      </c>
      <c r="Q17" s="64">
        <v>8.9600000000000009</v>
      </c>
      <c r="R17" s="198"/>
      <c r="S17" s="198"/>
      <c r="T17" s="198"/>
      <c r="U17" s="198"/>
    </row>
    <row r="18" spans="1:21" s="12" customFormat="1" x14ac:dyDescent="0.25">
      <c r="A18" s="213" t="s">
        <v>3037</v>
      </c>
      <c r="B18" s="64">
        <v>4.91</v>
      </c>
      <c r="C18" s="64">
        <v>10.96</v>
      </c>
      <c r="D18" s="64">
        <v>9.67</v>
      </c>
      <c r="E18" s="64">
        <v>4.5199999999999996</v>
      </c>
      <c r="F18" s="64">
        <v>3.87</v>
      </c>
      <c r="G18" s="64">
        <v>7.42</v>
      </c>
      <c r="H18" s="64">
        <v>1.8</v>
      </c>
      <c r="I18" s="64">
        <v>0.5</v>
      </c>
      <c r="J18" s="64">
        <v>0.18</v>
      </c>
      <c r="K18" s="64">
        <v>290.52999999999997</v>
      </c>
      <c r="L18" s="64">
        <v>22.43</v>
      </c>
      <c r="M18" s="64">
        <v>98.03</v>
      </c>
      <c r="N18" s="64">
        <v>79.2</v>
      </c>
      <c r="O18" s="64">
        <v>0</v>
      </c>
      <c r="P18" s="64">
        <v>0.16</v>
      </c>
      <c r="Q18" s="64">
        <v>8.9600000000000009</v>
      </c>
      <c r="R18" s="198"/>
      <c r="S18" s="198"/>
      <c r="T18" s="198"/>
      <c r="U18" s="198"/>
    </row>
    <row r="19" spans="1:21" s="12" customFormat="1" x14ac:dyDescent="0.25">
      <c r="A19" s="213" t="s">
        <v>3038</v>
      </c>
      <c r="B19" s="64">
        <v>4.84</v>
      </c>
      <c r="C19" s="64">
        <v>10.92</v>
      </c>
      <c r="D19" s="64">
        <v>9.58</v>
      </c>
      <c r="E19" s="64">
        <v>4.5599999999999996</v>
      </c>
      <c r="F19" s="64">
        <v>3.86</v>
      </c>
      <c r="G19" s="64">
        <v>7.42</v>
      </c>
      <c r="H19" s="64">
        <v>1.8</v>
      </c>
      <c r="I19" s="64">
        <v>0.49</v>
      </c>
      <c r="J19" s="64">
        <v>0.17</v>
      </c>
      <c r="K19" s="64">
        <v>305.39999999999998</v>
      </c>
      <c r="L19" s="64">
        <v>22.39</v>
      </c>
      <c r="M19" s="64">
        <v>98.03</v>
      </c>
      <c r="N19" s="64">
        <v>80.400000000000006</v>
      </c>
      <c r="O19" s="64">
        <v>0</v>
      </c>
      <c r="P19" s="64">
        <v>0.18</v>
      </c>
      <c r="Q19" s="64">
        <v>8.93</v>
      </c>
      <c r="R19" s="198"/>
      <c r="S19" s="198"/>
      <c r="T19" s="198"/>
      <c r="U19" s="198"/>
    </row>
    <row r="20" spans="1:21" s="12" customFormat="1" x14ac:dyDescent="0.25">
      <c r="A20" s="213" t="s">
        <v>3039</v>
      </c>
      <c r="B20" s="64">
        <v>4.8600000000000003</v>
      </c>
      <c r="C20" s="64">
        <v>10.96</v>
      </c>
      <c r="D20" s="64">
        <v>9.6300000000000008</v>
      </c>
      <c r="E20" s="64">
        <v>4.49</v>
      </c>
      <c r="F20" s="64">
        <v>3.32</v>
      </c>
      <c r="G20" s="64">
        <v>7.42</v>
      </c>
      <c r="H20" s="64">
        <v>1.8</v>
      </c>
      <c r="I20" s="64">
        <v>0.46</v>
      </c>
      <c r="J20" s="64">
        <v>0.13</v>
      </c>
      <c r="K20" s="64">
        <v>301.37</v>
      </c>
      <c r="L20" s="64">
        <v>22.41</v>
      </c>
      <c r="M20" s="64">
        <v>98.04</v>
      </c>
      <c r="N20" s="64">
        <v>94.1</v>
      </c>
      <c r="O20" s="64">
        <v>0</v>
      </c>
      <c r="P20" s="64">
        <v>0.18</v>
      </c>
      <c r="Q20" s="64">
        <v>8.92</v>
      </c>
      <c r="R20" s="198"/>
      <c r="S20" s="198"/>
      <c r="T20" s="198"/>
      <c r="U20" s="198"/>
    </row>
    <row r="21" spans="1:21" s="12" customFormat="1" x14ac:dyDescent="0.25">
      <c r="A21" s="213" t="s">
        <v>3040</v>
      </c>
      <c r="B21" s="64">
        <v>4.8899999999999997</v>
      </c>
      <c r="C21" s="64">
        <v>10.69</v>
      </c>
      <c r="D21" s="64">
        <v>9.51</v>
      </c>
      <c r="E21" s="64">
        <v>4.32</v>
      </c>
      <c r="F21" s="64">
        <v>4</v>
      </c>
      <c r="G21" s="64">
        <v>6.98</v>
      </c>
      <c r="H21" s="64">
        <v>1.89</v>
      </c>
      <c r="I21" s="64">
        <v>0.45</v>
      </c>
      <c r="J21" s="64">
        <v>0.16</v>
      </c>
      <c r="K21" s="64">
        <v>297.27</v>
      </c>
      <c r="L21" s="64">
        <v>22.4</v>
      </c>
      <c r="M21" s="64">
        <v>98.03</v>
      </c>
      <c r="N21" s="64">
        <v>100.8</v>
      </c>
      <c r="O21" s="64">
        <v>0</v>
      </c>
      <c r="P21" s="64">
        <v>0.16</v>
      </c>
      <c r="Q21" s="64">
        <v>8.91</v>
      </c>
      <c r="R21" s="198"/>
      <c r="S21" s="198"/>
      <c r="T21" s="198"/>
      <c r="U21" s="198"/>
    </row>
    <row r="22" spans="1:21" s="12" customFormat="1" x14ac:dyDescent="0.25">
      <c r="A22" s="213" t="s">
        <v>3041</v>
      </c>
      <c r="B22" s="64">
        <v>4.8899999999999997</v>
      </c>
      <c r="C22" s="64">
        <v>10.81</v>
      </c>
      <c r="D22" s="64">
        <v>9.57</v>
      </c>
      <c r="E22" s="64">
        <v>4.58</v>
      </c>
      <c r="F22" s="64">
        <v>3.64</v>
      </c>
      <c r="G22" s="64">
        <v>5.53</v>
      </c>
      <c r="H22" s="64">
        <v>2.2000000000000002</v>
      </c>
      <c r="I22" s="64">
        <v>0.44</v>
      </c>
      <c r="J22" s="64">
        <v>0.13</v>
      </c>
      <c r="K22" s="64">
        <v>295.76</v>
      </c>
      <c r="L22" s="64">
        <v>22.37</v>
      </c>
      <c r="M22" s="64">
        <v>98.03</v>
      </c>
      <c r="N22" s="64">
        <v>109.3</v>
      </c>
      <c r="O22" s="64">
        <v>0</v>
      </c>
      <c r="P22" s="64">
        <v>0.17</v>
      </c>
      <c r="Q22" s="64">
        <v>8.9</v>
      </c>
      <c r="R22" s="198"/>
      <c r="S22" s="198"/>
      <c r="T22" s="198"/>
      <c r="U22" s="198"/>
    </row>
    <row r="23" spans="1:21" s="12" customFormat="1" x14ac:dyDescent="0.25">
      <c r="A23" s="213" t="s">
        <v>3042</v>
      </c>
      <c r="B23" s="64">
        <v>4.91</v>
      </c>
      <c r="C23" s="64">
        <v>10.73</v>
      </c>
      <c r="D23" s="64">
        <v>9.5399999999999991</v>
      </c>
      <c r="E23" s="64">
        <v>4.33</v>
      </c>
      <c r="F23" s="64">
        <v>4.51</v>
      </c>
      <c r="G23" s="64">
        <v>5.53</v>
      </c>
      <c r="H23" s="64">
        <v>2.2000000000000002</v>
      </c>
      <c r="I23" s="64">
        <v>0.42</v>
      </c>
      <c r="J23" s="64">
        <v>0.13</v>
      </c>
      <c r="K23" s="64">
        <v>267.01</v>
      </c>
      <c r="L23" s="64">
        <v>22.34</v>
      </c>
      <c r="M23" s="64">
        <v>98.03</v>
      </c>
      <c r="N23" s="64">
        <v>101.9</v>
      </c>
      <c r="O23" s="64">
        <v>0</v>
      </c>
      <c r="P23" s="64">
        <v>0.16</v>
      </c>
      <c r="Q23" s="64">
        <v>8.9</v>
      </c>
      <c r="R23" s="198"/>
      <c r="S23" s="198"/>
      <c r="T23" s="198"/>
      <c r="U23" s="198"/>
    </row>
    <row r="24" spans="1:21" s="12" customFormat="1" x14ac:dyDescent="0.25">
      <c r="A24" s="213" t="s">
        <v>3043</v>
      </c>
      <c r="B24" s="64">
        <v>5.04</v>
      </c>
      <c r="C24" s="64">
        <v>10.82</v>
      </c>
      <c r="D24" s="64">
        <v>9.6999999999999993</v>
      </c>
      <c r="E24" s="64">
        <v>4.29</v>
      </c>
      <c r="F24" s="64">
        <v>3.82</v>
      </c>
      <c r="G24" s="64">
        <v>5.53</v>
      </c>
      <c r="H24" s="64">
        <v>2.2000000000000002</v>
      </c>
      <c r="I24" s="64">
        <v>0.41</v>
      </c>
      <c r="J24" s="64">
        <v>0.1</v>
      </c>
      <c r="K24" s="64">
        <v>293.04000000000002</v>
      </c>
      <c r="L24" s="64">
        <v>22.35</v>
      </c>
      <c r="M24" s="64">
        <v>98.04</v>
      </c>
      <c r="N24" s="64">
        <v>92.1</v>
      </c>
      <c r="O24" s="64">
        <v>0</v>
      </c>
      <c r="P24" s="64">
        <v>0.17</v>
      </c>
      <c r="Q24" s="64">
        <v>8.89</v>
      </c>
      <c r="R24" s="198"/>
      <c r="S24" s="198"/>
      <c r="T24" s="198"/>
      <c r="U24" s="198"/>
    </row>
    <row r="25" spans="1:21" s="12" customFormat="1" x14ac:dyDescent="0.25">
      <c r="A25" s="213" t="s">
        <v>3044</v>
      </c>
      <c r="B25" s="64">
        <v>5.08</v>
      </c>
      <c r="C25" s="64">
        <v>10.65</v>
      </c>
      <c r="D25" s="64">
        <v>9.6300000000000008</v>
      </c>
      <c r="E25" s="64">
        <v>4.43</v>
      </c>
      <c r="F25" s="64">
        <v>3.8</v>
      </c>
      <c r="G25" s="64">
        <v>5.95</v>
      </c>
      <c r="H25" s="64">
        <v>2.59</v>
      </c>
      <c r="I25" s="64">
        <v>0.41</v>
      </c>
      <c r="J25" s="64">
        <v>7.0000000000000007E-2</v>
      </c>
      <c r="K25" s="64">
        <v>299.49</v>
      </c>
      <c r="L25" s="64">
        <v>22.34</v>
      </c>
      <c r="M25" s="64">
        <v>98.03</v>
      </c>
      <c r="N25" s="64">
        <v>94.4</v>
      </c>
      <c r="O25" s="64">
        <v>0</v>
      </c>
      <c r="P25" s="64">
        <v>0.15</v>
      </c>
      <c r="Q25" s="64">
        <v>8.89</v>
      </c>
      <c r="R25" s="198"/>
      <c r="S25" s="198"/>
      <c r="T25" s="198"/>
      <c r="U25" s="198"/>
    </row>
    <row r="26" spans="1:21" s="12" customFormat="1" x14ac:dyDescent="0.25">
      <c r="A26" s="213" t="s">
        <v>3045</v>
      </c>
      <c r="B26" s="64">
        <v>5.27</v>
      </c>
      <c r="C26" s="64">
        <v>10.66</v>
      </c>
      <c r="D26" s="64">
        <v>9.8000000000000007</v>
      </c>
      <c r="E26" s="64">
        <v>4.47</v>
      </c>
      <c r="F26" s="64">
        <v>3.74</v>
      </c>
      <c r="G26" s="64">
        <v>7.33</v>
      </c>
      <c r="H26" s="64">
        <v>3.87</v>
      </c>
      <c r="I26" s="64">
        <v>0.42</v>
      </c>
      <c r="J26" s="64">
        <v>0.09</v>
      </c>
      <c r="K26" s="64">
        <v>269.86</v>
      </c>
      <c r="L26" s="64">
        <v>22.3</v>
      </c>
      <c r="M26" s="64">
        <v>98.05</v>
      </c>
      <c r="N26" s="64">
        <v>94</v>
      </c>
      <c r="O26" s="64">
        <v>0</v>
      </c>
      <c r="P26" s="64">
        <v>0.16</v>
      </c>
      <c r="Q26" s="64">
        <v>8.89</v>
      </c>
      <c r="R26" s="198"/>
      <c r="S26" s="198"/>
      <c r="T26" s="198"/>
      <c r="U26" s="198"/>
    </row>
    <row r="27" spans="1:21" s="12" customFormat="1" x14ac:dyDescent="0.25">
      <c r="A27" s="213" t="s">
        <v>3046</v>
      </c>
      <c r="B27" s="64">
        <v>5.41</v>
      </c>
      <c r="C27" s="64">
        <v>10.77</v>
      </c>
      <c r="D27" s="64">
        <v>9.9700000000000006</v>
      </c>
      <c r="E27" s="64">
        <v>4.53</v>
      </c>
      <c r="F27" s="64">
        <v>3.64</v>
      </c>
      <c r="G27" s="64">
        <v>7.33</v>
      </c>
      <c r="H27" s="64">
        <v>3.87</v>
      </c>
      <c r="I27" s="64">
        <v>0.42</v>
      </c>
      <c r="J27" s="64">
        <v>0.12</v>
      </c>
      <c r="K27" s="64">
        <v>285.91000000000003</v>
      </c>
      <c r="L27" s="64">
        <v>22.27</v>
      </c>
      <c r="M27" s="64">
        <v>98.07</v>
      </c>
      <c r="N27" s="64">
        <v>86.3</v>
      </c>
      <c r="O27" s="64">
        <v>0</v>
      </c>
      <c r="P27" s="64">
        <v>0.14000000000000001</v>
      </c>
      <c r="Q27" s="64">
        <v>8.91</v>
      </c>
      <c r="R27" s="198"/>
      <c r="S27" s="198"/>
      <c r="T27" s="198"/>
      <c r="U27" s="198"/>
    </row>
    <row r="28" spans="1:21" s="12" customFormat="1" x14ac:dyDescent="0.25">
      <c r="A28" s="213" t="s">
        <v>3047</v>
      </c>
      <c r="B28" s="64">
        <v>5.57</v>
      </c>
      <c r="C28" s="64">
        <v>10.78</v>
      </c>
      <c r="D28" s="64">
        <v>10.09</v>
      </c>
      <c r="E28" s="64">
        <v>4.07</v>
      </c>
      <c r="F28" s="64">
        <v>3.61</v>
      </c>
      <c r="G28" s="64">
        <v>7.33</v>
      </c>
      <c r="H28" s="64">
        <v>3.87</v>
      </c>
      <c r="I28" s="64">
        <v>0.44</v>
      </c>
      <c r="J28" s="64">
        <v>0.11</v>
      </c>
      <c r="K28" s="64">
        <v>293.43</v>
      </c>
      <c r="L28" s="64">
        <v>22.29</v>
      </c>
      <c r="M28" s="64">
        <v>98.07</v>
      </c>
      <c r="N28" s="64">
        <v>84.3</v>
      </c>
      <c r="O28" s="64">
        <v>0</v>
      </c>
      <c r="P28" s="64">
        <v>0.15</v>
      </c>
      <c r="Q28" s="64">
        <v>8.91</v>
      </c>
      <c r="R28" s="198"/>
      <c r="S28" s="198"/>
      <c r="T28" s="198"/>
      <c r="U28" s="198"/>
    </row>
    <row r="29" spans="1:21" s="12" customFormat="1" x14ac:dyDescent="0.25">
      <c r="A29" s="213" t="s">
        <v>3048</v>
      </c>
      <c r="B29" s="64">
        <v>5.6</v>
      </c>
      <c r="C29" s="64">
        <v>10.71</v>
      </c>
      <c r="D29" s="64">
        <v>10.09</v>
      </c>
      <c r="E29" s="64">
        <v>4.21</v>
      </c>
      <c r="F29" s="64">
        <v>4.2</v>
      </c>
      <c r="G29" s="64">
        <v>7.49</v>
      </c>
      <c r="H29" s="64">
        <v>3.74</v>
      </c>
      <c r="I29" s="64">
        <v>0.44</v>
      </c>
      <c r="J29" s="64">
        <v>0.09</v>
      </c>
      <c r="K29" s="64">
        <v>250.52</v>
      </c>
      <c r="L29" s="64">
        <v>22.25</v>
      </c>
      <c r="M29" s="64">
        <v>98.06</v>
      </c>
      <c r="N29" s="64">
        <v>86.2</v>
      </c>
      <c r="O29" s="64">
        <v>0</v>
      </c>
      <c r="P29" s="64">
        <v>0.15</v>
      </c>
      <c r="Q29" s="64">
        <v>8.92</v>
      </c>
      <c r="R29" s="198"/>
      <c r="S29" s="198"/>
      <c r="T29" s="198"/>
      <c r="U29" s="198"/>
    </row>
    <row r="30" spans="1:21" s="12" customFormat="1" x14ac:dyDescent="0.25">
      <c r="A30" s="213" t="s">
        <v>3049</v>
      </c>
      <c r="B30" s="64">
        <v>5.6</v>
      </c>
      <c r="C30" s="64">
        <v>10.52</v>
      </c>
      <c r="D30" s="64">
        <v>9.98</v>
      </c>
      <c r="E30" s="64">
        <v>4.7</v>
      </c>
      <c r="F30" s="64">
        <v>3.98</v>
      </c>
      <c r="G30" s="64">
        <v>8.02</v>
      </c>
      <c r="H30" s="64">
        <v>3.33</v>
      </c>
      <c r="I30" s="64">
        <v>0.43</v>
      </c>
      <c r="J30" s="64">
        <v>0.1</v>
      </c>
      <c r="K30" s="64">
        <v>296.94</v>
      </c>
      <c r="L30" s="64">
        <v>22.23</v>
      </c>
      <c r="M30" s="64">
        <v>98.05</v>
      </c>
      <c r="N30" s="64">
        <v>90</v>
      </c>
      <c r="O30" s="64">
        <v>0</v>
      </c>
      <c r="P30" s="64">
        <v>0.15</v>
      </c>
      <c r="Q30" s="64">
        <v>8.93</v>
      </c>
      <c r="R30" s="198"/>
      <c r="S30" s="198"/>
      <c r="T30" s="198"/>
      <c r="U30" s="198"/>
    </row>
    <row r="31" spans="1:21" s="12" customFormat="1" x14ac:dyDescent="0.25">
      <c r="A31" s="213" t="s">
        <v>3050</v>
      </c>
      <c r="B31" s="64">
        <v>5.89</v>
      </c>
      <c r="C31" s="64">
        <v>10.72</v>
      </c>
      <c r="D31" s="64">
        <v>10.32</v>
      </c>
      <c r="E31" s="64">
        <v>4.5</v>
      </c>
      <c r="F31" s="64">
        <v>3.34</v>
      </c>
      <c r="G31" s="64">
        <v>8.02</v>
      </c>
      <c r="H31" s="64">
        <v>3.33</v>
      </c>
      <c r="I31" s="64">
        <v>0.42</v>
      </c>
      <c r="J31" s="64">
        <v>0.08</v>
      </c>
      <c r="K31" s="64">
        <v>265.13</v>
      </c>
      <c r="L31" s="64">
        <v>22.26</v>
      </c>
      <c r="M31" s="64">
        <v>98.05</v>
      </c>
      <c r="N31" s="64">
        <v>96.9</v>
      </c>
      <c r="O31" s="64">
        <v>0</v>
      </c>
      <c r="P31" s="64">
        <v>0.15</v>
      </c>
      <c r="Q31" s="64">
        <v>8.9600000000000009</v>
      </c>
      <c r="R31" s="198"/>
      <c r="S31" s="198"/>
      <c r="T31" s="198"/>
      <c r="U31" s="198"/>
    </row>
    <row r="32" spans="1:21" s="12" customFormat="1" x14ac:dyDescent="0.25">
      <c r="A32" s="213" t="s">
        <v>3051</v>
      </c>
      <c r="B32" s="64">
        <v>6.01</v>
      </c>
      <c r="C32" s="64">
        <v>10.6</v>
      </c>
      <c r="D32" s="64">
        <v>10.36</v>
      </c>
      <c r="E32" s="64">
        <v>4.24</v>
      </c>
      <c r="F32" s="64">
        <v>3.43</v>
      </c>
      <c r="G32" s="64">
        <v>8.02</v>
      </c>
      <c r="H32" s="64">
        <v>3.33</v>
      </c>
      <c r="I32" s="64">
        <v>0.43</v>
      </c>
      <c r="J32" s="64">
        <v>0.1</v>
      </c>
      <c r="K32" s="64">
        <v>275.52</v>
      </c>
      <c r="L32" s="64">
        <v>22.28</v>
      </c>
      <c r="M32" s="64">
        <v>98.05</v>
      </c>
      <c r="N32" s="64">
        <v>105.2</v>
      </c>
      <c r="O32" s="64">
        <v>0</v>
      </c>
      <c r="P32" s="64">
        <v>0.15</v>
      </c>
      <c r="Q32" s="64">
        <v>8.98</v>
      </c>
      <c r="R32" s="198"/>
      <c r="S32" s="198"/>
      <c r="T32" s="198"/>
      <c r="U32" s="198"/>
    </row>
    <row r="33" spans="1:21" s="12" customFormat="1" x14ac:dyDescent="0.25">
      <c r="A33" s="213" t="s">
        <v>3052</v>
      </c>
      <c r="B33" s="64">
        <v>6.23</v>
      </c>
      <c r="C33" s="64">
        <v>10.55</v>
      </c>
      <c r="D33" s="64">
        <v>10.5</v>
      </c>
      <c r="E33" s="64">
        <v>4.3899999999999997</v>
      </c>
      <c r="F33" s="64">
        <v>3.4</v>
      </c>
      <c r="G33" s="64">
        <v>7.7</v>
      </c>
      <c r="H33" s="64">
        <v>3.29</v>
      </c>
      <c r="I33" s="64">
        <v>0.43</v>
      </c>
      <c r="J33" s="64">
        <v>0.1</v>
      </c>
      <c r="K33" s="64">
        <v>260.35000000000002</v>
      </c>
      <c r="L33" s="64">
        <v>22.32</v>
      </c>
      <c r="M33" s="64">
        <v>98.05</v>
      </c>
      <c r="N33" s="64">
        <v>98.8</v>
      </c>
      <c r="O33" s="64">
        <v>0</v>
      </c>
      <c r="P33" s="64">
        <v>0.15</v>
      </c>
      <c r="Q33" s="64">
        <v>9</v>
      </c>
      <c r="R33" s="198"/>
      <c r="S33" s="198"/>
      <c r="T33" s="198"/>
      <c r="U33" s="198"/>
    </row>
    <row r="34" spans="1:21" s="12" customFormat="1" x14ac:dyDescent="0.25">
      <c r="A34" s="213" t="s">
        <v>3053</v>
      </c>
      <c r="B34" s="64">
        <v>6.52</v>
      </c>
      <c r="C34" s="64">
        <v>10.62</v>
      </c>
      <c r="D34" s="64">
        <v>10.77</v>
      </c>
      <c r="E34" s="64">
        <v>4.92</v>
      </c>
      <c r="F34" s="64">
        <v>3.27</v>
      </c>
      <c r="G34" s="64">
        <v>6.64</v>
      </c>
      <c r="H34" s="64">
        <v>3.13</v>
      </c>
      <c r="I34" s="64">
        <v>0.44</v>
      </c>
      <c r="J34" s="64">
        <v>0.12</v>
      </c>
      <c r="K34" s="64">
        <v>297.76</v>
      </c>
      <c r="L34" s="64">
        <v>22.35</v>
      </c>
      <c r="M34" s="64">
        <v>98.04</v>
      </c>
      <c r="N34" s="64">
        <v>93.9</v>
      </c>
      <c r="O34" s="64">
        <v>0</v>
      </c>
      <c r="P34" s="64">
        <v>0.15</v>
      </c>
      <c r="Q34" s="64">
        <v>8.99</v>
      </c>
      <c r="R34" s="198"/>
      <c r="S34" s="198"/>
      <c r="T34" s="198"/>
      <c r="U34" s="198"/>
    </row>
    <row r="35" spans="1:21" s="12" customFormat="1" x14ac:dyDescent="0.25">
      <c r="A35" s="213" t="s">
        <v>3054</v>
      </c>
      <c r="B35" s="64">
        <v>6.73</v>
      </c>
      <c r="C35" s="64">
        <v>10.6</v>
      </c>
      <c r="D35" s="64">
        <v>10.94</v>
      </c>
      <c r="E35" s="64">
        <v>4.7699999999999996</v>
      </c>
      <c r="F35" s="64">
        <v>3.61</v>
      </c>
      <c r="G35" s="64">
        <v>6.64</v>
      </c>
      <c r="H35" s="64">
        <v>3.13</v>
      </c>
      <c r="I35" s="64">
        <v>0.46</v>
      </c>
      <c r="J35" s="64">
        <v>0.11</v>
      </c>
      <c r="K35" s="64">
        <v>281.66000000000003</v>
      </c>
      <c r="L35" s="64">
        <v>22.35</v>
      </c>
      <c r="M35" s="64">
        <v>98.03</v>
      </c>
      <c r="N35" s="64">
        <v>86.6</v>
      </c>
      <c r="O35" s="64">
        <v>0</v>
      </c>
      <c r="P35" s="64">
        <v>0.15</v>
      </c>
      <c r="Q35" s="64">
        <v>9.01</v>
      </c>
      <c r="R35" s="198"/>
      <c r="S35" s="198"/>
      <c r="T35" s="198"/>
      <c r="U35" s="198"/>
    </row>
    <row r="36" spans="1:21" s="12" customFormat="1" x14ac:dyDescent="0.25">
      <c r="A36" s="213" t="s">
        <v>3055</v>
      </c>
      <c r="B36" s="64">
        <v>6.79</v>
      </c>
      <c r="C36" s="64">
        <v>10.82</v>
      </c>
      <c r="D36" s="64">
        <v>11.1</v>
      </c>
      <c r="E36" s="64">
        <v>4.57</v>
      </c>
      <c r="F36" s="64">
        <v>3.58</v>
      </c>
      <c r="G36" s="64">
        <v>6.64</v>
      </c>
      <c r="H36" s="64">
        <v>3.13</v>
      </c>
      <c r="I36" s="64">
        <v>0.46</v>
      </c>
      <c r="J36" s="64">
        <v>0.13</v>
      </c>
      <c r="K36" s="64">
        <v>296.72000000000003</v>
      </c>
      <c r="L36" s="64">
        <v>22.37</v>
      </c>
      <c r="M36" s="64">
        <v>98.03</v>
      </c>
      <c r="N36" s="64">
        <v>87.7</v>
      </c>
      <c r="O36" s="64">
        <v>0</v>
      </c>
      <c r="P36" s="64">
        <v>0.17</v>
      </c>
      <c r="Q36" s="64">
        <v>9</v>
      </c>
      <c r="R36" s="198"/>
      <c r="S36" s="198"/>
      <c r="T36" s="198"/>
      <c r="U36" s="198"/>
    </row>
    <row r="37" spans="1:21" s="12" customFormat="1" x14ac:dyDescent="0.25">
      <c r="A37" s="213" t="s">
        <v>3056</v>
      </c>
      <c r="B37" s="64">
        <v>6.88</v>
      </c>
      <c r="C37" s="64">
        <v>10.69</v>
      </c>
      <c r="D37" s="64">
        <v>11.1</v>
      </c>
      <c r="E37" s="64">
        <v>4.49</v>
      </c>
      <c r="F37" s="64">
        <v>3.84</v>
      </c>
      <c r="G37" s="64">
        <v>6.83</v>
      </c>
      <c r="H37" s="64">
        <v>3.01</v>
      </c>
      <c r="I37" s="64">
        <v>0.48</v>
      </c>
      <c r="J37" s="64">
        <v>0.16</v>
      </c>
      <c r="K37" s="64">
        <v>291.39999999999998</v>
      </c>
      <c r="L37" s="64">
        <v>22.36</v>
      </c>
      <c r="M37" s="64">
        <v>98.05</v>
      </c>
      <c r="N37" s="64">
        <v>96.1</v>
      </c>
      <c r="O37" s="64">
        <v>0</v>
      </c>
      <c r="P37" s="64">
        <v>0.15</v>
      </c>
      <c r="Q37" s="64">
        <v>8.99</v>
      </c>
      <c r="R37" s="198"/>
      <c r="S37" s="198"/>
      <c r="T37" s="198"/>
      <c r="U37" s="198"/>
    </row>
    <row r="38" spans="1:21" s="12" customFormat="1" x14ac:dyDescent="0.25">
      <c r="A38" s="213" t="s">
        <v>3057</v>
      </c>
      <c r="B38" s="64">
        <v>6.88</v>
      </c>
      <c r="C38" s="64">
        <v>10.93</v>
      </c>
      <c r="D38" s="64">
        <v>11.23</v>
      </c>
      <c r="E38" s="64">
        <v>4.49</v>
      </c>
      <c r="F38" s="64">
        <v>3.07</v>
      </c>
      <c r="G38" s="64">
        <v>7.43</v>
      </c>
      <c r="H38" s="64">
        <v>2.61</v>
      </c>
      <c r="I38" s="64">
        <v>0.47</v>
      </c>
      <c r="J38" s="64">
        <v>0.14000000000000001</v>
      </c>
      <c r="K38" s="64">
        <v>289.12</v>
      </c>
      <c r="L38" s="64">
        <v>22.5</v>
      </c>
      <c r="M38" s="64">
        <v>98.07</v>
      </c>
      <c r="N38" s="64">
        <v>145.1</v>
      </c>
      <c r="O38" s="64">
        <v>0</v>
      </c>
      <c r="P38" s="64">
        <v>0.17</v>
      </c>
      <c r="Q38" s="64">
        <v>8.9700000000000006</v>
      </c>
      <c r="R38" s="198"/>
      <c r="S38" s="198"/>
      <c r="T38" s="198"/>
      <c r="U38" s="198"/>
    </row>
    <row r="39" spans="1:21" s="12" customFormat="1" x14ac:dyDescent="0.25">
      <c r="A39" s="213" t="s">
        <v>3058</v>
      </c>
      <c r="B39" s="64">
        <v>6.85</v>
      </c>
      <c r="C39" s="64">
        <v>10.89</v>
      </c>
      <c r="D39" s="64">
        <v>11.18</v>
      </c>
      <c r="E39" s="64">
        <v>4.53</v>
      </c>
      <c r="F39" s="64">
        <v>3.96</v>
      </c>
      <c r="G39" s="64">
        <v>7.43</v>
      </c>
      <c r="H39" s="64">
        <v>2.61</v>
      </c>
      <c r="I39" s="64">
        <v>0.46</v>
      </c>
      <c r="J39" s="64">
        <v>0.09</v>
      </c>
      <c r="K39" s="64">
        <v>295.11</v>
      </c>
      <c r="L39" s="64">
        <v>22.81</v>
      </c>
      <c r="M39" s="64">
        <v>98.07</v>
      </c>
      <c r="N39" s="64">
        <v>173.3</v>
      </c>
      <c r="O39" s="64">
        <v>0</v>
      </c>
      <c r="P39" s="64">
        <v>0.19</v>
      </c>
      <c r="Q39" s="64">
        <v>8.9600000000000009</v>
      </c>
      <c r="R39" s="198"/>
      <c r="S39" s="198"/>
      <c r="T39" s="198"/>
      <c r="U39" s="198"/>
    </row>
    <row r="40" spans="1:21" s="12" customFormat="1" x14ac:dyDescent="0.25">
      <c r="A40" s="213" t="s">
        <v>3059</v>
      </c>
      <c r="B40" s="64">
        <v>6.9</v>
      </c>
      <c r="C40" s="64">
        <v>11.07</v>
      </c>
      <c r="D40" s="64">
        <v>11.32</v>
      </c>
      <c r="E40" s="64">
        <v>3.44</v>
      </c>
      <c r="F40" s="64">
        <v>2.82</v>
      </c>
      <c r="G40" s="64">
        <v>7.43</v>
      </c>
      <c r="H40" s="64">
        <v>2.61</v>
      </c>
      <c r="I40" s="64">
        <v>0.49</v>
      </c>
      <c r="J40" s="64">
        <v>0.16</v>
      </c>
      <c r="K40" s="64">
        <v>293.26</v>
      </c>
      <c r="L40" s="64">
        <v>23.08</v>
      </c>
      <c r="M40" s="64">
        <v>98.04</v>
      </c>
      <c r="N40" s="64">
        <v>191.6</v>
      </c>
      <c r="O40" s="64">
        <v>0</v>
      </c>
      <c r="P40" s="64">
        <v>0.18</v>
      </c>
      <c r="Q40" s="64">
        <v>8.9600000000000009</v>
      </c>
      <c r="R40" s="198"/>
      <c r="S40" s="198"/>
      <c r="T40" s="198"/>
      <c r="U40" s="198"/>
    </row>
    <row r="41" spans="1:21" s="12" customFormat="1" x14ac:dyDescent="0.25">
      <c r="A41" s="213" t="s">
        <v>3060</v>
      </c>
      <c r="B41" s="64">
        <v>7.02</v>
      </c>
      <c r="C41" s="64">
        <v>11.16</v>
      </c>
      <c r="D41" s="64">
        <v>11.46</v>
      </c>
      <c r="E41" s="64">
        <v>3.67</v>
      </c>
      <c r="F41" s="64">
        <v>3.93</v>
      </c>
      <c r="G41" s="64">
        <v>8.86</v>
      </c>
      <c r="H41" s="64">
        <v>3.1</v>
      </c>
      <c r="I41" s="64">
        <v>0.51</v>
      </c>
      <c r="J41" s="64">
        <v>0.15</v>
      </c>
      <c r="K41" s="64">
        <v>290.02</v>
      </c>
      <c r="L41" s="64">
        <v>23.63</v>
      </c>
      <c r="M41" s="64">
        <v>97.95</v>
      </c>
      <c r="N41" s="64">
        <v>293.8</v>
      </c>
      <c r="O41" s="64">
        <v>0</v>
      </c>
      <c r="P41" s="64">
        <v>0.2</v>
      </c>
      <c r="Q41" s="64">
        <v>8.9600000000000009</v>
      </c>
      <c r="R41" s="198"/>
      <c r="S41" s="198"/>
      <c r="T41" s="198"/>
      <c r="U41" s="198"/>
    </row>
    <row r="42" spans="1:21" s="12" customFormat="1" x14ac:dyDescent="0.25">
      <c r="A42" s="213" t="s">
        <v>3061</v>
      </c>
      <c r="B42" s="64">
        <v>7.01</v>
      </c>
      <c r="C42" s="64">
        <v>11.49</v>
      </c>
      <c r="D42" s="64">
        <v>11.63</v>
      </c>
      <c r="E42" s="64">
        <v>3.64</v>
      </c>
      <c r="F42" s="64">
        <v>3.08</v>
      </c>
      <c r="G42" s="64">
        <v>13.57</v>
      </c>
      <c r="H42" s="64">
        <v>4.68</v>
      </c>
      <c r="I42" s="64">
        <v>0.52</v>
      </c>
      <c r="J42" s="64">
        <v>0.21</v>
      </c>
      <c r="K42" s="64">
        <v>290.7</v>
      </c>
      <c r="L42" s="64">
        <v>23.86</v>
      </c>
      <c r="M42" s="64">
        <v>97.9</v>
      </c>
      <c r="N42" s="64">
        <v>252.5</v>
      </c>
      <c r="O42" s="64">
        <v>0</v>
      </c>
      <c r="P42" s="64">
        <v>0.2</v>
      </c>
      <c r="Q42" s="64">
        <v>8.9700000000000006</v>
      </c>
      <c r="R42" s="198"/>
      <c r="S42" s="198"/>
      <c r="T42" s="198"/>
      <c r="U42" s="198"/>
    </row>
    <row r="43" spans="1:21" s="12" customFormat="1" x14ac:dyDescent="0.25">
      <c r="A43" s="213" t="s">
        <v>3062</v>
      </c>
      <c r="B43" s="64">
        <v>6.97</v>
      </c>
      <c r="C43" s="64">
        <v>11.85</v>
      </c>
      <c r="D43" s="64">
        <v>11.78</v>
      </c>
      <c r="E43" s="64">
        <v>3.58</v>
      </c>
      <c r="F43" s="64">
        <v>3.8</v>
      </c>
      <c r="G43" s="64">
        <v>13.57</v>
      </c>
      <c r="H43" s="64">
        <v>4.68</v>
      </c>
      <c r="I43" s="64">
        <v>0.53</v>
      </c>
      <c r="J43" s="64">
        <v>0.26</v>
      </c>
      <c r="K43" s="64">
        <v>286.05</v>
      </c>
      <c r="L43" s="64">
        <v>24.02</v>
      </c>
      <c r="M43" s="64">
        <v>97.9</v>
      </c>
      <c r="N43" s="64">
        <v>227.1</v>
      </c>
      <c r="O43" s="64">
        <v>0</v>
      </c>
      <c r="P43" s="64">
        <v>0.21</v>
      </c>
      <c r="Q43" s="64">
        <v>8.9700000000000006</v>
      </c>
      <c r="R43" s="198"/>
      <c r="S43" s="198"/>
      <c r="T43" s="198"/>
      <c r="U43" s="198"/>
    </row>
    <row r="44" spans="1:21" s="12" customFormat="1" x14ac:dyDescent="0.25">
      <c r="A44" s="213" t="s">
        <v>3063</v>
      </c>
      <c r="B44" s="64">
        <v>6.77</v>
      </c>
      <c r="C44" s="64">
        <v>12.27</v>
      </c>
      <c r="D44" s="64">
        <v>11.84</v>
      </c>
      <c r="E44" s="64">
        <v>3.62</v>
      </c>
      <c r="F44" s="64">
        <v>3.31</v>
      </c>
      <c r="G44" s="64">
        <v>13.57</v>
      </c>
      <c r="H44" s="64">
        <v>4.68</v>
      </c>
      <c r="I44" s="64">
        <v>0.55000000000000004</v>
      </c>
      <c r="J44" s="64">
        <v>0.24</v>
      </c>
      <c r="K44" s="64">
        <v>288.72000000000003</v>
      </c>
      <c r="L44" s="64">
        <v>23.94</v>
      </c>
      <c r="M44" s="64">
        <v>97.9</v>
      </c>
      <c r="N44" s="64">
        <v>223.1</v>
      </c>
      <c r="O44" s="64">
        <v>0</v>
      </c>
      <c r="P44" s="64">
        <v>0.2</v>
      </c>
      <c r="Q44" s="64">
        <v>8.9700000000000006</v>
      </c>
      <c r="R44" s="198"/>
      <c r="S44" s="198"/>
      <c r="T44" s="198"/>
      <c r="U44" s="198"/>
    </row>
    <row r="45" spans="1:21" s="12" customFormat="1" x14ac:dyDescent="0.25">
      <c r="A45" s="213" t="s">
        <v>3064</v>
      </c>
      <c r="B45" s="64">
        <v>6.57</v>
      </c>
      <c r="C45" s="64">
        <v>12.61</v>
      </c>
      <c r="D45" s="64">
        <v>11.85</v>
      </c>
      <c r="E45" s="64">
        <v>3.5</v>
      </c>
      <c r="F45" s="64">
        <v>4.28</v>
      </c>
      <c r="G45" s="64">
        <v>14.78</v>
      </c>
      <c r="H45" s="64">
        <v>4.7699999999999996</v>
      </c>
      <c r="I45" s="64">
        <v>0.56000000000000005</v>
      </c>
      <c r="J45" s="64">
        <v>0.16</v>
      </c>
      <c r="K45" s="64">
        <v>294.45</v>
      </c>
      <c r="L45" s="64">
        <v>24.02</v>
      </c>
      <c r="M45" s="64">
        <v>97.91</v>
      </c>
      <c r="N45" s="64">
        <v>210.7</v>
      </c>
      <c r="O45" s="64">
        <v>0</v>
      </c>
      <c r="P45" s="64">
        <v>0.21</v>
      </c>
      <c r="Q45" s="64">
        <v>8.9499999999999993</v>
      </c>
      <c r="R45" s="198"/>
      <c r="S45" s="198"/>
      <c r="T45" s="198"/>
      <c r="U45" s="198"/>
    </row>
    <row r="46" spans="1:21" s="12" customFormat="1" x14ac:dyDescent="0.25">
      <c r="A46" s="213" t="s">
        <v>3065</v>
      </c>
      <c r="B46" s="64">
        <v>6.81</v>
      </c>
      <c r="C46" s="64">
        <v>12.73</v>
      </c>
      <c r="D46" s="64">
        <v>12.11</v>
      </c>
      <c r="E46" s="64">
        <v>3.36</v>
      </c>
      <c r="F46" s="64">
        <v>3.27</v>
      </c>
      <c r="G46" s="64">
        <v>18.78</v>
      </c>
      <c r="H46" s="64">
        <v>5.0599999999999996</v>
      </c>
      <c r="I46" s="64">
        <v>0.56999999999999995</v>
      </c>
      <c r="J46" s="64">
        <v>0.21</v>
      </c>
      <c r="K46" s="64">
        <v>283.64999999999998</v>
      </c>
      <c r="L46" s="64">
        <v>24.3</v>
      </c>
      <c r="M46" s="64">
        <v>97.97</v>
      </c>
      <c r="N46" s="64">
        <v>248.3</v>
      </c>
      <c r="O46" s="64">
        <v>0</v>
      </c>
      <c r="P46" s="64">
        <v>0.24</v>
      </c>
      <c r="Q46" s="64">
        <v>8.9600000000000009</v>
      </c>
      <c r="R46" s="198"/>
      <c r="S46" s="198"/>
      <c r="T46" s="198"/>
      <c r="U46" s="198"/>
    </row>
    <row r="47" spans="1:21" s="12" customFormat="1" x14ac:dyDescent="0.25">
      <c r="A47" s="213" t="s">
        <v>3066</v>
      </c>
      <c r="B47" s="64">
        <v>7.17</v>
      </c>
      <c r="C47" s="64">
        <v>12.85</v>
      </c>
      <c r="D47" s="64">
        <v>12.46</v>
      </c>
      <c r="E47" s="64">
        <v>3.33</v>
      </c>
      <c r="F47" s="64">
        <v>3.33</v>
      </c>
      <c r="G47" s="64">
        <v>18.78</v>
      </c>
      <c r="H47" s="64">
        <v>5.0599999999999996</v>
      </c>
      <c r="I47" s="64">
        <v>0.59</v>
      </c>
      <c r="J47" s="64">
        <v>0.22</v>
      </c>
      <c r="K47" s="64">
        <v>281.85000000000002</v>
      </c>
      <c r="L47" s="64">
        <v>24.77</v>
      </c>
      <c r="M47" s="64">
        <v>97.94</v>
      </c>
      <c r="N47" s="64">
        <v>337.2</v>
      </c>
      <c r="O47" s="64">
        <v>0</v>
      </c>
      <c r="P47" s="64">
        <v>0.24</v>
      </c>
      <c r="Q47" s="64">
        <v>9</v>
      </c>
      <c r="R47" s="198"/>
      <c r="S47" s="198"/>
      <c r="T47" s="198"/>
      <c r="U47" s="198"/>
    </row>
    <row r="48" spans="1:21" s="12" customFormat="1" x14ac:dyDescent="0.25">
      <c r="A48" s="213" t="s">
        <v>3067</v>
      </c>
      <c r="B48" s="64">
        <v>7.31</v>
      </c>
      <c r="C48" s="64">
        <v>13.07</v>
      </c>
      <c r="D48" s="64">
        <v>12.69</v>
      </c>
      <c r="E48" s="64">
        <v>3.57</v>
      </c>
      <c r="F48" s="64">
        <v>3.53</v>
      </c>
      <c r="G48" s="64">
        <v>18.78</v>
      </c>
      <c r="H48" s="64">
        <v>5.0599999999999996</v>
      </c>
      <c r="I48" s="64">
        <v>0.62</v>
      </c>
      <c r="J48" s="64">
        <v>0.21</v>
      </c>
      <c r="K48" s="64">
        <v>282.52999999999997</v>
      </c>
      <c r="L48" s="64">
        <v>24.82</v>
      </c>
      <c r="M48" s="64">
        <v>97.93</v>
      </c>
      <c r="N48" s="64">
        <v>246.5</v>
      </c>
      <c r="O48" s="64">
        <v>0</v>
      </c>
      <c r="P48" s="64">
        <v>0.25</v>
      </c>
      <c r="Q48" s="64">
        <v>9.02</v>
      </c>
      <c r="R48" s="198"/>
      <c r="S48" s="198"/>
      <c r="T48" s="198"/>
      <c r="U48" s="198"/>
    </row>
    <row r="49" spans="1:21" s="12" customFormat="1" x14ac:dyDescent="0.25">
      <c r="A49" s="213" t="s">
        <v>3068</v>
      </c>
      <c r="B49" s="64">
        <v>7.72</v>
      </c>
      <c r="C49" s="64">
        <v>13.1</v>
      </c>
      <c r="D49" s="64">
        <v>13.03</v>
      </c>
      <c r="E49" s="64">
        <v>3.68</v>
      </c>
      <c r="F49" s="64">
        <v>3.54</v>
      </c>
      <c r="G49" s="64">
        <v>19.04</v>
      </c>
      <c r="H49" s="64">
        <v>5.28</v>
      </c>
      <c r="I49" s="64">
        <v>0.65</v>
      </c>
      <c r="J49" s="64">
        <v>0.24</v>
      </c>
      <c r="K49" s="64">
        <v>286.73</v>
      </c>
      <c r="L49" s="64">
        <v>24.38</v>
      </c>
      <c r="M49" s="64">
        <v>97.95</v>
      </c>
      <c r="N49" s="64">
        <v>155.30000000000001</v>
      </c>
      <c r="O49" s="64">
        <v>0</v>
      </c>
      <c r="P49" s="64">
        <v>0.27</v>
      </c>
      <c r="Q49" s="64">
        <v>9.0299999999999994</v>
      </c>
      <c r="R49" s="198"/>
      <c r="S49" s="198"/>
      <c r="T49" s="198"/>
      <c r="U49" s="198"/>
    </row>
    <row r="50" spans="1:21" s="12" customFormat="1" x14ac:dyDescent="0.25">
      <c r="A50" s="213" t="s">
        <v>3069</v>
      </c>
      <c r="B50" s="64">
        <v>7.61</v>
      </c>
      <c r="C50" s="64">
        <v>13.8</v>
      </c>
      <c r="D50" s="64">
        <v>13.31</v>
      </c>
      <c r="E50" s="64">
        <v>3.7</v>
      </c>
      <c r="F50" s="64">
        <v>3.67</v>
      </c>
      <c r="G50" s="64">
        <v>19.89</v>
      </c>
      <c r="H50" s="64">
        <v>6.01</v>
      </c>
      <c r="I50" s="64">
        <v>0.67</v>
      </c>
      <c r="J50" s="64">
        <v>0.19</v>
      </c>
      <c r="K50" s="64">
        <v>274.43</v>
      </c>
      <c r="L50" s="64">
        <v>24.28</v>
      </c>
      <c r="M50" s="64">
        <v>97.94</v>
      </c>
      <c r="N50" s="64">
        <v>185</v>
      </c>
      <c r="O50" s="64">
        <v>0</v>
      </c>
      <c r="P50" s="64">
        <v>0.28000000000000003</v>
      </c>
      <c r="Q50" s="64">
        <v>9.0500000000000007</v>
      </c>
      <c r="R50" s="198"/>
      <c r="S50" s="198"/>
      <c r="T50" s="198"/>
      <c r="U50" s="198"/>
    </row>
    <row r="51" spans="1:21" s="12" customFormat="1" x14ac:dyDescent="0.25">
      <c r="A51" s="213" t="s">
        <v>3070</v>
      </c>
      <c r="B51" s="64">
        <v>7.98</v>
      </c>
      <c r="C51" s="64">
        <v>13.67</v>
      </c>
      <c r="D51" s="64">
        <v>13.54</v>
      </c>
      <c r="E51" s="64">
        <v>3.74</v>
      </c>
      <c r="F51" s="64">
        <v>3.06</v>
      </c>
      <c r="G51" s="64">
        <v>19.89</v>
      </c>
      <c r="H51" s="64">
        <v>6.01</v>
      </c>
      <c r="I51" s="64">
        <v>0.69</v>
      </c>
      <c r="J51" s="64">
        <v>0.18</v>
      </c>
      <c r="K51" s="64">
        <v>284.58</v>
      </c>
      <c r="L51" s="64">
        <v>24.36</v>
      </c>
      <c r="M51" s="64">
        <v>97.85</v>
      </c>
      <c r="N51" s="64">
        <v>228.6</v>
      </c>
      <c r="O51" s="64">
        <v>0</v>
      </c>
      <c r="P51" s="64">
        <v>0.28000000000000003</v>
      </c>
      <c r="Q51" s="64">
        <v>9.0500000000000007</v>
      </c>
      <c r="R51" s="198"/>
      <c r="S51" s="198"/>
      <c r="T51" s="198"/>
      <c r="U51" s="198"/>
    </row>
    <row r="52" spans="1:21" s="12" customFormat="1" x14ac:dyDescent="0.25">
      <c r="A52" s="213" t="s">
        <v>3071</v>
      </c>
      <c r="B52" s="64">
        <v>8.32</v>
      </c>
      <c r="C52" s="64">
        <v>13.39</v>
      </c>
      <c r="D52" s="64">
        <v>13.67</v>
      </c>
      <c r="E52" s="64">
        <v>3.75</v>
      </c>
      <c r="F52" s="64">
        <v>3.55</v>
      </c>
      <c r="G52" s="64">
        <v>19.89</v>
      </c>
      <c r="H52" s="64">
        <v>6.01</v>
      </c>
      <c r="I52" s="64">
        <v>0.73</v>
      </c>
      <c r="J52" s="64">
        <v>0.17</v>
      </c>
      <c r="K52" s="64">
        <v>285.92</v>
      </c>
      <c r="L52" s="64">
        <v>24.98</v>
      </c>
      <c r="M52" s="64">
        <v>97.85</v>
      </c>
      <c r="N52" s="64">
        <v>372</v>
      </c>
      <c r="O52" s="64">
        <v>0</v>
      </c>
      <c r="P52" s="64">
        <v>0.28999999999999998</v>
      </c>
      <c r="Q52" s="64">
        <v>9.06</v>
      </c>
      <c r="R52" s="198"/>
      <c r="S52" s="198"/>
      <c r="T52" s="198"/>
      <c r="U52" s="198"/>
    </row>
    <row r="53" spans="1:21" s="12" customFormat="1" x14ac:dyDescent="0.25">
      <c r="A53" s="213" t="s">
        <v>3072</v>
      </c>
      <c r="B53" s="64">
        <v>7.98</v>
      </c>
      <c r="C53" s="64">
        <v>13.49</v>
      </c>
      <c r="D53" s="64">
        <v>13.44</v>
      </c>
      <c r="E53" s="64">
        <v>3.79</v>
      </c>
      <c r="F53" s="64">
        <v>3.4</v>
      </c>
      <c r="G53" s="64">
        <v>19.07</v>
      </c>
      <c r="H53" s="64">
        <v>6.07</v>
      </c>
      <c r="I53" s="64">
        <v>0.75</v>
      </c>
      <c r="J53" s="64">
        <v>0.23</v>
      </c>
      <c r="K53" s="64">
        <v>281.93</v>
      </c>
      <c r="L53" s="64">
        <v>25.25</v>
      </c>
      <c r="M53" s="64">
        <v>97.85</v>
      </c>
      <c r="N53" s="64">
        <v>344.6</v>
      </c>
      <c r="O53" s="64">
        <v>0</v>
      </c>
      <c r="P53" s="64">
        <v>0.3</v>
      </c>
      <c r="Q53" s="64">
        <v>9.07</v>
      </c>
      <c r="R53" s="198"/>
      <c r="S53" s="198"/>
      <c r="T53" s="198"/>
      <c r="U53" s="198"/>
    </row>
    <row r="54" spans="1:21" s="12" customFormat="1" x14ac:dyDescent="0.25">
      <c r="A54" s="213" t="s">
        <v>3073</v>
      </c>
      <c r="B54" s="64">
        <v>7.65</v>
      </c>
      <c r="C54" s="64">
        <v>13.79</v>
      </c>
      <c r="D54" s="64">
        <v>13.34</v>
      </c>
      <c r="E54" s="64">
        <v>3.55</v>
      </c>
      <c r="F54" s="64">
        <v>3.81</v>
      </c>
      <c r="G54" s="64">
        <v>16.399999999999999</v>
      </c>
      <c r="H54" s="64">
        <v>6.29</v>
      </c>
      <c r="I54" s="64">
        <v>0.72</v>
      </c>
      <c r="J54" s="64">
        <v>0.23</v>
      </c>
      <c r="K54" s="64">
        <v>287.14</v>
      </c>
      <c r="L54" s="64">
        <v>25.23</v>
      </c>
      <c r="M54" s="64">
        <v>97.86</v>
      </c>
      <c r="N54" s="64">
        <v>263.8</v>
      </c>
      <c r="O54" s="64">
        <v>0</v>
      </c>
      <c r="P54" s="64">
        <v>0.31</v>
      </c>
      <c r="Q54" s="64">
        <v>9.07</v>
      </c>
      <c r="R54" s="198"/>
      <c r="S54" s="198"/>
      <c r="T54" s="198"/>
      <c r="U54" s="198"/>
    </row>
    <row r="55" spans="1:21" s="12" customFormat="1" x14ac:dyDescent="0.25">
      <c r="A55" s="213" t="s">
        <v>3074</v>
      </c>
      <c r="B55" s="64">
        <v>7.29</v>
      </c>
      <c r="C55" s="64">
        <v>13.89</v>
      </c>
      <c r="D55" s="64">
        <v>13.11</v>
      </c>
      <c r="E55" s="64">
        <v>3.64</v>
      </c>
      <c r="F55" s="64">
        <v>3.53</v>
      </c>
      <c r="G55" s="64">
        <v>16.399999999999999</v>
      </c>
      <c r="H55" s="64">
        <v>6.29</v>
      </c>
      <c r="I55" s="64">
        <v>0.7</v>
      </c>
      <c r="J55" s="64">
        <v>0.26</v>
      </c>
      <c r="K55" s="64">
        <v>283.86</v>
      </c>
      <c r="L55" s="64">
        <v>25.25</v>
      </c>
      <c r="M55" s="64">
        <v>97.86</v>
      </c>
      <c r="N55" s="64">
        <v>293.89999999999998</v>
      </c>
      <c r="O55" s="64">
        <v>0</v>
      </c>
      <c r="P55" s="64">
        <v>0.32</v>
      </c>
      <c r="Q55" s="64">
        <v>9.0399999999999991</v>
      </c>
      <c r="R55" s="198"/>
      <c r="S55" s="198"/>
      <c r="T55" s="198"/>
      <c r="U55" s="198"/>
    </row>
    <row r="56" spans="1:21" s="12" customFormat="1" x14ac:dyDescent="0.25">
      <c r="A56" s="213" t="s">
        <v>3075</v>
      </c>
      <c r="B56" s="64">
        <v>6.75</v>
      </c>
      <c r="C56" s="64">
        <v>13.74</v>
      </c>
      <c r="D56" s="64">
        <v>12.59</v>
      </c>
      <c r="E56" s="64">
        <v>3.76</v>
      </c>
      <c r="F56" s="64">
        <v>3.89</v>
      </c>
      <c r="G56" s="64">
        <v>16.399999999999999</v>
      </c>
      <c r="H56" s="64">
        <v>6.29</v>
      </c>
      <c r="I56" s="64">
        <v>0.75</v>
      </c>
      <c r="J56" s="64">
        <v>0.16</v>
      </c>
      <c r="K56" s="64">
        <v>279.43</v>
      </c>
      <c r="L56" s="64">
        <v>25.14</v>
      </c>
      <c r="M56" s="64">
        <v>97.85</v>
      </c>
      <c r="N56" s="64">
        <v>221.6</v>
      </c>
      <c r="O56" s="64">
        <v>0</v>
      </c>
      <c r="P56" s="64">
        <v>0.3</v>
      </c>
      <c r="Q56" s="64">
        <v>9</v>
      </c>
      <c r="R56" s="198"/>
      <c r="S56" s="198"/>
      <c r="T56" s="198"/>
      <c r="U56" s="198"/>
    </row>
    <row r="57" spans="1:21" s="12" customFormat="1" x14ac:dyDescent="0.25">
      <c r="A57" s="213" t="s">
        <v>3076</v>
      </c>
      <c r="B57" s="64">
        <v>6.4</v>
      </c>
      <c r="C57" s="64">
        <v>13.74</v>
      </c>
      <c r="D57" s="64">
        <v>12.31</v>
      </c>
      <c r="E57" s="64">
        <v>3.93</v>
      </c>
      <c r="F57" s="64">
        <v>3.88</v>
      </c>
      <c r="G57" s="64">
        <v>17.54</v>
      </c>
      <c r="H57" s="64">
        <v>5.94</v>
      </c>
      <c r="I57" s="64">
        <v>0.72</v>
      </c>
      <c r="J57" s="64">
        <v>0.16</v>
      </c>
      <c r="K57" s="64">
        <v>280.16000000000003</v>
      </c>
      <c r="L57" s="64">
        <v>25.14</v>
      </c>
      <c r="M57" s="64">
        <v>97.86</v>
      </c>
      <c r="N57" s="64">
        <v>228.4</v>
      </c>
      <c r="O57" s="64">
        <v>0</v>
      </c>
      <c r="P57" s="64">
        <v>0.31</v>
      </c>
      <c r="Q57" s="64">
        <v>8.99</v>
      </c>
      <c r="R57" s="198"/>
      <c r="S57" s="198"/>
      <c r="T57" s="198"/>
      <c r="U57" s="198"/>
    </row>
    <row r="58" spans="1:21" s="12" customFormat="1" x14ac:dyDescent="0.25">
      <c r="A58" s="213" t="s">
        <v>3077</v>
      </c>
      <c r="B58" s="64">
        <v>6.65</v>
      </c>
      <c r="C58" s="64">
        <v>13.15</v>
      </c>
      <c r="D58" s="64">
        <v>12.2</v>
      </c>
      <c r="E58" s="64">
        <v>3.72</v>
      </c>
      <c r="F58" s="64">
        <v>3.38</v>
      </c>
      <c r="G58" s="64">
        <v>21.28</v>
      </c>
      <c r="H58" s="64">
        <v>4.82</v>
      </c>
      <c r="I58" s="64">
        <v>0.73</v>
      </c>
      <c r="J58" s="64">
        <v>0.13</v>
      </c>
      <c r="K58" s="64">
        <v>292.42</v>
      </c>
      <c r="L58" s="64">
        <v>25.21</v>
      </c>
      <c r="M58" s="64">
        <v>97.86</v>
      </c>
      <c r="N58" s="64">
        <v>243.3</v>
      </c>
      <c r="O58" s="64">
        <v>0</v>
      </c>
      <c r="P58" s="64">
        <v>0.31</v>
      </c>
      <c r="Q58" s="64">
        <v>8.98</v>
      </c>
      <c r="R58" s="198"/>
      <c r="S58" s="198"/>
      <c r="T58" s="198"/>
      <c r="U58" s="198"/>
    </row>
    <row r="59" spans="1:21" s="12" customFormat="1" x14ac:dyDescent="0.25">
      <c r="A59" s="213" t="s">
        <v>3078</v>
      </c>
      <c r="B59" s="64">
        <v>6.95</v>
      </c>
      <c r="C59" s="64">
        <v>13</v>
      </c>
      <c r="D59" s="64">
        <v>12.36</v>
      </c>
      <c r="E59" s="64">
        <v>3.67</v>
      </c>
      <c r="F59" s="64">
        <v>4.3099999999999996</v>
      </c>
      <c r="G59" s="64">
        <v>21.28</v>
      </c>
      <c r="H59" s="64">
        <v>4.82</v>
      </c>
      <c r="I59" s="64">
        <v>0.72</v>
      </c>
      <c r="J59" s="64">
        <v>0.16</v>
      </c>
      <c r="K59" s="64">
        <v>279.75</v>
      </c>
      <c r="L59" s="64">
        <v>25.41</v>
      </c>
      <c r="M59" s="64">
        <v>97.85</v>
      </c>
      <c r="N59" s="64">
        <v>190.4</v>
      </c>
      <c r="O59" s="64">
        <v>0</v>
      </c>
      <c r="P59" s="64">
        <v>0.33</v>
      </c>
      <c r="Q59" s="64">
        <v>8.9700000000000006</v>
      </c>
      <c r="R59" s="198"/>
      <c r="S59" s="198"/>
      <c r="T59" s="198"/>
      <c r="U59" s="198"/>
    </row>
    <row r="60" spans="1:21" s="12" customFormat="1" x14ac:dyDescent="0.25">
      <c r="A60" s="213" t="s">
        <v>3079</v>
      </c>
      <c r="B60" s="64">
        <v>7.46</v>
      </c>
      <c r="C60" s="64">
        <v>13.13</v>
      </c>
      <c r="D60" s="64">
        <v>12.84</v>
      </c>
      <c r="E60" s="64">
        <v>3.72</v>
      </c>
      <c r="F60" s="64">
        <v>4.71</v>
      </c>
      <c r="G60" s="64">
        <v>21.28</v>
      </c>
      <c r="H60" s="64">
        <v>4.82</v>
      </c>
      <c r="I60" s="64">
        <v>0.75</v>
      </c>
      <c r="J60" s="64">
        <v>0.11</v>
      </c>
      <c r="K60" s="64">
        <v>268.07</v>
      </c>
      <c r="L60" s="64">
        <v>25.26</v>
      </c>
      <c r="M60" s="64">
        <v>97.85</v>
      </c>
      <c r="N60" s="64">
        <v>183.1</v>
      </c>
      <c r="O60" s="64">
        <v>0</v>
      </c>
      <c r="P60" s="64">
        <v>0.31</v>
      </c>
      <c r="Q60" s="64">
        <v>8.99</v>
      </c>
      <c r="R60" s="198"/>
      <c r="S60" s="198"/>
      <c r="T60" s="198"/>
      <c r="U60" s="198"/>
    </row>
    <row r="61" spans="1:21" s="12" customFormat="1" x14ac:dyDescent="0.25">
      <c r="A61" s="213" t="s">
        <v>3080</v>
      </c>
      <c r="B61" s="64">
        <v>7.27</v>
      </c>
      <c r="C61" s="64">
        <v>13.14</v>
      </c>
      <c r="D61" s="64">
        <v>12.69</v>
      </c>
      <c r="E61" s="64">
        <v>3.73</v>
      </c>
      <c r="F61" s="64">
        <v>3.92</v>
      </c>
      <c r="G61" s="64">
        <v>21.96</v>
      </c>
      <c r="H61" s="64">
        <v>5.14</v>
      </c>
      <c r="I61" s="64">
        <v>0.82</v>
      </c>
      <c r="J61" s="64">
        <v>0.18</v>
      </c>
      <c r="K61" s="64">
        <v>294.02</v>
      </c>
      <c r="L61" s="64">
        <v>25.18</v>
      </c>
      <c r="M61" s="64">
        <v>97.86</v>
      </c>
      <c r="N61" s="64">
        <v>206.5</v>
      </c>
      <c r="O61" s="64">
        <v>0</v>
      </c>
      <c r="P61" s="64">
        <v>0.23</v>
      </c>
      <c r="Q61" s="64">
        <v>8.99</v>
      </c>
      <c r="R61" s="198"/>
      <c r="S61" s="198"/>
      <c r="T61" s="198"/>
      <c r="U61" s="198"/>
    </row>
    <row r="62" spans="1:21" s="12" customFormat="1" x14ac:dyDescent="0.25">
      <c r="A62" s="213" t="s">
        <v>3081</v>
      </c>
      <c r="B62" s="64">
        <v>7.34</v>
      </c>
      <c r="C62" s="64">
        <v>13.15</v>
      </c>
      <c r="D62" s="64">
        <v>12.76</v>
      </c>
      <c r="E62" s="64">
        <v>3.93</v>
      </c>
      <c r="F62" s="64">
        <v>3.63</v>
      </c>
      <c r="G62" s="64">
        <v>24.16</v>
      </c>
      <c r="H62" s="64">
        <v>6.18</v>
      </c>
      <c r="I62" s="64">
        <v>0.85</v>
      </c>
      <c r="J62" s="64">
        <v>0.21</v>
      </c>
      <c r="K62" s="64">
        <v>283.23</v>
      </c>
      <c r="L62" s="64">
        <v>25.42</v>
      </c>
      <c r="M62" s="64">
        <v>97.85</v>
      </c>
      <c r="N62" s="64">
        <v>220.7</v>
      </c>
      <c r="O62" s="64">
        <v>0</v>
      </c>
      <c r="P62" s="64">
        <v>0.24</v>
      </c>
      <c r="Q62" s="64">
        <v>9</v>
      </c>
      <c r="R62" s="198"/>
      <c r="S62" s="198"/>
      <c r="T62" s="198"/>
      <c r="U62" s="198"/>
    </row>
    <row r="63" spans="1:21" s="12" customFormat="1" x14ac:dyDescent="0.25">
      <c r="A63" s="213" t="s">
        <v>3082</v>
      </c>
      <c r="B63" s="64">
        <v>7.22</v>
      </c>
      <c r="C63" s="64">
        <v>13.34</v>
      </c>
      <c r="D63" s="64">
        <v>12.76</v>
      </c>
      <c r="E63" s="64">
        <v>3.89</v>
      </c>
      <c r="F63" s="64">
        <v>4.07</v>
      </c>
      <c r="G63" s="64">
        <v>24.16</v>
      </c>
      <c r="H63" s="64">
        <v>6.18</v>
      </c>
      <c r="I63" s="64">
        <v>0.8</v>
      </c>
      <c r="J63" s="64">
        <v>0.19</v>
      </c>
      <c r="K63" s="64">
        <v>293.95</v>
      </c>
      <c r="L63" s="64">
        <v>25.53</v>
      </c>
      <c r="M63" s="64">
        <v>97.85</v>
      </c>
      <c r="N63" s="64">
        <v>208.6</v>
      </c>
      <c r="O63" s="64">
        <v>0</v>
      </c>
      <c r="P63" s="64">
        <v>0.26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3" t="s">
        <v>3083</v>
      </c>
      <c r="B64" s="64">
        <v>8.4600000000000009</v>
      </c>
      <c r="C64" s="64">
        <v>14.19</v>
      </c>
      <c r="D64" s="64">
        <v>14.2</v>
      </c>
      <c r="E64" s="64">
        <v>3.68</v>
      </c>
      <c r="F64" s="64">
        <v>3.71</v>
      </c>
      <c r="G64" s="64">
        <v>24.16</v>
      </c>
      <c r="H64" s="64">
        <v>6.18</v>
      </c>
      <c r="I64" s="64">
        <v>0.76</v>
      </c>
      <c r="J64" s="64">
        <v>0.15</v>
      </c>
      <c r="K64" s="64">
        <v>266.94</v>
      </c>
      <c r="L64" s="64">
        <v>25.6</v>
      </c>
      <c r="M64" s="64">
        <v>97.83</v>
      </c>
      <c r="N64" s="64">
        <v>217.5</v>
      </c>
      <c r="O64" s="64">
        <v>0</v>
      </c>
      <c r="P64" s="64">
        <v>0.27</v>
      </c>
      <c r="Q64" s="64">
        <v>9</v>
      </c>
      <c r="R64" s="198"/>
      <c r="S64" s="198"/>
      <c r="T64" s="198"/>
      <c r="U64" s="198"/>
    </row>
    <row r="65" spans="1:21" s="12" customFormat="1" x14ac:dyDescent="0.25">
      <c r="A65" s="213" t="s">
        <v>3084</v>
      </c>
      <c r="B65" s="64">
        <v>7.36</v>
      </c>
      <c r="C65" s="64">
        <v>13.56</v>
      </c>
      <c r="D65" s="64">
        <v>12.99</v>
      </c>
      <c r="E65" s="64">
        <v>3.69</v>
      </c>
      <c r="F65" s="64">
        <v>5.65</v>
      </c>
      <c r="G65" s="64">
        <v>24.83</v>
      </c>
      <c r="H65" s="64">
        <v>5.85</v>
      </c>
      <c r="I65" s="64">
        <v>0.83</v>
      </c>
      <c r="J65" s="64">
        <v>0.15</v>
      </c>
      <c r="K65" s="64">
        <v>280.11</v>
      </c>
      <c r="L65" s="64">
        <v>25.61</v>
      </c>
      <c r="M65" s="64">
        <v>97.85</v>
      </c>
      <c r="N65" s="64">
        <v>265.39999999999998</v>
      </c>
      <c r="O65" s="64">
        <v>0</v>
      </c>
      <c r="P65" s="64">
        <v>0.24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3" t="s">
        <v>3085</v>
      </c>
      <c r="B66" s="64">
        <v>6.79</v>
      </c>
      <c r="C66" s="64">
        <v>13.55</v>
      </c>
      <c r="D66" s="64">
        <v>12.53</v>
      </c>
      <c r="E66" s="64">
        <v>3.77</v>
      </c>
      <c r="F66" s="64">
        <v>5.23</v>
      </c>
      <c r="G66" s="64">
        <v>27.05</v>
      </c>
      <c r="H66" s="64">
        <v>4.75</v>
      </c>
      <c r="I66" s="64">
        <v>0.84</v>
      </c>
      <c r="J66" s="64">
        <v>0.12</v>
      </c>
      <c r="K66" s="64">
        <v>259.75</v>
      </c>
      <c r="L66" s="64">
        <v>25.74</v>
      </c>
      <c r="M66" s="64">
        <v>97.85</v>
      </c>
      <c r="N66" s="64">
        <v>211.9</v>
      </c>
      <c r="O66" s="64">
        <v>0</v>
      </c>
      <c r="P66" s="64">
        <v>0.23</v>
      </c>
      <c r="Q66" s="64">
        <v>9.02</v>
      </c>
      <c r="R66" s="198"/>
      <c r="S66" s="198"/>
      <c r="T66" s="198"/>
      <c r="U66" s="198"/>
    </row>
    <row r="67" spans="1:21" s="12" customFormat="1" x14ac:dyDescent="0.25">
      <c r="A67" s="213" t="s">
        <v>3086</v>
      </c>
      <c r="B67" s="64">
        <v>6.54</v>
      </c>
      <c r="C67" s="64">
        <v>13.34</v>
      </c>
      <c r="D67" s="64">
        <v>12.22</v>
      </c>
      <c r="E67" s="64">
        <v>3.89</v>
      </c>
      <c r="F67" s="64">
        <v>5.74</v>
      </c>
      <c r="G67" s="64">
        <v>27.05</v>
      </c>
      <c r="H67" s="64">
        <v>4.75</v>
      </c>
      <c r="I67" s="64">
        <v>0.81</v>
      </c>
      <c r="J67" s="64">
        <v>0.14000000000000001</v>
      </c>
      <c r="K67" s="64">
        <v>269.39</v>
      </c>
      <c r="L67" s="64">
        <v>25.66</v>
      </c>
      <c r="M67" s="64">
        <v>97.85</v>
      </c>
      <c r="N67" s="64">
        <v>179</v>
      </c>
      <c r="O67" s="64">
        <v>0</v>
      </c>
      <c r="P67" s="64">
        <v>0.22</v>
      </c>
      <c r="Q67" s="64">
        <v>9.0299999999999994</v>
      </c>
      <c r="R67" s="198"/>
      <c r="S67" s="198"/>
      <c r="T67" s="198"/>
      <c r="U67" s="198"/>
    </row>
    <row r="68" spans="1:21" s="12" customFormat="1" x14ac:dyDescent="0.25">
      <c r="A68" s="213" t="s">
        <v>3087</v>
      </c>
      <c r="B68" s="64">
        <v>6.41</v>
      </c>
      <c r="C68" s="64">
        <v>13.27</v>
      </c>
      <c r="D68" s="64">
        <v>12.07</v>
      </c>
      <c r="E68" s="64">
        <v>3.82</v>
      </c>
      <c r="F68" s="64">
        <v>4.22</v>
      </c>
      <c r="G68" s="64">
        <v>27.05</v>
      </c>
      <c r="H68" s="64">
        <v>4.75</v>
      </c>
      <c r="I68" s="64">
        <v>0.88</v>
      </c>
      <c r="J68" s="64">
        <v>0.14000000000000001</v>
      </c>
      <c r="K68" s="64">
        <v>291.38</v>
      </c>
      <c r="L68" s="64">
        <v>25.43</v>
      </c>
      <c r="M68" s="64">
        <v>97.85</v>
      </c>
      <c r="N68" s="64">
        <v>177.8</v>
      </c>
      <c r="O68" s="64">
        <v>0</v>
      </c>
      <c r="P68" s="64">
        <v>0.23</v>
      </c>
      <c r="Q68" s="64">
        <v>9.0299999999999994</v>
      </c>
      <c r="R68" s="198"/>
      <c r="S68" s="198"/>
      <c r="T68" s="198"/>
      <c r="U68" s="198"/>
    </row>
    <row r="69" spans="1:21" s="12" customFormat="1" x14ac:dyDescent="0.25">
      <c r="A69" s="213" t="s">
        <v>3088</v>
      </c>
      <c r="B69" s="64">
        <v>6.68</v>
      </c>
      <c r="C69" s="64">
        <v>14.1</v>
      </c>
      <c r="D69" s="64">
        <v>12.72</v>
      </c>
      <c r="E69" s="64">
        <v>3.62</v>
      </c>
      <c r="F69" s="64">
        <v>5.8</v>
      </c>
      <c r="G69" s="64">
        <v>27.4</v>
      </c>
      <c r="H69" s="64">
        <v>4.51</v>
      </c>
      <c r="I69" s="64">
        <v>0.87</v>
      </c>
      <c r="J69" s="64">
        <v>0.11</v>
      </c>
      <c r="K69" s="64">
        <v>256.66000000000003</v>
      </c>
      <c r="L69" s="64">
        <v>25.66</v>
      </c>
      <c r="M69" s="64">
        <v>97.85</v>
      </c>
      <c r="N69" s="64">
        <v>189</v>
      </c>
      <c r="O69" s="64">
        <v>0</v>
      </c>
      <c r="P69" s="64">
        <v>0.23</v>
      </c>
      <c r="Q69" s="64">
        <v>9.0299999999999994</v>
      </c>
      <c r="R69" s="198"/>
      <c r="S69" s="198"/>
      <c r="T69" s="198"/>
      <c r="U69" s="198"/>
    </row>
    <row r="70" spans="1:21" s="12" customFormat="1" x14ac:dyDescent="0.25">
      <c r="A70" s="213" t="s">
        <v>3089</v>
      </c>
      <c r="B70" s="64">
        <v>6.7</v>
      </c>
      <c r="C70" s="64">
        <v>13.48</v>
      </c>
      <c r="D70" s="64">
        <v>12.41</v>
      </c>
      <c r="E70" s="64">
        <v>3.84</v>
      </c>
      <c r="F70" s="64">
        <v>3.75</v>
      </c>
      <c r="G70" s="64">
        <v>28.55</v>
      </c>
      <c r="H70" s="64">
        <v>3.74</v>
      </c>
      <c r="I70" s="64">
        <v>0.82</v>
      </c>
      <c r="J70" s="64">
        <v>0.18</v>
      </c>
      <c r="K70" s="64">
        <v>277.51</v>
      </c>
      <c r="L70" s="64">
        <v>26.07</v>
      </c>
      <c r="M70" s="64">
        <v>97.37</v>
      </c>
      <c r="N70" s="64">
        <v>226.1</v>
      </c>
      <c r="O70" s="64">
        <v>0</v>
      </c>
      <c r="P70" s="64">
        <v>0.23</v>
      </c>
      <c r="Q70" s="64">
        <v>9.02</v>
      </c>
      <c r="R70" s="198"/>
      <c r="S70" s="198"/>
      <c r="T70" s="198"/>
      <c r="U70" s="198"/>
    </row>
    <row r="71" spans="1:21" s="12" customFormat="1" x14ac:dyDescent="0.25">
      <c r="A71" s="213" t="s">
        <v>3090</v>
      </c>
      <c r="B71" s="64">
        <v>6.81</v>
      </c>
      <c r="C71" s="64">
        <v>14.12</v>
      </c>
      <c r="D71" s="64">
        <v>12.84</v>
      </c>
      <c r="E71" s="64">
        <v>3.86</v>
      </c>
      <c r="F71" s="64">
        <v>4.6500000000000004</v>
      </c>
      <c r="G71" s="64">
        <v>28.55</v>
      </c>
      <c r="H71" s="64">
        <v>3.74</v>
      </c>
      <c r="I71" s="64">
        <v>0.82</v>
      </c>
      <c r="J71" s="64">
        <v>0.12</v>
      </c>
      <c r="K71" s="64">
        <v>280.27</v>
      </c>
      <c r="L71" s="64">
        <v>25.8</v>
      </c>
      <c r="M71" s="64">
        <v>97.79</v>
      </c>
      <c r="N71" s="64">
        <v>188.8</v>
      </c>
      <c r="O71" s="64">
        <v>0</v>
      </c>
      <c r="P71" s="64">
        <v>0.22</v>
      </c>
      <c r="Q71" s="64">
        <v>9.02</v>
      </c>
      <c r="R71" s="198"/>
      <c r="S71" s="198"/>
      <c r="T71" s="198"/>
      <c r="U71" s="198"/>
    </row>
    <row r="72" spans="1:21" s="12" customFormat="1" x14ac:dyDescent="0.25">
      <c r="A72" s="213" t="s">
        <v>3091</v>
      </c>
      <c r="B72" s="64">
        <v>6.92</v>
      </c>
      <c r="C72" s="64">
        <v>14.66</v>
      </c>
      <c r="D72" s="64">
        <v>13.21</v>
      </c>
      <c r="E72" s="64">
        <v>5.08</v>
      </c>
      <c r="F72" s="64">
        <v>4.96</v>
      </c>
      <c r="G72" s="64">
        <v>28.55</v>
      </c>
      <c r="H72" s="64">
        <v>3.74</v>
      </c>
      <c r="I72" s="64">
        <v>0.84</v>
      </c>
      <c r="J72" s="64">
        <v>0.08</v>
      </c>
      <c r="K72" s="64">
        <v>279.92</v>
      </c>
      <c r="L72" s="64">
        <v>26</v>
      </c>
      <c r="M72" s="64">
        <v>97.83</v>
      </c>
      <c r="N72" s="64">
        <v>209.9</v>
      </c>
      <c r="O72" s="64">
        <v>0</v>
      </c>
      <c r="P72" s="64">
        <v>0.23</v>
      </c>
      <c r="Q72" s="64">
        <v>9.02</v>
      </c>
      <c r="R72" s="198"/>
      <c r="S72" s="198"/>
      <c r="T72" s="198"/>
      <c r="U72" s="198"/>
    </row>
    <row r="73" spans="1:21" s="12" customFormat="1" x14ac:dyDescent="0.25">
      <c r="A73" s="213" t="s">
        <v>3092</v>
      </c>
      <c r="B73" s="64">
        <v>6.29</v>
      </c>
      <c r="C73" s="64">
        <v>13.7</v>
      </c>
      <c r="D73" s="64">
        <v>12.2</v>
      </c>
      <c r="E73" s="64">
        <v>5.37</v>
      </c>
      <c r="F73" s="64">
        <v>3.85</v>
      </c>
      <c r="G73" s="64">
        <v>28.7</v>
      </c>
      <c r="H73" s="64">
        <v>4.0599999999999996</v>
      </c>
      <c r="I73" s="64">
        <v>0.9</v>
      </c>
      <c r="J73" s="64">
        <v>0.15</v>
      </c>
      <c r="K73" s="64">
        <v>291.62</v>
      </c>
      <c r="L73" s="64">
        <v>25.91</v>
      </c>
      <c r="M73" s="64">
        <v>97.85</v>
      </c>
      <c r="N73" s="64">
        <v>189.8</v>
      </c>
      <c r="O73" s="64">
        <v>0</v>
      </c>
      <c r="P73" s="64">
        <v>0.22</v>
      </c>
      <c r="Q73" s="64">
        <v>9</v>
      </c>
      <c r="R73" s="198"/>
      <c r="S73" s="198"/>
      <c r="T73" s="198"/>
      <c r="U73" s="198"/>
    </row>
    <row r="74" spans="1:21" s="12" customFormat="1" x14ac:dyDescent="0.25">
      <c r="A74" s="213" t="s">
        <v>3093</v>
      </c>
      <c r="B74" s="64">
        <v>6.13</v>
      </c>
      <c r="C74" s="64">
        <v>13.21</v>
      </c>
      <c r="D74" s="64">
        <v>11.81</v>
      </c>
      <c r="E74" s="64">
        <v>5.78</v>
      </c>
      <c r="F74" s="64">
        <v>4.7300000000000004</v>
      </c>
      <c r="G74" s="64">
        <v>29.2</v>
      </c>
      <c r="H74" s="64">
        <v>5.09</v>
      </c>
      <c r="I74" s="64">
        <v>0.94</v>
      </c>
      <c r="J74" s="64">
        <v>0.16</v>
      </c>
      <c r="K74" s="64">
        <v>291.87</v>
      </c>
      <c r="L74" s="64">
        <v>26.05</v>
      </c>
      <c r="M74" s="64">
        <v>97.78</v>
      </c>
      <c r="N74" s="64">
        <v>183.9</v>
      </c>
      <c r="O74" s="64">
        <v>0</v>
      </c>
      <c r="P74" s="64">
        <v>0.22</v>
      </c>
      <c r="Q74" s="64">
        <v>8.98</v>
      </c>
      <c r="R74" s="198"/>
      <c r="S74" s="198"/>
      <c r="T74" s="198"/>
      <c r="U74" s="198"/>
    </row>
    <row r="75" spans="1:21" s="12" customFormat="1" x14ac:dyDescent="0.25">
      <c r="A75" s="213" t="s">
        <v>3094</v>
      </c>
      <c r="B75" s="64">
        <v>5.95</v>
      </c>
      <c r="C75" s="64">
        <v>13.29</v>
      </c>
      <c r="D75" s="64">
        <v>11.72</v>
      </c>
      <c r="E75" s="64">
        <v>5.47</v>
      </c>
      <c r="F75" s="64">
        <v>3.71</v>
      </c>
      <c r="G75" s="64">
        <v>29.2</v>
      </c>
      <c r="H75" s="64">
        <v>5.09</v>
      </c>
      <c r="I75" s="64">
        <v>0.92</v>
      </c>
      <c r="J75" s="64">
        <v>0.11</v>
      </c>
      <c r="K75" s="64">
        <v>278.64</v>
      </c>
      <c r="L75" s="64">
        <v>26.16</v>
      </c>
      <c r="M75" s="64">
        <v>97.78</v>
      </c>
      <c r="N75" s="64">
        <v>168.7</v>
      </c>
      <c r="O75" s="64">
        <v>0</v>
      </c>
      <c r="P75" s="64">
        <v>0.22</v>
      </c>
      <c r="Q75" s="64">
        <v>8.9700000000000006</v>
      </c>
      <c r="R75" s="198"/>
      <c r="S75" s="198"/>
      <c r="T75" s="198"/>
      <c r="U75" s="198"/>
    </row>
    <row r="76" spans="1:21" s="12" customFormat="1" x14ac:dyDescent="0.25">
      <c r="A76" s="213" t="s">
        <v>3095</v>
      </c>
      <c r="B76" s="64">
        <v>5.99</v>
      </c>
      <c r="C76" s="64">
        <v>13.18</v>
      </c>
      <c r="D76" s="64">
        <v>11.79</v>
      </c>
      <c r="E76" s="64">
        <v>5.33</v>
      </c>
      <c r="F76" s="64">
        <v>3.84</v>
      </c>
      <c r="G76" s="64">
        <v>29.2</v>
      </c>
      <c r="H76" s="64">
        <v>5.09</v>
      </c>
      <c r="I76" s="64">
        <v>0.94</v>
      </c>
      <c r="J76" s="64">
        <v>0.12</v>
      </c>
      <c r="K76" s="64">
        <v>291.60000000000002</v>
      </c>
      <c r="L76" s="64">
        <v>26.23</v>
      </c>
      <c r="M76" s="64">
        <v>97.65</v>
      </c>
      <c r="N76" s="64">
        <v>151.5</v>
      </c>
      <c r="O76" s="64">
        <v>0</v>
      </c>
      <c r="P76" s="64">
        <v>0.21</v>
      </c>
      <c r="Q76" s="64">
        <v>8.9700000000000006</v>
      </c>
      <c r="R76" s="198"/>
      <c r="S76" s="198"/>
      <c r="T76" s="198"/>
      <c r="U76" s="198"/>
    </row>
    <row r="77" spans="1:21" s="12" customFormat="1" x14ac:dyDescent="0.25">
      <c r="A77" s="213" t="s">
        <v>3096</v>
      </c>
      <c r="B77" s="64">
        <v>5.83</v>
      </c>
      <c r="C77" s="64">
        <v>13.38</v>
      </c>
      <c r="D77" s="64">
        <v>11.67</v>
      </c>
      <c r="E77" s="64">
        <v>5.44</v>
      </c>
      <c r="F77" s="64">
        <v>4.3499999999999996</v>
      </c>
      <c r="G77" s="64">
        <v>29.12</v>
      </c>
      <c r="H77" s="64">
        <v>4.93</v>
      </c>
      <c r="I77" s="64">
        <v>0.94</v>
      </c>
      <c r="J77" s="64">
        <v>0.16</v>
      </c>
      <c r="K77" s="64">
        <v>325.51</v>
      </c>
      <c r="L77" s="64">
        <v>26.02</v>
      </c>
      <c r="M77" s="64">
        <v>97.62</v>
      </c>
      <c r="N77" s="64">
        <v>133.69999999999999</v>
      </c>
      <c r="O77" s="64">
        <v>0</v>
      </c>
      <c r="P77" s="64">
        <v>0.22</v>
      </c>
      <c r="Q77" s="64">
        <v>8.9499999999999993</v>
      </c>
      <c r="R77" s="198"/>
      <c r="S77" s="198"/>
      <c r="T77" s="198"/>
      <c r="U77" s="198"/>
    </row>
    <row r="78" spans="1:21" s="12" customFormat="1" x14ac:dyDescent="0.25">
      <c r="A78" s="213" t="s">
        <v>3097</v>
      </c>
      <c r="B78" s="64">
        <v>6.26</v>
      </c>
      <c r="C78" s="64">
        <v>13.97</v>
      </c>
      <c r="D78" s="64">
        <v>12.32</v>
      </c>
      <c r="E78" s="64">
        <v>5.45</v>
      </c>
      <c r="F78" s="64">
        <v>4.33</v>
      </c>
      <c r="G78" s="64">
        <v>28.86</v>
      </c>
      <c r="H78" s="64">
        <v>4.4000000000000004</v>
      </c>
      <c r="I78" s="64">
        <v>0.86</v>
      </c>
      <c r="J78" s="64">
        <v>0.11</v>
      </c>
      <c r="K78" s="64">
        <v>283.99</v>
      </c>
      <c r="L78" s="64">
        <v>25.88</v>
      </c>
      <c r="M78" s="64">
        <v>97.85</v>
      </c>
      <c r="N78" s="64">
        <v>118.2</v>
      </c>
      <c r="O78" s="64">
        <v>0</v>
      </c>
      <c r="P78" s="64">
        <v>0.23</v>
      </c>
      <c r="Q78" s="64">
        <v>8.9499999999999993</v>
      </c>
      <c r="R78" s="198"/>
      <c r="S78" s="198"/>
      <c r="T78" s="198"/>
      <c r="U78" s="198"/>
    </row>
    <row r="79" spans="1:21" s="12" customFormat="1" x14ac:dyDescent="0.25">
      <c r="A79" s="213" t="s">
        <v>3098</v>
      </c>
      <c r="B79" s="64">
        <v>6.04</v>
      </c>
      <c r="C79" s="64">
        <v>14.31</v>
      </c>
      <c r="D79" s="64">
        <v>12.32</v>
      </c>
      <c r="E79" s="64">
        <v>5.38</v>
      </c>
      <c r="F79" s="64">
        <v>4.3899999999999997</v>
      </c>
      <c r="G79" s="64">
        <v>28.86</v>
      </c>
      <c r="H79" s="64">
        <v>4.4000000000000004</v>
      </c>
      <c r="I79" s="64">
        <v>0.81</v>
      </c>
      <c r="J79" s="64">
        <v>0.08</v>
      </c>
      <c r="K79" s="64">
        <v>311.97000000000003</v>
      </c>
      <c r="L79" s="64">
        <v>25.68</v>
      </c>
      <c r="M79" s="64">
        <v>97.86</v>
      </c>
      <c r="N79" s="64">
        <v>106.7</v>
      </c>
      <c r="O79" s="64">
        <v>0</v>
      </c>
      <c r="P79" s="64">
        <v>0.23</v>
      </c>
      <c r="Q79" s="64">
        <v>8.9499999999999993</v>
      </c>
      <c r="R79" s="198"/>
      <c r="S79" s="198"/>
      <c r="T79" s="198"/>
      <c r="U79" s="198"/>
    </row>
    <row r="80" spans="1:21" s="12" customFormat="1" x14ac:dyDescent="0.25">
      <c r="A80" s="213" t="s">
        <v>3099</v>
      </c>
      <c r="B80" s="64">
        <v>6.19</v>
      </c>
      <c r="C80" s="64">
        <v>14.67</v>
      </c>
      <c r="D80" s="64">
        <v>12.62</v>
      </c>
      <c r="E80" s="64">
        <v>5.48</v>
      </c>
      <c r="F80" s="64">
        <v>4.37</v>
      </c>
      <c r="G80" s="64">
        <v>28.86</v>
      </c>
      <c r="H80" s="64">
        <v>4.4000000000000004</v>
      </c>
      <c r="I80" s="64">
        <v>0.82</v>
      </c>
      <c r="J80" s="64">
        <v>7.0000000000000007E-2</v>
      </c>
      <c r="K80" s="64">
        <v>314.77</v>
      </c>
      <c r="L80" s="64">
        <v>25.53</v>
      </c>
      <c r="M80" s="64">
        <v>97.89</v>
      </c>
      <c r="N80" s="64">
        <v>91</v>
      </c>
      <c r="O80" s="64">
        <v>0</v>
      </c>
      <c r="P80" s="64">
        <v>0.24</v>
      </c>
      <c r="Q80" s="64">
        <v>8.9499999999999993</v>
      </c>
      <c r="R80" s="198"/>
      <c r="S80" s="198"/>
      <c r="T80" s="198"/>
      <c r="U80" s="198"/>
    </row>
    <row r="81" spans="1:26" s="12" customFormat="1" x14ac:dyDescent="0.25">
      <c r="A81" s="213" t="s">
        <v>3100</v>
      </c>
      <c r="B81" s="64">
        <v>6.67</v>
      </c>
      <c r="C81" s="64">
        <v>13.74</v>
      </c>
      <c r="D81" s="64">
        <v>12.53</v>
      </c>
      <c r="E81" s="64">
        <v>5.41</v>
      </c>
      <c r="F81" s="64">
        <v>7.53</v>
      </c>
      <c r="G81" s="64">
        <v>28.32</v>
      </c>
      <c r="H81" s="64">
        <v>4.1900000000000004</v>
      </c>
      <c r="I81" s="64">
        <v>0.83</v>
      </c>
      <c r="J81" s="64">
        <v>0.04</v>
      </c>
      <c r="K81" s="64">
        <v>210.21</v>
      </c>
      <c r="L81" s="64">
        <v>25.35</v>
      </c>
      <c r="M81" s="64">
        <v>97.9</v>
      </c>
      <c r="N81" s="64">
        <v>79.2</v>
      </c>
      <c r="O81" s="64">
        <v>0</v>
      </c>
      <c r="P81" s="64">
        <v>0.22</v>
      </c>
      <c r="Q81" s="64">
        <v>8.9700000000000006</v>
      </c>
      <c r="R81" s="198"/>
      <c r="S81" s="198"/>
      <c r="T81" s="198"/>
      <c r="U81" s="198"/>
    </row>
    <row r="82" spans="1:26" s="12" customFormat="1" x14ac:dyDescent="0.25">
      <c r="A82" s="213" t="s">
        <v>3101</v>
      </c>
      <c r="B82" s="64">
        <v>6.84</v>
      </c>
      <c r="C82" s="64">
        <v>14.17</v>
      </c>
      <c r="D82" s="64">
        <v>12.89</v>
      </c>
      <c r="E82" s="64">
        <v>5.32</v>
      </c>
      <c r="F82" s="64">
        <v>6.92</v>
      </c>
      <c r="G82" s="64">
        <v>26.58</v>
      </c>
      <c r="H82" s="64">
        <v>3.5</v>
      </c>
      <c r="I82" s="64">
        <v>0.83</v>
      </c>
      <c r="J82" s="64">
        <v>7.0000000000000007E-2</v>
      </c>
      <c r="K82" s="64">
        <v>314.67</v>
      </c>
      <c r="L82" s="64">
        <v>25.24</v>
      </c>
      <c r="M82" s="64">
        <v>97.89</v>
      </c>
      <c r="N82" s="64">
        <v>64.900000000000006</v>
      </c>
      <c r="O82" s="64">
        <v>0.2</v>
      </c>
      <c r="P82" s="64">
        <v>0.24</v>
      </c>
      <c r="Q82" s="64">
        <v>8.98</v>
      </c>
      <c r="R82" s="198"/>
      <c r="S82" s="198"/>
      <c r="T82" s="198"/>
      <c r="U82" s="198"/>
    </row>
    <row r="83" spans="1:26" s="12" customFormat="1" x14ac:dyDescent="0.25">
      <c r="A83" s="213" t="s">
        <v>3102</v>
      </c>
      <c r="B83" s="64">
        <v>8.68</v>
      </c>
      <c r="C83" s="64">
        <v>15.85</v>
      </c>
      <c r="D83" s="64">
        <v>15.24</v>
      </c>
      <c r="E83" s="64">
        <v>5.32</v>
      </c>
      <c r="F83" s="64">
        <v>4.9400000000000004</v>
      </c>
      <c r="G83" s="64">
        <v>26.58</v>
      </c>
      <c r="H83" s="64">
        <v>3.5</v>
      </c>
      <c r="I83" s="64">
        <v>0.82</v>
      </c>
      <c r="J83" s="64">
        <v>0.12</v>
      </c>
      <c r="K83" s="64">
        <v>342.4</v>
      </c>
      <c r="L83" s="64">
        <v>25.15</v>
      </c>
      <c r="M83" s="64">
        <v>97.9</v>
      </c>
      <c r="N83" s="64">
        <v>57.4</v>
      </c>
      <c r="O83" s="64">
        <v>0</v>
      </c>
      <c r="P83" s="64">
        <v>0.28000000000000003</v>
      </c>
      <c r="Q83" s="64">
        <v>9</v>
      </c>
      <c r="R83" s="198"/>
      <c r="S83" s="198"/>
      <c r="T83" s="198"/>
      <c r="U83" s="198"/>
    </row>
    <row r="84" spans="1:26" s="12" customFormat="1" x14ac:dyDescent="0.25">
      <c r="A84" s="213" t="s">
        <v>3103</v>
      </c>
      <c r="B84" s="64">
        <v>6.43</v>
      </c>
      <c r="C84" s="64">
        <v>14.22</v>
      </c>
      <c r="D84" s="64">
        <v>12.59</v>
      </c>
      <c r="E84" s="64">
        <v>5.47</v>
      </c>
      <c r="F84" s="64">
        <v>6.85</v>
      </c>
      <c r="G84" s="64">
        <v>26.58</v>
      </c>
      <c r="H84" s="64">
        <v>3.5</v>
      </c>
      <c r="I84" s="64">
        <v>0.82</v>
      </c>
      <c r="J84" s="64">
        <v>7.0000000000000007E-2</v>
      </c>
      <c r="K84" s="64">
        <v>281.14</v>
      </c>
      <c r="L84" s="64">
        <v>24.96</v>
      </c>
      <c r="M84" s="64">
        <v>97.9</v>
      </c>
      <c r="N84" s="64">
        <v>55.3</v>
      </c>
      <c r="O84" s="64">
        <v>0</v>
      </c>
      <c r="P84" s="64">
        <v>0.26</v>
      </c>
      <c r="Q84" s="64">
        <v>9.01</v>
      </c>
      <c r="R84" s="198"/>
      <c r="S84" s="198"/>
      <c r="T84" s="198"/>
      <c r="U84" s="198"/>
    </row>
    <row r="85" spans="1:26" s="12" customFormat="1" x14ac:dyDescent="0.25">
      <c r="A85" s="213" t="s">
        <v>3104</v>
      </c>
      <c r="B85" s="64">
        <v>7.2</v>
      </c>
      <c r="C85" s="64">
        <v>14.7</v>
      </c>
      <c r="D85" s="64">
        <v>13.45</v>
      </c>
      <c r="E85" s="64">
        <v>5.47</v>
      </c>
      <c r="F85" s="64">
        <v>5.39</v>
      </c>
      <c r="G85" s="64">
        <v>27.51</v>
      </c>
      <c r="H85" s="64">
        <v>3.35</v>
      </c>
      <c r="I85" s="64">
        <v>0.89</v>
      </c>
      <c r="J85" s="64">
        <v>0.06</v>
      </c>
      <c r="K85" s="64">
        <v>329.29</v>
      </c>
      <c r="L85" s="64">
        <v>24.83</v>
      </c>
      <c r="M85" s="64">
        <v>97.92</v>
      </c>
      <c r="N85" s="64">
        <v>55</v>
      </c>
      <c r="O85" s="64">
        <v>0</v>
      </c>
      <c r="P85" s="64">
        <v>0.24</v>
      </c>
      <c r="Q85" s="64">
        <v>9.0299999999999994</v>
      </c>
      <c r="R85" s="198"/>
      <c r="S85" s="198"/>
      <c r="T85" s="198"/>
      <c r="U85" s="198"/>
    </row>
    <row r="86" spans="1:26" s="12" customFormat="1" x14ac:dyDescent="0.25">
      <c r="A86" s="213" t="s">
        <v>3105</v>
      </c>
      <c r="B86" s="64">
        <v>7.49</v>
      </c>
      <c r="C86" s="64">
        <v>15.26</v>
      </c>
      <c r="D86" s="64">
        <v>13.98</v>
      </c>
      <c r="E86" s="64">
        <v>5.37</v>
      </c>
      <c r="F86" s="64">
        <v>4.6900000000000004</v>
      </c>
      <c r="G86" s="64">
        <v>30.57</v>
      </c>
      <c r="H86" s="64">
        <v>2.87</v>
      </c>
      <c r="I86" s="64">
        <v>0.9</v>
      </c>
      <c r="J86" s="64">
        <v>0.09</v>
      </c>
      <c r="K86" s="64">
        <v>340.38</v>
      </c>
      <c r="L86" s="64">
        <v>24.77</v>
      </c>
      <c r="M86" s="64">
        <v>97.93</v>
      </c>
      <c r="N86" s="64">
        <v>55</v>
      </c>
      <c r="O86" s="64">
        <v>0</v>
      </c>
      <c r="P86" s="64">
        <v>0.26</v>
      </c>
      <c r="Q86" s="64">
        <v>9.0399999999999991</v>
      </c>
      <c r="R86" s="198"/>
      <c r="S86" s="198"/>
      <c r="T86" s="198"/>
      <c r="U86" s="198"/>
    </row>
    <row r="87" spans="1:26" s="12" customFormat="1" x14ac:dyDescent="0.25">
      <c r="A87" s="213" t="s">
        <v>3106</v>
      </c>
      <c r="B87" s="64">
        <v>7.01</v>
      </c>
      <c r="C87" s="64">
        <v>15</v>
      </c>
      <c r="D87" s="64">
        <v>13.46</v>
      </c>
      <c r="E87" s="64">
        <v>5.8</v>
      </c>
      <c r="F87" s="64">
        <v>6.87</v>
      </c>
      <c r="G87" s="64">
        <v>30.57</v>
      </c>
      <c r="H87" s="64">
        <v>2.87</v>
      </c>
      <c r="I87" s="64">
        <v>0.87</v>
      </c>
      <c r="J87" s="64">
        <v>0.08</v>
      </c>
      <c r="K87" s="64">
        <v>328.22</v>
      </c>
      <c r="L87" s="64">
        <v>24.69</v>
      </c>
      <c r="M87" s="64">
        <v>97.94</v>
      </c>
      <c r="N87" s="64">
        <v>54.9</v>
      </c>
      <c r="O87" s="64">
        <v>0</v>
      </c>
      <c r="P87" s="64">
        <v>0.3</v>
      </c>
      <c r="Q87" s="64">
        <v>9.0500000000000007</v>
      </c>
      <c r="R87" s="198"/>
      <c r="S87" s="198"/>
      <c r="T87" s="198"/>
      <c r="U87" s="198"/>
    </row>
    <row r="88" spans="1:26" s="12" customFormat="1" x14ac:dyDescent="0.25">
      <c r="A88" s="213" t="s">
        <v>3107</v>
      </c>
      <c r="B88" s="64">
        <v>7.12</v>
      </c>
      <c r="C88" s="64">
        <v>14.32</v>
      </c>
      <c r="D88" s="64">
        <v>13.19</v>
      </c>
      <c r="E88" s="64">
        <v>5.87</v>
      </c>
      <c r="F88" s="64">
        <v>6.17</v>
      </c>
      <c r="G88" s="64">
        <v>30.57</v>
      </c>
      <c r="H88" s="64">
        <v>2.87</v>
      </c>
      <c r="I88" s="64">
        <v>0.9</v>
      </c>
      <c r="J88" s="64">
        <v>0.09</v>
      </c>
      <c r="K88" s="64">
        <v>320.69</v>
      </c>
      <c r="L88" s="64">
        <v>24.65</v>
      </c>
      <c r="M88" s="64">
        <v>97.93</v>
      </c>
      <c r="N88" s="64">
        <v>54.7</v>
      </c>
      <c r="O88" s="64">
        <v>0</v>
      </c>
      <c r="P88" s="64">
        <v>0.26</v>
      </c>
      <c r="Q88" s="64">
        <v>9.0399999999999991</v>
      </c>
      <c r="R88" s="198"/>
      <c r="S88" s="198"/>
      <c r="T88" s="198"/>
      <c r="U88" s="198"/>
    </row>
    <row r="89" spans="1:26" s="12" customFormat="1" x14ac:dyDescent="0.25">
      <c r="A89" s="213" t="s">
        <v>3108</v>
      </c>
      <c r="B89" s="64">
        <v>8.06</v>
      </c>
      <c r="C89" s="64">
        <v>13.35</v>
      </c>
      <c r="D89" s="64">
        <v>13.44</v>
      </c>
      <c r="E89" s="64">
        <v>5.85</v>
      </c>
      <c r="F89" s="64">
        <v>6.13</v>
      </c>
      <c r="G89" s="64">
        <v>29.71</v>
      </c>
      <c r="H89" s="64">
        <v>2.77</v>
      </c>
      <c r="I89" s="64">
        <v>0.93</v>
      </c>
      <c r="J89" s="64">
        <v>0.09</v>
      </c>
      <c r="K89" s="64">
        <v>309.43</v>
      </c>
      <c r="L89" s="64">
        <v>24.65</v>
      </c>
      <c r="M89" s="64">
        <v>97.93</v>
      </c>
      <c r="N89" s="64">
        <v>55.1</v>
      </c>
      <c r="O89" s="64">
        <v>0</v>
      </c>
      <c r="P89" s="64">
        <v>0.26</v>
      </c>
      <c r="Q89" s="64">
        <v>9.0299999999999994</v>
      </c>
      <c r="R89" s="198"/>
      <c r="S89" s="198"/>
      <c r="T89" s="198"/>
      <c r="U89" s="198"/>
    </row>
    <row r="90" spans="1:26" s="12" customFormat="1" x14ac:dyDescent="0.25">
      <c r="A90" s="213" t="s">
        <v>3109</v>
      </c>
      <c r="B90" s="64">
        <v>7.1</v>
      </c>
      <c r="C90" s="64">
        <v>12.33</v>
      </c>
      <c r="D90" s="64">
        <v>12.14</v>
      </c>
      <c r="E90" s="64">
        <v>5.47</v>
      </c>
      <c r="F90" s="64">
        <v>4.6399999999999997</v>
      </c>
      <c r="G90" s="64">
        <v>26.89</v>
      </c>
      <c r="H90" s="64">
        <v>2.46</v>
      </c>
      <c r="I90" s="64">
        <v>0.94</v>
      </c>
      <c r="J90" s="64">
        <v>0.05</v>
      </c>
      <c r="K90" s="64">
        <v>346.57</v>
      </c>
      <c r="L90" s="64">
        <v>24.57</v>
      </c>
      <c r="M90" s="64">
        <v>97.94</v>
      </c>
      <c r="N90" s="64">
        <v>55.3</v>
      </c>
      <c r="O90" s="64">
        <v>0</v>
      </c>
      <c r="P90" s="64">
        <v>0.27</v>
      </c>
      <c r="Q90" s="64">
        <v>9.02</v>
      </c>
      <c r="R90" s="198"/>
      <c r="S90" s="198"/>
      <c r="T90" s="198"/>
      <c r="U90" s="198"/>
    </row>
    <row r="91" spans="1:26" s="12" customFormat="1" x14ac:dyDescent="0.25">
      <c r="A91" s="213" t="s">
        <v>3110</v>
      </c>
      <c r="B91" s="64">
        <v>6.83</v>
      </c>
      <c r="C91" s="64">
        <v>12.08</v>
      </c>
      <c r="D91" s="64">
        <v>11.79</v>
      </c>
      <c r="E91" s="64">
        <v>5.72</v>
      </c>
      <c r="F91" s="64">
        <v>4.82</v>
      </c>
      <c r="G91" s="64">
        <v>26.89</v>
      </c>
      <c r="H91" s="64">
        <v>2.46</v>
      </c>
      <c r="I91" s="64">
        <v>0.92</v>
      </c>
      <c r="J91" s="64">
        <v>0.1</v>
      </c>
      <c r="K91" s="64">
        <v>354.16</v>
      </c>
      <c r="L91" s="64">
        <v>24.48</v>
      </c>
      <c r="M91" s="64">
        <v>97.97</v>
      </c>
      <c r="N91" s="64">
        <v>55.4</v>
      </c>
      <c r="O91" s="64">
        <v>0</v>
      </c>
      <c r="P91" s="64">
        <v>0.27</v>
      </c>
      <c r="Q91" s="64">
        <v>9.01</v>
      </c>
      <c r="R91" s="198"/>
      <c r="S91" s="198"/>
      <c r="T91" s="198"/>
      <c r="U91" s="198"/>
    </row>
    <row r="92" spans="1:26" s="12" customFormat="1" x14ac:dyDescent="0.25">
      <c r="A92" s="213" t="s">
        <v>3111</v>
      </c>
      <c r="B92" s="64">
        <v>6.59</v>
      </c>
      <c r="C92" s="64">
        <v>12.67</v>
      </c>
      <c r="D92" s="64">
        <v>11.9</v>
      </c>
      <c r="E92" s="64">
        <v>5.73</v>
      </c>
      <c r="F92" s="64">
        <v>4.09</v>
      </c>
      <c r="G92" s="64">
        <v>26.89</v>
      </c>
      <c r="H92" s="64">
        <v>2.46</v>
      </c>
      <c r="I92" s="64">
        <v>0.9</v>
      </c>
      <c r="J92" s="64">
        <v>0.08</v>
      </c>
      <c r="K92" s="64">
        <v>345.52</v>
      </c>
      <c r="L92" s="64">
        <v>24.35</v>
      </c>
      <c r="M92" s="64">
        <v>98</v>
      </c>
      <c r="N92" s="64">
        <v>55.4</v>
      </c>
      <c r="O92" s="64">
        <v>0</v>
      </c>
      <c r="P92" s="64">
        <v>0.25</v>
      </c>
      <c r="Q92" s="64">
        <v>9.01</v>
      </c>
      <c r="R92" s="198"/>
      <c r="S92" s="198"/>
      <c r="T92" s="198"/>
      <c r="U92" s="198"/>
    </row>
    <row r="93" spans="1:26" s="12" customFormat="1" x14ac:dyDescent="0.25">
      <c r="A93" s="213" t="s">
        <v>3112</v>
      </c>
      <c r="B93" s="64">
        <v>6.58</v>
      </c>
      <c r="C93" s="64">
        <v>12.05</v>
      </c>
      <c r="D93" s="64">
        <v>11.57</v>
      </c>
      <c r="E93" s="64">
        <v>5.62</v>
      </c>
      <c r="F93" s="64">
        <v>3.98</v>
      </c>
      <c r="G93" s="64">
        <v>25.81</v>
      </c>
      <c r="H93" s="64">
        <v>2.48</v>
      </c>
      <c r="I93" s="64">
        <v>0.89</v>
      </c>
      <c r="J93" s="64">
        <v>0.13</v>
      </c>
      <c r="K93" s="64">
        <v>342.23</v>
      </c>
      <c r="L93" s="64">
        <v>24.28</v>
      </c>
      <c r="M93" s="64">
        <v>98</v>
      </c>
      <c r="N93" s="64">
        <v>55.4</v>
      </c>
      <c r="O93" s="64">
        <v>0</v>
      </c>
      <c r="P93" s="64">
        <v>0.28000000000000003</v>
      </c>
      <c r="Q93" s="64">
        <v>8.99</v>
      </c>
      <c r="R93" s="198"/>
      <c r="S93" s="198"/>
      <c r="T93" s="198"/>
      <c r="U93" s="198"/>
    </row>
    <row r="94" spans="1:26" s="12" customFormat="1" x14ac:dyDescent="0.25">
      <c r="A94" s="213" t="s">
        <v>3113</v>
      </c>
      <c r="B94" s="64">
        <v>6.49</v>
      </c>
      <c r="C94" s="64">
        <v>12.71</v>
      </c>
      <c r="D94" s="64">
        <v>11.84</v>
      </c>
      <c r="E94" s="64">
        <v>5.76</v>
      </c>
      <c r="F94" s="64">
        <v>4.2</v>
      </c>
      <c r="G94" s="64">
        <v>22.25</v>
      </c>
      <c r="H94" s="64">
        <v>2.56</v>
      </c>
      <c r="I94" s="64">
        <v>0.89</v>
      </c>
      <c r="J94" s="64">
        <v>0.13</v>
      </c>
      <c r="K94" s="64">
        <v>325.45999999999998</v>
      </c>
      <c r="L94" s="64">
        <v>24.2</v>
      </c>
      <c r="M94" s="64">
        <v>98</v>
      </c>
      <c r="N94" s="64">
        <v>55.4</v>
      </c>
      <c r="O94" s="64">
        <v>0</v>
      </c>
      <c r="P94" s="64">
        <v>0.26</v>
      </c>
      <c r="Q94" s="64">
        <v>8.9700000000000006</v>
      </c>
      <c r="R94" s="198"/>
      <c r="S94" s="198"/>
      <c r="T94" s="198"/>
      <c r="U94" s="198"/>
    </row>
    <row r="95" spans="1:26" s="12" customFormat="1" x14ac:dyDescent="0.25">
      <c r="A95" s="213" t="s">
        <v>3114</v>
      </c>
      <c r="B95" s="64">
        <v>6.29</v>
      </c>
      <c r="C95" s="64">
        <v>12.47</v>
      </c>
      <c r="D95" s="64">
        <v>11.56</v>
      </c>
      <c r="E95" s="64">
        <v>5.69</v>
      </c>
      <c r="F95" s="64">
        <v>4.1399999999999997</v>
      </c>
      <c r="G95" s="64">
        <v>22.25</v>
      </c>
      <c r="H95" s="64">
        <v>2.56</v>
      </c>
      <c r="I95" s="64">
        <v>0.89</v>
      </c>
      <c r="J95" s="64">
        <v>0.14000000000000001</v>
      </c>
      <c r="K95" s="64">
        <v>339.83</v>
      </c>
      <c r="L95" s="64">
        <v>24.13</v>
      </c>
      <c r="M95" s="64">
        <v>98</v>
      </c>
      <c r="N95" s="64">
        <v>55.4</v>
      </c>
      <c r="O95" s="64">
        <v>0</v>
      </c>
      <c r="P95" s="64">
        <v>0.28000000000000003</v>
      </c>
      <c r="Q95" s="64">
        <v>8.9700000000000006</v>
      </c>
      <c r="R95" s="198"/>
      <c r="S95" s="198"/>
      <c r="T95" s="198"/>
      <c r="U95" s="198"/>
    </row>
    <row r="96" spans="1:26" s="12" customFormat="1" x14ac:dyDescent="0.25">
      <c r="A96" s="213" t="s">
        <v>3115</v>
      </c>
      <c r="B96" s="64">
        <v>6.13</v>
      </c>
      <c r="C96" s="64">
        <v>12.55</v>
      </c>
      <c r="D96" s="64">
        <v>11.47</v>
      </c>
      <c r="E96" s="64">
        <v>5.59</v>
      </c>
      <c r="F96" s="64">
        <v>3.34</v>
      </c>
      <c r="G96" s="64">
        <v>22.25</v>
      </c>
      <c r="H96" s="64">
        <v>2.56</v>
      </c>
      <c r="I96" s="64">
        <v>0.88</v>
      </c>
      <c r="J96" s="64">
        <v>0.14000000000000001</v>
      </c>
      <c r="K96" s="64">
        <v>341.2</v>
      </c>
      <c r="L96" s="64">
        <v>24.07</v>
      </c>
      <c r="M96" s="64">
        <v>98</v>
      </c>
      <c r="N96" s="64">
        <v>55.4</v>
      </c>
      <c r="O96" s="64">
        <v>0</v>
      </c>
      <c r="P96" s="64">
        <v>0.26</v>
      </c>
      <c r="Q96" s="64">
        <v>8.9700000000000006</v>
      </c>
      <c r="R96" s="198"/>
      <c r="S96" s="198"/>
      <c r="T96" s="212"/>
      <c r="U96" s="198"/>
      <c r="Z96" s="109"/>
    </row>
    <row r="97" spans="1:33" s="12" customFormat="1" x14ac:dyDescent="0.25">
      <c r="A97" s="213" t="s">
        <v>3116</v>
      </c>
      <c r="B97" s="64">
        <v>6.42</v>
      </c>
      <c r="C97" s="64">
        <v>11.91</v>
      </c>
      <c r="D97" s="64">
        <v>11.37</v>
      </c>
      <c r="E97" s="64">
        <v>5.31</v>
      </c>
      <c r="F97" s="64">
        <v>4.2699999999999996</v>
      </c>
      <c r="G97" s="64">
        <v>22.44</v>
      </c>
      <c r="H97" s="64">
        <v>23.9</v>
      </c>
      <c r="I97" s="64">
        <v>0.86</v>
      </c>
      <c r="J97" s="64">
        <v>0.14000000000000001</v>
      </c>
      <c r="K97" s="64">
        <v>333.9</v>
      </c>
      <c r="L97" s="64">
        <v>23.95</v>
      </c>
      <c r="M97" s="64">
        <v>98</v>
      </c>
      <c r="N97" s="64">
        <v>55.4</v>
      </c>
      <c r="O97" s="64">
        <v>0</v>
      </c>
      <c r="P97" s="64">
        <v>0.25</v>
      </c>
      <c r="Q97" s="64">
        <v>8.9600000000000009</v>
      </c>
      <c r="R97" s="198"/>
      <c r="S97" s="198"/>
      <c r="T97" s="198"/>
      <c r="U97" s="198"/>
    </row>
    <row r="98" spans="1:33" s="12" customFormat="1" x14ac:dyDescent="0.25">
      <c r="A98" s="213" t="s">
        <v>3117</v>
      </c>
      <c r="B98" s="64">
        <v>6.37</v>
      </c>
      <c r="C98" s="64">
        <v>12.09</v>
      </c>
      <c r="D98" s="64">
        <v>11.43</v>
      </c>
      <c r="E98" s="64">
        <v>5.56</v>
      </c>
      <c r="F98" s="64">
        <v>3.67</v>
      </c>
      <c r="G98" s="64">
        <v>23.05</v>
      </c>
      <c r="H98" s="64">
        <v>93.99</v>
      </c>
      <c r="I98" s="64">
        <v>0.9</v>
      </c>
      <c r="J98" s="64">
        <v>0.12</v>
      </c>
      <c r="K98" s="64">
        <v>328.51</v>
      </c>
      <c r="L98" s="64">
        <v>23.82</v>
      </c>
      <c r="M98" s="64">
        <v>98.02</v>
      </c>
      <c r="N98" s="64">
        <v>55.4</v>
      </c>
      <c r="O98" s="64">
        <v>0</v>
      </c>
      <c r="P98" s="64">
        <v>0.26</v>
      </c>
      <c r="Q98" s="64">
        <v>8.94</v>
      </c>
      <c r="R98" s="198"/>
      <c r="S98" s="198"/>
      <c r="T98" s="198"/>
      <c r="U98" s="198"/>
    </row>
    <row r="99" spans="1:33" s="12" customFormat="1" x14ac:dyDescent="0.25">
      <c r="A99" s="213" t="s">
        <v>3118</v>
      </c>
      <c r="B99" s="64">
        <v>5.86</v>
      </c>
      <c r="C99" s="64">
        <v>12.63</v>
      </c>
      <c r="D99" s="64">
        <v>11.29</v>
      </c>
      <c r="E99" s="64">
        <v>5.7</v>
      </c>
      <c r="F99" s="64">
        <v>3.89</v>
      </c>
      <c r="G99" s="64">
        <v>23.05</v>
      </c>
      <c r="H99" s="64">
        <v>93.99</v>
      </c>
      <c r="I99" s="64">
        <v>0.86</v>
      </c>
      <c r="J99" s="64">
        <v>0.12</v>
      </c>
      <c r="K99" s="64">
        <v>339.55</v>
      </c>
      <c r="L99" s="64">
        <v>23.71</v>
      </c>
      <c r="M99" s="64">
        <v>98.03</v>
      </c>
      <c r="N99" s="64">
        <v>55.3</v>
      </c>
      <c r="O99" s="64">
        <v>0</v>
      </c>
      <c r="P99" s="64">
        <v>0.24</v>
      </c>
      <c r="Q99" s="64">
        <v>8.9499999999999993</v>
      </c>
      <c r="R99" s="198"/>
      <c r="S99" s="198"/>
      <c r="T99" s="198"/>
      <c r="U99" s="198"/>
    </row>
    <row r="100" spans="1:33" s="12" customFormat="1" x14ac:dyDescent="0.25">
      <c r="A100" s="213" t="s">
        <v>3119</v>
      </c>
      <c r="B100" s="64">
        <v>6.6</v>
      </c>
      <c r="C100" s="64">
        <v>13.7</v>
      </c>
      <c r="D100" s="64">
        <v>12.46</v>
      </c>
      <c r="E100" s="64">
        <v>5.25</v>
      </c>
      <c r="F100" s="64">
        <v>6.32</v>
      </c>
      <c r="G100" s="64">
        <v>23.05</v>
      </c>
      <c r="H100" s="64">
        <v>93.99</v>
      </c>
      <c r="I100" s="64">
        <v>0.81</v>
      </c>
      <c r="J100" s="64">
        <v>0.06</v>
      </c>
      <c r="K100" s="64">
        <v>302.38</v>
      </c>
      <c r="L100" s="64">
        <v>23.51</v>
      </c>
      <c r="M100" s="64">
        <v>98.04</v>
      </c>
      <c r="N100" s="64">
        <v>55.2</v>
      </c>
      <c r="O100" s="64">
        <v>0</v>
      </c>
      <c r="P100" s="64">
        <v>0.23</v>
      </c>
      <c r="Q100" s="64">
        <v>8.9600000000000009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3120</v>
      </c>
      <c r="B101" s="64">
        <v>5.87</v>
      </c>
      <c r="C101" s="64">
        <v>12.58</v>
      </c>
      <c r="D101" s="64">
        <v>11.28</v>
      </c>
      <c r="E101" s="64">
        <v>5.7</v>
      </c>
      <c r="F101" s="64">
        <v>6.15</v>
      </c>
      <c r="G101" s="64">
        <v>23.52</v>
      </c>
      <c r="H101" s="64">
        <v>74.56</v>
      </c>
      <c r="I101" s="64">
        <v>0.78</v>
      </c>
      <c r="J101" s="64">
        <v>0.03</v>
      </c>
      <c r="K101" s="64">
        <v>265.36</v>
      </c>
      <c r="L101" s="64">
        <v>23.44</v>
      </c>
      <c r="M101" s="64">
        <v>98.05</v>
      </c>
      <c r="N101" s="64">
        <v>55.1</v>
      </c>
      <c r="O101" s="64">
        <v>0</v>
      </c>
      <c r="P101" s="64">
        <v>0.21</v>
      </c>
      <c r="Q101" s="64">
        <v>8.9700000000000006</v>
      </c>
      <c r="R101" s="198"/>
      <c r="S101" s="198"/>
      <c r="T101" s="198"/>
      <c r="U101" s="198"/>
    </row>
    <row r="102" spans="1:33" s="12" customFormat="1" x14ac:dyDescent="0.25">
      <c r="A102" s="213" t="s">
        <v>3121</v>
      </c>
      <c r="B102" s="64">
        <v>5.79</v>
      </c>
      <c r="C102" s="64">
        <v>11.59</v>
      </c>
      <c r="D102" s="64">
        <v>10.7</v>
      </c>
      <c r="E102" s="64">
        <v>5.6</v>
      </c>
      <c r="F102" s="64">
        <v>6.11</v>
      </c>
      <c r="G102" s="64">
        <v>25.08</v>
      </c>
      <c r="H102" s="64">
        <v>10.72</v>
      </c>
      <c r="I102" s="64">
        <v>0.76</v>
      </c>
      <c r="J102" s="64">
        <v>0.05</v>
      </c>
      <c r="K102" s="64">
        <v>225.7</v>
      </c>
      <c r="L102" s="64">
        <v>23.42</v>
      </c>
      <c r="M102" s="64">
        <v>98.05</v>
      </c>
      <c r="N102" s="64">
        <v>55.1</v>
      </c>
      <c r="O102" s="64">
        <v>0</v>
      </c>
      <c r="P102" s="64">
        <v>0.2</v>
      </c>
      <c r="Q102" s="64">
        <v>8.98</v>
      </c>
      <c r="R102" s="198"/>
      <c r="S102" s="198"/>
      <c r="T102" s="198"/>
      <c r="U102" s="198"/>
    </row>
    <row r="103" spans="1:33" s="12" customFormat="1" x14ac:dyDescent="0.25">
      <c r="A103" s="213" t="s">
        <v>3122</v>
      </c>
      <c r="B103" s="64">
        <v>5.7</v>
      </c>
      <c r="C103" s="64">
        <v>11.25</v>
      </c>
      <c r="D103" s="64">
        <v>10.45</v>
      </c>
      <c r="E103" s="64">
        <v>5.52</v>
      </c>
      <c r="F103" s="64">
        <v>6.87</v>
      </c>
      <c r="G103" s="64">
        <v>25.08</v>
      </c>
      <c r="H103" s="64">
        <v>10.72</v>
      </c>
      <c r="I103" s="64">
        <v>0.82</v>
      </c>
      <c r="J103" s="64">
        <v>0.04</v>
      </c>
      <c r="K103" s="64">
        <v>285.41000000000003</v>
      </c>
      <c r="L103" s="64">
        <v>23.52</v>
      </c>
      <c r="M103" s="64">
        <v>98.04</v>
      </c>
      <c r="N103" s="64">
        <v>55.1</v>
      </c>
      <c r="O103" s="64">
        <v>0</v>
      </c>
      <c r="P103" s="64">
        <v>0.2</v>
      </c>
      <c r="Q103" s="64">
        <v>9</v>
      </c>
      <c r="R103" s="198"/>
      <c r="S103" s="198"/>
      <c r="T103" s="198"/>
      <c r="U103" s="198"/>
    </row>
    <row r="104" spans="1:33" s="12" customFormat="1" x14ac:dyDescent="0.25">
      <c r="A104" s="213" t="s">
        <v>3123</v>
      </c>
      <c r="B104" s="64">
        <v>5.88</v>
      </c>
      <c r="C104" s="64">
        <v>11.28</v>
      </c>
      <c r="D104" s="64">
        <v>10.61</v>
      </c>
      <c r="E104" s="64">
        <v>4.57</v>
      </c>
      <c r="F104" s="64">
        <v>5</v>
      </c>
      <c r="G104" s="64">
        <v>25.08</v>
      </c>
      <c r="H104" s="64">
        <v>10.72</v>
      </c>
      <c r="I104" s="64">
        <v>0.88</v>
      </c>
      <c r="J104" s="64">
        <v>0.06</v>
      </c>
      <c r="K104" s="64">
        <v>281.33</v>
      </c>
      <c r="L104" s="64">
        <v>23.5</v>
      </c>
      <c r="M104" s="64">
        <v>98.04</v>
      </c>
      <c r="N104" s="64">
        <v>55.3</v>
      </c>
      <c r="O104" s="64">
        <v>0</v>
      </c>
      <c r="P104" s="64">
        <v>0.2</v>
      </c>
      <c r="Q104" s="64">
        <v>9.01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4.63</v>
      </c>
      <c r="C106" s="67">
        <f>MIN(C9:C104)</f>
        <v>10.52</v>
      </c>
      <c r="D106" s="67">
        <f t="shared" ref="D106:Q106" si="0">MIN(D9:D104)</f>
        <v>9.51</v>
      </c>
      <c r="E106" s="67">
        <f t="shared" si="0"/>
        <v>3.33</v>
      </c>
      <c r="F106" s="67">
        <f t="shared" si="0"/>
        <v>2.82</v>
      </c>
      <c r="G106" s="67">
        <f t="shared" si="0"/>
        <v>5.53</v>
      </c>
      <c r="H106" s="67">
        <f t="shared" si="0"/>
        <v>1.8</v>
      </c>
      <c r="I106" s="67">
        <f t="shared" si="0"/>
        <v>0.41</v>
      </c>
      <c r="J106" s="67">
        <f t="shared" si="0"/>
        <v>0.03</v>
      </c>
      <c r="K106" s="67">
        <f t="shared" si="0"/>
        <v>210.21</v>
      </c>
      <c r="L106" s="67">
        <f t="shared" si="0"/>
        <v>22.23</v>
      </c>
      <c r="M106" s="67">
        <f t="shared" si="0"/>
        <v>97.37</v>
      </c>
      <c r="N106" s="67">
        <f t="shared" si="0"/>
        <v>54.7</v>
      </c>
      <c r="O106" s="67">
        <f t="shared" si="0"/>
        <v>0</v>
      </c>
      <c r="P106" s="67">
        <f t="shared" si="0"/>
        <v>0.14000000000000001</v>
      </c>
      <c r="Q106" s="67">
        <f t="shared" si="0"/>
        <v>8.89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8.68</v>
      </c>
      <c r="C107" s="66">
        <f t="shared" ref="C107:Q107" si="1">MAX(C9:C104)</f>
        <v>15.85</v>
      </c>
      <c r="D107" s="66">
        <f t="shared" si="1"/>
        <v>15.24</v>
      </c>
      <c r="E107" s="66">
        <f t="shared" si="1"/>
        <v>5.87</v>
      </c>
      <c r="F107" s="66">
        <f t="shared" si="1"/>
        <v>7.53</v>
      </c>
      <c r="G107" s="66">
        <f t="shared" si="1"/>
        <v>30.57</v>
      </c>
      <c r="H107" s="66">
        <f t="shared" si="1"/>
        <v>93.99</v>
      </c>
      <c r="I107" s="66">
        <f t="shared" si="1"/>
        <v>0.94</v>
      </c>
      <c r="J107" s="66">
        <f t="shared" si="1"/>
        <v>0.28999999999999998</v>
      </c>
      <c r="K107" s="66">
        <f t="shared" si="1"/>
        <v>354.16</v>
      </c>
      <c r="L107" s="66">
        <f t="shared" si="1"/>
        <v>26.23</v>
      </c>
      <c r="M107" s="66">
        <f t="shared" si="1"/>
        <v>98.07</v>
      </c>
      <c r="N107" s="66">
        <f t="shared" si="1"/>
        <v>372</v>
      </c>
      <c r="O107" s="66">
        <f t="shared" si="1"/>
        <v>0.2</v>
      </c>
      <c r="P107" s="66">
        <f t="shared" si="1"/>
        <v>0.33</v>
      </c>
      <c r="Q107" s="66">
        <f t="shared" si="1"/>
        <v>9.07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6.4050000000000002</v>
      </c>
      <c r="C108" s="67">
        <f t="shared" ref="C108:Q108" si="2">AVERAGE(C9:C104)</f>
        <v>12.483333333333334</v>
      </c>
      <c r="D108" s="67">
        <f t="shared" si="2"/>
        <v>11.659166666666669</v>
      </c>
      <c r="E108" s="67">
        <f t="shared" si="2"/>
        <v>4.5666666666666673</v>
      </c>
      <c r="F108" s="67">
        <f t="shared" si="2"/>
        <v>4.2364583333333323</v>
      </c>
      <c r="G108" s="67">
        <f t="shared" si="2"/>
        <v>18.230312499999986</v>
      </c>
      <c r="H108" s="67">
        <f t="shared" si="2"/>
        <v>7.7817708333333329</v>
      </c>
      <c r="I108" s="67">
        <f t="shared" si="2"/>
        <v>0.68989583333333326</v>
      </c>
      <c r="J108" s="67">
        <f t="shared" si="2"/>
        <v>0.13614583333333333</v>
      </c>
      <c r="K108" s="67">
        <f t="shared" si="2"/>
        <v>294.15104166666669</v>
      </c>
      <c r="L108" s="67">
        <f t="shared" si="2"/>
        <v>24.065937500000015</v>
      </c>
      <c r="M108" s="67">
        <f t="shared" si="2"/>
        <v>97.942395833333379</v>
      </c>
      <c r="N108" s="67">
        <f t="shared" si="2"/>
        <v>136.10416666666666</v>
      </c>
      <c r="O108" s="67">
        <f t="shared" si="2"/>
        <v>2.0833333333333333E-3</v>
      </c>
      <c r="P108" s="67">
        <f t="shared" si="2"/>
        <v>0.22322916666666692</v>
      </c>
      <c r="Q108" s="67">
        <f t="shared" si="2"/>
        <v>8.9793750000000028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0.93912277096627539</v>
      </c>
      <c r="C109" s="67">
        <f t="shared" ref="C109:Q109" si="3">STDEV(C9:C104)</f>
        <v>1.3707598097917379</v>
      </c>
      <c r="D109" s="67">
        <f t="shared" si="3"/>
        <v>1.325798799267923</v>
      </c>
      <c r="E109" s="67">
        <f t="shared" si="3"/>
        <v>0.77548038309256817</v>
      </c>
      <c r="F109" s="67">
        <f t="shared" si="3"/>
        <v>1.0080872760532029</v>
      </c>
      <c r="G109" s="67">
        <f t="shared" si="3"/>
        <v>8.7948524960701828</v>
      </c>
      <c r="H109" s="67">
        <f t="shared" si="3"/>
        <v>17.350316605319474</v>
      </c>
      <c r="I109" s="67">
        <f t="shared" si="3"/>
        <v>0.18049927710405975</v>
      </c>
      <c r="J109" s="67">
        <f t="shared" si="3"/>
        <v>5.6816783874349679E-2</v>
      </c>
      <c r="K109" s="67">
        <f t="shared" si="3"/>
        <v>24.970277509541393</v>
      </c>
      <c r="L109" s="67">
        <f t="shared" si="3"/>
        <v>1.3208462822432399</v>
      </c>
      <c r="M109" s="67">
        <f t="shared" si="3"/>
        <v>0.11284591069863148</v>
      </c>
      <c r="N109" s="67">
        <f t="shared" si="3"/>
        <v>80.054102648628742</v>
      </c>
      <c r="O109" s="67">
        <f t="shared" si="3"/>
        <v>2.0412414523193152E-2</v>
      </c>
      <c r="P109" s="67">
        <f t="shared" si="3"/>
        <v>4.8655497696973853E-2</v>
      </c>
      <c r="Q109" s="67">
        <f t="shared" si="3"/>
        <v>4.2520892697466554E-2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H110" sqref="H110: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3" t="s">
        <v>3124</v>
      </c>
      <c r="B9" s="64">
        <v>5.67</v>
      </c>
      <c r="C9" s="64">
        <v>11.43</v>
      </c>
      <c r="D9" s="64">
        <v>10.52</v>
      </c>
      <c r="E9" s="64">
        <v>4.8099999999999996</v>
      </c>
      <c r="F9" s="64">
        <v>8.4</v>
      </c>
      <c r="G9" s="64">
        <v>24.35</v>
      </c>
      <c r="H9" s="64">
        <v>11.14</v>
      </c>
      <c r="I9" s="64">
        <v>0.88</v>
      </c>
      <c r="J9" s="64">
        <v>0.05</v>
      </c>
      <c r="K9" s="64">
        <v>260.3</v>
      </c>
      <c r="L9" s="64">
        <v>23.43</v>
      </c>
      <c r="M9" s="64">
        <v>98.05</v>
      </c>
      <c r="N9" s="64">
        <v>55</v>
      </c>
      <c r="O9" s="64">
        <v>0</v>
      </c>
      <c r="P9" s="64">
        <v>0.17</v>
      </c>
      <c r="Q9" s="64">
        <v>9.01</v>
      </c>
      <c r="R9" s="198"/>
      <c r="S9" s="198"/>
      <c r="T9" s="198"/>
      <c r="U9" s="198"/>
    </row>
    <row r="10" spans="1:21" s="12" customFormat="1" x14ac:dyDescent="0.25">
      <c r="A10" s="213" t="s">
        <v>3125</v>
      </c>
      <c r="B10" s="64">
        <v>5.88</v>
      </c>
      <c r="C10" s="64">
        <v>11.44</v>
      </c>
      <c r="D10" s="64">
        <v>10.69</v>
      </c>
      <c r="E10" s="64">
        <v>4.5199999999999996</v>
      </c>
      <c r="F10" s="64">
        <v>6.34</v>
      </c>
      <c r="G10" s="64">
        <v>21.95</v>
      </c>
      <c r="H10" s="64">
        <v>12.53</v>
      </c>
      <c r="I10" s="64">
        <v>0.88</v>
      </c>
      <c r="J10" s="64">
        <v>0.05</v>
      </c>
      <c r="K10" s="64">
        <v>246.42</v>
      </c>
      <c r="L10" s="64">
        <v>23.49</v>
      </c>
      <c r="M10" s="64">
        <v>98.05</v>
      </c>
      <c r="N10" s="64">
        <v>55.1</v>
      </c>
      <c r="O10" s="64">
        <v>0</v>
      </c>
      <c r="P10" s="64">
        <v>0.18</v>
      </c>
      <c r="Q10" s="64">
        <v>9.01</v>
      </c>
      <c r="R10" s="198"/>
      <c r="S10" s="198"/>
      <c r="T10" s="198"/>
      <c r="U10" s="198"/>
    </row>
    <row r="11" spans="1:21" s="12" customFormat="1" x14ac:dyDescent="0.25">
      <c r="A11" s="213" t="s">
        <v>3126</v>
      </c>
      <c r="B11" s="64">
        <v>6.44</v>
      </c>
      <c r="C11" s="64">
        <v>10.77</v>
      </c>
      <c r="D11" s="64">
        <v>10.79</v>
      </c>
      <c r="E11" s="64">
        <v>4.6500000000000004</v>
      </c>
      <c r="F11" s="64">
        <v>4.47</v>
      </c>
      <c r="G11" s="64">
        <v>21.95</v>
      </c>
      <c r="H11" s="64">
        <v>12.53</v>
      </c>
      <c r="I11" s="64">
        <v>0.82</v>
      </c>
      <c r="J11" s="64">
        <v>0.06</v>
      </c>
      <c r="K11" s="64">
        <v>302.10000000000002</v>
      </c>
      <c r="L11" s="64">
        <v>23.52</v>
      </c>
      <c r="M11" s="64">
        <v>98.05</v>
      </c>
      <c r="N11" s="64">
        <v>55.3</v>
      </c>
      <c r="O11" s="64">
        <v>0</v>
      </c>
      <c r="P11" s="64">
        <v>0.2</v>
      </c>
      <c r="Q11" s="64">
        <v>9.02</v>
      </c>
      <c r="R11" s="198"/>
      <c r="S11" s="198"/>
      <c r="T11" s="198"/>
      <c r="U11" s="198"/>
    </row>
    <row r="12" spans="1:21" s="12" customFormat="1" x14ac:dyDescent="0.25">
      <c r="A12" s="213" t="s">
        <v>3127</v>
      </c>
      <c r="B12" s="64">
        <v>7.04</v>
      </c>
      <c r="C12" s="64">
        <v>10.75</v>
      </c>
      <c r="D12" s="64">
        <v>11.26</v>
      </c>
      <c r="E12" s="64">
        <v>4.93</v>
      </c>
      <c r="F12" s="64">
        <v>3.62</v>
      </c>
      <c r="G12" s="64">
        <v>21.95</v>
      </c>
      <c r="H12" s="64">
        <v>12.53</v>
      </c>
      <c r="I12" s="64">
        <v>0.77</v>
      </c>
      <c r="J12" s="64">
        <v>0.09</v>
      </c>
      <c r="K12" s="64">
        <v>305.44</v>
      </c>
      <c r="L12" s="64">
        <v>23.49</v>
      </c>
      <c r="M12" s="64">
        <v>98.07</v>
      </c>
      <c r="N12" s="64">
        <v>55.4</v>
      </c>
      <c r="O12" s="64">
        <v>0</v>
      </c>
      <c r="P12" s="64">
        <v>0.22</v>
      </c>
      <c r="Q12" s="64">
        <v>9</v>
      </c>
      <c r="R12" s="198"/>
      <c r="S12" s="198"/>
      <c r="T12" s="198"/>
      <c r="U12" s="198"/>
    </row>
    <row r="13" spans="1:21" s="12" customFormat="1" x14ac:dyDescent="0.25">
      <c r="A13" s="213" t="s">
        <v>3128</v>
      </c>
      <c r="B13" s="64">
        <v>6.94</v>
      </c>
      <c r="C13" s="64">
        <v>10.56</v>
      </c>
      <c r="D13" s="64">
        <v>11.09</v>
      </c>
      <c r="E13" s="64">
        <v>4.4800000000000004</v>
      </c>
      <c r="F13" s="64">
        <v>3.29</v>
      </c>
      <c r="G13" s="64">
        <v>21.41</v>
      </c>
      <c r="H13" s="64">
        <v>10.039999999999999</v>
      </c>
      <c r="I13" s="64">
        <v>0.8</v>
      </c>
      <c r="J13" s="64">
        <v>0.05</v>
      </c>
      <c r="K13" s="64">
        <v>301.22000000000003</v>
      </c>
      <c r="L13" s="64">
        <v>23.47</v>
      </c>
      <c r="M13" s="64">
        <v>98.05</v>
      </c>
      <c r="N13" s="64">
        <v>55.4</v>
      </c>
      <c r="O13" s="64">
        <v>0</v>
      </c>
      <c r="P13" s="64">
        <v>0.28999999999999998</v>
      </c>
      <c r="Q13" s="64">
        <v>8.98</v>
      </c>
      <c r="R13" s="198"/>
      <c r="S13" s="198"/>
      <c r="T13" s="198"/>
      <c r="U13" s="198"/>
    </row>
    <row r="14" spans="1:21" s="12" customFormat="1" x14ac:dyDescent="0.25">
      <c r="A14" s="213" t="s">
        <v>3129</v>
      </c>
      <c r="B14" s="64">
        <v>7.03</v>
      </c>
      <c r="C14" s="64">
        <v>10.36</v>
      </c>
      <c r="D14" s="64">
        <v>11.05</v>
      </c>
      <c r="E14" s="64">
        <v>4.3099999999999996</v>
      </c>
      <c r="F14" s="64">
        <v>3.78</v>
      </c>
      <c r="G14" s="64">
        <v>19.64</v>
      </c>
      <c r="H14" s="64">
        <v>1.85</v>
      </c>
      <c r="I14" s="64">
        <v>0.82</v>
      </c>
      <c r="J14" s="64">
        <v>0.04</v>
      </c>
      <c r="K14" s="64">
        <v>310.10000000000002</v>
      </c>
      <c r="L14" s="64">
        <v>23.45</v>
      </c>
      <c r="M14" s="64">
        <v>98.06</v>
      </c>
      <c r="N14" s="64">
        <v>55.4</v>
      </c>
      <c r="O14" s="64">
        <v>0</v>
      </c>
      <c r="P14" s="64">
        <v>0.33</v>
      </c>
      <c r="Q14" s="64">
        <v>8.98</v>
      </c>
      <c r="R14" s="198"/>
      <c r="S14" s="198"/>
      <c r="T14" s="198"/>
      <c r="U14" s="198"/>
    </row>
    <row r="15" spans="1:21" s="12" customFormat="1" x14ac:dyDescent="0.25">
      <c r="A15" s="213" t="s">
        <v>3130</v>
      </c>
      <c r="B15" s="64">
        <v>6.66</v>
      </c>
      <c r="C15" s="64">
        <v>10.28</v>
      </c>
      <c r="D15" s="64">
        <v>10.71</v>
      </c>
      <c r="E15" s="64">
        <v>4.6399999999999997</v>
      </c>
      <c r="F15" s="64">
        <v>4.45</v>
      </c>
      <c r="G15" s="64">
        <v>19.64</v>
      </c>
      <c r="H15" s="64">
        <v>1.85</v>
      </c>
      <c r="I15" s="64">
        <v>0.8</v>
      </c>
      <c r="J15" s="64">
        <v>0.06</v>
      </c>
      <c r="K15" s="64">
        <v>299.64999999999998</v>
      </c>
      <c r="L15" s="64">
        <v>23.41</v>
      </c>
      <c r="M15" s="64">
        <v>98.05</v>
      </c>
      <c r="N15" s="64">
        <v>55.4</v>
      </c>
      <c r="O15" s="64">
        <v>0</v>
      </c>
      <c r="P15" s="64">
        <v>0.3</v>
      </c>
      <c r="Q15" s="64">
        <v>8.9700000000000006</v>
      </c>
      <c r="R15" s="198"/>
      <c r="S15" s="198"/>
      <c r="T15" s="198"/>
      <c r="U15" s="198"/>
    </row>
    <row r="16" spans="1:21" s="12" customFormat="1" x14ac:dyDescent="0.25">
      <c r="A16" s="213" t="s">
        <v>3131</v>
      </c>
      <c r="B16" s="64">
        <v>7.02</v>
      </c>
      <c r="C16" s="64">
        <v>10.23</v>
      </c>
      <c r="D16" s="64">
        <v>10.97</v>
      </c>
      <c r="E16" s="64">
        <v>4.41</v>
      </c>
      <c r="F16" s="64">
        <v>4.0199999999999996</v>
      </c>
      <c r="G16" s="64">
        <v>19.64</v>
      </c>
      <c r="H16" s="64">
        <v>1.85</v>
      </c>
      <c r="I16" s="64">
        <v>0.79</v>
      </c>
      <c r="J16" s="64">
        <v>0.04</v>
      </c>
      <c r="K16" s="64">
        <v>271.33999999999997</v>
      </c>
      <c r="L16" s="64">
        <v>23.37</v>
      </c>
      <c r="M16" s="64">
        <v>98.07</v>
      </c>
      <c r="N16" s="64">
        <v>55.3</v>
      </c>
      <c r="O16" s="64">
        <v>0</v>
      </c>
      <c r="P16" s="64">
        <v>0.33</v>
      </c>
      <c r="Q16" s="64">
        <v>8.98</v>
      </c>
      <c r="R16" s="198"/>
      <c r="S16" s="198"/>
      <c r="T16" s="198"/>
      <c r="U16" s="198"/>
    </row>
    <row r="17" spans="1:21" s="12" customFormat="1" x14ac:dyDescent="0.25">
      <c r="A17" s="213" t="s">
        <v>3132</v>
      </c>
      <c r="B17" s="64">
        <v>6.52</v>
      </c>
      <c r="C17" s="64">
        <v>10.119999999999999</v>
      </c>
      <c r="D17" s="64">
        <v>10.52</v>
      </c>
      <c r="E17" s="64">
        <v>4.72</v>
      </c>
      <c r="F17" s="64">
        <v>5.76</v>
      </c>
      <c r="G17" s="64">
        <v>19.16</v>
      </c>
      <c r="H17" s="64">
        <v>1.75</v>
      </c>
      <c r="I17" s="64">
        <v>0.77</v>
      </c>
      <c r="J17" s="64">
        <v>7.0000000000000007E-2</v>
      </c>
      <c r="K17" s="64">
        <v>307.58999999999997</v>
      </c>
      <c r="L17" s="64">
        <v>23.35</v>
      </c>
      <c r="M17" s="64">
        <v>98.06</v>
      </c>
      <c r="N17" s="64">
        <v>55.3</v>
      </c>
      <c r="O17" s="64">
        <v>0</v>
      </c>
      <c r="P17" s="64">
        <v>0.28999999999999998</v>
      </c>
      <c r="Q17" s="64">
        <v>8.9700000000000006</v>
      </c>
      <c r="R17" s="198"/>
      <c r="S17" s="198"/>
      <c r="T17" s="198"/>
      <c r="U17" s="198"/>
    </row>
    <row r="18" spans="1:21" s="12" customFormat="1" x14ac:dyDescent="0.25">
      <c r="A18" s="213" t="s">
        <v>3133</v>
      </c>
      <c r="B18" s="64">
        <v>6.87</v>
      </c>
      <c r="C18" s="64">
        <v>10.19</v>
      </c>
      <c r="D18" s="64">
        <v>10.83</v>
      </c>
      <c r="E18" s="64">
        <v>4.5599999999999996</v>
      </c>
      <c r="F18" s="64">
        <v>4.76</v>
      </c>
      <c r="G18" s="64">
        <v>17.59</v>
      </c>
      <c r="H18" s="64">
        <v>1.43</v>
      </c>
      <c r="I18" s="64">
        <v>0.76</v>
      </c>
      <c r="J18" s="64">
        <v>7.0000000000000007E-2</v>
      </c>
      <c r="K18" s="64">
        <v>323.64999999999998</v>
      </c>
      <c r="L18" s="64">
        <v>23.33</v>
      </c>
      <c r="M18" s="64">
        <v>98.06</v>
      </c>
      <c r="N18" s="64">
        <v>55.3</v>
      </c>
      <c r="O18" s="64">
        <v>0</v>
      </c>
      <c r="P18" s="64">
        <v>0.33</v>
      </c>
      <c r="Q18" s="64">
        <v>8.9600000000000009</v>
      </c>
      <c r="R18" s="198"/>
      <c r="S18" s="198"/>
      <c r="T18" s="198"/>
      <c r="U18" s="198"/>
    </row>
    <row r="19" spans="1:21" s="12" customFormat="1" x14ac:dyDescent="0.25">
      <c r="A19" s="213" t="s">
        <v>3134</v>
      </c>
      <c r="B19" s="64">
        <v>7.03</v>
      </c>
      <c r="C19" s="64">
        <v>10.31</v>
      </c>
      <c r="D19" s="64">
        <v>11.02</v>
      </c>
      <c r="E19" s="64">
        <v>4.28</v>
      </c>
      <c r="F19" s="64">
        <v>3.48</v>
      </c>
      <c r="G19" s="64">
        <v>17.59</v>
      </c>
      <c r="H19" s="64">
        <v>1.43</v>
      </c>
      <c r="I19" s="64">
        <v>0.75</v>
      </c>
      <c r="J19" s="64">
        <v>0.12</v>
      </c>
      <c r="K19" s="64">
        <v>310.3</v>
      </c>
      <c r="L19" s="64">
        <v>23.31</v>
      </c>
      <c r="M19" s="64">
        <v>98.06</v>
      </c>
      <c r="N19" s="64">
        <v>55.4</v>
      </c>
      <c r="O19" s="64">
        <v>0</v>
      </c>
      <c r="P19" s="64">
        <v>0.3</v>
      </c>
      <c r="Q19" s="64">
        <v>8.9600000000000009</v>
      </c>
      <c r="R19" s="198"/>
      <c r="S19" s="198"/>
      <c r="T19" s="198"/>
      <c r="U19" s="198"/>
    </row>
    <row r="20" spans="1:21" s="12" customFormat="1" x14ac:dyDescent="0.25">
      <c r="A20" s="213" t="s">
        <v>3135</v>
      </c>
      <c r="B20" s="64">
        <v>7.08</v>
      </c>
      <c r="C20" s="64">
        <v>10.34</v>
      </c>
      <c r="D20" s="64">
        <v>11.08</v>
      </c>
      <c r="E20" s="64">
        <v>4.3499999999999996</v>
      </c>
      <c r="F20" s="64">
        <v>3.95</v>
      </c>
      <c r="G20" s="64">
        <v>17.59</v>
      </c>
      <c r="H20" s="64">
        <v>1.43</v>
      </c>
      <c r="I20" s="64">
        <v>0.75</v>
      </c>
      <c r="J20" s="64">
        <v>0.05</v>
      </c>
      <c r="K20" s="64">
        <v>314.92</v>
      </c>
      <c r="L20" s="64">
        <v>23.31</v>
      </c>
      <c r="M20" s="64">
        <v>98.07</v>
      </c>
      <c r="N20" s="64">
        <v>55.4</v>
      </c>
      <c r="O20" s="64">
        <v>0</v>
      </c>
      <c r="P20" s="64">
        <v>0.32</v>
      </c>
      <c r="Q20" s="64">
        <v>8.9499999999999993</v>
      </c>
      <c r="R20" s="198"/>
      <c r="S20" s="198"/>
      <c r="T20" s="198"/>
      <c r="U20" s="198"/>
    </row>
    <row r="21" spans="1:21" s="12" customFormat="1" x14ac:dyDescent="0.25">
      <c r="A21" s="213" t="s">
        <v>3136</v>
      </c>
      <c r="B21" s="64">
        <v>6.84</v>
      </c>
      <c r="C21" s="64">
        <v>10.17</v>
      </c>
      <c r="D21" s="64">
        <v>10.8</v>
      </c>
      <c r="E21" s="64">
        <v>4.47</v>
      </c>
      <c r="F21" s="64">
        <v>4.49</v>
      </c>
      <c r="G21" s="64">
        <v>17.809999999999999</v>
      </c>
      <c r="H21" s="64">
        <v>3.02</v>
      </c>
      <c r="I21" s="64">
        <v>0.73</v>
      </c>
      <c r="J21" s="64">
        <v>0.08</v>
      </c>
      <c r="K21" s="64">
        <v>289.18</v>
      </c>
      <c r="L21" s="64">
        <v>23.31</v>
      </c>
      <c r="M21" s="64">
        <v>98.06</v>
      </c>
      <c r="N21" s="64">
        <v>55.4</v>
      </c>
      <c r="O21" s="64">
        <v>0</v>
      </c>
      <c r="P21" s="64">
        <v>0.3</v>
      </c>
      <c r="Q21" s="64">
        <v>8.9499999999999993</v>
      </c>
      <c r="R21" s="198"/>
      <c r="S21" s="198"/>
      <c r="T21" s="198"/>
      <c r="U21" s="198"/>
    </row>
    <row r="22" spans="1:21" s="12" customFormat="1" x14ac:dyDescent="0.25">
      <c r="A22" s="213" t="s">
        <v>3137</v>
      </c>
      <c r="B22" s="64">
        <v>6.38</v>
      </c>
      <c r="C22" s="64">
        <v>9.75</v>
      </c>
      <c r="D22" s="64">
        <v>10.210000000000001</v>
      </c>
      <c r="E22" s="64">
        <v>4.1399999999999997</v>
      </c>
      <c r="F22" s="64">
        <v>4.93</v>
      </c>
      <c r="G22" s="64">
        <v>18.53</v>
      </c>
      <c r="H22" s="64">
        <v>8.23</v>
      </c>
      <c r="I22" s="64">
        <v>0.71</v>
      </c>
      <c r="J22" s="64">
        <v>0.1</v>
      </c>
      <c r="K22" s="64">
        <v>294.26</v>
      </c>
      <c r="L22" s="64">
        <v>23.29</v>
      </c>
      <c r="M22" s="64">
        <v>98.05</v>
      </c>
      <c r="N22" s="64">
        <v>55.2</v>
      </c>
      <c r="O22" s="64">
        <v>0</v>
      </c>
      <c r="P22" s="64">
        <v>0.28000000000000003</v>
      </c>
      <c r="Q22" s="64">
        <v>8.98</v>
      </c>
      <c r="R22" s="198"/>
      <c r="S22" s="198"/>
      <c r="T22" s="198"/>
      <c r="U22" s="198"/>
    </row>
    <row r="23" spans="1:21" s="12" customFormat="1" x14ac:dyDescent="0.25">
      <c r="A23" s="213" t="s">
        <v>3138</v>
      </c>
      <c r="B23" s="64">
        <v>6.5</v>
      </c>
      <c r="C23" s="64">
        <v>9.9600000000000009</v>
      </c>
      <c r="D23" s="64">
        <v>10.42</v>
      </c>
      <c r="E23" s="64">
        <v>4.5</v>
      </c>
      <c r="F23" s="64">
        <v>5.24</v>
      </c>
      <c r="G23" s="64">
        <v>18.53</v>
      </c>
      <c r="H23" s="64">
        <v>8.23</v>
      </c>
      <c r="I23" s="64">
        <v>0.71</v>
      </c>
      <c r="J23" s="64">
        <v>0.08</v>
      </c>
      <c r="K23" s="64">
        <v>300.62</v>
      </c>
      <c r="L23" s="64">
        <v>23.32</v>
      </c>
      <c r="M23" s="64">
        <v>98.05</v>
      </c>
      <c r="N23" s="64">
        <v>55.1</v>
      </c>
      <c r="O23" s="64">
        <v>0</v>
      </c>
      <c r="P23" s="64">
        <v>0.27</v>
      </c>
      <c r="Q23" s="64">
        <v>9</v>
      </c>
      <c r="R23" s="198"/>
      <c r="S23" s="198"/>
      <c r="T23" s="198"/>
      <c r="U23" s="198"/>
    </row>
    <row r="24" spans="1:21" s="12" customFormat="1" x14ac:dyDescent="0.25">
      <c r="A24" s="213" t="s">
        <v>3139</v>
      </c>
      <c r="B24" s="64">
        <v>6.67</v>
      </c>
      <c r="C24" s="64">
        <v>10.18</v>
      </c>
      <c r="D24" s="64">
        <v>10.67</v>
      </c>
      <c r="E24" s="64">
        <v>4.25</v>
      </c>
      <c r="F24" s="64">
        <v>4.79</v>
      </c>
      <c r="G24" s="64">
        <v>18.53</v>
      </c>
      <c r="H24" s="64">
        <v>8.23</v>
      </c>
      <c r="I24" s="64">
        <v>0.7</v>
      </c>
      <c r="J24" s="64">
        <v>7.0000000000000007E-2</v>
      </c>
      <c r="K24" s="64">
        <v>281.81</v>
      </c>
      <c r="L24" s="64">
        <v>23.33</v>
      </c>
      <c r="M24" s="64">
        <v>98.05</v>
      </c>
      <c r="N24" s="64">
        <v>55.3</v>
      </c>
      <c r="O24" s="64">
        <v>0</v>
      </c>
      <c r="P24" s="64">
        <v>0.27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3" t="s">
        <v>3140</v>
      </c>
      <c r="B25" s="64">
        <v>6.55</v>
      </c>
      <c r="C25" s="64">
        <v>10.25</v>
      </c>
      <c r="D25" s="64">
        <v>10.61</v>
      </c>
      <c r="E25" s="64">
        <v>4.16</v>
      </c>
      <c r="F25" s="64">
        <v>6.44</v>
      </c>
      <c r="G25" s="64">
        <v>19.100000000000001</v>
      </c>
      <c r="H25" s="64">
        <v>6.82</v>
      </c>
      <c r="I25" s="64">
        <v>0.68</v>
      </c>
      <c r="J25" s="64">
        <v>0.06</v>
      </c>
      <c r="K25" s="64">
        <v>255.44</v>
      </c>
      <c r="L25" s="64">
        <v>23.25</v>
      </c>
      <c r="M25" s="64">
        <v>98.05</v>
      </c>
      <c r="N25" s="64">
        <v>55.3</v>
      </c>
      <c r="O25" s="64">
        <v>0</v>
      </c>
      <c r="P25" s="64">
        <v>0.26</v>
      </c>
      <c r="Q25" s="64">
        <v>9.02</v>
      </c>
      <c r="R25" s="198"/>
      <c r="S25" s="198"/>
      <c r="T25" s="198"/>
      <c r="U25" s="198"/>
    </row>
    <row r="26" spans="1:21" s="12" customFormat="1" x14ac:dyDescent="0.25">
      <c r="A26" s="213" t="s">
        <v>3141</v>
      </c>
      <c r="B26" s="64">
        <v>6.6</v>
      </c>
      <c r="C26" s="64">
        <v>10.28</v>
      </c>
      <c r="D26" s="64">
        <v>10.67</v>
      </c>
      <c r="E26" s="64">
        <v>4.47</v>
      </c>
      <c r="F26" s="64">
        <v>5.41</v>
      </c>
      <c r="G26" s="64">
        <v>20.99</v>
      </c>
      <c r="H26" s="64">
        <v>2.19</v>
      </c>
      <c r="I26" s="64">
        <v>0.68</v>
      </c>
      <c r="J26" s="64">
        <v>0.06</v>
      </c>
      <c r="K26" s="64">
        <v>246.22</v>
      </c>
      <c r="L26" s="64">
        <v>23.22</v>
      </c>
      <c r="M26" s="64">
        <v>98.05</v>
      </c>
      <c r="N26" s="64">
        <v>55.2</v>
      </c>
      <c r="O26" s="64">
        <v>0</v>
      </c>
      <c r="P26" s="64">
        <v>0.26</v>
      </c>
      <c r="Q26" s="64">
        <v>9.0299999999999994</v>
      </c>
      <c r="R26" s="198"/>
      <c r="S26" s="198"/>
      <c r="T26" s="198"/>
      <c r="U26" s="198"/>
    </row>
    <row r="27" spans="1:21" s="12" customFormat="1" x14ac:dyDescent="0.25">
      <c r="A27" s="213" t="s">
        <v>3142</v>
      </c>
      <c r="B27" s="64">
        <v>6.8</v>
      </c>
      <c r="C27" s="64">
        <v>10.45</v>
      </c>
      <c r="D27" s="64">
        <v>10.92</v>
      </c>
      <c r="E27" s="64">
        <v>4.57</v>
      </c>
      <c r="F27" s="64">
        <v>5.51</v>
      </c>
      <c r="G27" s="64">
        <v>20.99</v>
      </c>
      <c r="H27" s="64">
        <v>2.19</v>
      </c>
      <c r="I27" s="64">
        <v>0.67</v>
      </c>
      <c r="J27" s="64">
        <v>0.04</v>
      </c>
      <c r="K27" s="64">
        <v>237.22</v>
      </c>
      <c r="L27" s="64">
        <v>23.23</v>
      </c>
      <c r="M27" s="64">
        <v>98.05</v>
      </c>
      <c r="N27" s="64">
        <v>55.3</v>
      </c>
      <c r="O27" s="64">
        <v>0</v>
      </c>
      <c r="P27" s="64">
        <v>0.26</v>
      </c>
      <c r="Q27" s="64">
        <v>9.0299999999999994</v>
      </c>
      <c r="R27" s="198"/>
      <c r="S27" s="198"/>
      <c r="T27" s="198"/>
      <c r="U27" s="198"/>
    </row>
    <row r="28" spans="1:21" s="12" customFormat="1" x14ac:dyDescent="0.25">
      <c r="A28" s="213" t="s">
        <v>3143</v>
      </c>
      <c r="B28" s="64">
        <v>7.14</v>
      </c>
      <c r="C28" s="64">
        <v>10.38</v>
      </c>
      <c r="D28" s="64">
        <v>11.15</v>
      </c>
      <c r="E28" s="64">
        <v>4.59</v>
      </c>
      <c r="F28" s="64">
        <v>5.45</v>
      </c>
      <c r="G28" s="64">
        <v>20.99</v>
      </c>
      <c r="H28" s="64">
        <v>2.19</v>
      </c>
      <c r="I28" s="64">
        <v>0.68</v>
      </c>
      <c r="J28" s="64">
        <v>0.08</v>
      </c>
      <c r="K28" s="64">
        <v>273.72000000000003</v>
      </c>
      <c r="L28" s="64">
        <v>23.26</v>
      </c>
      <c r="M28" s="64">
        <v>98.05</v>
      </c>
      <c r="N28" s="64">
        <v>55.3</v>
      </c>
      <c r="O28" s="64">
        <v>0</v>
      </c>
      <c r="P28" s="64">
        <v>0.26</v>
      </c>
      <c r="Q28" s="64">
        <v>9.0399999999999991</v>
      </c>
      <c r="R28" s="198"/>
      <c r="S28" s="198"/>
      <c r="T28" s="198"/>
      <c r="U28" s="198"/>
    </row>
    <row r="29" spans="1:21" s="12" customFormat="1" x14ac:dyDescent="0.25">
      <c r="A29" s="213" t="s">
        <v>3144</v>
      </c>
      <c r="B29" s="64">
        <v>8.02</v>
      </c>
      <c r="C29" s="64">
        <v>10.14</v>
      </c>
      <c r="D29" s="64">
        <v>11.72</v>
      </c>
      <c r="E29" s="64">
        <v>4.53</v>
      </c>
      <c r="F29" s="64">
        <v>4.32</v>
      </c>
      <c r="G29" s="64">
        <v>20.45</v>
      </c>
      <c r="H29" s="64">
        <v>2.08</v>
      </c>
      <c r="I29" s="64">
        <v>0.7</v>
      </c>
      <c r="J29" s="64">
        <v>0.04</v>
      </c>
      <c r="K29" s="64">
        <v>237.61</v>
      </c>
      <c r="L29" s="64">
        <v>23.24</v>
      </c>
      <c r="M29" s="64">
        <v>98.06</v>
      </c>
      <c r="N29" s="64">
        <v>55.4</v>
      </c>
      <c r="O29" s="64">
        <v>0</v>
      </c>
      <c r="P29" s="64">
        <v>0.28000000000000003</v>
      </c>
      <c r="Q29" s="64">
        <v>9.0299999999999994</v>
      </c>
      <c r="R29" s="198"/>
      <c r="S29" s="198"/>
      <c r="T29" s="198"/>
      <c r="U29" s="198"/>
    </row>
    <row r="30" spans="1:21" s="12" customFormat="1" x14ac:dyDescent="0.25">
      <c r="A30" s="213" t="s">
        <v>3145</v>
      </c>
      <c r="B30" s="64">
        <v>8.18</v>
      </c>
      <c r="C30" s="64">
        <v>10.14</v>
      </c>
      <c r="D30" s="64">
        <v>11.86</v>
      </c>
      <c r="E30" s="64">
        <v>4.54</v>
      </c>
      <c r="F30" s="64">
        <v>3.43</v>
      </c>
      <c r="G30" s="64">
        <v>18.68</v>
      </c>
      <c r="H30" s="64">
        <v>1.71</v>
      </c>
      <c r="I30" s="64">
        <v>0.69</v>
      </c>
      <c r="J30" s="64">
        <v>0.11</v>
      </c>
      <c r="K30" s="64">
        <v>287.38</v>
      </c>
      <c r="L30" s="64">
        <v>23.25</v>
      </c>
      <c r="M30" s="64">
        <v>98.08</v>
      </c>
      <c r="N30" s="64">
        <v>55.7</v>
      </c>
      <c r="O30" s="64">
        <v>0</v>
      </c>
      <c r="P30" s="64">
        <v>0.28000000000000003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3" t="s">
        <v>3146</v>
      </c>
      <c r="B31" s="64">
        <v>8.33</v>
      </c>
      <c r="C31" s="64">
        <v>10.029999999999999</v>
      </c>
      <c r="D31" s="64">
        <v>11.92</v>
      </c>
      <c r="E31" s="64">
        <v>4.5599999999999996</v>
      </c>
      <c r="F31" s="64">
        <v>4</v>
      </c>
      <c r="G31" s="64">
        <v>18.68</v>
      </c>
      <c r="H31" s="64">
        <v>1.71</v>
      </c>
      <c r="I31" s="64">
        <v>0.68</v>
      </c>
      <c r="J31" s="64">
        <v>0.11</v>
      </c>
      <c r="K31" s="64">
        <v>293.31</v>
      </c>
      <c r="L31" s="64">
        <v>23.24</v>
      </c>
      <c r="M31" s="64">
        <v>98.09</v>
      </c>
      <c r="N31" s="64">
        <v>58.1</v>
      </c>
      <c r="O31" s="64">
        <v>0</v>
      </c>
      <c r="P31" s="64">
        <v>0.28999999999999998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3" t="s">
        <v>3147</v>
      </c>
      <c r="B32" s="64">
        <v>8.07</v>
      </c>
      <c r="C32" s="64">
        <v>10.25</v>
      </c>
      <c r="D32" s="64">
        <v>11.83</v>
      </c>
      <c r="E32" s="64">
        <v>4.71</v>
      </c>
      <c r="F32" s="64">
        <v>3.39</v>
      </c>
      <c r="G32" s="64">
        <v>18.68</v>
      </c>
      <c r="H32" s="64">
        <v>1.71</v>
      </c>
      <c r="I32" s="64">
        <v>0.67</v>
      </c>
      <c r="J32" s="64">
        <v>0.08</v>
      </c>
      <c r="K32" s="64">
        <v>276.93</v>
      </c>
      <c r="L32" s="64">
        <v>23.27</v>
      </c>
      <c r="M32" s="64">
        <v>98.09</v>
      </c>
      <c r="N32" s="64">
        <v>62.8</v>
      </c>
      <c r="O32" s="64">
        <v>0</v>
      </c>
      <c r="P32" s="64">
        <v>0.28000000000000003</v>
      </c>
      <c r="Q32" s="64">
        <v>9</v>
      </c>
      <c r="R32" s="198"/>
      <c r="S32" s="198"/>
      <c r="T32" s="198"/>
      <c r="U32" s="198"/>
    </row>
    <row r="33" spans="1:21" s="12" customFormat="1" x14ac:dyDescent="0.25">
      <c r="A33" s="213" t="s">
        <v>3148</v>
      </c>
      <c r="B33" s="64">
        <v>8.4499999999999993</v>
      </c>
      <c r="C33" s="64">
        <v>11.37</v>
      </c>
      <c r="D33" s="64">
        <v>12.72</v>
      </c>
      <c r="E33" s="64">
        <v>4.3899999999999997</v>
      </c>
      <c r="F33" s="64">
        <v>4.0599999999999996</v>
      </c>
      <c r="G33" s="64">
        <v>18.77</v>
      </c>
      <c r="H33" s="64">
        <v>1.78</v>
      </c>
      <c r="I33" s="64">
        <v>0.67</v>
      </c>
      <c r="J33" s="64">
        <v>0.1</v>
      </c>
      <c r="K33" s="64">
        <v>278.69</v>
      </c>
      <c r="L33" s="64">
        <v>23.29</v>
      </c>
      <c r="M33" s="64">
        <v>98.07</v>
      </c>
      <c r="N33" s="64">
        <v>71.099999999999994</v>
      </c>
      <c r="O33" s="64">
        <v>0</v>
      </c>
      <c r="P33" s="64">
        <v>0.28999999999999998</v>
      </c>
      <c r="Q33" s="64">
        <v>9</v>
      </c>
      <c r="R33" s="198"/>
      <c r="S33" s="198"/>
      <c r="T33" s="198"/>
      <c r="U33" s="198"/>
    </row>
    <row r="34" spans="1:21" s="12" customFormat="1" x14ac:dyDescent="0.25">
      <c r="A34" s="213" t="s">
        <v>3149</v>
      </c>
      <c r="B34" s="64">
        <v>8.93</v>
      </c>
      <c r="C34" s="64">
        <v>11.84</v>
      </c>
      <c r="D34" s="64">
        <v>13.35</v>
      </c>
      <c r="E34" s="64">
        <v>4.3099999999999996</v>
      </c>
      <c r="F34" s="64">
        <v>3.35</v>
      </c>
      <c r="G34" s="64">
        <v>19.059999999999999</v>
      </c>
      <c r="H34" s="64">
        <v>1.99</v>
      </c>
      <c r="I34" s="64">
        <v>0.65</v>
      </c>
      <c r="J34" s="64">
        <v>0.09</v>
      </c>
      <c r="K34" s="64">
        <v>294.27</v>
      </c>
      <c r="L34" s="64">
        <v>23.39</v>
      </c>
      <c r="M34" s="64">
        <v>98.08</v>
      </c>
      <c r="N34" s="64">
        <v>78.2</v>
      </c>
      <c r="O34" s="64">
        <v>0</v>
      </c>
      <c r="P34" s="64">
        <v>0.28999999999999998</v>
      </c>
      <c r="Q34" s="64">
        <v>9</v>
      </c>
      <c r="R34" s="198"/>
      <c r="S34" s="198"/>
      <c r="T34" s="198"/>
      <c r="U34" s="198"/>
    </row>
    <row r="35" spans="1:21" s="12" customFormat="1" x14ac:dyDescent="0.25">
      <c r="A35" s="213" t="s">
        <v>3150</v>
      </c>
      <c r="B35" s="64">
        <v>8.59</v>
      </c>
      <c r="C35" s="64">
        <v>10.75</v>
      </c>
      <c r="D35" s="64">
        <v>12.5</v>
      </c>
      <c r="E35" s="64">
        <v>4.46</v>
      </c>
      <c r="F35" s="64">
        <v>3.22</v>
      </c>
      <c r="G35" s="64">
        <v>19.059999999999999</v>
      </c>
      <c r="H35" s="64">
        <v>1.99</v>
      </c>
      <c r="I35" s="64">
        <v>0.65</v>
      </c>
      <c r="J35" s="64">
        <v>0.09</v>
      </c>
      <c r="K35" s="64">
        <v>301.75</v>
      </c>
      <c r="L35" s="64">
        <v>23.46</v>
      </c>
      <c r="M35" s="64">
        <v>98.07</v>
      </c>
      <c r="N35" s="64">
        <v>97.8</v>
      </c>
      <c r="O35" s="64">
        <v>0</v>
      </c>
      <c r="P35" s="64">
        <v>0.3</v>
      </c>
      <c r="Q35" s="64">
        <v>9</v>
      </c>
      <c r="R35" s="198"/>
      <c r="S35" s="198"/>
      <c r="T35" s="198"/>
      <c r="U35" s="198"/>
    </row>
    <row r="36" spans="1:21" s="12" customFormat="1" x14ac:dyDescent="0.25">
      <c r="A36" s="213" t="s">
        <v>3151</v>
      </c>
      <c r="B36" s="64">
        <v>8.58</v>
      </c>
      <c r="C36" s="64">
        <v>10.79</v>
      </c>
      <c r="D36" s="64">
        <v>12.52</v>
      </c>
      <c r="E36" s="64">
        <v>4.57</v>
      </c>
      <c r="F36" s="64">
        <v>3.42</v>
      </c>
      <c r="G36" s="64">
        <v>19.059999999999999</v>
      </c>
      <c r="H36" s="64">
        <v>1.99</v>
      </c>
      <c r="I36" s="64">
        <v>0.67</v>
      </c>
      <c r="J36" s="64">
        <v>0.12</v>
      </c>
      <c r="K36" s="64">
        <v>302.22000000000003</v>
      </c>
      <c r="L36" s="64">
        <v>23.67</v>
      </c>
      <c r="M36" s="64">
        <v>98.05</v>
      </c>
      <c r="N36" s="64">
        <v>133.4</v>
      </c>
      <c r="O36" s="64">
        <v>0</v>
      </c>
      <c r="P36" s="64">
        <v>0.28999999999999998</v>
      </c>
      <c r="Q36" s="64">
        <v>9.01</v>
      </c>
      <c r="R36" s="198"/>
      <c r="S36" s="198"/>
      <c r="T36" s="198"/>
      <c r="U36" s="198"/>
    </row>
    <row r="37" spans="1:21" s="12" customFormat="1" x14ac:dyDescent="0.25">
      <c r="A37" s="213" t="s">
        <v>3152</v>
      </c>
      <c r="B37" s="64">
        <v>8.81</v>
      </c>
      <c r="C37" s="64">
        <v>10.72</v>
      </c>
      <c r="D37" s="64">
        <v>12.67</v>
      </c>
      <c r="E37" s="64">
        <v>4.1500000000000004</v>
      </c>
      <c r="F37" s="64">
        <v>3.41</v>
      </c>
      <c r="G37" s="64">
        <v>19.93</v>
      </c>
      <c r="H37" s="64">
        <v>1.99</v>
      </c>
      <c r="I37" s="64">
        <v>0.68</v>
      </c>
      <c r="J37" s="64">
        <v>0.14000000000000001</v>
      </c>
      <c r="K37" s="64">
        <v>291.37</v>
      </c>
      <c r="L37" s="64">
        <v>24.04</v>
      </c>
      <c r="M37" s="64">
        <v>98.01</v>
      </c>
      <c r="N37" s="64">
        <v>171.5</v>
      </c>
      <c r="O37" s="64">
        <v>0.2</v>
      </c>
      <c r="P37" s="64">
        <v>0.19</v>
      </c>
      <c r="Q37" s="64">
        <v>9.01</v>
      </c>
      <c r="R37" s="198"/>
      <c r="S37" s="198"/>
      <c r="T37" s="198"/>
      <c r="U37" s="198"/>
    </row>
    <row r="38" spans="1:21" s="12" customFormat="1" x14ac:dyDescent="0.25">
      <c r="A38" s="213" t="s">
        <v>3153</v>
      </c>
      <c r="B38" s="64">
        <v>9.36</v>
      </c>
      <c r="C38" s="64">
        <v>10.8</v>
      </c>
      <c r="D38" s="64">
        <v>13.15</v>
      </c>
      <c r="E38" s="64">
        <v>4.42</v>
      </c>
      <c r="F38" s="64">
        <v>3.02</v>
      </c>
      <c r="G38" s="64">
        <v>22.79</v>
      </c>
      <c r="H38" s="64">
        <v>1.98</v>
      </c>
      <c r="I38" s="64">
        <v>0.69</v>
      </c>
      <c r="J38" s="64">
        <v>0.18</v>
      </c>
      <c r="K38" s="64">
        <v>284.93</v>
      </c>
      <c r="L38" s="64">
        <v>24.42</v>
      </c>
      <c r="M38" s="64">
        <v>97.97</v>
      </c>
      <c r="N38" s="64">
        <v>201.9</v>
      </c>
      <c r="O38" s="64">
        <v>0</v>
      </c>
      <c r="P38" s="64">
        <v>0.19</v>
      </c>
      <c r="Q38" s="64">
        <v>9.0299999999999994</v>
      </c>
      <c r="R38" s="198"/>
      <c r="S38" s="198"/>
      <c r="T38" s="198"/>
      <c r="U38" s="198"/>
    </row>
    <row r="39" spans="1:21" s="12" customFormat="1" x14ac:dyDescent="0.25">
      <c r="A39" s="213" t="s">
        <v>3154</v>
      </c>
      <c r="B39" s="64">
        <v>9.14</v>
      </c>
      <c r="C39" s="64">
        <v>10.87</v>
      </c>
      <c r="D39" s="64">
        <v>13.01</v>
      </c>
      <c r="E39" s="64">
        <v>4.32</v>
      </c>
      <c r="F39" s="64">
        <v>3.63</v>
      </c>
      <c r="G39" s="64">
        <v>22.79</v>
      </c>
      <c r="H39" s="64">
        <v>1.98</v>
      </c>
      <c r="I39" s="64">
        <v>0.71</v>
      </c>
      <c r="J39" s="64">
        <v>0.17</v>
      </c>
      <c r="K39" s="64">
        <v>299.85000000000002</v>
      </c>
      <c r="L39" s="64">
        <v>24.69</v>
      </c>
      <c r="M39" s="64">
        <v>97.96</v>
      </c>
      <c r="N39" s="64">
        <v>230.3</v>
      </c>
      <c r="O39" s="64">
        <v>0</v>
      </c>
      <c r="P39" s="64">
        <v>0.2</v>
      </c>
      <c r="Q39" s="64">
        <v>9.0399999999999991</v>
      </c>
      <c r="R39" s="198"/>
      <c r="S39" s="198"/>
      <c r="T39" s="198"/>
      <c r="U39" s="198"/>
    </row>
    <row r="40" spans="1:21" s="12" customFormat="1" x14ac:dyDescent="0.25">
      <c r="A40" s="213" t="s">
        <v>3155</v>
      </c>
      <c r="B40" s="64">
        <v>9.25</v>
      </c>
      <c r="C40" s="64">
        <v>10.87</v>
      </c>
      <c r="D40" s="64">
        <v>13.1</v>
      </c>
      <c r="E40" s="64">
        <v>4.12</v>
      </c>
      <c r="F40" s="64">
        <v>3.33</v>
      </c>
      <c r="G40" s="64">
        <v>22.79</v>
      </c>
      <c r="H40" s="64">
        <v>1.98</v>
      </c>
      <c r="I40" s="64">
        <v>0.72</v>
      </c>
      <c r="J40" s="64">
        <v>0.21</v>
      </c>
      <c r="K40" s="64">
        <v>286.97000000000003</v>
      </c>
      <c r="L40" s="64">
        <v>25.42</v>
      </c>
      <c r="M40" s="64">
        <v>97.92</v>
      </c>
      <c r="N40" s="64">
        <v>344.8</v>
      </c>
      <c r="O40" s="64">
        <v>0</v>
      </c>
      <c r="P40" s="64">
        <v>0.21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3" t="s">
        <v>3156</v>
      </c>
      <c r="B41" s="64">
        <v>9.0399999999999991</v>
      </c>
      <c r="C41" s="64">
        <v>11.53</v>
      </c>
      <c r="D41" s="64">
        <v>13.27</v>
      </c>
      <c r="E41" s="64">
        <v>4.32</v>
      </c>
      <c r="F41" s="64">
        <v>3.33</v>
      </c>
      <c r="G41" s="64">
        <v>23.04</v>
      </c>
      <c r="H41" s="64">
        <v>5.15</v>
      </c>
      <c r="I41" s="64">
        <v>0.73</v>
      </c>
      <c r="J41" s="64">
        <v>0.22</v>
      </c>
      <c r="K41" s="64">
        <v>288.92</v>
      </c>
      <c r="L41" s="64">
        <v>25.96</v>
      </c>
      <c r="M41" s="64">
        <v>97.89</v>
      </c>
      <c r="N41" s="64">
        <v>371.5</v>
      </c>
      <c r="O41" s="64">
        <v>0</v>
      </c>
      <c r="P41" s="64">
        <v>0.21</v>
      </c>
      <c r="Q41" s="64">
        <v>9.07</v>
      </c>
      <c r="R41" s="198"/>
      <c r="S41" s="198"/>
      <c r="T41" s="198"/>
      <c r="U41" s="198"/>
    </row>
    <row r="42" spans="1:21" s="12" customFormat="1" x14ac:dyDescent="0.25">
      <c r="A42" s="213" t="s">
        <v>3157</v>
      </c>
      <c r="B42" s="64">
        <v>8.68</v>
      </c>
      <c r="C42" s="64">
        <v>12.16</v>
      </c>
      <c r="D42" s="64">
        <v>13.31</v>
      </c>
      <c r="E42" s="64">
        <v>4.37</v>
      </c>
      <c r="F42" s="64">
        <v>3.06</v>
      </c>
      <c r="G42" s="64">
        <v>23.88</v>
      </c>
      <c r="H42" s="64">
        <v>15.57</v>
      </c>
      <c r="I42" s="64">
        <v>0.74</v>
      </c>
      <c r="J42" s="64">
        <v>0.24</v>
      </c>
      <c r="K42" s="64">
        <v>295.95</v>
      </c>
      <c r="L42" s="64">
        <v>25.8</v>
      </c>
      <c r="M42" s="64">
        <v>97.89</v>
      </c>
      <c r="N42" s="64">
        <v>373.9</v>
      </c>
      <c r="O42" s="64">
        <v>0</v>
      </c>
      <c r="P42" s="64">
        <v>0.22</v>
      </c>
      <c r="Q42" s="64">
        <v>9.07</v>
      </c>
      <c r="R42" s="198"/>
      <c r="S42" s="198"/>
      <c r="T42" s="198"/>
      <c r="U42" s="198"/>
    </row>
    <row r="43" spans="1:21" s="12" customFormat="1" x14ac:dyDescent="0.25">
      <c r="A43" s="213" t="s">
        <v>3158</v>
      </c>
      <c r="B43" s="64">
        <v>8.2899999999999991</v>
      </c>
      <c r="C43" s="64">
        <v>12.73</v>
      </c>
      <c r="D43" s="64">
        <v>13.3</v>
      </c>
      <c r="E43" s="64">
        <v>4.58</v>
      </c>
      <c r="F43" s="64">
        <v>3.45</v>
      </c>
      <c r="G43" s="64">
        <v>23.88</v>
      </c>
      <c r="H43" s="64">
        <v>15.57</v>
      </c>
      <c r="I43" s="64">
        <v>0.75</v>
      </c>
      <c r="J43" s="64">
        <v>0.21</v>
      </c>
      <c r="K43" s="64">
        <v>294.89999999999998</v>
      </c>
      <c r="L43" s="64">
        <v>25.7</v>
      </c>
      <c r="M43" s="64">
        <v>97.75</v>
      </c>
      <c r="N43" s="64">
        <v>437.8</v>
      </c>
      <c r="O43" s="64">
        <v>0</v>
      </c>
      <c r="P43" s="64">
        <v>0.22</v>
      </c>
      <c r="Q43" s="64">
        <v>9.07</v>
      </c>
      <c r="R43" s="198"/>
      <c r="S43" s="198"/>
      <c r="T43" s="198"/>
      <c r="U43" s="198"/>
    </row>
    <row r="44" spans="1:21" s="12" customFormat="1" x14ac:dyDescent="0.25">
      <c r="A44" s="213" t="s">
        <v>3159</v>
      </c>
      <c r="B44" s="64">
        <v>7.99</v>
      </c>
      <c r="C44" s="64">
        <v>13.16</v>
      </c>
      <c r="D44" s="64">
        <v>13.28</v>
      </c>
      <c r="E44" s="64">
        <v>4.18</v>
      </c>
      <c r="F44" s="64">
        <v>3.81</v>
      </c>
      <c r="G44" s="64">
        <v>23.88</v>
      </c>
      <c r="H44" s="64">
        <v>15.57</v>
      </c>
      <c r="I44" s="64">
        <v>0.77</v>
      </c>
      <c r="J44" s="64">
        <v>0.27</v>
      </c>
      <c r="K44" s="64">
        <v>289.02</v>
      </c>
      <c r="L44" s="64">
        <v>27.53</v>
      </c>
      <c r="M44" s="64">
        <v>91.88</v>
      </c>
      <c r="N44" s="64">
        <v>586.9</v>
      </c>
      <c r="O44" s="64">
        <v>0</v>
      </c>
      <c r="P44" s="64">
        <v>0.23</v>
      </c>
      <c r="Q44" s="64">
        <v>9.07</v>
      </c>
      <c r="R44" s="198"/>
      <c r="S44" s="198"/>
      <c r="T44" s="198"/>
      <c r="U44" s="198"/>
    </row>
    <row r="45" spans="1:21" s="12" customFormat="1" x14ac:dyDescent="0.25">
      <c r="A45" s="213" t="s">
        <v>3160</v>
      </c>
      <c r="B45" s="64">
        <v>8.85</v>
      </c>
      <c r="C45" s="64">
        <v>15.15</v>
      </c>
      <c r="D45" s="64">
        <v>15.01</v>
      </c>
      <c r="E45" s="64">
        <v>4.49</v>
      </c>
      <c r="F45" s="64">
        <v>3.95</v>
      </c>
      <c r="G45" s="64">
        <v>25.6</v>
      </c>
      <c r="H45" s="64">
        <v>13.07</v>
      </c>
      <c r="I45" s="64">
        <v>0.8</v>
      </c>
      <c r="J45" s="64">
        <v>0.26</v>
      </c>
      <c r="K45" s="64">
        <v>298.25</v>
      </c>
      <c r="L45" s="64">
        <v>28.29</v>
      </c>
      <c r="M45" s="64">
        <v>86.74</v>
      </c>
      <c r="N45" s="64">
        <v>564.70000000000005</v>
      </c>
      <c r="O45" s="64">
        <v>0</v>
      </c>
      <c r="P45" s="64">
        <v>0.25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3" t="s">
        <v>3161</v>
      </c>
      <c r="B46" s="64">
        <v>8.6300000000000008</v>
      </c>
      <c r="C46" s="64">
        <v>14.01</v>
      </c>
      <c r="D46" s="64">
        <v>14.25</v>
      </c>
      <c r="E46" s="64">
        <v>4.34</v>
      </c>
      <c r="F46" s="64">
        <v>3.78</v>
      </c>
      <c r="G46" s="64">
        <v>31.23</v>
      </c>
      <c r="H46" s="64">
        <v>4.8499999999999996</v>
      </c>
      <c r="I46" s="64">
        <v>0.83</v>
      </c>
      <c r="J46" s="64">
        <v>0.24</v>
      </c>
      <c r="K46" s="64">
        <v>294.67</v>
      </c>
      <c r="L46" s="64">
        <v>28.02</v>
      </c>
      <c r="M46" s="64">
        <v>88.42</v>
      </c>
      <c r="N46" s="64">
        <v>621.79999999999995</v>
      </c>
      <c r="O46" s="64">
        <v>0</v>
      </c>
      <c r="P46" s="64">
        <v>0.27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3" t="s">
        <v>3162</v>
      </c>
      <c r="B47" s="64">
        <v>8.5299999999999994</v>
      </c>
      <c r="C47" s="64">
        <v>13.83</v>
      </c>
      <c r="D47" s="64">
        <v>14.07</v>
      </c>
      <c r="E47" s="64">
        <v>4.32</v>
      </c>
      <c r="F47" s="64">
        <v>3.57</v>
      </c>
      <c r="G47" s="64">
        <v>31.23</v>
      </c>
      <c r="H47" s="64">
        <v>4.8499999999999996</v>
      </c>
      <c r="I47" s="64">
        <v>0.88</v>
      </c>
      <c r="J47" s="64">
        <v>0.28999999999999998</v>
      </c>
      <c r="K47" s="64">
        <v>287.64999999999998</v>
      </c>
      <c r="L47" s="64">
        <v>28.91</v>
      </c>
      <c r="M47" s="64">
        <v>85.13</v>
      </c>
      <c r="N47" s="64">
        <v>706</v>
      </c>
      <c r="O47" s="64">
        <v>0</v>
      </c>
      <c r="P47" s="64">
        <v>0.28999999999999998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3" t="s">
        <v>3163</v>
      </c>
      <c r="B48" s="64">
        <v>9.65</v>
      </c>
      <c r="C48" s="64">
        <v>13.01</v>
      </c>
      <c r="D48" s="64">
        <v>14.54</v>
      </c>
      <c r="E48" s="64">
        <v>4.5999999999999996</v>
      </c>
      <c r="F48" s="64">
        <v>3.91</v>
      </c>
      <c r="G48" s="64">
        <v>31.23</v>
      </c>
      <c r="H48" s="64">
        <v>4.8499999999999996</v>
      </c>
      <c r="I48" s="64">
        <v>0.94</v>
      </c>
      <c r="J48" s="64">
        <v>0.22</v>
      </c>
      <c r="K48" s="64">
        <v>286.83</v>
      </c>
      <c r="L48" s="64">
        <v>29.09</v>
      </c>
      <c r="M48" s="64">
        <v>84.83</v>
      </c>
      <c r="N48" s="64">
        <v>702.7</v>
      </c>
      <c r="O48" s="64">
        <v>0</v>
      </c>
      <c r="P48" s="64">
        <v>0.32</v>
      </c>
      <c r="Q48" s="64">
        <v>9.07</v>
      </c>
      <c r="R48" s="198"/>
      <c r="S48" s="198"/>
      <c r="T48" s="198"/>
      <c r="U48" s="198"/>
    </row>
    <row r="49" spans="1:21" s="12" customFormat="1" x14ac:dyDescent="0.25">
      <c r="A49" s="213" t="s">
        <v>3164</v>
      </c>
      <c r="B49" s="64">
        <v>8.74</v>
      </c>
      <c r="C49" s="64">
        <v>13.99</v>
      </c>
      <c r="D49" s="64">
        <v>14.32</v>
      </c>
      <c r="E49" s="64">
        <v>4.2300000000000004</v>
      </c>
      <c r="F49" s="64">
        <v>3.85</v>
      </c>
      <c r="G49" s="64">
        <v>32.36</v>
      </c>
      <c r="H49" s="64">
        <v>8.33</v>
      </c>
      <c r="I49" s="64">
        <v>0.99</v>
      </c>
      <c r="J49" s="64">
        <v>0.26</v>
      </c>
      <c r="K49" s="64">
        <v>295.91000000000003</v>
      </c>
      <c r="L49" s="64">
        <v>28.38</v>
      </c>
      <c r="M49" s="64">
        <v>87.72</v>
      </c>
      <c r="N49" s="64">
        <v>716.1</v>
      </c>
      <c r="O49" s="64">
        <v>0</v>
      </c>
      <c r="P49" s="64">
        <v>0.32</v>
      </c>
      <c r="Q49" s="64">
        <v>9.06</v>
      </c>
      <c r="R49" s="198"/>
      <c r="S49" s="198"/>
      <c r="T49" s="198"/>
      <c r="U49" s="198"/>
    </row>
    <row r="50" spans="1:21" s="12" customFormat="1" x14ac:dyDescent="0.25">
      <c r="A50" s="213" t="s">
        <v>3165</v>
      </c>
      <c r="B50" s="64">
        <v>8.26</v>
      </c>
      <c r="C50" s="64">
        <v>14.62</v>
      </c>
      <c r="D50" s="64">
        <v>14.27</v>
      </c>
      <c r="E50" s="64">
        <v>4.3899999999999997</v>
      </c>
      <c r="F50" s="64">
        <v>3.52</v>
      </c>
      <c r="G50" s="64">
        <v>36.1</v>
      </c>
      <c r="H50" s="64">
        <v>19.760000000000002</v>
      </c>
      <c r="I50" s="64">
        <v>1.04</v>
      </c>
      <c r="J50" s="64">
        <v>0.23</v>
      </c>
      <c r="K50" s="64">
        <v>284.19</v>
      </c>
      <c r="L50" s="64">
        <v>28.92</v>
      </c>
      <c r="M50" s="64">
        <v>85.45</v>
      </c>
      <c r="N50" s="64">
        <v>501.8</v>
      </c>
      <c r="O50" s="64">
        <v>0</v>
      </c>
      <c r="P50" s="64">
        <v>0.35</v>
      </c>
      <c r="Q50" s="64">
        <v>9.0500000000000007</v>
      </c>
      <c r="R50" s="198"/>
      <c r="S50" s="198"/>
      <c r="T50" s="198"/>
      <c r="U50" s="198"/>
    </row>
    <row r="51" spans="1:21" s="12" customFormat="1" x14ac:dyDescent="0.25">
      <c r="A51" s="213" t="s">
        <v>3166</v>
      </c>
      <c r="B51" s="64">
        <v>7.86</v>
      </c>
      <c r="C51" s="64">
        <v>14.93</v>
      </c>
      <c r="D51" s="64">
        <v>14.1</v>
      </c>
      <c r="E51" s="64">
        <v>4.2699999999999996</v>
      </c>
      <c r="F51" s="64">
        <v>3.99</v>
      </c>
      <c r="G51" s="64">
        <v>36.1</v>
      </c>
      <c r="H51" s="64">
        <v>19.760000000000002</v>
      </c>
      <c r="I51" s="64">
        <v>1.08</v>
      </c>
      <c r="J51" s="64">
        <v>0.22</v>
      </c>
      <c r="K51" s="64">
        <v>289.94</v>
      </c>
      <c r="L51" s="64">
        <v>27.96</v>
      </c>
      <c r="M51" s="64">
        <v>88.45</v>
      </c>
      <c r="N51" s="64">
        <v>676.7</v>
      </c>
      <c r="O51" s="64">
        <v>0</v>
      </c>
      <c r="P51" s="64">
        <v>0.35</v>
      </c>
      <c r="Q51" s="64">
        <v>9.0399999999999991</v>
      </c>
      <c r="R51" s="198"/>
      <c r="S51" s="198"/>
      <c r="T51" s="198"/>
      <c r="U51" s="198"/>
    </row>
    <row r="52" spans="1:21" s="12" customFormat="1" x14ac:dyDescent="0.25">
      <c r="A52" s="213" t="s">
        <v>3167</v>
      </c>
      <c r="B52" s="64">
        <v>6.33</v>
      </c>
      <c r="C52" s="64">
        <v>16.309999999999999</v>
      </c>
      <c r="D52" s="64">
        <v>13.6</v>
      </c>
      <c r="E52" s="64">
        <v>4.32</v>
      </c>
      <c r="F52" s="64">
        <v>5.04</v>
      </c>
      <c r="G52" s="64">
        <v>36.1</v>
      </c>
      <c r="H52" s="64">
        <v>19.760000000000002</v>
      </c>
      <c r="I52" s="64">
        <v>1.1299999999999999</v>
      </c>
      <c r="J52" s="64">
        <v>0.19</v>
      </c>
      <c r="K52" s="64">
        <v>280.70999999999998</v>
      </c>
      <c r="L52" s="64">
        <v>27.89</v>
      </c>
      <c r="M52" s="64">
        <v>89.86</v>
      </c>
      <c r="N52" s="64">
        <v>407</v>
      </c>
      <c r="O52" s="64">
        <v>0</v>
      </c>
      <c r="P52" s="64">
        <v>0.37</v>
      </c>
      <c r="Q52" s="64">
        <v>9.01</v>
      </c>
      <c r="R52" s="198"/>
      <c r="S52" s="198"/>
      <c r="T52" s="198"/>
      <c r="U52" s="198"/>
    </row>
    <row r="53" spans="1:21" s="12" customFormat="1" x14ac:dyDescent="0.25">
      <c r="A53" s="213" t="s">
        <v>3168</v>
      </c>
      <c r="B53" s="64">
        <v>7.28</v>
      </c>
      <c r="C53" s="64">
        <v>18.55</v>
      </c>
      <c r="D53" s="64">
        <v>15.53</v>
      </c>
      <c r="E53" s="64">
        <v>4.28</v>
      </c>
      <c r="F53" s="64">
        <v>4.55</v>
      </c>
      <c r="G53" s="64">
        <v>34.93</v>
      </c>
      <c r="H53" s="64">
        <v>16.27</v>
      </c>
      <c r="I53" s="64">
        <v>1.1299999999999999</v>
      </c>
      <c r="J53" s="64">
        <v>0.15</v>
      </c>
      <c r="K53" s="64">
        <v>263.81</v>
      </c>
      <c r="L53" s="64">
        <v>27.44</v>
      </c>
      <c r="M53" s="64">
        <v>92.36</v>
      </c>
      <c r="N53" s="64">
        <v>187.7</v>
      </c>
      <c r="O53" s="64">
        <v>0</v>
      </c>
      <c r="P53" s="64">
        <v>0.38</v>
      </c>
      <c r="Q53" s="64">
        <v>8.9700000000000006</v>
      </c>
      <c r="R53" s="198"/>
      <c r="S53" s="198"/>
      <c r="T53" s="198"/>
      <c r="U53" s="198"/>
    </row>
    <row r="54" spans="1:21" s="12" customFormat="1" x14ac:dyDescent="0.25">
      <c r="A54" s="213" t="s">
        <v>3169</v>
      </c>
      <c r="B54" s="64">
        <v>6.58</v>
      </c>
      <c r="C54" s="64">
        <v>16.29</v>
      </c>
      <c r="D54" s="64">
        <v>13.79</v>
      </c>
      <c r="E54" s="64">
        <v>4.28</v>
      </c>
      <c r="F54" s="64">
        <v>3.77</v>
      </c>
      <c r="G54" s="64">
        <v>31.11</v>
      </c>
      <c r="H54" s="64">
        <v>4.8099999999999996</v>
      </c>
      <c r="I54" s="64">
        <v>1.1299999999999999</v>
      </c>
      <c r="J54" s="64">
        <v>0.27</v>
      </c>
      <c r="K54" s="64">
        <v>297.16000000000003</v>
      </c>
      <c r="L54" s="64">
        <v>28.02</v>
      </c>
      <c r="M54" s="64">
        <v>89.14</v>
      </c>
      <c r="N54" s="64">
        <v>533.29999999999995</v>
      </c>
      <c r="O54" s="64">
        <v>0</v>
      </c>
      <c r="P54" s="64">
        <v>0.36</v>
      </c>
      <c r="Q54" s="64">
        <v>8.9499999999999993</v>
      </c>
      <c r="R54" s="198"/>
      <c r="S54" s="198"/>
      <c r="T54" s="198"/>
      <c r="U54" s="198"/>
    </row>
    <row r="55" spans="1:21" s="12" customFormat="1" x14ac:dyDescent="0.25">
      <c r="A55" s="213" t="s">
        <v>3170</v>
      </c>
      <c r="B55" s="64">
        <v>7.3</v>
      </c>
      <c r="C55" s="64">
        <v>16.86</v>
      </c>
      <c r="D55" s="64">
        <v>14.66</v>
      </c>
      <c r="E55" s="64">
        <v>4.5</v>
      </c>
      <c r="F55" s="64">
        <v>4.29</v>
      </c>
      <c r="G55" s="64">
        <v>31.11</v>
      </c>
      <c r="H55" s="64">
        <v>4.8099999999999996</v>
      </c>
      <c r="I55" s="64">
        <v>1.1499999999999999</v>
      </c>
      <c r="J55" s="64">
        <v>0.21</v>
      </c>
      <c r="K55" s="64">
        <v>284.99</v>
      </c>
      <c r="L55" s="64">
        <v>28.6</v>
      </c>
      <c r="M55" s="64">
        <v>83.67</v>
      </c>
      <c r="N55" s="64">
        <v>854</v>
      </c>
      <c r="O55" s="64">
        <v>0</v>
      </c>
      <c r="P55" s="64">
        <v>0.38</v>
      </c>
      <c r="Q55" s="64">
        <v>8.9499999999999993</v>
      </c>
      <c r="R55" s="198"/>
      <c r="S55" s="198"/>
      <c r="T55" s="198"/>
      <c r="U55" s="198"/>
    </row>
    <row r="56" spans="1:21" s="12" customFormat="1" x14ac:dyDescent="0.25">
      <c r="A56" s="213" t="s">
        <v>3171</v>
      </c>
      <c r="B56" s="64">
        <v>6.53</v>
      </c>
      <c r="C56" s="64">
        <v>17.54</v>
      </c>
      <c r="D56" s="64">
        <v>14.4</v>
      </c>
      <c r="E56" s="64">
        <v>4.29</v>
      </c>
      <c r="F56" s="64">
        <v>4.8600000000000003</v>
      </c>
      <c r="G56" s="64">
        <v>31.11</v>
      </c>
      <c r="H56" s="64">
        <v>4.8099999999999996</v>
      </c>
      <c r="I56" s="64">
        <v>1.19</v>
      </c>
      <c r="J56" s="64">
        <v>0.17</v>
      </c>
      <c r="K56" s="64">
        <v>291.35000000000002</v>
      </c>
      <c r="L56" s="64">
        <v>28.91</v>
      </c>
      <c r="M56" s="64">
        <v>80.38</v>
      </c>
      <c r="N56" s="64">
        <v>475.4</v>
      </c>
      <c r="O56" s="64">
        <v>0</v>
      </c>
      <c r="P56" s="64">
        <v>0.38</v>
      </c>
      <c r="Q56" s="64">
        <v>8.9600000000000009</v>
      </c>
      <c r="R56" s="198"/>
      <c r="S56" s="198"/>
      <c r="T56" s="198"/>
      <c r="U56" s="198"/>
    </row>
    <row r="57" spans="1:21" s="12" customFormat="1" x14ac:dyDescent="0.25">
      <c r="A57" s="213" t="s">
        <v>3172</v>
      </c>
      <c r="B57" s="64">
        <v>7.2</v>
      </c>
      <c r="C57" s="64">
        <v>18.329999999999998</v>
      </c>
      <c r="D57" s="64">
        <v>15.35</v>
      </c>
      <c r="E57" s="64">
        <v>4.8</v>
      </c>
      <c r="F57" s="64">
        <v>8.2200000000000006</v>
      </c>
      <c r="G57" s="64">
        <v>31.55</v>
      </c>
      <c r="H57" s="64">
        <v>8.81</v>
      </c>
      <c r="I57" s="64">
        <v>1.28</v>
      </c>
      <c r="J57" s="64">
        <v>0.17</v>
      </c>
      <c r="K57" s="64">
        <v>226.66</v>
      </c>
      <c r="L57" s="64">
        <v>28.75</v>
      </c>
      <c r="M57" s="64">
        <v>83.29</v>
      </c>
      <c r="N57" s="64">
        <v>880.6</v>
      </c>
      <c r="O57" s="64">
        <v>0</v>
      </c>
      <c r="P57" s="64">
        <v>0.38</v>
      </c>
      <c r="Q57" s="64">
        <v>8.9700000000000006</v>
      </c>
      <c r="R57" s="198"/>
      <c r="S57" s="198"/>
      <c r="T57" s="198"/>
      <c r="U57" s="198"/>
    </row>
    <row r="58" spans="1:21" s="12" customFormat="1" x14ac:dyDescent="0.25">
      <c r="A58" s="213" t="s">
        <v>3173</v>
      </c>
      <c r="B58" s="64">
        <v>5.74</v>
      </c>
      <c r="C58" s="64">
        <v>19.59</v>
      </c>
      <c r="D58" s="64">
        <v>14.84</v>
      </c>
      <c r="E58" s="64">
        <v>4.57</v>
      </c>
      <c r="F58" s="64">
        <v>5.95</v>
      </c>
      <c r="G58" s="64">
        <v>33</v>
      </c>
      <c r="H58" s="64">
        <v>21.94</v>
      </c>
      <c r="I58" s="64">
        <v>1.32</v>
      </c>
      <c r="J58" s="64">
        <v>0.21</v>
      </c>
      <c r="K58" s="64">
        <v>287.94</v>
      </c>
      <c r="L58" s="64">
        <v>29.1</v>
      </c>
      <c r="M58" s="64">
        <v>80.040000000000006</v>
      </c>
      <c r="N58" s="64">
        <v>581.79999999999995</v>
      </c>
      <c r="O58" s="64">
        <v>0</v>
      </c>
      <c r="P58" s="64">
        <v>0.36</v>
      </c>
      <c r="Q58" s="64">
        <v>8.99</v>
      </c>
      <c r="R58" s="198"/>
      <c r="S58" s="198"/>
      <c r="T58" s="198"/>
      <c r="U58" s="198"/>
    </row>
    <row r="59" spans="1:21" s="12" customFormat="1" x14ac:dyDescent="0.25">
      <c r="A59" s="213" t="s">
        <v>3174</v>
      </c>
      <c r="B59" s="64">
        <v>6.87</v>
      </c>
      <c r="C59" s="64">
        <v>22.46</v>
      </c>
      <c r="D59" s="64">
        <v>17.239999999999998</v>
      </c>
      <c r="E59" s="64">
        <v>4.55</v>
      </c>
      <c r="F59" s="64">
        <v>4.84</v>
      </c>
      <c r="G59" s="64">
        <v>33</v>
      </c>
      <c r="H59" s="64">
        <v>21.94</v>
      </c>
      <c r="I59" s="64">
        <v>1.33</v>
      </c>
      <c r="J59" s="64">
        <v>0.21</v>
      </c>
      <c r="K59" s="64">
        <v>295.10000000000002</v>
      </c>
      <c r="L59" s="64">
        <v>29.14</v>
      </c>
      <c r="M59" s="64">
        <v>79.34</v>
      </c>
      <c r="N59" s="64">
        <v>415.4</v>
      </c>
      <c r="O59" s="64">
        <v>0</v>
      </c>
      <c r="P59" s="64">
        <v>0.38</v>
      </c>
      <c r="Q59" s="64">
        <v>9</v>
      </c>
      <c r="R59" s="198"/>
      <c r="S59" s="198"/>
      <c r="T59" s="198"/>
      <c r="U59" s="198"/>
    </row>
    <row r="60" spans="1:21" s="12" customFormat="1" x14ac:dyDescent="0.25">
      <c r="A60" s="213" t="s">
        <v>3175</v>
      </c>
      <c r="B60" s="64">
        <v>5.43</v>
      </c>
      <c r="C60" s="64">
        <v>20.81</v>
      </c>
      <c r="D60" s="64">
        <v>15.22</v>
      </c>
      <c r="E60" s="64">
        <v>4.53</v>
      </c>
      <c r="F60" s="64">
        <v>4.8499999999999996</v>
      </c>
      <c r="G60" s="64">
        <v>33</v>
      </c>
      <c r="H60" s="64">
        <v>21.94</v>
      </c>
      <c r="I60" s="64">
        <v>1.29</v>
      </c>
      <c r="J60" s="64">
        <v>0.21</v>
      </c>
      <c r="K60" s="64">
        <v>282.20999999999998</v>
      </c>
      <c r="L60" s="64">
        <v>29.13</v>
      </c>
      <c r="M60" s="64">
        <v>79.739999999999995</v>
      </c>
      <c r="N60" s="64">
        <v>648</v>
      </c>
      <c r="O60" s="64">
        <v>0</v>
      </c>
      <c r="P60" s="64">
        <v>0.37</v>
      </c>
      <c r="Q60" s="64">
        <v>9.02</v>
      </c>
      <c r="R60" s="198"/>
      <c r="S60" s="198"/>
      <c r="T60" s="198"/>
      <c r="U60" s="198"/>
    </row>
    <row r="61" spans="1:21" s="12" customFormat="1" x14ac:dyDescent="0.25">
      <c r="A61" s="213" t="s">
        <v>3176</v>
      </c>
      <c r="B61" s="64">
        <v>4.9000000000000004</v>
      </c>
      <c r="C61" s="64">
        <v>19.14</v>
      </c>
      <c r="D61" s="64">
        <v>13.92</v>
      </c>
      <c r="E61" s="64">
        <v>4.75</v>
      </c>
      <c r="F61" s="64">
        <v>5.42</v>
      </c>
      <c r="G61" s="64">
        <v>38.950000000000003</v>
      </c>
      <c r="H61" s="64">
        <v>19.16</v>
      </c>
      <c r="I61" s="64">
        <v>1.36</v>
      </c>
      <c r="J61" s="64">
        <v>0.28000000000000003</v>
      </c>
      <c r="K61" s="64">
        <v>289.42</v>
      </c>
      <c r="L61" s="64">
        <v>29.57</v>
      </c>
      <c r="M61" s="64">
        <v>77.430000000000007</v>
      </c>
      <c r="N61" s="64">
        <v>601.6</v>
      </c>
      <c r="O61" s="64">
        <v>0</v>
      </c>
      <c r="P61" s="64">
        <v>0.35</v>
      </c>
      <c r="Q61" s="64">
        <v>9.0299999999999994</v>
      </c>
      <c r="R61" s="198"/>
      <c r="S61" s="198"/>
      <c r="T61" s="198"/>
      <c r="U61" s="198"/>
    </row>
    <row r="62" spans="1:21" s="12" customFormat="1" x14ac:dyDescent="0.25">
      <c r="A62" s="213" t="s">
        <v>3177</v>
      </c>
      <c r="B62" s="64">
        <v>4.58</v>
      </c>
      <c r="C62" s="64">
        <v>19.13</v>
      </c>
      <c r="D62" s="64">
        <v>13.66</v>
      </c>
      <c r="E62" s="64">
        <v>4.37</v>
      </c>
      <c r="F62" s="64">
        <v>5.97</v>
      </c>
      <c r="G62" s="64">
        <v>58.49</v>
      </c>
      <c r="H62" s="64">
        <v>10.029999999999999</v>
      </c>
      <c r="I62" s="64">
        <v>1.45</v>
      </c>
      <c r="J62" s="64">
        <v>0.33</v>
      </c>
      <c r="K62" s="64">
        <v>295.44</v>
      </c>
      <c r="L62" s="64">
        <v>29.1</v>
      </c>
      <c r="M62" s="64">
        <v>78.53</v>
      </c>
      <c r="N62" s="64">
        <v>248.7</v>
      </c>
      <c r="O62" s="64">
        <v>0</v>
      </c>
      <c r="P62" s="64">
        <v>0.33</v>
      </c>
      <c r="Q62" s="64">
        <v>9.0299999999999994</v>
      </c>
      <c r="R62" s="198"/>
      <c r="S62" s="198"/>
      <c r="T62" s="198"/>
      <c r="U62" s="198"/>
    </row>
    <row r="63" spans="1:21" s="12" customFormat="1" x14ac:dyDescent="0.25">
      <c r="A63" s="213" t="s">
        <v>3178</v>
      </c>
      <c r="B63" s="64">
        <v>5.68</v>
      </c>
      <c r="C63" s="64">
        <v>21.75</v>
      </c>
      <c r="D63" s="64">
        <v>15.92</v>
      </c>
      <c r="E63" s="64">
        <v>4.62</v>
      </c>
      <c r="F63" s="64">
        <v>5.77</v>
      </c>
      <c r="G63" s="64">
        <v>58.49</v>
      </c>
      <c r="H63" s="64">
        <v>10.029999999999999</v>
      </c>
      <c r="I63" s="64">
        <v>1.41</v>
      </c>
      <c r="J63" s="64">
        <v>0.26</v>
      </c>
      <c r="K63" s="64">
        <v>292.31</v>
      </c>
      <c r="L63" s="64">
        <v>29.02</v>
      </c>
      <c r="M63" s="64">
        <v>80.400000000000006</v>
      </c>
      <c r="N63" s="64">
        <v>261.89999999999998</v>
      </c>
      <c r="O63" s="64">
        <v>0</v>
      </c>
      <c r="P63" s="64">
        <v>0.37</v>
      </c>
      <c r="Q63" s="64">
        <v>9.0299999999999994</v>
      </c>
      <c r="R63" s="198"/>
      <c r="S63" s="198"/>
      <c r="T63" s="198"/>
      <c r="U63" s="198"/>
    </row>
    <row r="64" spans="1:21" s="12" customFormat="1" x14ac:dyDescent="0.25">
      <c r="A64" s="213" t="s">
        <v>3179</v>
      </c>
      <c r="B64" s="64">
        <v>6.78</v>
      </c>
      <c r="C64" s="64">
        <v>21.93</v>
      </c>
      <c r="D64" s="64">
        <v>16.89</v>
      </c>
      <c r="E64" s="64">
        <v>4.54</v>
      </c>
      <c r="F64" s="64">
        <v>5.65</v>
      </c>
      <c r="G64" s="64">
        <v>58.49</v>
      </c>
      <c r="H64" s="64">
        <v>10.029999999999999</v>
      </c>
      <c r="I64" s="64">
        <v>1.33</v>
      </c>
      <c r="J64" s="64">
        <v>0.21</v>
      </c>
      <c r="K64" s="64">
        <v>298.20999999999998</v>
      </c>
      <c r="L64" s="64">
        <v>29.09</v>
      </c>
      <c r="M64" s="64">
        <v>81.12</v>
      </c>
      <c r="N64" s="64">
        <v>314.89999999999998</v>
      </c>
      <c r="O64" s="64">
        <v>0</v>
      </c>
      <c r="P64" s="64">
        <v>0.38</v>
      </c>
      <c r="Q64" s="64">
        <v>9.0299999999999994</v>
      </c>
      <c r="R64" s="198"/>
      <c r="S64" s="198"/>
      <c r="T64" s="198"/>
      <c r="U64" s="198"/>
    </row>
    <row r="65" spans="1:21" s="12" customFormat="1" x14ac:dyDescent="0.25">
      <c r="A65" s="213" t="s">
        <v>3180</v>
      </c>
      <c r="B65" s="64">
        <v>5.36</v>
      </c>
      <c r="C65" s="64">
        <v>18.14</v>
      </c>
      <c r="D65" s="64">
        <v>13.78</v>
      </c>
      <c r="E65" s="64">
        <v>4.26</v>
      </c>
      <c r="F65" s="64">
        <v>4.91</v>
      </c>
      <c r="G65" s="64">
        <v>57.01</v>
      </c>
      <c r="H65" s="64">
        <v>11.93</v>
      </c>
      <c r="I65" s="64">
        <v>1.35</v>
      </c>
      <c r="J65" s="64">
        <v>0.17</v>
      </c>
      <c r="K65" s="64">
        <v>268.66000000000003</v>
      </c>
      <c r="L65" s="64">
        <v>28.7</v>
      </c>
      <c r="M65" s="64">
        <v>79.06</v>
      </c>
      <c r="N65" s="64">
        <v>352.6</v>
      </c>
      <c r="O65" s="64">
        <v>0</v>
      </c>
      <c r="P65" s="64">
        <v>0.36</v>
      </c>
      <c r="Q65" s="64">
        <v>9.02</v>
      </c>
      <c r="R65" s="198"/>
      <c r="S65" s="198"/>
      <c r="T65" s="198"/>
      <c r="U65" s="198"/>
    </row>
    <row r="66" spans="1:21" s="12" customFormat="1" x14ac:dyDescent="0.25">
      <c r="A66" s="213" t="s">
        <v>3181</v>
      </c>
      <c r="B66" s="64">
        <v>5.04</v>
      </c>
      <c r="C66" s="64">
        <v>16.850000000000001</v>
      </c>
      <c r="D66" s="64">
        <v>12.84</v>
      </c>
      <c r="E66" s="64">
        <v>4.4000000000000004</v>
      </c>
      <c r="F66" s="64">
        <v>4.6500000000000004</v>
      </c>
      <c r="G66" s="64">
        <v>52.15</v>
      </c>
      <c r="H66" s="64">
        <v>18.149999999999999</v>
      </c>
      <c r="I66" s="64">
        <v>1.36</v>
      </c>
      <c r="J66" s="64">
        <v>0.22</v>
      </c>
      <c r="K66" s="64">
        <v>290.58999999999997</v>
      </c>
      <c r="L66" s="64">
        <v>29.22</v>
      </c>
      <c r="M66" s="64">
        <v>76.459999999999994</v>
      </c>
      <c r="N66" s="64">
        <v>272</v>
      </c>
      <c r="O66" s="64">
        <v>0</v>
      </c>
      <c r="P66" s="64">
        <v>0.36</v>
      </c>
      <c r="Q66" s="64">
        <v>9</v>
      </c>
      <c r="R66" s="198"/>
      <c r="S66" s="198"/>
      <c r="T66" s="198"/>
      <c r="U66" s="198"/>
    </row>
    <row r="67" spans="1:21" s="12" customFormat="1" x14ac:dyDescent="0.25">
      <c r="A67" s="213" t="s">
        <v>3182</v>
      </c>
      <c r="B67" s="64">
        <v>4.92</v>
      </c>
      <c r="C67" s="64">
        <v>16.920000000000002</v>
      </c>
      <c r="D67" s="64">
        <v>12.78</v>
      </c>
      <c r="E67" s="64">
        <v>4.37</v>
      </c>
      <c r="F67" s="64">
        <v>4.4000000000000004</v>
      </c>
      <c r="G67" s="64">
        <v>52.15</v>
      </c>
      <c r="H67" s="64">
        <v>18.149999999999999</v>
      </c>
      <c r="I67" s="64">
        <v>1.34</v>
      </c>
      <c r="J67" s="64">
        <v>0.22</v>
      </c>
      <c r="K67" s="64">
        <v>283.04000000000002</v>
      </c>
      <c r="L67" s="64">
        <v>29.19</v>
      </c>
      <c r="M67" s="64">
        <v>77.66</v>
      </c>
      <c r="N67" s="64">
        <v>240.6</v>
      </c>
      <c r="O67" s="64">
        <v>0</v>
      </c>
      <c r="P67" s="64">
        <v>0.38</v>
      </c>
      <c r="Q67" s="64">
        <v>9</v>
      </c>
      <c r="R67" s="198"/>
      <c r="S67" s="198"/>
      <c r="T67" s="198"/>
      <c r="U67" s="198"/>
    </row>
    <row r="68" spans="1:21" s="12" customFormat="1" x14ac:dyDescent="0.25">
      <c r="A68" s="213" t="s">
        <v>3183</v>
      </c>
      <c r="B68" s="64">
        <v>4.8499999999999996</v>
      </c>
      <c r="C68" s="64">
        <v>16.78</v>
      </c>
      <c r="D68" s="64">
        <v>12.66</v>
      </c>
      <c r="E68" s="64">
        <v>4.34</v>
      </c>
      <c r="F68" s="64">
        <v>4.3899999999999997</v>
      </c>
      <c r="G68" s="64">
        <v>52.15</v>
      </c>
      <c r="H68" s="64">
        <v>18.149999999999999</v>
      </c>
      <c r="I68" s="64">
        <v>1.34</v>
      </c>
      <c r="J68" s="64">
        <v>0.23</v>
      </c>
      <c r="K68" s="64">
        <v>289.86</v>
      </c>
      <c r="L68" s="64">
        <v>29.13</v>
      </c>
      <c r="M68" s="64">
        <v>78.16</v>
      </c>
      <c r="N68" s="64">
        <v>256.3</v>
      </c>
      <c r="O68" s="64">
        <v>0</v>
      </c>
      <c r="P68" s="64">
        <v>0.37</v>
      </c>
      <c r="Q68" s="64">
        <v>8.99</v>
      </c>
      <c r="R68" s="198"/>
      <c r="S68" s="198"/>
      <c r="T68" s="198"/>
      <c r="U68" s="198"/>
    </row>
    <row r="69" spans="1:21" s="12" customFormat="1" x14ac:dyDescent="0.25">
      <c r="A69" s="213" t="s">
        <v>3184</v>
      </c>
      <c r="B69" s="64">
        <v>4.74</v>
      </c>
      <c r="C69" s="64">
        <v>16.54</v>
      </c>
      <c r="D69" s="64">
        <v>12.44</v>
      </c>
      <c r="E69" s="64">
        <v>4.18</v>
      </c>
      <c r="F69" s="64">
        <v>4.8</v>
      </c>
      <c r="G69" s="64">
        <v>51.78</v>
      </c>
      <c r="H69" s="64">
        <v>18.739999999999998</v>
      </c>
      <c r="I69" s="64">
        <v>1.35</v>
      </c>
      <c r="J69" s="64">
        <v>0.19</v>
      </c>
      <c r="K69" s="64">
        <v>299.63</v>
      </c>
      <c r="L69" s="64">
        <v>28.82</v>
      </c>
      <c r="M69" s="64">
        <v>77.430000000000007</v>
      </c>
      <c r="N69" s="64">
        <v>234.9</v>
      </c>
      <c r="O69" s="64">
        <v>0</v>
      </c>
      <c r="P69" s="64">
        <v>0.36</v>
      </c>
      <c r="Q69" s="64">
        <v>8.9700000000000006</v>
      </c>
      <c r="R69" s="198"/>
      <c r="S69" s="198"/>
      <c r="T69" s="198"/>
      <c r="U69" s="198"/>
    </row>
    <row r="70" spans="1:21" s="12" customFormat="1" x14ac:dyDescent="0.25">
      <c r="A70" s="213" t="s">
        <v>3185</v>
      </c>
      <c r="B70" s="64">
        <v>4.6500000000000004</v>
      </c>
      <c r="C70" s="64">
        <v>16.27</v>
      </c>
      <c r="D70" s="64">
        <v>12.23</v>
      </c>
      <c r="E70" s="64">
        <v>4.47</v>
      </c>
      <c r="F70" s="64">
        <v>4.12</v>
      </c>
      <c r="G70" s="64">
        <v>50.59</v>
      </c>
      <c r="H70" s="64">
        <v>20.66</v>
      </c>
      <c r="I70" s="64">
        <v>1.34</v>
      </c>
      <c r="J70" s="64">
        <v>0.28000000000000003</v>
      </c>
      <c r="K70" s="64">
        <v>289.66000000000003</v>
      </c>
      <c r="L70" s="64">
        <v>28.97</v>
      </c>
      <c r="M70" s="64">
        <v>77.47</v>
      </c>
      <c r="N70" s="64">
        <v>212.8</v>
      </c>
      <c r="O70" s="64">
        <v>0</v>
      </c>
      <c r="P70" s="64">
        <v>0.35</v>
      </c>
      <c r="Q70" s="64">
        <v>8.9600000000000009</v>
      </c>
      <c r="R70" s="198"/>
      <c r="S70" s="198"/>
      <c r="T70" s="198"/>
      <c r="U70" s="198"/>
    </row>
    <row r="71" spans="1:21" s="12" customFormat="1" x14ac:dyDescent="0.25">
      <c r="A71" s="213" t="s">
        <v>3186</v>
      </c>
      <c r="B71" s="64">
        <v>4.6500000000000004</v>
      </c>
      <c r="C71" s="64">
        <v>16.18</v>
      </c>
      <c r="D71" s="64">
        <v>12.18</v>
      </c>
      <c r="E71" s="64">
        <v>4.4400000000000004</v>
      </c>
      <c r="F71" s="64">
        <v>5.45</v>
      </c>
      <c r="G71" s="64">
        <v>50.59</v>
      </c>
      <c r="H71" s="64">
        <v>20.66</v>
      </c>
      <c r="I71" s="64">
        <v>1.32</v>
      </c>
      <c r="J71" s="64">
        <v>0.22</v>
      </c>
      <c r="K71" s="64">
        <v>296.11</v>
      </c>
      <c r="L71" s="64">
        <v>29.09</v>
      </c>
      <c r="M71" s="64">
        <v>77.48</v>
      </c>
      <c r="N71" s="64">
        <v>209.4</v>
      </c>
      <c r="O71" s="64">
        <v>0</v>
      </c>
      <c r="P71" s="64">
        <v>0.35</v>
      </c>
      <c r="Q71" s="64">
        <v>8.9499999999999993</v>
      </c>
      <c r="R71" s="198"/>
      <c r="S71" s="198"/>
      <c r="T71" s="198"/>
      <c r="U71" s="198"/>
    </row>
    <row r="72" spans="1:21" s="12" customFormat="1" x14ac:dyDescent="0.25">
      <c r="A72" s="213" t="s">
        <v>3187</v>
      </c>
      <c r="B72" s="64">
        <v>5.05</v>
      </c>
      <c r="C72" s="64">
        <v>16.600000000000001</v>
      </c>
      <c r="D72" s="64">
        <v>12.72</v>
      </c>
      <c r="E72" s="64">
        <v>3.72</v>
      </c>
      <c r="F72" s="64">
        <v>5.7</v>
      </c>
      <c r="G72" s="64">
        <v>50.59</v>
      </c>
      <c r="H72" s="64">
        <v>20.66</v>
      </c>
      <c r="I72" s="64">
        <v>1.3</v>
      </c>
      <c r="J72" s="64">
        <v>0.28000000000000003</v>
      </c>
      <c r="K72" s="64">
        <v>296.02999999999997</v>
      </c>
      <c r="L72" s="64">
        <v>29.43</v>
      </c>
      <c r="M72" s="64">
        <v>76.97</v>
      </c>
      <c r="N72" s="64">
        <v>196.2</v>
      </c>
      <c r="O72" s="64">
        <v>0</v>
      </c>
      <c r="P72" s="64">
        <v>0.37</v>
      </c>
      <c r="Q72" s="64">
        <v>8.94</v>
      </c>
      <c r="R72" s="198"/>
      <c r="S72" s="198"/>
      <c r="T72" s="198"/>
      <c r="U72" s="198"/>
    </row>
    <row r="73" spans="1:21" s="12" customFormat="1" x14ac:dyDescent="0.25">
      <c r="A73" s="213" t="s">
        <v>3188</v>
      </c>
      <c r="B73" s="64">
        <v>5.03</v>
      </c>
      <c r="C73" s="64">
        <v>16.32</v>
      </c>
      <c r="D73" s="64">
        <v>12.56</v>
      </c>
      <c r="E73" s="64">
        <v>4.34</v>
      </c>
      <c r="F73" s="64">
        <v>4.92</v>
      </c>
      <c r="G73" s="64">
        <v>50.74</v>
      </c>
      <c r="H73" s="64">
        <v>18.61</v>
      </c>
      <c r="I73" s="64">
        <v>1.29</v>
      </c>
      <c r="J73" s="64">
        <v>0.26</v>
      </c>
      <c r="K73" s="64">
        <v>295.22000000000003</v>
      </c>
      <c r="L73" s="64">
        <v>29.33</v>
      </c>
      <c r="M73" s="64">
        <v>74.87</v>
      </c>
      <c r="N73" s="64">
        <v>208.7</v>
      </c>
      <c r="O73" s="64">
        <v>0</v>
      </c>
      <c r="P73" s="64">
        <v>0.36</v>
      </c>
      <c r="Q73" s="64">
        <v>8.9700000000000006</v>
      </c>
      <c r="R73" s="198"/>
      <c r="S73" s="198"/>
      <c r="T73" s="198"/>
      <c r="U73" s="198"/>
    </row>
    <row r="74" spans="1:21" s="12" customFormat="1" x14ac:dyDescent="0.25">
      <c r="A74" s="213" t="s">
        <v>3189</v>
      </c>
      <c r="B74" s="64">
        <v>5.29</v>
      </c>
      <c r="C74" s="64">
        <v>16.27</v>
      </c>
      <c r="D74" s="64">
        <v>12.74</v>
      </c>
      <c r="E74" s="64">
        <v>4.3600000000000003</v>
      </c>
      <c r="F74" s="64">
        <v>6.11</v>
      </c>
      <c r="G74" s="64">
        <v>51.22</v>
      </c>
      <c r="H74" s="64">
        <v>11.88</v>
      </c>
      <c r="I74" s="64">
        <v>1.31</v>
      </c>
      <c r="J74" s="64">
        <v>0.26</v>
      </c>
      <c r="K74" s="64">
        <v>302.17</v>
      </c>
      <c r="L74" s="64">
        <v>29.18</v>
      </c>
      <c r="M74" s="64">
        <v>76.41</v>
      </c>
      <c r="N74" s="64">
        <v>167.2</v>
      </c>
      <c r="O74" s="64">
        <v>0</v>
      </c>
      <c r="P74" s="64">
        <v>0.34</v>
      </c>
      <c r="Q74" s="64">
        <v>8.9700000000000006</v>
      </c>
      <c r="R74" s="198"/>
      <c r="S74" s="198"/>
      <c r="T74" s="198"/>
      <c r="U74" s="198"/>
    </row>
    <row r="75" spans="1:21" s="12" customFormat="1" x14ac:dyDescent="0.25">
      <c r="A75" s="213" t="s">
        <v>3190</v>
      </c>
      <c r="B75" s="64">
        <v>7.59</v>
      </c>
      <c r="C75" s="64">
        <v>14.87</v>
      </c>
      <c r="D75" s="64">
        <v>13.86</v>
      </c>
      <c r="E75" s="64">
        <v>4.22</v>
      </c>
      <c r="F75" s="64">
        <v>7.16</v>
      </c>
      <c r="G75" s="64">
        <v>51.22</v>
      </c>
      <c r="H75" s="64">
        <v>11.88</v>
      </c>
      <c r="I75" s="64">
        <v>1.3</v>
      </c>
      <c r="J75" s="64">
        <v>0.17</v>
      </c>
      <c r="K75" s="64">
        <v>302.33999999999997</v>
      </c>
      <c r="L75" s="64">
        <v>29.25</v>
      </c>
      <c r="M75" s="64">
        <v>76.02</v>
      </c>
      <c r="N75" s="64">
        <v>159.30000000000001</v>
      </c>
      <c r="O75" s="64">
        <v>0</v>
      </c>
      <c r="P75" s="64">
        <v>0.35</v>
      </c>
      <c r="Q75" s="64">
        <v>8.99</v>
      </c>
      <c r="R75" s="198"/>
      <c r="S75" s="198"/>
      <c r="T75" s="198"/>
      <c r="U75" s="198"/>
    </row>
    <row r="76" spans="1:21" s="12" customFormat="1" x14ac:dyDescent="0.25">
      <c r="A76" s="213" t="s">
        <v>3191</v>
      </c>
      <c r="B76" s="64">
        <v>5.83</v>
      </c>
      <c r="C76" s="64">
        <v>15.64</v>
      </c>
      <c r="D76" s="64">
        <v>12.84</v>
      </c>
      <c r="E76" s="64">
        <v>4.24</v>
      </c>
      <c r="F76" s="64">
        <v>6.75</v>
      </c>
      <c r="G76" s="64">
        <v>51.22</v>
      </c>
      <c r="H76" s="64">
        <v>11.88</v>
      </c>
      <c r="I76" s="64">
        <v>1.26</v>
      </c>
      <c r="J76" s="64">
        <v>0.15</v>
      </c>
      <c r="K76" s="64">
        <v>305.77999999999997</v>
      </c>
      <c r="L76" s="64">
        <v>28.86</v>
      </c>
      <c r="M76" s="64">
        <v>75.03</v>
      </c>
      <c r="N76" s="64">
        <v>151.30000000000001</v>
      </c>
      <c r="O76" s="64">
        <v>0</v>
      </c>
      <c r="P76" s="64">
        <v>0.33</v>
      </c>
      <c r="Q76" s="64">
        <v>9</v>
      </c>
      <c r="R76" s="198"/>
      <c r="S76" s="198"/>
      <c r="T76" s="198"/>
      <c r="U76" s="198"/>
    </row>
    <row r="77" spans="1:21" s="12" customFormat="1" x14ac:dyDescent="0.25">
      <c r="A77" s="213" t="s">
        <v>3192</v>
      </c>
      <c r="B77" s="64">
        <v>7.39</v>
      </c>
      <c r="C77" s="64">
        <v>17.22</v>
      </c>
      <c r="D77" s="64">
        <v>14.92</v>
      </c>
      <c r="E77" s="64">
        <v>4.3</v>
      </c>
      <c r="F77" s="64">
        <v>5.39</v>
      </c>
      <c r="G77" s="64">
        <v>51.23</v>
      </c>
      <c r="H77" s="64">
        <v>11.84</v>
      </c>
      <c r="I77" s="64">
        <v>1.23</v>
      </c>
      <c r="J77" s="64">
        <v>0.21</v>
      </c>
      <c r="K77" s="64">
        <v>320.76</v>
      </c>
      <c r="L77" s="64">
        <v>28.85</v>
      </c>
      <c r="M77" s="64">
        <v>74.959999999999994</v>
      </c>
      <c r="N77" s="64">
        <v>142.19999999999999</v>
      </c>
      <c r="O77" s="64">
        <v>0</v>
      </c>
      <c r="P77" s="64">
        <v>0.32</v>
      </c>
      <c r="Q77" s="64">
        <v>9.01</v>
      </c>
      <c r="R77" s="198"/>
      <c r="S77" s="198"/>
      <c r="T77" s="198"/>
      <c r="U77" s="198"/>
    </row>
    <row r="78" spans="1:21" s="12" customFormat="1" x14ac:dyDescent="0.25">
      <c r="A78" s="213" t="s">
        <v>3193</v>
      </c>
      <c r="B78" s="64">
        <v>5.23</v>
      </c>
      <c r="C78" s="64">
        <v>16.489999999999998</v>
      </c>
      <c r="D78" s="64">
        <v>12.8</v>
      </c>
      <c r="E78" s="64">
        <v>4.21</v>
      </c>
      <c r="F78" s="64">
        <v>5.17</v>
      </c>
      <c r="G78" s="64">
        <v>51.26</v>
      </c>
      <c r="H78" s="64">
        <v>11.68</v>
      </c>
      <c r="I78" s="64">
        <v>1.2</v>
      </c>
      <c r="J78" s="64">
        <v>0.14000000000000001</v>
      </c>
      <c r="K78" s="64">
        <v>328.82</v>
      </c>
      <c r="L78" s="64">
        <v>28.45</v>
      </c>
      <c r="M78" s="64">
        <v>76.78</v>
      </c>
      <c r="N78" s="64">
        <v>134.19999999999999</v>
      </c>
      <c r="O78" s="64">
        <v>0</v>
      </c>
      <c r="P78" s="64">
        <v>0.31</v>
      </c>
      <c r="Q78" s="64">
        <v>9</v>
      </c>
      <c r="R78" s="198"/>
      <c r="S78" s="198"/>
      <c r="T78" s="198"/>
      <c r="U78" s="198"/>
    </row>
    <row r="79" spans="1:21" s="12" customFormat="1" x14ac:dyDescent="0.25">
      <c r="A79" s="213" t="s">
        <v>3194</v>
      </c>
      <c r="B79" s="64">
        <v>4.91</v>
      </c>
      <c r="C79" s="64">
        <v>16.95</v>
      </c>
      <c r="D79" s="64">
        <v>12.79</v>
      </c>
      <c r="E79" s="64">
        <v>4.67</v>
      </c>
      <c r="F79" s="64">
        <v>5.3</v>
      </c>
      <c r="G79" s="64">
        <v>51.26</v>
      </c>
      <c r="H79" s="64">
        <v>11.68</v>
      </c>
      <c r="I79" s="64">
        <v>1.17</v>
      </c>
      <c r="J79" s="64">
        <v>0.16</v>
      </c>
      <c r="K79" s="64">
        <v>334.76</v>
      </c>
      <c r="L79" s="64">
        <v>28.23</v>
      </c>
      <c r="M79" s="64">
        <v>79.23</v>
      </c>
      <c r="N79" s="64">
        <v>126.4</v>
      </c>
      <c r="O79" s="64">
        <v>0</v>
      </c>
      <c r="P79" s="64">
        <v>0.33</v>
      </c>
      <c r="Q79" s="64">
        <v>9</v>
      </c>
      <c r="R79" s="198"/>
      <c r="S79" s="198"/>
      <c r="T79" s="198"/>
      <c r="U79" s="198"/>
    </row>
    <row r="80" spans="1:21" s="12" customFormat="1" x14ac:dyDescent="0.25">
      <c r="A80" s="213" t="s">
        <v>3195</v>
      </c>
      <c r="B80" s="64">
        <v>4.88</v>
      </c>
      <c r="C80" s="64">
        <v>16.91</v>
      </c>
      <c r="D80" s="64">
        <v>12.75</v>
      </c>
      <c r="E80" s="64">
        <v>4.59</v>
      </c>
      <c r="F80" s="64">
        <v>6.06</v>
      </c>
      <c r="G80" s="64">
        <v>51.26</v>
      </c>
      <c r="H80" s="64">
        <v>11.68</v>
      </c>
      <c r="I80" s="64">
        <v>1.1499999999999999</v>
      </c>
      <c r="J80" s="64">
        <v>0.18</v>
      </c>
      <c r="K80" s="64">
        <v>341.43</v>
      </c>
      <c r="L80" s="64">
        <v>27.99</v>
      </c>
      <c r="M80" s="64">
        <v>82.07</v>
      </c>
      <c r="N80" s="64">
        <v>116.5</v>
      </c>
      <c r="O80" s="64">
        <v>0</v>
      </c>
      <c r="P80" s="64">
        <v>0.32</v>
      </c>
      <c r="Q80" s="64">
        <v>9</v>
      </c>
      <c r="R80" s="198"/>
      <c r="S80" s="198"/>
      <c r="T80" s="198"/>
      <c r="U80" s="198"/>
    </row>
    <row r="81" spans="1:26" s="12" customFormat="1" x14ac:dyDescent="0.25">
      <c r="A81" s="213" t="s">
        <v>3196</v>
      </c>
      <c r="B81" s="64">
        <v>4.6900000000000004</v>
      </c>
      <c r="C81" s="64">
        <v>16.5</v>
      </c>
      <c r="D81" s="64">
        <v>12.38</v>
      </c>
      <c r="E81" s="64">
        <v>4.5199999999999996</v>
      </c>
      <c r="F81" s="64">
        <v>4.49</v>
      </c>
      <c r="G81" s="64">
        <v>51.18</v>
      </c>
      <c r="H81" s="64">
        <v>12.67</v>
      </c>
      <c r="I81" s="64">
        <v>1.1299999999999999</v>
      </c>
      <c r="J81" s="64">
        <v>0.15</v>
      </c>
      <c r="K81" s="64">
        <v>324.14999999999998</v>
      </c>
      <c r="L81" s="64">
        <v>27.79</v>
      </c>
      <c r="M81" s="64">
        <v>83.86</v>
      </c>
      <c r="N81" s="64">
        <v>106.6</v>
      </c>
      <c r="O81" s="64">
        <v>0</v>
      </c>
      <c r="P81" s="64">
        <v>0.32</v>
      </c>
      <c r="Q81" s="64">
        <v>9</v>
      </c>
      <c r="R81" s="198"/>
      <c r="S81" s="198"/>
      <c r="T81" s="198"/>
      <c r="U81" s="198"/>
    </row>
    <row r="82" spans="1:26" s="12" customFormat="1" x14ac:dyDescent="0.25">
      <c r="A82" s="213" t="s">
        <v>3197</v>
      </c>
      <c r="B82" s="64">
        <v>5.34</v>
      </c>
      <c r="C82" s="64">
        <v>16.940000000000001</v>
      </c>
      <c r="D82" s="64">
        <v>13.13</v>
      </c>
      <c r="E82" s="64">
        <v>4.4000000000000004</v>
      </c>
      <c r="F82" s="64">
        <v>4.7300000000000004</v>
      </c>
      <c r="G82" s="64">
        <v>50.92</v>
      </c>
      <c r="H82" s="64">
        <v>15.9</v>
      </c>
      <c r="I82" s="64">
        <v>1.1299999999999999</v>
      </c>
      <c r="J82" s="64">
        <v>0.14000000000000001</v>
      </c>
      <c r="K82" s="64">
        <v>342.93</v>
      </c>
      <c r="L82" s="64">
        <v>27.61</v>
      </c>
      <c r="M82" s="64">
        <v>83.42</v>
      </c>
      <c r="N82" s="64">
        <v>96</v>
      </c>
      <c r="O82" s="64">
        <v>0</v>
      </c>
      <c r="P82" s="64">
        <v>0.34</v>
      </c>
      <c r="Q82" s="64">
        <v>8.99</v>
      </c>
      <c r="R82" s="198"/>
      <c r="S82" s="198"/>
      <c r="T82" s="198"/>
      <c r="U82" s="198"/>
    </row>
    <row r="83" spans="1:26" s="12" customFormat="1" x14ac:dyDescent="0.25">
      <c r="A83" s="213" t="s">
        <v>3198</v>
      </c>
      <c r="B83" s="64">
        <v>12.07</v>
      </c>
      <c r="C83" s="64">
        <v>23.16</v>
      </c>
      <c r="D83" s="64">
        <v>21.78</v>
      </c>
      <c r="E83" s="64">
        <v>4.8499999999999996</v>
      </c>
      <c r="F83" s="64">
        <v>9.14</v>
      </c>
      <c r="G83" s="64">
        <v>50.92</v>
      </c>
      <c r="H83" s="64">
        <v>15.9</v>
      </c>
      <c r="I83" s="64">
        <v>1.05</v>
      </c>
      <c r="J83" s="64">
        <v>0.11</v>
      </c>
      <c r="K83" s="64">
        <v>349.72</v>
      </c>
      <c r="L83" s="64">
        <v>27.39</v>
      </c>
      <c r="M83" s="64">
        <v>85.82</v>
      </c>
      <c r="N83" s="64">
        <v>91.2</v>
      </c>
      <c r="O83" s="64">
        <v>0</v>
      </c>
      <c r="P83" s="64">
        <v>0.5</v>
      </c>
      <c r="Q83" s="64">
        <v>8.99</v>
      </c>
      <c r="R83" s="198"/>
      <c r="S83" s="198"/>
      <c r="T83" s="198"/>
      <c r="U83" s="198"/>
    </row>
    <row r="84" spans="1:26" s="12" customFormat="1" x14ac:dyDescent="0.25">
      <c r="A84" s="213" t="s">
        <v>3199</v>
      </c>
      <c r="B84" s="64">
        <v>10.62</v>
      </c>
      <c r="C84" s="64">
        <v>22.19</v>
      </c>
      <c r="D84" s="64">
        <v>20.11</v>
      </c>
      <c r="E84" s="64">
        <v>4.63</v>
      </c>
      <c r="F84" s="64">
        <v>10.39</v>
      </c>
      <c r="G84" s="64">
        <v>50.92</v>
      </c>
      <c r="H84" s="64">
        <v>15.9</v>
      </c>
      <c r="I84" s="64">
        <v>0.99</v>
      </c>
      <c r="J84" s="64">
        <v>0.08</v>
      </c>
      <c r="K84" s="64">
        <v>348.14</v>
      </c>
      <c r="L84" s="64">
        <v>27.16</v>
      </c>
      <c r="M84" s="64">
        <v>88.46</v>
      </c>
      <c r="N84" s="64">
        <v>88.8</v>
      </c>
      <c r="O84" s="64">
        <v>0</v>
      </c>
      <c r="P84" s="64">
        <v>0.51</v>
      </c>
      <c r="Q84" s="64">
        <v>8.99</v>
      </c>
      <c r="R84" s="198"/>
      <c r="S84" s="198"/>
      <c r="T84" s="198"/>
      <c r="U84" s="198"/>
    </row>
    <row r="85" spans="1:26" s="12" customFormat="1" x14ac:dyDescent="0.25">
      <c r="A85" s="213" t="s">
        <v>3200</v>
      </c>
      <c r="B85" s="64">
        <v>7.13</v>
      </c>
      <c r="C85" s="64">
        <v>19.48</v>
      </c>
      <c r="D85" s="64">
        <v>15.89</v>
      </c>
      <c r="E85" s="64">
        <v>4.71</v>
      </c>
      <c r="F85" s="64">
        <v>10.53</v>
      </c>
      <c r="G85" s="64">
        <v>50.9</v>
      </c>
      <c r="H85" s="64">
        <v>16.440000000000001</v>
      </c>
      <c r="I85" s="64">
        <v>1.01</v>
      </c>
      <c r="J85" s="64">
        <v>0.04</v>
      </c>
      <c r="K85" s="64">
        <v>322.94</v>
      </c>
      <c r="L85" s="64">
        <v>26.96</v>
      </c>
      <c r="M85" s="64">
        <v>90.56</v>
      </c>
      <c r="N85" s="64">
        <v>88.4</v>
      </c>
      <c r="O85" s="64">
        <v>0</v>
      </c>
      <c r="P85" s="64">
        <v>0.45</v>
      </c>
      <c r="Q85" s="64">
        <v>8.99</v>
      </c>
      <c r="R85" s="198"/>
      <c r="S85" s="198"/>
      <c r="T85" s="198"/>
      <c r="U85" s="198"/>
    </row>
    <row r="86" spans="1:26" s="12" customFormat="1" x14ac:dyDescent="0.25">
      <c r="A86" s="213" t="s">
        <v>3201</v>
      </c>
      <c r="B86" s="64">
        <v>9.6999999999999993</v>
      </c>
      <c r="C86" s="64">
        <v>22.02</v>
      </c>
      <c r="D86" s="64">
        <v>19.29</v>
      </c>
      <c r="E86" s="64">
        <v>4.78</v>
      </c>
      <c r="F86" s="64">
        <v>8.2100000000000009</v>
      </c>
      <c r="G86" s="64">
        <v>50.82</v>
      </c>
      <c r="H86" s="64">
        <v>18.190000000000001</v>
      </c>
      <c r="I86" s="64">
        <v>1.03</v>
      </c>
      <c r="J86" s="64">
        <v>0.1</v>
      </c>
      <c r="K86" s="64">
        <v>321.69</v>
      </c>
      <c r="L86" s="64">
        <v>26.87</v>
      </c>
      <c r="M86" s="64">
        <v>92.24</v>
      </c>
      <c r="N86" s="64">
        <v>87.8</v>
      </c>
      <c r="O86" s="64">
        <v>0</v>
      </c>
      <c r="P86" s="64">
        <v>0.52</v>
      </c>
      <c r="Q86" s="64">
        <v>9</v>
      </c>
      <c r="R86" s="198"/>
      <c r="S86" s="198"/>
      <c r="T86" s="198"/>
      <c r="U86" s="198"/>
    </row>
    <row r="87" spans="1:26" s="12" customFormat="1" x14ac:dyDescent="0.25">
      <c r="A87" s="213" t="s">
        <v>3202</v>
      </c>
      <c r="B87" s="64">
        <v>8.83</v>
      </c>
      <c r="C87" s="64">
        <v>15.86</v>
      </c>
      <c r="D87" s="64">
        <v>15.36</v>
      </c>
      <c r="E87" s="64">
        <v>4.58</v>
      </c>
      <c r="F87" s="64">
        <v>3.11</v>
      </c>
      <c r="G87" s="64">
        <v>50.82</v>
      </c>
      <c r="H87" s="64">
        <v>18.190000000000001</v>
      </c>
      <c r="I87" s="64">
        <v>1.06</v>
      </c>
      <c r="J87" s="64">
        <v>0.52</v>
      </c>
      <c r="K87" s="64">
        <v>312.05</v>
      </c>
      <c r="L87" s="64">
        <v>26.41</v>
      </c>
      <c r="M87" s="64">
        <v>90.89</v>
      </c>
      <c r="N87" s="64">
        <v>88.9</v>
      </c>
      <c r="O87" s="64">
        <v>0</v>
      </c>
      <c r="P87" s="64">
        <v>0.41</v>
      </c>
      <c r="Q87" s="64">
        <v>9.01</v>
      </c>
      <c r="R87" s="198"/>
      <c r="S87" s="198"/>
      <c r="T87" s="198"/>
      <c r="U87" s="198"/>
    </row>
    <row r="88" spans="1:26" s="12" customFormat="1" x14ac:dyDescent="0.25">
      <c r="A88" s="213" t="s">
        <v>3203</v>
      </c>
      <c r="B88" s="64">
        <v>6.47</v>
      </c>
      <c r="C88" s="64">
        <v>15.47</v>
      </c>
      <c r="D88" s="64">
        <v>13.27</v>
      </c>
      <c r="E88" s="64">
        <v>4.45</v>
      </c>
      <c r="F88" s="64">
        <v>4.16</v>
      </c>
      <c r="G88" s="64">
        <v>50.82</v>
      </c>
      <c r="H88" s="64">
        <v>18.190000000000001</v>
      </c>
      <c r="I88" s="64">
        <v>1.1100000000000001</v>
      </c>
      <c r="J88" s="64">
        <v>0.91</v>
      </c>
      <c r="K88" s="64">
        <v>318.8</v>
      </c>
      <c r="L88" s="64">
        <v>25.42</v>
      </c>
      <c r="M88" s="64">
        <v>94.99</v>
      </c>
      <c r="N88" s="64">
        <v>89.4</v>
      </c>
      <c r="O88" s="64">
        <v>0</v>
      </c>
      <c r="P88" s="64">
        <v>0.43</v>
      </c>
      <c r="Q88" s="64">
        <v>9</v>
      </c>
      <c r="R88" s="198"/>
      <c r="S88" s="198"/>
      <c r="T88" s="198"/>
      <c r="U88" s="198"/>
    </row>
    <row r="89" spans="1:26" s="12" customFormat="1" x14ac:dyDescent="0.25">
      <c r="A89" s="213" t="s">
        <v>3204</v>
      </c>
      <c r="B89" s="64">
        <v>5.8</v>
      </c>
      <c r="C89" s="64">
        <v>15.56</v>
      </c>
      <c r="D89" s="64">
        <v>12.78</v>
      </c>
      <c r="E89" s="64">
        <v>4.5999999999999996</v>
      </c>
      <c r="F89" s="64">
        <v>3.96</v>
      </c>
      <c r="G89" s="64">
        <v>50.44</v>
      </c>
      <c r="H89" s="64">
        <v>16.28</v>
      </c>
      <c r="I89" s="64">
        <v>1.1399999999999999</v>
      </c>
      <c r="J89" s="64">
        <v>0.87</v>
      </c>
      <c r="K89" s="64">
        <v>317.20999999999998</v>
      </c>
      <c r="L89" s="64">
        <v>24.88</v>
      </c>
      <c r="M89" s="64">
        <v>95.19</v>
      </c>
      <c r="N89" s="64">
        <v>87.1</v>
      </c>
      <c r="O89" s="64">
        <v>0</v>
      </c>
      <c r="P89" s="64">
        <v>0.43</v>
      </c>
      <c r="Q89" s="64">
        <v>8.99</v>
      </c>
      <c r="R89" s="198"/>
      <c r="S89" s="198"/>
      <c r="T89" s="198"/>
      <c r="U89" s="198"/>
    </row>
    <row r="90" spans="1:26" s="12" customFormat="1" x14ac:dyDescent="0.25">
      <c r="A90" s="213" t="s">
        <v>3205</v>
      </c>
      <c r="B90" s="64">
        <v>5.87</v>
      </c>
      <c r="C90" s="64">
        <v>15.21</v>
      </c>
      <c r="D90" s="64">
        <v>12.65</v>
      </c>
      <c r="E90" s="64">
        <v>4.3499999999999996</v>
      </c>
      <c r="F90" s="64">
        <v>3.66</v>
      </c>
      <c r="G90" s="64">
        <v>49.16</v>
      </c>
      <c r="H90" s="64">
        <v>9.98</v>
      </c>
      <c r="I90" s="64">
        <v>1.2</v>
      </c>
      <c r="J90" s="64">
        <v>0.65</v>
      </c>
      <c r="K90" s="64">
        <v>317.49</v>
      </c>
      <c r="L90" s="64">
        <v>24.55</v>
      </c>
      <c r="M90" s="64">
        <v>95.83</v>
      </c>
      <c r="N90" s="64">
        <v>85.3</v>
      </c>
      <c r="O90" s="64">
        <v>0</v>
      </c>
      <c r="P90" s="64">
        <v>0.41</v>
      </c>
      <c r="Q90" s="64">
        <v>8.99</v>
      </c>
      <c r="R90" s="198"/>
      <c r="S90" s="198"/>
      <c r="T90" s="198"/>
      <c r="U90" s="198"/>
    </row>
    <row r="91" spans="1:26" s="12" customFormat="1" x14ac:dyDescent="0.25">
      <c r="A91" s="213" t="s">
        <v>3206</v>
      </c>
      <c r="B91" s="64">
        <v>7.04</v>
      </c>
      <c r="C91" s="64">
        <v>15.94</v>
      </c>
      <c r="D91" s="64">
        <v>13.97</v>
      </c>
      <c r="E91" s="64">
        <v>4.55</v>
      </c>
      <c r="F91" s="64">
        <v>3.71</v>
      </c>
      <c r="G91" s="64">
        <v>49.16</v>
      </c>
      <c r="H91" s="64">
        <v>9.98</v>
      </c>
      <c r="I91" s="64">
        <v>1.1599999999999999</v>
      </c>
      <c r="J91" s="64">
        <v>0.54</v>
      </c>
      <c r="K91" s="64">
        <v>320.06</v>
      </c>
      <c r="L91" s="64">
        <v>24.42</v>
      </c>
      <c r="M91" s="64">
        <v>96.67</v>
      </c>
      <c r="N91" s="64">
        <v>84.7</v>
      </c>
      <c r="O91" s="64">
        <v>0</v>
      </c>
      <c r="P91" s="64">
        <v>0.4</v>
      </c>
      <c r="Q91" s="64">
        <v>9</v>
      </c>
      <c r="R91" s="198"/>
      <c r="S91" s="198"/>
      <c r="T91" s="198"/>
      <c r="U91" s="198"/>
    </row>
    <row r="92" spans="1:26" s="12" customFormat="1" x14ac:dyDescent="0.25">
      <c r="A92" s="213" t="s">
        <v>3207</v>
      </c>
      <c r="B92" s="64">
        <v>7.26</v>
      </c>
      <c r="C92" s="64">
        <v>14.7</v>
      </c>
      <c r="D92" s="64">
        <v>13.5</v>
      </c>
      <c r="E92" s="64">
        <v>4.1900000000000004</v>
      </c>
      <c r="F92" s="64">
        <v>4.22</v>
      </c>
      <c r="G92" s="64">
        <v>49.16</v>
      </c>
      <c r="H92" s="64">
        <v>9.98</v>
      </c>
      <c r="I92" s="64">
        <v>1.0900000000000001</v>
      </c>
      <c r="J92" s="64">
        <v>0.26</v>
      </c>
      <c r="K92" s="64">
        <v>317</v>
      </c>
      <c r="L92" s="64">
        <v>24.45</v>
      </c>
      <c r="M92" s="64">
        <v>97.88</v>
      </c>
      <c r="N92" s="64">
        <v>84.5</v>
      </c>
      <c r="O92" s="64">
        <v>0</v>
      </c>
      <c r="P92" s="64">
        <v>0.41</v>
      </c>
      <c r="Q92" s="64">
        <v>9</v>
      </c>
      <c r="R92" s="198"/>
      <c r="S92" s="198"/>
      <c r="T92" s="198"/>
      <c r="U92" s="198"/>
    </row>
    <row r="93" spans="1:26" s="12" customFormat="1" x14ac:dyDescent="0.25">
      <c r="A93" s="213" t="s">
        <v>3208</v>
      </c>
      <c r="B93" s="64">
        <v>7.73</v>
      </c>
      <c r="C93" s="64">
        <v>17.09</v>
      </c>
      <c r="D93" s="64">
        <v>15.13</v>
      </c>
      <c r="E93" s="64">
        <v>4.8099999999999996</v>
      </c>
      <c r="F93" s="64">
        <v>6.34</v>
      </c>
      <c r="G93" s="64">
        <v>47.95</v>
      </c>
      <c r="H93" s="64">
        <v>9.8699999999999992</v>
      </c>
      <c r="I93" s="64">
        <v>1.06</v>
      </c>
      <c r="J93" s="64">
        <v>0.17</v>
      </c>
      <c r="K93" s="64">
        <v>340.41</v>
      </c>
      <c r="L93" s="64">
        <v>24.39</v>
      </c>
      <c r="M93" s="64">
        <v>97.92</v>
      </c>
      <c r="N93" s="64">
        <v>84.2</v>
      </c>
      <c r="O93" s="64">
        <v>0</v>
      </c>
      <c r="P93" s="64">
        <v>0.43</v>
      </c>
      <c r="Q93" s="64">
        <v>9.01</v>
      </c>
      <c r="R93" s="198"/>
      <c r="S93" s="198"/>
      <c r="T93" s="198"/>
      <c r="U93" s="198"/>
    </row>
    <row r="94" spans="1:26" s="12" customFormat="1" x14ac:dyDescent="0.25">
      <c r="A94" s="213" t="s">
        <v>3209</v>
      </c>
      <c r="B94" s="64">
        <v>13.39</v>
      </c>
      <c r="C94" s="64">
        <v>17.97</v>
      </c>
      <c r="D94" s="64">
        <v>19.68</v>
      </c>
      <c r="E94" s="64">
        <v>4.55</v>
      </c>
      <c r="F94" s="64">
        <v>5.17</v>
      </c>
      <c r="G94" s="64">
        <v>43.98</v>
      </c>
      <c r="H94" s="64">
        <v>9.52</v>
      </c>
      <c r="I94" s="64">
        <v>1.04</v>
      </c>
      <c r="J94" s="64">
        <v>0.06</v>
      </c>
      <c r="K94" s="64">
        <v>304.74</v>
      </c>
      <c r="L94" s="64">
        <v>24.23</v>
      </c>
      <c r="M94" s="64">
        <v>97.94</v>
      </c>
      <c r="N94" s="64">
        <v>84.3</v>
      </c>
      <c r="O94" s="64">
        <v>0</v>
      </c>
      <c r="P94" s="64">
        <v>0.63</v>
      </c>
      <c r="Q94" s="64">
        <v>9.0399999999999991</v>
      </c>
      <c r="R94" s="198"/>
      <c r="S94" s="198"/>
      <c r="T94" s="198"/>
      <c r="U94" s="198"/>
    </row>
    <row r="95" spans="1:26" s="12" customFormat="1" x14ac:dyDescent="0.25">
      <c r="A95" s="213" t="s">
        <v>3210</v>
      </c>
      <c r="B95" s="64">
        <v>8.7200000000000006</v>
      </c>
      <c r="C95" s="64">
        <v>20.21</v>
      </c>
      <c r="D95" s="64">
        <v>17.55</v>
      </c>
      <c r="E95" s="64">
        <v>4.84</v>
      </c>
      <c r="F95" s="64">
        <v>6.45</v>
      </c>
      <c r="G95" s="64">
        <v>43.98</v>
      </c>
      <c r="H95" s="64">
        <v>9.52</v>
      </c>
      <c r="I95" s="64">
        <v>1.08</v>
      </c>
      <c r="J95" s="64">
        <v>0.06</v>
      </c>
      <c r="K95" s="64">
        <v>216.59</v>
      </c>
      <c r="L95" s="64">
        <v>24</v>
      </c>
      <c r="M95" s="64">
        <v>97.97</v>
      </c>
      <c r="N95" s="64">
        <v>84.1</v>
      </c>
      <c r="O95" s="64">
        <v>0</v>
      </c>
      <c r="P95" s="64">
        <v>0.79</v>
      </c>
      <c r="Q95" s="64">
        <v>9.08</v>
      </c>
      <c r="R95" s="198"/>
      <c r="S95" s="198"/>
      <c r="T95" s="198"/>
      <c r="U95" s="198"/>
    </row>
    <row r="96" spans="1:26" s="12" customFormat="1" x14ac:dyDescent="0.25">
      <c r="A96" s="213" t="s">
        <v>3211</v>
      </c>
      <c r="B96" s="64">
        <v>8.0399999999999991</v>
      </c>
      <c r="C96" s="64">
        <v>20.97</v>
      </c>
      <c r="D96" s="64">
        <v>17.399999999999999</v>
      </c>
      <c r="E96" s="64">
        <v>4.6900000000000004</v>
      </c>
      <c r="F96" s="64">
        <v>5.29</v>
      </c>
      <c r="G96" s="64">
        <v>43.98</v>
      </c>
      <c r="H96" s="64">
        <v>9.52</v>
      </c>
      <c r="I96" s="64">
        <v>1.17</v>
      </c>
      <c r="J96" s="64">
        <v>0.03</v>
      </c>
      <c r="K96" s="64">
        <v>333.52</v>
      </c>
      <c r="L96" s="64">
        <v>24.07</v>
      </c>
      <c r="M96" s="64">
        <v>97.96</v>
      </c>
      <c r="N96" s="64">
        <v>83.9</v>
      </c>
      <c r="O96" s="64">
        <v>0</v>
      </c>
      <c r="P96" s="64">
        <v>0.72</v>
      </c>
      <c r="Q96" s="64">
        <v>9.1</v>
      </c>
      <c r="R96" s="198"/>
      <c r="S96" s="198"/>
      <c r="T96" s="198"/>
      <c r="U96" s="198"/>
      <c r="Z96" s="109"/>
    </row>
    <row r="97" spans="1:33" s="12" customFormat="1" x14ac:dyDescent="0.25">
      <c r="A97" s="213" t="s">
        <v>3212</v>
      </c>
      <c r="B97" s="64">
        <v>10.43</v>
      </c>
      <c r="C97" s="64">
        <v>23.37</v>
      </c>
      <c r="D97" s="64">
        <v>20.58</v>
      </c>
      <c r="E97" s="64">
        <v>4.76</v>
      </c>
      <c r="F97" s="64">
        <v>6.09</v>
      </c>
      <c r="G97" s="64">
        <v>44.81</v>
      </c>
      <c r="H97" s="64">
        <v>10.88</v>
      </c>
      <c r="I97" s="64">
        <v>1.31</v>
      </c>
      <c r="J97" s="64">
        <v>0.01</v>
      </c>
      <c r="K97" s="64">
        <v>230.35</v>
      </c>
      <c r="L97" s="64">
        <v>24.04</v>
      </c>
      <c r="M97" s="64">
        <v>97.98</v>
      </c>
      <c r="N97" s="64">
        <v>83.7</v>
      </c>
      <c r="O97" s="64">
        <v>0</v>
      </c>
      <c r="P97" s="64">
        <v>0.73</v>
      </c>
      <c r="Q97" s="64">
        <v>9.1300000000000008</v>
      </c>
      <c r="R97" s="198"/>
      <c r="S97" s="198"/>
      <c r="T97" s="198"/>
      <c r="U97" s="198"/>
    </row>
    <row r="98" spans="1:33" s="12" customFormat="1" x14ac:dyDescent="0.25">
      <c r="A98" s="213" t="s">
        <v>3213</v>
      </c>
      <c r="B98" s="64">
        <v>16.91</v>
      </c>
      <c r="C98" s="64">
        <v>22.91</v>
      </c>
      <c r="D98" s="64">
        <v>25.53</v>
      </c>
      <c r="E98" s="64">
        <v>4.96</v>
      </c>
      <c r="F98" s="64">
        <v>5.44</v>
      </c>
      <c r="G98" s="64">
        <v>47.53</v>
      </c>
      <c r="H98" s="64">
        <v>15.35</v>
      </c>
      <c r="I98" s="64">
        <v>1.44</v>
      </c>
      <c r="J98" s="64">
        <v>0.02</v>
      </c>
      <c r="K98" s="64">
        <v>335.64</v>
      </c>
      <c r="L98" s="64">
        <v>24.16</v>
      </c>
      <c r="M98" s="64">
        <v>97.97</v>
      </c>
      <c r="N98" s="64">
        <v>83.6</v>
      </c>
      <c r="O98" s="64">
        <v>0</v>
      </c>
      <c r="P98" s="64">
        <v>0.87</v>
      </c>
      <c r="Q98" s="64">
        <v>9.15</v>
      </c>
      <c r="R98" s="198"/>
      <c r="S98" s="198"/>
      <c r="T98" s="198"/>
      <c r="U98" s="198"/>
    </row>
    <row r="99" spans="1:33" s="12" customFormat="1" x14ac:dyDescent="0.25">
      <c r="A99" s="213" t="s">
        <v>3214</v>
      </c>
      <c r="B99" s="64">
        <v>14.06</v>
      </c>
      <c r="C99" s="64">
        <v>16.57</v>
      </c>
      <c r="D99" s="64">
        <v>19.93</v>
      </c>
      <c r="E99" s="64">
        <v>4.72</v>
      </c>
      <c r="F99" s="64">
        <v>4.41</v>
      </c>
      <c r="G99" s="64">
        <v>47.53</v>
      </c>
      <c r="H99" s="64">
        <v>15.35</v>
      </c>
      <c r="I99" s="64">
        <v>1.53</v>
      </c>
      <c r="J99" s="64">
        <v>7.0000000000000007E-2</v>
      </c>
      <c r="K99" s="64">
        <v>322.73</v>
      </c>
      <c r="L99" s="64">
        <v>24.25</v>
      </c>
      <c r="M99" s="64">
        <v>97.96</v>
      </c>
      <c r="N99" s="64">
        <v>83.1</v>
      </c>
      <c r="O99" s="64">
        <v>0</v>
      </c>
      <c r="P99" s="64">
        <v>0.61</v>
      </c>
      <c r="Q99" s="64">
        <v>9.17</v>
      </c>
      <c r="R99" s="198"/>
      <c r="S99" s="198"/>
      <c r="T99" s="198"/>
      <c r="U99" s="198"/>
    </row>
    <row r="100" spans="1:33" s="12" customFormat="1" x14ac:dyDescent="0.25">
      <c r="A100" s="213" t="s">
        <v>3215</v>
      </c>
      <c r="B100" s="64">
        <v>10.97</v>
      </c>
      <c r="C100" s="64">
        <v>14.02</v>
      </c>
      <c r="D100" s="64">
        <v>16.12</v>
      </c>
      <c r="E100" s="64">
        <v>4.58</v>
      </c>
      <c r="F100" s="64">
        <v>4.42</v>
      </c>
      <c r="G100" s="64">
        <v>47.53</v>
      </c>
      <c r="H100" s="64">
        <v>15.35</v>
      </c>
      <c r="I100" s="64">
        <v>1.72</v>
      </c>
      <c r="J100" s="64">
        <v>0.04</v>
      </c>
      <c r="K100" s="64">
        <v>290.77999999999997</v>
      </c>
      <c r="L100" s="64">
        <v>24.15</v>
      </c>
      <c r="M100" s="64">
        <v>97.98</v>
      </c>
      <c r="N100" s="64">
        <v>83.6</v>
      </c>
      <c r="O100" s="64">
        <v>0</v>
      </c>
      <c r="P100" s="64">
        <v>0.72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3" t="s">
        <v>3216</v>
      </c>
      <c r="B101" s="64">
        <v>9.81</v>
      </c>
      <c r="C101" s="64">
        <v>15.49</v>
      </c>
      <c r="D101" s="64">
        <v>15.96</v>
      </c>
      <c r="E101" s="64">
        <v>4.8099999999999996</v>
      </c>
      <c r="F101" s="64">
        <v>6.17</v>
      </c>
      <c r="G101" s="64">
        <v>47.77</v>
      </c>
      <c r="H101" s="64">
        <v>15.38</v>
      </c>
      <c r="I101" s="64">
        <v>1.84</v>
      </c>
      <c r="J101" s="64">
        <v>0.04</v>
      </c>
      <c r="K101" s="64">
        <v>220.59</v>
      </c>
      <c r="L101" s="64">
        <v>24</v>
      </c>
      <c r="M101" s="64">
        <v>97.98</v>
      </c>
      <c r="N101" s="64">
        <v>83.9</v>
      </c>
      <c r="O101" s="64">
        <v>0</v>
      </c>
      <c r="P101" s="64">
        <v>0.73</v>
      </c>
      <c r="Q101" s="64">
        <v>9.17</v>
      </c>
      <c r="R101" s="198"/>
      <c r="S101" s="198"/>
      <c r="T101" s="198"/>
      <c r="U101" s="198"/>
    </row>
    <row r="102" spans="1:33" s="12" customFormat="1" x14ac:dyDescent="0.25">
      <c r="A102" s="213" t="s">
        <v>3217</v>
      </c>
      <c r="B102" s="64">
        <v>10.029999999999999</v>
      </c>
      <c r="C102" s="64">
        <v>12.85</v>
      </c>
      <c r="D102" s="64">
        <v>14.76</v>
      </c>
      <c r="E102" s="64">
        <v>4.8099999999999996</v>
      </c>
      <c r="F102" s="64">
        <v>6.38</v>
      </c>
      <c r="G102" s="64">
        <v>48.54</v>
      </c>
      <c r="H102" s="64">
        <v>15.45</v>
      </c>
      <c r="I102" s="64">
        <v>1.96</v>
      </c>
      <c r="J102" s="64">
        <v>0.28000000000000003</v>
      </c>
      <c r="K102" s="64">
        <v>150.71</v>
      </c>
      <c r="L102" s="64">
        <v>23.75</v>
      </c>
      <c r="M102" s="64">
        <v>98</v>
      </c>
      <c r="N102" s="64">
        <v>84.2</v>
      </c>
      <c r="O102" s="64">
        <v>0</v>
      </c>
      <c r="P102" s="64">
        <v>0.56000000000000005</v>
      </c>
      <c r="Q102" s="64">
        <v>9.17</v>
      </c>
      <c r="R102" s="198"/>
      <c r="S102" s="198"/>
      <c r="T102" s="198"/>
      <c r="U102" s="198"/>
    </row>
    <row r="103" spans="1:33" s="12" customFormat="1" x14ac:dyDescent="0.25">
      <c r="A103" s="213" t="s">
        <v>3218</v>
      </c>
      <c r="B103" s="64">
        <v>8.82</v>
      </c>
      <c r="C103" s="64">
        <v>11.72</v>
      </c>
      <c r="D103" s="64">
        <v>13.19</v>
      </c>
      <c r="E103" s="64">
        <v>4.63</v>
      </c>
      <c r="F103" s="64">
        <v>8.93</v>
      </c>
      <c r="G103" s="64">
        <v>48.54</v>
      </c>
      <c r="H103" s="64">
        <v>15.45</v>
      </c>
      <c r="I103" s="64">
        <v>2.08</v>
      </c>
      <c r="J103" s="64">
        <v>0.52</v>
      </c>
      <c r="K103" s="64">
        <v>128.32</v>
      </c>
      <c r="L103" s="64">
        <v>23.48</v>
      </c>
      <c r="M103" s="64">
        <v>98.03</v>
      </c>
      <c r="N103" s="64">
        <v>84.1</v>
      </c>
      <c r="O103" s="64">
        <v>0</v>
      </c>
      <c r="P103" s="64">
        <v>0.42</v>
      </c>
      <c r="Q103" s="64">
        <v>9.15</v>
      </c>
      <c r="R103" s="198"/>
      <c r="S103" s="198"/>
      <c r="T103" s="198"/>
      <c r="U103" s="198"/>
    </row>
    <row r="104" spans="1:33" s="12" customFormat="1" x14ac:dyDescent="0.25">
      <c r="A104" s="213" t="s">
        <v>3219</v>
      </c>
      <c r="B104" s="64">
        <v>9.59</v>
      </c>
      <c r="C104" s="64">
        <v>11.04</v>
      </c>
      <c r="D104" s="64">
        <v>13.46</v>
      </c>
      <c r="E104" s="64">
        <v>3.91</v>
      </c>
      <c r="F104" s="64">
        <v>5.18</v>
      </c>
      <c r="G104" s="64">
        <v>48.54</v>
      </c>
      <c r="H104" s="64">
        <v>15.45</v>
      </c>
      <c r="I104" s="64">
        <v>2.09</v>
      </c>
      <c r="J104" s="64">
        <v>0.4</v>
      </c>
      <c r="K104" s="64">
        <v>147.43</v>
      </c>
      <c r="L104" s="64">
        <v>23.41</v>
      </c>
      <c r="M104" s="64">
        <v>98.03</v>
      </c>
      <c r="N104" s="64">
        <v>83.9</v>
      </c>
      <c r="O104" s="64">
        <v>0</v>
      </c>
      <c r="P104" s="64">
        <v>0.54</v>
      </c>
      <c r="Q104" s="64">
        <v>9.15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4.58</v>
      </c>
      <c r="C106" s="67">
        <f>MIN(C9:C104)</f>
        <v>9.75</v>
      </c>
      <c r="D106" s="67">
        <f t="shared" ref="D106:Q106" si="0">MIN(D9:D104)</f>
        <v>10.210000000000001</v>
      </c>
      <c r="E106" s="67">
        <f t="shared" si="0"/>
        <v>3.72</v>
      </c>
      <c r="F106" s="67">
        <f t="shared" si="0"/>
        <v>3.02</v>
      </c>
      <c r="G106" s="67">
        <f t="shared" si="0"/>
        <v>17.59</v>
      </c>
      <c r="H106" s="67">
        <f t="shared" si="0"/>
        <v>1.43</v>
      </c>
      <c r="I106" s="67">
        <f t="shared" si="0"/>
        <v>0.65</v>
      </c>
      <c r="J106" s="67">
        <f t="shared" si="0"/>
        <v>0.01</v>
      </c>
      <c r="K106" s="67">
        <f t="shared" si="0"/>
        <v>128.32</v>
      </c>
      <c r="L106" s="67">
        <f t="shared" si="0"/>
        <v>23.22</v>
      </c>
      <c r="M106" s="67">
        <f t="shared" si="0"/>
        <v>74.87</v>
      </c>
      <c r="N106" s="67">
        <f t="shared" si="0"/>
        <v>55</v>
      </c>
      <c r="O106" s="67">
        <f t="shared" si="0"/>
        <v>0</v>
      </c>
      <c r="P106" s="67">
        <f t="shared" si="0"/>
        <v>0.17</v>
      </c>
      <c r="Q106" s="67">
        <f t="shared" si="0"/>
        <v>8.94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16.91</v>
      </c>
      <c r="C107" s="66">
        <f t="shared" ref="C107:Q107" si="1">MAX(C9:C104)</f>
        <v>23.37</v>
      </c>
      <c r="D107" s="66">
        <f t="shared" si="1"/>
        <v>25.53</v>
      </c>
      <c r="E107" s="66">
        <f t="shared" si="1"/>
        <v>4.96</v>
      </c>
      <c r="F107" s="66">
        <f t="shared" si="1"/>
        <v>10.53</v>
      </c>
      <c r="G107" s="66">
        <f t="shared" si="1"/>
        <v>58.49</v>
      </c>
      <c r="H107" s="66">
        <f t="shared" si="1"/>
        <v>21.94</v>
      </c>
      <c r="I107" s="66">
        <f t="shared" si="1"/>
        <v>2.09</v>
      </c>
      <c r="J107" s="66">
        <f t="shared" si="1"/>
        <v>0.91</v>
      </c>
      <c r="K107" s="66">
        <f t="shared" si="1"/>
        <v>349.72</v>
      </c>
      <c r="L107" s="66">
        <f t="shared" si="1"/>
        <v>29.57</v>
      </c>
      <c r="M107" s="66">
        <f t="shared" si="1"/>
        <v>98.09</v>
      </c>
      <c r="N107" s="66">
        <f t="shared" si="1"/>
        <v>880.6</v>
      </c>
      <c r="O107" s="66">
        <f t="shared" si="1"/>
        <v>0.2</v>
      </c>
      <c r="P107" s="66">
        <f t="shared" si="1"/>
        <v>0.87</v>
      </c>
      <c r="Q107" s="66">
        <f t="shared" si="1"/>
        <v>9.18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7.4772916666666651</v>
      </c>
      <c r="C108" s="67">
        <f t="shared" ref="C108:Q108" si="2">AVERAGE(C9:C104)</f>
        <v>14.758020833333331</v>
      </c>
      <c r="D108" s="67">
        <f t="shared" si="2"/>
        <v>13.701666666666666</v>
      </c>
      <c r="E108" s="67">
        <f t="shared" si="2"/>
        <v>4.4705208333333326</v>
      </c>
      <c r="F108" s="67">
        <f t="shared" si="2"/>
        <v>4.9627083333333344</v>
      </c>
      <c r="G108" s="67">
        <f t="shared" si="2"/>
        <v>36.029687500000009</v>
      </c>
      <c r="H108" s="67">
        <f t="shared" si="2"/>
        <v>10.613958333333331</v>
      </c>
      <c r="I108" s="67">
        <f t="shared" si="2"/>
        <v>1.0563541666666669</v>
      </c>
      <c r="J108" s="67">
        <f t="shared" si="2"/>
        <v>0.18437500000000007</v>
      </c>
      <c r="K108" s="67">
        <f t="shared" si="2"/>
        <v>289.9705208333333</v>
      </c>
      <c r="L108" s="67">
        <f t="shared" si="2"/>
        <v>25.993437499999999</v>
      </c>
      <c r="M108" s="67">
        <f t="shared" si="2"/>
        <v>90.756249999999966</v>
      </c>
      <c r="N108" s="67">
        <f t="shared" si="2"/>
        <v>214.61354166666672</v>
      </c>
      <c r="O108" s="67">
        <f t="shared" si="2"/>
        <v>2.0833333333333333E-3</v>
      </c>
      <c r="P108" s="67">
        <f t="shared" si="2"/>
        <v>0.36218749999999994</v>
      </c>
      <c r="Q108" s="67">
        <f t="shared" si="2"/>
        <v>9.0197916666666664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2.1278526260635768</v>
      </c>
      <c r="C109" s="67">
        <f t="shared" ref="C109:Q109" si="3">STDEV(C9:C104)</f>
        <v>3.8929552080897443</v>
      </c>
      <c r="D109" s="67">
        <f t="shared" si="3"/>
        <v>2.7222481679155184</v>
      </c>
      <c r="E109" s="67">
        <f t="shared" si="3"/>
        <v>0.22012613509276255</v>
      </c>
      <c r="F109" s="67">
        <f t="shared" si="3"/>
        <v>1.542119852784106</v>
      </c>
      <c r="G109" s="67">
        <f t="shared" si="3"/>
        <v>14.014837885396537</v>
      </c>
      <c r="H109" s="67">
        <f t="shared" si="3"/>
        <v>6.4502429948787539</v>
      </c>
      <c r="I109" s="67">
        <f t="shared" si="3"/>
        <v>0.32873319782291011</v>
      </c>
      <c r="J109" s="67">
        <f t="shared" si="3"/>
        <v>0.15681576518490187</v>
      </c>
      <c r="K109" s="67">
        <f t="shared" si="3"/>
        <v>37.697227382892123</v>
      </c>
      <c r="L109" s="67">
        <f t="shared" si="3"/>
        <v>2.4337780152741084</v>
      </c>
      <c r="M109" s="67">
        <f t="shared" si="3"/>
        <v>8.5678196268300777</v>
      </c>
      <c r="N109" s="67">
        <f t="shared" si="3"/>
        <v>212.26650905718651</v>
      </c>
      <c r="O109" s="67">
        <f t="shared" si="3"/>
        <v>2.0412414523193152E-2</v>
      </c>
      <c r="P109" s="67">
        <f t="shared" si="3"/>
        <v>0.1360975124487471</v>
      </c>
      <c r="Q109" s="67">
        <f t="shared" si="3"/>
        <v>5.3919612029423102E-2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4" t="s">
        <v>215</v>
      </c>
      <c r="C115" s="214"/>
      <c r="D115" s="214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B51" sqref="B51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01/07/2025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01/07/2025 00:15</v>
      </c>
      <c r="B9" s="61">
        <f>'01'!B108</f>
        <v>8.1242708333333322</v>
      </c>
      <c r="C9" s="61">
        <f>'01'!C108</f>
        <v>14.534374999999999</v>
      </c>
      <c r="D9" s="61">
        <f>'01'!D108</f>
        <v>14.10489583333333</v>
      </c>
      <c r="E9" s="61">
        <f>'01'!E108</f>
        <v>4.8896874999999982</v>
      </c>
      <c r="F9" s="61">
        <f>'01'!F108</f>
        <v>3.7340624999999998</v>
      </c>
      <c r="G9" s="99">
        <f>'01'!$G$108</f>
        <v>30.315729166666667</v>
      </c>
      <c r="H9" s="61">
        <f>'01'!H108</f>
        <v>5.1755208333333327</v>
      </c>
      <c r="I9" s="61">
        <f>'01'!I108</f>
        <v>1.1264583333333331</v>
      </c>
      <c r="J9" s="61">
        <f>'01'!J108</f>
        <v>0.3035416666666666</v>
      </c>
      <c r="K9" s="61">
        <f>'01'!K108</f>
        <v>305.69010416666657</v>
      </c>
      <c r="L9" s="61">
        <f>'01'!L108</f>
        <v>24.798854166666661</v>
      </c>
      <c r="M9" s="61">
        <f>'01'!M108</f>
        <v>94.903124999999946</v>
      </c>
      <c r="N9" s="61">
        <f>'01'!N108</f>
        <v>141.58229166666672</v>
      </c>
      <c r="O9" s="61">
        <f>'01'!O108</f>
        <v>4.1666666666666664E-2</v>
      </c>
      <c r="P9" s="202">
        <f>'01'!P108</f>
        <v>0.3372916666666666</v>
      </c>
      <c r="Q9" s="61">
        <f>'01'!Q108</f>
        <v>9.1207291666666652</v>
      </c>
      <c r="R9" s="118"/>
      <c r="S9" s="118"/>
      <c r="T9" s="118"/>
      <c r="U9" s="118"/>
    </row>
    <row r="10" spans="1:21" x14ac:dyDescent="0.25">
      <c r="A10" s="94" t="str">
        <f>'02'!$B$2</f>
        <v>02/07/2025 00:15</v>
      </c>
      <c r="B10" s="61">
        <f>'02'!B108</f>
        <v>11.325729166666667</v>
      </c>
      <c r="C10" s="61">
        <f>'02'!C108</f>
        <v>14.377500000000005</v>
      </c>
      <c r="D10" s="61">
        <f>'02'!D108</f>
        <v>16.593437499999997</v>
      </c>
      <c r="E10" s="61">
        <f>'02'!E108</f>
        <v>5.0067708333333325</v>
      </c>
      <c r="F10" s="61">
        <f>'02'!F108</f>
        <v>4.4035416666666665</v>
      </c>
      <c r="G10" s="61">
        <f>'02'!G108</f>
        <v>32.186874999999993</v>
      </c>
      <c r="H10" s="61">
        <f>'02'!H108</f>
        <v>12.7575</v>
      </c>
      <c r="I10" s="61">
        <f>'02'!I108</f>
        <v>2.6221874999999994</v>
      </c>
      <c r="J10" s="61">
        <f>'02'!J108</f>
        <v>0.19614583333333332</v>
      </c>
      <c r="K10" s="61">
        <f>'02'!K108</f>
        <v>291.15895833333326</v>
      </c>
      <c r="L10" s="61">
        <f>'02'!L108</f>
        <v>24.123229166666675</v>
      </c>
      <c r="M10" s="61">
        <f>'02'!M108</f>
        <v>97.901875000000004</v>
      </c>
      <c r="N10" s="61">
        <f>'02'!N108</f>
        <v>110.99479166666661</v>
      </c>
      <c r="O10" s="61">
        <f>'02'!O108</f>
        <v>2.0833333333333339E-2</v>
      </c>
      <c r="P10" s="202">
        <f>'02'!P108</f>
        <v>0.39104166666666673</v>
      </c>
      <c r="Q10" s="61">
        <f>'02'!Q108</f>
        <v>9.241979166666674</v>
      </c>
      <c r="R10" s="118"/>
      <c r="S10" s="118"/>
      <c r="T10" s="118"/>
      <c r="U10" s="118"/>
    </row>
    <row r="11" spans="1:21" x14ac:dyDescent="0.25">
      <c r="A11" s="94" t="str">
        <f>'03'!$B$2</f>
        <v>03/07/2025 00:15</v>
      </c>
      <c r="B11" s="61">
        <f>'03'!B108</f>
        <v>9.5237500000000033</v>
      </c>
      <c r="C11" s="61">
        <f>'03'!C108</f>
        <v>12.962500000000004</v>
      </c>
      <c r="D11" s="61">
        <f>'03'!D108</f>
        <v>14.409791666666665</v>
      </c>
      <c r="E11" s="61">
        <f>'03'!E108</f>
        <v>4.3977083333333349</v>
      </c>
      <c r="F11" s="61">
        <f>'03'!F108</f>
        <v>4.3516666666666675</v>
      </c>
      <c r="G11" s="61">
        <f>'03'!G108</f>
        <v>25.304062500000004</v>
      </c>
      <c r="H11" s="61">
        <f>'03'!H108</f>
        <v>7.4849999999999968</v>
      </c>
      <c r="I11" s="61">
        <f>'03'!I108</f>
        <v>0.94062500000000016</v>
      </c>
      <c r="J11" s="61">
        <f>'03'!J108</f>
        <v>0.14739583333333331</v>
      </c>
      <c r="K11" s="61">
        <f>'03'!K108</f>
        <v>269.18375000000009</v>
      </c>
      <c r="L11" s="61">
        <f>'03'!L108</f>
        <v>23.769375000000007</v>
      </c>
      <c r="M11" s="61">
        <f>'03'!M108</f>
        <v>97.736250000000041</v>
      </c>
      <c r="N11" s="61">
        <f>'03'!N108</f>
        <v>108.60416666666673</v>
      </c>
      <c r="O11" s="61">
        <f>'03'!O108</f>
        <v>1.8749999999999999E-2</v>
      </c>
      <c r="P11" s="202">
        <f>'03'!P108</f>
        <v>0.28916666666666668</v>
      </c>
      <c r="Q11" s="61">
        <f>'03'!Q108</f>
        <v>9.1355208333333309</v>
      </c>
      <c r="R11" s="118"/>
      <c r="S11" s="118"/>
      <c r="T11" s="118"/>
      <c r="U11" s="118"/>
    </row>
    <row r="12" spans="1:21" x14ac:dyDescent="0.25">
      <c r="A12" s="94" t="str">
        <f>'04'!$B$2</f>
        <v>04/07/2025 00:15</v>
      </c>
      <c r="B12" s="61">
        <f>'04'!B108</f>
        <v>9.4445833333333322</v>
      </c>
      <c r="C12" s="61">
        <f>'04'!C108</f>
        <v>14.42166666666666</v>
      </c>
      <c r="D12" s="61">
        <f>'04'!D108</f>
        <v>15.108437500000006</v>
      </c>
      <c r="E12" s="61">
        <f>'04'!E108</f>
        <v>4.4291666666666654</v>
      </c>
      <c r="F12" s="61">
        <f>'04'!F108</f>
        <v>4.3842708333333329</v>
      </c>
      <c r="G12" s="61">
        <f>'04'!G108</f>
        <v>40.35385416666665</v>
      </c>
      <c r="H12" s="61">
        <f>'04'!H108</f>
        <v>10.349062499999997</v>
      </c>
      <c r="I12" s="61">
        <f>'04'!I108</f>
        <v>1.2249999999999999</v>
      </c>
      <c r="J12" s="61">
        <f>'04'!J108</f>
        <v>0.21010416666666662</v>
      </c>
      <c r="K12" s="61">
        <f>'04'!K108</f>
        <v>295.10656249999994</v>
      </c>
      <c r="L12" s="61">
        <f>'04'!L108</f>
        <v>24.512916666666666</v>
      </c>
      <c r="M12" s="61">
        <f>'04'!M108</f>
        <v>95.913541666666674</v>
      </c>
      <c r="N12" s="61">
        <f>'04'!N108</f>
        <v>122.10312499999998</v>
      </c>
      <c r="O12" s="61">
        <f>'04'!O108</f>
        <v>1.2499999999999999E-2</v>
      </c>
      <c r="P12" s="202">
        <f>'04'!P108</f>
        <v>0.35593749999999985</v>
      </c>
      <c r="Q12" s="61">
        <f>'04'!Q108</f>
        <v>9.1590624999999921</v>
      </c>
      <c r="R12" s="118"/>
      <c r="S12" s="118"/>
      <c r="T12" s="118"/>
      <c r="U12" s="118"/>
    </row>
    <row r="13" spans="1:21" x14ac:dyDescent="0.25">
      <c r="A13" s="94" t="str">
        <f>'05'!$B$2</f>
        <v>05/07/2025 00:15</v>
      </c>
      <c r="B13" s="61">
        <f>'05'!B108</f>
        <v>10.890625</v>
      </c>
      <c r="C13" s="61">
        <f>'05'!C108</f>
        <v>13.636041666666666</v>
      </c>
      <c r="D13" s="61">
        <f>'05'!D108</f>
        <v>15.850520833333333</v>
      </c>
      <c r="E13" s="61">
        <f>'05'!E108</f>
        <v>4.8501041666666653</v>
      </c>
      <c r="F13" s="61">
        <f>'05'!F108</f>
        <v>4.1480208333333328</v>
      </c>
      <c r="G13" s="61">
        <f>'05'!G108</f>
        <v>37.999791666666653</v>
      </c>
      <c r="H13" s="61">
        <f>'05'!H108</f>
        <v>6.7048958333333362</v>
      </c>
      <c r="I13" s="61">
        <f>'05'!I108</f>
        <v>1.2365624999999998</v>
      </c>
      <c r="J13" s="61">
        <f>'05'!J108</f>
        <v>0.21927083333333319</v>
      </c>
      <c r="K13" s="61">
        <f>'05'!K108</f>
        <v>301.14812499999982</v>
      </c>
      <c r="L13" s="61">
        <f>'05'!L108</f>
        <v>24.341979166666672</v>
      </c>
      <c r="M13" s="61">
        <f>'05'!M108</f>
        <v>96.466458333333321</v>
      </c>
      <c r="N13" s="61">
        <f>'05'!N108</f>
        <v>134.75729166666662</v>
      </c>
      <c r="O13" s="61">
        <f>'05'!O108</f>
        <v>4.3750000000000011E-2</v>
      </c>
      <c r="P13" s="202">
        <f>'05'!P108</f>
        <v>0.37333333333333335</v>
      </c>
      <c r="Q13" s="61">
        <f>'05'!Q108</f>
        <v>9.1878125000000015</v>
      </c>
      <c r="R13" s="118"/>
      <c r="S13" s="118"/>
      <c r="T13" s="118"/>
      <c r="U13" s="118"/>
    </row>
    <row r="14" spans="1:21" x14ac:dyDescent="0.25">
      <c r="A14" s="94" t="str">
        <f>'06'!$B$2</f>
        <v>06/07/2025 00:15</v>
      </c>
      <c r="B14" s="61">
        <f>'06'!B108</f>
        <v>8.3591666666666722</v>
      </c>
      <c r="C14" s="61">
        <f>'06'!C108</f>
        <v>13.575416666666667</v>
      </c>
      <c r="D14" s="61">
        <f>'06'!D108</f>
        <v>13.795624999999994</v>
      </c>
      <c r="E14" s="61">
        <f>'06'!E108</f>
        <v>4.3745833333333337</v>
      </c>
      <c r="F14" s="61">
        <f>'06'!F108</f>
        <v>3.5544791666666664</v>
      </c>
      <c r="G14" s="61">
        <f>'06'!G108</f>
        <v>14.460937499999998</v>
      </c>
      <c r="H14" s="61">
        <f>'06'!H108</f>
        <v>4.6047916666666628</v>
      </c>
      <c r="I14" s="61">
        <f>'06'!I108</f>
        <v>1.8413541666666662</v>
      </c>
      <c r="J14" s="61">
        <f>'06'!J108</f>
        <v>0.2301041666666668</v>
      </c>
      <c r="K14" s="61">
        <f>'06'!K108</f>
        <v>300.71416666666681</v>
      </c>
      <c r="L14" s="61">
        <f>'06'!L108</f>
        <v>23.100312500000012</v>
      </c>
      <c r="M14" s="61">
        <f>'06'!M108</f>
        <v>98.095729166666615</v>
      </c>
      <c r="N14" s="61">
        <f>'06'!N108</f>
        <v>110.78541666666671</v>
      </c>
      <c r="O14" s="61">
        <f>'06'!O108</f>
        <v>0.2541666666666666</v>
      </c>
      <c r="P14" s="202">
        <f>'06'!P108</f>
        <v>0.45520833333333344</v>
      </c>
      <c r="Q14" s="61">
        <f>'06'!Q108</f>
        <v>9.1325000000000021</v>
      </c>
      <c r="R14" s="118"/>
      <c r="S14" s="118"/>
      <c r="T14" s="118"/>
      <c r="U14" s="118"/>
    </row>
    <row r="15" spans="1:21" x14ac:dyDescent="0.25">
      <c r="A15" s="94" t="str">
        <f>'07'!$B$2</f>
        <v>07/07/2025 00:15</v>
      </c>
      <c r="B15" s="61">
        <f>'07'!B108</f>
        <v>8.1877083333333314</v>
      </c>
      <c r="C15" s="61">
        <f>'07'!C108</f>
        <v>14.503854166666663</v>
      </c>
      <c r="D15" s="61">
        <f>'07'!D108</f>
        <v>14.144374999999995</v>
      </c>
      <c r="E15" s="61">
        <f>'07'!E108</f>
        <v>4.6895833333333341</v>
      </c>
      <c r="F15" s="61">
        <f>'07'!F108</f>
        <v>3.6006249999999995</v>
      </c>
      <c r="G15" s="100">
        <f>'07'!$G$108</f>
        <v>6.5744791666666655</v>
      </c>
      <c r="H15" s="61">
        <f>'07'!H108</f>
        <v>2.0171875000000017</v>
      </c>
      <c r="I15" s="61">
        <f>'07'!I108</f>
        <v>1.5367708333333336</v>
      </c>
      <c r="J15" s="61">
        <f>'07'!J108</f>
        <v>0.25343750000000009</v>
      </c>
      <c r="K15" s="61">
        <f>'07'!K108</f>
        <v>299.88947916666672</v>
      </c>
      <c r="L15" s="61">
        <f>'07'!L108</f>
        <v>22.383854166666655</v>
      </c>
      <c r="M15" s="61">
        <f>'07'!M108</f>
        <v>98.435520833333342</v>
      </c>
      <c r="N15" s="61">
        <f>'07'!N108</f>
        <v>86.328125</v>
      </c>
      <c r="O15" s="61">
        <f>'07'!O108</f>
        <v>0.61458333333333359</v>
      </c>
      <c r="P15" s="202">
        <f>'07'!P108</f>
        <v>0.37729166666666664</v>
      </c>
      <c r="Q15" s="61">
        <f>'07'!Q108</f>
        <v>9.1312499999999996</v>
      </c>
      <c r="R15" s="118"/>
      <c r="S15" s="118"/>
      <c r="T15" s="118"/>
      <c r="U15" s="118"/>
    </row>
    <row r="16" spans="1:21" x14ac:dyDescent="0.25">
      <c r="A16" s="94" t="str">
        <f>'08'!$B$2</f>
        <v>08/07/2025 00:15</v>
      </c>
      <c r="B16" s="61">
        <f>'08'!B108</f>
        <v>5.5655208333333333</v>
      </c>
      <c r="C16" s="61">
        <f>'08'!C108</f>
        <v>13.2165625</v>
      </c>
      <c r="D16" s="61">
        <f>'08'!D108</f>
        <v>11.368958333333332</v>
      </c>
      <c r="E16" s="61">
        <f>'08'!E108</f>
        <v>4.2513541666666663</v>
      </c>
      <c r="F16" s="61">
        <f>'08'!F108</f>
        <v>3.6782291666666662</v>
      </c>
      <c r="G16" s="100">
        <f>'08'!$G$108</f>
        <v>10.198064516129033</v>
      </c>
      <c r="H16" s="61">
        <f>'08'!H108</f>
        <v>4.1487096774193537</v>
      </c>
      <c r="I16" s="61">
        <f>'08'!I108</f>
        <v>0.69614583333333335</v>
      </c>
      <c r="J16" s="61">
        <f>'08'!J108</f>
        <v>0.21000000000000008</v>
      </c>
      <c r="K16" s="61">
        <f>'08'!K108</f>
        <v>304.19197916666667</v>
      </c>
      <c r="L16" s="61">
        <f>'08'!L108</f>
        <v>21.698437499999997</v>
      </c>
      <c r="M16" s="61">
        <f>'08'!M108</f>
        <v>98.990937500000044</v>
      </c>
      <c r="N16" s="61">
        <f>'08'!N108</f>
        <v>102.19375000000001</v>
      </c>
      <c r="O16" s="61">
        <f>'08'!O108</f>
        <v>0.38541666666666674</v>
      </c>
      <c r="P16" s="202">
        <f>'08'!P108</f>
        <v>0.2476041666666666</v>
      </c>
      <c r="Q16" s="61">
        <f>'08'!Q108</f>
        <v>9.0143749999999958</v>
      </c>
      <c r="R16" s="118"/>
      <c r="S16" s="118"/>
      <c r="T16" s="118"/>
      <c r="U16" s="118"/>
    </row>
    <row r="17" spans="1:21" x14ac:dyDescent="0.25">
      <c r="A17" s="94" t="str">
        <f>'09'!$B$2</f>
        <v>09/07/2025 00:15</v>
      </c>
      <c r="B17" s="61">
        <f>'09'!B108</f>
        <v>5.2966666666666651</v>
      </c>
      <c r="C17" s="61">
        <f>'09'!C108</f>
        <v>12.781874999999999</v>
      </c>
      <c r="D17" s="61">
        <f>'09'!D108</f>
        <v>10.925104166666669</v>
      </c>
      <c r="E17" s="61">
        <f>'09'!E108</f>
        <v>4.8</v>
      </c>
      <c r="F17" s="61">
        <f>'09'!F108</f>
        <v>3.6889583333333342</v>
      </c>
      <c r="G17" s="100">
        <f>'09'!$G$108</f>
        <v>8.9567708333333353</v>
      </c>
      <c r="H17" s="61">
        <f>'09'!H108</f>
        <v>2.3645833333333317</v>
      </c>
      <c r="I17" s="61">
        <f>'09'!I108</f>
        <v>0.67802083333333318</v>
      </c>
      <c r="J17" s="61">
        <f>'09'!J108</f>
        <v>0.2080208333333334</v>
      </c>
      <c r="K17" s="61">
        <f>'09'!K108</f>
        <v>293.43906249999992</v>
      </c>
      <c r="L17" s="61">
        <f>'09'!L108</f>
        <v>22.106666666666658</v>
      </c>
      <c r="M17" s="61">
        <f>'09'!M108</f>
        <v>98.759062500000027</v>
      </c>
      <c r="N17" s="61">
        <f>'09'!N108</f>
        <v>115.68645833333331</v>
      </c>
      <c r="O17" s="61">
        <f>'09'!O108</f>
        <v>0.27083333333333331</v>
      </c>
      <c r="P17" s="202">
        <f>'09'!P108</f>
        <v>0.25708333333333322</v>
      </c>
      <c r="Q17" s="61">
        <f>'09'!Q108</f>
        <v>8.9929166666666642</v>
      </c>
      <c r="R17" s="118"/>
      <c r="S17" s="118"/>
      <c r="T17" s="118"/>
      <c r="U17" s="118"/>
    </row>
    <row r="18" spans="1:21" x14ac:dyDescent="0.25">
      <c r="A18" s="94" t="str">
        <f>'10'!$B$2</f>
        <v>10/07/2025 00:15</v>
      </c>
      <c r="B18" s="61">
        <f>'10'!B108</f>
        <v>10.353750000000002</v>
      </c>
      <c r="C18" s="61">
        <f>'10'!C108</f>
        <v>15.806875000000003</v>
      </c>
      <c r="D18" s="61">
        <f>'10'!D108</f>
        <v>16.553958333333338</v>
      </c>
      <c r="E18" s="61">
        <f>'10'!E108</f>
        <v>4.3549999999999995</v>
      </c>
      <c r="F18" s="61">
        <f>'10'!F108</f>
        <v>4.6057291666666647</v>
      </c>
      <c r="G18" s="101">
        <f>'10'!$G$108</f>
        <v>27.501770833333321</v>
      </c>
      <c r="H18" s="61">
        <f>'10'!H108</f>
        <v>8.2562499999999996</v>
      </c>
      <c r="I18" s="61">
        <f>'10'!I108</f>
        <v>1.2528124999999999</v>
      </c>
      <c r="J18" s="61">
        <f>'10'!J108</f>
        <v>0.21989583333333332</v>
      </c>
      <c r="K18" s="61">
        <f>'10'!K108</f>
        <v>277.91593750000015</v>
      </c>
      <c r="L18" s="61">
        <f>'10'!L108</f>
        <v>23.632187500000015</v>
      </c>
      <c r="M18" s="61">
        <f>'10'!M108</f>
        <v>98.669479166666633</v>
      </c>
      <c r="N18" s="61">
        <f>'10'!N108</f>
        <v>114.24062499999997</v>
      </c>
      <c r="O18" s="61">
        <f>'10'!O108</f>
        <v>8.3333333333333329E-2</v>
      </c>
      <c r="P18" s="202">
        <f>'10'!P108</f>
        <v>0.42062499999999997</v>
      </c>
      <c r="Q18" s="61">
        <f>'10'!Q108</f>
        <v>9.1447916666666664</v>
      </c>
      <c r="R18" s="118"/>
      <c r="S18" s="118"/>
      <c r="T18" s="118"/>
      <c r="U18" s="118"/>
    </row>
    <row r="19" spans="1:21" x14ac:dyDescent="0.25">
      <c r="A19" s="94" t="str">
        <f>'11'!$B$2</f>
        <v>11/07/2025 00:15</v>
      </c>
      <c r="B19" s="61">
        <f>'11'!B108</f>
        <v>8.8429166666666639</v>
      </c>
      <c r="C19" s="61">
        <f>'11'!C108</f>
        <v>15.574895833333334</v>
      </c>
      <c r="D19" s="61">
        <f>'11'!D108</f>
        <v>15.228124999999999</v>
      </c>
      <c r="E19" s="61">
        <f>'11'!E108</f>
        <v>4.4283333333333328</v>
      </c>
      <c r="F19" s="61">
        <f>'11'!F108</f>
        <v>4.5994791666666659</v>
      </c>
      <c r="G19" s="99">
        <f>'11'!$G$108</f>
        <v>49.617083333333319</v>
      </c>
      <c r="H19" s="61">
        <f>'11'!H108</f>
        <v>12.441770833333337</v>
      </c>
      <c r="I19" s="61">
        <f>'11'!I108</f>
        <v>1.5880208333333339</v>
      </c>
      <c r="J19" s="61">
        <f>'11'!J108</f>
        <v>0.26708333333333317</v>
      </c>
      <c r="K19" s="61">
        <f>'11'!K108</f>
        <v>305.13875000000007</v>
      </c>
      <c r="L19" s="61">
        <f>'11'!L108</f>
        <v>26.081041666666664</v>
      </c>
      <c r="M19" s="61">
        <f>'11'!M108</f>
        <v>93.977916666666658</v>
      </c>
      <c r="N19" s="61">
        <f>'11'!N108</f>
        <v>163.0104166666666</v>
      </c>
      <c r="O19" s="61">
        <f>'11'!O108</f>
        <v>0</v>
      </c>
      <c r="P19" s="202">
        <f>'11'!P108</f>
        <v>0.4322916666666668</v>
      </c>
      <c r="Q19" s="61">
        <f>'11'!Q108</f>
        <v>9.1447916666666718</v>
      </c>
      <c r="R19" s="118"/>
      <c r="S19" s="118"/>
      <c r="T19" s="118"/>
      <c r="U19" s="118"/>
    </row>
    <row r="20" spans="1:21" x14ac:dyDescent="0.25">
      <c r="A20" s="94" t="str">
        <f>'12'!$B$2</f>
        <v>12/07/2025 00:15</v>
      </c>
      <c r="B20" s="61">
        <f>'12'!B108</f>
        <v>6.8872916666666653</v>
      </c>
      <c r="C20" s="61">
        <f>'12'!C108</f>
        <v>17.296041666666664</v>
      </c>
      <c r="D20" s="61">
        <f>'12'!D108</f>
        <v>14.559895833333334</v>
      </c>
      <c r="E20" s="61">
        <f>'12'!E108</f>
        <v>4.7927083333333327</v>
      </c>
      <c r="F20" s="61">
        <f>'12'!F108</f>
        <v>6.7396874999999987</v>
      </c>
      <c r="G20" s="101">
        <f>'12'!$G$108</f>
        <v>50.831874999999968</v>
      </c>
      <c r="H20" s="61">
        <f>'12'!H108</f>
        <v>15.244270833333331</v>
      </c>
      <c r="I20" s="61">
        <f>'12'!I108</f>
        <v>1.5295833333333337</v>
      </c>
      <c r="J20" s="61">
        <f>'12'!J108</f>
        <v>0.17885416666666668</v>
      </c>
      <c r="K20" s="61">
        <f>'12'!K108</f>
        <v>279.1502083333333</v>
      </c>
      <c r="L20" s="61">
        <f>'12'!L108</f>
        <v>27.215624999999999</v>
      </c>
      <c r="M20" s="61">
        <f>'12'!M108</f>
        <v>90.686458333333348</v>
      </c>
      <c r="N20" s="61">
        <f>'12'!N108</f>
        <v>204.05520833333333</v>
      </c>
      <c r="O20" s="61">
        <f>'12'!O108</f>
        <v>0</v>
      </c>
      <c r="P20" s="202">
        <f>'12'!P108</f>
        <v>0.44031250000000011</v>
      </c>
      <c r="Q20" s="61">
        <f>'12'!Q108</f>
        <v>9.0827083333333363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13/07/2025 00:15</v>
      </c>
      <c r="B21" s="91">
        <f>'13'!B108</f>
        <v>7.6770833333333357</v>
      </c>
      <c r="C21" s="91">
        <f>'13'!C108</f>
        <v>16.218437500000004</v>
      </c>
      <c r="D21" s="91">
        <f>'13'!D108</f>
        <v>14.629479166666671</v>
      </c>
      <c r="E21" s="91">
        <f>'13'!E108</f>
        <v>4.0912499999999996</v>
      </c>
      <c r="F21" s="91">
        <f>'13'!F108</f>
        <v>7.1280208333333341</v>
      </c>
      <c r="G21" s="100">
        <f>'13'!$G$108</f>
        <v>56.172500000000007</v>
      </c>
      <c r="H21" s="91">
        <f>'13'!H108</f>
        <v>14.903541666666669</v>
      </c>
      <c r="I21" s="91">
        <f>'13'!I108</f>
        <v>1.3440624999999999</v>
      </c>
      <c r="J21" s="91">
        <f>'13'!J108</f>
        <v>0.18072916666666669</v>
      </c>
      <c r="K21" s="91">
        <f>'13'!K108</f>
        <v>292.60093749999993</v>
      </c>
      <c r="L21" s="91">
        <f>'13'!L108</f>
        <v>27.954479166666669</v>
      </c>
      <c r="M21" s="91">
        <f>'13'!M108</f>
        <v>86.247812499999952</v>
      </c>
      <c r="N21" s="91">
        <f>'13'!N108</f>
        <v>236.5083333333337</v>
      </c>
      <c r="O21" s="91">
        <f>'13'!O108</f>
        <v>0</v>
      </c>
      <c r="P21" s="203">
        <f>'13'!P108</f>
        <v>0.37062500000000004</v>
      </c>
      <c r="Q21" s="91">
        <f>'13'!Q108</f>
        <v>9.0548958333333314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14/07/2025 00:15</v>
      </c>
      <c r="B22" s="90">
        <f>'14'!B108</f>
        <v>11.205729166666666</v>
      </c>
      <c r="C22" s="90">
        <f>'14'!C108</f>
        <v>17.639062500000005</v>
      </c>
      <c r="D22" s="90">
        <f>'14'!D108</f>
        <v>18.198333333333327</v>
      </c>
      <c r="E22" s="90">
        <f>'14'!E108</f>
        <v>4.7178125</v>
      </c>
      <c r="F22" s="90">
        <f>'14'!F108</f>
        <v>7.037083333333336</v>
      </c>
      <c r="G22" s="100">
        <f>'14'!$G$108</f>
        <v>51.268020833333331</v>
      </c>
      <c r="H22" s="100">
        <f>'14'!$G$108</f>
        <v>51.268020833333331</v>
      </c>
      <c r="I22" s="90">
        <f>'14'!I108</f>
        <v>1.5161458333333331</v>
      </c>
      <c r="J22" s="90">
        <f>'14'!J108</f>
        <v>0.19447916666666673</v>
      </c>
      <c r="K22" s="90">
        <f>'14'!K108</f>
        <v>276.43302083333333</v>
      </c>
      <c r="L22" s="90">
        <f>'14'!L108</f>
        <v>27.340833333333347</v>
      </c>
      <c r="M22" s="90">
        <f>'14'!M108</f>
        <v>91.092187500000009</v>
      </c>
      <c r="N22" s="90">
        <f>'14'!N108</f>
        <v>149.31666666666669</v>
      </c>
      <c r="O22" s="90">
        <f>'14'!O108</f>
        <v>0</v>
      </c>
      <c r="P22" s="204">
        <f>'14'!P108</f>
        <v>0.47156249999999994</v>
      </c>
      <c r="Q22" s="90">
        <f>'14'!Q108</f>
        <v>9.1738541666666666</v>
      </c>
      <c r="R22" s="206"/>
      <c r="S22" s="206"/>
      <c r="T22" s="206"/>
      <c r="U22" s="206"/>
    </row>
    <row r="23" spans="1:21" x14ac:dyDescent="0.25">
      <c r="A23" s="94" t="str">
        <f>'15'!$B$2</f>
        <v>15/07/2025 00:15</v>
      </c>
      <c r="B23" s="61">
        <f>'15'!B108</f>
        <v>18.098749999999999</v>
      </c>
      <c r="C23" s="61">
        <f>'15'!C108</f>
        <v>17.939166666666669</v>
      </c>
      <c r="D23" s="61">
        <f>'15'!D108</f>
        <v>23.876354166666658</v>
      </c>
      <c r="E23" s="61">
        <f>'15'!E108</f>
        <v>4.9140624999999991</v>
      </c>
      <c r="F23" s="61">
        <f>'15'!F108</f>
        <v>6.4819791666666653</v>
      </c>
      <c r="G23" s="100">
        <f>'15'!$G$108</f>
        <v>47.422395833333354</v>
      </c>
      <c r="H23" s="61">
        <f>'15'!H108</f>
        <v>11.590937500000003</v>
      </c>
      <c r="I23" s="61">
        <f>'15'!I108</f>
        <v>2.301354166666667</v>
      </c>
      <c r="J23" s="61">
        <f>'15'!J108</f>
        <v>0.17343749999999999</v>
      </c>
      <c r="K23" s="61">
        <f>'15'!K108</f>
        <v>272.29624999999993</v>
      </c>
      <c r="L23" s="61">
        <f>'15'!L108</f>
        <v>26.778437500000006</v>
      </c>
      <c r="M23" s="61">
        <f>'15'!M108</f>
        <v>92.313750000000041</v>
      </c>
      <c r="N23" s="61">
        <f>'15'!N108</f>
        <v>162.25833333333333</v>
      </c>
      <c r="O23" s="61">
        <f>'15'!O108</f>
        <v>8.1250000000000003E-2</v>
      </c>
      <c r="P23" s="202">
        <f>'15'!P108</f>
        <v>0.59552083333333317</v>
      </c>
      <c r="Q23" s="61">
        <f>'15'!Q108</f>
        <v>9.3220833333333264</v>
      </c>
      <c r="R23" s="118"/>
      <c r="S23" s="118"/>
      <c r="T23" s="118"/>
      <c r="U23" s="118"/>
    </row>
    <row r="24" spans="1:21" x14ac:dyDescent="0.25">
      <c r="A24" s="94" t="str">
        <f>'16'!$B$2</f>
        <v>16/07/2025 00:15</v>
      </c>
      <c r="B24" s="61">
        <f>'16'!B108</f>
        <v>10.440104166666661</v>
      </c>
      <c r="C24" s="61">
        <f>'16'!C108</f>
        <v>16.704062500000006</v>
      </c>
      <c r="D24" s="61">
        <f>'16'!D108</f>
        <v>17.099270833333346</v>
      </c>
      <c r="E24" s="61">
        <f>'16'!E108</f>
        <v>4.7522916666666664</v>
      </c>
      <c r="F24" s="61">
        <f>'16'!F108</f>
        <v>6.8398958333333324</v>
      </c>
      <c r="G24" s="100">
        <f>'16'!$G$108</f>
        <v>38.717282608695655</v>
      </c>
      <c r="H24" s="61">
        <f>'16'!H108</f>
        <v>10.25195652173913</v>
      </c>
      <c r="I24" s="61">
        <f>'16'!I108</f>
        <v>2.4232291666666668</v>
      </c>
      <c r="J24" s="61">
        <f>'16'!J108</f>
        <v>0.23781250000000001</v>
      </c>
      <c r="K24" s="61">
        <f>'16'!K108</f>
        <v>236.33531249999999</v>
      </c>
      <c r="L24" s="61">
        <f>'16'!L108</f>
        <v>25.671041666666667</v>
      </c>
      <c r="M24" s="61">
        <f>'16'!M108</f>
        <v>97.272500000000022</v>
      </c>
      <c r="N24" s="61">
        <f>'16'!N108</f>
        <v>124.82499999999999</v>
      </c>
      <c r="O24" s="61">
        <f>'16'!O108</f>
        <v>8.1250000000000031E-2</v>
      </c>
      <c r="P24" s="202">
        <f>'16'!P108</f>
        <v>0.4963541666666666</v>
      </c>
      <c r="Q24" s="61">
        <f>'16'!Q108</f>
        <v>9.2064583333333392</v>
      </c>
      <c r="R24" s="118"/>
      <c r="S24" s="118"/>
      <c r="T24" s="118"/>
      <c r="U24" s="118"/>
    </row>
    <row r="25" spans="1:21" x14ac:dyDescent="0.25">
      <c r="A25" s="94" t="str">
        <f>'17'!$B$2</f>
        <v>17/07/2025 00:15</v>
      </c>
      <c r="B25" s="61">
        <f>'17'!B108</f>
        <v>8.4301041666666698</v>
      </c>
      <c r="C25" s="61">
        <f>'17'!C108</f>
        <v>14.117916666666664</v>
      </c>
      <c r="D25" s="61">
        <f>'17'!D108</f>
        <v>14.134374999999999</v>
      </c>
      <c r="E25" s="61">
        <f>'17'!E108</f>
        <v>4.7735416666666657</v>
      </c>
      <c r="F25" s="61">
        <f>'17'!F108</f>
        <v>7.3121875000000012</v>
      </c>
      <c r="G25" s="101">
        <f>'17'!$G$108</f>
        <v>35.637916666666676</v>
      </c>
      <c r="H25" s="61">
        <f>'17'!H108</f>
        <v>14.094819277108435</v>
      </c>
      <c r="I25" s="61">
        <f>'17'!I108</f>
        <v>0.97114583333333349</v>
      </c>
      <c r="J25" s="61">
        <f>'17'!J108</f>
        <v>0.27854166666666669</v>
      </c>
      <c r="K25" s="61">
        <f>'17'!K108</f>
        <v>214.39583333333326</v>
      </c>
      <c r="L25" s="61">
        <f>'17'!L108</f>
        <v>26.860833333333332</v>
      </c>
      <c r="M25" s="61">
        <f>'17'!M108</f>
        <v>91.053854166666667</v>
      </c>
      <c r="N25" s="61">
        <f>'17'!N108</f>
        <v>200.52395833333324</v>
      </c>
      <c r="O25" s="61">
        <f>'17'!O108</f>
        <v>4.1666666666666666E-3</v>
      </c>
      <c r="P25" s="202">
        <f>'17'!P108</f>
        <v>0.28708333333333325</v>
      </c>
      <c r="Q25" s="61">
        <f>'17'!Q108</f>
        <v>9.1144791666666638</v>
      </c>
      <c r="R25" s="118"/>
      <c r="S25" s="118"/>
      <c r="T25" s="118"/>
      <c r="U25" s="118"/>
    </row>
    <row r="26" spans="1:21" x14ac:dyDescent="0.25">
      <c r="A26" s="94" t="str">
        <f>'18'!$B$2</f>
        <v>18/07/2025 00:15</v>
      </c>
      <c r="B26" s="61">
        <f>'18'!B108</f>
        <v>12.205833333333333</v>
      </c>
      <c r="C26" s="61">
        <f>'18'!C108</f>
        <v>16.942187499999999</v>
      </c>
      <c r="D26" s="61">
        <f>'18'!D108</f>
        <v>18.635416666666661</v>
      </c>
      <c r="E26" s="61">
        <f>'18'!E108</f>
        <v>4.9228125000000009</v>
      </c>
      <c r="F26" s="61">
        <f>'18'!F108</f>
        <v>8.5817708333333336</v>
      </c>
      <c r="G26" s="99">
        <f>'18'!$G$108</f>
        <v>46.5621875</v>
      </c>
      <c r="H26" s="61">
        <f>'18'!H108</f>
        <v>14.011041666666673</v>
      </c>
      <c r="I26" s="61">
        <f>'18'!I108</f>
        <v>1.2838541666666663</v>
      </c>
      <c r="J26" s="61">
        <f>'18'!J108</f>
        <v>0.22802083333333331</v>
      </c>
      <c r="K26" s="61">
        <f>'18'!K108</f>
        <v>223.67937500000002</v>
      </c>
      <c r="L26" s="61">
        <f>'18'!L108</f>
        <v>26.998020833333332</v>
      </c>
      <c r="M26" s="61">
        <f>'18'!M108</f>
        <v>91.914375000000007</v>
      </c>
      <c r="N26" s="61">
        <f>'18'!N108</f>
        <v>153.61562499999994</v>
      </c>
      <c r="O26" s="61">
        <f>'18'!O108</f>
        <v>2.0833333333333333E-3</v>
      </c>
      <c r="P26" s="202">
        <f>'18'!P108</f>
        <v>0.40093749999999995</v>
      </c>
      <c r="Q26" s="61">
        <f>'18'!Q108</f>
        <v>9.2117708333333361</v>
      </c>
      <c r="R26" s="118"/>
      <c r="S26" s="118"/>
      <c r="T26" s="118"/>
      <c r="U26" s="118"/>
    </row>
    <row r="27" spans="1:21" x14ac:dyDescent="0.25">
      <c r="A27" s="94" t="str">
        <f>'19'!$B$2</f>
        <v>19/07/2025 00:15</v>
      </c>
      <c r="B27" s="61">
        <f>'19'!B108</f>
        <v>13.306354166666667</v>
      </c>
      <c r="C27" s="61">
        <f>'19'!C108</f>
        <v>20.199583333333337</v>
      </c>
      <c r="D27" s="61">
        <f>'19'!D108</f>
        <v>21.217187499999994</v>
      </c>
      <c r="E27" s="61">
        <f>'19'!E108</f>
        <v>4.9491666666666685</v>
      </c>
      <c r="F27" s="61">
        <f>'19'!F108</f>
        <v>8.4267708333333378</v>
      </c>
      <c r="G27" s="61">
        <f>'19'!G108</f>
        <v>77.684999999999988</v>
      </c>
      <c r="H27" s="61">
        <f>'19'!H108</f>
        <v>24.603124999999995</v>
      </c>
      <c r="I27" s="61">
        <f>'19'!I108</f>
        <v>2.1508333333333329</v>
      </c>
      <c r="J27" s="61">
        <f>'19'!J108</f>
        <v>0.26427083333333334</v>
      </c>
      <c r="K27" s="61">
        <f>'19'!K108</f>
        <v>233.10343750000004</v>
      </c>
      <c r="L27" s="61">
        <f>'19'!L108</f>
        <v>27.521250000000009</v>
      </c>
      <c r="M27" s="61">
        <f>'19'!M108</f>
        <v>93.149479166666751</v>
      </c>
      <c r="N27" s="61">
        <f>'19'!N108</f>
        <v>188.20625000000007</v>
      </c>
      <c r="O27" s="61">
        <f>'19'!O108</f>
        <v>1.0416666666666666E-2</v>
      </c>
      <c r="P27" s="202">
        <f>'19'!P108</f>
        <v>0.57791666666666663</v>
      </c>
      <c r="Q27" s="61">
        <f>'19'!Q108</f>
        <v>9.3218750000000039</v>
      </c>
      <c r="R27" s="118"/>
      <c r="S27" s="118"/>
      <c r="T27" s="118"/>
      <c r="U27" s="118"/>
    </row>
    <row r="28" spans="1:21" x14ac:dyDescent="0.25">
      <c r="A28" s="94" t="str">
        <f>'20'!$B$2</f>
        <v>20/07/2025 00:15</v>
      </c>
      <c r="B28" s="61">
        <f>'20'!B108</f>
        <v>12.775833333333336</v>
      </c>
      <c r="C28" s="61">
        <f>'20'!C108</f>
        <v>19.373020833333339</v>
      </c>
      <c r="D28" s="61">
        <f>'20'!D108</f>
        <v>20.348020833333333</v>
      </c>
      <c r="E28" s="61">
        <f>'20'!E108</f>
        <v>4.3417708333333325</v>
      </c>
      <c r="F28" s="61">
        <f>'20'!F108</f>
        <v>7.6708333333333316</v>
      </c>
      <c r="G28" s="61">
        <f>'20'!G108</f>
        <v>42.805833333333332</v>
      </c>
      <c r="H28" s="61">
        <f>'20'!H108</f>
        <v>16.97666666666667</v>
      </c>
      <c r="I28" s="61">
        <f>'20'!I108</f>
        <v>1.9408333333333323</v>
      </c>
      <c r="J28" s="61">
        <f>'20'!J108</f>
        <v>0.41510416666666677</v>
      </c>
      <c r="K28" s="61">
        <f>'20'!K108</f>
        <v>229.66927083333346</v>
      </c>
      <c r="L28" s="61">
        <f>'20'!L108</f>
        <v>24.942499999999992</v>
      </c>
      <c r="M28" s="61">
        <f>'20'!M108</f>
        <v>98.379687499999989</v>
      </c>
      <c r="N28" s="61">
        <f>'20'!N108</f>
        <v>130.46666666666675</v>
      </c>
      <c r="O28" s="61">
        <f>'20'!O108</f>
        <v>0.37500000000000006</v>
      </c>
      <c r="P28" s="202">
        <f>'20'!P108</f>
        <v>0.54374999999999996</v>
      </c>
      <c r="Q28" s="61">
        <f>'20'!Q108</f>
        <v>9.2855208333333348</v>
      </c>
      <c r="R28" s="118"/>
      <c r="S28" s="118"/>
      <c r="T28" s="118"/>
      <c r="U28" s="118"/>
    </row>
    <row r="29" spans="1:21" x14ac:dyDescent="0.25">
      <c r="A29" s="94" t="str">
        <f>'21'!$B$2</f>
        <v>21/07/2025 00:15</v>
      </c>
      <c r="B29" s="61">
        <f>'21'!B108</f>
        <v>23.484583333333344</v>
      </c>
      <c r="C29" s="61">
        <f>'21'!C108</f>
        <v>23.946041666666673</v>
      </c>
      <c r="D29" s="61">
        <f>'21'!D108</f>
        <v>31.334062500000002</v>
      </c>
      <c r="E29" s="61">
        <f>'21'!E108</f>
        <v>4.7721875000000002</v>
      </c>
      <c r="F29" s="61">
        <f>'21'!F108</f>
        <v>9.4224999999999977</v>
      </c>
      <c r="G29" s="61">
        <f>'21'!G108</f>
        <v>69.216562499999995</v>
      </c>
      <c r="H29" s="61">
        <f>'21'!H108</f>
        <v>26.690833333333345</v>
      </c>
      <c r="I29" s="61">
        <f>'21'!I108</f>
        <v>2.2687500000000012</v>
      </c>
      <c r="J29" s="61">
        <f>'21'!J108</f>
        <v>0.31864583333333324</v>
      </c>
      <c r="K29" s="61">
        <f>'21'!K108</f>
        <v>261.2376041666667</v>
      </c>
      <c r="L29" s="61">
        <f>'21'!L108</f>
        <v>26.699166666666667</v>
      </c>
      <c r="M29" s="61">
        <f>'21'!M108</f>
        <v>94.966250000000002</v>
      </c>
      <c r="N29" s="61">
        <f>'21'!N108</f>
        <v>147.51979166666669</v>
      </c>
      <c r="O29" s="61">
        <f>'21'!O108</f>
        <v>2.5000000000000005E-2</v>
      </c>
      <c r="P29" s="202">
        <f>'21'!P108</f>
        <v>0.77739583333333317</v>
      </c>
      <c r="Q29" s="61">
        <f>'21'!Q108</f>
        <v>9.5570833333333365</v>
      </c>
      <c r="R29" s="118"/>
      <c r="S29" s="118"/>
      <c r="T29" s="118"/>
      <c r="U29" s="118"/>
    </row>
    <row r="30" spans="1:21" x14ac:dyDescent="0.25">
      <c r="A30" s="94" t="str">
        <f>'22'!$B$2</f>
        <v>22/07/2025 00:15</v>
      </c>
      <c r="B30" s="61">
        <f>'22'!B108</f>
        <v>13.809166666666675</v>
      </c>
      <c r="C30" s="61">
        <f>'22'!C108</f>
        <v>21.338645833333331</v>
      </c>
      <c r="D30" s="61">
        <f>'22'!D108</f>
        <v>22.248229166666661</v>
      </c>
      <c r="E30" s="61">
        <f>'22'!E108</f>
        <v>4.7584374999999994</v>
      </c>
      <c r="F30" s="61">
        <f>'22'!F108</f>
        <v>9.8251041666666676</v>
      </c>
      <c r="G30" s="61">
        <f>'22'!G108</f>
        <v>56.421458333333341</v>
      </c>
      <c r="H30" s="61">
        <f>'22'!H108</f>
        <v>21.880520833333335</v>
      </c>
      <c r="I30" s="61">
        <f>'22'!I108</f>
        <v>2.7940624999999994</v>
      </c>
      <c r="J30" s="61">
        <f>'22'!J108</f>
        <v>0.30395833333333327</v>
      </c>
      <c r="K30" s="61">
        <f>'22'!K108</f>
        <v>269.41406249999994</v>
      </c>
      <c r="L30" s="61">
        <f>'22'!L108</f>
        <v>26.232916666666672</v>
      </c>
      <c r="M30" s="61">
        <f>'22'!M108</f>
        <v>95.994999999999933</v>
      </c>
      <c r="N30" s="61">
        <f>'22'!N108</f>
        <v>160.94583333333333</v>
      </c>
      <c r="O30" s="61">
        <f>'22'!O108</f>
        <v>0.34375</v>
      </c>
      <c r="P30" s="202">
        <f>'22'!P108</f>
        <v>0.60229166666666656</v>
      </c>
      <c r="Q30" s="61">
        <f>'22'!Q108</f>
        <v>9.4298958333333314</v>
      </c>
      <c r="R30" s="118"/>
      <c r="S30" s="118"/>
      <c r="T30" s="118"/>
      <c r="U30" s="118"/>
    </row>
    <row r="31" spans="1:21" x14ac:dyDescent="0.25">
      <c r="A31" s="94" t="str">
        <f>'23'!$B$2</f>
        <v>23/07/2025 00:15</v>
      </c>
      <c r="B31" s="61">
        <f>'23'!B108</f>
        <v>14.158750000000007</v>
      </c>
      <c r="C31" s="61">
        <f>'23'!C108</f>
        <v>16.725416666666664</v>
      </c>
      <c r="D31" s="61">
        <f>'23'!D108</f>
        <v>20.088333333333335</v>
      </c>
      <c r="E31" s="61">
        <f>'23'!E108</f>
        <v>4.6890625000000012</v>
      </c>
      <c r="F31" s="61">
        <f>'23'!F108</f>
        <v>8.7531250000000007</v>
      </c>
      <c r="G31" s="61">
        <f>'23'!G108</f>
        <v>33.552708333333342</v>
      </c>
      <c r="H31" s="61">
        <f>'23'!H108</f>
        <v>12.085937500000002</v>
      </c>
      <c r="I31" s="61">
        <f>'23'!I108</f>
        <v>1.9397916666666666</v>
      </c>
      <c r="J31" s="61">
        <f>'23'!J108</f>
        <v>0.2372916666666666</v>
      </c>
      <c r="K31" s="61">
        <f>'23'!K108</f>
        <v>282.4812500000001</v>
      </c>
      <c r="L31" s="61">
        <f>'23'!L108</f>
        <v>26.583749999999991</v>
      </c>
      <c r="M31" s="61">
        <f>'23'!M108</f>
        <v>94.267604166666686</v>
      </c>
      <c r="N31" s="61">
        <f>'23'!N108</f>
        <v>180.41041666666669</v>
      </c>
      <c r="O31" s="61">
        <f>'23'!O108</f>
        <v>0.27291666666666664</v>
      </c>
      <c r="P31" s="202">
        <f>'23'!P108</f>
        <v>0.62229166666666691</v>
      </c>
      <c r="Q31" s="61">
        <f>'23'!Q108</f>
        <v>9.2691666666666652</v>
      </c>
      <c r="R31" s="118"/>
      <c r="S31" s="207"/>
      <c r="T31" s="118"/>
      <c r="U31" s="118"/>
    </row>
    <row r="32" spans="1:21" x14ac:dyDescent="0.25">
      <c r="A32" s="94" t="str">
        <f>'24'!$B$2</f>
        <v>24/07/2025 00:15</v>
      </c>
      <c r="B32" s="61">
        <f>'24'!B108</f>
        <v>11.050312500000004</v>
      </c>
      <c r="C32" s="61">
        <f>'24'!C108</f>
        <v>14.121666666666664</v>
      </c>
      <c r="D32" s="61">
        <f>'24'!D108</f>
        <v>16.239583333333339</v>
      </c>
      <c r="E32" s="61">
        <f>'24'!E108</f>
        <v>5.3327083333333318</v>
      </c>
      <c r="F32" s="61">
        <f>'24'!F108</f>
        <v>6.0348958333333336</v>
      </c>
      <c r="G32" s="61">
        <f>'24'!G108</f>
        <v>19.423645833333325</v>
      </c>
      <c r="H32" s="61">
        <f>'24'!H108</f>
        <v>4.6588333333333338</v>
      </c>
      <c r="I32" s="61">
        <f>'24'!I108</f>
        <v>1.4916666666666665</v>
      </c>
      <c r="J32" s="61">
        <f>'24'!J108</f>
        <v>0.59125000000000005</v>
      </c>
      <c r="K32" s="61">
        <f>'24'!K108</f>
        <v>322.43885416666672</v>
      </c>
      <c r="L32" s="61">
        <f>'24'!L108</f>
        <v>26.390104166666678</v>
      </c>
      <c r="M32" s="61">
        <f>'24'!M108</f>
        <v>92.297291666666652</v>
      </c>
      <c r="N32" s="61">
        <f>'24'!N108</f>
        <v>168.87812499999995</v>
      </c>
      <c r="O32" s="61">
        <f>'24'!O108</f>
        <v>3.5416666666666673E-2</v>
      </c>
      <c r="P32" s="202">
        <f>'24'!P108</f>
        <v>0.47291666666666671</v>
      </c>
      <c r="Q32" s="61">
        <f>'24'!Q108</f>
        <v>9.1794791666666651</v>
      </c>
      <c r="R32" s="118"/>
      <c r="S32" s="118"/>
      <c r="T32" s="118"/>
      <c r="U32" s="118"/>
    </row>
    <row r="33" spans="1:21" x14ac:dyDescent="0.25">
      <c r="A33" s="94" t="str">
        <f>'25'!$B$2</f>
        <v>25/07/2025 00:15</v>
      </c>
      <c r="B33" s="61">
        <f>'25'!B108</f>
        <v>11.251874999999993</v>
      </c>
      <c r="C33" s="61">
        <f>'25'!C108</f>
        <v>13.488541666666663</v>
      </c>
      <c r="D33" s="61">
        <f>'25'!D108</f>
        <v>16.073125000000001</v>
      </c>
      <c r="E33" s="61">
        <f>'25'!E108</f>
        <v>4.5526041666666686</v>
      </c>
      <c r="F33" s="61">
        <f>'25'!F108</f>
        <v>3.7148958333333337</v>
      </c>
      <c r="G33" s="61">
        <f>'25'!G108</f>
        <v>21.349431818181834</v>
      </c>
      <c r="H33" s="61">
        <f>'25'!H108</f>
        <v>6.8018181818181827</v>
      </c>
      <c r="I33" s="61">
        <f>'25'!I108</f>
        <v>2.1068750000000005</v>
      </c>
      <c r="J33" s="61">
        <f>'25'!J108</f>
        <v>0.18760416666666668</v>
      </c>
      <c r="K33" s="61">
        <f>'25'!K108</f>
        <v>300.55218750000012</v>
      </c>
      <c r="L33" s="61">
        <f>'25'!L108</f>
        <v>23.92520833333332</v>
      </c>
      <c r="M33" s="61">
        <f>'25'!M108</f>
        <v>98.1692708333333</v>
      </c>
      <c r="N33" s="61">
        <f>'25'!N108</f>
        <v>78.335416666666688</v>
      </c>
      <c r="O33" s="61">
        <f>'25'!O108</f>
        <v>4.5833333333333344E-2</v>
      </c>
      <c r="P33" s="202">
        <f>'25'!P108</f>
        <v>0.6121875</v>
      </c>
      <c r="Q33" s="61">
        <f>'25'!Q108</f>
        <v>9.2057291666666661</v>
      </c>
      <c r="R33" s="118"/>
      <c r="S33" s="207"/>
      <c r="T33" s="118"/>
      <c r="U33" s="118"/>
    </row>
    <row r="34" spans="1:21" x14ac:dyDescent="0.25">
      <c r="A34" s="94" t="str">
        <f>'26'!$B$2</f>
        <v>26/07/2025 00:15</v>
      </c>
      <c r="B34" s="61">
        <f>'26'!B108</f>
        <v>5.3957291666666656</v>
      </c>
      <c r="C34" s="61">
        <f>'26'!C108</f>
        <v>12.887812500000001</v>
      </c>
      <c r="D34" s="61">
        <f>'26'!D108</f>
        <v>11.060104166666664</v>
      </c>
      <c r="E34" s="61">
        <f>'26'!E108</f>
        <v>3.9496875000000009</v>
      </c>
      <c r="F34" s="61">
        <f>'26'!F108</f>
        <v>3.8198958333333324</v>
      </c>
      <c r="G34" s="61">
        <f>'26'!G108</f>
        <v>4.3339583333333325</v>
      </c>
      <c r="H34" s="61">
        <f>'26'!H108</f>
        <v>1.7211458333333332</v>
      </c>
      <c r="I34" s="61">
        <f>'26'!I108</f>
        <v>0.80635416666666637</v>
      </c>
      <c r="J34" s="61">
        <f>'26'!J108</f>
        <v>0.23697916666666671</v>
      </c>
      <c r="K34" s="61">
        <f>'26'!K108</f>
        <v>306.28916666666669</v>
      </c>
      <c r="L34" s="61">
        <f>'26'!L108</f>
        <v>23.350104166666664</v>
      </c>
      <c r="M34" s="61">
        <f>'26'!M108</f>
        <v>98.103854166666665</v>
      </c>
      <c r="N34" s="61">
        <f>'26'!N108</f>
        <v>95.660416666666663</v>
      </c>
      <c r="O34" s="61">
        <f>'26'!O108</f>
        <v>8.5416666666666655E-2</v>
      </c>
      <c r="P34" s="202">
        <f>'26'!P108</f>
        <v>0.24229166666666666</v>
      </c>
      <c r="Q34" s="61">
        <f>'26'!Q108</f>
        <v>8.9915625000000041</v>
      </c>
      <c r="R34" s="118"/>
      <c r="S34" s="118"/>
      <c r="T34" s="118"/>
      <c r="U34" s="118"/>
    </row>
    <row r="35" spans="1:21" x14ac:dyDescent="0.25">
      <c r="A35" s="94" t="str">
        <f>'27'!$B$2</f>
        <v>27/07/2025 00:15</v>
      </c>
      <c r="B35" s="61">
        <f>'27'!B108</f>
        <v>5.8336458333333319</v>
      </c>
      <c r="C35" s="61">
        <f>'27'!C108</f>
        <v>12.509375000000006</v>
      </c>
      <c r="D35" s="61">
        <f>'27'!D108</f>
        <v>11.213020833333331</v>
      </c>
      <c r="E35" s="61">
        <f>'27'!E108</f>
        <v>4.4884375000000007</v>
      </c>
      <c r="F35" s="61">
        <f>'27'!F108</f>
        <v>4.1161458333333343</v>
      </c>
      <c r="G35" s="61">
        <f>'27'!G108</f>
        <v>11.092291666666661</v>
      </c>
      <c r="H35" s="61">
        <f>'27'!H108</f>
        <v>5.7729166666666645</v>
      </c>
      <c r="I35" s="61">
        <f>'27'!I108</f>
        <v>0.64708333333333345</v>
      </c>
      <c r="J35" s="61">
        <f>'27'!J108</f>
        <v>0.15614583333333334</v>
      </c>
      <c r="K35" s="61">
        <f>'27'!K108</f>
        <v>299.09135416666658</v>
      </c>
      <c r="L35" s="61">
        <f>'27'!L108</f>
        <v>24.513333333333335</v>
      </c>
      <c r="M35" s="61">
        <f>'27'!M108</f>
        <v>97.19677083333336</v>
      </c>
      <c r="N35" s="61">
        <f>'27'!N108</f>
        <v>129.53020833333332</v>
      </c>
      <c r="O35" s="61">
        <f>'27'!O108</f>
        <v>0</v>
      </c>
      <c r="P35" s="202">
        <f>'27'!P108</f>
        <v>0.23177083333333326</v>
      </c>
      <c r="Q35" s="61">
        <f>'27'!Q108</f>
        <v>8.9851041666666642</v>
      </c>
      <c r="R35" s="118"/>
      <c r="S35" s="118"/>
      <c r="T35" s="118"/>
      <c r="U35" s="118"/>
    </row>
    <row r="36" spans="1:21" x14ac:dyDescent="0.25">
      <c r="A36" s="94" t="str">
        <f>'28'!$B$2</f>
        <v>28/07/2025 00:15</v>
      </c>
      <c r="B36" s="61">
        <f>'28'!B108</f>
        <v>6.284791666666667</v>
      </c>
      <c r="C36" s="61">
        <f>'28'!C108</f>
        <v>14.075208333333334</v>
      </c>
      <c r="D36" s="61">
        <f>'28'!D108</f>
        <v>12.393437500000003</v>
      </c>
      <c r="E36" s="61">
        <f>'28'!E108</f>
        <v>4.2055208333333338</v>
      </c>
      <c r="F36" s="61">
        <f>'28'!F108</f>
        <v>4.4153125000000006</v>
      </c>
      <c r="G36" s="61">
        <f>'28'!G108</f>
        <v>17.635000000000002</v>
      </c>
      <c r="H36" s="61">
        <f>'28'!H108</f>
        <v>2.6160000000000001</v>
      </c>
      <c r="I36" s="61">
        <f>'28'!I108</f>
        <v>0.69666666666666677</v>
      </c>
      <c r="J36" s="61">
        <f>'28'!J108</f>
        <v>0.16937500000000014</v>
      </c>
      <c r="K36" s="61">
        <f>'28'!K108</f>
        <v>293.19447916666661</v>
      </c>
      <c r="L36" s="61">
        <f>'28'!L108</f>
        <v>24.200104166666659</v>
      </c>
      <c r="M36" s="61">
        <f>'28'!M108</f>
        <v>97.309895833333357</v>
      </c>
      <c r="N36" s="61">
        <f>'28'!N108</f>
        <v>114.36458333333333</v>
      </c>
      <c r="O36" s="61">
        <f>'28'!O108</f>
        <v>4.1666666666666666E-3</v>
      </c>
      <c r="P36" s="202">
        <f>'28'!P108</f>
        <v>0.26031249999999995</v>
      </c>
      <c r="Q36" s="61">
        <f>'28'!Q108</f>
        <v>9.0070833333333269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29/07/2025 00:15</v>
      </c>
      <c r="B37" s="61">
        <f>'29'!B108</f>
        <v>6.652291666666664</v>
      </c>
      <c r="C37" s="61">
        <f>'29'!C108</f>
        <v>11.997083333333336</v>
      </c>
      <c r="D37" s="61">
        <f>'29'!D108</f>
        <v>11.602187499999999</v>
      </c>
      <c r="E37" s="61">
        <f>'29'!E108</f>
        <v>4.4323958333333344</v>
      </c>
      <c r="F37" s="61">
        <f>'29'!F108</f>
        <v>3.6734374999999999</v>
      </c>
      <c r="G37" s="61">
        <f>'29'!G108</f>
        <v>5.4981249999999973</v>
      </c>
      <c r="H37" s="61">
        <f>'29'!H108</f>
        <v>2.6021874999999999</v>
      </c>
      <c r="I37" s="61">
        <f>'29'!I108</f>
        <v>0.66208333333333347</v>
      </c>
      <c r="J37" s="61">
        <f>'29'!J108</f>
        <v>0.16052083333333342</v>
      </c>
      <c r="K37" s="61">
        <f>'29'!K108</f>
        <v>297.28479166666676</v>
      </c>
      <c r="L37" s="61">
        <f>'29'!L108</f>
        <v>22.640104166666664</v>
      </c>
      <c r="M37" s="61">
        <f>'29'!M108</f>
        <v>98.082604166666727</v>
      </c>
      <c r="N37" s="61">
        <f>'29'!N108</f>
        <v>97.50624999999998</v>
      </c>
      <c r="O37" s="61">
        <f>'29'!O108</f>
        <v>0</v>
      </c>
      <c r="P37" s="202">
        <f>'29'!P108</f>
        <v>0.24906249999999988</v>
      </c>
      <c r="Q37" s="61">
        <f>'29'!Q108</f>
        <v>9.000104166666663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30/07/2025 00:15</v>
      </c>
      <c r="B38" s="61">
        <f>'30'!B108</f>
        <v>6.4050000000000002</v>
      </c>
      <c r="C38" s="61">
        <f>'30'!C108</f>
        <v>12.483333333333334</v>
      </c>
      <c r="D38" s="61">
        <f>'30'!D108</f>
        <v>11.659166666666669</v>
      </c>
      <c r="E38" s="61">
        <f>'30'!E108</f>
        <v>4.5666666666666673</v>
      </c>
      <c r="F38" s="61">
        <f>'30'!F108</f>
        <v>4.2364583333333323</v>
      </c>
      <c r="G38" s="61">
        <f>'30'!G108</f>
        <v>18.230312499999986</v>
      </c>
      <c r="H38" s="61">
        <f>'30'!H108</f>
        <v>7.7817708333333329</v>
      </c>
      <c r="I38" s="61">
        <f>'30'!I108</f>
        <v>0.68989583333333326</v>
      </c>
      <c r="J38" s="61">
        <f>'30'!J108</f>
        <v>0.13614583333333333</v>
      </c>
      <c r="K38" s="61">
        <f>'30'!K108</f>
        <v>294.15104166666669</v>
      </c>
      <c r="L38" s="61">
        <f>'30'!L108</f>
        <v>24.065937500000015</v>
      </c>
      <c r="M38" s="61">
        <f>'30'!M108</f>
        <v>97.942395833333379</v>
      </c>
      <c r="N38" s="61">
        <f>'30'!N108</f>
        <v>136.10416666666666</v>
      </c>
      <c r="O38" s="61">
        <f>'30'!O108</f>
        <v>2.0833333333333333E-3</v>
      </c>
      <c r="P38" s="202">
        <f>'30'!P108</f>
        <v>0.22322916666666692</v>
      </c>
      <c r="Q38" s="61">
        <f>'30'!Q108</f>
        <v>8.9793750000000028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31/07/2025 00:15</v>
      </c>
      <c r="B39" s="61">
        <f>'31'!B108</f>
        <v>7.4772916666666651</v>
      </c>
      <c r="C39" s="61">
        <f>'31'!C108</f>
        <v>14.758020833333331</v>
      </c>
      <c r="D39" s="61">
        <f>'31'!D108</f>
        <v>13.701666666666666</v>
      </c>
      <c r="E39" s="61">
        <f>'31'!E108</f>
        <v>4.4705208333333326</v>
      </c>
      <c r="F39" s="61">
        <f>'31'!F108</f>
        <v>4.9627083333333344</v>
      </c>
      <c r="G39" s="61">
        <f>'31'!G108</f>
        <v>36.029687500000009</v>
      </c>
      <c r="H39" s="61">
        <f>'31'!H108</f>
        <v>10.613958333333331</v>
      </c>
      <c r="I39" s="61">
        <f>'31'!I108</f>
        <v>1.0563541666666669</v>
      </c>
      <c r="J39" s="61">
        <f>'31'!J108</f>
        <v>0.18437500000000007</v>
      </c>
      <c r="K39" s="61">
        <f>'31'!K108</f>
        <v>289.9705208333333</v>
      </c>
      <c r="L39" s="61">
        <f>'31'!L108</f>
        <v>25.993437499999999</v>
      </c>
      <c r="M39" s="61">
        <f>'31'!M108</f>
        <v>90.756249999999966</v>
      </c>
      <c r="N39" s="61">
        <f>'31'!N108</f>
        <v>214.61354166666672</v>
      </c>
      <c r="O39" s="61">
        <f>'31'!O108</f>
        <v>2.0833333333333333E-3</v>
      </c>
      <c r="P39" s="61">
        <f>'31'!P108</f>
        <v>0.36218749999999994</v>
      </c>
      <c r="Q39" s="61">
        <f>'31'!Q108</f>
        <v>9.0197916666666664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5.2966666666666651</v>
      </c>
      <c r="C41" s="16">
        <f t="shared" si="0"/>
        <v>11.997083333333336</v>
      </c>
      <c r="D41" s="16">
        <f t="shared" si="0"/>
        <v>10.925104166666669</v>
      </c>
      <c r="E41" s="16">
        <f t="shared" si="0"/>
        <v>3.9496875000000009</v>
      </c>
      <c r="F41" s="16">
        <f t="shared" si="0"/>
        <v>3.5544791666666664</v>
      </c>
      <c r="G41" s="16">
        <f t="shared" si="0"/>
        <v>4.3339583333333325</v>
      </c>
      <c r="H41" s="16">
        <f t="shared" si="0"/>
        <v>1.7211458333333332</v>
      </c>
      <c r="I41" s="16">
        <f t="shared" si="0"/>
        <v>0.64708333333333345</v>
      </c>
      <c r="J41" s="16">
        <f t="shared" si="0"/>
        <v>0.13614583333333333</v>
      </c>
      <c r="K41" s="16">
        <f t="shared" si="0"/>
        <v>214.39583333333326</v>
      </c>
      <c r="L41" s="16">
        <f t="shared" si="0"/>
        <v>21.698437499999997</v>
      </c>
      <c r="M41" s="16">
        <f t="shared" si="0"/>
        <v>86.247812499999952</v>
      </c>
      <c r="N41" s="16">
        <f t="shared" si="0"/>
        <v>78.335416666666688</v>
      </c>
      <c r="O41" s="16">
        <f t="shared" si="0"/>
        <v>0</v>
      </c>
      <c r="P41" s="16">
        <f t="shared" si="0"/>
        <v>0.22322916666666692</v>
      </c>
      <c r="Q41" s="16">
        <f t="shared" si="0"/>
        <v>8.9793750000000028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23.484583333333344</v>
      </c>
      <c r="C42" s="16">
        <f t="shared" si="1"/>
        <v>23.946041666666673</v>
      </c>
      <c r="D42" s="16">
        <f t="shared" si="1"/>
        <v>31.334062500000002</v>
      </c>
      <c r="E42" s="16">
        <f t="shared" si="1"/>
        <v>5.3327083333333318</v>
      </c>
      <c r="F42" s="16">
        <f t="shared" si="1"/>
        <v>9.8251041666666676</v>
      </c>
      <c r="G42" s="16">
        <f t="shared" si="1"/>
        <v>77.684999999999988</v>
      </c>
      <c r="H42" s="16">
        <f t="shared" si="1"/>
        <v>51.268020833333331</v>
      </c>
      <c r="I42" s="16">
        <f t="shared" si="1"/>
        <v>2.7940624999999994</v>
      </c>
      <c r="J42" s="16">
        <f t="shared" si="1"/>
        <v>0.59125000000000005</v>
      </c>
      <c r="K42" s="16">
        <f t="shared" si="1"/>
        <v>322.43885416666672</v>
      </c>
      <c r="L42" s="16">
        <f t="shared" si="1"/>
        <v>27.954479166666669</v>
      </c>
      <c r="M42" s="16">
        <f t="shared" si="1"/>
        <v>98.990937500000044</v>
      </c>
      <c r="N42" s="16">
        <f t="shared" si="1"/>
        <v>236.5083333333337</v>
      </c>
      <c r="O42" s="16">
        <f t="shared" si="1"/>
        <v>0.61458333333333359</v>
      </c>
      <c r="P42" s="16">
        <f t="shared" si="1"/>
        <v>0.77739583333333317</v>
      </c>
      <c r="Q42" s="16">
        <f t="shared" si="1"/>
        <v>9.5570833333333365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10.04226388888889</v>
      </c>
      <c r="C43" s="16">
        <f t="shared" si="2"/>
        <v>15.513138888888891</v>
      </c>
      <c r="D43" s="16">
        <f t="shared" si="2"/>
        <v>16.156427083333334</v>
      </c>
      <c r="E43" s="16">
        <f t="shared" si="2"/>
        <v>4.6158472222222224</v>
      </c>
      <c r="F43" s="16">
        <f t="shared" si="2"/>
        <v>5.6326354166666679</v>
      </c>
      <c r="G43" s="16">
        <f t="shared" si="2"/>
        <v>32.910864159211329</v>
      </c>
      <c r="H43" s="16">
        <f t="shared" si="2"/>
        <v>11.395387205269502</v>
      </c>
      <c r="I43" s="16">
        <f t="shared" si="2"/>
        <v>1.4769409722222222</v>
      </c>
      <c r="J43" s="16">
        <f t="shared" si="2"/>
        <v>0.23713888888888887</v>
      </c>
      <c r="K43" s="16">
        <f t="shared" si="2"/>
        <v>280.91251041666669</v>
      </c>
      <c r="L43" s="16">
        <f t="shared" si="2"/>
        <v>25.014420138888894</v>
      </c>
      <c r="M43" s="16">
        <f t="shared" si="2"/>
        <v>95.543031250000027</v>
      </c>
      <c r="N43" s="16">
        <f t="shared" si="2"/>
        <v>138.97725694444443</v>
      </c>
      <c r="O43" s="16">
        <f t="shared" si="2"/>
        <v>0.10381944444444446</v>
      </c>
      <c r="P43" s="16">
        <f t="shared" si="2"/>
        <v>0.4138229166666666</v>
      </c>
      <c r="Q43" s="16">
        <f t="shared" si="2"/>
        <v>9.1594652777777767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3.9691403905587044</v>
      </c>
      <c r="C44" s="16">
        <f t="shared" si="3"/>
        <v>2.8737567764699321</v>
      </c>
      <c r="D44" s="16">
        <f t="shared" si="3"/>
        <v>4.4759977500819712</v>
      </c>
      <c r="E44" s="16">
        <f t="shared" si="3"/>
        <v>0.30291379819534903</v>
      </c>
      <c r="F44" s="16">
        <f t="shared" si="3"/>
        <v>2.0184583076540084</v>
      </c>
      <c r="G44" s="16">
        <f t="shared" si="3"/>
        <v>19.474370607350036</v>
      </c>
      <c r="H44" s="16">
        <f t="shared" si="3"/>
        <v>9.9991975051325124</v>
      </c>
      <c r="I44" s="16">
        <f t="shared" si="3"/>
        <v>0.63932480809955805</v>
      </c>
      <c r="J44" s="16">
        <f t="shared" si="3"/>
        <v>8.9274480677869736E-2</v>
      </c>
      <c r="K44" s="16">
        <f t="shared" si="3"/>
        <v>27.883854618629439</v>
      </c>
      <c r="L44" s="16">
        <f t="shared" si="3"/>
        <v>1.7844228842529599</v>
      </c>
      <c r="M44" s="16">
        <f t="shared" si="3"/>
        <v>3.1928829303797848</v>
      </c>
      <c r="N44" s="16">
        <f t="shared" si="3"/>
        <v>37.556711087226923</v>
      </c>
      <c r="O44" s="16">
        <f t="shared" si="3"/>
        <v>0.15650227080742296</v>
      </c>
      <c r="P44" s="16">
        <f t="shared" si="3"/>
        <v>0.14286583396427563</v>
      </c>
      <c r="Q44" s="16">
        <f t="shared" si="3"/>
        <v>0.13627969555973943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1" t="s">
        <v>3220</v>
      </c>
      <c r="E1" s="221"/>
      <c r="F1" s="221"/>
      <c r="G1" s="221"/>
      <c r="H1" s="221"/>
      <c r="I1" s="221"/>
      <c r="J1" s="222"/>
    </row>
    <row r="2" spans="2:24" ht="22.5" customHeight="1" thickBot="1" x14ac:dyDescent="0.3">
      <c r="B2" s="54"/>
      <c r="C2" s="111" t="s">
        <v>0</v>
      </c>
      <c r="D2" s="112" t="s">
        <v>3221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0" t="s">
        <v>1</v>
      </c>
      <c r="H5" s="220"/>
      <c r="I5" s="40"/>
      <c r="J5" s="40"/>
      <c r="K5" s="40"/>
      <c r="L5" s="40"/>
      <c r="M5" s="41"/>
      <c r="O5" s="68"/>
      <c r="P5" s="69"/>
      <c r="Q5" s="69"/>
      <c r="R5" s="69"/>
      <c r="S5" s="208" t="s">
        <v>220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45846.451388888891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/>
      <c r="I8" s="60">
        <v>0</v>
      </c>
      <c r="J8" s="61" t="e">
        <f>F8/H8</f>
        <v>#DIV/0!</v>
      </c>
      <c r="K8" s="61">
        <f>(H8-F8)*100/F8</f>
        <v>-100</v>
      </c>
      <c r="L8" s="60" t="s">
        <v>67</v>
      </c>
      <c r="M8" s="78" t="s">
        <v>215</v>
      </c>
      <c r="O8" s="213" t="s">
        <v>949</v>
      </c>
      <c r="P8" s="64" t="s">
        <v>70</v>
      </c>
      <c r="Q8" s="64">
        <v>5094.75</v>
      </c>
      <c r="R8" s="64">
        <v>3919.01</v>
      </c>
      <c r="S8" s="77" t="s">
        <v>225</v>
      </c>
      <c r="T8" s="77">
        <v>836.24</v>
      </c>
      <c r="U8" s="86">
        <v>0.93489999999999995</v>
      </c>
      <c r="V8" s="86">
        <v>0.95</v>
      </c>
      <c r="W8" s="60" t="s">
        <v>67</v>
      </c>
      <c r="X8" s="78" t="s">
        <v>215</v>
      </c>
    </row>
    <row r="9" spans="2:24" ht="15.75" x14ac:dyDescent="0.25">
      <c r="B9" s="63">
        <v>45854.447916666664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62" t="s">
        <v>215</v>
      </c>
      <c r="O9" s="213" t="s">
        <v>1732</v>
      </c>
      <c r="P9" s="64" t="s">
        <v>70</v>
      </c>
      <c r="Q9" s="64">
        <v>5182.13</v>
      </c>
      <c r="R9" s="64">
        <v>3059.42</v>
      </c>
      <c r="S9" s="77" t="s">
        <v>225</v>
      </c>
      <c r="T9" s="77">
        <v>838.64</v>
      </c>
      <c r="U9" s="86">
        <v>0.96319999999999995</v>
      </c>
      <c r="V9" s="86">
        <v>0.95889999999999997</v>
      </c>
      <c r="W9" s="60" t="s">
        <v>67</v>
      </c>
      <c r="X9" s="62" t="s">
        <v>215</v>
      </c>
    </row>
    <row r="10" spans="2:24" ht="15.75" x14ac:dyDescent="0.25">
      <c r="B10" s="63">
        <v>45863.468055555553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 t="s">
        <v>215</v>
      </c>
      <c r="O10" s="213" t="s">
        <v>2603</v>
      </c>
      <c r="P10" s="64" t="s">
        <v>70</v>
      </c>
      <c r="Q10" s="64">
        <v>4968.54</v>
      </c>
      <c r="R10" s="64">
        <v>3943.51</v>
      </c>
      <c r="S10" s="77" t="s">
        <v>225</v>
      </c>
      <c r="T10" s="77">
        <v>837.55</v>
      </c>
      <c r="U10" s="86">
        <v>0.90869999999999995</v>
      </c>
      <c r="V10" s="86">
        <v>0.90539999999999998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225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225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8" t="s">
        <v>25</v>
      </c>
      <c r="D21" s="218"/>
      <c r="E21" s="218"/>
      <c r="F21" s="218"/>
      <c r="G21" s="218"/>
      <c r="H21" s="218"/>
      <c r="I21" s="45">
        <f>COUNT(B8:B20)</f>
        <v>3</v>
      </c>
      <c r="J21" s="46"/>
      <c r="K21" s="46"/>
      <c r="L21" s="47"/>
      <c r="M21" s="48"/>
      <c r="O21" s="80"/>
      <c r="P21" s="217" t="s">
        <v>84</v>
      </c>
      <c r="Q21" s="217"/>
      <c r="R21" s="217"/>
      <c r="S21" s="217"/>
      <c r="T21" s="81">
        <f>COUNT(O8:O20)</f>
        <v>0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9" t="s">
        <v>2</v>
      </c>
      <c r="H24" s="219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45115.524305555555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199.46</v>
      </c>
      <c r="I27" s="60">
        <v>0</v>
      </c>
      <c r="J27" s="61">
        <f>F27/H27</f>
        <v>1.002707309736288</v>
      </c>
      <c r="K27" s="61">
        <f>(H27-F27)*100/F27</f>
        <v>-0.26999999999999602</v>
      </c>
      <c r="L27" s="60" t="s">
        <v>67</v>
      </c>
      <c r="M27" s="78" t="s">
        <v>215</v>
      </c>
      <c r="O27" s="213" t="s">
        <v>949</v>
      </c>
      <c r="P27" s="64" t="s">
        <v>71</v>
      </c>
      <c r="Q27" s="64">
        <v>4951.96</v>
      </c>
      <c r="R27" s="64">
        <v>3900.55</v>
      </c>
      <c r="S27" s="77" t="s">
        <v>224</v>
      </c>
      <c r="T27" s="77">
        <v>800.88</v>
      </c>
      <c r="U27" s="86">
        <v>0.99790000000000001</v>
      </c>
      <c r="V27" s="86">
        <v>1.0043</v>
      </c>
      <c r="W27" s="60" t="s">
        <v>67</v>
      </c>
      <c r="X27" s="78" t="s">
        <v>215</v>
      </c>
    </row>
    <row r="28" spans="2:24" s="24" customFormat="1" ht="15.75" x14ac:dyDescent="0.25">
      <c r="B28" s="63">
        <v>45854.518055555556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200.54</v>
      </c>
      <c r="I28" s="60">
        <v>0</v>
      </c>
      <c r="J28" s="61">
        <f t="shared" ref="J28:J33" si="2">F28/H28</f>
        <v>0.997307270370001</v>
      </c>
      <c r="K28" s="61">
        <f t="shared" ref="K28:K33" si="3">(H28-F28)*100/F28</f>
        <v>0.26999999999999602</v>
      </c>
      <c r="L28" s="60" t="s">
        <v>67</v>
      </c>
      <c r="M28" s="62" t="s">
        <v>221</v>
      </c>
      <c r="O28" s="213" t="s">
        <v>1732</v>
      </c>
      <c r="P28" s="64" t="s">
        <v>71</v>
      </c>
      <c r="Q28" s="64">
        <v>5026.32</v>
      </c>
      <c r="R28" s="64">
        <v>3024.65</v>
      </c>
      <c r="S28" s="77" t="s">
        <v>224</v>
      </c>
      <c r="T28" s="77">
        <v>804.22</v>
      </c>
      <c r="U28" s="86">
        <v>0.91420000000000001</v>
      </c>
      <c r="V28" s="86">
        <v>0.91220000000000001</v>
      </c>
      <c r="W28" s="60" t="s">
        <v>67</v>
      </c>
      <c r="X28" s="62" t="s">
        <v>215</v>
      </c>
    </row>
    <row r="29" spans="2:24" s="24" customFormat="1" ht="15.75" x14ac:dyDescent="0.25">
      <c r="B29" s="63">
        <v>45863.509027777778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201.2</v>
      </c>
      <c r="I29" s="60">
        <v>0</v>
      </c>
      <c r="J29" s="61">
        <f t="shared" si="2"/>
        <v>0.99403578528827041</v>
      </c>
      <c r="K29" s="61">
        <f t="shared" si="3"/>
        <v>0.59999999999999432</v>
      </c>
      <c r="L29" s="60" t="s">
        <v>67</v>
      </c>
      <c r="M29" s="62" t="s">
        <v>222</v>
      </c>
      <c r="O29" s="213" t="s">
        <v>2603</v>
      </c>
      <c r="P29" s="64" t="s">
        <v>71</v>
      </c>
      <c r="Q29" s="64">
        <v>4925.3100000000004</v>
      </c>
      <c r="R29" s="64">
        <v>3958.32</v>
      </c>
      <c r="S29" s="77" t="s">
        <v>224</v>
      </c>
      <c r="T29" s="77">
        <v>803.65</v>
      </c>
      <c r="U29" s="86">
        <v>0.90610000000000002</v>
      </c>
      <c r="V29" s="86">
        <v>0.9002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222</v>
      </c>
      <c r="O30" s="63"/>
      <c r="P30" s="64" t="s">
        <v>71</v>
      </c>
      <c r="Q30" s="64"/>
      <c r="R30" s="64"/>
      <c r="S30" s="77" t="s">
        <v>224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7" t="s">
        <v>85</v>
      </c>
      <c r="Q40" s="217"/>
      <c r="R40" s="217"/>
      <c r="S40" s="217"/>
      <c r="T40" s="81">
        <f>COUNT(O27:O39)</f>
        <v>0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8" t="s">
        <v>26</v>
      </c>
      <c r="E41" s="218"/>
      <c r="F41" s="218"/>
      <c r="G41" s="218"/>
      <c r="H41" s="218"/>
      <c r="I41" s="218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9" t="s">
        <v>23</v>
      </c>
      <c r="H44" s="219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221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8" t="s">
        <v>27</v>
      </c>
      <c r="E61" s="218"/>
      <c r="F61" s="218"/>
      <c r="G61" s="218"/>
      <c r="H61" s="218"/>
      <c r="I61" s="218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9" t="s">
        <v>3</v>
      </c>
      <c r="H64" s="219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45115.569444444445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221</v>
      </c>
    </row>
    <row r="68" spans="2:13" ht="15.75" x14ac:dyDescent="0.25">
      <c r="B68" s="63">
        <v>45854.561805555553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62" t="s">
        <v>222</v>
      </c>
    </row>
    <row r="69" spans="2:13" ht="15.75" x14ac:dyDescent="0.25">
      <c r="B69" s="63">
        <v>45863.571527777778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222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222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8" t="s">
        <v>28</v>
      </c>
      <c r="E81" s="218"/>
      <c r="F81" s="218"/>
      <c r="G81" s="218"/>
      <c r="H81" s="218"/>
      <c r="I81" s="218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9" t="s">
        <v>24</v>
      </c>
      <c r="H84" s="219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8" t="s">
        <v>29</v>
      </c>
      <c r="E101" s="218"/>
      <c r="F101" s="218"/>
      <c r="G101" s="218"/>
      <c r="H101" s="218"/>
      <c r="I101" s="218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0" t="s">
        <v>4</v>
      </c>
      <c r="H104" s="220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45846.724999999999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321.41000000000003</v>
      </c>
      <c r="I107" s="60">
        <f>G107-E107</f>
        <v>0</v>
      </c>
      <c r="J107" s="61">
        <f>F107/H107</f>
        <v>0.99561307986683667</v>
      </c>
      <c r="K107" s="61">
        <f>(H107-F107)*100/F107</f>
        <v>0.44062500000000782</v>
      </c>
      <c r="L107" s="60" t="s">
        <v>67</v>
      </c>
      <c r="M107" s="62" t="s">
        <v>221</v>
      </c>
    </row>
    <row r="108" spans="2:13" ht="15.75" x14ac:dyDescent="0.25">
      <c r="B108" s="63">
        <v>45854.706250000003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320.13</v>
      </c>
      <c r="I108" s="60">
        <f>G108-E108</f>
        <v>0</v>
      </c>
      <c r="J108" s="61">
        <f>F108/H108</f>
        <v>0.99959391497204264</v>
      </c>
      <c r="K108" s="61">
        <f>(H108-F108)*100/F108</f>
        <v>4.0624999999998579E-2</v>
      </c>
      <c r="L108" s="60" t="s">
        <v>67</v>
      </c>
      <c r="M108" s="62" t="s">
        <v>222</v>
      </c>
    </row>
    <row r="109" spans="2:13" ht="15.75" x14ac:dyDescent="0.25">
      <c r="B109" s="63">
        <v>45863.717361111114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319.56</v>
      </c>
      <c r="I109" s="60">
        <f t="shared" ref="I109:I114" si="8">G109-E109</f>
        <v>0</v>
      </c>
      <c r="J109" s="61">
        <f t="shared" ref="J109:J114" si="9">F109/H109</f>
        <v>1.0013768932281888</v>
      </c>
      <c r="K109" s="61">
        <f t="shared" ref="K109:K114" si="10">(H109-F109)*100/F109</f>
        <v>-0.13749999999999929</v>
      </c>
      <c r="L109" s="60" t="s">
        <v>67</v>
      </c>
      <c r="M109" s="62" t="s">
        <v>222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222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8" t="s">
        <v>69</v>
      </c>
      <c r="D119" s="218"/>
      <c r="E119" s="218"/>
      <c r="F119" s="218"/>
      <c r="G119" s="218"/>
      <c r="H119" s="218"/>
      <c r="I119" s="52">
        <f>COUNT(B107:B118)</f>
        <v>3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3" t="s">
        <v>226</v>
      </c>
      <c r="C2" s="223"/>
      <c r="D2" s="224">
        <v>45017</v>
      </c>
      <c r="E2" s="224"/>
    </row>
    <row r="3" spans="1:5" x14ac:dyDescent="0.25">
      <c r="B3" s="223" t="s">
        <v>21</v>
      </c>
      <c r="C3" s="223"/>
      <c r="D3" s="224"/>
      <c r="E3" s="224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5" t="s">
        <v>22</v>
      </c>
      <c r="C44" s="225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1" t="s">
        <v>219</v>
      </c>
      <c r="C2" s="241"/>
      <c r="D2" s="241"/>
      <c r="E2" s="241"/>
      <c r="F2" s="242">
        <v>44713</v>
      </c>
      <c r="G2" s="243"/>
      <c r="H2" s="243"/>
    </row>
    <row r="3" spans="2:24" s="12" customFormat="1" ht="15" customHeight="1" x14ac:dyDescent="0.25">
      <c r="B3" s="241"/>
      <c r="C3" s="241"/>
      <c r="D3" s="241"/>
      <c r="E3" s="241"/>
      <c r="F3" s="243"/>
      <c r="G3" s="243"/>
      <c r="H3" s="24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4" t="s">
        <v>4</v>
      </c>
      <c r="C12" s="246" t="s">
        <v>133</v>
      </c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127"/>
      <c r="U12" s="125"/>
    </row>
    <row r="13" spans="2:24" ht="15" customHeight="1" x14ac:dyDescent="0.25">
      <c r="B13" s="245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5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5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4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5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9" t="s">
        <v>133</v>
      </c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28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8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0" t="s">
        <v>3</v>
      </c>
      <c r="C36" s="232" t="s">
        <v>133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</row>
    <row r="37" spans="2:25" ht="15.75" customHeight="1" x14ac:dyDescent="0.25">
      <c r="B37" s="231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1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1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1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4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5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5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5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5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9" t="s">
        <v>133</v>
      </c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28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7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7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8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9" t="s">
        <v>133</v>
      </c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28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7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8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6" t="s">
        <v>24</v>
      </c>
      <c r="C77" s="228" t="s">
        <v>133</v>
      </c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177"/>
      <c r="S77" s="177"/>
      <c r="T77" s="178"/>
    </row>
    <row r="78" spans="2:20" x14ac:dyDescent="0.25">
      <c r="B78" s="227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7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7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7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7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7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2025-10-24T15:44:51Z</dcterms:modified>
</cp:coreProperties>
</file>