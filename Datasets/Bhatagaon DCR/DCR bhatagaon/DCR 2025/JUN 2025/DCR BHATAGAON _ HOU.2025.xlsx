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C38" i="24" l="1"/>
  <c r="D38" i="24"/>
  <c r="B38" i="24"/>
  <c r="C38" i="25"/>
  <c r="D38" i="25"/>
  <c r="B38" i="25"/>
  <c r="N17" i="39"/>
  <c r="O17" i="39"/>
  <c r="P17" i="39"/>
  <c r="N15" i="39"/>
  <c r="O15" i="39"/>
  <c r="P15" i="39"/>
  <c r="B2" i="20" l="1"/>
  <c r="E38" i="39"/>
  <c r="D38" i="39"/>
  <c r="C38" i="39"/>
  <c r="E37" i="39"/>
  <c r="D37" i="39"/>
  <c r="H33" i="39"/>
  <c r="O30" i="39"/>
  <c r="M30" i="39"/>
  <c r="H28" i="39"/>
  <c r="F27" i="39"/>
  <c r="P26" i="39"/>
  <c r="O26" i="39"/>
  <c r="P25" i="39"/>
  <c r="Q24" i="39"/>
  <c r="A24" i="39"/>
  <c r="A23" i="39"/>
  <c r="C22" i="39"/>
  <c r="D21" i="39"/>
  <c r="F20" i="39"/>
  <c r="E20" i="39"/>
  <c r="F19" i="39"/>
  <c r="O18" i="39"/>
  <c r="G18" i="39"/>
  <c r="H17" i="39"/>
  <c r="I16" i="39"/>
  <c r="J15" i="39"/>
  <c r="K14" i="39"/>
  <c r="M13" i="39"/>
  <c r="L13" i="39"/>
  <c r="N12" i="39"/>
  <c r="M12" i="39"/>
  <c r="O11" i="39"/>
  <c r="N11" i="39"/>
  <c r="O10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D36" i="4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39" i="40" s="1"/>
  <c r="I38" i="40"/>
  <c r="I39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39" i="27" s="1"/>
  <c r="G38" i="27"/>
  <c r="G40" i="27" s="1"/>
  <c r="F38" i="27"/>
  <c r="F39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N36" i="27"/>
  <c r="N30" i="39" s="1"/>
  <c r="M36" i="27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40" i="25"/>
  <c r="C40" i="25"/>
  <c r="B40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40" i="24"/>
  <c r="C40" i="24"/>
  <c r="B40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39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I39" i="22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I40" i="21"/>
  <c r="I39" i="2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39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L39" i="17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39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39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39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39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39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I39" i="41" l="1"/>
  <c r="J39" i="41"/>
  <c r="K39" i="41"/>
  <c r="L39" i="41"/>
  <c r="M39" i="41"/>
  <c r="N39" i="41"/>
  <c r="O39" i="41"/>
  <c r="P39" i="41"/>
  <c r="Q39" i="41"/>
  <c r="B39" i="41"/>
  <c r="C39" i="41"/>
  <c r="D39" i="41"/>
  <c r="E39" i="41"/>
  <c r="F39" i="41"/>
  <c r="G39" i="41"/>
  <c r="H39" i="41"/>
  <c r="I40" i="40"/>
  <c r="K39" i="40"/>
  <c r="L39" i="40"/>
  <c r="M39" i="40"/>
  <c r="N39" i="40"/>
  <c r="O39" i="40"/>
  <c r="P39" i="40"/>
  <c r="Q39" i="40"/>
  <c r="B39" i="40"/>
  <c r="C39" i="40"/>
  <c r="D39" i="40"/>
  <c r="E39" i="40"/>
  <c r="J40" i="40"/>
  <c r="F39" i="40"/>
  <c r="G39" i="40"/>
  <c r="H39" i="40"/>
  <c r="K39" i="33"/>
  <c r="L39" i="33"/>
  <c r="M39" i="33"/>
  <c r="N39" i="33"/>
  <c r="O39" i="33"/>
  <c r="P39" i="33"/>
  <c r="Q39" i="33"/>
  <c r="B39" i="33"/>
  <c r="C39" i="33"/>
  <c r="D39" i="33"/>
  <c r="E39" i="33"/>
  <c r="F39" i="33"/>
  <c r="G39" i="33"/>
  <c r="H39" i="33"/>
  <c r="I39" i="33"/>
  <c r="J39" i="33"/>
  <c r="M39" i="32"/>
  <c r="N39" i="32"/>
  <c r="O39" i="32"/>
  <c r="P39" i="32"/>
  <c r="Q39" i="32"/>
  <c r="B39" i="32"/>
  <c r="C39" i="32"/>
  <c r="D39" i="32"/>
  <c r="E39" i="32"/>
  <c r="F39" i="32"/>
  <c r="G39" i="32"/>
  <c r="H39" i="32"/>
  <c r="I39" i="32"/>
  <c r="J39" i="32"/>
  <c r="K39" i="32"/>
  <c r="L39" i="32"/>
  <c r="O39" i="31"/>
  <c r="P39" i="31"/>
  <c r="Q39" i="31"/>
  <c r="B39" i="31"/>
  <c r="C39" i="31"/>
  <c r="D39" i="31"/>
  <c r="E39" i="31"/>
  <c r="F39" i="31"/>
  <c r="G39" i="31"/>
  <c r="H39" i="31"/>
  <c r="I39" i="31"/>
  <c r="J39" i="31"/>
  <c r="K39" i="31"/>
  <c r="L39" i="31"/>
  <c r="M39" i="31"/>
  <c r="N39" i="31"/>
  <c r="Q39" i="30"/>
  <c r="B39" i="30"/>
  <c r="C39" i="30"/>
  <c r="D39" i="30"/>
  <c r="E39" i="30"/>
  <c r="F39" i="30"/>
  <c r="G39" i="30"/>
  <c r="H39" i="30"/>
  <c r="I39" i="30"/>
  <c r="J39" i="30"/>
  <c r="K39" i="30"/>
  <c r="L39" i="30"/>
  <c r="P39" i="30"/>
  <c r="M39" i="30"/>
  <c r="N39" i="30"/>
  <c r="O39" i="30"/>
  <c r="B39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B39" i="28"/>
  <c r="C39" i="28"/>
  <c r="D39" i="27"/>
  <c r="E39" i="27"/>
  <c r="F40" i="27"/>
  <c r="G39" i="27"/>
  <c r="I39" i="27"/>
  <c r="J39" i="27"/>
  <c r="K39" i="27"/>
  <c r="H40" i="27"/>
  <c r="L39" i="27"/>
  <c r="M39" i="27"/>
  <c r="N39" i="27"/>
  <c r="O39" i="27"/>
  <c r="P39" i="27"/>
  <c r="Q39" i="27"/>
  <c r="B39" i="27"/>
  <c r="C39" i="27"/>
  <c r="F39" i="26"/>
  <c r="G39" i="26"/>
  <c r="H39" i="26"/>
  <c r="I39" i="26"/>
  <c r="J39" i="26"/>
  <c r="K39" i="26"/>
  <c r="L39" i="26"/>
  <c r="M39" i="26"/>
  <c r="N39" i="26"/>
  <c r="O39" i="26"/>
  <c r="P39" i="26"/>
  <c r="Q39" i="26"/>
  <c r="B39" i="26"/>
  <c r="C39" i="26"/>
  <c r="D39" i="26"/>
  <c r="E39" i="26"/>
  <c r="B39" i="25"/>
  <c r="G39" i="25"/>
  <c r="H39" i="25"/>
  <c r="I39" i="25"/>
  <c r="J39" i="25"/>
  <c r="K39" i="25"/>
  <c r="M39" i="25"/>
  <c r="L39" i="25"/>
  <c r="N39" i="25"/>
  <c r="O39" i="25"/>
  <c r="P39" i="25"/>
  <c r="Q39" i="25"/>
  <c r="C39" i="25"/>
  <c r="D39" i="25"/>
  <c r="E39" i="25"/>
  <c r="F39" i="25"/>
  <c r="H39" i="24"/>
  <c r="I39" i="24"/>
  <c r="J39" i="24"/>
  <c r="K39" i="24"/>
  <c r="L39" i="24"/>
  <c r="M39" i="24"/>
  <c r="P39" i="24"/>
  <c r="N39" i="24"/>
  <c r="O39" i="24"/>
  <c r="Q39" i="24"/>
  <c r="B39" i="24"/>
  <c r="C39" i="24"/>
  <c r="D39" i="24"/>
  <c r="E39" i="24"/>
  <c r="F39" i="24"/>
  <c r="G39" i="24"/>
  <c r="J39" i="23"/>
  <c r="K39" i="23"/>
  <c r="L39" i="23"/>
  <c r="M39" i="23"/>
  <c r="N39" i="23"/>
  <c r="O39" i="23"/>
  <c r="H39" i="23"/>
  <c r="I40" i="23"/>
  <c r="P39" i="23"/>
  <c r="Q39" i="23"/>
  <c r="B39" i="23"/>
  <c r="C39" i="23"/>
  <c r="D39" i="23"/>
  <c r="E39" i="23"/>
  <c r="F39" i="23"/>
  <c r="G39" i="23"/>
  <c r="J39" i="22"/>
  <c r="K39" i="22"/>
  <c r="L39" i="22"/>
  <c r="M39" i="22"/>
  <c r="N39" i="22"/>
  <c r="O39" i="22"/>
  <c r="P39" i="22"/>
  <c r="Q39" i="22"/>
  <c r="B39" i="22"/>
  <c r="C39" i="22"/>
  <c r="D39" i="22"/>
  <c r="E39" i="22"/>
  <c r="F39" i="22"/>
  <c r="G39" i="22"/>
  <c r="H39" i="22"/>
  <c r="J39" i="21"/>
  <c r="K39" i="21"/>
  <c r="L39" i="21"/>
  <c r="M39" i="21"/>
  <c r="N39" i="21"/>
  <c r="O39" i="21"/>
  <c r="P39" i="21"/>
  <c r="Q39" i="21"/>
  <c r="B39" i="21"/>
  <c r="C39" i="21"/>
  <c r="D39" i="21"/>
  <c r="E39" i="21"/>
  <c r="F39" i="21"/>
  <c r="G39" i="21"/>
  <c r="H39" i="21"/>
  <c r="J39" i="20"/>
  <c r="K39" i="20"/>
  <c r="L39" i="20"/>
  <c r="M39" i="20"/>
  <c r="N39" i="20"/>
  <c r="O39" i="20"/>
  <c r="P39" i="20"/>
  <c r="Q39" i="20"/>
  <c r="B39" i="20"/>
  <c r="C39" i="20"/>
  <c r="D39" i="20"/>
  <c r="E39" i="20"/>
  <c r="F39" i="20"/>
  <c r="G39" i="20"/>
  <c r="H39" i="20"/>
  <c r="I39" i="20"/>
  <c r="K39" i="19"/>
  <c r="L39" i="19"/>
  <c r="M39" i="19"/>
  <c r="N39" i="19"/>
  <c r="O39" i="19"/>
  <c r="P39" i="19"/>
  <c r="Q39" i="19"/>
  <c r="B39" i="19"/>
  <c r="J40" i="19"/>
  <c r="C39" i="19"/>
  <c r="D39" i="19"/>
  <c r="E39" i="19"/>
  <c r="F39" i="19"/>
  <c r="G39" i="19"/>
  <c r="H39" i="19"/>
  <c r="I39" i="19"/>
  <c r="L39" i="18"/>
  <c r="M39" i="18"/>
  <c r="N39" i="18"/>
  <c r="O39" i="18"/>
  <c r="P39" i="18"/>
  <c r="Q39" i="18"/>
  <c r="B39" i="18"/>
  <c r="C39" i="18"/>
  <c r="D39" i="18"/>
  <c r="E39" i="18"/>
  <c r="K39" i="18"/>
  <c r="F39" i="18"/>
  <c r="G39" i="18"/>
  <c r="H39" i="18"/>
  <c r="I39" i="18"/>
  <c r="J39" i="18"/>
  <c r="K40" i="17"/>
  <c r="M39" i="17"/>
  <c r="N39" i="17"/>
  <c r="O39" i="17"/>
  <c r="P39" i="17"/>
  <c r="Q39" i="17"/>
  <c r="B39" i="17"/>
  <c r="C39" i="17"/>
  <c r="D39" i="17"/>
  <c r="E39" i="17"/>
  <c r="F39" i="17"/>
  <c r="G39" i="17"/>
  <c r="H39" i="17"/>
  <c r="I39" i="17"/>
  <c r="J39" i="17"/>
  <c r="M39" i="16"/>
  <c r="N39" i="16"/>
  <c r="O39" i="16"/>
  <c r="P39" i="16"/>
  <c r="Q39" i="16"/>
  <c r="B39" i="16"/>
  <c r="C39" i="16"/>
  <c r="L40" i="16"/>
  <c r="D39" i="16"/>
  <c r="E39" i="16"/>
  <c r="F39" i="16"/>
  <c r="G39" i="16"/>
  <c r="H39" i="16"/>
  <c r="I39" i="16"/>
  <c r="J39" i="16"/>
  <c r="K39" i="16"/>
  <c r="M39" i="15"/>
  <c r="L39" i="15"/>
  <c r="N39" i="15"/>
  <c r="O39" i="15"/>
  <c r="P39" i="15"/>
  <c r="Q39" i="15"/>
  <c r="B39" i="15"/>
  <c r="C39" i="15"/>
  <c r="E39" i="15"/>
  <c r="F39" i="15"/>
  <c r="D39" i="15"/>
  <c r="G39" i="15"/>
  <c r="H39" i="15"/>
  <c r="I39" i="15"/>
  <c r="J39" i="15"/>
  <c r="K39" i="15"/>
  <c r="J39" i="14"/>
  <c r="K39" i="14"/>
  <c r="L39" i="14"/>
  <c r="M39" i="14"/>
  <c r="N39" i="14"/>
  <c r="O39" i="14"/>
  <c r="P39" i="14"/>
  <c r="Q39" i="14"/>
  <c r="B39" i="14"/>
  <c r="C39" i="14"/>
  <c r="D39" i="14"/>
  <c r="E39" i="14"/>
  <c r="F39" i="14"/>
  <c r="G39" i="14"/>
  <c r="H39" i="14"/>
  <c r="I39" i="14"/>
  <c r="L39" i="13"/>
  <c r="M39" i="13"/>
  <c r="N39" i="13"/>
  <c r="O39" i="13"/>
  <c r="P39" i="13"/>
  <c r="Q39" i="13"/>
  <c r="B39" i="13"/>
  <c r="C39" i="13"/>
  <c r="K39" i="13"/>
  <c r="D39" i="13"/>
  <c r="E39" i="13"/>
  <c r="F39" i="13"/>
  <c r="G39" i="13"/>
  <c r="H39" i="13"/>
  <c r="I39" i="13"/>
  <c r="J39" i="13"/>
  <c r="J39" i="12"/>
  <c r="K39" i="12"/>
  <c r="L39" i="12"/>
  <c r="M39" i="12"/>
  <c r="N39" i="12"/>
  <c r="O39" i="12"/>
  <c r="I40" i="12"/>
  <c r="P39" i="12"/>
  <c r="Q39" i="12"/>
  <c r="B39" i="12"/>
  <c r="C39" i="12"/>
  <c r="D39" i="12"/>
  <c r="E39" i="12"/>
  <c r="F39" i="12"/>
  <c r="G39" i="12"/>
  <c r="H39" i="12"/>
  <c r="K39" i="11"/>
  <c r="L39" i="11"/>
  <c r="M39" i="11"/>
  <c r="J40" i="11"/>
  <c r="N39" i="11"/>
  <c r="O39" i="11"/>
  <c r="P39" i="11"/>
  <c r="Q39" i="11"/>
  <c r="B39" i="11"/>
  <c r="C39" i="11"/>
  <c r="D39" i="11"/>
  <c r="E39" i="11"/>
  <c r="F39" i="11"/>
  <c r="G39" i="11"/>
  <c r="H39" i="11"/>
  <c r="I39" i="11"/>
  <c r="K40" i="10"/>
  <c r="L39" i="10"/>
  <c r="M39" i="10"/>
  <c r="N39" i="10"/>
  <c r="O39" i="10"/>
  <c r="P39" i="10"/>
  <c r="Q39" i="10"/>
  <c r="J39" i="10"/>
  <c r="B39" i="10"/>
  <c r="C39" i="10"/>
  <c r="D39" i="10"/>
  <c r="E39" i="10"/>
  <c r="F39" i="10"/>
  <c r="G39" i="10"/>
  <c r="H39" i="10"/>
  <c r="I39" i="10"/>
  <c r="L39" i="9"/>
  <c r="M39" i="9"/>
  <c r="J39" i="9"/>
  <c r="N39" i="9"/>
  <c r="O39" i="9"/>
  <c r="P39" i="9"/>
  <c r="Q39" i="9"/>
  <c r="B39" i="9"/>
  <c r="C39" i="9"/>
  <c r="K39" i="9"/>
  <c r="D39" i="9"/>
  <c r="E39" i="9"/>
  <c r="F39" i="9"/>
  <c r="G39" i="9"/>
  <c r="H39" i="9"/>
  <c r="I39" i="9"/>
  <c r="L39" i="8"/>
  <c r="M39" i="8"/>
  <c r="N39" i="8"/>
  <c r="O39" i="8"/>
  <c r="P39" i="8"/>
  <c r="Q39" i="8"/>
  <c r="K39" i="8"/>
  <c r="B39" i="8"/>
  <c r="C39" i="8"/>
  <c r="J39" i="8"/>
  <c r="D39" i="8"/>
  <c r="E39" i="8"/>
  <c r="F39" i="8"/>
  <c r="G39" i="8"/>
  <c r="H39" i="8"/>
  <c r="I39" i="8"/>
  <c r="L39" i="3"/>
  <c r="M39" i="3"/>
  <c r="N39" i="3"/>
  <c r="K39" i="3"/>
  <c r="O39" i="3"/>
  <c r="P39" i="3"/>
  <c r="Q39" i="3"/>
  <c r="B39" i="3"/>
  <c r="C39" i="3"/>
  <c r="D39" i="3"/>
  <c r="E39" i="3"/>
  <c r="F39" i="3"/>
  <c r="G39" i="3"/>
  <c r="H39" i="3"/>
  <c r="I39" i="3"/>
  <c r="J39" i="3"/>
  <c r="M44" i="39"/>
  <c r="M43" i="39"/>
  <c r="M42" i="39"/>
  <c r="M41" i="39"/>
  <c r="M40" i="39"/>
  <c r="L44" i="39"/>
  <c r="L43" i="39"/>
  <c r="L42" i="39"/>
  <c r="L41" i="39"/>
  <c r="L40" i="39"/>
  <c r="O44" i="39"/>
  <c r="O43" i="39"/>
  <c r="O42" i="39"/>
  <c r="O41" i="39"/>
  <c r="O40" i="39"/>
  <c r="P44" i="39"/>
  <c r="P43" i="39"/>
  <c r="P42" i="39"/>
  <c r="P41" i="39"/>
  <c r="P40" i="39"/>
  <c r="Q44" i="39"/>
  <c r="Q43" i="39"/>
  <c r="Q42" i="39"/>
  <c r="Q41" i="39"/>
  <c r="Q40" i="39"/>
  <c r="B44" i="39"/>
  <c r="B43" i="39"/>
  <c r="B42" i="39"/>
  <c r="B41" i="39"/>
  <c r="B40" i="39"/>
  <c r="N44" i="39"/>
  <c r="N43" i="39"/>
  <c r="N42" i="39"/>
  <c r="N41" i="39"/>
  <c r="N40" i="39"/>
  <c r="C44" i="39"/>
  <c r="C43" i="39"/>
  <c r="C42" i="39"/>
  <c r="C41" i="39"/>
  <c r="C40" i="39"/>
  <c r="D44" i="39"/>
  <c r="D43" i="39"/>
  <c r="D42" i="39"/>
  <c r="D41" i="39"/>
  <c r="D40" i="39"/>
  <c r="E44" i="39"/>
  <c r="E43" i="39"/>
  <c r="E42" i="39"/>
  <c r="E41" i="39"/>
  <c r="E40" i="39"/>
  <c r="F44" i="39"/>
  <c r="F43" i="39"/>
  <c r="F42" i="39"/>
  <c r="F41" i="39"/>
  <c r="F40" i="39"/>
  <c r="G44" i="39"/>
  <c r="G43" i="39"/>
  <c r="G42" i="39"/>
  <c r="G41" i="39"/>
  <c r="G40" i="39"/>
  <c r="H44" i="39"/>
  <c r="H43" i="39"/>
  <c r="H42" i="39"/>
  <c r="H41" i="39"/>
  <c r="H40" i="39"/>
  <c r="I44" i="39"/>
  <c r="I43" i="39"/>
  <c r="I42" i="39"/>
  <c r="I41" i="39"/>
  <c r="I40" i="39"/>
  <c r="J44" i="39"/>
  <c r="J43" i="39"/>
  <c r="J42" i="39"/>
  <c r="J41" i="39"/>
  <c r="J40" i="39"/>
  <c r="K44" i="39"/>
  <c r="K43" i="39"/>
  <c r="K42" i="39"/>
  <c r="K41" i="39"/>
  <c r="K40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O46" i="39" l="1"/>
  <c r="O45" i="39"/>
  <c r="B46" i="39"/>
  <c r="B45" i="39"/>
  <c r="E46" i="39"/>
  <c r="E45" i="39"/>
  <c r="D46" i="39"/>
  <c r="D45" i="39"/>
  <c r="G46" i="39"/>
  <c r="G45" i="39"/>
  <c r="P46" i="39"/>
  <c r="P45" i="39"/>
  <c r="J46" i="39"/>
  <c r="J45" i="39"/>
  <c r="L46" i="39"/>
  <c r="L45" i="39"/>
  <c r="Q46" i="39"/>
  <c r="Q45" i="39"/>
  <c r="N46" i="39"/>
  <c r="N45" i="39"/>
  <c r="C46" i="39"/>
  <c r="C45" i="39"/>
  <c r="H46" i="39"/>
  <c r="H45" i="39"/>
  <c r="F46" i="39"/>
  <c r="F45" i="39"/>
  <c r="K46" i="39"/>
  <c r="K45" i="39"/>
  <c r="I46" i="39"/>
  <c r="I45" i="39"/>
  <c r="M46" i="39"/>
  <c r="M45" i="39"/>
</calcChain>
</file>

<file path=xl/sharedStrings.xml><?xml version="1.0" encoding="utf-8"?>
<sst xmlns="http://schemas.openxmlformats.org/spreadsheetml/2006/main" count="2802" uniqueCount="780">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</sst>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14" fillId="9" borderId="0" xfId="0" applyFont="1" applyFill="1" applyAlignment="1">
      <alignment horizontal="left"/>
    </xf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H14" sqref="H14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60</v>
      </c>
      <c r="B9" s="51">
        <v>12.33</v>
      </c>
      <c r="C9" s="51">
        <v>21.31</v>
      </c>
      <c r="D9" s="51">
        <v>23.55</v>
      </c>
      <c r="E9" s="51">
        <v>4.9400000000000004</v>
      </c>
      <c r="F9" s="51">
        <v>6.88</v>
      </c>
      <c r="G9" s="51">
        <v>55.16</v>
      </c>
      <c r="H9" s="51">
        <v>9.02</v>
      </c>
      <c r="I9" s="51">
        <v>4.04</v>
      </c>
      <c r="J9" s="51">
        <v>0.3</v>
      </c>
      <c r="K9" s="51">
        <v>359.43</v>
      </c>
      <c r="L9" s="51">
        <v>25.27</v>
      </c>
      <c r="M9" s="51">
        <v>100.89</v>
      </c>
      <c r="N9" s="51">
        <v>26.3</v>
      </c>
      <c r="O9" s="51">
        <v>0</v>
      </c>
      <c r="P9" s="51">
        <v>0.62</v>
      </c>
      <c r="Q9" s="51">
        <v>9.41</v>
      </c>
      <c r="R9" s="43"/>
      <c r="S9" s="43"/>
      <c r="T9" s="43"/>
      <c r="U9" s="43"/>
    </row>
    <row r="10" spans="1:21" s="11" customFormat="1" x14ac:dyDescent="0.25">
      <c r="A10" s="50" t="s">
        <v>61</v>
      </c>
      <c r="B10" s="51">
        <v>19.46</v>
      </c>
      <c r="C10" s="51">
        <v>32.39</v>
      </c>
      <c r="D10" s="51">
        <v>33.380000000000003</v>
      </c>
      <c r="E10" s="51">
        <v>4.82</v>
      </c>
      <c r="F10" s="51">
        <v>6.01</v>
      </c>
      <c r="G10" s="51">
        <v>52.29</v>
      </c>
      <c r="H10" s="51">
        <v>22.87</v>
      </c>
      <c r="I10" s="51">
        <v>4</v>
      </c>
      <c r="J10" s="51">
        <v>7.0000000000000007E-2</v>
      </c>
      <c r="K10" s="51">
        <v>333.48</v>
      </c>
      <c r="L10" s="51">
        <v>25.03</v>
      </c>
      <c r="M10" s="51">
        <v>100.93</v>
      </c>
      <c r="N10" s="51">
        <v>26.3</v>
      </c>
      <c r="O10" s="51">
        <v>0</v>
      </c>
      <c r="P10" s="51">
        <v>0.62</v>
      </c>
      <c r="Q10" s="51">
        <v>9.43</v>
      </c>
      <c r="R10" s="43"/>
      <c r="S10" s="43"/>
      <c r="T10" s="43"/>
      <c r="U10" s="43"/>
    </row>
    <row r="11" spans="1:21" s="11" customFormat="1" x14ac:dyDescent="0.25">
      <c r="A11" s="50" t="s">
        <v>62</v>
      </c>
      <c r="B11" s="51">
        <v>36.39</v>
      </c>
      <c r="C11" s="51">
        <v>48.39</v>
      </c>
      <c r="D11" s="51">
        <v>36.770000000000003</v>
      </c>
      <c r="E11" s="51">
        <v>5.21</v>
      </c>
      <c r="F11" s="51">
        <v>4.24</v>
      </c>
      <c r="G11" s="51">
        <v>49.02</v>
      </c>
      <c r="H11" s="51">
        <v>17.84</v>
      </c>
      <c r="I11" s="51">
        <v>4.08</v>
      </c>
      <c r="J11" s="51">
        <v>0.26</v>
      </c>
      <c r="K11" s="51">
        <v>319.24</v>
      </c>
      <c r="L11" s="51">
        <v>24.81</v>
      </c>
      <c r="M11" s="51">
        <v>101.04</v>
      </c>
      <c r="N11" s="51">
        <v>26.2</v>
      </c>
      <c r="O11" s="51">
        <v>0</v>
      </c>
      <c r="P11" s="51">
        <v>0.63</v>
      </c>
      <c r="Q11" s="51">
        <v>9.56</v>
      </c>
      <c r="R11" s="43"/>
      <c r="S11" s="43"/>
      <c r="T11" s="43"/>
      <c r="U11" s="43"/>
    </row>
    <row r="12" spans="1:21" s="11" customFormat="1" x14ac:dyDescent="0.25">
      <c r="A12" s="50" t="s">
        <v>63</v>
      </c>
      <c r="B12" s="51">
        <v>21.53</v>
      </c>
      <c r="C12" s="51">
        <v>30.79</v>
      </c>
      <c r="D12" s="51">
        <v>25.88</v>
      </c>
      <c r="E12" s="51">
        <v>5.15</v>
      </c>
      <c r="F12" s="51">
        <v>4.7300000000000004</v>
      </c>
      <c r="G12" s="51">
        <v>48.14</v>
      </c>
      <c r="H12" s="51">
        <v>21</v>
      </c>
      <c r="I12" s="51">
        <v>4.24</v>
      </c>
      <c r="J12" s="51">
        <v>0.17</v>
      </c>
      <c r="K12" s="51">
        <v>228.31</v>
      </c>
      <c r="L12" s="51">
        <v>24.52</v>
      </c>
      <c r="M12" s="51">
        <v>101.04</v>
      </c>
      <c r="N12" s="51">
        <v>26.2</v>
      </c>
      <c r="O12" s="51">
        <v>0</v>
      </c>
      <c r="P12" s="51">
        <v>0.6</v>
      </c>
      <c r="Q12" s="51">
        <v>9.6199999999999992</v>
      </c>
      <c r="R12" s="43"/>
      <c r="S12" s="43"/>
      <c r="T12" s="43"/>
      <c r="U12" s="43"/>
    </row>
    <row r="13" spans="1:21" s="11" customFormat="1" x14ac:dyDescent="0.25">
      <c r="A13" s="50" t="s">
        <v>64</v>
      </c>
      <c r="B13" s="51">
        <v>22.63</v>
      </c>
      <c r="C13" s="51">
        <v>29.82</v>
      </c>
      <c r="D13" s="51">
        <v>22.33</v>
      </c>
      <c r="E13" s="51">
        <v>5.04</v>
      </c>
      <c r="F13" s="51">
        <v>4.2</v>
      </c>
      <c r="G13" s="51">
        <v>47.31</v>
      </c>
      <c r="H13" s="51">
        <v>18.02</v>
      </c>
      <c r="I13" s="51">
        <v>4.08</v>
      </c>
      <c r="J13" s="51">
        <v>0.19</v>
      </c>
      <c r="K13" s="51">
        <v>202.67</v>
      </c>
      <c r="L13" s="51">
        <v>23.97</v>
      </c>
      <c r="M13" s="51">
        <v>101.01</v>
      </c>
      <c r="N13" s="51">
        <v>26.1</v>
      </c>
      <c r="O13" s="51">
        <v>0</v>
      </c>
      <c r="P13" s="51">
        <v>0.55000000000000004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65</v>
      </c>
      <c r="B14" s="51">
        <v>17.510000000000002</v>
      </c>
      <c r="C14" s="51">
        <v>23.67</v>
      </c>
      <c r="D14" s="51">
        <v>19.350000000000001</v>
      </c>
      <c r="E14" s="51">
        <v>4.8</v>
      </c>
      <c r="F14" s="51">
        <v>5.24</v>
      </c>
      <c r="G14" s="51">
        <v>43.61</v>
      </c>
      <c r="H14" s="51">
        <v>14.62</v>
      </c>
      <c r="I14" s="51">
        <v>4.12</v>
      </c>
      <c r="J14" s="51">
        <v>0.2</v>
      </c>
      <c r="K14" s="51">
        <v>223.75</v>
      </c>
      <c r="L14" s="51">
        <v>24.01</v>
      </c>
      <c r="M14" s="51">
        <v>101.05</v>
      </c>
      <c r="N14" s="51">
        <v>61.3</v>
      </c>
      <c r="O14" s="51">
        <v>0</v>
      </c>
      <c r="P14" s="51">
        <v>0.52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66</v>
      </c>
      <c r="B15" s="51">
        <v>19.8</v>
      </c>
      <c r="C15" s="51">
        <v>31.3</v>
      </c>
      <c r="D15" s="51">
        <v>29.52</v>
      </c>
      <c r="E15" s="51">
        <v>4.83</v>
      </c>
      <c r="F15" s="51">
        <v>7.96</v>
      </c>
      <c r="G15" s="51">
        <v>42.81</v>
      </c>
      <c r="H15" s="51">
        <v>12.89</v>
      </c>
      <c r="I15" s="51">
        <v>4.01</v>
      </c>
      <c r="J15" s="51">
        <v>0.15</v>
      </c>
      <c r="K15" s="51">
        <v>280.67</v>
      </c>
      <c r="L15" s="51">
        <v>26.2</v>
      </c>
      <c r="M15" s="51">
        <v>101.02</v>
      </c>
      <c r="N15" s="51">
        <v>215.9</v>
      </c>
      <c r="O15" s="51">
        <v>0</v>
      </c>
      <c r="P15" s="51">
        <v>0.56000000000000005</v>
      </c>
      <c r="Q15" s="51">
        <v>9.61</v>
      </c>
      <c r="R15" s="43"/>
      <c r="S15" s="43"/>
      <c r="T15" s="43"/>
      <c r="U15" s="43"/>
    </row>
    <row r="16" spans="1:21" s="11" customFormat="1" x14ac:dyDescent="0.25">
      <c r="A16" s="50" t="s">
        <v>67</v>
      </c>
      <c r="B16" s="51">
        <v>15.63</v>
      </c>
      <c r="C16" s="51">
        <v>27.71</v>
      </c>
      <c r="D16" s="51">
        <v>29.77</v>
      </c>
      <c r="E16" s="51">
        <v>5.12</v>
      </c>
      <c r="F16" s="51">
        <v>7.28</v>
      </c>
      <c r="G16" s="51">
        <v>43.05</v>
      </c>
      <c r="H16" s="51">
        <v>13.14</v>
      </c>
      <c r="I16" s="51">
        <v>4.0199999999999996</v>
      </c>
      <c r="J16" s="51">
        <v>0.16</v>
      </c>
      <c r="K16" s="51">
        <v>276.77999999999997</v>
      </c>
      <c r="L16" s="51">
        <v>28.88</v>
      </c>
      <c r="M16" s="51">
        <v>89.53</v>
      </c>
      <c r="N16" s="51">
        <v>423.7</v>
      </c>
      <c r="O16" s="51">
        <v>0</v>
      </c>
      <c r="P16" s="51">
        <v>0.54</v>
      </c>
      <c r="Q16" s="51">
        <v>9.61</v>
      </c>
      <c r="R16" s="43"/>
      <c r="S16" s="43"/>
      <c r="T16" s="43"/>
      <c r="U16" s="43"/>
    </row>
    <row r="17" spans="1:21" s="11" customFormat="1" x14ac:dyDescent="0.25">
      <c r="A17" s="50" t="s">
        <v>68</v>
      </c>
      <c r="B17" s="51">
        <v>16.059999999999999</v>
      </c>
      <c r="C17" s="51">
        <v>26.06</v>
      </c>
      <c r="D17" s="51">
        <v>26.05</v>
      </c>
      <c r="E17" s="51">
        <v>5.25</v>
      </c>
      <c r="F17" s="51">
        <v>3.88</v>
      </c>
      <c r="G17" s="51">
        <v>44.5</v>
      </c>
      <c r="H17" s="51">
        <v>15.83</v>
      </c>
      <c r="I17" s="51">
        <v>4.1399999999999997</v>
      </c>
      <c r="J17" s="51">
        <v>0.32</v>
      </c>
      <c r="K17" s="51">
        <v>278.58</v>
      </c>
      <c r="L17" s="51">
        <v>32.409999999999997</v>
      </c>
      <c r="M17" s="51">
        <v>73.38</v>
      </c>
      <c r="N17" s="51">
        <v>614.70000000000005</v>
      </c>
      <c r="O17" s="51">
        <v>0</v>
      </c>
      <c r="P17" s="51">
        <v>0.64</v>
      </c>
      <c r="Q17" s="51">
        <v>9.5299999999999994</v>
      </c>
      <c r="R17" s="43"/>
      <c r="S17" s="43"/>
      <c r="T17" s="43"/>
      <c r="U17" s="43"/>
    </row>
    <row r="18" spans="1:21" s="11" customFormat="1" x14ac:dyDescent="0.25">
      <c r="A18" s="50" t="s">
        <v>69</v>
      </c>
      <c r="B18" s="51">
        <v>12.39</v>
      </c>
      <c r="C18" s="51">
        <v>24.83</v>
      </c>
      <c r="D18" s="51">
        <v>28.52</v>
      </c>
      <c r="E18" s="51">
        <v>4.88</v>
      </c>
      <c r="F18" s="51">
        <v>4.74</v>
      </c>
      <c r="G18" s="51">
        <v>54.33</v>
      </c>
      <c r="H18" s="51">
        <v>18.72</v>
      </c>
      <c r="I18" s="51">
        <v>4.08</v>
      </c>
      <c r="J18" s="51">
        <v>0.56999999999999995</v>
      </c>
      <c r="K18" s="51">
        <v>295.48</v>
      </c>
      <c r="L18" s="51">
        <v>34.94</v>
      </c>
      <c r="M18" s="51">
        <v>61.31</v>
      </c>
      <c r="N18" s="51">
        <v>783.7</v>
      </c>
      <c r="O18" s="51">
        <v>0</v>
      </c>
      <c r="P18" s="51">
        <v>0.74</v>
      </c>
      <c r="Q18" s="51">
        <v>9.39</v>
      </c>
      <c r="R18" s="43"/>
      <c r="S18" s="43"/>
      <c r="T18" s="43"/>
      <c r="U18" s="43"/>
    </row>
    <row r="19" spans="1:21" s="11" customFormat="1" x14ac:dyDescent="0.25">
      <c r="A19" s="50" t="s">
        <v>70</v>
      </c>
      <c r="B19" s="51">
        <v>8.1</v>
      </c>
      <c r="C19" s="51">
        <v>21.97</v>
      </c>
      <c r="D19" s="51">
        <v>29.63</v>
      </c>
      <c r="E19" s="51">
        <v>5.04</v>
      </c>
      <c r="F19" s="51">
        <v>5.45</v>
      </c>
      <c r="G19" s="51">
        <v>63.43</v>
      </c>
      <c r="H19" s="51">
        <v>21.29</v>
      </c>
      <c r="I19" s="51">
        <v>4.12</v>
      </c>
      <c r="J19" s="51">
        <v>0.89</v>
      </c>
      <c r="K19" s="51">
        <v>305.44</v>
      </c>
      <c r="L19" s="51">
        <v>35.549999999999997</v>
      </c>
      <c r="M19" s="51">
        <v>52.14</v>
      </c>
      <c r="N19" s="51">
        <v>891.9</v>
      </c>
      <c r="O19" s="51">
        <v>0</v>
      </c>
      <c r="P19" s="51">
        <v>0.71</v>
      </c>
      <c r="Q19" s="51">
        <v>9.27</v>
      </c>
      <c r="R19" s="43"/>
      <c r="S19" s="43"/>
      <c r="T19" s="43"/>
      <c r="U19" s="43"/>
    </row>
    <row r="20" spans="1:21" s="11" customFormat="1" x14ac:dyDescent="0.25">
      <c r="A20" s="50" t="s">
        <v>71</v>
      </c>
      <c r="B20" s="51">
        <v>6.81</v>
      </c>
      <c r="C20" s="51">
        <v>19.600000000000001</v>
      </c>
      <c r="D20" s="51">
        <v>27.86</v>
      </c>
      <c r="E20" s="51">
        <v>4.95</v>
      </c>
      <c r="F20" s="51">
        <v>7.34</v>
      </c>
      <c r="G20" s="51">
        <v>65.13</v>
      </c>
      <c r="H20" s="51">
        <v>16.73</v>
      </c>
      <c r="I20" s="51">
        <v>4.1399999999999997</v>
      </c>
      <c r="J20" s="51">
        <v>0.98</v>
      </c>
      <c r="K20" s="51">
        <v>305.83</v>
      </c>
      <c r="L20" s="51">
        <v>35.6</v>
      </c>
      <c r="M20" s="51">
        <v>45.46</v>
      </c>
      <c r="N20" s="51">
        <v>908.5</v>
      </c>
      <c r="O20" s="51">
        <v>0</v>
      </c>
      <c r="P20" s="51">
        <v>0.56999999999999995</v>
      </c>
      <c r="Q20" s="51">
        <v>9.2100000000000009</v>
      </c>
      <c r="R20" s="43"/>
      <c r="S20" s="43"/>
      <c r="T20" s="43"/>
      <c r="U20" s="43"/>
    </row>
    <row r="21" spans="1:21" s="11" customFormat="1" x14ac:dyDescent="0.25">
      <c r="A21" s="50" t="s">
        <v>72</v>
      </c>
      <c r="B21" s="51">
        <v>5.29</v>
      </c>
      <c r="C21" s="51">
        <v>18.100000000000001</v>
      </c>
      <c r="D21" s="51">
        <v>27.58</v>
      </c>
      <c r="E21" s="51">
        <v>4.71</v>
      </c>
      <c r="F21" s="51">
        <v>8.93</v>
      </c>
      <c r="G21" s="51">
        <v>60.19</v>
      </c>
      <c r="H21" s="51">
        <v>11.1</v>
      </c>
      <c r="I21" s="51">
        <v>4.0199999999999996</v>
      </c>
      <c r="J21" s="51">
        <v>0.95</v>
      </c>
      <c r="K21" s="51">
        <v>303.43</v>
      </c>
      <c r="L21" s="51">
        <v>35.54</v>
      </c>
      <c r="M21" s="51">
        <v>43.87</v>
      </c>
      <c r="N21" s="51">
        <v>863.1</v>
      </c>
      <c r="O21" s="51">
        <v>0</v>
      </c>
      <c r="P21" s="51">
        <v>0.48</v>
      </c>
      <c r="Q21" s="51">
        <v>9.1999999999999993</v>
      </c>
      <c r="R21" s="43"/>
      <c r="S21" s="43"/>
      <c r="T21" s="43"/>
      <c r="U21" s="43"/>
    </row>
    <row r="22" spans="1:21" s="11" customFormat="1" x14ac:dyDescent="0.25">
      <c r="A22" s="50" t="s">
        <v>73</v>
      </c>
      <c r="B22" s="51">
        <v>4.42</v>
      </c>
      <c r="C22" s="51">
        <v>17.739999999999998</v>
      </c>
      <c r="D22" s="51">
        <v>27.18</v>
      </c>
      <c r="E22" s="51">
        <v>4.9400000000000004</v>
      </c>
      <c r="F22" s="51">
        <v>6</v>
      </c>
      <c r="G22" s="51">
        <v>58.4</v>
      </c>
      <c r="H22" s="51">
        <v>7.26</v>
      </c>
      <c r="I22" s="51">
        <v>4.0999999999999996</v>
      </c>
      <c r="J22" s="51">
        <v>0.59</v>
      </c>
      <c r="K22" s="51">
        <v>292.7</v>
      </c>
      <c r="L22" s="51">
        <v>35.47</v>
      </c>
      <c r="M22" s="51">
        <v>39.61</v>
      </c>
      <c r="N22" s="51">
        <v>563.29999999999995</v>
      </c>
      <c r="O22" s="51">
        <v>0</v>
      </c>
      <c r="P22" s="51">
        <v>0.43</v>
      </c>
      <c r="Q22" s="51">
        <v>9.14</v>
      </c>
      <c r="R22" s="43"/>
      <c r="S22" s="43"/>
      <c r="T22" s="43"/>
      <c r="U22" s="43"/>
    </row>
    <row r="23" spans="1:21" s="11" customFormat="1" x14ac:dyDescent="0.25">
      <c r="A23" s="50" t="s">
        <v>74</v>
      </c>
      <c r="B23" s="51">
        <v>4.3499999999999996</v>
      </c>
      <c r="C23" s="51">
        <v>17.46</v>
      </c>
      <c r="D23" s="51">
        <v>26.8</v>
      </c>
      <c r="E23" s="51">
        <v>5.03</v>
      </c>
      <c r="F23" s="51">
        <v>9</v>
      </c>
      <c r="G23" s="51">
        <v>64.72</v>
      </c>
      <c r="H23" s="51">
        <v>166.83</v>
      </c>
      <c r="I23" s="51">
        <v>4.01</v>
      </c>
      <c r="J23" s="51">
        <v>0.44</v>
      </c>
      <c r="K23" s="51">
        <v>285.89</v>
      </c>
      <c r="L23" s="51">
        <v>34.53</v>
      </c>
      <c r="M23" s="51">
        <v>38.24</v>
      </c>
      <c r="N23" s="51">
        <v>350.4</v>
      </c>
      <c r="O23" s="51">
        <v>0</v>
      </c>
      <c r="P23" s="51">
        <v>0.43</v>
      </c>
      <c r="Q23" s="51">
        <v>9.14</v>
      </c>
      <c r="R23" s="43"/>
      <c r="S23" s="43"/>
      <c r="T23" s="43"/>
      <c r="U23" s="43"/>
    </row>
    <row r="24" spans="1:21" s="11" customFormat="1" x14ac:dyDescent="0.25">
      <c r="A24" s="50" t="s">
        <v>75</v>
      </c>
      <c r="B24" s="51">
        <v>5.91</v>
      </c>
      <c r="C24" s="51">
        <v>20.2</v>
      </c>
      <c r="D24" s="51">
        <v>29.6</v>
      </c>
      <c r="E24" s="51">
        <v>5.33</v>
      </c>
      <c r="F24" s="51">
        <v>8.89</v>
      </c>
      <c r="G24" s="51">
        <v>64</v>
      </c>
      <c r="H24" s="51">
        <v>50.05</v>
      </c>
      <c r="I24" s="51">
        <v>4.16</v>
      </c>
      <c r="J24" s="51">
        <v>0.41</v>
      </c>
      <c r="K24" s="51">
        <v>285.57</v>
      </c>
      <c r="L24" s="51">
        <v>34.299999999999997</v>
      </c>
      <c r="M24" s="51">
        <v>37.49</v>
      </c>
      <c r="N24" s="51">
        <v>291.2</v>
      </c>
      <c r="O24" s="51">
        <v>0</v>
      </c>
      <c r="P24" s="51">
        <v>0.39</v>
      </c>
      <c r="Q24" s="51">
        <v>9.17</v>
      </c>
      <c r="R24" s="43"/>
      <c r="S24" s="43"/>
      <c r="T24" s="43"/>
      <c r="U24" s="43"/>
    </row>
    <row r="25" spans="1:21" s="11" customFormat="1" x14ac:dyDescent="0.25">
      <c r="A25" s="50" t="s">
        <v>76</v>
      </c>
      <c r="B25" s="51">
        <v>6.02</v>
      </c>
      <c r="C25" s="51">
        <v>22.39</v>
      </c>
      <c r="D25" s="51">
        <v>33.619999999999997</v>
      </c>
      <c r="E25" s="51">
        <v>4.22</v>
      </c>
      <c r="F25" s="51">
        <v>13.03</v>
      </c>
      <c r="G25" s="51">
        <v>63.32</v>
      </c>
      <c r="H25" s="51">
        <v>0</v>
      </c>
      <c r="I25" s="51">
        <v>4.09</v>
      </c>
      <c r="J25" s="51">
        <v>0.21</v>
      </c>
      <c r="K25" s="51">
        <v>293.91000000000003</v>
      </c>
      <c r="L25" s="51">
        <v>33.18</v>
      </c>
      <c r="M25" s="51">
        <v>40.549999999999997</v>
      </c>
      <c r="N25" s="51">
        <v>166.2</v>
      </c>
      <c r="O25" s="51">
        <v>0</v>
      </c>
      <c r="P25" s="51">
        <v>0.37</v>
      </c>
      <c r="Q25" s="51">
        <v>9.19</v>
      </c>
      <c r="R25" s="43"/>
      <c r="S25" s="43"/>
      <c r="T25" s="43"/>
      <c r="U25" s="43"/>
    </row>
    <row r="26" spans="1:21" s="11" customFormat="1" x14ac:dyDescent="0.25">
      <c r="A26" s="50" t="s">
        <v>77</v>
      </c>
      <c r="B26" s="51">
        <v>5.22</v>
      </c>
      <c r="C26" s="51">
        <v>19.14</v>
      </c>
      <c r="D26" s="51">
        <v>29</v>
      </c>
      <c r="E26" s="51">
        <v>4.29</v>
      </c>
      <c r="F26" s="51">
        <v>10.36</v>
      </c>
      <c r="G26" s="51">
        <v>63.01</v>
      </c>
      <c r="H26" s="51">
        <v>0</v>
      </c>
      <c r="I26" s="51">
        <v>4.08</v>
      </c>
      <c r="J26" s="51">
        <v>0.12</v>
      </c>
      <c r="K26" s="51">
        <v>279.05</v>
      </c>
      <c r="L26" s="51">
        <v>32.770000000000003</v>
      </c>
      <c r="M26" s="51">
        <v>45.81</v>
      </c>
      <c r="N26" s="51">
        <v>107.6</v>
      </c>
      <c r="O26" s="51">
        <v>0</v>
      </c>
      <c r="P26" s="51">
        <v>0.36</v>
      </c>
      <c r="Q26" s="51">
        <v>9.18</v>
      </c>
      <c r="R26" s="43"/>
      <c r="S26" s="43"/>
      <c r="T26" s="43"/>
      <c r="U26" s="43"/>
    </row>
    <row r="27" spans="1:21" s="11" customFormat="1" x14ac:dyDescent="0.25">
      <c r="A27" s="50" t="s">
        <v>78</v>
      </c>
      <c r="B27" s="51">
        <v>5.29</v>
      </c>
      <c r="C27" s="51">
        <v>20.74</v>
      </c>
      <c r="D27" s="51">
        <v>31.64</v>
      </c>
      <c r="E27" s="51">
        <v>4.34</v>
      </c>
      <c r="F27" s="51">
        <v>10.6</v>
      </c>
      <c r="G27" s="51">
        <v>63.33</v>
      </c>
      <c r="H27" s="51">
        <v>311.8</v>
      </c>
      <c r="I27" s="51">
        <v>4.12</v>
      </c>
      <c r="J27" s="51">
        <v>0.21</v>
      </c>
      <c r="K27" s="51">
        <v>279.02999999999997</v>
      </c>
      <c r="L27" s="51">
        <v>31.63</v>
      </c>
      <c r="M27" s="51">
        <v>47.2</v>
      </c>
      <c r="N27" s="51">
        <v>50.8</v>
      </c>
      <c r="O27" s="51">
        <v>0</v>
      </c>
      <c r="P27" s="51">
        <v>0.38</v>
      </c>
      <c r="Q27" s="51">
        <v>9.19</v>
      </c>
      <c r="R27" s="43"/>
      <c r="S27" s="43"/>
      <c r="T27" s="43"/>
      <c r="U27" s="43"/>
    </row>
    <row r="28" spans="1:21" s="11" customFormat="1" x14ac:dyDescent="0.25">
      <c r="A28" s="50" t="s">
        <v>79</v>
      </c>
      <c r="B28" s="51">
        <v>6.38</v>
      </c>
      <c r="C28" s="51">
        <v>26.88</v>
      </c>
      <c r="D28" s="51">
        <v>41.66</v>
      </c>
      <c r="E28" s="51">
        <v>4.2699999999999996</v>
      </c>
      <c r="F28" s="51">
        <v>11.69</v>
      </c>
      <c r="G28" s="51">
        <v>60.24</v>
      </c>
      <c r="H28" s="51">
        <v>113.93</v>
      </c>
      <c r="I28" s="51">
        <v>4.08</v>
      </c>
      <c r="J28" s="51">
        <v>0.28000000000000003</v>
      </c>
      <c r="K28" s="51">
        <v>217.89</v>
      </c>
      <c r="L28" s="51">
        <v>30.16</v>
      </c>
      <c r="M28" s="51">
        <v>58.76</v>
      </c>
      <c r="N28" s="51">
        <v>27</v>
      </c>
      <c r="O28" s="51">
        <v>0</v>
      </c>
      <c r="P28" s="51">
        <v>0.43</v>
      </c>
      <c r="Q28" s="51">
        <v>9.25</v>
      </c>
      <c r="R28" s="43"/>
      <c r="S28" s="43"/>
      <c r="T28" s="43"/>
      <c r="U28" s="43"/>
    </row>
    <row r="29" spans="1:21" s="11" customFormat="1" x14ac:dyDescent="0.25">
      <c r="A29" s="50" t="s">
        <v>80</v>
      </c>
      <c r="B29" s="51">
        <v>9.73</v>
      </c>
      <c r="C29" s="51">
        <v>28.95</v>
      </c>
      <c r="D29" s="51">
        <v>41.41</v>
      </c>
      <c r="E29" s="51">
        <v>4.07</v>
      </c>
      <c r="F29" s="51">
        <v>10.36</v>
      </c>
      <c r="G29" s="51">
        <v>60.53</v>
      </c>
      <c r="H29" s="51">
        <v>24.49</v>
      </c>
      <c r="I29" s="51">
        <v>4.0599999999999996</v>
      </c>
      <c r="J29" s="51">
        <v>0.19</v>
      </c>
      <c r="K29" s="51">
        <v>252.34</v>
      </c>
      <c r="L29" s="51">
        <v>28.7</v>
      </c>
      <c r="M29" s="51">
        <v>59.43</v>
      </c>
      <c r="N29" s="51">
        <v>26.6</v>
      </c>
      <c r="O29" s="51">
        <v>0</v>
      </c>
      <c r="P29" s="51">
        <v>0.44</v>
      </c>
      <c r="Q29" s="51">
        <v>9.31</v>
      </c>
      <c r="R29" s="43"/>
      <c r="S29" s="43"/>
      <c r="T29" s="43"/>
      <c r="U29" s="43"/>
    </row>
    <row r="30" spans="1:21" s="11" customFormat="1" x14ac:dyDescent="0.25">
      <c r="A30" s="50" t="s">
        <v>81</v>
      </c>
      <c r="B30" s="51">
        <v>9.36</v>
      </c>
      <c r="C30" s="51">
        <v>26.71</v>
      </c>
      <c r="D30" s="51">
        <v>38</v>
      </c>
      <c r="E30" s="51">
        <v>4.51</v>
      </c>
      <c r="F30" s="51">
        <v>9</v>
      </c>
      <c r="G30" s="51">
        <v>57.58</v>
      </c>
      <c r="H30" s="51">
        <v>7.38</v>
      </c>
      <c r="I30" s="51">
        <v>4.07</v>
      </c>
      <c r="J30" s="51">
        <v>0.06</v>
      </c>
      <c r="K30" s="51">
        <v>351.31</v>
      </c>
      <c r="L30" s="51">
        <v>28.29</v>
      </c>
      <c r="M30" s="51">
        <v>59.81</v>
      </c>
      <c r="N30" s="51">
        <v>26.8</v>
      </c>
      <c r="O30" s="51">
        <v>0</v>
      </c>
      <c r="P30" s="51">
        <v>0.41</v>
      </c>
      <c r="Q30" s="51">
        <v>9.33</v>
      </c>
      <c r="R30" s="43"/>
      <c r="S30" s="43"/>
      <c r="T30" s="43"/>
      <c r="U30" s="43"/>
    </row>
    <row r="31" spans="1:21" s="11" customFormat="1" x14ac:dyDescent="0.25">
      <c r="A31" s="50" t="s">
        <v>82</v>
      </c>
      <c r="B31" s="51">
        <v>9.2799999999999994</v>
      </c>
      <c r="C31" s="51">
        <v>24.2</v>
      </c>
      <c r="D31" s="51">
        <v>33.630000000000003</v>
      </c>
      <c r="E31" s="51">
        <v>4.18</v>
      </c>
      <c r="F31" s="51">
        <v>6.39</v>
      </c>
      <c r="G31" s="51">
        <v>59.83</v>
      </c>
      <c r="H31" s="51">
        <v>0.31</v>
      </c>
      <c r="I31" s="51">
        <v>4.12</v>
      </c>
      <c r="J31" s="51">
        <v>0.13</v>
      </c>
      <c r="K31" s="51">
        <v>246.89</v>
      </c>
      <c r="L31" s="51">
        <v>28.03</v>
      </c>
      <c r="M31" s="51">
        <v>60.2</v>
      </c>
      <c r="N31" s="51">
        <v>26.9</v>
      </c>
      <c r="O31" s="51">
        <v>0</v>
      </c>
      <c r="P31" s="51">
        <v>0.4</v>
      </c>
      <c r="Q31" s="51">
        <v>9.33</v>
      </c>
      <c r="R31" s="43"/>
      <c r="S31" s="43"/>
      <c r="T31" s="43"/>
      <c r="U31" s="43"/>
    </row>
    <row r="32" spans="1:21" s="11" customFormat="1" x14ac:dyDescent="0.25">
      <c r="A32" s="50" t="s">
        <v>83</v>
      </c>
      <c r="B32" s="51">
        <v>8.91</v>
      </c>
      <c r="C32" s="51">
        <v>21.03</v>
      </c>
      <c r="D32" s="51">
        <v>28.05</v>
      </c>
      <c r="E32" s="51">
        <v>4.6500000000000004</v>
      </c>
      <c r="F32" s="51">
        <v>11.89</v>
      </c>
      <c r="G32" s="51">
        <v>59</v>
      </c>
      <c r="H32" s="51">
        <v>81.05</v>
      </c>
      <c r="I32" s="51">
        <v>4.0599999999999996</v>
      </c>
      <c r="J32" s="51">
        <v>0.08</v>
      </c>
      <c r="K32" s="51">
        <v>233.72</v>
      </c>
      <c r="L32" s="51">
        <v>27</v>
      </c>
      <c r="M32" s="51">
        <v>62.77</v>
      </c>
      <c r="N32" s="51">
        <v>26.8</v>
      </c>
      <c r="O32" s="51">
        <v>0</v>
      </c>
      <c r="P32" s="51">
        <v>0.35</v>
      </c>
      <c r="Q32" s="51">
        <v>9.3699999999999992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4.3499999999999996</v>
      </c>
      <c r="C34" s="28">
        <f t="shared" si="0"/>
        <v>17.46</v>
      </c>
      <c r="D34" s="28">
        <f t="shared" si="0"/>
        <v>19.350000000000001</v>
      </c>
      <c r="E34" s="28">
        <f t="shared" si="0"/>
        <v>4.07</v>
      </c>
      <c r="F34" s="28">
        <f t="shared" si="0"/>
        <v>3.88</v>
      </c>
      <c r="G34" s="28">
        <f t="shared" si="0"/>
        <v>42.81</v>
      </c>
      <c r="H34" s="28">
        <f t="shared" si="0"/>
        <v>0</v>
      </c>
      <c r="I34" s="28">
        <f t="shared" si="0"/>
        <v>4</v>
      </c>
      <c r="J34" s="28">
        <f t="shared" si="0"/>
        <v>0.06</v>
      </c>
      <c r="K34" s="28">
        <f t="shared" si="0"/>
        <v>202.67</v>
      </c>
      <c r="L34" s="28">
        <f t="shared" si="0"/>
        <v>23.97</v>
      </c>
      <c r="M34" s="28">
        <f t="shared" si="0"/>
        <v>37.49</v>
      </c>
      <c r="N34" s="28">
        <f t="shared" si="0"/>
        <v>26.1</v>
      </c>
      <c r="O34" s="28">
        <f t="shared" si="0"/>
        <v>0</v>
      </c>
      <c r="P34" s="28">
        <f t="shared" si="0"/>
        <v>0.35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36.39</v>
      </c>
      <c r="C35" s="29">
        <f t="shared" si="1"/>
        <v>48.39</v>
      </c>
      <c r="D35" s="29">
        <f t="shared" si="1"/>
        <v>41.66</v>
      </c>
      <c r="E35" s="29">
        <f t="shared" si="1"/>
        <v>5.33</v>
      </c>
      <c r="F35" s="29">
        <f t="shared" si="1"/>
        <v>13.03</v>
      </c>
      <c r="G35" s="29">
        <f t="shared" si="1"/>
        <v>65.13</v>
      </c>
      <c r="H35" s="29">
        <f t="shared" si="1"/>
        <v>311.8</v>
      </c>
      <c r="I35" s="29">
        <f t="shared" si="1"/>
        <v>4.24</v>
      </c>
      <c r="J35" s="29">
        <f t="shared" si="1"/>
        <v>0.98</v>
      </c>
      <c r="K35" s="29">
        <f t="shared" si="1"/>
        <v>359.43</v>
      </c>
      <c r="L35" s="29">
        <f t="shared" si="1"/>
        <v>35.6</v>
      </c>
      <c r="M35" s="29">
        <f t="shared" si="1"/>
        <v>101.05</v>
      </c>
      <c r="N35" s="29">
        <f t="shared" si="1"/>
        <v>908.5</v>
      </c>
      <c r="O35" s="29">
        <f t="shared" si="1"/>
        <v>0</v>
      </c>
      <c r="P35" s="29">
        <f t="shared" si="1"/>
        <v>0.74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12.033333333333333</v>
      </c>
      <c r="C36" s="28">
        <f t="shared" si="2"/>
        <v>25.057500000000005</v>
      </c>
      <c r="D36" s="28">
        <f t="shared" si="2"/>
        <v>30.032499999999999</v>
      </c>
      <c r="E36" s="28">
        <f t="shared" si="2"/>
        <v>4.7737500000000006</v>
      </c>
      <c r="F36" s="28">
        <f t="shared" si="2"/>
        <v>7.6704166666666653</v>
      </c>
      <c r="G36" s="28">
        <f t="shared" si="2"/>
        <v>55.955416666666657</v>
      </c>
      <c r="H36" s="28">
        <f t="shared" si="2"/>
        <v>40.673749999999998</v>
      </c>
      <c r="I36" s="28">
        <f t="shared" si="2"/>
        <v>4.0850000000000009</v>
      </c>
      <c r="J36" s="28">
        <f t="shared" si="2"/>
        <v>0.33041666666666669</v>
      </c>
      <c r="K36" s="28">
        <f t="shared" si="2"/>
        <v>280.47458333333333</v>
      </c>
      <c r="L36" s="28">
        <f t="shared" si="2"/>
        <v>30.032916666666665</v>
      </c>
      <c r="M36" s="28">
        <f t="shared" si="2"/>
        <v>67.605833333333322</v>
      </c>
      <c r="N36" s="28">
        <f t="shared" si="2"/>
        <v>273.22916666666669</v>
      </c>
      <c r="O36" s="28">
        <f t="shared" si="2"/>
        <v>0</v>
      </c>
      <c r="P36" s="28">
        <f t="shared" si="2"/>
        <v>0.50708333333333333</v>
      </c>
      <c r="Q36" s="28">
        <f t="shared" si="2"/>
        <v>9.3625000000000007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7.810472160011761</v>
      </c>
      <c r="C37" s="28">
        <f t="shared" ref="C37:Q37" si="3">STDEV(C9:C32)</f>
        <v>6.7187739888348066</v>
      </c>
      <c r="D37" s="28">
        <f t="shared" si="3"/>
        <v>5.5127474803956433</v>
      </c>
      <c r="E37" s="28">
        <f t="shared" si="3"/>
        <v>0.37407058738669385</v>
      </c>
      <c r="F37" s="28">
        <f t="shared" si="3"/>
        <v>2.69260739831289</v>
      </c>
      <c r="G37" s="28">
        <f t="shared" si="3"/>
        <v>7.6717981448525174</v>
      </c>
      <c r="H37" s="28">
        <f t="shared" si="3"/>
        <v>69.721965275283424</v>
      </c>
      <c r="I37" s="28">
        <f t="shared" si="3"/>
        <v>5.5716674578504467E-2</v>
      </c>
      <c r="J37" s="28">
        <f t="shared" si="3"/>
        <v>0.27437643400305339</v>
      </c>
      <c r="K37" s="28">
        <f t="shared" si="3"/>
        <v>40.648845748537852</v>
      </c>
      <c r="L37" s="28">
        <f t="shared" si="3"/>
        <v>4.2829799451018804</v>
      </c>
      <c r="M37" s="28">
        <f t="shared" si="3"/>
        <v>24.77042747988482</v>
      </c>
      <c r="N37" s="28">
        <f t="shared" si="3"/>
        <v>320.98575273701005</v>
      </c>
      <c r="O37" s="28">
        <f t="shared" si="3"/>
        <v>0</v>
      </c>
      <c r="P37" s="28">
        <f t="shared" si="3"/>
        <v>0.11630092775683877</v>
      </c>
      <c r="Q37" s="28">
        <f t="shared" si="3"/>
        <v>0.1758519634336741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5" sqref="G15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84</v>
      </c>
      <c r="B9" s="51">
        <v>8.2200000000000006</v>
      </c>
      <c r="C9" s="51">
        <v>24.82</v>
      </c>
      <c r="D9" s="51">
        <v>34.9</v>
      </c>
      <c r="E9" s="51">
        <v>4.67</v>
      </c>
      <c r="F9" s="51">
        <v>11.58</v>
      </c>
      <c r="G9" s="51">
        <v>54.69</v>
      </c>
      <c r="H9" s="51">
        <v>93.68</v>
      </c>
      <c r="I9" s="51">
        <v>4.05</v>
      </c>
      <c r="J9" s="51">
        <v>0.14000000000000001</v>
      </c>
      <c r="K9" s="51">
        <v>278.29000000000002</v>
      </c>
      <c r="L9" s="51">
        <v>26.43</v>
      </c>
      <c r="M9" s="51">
        <v>63.51</v>
      </c>
      <c r="N9" s="51">
        <v>26.6</v>
      </c>
      <c r="O9" s="51">
        <v>0</v>
      </c>
      <c r="P9" s="51">
        <v>0.28000000000000003</v>
      </c>
      <c r="Q9" s="51">
        <v>9.42</v>
      </c>
      <c r="R9" s="43"/>
      <c r="S9" s="43"/>
      <c r="T9" s="43"/>
      <c r="U9" s="43"/>
    </row>
    <row r="10" spans="1:21" s="11" customFormat="1" x14ac:dyDescent="0.25">
      <c r="A10" s="50" t="s">
        <v>85</v>
      </c>
      <c r="B10" s="51">
        <v>11.51</v>
      </c>
      <c r="C10" s="51">
        <v>20.25</v>
      </c>
      <c r="D10" s="51">
        <v>22.83</v>
      </c>
      <c r="E10" s="51">
        <v>4.6900000000000004</v>
      </c>
      <c r="F10" s="51">
        <v>12.2</v>
      </c>
      <c r="G10" s="51">
        <v>50.76</v>
      </c>
      <c r="H10" s="51">
        <v>39.979999999999997</v>
      </c>
      <c r="I10" s="51">
        <v>4.0999999999999996</v>
      </c>
      <c r="J10" s="51">
        <v>0.08</v>
      </c>
      <c r="K10" s="51">
        <v>311.93</v>
      </c>
      <c r="L10" s="51">
        <v>25.56</v>
      </c>
      <c r="M10" s="51">
        <v>64</v>
      </c>
      <c r="N10" s="51">
        <v>26.5</v>
      </c>
      <c r="O10" s="51">
        <v>0</v>
      </c>
      <c r="P10" s="51">
        <v>0.33</v>
      </c>
      <c r="Q10" s="51">
        <v>9.43</v>
      </c>
      <c r="R10" s="43"/>
      <c r="S10" s="43"/>
      <c r="T10" s="43"/>
      <c r="U10" s="43"/>
    </row>
    <row r="11" spans="1:21" s="11" customFormat="1" x14ac:dyDescent="0.25">
      <c r="A11" s="50" t="s">
        <v>86</v>
      </c>
      <c r="B11" s="51">
        <v>12.18</v>
      </c>
      <c r="C11" s="51">
        <v>20.99</v>
      </c>
      <c r="D11" s="51">
        <v>21.85</v>
      </c>
      <c r="E11" s="51">
        <v>4.66</v>
      </c>
      <c r="F11" s="51">
        <v>4.9800000000000004</v>
      </c>
      <c r="G11" s="51">
        <v>48.77</v>
      </c>
      <c r="H11" s="51">
        <v>13.75</v>
      </c>
      <c r="I11" s="51">
        <v>4.1399999999999997</v>
      </c>
      <c r="J11" s="51">
        <v>0.12</v>
      </c>
      <c r="K11" s="51">
        <v>303.06</v>
      </c>
      <c r="L11" s="51">
        <v>25.22</v>
      </c>
      <c r="M11" s="51">
        <v>62.22</v>
      </c>
      <c r="N11" s="51">
        <v>26.4</v>
      </c>
      <c r="O11" s="51">
        <v>0</v>
      </c>
      <c r="P11" s="51">
        <v>0.33</v>
      </c>
      <c r="Q11" s="51">
        <v>9.39</v>
      </c>
      <c r="R11" s="43"/>
      <c r="S11" s="43"/>
      <c r="T11" s="43"/>
      <c r="U11" s="43"/>
    </row>
    <row r="12" spans="1:21" s="11" customFormat="1" x14ac:dyDescent="0.25">
      <c r="A12" s="50" t="s">
        <v>87</v>
      </c>
      <c r="B12" s="51">
        <v>12.08</v>
      </c>
      <c r="C12" s="51">
        <v>21.18</v>
      </c>
      <c r="D12" s="51">
        <v>22.03</v>
      </c>
      <c r="E12" s="51">
        <v>4.49</v>
      </c>
      <c r="F12" s="51">
        <v>4.67</v>
      </c>
      <c r="G12" s="51">
        <v>44.7</v>
      </c>
      <c r="H12" s="51">
        <v>30.15</v>
      </c>
      <c r="I12" s="51">
        <v>4.1100000000000003</v>
      </c>
      <c r="J12" s="51">
        <v>0.12</v>
      </c>
      <c r="K12" s="51">
        <v>288.63</v>
      </c>
      <c r="L12" s="51">
        <v>24.92</v>
      </c>
      <c r="M12" s="51">
        <v>70.400000000000006</v>
      </c>
      <c r="N12" s="51">
        <v>26.4</v>
      </c>
      <c r="O12" s="51">
        <v>0</v>
      </c>
      <c r="P12" s="51">
        <v>0.3</v>
      </c>
      <c r="Q12" s="51">
        <v>9.3699999999999992</v>
      </c>
      <c r="R12" s="43"/>
      <c r="S12" s="43"/>
      <c r="T12" s="43"/>
      <c r="U12" s="43"/>
    </row>
    <row r="13" spans="1:21" s="11" customFormat="1" x14ac:dyDescent="0.25">
      <c r="A13" s="50" t="s">
        <v>88</v>
      </c>
      <c r="B13" s="51">
        <v>13.95</v>
      </c>
      <c r="C13" s="51">
        <v>29.08</v>
      </c>
      <c r="D13" s="51">
        <v>34.24</v>
      </c>
      <c r="E13" s="51">
        <v>4.28</v>
      </c>
      <c r="F13" s="51">
        <v>6.74</v>
      </c>
      <c r="G13" s="51">
        <v>41.56</v>
      </c>
      <c r="H13" s="51">
        <v>15.93</v>
      </c>
      <c r="I13" s="51">
        <v>4.18</v>
      </c>
      <c r="J13" s="51">
        <v>0.15</v>
      </c>
      <c r="K13" s="51">
        <v>314.54000000000002</v>
      </c>
      <c r="L13" s="51">
        <v>24.2</v>
      </c>
      <c r="M13" s="51">
        <v>74.7</v>
      </c>
      <c r="N13" s="51">
        <v>26.5</v>
      </c>
      <c r="O13" s="51">
        <v>0</v>
      </c>
      <c r="P13" s="51">
        <v>0.28000000000000003</v>
      </c>
      <c r="Q13" s="51">
        <v>9.42</v>
      </c>
      <c r="R13" s="43"/>
      <c r="S13" s="43"/>
      <c r="T13" s="43"/>
      <c r="U13" s="43"/>
    </row>
    <row r="14" spans="1:21" s="11" customFormat="1" x14ac:dyDescent="0.25">
      <c r="A14" s="50" t="s">
        <v>89</v>
      </c>
      <c r="B14" s="51">
        <v>14.51</v>
      </c>
      <c r="C14" s="51">
        <v>28.75</v>
      </c>
      <c r="D14" s="51">
        <v>32.75</v>
      </c>
      <c r="E14" s="51">
        <v>4.57</v>
      </c>
      <c r="F14" s="51">
        <v>5.78</v>
      </c>
      <c r="G14" s="51">
        <v>41.63</v>
      </c>
      <c r="H14" s="51">
        <v>19.21</v>
      </c>
      <c r="I14" s="51">
        <v>4.16</v>
      </c>
      <c r="J14" s="51">
        <v>0.42</v>
      </c>
      <c r="K14" s="51">
        <v>173.77</v>
      </c>
      <c r="L14" s="51">
        <v>24</v>
      </c>
      <c r="M14" s="51">
        <v>80.040000000000006</v>
      </c>
      <c r="N14" s="51">
        <v>73.5</v>
      </c>
      <c r="O14" s="51">
        <v>0</v>
      </c>
      <c r="P14" s="51">
        <v>0.3</v>
      </c>
      <c r="Q14" s="51">
        <v>9.51</v>
      </c>
      <c r="R14" s="43"/>
      <c r="S14" s="43"/>
      <c r="T14" s="43"/>
      <c r="U14" s="43"/>
    </row>
    <row r="15" spans="1:21" s="11" customFormat="1" x14ac:dyDescent="0.25">
      <c r="A15" s="50" t="s">
        <v>90</v>
      </c>
      <c r="B15" s="51">
        <v>16.04</v>
      </c>
      <c r="C15" s="51">
        <v>24.31</v>
      </c>
      <c r="D15" s="51">
        <v>22.33</v>
      </c>
      <c r="E15" s="51">
        <v>4.53</v>
      </c>
      <c r="F15" s="51">
        <v>3.95</v>
      </c>
      <c r="G15" s="51">
        <v>44.47</v>
      </c>
      <c r="H15" s="51">
        <v>9.0500000000000007</v>
      </c>
      <c r="I15" s="51">
        <v>4.1399999999999997</v>
      </c>
      <c r="J15" s="51">
        <v>0.11</v>
      </c>
      <c r="K15" s="51">
        <v>242.34</v>
      </c>
      <c r="L15" s="51">
        <v>26.57</v>
      </c>
      <c r="M15" s="51">
        <v>75.849999999999994</v>
      </c>
      <c r="N15" s="51">
        <v>251.6</v>
      </c>
      <c r="O15" s="51">
        <v>0</v>
      </c>
      <c r="P15" s="51">
        <v>0.3</v>
      </c>
      <c r="Q15" s="51">
        <v>9.52</v>
      </c>
      <c r="R15" s="43"/>
      <c r="S15" s="43"/>
      <c r="T15" s="43"/>
      <c r="U15" s="43"/>
    </row>
    <row r="16" spans="1:21" s="11" customFormat="1" x14ac:dyDescent="0.25">
      <c r="A16" s="50" t="s">
        <v>91</v>
      </c>
      <c r="B16" s="51">
        <v>16.55</v>
      </c>
      <c r="C16" s="51">
        <v>25.13</v>
      </c>
      <c r="D16" s="51">
        <v>25.19</v>
      </c>
      <c r="E16" s="51">
        <v>4.9000000000000004</v>
      </c>
      <c r="F16" s="51">
        <v>4.1500000000000004</v>
      </c>
      <c r="G16" s="51">
        <v>44.45</v>
      </c>
      <c r="H16" s="51">
        <v>18.88</v>
      </c>
      <c r="I16" s="51">
        <v>4.0599999999999996</v>
      </c>
      <c r="J16" s="51">
        <v>0.2</v>
      </c>
      <c r="K16" s="51">
        <v>280.66000000000003</v>
      </c>
      <c r="L16" s="51">
        <v>28.96</v>
      </c>
      <c r="M16" s="51">
        <v>65.37</v>
      </c>
      <c r="N16" s="51">
        <v>469</v>
      </c>
      <c r="O16" s="51">
        <v>0</v>
      </c>
      <c r="P16" s="51">
        <v>0.32</v>
      </c>
      <c r="Q16" s="51">
        <v>9.5</v>
      </c>
      <c r="R16" s="43"/>
      <c r="S16" s="43"/>
      <c r="T16" s="43"/>
      <c r="U16" s="43"/>
    </row>
    <row r="17" spans="1:21" s="11" customFormat="1" x14ac:dyDescent="0.25">
      <c r="A17" s="50" t="s">
        <v>92</v>
      </c>
      <c r="B17" s="51">
        <v>13.5</v>
      </c>
      <c r="C17" s="51">
        <v>23.94</v>
      </c>
      <c r="D17" s="51">
        <v>26.45</v>
      </c>
      <c r="E17" s="51">
        <v>5.16</v>
      </c>
      <c r="F17" s="51">
        <v>6.66</v>
      </c>
      <c r="G17" s="51">
        <v>44.2</v>
      </c>
      <c r="H17" s="51">
        <v>17.95</v>
      </c>
      <c r="I17" s="51">
        <v>4.17</v>
      </c>
      <c r="J17" s="51">
        <v>0.32</v>
      </c>
      <c r="K17" s="51">
        <v>272.85000000000002</v>
      </c>
      <c r="L17" s="51">
        <v>31</v>
      </c>
      <c r="M17" s="51">
        <v>59.4</v>
      </c>
      <c r="N17" s="51">
        <v>664.7</v>
      </c>
      <c r="O17" s="51">
        <v>0</v>
      </c>
      <c r="P17" s="51">
        <v>0.32</v>
      </c>
      <c r="Q17" s="51">
        <v>9.44</v>
      </c>
      <c r="R17" s="43"/>
      <c r="S17" s="43"/>
      <c r="T17" s="43"/>
      <c r="U17" s="43"/>
    </row>
    <row r="18" spans="1:21" s="11" customFormat="1" x14ac:dyDescent="0.25">
      <c r="A18" s="50" t="s">
        <v>93</v>
      </c>
      <c r="B18" s="51">
        <v>8.5500000000000007</v>
      </c>
      <c r="C18" s="51">
        <v>21.38</v>
      </c>
      <c r="D18" s="51">
        <v>30.57</v>
      </c>
      <c r="E18" s="51">
        <v>5.57</v>
      </c>
      <c r="F18" s="51">
        <v>6.43</v>
      </c>
      <c r="G18" s="51">
        <v>43.81</v>
      </c>
      <c r="H18" s="51">
        <v>17.13</v>
      </c>
      <c r="I18" s="51">
        <v>4.12</v>
      </c>
      <c r="J18" s="51">
        <v>0.3</v>
      </c>
      <c r="K18" s="51">
        <v>282.48</v>
      </c>
      <c r="L18" s="51">
        <v>32.26</v>
      </c>
      <c r="M18" s="51">
        <v>51.77</v>
      </c>
      <c r="N18" s="51">
        <v>803.3</v>
      </c>
      <c r="O18" s="51">
        <v>0</v>
      </c>
      <c r="P18" s="51">
        <v>0.31</v>
      </c>
      <c r="Q18" s="51">
        <v>9.32</v>
      </c>
      <c r="R18" s="43"/>
      <c r="S18" s="43"/>
      <c r="T18" s="43"/>
      <c r="U18" s="43"/>
    </row>
    <row r="19" spans="1:21" s="11" customFormat="1" x14ac:dyDescent="0.25">
      <c r="A19" s="50" t="s">
        <v>94</v>
      </c>
      <c r="B19" s="51">
        <v>6.07</v>
      </c>
      <c r="C19" s="51">
        <v>19.27</v>
      </c>
      <c r="D19" s="51">
        <v>27.85</v>
      </c>
      <c r="E19" s="51">
        <v>5.59</v>
      </c>
      <c r="F19" s="51">
        <v>9.02</v>
      </c>
      <c r="G19" s="51">
        <v>39.770000000000003</v>
      </c>
      <c r="H19" s="51">
        <v>31.82</v>
      </c>
      <c r="I19" s="51">
        <v>4.0999999999999996</v>
      </c>
      <c r="J19" s="51">
        <v>0.3</v>
      </c>
      <c r="K19" s="51">
        <v>272.76</v>
      </c>
      <c r="L19" s="51">
        <v>33.47</v>
      </c>
      <c r="M19" s="51">
        <v>47.87</v>
      </c>
      <c r="N19" s="51">
        <v>873.7</v>
      </c>
      <c r="O19" s="51">
        <v>0</v>
      </c>
      <c r="P19" s="51">
        <v>0.32</v>
      </c>
      <c r="Q19" s="51">
        <v>9.24</v>
      </c>
      <c r="R19" s="43"/>
      <c r="S19" s="43"/>
      <c r="T19" s="43"/>
      <c r="U19" s="43"/>
    </row>
    <row r="20" spans="1:21" s="11" customFormat="1" x14ac:dyDescent="0.25">
      <c r="A20" s="50" t="s">
        <v>95</v>
      </c>
      <c r="B20" s="51">
        <v>5.89</v>
      </c>
      <c r="C20" s="51">
        <v>19.059999999999999</v>
      </c>
      <c r="D20" s="51">
        <v>27.45</v>
      </c>
      <c r="E20" s="51">
        <v>5.31</v>
      </c>
      <c r="F20" s="51">
        <v>5.65</v>
      </c>
      <c r="G20" s="51">
        <v>37.53</v>
      </c>
      <c r="H20" s="51">
        <v>16.690000000000001</v>
      </c>
      <c r="I20" s="51">
        <v>4.1399999999999997</v>
      </c>
      <c r="J20" s="51">
        <v>0.32</v>
      </c>
      <c r="K20" s="51">
        <v>275.68</v>
      </c>
      <c r="L20" s="51">
        <v>34.4</v>
      </c>
      <c r="M20" s="51">
        <v>43.2</v>
      </c>
      <c r="N20" s="51">
        <v>977.6</v>
      </c>
      <c r="O20" s="51">
        <v>0</v>
      </c>
      <c r="P20" s="51">
        <v>0.31</v>
      </c>
      <c r="Q20" s="51">
        <v>9.17</v>
      </c>
      <c r="R20" s="43"/>
      <c r="S20" s="43"/>
      <c r="T20" s="43"/>
      <c r="U20" s="43"/>
    </row>
    <row r="21" spans="1:21" s="11" customFormat="1" x14ac:dyDescent="0.25">
      <c r="A21" s="50" t="s">
        <v>96</v>
      </c>
      <c r="B21" s="51">
        <v>5.2</v>
      </c>
      <c r="C21" s="51">
        <v>18.91</v>
      </c>
      <c r="D21" s="51">
        <v>28.21</v>
      </c>
      <c r="E21" s="51">
        <v>5.51</v>
      </c>
      <c r="F21" s="51">
        <v>5.63</v>
      </c>
      <c r="G21" s="51">
        <v>36.659999999999997</v>
      </c>
      <c r="H21" s="51">
        <v>14.1</v>
      </c>
      <c r="I21" s="51">
        <v>4.09</v>
      </c>
      <c r="J21" s="51">
        <v>0.37</v>
      </c>
      <c r="K21" s="51">
        <v>278.54000000000002</v>
      </c>
      <c r="L21" s="51">
        <v>35.299999999999997</v>
      </c>
      <c r="M21" s="51">
        <v>39.68</v>
      </c>
      <c r="N21" s="51">
        <v>938.6</v>
      </c>
      <c r="O21" s="51">
        <v>0</v>
      </c>
      <c r="P21" s="51">
        <v>0.3</v>
      </c>
      <c r="Q21" s="51">
        <v>9.16</v>
      </c>
      <c r="R21" s="43"/>
      <c r="S21" s="43"/>
      <c r="T21" s="43"/>
      <c r="U21" s="43"/>
    </row>
    <row r="22" spans="1:21" s="11" customFormat="1" x14ac:dyDescent="0.25">
      <c r="A22" s="50" t="s">
        <v>97</v>
      </c>
      <c r="B22" s="51">
        <v>4.9800000000000004</v>
      </c>
      <c r="C22" s="51">
        <v>19.07</v>
      </c>
      <c r="D22" s="51">
        <v>28.91</v>
      </c>
      <c r="E22" s="51">
        <v>6.04</v>
      </c>
      <c r="F22" s="51">
        <v>8.4</v>
      </c>
      <c r="G22" s="51">
        <v>38.69</v>
      </c>
      <c r="H22" s="51">
        <v>15.11</v>
      </c>
      <c r="I22" s="51">
        <v>4.08</v>
      </c>
      <c r="J22" s="51">
        <v>0.57999999999999996</v>
      </c>
      <c r="K22" s="51">
        <v>287.45999999999998</v>
      </c>
      <c r="L22" s="51">
        <v>35.33</v>
      </c>
      <c r="M22" s="51">
        <v>38.86</v>
      </c>
      <c r="N22" s="51">
        <v>564.29999999999995</v>
      </c>
      <c r="O22" s="51">
        <v>0</v>
      </c>
      <c r="P22" s="51">
        <v>0.28000000000000003</v>
      </c>
      <c r="Q22" s="51">
        <v>9.18</v>
      </c>
      <c r="R22" s="43"/>
      <c r="S22" s="43"/>
      <c r="T22" s="43"/>
      <c r="U22" s="43"/>
    </row>
    <row r="23" spans="1:21" s="11" customFormat="1" x14ac:dyDescent="0.25">
      <c r="A23" s="50" t="s">
        <v>98</v>
      </c>
      <c r="B23" s="51">
        <v>6.7</v>
      </c>
      <c r="C23" s="51">
        <v>22.82</v>
      </c>
      <c r="D23" s="51">
        <v>33.380000000000003</v>
      </c>
      <c r="E23" s="51">
        <v>5.65</v>
      </c>
      <c r="F23" s="51">
        <v>11.91</v>
      </c>
      <c r="G23" s="51">
        <v>34.96</v>
      </c>
      <c r="H23" s="51">
        <v>7.41</v>
      </c>
      <c r="I23" s="51">
        <v>4.0599999999999996</v>
      </c>
      <c r="J23" s="51">
        <v>0.33</v>
      </c>
      <c r="K23" s="51">
        <v>277.61</v>
      </c>
      <c r="L23" s="51">
        <v>34.520000000000003</v>
      </c>
      <c r="M23" s="51">
        <v>40.98</v>
      </c>
      <c r="N23" s="51">
        <v>348.2</v>
      </c>
      <c r="O23" s="51">
        <v>0</v>
      </c>
      <c r="P23" s="51">
        <v>0.28000000000000003</v>
      </c>
      <c r="Q23" s="51">
        <v>9.18</v>
      </c>
      <c r="R23" s="43"/>
      <c r="S23" s="43"/>
      <c r="T23" s="43"/>
      <c r="U23" s="43"/>
    </row>
    <row r="24" spans="1:21" s="11" customFormat="1" x14ac:dyDescent="0.25">
      <c r="A24" s="50" t="s">
        <v>99</v>
      </c>
      <c r="B24" s="51">
        <v>4.71</v>
      </c>
      <c r="C24" s="51">
        <v>19.62</v>
      </c>
      <c r="D24" s="51">
        <v>30.34</v>
      </c>
      <c r="E24" s="51">
        <v>5.66</v>
      </c>
      <c r="F24" s="51">
        <v>19.29</v>
      </c>
      <c r="G24" s="51">
        <v>25.91</v>
      </c>
      <c r="H24" s="51">
        <v>2.35</v>
      </c>
      <c r="I24" s="51">
        <v>4.0999999999999996</v>
      </c>
      <c r="J24" s="51">
        <v>0.3</v>
      </c>
      <c r="K24" s="51">
        <v>269.69</v>
      </c>
      <c r="L24" s="51">
        <v>34.42</v>
      </c>
      <c r="M24" s="51">
        <v>40.22</v>
      </c>
      <c r="N24" s="51">
        <v>385.5</v>
      </c>
      <c r="O24" s="51">
        <v>0</v>
      </c>
      <c r="P24" s="51">
        <v>0.23</v>
      </c>
      <c r="Q24" s="51">
        <v>9.17</v>
      </c>
      <c r="R24" s="43"/>
      <c r="S24" s="43"/>
      <c r="T24" s="43"/>
      <c r="U24" s="43"/>
    </row>
    <row r="25" spans="1:21" s="11" customFormat="1" x14ac:dyDescent="0.25">
      <c r="A25" s="50" t="s">
        <v>100</v>
      </c>
      <c r="B25" s="51">
        <v>8.92</v>
      </c>
      <c r="C25" s="51">
        <v>45.97</v>
      </c>
      <c r="D25" s="51">
        <v>74.3</v>
      </c>
      <c r="E25" s="51">
        <v>5.78</v>
      </c>
      <c r="F25" s="51">
        <v>22.6</v>
      </c>
      <c r="G25" s="51">
        <v>16.39</v>
      </c>
      <c r="H25" s="51">
        <v>339.3</v>
      </c>
      <c r="I25" s="51">
        <v>4.07</v>
      </c>
      <c r="J25" s="51">
        <v>0.34</v>
      </c>
      <c r="K25" s="51">
        <v>285.02999999999997</v>
      </c>
      <c r="L25" s="51">
        <v>33.99</v>
      </c>
      <c r="M25" s="51">
        <v>41.13</v>
      </c>
      <c r="N25" s="51">
        <v>194.3</v>
      </c>
      <c r="O25" s="51">
        <v>0</v>
      </c>
      <c r="P25" s="51">
        <v>0.28000000000000003</v>
      </c>
      <c r="Q25" s="51">
        <v>9.3800000000000008</v>
      </c>
      <c r="R25" s="43"/>
      <c r="S25" s="43"/>
      <c r="T25" s="43"/>
      <c r="U25" s="43"/>
    </row>
    <row r="26" spans="1:21" s="11" customFormat="1" x14ac:dyDescent="0.25">
      <c r="A26" s="50" t="s">
        <v>101</v>
      </c>
      <c r="B26" s="51">
        <v>6.02</v>
      </c>
      <c r="C26" s="51">
        <v>27.49</v>
      </c>
      <c r="D26" s="51">
        <v>45.61</v>
      </c>
      <c r="E26" s="51">
        <v>5.59</v>
      </c>
      <c r="F26" s="51">
        <v>15.1</v>
      </c>
      <c r="G26" s="51">
        <v>26.35</v>
      </c>
      <c r="H26" s="51">
        <v>545.30999999999995</v>
      </c>
      <c r="I26" s="51">
        <v>4.1500000000000004</v>
      </c>
      <c r="J26" s="51">
        <v>0.17</v>
      </c>
      <c r="K26" s="51">
        <v>277.95</v>
      </c>
      <c r="L26" s="51">
        <v>33.33</v>
      </c>
      <c r="M26" s="51">
        <v>46.42</v>
      </c>
      <c r="N26" s="51">
        <v>99.9</v>
      </c>
      <c r="O26" s="51">
        <v>0</v>
      </c>
      <c r="P26" s="51">
        <v>0.27</v>
      </c>
      <c r="Q26" s="51">
        <v>9.35</v>
      </c>
      <c r="R26" s="43"/>
      <c r="S26" s="43"/>
      <c r="T26" s="43"/>
      <c r="U26" s="43"/>
    </row>
    <row r="27" spans="1:21" s="11" customFormat="1" x14ac:dyDescent="0.25">
      <c r="A27" s="50" t="s">
        <v>102</v>
      </c>
      <c r="B27" s="51">
        <v>5.88</v>
      </c>
      <c r="C27" s="51">
        <v>25.74</v>
      </c>
      <c r="D27" s="51">
        <v>40.24</v>
      </c>
      <c r="E27" s="51">
        <v>5.78</v>
      </c>
      <c r="F27" s="51">
        <v>16.5</v>
      </c>
      <c r="G27" s="51">
        <v>27.77</v>
      </c>
      <c r="H27" s="51">
        <v>119.88</v>
      </c>
      <c r="I27" s="51">
        <v>4.17</v>
      </c>
      <c r="J27" s="51">
        <v>0.19</v>
      </c>
      <c r="K27" s="51">
        <v>205.79</v>
      </c>
      <c r="L27" s="51">
        <v>31.73</v>
      </c>
      <c r="M27" s="51">
        <v>49.69</v>
      </c>
      <c r="N27" s="51">
        <v>40.5</v>
      </c>
      <c r="O27" s="51">
        <v>0</v>
      </c>
      <c r="P27" s="51">
        <v>0.33</v>
      </c>
      <c r="Q27" s="51">
        <v>9.36</v>
      </c>
      <c r="R27" s="43"/>
      <c r="S27" s="43"/>
      <c r="T27" s="43"/>
      <c r="U27" s="43"/>
    </row>
    <row r="28" spans="1:21" s="11" customFormat="1" x14ac:dyDescent="0.25">
      <c r="A28" s="50" t="s">
        <v>103</v>
      </c>
      <c r="B28" s="51">
        <v>7.01</v>
      </c>
      <c r="C28" s="51">
        <v>24.35</v>
      </c>
      <c r="D28" s="51">
        <v>35.85</v>
      </c>
      <c r="E28" s="51">
        <v>5.94</v>
      </c>
      <c r="F28" s="51">
        <v>13.1</v>
      </c>
      <c r="G28" s="51">
        <v>31.58</v>
      </c>
      <c r="H28" s="51">
        <v>192.66</v>
      </c>
      <c r="I28" s="51">
        <v>4.21</v>
      </c>
      <c r="J28" s="51">
        <v>0.14000000000000001</v>
      </c>
      <c r="K28" s="51">
        <v>329.44</v>
      </c>
      <c r="L28" s="51">
        <v>30.87</v>
      </c>
      <c r="M28" s="51">
        <v>50.46</v>
      </c>
      <c r="N28" s="51">
        <v>26.8</v>
      </c>
      <c r="O28" s="51">
        <v>0</v>
      </c>
      <c r="P28" s="51">
        <v>0.56000000000000005</v>
      </c>
      <c r="Q28" s="51">
        <v>9.35</v>
      </c>
      <c r="R28" s="43"/>
      <c r="S28" s="43"/>
      <c r="T28" s="43"/>
      <c r="U28" s="43"/>
    </row>
    <row r="29" spans="1:21" s="11" customFormat="1" x14ac:dyDescent="0.25">
      <c r="A29" s="50" t="s">
        <v>104</v>
      </c>
      <c r="B29" s="51">
        <v>6.81</v>
      </c>
      <c r="C29" s="51">
        <v>21.23</v>
      </c>
      <c r="D29" s="51">
        <v>30.18</v>
      </c>
      <c r="E29" s="51">
        <v>5.22</v>
      </c>
      <c r="F29" s="51">
        <v>8.1999999999999993</v>
      </c>
      <c r="G29" s="51">
        <v>35.07</v>
      </c>
      <c r="H29" s="51">
        <v>7.65</v>
      </c>
      <c r="I29" s="51">
        <v>4.29</v>
      </c>
      <c r="J29" s="51">
        <v>0.13</v>
      </c>
      <c r="K29" s="51">
        <v>339.81</v>
      </c>
      <c r="L29" s="51">
        <v>30.26</v>
      </c>
      <c r="M29" s="51">
        <v>53.81</v>
      </c>
      <c r="N29" s="51">
        <v>26.7</v>
      </c>
      <c r="O29" s="51">
        <v>0</v>
      </c>
      <c r="P29" s="51">
        <v>0.39</v>
      </c>
      <c r="Q29" s="51">
        <v>9.2899999999999991</v>
      </c>
      <c r="R29" s="43"/>
      <c r="S29" s="43"/>
      <c r="T29" s="43"/>
      <c r="U29" s="43"/>
    </row>
    <row r="30" spans="1:21" s="11" customFormat="1" x14ac:dyDescent="0.25">
      <c r="A30" s="50" t="s">
        <v>105</v>
      </c>
      <c r="B30" s="51">
        <v>7.43</v>
      </c>
      <c r="C30" s="51">
        <v>27.39</v>
      </c>
      <c r="D30" s="51">
        <v>41.02</v>
      </c>
      <c r="E30" s="51">
        <v>5.38</v>
      </c>
      <c r="F30" s="51">
        <v>9.25</v>
      </c>
      <c r="G30" s="51">
        <v>36.39</v>
      </c>
      <c r="H30" s="51">
        <v>36.04</v>
      </c>
      <c r="I30" s="51">
        <v>4.17</v>
      </c>
      <c r="J30" s="51">
        <v>0.16</v>
      </c>
      <c r="K30" s="51">
        <v>290.22000000000003</v>
      </c>
      <c r="L30" s="51">
        <v>29.38</v>
      </c>
      <c r="M30" s="51">
        <v>57.38</v>
      </c>
      <c r="N30" s="51">
        <v>26.7</v>
      </c>
      <c r="O30" s="51">
        <v>0</v>
      </c>
      <c r="P30" s="51">
        <v>0.39</v>
      </c>
      <c r="Q30" s="51">
        <v>9.2899999999999991</v>
      </c>
      <c r="R30" s="43"/>
      <c r="S30" s="43"/>
      <c r="T30" s="43"/>
      <c r="U30" s="43"/>
    </row>
    <row r="31" spans="1:21" s="11" customFormat="1" x14ac:dyDescent="0.25">
      <c r="A31" s="50" t="s">
        <v>106</v>
      </c>
      <c r="B31" s="51">
        <v>6.9</v>
      </c>
      <c r="C31" s="51">
        <v>28.3</v>
      </c>
      <c r="D31" s="51">
        <v>43.58</v>
      </c>
      <c r="E31" s="51">
        <v>5.13</v>
      </c>
      <c r="F31" s="51">
        <v>10.46</v>
      </c>
      <c r="G31" s="51">
        <v>35.340000000000003</v>
      </c>
      <c r="H31" s="51">
        <v>29.64</v>
      </c>
      <c r="I31" s="51">
        <v>4.04</v>
      </c>
      <c r="J31" s="51">
        <v>0.26</v>
      </c>
      <c r="K31" s="51">
        <v>208.97</v>
      </c>
      <c r="L31" s="51">
        <v>28.4</v>
      </c>
      <c r="M31" s="51">
        <v>61.86</v>
      </c>
      <c r="N31" s="51">
        <v>26.6</v>
      </c>
      <c r="O31" s="51">
        <v>0</v>
      </c>
      <c r="P31" s="51">
        <v>0.33</v>
      </c>
      <c r="Q31" s="51">
        <v>9.35</v>
      </c>
      <c r="R31" s="43"/>
      <c r="S31" s="43"/>
      <c r="T31" s="43"/>
      <c r="U31" s="43"/>
    </row>
    <row r="32" spans="1:21" s="11" customFormat="1" x14ac:dyDescent="0.25">
      <c r="A32" s="50" t="s">
        <v>107</v>
      </c>
      <c r="B32" s="51">
        <v>8.33</v>
      </c>
      <c r="C32" s="51">
        <v>18.510000000000002</v>
      </c>
      <c r="D32" s="51">
        <v>25.81</v>
      </c>
      <c r="E32" s="51">
        <v>5.55</v>
      </c>
      <c r="F32" s="51">
        <v>10.89</v>
      </c>
      <c r="G32" s="51">
        <v>33.770000000000003</v>
      </c>
      <c r="H32" s="51">
        <v>85.94</v>
      </c>
      <c r="I32" s="51">
        <v>4.12</v>
      </c>
      <c r="J32" s="51">
        <v>0.39</v>
      </c>
      <c r="K32" s="51">
        <v>175.96</v>
      </c>
      <c r="L32" s="51">
        <v>27.63</v>
      </c>
      <c r="M32" s="51">
        <v>67.03</v>
      </c>
      <c r="N32" s="51">
        <v>26.6</v>
      </c>
      <c r="O32" s="51">
        <v>0</v>
      </c>
      <c r="P32" s="51">
        <v>0.32</v>
      </c>
      <c r="Q32" s="51">
        <v>9.36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4.71</v>
      </c>
      <c r="C34" s="28">
        <f t="shared" si="0"/>
        <v>18.510000000000002</v>
      </c>
      <c r="D34" s="28">
        <f t="shared" si="0"/>
        <v>21.85</v>
      </c>
      <c r="E34" s="28">
        <f t="shared" si="0"/>
        <v>4.28</v>
      </c>
      <c r="F34" s="28">
        <f t="shared" si="0"/>
        <v>3.95</v>
      </c>
      <c r="G34" s="28">
        <f t="shared" si="0"/>
        <v>16.39</v>
      </c>
      <c r="H34" s="28">
        <f t="shared" si="0"/>
        <v>2.35</v>
      </c>
      <c r="I34" s="28">
        <f t="shared" si="0"/>
        <v>4.04</v>
      </c>
      <c r="J34" s="28">
        <f t="shared" si="0"/>
        <v>0.08</v>
      </c>
      <c r="K34" s="28">
        <f t="shared" si="0"/>
        <v>173.77</v>
      </c>
      <c r="L34" s="28">
        <f t="shared" si="0"/>
        <v>24</v>
      </c>
      <c r="M34" s="28">
        <f t="shared" si="0"/>
        <v>38.86</v>
      </c>
      <c r="N34" s="28">
        <f t="shared" si="0"/>
        <v>26.4</v>
      </c>
      <c r="O34" s="28">
        <f t="shared" si="0"/>
        <v>0</v>
      </c>
      <c r="P34" s="28">
        <f t="shared" si="0"/>
        <v>0.23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16.55</v>
      </c>
      <c r="C35" s="29">
        <f t="shared" si="1"/>
        <v>45.97</v>
      </c>
      <c r="D35" s="29">
        <f t="shared" si="1"/>
        <v>74.3</v>
      </c>
      <c r="E35" s="29">
        <f t="shared" si="1"/>
        <v>6.04</v>
      </c>
      <c r="F35" s="29">
        <f t="shared" si="1"/>
        <v>22.6</v>
      </c>
      <c r="G35" s="29">
        <f t="shared" si="1"/>
        <v>54.69</v>
      </c>
      <c r="H35" s="29">
        <f t="shared" si="1"/>
        <v>545.30999999999995</v>
      </c>
      <c r="I35" s="29">
        <f t="shared" si="1"/>
        <v>4.29</v>
      </c>
      <c r="J35" s="29">
        <f t="shared" si="1"/>
        <v>0.57999999999999996</v>
      </c>
      <c r="K35" s="29">
        <f t="shared" si="1"/>
        <v>339.81</v>
      </c>
      <c r="L35" s="29">
        <f t="shared" si="1"/>
        <v>35.33</v>
      </c>
      <c r="M35" s="29">
        <f t="shared" si="1"/>
        <v>80.040000000000006</v>
      </c>
      <c r="N35" s="29">
        <f t="shared" si="1"/>
        <v>977.6</v>
      </c>
      <c r="O35" s="29">
        <f t="shared" si="1"/>
        <v>0</v>
      </c>
      <c r="P35" s="29">
        <f t="shared" si="1"/>
        <v>0.56000000000000005</v>
      </c>
      <c r="Q35" s="29">
        <f t="shared" si="1"/>
        <v>9.52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9.0808333333333326</v>
      </c>
      <c r="C36" s="28">
        <f t="shared" si="2"/>
        <v>24.064999999999998</v>
      </c>
      <c r="D36" s="28">
        <f t="shared" si="2"/>
        <v>32.744583333333331</v>
      </c>
      <c r="E36" s="28">
        <f t="shared" si="2"/>
        <v>5.2354166666666666</v>
      </c>
      <c r="F36" s="28">
        <f t="shared" si="2"/>
        <v>9.7141666666666655</v>
      </c>
      <c r="G36" s="28">
        <f t="shared" si="2"/>
        <v>38.134166666666673</v>
      </c>
      <c r="H36" s="28">
        <f t="shared" si="2"/>
        <v>71.650416666666686</v>
      </c>
      <c r="I36" s="28">
        <f t="shared" si="2"/>
        <v>4.1258333333333344</v>
      </c>
      <c r="J36" s="28">
        <f t="shared" si="2"/>
        <v>0.24749999999999997</v>
      </c>
      <c r="K36" s="28">
        <f t="shared" si="2"/>
        <v>271.81083333333328</v>
      </c>
      <c r="L36" s="28">
        <f t="shared" si="2"/>
        <v>30.089583333333334</v>
      </c>
      <c r="M36" s="28">
        <f t="shared" si="2"/>
        <v>56.077083333333327</v>
      </c>
      <c r="N36" s="28">
        <f t="shared" si="2"/>
        <v>289.60416666666669</v>
      </c>
      <c r="O36" s="28">
        <f t="shared" si="2"/>
        <v>0</v>
      </c>
      <c r="P36" s="28">
        <f t="shared" si="2"/>
        <v>0.31916666666666665</v>
      </c>
      <c r="Q36" s="28">
        <f t="shared" si="2"/>
        <v>9.3395833333333318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3.703596274206852</v>
      </c>
      <c r="C37" s="28">
        <f t="shared" ref="C37:Q37" si="3">STDEV(C9:C32)</f>
        <v>5.7921551144254897</v>
      </c>
      <c r="D37" s="28">
        <f t="shared" si="3"/>
        <v>11.113551844547709</v>
      </c>
      <c r="E37" s="28">
        <f t="shared" si="3"/>
        <v>0.51667817892737644</v>
      </c>
      <c r="F37" s="28">
        <f t="shared" si="3"/>
        <v>4.9126039466083435</v>
      </c>
      <c r="G37" s="28">
        <f t="shared" si="3"/>
        <v>8.6705377781495283</v>
      </c>
      <c r="H37" s="28">
        <f t="shared" si="3"/>
        <v>126.02885361415098</v>
      </c>
      <c r="I37" s="28">
        <f t="shared" si="3"/>
        <v>5.7401459356290652E-2</v>
      </c>
      <c r="J37" s="28">
        <f t="shared" si="3"/>
        <v>0.12424554930354308</v>
      </c>
      <c r="K37" s="28">
        <f t="shared" si="3"/>
        <v>42.603367280336158</v>
      </c>
      <c r="L37" s="28">
        <f t="shared" si="3"/>
        <v>3.8265042272875629</v>
      </c>
      <c r="M37" s="28">
        <f t="shared" si="3"/>
        <v>12.538565717562109</v>
      </c>
      <c r="N37" s="28">
        <f t="shared" si="3"/>
        <v>336.71290116057469</v>
      </c>
      <c r="O37" s="28">
        <f t="shared" si="3"/>
        <v>0</v>
      </c>
      <c r="P37" s="28">
        <f t="shared" si="3"/>
        <v>6.1919770437352965E-2</v>
      </c>
      <c r="Q37" s="28">
        <f t="shared" si="3"/>
        <v>0.11047247017545442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108</v>
      </c>
      <c r="B9" s="51">
        <v>9.0299999999999994</v>
      </c>
      <c r="C9" s="51">
        <v>17.739999999999998</v>
      </c>
      <c r="D9" s="51">
        <v>20.89</v>
      </c>
      <c r="E9" s="51">
        <v>4.49</v>
      </c>
      <c r="F9" s="51">
        <v>7.38</v>
      </c>
      <c r="G9" s="51">
        <v>32.26</v>
      </c>
      <c r="H9" s="51">
        <v>29.47</v>
      </c>
      <c r="I9" s="51">
        <v>4.25</v>
      </c>
      <c r="J9" s="51">
        <v>0.15</v>
      </c>
      <c r="K9" s="51">
        <v>239.11</v>
      </c>
      <c r="L9" s="51">
        <v>26.85</v>
      </c>
      <c r="M9" s="51">
        <v>71.88</v>
      </c>
      <c r="N9" s="51">
        <v>26.8</v>
      </c>
      <c r="O9" s="51">
        <v>0</v>
      </c>
      <c r="P9" s="51">
        <v>0.32</v>
      </c>
      <c r="Q9" s="51">
        <v>9.35</v>
      </c>
      <c r="R9" s="43"/>
      <c r="S9" s="43"/>
      <c r="T9" s="43"/>
      <c r="U9" s="43"/>
    </row>
    <row r="10" spans="1:21" s="11" customFormat="1" x14ac:dyDescent="0.25">
      <c r="A10" s="50" t="s">
        <v>109</v>
      </c>
      <c r="B10" s="51">
        <v>8.6199999999999992</v>
      </c>
      <c r="C10" s="51">
        <v>18.329999999999998</v>
      </c>
      <c r="D10" s="51">
        <v>21.85</v>
      </c>
      <c r="E10" s="51">
        <v>4.03</v>
      </c>
      <c r="F10" s="51">
        <v>6.7</v>
      </c>
      <c r="G10" s="51">
        <v>29.28</v>
      </c>
      <c r="H10" s="51">
        <v>146.19999999999999</v>
      </c>
      <c r="I10" s="51">
        <v>4</v>
      </c>
      <c r="J10" s="51">
        <v>0.2</v>
      </c>
      <c r="K10" s="51">
        <v>168.49</v>
      </c>
      <c r="L10" s="51">
        <v>26.08</v>
      </c>
      <c r="M10" s="51">
        <v>74.05</v>
      </c>
      <c r="N10" s="51">
        <v>26.5</v>
      </c>
      <c r="O10" s="51">
        <v>0</v>
      </c>
      <c r="P10" s="51">
        <v>0.28999999999999998</v>
      </c>
      <c r="Q10" s="51">
        <v>9.33</v>
      </c>
      <c r="R10" s="43"/>
      <c r="S10" s="43"/>
      <c r="T10" s="43"/>
      <c r="U10" s="43"/>
    </row>
    <row r="11" spans="1:21" s="11" customFormat="1" x14ac:dyDescent="0.25">
      <c r="A11" s="50" t="s">
        <v>110</v>
      </c>
      <c r="B11" s="51">
        <v>8.2799999999999994</v>
      </c>
      <c r="C11" s="51">
        <v>17.579999999999998</v>
      </c>
      <c r="D11" s="51">
        <v>21.55</v>
      </c>
      <c r="E11" s="51">
        <v>4.21</v>
      </c>
      <c r="F11" s="51">
        <v>8.94</v>
      </c>
      <c r="G11" s="51">
        <v>29.06</v>
      </c>
      <c r="H11" s="51">
        <v>234.97</v>
      </c>
      <c r="I11" s="51">
        <v>4.0599999999999996</v>
      </c>
      <c r="J11" s="51">
        <v>0.18</v>
      </c>
      <c r="K11" s="51">
        <v>240.08</v>
      </c>
      <c r="L11" s="51">
        <v>25.9</v>
      </c>
      <c r="M11" s="51">
        <v>77.239999999999995</v>
      </c>
      <c r="N11" s="51">
        <v>26.5</v>
      </c>
      <c r="O11" s="51">
        <v>0</v>
      </c>
      <c r="P11" s="51">
        <v>0.26</v>
      </c>
      <c r="Q11" s="51">
        <v>9.4</v>
      </c>
      <c r="R11" s="43"/>
      <c r="S11" s="43"/>
      <c r="T11" s="43"/>
      <c r="U11" s="43"/>
    </row>
    <row r="12" spans="1:21" s="11" customFormat="1" x14ac:dyDescent="0.25">
      <c r="A12" s="50" t="s">
        <v>111</v>
      </c>
      <c r="B12" s="51">
        <v>9.3000000000000007</v>
      </c>
      <c r="C12" s="51">
        <v>16.87</v>
      </c>
      <c r="D12" s="51">
        <v>18.37</v>
      </c>
      <c r="E12" s="51">
        <v>4.34</v>
      </c>
      <c r="F12" s="51">
        <v>9.3800000000000008</v>
      </c>
      <c r="G12" s="51">
        <v>25.19</v>
      </c>
      <c r="H12" s="51">
        <v>52.19</v>
      </c>
      <c r="I12" s="51">
        <v>3.97</v>
      </c>
      <c r="J12" s="51">
        <v>0.28999999999999998</v>
      </c>
      <c r="K12" s="51">
        <v>320.94</v>
      </c>
      <c r="L12" s="51">
        <v>25.43</v>
      </c>
      <c r="M12" s="51">
        <v>80.569999999999993</v>
      </c>
      <c r="N12" s="51">
        <v>26.4</v>
      </c>
      <c r="O12" s="51">
        <v>0</v>
      </c>
      <c r="P12" s="51">
        <v>0.23</v>
      </c>
      <c r="Q12" s="51">
        <v>9.43</v>
      </c>
      <c r="R12" s="43"/>
      <c r="S12" s="43"/>
      <c r="T12" s="43"/>
      <c r="U12" s="43"/>
    </row>
    <row r="13" spans="1:21" s="11" customFormat="1" x14ac:dyDescent="0.25">
      <c r="A13" s="50" t="s">
        <v>112</v>
      </c>
      <c r="B13" s="51">
        <v>12.8</v>
      </c>
      <c r="C13" s="51">
        <v>22.99</v>
      </c>
      <c r="D13" s="51">
        <v>24.36</v>
      </c>
      <c r="E13" s="51">
        <v>4.43</v>
      </c>
      <c r="F13" s="51">
        <v>5.56</v>
      </c>
      <c r="G13" s="51">
        <v>23.4</v>
      </c>
      <c r="H13" s="51">
        <v>58.9</v>
      </c>
      <c r="I13" s="51">
        <v>4.13</v>
      </c>
      <c r="J13" s="51">
        <v>0.17</v>
      </c>
      <c r="K13" s="51">
        <v>322.97000000000003</v>
      </c>
      <c r="L13" s="51">
        <v>25.47</v>
      </c>
      <c r="M13" s="51">
        <v>81.45</v>
      </c>
      <c r="N13" s="51">
        <v>26.4</v>
      </c>
      <c r="O13" s="51">
        <v>0</v>
      </c>
      <c r="P13" s="51">
        <v>0.27</v>
      </c>
      <c r="Q13" s="51">
        <v>9.43</v>
      </c>
      <c r="R13" s="43"/>
      <c r="S13" s="43"/>
      <c r="T13" s="43"/>
      <c r="U13" s="43"/>
    </row>
    <row r="14" spans="1:21" s="11" customFormat="1" x14ac:dyDescent="0.25">
      <c r="A14" s="50" t="s">
        <v>113</v>
      </c>
      <c r="B14" s="51">
        <v>16.21</v>
      </c>
      <c r="C14" s="51">
        <v>27.96</v>
      </c>
      <c r="D14" s="51">
        <v>31.72</v>
      </c>
      <c r="E14" s="51">
        <v>4.3899999999999997</v>
      </c>
      <c r="F14" s="51">
        <v>5.38</v>
      </c>
      <c r="G14" s="51">
        <v>25.82</v>
      </c>
      <c r="H14" s="51">
        <v>89.21</v>
      </c>
      <c r="I14" s="51">
        <v>4.03</v>
      </c>
      <c r="J14" s="51">
        <v>0.09</v>
      </c>
      <c r="K14" s="51">
        <v>301.95999999999998</v>
      </c>
      <c r="L14" s="51">
        <v>25.6</v>
      </c>
      <c r="M14" s="51">
        <v>77.959999999999994</v>
      </c>
      <c r="N14" s="51">
        <v>64.8</v>
      </c>
      <c r="O14" s="51">
        <v>0</v>
      </c>
      <c r="P14" s="51">
        <v>0.36</v>
      </c>
      <c r="Q14" s="51">
        <v>9.48</v>
      </c>
      <c r="R14" s="43"/>
      <c r="S14" s="43"/>
      <c r="T14" s="43"/>
      <c r="U14" s="43"/>
    </row>
    <row r="15" spans="1:21" s="11" customFormat="1" x14ac:dyDescent="0.25">
      <c r="A15" s="50" t="s">
        <v>114</v>
      </c>
      <c r="B15" s="51">
        <v>16.18</v>
      </c>
      <c r="C15" s="51">
        <v>30.63</v>
      </c>
      <c r="D15" s="51">
        <v>36.130000000000003</v>
      </c>
      <c r="E15" s="51">
        <v>4.1500000000000004</v>
      </c>
      <c r="F15" s="51">
        <v>6.15</v>
      </c>
      <c r="G15" s="51">
        <v>30.03</v>
      </c>
      <c r="H15" s="51">
        <v>33.81</v>
      </c>
      <c r="I15" s="51">
        <v>4.08</v>
      </c>
      <c r="J15" s="51">
        <v>0.17</v>
      </c>
      <c r="K15" s="51">
        <v>301.97000000000003</v>
      </c>
      <c r="L15" s="51">
        <v>28.04</v>
      </c>
      <c r="M15" s="51">
        <v>73.180000000000007</v>
      </c>
      <c r="N15" s="51">
        <v>243.7</v>
      </c>
      <c r="O15" s="51">
        <v>0</v>
      </c>
      <c r="P15" s="51">
        <v>0.37</v>
      </c>
      <c r="Q15" s="51">
        <v>9.56</v>
      </c>
      <c r="R15" s="43"/>
      <c r="S15" s="43"/>
      <c r="T15" s="43"/>
      <c r="U15" s="43"/>
    </row>
    <row r="16" spans="1:21" s="11" customFormat="1" x14ac:dyDescent="0.25">
      <c r="A16" s="50" t="s">
        <v>115</v>
      </c>
      <c r="B16" s="51">
        <v>13.25</v>
      </c>
      <c r="C16" s="51">
        <v>23.58</v>
      </c>
      <c r="D16" s="51">
        <v>25.34</v>
      </c>
      <c r="E16" s="51">
        <v>5.0999999999999996</v>
      </c>
      <c r="F16" s="51">
        <v>7.13</v>
      </c>
      <c r="G16" s="51">
        <v>31.73</v>
      </c>
      <c r="H16" s="51">
        <v>212.69</v>
      </c>
      <c r="I16" s="51">
        <v>4.18</v>
      </c>
      <c r="J16" s="51">
        <v>0.23</v>
      </c>
      <c r="K16" s="51">
        <v>279.49</v>
      </c>
      <c r="L16" s="51">
        <v>29.87</v>
      </c>
      <c r="M16" s="51">
        <v>68.11</v>
      </c>
      <c r="N16" s="51">
        <v>451.4</v>
      </c>
      <c r="O16" s="51">
        <v>0</v>
      </c>
      <c r="P16" s="51">
        <v>0.34</v>
      </c>
      <c r="Q16" s="51">
        <v>9.5500000000000007</v>
      </c>
      <c r="R16" s="43"/>
      <c r="S16" s="43"/>
      <c r="T16" s="43"/>
      <c r="U16" s="43"/>
    </row>
    <row r="17" spans="1:21" s="11" customFormat="1" x14ac:dyDescent="0.25">
      <c r="A17" s="50" t="s">
        <v>116</v>
      </c>
      <c r="B17" s="51">
        <v>12.05</v>
      </c>
      <c r="C17" s="51">
        <v>22.77</v>
      </c>
      <c r="D17" s="51">
        <v>28.06</v>
      </c>
      <c r="E17" s="51">
        <v>4.8600000000000003</v>
      </c>
      <c r="F17" s="51">
        <v>5.26</v>
      </c>
      <c r="G17" s="51">
        <v>33.71</v>
      </c>
      <c r="H17" s="51">
        <v>341.83</v>
      </c>
      <c r="I17" s="51">
        <v>3.98</v>
      </c>
      <c r="J17" s="51">
        <v>0.41</v>
      </c>
      <c r="K17" s="51">
        <v>287.99</v>
      </c>
      <c r="L17" s="51">
        <v>31.64</v>
      </c>
      <c r="M17" s="51">
        <v>57.57</v>
      </c>
      <c r="N17" s="51">
        <v>642.79999999999995</v>
      </c>
      <c r="O17" s="51">
        <v>0</v>
      </c>
      <c r="P17" s="51">
        <v>0.33</v>
      </c>
      <c r="Q17" s="51">
        <v>9.48</v>
      </c>
      <c r="R17" s="43"/>
      <c r="S17" s="43"/>
      <c r="T17" s="43"/>
      <c r="U17" s="43"/>
    </row>
    <row r="18" spans="1:21" s="11" customFormat="1" x14ac:dyDescent="0.25">
      <c r="A18" s="50" t="s">
        <v>117</v>
      </c>
      <c r="B18" s="51">
        <v>6.13</v>
      </c>
      <c r="C18" s="51">
        <v>21.07</v>
      </c>
      <c r="D18" s="51">
        <v>31.54</v>
      </c>
      <c r="E18" s="51">
        <v>4.6399999999999997</v>
      </c>
      <c r="F18" s="51">
        <v>5.14</v>
      </c>
      <c r="G18" s="51">
        <v>37.479999999999997</v>
      </c>
      <c r="H18" s="51">
        <v>98.17</v>
      </c>
      <c r="I18" s="51">
        <v>4.21</v>
      </c>
      <c r="J18" s="51">
        <v>0.75</v>
      </c>
      <c r="K18" s="51">
        <v>294.27999999999997</v>
      </c>
      <c r="L18" s="51">
        <v>35</v>
      </c>
      <c r="M18" s="51">
        <v>47.77</v>
      </c>
      <c r="N18" s="51">
        <v>799.1</v>
      </c>
      <c r="O18" s="51">
        <v>0</v>
      </c>
      <c r="P18" s="51">
        <v>0.42</v>
      </c>
      <c r="Q18" s="51">
        <v>9.1999999999999993</v>
      </c>
      <c r="R18" s="43"/>
      <c r="S18" s="43"/>
      <c r="T18" s="43"/>
      <c r="U18" s="43"/>
    </row>
    <row r="19" spans="1:21" s="11" customFormat="1" x14ac:dyDescent="0.25">
      <c r="A19" s="50" t="s">
        <v>118</v>
      </c>
      <c r="B19" s="51">
        <v>5.15</v>
      </c>
      <c r="C19" s="51">
        <v>20.22</v>
      </c>
      <c r="D19" s="51">
        <v>31.26</v>
      </c>
      <c r="E19" s="51">
        <v>4.96</v>
      </c>
      <c r="F19" s="51">
        <v>5.66</v>
      </c>
      <c r="G19" s="51">
        <v>39.89</v>
      </c>
      <c r="H19" s="51">
        <v>157.76</v>
      </c>
      <c r="I19" s="51">
        <v>4.01</v>
      </c>
      <c r="J19" s="51">
        <v>0.77</v>
      </c>
      <c r="K19" s="51">
        <v>292.83</v>
      </c>
      <c r="L19" s="51">
        <v>35.85</v>
      </c>
      <c r="M19" s="51">
        <v>38.79</v>
      </c>
      <c r="N19" s="51">
        <v>891.5</v>
      </c>
      <c r="O19" s="51">
        <v>0</v>
      </c>
      <c r="P19" s="51">
        <v>0.42</v>
      </c>
      <c r="Q19" s="51">
        <v>9.2100000000000009</v>
      </c>
      <c r="R19" s="43"/>
      <c r="S19" s="43"/>
      <c r="T19" s="43"/>
      <c r="U19" s="43"/>
    </row>
    <row r="20" spans="1:21" s="11" customFormat="1" x14ac:dyDescent="0.25">
      <c r="A20" s="50" t="s">
        <v>119</v>
      </c>
      <c r="B20" s="51">
        <v>5.53</v>
      </c>
      <c r="C20" s="51">
        <v>20.77</v>
      </c>
      <c r="D20" s="51">
        <v>31.69</v>
      </c>
      <c r="E20" s="51">
        <v>4.7</v>
      </c>
      <c r="F20" s="51">
        <v>6.7</v>
      </c>
      <c r="G20" s="51">
        <v>40.26</v>
      </c>
      <c r="H20" s="51">
        <v>73.13</v>
      </c>
      <c r="I20" s="51">
        <v>4.08</v>
      </c>
      <c r="J20" s="51">
        <v>0.78</v>
      </c>
      <c r="K20" s="51">
        <v>301.18</v>
      </c>
      <c r="L20" s="51">
        <v>37.01</v>
      </c>
      <c r="M20" s="51">
        <v>35.25</v>
      </c>
      <c r="N20" s="51">
        <v>905.7</v>
      </c>
      <c r="O20" s="51">
        <v>0</v>
      </c>
      <c r="P20" s="51">
        <v>0.39</v>
      </c>
      <c r="Q20" s="51">
        <v>9.24</v>
      </c>
      <c r="R20" s="43"/>
      <c r="S20" s="43"/>
      <c r="T20" s="43"/>
      <c r="U20" s="43"/>
    </row>
    <row r="21" spans="1:21" s="11" customFormat="1" x14ac:dyDescent="0.25">
      <c r="A21" s="50" t="s">
        <v>120</v>
      </c>
      <c r="B21" s="51">
        <v>6.9</v>
      </c>
      <c r="C21" s="51">
        <v>20.57</v>
      </c>
      <c r="D21" s="51">
        <v>29.62</v>
      </c>
      <c r="E21" s="51">
        <v>5.04</v>
      </c>
      <c r="F21" s="51">
        <v>10.66</v>
      </c>
      <c r="G21" s="51">
        <v>40.61</v>
      </c>
      <c r="H21" s="51">
        <v>117.53</v>
      </c>
      <c r="I21" s="51">
        <v>4.0599999999999996</v>
      </c>
      <c r="J21" s="51">
        <v>0.8</v>
      </c>
      <c r="K21" s="51">
        <v>310.8</v>
      </c>
      <c r="L21" s="51">
        <v>37.54</v>
      </c>
      <c r="M21" s="51">
        <v>34.31</v>
      </c>
      <c r="N21" s="51">
        <v>845</v>
      </c>
      <c r="O21" s="51">
        <v>0</v>
      </c>
      <c r="P21" s="51">
        <v>0.38</v>
      </c>
      <c r="Q21" s="51">
        <v>9.25</v>
      </c>
      <c r="R21" s="43"/>
      <c r="S21" s="43"/>
      <c r="T21" s="43"/>
      <c r="U21" s="43"/>
    </row>
    <row r="22" spans="1:21" s="11" customFormat="1" x14ac:dyDescent="0.25">
      <c r="A22" s="50" t="s">
        <v>121</v>
      </c>
      <c r="B22" s="51">
        <v>6.79</v>
      </c>
      <c r="C22" s="51">
        <v>21.4</v>
      </c>
      <c r="D22" s="51">
        <v>31.15</v>
      </c>
      <c r="E22" s="51">
        <v>5.01</v>
      </c>
      <c r="F22" s="51">
        <v>6.22</v>
      </c>
      <c r="G22" s="51">
        <v>41.4</v>
      </c>
      <c r="H22" s="51">
        <v>106.86</v>
      </c>
      <c r="I22" s="51">
        <v>4.1100000000000003</v>
      </c>
      <c r="J22" s="51">
        <v>1.01</v>
      </c>
      <c r="K22" s="51">
        <v>308.73</v>
      </c>
      <c r="L22" s="51">
        <v>37.130000000000003</v>
      </c>
      <c r="M22" s="51">
        <v>33.67</v>
      </c>
      <c r="N22" s="51">
        <v>756.5</v>
      </c>
      <c r="O22" s="51">
        <v>0</v>
      </c>
      <c r="P22" s="51">
        <v>0.35</v>
      </c>
      <c r="Q22" s="51">
        <v>9.26</v>
      </c>
      <c r="R22" s="43"/>
      <c r="S22" s="43"/>
      <c r="T22" s="43"/>
      <c r="U22" s="43"/>
    </row>
    <row r="23" spans="1:21" s="11" customFormat="1" x14ac:dyDescent="0.25">
      <c r="A23" s="50" t="s">
        <v>122</v>
      </c>
      <c r="B23" s="51">
        <v>5.61</v>
      </c>
      <c r="C23" s="51">
        <v>20.3</v>
      </c>
      <c r="D23" s="51">
        <v>30.64</v>
      </c>
      <c r="E23" s="51">
        <v>5.0999999999999996</v>
      </c>
      <c r="F23" s="51">
        <v>8.76</v>
      </c>
      <c r="G23" s="51">
        <v>41.49</v>
      </c>
      <c r="H23" s="51">
        <v>74.37</v>
      </c>
      <c r="I23" s="51">
        <v>4.09</v>
      </c>
      <c r="J23" s="51">
        <v>0.44</v>
      </c>
      <c r="K23" s="51">
        <v>291.88</v>
      </c>
      <c r="L23" s="51">
        <v>35.28</v>
      </c>
      <c r="M23" s="51">
        <v>34.57</v>
      </c>
      <c r="N23" s="51">
        <v>400.9</v>
      </c>
      <c r="O23" s="51">
        <v>0</v>
      </c>
      <c r="P23" s="51">
        <v>0.36</v>
      </c>
      <c r="Q23" s="51">
        <v>9.23</v>
      </c>
      <c r="R23" s="43"/>
      <c r="S23" s="43"/>
      <c r="T23" s="43"/>
      <c r="U23" s="43"/>
    </row>
    <row r="24" spans="1:21" s="11" customFormat="1" x14ac:dyDescent="0.25">
      <c r="A24" s="50" t="s">
        <v>123</v>
      </c>
      <c r="B24" s="51">
        <v>6.04</v>
      </c>
      <c r="C24" s="51">
        <v>24.5</v>
      </c>
      <c r="D24" s="51">
        <v>37.619999999999997</v>
      </c>
      <c r="E24" s="51">
        <v>4.78</v>
      </c>
      <c r="F24" s="51">
        <v>14.85</v>
      </c>
      <c r="G24" s="51">
        <v>43.64</v>
      </c>
      <c r="H24" s="51">
        <v>141.69999999999999</v>
      </c>
      <c r="I24" s="51">
        <v>4.13</v>
      </c>
      <c r="J24" s="51">
        <v>0.49</v>
      </c>
      <c r="K24" s="51">
        <v>293.19</v>
      </c>
      <c r="L24" s="51">
        <v>35.01</v>
      </c>
      <c r="M24" s="51">
        <v>35.049999999999997</v>
      </c>
      <c r="N24" s="51">
        <v>302.10000000000002</v>
      </c>
      <c r="O24" s="51">
        <v>0</v>
      </c>
      <c r="P24" s="51">
        <v>0.38</v>
      </c>
      <c r="Q24" s="51">
        <v>9.23</v>
      </c>
      <c r="R24" s="43"/>
      <c r="S24" s="43"/>
      <c r="T24" s="43"/>
      <c r="U24" s="43"/>
    </row>
    <row r="25" spans="1:21" s="11" customFormat="1" x14ac:dyDescent="0.25">
      <c r="A25" s="50" t="s">
        <v>124</v>
      </c>
      <c r="B25" s="51">
        <v>8.48</v>
      </c>
      <c r="C25" s="51">
        <v>24.96</v>
      </c>
      <c r="D25" s="51">
        <v>35.04</v>
      </c>
      <c r="E25" s="51">
        <v>5.5</v>
      </c>
      <c r="F25" s="51">
        <v>13.95</v>
      </c>
      <c r="G25" s="51">
        <v>46.29</v>
      </c>
      <c r="H25" s="51">
        <v>227.74</v>
      </c>
      <c r="I25" s="51">
        <v>4.12</v>
      </c>
      <c r="J25" s="51">
        <v>0.25</v>
      </c>
      <c r="K25" s="51">
        <v>293.58</v>
      </c>
      <c r="L25" s="51">
        <v>34.630000000000003</v>
      </c>
      <c r="M25" s="51">
        <v>34.26</v>
      </c>
      <c r="N25" s="51">
        <v>203.2</v>
      </c>
      <c r="O25" s="51">
        <v>0</v>
      </c>
      <c r="P25" s="51">
        <v>0.4</v>
      </c>
      <c r="Q25" s="51">
        <v>9.25</v>
      </c>
      <c r="R25" s="43"/>
      <c r="S25" s="43"/>
      <c r="T25" s="43"/>
      <c r="U25" s="43"/>
    </row>
    <row r="26" spans="1:21" s="11" customFormat="1" x14ac:dyDescent="0.25">
      <c r="A26" s="50" t="s">
        <v>125</v>
      </c>
      <c r="B26" s="51">
        <v>7.4</v>
      </c>
      <c r="C26" s="51">
        <v>23.06</v>
      </c>
      <c r="D26" s="51">
        <v>32.79</v>
      </c>
      <c r="E26" s="51">
        <v>5.36</v>
      </c>
      <c r="F26" s="51">
        <v>11.57</v>
      </c>
      <c r="G26" s="51">
        <v>47.2</v>
      </c>
      <c r="H26" s="51">
        <v>55.52</v>
      </c>
      <c r="I26" s="51">
        <v>3.99</v>
      </c>
      <c r="J26" s="51">
        <v>0.15</v>
      </c>
      <c r="K26" s="51">
        <v>326.44</v>
      </c>
      <c r="L26" s="51">
        <v>34.06</v>
      </c>
      <c r="M26" s="51">
        <v>34.14</v>
      </c>
      <c r="N26" s="51">
        <v>92.1</v>
      </c>
      <c r="O26" s="51">
        <v>0</v>
      </c>
      <c r="P26" s="51">
        <v>0.37</v>
      </c>
      <c r="Q26" s="51">
        <v>9.26</v>
      </c>
      <c r="R26" s="43"/>
      <c r="S26" s="43"/>
      <c r="T26" s="43"/>
      <c r="U26" s="43"/>
    </row>
    <row r="27" spans="1:21" s="11" customFormat="1" x14ac:dyDescent="0.25">
      <c r="A27" s="50" t="s">
        <v>126</v>
      </c>
      <c r="B27" s="51">
        <v>8.69</v>
      </c>
      <c r="C27" s="51">
        <v>30.14</v>
      </c>
      <c r="D27" s="51">
        <v>44.35</v>
      </c>
      <c r="E27" s="51">
        <v>5.31</v>
      </c>
      <c r="F27" s="51">
        <v>11.49</v>
      </c>
      <c r="G27" s="51">
        <v>49.79</v>
      </c>
      <c r="H27" s="51">
        <v>205.44</v>
      </c>
      <c r="I27" s="51">
        <v>4.0599999999999996</v>
      </c>
      <c r="J27" s="51">
        <v>0.08</v>
      </c>
      <c r="K27" s="51">
        <v>266.8</v>
      </c>
      <c r="L27" s="51">
        <v>32.799999999999997</v>
      </c>
      <c r="M27" s="51">
        <v>40.049999999999997</v>
      </c>
      <c r="N27" s="51">
        <v>43.3</v>
      </c>
      <c r="O27" s="51">
        <v>0</v>
      </c>
      <c r="P27" s="51">
        <v>0.52</v>
      </c>
      <c r="Q27" s="51">
        <v>9.25</v>
      </c>
      <c r="R27" s="43"/>
      <c r="S27" s="43"/>
      <c r="T27" s="43"/>
      <c r="U27" s="43"/>
    </row>
    <row r="28" spans="1:21" s="11" customFormat="1" x14ac:dyDescent="0.25">
      <c r="A28" s="50" t="s">
        <v>127</v>
      </c>
      <c r="B28" s="51">
        <v>7.99</v>
      </c>
      <c r="C28" s="51">
        <v>29.17</v>
      </c>
      <c r="D28" s="51">
        <v>46.43</v>
      </c>
      <c r="E28" s="51">
        <v>5.55</v>
      </c>
      <c r="F28" s="51">
        <v>14.35</v>
      </c>
      <c r="G28" s="51">
        <v>51.6</v>
      </c>
      <c r="H28" s="51">
        <v>330.18</v>
      </c>
      <c r="I28" s="51">
        <v>4.08</v>
      </c>
      <c r="J28" s="51">
        <v>0.14000000000000001</v>
      </c>
      <c r="K28" s="51">
        <v>348.74</v>
      </c>
      <c r="L28" s="51">
        <v>31.25</v>
      </c>
      <c r="M28" s="51">
        <v>43.78</v>
      </c>
      <c r="N28" s="51">
        <v>26.5</v>
      </c>
      <c r="O28" s="51">
        <v>0</v>
      </c>
      <c r="P28" s="51">
        <v>0.51</v>
      </c>
      <c r="Q28" s="51">
        <v>9.2799999999999994</v>
      </c>
      <c r="R28" s="43"/>
      <c r="S28" s="43"/>
      <c r="T28" s="43"/>
      <c r="U28" s="43"/>
    </row>
    <row r="29" spans="1:21" s="11" customFormat="1" x14ac:dyDescent="0.25">
      <c r="A29" s="50" t="s">
        <v>128</v>
      </c>
      <c r="B29" s="51">
        <v>11.1</v>
      </c>
      <c r="C29" s="51">
        <v>37.090000000000003</v>
      </c>
      <c r="D29" s="51">
        <v>53.95</v>
      </c>
      <c r="E29" s="51">
        <v>5.78</v>
      </c>
      <c r="F29" s="51">
        <v>11.52</v>
      </c>
      <c r="G29" s="51">
        <v>52.61</v>
      </c>
      <c r="H29" s="51">
        <v>244.54</v>
      </c>
      <c r="I29" s="51">
        <v>4.0199999999999996</v>
      </c>
      <c r="J29" s="51">
        <v>0.15</v>
      </c>
      <c r="K29" s="51">
        <v>200.28</v>
      </c>
      <c r="L29" s="51">
        <v>30.01</v>
      </c>
      <c r="M29" s="51">
        <v>48.37</v>
      </c>
      <c r="N29" s="51">
        <v>26.6</v>
      </c>
      <c r="O29" s="51">
        <v>0</v>
      </c>
      <c r="P29" s="51">
        <v>0.48</v>
      </c>
      <c r="Q29" s="51">
        <v>9.35</v>
      </c>
      <c r="R29" s="43"/>
      <c r="S29" s="43"/>
      <c r="T29" s="43"/>
      <c r="U29" s="43"/>
    </row>
    <row r="30" spans="1:21" s="11" customFormat="1" x14ac:dyDescent="0.25">
      <c r="A30" s="50" t="s">
        <v>129</v>
      </c>
      <c r="B30" s="51">
        <v>9.93</v>
      </c>
      <c r="C30" s="51">
        <v>30.61</v>
      </c>
      <c r="D30" s="51">
        <v>43.43</v>
      </c>
      <c r="E30" s="51">
        <v>5.61</v>
      </c>
      <c r="F30" s="51">
        <v>8.52</v>
      </c>
      <c r="G30" s="51">
        <v>54.63</v>
      </c>
      <c r="H30" s="51">
        <v>339.03</v>
      </c>
      <c r="I30" s="51">
        <v>4.04</v>
      </c>
      <c r="J30" s="51">
        <v>0.08</v>
      </c>
      <c r="K30" s="51">
        <v>285.56</v>
      </c>
      <c r="L30" s="51">
        <v>28.94</v>
      </c>
      <c r="M30" s="51">
        <v>52.34</v>
      </c>
      <c r="N30" s="51">
        <v>26.6</v>
      </c>
      <c r="O30" s="51">
        <v>0</v>
      </c>
      <c r="P30" s="51">
        <v>0.52</v>
      </c>
      <c r="Q30" s="51">
        <v>9.41</v>
      </c>
      <c r="R30" s="43"/>
      <c r="S30" s="43"/>
      <c r="T30" s="43"/>
      <c r="U30" s="43"/>
    </row>
    <row r="31" spans="1:21" s="11" customFormat="1" x14ac:dyDescent="0.25">
      <c r="A31" s="50" t="s">
        <v>130</v>
      </c>
      <c r="B31" s="51">
        <v>9.85</v>
      </c>
      <c r="C31" s="51">
        <v>25.96</v>
      </c>
      <c r="D31" s="51">
        <v>34.56</v>
      </c>
      <c r="E31" s="51">
        <v>5.37</v>
      </c>
      <c r="F31" s="51">
        <v>7.91</v>
      </c>
      <c r="G31" s="51">
        <v>55.55</v>
      </c>
      <c r="H31" s="51">
        <v>71.53</v>
      </c>
      <c r="I31" s="51">
        <v>4.01</v>
      </c>
      <c r="J31" s="51">
        <v>0.12</v>
      </c>
      <c r="K31" s="51">
        <v>318.02999999999997</v>
      </c>
      <c r="L31" s="51">
        <v>28.2</v>
      </c>
      <c r="M31" s="51">
        <v>58.06</v>
      </c>
      <c r="N31" s="51">
        <v>26.5</v>
      </c>
      <c r="O31" s="51">
        <v>0</v>
      </c>
      <c r="P31" s="51">
        <v>0.44</v>
      </c>
      <c r="Q31" s="51">
        <v>9.39</v>
      </c>
      <c r="R31" s="43"/>
      <c r="S31" s="43"/>
      <c r="T31" s="43"/>
      <c r="U31" s="43"/>
    </row>
    <row r="32" spans="1:21" s="11" customFormat="1" x14ac:dyDescent="0.25">
      <c r="A32" s="50" t="s">
        <v>131</v>
      </c>
      <c r="B32" s="51">
        <v>15.19</v>
      </c>
      <c r="C32" s="51">
        <v>27.99</v>
      </c>
      <c r="D32" s="51">
        <v>30.26</v>
      </c>
      <c r="E32" s="51">
        <v>5.55</v>
      </c>
      <c r="F32" s="51">
        <v>7.99</v>
      </c>
      <c r="G32" s="51">
        <v>52.87</v>
      </c>
      <c r="H32" s="51">
        <v>114.95</v>
      </c>
      <c r="I32" s="51">
        <v>4.08</v>
      </c>
      <c r="J32" s="51">
        <v>0.46</v>
      </c>
      <c r="K32" s="51">
        <v>317.54000000000002</v>
      </c>
      <c r="L32" s="51">
        <v>27.69</v>
      </c>
      <c r="M32" s="51">
        <v>59.35</v>
      </c>
      <c r="N32" s="51">
        <v>26.4</v>
      </c>
      <c r="O32" s="51">
        <v>0</v>
      </c>
      <c r="P32" s="51">
        <v>0.46</v>
      </c>
      <c r="Q32" s="51">
        <v>9.42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5.15</v>
      </c>
      <c r="C34" s="28">
        <f t="shared" si="0"/>
        <v>16.87</v>
      </c>
      <c r="D34" s="28">
        <f t="shared" si="0"/>
        <v>18.37</v>
      </c>
      <c r="E34" s="28">
        <f t="shared" si="0"/>
        <v>4.03</v>
      </c>
      <c r="F34" s="28">
        <f t="shared" si="0"/>
        <v>5.14</v>
      </c>
      <c r="G34" s="28">
        <f t="shared" si="0"/>
        <v>23.4</v>
      </c>
      <c r="H34" s="28">
        <f t="shared" si="0"/>
        <v>29.47</v>
      </c>
      <c r="I34" s="28">
        <f t="shared" si="0"/>
        <v>3.97</v>
      </c>
      <c r="J34" s="28">
        <f t="shared" si="0"/>
        <v>0.08</v>
      </c>
      <c r="K34" s="28">
        <f t="shared" si="0"/>
        <v>168.49</v>
      </c>
      <c r="L34" s="28">
        <f t="shared" si="0"/>
        <v>25.43</v>
      </c>
      <c r="M34" s="28">
        <f t="shared" si="0"/>
        <v>33.67</v>
      </c>
      <c r="N34" s="28">
        <f t="shared" si="0"/>
        <v>26.4</v>
      </c>
      <c r="O34" s="28">
        <f t="shared" si="0"/>
        <v>0</v>
      </c>
      <c r="P34" s="28">
        <f t="shared" si="0"/>
        <v>0.23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16.21</v>
      </c>
      <c r="C35" s="29">
        <f t="shared" si="1"/>
        <v>37.090000000000003</v>
      </c>
      <c r="D35" s="29">
        <f t="shared" si="1"/>
        <v>53.95</v>
      </c>
      <c r="E35" s="29">
        <f t="shared" si="1"/>
        <v>5.78</v>
      </c>
      <c r="F35" s="29">
        <f t="shared" si="1"/>
        <v>14.85</v>
      </c>
      <c r="G35" s="29">
        <f t="shared" si="1"/>
        <v>55.55</v>
      </c>
      <c r="H35" s="29">
        <f t="shared" si="1"/>
        <v>341.83</v>
      </c>
      <c r="I35" s="29">
        <f t="shared" si="1"/>
        <v>4.25</v>
      </c>
      <c r="J35" s="29">
        <f t="shared" si="1"/>
        <v>1.01</v>
      </c>
      <c r="K35" s="29">
        <f t="shared" si="1"/>
        <v>348.74</v>
      </c>
      <c r="L35" s="29">
        <f t="shared" si="1"/>
        <v>37.54</v>
      </c>
      <c r="M35" s="29">
        <f t="shared" si="1"/>
        <v>81.45</v>
      </c>
      <c r="N35" s="29">
        <f t="shared" si="1"/>
        <v>905.7</v>
      </c>
      <c r="O35" s="29">
        <f t="shared" si="1"/>
        <v>0</v>
      </c>
      <c r="P35" s="29">
        <f t="shared" si="1"/>
        <v>0.52</v>
      </c>
      <c r="Q35" s="29">
        <f t="shared" si="1"/>
        <v>9.56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9.4375</v>
      </c>
      <c r="C36" s="28">
        <f t="shared" si="2"/>
        <v>24.010833333333334</v>
      </c>
      <c r="D36" s="28">
        <f t="shared" si="2"/>
        <v>32.191666666666663</v>
      </c>
      <c r="E36" s="28">
        <f t="shared" si="2"/>
        <v>4.9275000000000002</v>
      </c>
      <c r="F36" s="28">
        <f t="shared" si="2"/>
        <v>8.632083333333334</v>
      </c>
      <c r="G36" s="28">
        <f t="shared" si="2"/>
        <v>39.824583333333329</v>
      </c>
      <c r="H36" s="28">
        <f t="shared" si="2"/>
        <v>148.23833333333332</v>
      </c>
      <c r="I36" s="28">
        <f t="shared" si="2"/>
        <v>4.0737499999999995</v>
      </c>
      <c r="J36" s="28">
        <f t="shared" si="2"/>
        <v>0.34833333333333338</v>
      </c>
      <c r="K36" s="28">
        <f t="shared" si="2"/>
        <v>288.0358333333333</v>
      </c>
      <c r="L36" s="28">
        <f t="shared" si="2"/>
        <v>31.053333333333342</v>
      </c>
      <c r="M36" s="28">
        <f t="shared" si="2"/>
        <v>53.823749999999983</v>
      </c>
      <c r="N36" s="28">
        <f t="shared" si="2"/>
        <v>287.80416666666673</v>
      </c>
      <c r="O36" s="28">
        <f t="shared" si="2"/>
        <v>0</v>
      </c>
      <c r="P36" s="28">
        <f t="shared" si="2"/>
        <v>0.38208333333333333</v>
      </c>
      <c r="Q36" s="28">
        <f t="shared" si="2"/>
        <v>9.3433333333333319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3.3258516398713254</v>
      </c>
      <c r="C37" s="28">
        <f t="shared" ref="C37:Q37" si="3">STDEV(C9:C32)</f>
        <v>5.0756947835968207</v>
      </c>
      <c r="D37" s="28">
        <f t="shared" si="3"/>
        <v>8.5700548761201354</v>
      </c>
      <c r="E37" s="28">
        <f t="shared" si="3"/>
        <v>0.51343049146424036</v>
      </c>
      <c r="F37" s="28">
        <f t="shared" si="3"/>
        <v>2.9941028694341161</v>
      </c>
      <c r="G37" s="28">
        <f t="shared" si="3"/>
        <v>10.051229636723303</v>
      </c>
      <c r="H37" s="28">
        <f t="shared" si="3"/>
        <v>97.222734086161154</v>
      </c>
      <c r="I37" s="28">
        <f t="shared" si="3"/>
        <v>7.1554934809921908E-2</v>
      </c>
      <c r="J37" s="28">
        <f t="shared" si="3"/>
        <v>0.27798446416812678</v>
      </c>
      <c r="K37" s="28">
        <f t="shared" si="3"/>
        <v>40.695230028855676</v>
      </c>
      <c r="L37" s="28">
        <f t="shared" si="3"/>
        <v>4.2161023280488799</v>
      </c>
      <c r="M37" s="28">
        <f t="shared" si="3"/>
        <v>17.688556805116377</v>
      </c>
      <c r="N37" s="28">
        <f t="shared" si="3"/>
        <v>332.52666513433513</v>
      </c>
      <c r="O37" s="28">
        <f t="shared" si="3"/>
        <v>0</v>
      </c>
      <c r="P37" s="28">
        <f t="shared" si="3"/>
        <v>7.9781177177853574E-2</v>
      </c>
      <c r="Q37" s="28">
        <f t="shared" si="3"/>
        <v>0.10968994510879763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6" sqref="G16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132</v>
      </c>
      <c r="B9" s="51">
        <v>11.51</v>
      </c>
      <c r="C9" s="51">
        <v>32.22</v>
      </c>
      <c r="D9" s="51">
        <v>45.11</v>
      </c>
      <c r="E9" s="51">
        <v>5.93</v>
      </c>
      <c r="F9" s="51">
        <v>8.49</v>
      </c>
      <c r="G9" s="51">
        <v>53.79</v>
      </c>
      <c r="H9" s="51">
        <v>40.15</v>
      </c>
      <c r="I9" s="51">
        <v>4.07</v>
      </c>
      <c r="J9" s="51">
        <v>0.17</v>
      </c>
      <c r="K9" s="51">
        <v>303.52</v>
      </c>
      <c r="L9" s="51">
        <v>27.75</v>
      </c>
      <c r="M9" s="51">
        <v>59.07</v>
      </c>
      <c r="N9" s="51">
        <v>26.5</v>
      </c>
      <c r="O9" s="51">
        <v>0</v>
      </c>
      <c r="P9" s="51">
        <v>0.76</v>
      </c>
      <c r="Q9" s="51">
        <v>9.48</v>
      </c>
      <c r="R9" s="43"/>
      <c r="S9" s="43"/>
      <c r="T9" s="43"/>
      <c r="U9" s="43"/>
    </row>
    <row r="10" spans="1:21" s="11" customFormat="1" x14ac:dyDescent="0.25">
      <c r="A10" s="50" t="s">
        <v>133</v>
      </c>
      <c r="B10" s="51">
        <v>8.1</v>
      </c>
      <c r="C10" s="51">
        <v>23.72</v>
      </c>
      <c r="D10" s="51">
        <v>34.04</v>
      </c>
      <c r="E10" s="51">
        <v>6.06</v>
      </c>
      <c r="F10" s="51">
        <v>11.06</v>
      </c>
      <c r="G10" s="51">
        <v>53.83</v>
      </c>
      <c r="H10" s="51">
        <v>-10.72</v>
      </c>
      <c r="I10" s="51">
        <v>4.16</v>
      </c>
      <c r="J10" s="51">
        <v>0.44</v>
      </c>
      <c r="K10" s="51">
        <v>305.76</v>
      </c>
      <c r="L10" s="51">
        <v>27.49</v>
      </c>
      <c r="M10" s="51">
        <v>66.069999999999993</v>
      </c>
      <c r="N10" s="51">
        <v>26.8</v>
      </c>
      <c r="O10" s="51">
        <v>0</v>
      </c>
      <c r="P10" s="51">
        <v>0.69</v>
      </c>
      <c r="Q10" s="51">
        <v>9.49</v>
      </c>
      <c r="R10" s="43"/>
      <c r="S10" s="43"/>
      <c r="T10" s="43"/>
      <c r="U10" s="43"/>
    </row>
    <row r="11" spans="1:21" s="11" customFormat="1" x14ac:dyDescent="0.25">
      <c r="A11" s="50" t="s">
        <v>134</v>
      </c>
      <c r="B11" s="51">
        <v>10.29</v>
      </c>
      <c r="C11" s="51">
        <v>19.899999999999999</v>
      </c>
      <c r="D11" s="51">
        <v>22.6</v>
      </c>
      <c r="E11" s="51">
        <v>5.3</v>
      </c>
      <c r="F11" s="51">
        <v>8.0399999999999991</v>
      </c>
      <c r="G11" s="51">
        <v>54.71</v>
      </c>
      <c r="H11" s="51">
        <v>24.43</v>
      </c>
      <c r="I11" s="51">
        <v>4.03</v>
      </c>
      <c r="J11" s="51">
        <v>0.19</v>
      </c>
      <c r="K11" s="51">
        <v>303.24</v>
      </c>
      <c r="L11" s="51">
        <v>26.47</v>
      </c>
      <c r="M11" s="51">
        <v>69.319999999999993</v>
      </c>
      <c r="N11" s="51">
        <v>26.8</v>
      </c>
      <c r="O11" s="51">
        <v>0</v>
      </c>
      <c r="P11" s="51">
        <v>0.48</v>
      </c>
      <c r="Q11" s="51">
        <v>9.49</v>
      </c>
      <c r="R11" s="43"/>
      <c r="S11" s="43"/>
      <c r="T11" s="43"/>
      <c r="U11" s="43"/>
    </row>
    <row r="12" spans="1:21" s="11" customFormat="1" x14ac:dyDescent="0.25">
      <c r="A12" s="50" t="s">
        <v>135</v>
      </c>
      <c r="B12" s="51">
        <v>12.25</v>
      </c>
      <c r="C12" s="51">
        <v>24.77</v>
      </c>
      <c r="D12" s="51">
        <v>29.68</v>
      </c>
      <c r="E12" s="51">
        <v>5.49</v>
      </c>
      <c r="F12" s="51">
        <v>6.76</v>
      </c>
      <c r="G12" s="51">
        <v>51.71</v>
      </c>
      <c r="H12" s="51">
        <v>51.84</v>
      </c>
      <c r="I12" s="51">
        <v>4.1900000000000004</v>
      </c>
      <c r="J12" s="51">
        <v>0.16</v>
      </c>
      <c r="K12" s="51">
        <v>291.25</v>
      </c>
      <c r="L12" s="51">
        <v>26.14</v>
      </c>
      <c r="M12" s="51">
        <v>71.849999999999994</v>
      </c>
      <c r="N12" s="51">
        <v>26.6</v>
      </c>
      <c r="O12" s="51">
        <v>0</v>
      </c>
      <c r="P12" s="51">
        <v>0.41</v>
      </c>
      <c r="Q12" s="51">
        <v>9.41</v>
      </c>
      <c r="R12" s="43"/>
      <c r="S12" s="43"/>
      <c r="T12" s="43"/>
      <c r="U12" s="43"/>
    </row>
    <row r="13" spans="1:21" s="11" customFormat="1" x14ac:dyDescent="0.25">
      <c r="A13" s="50" t="s">
        <v>136</v>
      </c>
      <c r="B13" s="51">
        <v>11.34</v>
      </c>
      <c r="C13" s="51">
        <v>26.12</v>
      </c>
      <c r="D13" s="51">
        <v>36.04</v>
      </c>
      <c r="E13" s="51">
        <v>5.12</v>
      </c>
      <c r="F13" s="51">
        <v>6.04</v>
      </c>
      <c r="G13" s="51">
        <v>47.7</v>
      </c>
      <c r="H13" s="51">
        <v>40.020000000000003</v>
      </c>
      <c r="I13" s="51">
        <v>4.0599999999999996</v>
      </c>
      <c r="J13" s="51">
        <v>0.18</v>
      </c>
      <c r="K13" s="51">
        <v>268.01</v>
      </c>
      <c r="L13" s="51">
        <v>25.47</v>
      </c>
      <c r="M13" s="51">
        <v>74.14</v>
      </c>
      <c r="N13" s="51">
        <v>26.7</v>
      </c>
      <c r="O13" s="51">
        <v>0</v>
      </c>
      <c r="P13" s="51">
        <v>0.42</v>
      </c>
      <c r="Q13" s="51">
        <v>9.44</v>
      </c>
      <c r="R13" s="43"/>
      <c r="S13" s="43"/>
      <c r="T13" s="43"/>
      <c r="U13" s="43"/>
    </row>
    <row r="14" spans="1:21" s="11" customFormat="1" x14ac:dyDescent="0.25">
      <c r="A14" s="50" t="s">
        <v>137</v>
      </c>
      <c r="B14" s="51">
        <v>20.34</v>
      </c>
      <c r="C14" s="51">
        <v>35.65</v>
      </c>
      <c r="D14" s="51">
        <v>37</v>
      </c>
      <c r="E14" s="51">
        <v>5.44</v>
      </c>
      <c r="F14" s="51">
        <v>6.73</v>
      </c>
      <c r="G14" s="51">
        <v>47.74</v>
      </c>
      <c r="H14" s="51">
        <v>13.65</v>
      </c>
      <c r="I14" s="51">
        <v>4.1100000000000003</v>
      </c>
      <c r="J14" s="51">
        <v>0.15</v>
      </c>
      <c r="K14" s="51">
        <v>306.57</v>
      </c>
      <c r="L14" s="51">
        <v>25.98</v>
      </c>
      <c r="M14" s="51">
        <v>70.66</v>
      </c>
      <c r="N14" s="51">
        <v>41.6</v>
      </c>
      <c r="O14" s="51">
        <v>0</v>
      </c>
      <c r="P14" s="51">
        <v>0.42</v>
      </c>
      <c r="Q14" s="51">
        <v>9.52</v>
      </c>
      <c r="R14" s="43"/>
      <c r="S14" s="43"/>
      <c r="T14" s="43"/>
      <c r="U14" s="43"/>
    </row>
    <row r="15" spans="1:21" s="11" customFormat="1" x14ac:dyDescent="0.25">
      <c r="A15" s="50" t="s">
        <v>138</v>
      </c>
      <c r="B15" s="51">
        <v>13.62</v>
      </c>
      <c r="C15" s="51">
        <v>25.36</v>
      </c>
      <c r="D15" s="51">
        <v>29.58</v>
      </c>
      <c r="E15" s="51">
        <v>5.16</v>
      </c>
      <c r="F15" s="51">
        <v>5.28</v>
      </c>
      <c r="G15" s="51">
        <v>53.25</v>
      </c>
      <c r="H15" s="51">
        <v>26.01</v>
      </c>
      <c r="I15" s="51">
        <v>4.01</v>
      </c>
      <c r="J15" s="51">
        <v>0.17</v>
      </c>
      <c r="K15" s="51">
        <v>285.91000000000003</v>
      </c>
      <c r="L15" s="51">
        <v>26.42</v>
      </c>
      <c r="M15" s="51">
        <v>65.91</v>
      </c>
      <c r="N15" s="51">
        <v>72.5</v>
      </c>
      <c r="O15" s="51">
        <v>0</v>
      </c>
      <c r="P15" s="51">
        <v>0.45</v>
      </c>
      <c r="Q15" s="51">
        <v>9.52</v>
      </c>
      <c r="R15" s="43"/>
      <c r="S15" s="43"/>
      <c r="T15" s="43"/>
      <c r="U15" s="43"/>
    </row>
    <row r="16" spans="1:21" s="11" customFormat="1" x14ac:dyDescent="0.25">
      <c r="A16" s="50" t="s">
        <v>139</v>
      </c>
      <c r="B16" s="51">
        <v>14.64</v>
      </c>
      <c r="C16" s="51">
        <v>25.94</v>
      </c>
      <c r="D16" s="51">
        <v>27.18</v>
      </c>
      <c r="E16" s="51">
        <v>5.9</v>
      </c>
      <c r="F16" s="51">
        <v>4.67</v>
      </c>
      <c r="G16" s="51">
        <v>56.08</v>
      </c>
      <c r="H16" s="51">
        <v>31.5</v>
      </c>
      <c r="I16" s="51">
        <v>4.17</v>
      </c>
      <c r="J16" s="51">
        <v>0.22</v>
      </c>
      <c r="K16" s="51">
        <v>285.55</v>
      </c>
      <c r="L16" s="51">
        <v>28.34</v>
      </c>
      <c r="M16" s="51">
        <v>68.069999999999993</v>
      </c>
      <c r="N16" s="51">
        <v>276.60000000000002</v>
      </c>
      <c r="O16" s="51">
        <v>0</v>
      </c>
      <c r="P16" s="51">
        <v>0.45</v>
      </c>
      <c r="Q16" s="51">
        <v>9.48</v>
      </c>
      <c r="R16" s="43"/>
      <c r="S16" s="43"/>
      <c r="T16" s="43"/>
      <c r="U16" s="43"/>
    </row>
    <row r="17" spans="1:21" s="11" customFormat="1" x14ac:dyDescent="0.25">
      <c r="A17" s="50" t="s">
        <v>140</v>
      </c>
      <c r="B17" s="51">
        <v>12.4</v>
      </c>
      <c r="C17" s="51">
        <v>23.7</v>
      </c>
      <c r="D17" s="51">
        <v>29.92</v>
      </c>
      <c r="E17" s="51">
        <v>5.49</v>
      </c>
      <c r="F17" s="51">
        <v>4.83</v>
      </c>
      <c r="G17" s="51">
        <v>56.16</v>
      </c>
      <c r="H17" s="51">
        <v>17.190000000000001</v>
      </c>
      <c r="I17" s="51">
        <v>4.0999999999999996</v>
      </c>
      <c r="J17" s="51">
        <v>0.26</v>
      </c>
      <c r="K17" s="51">
        <v>285.48</v>
      </c>
      <c r="L17" s="51">
        <v>32.15</v>
      </c>
      <c r="M17" s="51">
        <v>60.41</v>
      </c>
      <c r="N17" s="51">
        <v>608.4</v>
      </c>
      <c r="O17" s="51">
        <v>0</v>
      </c>
      <c r="P17" s="51">
        <v>0.53</v>
      </c>
      <c r="Q17" s="51">
        <v>9.44</v>
      </c>
      <c r="R17" s="43"/>
      <c r="S17" s="43"/>
      <c r="T17" s="43"/>
      <c r="U17" s="43"/>
    </row>
    <row r="18" spans="1:21" s="11" customFormat="1" x14ac:dyDescent="0.25">
      <c r="A18" s="50" t="s">
        <v>141</v>
      </c>
      <c r="B18" s="51">
        <v>9.51</v>
      </c>
      <c r="C18" s="51">
        <v>26.89</v>
      </c>
      <c r="D18" s="51">
        <v>37.36</v>
      </c>
      <c r="E18" s="51">
        <v>6.37</v>
      </c>
      <c r="F18" s="51">
        <v>11.76</v>
      </c>
      <c r="G18" s="51">
        <v>52.54</v>
      </c>
      <c r="H18" s="51">
        <v>17.739999999999998</v>
      </c>
      <c r="I18" s="51">
        <v>4.05</v>
      </c>
      <c r="J18" s="51">
        <v>0.56000000000000005</v>
      </c>
      <c r="K18" s="51">
        <v>295.64999999999998</v>
      </c>
      <c r="L18" s="51">
        <v>35.57</v>
      </c>
      <c r="M18" s="51">
        <v>45.08</v>
      </c>
      <c r="N18" s="51">
        <v>788.4</v>
      </c>
      <c r="O18" s="51">
        <v>0</v>
      </c>
      <c r="P18" s="51">
        <v>0.77</v>
      </c>
      <c r="Q18" s="51">
        <v>9.35</v>
      </c>
      <c r="R18" s="43"/>
      <c r="S18" s="43"/>
      <c r="T18" s="43"/>
      <c r="U18" s="43"/>
    </row>
    <row r="19" spans="1:21" s="11" customFormat="1" x14ac:dyDescent="0.25">
      <c r="A19" s="50" t="s">
        <v>142</v>
      </c>
      <c r="B19" s="51">
        <v>6.96</v>
      </c>
      <c r="C19" s="51">
        <v>24.8</v>
      </c>
      <c r="D19" s="51">
        <v>37.5</v>
      </c>
      <c r="E19" s="51">
        <v>6.59</v>
      </c>
      <c r="F19" s="51">
        <v>15.08</v>
      </c>
      <c r="G19" s="51">
        <v>43.69</v>
      </c>
      <c r="H19" s="51">
        <v>20.57</v>
      </c>
      <c r="I19" s="51">
        <v>4.1399999999999997</v>
      </c>
      <c r="J19" s="51">
        <v>1.1100000000000001</v>
      </c>
      <c r="K19" s="51">
        <v>316.08</v>
      </c>
      <c r="L19" s="51">
        <v>36.880000000000003</v>
      </c>
      <c r="M19" s="51">
        <v>37.19</v>
      </c>
      <c r="N19" s="51">
        <v>930.3</v>
      </c>
      <c r="O19" s="51">
        <v>0</v>
      </c>
      <c r="P19" s="51">
        <v>0.5</v>
      </c>
      <c r="Q19" s="51">
        <v>9.32</v>
      </c>
      <c r="R19" s="43"/>
      <c r="S19" s="43"/>
      <c r="T19" s="43"/>
      <c r="U19" s="43"/>
    </row>
    <row r="20" spans="1:21" s="11" customFormat="1" x14ac:dyDescent="0.25">
      <c r="A20" s="50" t="s">
        <v>143</v>
      </c>
      <c r="B20" s="51">
        <v>5.1100000000000003</v>
      </c>
      <c r="C20" s="51">
        <v>22.94</v>
      </c>
      <c r="D20" s="51">
        <v>36.450000000000003</v>
      </c>
      <c r="E20" s="51">
        <v>5.93</v>
      </c>
      <c r="F20" s="51">
        <v>9.41</v>
      </c>
      <c r="G20" s="51">
        <v>44.39</v>
      </c>
      <c r="H20" s="51">
        <v>23.39</v>
      </c>
      <c r="I20" s="51">
        <v>4.13</v>
      </c>
      <c r="J20" s="51">
        <v>1.18</v>
      </c>
      <c r="K20" s="51">
        <v>313.35000000000002</v>
      </c>
      <c r="L20" s="51">
        <v>37.53</v>
      </c>
      <c r="M20" s="51">
        <v>35.21</v>
      </c>
      <c r="N20" s="51">
        <v>942.6</v>
      </c>
      <c r="O20" s="51">
        <v>0</v>
      </c>
      <c r="P20" s="51">
        <v>0.41</v>
      </c>
      <c r="Q20" s="51">
        <v>9.27</v>
      </c>
      <c r="R20" s="43"/>
      <c r="S20" s="43"/>
      <c r="T20" s="43"/>
      <c r="U20" s="43"/>
    </row>
    <row r="21" spans="1:21" s="11" customFormat="1" x14ac:dyDescent="0.25">
      <c r="A21" s="50" t="s">
        <v>144</v>
      </c>
      <c r="B21" s="51">
        <v>6.05</v>
      </c>
      <c r="C21" s="51">
        <v>26.55</v>
      </c>
      <c r="D21" s="51">
        <v>43.63</v>
      </c>
      <c r="E21" s="51">
        <v>6.53</v>
      </c>
      <c r="F21" s="51">
        <v>12.39</v>
      </c>
      <c r="G21" s="51">
        <v>43.56</v>
      </c>
      <c r="H21" s="51">
        <v>23.72</v>
      </c>
      <c r="I21" s="51">
        <v>4.1100000000000003</v>
      </c>
      <c r="J21" s="51">
        <v>0.71</v>
      </c>
      <c r="K21" s="51">
        <v>316.22000000000003</v>
      </c>
      <c r="L21" s="51">
        <v>37.18</v>
      </c>
      <c r="M21" s="51">
        <v>34.659999999999997</v>
      </c>
      <c r="N21" s="51">
        <v>925.6</v>
      </c>
      <c r="O21" s="51">
        <v>0</v>
      </c>
      <c r="P21" s="51">
        <v>0.53</v>
      </c>
      <c r="Q21" s="51">
        <v>9.32</v>
      </c>
      <c r="R21" s="43"/>
      <c r="S21" s="43"/>
      <c r="T21" s="43"/>
      <c r="U21" s="43"/>
    </row>
    <row r="22" spans="1:21" s="11" customFormat="1" x14ac:dyDescent="0.25">
      <c r="A22" s="50" t="s">
        <v>145</v>
      </c>
      <c r="B22" s="51">
        <v>4.24</v>
      </c>
      <c r="C22" s="51">
        <v>24.49</v>
      </c>
      <c r="D22" s="51">
        <v>41.08</v>
      </c>
      <c r="E22" s="51">
        <v>7.95</v>
      </c>
      <c r="F22" s="51">
        <v>18.88</v>
      </c>
      <c r="G22" s="51">
        <v>47.48</v>
      </c>
      <c r="H22" s="51">
        <v>20.93</v>
      </c>
      <c r="I22" s="51">
        <v>4.04</v>
      </c>
      <c r="J22" s="51">
        <v>0.54</v>
      </c>
      <c r="K22" s="51">
        <v>305.31</v>
      </c>
      <c r="L22" s="51">
        <v>36.590000000000003</v>
      </c>
      <c r="M22" s="51">
        <v>34.51</v>
      </c>
      <c r="N22" s="51">
        <v>727.2</v>
      </c>
      <c r="O22" s="51">
        <v>0</v>
      </c>
      <c r="P22" s="51">
        <v>0.55000000000000004</v>
      </c>
      <c r="Q22" s="51">
        <v>9.32</v>
      </c>
      <c r="R22" s="43"/>
      <c r="S22" s="43"/>
      <c r="T22" s="43"/>
      <c r="U22" s="43"/>
    </row>
    <row r="23" spans="1:21" s="11" customFormat="1" x14ac:dyDescent="0.25">
      <c r="A23" s="50" t="s">
        <v>146</v>
      </c>
      <c r="B23" s="51">
        <v>5.9</v>
      </c>
      <c r="C23" s="51">
        <v>21.42</v>
      </c>
      <c r="D23" s="51">
        <v>34.909999999999997</v>
      </c>
      <c r="E23" s="51">
        <v>6.47</v>
      </c>
      <c r="F23" s="51">
        <v>14.19</v>
      </c>
      <c r="G23" s="51">
        <v>50.66</v>
      </c>
      <c r="H23" s="51">
        <v>22.6</v>
      </c>
      <c r="I23" s="51">
        <v>4.17</v>
      </c>
      <c r="J23" s="51">
        <v>0.56999999999999995</v>
      </c>
      <c r="K23" s="51">
        <v>304.14999999999998</v>
      </c>
      <c r="L23" s="51">
        <v>35.83</v>
      </c>
      <c r="M23" s="51">
        <v>33.94</v>
      </c>
      <c r="N23" s="51">
        <v>421.8</v>
      </c>
      <c r="O23" s="51">
        <v>0</v>
      </c>
      <c r="P23" s="51">
        <v>0.45</v>
      </c>
      <c r="Q23" s="51">
        <v>9.2899999999999991</v>
      </c>
      <c r="R23" s="43"/>
      <c r="S23" s="43"/>
      <c r="T23" s="43"/>
      <c r="U23" s="43"/>
    </row>
    <row r="24" spans="1:21" s="11" customFormat="1" x14ac:dyDescent="0.25">
      <c r="A24" s="50" t="s">
        <v>147</v>
      </c>
      <c r="B24" s="51">
        <v>4.5199999999999996</v>
      </c>
      <c r="C24" s="51">
        <v>20.420000000000002</v>
      </c>
      <c r="D24" s="51">
        <v>32.479999999999997</v>
      </c>
      <c r="E24" s="51">
        <v>6.21</v>
      </c>
      <c r="F24" s="51">
        <v>12.54</v>
      </c>
      <c r="G24" s="51">
        <v>51.68</v>
      </c>
      <c r="H24" s="51">
        <v>13.36</v>
      </c>
      <c r="I24" s="51">
        <v>4.2</v>
      </c>
      <c r="J24" s="51">
        <v>0.56000000000000005</v>
      </c>
      <c r="K24" s="51">
        <v>297.48</v>
      </c>
      <c r="L24" s="51">
        <v>35.76</v>
      </c>
      <c r="M24" s="51">
        <v>34.299999999999997</v>
      </c>
      <c r="N24" s="51">
        <v>429.8</v>
      </c>
      <c r="O24" s="51">
        <v>0</v>
      </c>
      <c r="P24" s="51">
        <v>0.35</v>
      </c>
      <c r="Q24" s="51">
        <v>9.27</v>
      </c>
      <c r="R24" s="43"/>
      <c r="S24" s="43"/>
      <c r="T24" s="43"/>
      <c r="U24" s="43"/>
    </row>
    <row r="25" spans="1:21" s="11" customFormat="1" x14ac:dyDescent="0.25">
      <c r="A25" s="50" t="s">
        <v>148</v>
      </c>
      <c r="B25" s="51">
        <v>4.55</v>
      </c>
      <c r="C25" s="51">
        <v>23</v>
      </c>
      <c r="D25" s="51">
        <v>37.03</v>
      </c>
      <c r="E25" s="51">
        <v>5.97</v>
      </c>
      <c r="F25" s="51">
        <v>11.26</v>
      </c>
      <c r="G25" s="51">
        <v>50.5</v>
      </c>
      <c r="H25" s="51">
        <v>14.69</v>
      </c>
      <c r="I25" s="51">
        <v>4.07</v>
      </c>
      <c r="J25" s="51">
        <v>0.45</v>
      </c>
      <c r="K25" s="51">
        <v>295.83</v>
      </c>
      <c r="L25" s="51">
        <v>34.33</v>
      </c>
      <c r="M25" s="51">
        <v>34.68</v>
      </c>
      <c r="N25" s="51">
        <v>190.8</v>
      </c>
      <c r="O25" s="51">
        <v>0</v>
      </c>
      <c r="P25" s="51">
        <v>0.49</v>
      </c>
      <c r="Q25" s="51">
        <v>9.24</v>
      </c>
      <c r="R25" s="43"/>
      <c r="S25" s="43"/>
      <c r="T25" s="43"/>
      <c r="U25" s="43"/>
    </row>
    <row r="26" spans="1:21" s="11" customFormat="1" x14ac:dyDescent="0.25">
      <c r="A26" s="50" t="s">
        <v>149</v>
      </c>
      <c r="B26" s="51">
        <v>5.15</v>
      </c>
      <c r="C26" s="51">
        <v>26.79</v>
      </c>
      <c r="D26" s="51">
        <v>43.98</v>
      </c>
      <c r="E26" s="51">
        <v>6.06</v>
      </c>
      <c r="F26" s="51">
        <v>11.03</v>
      </c>
      <c r="G26" s="51">
        <v>47.9</v>
      </c>
      <c r="H26" s="51">
        <v>12.08</v>
      </c>
      <c r="I26" s="51">
        <v>4.08</v>
      </c>
      <c r="J26" s="51">
        <v>0.32</v>
      </c>
      <c r="K26" s="51">
        <v>314.93</v>
      </c>
      <c r="L26" s="51">
        <v>34.090000000000003</v>
      </c>
      <c r="M26" s="51">
        <v>34.85</v>
      </c>
      <c r="N26" s="51">
        <v>103</v>
      </c>
      <c r="O26" s="51">
        <v>0</v>
      </c>
      <c r="P26" s="51">
        <v>0.55000000000000004</v>
      </c>
      <c r="Q26" s="51">
        <v>9.2899999999999991</v>
      </c>
      <c r="R26" s="43"/>
      <c r="S26" s="43"/>
      <c r="T26" s="43"/>
      <c r="U26" s="43"/>
    </row>
    <row r="27" spans="1:21" s="11" customFormat="1" x14ac:dyDescent="0.25">
      <c r="A27" s="50" t="s">
        <v>150</v>
      </c>
      <c r="B27" s="51">
        <v>6.05</v>
      </c>
      <c r="C27" s="51">
        <v>28.46</v>
      </c>
      <c r="D27" s="51">
        <v>45.19</v>
      </c>
      <c r="E27" s="51">
        <v>8.31</v>
      </c>
      <c r="F27" s="51">
        <v>16.47</v>
      </c>
      <c r="G27" s="51">
        <v>54.81</v>
      </c>
      <c r="H27" s="51">
        <v>15.36</v>
      </c>
      <c r="I27" s="51">
        <v>4.12</v>
      </c>
      <c r="J27" s="51">
        <v>0.69</v>
      </c>
      <c r="K27" s="51">
        <v>311.22000000000003</v>
      </c>
      <c r="L27" s="51">
        <v>32.92</v>
      </c>
      <c r="M27" s="51">
        <v>41.63</v>
      </c>
      <c r="N27" s="51">
        <v>60.7</v>
      </c>
      <c r="O27" s="51">
        <v>0</v>
      </c>
      <c r="P27" s="51">
        <v>0.67</v>
      </c>
      <c r="Q27" s="51">
        <v>9.42</v>
      </c>
      <c r="R27" s="43"/>
      <c r="S27" s="43"/>
      <c r="T27" s="43"/>
      <c r="U27" s="43"/>
    </row>
    <row r="28" spans="1:21" s="11" customFormat="1" x14ac:dyDescent="0.25">
      <c r="A28" s="50" t="s">
        <v>151</v>
      </c>
      <c r="B28" s="51">
        <v>8.6199999999999992</v>
      </c>
      <c r="C28" s="51">
        <v>28.99</v>
      </c>
      <c r="D28" s="51">
        <v>43</v>
      </c>
      <c r="E28" s="51">
        <v>6.12</v>
      </c>
      <c r="F28" s="51">
        <v>12.8</v>
      </c>
      <c r="G28" s="51">
        <v>56.21</v>
      </c>
      <c r="H28" s="51">
        <v>18.309999999999999</v>
      </c>
      <c r="I28" s="51">
        <v>4.0199999999999996</v>
      </c>
      <c r="J28" s="51">
        <v>0.78</v>
      </c>
      <c r="K28" s="51">
        <v>322.41000000000003</v>
      </c>
      <c r="L28" s="51">
        <v>31.27</v>
      </c>
      <c r="M28" s="51">
        <v>44.78</v>
      </c>
      <c r="N28" s="51">
        <v>42.9</v>
      </c>
      <c r="O28" s="51">
        <v>0</v>
      </c>
      <c r="P28" s="51">
        <v>0.66</v>
      </c>
      <c r="Q28" s="51">
        <v>9.43</v>
      </c>
      <c r="R28" s="43"/>
      <c r="S28" s="43"/>
      <c r="T28" s="43"/>
      <c r="U28" s="43"/>
    </row>
    <row r="29" spans="1:21" s="11" customFormat="1" x14ac:dyDescent="0.25">
      <c r="A29" s="50" t="s">
        <v>152</v>
      </c>
      <c r="B29" s="51">
        <v>14.7</v>
      </c>
      <c r="C29" s="51">
        <v>37.94</v>
      </c>
      <c r="D29" s="51">
        <v>52.7</v>
      </c>
      <c r="E29" s="51">
        <v>5.9</v>
      </c>
      <c r="F29" s="51">
        <v>8.26</v>
      </c>
      <c r="G29" s="51">
        <v>45.19</v>
      </c>
      <c r="H29" s="51">
        <v>18.32</v>
      </c>
      <c r="I29" s="51">
        <v>4.22</v>
      </c>
      <c r="J29" s="51">
        <v>0.2</v>
      </c>
      <c r="K29" s="51">
        <v>310.02999999999997</v>
      </c>
      <c r="L29" s="51">
        <v>30.2</v>
      </c>
      <c r="M29" s="51">
        <v>46.92</v>
      </c>
      <c r="N29" s="51">
        <v>42.8</v>
      </c>
      <c r="O29" s="51">
        <v>0</v>
      </c>
      <c r="P29" s="51">
        <v>0.84</v>
      </c>
      <c r="Q29" s="51">
        <v>9.48</v>
      </c>
      <c r="R29" s="43"/>
      <c r="S29" s="43"/>
      <c r="T29" s="43"/>
      <c r="U29" s="43"/>
    </row>
    <row r="30" spans="1:21" s="11" customFormat="1" x14ac:dyDescent="0.25">
      <c r="A30" s="50" t="s">
        <v>153</v>
      </c>
      <c r="B30" s="51">
        <v>18.03</v>
      </c>
      <c r="C30" s="51">
        <v>36.26</v>
      </c>
      <c r="D30" s="51">
        <v>46.18</v>
      </c>
      <c r="E30" s="51">
        <v>6</v>
      </c>
      <c r="F30" s="51">
        <v>5.65</v>
      </c>
      <c r="G30" s="51">
        <v>49.79</v>
      </c>
      <c r="H30" s="51">
        <v>14.44</v>
      </c>
      <c r="I30" s="51">
        <v>4.1500000000000004</v>
      </c>
      <c r="J30" s="51">
        <v>1.18</v>
      </c>
      <c r="K30" s="51">
        <v>320.66000000000003</v>
      </c>
      <c r="L30" s="51">
        <v>29.92</v>
      </c>
      <c r="M30" s="51">
        <v>49.78</v>
      </c>
      <c r="N30" s="51">
        <v>43</v>
      </c>
      <c r="O30" s="51">
        <v>0</v>
      </c>
      <c r="P30" s="51">
        <v>0.75</v>
      </c>
      <c r="Q30" s="51">
        <v>9.5399999999999991</v>
      </c>
      <c r="R30" s="43"/>
      <c r="S30" s="43"/>
      <c r="T30" s="43"/>
      <c r="U30" s="43"/>
    </row>
    <row r="31" spans="1:21" s="11" customFormat="1" x14ac:dyDescent="0.25">
      <c r="A31" s="50" t="s">
        <v>154</v>
      </c>
      <c r="B31" s="51">
        <v>15.08</v>
      </c>
      <c r="C31" s="51">
        <v>32.43</v>
      </c>
      <c r="D31" s="51">
        <v>40.67</v>
      </c>
      <c r="E31" s="51">
        <v>6.07</v>
      </c>
      <c r="F31" s="51">
        <v>7.34</v>
      </c>
      <c r="G31" s="51">
        <v>51.75</v>
      </c>
      <c r="H31" s="51">
        <v>18.03</v>
      </c>
      <c r="I31" s="51">
        <v>4.26</v>
      </c>
      <c r="J31" s="51">
        <v>1.25</v>
      </c>
      <c r="K31" s="51">
        <v>323.91000000000003</v>
      </c>
      <c r="L31" s="51">
        <v>29.19</v>
      </c>
      <c r="M31" s="51">
        <v>54.29</v>
      </c>
      <c r="N31" s="51">
        <v>43</v>
      </c>
      <c r="O31" s="51">
        <v>0</v>
      </c>
      <c r="P31" s="51">
        <v>0.68</v>
      </c>
      <c r="Q31" s="51">
        <v>9.5399999999999991</v>
      </c>
      <c r="R31" s="43"/>
      <c r="S31" s="43"/>
      <c r="T31" s="43"/>
      <c r="U31" s="43"/>
    </row>
    <row r="32" spans="1:21" s="11" customFormat="1" x14ac:dyDescent="0.25">
      <c r="A32" s="50" t="s">
        <v>155</v>
      </c>
      <c r="B32" s="51">
        <v>11.25</v>
      </c>
      <c r="C32" s="51">
        <v>27.73</v>
      </c>
      <c r="D32" s="51">
        <v>35.93</v>
      </c>
      <c r="E32" s="51">
        <v>6.07</v>
      </c>
      <c r="F32" s="51">
        <v>9.73</v>
      </c>
      <c r="G32" s="51">
        <v>52.04</v>
      </c>
      <c r="H32" s="51">
        <v>25.34</v>
      </c>
      <c r="I32" s="51">
        <v>4.05</v>
      </c>
      <c r="J32" s="51">
        <v>1.29</v>
      </c>
      <c r="K32" s="51">
        <v>339.38</v>
      </c>
      <c r="L32" s="51">
        <v>28.81</v>
      </c>
      <c r="M32" s="51">
        <v>58.13</v>
      </c>
      <c r="N32" s="51">
        <v>43</v>
      </c>
      <c r="O32" s="51">
        <v>0</v>
      </c>
      <c r="P32" s="51">
        <v>0.54</v>
      </c>
      <c r="Q32" s="51">
        <v>9.5299999999999994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4.24</v>
      </c>
      <c r="C34" s="28">
        <f t="shared" si="0"/>
        <v>19.899999999999999</v>
      </c>
      <c r="D34" s="28">
        <f t="shared" si="0"/>
        <v>22.6</v>
      </c>
      <c r="E34" s="28">
        <f t="shared" si="0"/>
        <v>5.12</v>
      </c>
      <c r="F34" s="28">
        <f t="shared" si="0"/>
        <v>4.67</v>
      </c>
      <c r="G34" s="28">
        <f t="shared" si="0"/>
        <v>43.56</v>
      </c>
      <c r="H34" s="28">
        <f t="shared" si="0"/>
        <v>-10.72</v>
      </c>
      <c r="I34" s="28">
        <f t="shared" si="0"/>
        <v>4.01</v>
      </c>
      <c r="J34" s="28">
        <f t="shared" si="0"/>
        <v>0.15</v>
      </c>
      <c r="K34" s="28">
        <f t="shared" si="0"/>
        <v>268.01</v>
      </c>
      <c r="L34" s="28">
        <f t="shared" si="0"/>
        <v>25.47</v>
      </c>
      <c r="M34" s="28">
        <f t="shared" si="0"/>
        <v>33.94</v>
      </c>
      <c r="N34" s="28">
        <f t="shared" si="0"/>
        <v>26.5</v>
      </c>
      <c r="O34" s="28">
        <f t="shared" si="0"/>
        <v>0</v>
      </c>
      <c r="P34" s="28">
        <f t="shared" si="0"/>
        <v>0.35</v>
      </c>
      <c r="Q34" s="28">
        <f t="shared" si="0"/>
        <v>9.24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20.34</v>
      </c>
      <c r="C35" s="29">
        <f t="shared" si="1"/>
        <v>37.94</v>
      </c>
      <c r="D35" s="29">
        <f t="shared" si="1"/>
        <v>52.7</v>
      </c>
      <c r="E35" s="29">
        <f t="shared" si="1"/>
        <v>8.31</v>
      </c>
      <c r="F35" s="29">
        <f t="shared" si="1"/>
        <v>18.88</v>
      </c>
      <c r="G35" s="29">
        <f t="shared" si="1"/>
        <v>56.21</v>
      </c>
      <c r="H35" s="29">
        <f t="shared" si="1"/>
        <v>51.84</v>
      </c>
      <c r="I35" s="29">
        <f t="shared" si="1"/>
        <v>4.26</v>
      </c>
      <c r="J35" s="29">
        <f t="shared" si="1"/>
        <v>1.29</v>
      </c>
      <c r="K35" s="29">
        <f t="shared" si="1"/>
        <v>339.38</v>
      </c>
      <c r="L35" s="29">
        <f t="shared" si="1"/>
        <v>37.53</v>
      </c>
      <c r="M35" s="29">
        <f t="shared" si="1"/>
        <v>74.14</v>
      </c>
      <c r="N35" s="29">
        <f t="shared" si="1"/>
        <v>942.6</v>
      </c>
      <c r="O35" s="29">
        <f t="shared" si="1"/>
        <v>0</v>
      </c>
      <c r="P35" s="29">
        <f t="shared" si="1"/>
        <v>0.84</v>
      </c>
      <c r="Q35" s="29">
        <f t="shared" si="1"/>
        <v>9.5399999999999991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10.008750000000004</v>
      </c>
      <c r="C36" s="28">
        <f t="shared" si="2"/>
        <v>26.93708333333333</v>
      </c>
      <c r="D36" s="28">
        <f t="shared" si="2"/>
        <v>37.468333333333327</v>
      </c>
      <c r="E36" s="28">
        <f t="shared" si="2"/>
        <v>6.1016666666666666</v>
      </c>
      <c r="F36" s="28">
        <f t="shared" si="2"/>
        <v>9.9454166666666666</v>
      </c>
      <c r="G36" s="28">
        <f t="shared" si="2"/>
        <v>50.715000000000003</v>
      </c>
      <c r="H36" s="28">
        <f t="shared" si="2"/>
        <v>21.372916666666669</v>
      </c>
      <c r="I36" s="28">
        <f t="shared" si="2"/>
        <v>4.112916666666667</v>
      </c>
      <c r="J36" s="28">
        <f t="shared" si="2"/>
        <v>0.55541666666666656</v>
      </c>
      <c r="K36" s="28">
        <f t="shared" si="2"/>
        <v>305.07916666666671</v>
      </c>
      <c r="L36" s="28">
        <f t="shared" si="2"/>
        <v>31.344999999999995</v>
      </c>
      <c r="M36" s="28">
        <f t="shared" si="2"/>
        <v>51.060416666666661</v>
      </c>
      <c r="N36" s="28">
        <f t="shared" si="2"/>
        <v>286.14166666666665</v>
      </c>
      <c r="O36" s="28">
        <f t="shared" si="2"/>
        <v>0</v>
      </c>
      <c r="P36" s="28">
        <f t="shared" si="2"/>
        <v>0.55625000000000002</v>
      </c>
      <c r="Q36" s="28">
        <f t="shared" si="2"/>
        <v>9.4116666666666653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4.5388471170743152</v>
      </c>
      <c r="C37" s="28">
        <f t="shared" ref="C37:Q37" si="3">STDEV(C9:C32)</f>
        <v>4.8608940662380782</v>
      </c>
      <c r="D37" s="28">
        <f t="shared" si="3"/>
        <v>6.9657745077452908</v>
      </c>
      <c r="E37" s="28">
        <f t="shared" si="3"/>
        <v>0.74563463874257008</v>
      </c>
      <c r="F37" s="28">
        <f t="shared" si="3"/>
        <v>3.8489772545180245</v>
      </c>
      <c r="G37" s="28">
        <f t="shared" si="3"/>
        <v>3.9745396233263675</v>
      </c>
      <c r="H37" s="28">
        <f t="shared" si="3"/>
        <v>11.830728405362422</v>
      </c>
      <c r="I37" s="28">
        <f t="shared" si="3"/>
        <v>6.7532869077191623E-2</v>
      </c>
      <c r="J37" s="28">
        <f t="shared" si="3"/>
        <v>0.39015024047785429</v>
      </c>
      <c r="K37" s="28">
        <f t="shared" si="3"/>
        <v>15.445601292127233</v>
      </c>
      <c r="L37" s="28">
        <f t="shared" si="3"/>
        <v>4.1552711416790098</v>
      </c>
      <c r="M37" s="28">
        <f t="shared" si="3"/>
        <v>14.602092309626086</v>
      </c>
      <c r="N37" s="28">
        <f t="shared" si="3"/>
        <v>341.08510338861652</v>
      </c>
      <c r="O37" s="28">
        <f t="shared" si="3"/>
        <v>0</v>
      </c>
      <c r="P37" s="28">
        <f t="shared" si="3"/>
        <v>0.13729728139428235</v>
      </c>
      <c r="Q37" s="28">
        <f t="shared" si="3"/>
        <v>9.933109617167557E-2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6" sqref="F16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156</v>
      </c>
      <c r="B9" s="51">
        <v>11.55</v>
      </c>
      <c r="C9" s="51">
        <v>25.23</v>
      </c>
      <c r="D9" s="51">
        <v>30.56</v>
      </c>
      <c r="E9" s="51">
        <v>5.62</v>
      </c>
      <c r="F9" s="51">
        <v>8.51</v>
      </c>
      <c r="G9" s="51">
        <v>51.58</v>
      </c>
      <c r="H9" s="51">
        <v>17.489999999999998</v>
      </c>
      <c r="I9" s="51">
        <v>4.03</v>
      </c>
      <c r="J9" s="51">
        <v>1.26</v>
      </c>
      <c r="K9" s="51">
        <v>348.11</v>
      </c>
      <c r="L9" s="51">
        <v>28.11</v>
      </c>
      <c r="M9" s="51">
        <v>60.22</v>
      </c>
      <c r="N9" s="51">
        <v>42.9</v>
      </c>
      <c r="O9" s="51">
        <v>0</v>
      </c>
      <c r="P9" s="51">
        <v>0.57999999999999996</v>
      </c>
      <c r="Q9" s="51">
        <v>9.5</v>
      </c>
      <c r="R9" s="43"/>
      <c r="S9" s="43"/>
      <c r="T9" s="43"/>
      <c r="U9" s="43"/>
    </row>
    <row r="10" spans="1:21" s="11" customFormat="1" x14ac:dyDescent="0.25">
      <c r="A10" s="50" t="s">
        <v>157</v>
      </c>
      <c r="B10" s="51">
        <v>10.73</v>
      </c>
      <c r="C10" s="51">
        <v>23.86</v>
      </c>
      <c r="D10" s="51">
        <v>30.63</v>
      </c>
      <c r="E10" s="51">
        <v>6.92</v>
      </c>
      <c r="F10" s="51">
        <v>7.88</v>
      </c>
      <c r="G10" s="51">
        <v>52.27</v>
      </c>
      <c r="H10" s="51">
        <v>17.78</v>
      </c>
      <c r="I10" s="51">
        <v>4.16</v>
      </c>
      <c r="J10" s="51">
        <v>0.17</v>
      </c>
      <c r="K10" s="51">
        <v>334.22</v>
      </c>
      <c r="L10" s="51">
        <v>27.22</v>
      </c>
      <c r="M10" s="51">
        <v>66.680000000000007</v>
      </c>
      <c r="N10" s="51">
        <v>42.9</v>
      </c>
      <c r="O10" s="51">
        <v>0</v>
      </c>
      <c r="P10" s="51">
        <v>0.49</v>
      </c>
      <c r="Q10" s="51">
        <v>9.49</v>
      </c>
      <c r="R10" s="43"/>
      <c r="S10" s="43"/>
      <c r="T10" s="43"/>
      <c r="U10" s="43"/>
    </row>
    <row r="11" spans="1:21" s="11" customFormat="1" x14ac:dyDescent="0.25">
      <c r="A11" s="50" t="s">
        <v>158</v>
      </c>
      <c r="B11" s="51">
        <v>11</v>
      </c>
      <c r="C11" s="51">
        <v>21.65</v>
      </c>
      <c r="D11" s="51">
        <v>25.36</v>
      </c>
      <c r="E11" s="51">
        <v>5.27</v>
      </c>
      <c r="F11" s="51">
        <v>10.87</v>
      </c>
      <c r="G11" s="51">
        <v>52.55</v>
      </c>
      <c r="H11" s="51">
        <v>13.13</v>
      </c>
      <c r="I11" s="51">
        <v>4.09</v>
      </c>
      <c r="J11" s="51">
        <v>0.11</v>
      </c>
      <c r="K11" s="51">
        <v>299.7</v>
      </c>
      <c r="L11" s="51">
        <v>26.92</v>
      </c>
      <c r="M11" s="51">
        <v>65.38</v>
      </c>
      <c r="N11" s="51">
        <v>42.9</v>
      </c>
      <c r="O11" s="51">
        <v>0</v>
      </c>
      <c r="P11" s="51">
        <v>0.5</v>
      </c>
      <c r="Q11" s="51">
        <v>9.43</v>
      </c>
      <c r="R11" s="43"/>
      <c r="S11" s="43"/>
      <c r="T11" s="43"/>
      <c r="U11" s="43"/>
    </row>
    <row r="12" spans="1:21" s="11" customFormat="1" x14ac:dyDescent="0.25">
      <c r="A12" s="50" t="s">
        <v>159</v>
      </c>
      <c r="B12" s="51">
        <v>7.47</v>
      </c>
      <c r="C12" s="51">
        <v>16.98</v>
      </c>
      <c r="D12" s="51">
        <v>21.03</v>
      </c>
      <c r="E12" s="51">
        <v>5.16</v>
      </c>
      <c r="F12" s="51">
        <v>14.58</v>
      </c>
      <c r="G12" s="51">
        <v>47.56</v>
      </c>
      <c r="H12" s="51">
        <v>14.37</v>
      </c>
      <c r="I12" s="51">
        <v>3.99</v>
      </c>
      <c r="J12" s="51">
        <v>0.18</v>
      </c>
      <c r="K12" s="51">
        <v>294.39999999999998</v>
      </c>
      <c r="L12" s="51">
        <v>26.59</v>
      </c>
      <c r="M12" s="51">
        <v>68.260000000000005</v>
      </c>
      <c r="N12" s="51">
        <v>42.8</v>
      </c>
      <c r="O12" s="51">
        <v>0</v>
      </c>
      <c r="P12" s="51">
        <v>0.33</v>
      </c>
      <c r="Q12" s="51">
        <v>9.3800000000000008</v>
      </c>
      <c r="R12" s="43"/>
      <c r="S12" s="43"/>
      <c r="T12" s="43"/>
      <c r="U12" s="43"/>
    </row>
    <row r="13" spans="1:21" s="11" customFormat="1" x14ac:dyDescent="0.25">
      <c r="A13" s="50" t="s">
        <v>160</v>
      </c>
      <c r="B13" s="51">
        <v>8.0399999999999991</v>
      </c>
      <c r="C13" s="51">
        <v>18.579999999999998</v>
      </c>
      <c r="D13" s="51">
        <v>24.09</v>
      </c>
      <c r="E13" s="51">
        <v>5.46</v>
      </c>
      <c r="F13" s="51">
        <v>11.77</v>
      </c>
      <c r="G13" s="51">
        <v>38.9</v>
      </c>
      <c r="H13" s="51">
        <v>14.86</v>
      </c>
      <c r="I13" s="51">
        <v>4.1900000000000004</v>
      </c>
      <c r="J13" s="51">
        <v>0.09</v>
      </c>
      <c r="K13" s="51">
        <v>283.32</v>
      </c>
      <c r="L13" s="51">
        <v>26.23</v>
      </c>
      <c r="M13" s="51">
        <v>70.39</v>
      </c>
      <c r="N13" s="51">
        <v>42.8</v>
      </c>
      <c r="O13" s="51">
        <v>0</v>
      </c>
      <c r="P13" s="51">
        <v>0.28999999999999998</v>
      </c>
      <c r="Q13" s="51">
        <v>9.35</v>
      </c>
      <c r="R13" s="43"/>
      <c r="S13" s="43"/>
      <c r="T13" s="43"/>
      <c r="U13" s="43"/>
    </row>
    <row r="14" spans="1:21" s="11" customFormat="1" x14ac:dyDescent="0.25">
      <c r="A14" s="50" t="s">
        <v>161</v>
      </c>
      <c r="B14" s="51">
        <v>10.91</v>
      </c>
      <c r="C14" s="51">
        <v>22.37</v>
      </c>
      <c r="D14" s="51">
        <v>26.47</v>
      </c>
      <c r="E14" s="51">
        <v>5.2</v>
      </c>
      <c r="F14" s="51">
        <v>5.12</v>
      </c>
      <c r="G14" s="51">
        <v>33.200000000000003</v>
      </c>
      <c r="H14" s="51">
        <v>12.88</v>
      </c>
      <c r="I14" s="51">
        <v>4.03</v>
      </c>
      <c r="J14" s="51">
        <v>0.31</v>
      </c>
      <c r="K14" s="51">
        <v>299.89999999999998</v>
      </c>
      <c r="L14" s="51">
        <v>26.15</v>
      </c>
      <c r="M14" s="51">
        <v>73.12</v>
      </c>
      <c r="N14" s="51">
        <v>69.400000000000006</v>
      </c>
      <c r="O14" s="51">
        <v>0</v>
      </c>
      <c r="P14" s="51">
        <v>0.32</v>
      </c>
      <c r="Q14" s="51">
        <v>9.33</v>
      </c>
      <c r="R14" s="43"/>
      <c r="S14" s="43"/>
      <c r="T14" s="43"/>
      <c r="U14" s="43"/>
    </row>
    <row r="15" spans="1:21" s="11" customFormat="1" x14ac:dyDescent="0.25">
      <c r="A15" s="50" t="s">
        <v>162</v>
      </c>
      <c r="B15" s="51">
        <v>12.03</v>
      </c>
      <c r="C15" s="51">
        <v>23.76</v>
      </c>
      <c r="D15" s="51">
        <v>27.24</v>
      </c>
      <c r="E15" s="51">
        <v>4.93</v>
      </c>
      <c r="F15" s="51">
        <v>4.2300000000000004</v>
      </c>
      <c r="G15" s="51">
        <v>36.04</v>
      </c>
      <c r="H15" s="51">
        <v>11.2</v>
      </c>
      <c r="I15" s="51">
        <v>4.16</v>
      </c>
      <c r="J15" s="51">
        <v>0.39</v>
      </c>
      <c r="K15" s="51">
        <v>320.02</v>
      </c>
      <c r="L15" s="51">
        <v>27.51</v>
      </c>
      <c r="M15" s="51">
        <v>71.56</v>
      </c>
      <c r="N15" s="51">
        <v>191.2</v>
      </c>
      <c r="O15" s="51">
        <v>0</v>
      </c>
      <c r="P15" s="51">
        <v>0.33</v>
      </c>
      <c r="Q15" s="51">
        <v>9.41</v>
      </c>
      <c r="R15" s="43"/>
      <c r="S15" s="43"/>
      <c r="T15" s="43"/>
      <c r="U15" s="43"/>
    </row>
    <row r="16" spans="1:21" s="11" customFormat="1" x14ac:dyDescent="0.25">
      <c r="A16" s="50" t="s">
        <v>163</v>
      </c>
      <c r="B16" s="51">
        <v>11.86</v>
      </c>
      <c r="C16" s="51">
        <v>23.76</v>
      </c>
      <c r="D16" s="51">
        <v>30.37</v>
      </c>
      <c r="E16" s="51">
        <v>4.96</v>
      </c>
      <c r="F16" s="51">
        <v>6.47</v>
      </c>
      <c r="G16" s="51">
        <v>38.29</v>
      </c>
      <c r="H16" s="51">
        <v>16.03</v>
      </c>
      <c r="I16" s="51">
        <v>4.0199999999999996</v>
      </c>
      <c r="J16" s="51">
        <v>0.39</v>
      </c>
      <c r="K16" s="51">
        <v>294.73</v>
      </c>
      <c r="L16" s="51">
        <v>30.31</v>
      </c>
      <c r="M16" s="51">
        <v>64.72</v>
      </c>
      <c r="N16" s="51">
        <v>460.1</v>
      </c>
      <c r="O16" s="51">
        <v>0</v>
      </c>
      <c r="P16" s="51">
        <v>0.6</v>
      </c>
      <c r="Q16" s="51">
        <v>9.42</v>
      </c>
      <c r="R16" s="43"/>
      <c r="S16" s="43"/>
      <c r="T16" s="43"/>
      <c r="U16" s="43"/>
    </row>
    <row r="17" spans="1:21" s="11" customFormat="1" x14ac:dyDescent="0.25">
      <c r="A17" s="50" t="s">
        <v>164</v>
      </c>
      <c r="B17" s="51">
        <v>10.54</v>
      </c>
      <c r="C17" s="51">
        <v>24.2</v>
      </c>
      <c r="D17" s="51">
        <v>31.56</v>
      </c>
      <c r="E17" s="51">
        <v>5.88</v>
      </c>
      <c r="F17" s="51">
        <v>5.61</v>
      </c>
      <c r="G17" s="51">
        <v>38.950000000000003</v>
      </c>
      <c r="H17" s="51">
        <v>17.45</v>
      </c>
      <c r="I17" s="51">
        <v>4.08</v>
      </c>
      <c r="J17" s="51">
        <v>0.82</v>
      </c>
      <c r="K17" s="51">
        <v>313.47000000000003</v>
      </c>
      <c r="L17" s="51">
        <v>35.549999999999997</v>
      </c>
      <c r="M17" s="51">
        <v>51.05</v>
      </c>
      <c r="N17" s="51">
        <v>700.8</v>
      </c>
      <c r="O17" s="51">
        <v>0</v>
      </c>
      <c r="P17" s="51">
        <v>0.6</v>
      </c>
      <c r="Q17" s="51">
        <v>9.3800000000000008</v>
      </c>
      <c r="R17" s="43"/>
      <c r="S17" s="43"/>
      <c r="T17" s="43"/>
      <c r="U17" s="43"/>
    </row>
    <row r="18" spans="1:21" s="11" customFormat="1" x14ac:dyDescent="0.25">
      <c r="A18" s="50" t="s">
        <v>165</v>
      </c>
      <c r="B18" s="51">
        <v>9.39</v>
      </c>
      <c r="C18" s="51">
        <v>23.99</v>
      </c>
      <c r="D18" s="51">
        <v>31.5</v>
      </c>
      <c r="E18" s="51">
        <v>6.15</v>
      </c>
      <c r="F18" s="51">
        <v>5.58</v>
      </c>
      <c r="G18" s="51">
        <v>39.17</v>
      </c>
      <c r="H18" s="51">
        <v>16.47</v>
      </c>
      <c r="I18" s="51">
        <v>4.22</v>
      </c>
      <c r="J18" s="51">
        <v>0.71</v>
      </c>
      <c r="K18" s="51">
        <v>318.57</v>
      </c>
      <c r="L18" s="51">
        <v>36.57</v>
      </c>
      <c r="M18" s="51">
        <v>41.09</v>
      </c>
      <c r="N18" s="51">
        <v>858.2</v>
      </c>
      <c r="O18" s="51">
        <v>0</v>
      </c>
      <c r="P18" s="51">
        <v>0.56000000000000005</v>
      </c>
      <c r="Q18" s="51">
        <v>9.36</v>
      </c>
      <c r="R18" s="43"/>
      <c r="S18" s="43"/>
      <c r="T18" s="43"/>
      <c r="U18" s="43"/>
    </row>
    <row r="19" spans="1:21" s="11" customFormat="1" x14ac:dyDescent="0.25">
      <c r="A19" s="50" t="s">
        <v>166</v>
      </c>
      <c r="B19" s="51">
        <v>7.73</v>
      </c>
      <c r="C19" s="51">
        <v>21.67</v>
      </c>
      <c r="D19" s="51">
        <v>31.11</v>
      </c>
      <c r="E19" s="51">
        <v>6.04</v>
      </c>
      <c r="F19" s="51">
        <v>7.65</v>
      </c>
      <c r="G19" s="51">
        <v>39.200000000000003</v>
      </c>
      <c r="H19" s="51">
        <v>12.23</v>
      </c>
      <c r="I19" s="51">
        <v>4.1900000000000004</v>
      </c>
      <c r="J19" s="51">
        <v>0.46</v>
      </c>
      <c r="K19" s="51">
        <v>324.13</v>
      </c>
      <c r="L19" s="51">
        <v>37.47</v>
      </c>
      <c r="M19" s="51">
        <v>39.61</v>
      </c>
      <c r="N19" s="51">
        <v>925.3</v>
      </c>
      <c r="O19" s="51">
        <v>0</v>
      </c>
      <c r="P19" s="51">
        <v>0.53</v>
      </c>
      <c r="Q19" s="51">
        <v>9.3000000000000007</v>
      </c>
      <c r="R19" s="43"/>
      <c r="S19" s="43"/>
      <c r="T19" s="43"/>
      <c r="U19" s="43"/>
    </row>
    <row r="20" spans="1:21" s="11" customFormat="1" x14ac:dyDescent="0.25">
      <c r="A20" s="50" t="s">
        <v>167</v>
      </c>
      <c r="B20" s="51">
        <v>7.47</v>
      </c>
      <c r="C20" s="51">
        <v>22.58</v>
      </c>
      <c r="D20" s="51">
        <v>33.58</v>
      </c>
      <c r="E20" s="51">
        <v>7.33</v>
      </c>
      <c r="F20" s="51">
        <v>18.829999999999998</v>
      </c>
      <c r="G20" s="51">
        <v>39.65</v>
      </c>
      <c r="H20" s="51">
        <v>14.92</v>
      </c>
      <c r="I20" s="51">
        <v>4.1399999999999997</v>
      </c>
      <c r="J20" s="51">
        <v>0.9</v>
      </c>
      <c r="K20" s="51">
        <v>336.68</v>
      </c>
      <c r="L20" s="51">
        <v>38.83</v>
      </c>
      <c r="M20" s="51">
        <v>35.22</v>
      </c>
      <c r="N20" s="51">
        <v>934.6</v>
      </c>
      <c r="O20" s="51">
        <v>0</v>
      </c>
      <c r="P20" s="51">
        <v>0.52</v>
      </c>
      <c r="Q20" s="51">
        <v>9.26</v>
      </c>
      <c r="R20" s="43"/>
      <c r="S20" s="43"/>
      <c r="T20" s="43"/>
      <c r="U20" s="43"/>
    </row>
    <row r="21" spans="1:21" s="11" customFormat="1" x14ac:dyDescent="0.25">
      <c r="A21" s="50" t="s">
        <v>168</v>
      </c>
      <c r="B21" s="51">
        <v>7.42</v>
      </c>
      <c r="C21" s="51">
        <v>22.06</v>
      </c>
      <c r="D21" s="51">
        <v>30.84</v>
      </c>
      <c r="E21" s="51">
        <v>7.56</v>
      </c>
      <c r="F21" s="51">
        <v>17.989999999999998</v>
      </c>
      <c r="G21" s="51">
        <v>40.409999999999997</v>
      </c>
      <c r="H21" s="51">
        <v>15.92</v>
      </c>
      <c r="I21" s="51">
        <v>4.18</v>
      </c>
      <c r="J21" s="51">
        <v>0.68</v>
      </c>
      <c r="K21" s="51">
        <v>332.68</v>
      </c>
      <c r="L21" s="51">
        <v>37.96</v>
      </c>
      <c r="M21" s="51">
        <v>37.380000000000003</v>
      </c>
      <c r="N21" s="51">
        <v>940.5</v>
      </c>
      <c r="O21" s="51">
        <v>0</v>
      </c>
      <c r="P21" s="51">
        <v>0.5</v>
      </c>
      <c r="Q21" s="51">
        <v>9.26</v>
      </c>
      <c r="R21" s="43"/>
      <c r="S21" s="43"/>
      <c r="T21" s="43"/>
      <c r="U21" s="43"/>
    </row>
    <row r="22" spans="1:21" s="11" customFormat="1" x14ac:dyDescent="0.25">
      <c r="A22" s="50" t="s">
        <v>169</v>
      </c>
      <c r="B22" s="51">
        <v>6.38</v>
      </c>
      <c r="C22" s="51">
        <v>21.17</v>
      </c>
      <c r="D22" s="51">
        <v>31.75</v>
      </c>
      <c r="E22" s="51">
        <v>6.47</v>
      </c>
      <c r="F22" s="51">
        <v>11.86</v>
      </c>
      <c r="G22" s="51">
        <v>37.979999999999997</v>
      </c>
      <c r="H22" s="51">
        <v>587.29999999999995</v>
      </c>
      <c r="I22" s="51">
        <v>4.0199999999999996</v>
      </c>
      <c r="J22" s="51">
        <v>0.28000000000000003</v>
      </c>
      <c r="K22" s="51">
        <v>285.05</v>
      </c>
      <c r="L22" s="51">
        <v>37.47</v>
      </c>
      <c r="M22" s="51">
        <v>32.42</v>
      </c>
      <c r="N22" s="51">
        <v>670.3</v>
      </c>
      <c r="O22" s="51">
        <v>0</v>
      </c>
      <c r="P22" s="51">
        <v>0.44</v>
      </c>
      <c r="Q22" s="51">
        <v>9.24</v>
      </c>
      <c r="R22" s="43"/>
      <c r="S22" s="43"/>
      <c r="T22" s="43"/>
      <c r="U22" s="43"/>
    </row>
    <row r="23" spans="1:21" s="11" customFormat="1" x14ac:dyDescent="0.25">
      <c r="A23" s="50" t="s">
        <v>170</v>
      </c>
      <c r="B23" s="51">
        <v>5.13</v>
      </c>
      <c r="C23" s="51">
        <v>20.18</v>
      </c>
      <c r="D23" s="51">
        <v>30.74</v>
      </c>
      <c r="E23" s="51">
        <v>6.27</v>
      </c>
      <c r="F23" s="51">
        <v>11.96</v>
      </c>
      <c r="G23" s="51">
        <v>35.32</v>
      </c>
      <c r="H23" s="51">
        <v>943.87</v>
      </c>
      <c r="I23" s="51">
        <v>4.12</v>
      </c>
      <c r="J23" s="51">
        <v>0.88</v>
      </c>
      <c r="K23" s="51">
        <v>316.35000000000002</v>
      </c>
      <c r="L23" s="51">
        <v>36.69</v>
      </c>
      <c r="M23" s="51">
        <v>37.81</v>
      </c>
      <c r="N23" s="51">
        <v>438.5</v>
      </c>
      <c r="O23" s="51">
        <v>0</v>
      </c>
      <c r="P23" s="51">
        <v>0.41</v>
      </c>
      <c r="Q23" s="51">
        <v>9.19</v>
      </c>
      <c r="R23" s="43"/>
      <c r="S23" s="43"/>
      <c r="T23" s="43"/>
      <c r="U23" s="43"/>
    </row>
    <row r="24" spans="1:21" s="11" customFormat="1" x14ac:dyDescent="0.25">
      <c r="A24" s="50" t="s">
        <v>171</v>
      </c>
      <c r="B24" s="51">
        <v>5.55</v>
      </c>
      <c r="C24" s="51">
        <v>20.52</v>
      </c>
      <c r="D24" s="51">
        <v>30.76</v>
      </c>
      <c r="E24" s="51">
        <v>5.88</v>
      </c>
      <c r="F24" s="51">
        <v>24.57</v>
      </c>
      <c r="G24" s="51">
        <v>39.630000000000003</v>
      </c>
      <c r="H24" s="51">
        <v>38.49</v>
      </c>
      <c r="I24" s="51">
        <v>4.07</v>
      </c>
      <c r="J24" s="51">
        <v>0.44</v>
      </c>
      <c r="K24" s="51">
        <v>242.52</v>
      </c>
      <c r="L24" s="51">
        <v>33.799999999999997</v>
      </c>
      <c r="M24" s="51">
        <v>40.49</v>
      </c>
      <c r="N24" s="51">
        <v>265.7</v>
      </c>
      <c r="O24" s="51">
        <v>0</v>
      </c>
      <c r="P24" s="51">
        <v>0.4</v>
      </c>
      <c r="Q24" s="51">
        <v>9.2100000000000009</v>
      </c>
      <c r="R24" s="43"/>
      <c r="S24" s="43"/>
      <c r="T24" s="43"/>
      <c r="U24" s="43"/>
    </row>
    <row r="25" spans="1:21" s="11" customFormat="1" x14ac:dyDescent="0.25">
      <c r="A25" s="50" t="s">
        <v>172</v>
      </c>
      <c r="B25" s="51">
        <v>6.86</v>
      </c>
      <c r="C25" s="51">
        <v>26.64</v>
      </c>
      <c r="D25" s="51">
        <v>40.46</v>
      </c>
      <c r="E25" s="51">
        <v>6.56</v>
      </c>
      <c r="F25" s="51">
        <v>27.67</v>
      </c>
      <c r="G25" s="51">
        <v>43.22</v>
      </c>
      <c r="H25" s="51">
        <v>20</v>
      </c>
      <c r="I25" s="51">
        <v>4.04</v>
      </c>
      <c r="J25" s="51">
        <v>1.1599999999999999</v>
      </c>
      <c r="K25" s="51">
        <v>208.28</v>
      </c>
      <c r="L25" s="51">
        <v>33.729999999999997</v>
      </c>
      <c r="M25" s="51">
        <v>43.85</v>
      </c>
      <c r="N25" s="51">
        <v>215.1</v>
      </c>
      <c r="O25" s="51">
        <v>0</v>
      </c>
      <c r="P25" s="51">
        <v>0.39</v>
      </c>
      <c r="Q25" s="51">
        <v>9.23</v>
      </c>
      <c r="R25" s="43"/>
      <c r="S25" s="43"/>
      <c r="T25" s="43"/>
      <c r="U25" s="43"/>
    </row>
    <row r="26" spans="1:21" s="11" customFormat="1" x14ac:dyDescent="0.25">
      <c r="A26" s="50" t="s">
        <v>173</v>
      </c>
      <c r="B26" s="51">
        <v>32.24</v>
      </c>
      <c r="C26" s="51">
        <v>71.8</v>
      </c>
      <c r="D26" s="51">
        <v>87.95</v>
      </c>
      <c r="E26" s="51">
        <v>8.11</v>
      </c>
      <c r="F26" s="51">
        <v>21</v>
      </c>
      <c r="G26" s="51">
        <v>46.58</v>
      </c>
      <c r="H26" s="51">
        <v>40.869999999999997</v>
      </c>
      <c r="I26" s="51">
        <v>4.13</v>
      </c>
      <c r="J26" s="51">
        <v>0.36</v>
      </c>
      <c r="K26" s="51">
        <v>357.43</v>
      </c>
      <c r="L26" s="51">
        <v>32.729999999999997</v>
      </c>
      <c r="M26" s="51">
        <v>44.13</v>
      </c>
      <c r="N26" s="51">
        <v>131.80000000000001</v>
      </c>
      <c r="O26" s="51">
        <v>0</v>
      </c>
      <c r="P26" s="51">
        <v>1.01</v>
      </c>
      <c r="Q26" s="51">
        <v>9.33</v>
      </c>
      <c r="R26" s="43"/>
      <c r="S26" s="43"/>
      <c r="T26" s="43"/>
      <c r="U26" s="43"/>
    </row>
    <row r="27" spans="1:21" s="11" customFormat="1" x14ac:dyDescent="0.25">
      <c r="A27" s="50" t="s">
        <v>174</v>
      </c>
      <c r="B27" s="51">
        <v>15.71</v>
      </c>
      <c r="C27" s="51">
        <v>43.09</v>
      </c>
      <c r="D27" s="51">
        <v>58.36</v>
      </c>
      <c r="E27" s="51">
        <v>8.89</v>
      </c>
      <c r="F27" s="51">
        <v>18.54</v>
      </c>
      <c r="G27" s="51">
        <v>48.92</v>
      </c>
      <c r="H27" s="51">
        <v>65.69</v>
      </c>
      <c r="I27" s="51">
        <v>4.01</v>
      </c>
      <c r="J27" s="51">
        <v>0.44</v>
      </c>
      <c r="K27" s="51">
        <v>351.18</v>
      </c>
      <c r="L27" s="51">
        <v>31.64</v>
      </c>
      <c r="M27" s="51">
        <v>44.48</v>
      </c>
      <c r="N27" s="51">
        <v>96.3</v>
      </c>
      <c r="O27" s="51">
        <v>0</v>
      </c>
      <c r="P27" s="51">
        <v>0.84</v>
      </c>
      <c r="Q27" s="51">
        <v>9.39</v>
      </c>
      <c r="R27" s="43"/>
      <c r="S27" s="43"/>
      <c r="T27" s="43"/>
      <c r="U27" s="43"/>
    </row>
    <row r="28" spans="1:21" s="11" customFormat="1" x14ac:dyDescent="0.25">
      <c r="A28" s="50" t="s">
        <v>175</v>
      </c>
      <c r="B28" s="51">
        <v>9.75</v>
      </c>
      <c r="C28" s="51">
        <v>33.020000000000003</v>
      </c>
      <c r="D28" s="51">
        <v>49.66</v>
      </c>
      <c r="E28" s="51">
        <v>7.48</v>
      </c>
      <c r="F28" s="51">
        <v>18.45</v>
      </c>
      <c r="G28" s="51">
        <v>49.41</v>
      </c>
      <c r="H28" s="51">
        <v>34.56</v>
      </c>
      <c r="I28" s="51">
        <v>4.13</v>
      </c>
      <c r="J28" s="51">
        <v>0.59</v>
      </c>
      <c r="K28" s="51">
        <v>105.29</v>
      </c>
      <c r="L28" s="51">
        <v>30.86</v>
      </c>
      <c r="M28" s="51">
        <v>44.87</v>
      </c>
      <c r="N28" s="51">
        <v>94.3</v>
      </c>
      <c r="O28" s="51">
        <v>0</v>
      </c>
      <c r="P28" s="51">
        <v>0.67</v>
      </c>
      <c r="Q28" s="51">
        <v>9.4</v>
      </c>
      <c r="R28" s="43"/>
      <c r="S28" s="43"/>
      <c r="T28" s="43"/>
      <c r="U28" s="43"/>
    </row>
    <row r="29" spans="1:21" s="11" customFormat="1" x14ac:dyDescent="0.25">
      <c r="A29" s="50" t="s">
        <v>176</v>
      </c>
      <c r="B29" s="51">
        <v>13.61</v>
      </c>
      <c r="C29" s="51">
        <v>50.66</v>
      </c>
      <c r="D29" s="51">
        <v>76.069999999999993</v>
      </c>
      <c r="E29" s="51">
        <v>13.59</v>
      </c>
      <c r="F29" s="51">
        <v>15.29</v>
      </c>
      <c r="G29" s="51">
        <v>49.94</v>
      </c>
      <c r="H29" s="51">
        <v>20.93</v>
      </c>
      <c r="I29" s="51">
        <v>4.03</v>
      </c>
      <c r="J29" s="51">
        <v>0.28000000000000003</v>
      </c>
      <c r="K29" s="51">
        <v>109.7</v>
      </c>
      <c r="L29" s="51">
        <v>30.68</v>
      </c>
      <c r="M29" s="51">
        <v>46.04</v>
      </c>
      <c r="N29" s="51">
        <v>88.5</v>
      </c>
      <c r="O29" s="51">
        <v>0</v>
      </c>
      <c r="P29" s="51">
        <v>0.61</v>
      </c>
      <c r="Q29" s="51">
        <v>9.3800000000000008</v>
      </c>
      <c r="R29" s="43"/>
      <c r="S29" s="43"/>
      <c r="T29" s="43"/>
      <c r="U29" s="43"/>
    </row>
    <row r="30" spans="1:21" s="11" customFormat="1" x14ac:dyDescent="0.25">
      <c r="A30" s="50" t="s">
        <v>177</v>
      </c>
      <c r="B30" s="51">
        <v>82.68</v>
      </c>
      <c r="C30" s="51">
        <v>127.96</v>
      </c>
      <c r="D30" s="51">
        <v>118.01</v>
      </c>
      <c r="E30" s="51">
        <v>11.06</v>
      </c>
      <c r="F30" s="51">
        <v>8.8800000000000008</v>
      </c>
      <c r="G30" s="51">
        <v>59.74</v>
      </c>
      <c r="H30" s="51">
        <v>19.41</v>
      </c>
      <c r="I30" s="51">
        <v>4.1500000000000004</v>
      </c>
      <c r="J30" s="51">
        <v>0.2</v>
      </c>
      <c r="K30" s="51">
        <v>348.11</v>
      </c>
      <c r="L30" s="51">
        <v>30.22</v>
      </c>
      <c r="M30" s="51">
        <v>52.3</v>
      </c>
      <c r="N30" s="51">
        <v>97.3</v>
      </c>
      <c r="O30" s="51">
        <v>0</v>
      </c>
      <c r="P30" s="51">
        <v>2.15</v>
      </c>
      <c r="Q30" s="51">
        <v>9.5399999999999991</v>
      </c>
      <c r="R30" s="43"/>
      <c r="S30" s="43"/>
      <c r="T30" s="43"/>
      <c r="U30" s="43"/>
    </row>
    <row r="31" spans="1:21" s="11" customFormat="1" x14ac:dyDescent="0.25">
      <c r="A31" s="50" t="s">
        <v>178</v>
      </c>
      <c r="B31" s="51">
        <v>67.400000000000006</v>
      </c>
      <c r="C31" s="51">
        <v>100.5</v>
      </c>
      <c r="D31" s="51">
        <v>95.78</v>
      </c>
      <c r="E31" s="51">
        <v>8.01</v>
      </c>
      <c r="F31" s="51">
        <v>5.2</v>
      </c>
      <c r="G31" s="51">
        <v>69.02</v>
      </c>
      <c r="H31" s="51">
        <v>26.39</v>
      </c>
      <c r="I31" s="51">
        <v>4.08</v>
      </c>
      <c r="J31" s="51">
        <v>0.24</v>
      </c>
      <c r="K31" s="51">
        <v>350.61</v>
      </c>
      <c r="L31" s="51">
        <v>29.15</v>
      </c>
      <c r="M31" s="51">
        <v>62.54</v>
      </c>
      <c r="N31" s="51">
        <v>93.4</v>
      </c>
      <c r="O31" s="51">
        <v>0</v>
      </c>
      <c r="P31" s="51">
        <v>1.33</v>
      </c>
      <c r="Q31" s="51">
        <v>9.5399999999999991</v>
      </c>
      <c r="R31" s="43"/>
      <c r="S31" s="43"/>
      <c r="T31" s="43"/>
      <c r="U31" s="43"/>
    </row>
    <row r="32" spans="1:21" s="11" customFormat="1" x14ac:dyDescent="0.25">
      <c r="A32" s="50" t="s">
        <v>179</v>
      </c>
      <c r="B32" s="51">
        <v>37.229999999999997</v>
      </c>
      <c r="C32" s="51">
        <v>69.12</v>
      </c>
      <c r="D32" s="51">
        <v>75.150000000000006</v>
      </c>
      <c r="E32" s="51">
        <v>6.14</v>
      </c>
      <c r="F32" s="51">
        <v>10.39</v>
      </c>
      <c r="G32" s="51">
        <v>75.069999999999993</v>
      </c>
      <c r="H32" s="51">
        <v>17.57</v>
      </c>
      <c r="I32" s="51">
        <v>4.12</v>
      </c>
      <c r="J32" s="51">
        <v>0.1</v>
      </c>
      <c r="K32" s="51">
        <v>323.43</v>
      </c>
      <c r="L32" s="51">
        <v>29.3</v>
      </c>
      <c r="M32" s="51">
        <v>61.02</v>
      </c>
      <c r="N32" s="51">
        <v>89.4</v>
      </c>
      <c r="O32" s="51">
        <v>0</v>
      </c>
      <c r="P32" s="51">
        <v>1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5.13</v>
      </c>
      <c r="C34" s="28">
        <f t="shared" si="0"/>
        <v>16.98</v>
      </c>
      <c r="D34" s="28">
        <f t="shared" si="0"/>
        <v>21.03</v>
      </c>
      <c r="E34" s="28">
        <f t="shared" si="0"/>
        <v>4.93</v>
      </c>
      <c r="F34" s="28">
        <f t="shared" si="0"/>
        <v>4.2300000000000004</v>
      </c>
      <c r="G34" s="28">
        <f t="shared" si="0"/>
        <v>33.200000000000003</v>
      </c>
      <c r="H34" s="28">
        <f t="shared" si="0"/>
        <v>11.2</v>
      </c>
      <c r="I34" s="28">
        <f t="shared" si="0"/>
        <v>3.99</v>
      </c>
      <c r="J34" s="28">
        <f t="shared" si="0"/>
        <v>0.09</v>
      </c>
      <c r="K34" s="28">
        <f t="shared" si="0"/>
        <v>105.29</v>
      </c>
      <c r="L34" s="28">
        <f t="shared" si="0"/>
        <v>26.15</v>
      </c>
      <c r="M34" s="28">
        <f t="shared" si="0"/>
        <v>32.42</v>
      </c>
      <c r="N34" s="28">
        <f t="shared" si="0"/>
        <v>42.8</v>
      </c>
      <c r="O34" s="28">
        <f t="shared" si="0"/>
        <v>0</v>
      </c>
      <c r="P34" s="28">
        <f t="shared" si="0"/>
        <v>0.28999999999999998</v>
      </c>
      <c r="Q34" s="28">
        <f t="shared" si="0"/>
        <v>9.19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82.68</v>
      </c>
      <c r="C35" s="29">
        <f t="shared" si="1"/>
        <v>127.96</v>
      </c>
      <c r="D35" s="29">
        <f t="shared" si="1"/>
        <v>118.01</v>
      </c>
      <c r="E35" s="29">
        <f t="shared" si="1"/>
        <v>13.59</v>
      </c>
      <c r="F35" s="29">
        <f t="shared" si="1"/>
        <v>27.67</v>
      </c>
      <c r="G35" s="29">
        <f t="shared" si="1"/>
        <v>75.069999999999993</v>
      </c>
      <c r="H35" s="29">
        <f t="shared" si="1"/>
        <v>943.87</v>
      </c>
      <c r="I35" s="29">
        <f t="shared" si="1"/>
        <v>4.22</v>
      </c>
      <c r="J35" s="29">
        <f t="shared" si="1"/>
        <v>1.26</v>
      </c>
      <c r="K35" s="29">
        <f t="shared" si="1"/>
        <v>357.43</v>
      </c>
      <c r="L35" s="29">
        <f t="shared" si="1"/>
        <v>38.83</v>
      </c>
      <c r="M35" s="29">
        <f t="shared" si="1"/>
        <v>73.12</v>
      </c>
      <c r="N35" s="29">
        <f t="shared" si="1"/>
        <v>940.5</v>
      </c>
      <c r="O35" s="29">
        <f t="shared" si="1"/>
        <v>0</v>
      </c>
      <c r="P35" s="29">
        <f t="shared" si="1"/>
        <v>2.15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17.028333333333336</v>
      </c>
      <c r="C36" s="28">
        <f t="shared" si="2"/>
        <v>36.47291666666667</v>
      </c>
      <c r="D36" s="28">
        <f t="shared" si="2"/>
        <v>44.542916666666663</v>
      </c>
      <c r="E36" s="28">
        <f t="shared" si="2"/>
        <v>6.8724999999999987</v>
      </c>
      <c r="F36" s="28">
        <f t="shared" si="2"/>
        <v>12.454166666666666</v>
      </c>
      <c r="G36" s="28">
        <f t="shared" si="2"/>
        <v>45.941666666666663</v>
      </c>
      <c r="H36" s="28">
        <f t="shared" si="2"/>
        <v>83.742083333333341</v>
      </c>
      <c r="I36" s="28">
        <f t="shared" si="2"/>
        <v>4.0991666666666671</v>
      </c>
      <c r="J36" s="28">
        <f t="shared" si="2"/>
        <v>0.47666666666666657</v>
      </c>
      <c r="K36" s="28">
        <f t="shared" si="2"/>
        <v>295.74500000000006</v>
      </c>
      <c r="L36" s="28">
        <f t="shared" si="2"/>
        <v>31.737083333333331</v>
      </c>
      <c r="M36" s="28">
        <f t="shared" si="2"/>
        <v>52.276249999999997</v>
      </c>
      <c r="N36" s="28">
        <f t="shared" si="2"/>
        <v>315.62500000000006</v>
      </c>
      <c r="O36" s="28">
        <f t="shared" si="2"/>
        <v>0</v>
      </c>
      <c r="P36" s="28">
        <f t="shared" si="2"/>
        <v>0.64166666666666672</v>
      </c>
      <c r="Q36" s="28">
        <f t="shared" si="2"/>
        <v>9.3729166666666668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19.539632114970996</v>
      </c>
      <c r="C37" s="28">
        <f t="shared" ref="C37:Q37" si="3">STDEV(C9:C32)</f>
        <v>28.39532776618849</v>
      </c>
      <c r="D37" s="28">
        <f t="shared" si="3"/>
        <v>26.373332130106881</v>
      </c>
      <c r="E37" s="28">
        <f t="shared" si="3"/>
        <v>2.0242663727449766</v>
      </c>
      <c r="F37" s="28">
        <f t="shared" si="3"/>
        <v>6.5684297088862653</v>
      </c>
      <c r="G37" s="28">
        <f t="shared" si="3"/>
        <v>10.48650671999051</v>
      </c>
      <c r="H37" s="28">
        <f t="shared" si="3"/>
        <v>216.8308270033329</v>
      </c>
      <c r="I37" s="28">
        <f t="shared" si="3"/>
        <v>6.7238489667404241E-2</v>
      </c>
      <c r="J37" s="28">
        <f t="shared" si="3"/>
        <v>0.33140893780640718</v>
      </c>
      <c r="K37" s="28">
        <f t="shared" si="3"/>
        <v>67.562266739330752</v>
      </c>
      <c r="L37" s="28">
        <f t="shared" si="3"/>
        <v>4.2114837612193829</v>
      </c>
      <c r="M37" s="28">
        <f t="shared" si="3"/>
        <v>13.192666214523406</v>
      </c>
      <c r="N37" s="28">
        <f t="shared" si="3"/>
        <v>332.39698927376116</v>
      </c>
      <c r="O37" s="28">
        <f t="shared" si="3"/>
        <v>0</v>
      </c>
      <c r="P37" s="28">
        <f t="shared" si="3"/>
        <v>0.40625186733127133</v>
      </c>
      <c r="Q37" s="28">
        <f t="shared" si="3"/>
        <v>0.11288621307072561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25" sqref="C25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180</v>
      </c>
      <c r="B9" s="51">
        <v>17.190000000000001</v>
      </c>
      <c r="C9" s="51">
        <v>31.78</v>
      </c>
      <c r="D9" s="51">
        <v>37.03</v>
      </c>
      <c r="E9" s="51">
        <v>6.25</v>
      </c>
      <c r="F9" s="51">
        <v>17.059999999999999</v>
      </c>
      <c r="G9" s="51">
        <v>77.31</v>
      </c>
      <c r="H9" s="51">
        <v>19.739999999999998</v>
      </c>
      <c r="I9" s="51">
        <v>4.13</v>
      </c>
      <c r="J9" s="51">
        <v>0.08</v>
      </c>
      <c r="K9" s="51">
        <v>302.39</v>
      </c>
      <c r="L9" s="51">
        <v>29.06</v>
      </c>
      <c r="M9" s="51">
        <v>61.64</v>
      </c>
      <c r="N9" s="51">
        <v>79.400000000000006</v>
      </c>
      <c r="O9" s="51">
        <v>0</v>
      </c>
      <c r="P9" s="51">
        <v>0.7</v>
      </c>
      <c r="Q9" s="51">
        <v>9.6199999999999992</v>
      </c>
      <c r="R9" s="43"/>
      <c r="S9" s="43"/>
      <c r="T9" s="43"/>
      <c r="U9" s="43"/>
    </row>
    <row r="10" spans="1:21" s="11" customFormat="1" x14ac:dyDescent="0.25">
      <c r="A10" s="50" t="s">
        <v>181</v>
      </c>
      <c r="B10" s="51">
        <v>10.59</v>
      </c>
      <c r="C10" s="51">
        <v>25.02</v>
      </c>
      <c r="D10" s="51">
        <v>33.549999999999997</v>
      </c>
      <c r="E10" s="51">
        <v>6.07</v>
      </c>
      <c r="F10" s="51">
        <v>15.7</v>
      </c>
      <c r="G10" s="51">
        <v>68.989999999999995</v>
      </c>
      <c r="H10" s="51">
        <v>21.5</v>
      </c>
      <c r="I10" s="51">
        <v>4.0599999999999996</v>
      </c>
      <c r="J10" s="51">
        <v>0.1</v>
      </c>
      <c r="K10" s="51">
        <v>337.78</v>
      </c>
      <c r="L10" s="51">
        <v>28.19</v>
      </c>
      <c r="M10" s="51">
        <v>67.14</v>
      </c>
      <c r="N10" s="51">
        <v>80.3</v>
      </c>
      <c r="O10" s="51">
        <v>0</v>
      </c>
      <c r="P10" s="51">
        <v>0.49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182</v>
      </c>
      <c r="B11" s="51">
        <v>14.15</v>
      </c>
      <c r="C11" s="51">
        <v>34.22</v>
      </c>
      <c r="D11" s="51">
        <v>48.12</v>
      </c>
      <c r="E11" s="51">
        <v>5.91</v>
      </c>
      <c r="F11" s="51">
        <v>10.54</v>
      </c>
      <c r="G11" s="51">
        <v>62.44</v>
      </c>
      <c r="H11" s="51">
        <v>62.68</v>
      </c>
      <c r="I11" s="51">
        <v>4.07</v>
      </c>
      <c r="J11" s="51">
        <v>0.13</v>
      </c>
      <c r="K11" s="51">
        <v>330.25</v>
      </c>
      <c r="L11" s="51">
        <v>27.62</v>
      </c>
      <c r="M11" s="51">
        <v>75.510000000000005</v>
      </c>
      <c r="N11" s="51">
        <v>75.2</v>
      </c>
      <c r="O11" s="51">
        <v>0</v>
      </c>
      <c r="P11" s="51">
        <v>0.56000000000000005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183</v>
      </c>
      <c r="B12" s="51">
        <v>26.26</v>
      </c>
      <c r="C12" s="51">
        <v>46.49</v>
      </c>
      <c r="D12" s="51">
        <v>48.67</v>
      </c>
      <c r="E12" s="51">
        <v>5.87</v>
      </c>
      <c r="F12" s="51">
        <v>5.97</v>
      </c>
      <c r="G12" s="51">
        <v>65.39</v>
      </c>
      <c r="H12" s="51">
        <v>100.74</v>
      </c>
      <c r="I12" s="51">
        <v>4.1100000000000003</v>
      </c>
      <c r="J12" s="51">
        <v>0.1</v>
      </c>
      <c r="K12" s="51">
        <v>313.37</v>
      </c>
      <c r="L12" s="51">
        <v>26.93</v>
      </c>
      <c r="M12" s="51">
        <v>76.44</v>
      </c>
      <c r="N12" s="51">
        <v>76</v>
      </c>
      <c r="O12" s="51">
        <v>0</v>
      </c>
      <c r="P12" s="51">
        <v>0.63</v>
      </c>
      <c r="Q12" s="51">
        <v>9.6</v>
      </c>
      <c r="R12" s="43"/>
      <c r="S12" s="43"/>
      <c r="T12" s="43"/>
      <c r="U12" s="43"/>
    </row>
    <row r="13" spans="1:21" s="11" customFormat="1" x14ac:dyDescent="0.25">
      <c r="A13" s="50" t="s">
        <v>184</v>
      </c>
      <c r="B13" s="51">
        <v>21.94</v>
      </c>
      <c r="C13" s="51">
        <v>43.12</v>
      </c>
      <c r="D13" s="51">
        <v>51.11</v>
      </c>
      <c r="E13" s="51">
        <v>5.85</v>
      </c>
      <c r="F13" s="51">
        <v>5.1100000000000003</v>
      </c>
      <c r="G13" s="51">
        <v>73.239999999999995</v>
      </c>
      <c r="H13" s="51">
        <v>89.06</v>
      </c>
      <c r="I13" s="51">
        <v>4.09</v>
      </c>
      <c r="J13" s="51">
        <v>7.0000000000000007E-2</v>
      </c>
      <c r="K13" s="51">
        <v>359.82</v>
      </c>
      <c r="L13" s="51">
        <v>26.88</v>
      </c>
      <c r="M13" s="51">
        <v>76.11</v>
      </c>
      <c r="N13" s="51">
        <v>77.7</v>
      </c>
      <c r="O13" s="51">
        <v>0</v>
      </c>
      <c r="P13" s="51">
        <v>0.72</v>
      </c>
      <c r="Q13" s="51">
        <v>9.6</v>
      </c>
      <c r="R13" s="43"/>
      <c r="S13" s="43"/>
      <c r="T13" s="43"/>
      <c r="U13" s="43"/>
    </row>
    <row r="14" spans="1:21" s="11" customFormat="1" x14ac:dyDescent="0.25">
      <c r="A14" s="50" t="s">
        <v>185</v>
      </c>
      <c r="B14" s="51">
        <v>33.340000000000003</v>
      </c>
      <c r="C14" s="51">
        <v>59.33</v>
      </c>
      <c r="D14" s="51">
        <v>62.44</v>
      </c>
      <c r="E14" s="51">
        <v>6.18</v>
      </c>
      <c r="F14" s="51">
        <v>6.77</v>
      </c>
      <c r="G14" s="51">
        <v>83.49</v>
      </c>
      <c r="H14" s="51">
        <v>41.93</v>
      </c>
      <c r="I14" s="51">
        <v>4.04</v>
      </c>
      <c r="J14" s="51">
        <v>7.0000000000000007E-2</v>
      </c>
      <c r="K14" s="51">
        <v>313.99</v>
      </c>
      <c r="L14" s="51">
        <v>26.91</v>
      </c>
      <c r="M14" s="51">
        <v>73.09</v>
      </c>
      <c r="N14" s="51">
        <v>114.9</v>
      </c>
      <c r="O14" s="51">
        <v>0</v>
      </c>
      <c r="P14" s="51">
        <v>0.89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186</v>
      </c>
      <c r="B15" s="51">
        <v>19.440000000000001</v>
      </c>
      <c r="C15" s="51">
        <v>39.97</v>
      </c>
      <c r="D15" s="51">
        <v>50.96</v>
      </c>
      <c r="E15" s="51">
        <v>6.22</v>
      </c>
      <c r="F15" s="51">
        <v>12.06</v>
      </c>
      <c r="G15" s="51">
        <v>89.08</v>
      </c>
      <c r="H15" s="51">
        <v>22.54</v>
      </c>
      <c r="I15" s="51">
        <v>4.0999999999999996</v>
      </c>
      <c r="J15" s="51">
        <v>0.11</v>
      </c>
      <c r="K15" s="51">
        <v>288.13</v>
      </c>
      <c r="L15" s="51">
        <v>29.65</v>
      </c>
      <c r="M15" s="51">
        <v>68.290000000000006</v>
      </c>
      <c r="N15" s="51">
        <v>255.7</v>
      </c>
      <c r="O15" s="51">
        <v>0</v>
      </c>
      <c r="P15" s="51">
        <v>0.8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187</v>
      </c>
      <c r="B16" s="51">
        <v>20.83</v>
      </c>
      <c r="C16" s="51">
        <v>36.770000000000003</v>
      </c>
      <c r="D16" s="51">
        <v>38.42</v>
      </c>
      <c r="E16" s="51">
        <v>6.26</v>
      </c>
      <c r="F16" s="51">
        <v>7.36</v>
      </c>
      <c r="G16" s="51">
        <v>90.03</v>
      </c>
      <c r="H16" s="51">
        <v>33.46</v>
      </c>
      <c r="I16" s="51">
        <v>4.18</v>
      </c>
      <c r="J16" s="51">
        <v>0.19</v>
      </c>
      <c r="K16" s="51">
        <v>277.45999999999998</v>
      </c>
      <c r="L16" s="51">
        <v>31.86</v>
      </c>
      <c r="M16" s="51">
        <v>60.48</v>
      </c>
      <c r="N16" s="51">
        <v>468.2</v>
      </c>
      <c r="O16" s="51">
        <v>0</v>
      </c>
      <c r="P16" s="51">
        <v>0.79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188</v>
      </c>
      <c r="B17" s="51">
        <v>17.89</v>
      </c>
      <c r="C17" s="51">
        <v>31.32</v>
      </c>
      <c r="D17" s="51">
        <v>36.979999999999997</v>
      </c>
      <c r="E17" s="51">
        <v>5.6</v>
      </c>
      <c r="F17" s="51">
        <v>8.3000000000000007</v>
      </c>
      <c r="G17" s="51">
        <v>80.91</v>
      </c>
      <c r="H17" s="51">
        <v>86.45</v>
      </c>
      <c r="I17" s="51">
        <v>4.17</v>
      </c>
      <c r="J17" s="51">
        <v>0.32</v>
      </c>
      <c r="K17" s="51">
        <v>290.2</v>
      </c>
      <c r="L17" s="51">
        <v>35.22</v>
      </c>
      <c r="M17" s="51">
        <v>50.62</v>
      </c>
      <c r="N17" s="51">
        <v>637.4</v>
      </c>
      <c r="O17" s="51">
        <v>0</v>
      </c>
      <c r="P17" s="51">
        <v>0.85</v>
      </c>
      <c r="Q17" s="51">
        <v>9.6199999999999992</v>
      </c>
      <c r="R17" s="43"/>
      <c r="S17" s="43"/>
      <c r="T17" s="43"/>
      <c r="U17" s="43"/>
    </row>
    <row r="18" spans="1:21" s="11" customFormat="1" x14ac:dyDescent="0.25">
      <c r="A18" s="50" t="s">
        <v>189</v>
      </c>
      <c r="B18" s="51">
        <v>10.77</v>
      </c>
      <c r="C18" s="51">
        <v>29.97</v>
      </c>
      <c r="D18" s="51">
        <v>40.9</v>
      </c>
      <c r="E18" s="51">
        <v>8.6300000000000008</v>
      </c>
      <c r="F18" s="51">
        <v>16.989999999999998</v>
      </c>
      <c r="G18" s="51">
        <v>76.430000000000007</v>
      </c>
      <c r="H18" s="51">
        <v>109.35</v>
      </c>
      <c r="I18" s="51">
        <v>4.01</v>
      </c>
      <c r="J18" s="51">
        <v>0.41</v>
      </c>
      <c r="K18" s="51">
        <v>304.85000000000002</v>
      </c>
      <c r="L18" s="51">
        <v>36.4</v>
      </c>
      <c r="M18" s="51">
        <v>46.69</v>
      </c>
      <c r="N18" s="51">
        <v>772.9</v>
      </c>
      <c r="O18" s="51">
        <v>0</v>
      </c>
      <c r="P18" s="51">
        <v>1.08</v>
      </c>
      <c r="Q18" s="51">
        <v>9.51</v>
      </c>
      <c r="R18" s="43"/>
      <c r="S18" s="43"/>
      <c r="T18" s="43"/>
      <c r="U18" s="43"/>
    </row>
    <row r="19" spans="1:21" s="11" customFormat="1" x14ac:dyDescent="0.25">
      <c r="A19" s="50" t="s">
        <v>190</v>
      </c>
      <c r="B19" s="51">
        <v>7.25</v>
      </c>
      <c r="C19" s="51">
        <v>27.11</v>
      </c>
      <c r="D19" s="51">
        <v>43.21</v>
      </c>
      <c r="E19" s="51">
        <v>11.69</v>
      </c>
      <c r="F19" s="51">
        <v>17.11</v>
      </c>
      <c r="G19" s="51">
        <v>73.13</v>
      </c>
      <c r="H19" s="51">
        <v>26.55</v>
      </c>
      <c r="I19" s="51">
        <v>3.99</v>
      </c>
      <c r="J19" s="51">
        <v>0.56000000000000005</v>
      </c>
      <c r="K19" s="51">
        <v>316.2</v>
      </c>
      <c r="L19" s="51">
        <v>38.270000000000003</v>
      </c>
      <c r="M19" s="51">
        <v>38.229999999999997</v>
      </c>
      <c r="N19" s="51">
        <v>860.2</v>
      </c>
      <c r="O19" s="51">
        <v>0</v>
      </c>
      <c r="P19" s="51">
        <v>1.06</v>
      </c>
      <c r="Q19" s="51">
        <v>9.3699999999999992</v>
      </c>
      <c r="R19" s="43"/>
      <c r="S19" s="43"/>
      <c r="T19" s="43"/>
      <c r="U19" s="43"/>
    </row>
    <row r="20" spans="1:21" s="11" customFormat="1" x14ac:dyDescent="0.25">
      <c r="A20" s="50" t="s">
        <v>191</v>
      </c>
      <c r="B20" s="51">
        <v>6.33</v>
      </c>
      <c r="C20" s="51">
        <v>29.07</v>
      </c>
      <c r="D20" s="51">
        <v>45.93</v>
      </c>
      <c r="E20" s="51">
        <v>15.5</v>
      </c>
      <c r="F20" s="51">
        <v>27.07</v>
      </c>
      <c r="G20" s="51">
        <v>69.680000000000007</v>
      </c>
      <c r="H20" s="51">
        <v>40.17</v>
      </c>
      <c r="I20" s="51">
        <v>4.04</v>
      </c>
      <c r="J20" s="51">
        <v>0.56000000000000005</v>
      </c>
      <c r="K20" s="51">
        <v>331.65</v>
      </c>
      <c r="L20" s="51">
        <v>39.520000000000003</v>
      </c>
      <c r="M20" s="51">
        <v>33.32</v>
      </c>
      <c r="N20" s="51">
        <v>918.2</v>
      </c>
      <c r="O20" s="51">
        <v>0</v>
      </c>
      <c r="P20" s="51">
        <v>1.01</v>
      </c>
      <c r="Q20" s="51">
        <v>9.32</v>
      </c>
      <c r="R20" s="43"/>
      <c r="S20" s="43"/>
      <c r="T20" s="43"/>
      <c r="U20" s="43"/>
    </row>
    <row r="21" spans="1:21" s="11" customFormat="1" x14ac:dyDescent="0.25">
      <c r="A21" s="50" t="s">
        <v>192</v>
      </c>
      <c r="B21" s="51">
        <v>5.54</v>
      </c>
      <c r="C21" s="51">
        <v>23.89</v>
      </c>
      <c r="D21" s="51">
        <v>37.92</v>
      </c>
      <c r="E21" s="51">
        <v>11.76</v>
      </c>
      <c r="F21" s="51">
        <v>26.14</v>
      </c>
      <c r="G21" s="51">
        <v>74.63</v>
      </c>
      <c r="H21" s="51">
        <v>28.73</v>
      </c>
      <c r="I21" s="51">
        <v>4.13</v>
      </c>
      <c r="J21" s="51">
        <v>0.4</v>
      </c>
      <c r="K21" s="51">
        <v>335.5</v>
      </c>
      <c r="L21" s="51">
        <v>39.229999999999997</v>
      </c>
      <c r="M21" s="51">
        <v>28.9</v>
      </c>
      <c r="N21" s="51">
        <v>887.8</v>
      </c>
      <c r="O21" s="51">
        <v>0</v>
      </c>
      <c r="P21" s="51">
        <v>0.75</v>
      </c>
      <c r="Q21" s="51">
        <v>9.2899999999999991</v>
      </c>
      <c r="R21" s="43"/>
      <c r="S21" s="43"/>
      <c r="T21" s="43"/>
      <c r="U21" s="43"/>
    </row>
    <row r="22" spans="1:21" s="11" customFormat="1" x14ac:dyDescent="0.25">
      <c r="A22" s="50" t="s">
        <v>193</v>
      </c>
      <c r="B22" s="51">
        <v>5.4</v>
      </c>
      <c r="C22" s="51">
        <v>25.17</v>
      </c>
      <c r="D22" s="51">
        <v>40.29</v>
      </c>
      <c r="E22" s="51">
        <v>8.27</v>
      </c>
      <c r="F22" s="51">
        <v>22.56</v>
      </c>
      <c r="G22" s="51">
        <v>55.76</v>
      </c>
      <c r="H22" s="51">
        <v>20.88</v>
      </c>
      <c r="I22" s="51">
        <v>4.08</v>
      </c>
      <c r="J22" s="51">
        <v>0.23</v>
      </c>
      <c r="K22" s="51">
        <v>304.27</v>
      </c>
      <c r="L22" s="51">
        <v>38.65</v>
      </c>
      <c r="M22" s="51">
        <v>28.16</v>
      </c>
      <c r="N22" s="51">
        <v>676.9</v>
      </c>
      <c r="O22" s="51">
        <v>0</v>
      </c>
      <c r="P22" s="51">
        <v>0.53</v>
      </c>
      <c r="Q22" s="51">
        <v>9.27</v>
      </c>
      <c r="R22" s="43"/>
      <c r="S22" s="43"/>
      <c r="T22" s="43"/>
      <c r="U22" s="43"/>
    </row>
    <row r="23" spans="1:21" s="11" customFormat="1" x14ac:dyDescent="0.25">
      <c r="A23" s="50" t="s">
        <v>194</v>
      </c>
      <c r="B23" s="51">
        <v>4.3099999999999996</v>
      </c>
      <c r="C23" s="51">
        <v>19.73</v>
      </c>
      <c r="D23" s="51">
        <v>31.3</v>
      </c>
      <c r="E23" s="51">
        <v>7.52</v>
      </c>
      <c r="F23" s="51">
        <v>17.97</v>
      </c>
      <c r="G23" s="51">
        <v>63.06</v>
      </c>
      <c r="H23" s="51">
        <v>5.1100000000000003</v>
      </c>
      <c r="I23" s="51">
        <v>4.13</v>
      </c>
      <c r="J23" s="51">
        <v>0.31</v>
      </c>
      <c r="K23" s="51">
        <v>305.52</v>
      </c>
      <c r="L23" s="51">
        <v>37.85</v>
      </c>
      <c r="M23" s="51">
        <v>27.62</v>
      </c>
      <c r="N23" s="51">
        <v>524.5</v>
      </c>
      <c r="O23" s="51">
        <v>0</v>
      </c>
      <c r="P23" s="51">
        <v>0.4</v>
      </c>
      <c r="Q23" s="51">
        <v>9.2799999999999994</v>
      </c>
      <c r="R23" s="43"/>
      <c r="S23" s="43"/>
      <c r="T23" s="43"/>
      <c r="U23" s="43"/>
    </row>
    <row r="24" spans="1:21" s="11" customFormat="1" x14ac:dyDescent="0.25">
      <c r="A24" s="50" t="s">
        <v>195</v>
      </c>
      <c r="B24" s="51">
        <v>4.92</v>
      </c>
      <c r="C24" s="51">
        <v>26.36</v>
      </c>
      <c r="D24" s="51">
        <v>43.98</v>
      </c>
      <c r="E24" s="51">
        <v>8.6300000000000008</v>
      </c>
      <c r="F24" s="51">
        <v>19.38</v>
      </c>
      <c r="G24" s="51">
        <v>59.06</v>
      </c>
      <c r="H24" s="51">
        <v>36.31</v>
      </c>
      <c r="I24" s="51">
        <v>4.05</v>
      </c>
      <c r="J24" s="51">
        <v>0.23</v>
      </c>
      <c r="K24" s="51">
        <v>289.58</v>
      </c>
      <c r="L24" s="51">
        <v>37.520000000000003</v>
      </c>
      <c r="M24" s="51">
        <v>29.48</v>
      </c>
      <c r="N24" s="51">
        <v>273.2</v>
      </c>
      <c r="O24" s="51">
        <v>0</v>
      </c>
      <c r="P24" s="51">
        <v>0.45</v>
      </c>
      <c r="Q24" s="51">
        <v>9.32</v>
      </c>
      <c r="R24" s="43"/>
      <c r="S24" s="43"/>
      <c r="T24" s="43"/>
      <c r="U24" s="43"/>
    </row>
    <row r="25" spans="1:21" s="11" customFormat="1" x14ac:dyDescent="0.25">
      <c r="A25" s="50" t="s">
        <v>196</v>
      </c>
      <c r="B25" s="51">
        <v>5.31</v>
      </c>
      <c r="C25" s="51">
        <v>23.74</v>
      </c>
      <c r="D25" s="51">
        <v>39</v>
      </c>
      <c r="E25" s="51">
        <v>8.1</v>
      </c>
      <c r="F25" s="51">
        <v>25.71</v>
      </c>
      <c r="G25" s="51">
        <v>57.14</v>
      </c>
      <c r="H25" s="51">
        <v>96.87</v>
      </c>
      <c r="I25" s="51">
        <v>4.09</v>
      </c>
      <c r="J25" s="51">
        <v>0.23</v>
      </c>
      <c r="K25" s="51">
        <v>292.39999999999998</v>
      </c>
      <c r="L25" s="51">
        <v>36.44</v>
      </c>
      <c r="M25" s="51">
        <v>28.45</v>
      </c>
      <c r="N25" s="51">
        <v>233.5</v>
      </c>
      <c r="O25" s="51">
        <v>0</v>
      </c>
      <c r="P25" s="51">
        <v>0.38</v>
      </c>
      <c r="Q25" s="51">
        <v>9.31</v>
      </c>
      <c r="R25" s="43"/>
      <c r="S25" s="43"/>
      <c r="T25" s="43"/>
      <c r="U25" s="43"/>
    </row>
    <row r="26" spans="1:21" s="11" customFormat="1" x14ac:dyDescent="0.25">
      <c r="A26" s="50" t="s">
        <v>197</v>
      </c>
      <c r="B26" s="51">
        <v>3.82</v>
      </c>
      <c r="C26" s="51">
        <v>26.56</v>
      </c>
      <c r="D26" s="51">
        <v>44.97</v>
      </c>
      <c r="E26" s="51">
        <v>14.85</v>
      </c>
      <c r="F26" s="51">
        <v>36.44</v>
      </c>
      <c r="G26" s="51">
        <v>42.79</v>
      </c>
      <c r="H26" s="51">
        <v>262.37</v>
      </c>
      <c r="I26" s="51">
        <v>4.2</v>
      </c>
      <c r="J26" s="51">
        <v>0.28000000000000003</v>
      </c>
      <c r="K26" s="51">
        <v>176.47</v>
      </c>
      <c r="L26" s="51">
        <v>35.79</v>
      </c>
      <c r="M26" s="51">
        <v>28.75</v>
      </c>
      <c r="N26" s="51">
        <v>151.30000000000001</v>
      </c>
      <c r="O26" s="51">
        <v>0</v>
      </c>
      <c r="P26" s="51">
        <v>0.45</v>
      </c>
      <c r="Q26" s="51">
        <v>9.23</v>
      </c>
      <c r="R26" s="43"/>
      <c r="S26" s="43"/>
      <c r="T26" s="43"/>
      <c r="U26" s="43"/>
    </row>
    <row r="27" spans="1:21" s="11" customFormat="1" x14ac:dyDescent="0.25">
      <c r="A27" s="50" t="s">
        <v>198</v>
      </c>
      <c r="B27" s="51">
        <v>24.93</v>
      </c>
      <c r="C27" s="51">
        <v>84.55</v>
      </c>
      <c r="D27" s="51">
        <v>123.58</v>
      </c>
      <c r="E27" s="51">
        <v>10.199999999999999</v>
      </c>
      <c r="F27" s="51">
        <v>25.41</v>
      </c>
      <c r="G27" s="51">
        <v>91.7</v>
      </c>
      <c r="H27" s="51">
        <v>562.22</v>
      </c>
      <c r="I27" s="51">
        <v>4.1500000000000004</v>
      </c>
      <c r="J27" s="51">
        <v>0.54</v>
      </c>
      <c r="K27" s="51">
        <v>241.77</v>
      </c>
      <c r="L27" s="51">
        <v>34.950000000000003</v>
      </c>
      <c r="M27" s="51">
        <v>36.340000000000003</v>
      </c>
      <c r="N27" s="51">
        <v>100.8</v>
      </c>
      <c r="O27" s="51">
        <v>0</v>
      </c>
      <c r="P27" s="51">
        <v>1.47</v>
      </c>
      <c r="Q27" s="51">
        <v>9.34</v>
      </c>
      <c r="R27" s="43"/>
      <c r="S27" s="43"/>
      <c r="T27" s="43"/>
      <c r="U27" s="43"/>
    </row>
    <row r="28" spans="1:21" s="11" customFormat="1" x14ac:dyDescent="0.25">
      <c r="A28" s="50" t="s">
        <v>199</v>
      </c>
      <c r="B28" s="51">
        <v>6.61</v>
      </c>
      <c r="C28" s="51">
        <v>27.05</v>
      </c>
      <c r="D28" s="51">
        <v>41.8</v>
      </c>
      <c r="E28" s="51">
        <v>6.7</v>
      </c>
      <c r="F28" s="51">
        <v>19.29</v>
      </c>
      <c r="G28" s="51">
        <v>81.819999999999993</v>
      </c>
      <c r="H28" s="51">
        <v>0</v>
      </c>
      <c r="I28" s="51">
        <v>4.05</v>
      </c>
      <c r="J28" s="51">
        <v>0.28999999999999998</v>
      </c>
      <c r="K28" s="51">
        <v>200.95</v>
      </c>
      <c r="L28" s="51">
        <v>32.409999999999997</v>
      </c>
      <c r="M28" s="51">
        <v>46.07</v>
      </c>
      <c r="N28" s="51">
        <v>80.099999999999994</v>
      </c>
      <c r="O28" s="51">
        <v>0</v>
      </c>
      <c r="P28" s="51">
        <v>0.4</v>
      </c>
      <c r="Q28" s="51">
        <v>9.4</v>
      </c>
      <c r="R28" s="43"/>
      <c r="S28" s="43"/>
      <c r="T28" s="43"/>
      <c r="U28" s="43"/>
    </row>
    <row r="29" spans="1:21" s="11" customFormat="1" x14ac:dyDescent="0.25">
      <c r="A29" s="50" t="s">
        <v>200</v>
      </c>
      <c r="B29" s="51">
        <v>6.62</v>
      </c>
      <c r="C29" s="51">
        <v>28.76</v>
      </c>
      <c r="D29" s="51">
        <v>46.13</v>
      </c>
      <c r="E29" s="51">
        <v>6.18</v>
      </c>
      <c r="F29" s="51">
        <v>17.25</v>
      </c>
      <c r="G29" s="51">
        <v>70.760000000000005</v>
      </c>
      <c r="H29" s="51">
        <v>0</v>
      </c>
      <c r="I29" s="51">
        <v>3.97</v>
      </c>
      <c r="J29" s="51">
        <v>0.27</v>
      </c>
      <c r="K29" s="51">
        <v>171.89</v>
      </c>
      <c r="L29" s="51">
        <v>29.54</v>
      </c>
      <c r="M29" s="51">
        <v>50.48</v>
      </c>
      <c r="N29" s="51">
        <v>79</v>
      </c>
      <c r="O29" s="51">
        <v>0</v>
      </c>
      <c r="P29" s="51">
        <v>0.39</v>
      </c>
      <c r="Q29" s="51">
        <v>9.39</v>
      </c>
      <c r="R29" s="43"/>
      <c r="S29" s="43"/>
      <c r="T29" s="43"/>
      <c r="U29" s="43"/>
    </row>
    <row r="30" spans="1:21" s="11" customFormat="1" x14ac:dyDescent="0.25">
      <c r="A30" s="50" t="s">
        <v>201</v>
      </c>
      <c r="B30" s="51">
        <v>5.78</v>
      </c>
      <c r="C30" s="51">
        <v>37.21</v>
      </c>
      <c r="D30" s="51">
        <v>62.35</v>
      </c>
      <c r="E30" s="51">
        <v>6.32</v>
      </c>
      <c r="F30" s="51">
        <v>13.99</v>
      </c>
      <c r="G30" s="51">
        <v>57.31</v>
      </c>
      <c r="H30" s="51">
        <v>0</v>
      </c>
      <c r="I30" s="51">
        <v>4.1100000000000003</v>
      </c>
      <c r="J30" s="51">
        <v>0.11</v>
      </c>
      <c r="K30" s="51">
        <v>258.39999999999998</v>
      </c>
      <c r="L30" s="51">
        <v>29.47</v>
      </c>
      <c r="M30" s="51">
        <v>50.3</v>
      </c>
      <c r="N30" s="51">
        <v>79.3</v>
      </c>
      <c r="O30" s="51">
        <v>0</v>
      </c>
      <c r="P30" s="51">
        <v>0.42</v>
      </c>
      <c r="Q30" s="51">
        <v>9.36</v>
      </c>
      <c r="R30" s="43"/>
      <c r="S30" s="43"/>
      <c r="T30" s="43"/>
      <c r="U30" s="43"/>
    </row>
    <row r="31" spans="1:21" s="11" customFormat="1" x14ac:dyDescent="0.25">
      <c r="A31" s="50" t="s">
        <v>202</v>
      </c>
      <c r="B31" s="51">
        <v>6.4</v>
      </c>
      <c r="C31" s="51">
        <v>32.1</v>
      </c>
      <c r="D31" s="51">
        <v>51.61</v>
      </c>
      <c r="E31" s="51">
        <v>6.31</v>
      </c>
      <c r="F31" s="51">
        <v>13.57</v>
      </c>
      <c r="G31" s="51">
        <v>54.74</v>
      </c>
      <c r="H31" s="51">
        <v>0</v>
      </c>
      <c r="I31" s="51">
        <v>4.13</v>
      </c>
      <c r="J31" s="51">
        <v>0.2</v>
      </c>
      <c r="K31" s="51">
        <v>281.02</v>
      </c>
      <c r="L31" s="51">
        <v>29.49</v>
      </c>
      <c r="M31" s="51">
        <v>51.19</v>
      </c>
      <c r="N31" s="51">
        <v>80.5</v>
      </c>
      <c r="O31" s="51">
        <v>0</v>
      </c>
      <c r="P31" s="51">
        <v>0.36</v>
      </c>
      <c r="Q31" s="51">
        <v>9.3800000000000008</v>
      </c>
      <c r="R31" s="43"/>
      <c r="S31" s="43"/>
      <c r="T31" s="43"/>
      <c r="U31" s="43"/>
    </row>
    <row r="32" spans="1:21" s="11" customFormat="1" x14ac:dyDescent="0.25">
      <c r="A32" s="50" t="s">
        <v>203</v>
      </c>
      <c r="B32" s="51">
        <v>6.52</v>
      </c>
      <c r="C32" s="51">
        <v>29.42</v>
      </c>
      <c r="D32" s="51">
        <v>48.05</v>
      </c>
      <c r="E32" s="51">
        <v>6.56</v>
      </c>
      <c r="F32" s="51">
        <v>16.190000000000001</v>
      </c>
      <c r="G32" s="51">
        <v>50.4</v>
      </c>
      <c r="H32" s="51">
        <v>202.65</v>
      </c>
      <c r="I32" s="51">
        <v>4.26</v>
      </c>
      <c r="J32" s="51">
        <v>0.96</v>
      </c>
      <c r="K32" s="51">
        <v>175.03</v>
      </c>
      <c r="L32" s="51">
        <v>28.78</v>
      </c>
      <c r="M32" s="51">
        <v>52.32</v>
      </c>
      <c r="N32" s="51">
        <v>80.8</v>
      </c>
      <c r="O32" s="51">
        <v>0</v>
      </c>
      <c r="P32" s="51">
        <v>0.31</v>
      </c>
      <c r="Q32" s="51">
        <v>9.4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3.82</v>
      </c>
      <c r="C34" s="28">
        <f t="shared" si="0"/>
        <v>19.73</v>
      </c>
      <c r="D34" s="28">
        <f t="shared" si="0"/>
        <v>31.3</v>
      </c>
      <c r="E34" s="28">
        <f t="shared" si="0"/>
        <v>5.6</v>
      </c>
      <c r="F34" s="28">
        <f t="shared" si="0"/>
        <v>5.1100000000000003</v>
      </c>
      <c r="G34" s="28">
        <f t="shared" si="0"/>
        <v>42.79</v>
      </c>
      <c r="H34" s="28">
        <f t="shared" si="0"/>
        <v>0</v>
      </c>
      <c r="I34" s="28">
        <f t="shared" si="0"/>
        <v>3.97</v>
      </c>
      <c r="J34" s="28">
        <f t="shared" si="0"/>
        <v>7.0000000000000007E-2</v>
      </c>
      <c r="K34" s="28">
        <f t="shared" si="0"/>
        <v>171.89</v>
      </c>
      <c r="L34" s="28">
        <f t="shared" si="0"/>
        <v>26.88</v>
      </c>
      <c r="M34" s="28">
        <f t="shared" si="0"/>
        <v>27.62</v>
      </c>
      <c r="N34" s="28">
        <f t="shared" si="0"/>
        <v>75.2</v>
      </c>
      <c r="O34" s="28">
        <f t="shared" si="0"/>
        <v>0</v>
      </c>
      <c r="P34" s="28">
        <f t="shared" si="0"/>
        <v>0.31</v>
      </c>
      <c r="Q34" s="28">
        <f t="shared" si="0"/>
        <v>9.23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33.340000000000003</v>
      </c>
      <c r="C35" s="29">
        <f t="shared" si="1"/>
        <v>84.55</v>
      </c>
      <c r="D35" s="29">
        <f t="shared" si="1"/>
        <v>123.58</v>
      </c>
      <c r="E35" s="29">
        <f t="shared" si="1"/>
        <v>15.5</v>
      </c>
      <c r="F35" s="29">
        <f t="shared" si="1"/>
        <v>36.44</v>
      </c>
      <c r="G35" s="29">
        <f t="shared" si="1"/>
        <v>91.7</v>
      </c>
      <c r="H35" s="29">
        <f t="shared" si="1"/>
        <v>562.22</v>
      </c>
      <c r="I35" s="29">
        <f t="shared" si="1"/>
        <v>4.26</v>
      </c>
      <c r="J35" s="29">
        <f t="shared" si="1"/>
        <v>0.96</v>
      </c>
      <c r="K35" s="29">
        <f t="shared" si="1"/>
        <v>359.82</v>
      </c>
      <c r="L35" s="29">
        <f t="shared" si="1"/>
        <v>39.520000000000003</v>
      </c>
      <c r="M35" s="29">
        <f t="shared" si="1"/>
        <v>76.44</v>
      </c>
      <c r="N35" s="29">
        <f t="shared" si="1"/>
        <v>918.2</v>
      </c>
      <c r="O35" s="29">
        <f t="shared" si="1"/>
        <v>0</v>
      </c>
      <c r="P35" s="29">
        <f t="shared" si="1"/>
        <v>1.47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12.172499999999998</v>
      </c>
      <c r="C36" s="28">
        <f t="shared" si="2"/>
        <v>34.112916666666656</v>
      </c>
      <c r="D36" s="28">
        <f t="shared" si="2"/>
        <v>47.845833333333324</v>
      </c>
      <c r="E36" s="28">
        <f t="shared" si="2"/>
        <v>7.9762499999999994</v>
      </c>
      <c r="F36" s="28">
        <f t="shared" si="2"/>
        <v>16.830833333333334</v>
      </c>
      <c r="G36" s="28">
        <f t="shared" si="2"/>
        <v>69.553749999999994</v>
      </c>
      <c r="H36" s="28">
        <f t="shared" si="2"/>
        <v>77.887916666666669</v>
      </c>
      <c r="I36" s="28">
        <f t="shared" si="2"/>
        <v>4.097500000000001</v>
      </c>
      <c r="J36" s="28">
        <f t="shared" si="2"/>
        <v>0.28125000000000006</v>
      </c>
      <c r="K36" s="28">
        <f t="shared" si="2"/>
        <v>283.28708333333333</v>
      </c>
      <c r="L36" s="28">
        <f t="shared" si="2"/>
        <v>32.776249999999997</v>
      </c>
      <c r="M36" s="28">
        <f t="shared" si="2"/>
        <v>49.400833333333338</v>
      </c>
      <c r="N36" s="28">
        <f t="shared" si="2"/>
        <v>319.32500000000005</v>
      </c>
      <c r="O36" s="28">
        <f t="shared" si="2"/>
        <v>0</v>
      </c>
      <c r="P36" s="28">
        <f t="shared" si="2"/>
        <v>0.66208333333333336</v>
      </c>
      <c r="Q36" s="28">
        <f t="shared" si="2"/>
        <v>9.4500000000000011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8.4598824382827793</v>
      </c>
      <c r="C37" s="28">
        <f t="shared" ref="C37:Q37" si="3">STDEV(C9:C32)</f>
        <v>13.789357105538262</v>
      </c>
      <c r="D37" s="28">
        <f t="shared" si="3"/>
        <v>17.89626094459685</v>
      </c>
      <c r="E37" s="28">
        <f t="shared" si="3"/>
        <v>2.8376165940420157</v>
      </c>
      <c r="F37" s="28">
        <f t="shared" si="3"/>
        <v>7.7381510636622952</v>
      </c>
      <c r="G37" s="28">
        <f t="shared" si="3"/>
        <v>13.093557928963827</v>
      </c>
      <c r="H37" s="28">
        <f t="shared" si="3"/>
        <v>121.65268709765401</v>
      </c>
      <c r="I37" s="28">
        <f t="shared" si="3"/>
        <v>6.7711022800542947E-2</v>
      </c>
      <c r="J37" s="28">
        <f t="shared" si="3"/>
        <v>0.21018237422482075</v>
      </c>
      <c r="K37" s="28">
        <f t="shared" si="3"/>
        <v>53.441161182318055</v>
      </c>
      <c r="L37" s="28">
        <f t="shared" si="3"/>
        <v>4.5209722045056795</v>
      </c>
      <c r="M37" s="28">
        <f t="shared" si="3"/>
        <v>17.228732552405543</v>
      </c>
      <c r="N37" s="28">
        <f t="shared" si="3"/>
        <v>308.08750486213148</v>
      </c>
      <c r="O37" s="28">
        <f t="shared" si="3"/>
        <v>0</v>
      </c>
      <c r="P37" s="28">
        <f t="shared" si="3"/>
        <v>0.29156219661120963</v>
      </c>
      <c r="Q37" s="28">
        <f t="shared" si="3"/>
        <v>0.14920076931845028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3" sqref="F13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204</v>
      </c>
      <c r="B9" s="51">
        <v>6.11</v>
      </c>
      <c r="C9" s="51">
        <v>19.760000000000002</v>
      </c>
      <c r="D9" s="51">
        <v>29.23</v>
      </c>
      <c r="E9" s="51">
        <v>6.64</v>
      </c>
      <c r="F9" s="51">
        <v>15.83</v>
      </c>
      <c r="G9" s="51">
        <v>41.68</v>
      </c>
      <c r="H9" s="51">
        <v>424.16</v>
      </c>
      <c r="I9" s="51">
        <v>4.2</v>
      </c>
      <c r="J9" s="51">
        <v>0.52</v>
      </c>
      <c r="K9" s="51">
        <v>152.43</v>
      </c>
      <c r="L9" s="51">
        <v>28.44</v>
      </c>
      <c r="M9" s="51">
        <v>56.53</v>
      </c>
      <c r="N9" s="51">
        <v>81.599999999999994</v>
      </c>
      <c r="O9" s="51">
        <v>0</v>
      </c>
      <c r="P9" s="51">
        <v>0.28999999999999998</v>
      </c>
      <c r="Q9" s="51">
        <v>9.4</v>
      </c>
      <c r="R9" s="43"/>
      <c r="S9" s="43"/>
      <c r="T9" s="43"/>
      <c r="U9" s="43"/>
    </row>
    <row r="10" spans="1:21" s="11" customFormat="1" x14ac:dyDescent="0.25">
      <c r="A10" s="50" t="s">
        <v>205</v>
      </c>
      <c r="B10" s="51">
        <v>6.5</v>
      </c>
      <c r="C10" s="51">
        <v>18.27</v>
      </c>
      <c r="D10" s="51">
        <v>25.38</v>
      </c>
      <c r="E10" s="51">
        <v>6.53</v>
      </c>
      <c r="F10" s="51">
        <v>10.58</v>
      </c>
      <c r="G10" s="51">
        <v>42</v>
      </c>
      <c r="H10" s="51">
        <v>0</v>
      </c>
      <c r="I10" s="51">
        <v>4.07</v>
      </c>
      <c r="J10" s="51">
        <v>0.19</v>
      </c>
      <c r="K10" s="51">
        <v>274.77999999999997</v>
      </c>
      <c r="L10" s="51">
        <v>27.8</v>
      </c>
      <c r="M10" s="51">
        <v>62.82</v>
      </c>
      <c r="N10" s="51">
        <v>82.5</v>
      </c>
      <c r="O10" s="51">
        <v>0</v>
      </c>
      <c r="P10" s="51">
        <v>0.35</v>
      </c>
      <c r="Q10" s="51">
        <v>9.34</v>
      </c>
      <c r="R10" s="43"/>
      <c r="S10" s="43"/>
      <c r="T10" s="43"/>
      <c r="U10" s="43"/>
    </row>
    <row r="11" spans="1:21" s="11" customFormat="1" x14ac:dyDescent="0.25">
      <c r="A11" s="50" t="s">
        <v>206</v>
      </c>
      <c r="B11" s="51">
        <v>6.54</v>
      </c>
      <c r="C11" s="51">
        <v>18.11</v>
      </c>
      <c r="D11" s="51">
        <v>25.01</v>
      </c>
      <c r="E11" s="51">
        <v>6.1</v>
      </c>
      <c r="F11" s="51">
        <v>9.42</v>
      </c>
      <c r="G11" s="51">
        <v>39.130000000000003</v>
      </c>
      <c r="H11" s="51">
        <v>915.08</v>
      </c>
      <c r="I11" s="51">
        <v>4.1500000000000004</v>
      </c>
      <c r="J11" s="51">
        <v>0.31</v>
      </c>
      <c r="K11" s="51">
        <v>225.35</v>
      </c>
      <c r="L11" s="51">
        <v>26.98</v>
      </c>
      <c r="M11" s="51">
        <v>66.86</v>
      </c>
      <c r="N11" s="51">
        <v>84.3</v>
      </c>
      <c r="O11" s="51">
        <v>0</v>
      </c>
      <c r="P11" s="51">
        <v>0.36</v>
      </c>
      <c r="Q11" s="51">
        <v>9.3000000000000007</v>
      </c>
      <c r="R11" s="43"/>
      <c r="S11" s="43"/>
      <c r="T11" s="43"/>
      <c r="U11" s="43"/>
    </row>
    <row r="12" spans="1:21" s="11" customFormat="1" x14ac:dyDescent="0.25">
      <c r="A12" s="50" t="s">
        <v>207</v>
      </c>
      <c r="B12" s="51">
        <v>6.06</v>
      </c>
      <c r="C12" s="51">
        <v>17.350000000000001</v>
      </c>
      <c r="D12" s="51">
        <v>24.38</v>
      </c>
      <c r="E12" s="51">
        <v>6.42</v>
      </c>
      <c r="F12" s="51">
        <v>15.64</v>
      </c>
      <c r="G12" s="51">
        <v>38.15</v>
      </c>
      <c r="H12" s="51">
        <v>1960.88</v>
      </c>
      <c r="I12" s="51">
        <v>3.98</v>
      </c>
      <c r="J12" s="51">
        <v>0.22</v>
      </c>
      <c r="K12" s="51">
        <v>206.14</v>
      </c>
      <c r="L12" s="51">
        <v>26.55</v>
      </c>
      <c r="M12" s="51">
        <v>66.75</v>
      </c>
      <c r="N12" s="51">
        <v>102</v>
      </c>
      <c r="O12" s="51">
        <v>0</v>
      </c>
      <c r="P12" s="51">
        <v>0.39</v>
      </c>
      <c r="Q12" s="51">
        <v>9.31</v>
      </c>
      <c r="R12" s="43"/>
      <c r="S12" s="43"/>
      <c r="T12" s="43"/>
      <c r="U12" s="43"/>
    </row>
    <row r="13" spans="1:21" s="11" customFormat="1" x14ac:dyDescent="0.25">
      <c r="A13" s="50" t="s">
        <v>208</v>
      </c>
      <c r="B13" s="51">
        <v>5.76</v>
      </c>
      <c r="C13" s="51">
        <v>20.3</v>
      </c>
      <c r="D13" s="51">
        <v>30.44</v>
      </c>
      <c r="E13" s="51">
        <v>6.55</v>
      </c>
      <c r="F13" s="51">
        <v>12.46</v>
      </c>
      <c r="G13" s="51">
        <v>39.4</v>
      </c>
      <c r="H13" s="51">
        <v>128.63</v>
      </c>
      <c r="I13" s="51">
        <v>4.1500000000000004</v>
      </c>
      <c r="J13" s="51">
        <v>0.22</v>
      </c>
      <c r="K13" s="51">
        <v>231.08</v>
      </c>
      <c r="L13" s="51">
        <v>26.35</v>
      </c>
      <c r="M13" s="51">
        <v>68.83</v>
      </c>
      <c r="N13" s="51">
        <v>108.7</v>
      </c>
      <c r="O13" s="51">
        <v>0</v>
      </c>
      <c r="P13" s="51">
        <v>0.36</v>
      </c>
      <c r="Q13" s="51">
        <v>9.35</v>
      </c>
      <c r="R13" s="43"/>
      <c r="S13" s="43"/>
      <c r="T13" s="43"/>
      <c r="U13" s="43"/>
    </row>
    <row r="14" spans="1:21" s="11" customFormat="1" x14ac:dyDescent="0.25">
      <c r="A14" s="50" t="s">
        <v>209</v>
      </c>
      <c r="B14" s="51">
        <v>8.84</v>
      </c>
      <c r="C14" s="51">
        <v>25.9</v>
      </c>
      <c r="D14" s="51">
        <v>38.6</v>
      </c>
      <c r="E14" s="51">
        <v>6.31</v>
      </c>
      <c r="F14" s="51">
        <v>9.15</v>
      </c>
      <c r="G14" s="51">
        <v>37.979999999999997</v>
      </c>
      <c r="H14" s="51">
        <v>275.64</v>
      </c>
      <c r="I14" s="51">
        <v>4.01</v>
      </c>
      <c r="J14" s="51">
        <v>0.27</v>
      </c>
      <c r="K14" s="51">
        <v>192.7</v>
      </c>
      <c r="L14" s="51">
        <v>26.08</v>
      </c>
      <c r="M14" s="51">
        <v>70.77</v>
      </c>
      <c r="N14" s="51">
        <v>173</v>
      </c>
      <c r="O14" s="51">
        <v>0</v>
      </c>
      <c r="P14" s="51">
        <v>0.38</v>
      </c>
      <c r="Q14" s="51">
        <v>9.39</v>
      </c>
      <c r="R14" s="43"/>
      <c r="S14" s="43"/>
      <c r="T14" s="43"/>
      <c r="U14" s="43"/>
    </row>
    <row r="15" spans="1:21" s="11" customFormat="1" x14ac:dyDescent="0.25">
      <c r="A15" s="50" t="s">
        <v>210</v>
      </c>
      <c r="B15" s="51">
        <v>11.03</v>
      </c>
      <c r="C15" s="51">
        <v>25.27</v>
      </c>
      <c r="D15" s="51">
        <v>31.43</v>
      </c>
      <c r="E15" s="51">
        <v>6.35</v>
      </c>
      <c r="F15" s="51">
        <v>6.83</v>
      </c>
      <c r="G15" s="51">
        <v>39.71</v>
      </c>
      <c r="H15" s="51">
        <v>18.899999999999999</v>
      </c>
      <c r="I15" s="51">
        <v>4.09</v>
      </c>
      <c r="J15" s="51">
        <v>0.39</v>
      </c>
      <c r="K15" s="51">
        <v>166.39</v>
      </c>
      <c r="L15" s="51">
        <v>28.53</v>
      </c>
      <c r="M15" s="51">
        <v>69.67</v>
      </c>
      <c r="N15" s="51">
        <v>323.2</v>
      </c>
      <c r="O15" s="51">
        <v>0</v>
      </c>
      <c r="P15" s="51">
        <v>0.4</v>
      </c>
      <c r="Q15" s="51">
        <v>9.4499999999999993</v>
      </c>
      <c r="R15" s="43"/>
      <c r="S15" s="43"/>
      <c r="T15" s="43"/>
      <c r="U15" s="43"/>
    </row>
    <row r="16" spans="1:21" s="11" customFormat="1" x14ac:dyDescent="0.25">
      <c r="A16" s="50" t="s">
        <v>211</v>
      </c>
      <c r="B16" s="51">
        <v>10.41</v>
      </c>
      <c r="C16" s="51">
        <v>25.59</v>
      </c>
      <c r="D16" s="51">
        <v>33</v>
      </c>
      <c r="E16" s="51">
        <v>5.95</v>
      </c>
      <c r="F16" s="51">
        <v>12.79</v>
      </c>
      <c r="G16" s="51">
        <v>43.94</v>
      </c>
      <c r="H16" s="51">
        <v>17.12</v>
      </c>
      <c r="I16" s="51">
        <v>4.17</v>
      </c>
      <c r="J16" s="51">
        <v>0.14000000000000001</v>
      </c>
      <c r="K16" s="51">
        <v>278.89</v>
      </c>
      <c r="L16" s="51">
        <v>30.77</v>
      </c>
      <c r="M16" s="51">
        <v>59</v>
      </c>
      <c r="N16" s="51">
        <v>499.9</v>
      </c>
      <c r="O16" s="51">
        <v>0</v>
      </c>
      <c r="P16" s="51">
        <v>0.56999999999999995</v>
      </c>
      <c r="Q16" s="51">
        <v>9.44</v>
      </c>
      <c r="R16" s="43"/>
      <c r="S16" s="43"/>
      <c r="T16" s="43"/>
      <c r="U16" s="43"/>
    </row>
    <row r="17" spans="1:21" s="11" customFormat="1" x14ac:dyDescent="0.25">
      <c r="A17" s="50" t="s">
        <v>212</v>
      </c>
      <c r="B17" s="51">
        <v>10.89</v>
      </c>
      <c r="C17" s="51">
        <v>27.95</v>
      </c>
      <c r="D17" s="51">
        <v>36.770000000000003</v>
      </c>
      <c r="E17" s="51">
        <v>6.16</v>
      </c>
      <c r="F17" s="51">
        <v>16.18</v>
      </c>
      <c r="G17" s="51">
        <v>47.39</v>
      </c>
      <c r="H17" s="51">
        <v>72.28</v>
      </c>
      <c r="I17" s="51">
        <v>4.1100000000000003</v>
      </c>
      <c r="J17" s="51">
        <v>0.23</v>
      </c>
      <c r="K17" s="51">
        <v>282.18</v>
      </c>
      <c r="L17" s="51">
        <v>33.42</v>
      </c>
      <c r="M17" s="51">
        <v>55.67</v>
      </c>
      <c r="N17" s="51">
        <v>664.8</v>
      </c>
      <c r="O17" s="51">
        <v>0</v>
      </c>
      <c r="P17" s="51">
        <v>0.65</v>
      </c>
      <c r="Q17" s="51">
        <v>9.41</v>
      </c>
      <c r="R17" s="43"/>
      <c r="S17" s="43"/>
      <c r="T17" s="43"/>
      <c r="U17" s="43"/>
    </row>
    <row r="18" spans="1:21" s="11" customFormat="1" x14ac:dyDescent="0.25">
      <c r="A18" s="50" t="s">
        <v>213</v>
      </c>
      <c r="B18" s="51">
        <v>6.34</v>
      </c>
      <c r="C18" s="51">
        <v>22.05</v>
      </c>
      <c r="D18" s="51">
        <v>33.380000000000003</v>
      </c>
      <c r="E18" s="51">
        <v>6.12</v>
      </c>
      <c r="F18" s="51">
        <v>13.35</v>
      </c>
      <c r="G18" s="51">
        <v>48.14</v>
      </c>
      <c r="H18" s="51">
        <v>154.88</v>
      </c>
      <c r="I18" s="51">
        <v>4.0999999999999996</v>
      </c>
      <c r="J18" s="51">
        <v>0.49</v>
      </c>
      <c r="K18" s="51">
        <v>294.95</v>
      </c>
      <c r="L18" s="51">
        <v>36.479999999999997</v>
      </c>
      <c r="M18" s="51">
        <v>43.75</v>
      </c>
      <c r="N18" s="51">
        <v>789.3</v>
      </c>
      <c r="O18" s="51">
        <v>0</v>
      </c>
      <c r="P18" s="51">
        <v>0.61</v>
      </c>
      <c r="Q18" s="51">
        <v>9.32</v>
      </c>
      <c r="R18" s="43"/>
      <c r="S18" s="43"/>
      <c r="T18" s="43"/>
      <c r="U18" s="43"/>
    </row>
    <row r="19" spans="1:21" s="11" customFormat="1" x14ac:dyDescent="0.25">
      <c r="A19" s="50" t="s">
        <v>214</v>
      </c>
      <c r="B19" s="51">
        <v>4.37</v>
      </c>
      <c r="C19" s="51">
        <v>22.75</v>
      </c>
      <c r="D19" s="51">
        <v>36.83</v>
      </c>
      <c r="E19" s="51">
        <v>6.31</v>
      </c>
      <c r="F19" s="51">
        <v>8.19</v>
      </c>
      <c r="G19" s="51">
        <v>51.29</v>
      </c>
      <c r="H19" s="51">
        <v>0</v>
      </c>
      <c r="I19" s="51">
        <v>3.98</v>
      </c>
      <c r="J19" s="51">
        <v>0.61</v>
      </c>
      <c r="K19" s="51">
        <v>302.82</v>
      </c>
      <c r="L19" s="51">
        <v>39.21</v>
      </c>
      <c r="M19" s="51">
        <v>36.04</v>
      </c>
      <c r="N19" s="51">
        <v>880.6</v>
      </c>
      <c r="O19" s="51">
        <v>0</v>
      </c>
      <c r="P19" s="51">
        <v>0.88</v>
      </c>
      <c r="Q19" s="51">
        <v>9.27</v>
      </c>
      <c r="R19" s="43"/>
      <c r="S19" s="43"/>
      <c r="T19" s="43"/>
      <c r="U19" s="43"/>
    </row>
    <row r="20" spans="1:21" s="11" customFormat="1" x14ac:dyDescent="0.25">
      <c r="A20" s="50" t="s">
        <v>215</v>
      </c>
      <c r="B20" s="51">
        <v>4.8</v>
      </c>
      <c r="C20" s="51">
        <v>23.4</v>
      </c>
      <c r="D20" s="51">
        <v>37.770000000000003</v>
      </c>
      <c r="E20" s="51">
        <v>6.55</v>
      </c>
      <c r="F20" s="51">
        <v>10.56</v>
      </c>
      <c r="G20" s="51">
        <v>60.35</v>
      </c>
      <c r="H20" s="51">
        <v>521.44000000000005</v>
      </c>
      <c r="I20" s="51">
        <v>4.1100000000000003</v>
      </c>
      <c r="J20" s="51">
        <v>0.76</v>
      </c>
      <c r="K20" s="51">
        <v>316.22000000000003</v>
      </c>
      <c r="L20" s="51">
        <v>40.35</v>
      </c>
      <c r="M20" s="51">
        <v>31.86</v>
      </c>
      <c r="N20" s="51">
        <v>908.8</v>
      </c>
      <c r="O20" s="51">
        <v>0</v>
      </c>
      <c r="P20" s="51">
        <v>0.92</v>
      </c>
      <c r="Q20" s="51">
        <v>9.2899999999999991</v>
      </c>
      <c r="R20" s="43"/>
      <c r="S20" s="43"/>
      <c r="T20" s="43"/>
      <c r="U20" s="43"/>
    </row>
    <row r="21" spans="1:21" s="11" customFormat="1" x14ac:dyDescent="0.25">
      <c r="A21" s="50" t="s">
        <v>216</v>
      </c>
      <c r="B21" s="51">
        <v>5.9</v>
      </c>
      <c r="C21" s="51">
        <v>22.89</v>
      </c>
      <c r="D21" s="51">
        <v>34.76</v>
      </c>
      <c r="E21" s="51">
        <v>8.3699999999999992</v>
      </c>
      <c r="F21" s="51">
        <v>18.489999999999998</v>
      </c>
      <c r="G21" s="51">
        <v>65.19</v>
      </c>
      <c r="H21" s="51">
        <v>1117.3800000000001</v>
      </c>
      <c r="I21" s="51">
        <v>4.05</v>
      </c>
      <c r="J21" s="51">
        <v>0.79</v>
      </c>
      <c r="K21" s="51">
        <v>325.69</v>
      </c>
      <c r="L21" s="51">
        <v>40.619999999999997</v>
      </c>
      <c r="M21" s="51">
        <v>26.97</v>
      </c>
      <c r="N21" s="51">
        <v>904.4</v>
      </c>
      <c r="O21" s="51">
        <v>0</v>
      </c>
      <c r="P21" s="51">
        <v>0.82</v>
      </c>
      <c r="Q21" s="51">
        <v>9.26</v>
      </c>
      <c r="R21" s="43"/>
      <c r="S21" s="43"/>
      <c r="T21" s="43"/>
      <c r="U21" s="43"/>
    </row>
    <row r="22" spans="1:21" s="11" customFormat="1" x14ac:dyDescent="0.25">
      <c r="A22" s="50" t="s">
        <v>217</v>
      </c>
      <c r="B22" s="51">
        <v>6.81</v>
      </c>
      <c r="C22" s="51">
        <v>22.74</v>
      </c>
      <c r="D22" s="51">
        <v>33.07</v>
      </c>
      <c r="E22" s="51">
        <v>6.96</v>
      </c>
      <c r="F22" s="51">
        <v>19.36</v>
      </c>
      <c r="G22" s="51">
        <v>58.25</v>
      </c>
      <c r="H22" s="51">
        <v>8.8699999999999992</v>
      </c>
      <c r="I22" s="51">
        <v>4.0199999999999996</v>
      </c>
      <c r="J22" s="51">
        <v>0.67</v>
      </c>
      <c r="K22" s="51">
        <v>328.44</v>
      </c>
      <c r="L22" s="51">
        <v>41.26</v>
      </c>
      <c r="M22" s="51">
        <v>22.26</v>
      </c>
      <c r="N22" s="51">
        <v>783.9</v>
      </c>
      <c r="O22" s="51">
        <v>0</v>
      </c>
      <c r="P22" s="51">
        <v>0.56000000000000005</v>
      </c>
      <c r="Q22" s="51">
        <v>9.2899999999999991</v>
      </c>
      <c r="R22" s="43"/>
      <c r="S22" s="43"/>
      <c r="T22" s="43"/>
      <c r="U22" s="43"/>
    </row>
    <row r="23" spans="1:21" s="11" customFormat="1" x14ac:dyDescent="0.25">
      <c r="A23" s="50" t="s">
        <v>218</v>
      </c>
      <c r="B23" s="51">
        <v>5.76</v>
      </c>
      <c r="C23" s="51">
        <v>20.49</v>
      </c>
      <c r="D23" s="51">
        <v>30.69</v>
      </c>
      <c r="E23" s="51">
        <v>6.35</v>
      </c>
      <c r="F23" s="51">
        <v>13.6</v>
      </c>
      <c r="G23" s="51">
        <v>54.87</v>
      </c>
      <c r="H23" s="51">
        <v>15.33</v>
      </c>
      <c r="I23" s="51">
        <v>4.1100000000000003</v>
      </c>
      <c r="J23" s="51">
        <v>0.48</v>
      </c>
      <c r="K23" s="51">
        <v>307.14</v>
      </c>
      <c r="L23" s="51">
        <v>39.770000000000003</v>
      </c>
      <c r="M23" s="51">
        <v>24.02</v>
      </c>
      <c r="N23" s="51">
        <v>476.8</v>
      </c>
      <c r="O23" s="51">
        <v>0</v>
      </c>
      <c r="P23" s="51">
        <v>0.55000000000000004</v>
      </c>
      <c r="Q23" s="51">
        <v>9.3000000000000007</v>
      </c>
      <c r="R23" s="43"/>
      <c r="S23" s="43"/>
      <c r="T23" s="43"/>
      <c r="U23" s="43"/>
    </row>
    <row r="24" spans="1:21" s="11" customFormat="1" x14ac:dyDescent="0.25">
      <c r="A24" s="50" t="s">
        <v>219</v>
      </c>
      <c r="B24" s="51">
        <v>5.63</v>
      </c>
      <c r="C24" s="51">
        <v>21.39</v>
      </c>
      <c r="D24" s="51">
        <v>33.96</v>
      </c>
      <c r="E24" s="51">
        <v>5.9</v>
      </c>
      <c r="F24" s="51">
        <v>11.13</v>
      </c>
      <c r="G24" s="51">
        <v>56.47</v>
      </c>
      <c r="H24" s="51">
        <v>32.28</v>
      </c>
      <c r="I24" s="51">
        <v>4.04</v>
      </c>
      <c r="J24" s="51">
        <v>0.49</v>
      </c>
      <c r="K24" s="51">
        <v>293.02999999999997</v>
      </c>
      <c r="L24" s="51">
        <v>38.090000000000003</v>
      </c>
      <c r="M24" s="51">
        <v>25.14</v>
      </c>
      <c r="N24" s="51">
        <v>478</v>
      </c>
      <c r="O24" s="51">
        <v>0</v>
      </c>
      <c r="P24" s="51">
        <v>0.48</v>
      </c>
      <c r="Q24" s="51">
        <v>9.24</v>
      </c>
      <c r="R24" s="43"/>
      <c r="S24" s="43"/>
      <c r="T24" s="43"/>
      <c r="U24" s="43"/>
    </row>
    <row r="25" spans="1:21" s="11" customFormat="1" x14ac:dyDescent="0.25">
      <c r="A25" s="50" t="s">
        <v>220</v>
      </c>
      <c r="B25" s="51">
        <v>14.92</v>
      </c>
      <c r="C25" s="51">
        <v>36.03</v>
      </c>
      <c r="D25" s="51">
        <v>56.27</v>
      </c>
      <c r="E25" s="51">
        <v>10.28</v>
      </c>
      <c r="F25" s="51">
        <v>26.65</v>
      </c>
      <c r="G25" s="51">
        <v>54.26</v>
      </c>
      <c r="H25" s="51">
        <v>78.28</v>
      </c>
      <c r="I25" s="51">
        <v>4.09</v>
      </c>
      <c r="J25" s="51">
        <v>0.19</v>
      </c>
      <c r="K25" s="51">
        <v>298.69</v>
      </c>
      <c r="L25" s="51">
        <v>37.07</v>
      </c>
      <c r="M25" s="51">
        <v>28.21</v>
      </c>
      <c r="N25" s="51">
        <v>176.6</v>
      </c>
      <c r="O25" s="51">
        <v>0</v>
      </c>
      <c r="P25" s="51">
        <v>0.51</v>
      </c>
      <c r="Q25" s="51">
        <v>9.31</v>
      </c>
      <c r="R25" s="43"/>
      <c r="S25" s="43"/>
      <c r="T25" s="43"/>
      <c r="U25" s="43"/>
    </row>
    <row r="26" spans="1:21" s="11" customFormat="1" x14ac:dyDescent="0.25">
      <c r="A26" s="50" t="s">
        <v>221</v>
      </c>
      <c r="B26" s="51">
        <v>10.98</v>
      </c>
      <c r="C26" s="51">
        <v>43.23</v>
      </c>
      <c r="D26" s="51">
        <v>65.88</v>
      </c>
      <c r="E26" s="51">
        <v>13.78</v>
      </c>
      <c r="F26" s="51">
        <v>26.63</v>
      </c>
      <c r="G26" s="51">
        <v>55.5</v>
      </c>
      <c r="H26" s="51">
        <v>163.84</v>
      </c>
      <c r="I26" s="51">
        <v>4.17</v>
      </c>
      <c r="J26" s="51">
        <v>0.09</v>
      </c>
      <c r="K26" s="51">
        <v>306.16000000000003</v>
      </c>
      <c r="L26" s="51">
        <v>35.72</v>
      </c>
      <c r="M26" s="51">
        <v>29.69</v>
      </c>
      <c r="N26" s="51">
        <v>127.3</v>
      </c>
      <c r="O26" s="51">
        <v>0</v>
      </c>
      <c r="P26" s="51">
        <v>0.75</v>
      </c>
      <c r="Q26" s="51">
        <v>9.4</v>
      </c>
      <c r="R26" s="43"/>
      <c r="S26" s="43"/>
      <c r="T26" s="43"/>
      <c r="U26" s="43"/>
    </row>
    <row r="27" spans="1:21" s="11" customFormat="1" x14ac:dyDescent="0.25">
      <c r="A27" s="50" t="s">
        <v>222</v>
      </c>
      <c r="B27" s="51">
        <v>10.41</v>
      </c>
      <c r="C27" s="51">
        <v>35.450000000000003</v>
      </c>
      <c r="D27" s="51">
        <v>60.58</v>
      </c>
      <c r="E27" s="51">
        <v>10.5</v>
      </c>
      <c r="F27" s="51">
        <v>21.61</v>
      </c>
      <c r="G27" s="51">
        <v>60.11</v>
      </c>
      <c r="H27" s="51">
        <v>26.54</v>
      </c>
      <c r="I27" s="51">
        <v>4.17</v>
      </c>
      <c r="J27" s="51">
        <v>0.33</v>
      </c>
      <c r="K27" s="51">
        <v>347.24</v>
      </c>
      <c r="L27" s="51">
        <v>35.130000000000003</v>
      </c>
      <c r="M27" s="51">
        <v>30.19</v>
      </c>
      <c r="N27" s="51">
        <v>111.6</v>
      </c>
      <c r="O27" s="51">
        <v>0</v>
      </c>
      <c r="P27" s="51">
        <v>0.72</v>
      </c>
      <c r="Q27" s="51">
        <v>9.42</v>
      </c>
      <c r="R27" s="43"/>
      <c r="S27" s="43"/>
      <c r="T27" s="43"/>
      <c r="U27" s="43"/>
    </row>
    <row r="28" spans="1:21" s="11" customFormat="1" x14ac:dyDescent="0.25">
      <c r="A28" s="50" t="s">
        <v>223</v>
      </c>
      <c r="B28" s="51">
        <v>17.649999999999999</v>
      </c>
      <c r="C28" s="51">
        <v>43.34</v>
      </c>
      <c r="D28" s="51">
        <v>55.86</v>
      </c>
      <c r="E28" s="51">
        <v>6.94</v>
      </c>
      <c r="F28" s="51">
        <v>12.03</v>
      </c>
      <c r="G28" s="51">
        <v>62.92</v>
      </c>
      <c r="H28" s="51">
        <v>23.86</v>
      </c>
      <c r="I28" s="51">
        <v>4.1100000000000003</v>
      </c>
      <c r="J28" s="51">
        <v>0.25</v>
      </c>
      <c r="K28" s="51">
        <v>305.18</v>
      </c>
      <c r="L28" s="51">
        <v>34.18</v>
      </c>
      <c r="M28" s="51">
        <v>32.79</v>
      </c>
      <c r="N28" s="51">
        <v>94</v>
      </c>
      <c r="O28" s="51">
        <v>0</v>
      </c>
      <c r="P28" s="51">
        <v>0.8</v>
      </c>
      <c r="Q28" s="51">
        <v>9.49</v>
      </c>
      <c r="R28" s="43"/>
      <c r="S28" s="43"/>
      <c r="T28" s="43"/>
      <c r="U28" s="43"/>
    </row>
    <row r="29" spans="1:21" s="11" customFormat="1" x14ac:dyDescent="0.25">
      <c r="A29" s="50" t="s">
        <v>224</v>
      </c>
      <c r="B29" s="51">
        <v>27.38</v>
      </c>
      <c r="C29" s="51">
        <v>56.03</v>
      </c>
      <c r="D29" s="51">
        <v>65.23</v>
      </c>
      <c r="E29" s="51">
        <v>9.93</v>
      </c>
      <c r="F29" s="51">
        <v>10.41</v>
      </c>
      <c r="G29" s="51">
        <v>62.1</v>
      </c>
      <c r="H29" s="51">
        <v>17.02</v>
      </c>
      <c r="I29" s="51">
        <v>4.08</v>
      </c>
      <c r="J29" s="51">
        <v>0.19</v>
      </c>
      <c r="K29" s="51">
        <v>312.57</v>
      </c>
      <c r="L29" s="51">
        <v>32.869999999999997</v>
      </c>
      <c r="M29" s="51">
        <v>35.03</v>
      </c>
      <c r="N29" s="51">
        <v>100.2</v>
      </c>
      <c r="O29" s="51">
        <v>0</v>
      </c>
      <c r="P29" s="51">
        <v>0.93</v>
      </c>
      <c r="Q29" s="51">
        <v>9.5399999999999991</v>
      </c>
      <c r="R29" s="43"/>
      <c r="S29" s="43"/>
      <c r="T29" s="43"/>
      <c r="U29" s="43"/>
    </row>
    <row r="30" spans="1:21" s="11" customFormat="1" x14ac:dyDescent="0.25">
      <c r="A30" s="50" t="s">
        <v>225</v>
      </c>
      <c r="B30" s="51">
        <v>24.61</v>
      </c>
      <c r="C30" s="51">
        <v>50.66</v>
      </c>
      <c r="D30" s="51">
        <v>60.31</v>
      </c>
      <c r="E30" s="51">
        <v>11.8</v>
      </c>
      <c r="F30" s="51">
        <v>11.24</v>
      </c>
      <c r="G30" s="51">
        <v>64.53</v>
      </c>
      <c r="H30" s="51">
        <v>17.850000000000001</v>
      </c>
      <c r="I30" s="51">
        <v>4.17</v>
      </c>
      <c r="J30" s="51">
        <v>0.18</v>
      </c>
      <c r="K30" s="51">
        <v>327.3</v>
      </c>
      <c r="L30" s="51">
        <v>32.03</v>
      </c>
      <c r="M30" s="51">
        <v>37.020000000000003</v>
      </c>
      <c r="N30" s="51">
        <v>98.4</v>
      </c>
      <c r="O30" s="51">
        <v>0</v>
      </c>
      <c r="P30" s="51">
        <v>0.97</v>
      </c>
      <c r="Q30" s="51">
        <v>9.57</v>
      </c>
      <c r="R30" s="43"/>
      <c r="S30" s="43"/>
      <c r="T30" s="43"/>
      <c r="U30" s="43"/>
    </row>
    <row r="31" spans="1:21" s="11" customFormat="1" x14ac:dyDescent="0.25">
      <c r="A31" s="50" t="s">
        <v>226</v>
      </c>
      <c r="B31" s="51">
        <v>27.38</v>
      </c>
      <c r="C31" s="51">
        <v>56.85</v>
      </c>
      <c r="D31" s="51">
        <v>67.790000000000006</v>
      </c>
      <c r="E31" s="51">
        <v>15.01</v>
      </c>
      <c r="F31" s="51">
        <v>10.67</v>
      </c>
      <c r="G31" s="51">
        <v>67.930000000000007</v>
      </c>
      <c r="H31" s="51">
        <v>16.62</v>
      </c>
      <c r="I31" s="51">
        <v>4.2</v>
      </c>
      <c r="J31" s="51">
        <v>0.12</v>
      </c>
      <c r="K31" s="51">
        <v>305.18</v>
      </c>
      <c r="L31" s="51">
        <v>31.63</v>
      </c>
      <c r="M31" s="51">
        <v>39.18</v>
      </c>
      <c r="N31" s="51">
        <v>96.8</v>
      </c>
      <c r="O31" s="51">
        <v>0</v>
      </c>
      <c r="P31" s="51">
        <v>1.72</v>
      </c>
      <c r="Q31" s="51">
        <v>9.59</v>
      </c>
      <c r="R31" s="43"/>
      <c r="S31" s="43"/>
      <c r="T31" s="43"/>
      <c r="U31" s="43"/>
    </row>
    <row r="32" spans="1:21" s="11" customFormat="1" x14ac:dyDescent="0.25">
      <c r="A32" s="50" t="s">
        <v>227</v>
      </c>
      <c r="B32" s="51">
        <v>14.49</v>
      </c>
      <c r="C32" s="51">
        <v>31.73</v>
      </c>
      <c r="D32" s="51">
        <v>41.8</v>
      </c>
      <c r="E32" s="51">
        <v>7.85</v>
      </c>
      <c r="F32" s="51">
        <v>8.85</v>
      </c>
      <c r="G32" s="51">
        <v>70.86</v>
      </c>
      <c r="H32" s="51">
        <v>16.75</v>
      </c>
      <c r="I32" s="51">
        <v>4.21</v>
      </c>
      <c r="J32" s="51">
        <v>0.98</v>
      </c>
      <c r="K32" s="51">
        <v>155.11000000000001</v>
      </c>
      <c r="L32" s="51">
        <v>30.84</v>
      </c>
      <c r="M32" s="51">
        <v>41.07</v>
      </c>
      <c r="N32" s="51">
        <v>97.3</v>
      </c>
      <c r="O32" s="51">
        <v>0</v>
      </c>
      <c r="P32" s="51">
        <v>0.81</v>
      </c>
      <c r="Q32" s="51">
        <v>9.58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4.37</v>
      </c>
      <c r="C34" s="28">
        <f t="shared" si="0"/>
        <v>17.350000000000001</v>
      </c>
      <c r="D34" s="28">
        <f t="shared" si="0"/>
        <v>24.38</v>
      </c>
      <c r="E34" s="28">
        <f t="shared" si="0"/>
        <v>5.9</v>
      </c>
      <c r="F34" s="28">
        <f t="shared" si="0"/>
        <v>6.83</v>
      </c>
      <c r="G34" s="28">
        <f t="shared" si="0"/>
        <v>37.979999999999997</v>
      </c>
      <c r="H34" s="28">
        <f t="shared" si="0"/>
        <v>0</v>
      </c>
      <c r="I34" s="28">
        <f t="shared" si="0"/>
        <v>3.98</v>
      </c>
      <c r="J34" s="28">
        <f t="shared" si="0"/>
        <v>0.09</v>
      </c>
      <c r="K34" s="28">
        <f t="shared" si="0"/>
        <v>152.43</v>
      </c>
      <c r="L34" s="28">
        <f t="shared" si="0"/>
        <v>26.08</v>
      </c>
      <c r="M34" s="28">
        <f t="shared" si="0"/>
        <v>22.26</v>
      </c>
      <c r="N34" s="28">
        <f t="shared" si="0"/>
        <v>81.599999999999994</v>
      </c>
      <c r="O34" s="28">
        <f t="shared" si="0"/>
        <v>0</v>
      </c>
      <c r="P34" s="28">
        <f t="shared" si="0"/>
        <v>0.28999999999999998</v>
      </c>
      <c r="Q34" s="28">
        <f t="shared" si="0"/>
        <v>9.24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27.38</v>
      </c>
      <c r="C35" s="29">
        <f t="shared" si="1"/>
        <v>56.85</v>
      </c>
      <c r="D35" s="29">
        <f t="shared" si="1"/>
        <v>67.790000000000006</v>
      </c>
      <c r="E35" s="29">
        <f t="shared" si="1"/>
        <v>15.01</v>
      </c>
      <c r="F35" s="29">
        <f t="shared" si="1"/>
        <v>26.65</v>
      </c>
      <c r="G35" s="29">
        <f t="shared" si="1"/>
        <v>70.86</v>
      </c>
      <c r="H35" s="29">
        <f t="shared" si="1"/>
        <v>1960.88</v>
      </c>
      <c r="I35" s="29">
        <f t="shared" si="1"/>
        <v>4.21</v>
      </c>
      <c r="J35" s="29">
        <f t="shared" si="1"/>
        <v>0.98</v>
      </c>
      <c r="K35" s="29">
        <f t="shared" si="1"/>
        <v>347.24</v>
      </c>
      <c r="L35" s="29">
        <f t="shared" si="1"/>
        <v>41.26</v>
      </c>
      <c r="M35" s="29">
        <f t="shared" si="1"/>
        <v>70.77</v>
      </c>
      <c r="N35" s="29">
        <f t="shared" si="1"/>
        <v>908.8</v>
      </c>
      <c r="O35" s="29">
        <f t="shared" si="1"/>
        <v>0</v>
      </c>
      <c r="P35" s="29">
        <f t="shared" si="1"/>
        <v>1.72</v>
      </c>
      <c r="Q35" s="29">
        <f t="shared" si="1"/>
        <v>9.59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10.815416666666666</v>
      </c>
      <c r="C36" s="28">
        <f t="shared" si="2"/>
        <v>29.480416666666667</v>
      </c>
      <c r="D36" s="28">
        <f t="shared" si="2"/>
        <v>41.184166666666663</v>
      </c>
      <c r="E36" s="28">
        <f t="shared" si="2"/>
        <v>7.9024999999999999</v>
      </c>
      <c r="F36" s="28">
        <f t="shared" si="2"/>
        <v>13.818750000000001</v>
      </c>
      <c r="G36" s="28">
        <f t="shared" si="2"/>
        <v>52.58958333333333</v>
      </c>
      <c r="H36" s="28">
        <f t="shared" si="2"/>
        <v>250.98458333333335</v>
      </c>
      <c r="I36" s="28">
        <f t="shared" si="2"/>
        <v>4.105833333333333</v>
      </c>
      <c r="J36" s="28">
        <f t="shared" si="2"/>
        <v>0.37958333333333338</v>
      </c>
      <c r="K36" s="28">
        <f t="shared" si="2"/>
        <v>272.31916666666666</v>
      </c>
      <c r="L36" s="28">
        <f t="shared" si="2"/>
        <v>33.34041666666667</v>
      </c>
      <c r="M36" s="28">
        <f t="shared" si="2"/>
        <v>44.17166666666666</v>
      </c>
      <c r="N36" s="28">
        <f t="shared" si="2"/>
        <v>343.5</v>
      </c>
      <c r="O36" s="28">
        <f t="shared" si="2"/>
        <v>0</v>
      </c>
      <c r="P36" s="28">
        <f t="shared" si="2"/>
        <v>0.65750000000000008</v>
      </c>
      <c r="Q36" s="28">
        <f t="shared" si="2"/>
        <v>9.3858333333333359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6.9721663897720241</v>
      </c>
      <c r="C37" s="28">
        <f t="shared" ref="C37:Q37" si="3">STDEV(C9:C32)</f>
        <v>12.102479257022789</v>
      </c>
      <c r="D37" s="28">
        <f t="shared" si="3"/>
        <v>14.268575967661526</v>
      </c>
      <c r="E37" s="28">
        <f t="shared" si="3"/>
        <v>2.5985769517012667</v>
      </c>
      <c r="F37" s="28">
        <f t="shared" si="3"/>
        <v>5.3738119516135203</v>
      </c>
      <c r="G37" s="28">
        <f t="shared" si="3"/>
        <v>10.520029541687215</v>
      </c>
      <c r="H37" s="28">
        <f t="shared" si="3"/>
        <v>467.6529887592626</v>
      </c>
      <c r="I37" s="28">
        <f t="shared" si="3"/>
        <v>6.8265254174698864E-2</v>
      </c>
      <c r="J37" s="28">
        <f t="shared" si="3"/>
        <v>0.24056959883588358</v>
      </c>
      <c r="K37" s="28">
        <f t="shared" si="3"/>
        <v>58.744149822818876</v>
      </c>
      <c r="L37" s="28">
        <f t="shared" si="3"/>
        <v>5.0228057975308795</v>
      </c>
      <c r="M37" s="28">
        <f t="shared" si="3"/>
        <v>16.893218260248855</v>
      </c>
      <c r="N37" s="28">
        <f t="shared" si="3"/>
        <v>313.26443337441174</v>
      </c>
      <c r="O37" s="28">
        <f t="shared" si="3"/>
        <v>0</v>
      </c>
      <c r="P37" s="28">
        <f t="shared" si="3"/>
        <v>0.30980007578520963</v>
      </c>
      <c r="Q37" s="28">
        <f t="shared" si="3"/>
        <v>0.10631849880620863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L30" sqref="L30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228</v>
      </c>
      <c r="B9" s="51">
        <v>11.11</v>
      </c>
      <c r="C9" s="51">
        <v>24.34</v>
      </c>
      <c r="D9" s="51">
        <v>30.47</v>
      </c>
      <c r="E9" s="51">
        <v>4.8899999999999997</v>
      </c>
      <c r="F9" s="51">
        <v>13.62</v>
      </c>
      <c r="G9" s="51">
        <v>67.2</v>
      </c>
      <c r="H9" s="51">
        <v>19.75</v>
      </c>
      <c r="I9" s="51">
        <v>3.94</v>
      </c>
      <c r="J9" s="51">
        <v>0.68</v>
      </c>
      <c r="K9" s="51">
        <v>224.64</v>
      </c>
      <c r="L9" s="51">
        <v>30.16</v>
      </c>
      <c r="M9" s="51">
        <v>49.48</v>
      </c>
      <c r="N9" s="51">
        <v>99.7</v>
      </c>
      <c r="O9" s="51">
        <v>0</v>
      </c>
      <c r="P9" s="51">
        <v>0.64</v>
      </c>
      <c r="Q9" s="51">
        <v>9.58</v>
      </c>
      <c r="R9" s="43"/>
      <c r="S9" s="43"/>
      <c r="T9" s="43"/>
      <c r="U9" s="43"/>
    </row>
    <row r="10" spans="1:21" s="11" customFormat="1" x14ac:dyDescent="0.25">
      <c r="A10" s="50" t="s">
        <v>229</v>
      </c>
      <c r="B10" s="51">
        <v>8.11</v>
      </c>
      <c r="C10" s="51">
        <v>22.39</v>
      </c>
      <c r="D10" s="51">
        <v>30.4</v>
      </c>
      <c r="E10" s="51">
        <v>5.0999999999999996</v>
      </c>
      <c r="F10" s="51">
        <v>17.53</v>
      </c>
      <c r="G10" s="51">
        <v>59.05</v>
      </c>
      <c r="H10" s="51">
        <v>25.69</v>
      </c>
      <c r="I10" s="51">
        <v>4.0999999999999996</v>
      </c>
      <c r="J10" s="51">
        <v>0.11</v>
      </c>
      <c r="K10" s="51">
        <v>247.55</v>
      </c>
      <c r="L10" s="51">
        <v>28.96</v>
      </c>
      <c r="M10" s="51">
        <v>56.42</v>
      </c>
      <c r="N10" s="51">
        <v>99.4</v>
      </c>
      <c r="O10" s="51">
        <v>0</v>
      </c>
      <c r="P10" s="51">
        <v>0.44</v>
      </c>
      <c r="Q10" s="51">
        <v>9.56</v>
      </c>
      <c r="R10" s="43"/>
      <c r="S10" s="43"/>
      <c r="T10" s="43"/>
      <c r="U10" s="43"/>
    </row>
    <row r="11" spans="1:21" s="11" customFormat="1" x14ac:dyDescent="0.25">
      <c r="A11" s="50" t="s">
        <v>230</v>
      </c>
      <c r="B11" s="51">
        <v>6.41</v>
      </c>
      <c r="C11" s="51">
        <v>18.73</v>
      </c>
      <c r="D11" s="51">
        <v>26.09</v>
      </c>
      <c r="E11" s="51">
        <v>5.44</v>
      </c>
      <c r="F11" s="51">
        <v>17.59</v>
      </c>
      <c r="G11" s="51">
        <v>52.68</v>
      </c>
      <c r="H11" s="51">
        <v>14.91</v>
      </c>
      <c r="I11" s="51">
        <v>4.1100000000000003</v>
      </c>
      <c r="J11" s="51">
        <v>0.08</v>
      </c>
      <c r="K11" s="51">
        <v>296.89999999999998</v>
      </c>
      <c r="L11" s="51">
        <v>28.41</v>
      </c>
      <c r="M11" s="51">
        <v>57.88</v>
      </c>
      <c r="N11" s="51">
        <v>99</v>
      </c>
      <c r="O11" s="51">
        <v>0</v>
      </c>
      <c r="P11" s="51">
        <v>0.42</v>
      </c>
      <c r="Q11" s="51">
        <v>9.51</v>
      </c>
      <c r="R11" s="43"/>
      <c r="S11" s="43"/>
      <c r="T11" s="43"/>
      <c r="U11" s="43"/>
    </row>
    <row r="12" spans="1:21" s="11" customFormat="1" x14ac:dyDescent="0.25">
      <c r="A12" s="50" t="s">
        <v>231</v>
      </c>
      <c r="B12" s="51">
        <v>6.64</v>
      </c>
      <c r="C12" s="51">
        <v>18.96</v>
      </c>
      <c r="D12" s="51">
        <v>26.6</v>
      </c>
      <c r="E12" s="51">
        <v>5.33</v>
      </c>
      <c r="F12" s="51">
        <v>17.93</v>
      </c>
      <c r="G12" s="51">
        <v>49.29</v>
      </c>
      <c r="H12" s="51">
        <v>16.78</v>
      </c>
      <c r="I12" s="51">
        <v>4.12</v>
      </c>
      <c r="J12" s="51">
        <v>0.09</v>
      </c>
      <c r="K12" s="51">
        <v>227.93</v>
      </c>
      <c r="L12" s="51">
        <v>28.12</v>
      </c>
      <c r="M12" s="51">
        <v>63.73</v>
      </c>
      <c r="N12" s="51">
        <v>99</v>
      </c>
      <c r="O12" s="51">
        <v>0</v>
      </c>
      <c r="P12" s="51">
        <v>0.46</v>
      </c>
      <c r="Q12" s="51">
        <v>9.4700000000000006</v>
      </c>
      <c r="R12" s="43"/>
      <c r="S12" s="43"/>
      <c r="T12" s="43"/>
      <c r="U12" s="43"/>
    </row>
    <row r="13" spans="1:21" s="11" customFormat="1" x14ac:dyDescent="0.25">
      <c r="A13" s="50" t="s">
        <v>232</v>
      </c>
      <c r="B13" s="51">
        <v>10.19</v>
      </c>
      <c r="C13" s="51">
        <v>33.29</v>
      </c>
      <c r="D13" s="51">
        <v>48.14</v>
      </c>
      <c r="E13" s="51">
        <v>4.79</v>
      </c>
      <c r="F13" s="51">
        <v>14.01</v>
      </c>
      <c r="G13" s="51">
        <v>48.48</v>
      </c>
      <c r="H13" s="51">
        <v>16.47</v>
      </c>
      <c r="I13" s="51">
        <v>4.0999999999999996</v>
      </c>
      <c r="J13" s="51">
        <v>0.09</v>
      </c>
      <c r="K13" s="51">
        <v>346.44</v>
      </c>
      <c r="L13" s="51">
        <v>27.4</v>
      </c>
      <c r="M13" s="51">
        <v>71.900000000000006</v>
      </c>
      <c r="N13" s="51">
        <v>97.8</v>
      </c>
      <c r="O13" s="51">
        <v>0</v>
      </c>
      <c r="P13" s="51">
        <v>0.51</v>
      </c>
      <c r="Q13" s="51">
        <v>9.39</v>
      </c>
      <c r="R13" s="43"/>
      <c r="S13" s="43"/>
      <c r="T13" s="43"/>
      <c r="U13" s="43"/>
    </row>
    <row r="14" spans="1:21" s="11" customFormat="1" x14ac:dyDescent="0.25">
      <c r="A14" s="50" t="s">
        <v>233</v>
      </c>
      <c r="B14" s="51">
        <v>14.33</v>
      </c>
      <c r="C14" s="51">
        <v>34.57</v>
      </c>
      <c r="D14" s="51">
        <v>44.18</v>
      </c>
      <c r="E14" s="51">
        <v>4.72</v>
      </c>
      <c r="F14" s="51">
        <v>13.82</v>
      </c>
      <c r="G14" s="51">
        <v>50.68</v>
      </c>
      <c r="H14" s="51">
        <v>20.22</v>
      </c>
      <c r="I14" s="51">
        <v>4.0599999999999996</v>
      </c>
      <c r="J14" s="51">
        <v>0.09</v>
      </c>
      <c r="K14" s="51">
        <v>327.57</v>
      </c>
      <c r="L14" s="51">
        <v>27.57</v>
      </c>
      <c r="M14" s="51">
        <v>71.930000000000007</v>
      </c>
      <c r="N14" s="51">
        <v>135.1</v>
      </c>
      <c r="O14" s="51">
        <v>0</v>
      </c>
      <c r="P14" s="51">
        <v>0.46</v>
      </c>
      <c r="Q14" s="51">
        <v>9.4700000000000006</v>
      </c>
      <c r="R14" s="43"/>
      <c r="S14" s="43"/>
      <c r="T14" s="43"/>
      <c r="U14" s="43"/>
    </row>
    <row r="15" spans="1:21" s="11" customFormat="1" x14ac:dyDescent="0.25">
      <c r="A15" s="50" t="s">
        <v>234</v>
      </c>
      <c r="B15" s="51">
        <v>9.23</v>
      </c>
      <c r="C15" s="51">
        <v>25.63</v>
      </c>
      <c r="D15" s="51">
        <v>38.92</v>
      </c>
      <c r="E15" s="51">
        <v>4.96</v>
      </c>
      <c r="F15" s="51">
        <v>14.92</v>
      </c>
      <c r="G15" s="51">
        <v>51.86</v>
      </c>
      <c r="H15" s="51">
        <v>14.8</v>
      </c>
      <c r="I15" s="51">
        <v>4.0599999999999996</v>
      </c>
      <c r="J15" s="51">
        <v>0.97</v>
      </c>
      <c r="K15" s="51">
        <v>217.46</v>
      </c>
      <c r="L15" s="51">
        <v>29.2</v>
      </c>
      <c r="M15" s="51">
        <v>65.75</v>
      </c>
      <c r="N15" s="51">
        <v>315.7</v>
      </c>
      <c r="O15" s="51">
        <v>0</v>
      </c>
      <c r="P15" s="51">
        <v>0.41</v>
      </c>
      <c r="Q15" s="51">
        <v>9.51</v>
      </c>
      <c r="R15" s="43"/>
      <c r="S15" s="43"/>
      <c r="T15" s="43"/>
      <c r="U15" s="43"/>
    </row>
    <row r="16" spans="1:21" s="11" customFormat="1" x14ac:dyDescent="0.25">
      <c r="A16" s="50" t="s">
        <v>235</v>
      </c>
      <c r="B16" s="51">
        <v>10.54</v>
      </c>
      <c r="C16" s="51">
        <v>24.35</v>
      </c>
      <c r="D16" s="51">
        <v>33.799999999999997</v>
      </c>
      <c r="E16" s="51">
        <v>5.62</v>
      </c>
      <c r="F16" s="51">
        <v>14.83</v>
      </c>
      <c r="G16" s="51">
        <v>47.96</v>
      </c>
      <c r="H16" s="51">
        <v>18</v>
      </c>
      <c r="I16" s="51">
        <v>4.12</v>
      </c>
      <c r="J16" s="51">
        <v>0.43</v>
      </c>
      <c r="K16" s="51">
        <v>280.23</v>
      </c>
      <c r="L16" s="51">
        <v>31.34</v>
      </c>
      <c r="M16" s="51">
        <v>61.97</v>
      </c>
      <c r="N16" s="51">
        <v>516.4</v>
      </c>
      <c r="O16" s="51">
        <v>0</v>
      </c>
      <c r="P16" s="51">
        <v>0.51</v>
      </c>
      <c r="Q16" s="51">
        <v>9.51</v>
      </c>
      <c r="R16" s="43"/>
      <c r="S16" s="43"/>
      <c r="T16" s="43"/>
      <c r="U16" s="43"/>
    </row>
    <row r="17" spans="1:21" s="11" customFormat="1" x14ac:dyDescent="0.25">
      <c r="A17" s="50" t="s">
        <v>236</v>
      </c>
      <c r="B17" s="51">
        <v>9.34</v>
      </c>
      <c r="C17" s="51">
        <v>26.62</v>
      </c>
      <c r="D17" s="51">
        <v>39.14</v>
      </c>
      <c r="E17" s="51">
        <v>5.51</v>
      </c>
      <c r="F17" s="51">
        <v>6.45</v>
      </c>
      <c r="G17" s="51">
        <v>45.92</v>
      </c>
      <c r="H17" s="51">
        <v>18.03</v>
      </c>
      <c r="I17" s="51">
        <v>4.07</v>
      </c>
      <c r="J17" s="51">
        <v>0.42</v>
      </c>
      <c r="K17" s="51">
        <v>296.35000000000002</v>
      </c>
      <c r="L17" s="51">
        <v>34.950000000000003</v>
      </c>
      <c r="M17" s="51">
        <v>49.59</v>
      </c>
      <c r="N17" s="51">
        <v>677.4</v>
      </c>
      <c r="O17" s="51">
        <v>0</v>
      </c>
      <c r="P17" s="51">
        <v>0.56000000000000005</v>
      </c>
      <c r="Q17" s="51">
        <v>9.44</v>
      </c>
      <c r="R17" s="43"/>
      <c r="S17" s="43"/>
      <c r="T17" s="43"/>
      <c r="U17" s="43"/>
    </row>
    <row r="18" spans="1:21" s="11" customFormat="1" x14ac:dyDescent="0.25">
      <c r="A18" s="50" t="s">
        <v>237</v>
      </c>
      <c r="B18" s="51">
        <v>8.19</v>
      </c>
      <c r="C18" s="51">
        <v>25.31</v>
      </c>
      <c r="D18" s="51">
        <v>37.119999999999997</v>
      </c>
      <c r="E18" s="51">
        <v>5.43</v>
      </c>
      <c r="F18" s="51">
        <v>8.4600000000000009</v>
      </c>
      <c r="G18" s="51">
        <v>47.15</v>
      </c>
      <c r="H18" s="51">
        <v>15.8</v>
      </c>
      <c r="I18" s="51">
        <v>4.07</v>
      </c>
      <c r="J18" s="51">
        <v>0.47</v>
      </c>
      <c r="K18" s="51">
        <v>301.24</v>
      </c>
      <c r="L18" s="51">
        <v>37.92</v>
      </c>
      <c r="M18" s="51">
        <v>37.97</v>
      </c>
      <c r="N18" s="51">
        <v>819.1</v>
      </c>
      <c r="O18" s="51">
        <v>0</v>
      </c>
      <c r="P18" s="51">
        <v>0.61</v>
      </c>
      <c r="Q18" s="51">
        <v>9.34</v>
      </c>
      <c r="R18" s="43"/>
      <c r="S18" s="43"/>
      <c r="T18" s="43"/>
      <c r="U18" s="43"/>
    </row>
    <row r="19" spans="1:21" s="11" customFormat="1" x14ac:dyDescent="0.25">
      <c r="A19" s="50" t="s">
        <v>238</v>
      </c>
      <c r="B19" s="51">
        <v>6.59</v>
      </c>
      <c r="C19" s="51">
        <v>23.82</v>
      </c>
      <c r="D19" s="51">
        <v>37.65</v>
      </c>
      <c r="E19" s="51">
        <v>7.05</v>
      </c>
      <c r="F19" s="51">
        <v>20.53</v>
      </c>
      <c r="G19" s="51">
        <v>50.09</v>
      </c>
      <c r="H19" s="51">
        <v>11.54</v>
      </c>
      <c r="I19" s="51">
        <v>4.1500000000000004</v>
      </c>
      <c r="J19" s="51">
        <v>1</v>
      </c>
      <c r="K19" s="51">
        <v>327.64999999999998</v>
      </c>
      <c r="L19" s="51">
        <v>40.5</v>
      </c>
      <c r="M19" s="51">
        <v>32.72</v>
      </c>
      <c r="N19" s="51">
        <v>913</v>
      </c>
      <c r="O19" s="51">
        <v>0</v>
      </c>
      <c r="P19" s="51">
        <v>0.59</v>
      </c>
      <c r="Q19" s="51">
        <v>9.31</v>
      </c>
      <c r="R19" s="43"/>
      <c r="S19" s="43"/>
      <c r="T19" s="43"/>
      <c r="U19" s="43"/>
    </row>
    <row r="20" spans="1:21" s="11" customFormat="1" x14ac:dyDescent="0.25">
      <c r="A20" s="50" t="s">
        <v>239</v>
      </c>
      <c r="B20" s="51">
        <v>6.4</v>
      </c>
      <c r="C20" s="51">
        <v>24.08</v>
      </c>
      <c r="D20" s="51">
        <v>36.270000000000003</v>
      </c>
      <c r="E20" s="51">
        <v>7.13</v>
      </c>
      <c r="F20" s="51">
        <v>19.649999999999999</v>
      </c>
      <c r="G20" s="51">
        <v>53.56</v>
      </c>
      <c r="H20" s="51">
        <v>13.94</v>
      </c>
      <c r="I20" s="51">
        <v>4</v>
      </c>
      <c r="J20" s="51">
        <v>0.34</v>
      </c>
      <c r="K20" s="51">
        <v>322.06</v>
      </c>
      <c r="L20" s="51">
        <v>40.229999999999997</v>
      </c>
      <c r="M20" s="51">
        <v>31.43</v>
      </c>
      <c r="N20" s="51">
        <v>926.5</v>
      </c>
      <c r="O20" s="51">
        <v>0</v>
      </c>
      <c r="P20" s="51">
        <v>0.56000000000000005</v>
      </c>
      <c r="Q20" s="51">
        <v>9.3000000000000007</v>
      </c>
      <c r="R20" s="43"/>
      <c r="S20" s="43"/>
      <c r="T20" s="43"/>
      <c r="U20" s="43"/>
    </row>
    <row r="21" spans="1:21" s="11" customFormat="1" x14ac:dyDescent="0.25">
      <c r="A21" s="50" t="s">
        <v>240</v>
      </c>
      <c r="B21" s="51">
        <v>6.45</v>
      </c>
      <c r="C21" s="51">
        <v>23.34</v>
      </c>
      <c r="D21" s="51">
        <v>34.78</v>
      </c>
      <c r="E21" s="51">
        <v>6.04</v>
      </c>
      <c r="F21" s="51">
        <v>16.309999999999999</v>
      </c>
      <c r="G21" s="51">
        <v>55.34</v>
      </c>
      <c r="H21" s="51">
        <v>26.83</v>
      </c>
      <c r="I21" s="51">
        <v>4.1100000000000003</v>
      </c>
      <c r="J21" s="51">
        <v>0.4</v>
      </c>
      <c r="K21" s="51">
        <v>317.18</v>
      </c>
      <c r="L21" s="51">
        <v>40.020000000000003</v>
      </c>
      <c r="M21" s="51">
        <v>29.34</v>
      </c>
      <c r="N21" s="51">
        <v>929.6</v>
      </c>
      <c r="O21" s="51">
        <v>0</v>
      </c>
      <c r="P21" s="51">
        <v>0.54</v>
      </c>
      <c r="Q21" s="51">
        <v>9.2899999999999991</v>
      </c>
      <c r="R21" s="43"/>
      <c r="S21" s="43"/>
      <c r="T21" s="43"/>
      <c r="U21" s="43"/>
    </row>
    <row r="22" spans="1:21" s="11" customFormat="1" x14ac:dyDescent="0.25">
      <c r="A22" s="50" t="s">
        <v>241</v>
      </c>
      <c r="B22" s="51">
        <v>4.83</v>
      </c>
      <c r="C22" s="51">
        <v>22.43</v>
      </c>
      <c r="D22" s="51">
        <v>35.82</v>
      </c>
      <c r="E22" s="51">
        <v>6.19</v>
      </c>
      <c r="F22" s="51">
        <v>20.45</v>
      </c>
      <c r="G22" s="51">
        <v>51.95</v>
      </c>
      <c r="H22" s="51">
        <v>66.78</v>
      </c>
      <c r="I22" s="51">
        <v>3.99</v>
      </c>
      <c r="J22" s="51">
        <v>0.22</v>
      </c>
      <c r="K22" s="51">
        <v>286.36</v>
      </c>
      <c r="L22" s="51">
        <v>39.369999999999997</v>
      </c>
      <c r="M22" s="51">
        <v>29.59</v>
      </c>
      <c r="N22" s="51">
        <v>718.5</v>
      </c>
      <c r="O22" s="51">
        <v>0</v>
      </c>
      <c r="P22" s="51">
        <v>0.47</v>
      </c>
      <c r="Q22" s="51">
        <v>9.25</v>
      </c>
      <c r="R22" s="43"/>
      <c r="S22" s="43"/>
      <c r="T22" s="43"/>
      <c r="U22" s="43"/>
    </row>
    <row r="23" spans="1:21" s="11" customFormat="1" x14ac:dyDescent="0.25">
      <c r="A23" s="50" t="s">
        <v>242</v>
      </c>
      <c r="B23" s="51">
        <v>5.27</v>
      </c>
      <c r="C23" s="51">
        <v>22.58</v>
      </c>
      <c r="D23" s="51">
        <v>35.4</v>
      </c>
      <c r="E23" s="51">
        <v>6.6</v>
      </c>
      <c r="F23" s="51">
        <v>22.5</v>
      </c>
      <c r="G23" s="51">
        <v>52.32</v>
      </c>
      <c r="H23" s="51">
        <v>11.69</v>
      </c>
      <c r="I23" s="51">
        <v>4.17</v>
      </c>
      <c r="J23" s="51">
        <v>0.5</v>
      </c>
      <c r="K23" s="51">
        <v>319.56</v>
      </c>
      <c r="L23" s="51">
        <v>39.270000000000003</v>
      </c>
      <c r="M23" s="51">
        <v>26.85</v>
      </c>
      <c r="N23" s="51">
        <v>476</v>
      </c>
      <c r="O23" s="51">
        <v>0</v>
      </c>
      <c r="P23" s="51">
        <v>0.47</v>
      </c>
      <c r="Q23" s="51">
        <v>9.26</v>
      </c>
      <c r="R23" s="43"/>
      <c r="S23" s="43"/>
      <c r="T23" s="43"/>
      <c r="U23" s="43"/>
    </row>
    <row r="24" spans="1:21" s="11" customFormat="1" x14ac:dyDescent="0.25">
      <c r="A24" s="50" t="s">
        <v>243</v>
      </c>
      <c r="B24" s="51">
        <v>6.15</v>
      </c>
      <c r="C24" s="51">
        <v>23.15</v>
      </c>
      <c r="D24" s="51">
        <v>37.08</v>
      </c>
      <c r="E24" s="51">
        <v>6.91</v>
      </c>
      <c r="F24" s="51">
        <v>22.68</v>
      </c>
      <c r="G24" s="51">
        <v>52.91</v>
      </c>
      <c r="H24" s="51">
        <v>0.72</v>
      </c>
      <c r="I24" s="51">
        <v>4.09</v>
      </c>
      <c r="J24" s="51">
        <v>1.68</v>
      </c>
      <c r="K24" s="51">
        <v>320.89999999999998</v>
      </c>
      <c r="L24" s="51">
        <v>38.03</v>
      </c>
      <c r="M24" s="51">
        <v>33.76</v>
      </c>
      <c r="N24" s="51">
        <v>163.6</v>
      </c>
      <c r="O24" s="51">
        <v>0</v>
      </c>
      <c r="P24" s="51">
        <v>0.45</v>
      </c>
      <c r="Q24" s="51">
        <v>9.2899999999999991</v>
      </c>
      <c r="R24" s="43"/>
      <c r="S24" s="43"/>
      <c r="T24" s="43"/>
      <c r="U24" s="43"/>
    </row>
    <row r="25" spans="1:21" s="11" customFormat="1" x14ac:dyDescent="0.25">
      <c r="A25" s="50" t="s">
        <v>244</v>
      </c>
      <c r="B25" s="51">
        <v>6.87</v>
      </c>
      <c r="C25" s="51">
        <v>29.41</v>
      </c>
      <c r="D25" s="51">
        <v>45.74</v>
      </c>
      <c r="E25" s="51">
        <v>6.21</v>
      </c>
      <c r="F25" s="51">
        <v>10.29</v>
      </c>
      <c r="G25" s="51">
        <v>54.13</v>
      </c>
      <c r="H25" s="51">
        <v>22.15</v>
      </c>
      <c r="I25" s="51">
        <v>4.16</v>
      </c>
      <c r="J25" s="51">
        <v>0.41</v>
      </c>
      <c r="K25" s="51">
        <v>296.08</v>
      </c>
      <c r="L25" s="51">
        <v>36.06</v>
      </c>
      <c r="M25" s="51">
        <v>34.89</v>
      </c>
      <c r="N25" s="51">
        <v>194.6</v>
      </c>
      <c r="O25" s="51">
        <v>0</v>
      </c>
      <c r="P25" s="51">
        <v>0.57999999999999996</v>
      </c>
      <c r="Q25" s="51">
        <v>9.34</v>
      </c>
      <c r="R25" s="43"/>
      <c r="S25" s="43"/>
      <c r="T25" s="43"/>
      <c r="U25" s="43"/>
    </row>
    <row r="26" spans="1:21" s="11" customFormat="1" x14ac:dyDescent="0.25">
      <c r="A26" s="50" t="s">
        <v>245</v>
      </c>
      <c r="B26" s="51">
        <v>8.43</v>
      </c>
      <c r="C26" s="51">
        <v>31.46</v>
      </c>
      <c r="D26" s="51">
        <v>47.8</v>
      </c>
      <c r="E26" s="51">
        <v>6.14</v>
      </c>
      <c r="F26" s="51">
        <v>13.39</v>
      </c>
      <c r="G26" s="51">
        <v>55.06</v>
      </c>
      <c r="H26" s="51">
        <v>78.84</v>
      </c>
      <c r="I26" s="51">
        <v>4.12</v>
      </c>
      <c r="J26" s="51">
        <v>1.59</v>
      </c>
      <c r="K26" s="51">
        <v>350.12</v>
      </c>
      <c r="L26" s="51">
        <v>34.42</v>
      </c>
      <c r="M26" s="51">
        <v>37.53</v>
      </c>
      <c r="N26" s="51">
        <v>119.2</v>
      </c>
      <c r="O26" s="51">
        <v>0</v>
      </c>
      <c r="P26" s="51">
        <v>0.63</v>
      </c>
      <c r="Q26" s="51">
        <v>9.32</v>
      </c>
      <c r="R26" s="43"/>
      <c r="S26" s="43"/>
      <c r="T26" s="43"/>
      <c r="U26" s="43"/>
    </row>
    <row r="27" spans="1:21" s="11" customFormat="1" x14ac:dyDescent="0.25">
      <c r="A27" s="50" t="s">
        <v>246</v>
      </c>
      <c r="B27" s="51">
        <v>12.2</v>
      </c>
      <c r="C27" s="51">
        <v>42.78</v>
      </c>
      <c r="D27" s="51">
        <v>63.15</v>
      </c>
      <c r="E27" s="51">
        <v>7.66</v>
      </c>
      <c r="F27" s="51">
        <v>20.95</v>
      </c>
      <c r="G27" s="51">
        <v>60.03</v>
      </c>
      <c r="H27" s="51">
        <v>14.33</v>
      </c>
      <c r="I27" s="51">
        <v>4.2699999999999996</v>
      </c>
      <c r="J27" s="51">
        <v>1.83</v>
      </c>
      <c r="K27" s="51">
        <v>350.26</v>
      </c>
      <c r="L27" s="51">
        <v>32.869999999999997</v>
      </c>
      <c r="M27" s="51">
        <v>41.44</v>
      </c>
      <c r="N27" s="51">
        <v>145.19999999999999</v>
      </c>
      <c r="O27" s="51">
        <v>0</v>
      </c>
      <c r="P27" s="51">
        <v>0.93</v>
      </c>
      <c r="Q27" s="51">
        <v>9.3800000000000008</v>
      </c>
      <c r="R27" s="43"/>
      <c r="S27" s="43"/>
      <c r="T27" s="43"/>
      <c r="U27" s="43"/>
    </row>
    <row r="28" spans="1:21" s="11" customFormat="1" x14ac:dyDescent="0.25">
      <c r="A28" s="50" t="s">
        <v>247</v>
      </c>
      <c r="B28" s="51">
        <v>9.2200000000000006</v>
      </c>
      <c r="C28" s="51">
        <v>31.39</v>
      </c>
      <c r="D28" s="51">
        <v>45.93</v>
      </c>
      <c r="E28" s="51">
        <v>11.4</v>
      </c>
      <c r="F28" s="51">
        <v>21.22</v>
      </c>
      <c r="G28" s="51">
        <v>64.709999999999994</v>
      </c>
      <c r="H28" s="51">
        <v>21.18</v>
      </c>
      <c r="I28" s="51">
        <v>4.08</v>
      </c>
      <c r="J28" s="51">
        <v>0.91</v>
      </c>
      <c r="K28" s="51">
        <v>341.09</v>
      </c>
      <c r="L28" s="51">
        <v>32.78</v>
      </c>
      <c r="M28" s="51">
        <v>41.69</v>
      </c>
      <c r="N28" s="51">
        <v>136.1</v>
      </c>
      <c r="O28" s="51">
        <v>0</v>
      </c>
      <c r="P28" s="51">
        <v>0.76</v>
      </c>
      <c r="Q28" s="51">
        <v>9.4700000000000006</v>
      </c>
      <c r="R28" s="43"/>
      <c r="S28" s="43"/>
      <c r="T28" s="43"/>
      <c r="U28" s="43"/>
    </row>
    <row r="29" spans="1:21" s="11" customFormat="1" x14ac:dyDescent="0.25">
      <c r="A29" s="50" t="s">
        <v>248</v>
      </c>
      <c r="B29" s="51">
        <v>6.97</v>
      </c>
      <c r="C29" s="51">
        <v>25.97</v>
      </c>
      <c r="D29" s="51">
        <v>40.64</v>
      </c>
      <c r="E29" s="51">
        <v>7.69</v>
      </c>
      <c r="F29" s="51">
        <v>20.51</v>
      </c>
      <c r="G29" s="51">
        <v>64.790000000000006</v>
      </c>
      <c r="H29" s="51">
        <v>20.38</v>
      </c>
      <c r="I29" s="51">
        <v>4.04</v>
      </c>
      <c r="J29" s="51">
        <v>0.99</v>
      </c>
      <c r="K29" s="51">
        <v>231.28</v>
      </c>
      <c r="L29" s="51">
        <v>31.59</v>
      </c>
      <c r="M29" s="51">
        <v>45.36</v>
      </c>
      <c r="N29" s="51">
        <v>141</v>
      </c>
      <c r="O29" s="51">
        <v>0</v>
      </c>
      <c r="P29" s="51">
        <v>0.56000000000000005</v>
      </c>
      <c r="Q29" s="51">
        <v>9.39</v>
      </c>
      <c r="R29" s="43"/>
      <c r="S29" s="43"/>
      <c r="T29" s="43"/>
      <c r="U29" s="43"/>
    </row>
    <row r="30" spans="1:21" s="11" customFormat="1" x14ac:dyDescent="0.25">
      <c r="A30" s="50" t="s">
        <v>249</v>
      </c>
      <c r="B30" s="51">
        <v>6.97</v>
      </c>
      <c r="C30" s="51">
        <v>27.92</v>
      </c>
      <c r="D30" s="51">
        <v>46.47</v>
      </c>
      <c r="E30" s="51">
        <v>5.9</v>
      </c>
      <c r="F30" s="51">
        <v>17.809999999999999</v>
      </c>
      <c r="G30" s="51">
        <v>58.85</v>
      </c>
      <c r="H30" s="51">
        <v>15.36</v>
      </c>
      <c r="I30" s="51">
        <v>4.09</v>
      </c>
      <c r="J30" s="51">
        <v>0.31</v>
      </c>
      <c r="K30" s="51">
        <v>179.05</v>
      </c>
      <c r="L30" s="51">
        <v>31.02</v>
      </c>
      <c r="M30" s="51">
        <v>53.14</v>
      </c>
      <c r="N30" s="51">
        <v>134.30000000000001</v>
      </c>
      <c r="O30" s="51">
        <v>0</v>
      </c>
      <c r="P30" s="51">
        <v>0.61</v>
      </c>
      <c r="Q30" s="51">
        <v>9.39</v>
      </c>
      <c r="R30" s="43"/>
      <c r="S30" s="43"/>
      <c r="T30" s="43"/>
      <c r="U30" s="43"/>
    </row>
    <row r="31" spans="1:21" s="11" customFormat="1" x14ac:dyDescent="0.25">
      <c r="A31" s="50" t="s">
        <v>250</v>
      </c>
      <c r="B31" s="51">
        <v>8.0399999999999991</v>
      </c>
      <c r="C31" s="51">
        <v>33.619999999999997</v>
      </c>
      <c r="D31" s="51">
        <v>52</v>
      </c>
      <c r="E31" s="51">
        <v>5.55</v>
      </c>
      <c r="F31" s="51">
        <v>10.32</v>
      </c>
      <c r="G31" s="51">
        <v>53.74</v>
      </c>
      <c r="H31" s="51">
        <v>11.51</v>
      </c>
      <c r="I31" s="51">
        <v>4.16</v>
      </c>
      <c r="J31" s="51">
        <v>0.18</v>
      </c>
      <c r="K31" s="51">
        <v>335.48</v>
      </c>
      <c r="L31" s="51">
        <v>30.48</v>
      </c>
      <c r="M31" s="51">
        <v>56.06</v>
      </c>
      <c r="N31" s="51">
        <v>114.5</v>
      </c>
      <c r="O31" s="51">
        <v>0</v>
      </c>
      <c r="P31" s="51">
        <v>0.67</v>
      </c>
      <c r="Q31" s="51">
        <v>9.36</v>
      </c>
      <c r="R31" s="43"/>
      <c r="S31" s="43"/>
      <c r="T31" s="43"/>
      <c r="U31" s="43"/>
    </row>
    <row r="32" spans="1:21" s="11" customFormat="1" x14ac:dyDescent="0.25">
      <c r="A32" s="50" t="s">
        <v>251</v>
      </c>
      <c r="B32" s="51">
        <v>7.41</v>
      </c>
      <c r="C32" s="51">
        <v>27.62</v>
      </c>
      <c r="D32" s="51">
        <v>41.48</v>
      </c>
      <c r="E32" s="51">
        <v>5.17</v>
      </c>
      <c r="F32" s="51">
        <v>20.14</v>
      </c>
      <c r="G32" s="51">
        <v>48.08</v>
      </c>
      <c r="H32" s="51">
        <v>14.98</v>
      </c>
      <c r="I32" s="51">
        <v>4.12</v>
      </c>
      <c r="J32" s="51">
        <v>0.75</v>
      </c>
      <c r="K32" s="51">
        <v>323.27999999999997</v>
      </c>
      <c r="L32" s="51">
        <v>29.28</v>
      </c>
      <c r="M32" s="51">
        <v>57.49</v>
      </c>
      <c r="N32" s="51">
        <v>120.1</v>
      </c>
      <c r="O32" s="51">
        <v>0</v>
      </c>
      <c r="P32" s="51">
        <v>0.51</v>
      </c>
      <c r="Q32" s="51">
        <v>9.33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4.83</v>
      </c>
      <c r="C34" s="28">
        <f t="shared" si="0"/>
        <v>18.73</v>
      </c>
      <c r="D34" s="28">
        <f t="shared" si="0"/>
        <v>26.09</v>
      </c>
      <c r="E34" s="28">
        <f t="shared" si="0"/>
        <v>4.72</v>
      </c>
      <c r="F34" s="28">
        <f t="shared" si="0"/>
        <v>6.45</v>
      </c>
      <c r="G34" s="28">
        <f t="shared" si="0"/>
        <v>45.92</v>
      </c>
      <c r="H34" s="28">
        <f t="shared" si="0"/>
        <v>0.72</v>
      </c>
      <c r="I34" s="28">
        <f t="shared" si="0"/>
        <v>3.94</v>
      </c>
      <c r="J34" s="28">
        <f t="shared" si="0"/>
        <v>0.08</v>
      </c>
      <c r="K34" s="28">
        <f t="shared" si="0"/>
        <v>179.05</v>
      </c>
      <c r="L34" s="28">
        <f t="shared" si="0"/>
        <v>27.4</v>
      </c>
      <c r="M34" s="28">
        <f t="shared" si="0"/>
        <v>26.85</v>
      </c>
      <c r="N34" s="28">
        <f t="shared" si="0"/>
        <v>97.8</v>
      </c>
      <c r="O34" s="28">
        <f t="shared" si="0"/>
        <v>0</v>
      </c>
      <c r="P34" s="28">
        <f t="shared" si="0"/>
        <v>0.41</v>
      </c>
      <c r="Q34" s="28">
        <f t="shared" si="0"/>
        <v>9.25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14.33</v>
      </c>
      <c r="C35" s="29">
        <f t="shared" si="1"/>
        <v>42.78</v>
      </c>
      <c r="D35" s="29">
        <f t="shared" si="1"/>
        <v>63.15</v>
      </c>
      <c r="E35" s="29">
        <f t="shared" si="1"/>
        <v>11.4</v>
      </c>
      <c r="F35" s="29">
        <f t="shared" si="1"/>
        <v>22.68</v>
      </c>
      <c r="G35" s="29">
        <f t="shared" si="1"/>
        <v>67.2</v>
      </c>
      <c r="H35" s="29">
        <f t="shared" si="1"/>
        <v>78.84</v>
      </c>
      <c r="I35" s="29">
        <f t="shared" si="1"/>
        <v>4.2699999999999996</v>
      </c>
      <c r="J35" s="29">
        <f t="shared" si="1"/>
        <v>1.83</v>
      </c>
      <c r="K35" s="29">
        <f t="shared" si="1"/>
        <v>350.26</v>
      </c>
      <c r="L35" s="29">
        <f t="shared" si="1"/>
        <v>40.5</v>
      </c>
      <c r="M35" s="29">
        <f t="shared" si="1"/>
        <v>71.930000000000007</v>
      </c>
      <c r="N35" s="29">
        <f t="shared" si="1"/>
        <v>929.6</v>
      </c>
      <c r="O35" s="29">
        <f t="shared" si="1"/>
        <v>0</v>
      </c>
      <c r="P35" s="29">
        <f t="shared" si="1"/>
        <v>0.93</v>
      </c>
      <c r="Q35" s="29">
        <f t="shared" si="1"/>
        <v>9.58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8.1620833333333334</v>
      </c>
      <c r="C36" s="28">
        <f t="shared" si="2"/>
        <v>26.823333333333327</v>
      </c>
      <c r="D36" s="28">
        <f t="shared" si="2"/>
        <v>39.794583333333328</v>
      </c>
      <c r="E36" s="28">
        <f t="shared" si="2"/>
        <v>6.1429166666666655</v>
      </c>
      <c r="F36" s="28">
        <f t="shared" si="2"/>
        <v>16.49625</v>
      </c>
      <c r="G36" s="28">
        <f t="shared" si="2"/>
        <v>53.992916666666666</v>
      </c>
      <c r="H36" s="28">
        <f t="shared" si="2"/>
        <v>21.278333333333332</v>
      </c>
      <c r="I36" s="28">
        <f t="shared" si="2"/>
        <v>4.0958333333333332</v>
      </c>
      <c r="J36" s="28">
        <f t="shared" si="2"/>
        <v>0.60583333333333333</v>
      </c>
      <c r="K36" s="28">
        <f t="shared" si="2"/>
        <v>294.44416666666672</v>
      </c>
      <c r="L36" s="28">
        <f t="shared" si="2"/>
        <v>33.331249999999997</v>
      </c>
      <c r="M36" s="28">
        <f t="shared" si="2"/>
        <v>47.412916666666668</v>
      </c>
      <c r="N36" s="28">
        <f t="shared" si="2"/>
        <v>341.28333333333342</v>
      </c>
      <c r="O36" s="28">
        <f t="shared" si="2"/>
        <v>0</v>
      </c>
      <c r="P36" s="28">
        <f t="shared" si="2"/>
        <v>0.55625000000000002</v>
      </c>
      <c r="Q36" s="28">
        <f t="shared" si="2"/>
        <v>9.394166666666667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2.2749027292471711</v>
      </c>
      <c r="C37" s="28">
        <f t="shared" ref="C37:Q37" si="3">STDEV(C9:C32)</f>
        <v>5.5039769547883042</v>
      </c>
      <c r="D37" s="28">
        <f t="shared" si="3"/>
        <v>8.4301921063090663</v>
      </c>
      <c r="E37" s="28">
        <f t="shared" si="3"/>
        <v>1.4226413864684138</v>
      </c>
      <c r="F37" s="28">
        <f t="shared" si="3"/>
        <v>4.5322494774766087</v>
      </c>
      <c r="G37" s="28">
        <f t="shared" si="3"/>
        <v>5.7904985736882129</v>
      </c>
      <c r="H37" s="28">
        <f t="shared" si="3"/>
        <v>16.808275567000681</v>
      </c>
      <c r="I37" s="28">
        <f t="shared" si="3"/>
        <v>6.6523396777679489E-2</v>
      </c>
      <c r="J37" s="28">
        <f t="shared" si="3"/>
        <v>0.51752686690742389</v>
      </c>
      <c r="K37" s="28">
        <f t="shared" si="3"/>
        <v>48.217844966240499</v>
      </c>
      <c r="L37" s="28">
        <f t="shared" si="3"/>
        <v>4.5359542522231378</v>
      </c>
      <c r="M37" s="28">
        <f t="shared" si="3"/>
        <v>14.088373399233582</v>
      </c>
      <c r="N37" s="28">
        <f t="shared" si="3"/>
        <v>312.82952805511883</v>
      </c>
      <c r="O37" s="28">
        <f t="shared" si="3"/>
        <v>0</v>
      </c>
      <c r="P37" s="28">
        <f t="shared" si="3"/>
        <v>0.11776219589753223</v>
      </c>
      <c r="Q37" s="28">
        <f t="shared" si="3"/>
        <v>9.6680408818309124E-2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3" sqref="G1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252</v>
      </c>
      <c r="B9" s="51">
        <v>4.42</v>
      </c>
      <c r="C9" s="51">
        <v>17.829999999999998</v>
      </c>
      <c r="D9" s="51">
        <v>27.4</v>
      </c>
      <c r="E9" s="51">
        <v>5.7</v>
      </c>
      <c r="F9" s="51">
        <v>21.5</v>
      </c>
      <c r="G9" s="51">
        <v>42.14</v>
      </c>
      <c r="H9" s="51">
        <v>6.53</v>
      </c>
      <c r="I9" s="51">
        <v>4.03</v>
      </c>
      <c r="J9" s="51">
        <v>0.24</v>
      </c>
      <c r="K9" s="51">
        <v>337.21</v>
      </c>
      <c r="L9" s="51">
        <v>28.66</v>
      </c>
      <c r="M9" s="51">
        <v>59.02</v>
      </c>
      <c r="N9" s="51">
        <v>129.19999999999999</v>
      </c>
      <c r="O9" s="51">
        <v>0</v>
      </c>
      <c r="P9" s="51">
        <v>0.27</v>
      </c>
      <c r="Q9" s="51">
        <v>9.34</v>
      </c>
      <c r="R9" s="43"/>
      <c r="S9" s="43"/>
      <c r="T9" s="43"/>
      <c r="U9" s="43"/>
    </row>
    <row r="10" spans="1:21" s="11" customFormat="1" x14ac:dyDescent="0.25">
      <c r="A10" s="50" t="s">
        <v>253</v>
      </c>
      <c r="B10" s="51">
        <v>5.37</v>
      </c>
      <c r="C10" s="51">
        <v>18.02</v>
      </c>
      <c r="D10" s="51">
        <v>26.24</v>
      </c>
      <c r="E10" s="51">
        <v>5.58</v>
      </c>
      <c r="F10" s="51">
        <v>18.27</v>
      </c>
      <c r="G10" s="51">
        <v>37.69</v>
      </c>
      <c r="H10" s="51">
        <v>-6.9</v>
      </c>
      <c r="I10" s="51">
        <v>4.0599999999999996</v>
      </c>
      <c r="J10" s="51">
        <v>0.52</v>
      </c>
      <c r="K10" s="51">
        <v>201.23</v>
      </c>
      <c r="L10" s="51">
        <v>28.66</v>
      </c>
      <c r="M10" s="51">
        <v>58.64</v>
      </c>
      <c r="N10" s="51">
        <v>125</v>
      </c>
      <c r="O10" s="51">
        <v>0</v>
      </c>
      <c r="P10" s="51">
        <v>0.34</v>
      </c>
      <c r="Q10" s="51">
        <v>9.34</v>
      </c>
      <c r="R10" s="43"/>
      <c r="S10" s="43"/>
      <c r="T10" s="43"/>
      <c r="U10" s="43"/>
    </row>
    <row r="11" spans="1:21" s="11" customFormat="1" x14ac:dyDescent="0.25">
      <c r="A11" s="50" t="s">
        <v>254</v>
      </c>
      <c r="B11" s="51">
        <v>5.16</v>
      </c>
      <c r="C11" s="51">
        <v>17.93</v>
      </c>
      <c r="D11" s="51">
        <v>26.4</v>
      </c>
      <c r="E11" s="51">
        <v>5.59</v>
      </c>
      <c r="F11" s="51">
        <v>13.21</v>
      </c>
      <c r="G11" s="51">
        <v>33.450000000000003</v>
      </c>
      <c r="H11" s="51">
        <v>5.01</v>
      </c>
      <c r="I11" s="51">
        <v>4.1900000000000004</v>
      </c>
      <c r="J11" s="51">
        <v>0.59</v>
      </c>
      <c r="K11" s="51">
        <v>187.42</v>
      </c>
      <c r="L11" s="51">
        <v>28.1</v>
      </c>
      <c r="M11" s="51">
        <v>61.35</v>
      </c>
      <c r="N11" s="51">
        <v>81</v>
      </c>
      <c r="O11" s="51">
        <v>0</v>
      </c>
      <c r="P11" s="51">
        <v>0.34</v>
      </c>
      <c r="Q11" s="51">
        <v>9.3000000000000007</v>
      </c>
      <c r="R11" s="43"/>
      <c r="S11" s="43"/>
      <c r="T11" s="43"/>
      <c r="U11" s="43"/>
    </row>
    <row r="12" spans="1:21" s="11" customFormat="1" x14ac:dyDescent="0.25">
      <c r="A12" s="50" t="s">
        <v>255</v>
      </c>
      <c r="B12" s="51">
        <v>5.05</v>
      </c>
      <c r="C12" s="51">
        <v>19.96</v>
      </c>
      <c r="D12" s="51">
        <v>30.44</v>
      </c>
      <c r="E12" s="51">
        <v>5.42</v>
      </c>
      <c r="F12" s="51">
        <v>13.64</v>
      </c>
      <c r="G12" s="51">
        <v>30.44</v>
      </c>
      <c r="H12" s="51">
        <v>10.91</v>
      </c>
      <c r="I12" s="51">
        <v>3.98</v>
      </c>
      <c r="J12" s="51">
        <v>0.22</v>
      </c>
      <c r="K12" s="51">
        <v>205.97</v>
      </c>
      <c r="L12" s="51">
        <v>27.49</v>
      </c>
      <c r="M12" s="51">
        <v>67.09</v>
      </c>
      <c r="N12" s="51">
        <v>95.7</v>
      </c>
      <c r="O12" s="51">
        <v>0</v>
      </c>
      <c r="P12" s="51">
        <v>0.31</v>
      </c>
      <c r="Q12" s="51">
        <v>9.2899999999999991</v>
      </c>
      <c r="R12" s="43"/>
      <c r="S12" s="43"/>
      <c r="T12" s="43"/>
      <c r="U12" s="43"/>
    </row>
    <row r="13" spans="1:21" s="11" customFormat="1" x14ac:dyDescent="0.25">
      <c r="A13" s="50" t="s">
        <v>256</v>
      </c>
      <c r="B13" s="51">
        <v>5.13</v>
      </c>
      <c r="C13" s="51">
        <v>23.06</v>
      </c>
      <c r="D13" s="51">
        <v>36.5</v>
      </c>
      <c r="E13" s="51">
        <v>5.4</v>
      </c>
      <c r="F13" s="51">
        <v>15.2</v>
      </c>
      <c r="G13" s="51">
        <v>29.01</v>
      </c>
      <c r="H13" s="51">
        <v>15.54</v>
      </c>
      <c r="I13" s="51">
        <v>4.05</v>
      </c>
      <c r="J13" s="51">
        <v>0.57999999999999996</v>
      </c>
      <c r="K13" s="51">
        <v>192.07</v>
      </c>
      <c r="L13" s="51">
        <v>26.79</v>
      </c>
      <c r="M13" s="51">
        <v>71.23</v>
      </c>
      <c r="N13" s="51">
        <v>90.3</v>
      </c>
      <c r="O13" s="51">
        <v>0</v>
      </c>
      <c r="P13" s="51">
        <v>0.28999999999999998</v>
      </c>
      <c r="Q13" s="51">
        <v>9.31</v>
      </c>
      <c r="R13" s="43"/>
      <c r="S13" s="43"/>
      <c r="T13" s="43"/>
      <c r="U13" s="43"/>
    </row>
    <row r="14" spans="1:21" s="11" customFormat="1" x14ac:dyDescent="0.25">
      <c r="A14" s="50" t="s">
        <v>257</v>
      </c>
      <c r="B14" s="51">
        <v>6.47</v>
      </c>
      <c r="C14" s="51">
        <v>21.09</v>
      </c>
      <c r="D14" s="51">
        <v>31.75</v>
      </c>
      <c r="E14" s="51">
        <v>5.65</v>
      </c>
      <c r="F14" s="51">
        <v>14.36</v>
      </c>
      <c r="G14" s="51">
        <v>26.11</v>
      </c>
      <c r="H14" s="51">
        <v>9.75</v>
      </c>
      <c r="I14" s="51">
        <v>4.0599999999999996</v>
      </c>
      <c r="J14" s="51">
        <v>0.61</v>
      </c>
      <c r="K14" s="51">
        <v>157.22999999999999</v>
      </c>
      <c r="L14" s="51">
        <v>26.64</v>
      </c>
      <c r="M14" s="51">
        <v>72.98</v>
      </c>
      <c r="N14" s="51">
        <v>119.7</v>
      </c>
      <c r="O14" s="51">
        <v>0</v>
      </c>
      <c r="P14" s="51">
        <v>0.31</v>
      </c>
      <c r="Q14" s="51">
        <v>9.36</v>
      </c>
      <c r="R14" s="43"/>
      <c r="S14" s="43"/>
      <c r="T14" s="43"/>
      <c r="U14" s="43"/>
    </row>
    <row r="15" spans="1:21" s="11" customFormat="1" x14ac:dyDescent="0.25">
      <c r="A15" s="50" t="s">
        <v>258</v>
      </c>
      <c r="B15" s="51">
        <v>7.82</v>
      </c>
      <c r="C15" s="51">
        <v>22.95</v>
      </c>
      <c r="D15" s="51">
        <v>31.95</v>
      </c>
      <c r="E15" s="51">
        <v>5.43</v>
      </c>
      <c r="F15" s="51">
        <v>7.96</v>
      </c>
      <c r="G15" s="51">
        <v>27.11</v>
      </c>
      <c r="H15" s="51">
        <v>10.78</v>
      </c>
      <c r="I15" s="51">
        <v>4.2300000000000004</v>
      </c>
      <c r="J15" s="51">
        <v>1.02</v>
      </c>
      <c r="K15" s="51">
        <v>170.76</v>
      </c>
      <c r="L15" s="51">
        <v>27.69</v>
      </c>
      <c r="M15" s="51">
        <v>72.81</v>
      </c>
      <c r="N15" s="51">
        <v>277.39999999999998</v>
      </c>
      <c r="O15" s="51">
        <v>0</v>
      </c>
      <c r="P15" s="51">
        <v>0.32</v>
      </c>
      <c r="Q15" s="51">
        <v>9.33</v>
      </c>
      <c r="R15" s="43"/>
      <c r="S15" s="43"/>
      <c r="T15" s="43"/>
      <c r="U15" s="43"/>
    </row>
    <row r="16" spans="1:21" s="11" customFormat="1" x14ac:dyDescent="0.25">
      <c r="A16" s="50" t="s">
        <v>259</v>
      </c>
      <c r="B16" s="51">
        <v>7.74</v>
      </c>
      <c r="C16" s="51">
        <v>22.47</v>
      </c>
      <c r="D16" s="51">
        <v>31.78</v>
      </c>
      <c r="E16" s="51">
        <v>5.64</v>
      </c>
      <c r="F16" s="51">
        <v>6.47</v>
      </c>
      <c r="G16" s="51">
        <v>30.65</v>
      </c>
      <c r="H16" s="51">
        <v>13.39</v>
      </c>
      <c r="I16" s="51">
        <v>4.1399999999999997</v>
      </c>
      <c r="J16" s="51">
        <v>0.66</v>
      </c>
      <c r="K16" s="51">
        <v>279.66000000000003</v>
      </c>
      <c r="L16" s="51">
        <v>29.72</v>
      </c>
      <c r="M16" s="51">
        <v>70.53</v>
      </c>
      <c r="N16" s="51">
        <v>458.3</v>
      </c>
      <c r="O16" s="51">
        <v>0</v>
      </c>
      <c r="P16" s="51">
        <v>0.32</v>
      </c>
      <c r="Q16" s="51">
        <v>9.33</v>
      </c>
      <c r="R16" s="43"/>
      <c r="S16" s="43"/>
      <c r="T16" s="43"/>
      <c r="U16" s="43"/>
    </row>
    <row r="17" spans="1:21" s="11" customFormat="1" x14ac:dyDescent="0.25">
      <c r="A17" s="50" t="s">
        <v>260</v>
      </c>
      <c r="B17" s="51">
        <v>6.47</v>
      </c>
      <c r="C17" s="51">
        <v>21.83</v>
      </c>
      <c r="D17" s="51">
        <v>31.86</v>
      </c>
      <c r="E17" s="51">
        <v>5.38</v>
      </c>
      <c r="F17" s="51">
        <v>7.52</v>
      </c>
      <c r="G17" s="51">
        <v>31.67</v>
      </c>
      <c r="H17" s="51">
        <v>14.02</v>
      </c>
      <c r="I17" s="51">
        <v>4.1500000000000004</v>
      </c>
      <c r="J17" s="51">
        <v>0.35</v>
      </c>
      <c r="K17" s="51">
        <v>294.58999999999997</v>
      </c>
      <c r="L17" s="51">
        <v>31.53</v>
      </c>
      <c r="M17" s="51">
        <v>59.12</v>
      </c>
      <c r="N17" s="51">
        <v>646.29999999999995</v>
      </c>
      <c r="O17" s="51">
        <v>0</v>
      </c>
      <c r="P17" s="51">
        <v>0.34</v>
      </c>
      <c r="Q17" s="51">
        <v>9.31</v>
      </c>
      <c r="R17" s="43"/>
      <c r="S17" s="43"/>
      <c r="T17" s="43"/>
      <c r="U17" s="43"/>
    </row>
    <row r="18" spans="1:21" s="11" customFormat="1" x14ac:dyDescent="0.25">
      <c r="A18" s="50" t="s">
        <v>261</v>
      </c>
      <c r="B18" s="51">
        <v>4.9400000000000004</v>
      </c>
      <c r="C18" s="51">
        <v>20.34</v>
      </c>
      <c r="D18" s="51">
        <v>31.36</v>
      </c>
      <c r="E18" s="51">
        <v>5.84</v>
      </c>
      <c r="F18" s="51">
        <v>11.27</v>
      </c>
      <c r="G18" s="51">
        <v>32.549999999999997</v>
      </c>
      <c r="H18" s="51">
        <v>12.52</v>
      </c>
      <c r="I18" s="51">
        <v>4.25</v>
      </c>
      <c r="J18" s="51">
        <v>0.25</v>
      </c>
      <c r="K18" s="51">
        <v>293.44</v>
      </c>
      <c r="L18" s="51">
        <v>33.020000000000003</v>
      </c>
      <c r="M18" s="51">
        <v>55.29</v>
      </c>
      <c r="N18" s="51">
        <v>749.1</v>
      </c>
      <c r="O18" s="51">
        <v>0</v>
      </c>
      <c r="P18" s="51">
        <v>0.36</v>
      </c>
      <c r="Q18" s="51">
        <v>9.27</v>
      </c>
      <c r="R18" s="43"/>
      <c r="S18" s="43"/>
      <c r="T18" s="43"/>
      <c r="U18" s="43"/>
    </row>
    <row r="19" spans="1:21" s="11" customFormat="1" x14ac:dyDescent="0.25">
      <c r="A19" s="50" t="s">
        <v>262</v>
      </c>
      <c r="B19" s="51">
        <v>4.6500000000000004</v>
      </c>
      <c r="C19" s="51">
        <v>21.11</v>
      </c>
      <c r="D19" s="51">
        <v>33.58</v>
      </c>
      <c r="E19" s="51">
        <v>5.95</v>
      </c>
      <c r="F19" s="51">
        <v>9.94</v>
      </c>
      <c r="G19" s="51">
        <v>34.75</v>
      </c>
      <c r="H19" s="51">
        <v>10.95</v>
      </c>
      <c r="I19" s="51">
        <v>4.03</v>
      </c>
      <c r="J19" s="51">
        <v>0.28999999999999998</v>
      </c>
      <c r="K19" s="51">
        <v>293.63</v>
      </c>
      <c r="L19" s="51">
        <v>35</v>
      </c>
      <c r="M19" s="51">
        <v>48.17</v>
      </c>
      <c r="N19" s="51">
        <v>838.8</v>
      </c>
      <c r="O19" s="51">
        <v>0</v>
      </c>
      <c r="P19" s="51">
        <v>0.41</v>
      </c>
      <c r="Q19" s="51">
        <v>9.2899999999999991</v>
      </c>
      <c r="R19" s="43"/>
      <c r="S19" s="43"/>
      <c r="T19" s="43"/>
      <c r="U19" s="43"/>
    </row>
    <row r="20" spans="1:21" s="11" customFormat="1" x14ac:dyDescent="0.25">
      <c r="A20" s="50" t="s">
        <v>263</v>
      </c>
      <c r="B20" s="51">
        <v>4.5999999999999996</v>
      </c>
      <c r="C20" s="51">
        <v>21.23</v>
      </c>
      <c r="D20" s="51">
        <v>34.119999999999997</v>
      </c>
      <c r="E20" s="51">
        <v>5.93</v>
      </c>
      <c r="F20" s="51">
        <v>7.89</v>
      </c>
      <c r="G20" s="51">
        <v>38.47</v>
      </c>
      <c r="H20" s="51">
        <v>15.77</v>
      </c>
      <c r="I20" s="51">
        <v>4.0199999999999996</v>
      </c>
      <c r="J20" s="51">
        <v>0.42</v>
      </c>
      <c r="K20" s="51">
        <v>295.72000000000003</v>
      </c>
      <c r="L20" s="51">
        <v>36.71</v>
      </c>
      <c r="M20" s="51">
        <v>45.35</v>
      </c>
      <c r="N20" s="51">
        <v>850.1</v>
      </c>
      <c r="O20" s="51">
        <v>0</v>
      </c>
      <c r="P20" s="51">
        <v>0.43</v>
      </c>
      <c r="Q20" s="51">
        <v>9.27</v>
      </c>
      <c r="R20" s="43"/>
      <c r="S20" s="43"/>
      <c r="T20" s="43"/>
      <c r="U20" s="43"/>
    </row>
    <row r="21" spans="1:21" s="11" customFormat="1" x14ac:dyDescent="0.25">
      <c r="A21" s="50" t="s">
        <v>264</v>
      </c>
      <c r="B21" s="51">
        <v>4.47</v>
      </c>
      <c r="C21" s="51">
        <v>23.8</v>
      </c>
      <c r="D21" s="51">
        <v>38.700000000000003</v>
      </c>
      <c r="E21" s="51">
        <v>7.7</v>
      </c>
      <c r="F21" s="51">
        <v>18.54</v>
      </c>
      <c r="G21" s="51">
        <v>41.7</v>
      </c>
      <c r="H21" s="51">
        <v>16.77</v>
      </c>
      <c r="I21" s="51">
        <v>4.04</v>
      </c>
      <c r="J21" s="51">
        <v>0.32</v>
      </c>
      <c r="K21" s="51">
        <v>312.47000000000003</v>
      </c>
      <c r="L21" s="51">
        <v>37.659999999999997</v>
      </c>
      <c r="M21" s="51">
        <v>42.5</v>
      </c>
      <c r="N21" s="51">
        <v>717</v>
      </c>
      <c r="O21" s="51">
        <v>0</v>
      </c>
      <c r="P21" s="51">
        <v>0.5</v>
      </c>
      <c r="Q21" s="51">
        <v>9.26</v>
      </c>
      <c r="R21" s="43"/>
      <c r="S21" s="43"/>
      <c r="T21" s="43"/>
      <c r="U21" s="43"/>
    </row>
    <row r="22" spans="1:21" s="11" customFormat="1" x14ac:dyDescent="0.25">
      <c r="A22" s="50" t="s">
        <v>265</v>
      </c>
      <c r="B22" s="51">
        <v>4.87</v>
      </c>
      <c r="C22" s="51">
        <v>21.12</v>
      </c>
      <c r="D22" s="51">
        <v>33.369999999999997</v>
      </c>
      <c r="E22" s="51">
        <v>7.86</v>
      </c>
      <c r="F22" s="51">
        <v>23.95</v>
      </c>
      <c r="G22" s="51">
        <v>44.84</v>
      </c>
      <c r="H22" s="51">
        <v>17.649999999999999</v>
      </c>
      <c r="I22" s="51">
        <v>4.13</v>
      </c>
      <c r="J22" s="51">
        <v>1.54</v>
      </c>
      <c r="K22" s="51">
        <v>299.70999999999998</v>
      </c>
      <c r="L22" s="51">
        <v>38.450000000000003</v>
      </c>
      <c r="M22" s="51">
        <v>42.67</v>
      </c>
      <c r="N22" s="51">
        <v>689.4</v>
      </c>
      <c r="O22" s="51">
        <v>0</v>
      </c>
      <c r="P22" s="51">
        <v>0.51</v>
      </c>
      <c r="Q22" s="51">
        <v>9.2799999999999994</v>
      </c>
      <c r="R22" s="43"/>
      <c r="S22" s="43"/>
      <c r="T22" s="43"/>
      <c r="U22" s="43"/>
    </row>
    <row r="23" spans="1:21" s="11" customFormat="1" x14ac:dyDescent="0.25">
      <c r="A23" s="50" t="s">
        <v>266</v>
      </c>
      <c r="B23" s="51">
        <v>4.96</v>
      </c>
      <c r="C23" s="51">
        <v>20.8</v>
      </c>
      <c r="D23" s="51">
        <v>32.76</v>
      </c>
      <c r="E23" s="51">
        <v>7.96</v>
      </c>
      <c r="F23" s="51">
        <v>23.92</v>
      </c>
      <c r="G23" s="51">
        <v>47.27</v>
      </c>
      <c r="H23" s="51">
        <v>19.38</v>
      </c>
      <c r="I23" s="51">
        <v>3.97</v>
      </c>
      <c r="J23" s="51">
        <v>0.69</v>
      </c>
      <c r="K23" s="51">
        <v>199.45</v>
      </c>
      <c r="L23" s="51">
        <v>37.31</v>
      </c>
      <c r="M23" s="51">
        <v>37.56</v>
      </c>
      <c r="N23" s="51">
        <v>430.5</v>
      </c>
      <c r="O23" s="51">
        <v>0</v>
      </c>
      <c r="P23" s="51">
        <v>0.47</v>
      </c>
      <c r="Q23" s="51">
        <v>9.25</v>
      </c>
      <c r="R23" s="43"/>
      <c r="S23" s="43"/>
      <c r="T23" s="43"/>
      <c r="U23" s="43"/>
    </row>
    <row r="24" spans="1:21" s="11" customFormat="1" x14ac:dyDescent="0.25">
      <c r="A24" s="50" t="s">
        <v>267</v>
      </c>
      <c r="B24" s="51">
        <v>4.07</v>
      </c>
      <c r="C24" s="51">
        <v>23.48</v>
      </c>
      <c r="D24" s="51">
        <v>38.83</v>
      </c>
      <c r="E24" s="51">
        <v>7.85</v>
      </c>
      <c r="F24" s="51">
        <v>21.21</v>
      </c>
      <c r="G24" s="51">
        <v>50.79</v>
      </c>
      <c r="H24" s="51">
        <v>19.79</v>
      </c>
      <c r="I24" s="51">
        <v>4.0599999999999996</v>
      </c>
      <c r="J24" s="51">
        <v>0.51</v>
      </c>
      <c r="K24" s="51">
        <v>293.19</v>
      </c>
      <c r="L24" s="51">
        <v>36.93</v>
      </c>
      <c r="M24" s="51">
        <v>42.07</v>
      </c>
      <c r="N24" s="51">
        <v>249.1</v>
      </c>
      <c r="O24" s="51">
        <v>0</v>
      </c>
      <c r="P24" s="51">
        <v>0.65</v>
      </c>
      <c r="Q24" s="51">
        <v>9.23</v>
      </c>
      <c r="R24" s="43"/>
      <c r="S24" s="43"/>
      <c r="T24" s="43"/>
      <c r="U24" s="43"/>
    </row>
    <row r="25" spans="1:21" s="11" customFormat="1" x14ac:dyDescent="0.25">
      <c r="A25" s="50" t="s">
        <v>268</v>
      </c>
      <c r="B25" s="51">
        <v>4.07</v>
      </c>
      <c r="C25" s="51">
        <v>22.37</v>
      </c>
      <c r="D25" s="51">
        <v>36.56</v>
      </c>
      <c r="E25" s="51">
        <v>6.48</v>
      </c>
      <c r="F25" s="51">
        <v>18.7</v>
      </c>
      <c r="G25" s="51">
        <v>54.81</v>
      </c>
      <c r="H25" s="51">
        <v>21.15</v>
      </c>
      <c r="I25" s="51">
        <v>4.17</v>
      </c>
      <c r="J25" s="51">
        <v>0.33</v>
      </c>
      <c r="K25" s="51">
        <v>273.69</v>
      </c>
      <c r="L25" s="51">
        <v>33</v>
      </c>
      <c r="M25" s="51">
        <v>44.43</v>
      </c>
      <c r="N25" s="51">
        <v>135.69999999999999</v>
      </c>
      <c r="O25" s="51">
        <v>0</v>
      </c>
      <c r="P25" s="51">
        <v>0.54</v>
      </c>
      <c r="Q25" s="51">
        <v>9.24</v>
      </c>
      <c r="R25" s="43"/>
      <c r="S25" s="43"/>
      <c r="T25" s="43"/>
      <c r="U25" s="43"/>
    </row>
    <row r="26" spans="1:21" s="11" customFormat="1" x14ac:dyDescent="0.25">
      <c r="A26" s="50" t="s">
        <v>269</v>
      </c>
      <c r="B26" s="51">
        <v>4.95</v>
      </c>
      <c r="C26" s="51">
        <v>25.25</v>
      </c>
      <c r="D26" s="51">
        <v>40.72</v>
      </c>
      <c r="E26" s="51">
        <v>7.41</v>
      </c>
      <c r="F26" s="51">
        <v>14.96</v>
      </c>
      <c r="G26" s="51">
        <v>46.66</v>
      </c>
      <c r="H26" s="51">
        <v>10.81</v>
      </c>
      <c r="I26" s="51">
        <v>4.0199999999999996</v>
      </c>
      <c r="J26" s="51">
        <v>0.21</v>
      </c>
      <c r="K26" s="51">
        <v>327.23</v>
      </c>
      <c r="L26" s="51">
        <v>33.020000000000003</v>
      </c>
      <c r="M26" s="51">
        <v>44.07</v>
      </c>
      <c r="N26" s="51">
        <v>106.8</v>
      </c>
      <c r="O26" s="51">
        <v>0</v>
      </c>
      <c r="P26" s="51">
        <v>0.64</v>
      </c>
      <c r="Q26" s="51">
        <v>9.3000000000000007</v>
      </c>
      <c r="R26" s="43"/>
      <c r="S26" s="43"/>
      <c r="T26" s="43"/>
      <c r="U26" s="43"/>
    </row>
    <row r="27" spans="1:21" s="11" customFormat="1" x14ac:dyDescent="0.25">
      <c r="A27" s="50" t="s">
        <v>270</v>
      </c>
      <c r="B27" s="51">
        <v>8.01</v>
      </c>
      <c r="C27" s="51">
        <v>33.25</v>
      </c>
      <c r="D27" s="51">
        <v>51.34</v>
      </c>
      <c r="E27" s="51">
        <v>7.4</v>
      </c>
      <c r="F27" s="51">
        <v>22.09</v>
      </c>
      <c r="G27" s="51">
        <v>49.37</v>
      </c>
      <c r="H27" s="51">
        <v>13.56</v>
      </c>
      <c r="I27" s="51">
        <v>4.09</v>
      </c>
      <c r="J27" s="51">
        <v>0.21</v>
      </c>
      <c r="K27" s="51">
        <v>332.81</v>
      </c>
      <c r="L27" s="51">
        <v>31.97</v>
      </c>
      <c r="M27" s="51">
        <v>49.89</v>
      </c>
      <c r="N27" s="51">
        <v>71.2</v>
      </c>
      <c r="O27" s="51">
        <v>0</v>
      </c>
      <c r="P27" s="51">
        <v>0.66</v>
      </c>
      <c r="Q27" s="51">
        <v>9.34</v>
      </c>
      <c r="R27" s="43"/>
      <c r="S27" s="43"/>
      <c r="T27" s="43"/>
      <c r="U27" s="43"/>
    </row>
    <row r="28" spans="1:21" s="11" customFormat="1" x14ac:dyDescent="0.25">
      <c r="A28" s="50" t="s">
        <v>271</v>
      </c>
      <c r="B28" s="51">
        <v>5.3</v>
      </c>
      <c r="C28" s="51">
        <v>27.52</v>
      </c>
      <c r="D28" s="51">
        <v>44.53</v>
      </c>
      <c r="E28" s="51">
        <v>6.74</v>
      </c>
      <c r="F28" s="51">
        <v>12.29</v>
      </c>
      <c r="G28" s="51">
        <v>51.18</v>
      </c>
      <c r="H28" s="51">
        <v>17.82</v>
      </c>
      <c r="I28" s="51">
        <v>4.0999999999999996</v>
      </c>
      <c r="J28" s="51">
        <v>0.57999999999999996</v>
      </c>
      <c r="K28" s="51">
        <v>172.34</v>
      </c>
      <c r="L28" s="51">
        <v>30.65</v>
      </c>
      <c r="M28" s="51">
        <v>60.03</v>
      </c>
      <c r="N28" s="51">
        <v>52.5</v>
      </c>
      <c r="O28" s="51">
        <v>0</v>
      </c>
      <c r="P28" s="51">
        <v>0.55000000000000004</v>
      </c>
      <c r="Q28" s="51">
        <v>9.35</v>
      </c>
      <c r="R28" s="43"/>
      <c r="S28" s="43"/>
      <c r="T28" s="43"/>
      <c r="U28" s="43"/>
    </row>
    <row r="29" spans="1:21" s="11" customFormat="1" x14ac:dyDescent="0.25">
      <c r="A29" s="50" t="s">
        <v>272</v>
      </c>
      <c r="B29" s="51">
        <v>5.9</v>
      </c>
      <c r="C29" s="51">
        <v>25.96</v>
      </c>
      <c r="D29" s="51">
        <v>41.29</v>
      </c>
      <c r="E29" s="51">
        <v>6.14</v>
      </c>
      <c r="F29" s="51">
        <v>11.55</v>
      </c>
      <c r="G29" s="51">
        <v>45.63</v>
      </c>
      <c r="H29" s="51">
        <v>16.05</v>
      </c>
      <c r="I29" s="51">
        <v>4.05</v>
      </c>
      <c r="J29" s="51">
        <v>0.18</v>
      </c>
      <c r="K29" s="51">
        <v>194.61</v>
      </c>
      <c r="L29" s="51">
        <v>29.69</v>
      </c>
      <c r="M29" s="51">
        <v>51.2</v>
      </c>
      <c r="N29" s="51">
        <v>52.5</v>
      </c>
      <c r="O29" s="51">
        <v>0</v>
      </c>
      <c r="P29" s="51">
        <v>0.52</v>
      </c>
      <c r="Q29" s="51">
        <v>9.36</v>
      </c>
      <c r="R29" s="43"/>
      <c r="S29" s="43"/>
      <c r="T29" s="43"/>
      <c r="U29" s="43"/>
    </row>
    <row r="30" spans="1:21" s="11" customFormat="1" x14ac:dyDescent="0.25">
      <c r="A30" s="50" t="s">
        <v>273</v>
      </c>
      <c r="B30" s="51">
        <v>6.29</v>
      </c>
      <c r="C30" s="51">
        <v>27.6</v>
      </c>
      <c r="D30" s="51">
        <v>45.23</v>
      </c>
      <c r="E30" s="51">
        <v>6.12</v>
      </c>
      <c r="F30" s="51">
        <v>14.86</v>
      </c>
      <c r="G30" s="51">
        <v>43.37</v>
      </c>
      <c r="H30" s="51">
        <v>12.28</v>
      </c>
      <c r="I30" s="51">
        <v>4.04</v>
      </c>
      <c r="J30" s="51">
        <v>0.25</v>
      </c>
      <c r="K30" s="51">
        <v>229.8</v>
      </c>
      <c r="L30" s="51">
        <v>29.06</v>
      </c>
      <c r="M30" s="51">
        <v>54.09</v>
      </c>
      <c r="N30" s="51">
        <v>52.4</v>
      </c>
      <c r="O30" s="51">
        <v>0</v>
      </c>
      <c r="P30" s="51">
        <v>0.49</v>
      </c>
      <c r="Q30" s="51">
        <v>9.3699999999999992</v>
      </c>
      <c r="R30" s="43"/>
      <c r="S30" s="43"/>
      <c r="T30" s="43"/>
      <c r="U30" s="43"/>
    </row>
    <row r="31" spans="1:21" s="11" customFormat="1" x14ac:dyDescent="0.25">
      <c r="A31" s="50" t="s">
        <v>274</v>
      </c>
      <c r="B31" s="51">
        <v>5.76</v>
      </c>
      <c r="C31" s="51">
        <v>25.36</v>
      </c>
      <c r="D31" s="51">
        <v>40.619999999999997</v>
      </c>
      <c r="E31" s="51">
        <v>6.57</v>
      </c>
      <c r="F31" s="51">
        <v>16.55</v>
      </c>
      <c r="G31" s="51">
        <v>42.71</v>
      </c>
      <c r="H31" s="51">
        <v>13.01</v>
      </c>
      <c r="I31" s="51">
        <v>4.07</v>
      </c>
      <c r="J31" s="51">
        <v>0.11</v>
      </c>
      <c r="K31" s="51">
        <v>300.64999999999998</v>
      </c>
      <c r="L31" s="51">
        <v>28.53</v>
      </c>
      <c r="M31" s="51">
        <v>56.67</v>
      </c>
      <c r="N31" s="51">
        <v>52.3</v>
      </c>
      <c r="O31" s="51">
        <v>0</v>
      </c>
      <c r="P31" s="51">
        <v>0.41</v>
      </c>
      <c r="Q31" s="51">
        <v>9.3699999999999992</v>
      </c>
      <c r="R31" s="43"/>
      <c r="S31" s="43"/>
      <c r="T31" s="43"/>
      <c r="U31" s="43"/>
    </row>
    <row r="32" spans="1:21" s="11" customFormat="1" x14ac:dyDescent="0.25">
      <c r="A32" s="50" t="s">
        <v>275</v>
      </c>
      <c r="B32" s="51">
        <v>5.93</v>
      </c>
      <c r="C32" s="51">
        <v>21.7</v>
      </c>
      <c r="D32" s="51">
        <v>32.75</v>
      </c>
      <c r="E32" s="51">
        <v>6.42</v>
      </c>
      <c r="F32" s="51">
        <v>14.17</v>
      </c>
      <c r="G32" s="51">
        <v>40.06</v>
      </c>
      <c r="H32" s="51">
        <v>12.46</v>
      </c>
      <c r="I32" s="51">
        <v>4.09</v>
      </c>
      <c r="J32" s="51">
        <v>0.54</v>
      </c>
      <c r="K32" s="51">
        <v>212.18</v>
      </c>
      <c r="L32" s="51">
        <v>28.41</v>
      </c>
      <c r="M32" s="51">
        <v>63.52</v>
      </c>
      <c r="N32" s="51">
        <v>52.5</v>
      </c>
      <c r="O32" s="51">
        <v>0</v>
      </c>
      <c r="P32" s="51">
        <v>0.41</v>
      </c>
      <c r="Q32" s="51">
        <v>9.3699999999999992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4.07</v>
      </c>
      <c r="C34" s="28">
        <f t="shared" si="0"/>
        <v>17.829999999999998</v>
      </c>
      <c r="D34" s="28">
        <f t="shared" si="0"/>
        <v>26.24</v>
      </c>
      <c r="E34" s="28">
        <f t="shared" si="0"/>
        <v>5.38</v>
      </c>
      <c r="F34" s="28">
        <f t="shared" si="0"/>
        <v>6.47</v>
      </c>
      <c r="G34" s="28">
        <f t="shared" si="0"/>
        <v>26.11</v>
      </c>
      <c r="H34" s="28">
        <f t="shared" si="0"/>
        <v>-6.9</v>
      </c>
      <c r="I34" s="28">
        <f t="shared" si="0"/>
        <v>3.97</v>
      </c>
      <c r="J34" s="28">
        <f t="shared" si="0"/>
        <v>0.11</v>
      </c>
      <c r="K34" s="28">
        <f t="shared" si="0"/>
        <v>157.22999999999999</v>
      </c>
      <c r="L34" s="28">
        <f t="shared" si="0"/>
        <v>26.64</v>
      </c>
      <c r="M34" s="28">
        <f t="shared" si="0"/>
        <v>37.56</v>
      </c>
      <c r="N34" s="28">
        <f t="shared" si="0"/>
        <v>52.3</v>
      </c>
      <c r="O34" s="28">
        <f t="shared" si="0"/>
        <v>0</v>
      </c>
      <c r="P34" s="28">
        <f t="shared" si="0"/>
        <v>0.27</v>
      </c>
      <c r="Q34" s="28">
        <f t="shared" si="0"/>
        <v>9.23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8.01</v>
      </c>
      <c r="C35" s="29">
        <f t="shared" si="1"/>
        <v>33.25</v>
      </c>
      <c r="D35" s="29">
        <f t="shared" si="1"/>
        <v>51.34</v>
      </c>
      <c r="E35" s="29">
        <f t="shared" si="1"/>
        <v>7.96</v>
      </c>
      <c r="F35" s="29">
        <f t="shared" si="1"/>
        <v>23.95</v>
      </c>
      <c r="G35" s="29">
        <f t="shared" si="1"/>
        <v>54.81</v>
      </c>
      <c r="H35" s="29">
        <f t="shared" si="1"/>
        <v>21.15</v>
      </c>
      <c r="I35" s="29">
        <f t="shared" si="1"/>
        <v>4.25</v>
      </c>
      <c r="J35" s="29">
        <f t="shared" si="1"/>
        <v>1.54</v>
      </c>
      <c r="K35" s="29">
        <f t="shared" si="1"/>
        <v>337.21</v>
      </c>
      <c r="L35" s="29">
        <f t="shared" si="1"/>
        <v>38.450000000000003</v>
      </c>
      <c r="M35" s="29">
        <f t="shared" si="1"/>
        <v>72.98</v>
      </c>
      <c r="N35" s="29">
        <f t="shared" si="1"/>
        <v>850.1</v>
      </c>
      <c r="O35" s="29">
        <f t="shared" si="1"/>
        <v>0</v>
      </c>
      <c r="P35" s="29">
        <f t="shared" si="1"/>
        <v>0.66</v>
      </c>
      <c r="Q35" s="29">
        <f t="shared" si="1"/>
        <v>9.3699999999999992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5.5166666666666666</v>
      </c>
      <c r="C36" s="28">
        <f t="shared" si="2"/>
        <v>22.751249999999999</v>
      </c>
      <c r="D36" s="28">
        <f t="shared" si="2"/>
        <v>35.419999999999995</v>
      </c>
      <c r="E36" s="28">
        <f t="shared" si="2"/>
        <v>6.339999999999999</v>
      </c>
      <c r="F36" s="28">
        <f t="shared" si="2"/>
        <v>15.000833333333334</v>
      </c>
      <c r="G36" s="28">
        <f t="shared" si="2"/>
        <v>39.684583333333329</v>
      </c>
      <c r="H36" s="28">
        <f t="shared" si="2"/>
        <v>12.874999999999998</v>
      </c>
      <c r="I36" s="28">
        <f t="shared" si="2"/>
        <v>4.0841666666666674</v>
      </c>
      <c r="J36" s="28">
        <f t="shared" si="2"/>
        <v>0.46749999999999997</v>
      </c>
      <c r="K36" s="28">
        <f t="shared" si="2"/>
        <v>252.37750000000003</v>
      </c>
      <c r="L36" s="28">
        <f t="shared" si="2"/>
        <v>31.445416666666659</v>
      </c>
      <c r="M36" s="28">
        <f t="shared" si="2"/>
        <v>55.428333333333335</v>
      </c>
      <c r="N36" s="28">
        <f t="shared" si="2"/>
        <v>296.78333333333336</v>
      </c>
      <c r="O36" s="28">
        <f t="shared" si="2"/>
        <v>0</v>
      </c>
      <c r="P36" s="28">
        <f t="shared" si="2"/>
        <v>0.43291666666666667</v>
      </c>
      <c r="Q36" s="28">
        <f t="shared" si="2"/>
        <v>9.3108333333333348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1.1282524642952987</v>
      </c>
      <c r="C37" s="28">
        <f t="shared" ref="C37:Q37" si="3">STDEV(C9:C32)</f>
        <v>3.4981589101796917</v>
      </c>
      <c r="D37" s="28">
        <f t="shared" si="3"/>
        <v>6.2319890048460538</v>
      </c>
      <c r="E37" s="28">
        <f t="shared" si="3"/>
        <v>0.89018806024834463</v>
      </c>
      <c r="F37" s="28">
        <f t="shared" si="3"/>
        <v>5.2081440545316653</v>
      </c>
      <c r="G37" s="28">
        <f t="shared" si="3"/>
        <v>8.3050031956472186</v>
      </c>
      <c r="H37" s="28">
        <f t="shared" si="3"/>
        <v>5.7802738012477697</v>
      </c>
      <c r="I37" s="28">
        <f t="shared" si="3"/>
        <v>7.3242697612957972E-2</v>
      </c>
      <c r="J37" s="28">
        <f t="shared" si="3"/>
        <v>0.31287238682054169</v>
      </c>
      <c r="K37" s="28">
        <f t="shared" si="3"/>
        <v>59.114396631704054</v>
      </c>
      <c r="L37" s="28">
        <f t="shared" si="3"/>
        <v>3.7963655149614932</v>
      </c>
      <c r="M37" s="28">
        <f t="shared" si="3"/>
        <v>10.766827342095356</v>
      </c>
      <c r="N37" s="28">
        <f t="shared" si="3"/>
        <v>289.98298100985568</v>
      </c>
      <c r="O37" s="28">
        <f t="shared" si="3"/>
        <v>0</v>
      </c>
      <c r="P37" s="28">
        <f t="shared" si="3"/>
        <v>0.11885245389600275</v>
      </c>
      <c r="Q37" s="28">
        <f t="shared" si="3"/>
        <v>4.3430771165821537E-2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25" sqref="E25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276</v>
      </c>
      <c r="B9" s="51">
        <v>5.76</v>
      </c>
      <c r="C9" s="51">
        <v>19.350000000000001</v>
      </c>
      <c r="D9" s="51">
        <v>28.2</v>
      </c>
      <c r="E9" s="51">
        <v>6.01</v>
      </c>
      <c r="F9" s="51">
        <v>11.7</v>
      </c>
      <c r="G9" s="51">
        <v>39.369999999999997</v>
      </c>
      <c r="H9" s="51">
        <v>13.23</v>
      </c>
      <c r="I9" s="51">
        <v>4.09</v>
      </c>
      <c r="J9" s="51">
        <v>0.24</v>
      </c>
      <c r="K9" s="51">
        <v>197.16</v>
      </c>
      <c r="L9" s="51">
        <v>27.67</v>
      </c>
      <c r="M9" s="51">
        <v>69.599999999999994</v>
      </c>
      <c r="N9" s="51">
        <v>52.4</v>
      </c>
      <c r="O9" s="51">
        <v>0</v>
      </c>
      <c r="P9" s="51">
        <v>0.37</v>
      </c>
      <c r="Q9" s="51">
        <v>9.34</v>
      </c>
      <c r="R9" s="43"/>
      <c r="S9" s="43"/>
      <c r="T9" s="43"/>
      <c r="U9" s="43"/>
    </row>
    <row r="10" spans="1:21" s="11" customFormat="1" x14ac:dyDescent="0.25">
      <c r="A10" s="50" t="s">
        <v>277</v>
      </c>
      <c r="B10" s="51">
        <v>5.59</v>
      </c>
      <c r="C10" s="51">
        <v>17.489999999999998</v>
      </c>
      <c r="D10" s="51">
        <v>25.15</v>
      </c>
      <c r="E10" s="51">
        <v>6.05</v>
      </c>
      <c r="F10" s="51">
        <v>12.66</v>
      </c>
      <c r="G10" s="51">
        <v>35.61</v>
      </c>
      <c r="H10" s="51">
        <v>10.31</v>
      </c>
      <c r="I10" s="51">
        <v>4.17</v>
      </c>
      <c r="J10" s="51">
        <v>0.13</v>
      </c>
      <c r="K10" s="51">
        <v>248.18</v>
      </c>
      <c r="L10" s="51">
        <v>27.37</v>
      </c>
      <c r="M10" s="51">
        <v>74.239999999999995</v>
      </c>
      <c r="N10" s="51">
        <v>52.4</v>
      </c>
      <c r="O10" s="51">
        <v>0</v>
      </c>
      <c r="P10" s="51">
        <v>0.4</v>
      </c>
      <c r="Q10" s="51">
        <v>9.3000000000000007</v>
      </c>
      <c r="R10" s="43"/>
      <c r="S10" s="43"/>
      <c r="T10" s="43"/>
      <c r="U10" s="43"/>
    </row>
    <row r="11" spans="1:21" s="11" customFormat="1" x14ac:dyDescent="0.25">
      <c r="A11" s="50" t="s">
        <v>278</v>
      </c>
      <c r="B11" s="51">
        <v>4.99</v>
      </c>
      <c r="C11" s="51">
        <v>15.27</v>
      </c>
      <c r="D11" s="51">
        <v>21.57</v>
      </c>
      <c r="E11" s="51">
        <v>6.03</v>
      </c>
      <c r="F11" s="51">
        <v>13.97</v>
      </c>
      <c r="G11" s="51">
        <v>31.2</v>
      </c>
      <c r="H11" s="51">
        <v>6.88</v>
      </c>
      <c r="I11" s="51">
        <v>4.0199999999999996</v>
      </c>
      <c r="J11" s="51">
        <v>0.17</v>
      </c>
      <c r="K11" s="51">
        <v>238.19</v>
      </c>
      <c r="L11" s="51">
        <v>26.98</v>
      </c>
      <c r="M11" s="51">
        <v>80.34</v>
      </c>
      <c r="N11" s="51">
        <v>52.2</v>
      </c>
      <c r="O11" s="51">
        <v>0</v>
      </c>
      <c r="P11" s="51">
        <v>0.34</v>
      </c>
      <c r="Q11" s="51">
        <v>9.3000000000000007</v>
      </c>
      <c r="R11" s="43"/>
      <c r="S11" s="43"/>
      <c r="T11" s="43"/>
      <c r="U11" s="43"/>
    </row>
    <row r="12" spans="1:21" s="11" customFormat="1" x14ac:dyDescent="0.25">
      <c r="A12" s="50" t="s">
        <v>279</v>
      </c>
      <c r="B12" s="51">
        <v>5.51</v>
      </c>
      <c r="C12" s="51">
        <v>16.170000000000002</v>
      </c>
      <c r="D12" s="51">
        <v>22.49</v>
      </c>
      <c r="E12" s="51">
        <v>6.23</v>
      </c>
      <c r="F12" s="51">
        <v>11.67</v>
      </c>
      <c r="G12" s="51">
        <v>31.53</v>
      </c>
      <c r="H12" s="51">
        <v>6.75</v>
      </c>
      <c r="I12" s="51">
        <v>4.1100000000000003</v>
      </c>
      <c r="J12" s="51">
        <v>0.25</v>
      </c>
      <c r="K12" s="51">
        <v>274.08</v>
      </c>
      <c r="L12" s="51">
        <v>26.71</v>
      </c>
      <c r="M12" s="51">
        <v>84.44</v>
      </c>
      <c r="N12" s="51">
        <v>52.3</v>
      </c>
      <c r="O12" s="51">
        <v>0</v>
      </c>
      <c r="P12" s="51">
        <v>0.33</v>
      </c>
      <c r="Q12" s="51">
        <v>9.31</v>
      </c>
      <c r="R12" s="43"/>
      <c r="S12" s="43"/>
      <c r="T12" s="43"/>
      <c r="U12" s="43"/>
    </row>
    <row r="13" spans="1:21" s="11" customFormat="1" x14ac:dyDescent="0.25">
      <c r="A13" s="50" t="s">
        <v>280</v>
      </c>
      <c r="B13" s="51">
        <v>7.02</v>
      </c>
      <c r="C13" s="51">
        <v>18.260000000000002</v>
      </c>
      <c r="D13" s="51">
        <v>24.17</v>
      </c>
      <c r="E13" s="51">
        <v>6.04</v>
      </c>
      <c r="F13" s="51">
        <v>6.73</v>
      </c>
      <c r="G13" s="51">
        <v>30.81</v>
      </c>
      <c r="H13" s="51">
        <v>11.77</v>
      </c>
      <c r="I13" s="51">
        <v>4.01</v>
      </c>
      <c r="J13" s="51">
        <v>0.16</v>
      </c>
      <c r="K13" s="51">
        <v>301.95999999999998</v>
      </c>
      <c r="L13" s="51">
        <v>26.35</v>
      </c>
      <c r="M13" s="51">
        <v>85.04</v>
      </c>
      <c r="N13" s="51">
        <v>52.3</v>
      </c>
      <c r="O13" s="51">
        <v>0</v>
      </c>
      <c r="P13" s="51">
        <v>0.35</v>
      </c>
      <c r="Q13" s="51">
        <v>9.31</v>
      </c>
      <c r="R13" s="43"/>
      <c r="S13" s="43"/>
      <c r="T13" s="43"/>
      <c r="U13" s="43"/>
    </row>
    <row r="14" spans="1:21" s="11" customFormat="1" x14ac:dyDescent="0.25">
      <c r="A14" s="50" t="s">
        <v>281</v>
      </c>
      <c r="B14" s="51">
        <v>6.67</v>
      </c>
      <c r="C14" s="51">
        <v>19.64</v>
      </c>
      <c r="D14" s="51">
        <v>28.62</v>
      </c>
      <c r="E14" s="51">
        <v>5.96</v>
      </c>
      <c r="F14" s="51">
        <v>5</v>
      </c>
      <c r="G14" s="51">
        <v>28.13</v>
      </c>
      <c r="H14" s="51">
        <v>17.260000000000002</v>
      </c>
      <c r="I14" s="51">
        <v>4.1399999999999997</v>
      </c>
      <c r="J14" s="51">
        <v>0.19</v>
      </c>
      <c r="K14" s="51">
        <v>295.20999999999998</v>
      </c>
      <c r="L14" s="51">
        <v>26.33</v>
      </c>
      <c r="M14" s="51">
        <v>71.89</v>
      </c>
      <c r="N14" s="51">
        <v>70.8</v>
      </c>
      <c r="O14" s="51">
        <v>0</v>
      </c>
      <c r="P14" s="51">
        <v>0.35</v>
      </c>
      <c r="Q14" s="51">
        <v>9.2799999999999994</v>
      </c>
      <c r="R14" s="43"/>
      <c r="S14" s="43"/>
      <c r="T14" s="43"/>
      <c r="U14" s="43"/>
    </row>
    <row r="15" spans="1:21" s="11" customFormat="1" x14ac:dyDescent="0.25">
      <c r="A15" s="50" t="s">
        <v>282</v>
      </c>
      <c r="B15" s="51">
        <v>9.75</v>
      </c>
      <c r="C15" s="51">
        <v>26.05</v>
      </c>
      <c r="D15" s="51">
        <v>34.89</v>
      </c>
      <c r="E15" s="51">
        <v>5.97</v>
      </c>
      <c r="F15" s="51">
        <v>8.31</v>
      </c>
      <c r="G15" s="51">
        <v>29.01</v>
      </c>
      <c r="H15" s="51">
        <v>15.42</v>
      </c>
      <c r="I15" s="51">
        <v>4.0999999999999996</v>
      </c>
      <c r="J15" s="51">
        <v>0.17</v>
      </c>
      <c r="K15" s="51">
        <v>291.81</v>
      </c>
      <c r="L15" s="51">
        <v>26.9</v>
      </c>
      <c r="M15" s="51">
        <v>72.42</v>
      </c>
      <c r="N15" s="51">
        <v>169.8</v>
      </c>
      <c r="O15" s="51">
        <v>0</v>
      </c>
      <c r="P15" s="51">
        <v>0.36</v>
      </c>
      <c r="Q15" s="51">
        <v>9.3000000000000007</v>
      </c>
      <c r="R15" s="43"/>
      <c r="S15" s="43"/>
      <c r="T15" s="43"/>
      <c r="U15" s="43"/>
    </row>
    <row r="16" spans="1:21" s="11" customFormat="1" x14ac:dyDescent="0.25">
      <c r="A16" s="50" t="s">
        <v>283</v>
      </c>
      <c r="B16" s="51">
        <v>8.07</v>
      </c>
      <c r="C16" s="51">
        <v>22.14</v>
      </c>
      <c r="D16" s="51">
        <v>31.29</v>
      </c>
      <c r="E16" s="51">
        <v>5.86</v>
      </c>
      <c r="F16" s="51">
        <v>8.2100000000000009</v>
      </c>
      <c r="G16" s="51">
        <v>31.87</v>
      </c>
      <c r="H16" s="51">
        <v>14.79</v>
      </c>
      <c r="I16" s="51">
        <v>4.1900000000000004</v>
      </c>
      <c r="J16" s="51">
        <v>0.22</v>
      </c>
      <c r="K16" s="51">
        <v>285.27</v>
      </c>
      <c r="L16" s="51">
        <v>28.17</v>
      </c>
      <c r="M16" s="51">
        <v>70.430000000000007</v>
      </c>
      <c r="N16" s="51">
        <v>239.6</v>
      </c>
      <c r="O16" s="51">
        <v>0</v>
      </c>
      <c r="P16" s="51">
        <v>0.44</v>
      </c>
      <c r="Q16" s="51">
        <v>9.34</v>
      </c>
      <c r="R16" s="43"/>
      <c r="S16" s="43"/>
      <c r="T16" s="43"/>
      <c r="U16" s="43"/>
    </row>
    <row r="17" spans="1:21" s="11" customFormat="1" x14ac:dyDescent="0.25">
      <c r="A17" s="50" t="s">
        <v>284</v>
      </c>
      <c r="B17" s="51">
        <v>8.6999999999999993</v>
      </c>
      <c r="C17" s="51">
        <v>25.61</v>
      </c>
      <c r="D17" s="51">
        <v>35.659999999999997</v>
      </c>
      <c r="E17" s="51">
        <v>5.76</v>
      </c>
      <c r="F17" s="51">
        <v>7.01</v>
      </c>
      <c r="G17" s="51">
        <v>37.42</v>
      </c>
      <c r="H17" s="51">
        <v>16.7</v>
      </c>
      <c r="I17" s="51">
        <v>4.04</v>
      </c>
      <c r="J17" s="51">
        <v>0.23</v>
      </c>
      <c r="K17" s="51">
        <v>302.85000000000002</v>
      </c>
      <c r="L17" s="51">
        <v>30.62</v>
      </c>
      <c r="M17" s="51">
        <v>63.33</v>
      </c>
      <c r="N17" s="51">
        <v>383</v>
      </c>
      <c r="O17" s="51">
        <v>0</v>
      </c>
      <c r="P17" s="51">
        <v>0.83</v>
      </c>
      <c r="Q17" s="51">
        <v>9.35</v>
      </c>
      <c r="R17" s="43"/>
      <c r="S17" s="43"/>
      <c r="T17" s="43"/>
      <c r="U17" s="43"/>
    </row>
    <row r="18" spans="1:21" s="11" customFormat="1" x14ac:dyDescent="0.25">
      <c r="A18" s="50" t="s">
        <v>285</v>
      </c>
      <c r="B18" s="51">
        <v>8.15</v>
      </c>
      <c r="C18" s="51">
        <v>26.63</v>
      </c>
      <c r="D18" s="51">
        <v>38.450000000000003</v>
      </c>
      <c r="E18" s="51">
        <v>6.04</v>
      </c>
      <c r="F18" s="51">
        <v>8.67</v>
      </c>
      <c r="G18" s="51">
        <v>43.71</v>
      </c>
      <c r="H18" s="51">
        <v>17.329999999999998</v>
      </c>
      <c r="I18" s="51">
        <v>4.03</v>
      </c>
      <c r="J18" s="51">
        <v>0.2</v>
      </c>
      <c r="K18" s="51">
        <v>219.92</v>
      </c>
      <c r="L18" s="51">
        <v>30.89</v>
      </c>
      <c r="M18" s="51">
        <v>62.03</v>
      </c>
      <c r="N18" s="51">
        <v>363.2</v>
      </c>
      <c r="O18" s="51">
        <v>0</v>
      </c>
      <c r="P18" s="51">
        <v>0.93</v>
      </c>
      <c r="Q18" s="51">
        <v>9.3800000000000008</v>
      </c>
      <c r="R18" s="43"/>
      <c r="S18" s="43"/>
      <c r="T18" s="43"/>
      <c r="U18" s="43"/>
    </row>
    <row r="19" spans="1:21" s="11" customFormat="1" x14ac:dyDescent="0.25">
      <c r="A19" s="50" t="s">
        <v>286</v>
      </c>
      <c r="B19" s="51">
        <v>6.81</v>
      </c>
      <c r="C19" s="51">
        <v>27.32</v>
      </c>
      <c r="D19" s="51">
        <v>42.42</v>
      </c>
      <c r="E19" s="51">
        <v>6.25</v>
      </c>
      <c r="F19" s="51">
        <v>17.75</v>
      </c>
      <c r="G19" s="51">
        <v>47.36</v>
      </c>
      <c r="H19" s="51">
        <v>19.170000000000002</v>
      </c>
      <c r="I19" s="51">
        <v>4.1100000000000003</v>
      </c>
      <c r="J19" s="51">
        <v>0.4</v>
      </c>
      <c r="K19" s="51">
        <v>163.19</v>
      </c>
      <c r="L19" s="51">
        <v>31.25</v>
      </c>
      <c r="M19" s="51">
        <v>63.07</v>
      </c>
      <c r="N19" s="51">
        <v>442.6</v>
      </c>
      <c r="O19" s="51">
        <v>0</v>
      </c>
      <c r="P19" s="51">
        <v>0.85</v>
      </c>
      <c r="Q19" s="51">
        <v>9.3699999999999992</v>
      </c>
      <c r="R19" s="43"/>
      <c r="S19" s="43"/>
      <c r="T19" s="43"/>
      <c r="U19" s="43"/>
    </row>
    <row r="20" spans="1:21" s="11" customFormat="1" x14ac:dyDescent="0.25">
      <c r="A20" s="50" t="s">
        <v>287</v>
      </c>
      <c r="B20" s="51">
        <v>6.43</v>
      </c>
      <c r="C20" s="51">
        <v>25.9</v>
      </c>
      <c r="D20" s="51">
        <v>39.700000000000003</v>
      </c>
      <c r="E20" s="51">
        <v>12.83</v>
      </c>
      <c r="F20" s="51">
        <v>27.84</v>
      </c>
      <c r="G20" s="51">
        <v>50.15</v>
      </c>
      <c r="H20" s="51">
        <v>17.829999999999998</v>
      </c>
      <c r="I20" s="51">
        <v>4.0199999999999996</v>
      </c>
      <c r="J20" s="51">
        <v>0.69</v>
      </c>
      <c r="K20" s="51">
        <v>176.44</v>
      </c>
      <c r="L20" s="51">
        <v>31.65</v>
      </c>
      <c r="M20" s="51">
        <v>57.01</v>
      </c>
      <c r="N20" s="51">
        <v>459.8</v>
      </c>
      <c r="O20" s="51">
        <v>0</v>
      </c>
      <c r="P20" s="51">
        <v>0.84</v>
      </c>
      <c r="Q20" s="51">
        <v>9.34</v>
      </c>
      <c r="R20" s="43"/>
      <c r="S20" s="43"/>
      <c r="T20" s="43"/>
      <c r="U20" s="43"/>
    </row>
    <row r="21" spans="1:21" s="11" customFormat="1" x14ac:dyDescent="0.25">
      <c r="A21" s="50" t="s">
        <v>288</v>
      </c>
      <c r="B21" s="51">
        <v>5.07</v>
      </c>
      <c r="C21" s="51">
        <v>23.5</v>
      </c>
      <c r="D21" s="51">
        <v>37.200000000000003</v>
      </c>
      <c r="E21" s="51">
        <v>17.36</v>
      </c>
      <c r="F21" s="51">
        <v>32.700000000000003</v>
      </c>
      <c r="G21" s="51">
        <v>55.98</v>
      </c>
      <c r="H21" s="51">
        <v>21.46</v>
      </c>
      <c r="I21" s="51">
        <v>4.05</v>
      </c>
      <c r="J21" s="51">
        <v>0.54</v>
      </c>
      <c r="K21" s="51">
        <v>164.06</v>
      </c>
      <c r="L21" s="51">
        <v>32.549999999999997</v>
      </c>
      <c r="M21" s="51">
        <v>52.38</v>
      </c>
      <c r="N21" s="51">
        <v>419.8</v>
      </c>
      <c r="O21" s="51">
        <v>0</v>
      </c>
      <c r="P21" s="51">
        <v>0.81</v>
      </c>
      <c r="Q21" s="51">
        <v>9.31</v>
      </c>
      <c r="R21" s="43"/>
      <c r="S21" s="43"/>
      <c r="T21" s="43"/>
      <c r="U21" s="43"/>
    </row>
    <row r="22" spans="1:21" s="11" customFormat="1" x14ac:dyDescent="0.25">
      <c r="A22" s="50" t="s">
        <v>289</v>
      </c>
      <c r="B22" s="51">
        <v>5.13</v>
      </c>
      <c r="C22" s="51">
        <v>24.08</v>
      </c>
      <c r="D22" s="51">
        <v>39.03</v>
      </c>
      <c r="E22" s="51">
        <v>22.52</v>
      </c>
      <c r="F22" s="51">
        <v>46.38</v>
      </c>
      <c r="G22" s="51">
        <v>60.83</v>
      </c>
      <c r="H22" s="51">
        <v>23.85</v>
      </c>
      <c r="I22" s="51">
        <v>4.01</v>
      </c>
      <c r="J22" s="51">
        <v>0.43</v>
      </c>
      <c r="K22" s="51">
        <v>149.41</v>
      </c>
      <c r="L22" s="51">
        <v>33.89</v>
      </c>
      <c r="M22" s="51">
        <v>48.9</v>
      </c>
      <c r="N22" s="51">
        <v>515.70000000000005</v>
      </c>
      <c r="O22" s="51">
        <v>0</v>
      </c>
      <c r="P22" s="51">
        <v>0.69</v>
      </c>
      <c r="Q22" s="51">
        <v>9.2899999999999991</v>
      </c>
      <c r="R22" s="43"/>
      <c r="S22" s="43"/>
      <c r="T22" s="43"/>
      <c r="U22" s="43"/>
    </row>
    <row r="23" spans="1:21" s="11" customFormat="1" x14ac:dyDescent="0.25">
      <c r="A23" s="50" t="s">
        <v>290</v>
      </c>
      <c r="B23" s="51">
        <v>4.4400000000000004</v>
      </c>
      <c r="C23" s="51">
        <v>20.66</v>
      </c>
      <c r="D23" s="51">
        <v>32.729999999999997</v>
      </c>
      <c r="E23" s="51">
        <v>22.38</v>
      </c>
      <c r="F23" s="51">
        <v>47.24</v>
      </c>
      <c r="G23" s="51">
        <v>56.33</v>
      </c>
      <c r="H23" s="51">
        <v>43.39</v>
      </c>
      <c r="I23" s="51">
        <v>4.13</v>
      </c>
      <c r="J23" s="51">
        <v>0.74</v>
      </c>
      <c r="K23" s="51">
        <v>168.99</v>
      </c>
      <c r="L23" s="51">
        <v>34.93</v>
      </c>
      <c r="M23" s="51">
        <v>44.5</v>
      </c>
      <c r="N23" s="51">
        <v>365.1</v>
      </c>
      <c r="O23" s="51">
        <v>0</v>
      </c>
      <c r="P23" s="51">
        <v>0.44</v>
      </c>
      <c r="Q23" s="51">
        <v>9.2899999999999991</v>
      </c>
      <c r="R23" s="43"/>
      <c r="S23" s="43"/>
      <c r="T23" s="43"/>
      <c r="U23" s="43"/>
    </row>
    <row r="24" spans="1:21" s="11" customFormat="1" x14ac:dyDescent="0.25">
      <c r="A24" s="50" t="s">
        <v>291</v>
      </c>
      <c r="B24" s="51">
        <v>3.64</v>
      </c>
      <c r="C24" s="51">
        <v>17.61</v>
      </c>
      <c r="D24" s="51">
        <v>28.18</v>
      </c>
      <c r="E24" s="51">
        <v>8.74</v>
      </c>
      <c r="F24" s="51">
        <v>22.04</v>
      </c>
      <c r="G24" s="51">
        <v>62.96</v>
      </c>
      <c r="H24" s="51">
        <v>84.96</v>
      </c>
      <c r="I24" s="51">
        <v>4.05</v>
      </c>
      <c r="J24" s="51">
        <v>0.94</v>
      </c>
      <c r="K24" s="51">
        <v>158.43</v>
      </c>
      <c r="L24" s="51">
        <v>35.479999999999997</v>
      </c>
      <c r="M24" s="51">
        <v>44.79</v>
      </c>
      <c r="N24" s="51">
        <v>462.7</v>
      </c>
      <c r="O24" s="51">
        <v>0</v>
      </c>
      <c r="P24" s="51">
        <v>0.38</v>
      </c>
      <c r="Q24" s="51">
        <v>9.2100000000000009</v>
      </c>
      <c r="R24" s="43"/>
      <c r="S24" s="43"/>
      <c r="T24" s="43"/>
      <c r="U24" s="43"/>
    </row>
    <row r="25" spans="1:21" s="11" customFormat="1" x14ac:dyDescent="0.25">
      <c r="A25" s="50" t="s">
        <v>292</v>
      </c>
      <c r="B25" s="51">
        <v>3.71</v>
      </c>
      <c r="C25" s="51">
        <v>18.8</v>
      </c>
      <c r="D25" s="51">
        <v>30.59</v>
      </c>
      <c r="E25" s="51">
        <v>7.02</v>
      </c>
      <c r="F25" s="51">
        <v>15.34</v>
      </c>
      <c r="G25" s="51">
        <v>56.05</v>
      </c>
      <c r="H25" s="51">
        <v>23.84</v>
      </c>
      <c r="I25" s="51">
        <v>4.13</v>
      </c>
      <c r="J25" s="51">
        <v>1.1299999999999999</v>
      </c>
      <c r="K25" s="51">
        <v>170.26</v>
      </c>
      <c r="L25" s="51">
        <v>33.67</v>
      </c>
      <c r="M25" s="51">
        <v>50.66</v>
      </c>
      <c r="N25" s="51">
        <v>189.7</v>
      </c>
      <c r="O25" s="51">
        <v>0</v>
      </c>
      <c r="P25" s="51">
        <v>0.42</v>
      </c>
      <c r="Q25" s="51">
        <v>9.15</v>
      </c>
      <c r="R25" s="43"/>
      <c r="S25" s="43"/>
      <c r="T25" s="43"/>
      <c r="U25" s="43"/>
    </row>
    <row r="26" spans="1:21" s="11" customFormat="1" x14ac:dyDescent="0.25">
      <c r="A26" s="50" t="s">
        <v>293</v>
      </c>
      <c r="B26" s="51">
        <v>4.13</v>
      </c>
      <c r="C26" s="51">
        <v>18.66</v>
      </c>
      <c r="D26" s="51">
        <v>29.38</v>
      </c>
      <c r="E26" s="51">
        <v>5.64</v>
      </c>
      <c r="F26" s="51">
        <v>13.65</v>
      </c>
      <c r="G26" s="51">
        <v>56.07</v>
      </c>
      <c r="H26" s="51">
        <v>10.89</v>
      </c>
      <c r="I26" s="51">
        <v>4.1399999999999997</v>
      </c>
      <c r="J26" s="51">
        <v>1.47</v>
      </c>
      <c r="K26" s="51">
        <v>153.46</v>
      </c>
      <c r="L26" s="51">
        <v>32.97</v>
      </c>
      <c r="M26" s="51">
        <v>62.18</v>
      </c>
      <c r="N26" s="51">
        <v>168.6</v>
      </c>
      <c r="O26" s="51">
        <v>0</v>
      </c>
      <c r="P26" s="51">
        <v>0.41</v>
      </c>
      <c r="Q26" s="51">
        <v>9.17</v>
      </c>
      <c r="R26" s="43"/>
      <c r="S26" s="43"/>
      <c r="T26" s="43"/>
      <c r="U26" s="43"/>
    </row>
    <row r="27" spans="1:21" s="11" customFormat="1" x14ac:dyDescent="0.25">
      <c r="A27" s="50" t="s">
        <v>294</v>
      </c>
      <c r="B27" s="51">
        <v>6.6</v>
      </c>
      <c r="C27" s="51">
        <v>27.07</v>
      </c>
      <c r="D27" s="51">
        <v>41.69</v>
      </c>
      <c r="E27" s="51">
        <v>5.97</v>
      </c>
      <c r="F27" s="51">
        <v>14.85</v>
      </c>
      <c r="G27" s="51">
        <v>54.37</v>
      </c>
      <c r="H27" s="51">
        <v>12.87</v>
      </c>
      <c r="I27" s="51">
        <v>4.09</v>
      </c>
      <c r="J27" s="51">
        <v>1.61</v>
      </c>
      <c r="K27" s="51">
        <v>339.51</v>
      </c>
      <c r="L27" s="51">
        <v>30.9</v>
      </c>
      <c r="M27" s="51">
        <v>64.11</v>
      </c>
      <c r="N27" s="51">
        <v>89</v>
      </c>
      <c r="O27" s="51">
        <v>0</v>
      </c>
      <c r="P27" s="51">
        <v>0.59</v>
      </c>
      <c r="Q27" s="51">
        <v>9.25</v>
      </c>
      <c r="R27" s="43"/>
      <c r="S27" s="43"/>
      <c r="T27" s="43"/>
      <c r="U27" s="43"/>
    </row>
    <row r="28" spans="1:21" s="11" customFormat="1" x14ac:dyDescent="0.25">
      <c r="A28" s="50" t="s">
        <v>295</v>
      </c>
      <c r="B28" s="51">
        <v>5.49</v>
      </c>
      <c r="C28" s="51">
        <v>21.27</v>
      </c>
      <c r="D28" s="51">
        <v>32.44</v>
      </c>
      <c r="E28" s="51">
        <v>5.77</v>
      </c>
      <c r="F28" s="51">
        <v>8.09</v>
      </c>
      <c r="G28" s="51">
        <v>63.93</v>
      </c>
      <c r="H28" s="51">
        <v>14.73</v>
      </c>
      <c r="I28" s="51">
        <v>4.1100000000000003</v>
      </c>
      <c r="J28" s="51">
        <v>2.78</v>
      </c>
      <c r="K28" s="51">
        <v>358.4</v>
      </c>
      <c r="L28" s="51">
        <v>25.32</v>
      </c>
      <c r="M28" s="51">
        <v>102.9</v>
      </c>
      <c r="N28" s="51">
        <v>93.9</v>
      </c>
      <c r="O28" s="51">
        <v>16.2</v>
      </c>
      <c r="P28" s="51">
        <v>0.49</v>
      </c>
      <c r="Q28" s="51">
        <v>9.3000000000000007</v>
      </c>
      <c r="R28" s="43"/>
      <c r="S28" s="43"/>
      <c r="T28" s="43"/>
      <c r="U28" s="43"/>
    </row>
    <row r="29" spans="1:21" s="11" customFormat="1" x14ac:dyDescent="0.25">
      <c r="A29" s="50" t="s">
        <v>296</v>
      </c>
      <c r="B29" s="51">
        <v>5.19</v>
      </c>
      <c r="C29" s="51">
        <v>17.75</v>
      </c>
      <c r="D29" s="51">
        <v>26.23</v>
      </c>
      <c r="E29" s="51">
        <v>5.16</v>
      </c>
      <c r="F29" s="51">
        <v>6.14</v>
      </c>
      <c r="G29" s="51">
        <v>70.87</v>
      </c>
      <c r="H29" s="51">
        <v>13.6</v>
      </c>
      <c r="I29" s="51">
        <v>4.09</v>
      </c>
      <c r="J29" s="51">
        <v>0.23</v>
      </c>
      <c r="K29" s="51">
        <v>351.68</v>
      </c>
      <c r="L29" s="51">
        <v>21.35</v>
      </c>
      <c r="M29" s="51">
        <v>104.1</v>
      </c>
      <c r="N29" s="51">
        <v>75.5</v>
      </c>
      <c r="O29" s="51">
        <v>0</v>
      </c>
      <c r="P29" s="51">
        <v>0.5</v>
      </c>
      <c r="Q29" s="51">
        <v>9.31</v>
      </c>
      <c r="R29" s="43"/>
      <c r="S29" s="43"/>
      <c r="T29" s="43"/>
      <c r="U29" s="43"/>
    </row>
    <row r="30" spans="1:21" s="11" customFormat="1" x14ac:dyDescent="0.25">
      <c r="A30" s="50" t="s">
        <v>297</v>
      </c>
      <c r="B30" s="51">
        <v>8.09</v>
      </c>
      <c r="C30" s="51">
        <v>22.45</v>
      </c>
      <c r="D30" s="51">
        <v>30.55</v>
      </c>
      <c r="E30" s="51">
        <v>5.18</v>
      </c>
      <c r="F30" s="51">
        <v>6.42</v>
      </c>
      <c r="G30" s="51">
        <v>45.04</v>
      </c>
      <c r="H30" s="51">
        <v>11.29</v>
      </c>
      <c r="I30" s="51">
        <v>4.12</v>
      </c>
      <c r="J30" s="51">
        <v>0.26</v>
      </c>
      <c r="K30" s="51">
        <v>318.37</v>
      </c>
      <c r="L30" s="51">
        <v>21.67</v>
      </c>
      <c r="M30" s="51">
        <v>103.47</v>
      </c>
      <c r="N30" s="51">
        <v>76.400000000000006</v>
      </c>
      <c r="O30" s="51">
        <v>0</v>
      </c>
      <c r="P30" s="51">
        <v>0.55000000000000004</v>
      </c>
      <c r="Q30" s="51">
        <v>9.31</v>
      </c>
      <c r="R30" s="43"/>
      <c r="S30" s="43"/>
      <c r="T30" s="43"/>
      <c r="U30" s="43"/>
    </row>
    <row r="31" spans="1:21" s="11" customFormat="1" x14ac:dyDescent="0.25">
      <c r="A31" s="50" t="s">
        <v>298</v>
      </c>
      <c r="B31" s="51">
        <v>10.95</v>
      </c>
      <c r="C31" s="51">
        <v>26.61</v>
      </c>
      <c r="D31" s="51">
        <v>34.76</v>
      </c>
      <c r="E31" s="51">
        <v>5.23</v>
      </c>
      <c r="F31" s="51">
        <v>11.39</v>
      </c>
      <c r="G31" s="51">
        <v>29.89</v>
      </c>
      <c r="H31" s="51">
        <v>7.61</v>
      </c>
      <c r="I31" s="51">
        <v>4.05</v>
      </c>
      <c r="J31" s="51">
        <v>0.11</v>
      </c>
      <c r="K31" s="51">
        <v>307.3</v>
      </c>
      <c r="L31" s="51">
        <v>21.64</v>
      </c>
      <c r="M31" s="51">
        <v>103.48</v>
      </c>
      <c r="N31" s="51">
        <v>76.3</v>
      </c>
      <c r="O31" s="51">
        <v>0</v>
      </c>
      <c r="P31" s="51">
        <v>0.64</v>
      </c>
      <c r="Q31" s="51">
        <v>9.36</v>
      </c>
      <c r="R31" s="43"/>
      <c r="S31" s="43"/>
      <c r="T31" s="43"/>
      <c r="U31" s="43"/>
    </row>
    <row r="32" spans="1:21" s="11" customFormat="1" x14ac:dyDescent="0.25">
      <c r="A32" s="50" t="s">
        <v>299</v>
      </c>
      <c r="B32" s="51">
        <v>9.0399999999999991</v>
      </c>
      <c r="C32" s="51">
        <v>19.98</v>
      </c>
      <c r="D32" s="51">
        <v>24.91</v>
      </c>
      <c r="E32" s="51">
        <v>5.46</v>
      </c>
      <c r="F32" s="51">
        <v>9.01</v>
      </c>
      <c r="G32" s="51">
        <v>28.67</v>
      </c>
      <c r="H32" s="51">
        <v>11.62</v>
      </c>
      <c r="I32" s="51">
        <v>4.0599999999999996</v>
      </c>
      <c r="J32" s="51">
        <v>0.38</v>
      </c>
      <c r="K32" s="51">
        <v>185.75</v>
      </c>
      <c r="L32" s="51">
        <v>22.11</v>
      </c>
      <c r="M32" s="51">
        <v>103.82</v>
      </c>
      <c r="N32" s="51">
        <v>75.900000000000006</v>
      </c>
      <c r="O32" s="51">
        <v>0</v>
      </c>
      <c r="P32" s="51">
        <v>0.55000000000000004</v>
      </c>
      <c r="Q32" s="51">
        <v>9.39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3.64</v>
      </c>
      <c r="C34" s="28">
        <f t="shared" si="0"/>
        <v>15.27</v>
      </c>
      <c r="D34" s="28">
        <f t="shared" si="0"/>
        <v>21.57</v>
      </c>
      <c r="E34" s="28">
        <f t="shared" si="0"/>
        <v>5.16</v>
      </c>
      <c r="F34" s="28">
        <f t="shared" si="0"/>
        <v>5</v>
      </c>
      <c r="G34" s="28">
        <f t="shared" si="0"/>
        <v>28.13</v>
      </c>
      <c r="H34" s="28">
        <f t="shared" si="0"/>
        <v>6.75</v>
      </c>
      <c r="I34" s="28">
        <f t="shared" si="0"/>
        <v>4.01</v>
      </c>
      <c r="J34" s="28">
        <f t="shared" si="0"/>
        <v>0.11</v>
      </c>
      <c r="K34" s="28">
        <f t="shared" si="0"/>
        <v>149.41</v>
      </c>
      <c r="L34" s="28">
        <f t="shared" si="0"/>
        <v>21.35</v>
      </c>
      <c r="M34" s="28">
        <f t="shared" si="0"/>
        <v>44.5</v>
      </c>
      <c r="N34" s="28">
        <f t="shared" si="0"/>
        <v>52.2</v>
      </c>
      <c r="O34" s="28">
        <f t="shared" si="0"/>
        <v>0</v>
      </c>
      <c r="P34" s="28">
        <f t="shared" si="0"/>
        <v>0.33</v>
      </c>
      <c r="Q34" s="28">
        <f t="shared" si="0"/>
        <v>9.15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10.95</v>
      </c>
      <c r="C35" s="29">
        <f t="shared" si="1"/>
        <v>27.32</v>
      </c>
      <c r="D35" s="29">
        <f t="shared" si="1"/>
        <v>42.42</v>
      </c>
      <c r="E35" s="29">
        <f t="shared" si="1"/>
        <v>22.52</v>
      </c>
      <c r="F35" s="29">
        <f t="shared" si="1"/>
        <v>47.24</v>
      </c>
      <c r="G35" s="29">
        <f t="shared" si="1"/>
        <v>70.87</v>
      </c>
      <c r="H35" s="29">
        <f t="shared" si="1"/>
        <v>84.96</v>
      </c>
      <c r="I35" s="29">
        <f t="shared" si="1"/>
        <v>4.1900000000000004</v>
      </c>
      <c r="J35" s="29">
        <f t="shared" si="1"/>
        <v>2.78</v>
      </c>
      <c r="K35" s="29">
        <f t="shared" si="1"/>
        <v>358.4</v>
      </c>
      <c r="L35" s="29">
        <f t="shared" si="1"/>
        <v>35.479999999999997</v>
      </c>
      <c r="M35" s="29">
        <f t="shared" si="1"/>
        <v>104.1</v>
      </c>
      <c r="N35" s="29">
        <f t="shared" si="1"/>
        <v>515.70000000000005</v>
      </c>
      <c r="O35" s="29">
        <f t="shared" si="1"/>
        <v>16.2</v>
      </c>
      <c r="P35" s="29">
        <f t="shared" si="1"/>
        <v>0.93</v>
      </c>
      <c r="Q35" s="29">
        <f t="shared" si="1"/>
        <v>9.39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6.4554166666666646</v>
      </c>
      <c r="C36" s="28">
        <f t="shared" si="2"/>
        <v>21.594583333333333</v>
      </c>
      <c r="D36" s="28">
        <f t="shared" si="2"/>
        <v>31.67916666666666</v>
      </c>
      <c r="E36" s="28">
        <f t="shared" si="2"/>
        <v>8.144166666666667</v>
      </c>
      <c r="F36" s="28">
        <f t="shared" si="2"/>
        <v>15.532083333333333</v>
      </c>
      <c r="G36" s="28">
        <f t="shared" si="2"/>
        <v>44.881666666666668</v>
      </c>
      <c r="H36" s="28">
        <f t="shared" si="2"/>
        <v>18.647916666666667</v>
      </c>
      <c r="I36" s="28">
        <f t="shared" si="2"/>
        <v>4.0858333333333334</v>
      </c>
      <c r="J36" s="28">
        <f t="shared" si="2"/>
        <v>0.56958333333333322</v>
      </c>
      <c r="K36" s="28">
        <f t="shared" si="2"/>
        <v>242.49499999999998</v>
      </c>
      <c r="L36" s="28">
        <f t="shared" si="2"/>
        <v>28.640416666666667</v>
      </c>
      <c r="M36" s="28">
        <f t="shared" si="2"/>
        <v>72.463750000000005</v>
      </c>
      <c r="N36" s="28">
        <f t="shared" si="2"/>
        <v>208.29166666666666</v>
      </c>
      <c r="O36" s="28">
        <f t="shared" si="2"/>
        <v>0.67499999999999993</v>
      </c>
      <c r="P36" s="28">
        <f t="shared" si="2"/>
        <v>0.53583333333333338</v>
      </c>
      <c r="Q36" s="28">
        <f t="shared" si="2"/>
        <v>9.3025000000000002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1.9432469000342638</v>
      </c>
      <c r="C37" s="28">
        <f t="shared" ref="C37:Q37" si="3">STDEV(C9:C32)</f>
        <v>3.8194889018053892</v>
      </c>
      <c r="D37" s="28">
        <f t="shared" si="3"/>
        <v>6.0805483996577117</v>
      </c>
      <c r="E37" s="28">
        <f t="shared" si="3"/>
        <v>5.182622230918029</v>
      </c>
      <c r="F37" s="28">
        <f t="shared" si="3"/>
        <v>11.786177231481119</v>
      </c>
      <c r="G37" s="28">
        <f t="shared" si="3"/>
        <v>13.471007407752019</v>
      </c>
      <c r="H37" s="28">
        <f t="shared" si="3"/>
        <v>16.004190206526118</v>
      </c>
      <c r="I37" s="28">
        <f t="shared" si="3"/>
        <v>5.1407719490251809E-2</v>
      </c>
      <c r="J37" s="28">
        <f t="shared" si="3"/>
        <v>0.63213564289200852</v>
      </c>
      <c r="K37" s="28">
        <f t="shared" si="3"/>
        <v>71.280554394467359</v>
      </c>
      <c r="L37" s="28">
        <f t="shared" si="3"/>
        <v>4.3261796372345858</v>
      </c>
      <c r="M37" s="28">
        <f t="shared" si="3"/>
        <v>19.660142158029085</v>
      </c>
      <c r="N37" s="28">
        <f t="shared" si="3"/>
        <v>167.25944157834994</v>
      </c>
      <c r="O37" s="28">
        <f t="shared" si="3"/>
        <v>3.3068111527572905</v>
      </c>
      <c r="P37" s="28">
        <f t="shared" si="3"/>
        <v>0.19203524736850774</v>
      </c>
      <c r="Q37" s="28">
        <f t="shared" si="3"/>
        <v>5.9435752671705665E-2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8" sqref="G18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300</v>
      </c>
      <c r="B9" s="51">
        <v>8.92</v>
      </c>
      <c r="C9" s="51">
        <v>20.32</v>
      </c>
      <c r="D9" s="51">
        <v>25.4</v>
      </c>
      <c r="E9" s="51">
        <v>5.1100000000000003</v>
      </c>
      <c r="F9" s="51">
        <v>5.44</v>
      </c>
      <c r="G9" s="51">
        <v>29.14</v>
      </c>
      <c r="H9" s="51">
        <v>12.99</v>
      </c>
      <c r="I9" s="51">
        <v>4.0999999999999996</v>
      </c>
      <c r="J9" s="51">
        <v>0.37</v>
      </c>
      <c r="K9" s="51">
        <v>333.65</v>
      </c>
      <c r="L9" s="51">
        <v>22.74</v>
      </c>
      <c r="M9" s="51">
        <v>105.23</v>
      </c>
      <c r="N9" s="51">
        <v>74.8</v>
      </c>
      <c r="O9" s="51">
        <v>0</v>
      </c>
      <c r="P9" s="51">
        <v>0.55000000000000004</v>
      </c>
      <c r="Q9" s="51">
        <v>9.39</v>
      </c>
      <c r="R9" s="43"/>
      <c r="S9" s="43"/>
      <c r="T9" s="43"/>
      <c r="U9" s="43"/>
    </row>
    <row r="10" spans="1:21" s="11" customFormat="1" x14ac:dyDescent="0.25">
      <c r="A10" s="50" t="s">
        <v>301</v>
      </c>
      <c r="B10" s="51">
        <v>9.07</v>
      </c>
      <c r="C10" s="51">
        <v>19.48</v>
      </c>
      <c r="D10" s="51">
        <v>24.86</v>
      </c>
      <c r="E10" s="51">
        <v>4.83</v>
      </c>
      <c r="F10" s="51">
        <v>5.39</v>
      </c>
      <c r="G10" s="51">
        <v>31.86</v>
      </c>
      <c r="H10" s="51">
        <v>8.14</v>
      </c>
      <c r="I10" s="51">
        <v>4.24</v>
      </c>
      <c r="J10" s="51">
        <v>0.26</v>
      </c>
      <c r="K10" s="51">
        <v>254.4</v>
      </c>
      <c r="L10" s="51">
        <v>23.01</v>
      </c>
      <c r="M10" s="51">
        <v>102.07</v>
      </c>
      <c r="N10" s="51">
        <v>69.099999999999994</v>
      </c>
      <c r="O10" s="51">
        <v>0</v>
      </c>
      <c r="P10" s="51">
        <v>0.51</v>
      </c>
      <c r="Q10" s="51">
        <v>9.39</v>
      </c>
      <c r="R10" s="43"/>
      <c r="S10" s="43"/>
      <c r="T10" s="43"/>
      <c r="U10" s="43"/>
    </row>
    <row r="11" spans="1:21" s="11" customFormat="1" x14ac:dyDescent="0.25">
      <c r="A11" s="50" t="s">
        <v>302</v>
      </c>
      <c r="B11" s="51">
        <v>8.75</v>
      </c>
      <c r="C11" s="51">
        <v>20.12</v>
      </c>
      <c r="D11" s="51">
        <v>26.84</v>
      </c>
      <c r="E11" s="51">
        <v>5.23</v>
      </c>
      <c r="F11" s="51">
        <v>10.88</v>
      </c>
      <c r="G11" s="51">
        <v>30.94</v>
      </c>
      <c r="H11" s="51">
        <v>-4.07</v>
      </c>
      <c r="I11" s="51">
        <v>4.13</v>
      </c>
      <c r="J11" s="51">
        <v>0.17</v>
      </c>
      <c r="K11" s="51">
        <v>322.61</v>
      </c>
      <c r="L11" s="51">
        <v>23.01</v>
      </c>
      <c r="M11" s="51">
        <v>102.05</v>
      </c>
      <c r="N11" s="51">
        <v>68.2</v>
      </c>
      <c r="O11" s="51">
        <v>0</v>
      </c>
      <c r="P11" s="51">
        <v>0.44</v>
      </c>
      <c r="Q11" s="51">
        <v>9.3800000000000008</v>
      </c>
      <c r="R11" s="43"/>
      <c r="S11" s="43"/>
      <c r="T11" s="43"/>
      <c r="U11" s="43"/>
    </row>
    <row r="12" spans="1:21" s="11" customFormat="1" x14ac:dyDescent="0.25">
      <c r="A12" s="50" t="s">
        <v>303</v>
      </c>
      <c r="B12" s="51">
        <v>6.9</v>
      </c>
      <c r="C12" s="51">
        <v>18.48</v>
      </c>
      <c r="D12" s="51">
        <v>24.77</v>
      </c>
      <c r="E12" s="51">
        <v>5.04</v>
      </c>
      <c r="F12" s="51">
        <v>9.9600000000000009</v>
      </c>
      <c r="G12" s="51">
        <v>25.72</v>
      </c>
      <c r="H12" s="51">
        <v>13.26</v>
      </c>
      <c r="I12" s="51">
        <v>4.1100000000000003</v>
      </c>
      <c r="J12" s="51">
        <v>0.37</v>
      </c>
      <c r="K12" s="51">
        <v>158.68</v>
      </c>
      <c r="L12" s="51">
        <v>23.41</v>
      </c>
      <c r="M12" s="51">
        <v>102.06</v>
      </c>
      <c r="N12" s="51">
        <v>67.400000000000006</v>
      </c>
      <c r="O12" s="51">
        <v>0</v>
      </c>
      <c r="P12" s="51">
        <v>0.46</v>
      </c>
      <c r="Q12" s="51">
        <v>9.4</v>
      </c>
      <c r="R12" s="43"/>
      <c r="S12" s="43"/>
      <c r="T12" s="43"/>
      <c r="U12" s="43"/>
    </row>
    <row r="13" spans="1:21" s="11" customFormat="1" x14ac:dyDescent="0.25">
      <c r="A13" s="50" t="s">
        <v>304</v>
      </c>
      <c r="B13" s="51">
        <v>11.16</v>
      </c>
      <c r="C13" s="51">
        <v>24.13</v>
      </c>
      <c r="D13" s="51">
        <v>29.06</v>
      </c>
      <c r="E13" s="51">
        <v>5.07</v>
      </c>
      <c r="F13" s="51">
        <v>5.52</v>
      </c>
      <c r="G13" s="51">
        <v>32</v>
      </c>
      <c r="H13" s="51">
        <v>14.42</v>
      </c>
      <c r="I13" s="51">
        <v>4.08</v>
      </c>
      <c r="J13" s="51">
        <v>0.48</v>
      </c>
      <c r="K13" s="51">
        <v>110.67</v>
      </c>
      <c r="L13" s="51">
        <v>23.32</v>
      </c>
      <c r="M13" s="51">
        <v>102.14</v>
      </c>
      <c r="N13" s="51">
        <v>66.7</v>
      </c>
      <c r="O13" s="51">
        <v>0</v>
      </c>
      <c r="P13" s="51">
        <v>0.6</v>
      </c>
      <c r="Q13" s="51">
        <v>9.42</v>
      </c>
      <c r="R13" s="43"/>
      <c r="S13" s="43"/>
      <c r="T13" s="43"/>
      <c r="U13" s="43"/>
    </row>
    <row r="14" spans="1:21" s="11" customFormat="1" x14ac:dyDescent="0.25">
      <c r="A14" s="50" t="s">
        <v>305</v>
      </c>
      <c r="B14" s="51">
        <v>12.32</v>
      </c>
      <c r="C14" s="51">
        <v>25.39</v>
      </c>
      <c r="D14" s="51">
        <v>29.78</v>
      </c>
      <c r="E14" s="51">
        <v>5.1100000000000003</v>
      </c>
      <c r="F14" s="51">
        <v>5.44</v>
      </c>
      <c r="G14" s="51">
        <v>44.64</v>
      </c>
      <c r="H14" s="51">
        <v>17.34</v>
      </c>
      <c r="I14" s="51">
        <v>4.0999999999999996</v>
      </c>
      <c r="J14" s="51">
        <v>0.21</v>
      </c>
      <c r="K14" s="51">
        <v>104.81</v>
      </c>
      <c r="L14" s="51">
        <v>23.66</v>
      </c>
      <c r="M14" s="51">
        <v>102.18</v>
      </c>
      <c r="N14" s="51">
        <v>107.3</v>
      </c>
      <c r="O14" s="51">
        <v>0</v>
      </c>
      <c r="P14" s="51">
        <v>0.65</v>
      </c>
      <c r="Q14" s="51">
        <v>9.5</v>
      </c>
      <c r="R14" s="43"/>
      <c r="S14" s="43"/>
      <c r="T14" s="43"/>
      <c r="U14" s="43"/>
    </row>
    <row r="15" spans="1:21" s="11" customFormat="1" x14ac:dyDescent="0.25">
      <c r="A15" s="50" t="s">
        <v>306</v>
      </c>
      <c r="B15" s="51">
        <v>17.88</v>
      </c>
      <c r="C15" s="51">
        <v>33.44</v>
      </c>
      <c r="D15" s="51">
        <v>37.29</v>
      </c>
      <c r="E15" s="51">
        <v>4.97</v>
      </c>
      <c r="F15" s="51">
        <v>11.36</v>
      </c>
      <c r="G15" s="51">
        <v>56.45</v>
      </c>
      <c r="H15" s="51">
        <v>21.66</v>
      </c>
      <c r="I15" s="51">
        <v>4.0599999999999996</v>
      </c>
      <c r="J15" s="51">
        <v>0.49</v>
      </c>
      <c r="K15" s="51">
        <v>345.19</v>
      </c>
      <c r="L15" s="51">
        <v>26.67</v>
      </c>
      <c r="M15" s="51">
        <v>101.98</v>
      </c>
      <c r="N15" s="51">
        <v>230.8</v>
      </c>
      <c r="O15" s="51">
        <v>0</v>
      </c>
      <c r="P15" s="51">
        <v>0.69</v>
      </c>
      <c r="Q15" s="51">
        <v>9.58</v>
      </c>
      <c r="R15" s="43"/>
      <c r="S15" s="43"/>
      <c r="T15" s="43"/>
      <c r="U15" s="43"/>
    </row>
    <row r="16" spans="1:21" s="11" customFormat="1" x14ac:dyDescent="0.25">
      <c r="A16" s="50" t="s">
        <v>307</v>
      </c>
      <c r="B16" s="51">
        <v>19.649999999999999</v>
      </c>
      <c r="C16" s="51">
        <v>36.01</v>
      </c>
      <c r="D16" s="51">
        <v>38.76</v>
      </c>
      <c r="E16" s="51">
        <v>5.2</v>
      </c>
      <c r="F16" s="51">
        <v>13.39</v>
      </c>
      <c r="G16" s="51">
        <v>60.18</v>
      </c>
      <c r="H16" s="51">
        <v>19.98</v>
      </c>
      <c r="I16" s="51">
        <v>4.16</v>
      </c>
      <c r="J16" s="51">
        <v>0.51</v>
      </c>
      <c r="K16" s="51">
        <v>345.12</v>
      </c>
      <c r="L16" s="51">
        <v>27.73</v>
      </c>
      <c r="M16" s="51">
        <v>87.56</v>
      </c>
      <c r="N16" s="51">
        <v>397.3</v>
      </c>
      <c r="O16" s="51">
        <v>0</v>
      </c>
      <c r="P16" s="51">
        <v>0.6</v>
      </c>
      <c r="Q16" s="51">
        <v>9.61</v>
      </c>
      <c r="R16" s="43"/>
      <c r="S16" s="43"/>
      <c r="T16" s="43"/>
      <c r="U16" s="43"/>
    </row>
    <row r="17" spans="1:21" s="11" customFormat="1" x14ac:dyDescent="0.25">
      <c r="A17" s="50" t="s">
        <v>308</v>
      </c>
      <c r="B17" s="51">
        <v>14.73</v>
      </c>
      <c r="C17" s="51">
        <v>26.58</v>
      </c>
      <c r="D17" s="51">
        <v>30.53</v>
      </c>
      <c r="E17" s="51">
        <v>4.62</v>
      </c>
      <c r="F17" s="51">
        <v>11.58</v>
      </c>
      <c r="G17" s="51">
        <v>61.86</v>
      </c>
      <c r="H17" s="51">
        <v>25.02</v>
      </c>
      <c r="I17" s="51">
        <v>4.0999999999999996</v>
      </c>
      <c r="J17" s="51">
        <v>1.52</v>
      </c>
      <c r="K17" s="51">
        <v>116.04</v>
      </c>
      <c r="L17" s="51">
        <v>28.54</v>
      </c>
      <c r="M17" s="51">
        <v>89.72</v>
      </c>
      <c r="N17" s="51">
        <v>687.8</v>
      </c>
      <c r="O17" s="51">
        <v>0</v>
      </c>
      <c r="P17" s="51">
        <v>0.55000000000000004</v>
      </c>
      <c r="Q17" s="51">
        <v>9.6199999999999992</v>
      </c>
      <c r="R17" s="43"/>
      <c r="S17" s="43"/>
      <c r="T17" s="43"/>
      <c r="U17" s="43"/>
    </row>
    <row r="18" spans="1:21" s="11" customFormat="1" x14ac:dyDescent="0.25">
      <c r="A18" s="50" t="s">
        <v>309</v>
      </c>
      <c r="B18" s="51">
        <v>12.42</v>
      </c>
      <c r="C18" s="51">
        <v>24.54</v>
      </c>
      <c r="D18" s="51">
        <v>32.58</v>
      </c>
      <c r="E18" s="51">
        <v>4.8099999999999996</v>
      </c>
      <c r="F18" s="51">
        <v>14.56</v>
      </c>
      <c r="G18" s="51">
        <v>52.08</v>
      </c>
      <c r="H18" s="51">
        <v>18.46</v>
      </c>
      <c r="I18" s="51">
        <v>4.1500000000000004</v>
      </c>
      <c r="J18" s="51">
        <v>1</v>
      </c>
      <c r="K18" s="51">
        <v>114.74</v>
      </c>
      <c r="L18" s="51">
        <v>29.79</v>
      </c>
      <c r="M18" s="51">
        <v>83.03</v>
      </c>
      <c r="N18" s="51">
        <v>768.2</v>
      </c>
      <c r="O18" s="51">
        <v>0</v>
      </c>
      <c r="P18" s="51">
        <v>0.48</v>
      </c>
      <c r="Q18" s="51">
        <v>9.5399999999999991</v>
      </c>
      <c r="R18" s="43"/>
      <c r="S18" s="43"/>
      <c r="T18" s="43"/>
      <c r="U18" s="43"/>
    </row>
    <row r="19" spans="1:21" s="11" customFormat="1" x14ac:dyDescent="0.25">
      <c r="A19" s="50" t="s">
        <v>310</v>
      </c>
      <c r="B19" s="51">
        <v>9.27</v>
      </c>
      <c r="C19" s="51">
        <v>24.28</v>
      </c>
      <c r="D19" s="51">
        <v>32.78</v>
      </c>
      <c r="E19" s="51">
        <v>4.78</v>
      </c>
      <c r="F19" s="51">
        <v>14.23</v>
      </c>
      <c r="G19" s="51">
        <v>46.41</v>
      </c>
      <c r="H19" s="51">
        <v>14.41</v>
      </c>
      <c r="I19" s="51">
        <v>4.18</v>
      </c>
      <c r="J19" s="51">
        <v>0.73</v>
      </c>
      <c r="K19" s="51">
        <v>111.25</v>
      </c>
      <c r="L19" s="51">
        <v>31.51</v>
      </c>
      <c r="M19" s="51">
        <v>74.58</v>
      </c>
      <c r="N19" s="51">
        <v>960.7</v>
      </c>
      <c r="O19" s="51">
        <v>0</v>
      </c>
      <c r="P19" s="51">
        <v>0.46</v>
      </c>
      <c r="Q19" s="51">
        <v>9.3800000000000008</v>
      </c>
      <c r="R19" s="43"/>
      <c r="S19" s="43"/>
      <c r="T19" s="43"/>
      <c r="U19" s="43"/>
    </row>
    <row r="20" spans="1:21" s="11" customFormat="1" x14ac:dyDescent="0.25">
      <c r="A20" s="50" t="s">
        <v>311</v>
      </c>
      <c r="B20" s="51">
        <v>10.6</v>
      </c>
      <c r="C20" s="51">
        <v>29.08</v>
      </c>
      <c r="D20" s="51">
        <v>39.39</v>
      </c>
      <c r="E20" s="51">
        <v>4.78</v>
      </c>
      <c r="F20" s="51">
        <v>19.52</v>
      </c>
      <c r="G20" s="51">
        <v>38.340000000000003</v>
      </c>
      <c r="H20" s="51">
        <v>16.79</v>
      </c>
      <c r="I20" s="51">
        <v>4.0999999999999996</v>
      </c>
      <c r="J20" s="51">
        <v>0.79</v>
      </c>
      <c r="K20" s="51">
        <v>354.43</v>
      </c>
      <c r="L20" s="51">
        <v>35.06</v>
      </c>
      <c r="M20" s="51">
        <v>64.03</v>
      </c>
      <c r="N20" s="51">
        <v>952.9</v>
      </c>
      <c r="O20" s="51">
        <v>0</v>
      </c>
      <c r="P20" s="51">
        <v>0.53</v>
      </c>
      <c r="Q20" s="51">
        <v>9.2899999999999991</v>
      </c>
      <c r="R20" s="43"/>
      <c r="S20" s="43"/>
      <c r="T20" s="43"/>
      <c r="U20" s="43"/>
    </row>
    <row r="21" spans="1:21" s="11" customFormat="1" x14ac:dyDescent="0.25">
      <c r="A21" s="50" t="s">
        <v>312</v>
      </c>
      <c r="B21" s="51">
        <v>10.36</v>
      </c>
      <c r="C21" s="51">
        <v>28.91</v>
      </c>
      <c r="D21" s="51">
        <v>39.42</v>
      </c>
      <c r="E21" s="51">
        <v>5.48</v>
      </c>
      <c r="F21" s="51">
        <v>23.19</v>
      </c>
      <c r="G21" s="51">
        <v>39.22</v>
      </c>
      <c r="H21" s="51">
        <v>19.77</v>
      </c>
      <c r="I21" s="51">
        <v>4.1399999999999997</v>
      </c>
      <c r="J21" s="51">
        <v>0.69</v>
      </c>
      <c r="K21" s="51">
        <v>348.55</v>
      </c>
      <c r="L21" s="51">
        <v>34.03</v>
      </c>
      <c r="M21" s="51">
        <v>60.04</v>
      </c>
      <c r="N21" s="51">
        <v>917.9</v>
      </c>
      <c r="O21" s="51">
        <v>0</v>
      </c>
      <c r="P21" s="51">
        <v>0.48</v>
      </c>
      <c r="Q21" s="51">
        <v>9.2799999999999994</v>
      </c>
      <c r="R21" s="43"/>
      <c r="S21" s="43"/>
      <c r="T21" s="43"/>
      <c r="U21" s="43"/>
    </row>
    <row r="22" spans="1:21" s="11" customFormat="1" x14ac:dyDescent="0.25">
      <c r="A22" s="50" t="s">
        <v>313</v>
      </c>
      <c r="B22" s="51">
        <v>9.1999999999999993</v>
      </c>
      <c r="C22" s="51">
        <v>24.97</v>
      </c>
      <c r="D22" s="51">
        <v>36.69</v>
      </c>
      <c r="E22" s="51">
        <v>4.83</v>
      </c>
      <c r="F22" s="51">
        <v>21.48</v>
      </c>
      <c r="G22" s="51">
        <v>40.15</v>
      </c>
      <c r="H22" s="51">
        <v>14.38</v>
      </c>
      <c r="I22" s="51">
        <v>4.04</v>
      </c>
      <c r="J22" s="51">
        <v>0.96</v>
      </c>
      <c r="K22" s="51">
        <v>353.22</v>
      </c>
      <c r="L22" s="51">
        <v>34.71</v>
      </c>
      <c r="M22" s="51">
        <v>55.71</v>
      </c>
      <c r="N22" s="51">
        <v>684.6</v>
      </c>
      <c r="O22" s="51">
        <v>0</v>
      </c>
      <c r="P22" s="51">
        <v>0.49</v>
      </c>
      <c r="Q22" s="51">
        <v>9.3000000000000007</v>
      </c>
      <c r="R22" s="43"/>
      <c r="S22" s="43"/>
      <c r="T22" s="43"/>
      <c r="U22" s="43"/>
    </row>
    <row r="23" spans="1:21" s="11" customFormat="1" x14ac:dyDescent="0.25">
      <c r="A23" s="50" t="s">
        <v>314</v>
      </c>
      <c r="B23" s="51">
        <v>18.64</v>
      </c>
      <c r="C23" s="51">
        <v>46.84</v>
      </c>
      <c r="D23" s="51">
        <v>61.03</v>
      </c>
      <c r="E23" s="51">
        <v>5.04</v>
      </c>
      <c r="F23" s="51">
        <v>20.62</v>
      </c>
      <c r="G23" s="51">
        <v>40.020000000000003</v>
      </c>
      <c r="H23" s="51">
        <v>14.21</v>
      </c>
      <c r="I23" s="51">
        <v>4.0999999999999996</v>
      </c>
      <c r="J23" s="51">
        <v>0.59</v>
      </c>
      <c r="K23" s="51">
        <v>107.4</v>
      </c>
      <c r="L23" s="51">
        <v>33.619999999999997</v>
      </c>
      <c r="M23" s="51">
        <v>54.62</v>
      </c>
      <c r="N23" s="51">
        <v>456.1</v>
      </c>
      <c r="O23" s="51">
        <v>0</v>
      </c>
      <c r="P23" s="51">
        <v>0.49</v>
      </c>
      <c r="Q23" s="51">
        <v>9.2799999999999994</v>
      </c>
      <c r="R23" s="43"/>
      <c r="S23" s="43"/>
      <c r="T23" s="43"/>
      <c r="U23" s="43"/>
    </row>
    <row r="24" spans="1:21" s="11" customFormat="1" x14ac:dyDescent="0.25">
      <c r="A24" s="50" t="s">
        <v>315</v>
      </c>
      <c r="B24" s="51">
        <v>4.26</v>
      </c>
      <c r="C24" s="51">
        <v>18.440000000000001</v>
      </c>
      <c r="D24" s="51">
        <v>29.27</v>
      </c>
      <c r="E24" s="51">
        <v>5.6</v>
      </c>
      <c r="F24" s="51">
        <v>22.46</v>
      </c>
      <c r="G24" s="51">
        <v>28.23</v>
      </c>
      <c r="H24" s="51">
        <v>9.25</v>
      </c>
      <c r="I24" s="51">
        <v>4.1100000000000003</v>
      </c>
      <c r="J24" s="51">
        <v>1.26</v>
      </c>
      <c r="K24" s="51">
        <v>113.16</v>
      </c>
      <c r="L24" s="51">
        <v>32.950000000000003</v>
      </c>
      <c r="M24" s="51">
        <v>52.72</v>
      </c>
      <c r="N24" s="51">
        <v>298</v>
      </c>
      <c r="O24" s="51">
        <v>0</v>
      </c>
      <c r="P24" s="51">
        <v>0.36</v>
      </c>
      <c r="Q24" s="51">
        <v>9.31</v>
      </c>
      <c r="R24" s="43"/>
      <c r="S24" s="43"/>
      <c r="T24" s="43"/>
      <c r="U24" s="43"/>
    </row>
    <row r="25" spans="1:21" s="11" customFormat="1" x14ac:dyDescent="0.25">
      <c r="A25" s="50" t="s">
        <v>316</v>
      </c>
      <c r="B25" s="51">
        <v>4.63</v>
      </c>
      <c r="C25" s="51">
        <v>19.670000000000002</v>
      </c>
      <c r="D25" s="51">
        <v>30.55</v>
      </c>
      <c r="E25" s="51">
        <v>6.39</v>
      </c>
      <c r="F25" s="51">
        <v>23.45</v>
      </c>
      <c r="G25" s="51">
        <v>33.450000000000003</v>
      </c>
      <c r="H25" s="51">
        <v>10.26</v>
      </c>
      <c r="I25" s="51">
        <v>4.04</v>
      </c>
      <c r="J25" s="51">
        <v>1.39</v>
      </c>
      <c r="K25" s="51">
        <v>112.19</v>
      </c>
      <c r="L25" s="51">
        <v>32.4</v>
      </c>
      <c r="M25" s="51">
        <v>50.35</v>
      </c>
      <c r="N25" s="51">
        <v>201.6</v>
      </c>
      <c r="O25" s="51">
        <v>0</v>
      </c>
      <c r="P25" s="51">
        <v>0.32</v>
      </c>
      <c r="Q25" s="51">
        <v>9.2100000000000009</v>
      </c>
      <c r="R25" s="43"/>
      <c r="S25" s="43"/>
      <c r="T25" s="43"/>
      <c r="U25" s="43"/>
    </row>
    <row r="26" spans="1:21" s="11" customFormat="1" x14ac:dyDescent="0.25">
      <c r="A26" s="50" t="s">
        <v>317</v>
      </c>
      <c r="B26" s="51">
        <v>5.92</v>
      </c>
      <c r="C26" s="51">
        <v>22.52</v>
      </c>
      <c r="D26" s="51">
        <v>34.01</v>
      </c>
      <c r="E26" s="51">
        <v>6.48</v>
      </c>
      <c r="F26" s="51">
        <v>20.81</v>
      </c>
      <c r="G26" s="51">
        <v>38.450000000000003</v>
      </c>
      <c r="H26" s="51">
        <v>12.59</v>
      </c>
      <c r="I26" s="51">
        <v>4.13</v>
      </c>
      <c r="J26" s="51">
        <v>0.81</v>
      </c>
      <c r="K26" s="51">
        <v>110.01</v>
      </c>
      <c r="L26" s="51">
        <v>32.03</v>
      </c>
      <c r="M26" s="51">
        <v>51.39</v>
      </c>
      <c r="N26" s="51">
        <v>144.69999999999999</v>
      </c>
      <c r="O26" s="51">
        <v>0</v>
      </c>
      <c r="P26" s="51">
        <v>0.38</v>
      </c>
      <c r="Q26" s="51">
        <v>9.2200000000000006</v>
      </c>
      <c r="R26" s="43"/>
      <c r="S26" s="43"/>
      <c r="T26" s="43"/>
      <c r="U26" s="43"/>
    </row>
    <row r="27" spans="1:21" s="11" customFormat="1" x14ac:dyDescent="0.25">
      <c r="A27" s="50" t="s">
        <v>318</v>
      </c>
      <c r="B27" s="51">
        <v>7.85</v>
      </c>
      <c r="C27" s="51">
        <v>30.44</v>
      </c>
      <c r="D27" s="51">
        <v>49.99</v>
      </c>
      <c r="E27" s="51">
        <v>6.39</v>
      </c>
      <c r="F27" s="51">
        <v>18.36</v>
      </c>
      <c r="G27" s="51">
        <v>33.47</v>
      </c>
      <c r="H27" s="51">
        <v>10.96</v>
      </c>
      <c r="I27" s="51">
        <v>4.12</v>
      </c>
      <c r="J27" s="51">
        <v>0.28000000000000003</v>
      </c>
      <c r="K27" s="51">
        <v>102.94</v>
      </c>
      <c r="L27" s="51">
        <v>31.48</v>
      </c>
      <c r="M27" s="51">
        <v>56.09</v>
      </c>
      <c r="N27" s="51">
        <v>95.6</v>
      </c>
      <c r="O27" s="51">
        <v>0</v>
      </c>
      <c r="P27" s="51">
        <v>0.7</v>
      </c>
      <c r="Q27" s="51">
        <v>9.24</v>
      </c>
      <c r="R27" s="43"/>
      <c r="S27" s="43"/>
      <c r="T27" s="43"/>
      <c r="U27" s="43"/>
    </row>
    <row r="28" spans="1:21" s="11" customFormat="1" x14ac:dyDescent="0.25">
      <c r="A28" s="50" t="s">
        <v>319</v>
      </c>
      <c r="B28" s="51">
        <v>6.33</v>
      </c>
      <c r="C28" s="51">
        <v>37.31</v>
      </c>
      <c r="D28" s="51">
        <v>61.69</v>
      </c>
      <c r="E28" s="51">
        <v>6.51</v>
      </c>
      <c r="F28" s="51">
        <v>14.13</v>
      </c>
      <c r="G28" s="51">
        <v>46.19</v>
      </c>
      <c r="H28" s="51">
        <v>14.03</v>
      </c>
      <c r="I28" s="51">
        <v>4.1100000000000003</v>
      </c>
      <c r="J28" s="51">
        <v>0.49</v>
      </c>
      <c r="K28" s="51">
        <v>219.51</v>
      </c>
      <c r="L28" s="51">
        <v>30.82</v>
      </c>
      <c r="M28" s="51">
        <v>59.8</v>
      </c>
      <c r="N28" s="51">
        <v>72.3</v>
      </c>
      <c r="O28" s="51">
        <v>0</v>
      </c>
      <c r="P28" s="51">
        <v>0.68</v>
      </c>
      <c r="Q28" s="51">
        <v>9.31</v>
      </c>
      <c r="R28" s="43"/>
      <c r="S28" s="43"/>
      <c r="T28" s="43"/>
      <c r="U28" s="43"/>
    </row>
    <row r="29" spans="1:21" s="11" customFormat="1" x14ac:dyDescent="0.25">
      <c r="A29" s="50" t="s">
        <v>320</v>
      </c>
      <c r="B29" s="51">
        <v>12.41</v>
      </c>
      <c r="C29" s="51">
        <v>48.34</v>
      </c>
      <c r="D29" s="51">
        <v>73.47</v>
      </c>
      <c r="E29" s="51">
        <v>6.37</v>
      </c>
      <c r="F29" s="51">
        <v>13.46</v>
      </c>
      <c r="G29" s="51">
        <v>49.01</v>
      </c>
      <c r="H29" s="51">
        <v>14.38</v>
      </c>
      <c r="I29" s="51">
        <v>3.96</v>
      </c>
      <c r="J29" s="51">
        <v>0.42</v>
      </c>
      <c r="K29" s="51">
        <v>144.88</v>
      </c>
      <c r="L29" s="51">
        <v>30.13</v>
      </c>
      <c r="M29" s="51">
        <v>61.48</v>
      </c>
      <c r="N29" s="51">
        <v>71.900000000000006</v>
      </c>
      <c r="O29" s="51">
        <v>0</v>
      </c>
      <c r="P29" s="51">
        <v>0.74</v>
      </c>
      <c r="Q29" s="51">
        <v>9.3699999999999992</v>
      </c>
      <c r="R29" s="43"/>
      <c r="S29" s="43"/>
      <c r="T29" s="43"/>
      <c r="U29" s="43"/>
    </row>
    <row r="30" spans="1:21" s="11" customFormat="1" x14ac:dyDescent="0.25">
      <c r="A30" s="50" t="s">
        <v>321</v>
      </c>
      <c r="B30" s="51">
        <v>11.82</v>
      </c>
      <c r="C30" s="51">
        <v>42.81</v>
      </c>
      <c r="D30" s="51">
        <v>63.8</v>
      </c>
      <c r="E30" s="51">
        <v>6.77</v>
      </c>
      <c r="F30" s="51">
        <v>12.39</v>
      </c>
      <c r="G30" s="51">
        <v>51.79</v>
      </c>
      <c r="H30" s="51">
        <v>14.09</v>
      </c>
      <c r="I30" s="51">
        <v>4.0999999999999996</v>
      </c>
      <c r="J30" s="51">
        <v>0.94</v>
      </c>
      <c r="K30" s="51">
        <v>105.79</v>
      </c>
      <c r="L30" s="51">
        <v>30.15</v>
      </c>
      <c r="M30" s="51">
        <v>58.7</v>
      </c>
      <c r="N30" s="51">
        <v>72.099999999999994</v>
      </c>
      <c r="O30" s="51">
        <v>0</v>
      </c>
      <c r="P30" s="51">
        <v>0.69</v>
      </c>
      <c r="Q30" s="51">
        <v>9.4499999999999993</v>
      </c>
      <c r="R30" s="43"/>
      <c r="S30" s="43"/>
      <c r="T30" s="43"/>
      <c r="U30" s="43"/>
    </row>
    <row r="31" spans="1:21" s="11" customFormat="1" x14ac:dyDescent="0.25">
      <c r="A31" s="50" t="s">
        <v>322</v>
      </c>
      <c r="B31" s="51">
        <v>9.52</v>
      </c>
      <c r="C31" s="51">
        <v>28.37</v>
      </c>
      <c r="D31" s="51">
        <v>41.84</v>
      </c>
      <c r="E31" s="51">
        <v>6.24</v>
      </c>
      <c r="F31" s="51">
        <v>8.66</v>
      </c>
      <c r="G31" s="51">
        <v>52.94</v>
      </c>
      <c r="H31" s="51">
        <v>11.19</v>
      </c>
      <c r="I31" s="51">
        <v>4.04</v>
      </c>
      <c r="J31" s="51">
        <v>0.87</v>
      </c>
      <c r="K31" s="51">
        <v>147.08000000000001</v>
      </c>
      <c r="L31" s="51">
        <v>29.78</v>
      </c>
      <c r="M31" s="51">
        <v>61.91</v>
      </c>
      <c r="N31" s="51">
        <v>72.3</v>
      </c>
      <c r="O31" s="51">
        <v>0</v>
      </c>
      <c r="P31" s="51">
        <v>0.56000000000000005</v>
      </c>
      <c r="Q31" s="51">
        <v>9.4700000000000006</v>
      </c>
      <c r="R31" s="43"/>
      <c r="S31" s="43"/>
      <c r="T31" s="43"/>
      <c r="U31" s="43"/>
    </row>
    <row r="32" spans="1:21" s="11" customFormat="1" x14ac:dyDescent="0.25">
      <c r="A32" s="50" t="s">
        <v>323</v>
      </c>
      <c r="B32" s="51">
        <v>7.27</v>
      </c>
      <c r="C32" s="51">
        <v>28.02</v>
      </c>
      <c r="D32" s="51">
        <v>42.94</v>
      </c>
      <c r="E32" s="51">
        <v>5.99</v>
      </c>
      <c r="F32" s="51">
        <v>10.64</v>
      </c>
      <c r="G32" s="51">
        <v>53.13</v>
      </c>
      <c r="H32" s="51">
        <v>12.48</v>
      </c>
      <c r="I32" s="51">
        <v>4.03</v>
      </c>
      <c r="J32" s="51">
        <v>0.38</v>
      </c>
      <c r="K32" s="51">
        <v>135.33000000000001</v>
      </c>
      <c r="L32" s="51">
        <v>29.02</v>
      </c>
      <c r="M32" s="51">
        <v>63.47</v>
      </c>
      <c r="N32" s="51">
        <v>72.2</v>
      </c>
      <c r="O32" s="51">
        <v>0</v>
      </c>
      <c r="P32" s="51">
        <v>0.49</v>
      </c>
      <c r="Q32" s="51">
        <v>9.4499999999999993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4.26</v>
      </c>
      <c r="C34" s="28">
        <f t="shared" si="0"/>
        <v>18.440000000000001</v>
      </c>
      <c r="D34" s="28">
        <f t="shared" si="0"/>
        <v>24.77</v>
      </c>
      <c r="E34" s="28">
        <f t="shared" si="0"/>
        <v>4.62</v>
      </c>
      <c r="F34" s="28">
        <f t="shared" si="0"/>
        <v>5.39</v>
      </c>
      <c r="G34" s="28">
        <f t="shared" si="0"/>
        <v>25.72</v>
      </c>
      <c r="H34" s="28">
        <f t="shared" si="0"/>
        <v>-4.07</v>
      </c>
      <c r="I34" s="28">
        <f t="shared" si="0"/>
        <v>3.96</v>
      </c>
      <c r="J34" s="28">
        <f t="shared" si="0"/>
        <v>0.17</v>
      </c>
      <c r="K34" s="28">
        <f t="shared" si="0"/>
        <v>102.94</v>
      </c>
      <c r="L34" s="28">
        <f t="shared" si="0"/>
        <v>22.74</v>
      </c>
      <c r="M34" s="28">
        <f t="shared" si="0"/>
        <v>50.35</v>
      </c>
      <c r="N34" s="28">
        <f t="shared" si="0"/>
        <v>66.7</v>
      </c>
      <c r="O34" s="28">
        <f t="shared" si="0"/>
        <v>0</v>
      </c>
      <c r="P34" s="28">
        <f t="shared" si="0"/>
        <v>0.32</v>
      </c>
      <c r="Q34" s="28">
        <f t="shared" si="0"/>
        <v>9.2100000000000009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19.649999999999999</v>
      </c>
      <c r="C35" s="29">
        <f t="shared" si="1"/>
        <v>48.34</v>
      </c>
      <c r="D35" s="29">
        <f t="shared" si="1"/>
        <v>73.47</v>
      </c>
      <c r="E35" s="29">
        <f t="shared" si="1"/>
        <v>6.77</v>
      </c>
      <c r="F35" s="29">
        <f t="shared" si="1"/>
        <v>23.45</v>
      </c>
      <c r="G35" s="29">
        <f t="shared" si="1"/>
        <v>61.86</v>
      </c>
      <c r="H35" s="29">
        <f t="shared" si="1"/>
        <v>25.02</v>
      </c>
      <c r="I35" s="29">
        <f t="shared" si="1"/>
        <v>4.24</v>
      </c>
      <c r="J35" s="29">
        <f t="shared" si="1"/>
        <v>1.52</v>
      </c>
      <c r="K35" s="29">
        <f t="shared" si="1"/>
        <v>354.43</v>
      </c>
      <c r="L35" s="29">
        <f t="shared" si="1"/>
        <v>35.06</v>
      </c>
      <c r="M35" s="29">
        <f t="shared" si="1"/>
        <v>105.23</v>
      </c>
      <c r="N35" s="29">
        <f t="shared" si="1"/>
        <v>960.7</v>
      </c>
      <c r="O35" s="29">
        <f t="shared" si="1"/>
        <v>0</v>
      </c>
      <c r="P35" s="29">
        <f t="shared" si="1"/>
        <v>0.74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10.411666666666667</v>
      </c>
      <c r="C36" s="28">
        <f t="shared" si="2"/>
        <v>28.270416666666673</v>
      </c>
      <c r="D36" s="28">
        <f t="shared" si="2"/>
        <v>39.030833333333327</v>
      </c>
      <c r="E36" s="28">
        <f t="shared" si="2"/>
        <v>5.4850000000000003</v>
      </c>
      <c r="F36" s="28">
        <f t="shared" si="2"/>
        <v>14.038333333333332</v>
      </c>
      <c r="G36" s="28">
        <f t="shared" si="2"/>
        <v>42.319583333333341</v>
      </c>
      <c r="H36" s="28">
        <f t="shared" si="2"/>
        <v>13.999583333333332</v>
      </c>
      <c r="I36" s="28">
        <f t="shared" si="2"/>
        <v>4.1012500000000003</v>
      </c>
      <c r="J36" s="28">
        <f t="shared" si="2"/>
        <v>0.66583333333333339</v>
      </c>
      <c r="K36" s="28">
        <f t="shared" si="2"/>
        <v>194.65208333333331</v>
      </c>
      <c r="L36" s="28">
        <f t="shared" si="2"/>
        <v>29.148749999999996</v>
      </c>
      <c r="M36" s="28">
        <f t="shared" si="2"/>
        <v>75.121249999999989</v>
      </c>
      <c r="N36" s="28">
        <f t="shared" si="2"/>
        <v>317.10416666666669</v>
      </c>
      <c r="O36" s="28">
        <f t="shared" si="2"/>
        <v>0</v>
      </c>
      <c r="P36" s="28">
        <f t="shared" si="2"/>
        <v>0.53749999999999998</v>
      </c>
      <c r="Q36" s="28">
        <f t="shared" si="2"/>
        <v>9.3912500000000012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4.1122771293294145</v>
      </c>
      <c r="C37" s="28">
        <f t="shared" ref="C37:Q37" si="3">STDEV(C9:C32)</f>
        <v>8.6191503057292866</v>
      </c>
      <c r="D37" s="28">
        <f t="shared" si="3"/>
        <v>13.542304060807497</v>
      </c>
      <c r="E37" s="28">
        <f t="shared" si="3"/>
        <v>0.69995030879527487</v>
      </c>
      <c r="F37" s="28">
        <f t="shared" si="3"/>
        <v>5.9557861282787155</v>
      </c>
      <c r="G37" s="28">
        <f t="shared" si="3"/>
        <v>10.627108682481577</v>
      </c>
      <c r="H37" s="28">
        <f t="shared" si="3"/>
        <v>5.552537593919034</v>
      </c>
      <c r="I37" s="28">
        <f t="shared" si="3"/>
        <v>5.6515676932426782E-2</v>
      </c>
      <c r="J37" s="28">
        <f t="shared" si="3"/>
        <v>0.37147083291981992</v>
      </c>
      <c r="K37" s="28">
        <f t="shared" si="3"/>
        <v>103.89511312017345</v>
      </c>
      <c r="L37" s="28">
        <f t="shared" si="3"/>
        <v>4.0732844481636947</v>
      </c>
      <c r="M37" s="28">
        <f t="shared" si="3"/>
        <v>20.733311007315894</v>
      </c>
      <c r="N37" s="28">
        <f t="shared" si="3"/>
        <v>325.19478507927158</v>
      </c>
      <c r="O37" s="28">
        <f t="shared" si="3"/>
        <v>0</v>
      </c>
      <c r="P37" s="28">
        <f t="shared" si="3"/>
        <v>0.11322351883505175</v>
      </c>
      <c r="Q37" s="28">
        <f t="shared" si="3"/>
        <v>0.1190656559835058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324</v>
      </c>
      <c r="B9" s="51">
        <v>7.89</v>
      </c>
      <c r="C9" s="51">
        <v>18.97</v>
      </c>
      <c r="D9" s="51">
        <v>24.19</v>
      </c>
      <c r="E9" s="51">
        <v>4.99</v>
      </c>
      <c r="F9" s="51">
        <v>11.18</v>
      </c>
      <c r="G9" s="51">
        <v>48.65</v>
      </c>
      <c r="H9" s="51">
        <v>14.81</v>
      </c>
      <c r="I9" s="51">
        <v>4.1100000000000003</v>
      </c>
      <c r="J9" s="51">
        <v>0.52</v>
      </c>
      <c r="K9" s="51">
        <v>172.63</v>
      </c>
      <c r="L9" s="51">
        <v>28.58</v>
      </c>
      <c r="M9" s="51">
        <v>74.89</v>
      </c>
      <c r="N9" s="51">
        <v>72.3</v>
      </c>
      <c r="O9" s="51">
        <v>0</v>
      </c>
      <c r="P9" s="51">
        <v>0.47</v>
      </c>
      <c r="Q9" s="51">
        <v>9.4</v>
      </c>
      <c r="R9" s="43"/>
      <c r="S9" s="43"/>
      <c r="T9" s="43"/>
      <c r="U9" s="43"/>
    </row>
    <row r="10" spans="1:21" s="11" customFormat="1" x14ac:dyDescent="0.25">
      <c r="A10" s="50" t="s">
        <v>325</v>
      </c>
      <c r="B10" s="51">
        <v>6.96</v>
      </c>
      <c r="C10" s="51">
        <v>16.16</v>
      </c>
      <c r="D10" s="51">
        <v>20.6</v>
      </c>
      <c r="E10" s="51">
        <v>4.92</v>
      </c>
      <c r="F10" s="51">
        <v>9.82</v>
      </c>
      <c r="G10" s="51">
        <v>48.2</v>
      </c>
      <c r="H10" s="51">
        <v>11.68</v>
      </c>
      <c r="I10" s="51">
        <v>4.17</v>
      </c>
      <c r="J10" s="51">
        <v>0.72</v>
      </c>
      <c r="K10" s="51">
        <v>166.04</v>
      </c>
      <c r="L10" s="51">
        <v>27.5</v>
      </c>
      <c r="M10" s="51">
        <v>79.28</v>
      </c>
      <c r="N10" s="51">
        <v>71.900000000000006</v>
      </c>
      <c r="O10" s="51">
        <v>0</v>
      </c>
      <c r="P10" s="51">
        <v>0.38</v>
      </c>
      <c r="Q10" s="51">
        <v>9.3699999999999992</v>
      </c>
      <c r="R10" s="43"/>
      <c r="S10" s="43"/>
      <c r="T10" s="43"/>
      <c r="U10" s="43"/>
    </row>
    <row r="11" spans="1:21" s="11" customFormat="1" x14ac:dyDescent="0.25">
      <c r="A11" s="50" t="s">
        <v>326</v>
      </c>
      <c r="B11" s="51">
        <v>7.65</v>
      </c>
      <c r="C11" s="51">
        <v>17.03</v>
      </c>
      <c r="D11" s="51">
        <v>21.04</v>
      </c>
      <c r="E11" s="51">
        <v>4.75</v>
      </c>
      <c r="F11" s="51">
        <v>9.1</v>
      </c>
      <c r="G11" s="51">
        <v>40.21</v>
      </c>
      <c r="H11" s="51">
        <v>11.29</v>
      </c>
      <c r="I11" s="51">
        <v>4.16</v>
      </c>
      <c r="J11" s="51">
        <v>0.6</v>
      </c>
      <c r="K11" s="51">
        <v>160.27000000000001</v>
      </c>
      <c r="L11" s="51">
        <v>27.02</v>
      </c>
      <c r="M11" s="51">
        <v>81.22</v>
      </c>
      <c r="N11" s="51">
        <v>71.900000000000006</v>
      </c>
      <c r="O11" s="51">
        <v>0</v>
      </c>
      <c r="P11" s="51">
        <v>0.36</v>
      </c>
      <c r="Q11" s="51">
        <v>9.3699999999999992</v>
      </c>
      <c r="R11" s="43"/>
      <c r="S11" s="43"/>
      <c r="T11" s="43"/>
      <c r="U11" s="43"/>
    </row>
    <row r="12" spans="1:21" s="11" customFormat="1" x14ac:dyDescent="0.25">
      <c r="A12" s="50" t="s">
        <v>327</v>
      </c>
      <c r="B12" s="51">
        <v>8.14</v>
      </c>
      <c r="C12" s="51">
        <v>16.57</v>
      </c>
      <c r="D12" s="51">
        <v>19.86</v>
      </c>
      <c r="E12" s="51">
        <v>4.7300000000000004</v>
      </c>
      <c r="F12" s="51">
        <v>7.56</v>
      </c>
      <c r="G12" s="51">
        <v>35.36</v>
      </c>
      <c r="H12" s="51">
        <v>14.54</v>
      </c>
      <c r="I12" s="51">
        <v>4.0599999999999996</v>
      </c>
      <c r="J12" s="51">
        <v>0.56999999999999995</v>
      </c>
      <c r="K12" s="51">
        <v>157.59</v>
      </c>
      <c r="L12" s="51">
        <v>26.94</v>
      </c>
      <c r="M12" s="51">
        <v>81.16</v>
      </c>
      <c r="N12" s="51">
        <v>71.5</v>
      </c>
      <c r="O12" s="51">
        <v>0</v>
      </c>
      <c r="P12" s="51">
        <v>0.34</v>
      </c>
      <c r="Q12" s="51">
        <v>9.3699999999999992</v>
      </c>
      <c r="R12" s="43"/>
      <c r="S12" s="43"/>
      <c r="T12" s="43"/>
      <c r="U12" s="43"/>
    </row>
    <row r="13" spans="1:21" s="11" customFormat="1" x14ac:dyDescent="0.25">
      <c r="A13" s="50" t="s">
        <v>328</v>
      </c>
      <c r="B13" s="51">
        <v>8.7100000000000009</v>
      </c>
      <c r="C13" s="51">
        <v>18.600000000000001</v>
      </c>
      <c r="D13" s="51">
        <v>22.23</v>
      </c>
      <c r="E13" s="51">
        <v>4.68</v>
      </c>
      <c r="F13" s="51">
        <v>10.41</v>
      </c>
      <c r="G13" s="51">
        <v>26.2</v>
      </c>
      <c r="H13" s="51">
        <v>14.74</v>
      </c>
      <c r="I13" s="51">
        <v>4.1500000000000004</v>
      </c>
      <c r="J13" s="51">
        <v>0.56000000000000005</v>
      </c>
      <c r="K13" s="51">
        <v>113.89</v>
      </c>
      <c r="L13" s="51">
        <v>26.83</v>
      </c>
      <c r="M13" s="51">
        <v>81.040000000000006</v>
      </c>
      <c r="N13" s="51">
        <v>71.599999999999994</v>
      </c>
      <c r="O13" s="51">
        <v>0</v>
      </c>
      <c r="P13" s="51">
        <v>0.27</v>
      </c>
      <c r="Q13" s="51">
        <v>9.34</v>
      </c>
      <c r="R13" s="43"/>
      <c r="S13" s="43"/>
      <c r="T13" s="43"/>
      <c r="U13" s="43"/>
    </row>
    <row r="14" spans="1:21" s="11" customFormat="1" x14ac:dyDescent="0.25">
      <c r="A14" s="50" t="s">
        <v>329</v>
      </c>
      <c r="B14" s="51">
        <v>9.48</v>
      </c>
      <c r="C14" s="51">
        <v>22.04</v>
      </c>
      <c r="D14" s="51">
        <v>27.63</v>
      </c>
      <c r="E14" s="51">
        <v>4.83</v>
      </c>
      <c r="F14" s="51">
        <v>10.58</v>
      </c>
      <c r="G14" s="51">
        <v>26.27</v>
      </c>
      <c r="H14" s="51">
        <v>12.48</v>
      </c>
      <c r="I14" s="51">
        <v>4.12</v>
      </c>
      <c r="J14" s="51">
        <v>0.51</v>
      </c>
      <c r="K14" s="51">
        <v>111.53</v>
      </c>
      <c r="L14" s="51">
        <v>26.34</v>
      </c>
      <c r="M14" s="51">
        <v>81.2</v>
      </c>
      <c r="N14" s="51">
        <v>130.1</v>
      </c>
      <c r="O14" s="51">
        <v>0</v>
      </c>
      <c r="P14" s="51">
        <v>0.28000000000000003</v>
      </c>
      <c r="Q14" s="51">
        <v>9.36</v>
      </c>
      <c r="R14" s="43"/>
      <c r="S14" s="43"/>
      <c r="T14" s="43"/>
      <c r="U14" s="43"/>
    </row>
    <row r="15" spans="1:21" s="11" customFormat="1" x14ac:dyDescent="0.25">
      <c r="A15" s="50" t="s">
        <v>330</v>
      </c>
      <c r="B15" s="51">
        <v>17.399999999999999</v>
      </c>
      <c r="C15" s="51">
        <v>29.64</v>
      </c>
      <c r="D15" s="51">
        <v>30.03</v>
      </c>
      <c r="E15" s="51">
        <v>5.14</v>
      </c>
      <c r="F15" s="51">
        <v>8.77</v>
      </c>
      <c r="G15" s="51">
        <v>25.35</v>
      </c>
      <c r="H15" s="51">
        <v>65.540000000000006</v>
      </c>
      <c r="I15" s="51">
        <v>4.1100000000000003</v>
      </c>
      <c r="J15" s="51">
        <v>0.76</v>
      </c>
      <c r="K15" s="51">
        <v>114.08</v>
      </c>
      <c r="L15" s="51">
        <v>27.66</v>
      </c>
      <c r="M15" s="51">
        <v>79.34</v>
      </c>
      <c r="N15" s="51">
        <v>320.2</v>
      </c>
      <c r="O15" s="51">
        <v>0</v>
      </c>
      <c r="P15" s="51">
        <v>0.32</v>
      </c>
      <c r="Q15" s="51">
        <v>9.41</v>
      </c>
      <c r="R15" s="43"/>
      <c r="S15" s="43"/>
      <c r="T15" s="43"/>
      <c r="U15" s="43"/>
    </row>
    <row r="16" spans="1:21" s="11" customFormat="1" x14ac:dyDescent="0.25">
      <c r="A16" s="50" t="s">
        <v>331</v>
      </c>
      <c r="B16" s="51">
        <v>13.8</v>
      </c>
      <c r="C16" s="51">
        <v>25.71</v>
      </c>
      <c r="D16" s="51">
        <v>28.02</v>
      </c>
      <c r="E16" s="51">
        <v>5.75</v>
      </c>
      <c r="F16" s="51">
        <v>7.56</v>
      </c>
      <c r="G16" s="51">
        <v>27.75</v>
      </c>
      <c r="H16" s="51">
        <v>140.44</v>
      </c>
      <c r="I16" s="51">
        <v>4.08</v>
      </c>
      <c r="J16" s="51">
        <v>1.1200000000000001</v>
      </c>
      <c r="K16" s="51">
        <v>112.81</v>
      </c>
      <c r="L16" s="51">
        <v>29.67</v>
      </c>
      <c r="M16" s="51">
        <v>73.790000000000006</v>
      </c>
      <c r="N16" s="51">
        <v>529.79999999999995</v>
      </c>
      <c r="O16" s="51">
        <v>0</v>
      </c>
      <c r="P16" s="51">
        <v>0.33</v>
      </c>
      <c r="Q16" s="51">
        <v>9.43</v>
      </c>
      <c r="R16" s="43"/>
      <c r="S16" s="43"/>
      <c r="T16" s="43"/>
      <c r="U16" s="43"/>
    </row>
    <row r="17" spans="1:21" s="11" customFormat="1" x14ac:dyDescent="0.25">
      <c r="A17" s="50" t="s">
        <v>332</v>
      </c>
      <c r="B17" s="51">
        <v>12.73</v>
      </c>
      <c r="C17" s="51">
        <v>25.45</v>
      </c>
      <c r="D17" s="51">
        <v>29.16</v>
      </c>
      <c r="E17" s="51">
        <v>5.78</v>
      </c>
      <c r="F17" s="51">
        <v>10.199999999999999</v>
      </c>
      <c r="G17" s="51">
        <v>29.41</v>
      </c>
      <c r="H17" s="51">
        <v>17.79</v>
      </c>
      <c r="I17" s="51">
        <v>4.16</v>
      </c>
      <c r="J17" s="51">
        <v>0.59</v>
      </c>
      <c r="K17" s="51">
        <v>111.25</v>
      </c>
      <c r="L17" s="51">
        <v>31.44</v>
      </c>
      <c r="M17" s="51">
        <v>65.180000000000007</v>
      </c>
      <c r="N17" s="51">
        <v>740.3</v>
      </c>
      <c r="O17" s="51">
        <v>0</v>
      </c>
      <c r="P17" s="51">
        <v>0.34</v>
      </c>
      <c r="Q17" s="51">
        <v>9.44</v>
      </c>
      <c r="R17" s="43"/>
      <c r="S17" s="43"/>
      <c r="T17" s="43"/>
      <c r="U17" s="43"/>
    </row>
    <row r="18" spans="1:21" s="11" customFormat="1" x14ac:dyDescent="0.25">
      <c r="A18" s="50" t="s">
        <v>333</v>
      </c>
      <c r="B18" s="51">
        <v>11.79</v>
      </c>
      <c r="C18" s="51">
        <v>23.96</v>
      </c>
      <c r="D18" s="51">
        <v>27.76</v>
      </c>
      <c r="E18" s="51">
        <v>6.29</v>
      </c>
      <c r="F18" s="51">
        <v>15.39</v>
      </c>
      <c r="G18" s="51">
        <v>29.94</v>
      </c>
      <c r="H18" s="51">
        <v>16.57</v>
      </c>
      <c r="I18" s="51">
        <v>4.0599999999999996</v>
      </c>
      <c r="J18" s="51">
        <v>0.8</v>
      </c>
      <c r="K18" s="51">
        <v>120.35</v>
      </c>
      <c r="L18" s="51">
        <v>32.46</v>
      </c>
      <c r="M18" s="51">
        <v>59.54</v>
      </c>
      <c r="N18" s="51">
        <v>892</v>
      </c>
      <c r="O18" s="51">
        <v>0</v>
      </c>
      <c r="P18" s="51">
        <v>0.34</v>
      </c>
      <c r="Q18" s="51">
        <v>9.42</v>
      </c>
      <c r="R18" s="43"/>
      <c r="S18" s="43"/>
      <c r="T18" s="43"/>
      <c r="U18" s="43"/>
    </row>
    <row r="19" spans="1:21" s="11" customFormat="1" x14ac:dyDescent="0.25">
      <c r="A19" s="50" t="s">
        <v>334</v>
      </c>
      <c r="B19" s="51">
        <v>9.7100000000000009</v>
      </c>
      <c r="C19" s="51">
        <v>18.2</v>
      </c>
      <c r="D19" s="51">
        <v>25.75</v>
      </c>
      <c r="E19" s="51">
        <v>6.68</v>
      </c>
      <c r="F19" s="51">
        <v>17.95</v>
      </c>
      <c r="G19" s="51">
        <v>28.56</v>
      </c>
      <c r="H19" s="51">
        <v>16.57</v>
      </c>
      <c r="I19" s="51">
        <v>4.32</v>
      </c>
      <c r="J19" s="51">
        <v>1.1599999999999999</v>
      </c>
      <c r="K19" s="51">
        <v>113.93</v>
      </c>
      <c r="L19" s="51">
        <v>32.380000000000003</v>
      </c>
      <c r="M19" s="51">
        <v>52.81</v>
      </c>
      <c r="N19" s="51">
        <v>1001.2</v>
      </c>
      <c r="O19" s="51">
        <v>0</v>
      </c>
      <c r="P19" s="51">
        <v>0.24</v>
      </c>
      <c r="Q19" s="51">
        <v>9.39</v>
      </c>
      <c r="R19" s="43"/>
      <c r="S19" s="43"/>
      <c r="T19" s="43"/>
      <c r="U19" s="43"/>
    </row>
    <row r="20" spans="1:21" s="11" customFormat="1" x14ac:dyDescent="0.25">
      <c r="A20" s="50" t="s">
        <v>335</v>
      </c>
      <c r="B20" s="51">
        <v>5.56</v>
      </c>
      <c r="C20" s="51">
        <v>18.8</v>
      </c>
      <c r="D20" s="51">
        <v>27.46</v>
      </c>
      <c r="E20" s="51">
        <v>6.58</v>
      </c>
      <c r="F20" s="51">
        <v>15.18</v>
      </c>
      <c r="G20" s="51">
        <v>28.56</v>
      </c>
      <c r="H20" s="51">
        <v>16.57</v>
      </c>
      <c r="I20" s="51">
        <v>4.0999999999999996</v>
      </c>
      <c r="J20" s="51">
        <v>1.56</v>
      </c>
      <c r="K20" s="51">
        <v>116.46</v>
      </c>
      <c r="L20" s="51">
        <v>32.630000000000003</v>
      </c>
      <c r="M20" s="51">
        <v>52.78</v>
      </c>
      <c r="N20" s="51">
        <v>1028.7</v>
      </c>
      <c r="O20" s="51">
        <v>0</v>
      </c>
      <c r="P20" s="51">
        <v>0.26</v>
      </c>
      <c r="Q20" s="51">
        <v>9.15</v>
      </c>
      <c r="R20" s="43"/>
      <c r="S20" s="43"/>
      <c r="T20" s="43"/>
      <c r="U20" s="43"/>
    </row>
    <row r="21" spans="1:21" s="11" customFormat="1" x14ac:dyDescent="0.25">
      <c r="A21" s="50" t="s">
        <v>336</v>
      </c>
      <c r="B21" s="51">
        <v>6.08</v>
      </c>
      <c r="C21" s="51">
        <v>18.989999999999998</v>
      </c>
      <c r="D21" s="51">
        <v>28.27</v>
      </c>
      <c r="E21" s="51">
        <v>6.18</v>
      </c>
      <c r="F21" s="51">
        <v>16.579999999999998</v>
      </c>
      <c r="G21" s="51">
        <v>28.56</v>
      </c>
      <c r="H21" s="51">
        <v>16.57</v>
      </c>
      <c r="I21" s="51">
        <v>4.05</v>
      </c>
      <c r="J21" s="51">
        <v>1.31</v>
      </c>
      <c r="K21" s="51">
        <v>111.01</v>
      </c>
      <c r="L21" s="51">
        <v>33.06</v>
      </c>
      <c r="M21" s="51">
        <v>53.07</v>
      </c>
      <c r="N21" s="51">
        <v>943.9</v>
      </c>
      <c r="O21" s="51">
        <v>0</v>
      </c>
      <c r="P21" s="51">
        <v>0.25</v>
      </c>
      <c r="Q21" s="51">
        <v>9.16</v>
      </c>
      <c r="R21" s="43"/>
      <c r="S21" s="43"/>
      <c r="T21" s="43"/>
      <c r="U21" s="43"/>
    </row>
    <row r="22" spans="1:21" s="11" customFormat="1" x14ac:dyDescent="0.25">
      <c r="A22" s="50" t="s">
        <v>337</v>
      </c>
      <c r="B22" s="51">
        <v>3.92</v>
      </c>
      <c r="C22" s="51">
        <v>15.58</v>
      </c>
      <c r="D22" s="51">
        <v>23.99</v>
      </c>
      <c r="E22" s="51">
        <v>6.53</v>
      </c>
      <c r="F22" s="51">
        <v>19.45</v>
      </c>
      <c r="G22" s="51">
        <v>45.94</v>
      </c>
      <c r="H22" s="51">
        <v>14.44</v>
      </c>
      <c r="I22" s="51">
        <v>4.1100000000000003</v>
      </c>
      <c r="J22" s="51">
        <v>1.82</v>
      </c>
      <c r="K22" s="51">
        <v>115.14</v>
      </c>
      <c r="L22" s="51">
        <v>32.450000000000003</v>
      </c>
      <c r="M22" s="51">
        <v>53.08</v>
      </c>
      <c r="N22" s="51">
        <v>579.6</v>
      </c>
      <c r="O22" s="51">
        <v>0</v>
      </c>
      <c r="P22" s="51">
        <v>0.3</v>
      </c>
      <c r="Q22" s="51">
        <v>9.15</v>
      </c>
      <c r="R22" s="43"/>
      <c r="S22" s="43"/>
      <c r="T22" s="43"/>
      <c r="U22" s="43"/>
    </row>
    <row r="23" spans="1:21" s="11" customFormat="1" x14ac:dyDescent="0.25">
      <c r="A23" s="50" t="s">
        <v>338</v>
      </c>
      <c r="B23" s="51">
        <v>5.28</v>
      </c>
      <c r="C23" s="51">
        <v>17.98</v>
      </c>
      <c r="D23" s="51">
        <v>26.3</v>
      </c>
      <c r="E23" s="51">
        <v>6.45</v>
      </c>
      <c r="F23" s="51">
        <v>23.74</v>
      </c>
      <c r="G23" s="51">
        <v>35.54</v>
      </c>
      <c r="H23" s="51">
        <v>2.73</v>
      </c>
      <c r="I23" s="51">
        <v>4.1500000000000004</v>
      </c>
      <c r="J23" s="51">
        <v>1.56</v>
      </c>
      <c r="K23" s="51">
        <v>116.68</v>
      </c>
      <c r="L23" s="51">
        <v>33.11</v>
      </c>
      <c r="M23" s="51">
        <v>49.69</v>
      </c>
      <c r="N23" s="51">
        <v>374.5</v>
      </c>
      <c r="O23" s="51">
        <v>0</v>
      </c>
      <c r="P23" s="51">
        <v>0.35</v>
      </c>
      <c r="Q23" s="51">
        <v>9.14</v>
      </c>
      <c r="R23" s="43"/>
      <c r="S23" s="43"/>
      <c r="T23" s="43"/>
      <c r="U23" s="43"/>
    </row>
    <row r="24" spans="1:21" s="11" customFormat="1" x14ac:dyDescent="0.25">
      <c r="A24" s="50" t="s">
        <v>339</v>
      </c>
      <c r="B24" s="51">
        <v>6.86</v>
      </c>
      <c r="C24" s="51">
        <v>23.16</v>
      </c>
      <c r="D24" s="51">
        <v>34.51</v>
      </c>
      <c r="E24" s="51">
        <v>6.95</v>
      </c>
      <c r="F24" s="51">
        <v>24.87</v>
      </c>
      <c r="G24" s="51">
        <v>35.869999999999997</v>
      </c>
      <c r="H24" s="51">
        <v>20</v>
      </c>
      <c r="I24" s="51">
        <v>4.0599999999999996</v>
      </c>
      <c r="J24" s="51">
        <v>1.57</v>
      </c>
      <c r="K24" s="51">
        <v>111.94</v>
      </c>
      <c r="L24" s="51">
        <v>33.46</v>
      </c>
      <c r="M24" s="51">
        <v>44.53</v>
      </c>
      <c r="N24" s="51">
        <v>430.2</v>
      </c>
      <c r="O24" s="51">
        <v>0</v>
      </c>
      <c r="P24" s="51">
        <v>0.41</v>
      </c>
      <c r="Q24" s="51">
        <v>9.17</v>
      </c>
      <c r="R24" s="43"/>
      <c r="S24" s="43"/>
      <c r="T24" s="43"/>
      <c r="U24" s="43"/>
    </row>
    <row r="25" spans="1:21" s="11" customFormat="1" x14ac:dyDescent="0.25">
      <c r="A25" s="50" t="s">
        <v>340</v>
      </c>
      <c r="B25" s="51">
        <v>4.4400000000000004</v>
      </c>
      <c r="C25" s="51">
        <v>19.52</v>
      </c>
      <c r="D25" s="51">
        <v>30.56</v>
      </c>
      <c r="E25" s="51">
        <v>5.13</v>
      </c>
      <c r="F25" s="51">
        <v>19.79</v>
      </c>
      <c r="G25" s="51">
        <v>2.64</v>
      </c>
      <c r="H25" s="51">
        <v>20</v>
      </c>
      <c r="I25" s="51">
        <v>4.04</v>
      </c>
      <c r="J25" s="51">
        <v>1.29</v>
      </c>
      <c r="K25" s="51">
        <v>114.19</v>
      </c>
      <c r="L25" s="51">
        <v>33.46</v>
      </c>
      <c r="M25" s="51">
        <v>44.57</v>
      </c>
      <c r="N25" s="51">
        <v>184.9</v>
      </c>
      <c r="O25" s="51">
        <v>0</v>
      </c>
      <c r="P25" s="51">
        <v>0.39</v>
      </c>
      <c r="Q25" s="51">
        <v>9.18</v>
      </c>
      <c r="R25" s="43"/>
      <c r="S25" s="43"/>
      <c r="T25" s="43"/>
      <c r="U25" s="43"/>
    </row>
    <row r="26" spans="1:21" s="11" customFormat="1" x14ac:dyDescent="0.25">
      <c r="A26" s="50" t="s">
        <v>341</v>
      </c>
      <c r="B26" s="51">
        <v>4.03</v>
      </c>
      <c r="C26" s="51">
        <v>16.829999999999998</v>
      </c>
      <c r="D26" s="51">
        <v>26.02</v>
      </c>
      <c r="E26" s="51">
        <v>5.39</v>
      </c>
      <c r="F26" s="51">
        <v>24.19</v>
      </c>
      <c r="G26" s="51">
        <v>59.36</v>
      </c>
      <c r="H26" s="51">
        <v>11.51</v>
      </c>
      <c r="I26" s="51">
        <v>4.09</v>
      </c>
      <c r="J26" s="51">
        <v>2.2599999999999998</v>
      </c>
      <c r="K26" s="51">
        <v>113.47</v>
      </c>
      <c r="L26" s="51">
        <v>33.200000000000003</v>
      </c>
      <c r="M26" s="51">
        <v>47.31</v>
      </c>
      <c r="N26" s="51">
        <v>162.19999999999999</v>
      </c>
      <c r="O26" s="51">
        <v>0</v>
      </c>
      <c r="P26" s="51">
        <v>0.36</v>
      </c>
      <c r="Q26" s="51">
        <v>9.16</v>
      </c>
      <c r="R26" s="43"/>
      <c r="S26" s="43"/>
      <c r="T26" s="43"/>
      <c r="U26" s="43"/>
    </row>
    <row r="27" spans="1:21" s="11" customFormat="1" x14ac:dyDescent="0.25">
      <c r="A27" s="50" t="s">
        <v>342</v>
      </c>
      <c r="B27" s="51">
        <v>3.72</v>
      </c>
      <c r="C27" s="51">
        <v>15.44</v>
      </c>
      <c r="D27" s="51">
        <v>23.84</v>
      </c>
      <c r="E27" s="51">
        <v>4.8600000000000003</v>
      </c>
      <c r="F27" s="51">
        <v>17.260000000000002</v>
      </c>
      <c r="G27" s="51">
        <v>39.93</v>
      </c>
      <c r="H27" s="51">
        <v>29.02</v>
      </c>
      <c r="I27" s="51">
        <v>4.0599999999999996</v>
      </c>
      <c r="J27" s="51">
        <v>1.02</v>
      </c>
      <c r="K27" s="51">
        <v>151.79</v>
      </c>
      <c r="L27" s="51">
        <v>32.11</v>
      </c>
      <c r="M27" s="51">
        <v>58.74</v>
      </c>
      <c r="N27" s="51">
        <v>109</v>
      </c>
      <c r="O27" s="51">
        <v>0</v>
      </c>
      <c r="P27" s="51">
        <v>0.35</v>
      </c>
      <c r="Q27" s="51">
        <v>9.17</v>
      </c>
      <c r="R27" s="43"/>
      <c r="S27" s="43"/>
      <c r="T27" s="43"/>
      <c r="U27" s="43"/>
    </row>
    <row r="28" spans="1:21" s="11" customFormat="1" x14ac:dyDescent="0.25">
      <c r="A28" s="50" t="s">
        <v>343</v>
      </c>
      <c r="B28" s="51">
        <v>5.09</v>
      </c>
      <c r="C28" s="51">
        <v>19.45</v>
      </c>
      <c r="D28" s="51">
        <v>29.41</v>
      </c>
      <c r="E28" s="51">
        <v>5.21</v>
      </c>
      <c r="F28" s="51">
        <v>15.22</v>
      </c>
      <c r="G28" s="51">
        <v>43.62</v>
      </c>
      <c r="H28" s="51">
        <v>52.85</v>
      </c>
      <c r="I28" s="51">
        <v>4.0199999999999996</v>
      </c>
      <c r="J28" s="51">
        <v>0.61</v>
      </c>
      <c r="K28" s="51">
        <v>160.4</v>
      </c>
      <c r="L28" s="51">
        <v>30.85</v>
      </c>
      <c r="M28" s="51">
        <v>61.86</v>
      </c>
      <c r="N28" s="51">
        <v>85.8</v>
      </c>
      <c r="O28" s="51">
        <v>0</v>
      </c>
      <c r="P28" s="51">
        <v>0.36</v>
      </c>
      <c r="Q28" s="51">
        <v>9.2200000000000006</v>
      </c>
      <c r="R28" s="43"/>
      <c r="S28" s="43"/>
      <c r="T28" s="43"/>
      <c r="U28" s="43"/>
    </row>
    <row r="29" spans="1:21" s="11" customFormat="1" x14ac:dyDescent="0.25">
      <c r="A29" s="50" t="s">
        <v>344</v>
      </c>
      <c r="B29" s="51">
        <v>5.12</v>
      </c>
      <c r="C29" s="51">
        <v>17.75</v>
      </c>
      <c r="D29" s="51">
        <v>26.34</v>
      </c>
      <c r="E29" s="51">
        <v>5</v>
      </c>
      <c r="F29" s="51">
        <v>14.08</v>
      </c>
      <c r="G29" s="51">
        <v>35.950000000000003</v>
      </c>
      <c r="H29" s="51">
        <v>59.84</v>
      </c>
      <c r="I29" s="51">
        <v>4.13</v>
      </c>
      <c r="J29" s="51">
        <v>0.6</v>
      </c>
      <c r="K29" s="51">
        <v>165.7</v>
      </c>
      <c r="L29" s="51">
        <v>29.98</v>
      </c>
      <c r="M29" s="51">
        <v>61.01</v>
      </c>
      <c r="N29" s="51">
        <v>84.9</v>
      </c>
      <c r="O29" s="51">
        <v>0</v>
      </c>
      <c r="P29" s="51">
        <v>0.36</v>
      </c>
      <c r="Q29" s="51">
        <v>9.25</v>
      </c>
      <c r="R29" s="43"/>
      <c r="S29" s="43"/>
      <c r="T29" s="43"/>
      <c r="U29" s="43"/>
    </row>
    <row r="30" spans="1:21" s="11" customFormat="1" x14ac:dyDescent="0.25">
      <c r="A30" s="50" t="s">
        <v>345</v>
      </c>
      <c r="B30" s="51">
        <v>5.0199999999999996</v>
      </c>
      <c r="C30" s="51">
        <v>20.010000000000002</v>
      </c>
      <c r="D30" s="51">
        <v>30.6</v>
      </c>
      <c r="E30" s="51">
        <v>4.99</v>
      </c>
      <c r="F30" s="51">
        <v>13.25</v>
      </c>
      <c r="G30" s="51">
        <v>30.26</v>
      </c>
      <c r="H30" s="51">
        <v>57.03</v>
      </c>
      <c r="I30" s="51">
        <v>4.1500000000000004</v>
      </c>
      <c r="J30" s="51">
        <v>0.46</v>
      </c>
      <c r="K30" s="51">
        <v>143.97</v>
      </c>
      <c r="L30" s="51">
        <v>29.18</v>
      </c>
      <c r="M30" s="51">
        <v>61.88</v>
      </c>
      <c r="N30" s="51">
        <v>83.3</v>
      </c>
      <c r="O30" s="51">
        <v>0</v>
      </c>
      <c r="P30" s="51">
        <v>0.34</v>
      </c>
      <c r="Q30" s="51">
        <v>9.26</v>
      </c>
      <c r="R30" s="43"/>
      <c r="S30" s="43"/>
      <c r="T30" s="43"/>
      <c r="U30" s="43"/>
    </row>
    <row r="31" spans="1:21" s="11" customFormat="1" x14ac:dyDescent="0.25">
      <c r="A31" s="50" t="s">
        <v>346</v>
      </c>
      <c r="B31" s="51">
        <v>5.05</v>
      </c>
      <c r="C31" s="51">
        <v>17.190000000000001</v>
      </c>
      <c r="D31" s="51">
        <v>25.18</v>
      </c>
      <c r="E31" s="51">
        <v>4.8600000000000003</v>
      </c>
      <c r="F31" s="51">
        <v>14.63</v>
      </c>
      <c r="G31" s="51">
        <v>20.63</v>
      </c>
      <c r="H31" s="51">
        <v>55.65</v>
      </c>
      <c r="I31" s="51">
        <v>4.1500000000000004</v>
      </c>
      <c r="J31" s="51">
        <v>0.56999999999999995</v>
      </c>
      <c r="K31" s="51">
        <v>176.31</v>
      </c>
      <c r="L31" s="51">
        <v>28.79</v>
      </c>
      <c r="M31" s="51">
        <v>66.680000000000007</v>
      </c>
      <c r="N31" s="51">
        <v>112</v>
      </c>
      <c r="O31" s="51">
        <v>0</v>
      </c>
      <c r="P31" s="51">
        <v>0.32</v>
      </c>
      <c r="Q31" s="51">
        <v>9.25</v>
      </c>
      <c r="R31" s="43"/>
      <c r="S31" s="43"/>
      <c r="T31" s="43"/>
      <c r="U31" s="43"/>
    </row>
    <row r="32" spans="1:21" s="11" customFormat="1" x14ac:dyDescent="0.25">
      <c r="A32" s="50" t="s">
        <v>347</v>
      </c>
      <c r="B32" s="51">
        <v>4.8</v>
      </c>
      <c r="C32" s="51">
        <v>16.82</v>
      </c>
      <c r="D32" s="51">
        <v>25.27</v>
      </c>
      <c r="E32" s="51">
        <v>5.19</v>
      </c>
      <c r="F32" s="51">
        <v>14.89</v>
      </c>
      <c r="G32" s="51">
        <v>19.39</v>
      </c>
      <c r="H32" s="51">
        <v>56.91</v>
      </c>
      <c r="I32" s="51">
        <v>4.1100000000000003</v>
      </c>
      <c r="J32" s="51">
        <v>0.75</v>
      </c>
      <c r="K32" s="51">
        <v>166.5</v>
      </c>
      <c r="L32" s="51">
        <v>28.28</v>
      </c>
      <c r="M32" s="51">
        <v>72.52</v>
      </c>
      <c r="N32" s="51">
        <v>109</v>
      </c>
      <c r="O32" s="51">
        <v>0</v>
      </c>
      <c r="P32" s="51">
        <v>0.27</v>
      </c>
      <c r="Q32" s="51">
        <v>9.24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3.72</v>
      </c>
      <c r="C34" s="28">
        <f t="shared" si="0"/>
        <v>15.44</v>
      </c>
      <c r="D34" s="28">
        <f t="shared" si="0"/>
        <v>19.86</v>
      </c>
      <c r="E34" s="28">
        <f t="shared" si="0"/>
        <v>4.68</v>
      </c>
      <c r="F34" s="28">
        <f t="shared" si="0"/>
        <v>7.56</v>
      </c>
      <c r="G34" s="28">
        <f t="shared" si="0"/>
        <v>2.64</v>
      </c>
      <c r="H34" s="28">
        <f t="shared" si="0"/>
        <v>2.73</v>
      </c>
      <c r="I34" s="28">
        <f t="shared" si="0"/>
        <v>4.0199999999999996</v>
      </c>
      <c r="J34" s="28">
        <f t="shared" si="0"/>
        <v>0.46</v>
      </c>
      <c r="K34" s="28">
        <f t="shared" si="0"/>
        <v>111.01</v>
      </c>
      <c r="L34" s="28">
        <f t="shared" si="0"/>
        <v>26.34</v>
      </c>
      <c r="M34" s="28">
        <f t="shared" si="0"/>
        <v>44.53</v>
      </c>
      <c r="N34" s="28">
        <f t="shared" si="0"/>
        <v>71.5</v>
      </c>
      <c r="O34" s="28">
        <f t="shared" si="0"/>
        <v>0</v>
      </c>
      <c r="P34" s="28">
        <f t="shared" si="0"/>
        <v>0.24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17.399999999999999</v>
      </c>
      <c r="C35" s="29">
        <f t="shared" si="1"/>
        <v>29.64</v>
      </c>
      <c r="D35" s="29">
        <f t="shared" si="1"/>
        <v>34.51</v>
      </c>
      <c r="E35" s="29">
        <f t="shared" si="1"/>
        <v>6.95</v>
      </c>
      <c r="F35" s="29">
        <f t="shared" si="1"/>
        <v>24.87</v>
      </c>
      <c r="G35" s="29">
        <f t="shared" si="1"/>
        <v>59.36</v>
      </c>
      <c r="H35" s="29">
        <f t="shared" si="1"/>
        <v>140.44</v>
      </c>
      <c r="I35" s="29">
        <f t="shared" si="1"/>
        <v>4.32</v>
      </c>
      <c r="J35" s="29">
        <f t="shared" si="1"/>
        <v>2.2599999999999998</v>
      </c>
      <c r="K35" s="29">
        <f t="shared" si="1"/>
        <v>176.31</v>
      </c>
      <c r="L35" s="29">
        <f t="shared" si="1"/>
        <v>33.46</v>
      </c>
      <c r="M35" s="29">
        <f t="shared" si="1"/>
        <v>81.22</v>
      </c>
      <c r="N35" s="29">
        <f t="shared" si="1"/>
        <v>1028.7</v>
      </c>
      <c r="O35" s="29">
        <f t="shared" si="1"/>
        <v>0</v>
      </c>
      <c r="P35" s="29">
        <f t="shared" si="1"/>
        <v>0.47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7.4679166666666683</v>
      </c>
      <c r="C36" s="28">
        <f t="shared" si="2"/>
        <v>19.577083333333331</v>
      </c>
      <c r="D36" s="28">
        <f t="shared" si="2"/>
        <v>26.417499999999993</v>
      </c>
      <c r="E36" s="28">
        <f t="shared" si="2"/>
        <v>5.4941666666666675</v>
      </c>
      <c r="F36" s="28">
        <f t="shared" si="2"/>
        <v>14.652083333333335</v>
      </c>
      <c r="G36" s="28">
        <f t="shared" si="2"/>
        <v>33.006250000000001</v>
      </c>
      <c r="H36" s="28">
        <f t="shared" si="2"/>
        <v>31.232083333333332</v>
      </c>
      <c r="I36" s="28">
        <f t="shared" si="2"/>
        <v>4.1133333333333342</v>
      </c>
      <c r="J36" s="28">
        <f t="shared" si="2"/>
        <v>0.97041666666666682</v>
      </c>
      <c r="K36" s="28">
        <f t="shared" si="2"/>
        <v>134.08041666666665</v>
      </c>
      <c r="L36" s="28">
        <f t="shared" si="2"/>
        <v>30.307500000000001</v>
      </c>
      <c r="M36" s="28">
        <f t="shared" si="2"/>
        <v>64.048749999999998</v>
      </c>
      <c r="N36" s="28">
        <f t="shared" si="2"/>
        <v>344.2</v>
      </c>
      <c r="O36" s="28">
        <f t="shared" si="2"/>
        <v>0</v>
      </c>
      <c r="P36" s="28">
        <f t="shared" si="2"/>
        <v>0.33291666666666669</v>
      </c>
      <c r="Q36" s="28">
        <f t="shared" si="2"/>
        <v>9.2833333333333314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3.5208657274901158</v>
      </c>
      <c r="C37" s="28">
        <f t="shared" ref="C37:Q37" si="3">STDEV(C9:C32)</f>
        <v>3.6289182472091541</v>
      </c>
      <c r="D37" s="28">
        <f t="shared" si="3"/>
        <v>3.5157660430644975</v>
      </c>
      <c r="E37" s="28">
        <f t="shared" si="3"/>
        <v>0.73758074969377652</v>
      </c>
      <c r="F37" s="28">
        <f t="shared" si="3"/>
        <v>5.1418944057331739</v>
      </c>
      <c r="G37" s="28">
        <f t="shared" si="3"/>
        <v>11.62176624026994</v>
      </c>
      <c r="H37" s="28">
        <f t="shared" si="3"/>
        <v>30.247741558404961</v>
      </c>
      <c r="I37" s="28">
        <f t="shared" si="3"/>
        <v>6.1620625193804915E-2</v>
      </c>
      <c r="J37" s="28">
        <f t="shared" si="3"/>
        <v>0.49413498566481895</v>
      </c>
      <c r="K37" s="28">
        <f t="shared" si="3"/>
        <v>25.007533730800162</v>
      </c>
      <c r="L37" s="28">
        <f t="shared" si="3"/>
        <v>2.497545316645057</v>
      </c>
      <c r="M37" s="28">
        <f t="shared" si="3"/>
        <v>12.746459120426177</v>
      </c>
      <c r="N37" s="28">
        <f t="shared" si="3"/>
        <v>339.91241327090739</v>
      </c>
      <c r="O37" s="28">
        <f t="shared" si="3"/>
        <v>0</v>
      </c>
      <c r="P37" s="28">
        <f t="shared" si="3"/>
        <v>5.3930645209876872E-2</v>
      </c>
      <c r="Q37" s="28">
        <f t="shared" si="3"/>
        <v>0.10813303668716774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1" sqref="G11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348</v>
      </c>
      <c r="B9" s="51">
        <v>5.84</v>
      </c>
      <c r="C9" s="51">
        <v>14.84</v>
      </c>
      <c r="D9" s="51">
        <v>19.559999999999999</v>
      </c>
      <c r="E9" s="51">
        <v>4.58</v>
      </c>
      <c r="F9" s="51">
        <v>15.45</v>
      </c>
      <c r="G9" s="51">
        <v>18.27</v>
      </c>
      <c r="H9" s="51">
        <v>50.46</v>
      </c>
      <c r="I9" s="51">
        <v>4</v>
      </c>
      <c r="J9" s="51">
        <v>0.8</v>
      </c>
      <c r="K9" s="51">
        <v>181.65</v>
      </c>
      <c r="L9" s="51">
        <v>27.57</v>
      </c>
      <c r="M9" s="51">
        <v>75.61</v>
      </c>
      <c r="N9" s="51">
        <v>93.9</v>
      </c>
      <c r="O9" s="51">
        <v>0</v>
      </c>
      <c r="P9" s="51">
        <v>0.28000000000000003</v>
      </c>
      <c r="Q9" s="51">
        <v>9.25</v>
      </c>
      <c r="R9" s="43"/>
      <c r="S9" s="43"/>
      <c r="T9" s="43"/>
      <c r="U9" s="43"/>
    </row>
    <row r="10" spans="1:21" s="11" customFormat="1" x14ac:dyDescent="0.25">
      <c r="A10" s="50" t="s">
        <v>349</v>
      </c>
      <c r="B10" s="51">
        <v>5.75</v>
      </c>
      <c r="C10" s="51">
        <v>15.02</v>
      </c>
      <c r="D10" s="51">
        <v>20.46</v>
      </c>
      <c r="E10" s="51">
        <v>4.45</v>
      </c>
      <c r="F10" s="51">
        <v>6.83</v>
      </c>
      <c r="G10" s="51">
        <v>15.18</v>
      </c>
      <c r="H10" s="51">
        <v>46.87</v>
      </c>
      <c r="I10" s="51">
        <v>4.04</v>
      </c>
      <c r="J10" s="51">
        <v>0.9</v>
      </c>
      <c r="K10" s="51">
        <v>165.93</v>
      </c>
      <c r="L10" s="51">
        <v>27.19</v>
      </c>
      <c r="M10" s="51">
        <v>81.84</v>
      </c>
      <c r="N10" s="51">
        <v>63</v>
      </c>
      <c r="O10" s="51">
        <v>0</v>
      </c>
      <c r="P10" s="51">
        <v>0.27</v>
      </c>
      <c r="Q10" s="51">
        <v>9.2200000000000006</v>
      </c>
      <c r="R10" s="43"/>
      <c r="S10" s="43"/>
      <c r="T10" s="43"/>
      <c r="U10" s="43"/>
    </row>
    <row r="11" spans="1:21" s="11" customFormat="1" x14ac:dyDescent="0.25">
      <c r="A11" s="50" t="s">
        <v>350</v>
      </c>
      <c r="B11" s="51">
        <v>5.0199999999999996</v>
      </c>
      <c r="C11" s="51">
        <v>13.66</v>
      </c>
      <c r="D11" s="51">
        <v>18.66</v>
      </c>
      <c r="E11" s="51">
        <v>4.3499999999999996</v>
      </c>
      <c r="F11" s="51">
        <v>7.38</v>
      </c>
      <c r="G11" s="51">
        <v>13.03</v>
      </c>
      <c r="H11" s="51">
        <v>45.21</v>
      </c>
      <c r="I11" s="51">
        <v>4.1100000000000003</v>
      </c>
      <c r="J11" s="51">
        <v>0.74</v>
      </c>
      <c r="K11" s="51">
        <v>169.78</v>
      </c>
      <c r="L11" s="51">
        <v>26.81</v>
      </c>
      <c r="M11" s="51">
        <v>85.39</v>
      </c>
      <c r="N11" s="51">
        <v>83.7</v>
      </c>
      <c r="O11" s="51">
        <v>0</v>
      </c>
      <c r="P11" s="51">
        <v>0.25</v>
      </c>
      <c r="Q11" s="51">
        <v>9.19</v>
      </c>
      <c r="R11" s="43"/>
      <c r="S11" s="43"/>
      <c r="T11" s="43"/>
      <c r="U11" s="43"/>
    </row>
    <row r="12" spans="1:21" s="11" customFormat="1" x14ac:dyDescent="0.25">
      <c r="A12" s="50" t="s">
        <v>351</v>
      </c>
      <c r="B12" s="51">
        <v>4.7699999999999996</v>
      </c>
      <c r="C12" s="51">
        <v>12.06</v>
      </c>
      <c r="D12" s="51">
        <v>16.16</v>
      </c>
      <c r="E12" s="51">
        <v>4.43</v>
      </c>
      <c r="F12" s="51">
        <v>12.91</v>
      </c>
      <c r="G12" s="51">
        <v>13.16</v>
      </c>
      <c r="H12" s="51">
        <v>42.47</v>
      </c>
      <c r="I12" s="51">
        <v>4.18</v>
      </c>
      <c r="J12" s="51">
        <v>0.62</v>
      </c>
      <c r="K12" s="51">
        <v>183.55</v>
      </c>
      <c r="L12" s="51">
        <v>26.56</v>
      </c>
      <c r="M12" s="51">
        <v>89.96</v>
      </c>
      <c r="N12" s="51">
        <v>66.599999999999994</v>
      </c>
      <c r="O12" s="51">
        <v>0</v>
      </c>
      <c r="P12" s="51">
        <v>0.22</v>
      </c>
      <c r="Q12" s="51">
        <v>9.19</v>
      </c>
      <c r="R12" s="43"/>
      <c r="S12" s="43"/>
      <c r="T12" s="43"/>
      <c r="U12" s="43"/>
    </row>
    <row r="13" spans="1:21" s="11" customFormat="1" x14ac:dyDescent="0.25">
      <c r="A13" s="50" t="s">
        <v>352</v>
      </c>
      <c r="B13" s="51">
        <v>4.9400000000000004</v>
      </c>
      <c r="C13" s="51">
        <v>13.46</v>
      </c>
      <c r="D13" s="51">
        <v>18.600000000000001</v>
      </c>
      <c r="E13" s="51">
        <v>4.59</v>
      </c>
      <c r="F13" s="51">
        <v>10.5</v>
      </c>
      <c r="G13" s="51">
        <v>10.09</v>
      </c>
      <c r="H13" s="51">
        <v>44.28</v>
      </c>
      <c r="I13" s="51">
        <v>4.16</v>
      </c>
      <c r="J13" s="51">
        <v>0.62</v>
      </c>
      <c r="K13" s="51">
        <v>165.44</v>
      </c>
      <c r="L13" s="51">
        <v>26.15</v>
      </c>
      <c r="M13" s="51">
        <v>93.86</v>
      </c>
      <c r="N13" s="51">
        <v>80.2</v>
      </c>
      <c r="O13" s="51">
        <v>0</v>
      </c>
      <c r="P13" s="51">
        <v>0.22</v>
      </c>
      <c r="Q13" s="51">
        <v>9.2100000000000009</v>
      </c>
      <c r="R13" s="43"/>
      <c r="S13" s="43"/>
      <c r="T13" s="43"/>
      <c r="U13" s="43"/>
    </row>
    <row r="14" spans="1:21" s="11" customFormat="1" x14ac:dyDescent="0.25">
      <c r="A14" s="50" t="s">
        <v>353</v>
      </c>
      <c r="B14" s="51">
        <v>5.18</v>
      </c>
      <c r="C14" s="51">
        <v>14.44</v>
      </c>
      <c r="D14" s="51">
        <v>19.88</v>
      </c>
      <c r="E14" s="51">
        <v>4.78</v>
      </c>
      <c r="F14" s="51">
        <v>10.78</v>
      </c>
      <c r="G14" s="51">
        <v>12.7</v>
      </c>
      <c r="H14" s="51">
        <v>42.33</v>
      </c>
      <c r="I14" s="51">
        <v>4.18</v>
      </c>
      <c r="J14" s="51">
        <v>0.27</v>
      </c>
      <c r="K14" s="51">
        <v>167.49</v>
      </c>
      <c r="L14" s="51">
        <v>26.17</v>
      </c>
      <c r="M14" s="51">
        <v>94.53</v>
      </c>
      <c r="N14" s="51">
        <v>119.4</v>
      </c>
      <c r="O14" s="51">
        <v>0</v>
      </c>
      <c r="P14" s="51">
        <v>0.25</v>
      </c>
      <c r="Q14" s="51">
        <v>9.2200000000000006</v>
      </c>
      <c r="R14" s="43"/>
      <c r="S14" s="43"/>
      <c r="T14" s="43"/>
      <c r="U14" s="43"/>
    </row>
    <row r="15" spans="1:21" s="11" customFormat="1" x14ac:dyDescent="0.25">
      <c r="A15" s="50" t="s">
        <v>354</v>
      </c>
      <c r="B15" s="51">
        <v>6.88</v>
      </c>
      <c r="C15" s="51">
        <v>19.16</v>
      </c>
      <c r="D15" s="51">
        <v>27.08</v>
      </c>
      <c r="E15" s="51">
        <v>4.82</v>
      </c>
      <c r="F15" s="51">
        <v>10.32</v>
      </c>
      <c r="G15" s="51">
        <v>10.02</v>
      </c>
      <c r="H15" s="51">
        <v>41.11</v>
      </c>
      <c r="I15" s="51">
        <v>4.2</v>
      </c>
      <c r="J15" s="51">
        <v>0.45</v>
      </c>
      <c r="K15" s="51">
        <v>149.65</v>
      </c>
      <c r="L15" s="51">
        <v>28.63</v>
      </c>
      <c r="M15" s="51">
        <v>91.34</v>
      </c>
      <c r="N15" s="51">
        <v>326.60000000000002</v>
      </c>
      <c r="O15" s="51">
        <v>0</v>
      </c>
      <c r="P15" s="51">
        <v>0.26</v>
      </c>
      <c r="Q15" s="51">
        <v>9.25</v>
      </c>
      <c r="R15" s="43"/>
      <c r="S15" s="43"/>
      <c r="T15" s="43"/>
      <c r="U15" s="43"/>
    </row>
    <row r="16" spans="1:21" s="11" customFormat="1" x14ac:dyDescent="0.25">
      <c r="A16" s="50" t="s">
        <v>355</v>
      </c>
      <c r="B16" s="51">
        <v>6.42</v>
      </c>
      <c r="C16" s="51">
        <v>17.34</v>
      </c>
      <c r="D16" s="51">
        <v>23.33</v>
      </c>
      <c r="E16" s="51">
        <v>5.91</v>
      </c>
      <c r="F16" s="51">
        <v>15.43</v>
      </c>
      <c r="G16" s="51">
        <v>12.19</v>
      </c>
      <c r="H16" s="51">
        <v>47.8</v>
      </c>
      <c r="I16" s="51">
        <v>4.08</v>
      </c>
      <c r="J16" s="51">
        <v>0.67</v>
      </c>
      <c r="K16" s="51">
        <v>130.97</v>
      </c>
      <c r="L16" s="51">
        <v>30.21</v>
      </c>
      <c r="M16" s="51">
        <v>82.19</v>
      </c>
      <c r="N16" s="51">
        <v>528.9</v>
      </c>
      <c r="O16" s="51">
        <v>0</v>
      </c>
      <c r="P16" s="51">
        <v>0.21</v>
      </c>
      <c r="Q16" s="51">
        <v>9.26</v>
      </c>
      <c r="R16" s="43"/>
      <c r="S16" s="43"/>
      <c r="T16" s="43"/>
      <c r="U16" s="43"/>
    </row>
    <row r="17" spans="1:21" s="11" customFormat="1" x14ac:dyDescent="0.25">
      <c r="A17" s="50" t="s">
        <v>356</v>
      </c>
      <c r="B17" s="51">
        <v>6.32</v>
      </c>
      <c r="C17" s="51">
        <v>16.66</v>
      </c>
      <c r="D17" s="51">
        <v>23</v>
      </c>
      <c r="E17" s="51">
        <v>4.9000000000000004</v>
      </c>
      <c r="F17" s="51">
        <v>18.62</v>
      </c>
      <c r="G17" s="51">
        <v>10.55</v>
      </c>
      <c r="H17" s="51">
        <v>50.38</v>
      </c>
      <c r="I17" s="51">
        <v>4.03</v>
      </c>
      <c r="J17" s="51">
        <v>0.76</v>
      </c>
      <c r="K17" s="51">
        <v>153.88</v>
      </c>
      <c r="L17" s="51">
        <v>31.31</v>
      </c>
      <c r="M17" s="51">
        <v>74.12</v>
      </c>
      <c r="N17" s="51">
        <v>748</v>
      </c>
      <c r="O17" s="51">
        <v>0</v>
      </c>
      <c r="P17" s="51">
        <v>0.24</v>
      </c>
      <c r="Q17" s="51">
        <v>9.25</v>
      </c>
      <c r="R17" s="43"/>
      <c r="S17" s="43"/>
      <c r="T17" s="43"/>
      <c r="U17" s="43"/>
    </row>
    <row r="18" spans="1:21" s="11" customFormat="1" x14ac:dyDescent="0.25">
      <c r="A18" s="50" t="s">
        <v>357</v>
      </c>
      <c r="B18" s="51">
        <v>9.85</v>
      </c>
      <c r="C18" s="51">
        <v>21.79</v>
      </c>
      <c r="D18" s="51">
        <v>26.58</v>
      </c>
      <c r="E18" s="51">
        <v>5.25</v>
      </c>
      <c r="F18" s="51">
        <v>19.39</v>
      </c>
      <c r="G18" s="51">
        <v>9.65</v>
      </c>
      <c r="H18" s="51">
        <v>46.11</v>
      </c>
      <c r="I18" s="51">
        <v>4.1399999999999997</v>
      </c>
      <c r="J18" s="51">
        <v>0.53</v>
      </c>
      <c r="K18" s="51">
        <v>260.48</v>
      </c>
      <c r="L18" s="51">
        <v>33.11</v>
      </c>
      <c r="M18" s="51">
        <v>68.83</v>
      </c>
      <c r="N18" s="51">
        <v>951.2</v>
      </c>
      <c r="O18" s="51">
        <v>0</v>
      </c>
      <c r="P18" s="51">
        <v>0.31</v>
      </c>
      <c r="Q18" s="51">
        <v>9.25</v>
      </c>
      <c r="R18" s="43"/>
      <c r="S18" s="43"/>
      <c r="T18" s="43"/>
      <c r="U18" s="43"/>
    </row>
    <row r="19" spans="1:21" s="11" customFormat="1" x14ac:dyDescent="0.25">
      <c r="A19" s="50" t="s">
        <v>358</v>
      </c>
      <c r="B19" s="51">
        <v>10.11</v>
      </c>
      <c r="C19" s="51">
        <v>24.91</v>
      </c>
      <c r="D19" s="51">
        <v>32.17</v>
      </c>
      <c r="E19" s="51">
        <v>5.46</v>
      </c>
      <c r="F19" s="51">
        <v>16.100000000000001</v>
      </c>
      <c r="G19" s="51">
        <v>11.5</v>
      </c>
      <c r="H19" s="51">
        <v>43.34</v>
      </c>
      <c r="I19" s="51">
        <v>3.99</v>
      </c>
      <c r="J19" s="51">
        <v>0.49</v>
      </c>
      <c r="K19" s="51">
        <v>352.42</v>
      </c>
      <c r="L19" s="51">
        <v>35.78</v>
      </c>
      <c r="M19" s="51">
        <v>57.48</v>
      </c>
      <c r="N19" s="51">
        <v>990.5</v>
      </c>
      <c r="O19" s="51">
        <v>0</v>
      </c>
      <c r="P19" s="51">
        <v>0.48</v>
      </c>
      <c r="Q19" s="51">
        <v>9.2100000000000009</v>
      </c>
      <c r="R19" s="43"/>
      <c r="S19" s="43"/>
      <c r="T19" s="43"/>
      <c r="U19" s="43"/>
    </row>
    <row r="20" spans="1:21" s="11" customFormat="1" x14ac:dyDescent="0.25">
      <c r="A20" s="50" t="s">
        <v>359</v>
      </c>
      <c r="B20" s="51">
        <v>9.69</v>
      </c>
      <c r="C20" s="51">
        <v>23.61</v>
      </c>
      <c r="D20" s="51">
        <v>31.04</v>
      </c>
      <c r="E20" s="51">
        <v>5.24</v>
      </c>
      <c r="F20" s="51">
        <v>16.649999999999999</v>
      </c>
      <c r="G20" s="51">
        <v>13.5</v>
      </c>
      <c r="H20" s="51">
        <v>42.87</v>
      </c>
      <c r="I20" s="51">
        <v>4.1500000000000004</v>
      </c>
      <c r="J20" s="51">
        <v>1.07</v>
      </c>
      <c r="K20" s="51">
        <v>331.92</v>
      </c>
      <c r="L20" s="51">
        <v>36.28</v>
      </c>
      <c r="M20" s="51">
        <v>55.34</v>
      </c>
      <c r="N20" s="51">
        <v>1056.8</v>
      </c>
      <c r="O20" s="51">
        <v>0</v>
      </c>
      <c r="P20" s="51">
        <v>0.46</v>
      </c>
      <c r="Q20" s="51">
        <v>9.2200000000000006</v>
      </c>
      <c r="R20" s="43"/>
      <c r="S20" s="43"/>
      <c r="T20" s="43"/>
      <c r="U20" s="43"/>
    </row>
    <row r="21" spans="1:21" s="11" customFormat="1" x14ac:dyDescent="0.25">
      <c r="A21" s="50" t="s">
        <v>360</v>
      </c>
      <c r="B21" s="51">
        <v>9.31</v>
      </c>
      <c r="C21" s="51">
        <v>26.27</v>
      </c>
      <c r="D21" s="51">
        <v>35.979999999999997</v>
      </c>
      <c r="E21" s="51">
        <v>5.3</v>
      </c>
      <c r="F21" s="51">
        <v>26.39</v>
      </c>
      <c r="G21" s="51">
        <v>16.48</v>
      </c>
      <c r="H21" s="51">
        <v>61.78</v>
      </c>
      <c r="I21" s="51">
        <v>4.1100000000000003</v>
      </c>
      <c r="J21" s="51">
        <v>0.41</v>
      </c>
      <c r="K21" s="51">
        <v>350.96</v>
      </c>
      <c r="L21" s="51">
        <v>35.83</v>
      </c>
      <c r="M21" s="51">
        <v>52.07</v>
      </c>
      <c r="N21" s="51">
        <v>980.2</v>
      </c>
      <c r="O21" s="51">
        <v>0</v>
      </c>
      <c r="P21" s="51">
        <v>0.52</v>
      </c>
      <c r="Q21" s="51">
        <v>9.19</v>
      </c>
      <c r="R21" s="43"/>
      <c r="S21" s="43"/>
      <c r="T21" s="43"/>
      <c r="U21" s="43"/>
    </row>
    <row r="22" spans="1:21" s="11" customFormat="1" x14ac:dyDescent="0.25">
      <c r="A22" s="50" t="s">
        <v>361</v>
      </c>
      <c r="B22" s="51">
        <v>6.33</v>
      </c>
      <c r="C22" s="51">
        <v>19.07</v>
      </c>
      <c r="D22" s="51">
        <v>26.79</v>
      </c>
      <c r="E22" s="51">
        <v>5.99</v>
      </c>
      <c r="F22" s="51">
        <v>23.56</v>
      </c>
      <c r="G22" s="51">
        <v>15.03</v>
      </c>
      <c r="H22" s="51">
        <v>53.7</v>
      </c>
      <c r="I22" s="51">
        <v>4.1100000000000003</v>
      </c>
      <c r="J22" s="51">
        <v>0.75</v>
      </c>
      <c r="K22" s="51">
        <v>121.96</v>
      </c>
      <c r="L22" s="51">
        <v>35.39</v>
      </c>
      <c r="M22" s="51">
        <v>48.78</v>
      </c>
      <c r="N22" s="51">
        <v>867.6</v>
      </c>
      <c r="O22" s="51">
        <v>0</v>
      </c>
      <c r="P22" s="51">
        <v>0.4</v>
      </c>
      <c r="Q22" s="51">
        <v>9.19</v>
      </c>
      <c r="R22" s="43"/>
      <c r="S22" s="43"/>
      <c r="T22" s="43"/>
      <c r="U22" s="43"/>
    </row>
    <row r="23" spans="1:21" s="11" customFormat="1" x14ac:dyDescent="0.25">
      <c r="A23" s="50" t="s">
        <v>362</v>
      </c>
      <c r="B23" s="51">
        <v>8.64</v>
      </c>
      <c r="C23" s="51">
        <v>25.45</v>
      </c>
      <c r="D23" s="51">
        <v>35.450000000000003</v>
      </c>
      <c r="E23" s="51">
        <v>5.72</v>
      </c>
      <c r="F23" s="51">
        <v>24.05</v>
      </c>
      <c r="G23" s="51">
        <v>18.96</v>
      </c>
      <c r="H23" s="51">
        <v>13.43</v>
      </c>
      <c r="I23" s="51">
        <v>4.12</v>
      </c>
      <c r="J23" s="51">
        <v>0.76</v>
      </c>
      <c r="K23" s="51">
        <v>126.15</v>
      </c>
      <c r="L23" s="51">
        <v>35.11</v>
      </c>
      <c r="M23" s="51">
        <v>46.66</v>
      </c>
      <c r="N23" s="51">
        <v>567.6</v>
      </c>
      <c r="O23" s="51">
        <v>0</v>
      </c>
      <c r="P23" s="51">
        <v>0.4</v>
      </c>
      <c r="Q23" s="51">
        <v>9.17</v>
      </c>
      <c r="R23" s="43"/>
      <c r="S23" s="43"/>
      <c r="T23" s="43"/>
      <c r="U23" s="43"/>
    </row>
    <row r="24" spans="1:21" s="11" customFormat="1" x14ac:dyDescent="0.25">
      <c r="A24" s="50" t="s">
        <v>363</v>
      </c>
      <c r="B24" s="51">
        <v>8.86</v>
      </c>
      <c r="C24" s="51">
        <v>25.44</v>
      </c>
      <c r="D24" s="51">
        <v>35.090000000000003</v>
      </c>
      <c r="E24" s="51">
        <v>5.97</v>
      </c>
      <c r="F24" s="51">
        <v>24.35</v>
      </c>
      <c r="G24" s="51">
        <v>19.010000000000002</v>
      </c>
      <c r="H24" s="51">
        <v>302.14999999999998</v>
      </c>
      <c r="I24" s="51">
        <v>4.04</v>
      </c>
      <c r="J24" s="51">
        <v>0.68</v>
      </c>
      <c r="K24" s="51">
        <v>112.54</v>
      </c>
      <c r="L24" s="51">
        <v>35.369999999999997</v>
      </c>
      <c r="M24" s="51">
        <v>43.11</v>
      </c>
      <c r="N24" s="51">
        <v>463.1</v>
      </c>
      <c r="O24" s="51">
        <v>0</v>
      </c>
      <c r="P24" s="51">
        <v>0.42</v>
      </c>
      <c r="Q24" s="51">
        <v>9.18</v>
      </c>
      <c r="R24" s="43"/>
      <c r="S24" s="43"/>
      <c r="T24" s="43"/>
      <c r="U24" s="43"/>
    </row>
    <row r="25" spans="1:21" s="11" customFormat="1" x14ac:dyDescent="0.25">
      <c r="A25" s="50" t="s">
        <v>364</v>
      </c>
      <c r="B25" s="51">
        <v>6.29</v>
      </c>
      <c r="C25" s="51">
        <v>22.52</v>
      </c>
      <c r="D25" s="51">
        <v>33.44</v>
      </c>
      <c r="E25" s="51">
        <v>5.62</v>
      </c>
      <c r="F25" s="51">
        <v>23.77</v>
      </c>
      <c r="G25" s="51">
        <v>17.91</v>
      </c>
      <c r="H25" s="51">
        <v>76.760000000000005</v>
      </c>
      <c r="I25" s="51">
        <v>4.05</v>
      </c>
      <c r="J25" s="51">
        <v>0.79</v>
      </c>
      <c r="K25" s="51">
        <v>129.19</v>
      </c>
      <c r="L25" s="51">
        <v>35.44</v>
      </c>
      <c r="M25" s="51">
        <v>43.71</v>
      </c>
      <c r="N25" s="51">
        <v>232.8</v>
      </c>
      <c r="O25" s="51">
        <v>0</v>
      </c>
      <c r="P25" s="51">
        <v>0.32</v>
      </c>
      <c r="Q25" s="51">
        <v>9.18</v>
      </c>
      <c r="R25" s="43"/>
      <c r="S25" s="43"/>
      <c r="T25" s="43"/>
      <c r="U25" s="43"/>
    </row>
    <row r="26" spans="1:21" s="11" customFormat="1" x14ac:dyDescent="0.25">
      <c r="A26" s="50" t="s">
        <v>365</v>
      </c>
      <c r="B26" s="51">
        <v>7.94</v>
      </c>
      <c r="C26" s="51">
        <v>28.21</v>
      </c>
      <c r="D26" s="51">
        <v>41.81</v>
      </c>
      <c r="E26" s="51">
        <v>5.26</v>
      </c>
      <c r="F26" s="51">
        <v>21.75</v>
      </c>
      <c r="G26" s="51">
        <v>19.04</v>
      </c>
      <c r="H26" s="51">
        <v>36.07</v>
      </c>
      <c r="I26" s="51">
        <v>4.09</v>
      </c>
      <c r="J26" s="51">
        <v>0.56999999999999995</v>
      </c>
      <c r="K26" s="51">
        <v>188.31</v>
      </c>
      <c r="L26" s="51">
        <v>33.71</v>
      </c>
      <c r="M26" s="51">
        <v>90.16</v>
      </c>
      <c r="N26" s="51">
        <v>85.3</v>
      </c>
      <c r="O26" s="51">
        <v>1.8</v>
      </c>
      <c r="P26" s="51">
        <v>0.46</v>
      </c>
      <c r="Q26" s="51">
        <v>9.19</v>
      </c>
      <c r="R26" s="43"/>
      <c r="S26" s="43"/>
      <c r="T26" s="43"/>
      <c r="U26" s="43"/>
    </row>
    <row r="27" spans="1:21" s="11" customFormat="1" x14ac:dyDescent="0.25">
      <c r="A27" s="50" t="s">
        <v>366</v>
      </c>
      <c r="B27" s="51">
        <v>6.34</v>
      </c>
      <c r="C27" s="51">
        <v>27.24</v>
      </c>
      <c r="D27" s="51">
        <v>42.41</v>
      </c>
      <c r="E27" s="51">
        <v>5.1100000000000003</v>
      </c>
      <c r="F27" s="51">
        <v>14.56</v>
      </c>
      <c r="G27" s="51">
        <v>24.11</v>
      </c>
      <c r="H27" s="51">
        <v>32.619999999999997</v>
      </c>
      <c r="I27" s="51">
        <v>4.2699999999999996</v>
      </c>
      <c r="J27" s="51">
        <v>0.47</v>
      </c>
      <c r="K27" s="51">
        <v>155.91</v>
      </c>
      <c r="L27" s="51">
        <v>28.63</v>
      </c>
      <c r="M27" s="51">
        <v>85.64</v>
      </c>
      <c r="N27" s="51">
        <v>70.900000000000006</v>
      </c>
      <c r="O27" s="51">
        <v>0</v>
      </c>
      <c r="P27" s="51">
        <v>0.45</v>
      </c>
      <c r="Q27" s="51">
        <v>9.1999999999999993</v>
      </c>
      <c r="R27" s="43"/>
      <c r="S27" s="43"/>
      <c r="T27" s="43"/>
      <c r="U27" s="43"/>
    </row>
    <row r="28" spans="1:21" s="11" customFormat="1" x14ac:dyDescent="0.25">
      <c r="A28" s="50" t="s">
        <v>367</v>
      </c>
      <c r="B28" s="51">
        <v>4.9400000000000004</v>
      </c>
      <c r="C28" s="51">
        <v>24.95</v>
      </c>
      <c r="D28" s="51">
        <v>40.97</v>
      </c>
      <c r="E28" s="51">
        <v>4.88</v>
      </c>
      <c r="F28" s="51">
        <v>12.66</v>
      </c>
      <c r="G28" s="51">
        <v>24.15</v>
      </c>
      <c r="H28" s="51">
        <v>45.03</v>
      </c>
      <c r="I28" s="51">
        <v>4.08</v>
      </c>
      <c r="J28" s="51">
        <v>0.39</v>
      </c>
      <c r="K28" s="51">
        <v>209.05</v>
      </c>
      <c r="L28" s="51">
        <v>28.67</v>
      </c>
      <c r="M28" s="51">
        <v>84.75</v>
      </c>
      <c r="N28" s="51">
        <v>42.6</v>
      </c>
      <c r="O28" s="51">
        <v>0</v>
      </c>
      <c r="P28" s="51">
        <v>0.52</v>
      </c>
      <c r="Q28" s="51">
        <v>9.25</v>
      </c>
      <c r="R28" s="43"/>
      <c r="S28" s="43"/>
      <c r="T28" s="43"/>
      <c r="U28" s="43"/>
    </row>
    <row r="29" spans="1:21" s="11" customFormat="1" x14ac:dyDescent="0.25">
      <c r="A29" s="50" t="s">
        <v>368</v>
      </c>
      <c r="B29" s="51">
        <v>8.52</v>
      </c>
      <c r="C29" s="51">
        <v>30.15</v>
      </c>
      <c r="D29" s="51">
        <v>44.85</v>
      </c>
      <c r="E29" s="51">
        <v>4.97</v>
      </c>
      <c r="F29" s="51">
        <v>11.73</v>
      </c>
      <c r="G29" s="51">
        <v>23.25</v>
      </c>
      <c r="H29" s="51">
        <v>64.260000000000005</v>
      </c>
      <c r="I29" s="51">
        <v>4.08</v>
      </c>
      <c r="J29" s="51">
        <v>0.53</v>
      </c>
      <c r="K29" s="51">
        <v>168.91</v>
      </c>
      <c r="L29" s="51">
        <v>28.62</v>
      </c>
      <c r="M29" s="51">
        <v>83.21</v>
      </c>
      <c r="N29" s="51">
        <v>41.4</v>
      </c>
      <c r="O29" s="51">
        <v>0</v>
      </c>
      <c r="P29" s="51">
        <v>0.56000000000000005</v>
      </c>
      <c r="Q29" s="51">
        <v>9.2899999999999991</v>
      </c>
      <c r="R29" s="43"/>
      <c r="S29" s="43"/>
      <c r="T29" s="43"/>
      <c r="U29" s="43"/>
    </row>
    <row r="30" spans="1:21" s="11" customFormat="1" x14ac:dyDescent="0.25">
      <c r="A30" s="50" t="s">
        <v>369</v>
      </c>
      <c r="B30" s="51">
        <v>9.35</v>
      </c>
      <c r="C30" s="51">
        <v>31.29</v>
      </c>
      <c r="D30" s="51">
        <v>45.55</v>
      </c>
      <c r="E30" s="51">
        <v>4.71</v>
      </c>
      <c r="F30" s="51">
        <v>13.64</v>
      </c>
      <c r="G30" s="51">
        <v>22.12</v>
      </c>
      <c r="H30" s="51">
        <v>40.11</v>
      </c>
      <c r="I30" s="51">
        <v>4.13</v>
      </c>
      <c r="J30" s="51">
        <v>0.41</v>
      </c>
      <c r="K30" s="51">
        <v>187</v>
      </c>
      <c r="L30" s="51">
        <v>28.45</v>
      </c>
      <c r="M30" s="51">
        <v>84.92</v>
      </c>
      <c r="N30" s="51">
        <v>41.5</v>
      </c>
      <c r="O30" s="51">
        <v>0</v>
      </c>
      <c r="P30" s="51">
        <v>0.48</v>
      </c>
      <c r="Q30" s="51">
        <v>9.34</v>
      </c>
      <c r="R30" s="43"/>
      <c r="S30" s="43"/>
      <c r="T30" s="43"/>
      <c r="U30" s="43"/>
    </row>
    <row r="31" spans="1:21" s="11" customFormat="1" x14ac:dyDescent="0.25">
      <c r="A31" s="50" t="s">
        <v>370</v>
      </c>
      <c r="B31" s="51">
        <v>7.96</v>
      </c>
      <c r="C31" s="51">
        <v>27.78</v>
      </c>
      <c r="D31" s="51">
        <v>40.97</v>
      </c>
      <c r="E31" s="51">
        <v>4.9000000000000004</v>
      </c>
      <c r="F31" s="51">
        <v>13.06</v>
      </c>
      <c r="G31" s="51">
        <v>24.36</v>
      </c>
      <c r="H31" s="51">
        <v>61.85</v>
      </c>
      <c r="I31" s="51">
        <v>4.04</v>
      </c>
      <c r="J31" s="51">
        <v>0.75</v>
      </c>
      <c r="K31" s="51">
        <v>156.57</v>
      </c>
      <c r="L31" s="51">
        <v>27.71</v>
      </c>
      <c r="M31" s="51">
        <v>87.23</v>
      </c>
      <c r="N31" s="51">
        <v>41.3</v>
      </c>
      <c r="O31" s="51">
        <v>0</v>
      </c>
      <c r="P31" s="51">
        <v>0.41</v>
      </c>
      <c r="Q31" s="51">
        <v>9.35</v>
      </c>
      <c r="R31" s="43"/>
      <c r="S31" s="43"/>
      <c r="T31" s="43"/>
      <c r="U31" s="43"/>
    </row>
    <row r="32" spans="1:21" s="11" customFormat="1" x14ac:dyDescent="0.25">
      <c r="A32" s="50" t="s">
        <v>371</v>
      </c>
      <c r="B32" s="51">
        <v>5.83</v>
      </c>
      <c r="C32" s="51">
        <v>18.16</v>
      </c>
      <c r="D32" s="51">
        <v>27.58</v>
      </c>
      <c r="E32" s="51">
        <v>5.14</v>
      </c>
      <c r="F32" s="51">
        <v>11.35</v>
      </c>
      <c r="G32" s="51">
        <v>22.93</v>
      </c>
      <c r="H32" s="51">
        <v>-78.67</v>
      </c>
      <c r="I32" s="51">
        <v>4.22</v>
      </c>
      <c r="J32" s="51">
        <v>0.83</v>
      </c>
      <c r="K32" s="51">
        <v>154.72999999999999</v>
      </c>
      <c r="L32" s="51">
        <v>27.45</v>
      </c>
      <c r="M32" s="51">
        <v>87.96</v>
      </c>
      <c r="N32" s="51">
        <v>41.4</v>
      </c>
      <c r="O32" s="51">
        <v>0</v>
      </c>
      <c r="P32" s="51">
        <v>0.39</v>
      </c>
      <c r="Q32" s="51">
        <v>9.34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4.7699999999999996</v>
      </c>
      <c r="C34" s="28">
        <f t="shared" si="0"/>
        <v>12.06</v>
      </c>
      <c r="D34" s="28">
        <f t="shared" si="0"/>
        <v>16.16</v>
      </c>
      <c r="E34" s="28">
        <f t="shared" si="0"/>
        <v>4.3499999999999996</v>
      </c>
      <c r="F34" s="28">
        <f t="shared" si="0"/>
        <v>6.83</v>
      </c>
      <c r="G34" s="28">
        <f t="shared" si="0"/>
        <v>9.65</v>
      </c>
      <c r="H34" s="28">
        <f t="shared" si="0"/>
        <v>-78.67</v>
      </c>
      <c r="I34" s="28">
        <f t="shared" si="0"/>
        <v>3.99</v>
      </c>
      <c r="J34" s="28">
        <f t="shared" si="0"/>
        <v>0.27</v>
      </c>
      <c r="K34" s="28">
        <f t="shared" si="0"/>
        <v>112.54</v>
      </c>
      <c r="L34" s="28">
        <f t="shared" si="0"/>
        <v>26.15</v>
      </c>
      <c r="M34" s="28">
        <f t="shared" si="0"/>
        <v>43.11</v>
      </c>
      <c r="N34" s="28">
        <f t="shared" si="0"/>
        <v>41.3</v>
      </c>
      <c r="O34" s="28">
        <f t="shared" si="0"/>
        <v>0</v>
      </c>
      <c r="P34" s="28">
        <f t="shared" si="0"/>
        <v>0.21</v>
      </c>
      <c r="Q34" s="28">
        <f t="shared" si="0"/>
        <v>9.17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10.11</v>
      </c>
      <c r="C35" s="29">
        <f t="shared" si="1"/>
        <v>31.29</v>
      </c>
      <c r="D35" s="29">
        <f t="shared" si="1"/>
        <v>45.55</v>
      </c>
      <c r="E35" s="29">
        <f t="shared" si="1"/>
        <v>5.99</v>
      </c>
      <c r="F35" s="29">
        <f t="shared" si="1"/>
        <v>26.39</v>
      </c>
      <c r="G35" s="29">
        <f t="shared" si="1"/>
        <v>24.36</v>
      </c>
      <c r="H35" s="29">
        <f t="shared" si="1"/>
        <v>302.14999999999998</v>
      </c>
      <c r="I35" s="29">
        <f t="shared" si="1"/>
        <v>4.2699999999999996</v>
      </c>
      <c r="J35" s="29">
        <f t="shared" si="1"/>
        <v>1.07</v>
      </c>
      <c r="K35" s="29">
        <f t="shared" si="1"/>
        <v>352.42</v>
      </c>
      <c r="L35" s="29">
        <f t="shared" si="1"/>
        <v>36.28</v>
      </c>
      <c r="M35" s="29">
        <f t="shared" si="1"/>
        <v>94.53</v>
      </c>
      <c r="N35" s="29">
        <f t="shared" si="1"/>
        <v>1056.8</v>
      </c>
      <c r="O35" s="29">
        <f t="shared" si="1"/>
        <v>1.8</v>
      </c>
      <c r="P35" s="29">
        <f t="shared" si="1"/>
        <v>0.56000000000000005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7.1283333333333347</v>
      </c>
      <c r="C36" s="28">
        <f t="shared" si="2"/>
        <v>21.394999999999996</v>
      </c>
      <c r="D36" s="28">
        <f t="shared" si="2"/>
        <v>30.308750000000003</v>
      </c>
      <c r="E36" s="28">
        <f t="shared" si="2"/>
        <v>5.097083333333333</v>
      </c>
      <c r="F36" s="28">
        <f t="shared" si="2"/>
        <v>15.884583333333337</v>
      </c>
      <c r="G36" s="28">
        <f t="shared" si="2"/>
        <v>16.549583333333334</v>
      </c>
      <c r="H36" s="28">
        <f t="shared" si="2"/>
        <v>52.179999999999978</v>
      </c>
      <c r="I36" s="28">
        <f t="shared" si="2"/>
        <v>4.1083333333333334</v>
      </c>
      <c r="J36" s="28">
        <f t="shared" si="2"/>
        <v>0.63583333333333336</v>
      </c>
      <c r="K36" s="28">
        <f t="shared" si="2"/>
        <v>186.43499999999997</v>
      </c>
      <c r="L36" s="28">
        <f t="shared" si="2"/>
        <v>30.672916666666669</v>
      </c>
      <c r="M36" s="28">
        <f t="shared" si="2"/>
        <v>74.528750000000016</v>
      </c>
      <c r="N36" s="28">
        <f t="shared" si="2"/>
        <v>357.68749999999994</v>
      </c>
      <c r="O36" s="28">
        <f t="shared" si="2"/>
        <v>7.4999999999999997E-2</v>
      </c>
      <c r="P36" s="28">
        <f t="shared" si="2"/>
        <v>0.36583333333333345</v>
      </c>
      <c r="Q36" s="28">
        <f t="shared" si="2"/>
        <v>9.2329166666666662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1.7807000740223387</v>
      </c>
      <c r="C37" s="28">
        <f t="shared" ref="C37:Q37" si="3">STDEV(C9:C32)</f>
        <v>5.8438968535372622</v>
      </c>
      <c r="D37" s="28">
        <f t="shared" si="3"/>
        <v>9.2913968213236888</v>
      </c>
      <c r="E37" s="28">
        <f t="shared" si="3"/>
        <v>0.49084203752032229</v>
      </c>
      <c r="F37" s="28">
        <f t="shared" si="3"/>
        <v>5.6613210773263525</v>
      </c>
      <c r="G37" s="28">
        <f t="shared" si="3"/>
        <v>5.0220864182880787</v>
      </c>
      <c r="H37" s="28">
        <f t="shared" si="3"/>
        <v>60.276676937341996</v>
      </c>
      <c r="I37" s="28">
        <f t="shared" si="3"/>
        <v>7.0813083209412486E-2</v>
      </c>
      <c r="J37" s="28">
        <f t="shared" si="3"/>
        <v>0.18932182553310795</v>
      </c>
      <c r="K37" s="28">
        <f t="shared" si="3"/>
        <v>68.672571450071871</v>
      </c>
      <c r="L37" s="28">
        <f t="shared" si="3"/>
        <v>3.7395506346718794</v>
      </c>
      <c r="M37" s="28">
        <f t="shared" si="3"/>
        <v>17.564305283975568</v>
      </c>
      <c r="N37" s="28">
        <f t="shared" si="3"/>
        <v>375.80491853284508</v>
      </c>
      <c r="O37" s="28">
        <f t="shared" si="3"/>
        <v>0.36742346141747673</v>
      </c>
      <c r="P37" s="28">
        <f t="shared" si="3"/>
        <v>0.11158606219130693</v>
      </c>
      <c r="Q37" s="28">
        <f t="shared" si="3"/>
        <v>5.2542253527966411E-2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M17" sqref="M1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372</v>
      </c>
      <c r="B9" s="51">
        <v>5.74</v>
      </c>
      <c r="C9" s="51">
        <v>15.81</v>
      </c>
      <c r="D9" s="51">
        <v>22.3</v>
      </c>
      <c r="E9" s="51">
        <v>4.3899999999999997</v>
      </c>
      <c r="F9" s="51">
        <v>11.12</v>
      </c>
      <c r="G9" s="51">
        <v>22.07</v>
      </c>
      <c r="H9" s="51">
        <v>125.37</v>
      </c>
      <c r="I9" s="51">
        <v>3.96</v>
      </c>
      <c r="J9" s="51">
        <v>0.93</v>
      </c>
      <c r="K9" s="51">
        <v>153.28</v>
      </c>
      <c r="L9" s="51">
        <v>27.39</v>
      </c>
      <c r="M9" s="51">
        <v>87.97</v>
      </c>
      <c r="N9" s="51">
        <v>41.7</v>
      </c>
      <c r="O9" s="51">
        <v>0</v>
      </c>
      <c r="P9" s="51">
        <v>0.39</v>
      </c>
      <c r="Q9" s="51">
        <v>9.3000000000000007</v>
      </c>
      <c r="R9" s="43"/>
      <c r="S9" s="43"/>
      <c r="T9" s="43"/>
      <c r="U9" s="43"/>
    </row>
    <row r="10" spans="1:21" s="11" customFormat="1" x14ac:dyDescent="0.25">
      <c r="A10" s="50" t="s">
        <v>373</v>
      </c>
      <c r="B10" s="51">
        <v>4.41</v>
      </c>
      <c r="C10" s="51">
        <v>14.14</v>
      </c>
      <c r="D10" s="51">
        <v>20.96</v>
      </c>
      <c r="E10" s="51">
        <v>4.1399999999999997</v>
      </c>
      <c r="F10" s="51">
        <v>13</v>
      </c>
      <c r="G10" s="51">
        <v>21.7</v>
      </c>
      <c r="H10" s="51">
        <v>52.09</v>
      </c>
      <c r="I10" s="51">
        <v>4.1500000000000004</v>
      </c>
      <c r="J10" s="51">
        <v>0.47</v>
      </c>
      <c r="K10" s="51">
        <v>161.13999999999999</v>
      </c>
      <c r="L10" s="51">
        <v>27.19</v>
      </c>
      <c r="M10" s="51">
        <v>92.72</v>
      </c>
      <c r="N10" s="51">
        <v>41.7</v>
      </c>
      <c r="O10" s="51">
        <v>0</v>
      </c>
      <c r="P10" s="51">
        <v>0.35</v>
      </c>
      <c r="Q10" s="51">
        <v>9.27</v>
      </c>
      <c r="R10" s="43"/>
      <c r="S10" s="43"/>
      <c r="T10" s="43"/>
      <c r="U10" s="43"/>
    </row>
    <row r="11" spans="1:21" s="11" customFormat="1" x14ac:dyDescent="0.25">
      <c r="A11" s="50" t="s">
        <v>374</v>
      </c>
      <c r="B11" s="51">
        <v>5.33</v>
      </c>
      <c r="C11" s="51">
        <v>16.53</v>
      </c>
      <c r="D11" s="51">
        <v>23.77</v>
      </c>
      <c r="E11" s="51">
        <v>4.0199999999999996</v>
      </c>
      <c r="F11" s="51">
        <v>11.98</v>
      </c>
      <c r="G11" s="51">
        <v>18.07</v>
      </c>
      <c r="H11" s="51">
        <v>0</v>
      </c>
      <c r="I11" s="51">
        <v>4.08</v>
      </c>
      <c r="J11" s="51">
        <v>0.2</v>
      </c>
      <c r="K11" s="51">
        <v>233.27</v>
      </c>
      <c r="L11" s="51">
        <v>26.79</v>
      </c>
      <c r="M11" s="51">
        <v>95.68</v>
      </c>
      <c r="N11" s="51">
        <v>41.8</v>
      </c>
      <c r="O11" s="51">
        <v>0</v>
      </c>
      <c r="P11" s="51">
        <v>0.34</v>
      </c>
      <c r="Q11" s="51">
        <v>9.2799999999999994</v>
      </c>
      <c r="R11" s="43"/>
      <c r="S11" s="43"/>
      <c r="T11" s="43"/>
      <c r="U11" s="43"/>
    </row>
    <row r="12" spans="1:21" s="11" customFormat="1" x14ac:dyDescent="0.25">
      <c r="A12" s="50" t="s">
        <v>375</v>
      </c>
      <c r="B12" s="51">
        <v>4.6500000000000004</v>
      </c>
      <c r="C12" s="51">
        <v>14.33</v>
      </c>
      <c r="D12" s="51">
        <v>20.76</v>
      </c>
      <c r="E12" s="51">
        <v>4.17</v>
      </c>
      <c r="F12" s="51">
        <v>10.58</v>
      </c>
      <c r="G12" s="51">
        <v>20.329999999999998</v>
      </c>
      <c r="H12" s="51">
        <v>24.14</v>
      </c>
      <c r="I12" s="51">
        <v>4.0999999999999996</v>
      </c>
      <c r="J12" s="51">
        <v>0.28999999999999998</v>
      </c>
      <c r="K12" s="51">
        <v>220.68</v>
      </c>
      <c r="L12" s="51">
        <v>26.46</v>
      </c>
      <c r="M12" s="51">
        <v>96.81</v>
      </c>
      <c r="N12" s="51">
        <v>41.5</v>
      </c>
      <c r="O12" s="51">
        <v>0</v>
      </c>
      <c r="P12" s="51">
        <v>0.35</v>
      </c>
      <c r="Q12" s="51">
        <v>9.27</v>
      </c>
      <c r="R12" s="43"/>
      <c r="S12" s="43"/>
      <c r="T12" s="43"/>
      <c r="U12" s="43"/>
    </row>
    <row r="13" spans="1:21" s="11" customFormat="1" x14ac:dyDescent="0.25">
      <c r="A13" s="50" t="s">
        <v>376</v>
      </c>
      <c r="B13" s="51">
        <v>6.83</v>
      </c>
      <c r="C13" s="51">
        <v>16.829999999999998</v>
      </c>
      <c r="D13" s="51">
        <v>24.26</v>
      </c>
      <c r="E13" s="51">
        <v>3.92</v>
      </c>
      <c r="F13" s="51">
        <v>9.73</v>
      </c>
      <c r="G13" s="51">
        <v>18.25</v>
      </c>
      <c r="H13" s="51">
        <v>543.07000000000005</v>
      </c>
      <c r="I13" s="51">
        <v>4.1100000000000003</v>
      </c>
      <c r="J13" s="51">
        <v>0.14000000000000001</v>
      </c>
      <c r="K13" s="51">
        <v>239.57</v>
      </c>
      <c r="L13" s="51">
        <v>26.39</v>
      </c>
      <c r="M13" s="51">
        <v>96.62</v>
      </c>
      <c r="N13" s="51">
        <v>41.7</v>
      </c>
      <c r="O13" s="51">
        <v>0</v>
      </c>
      <c r="P13" s="51">
        <v>0.38</v>
      </c>
      <c r="Q13" s="51">
        <v>9.26</v>
      </c>
      <c r="R13" s="43"/>
      <c r="S13" s="43"/>
      <c r="T13" s="43"/>
      <c r="U13" s="43"/>
    </row>
    <row r="14" spans="1:21" s="11" customFormat="1" x14ac:dyDescent="0.25">
      <c r="A14" s="50" t="s">
        <v>377</v>
      </c>
      <c r="B14" s="51">
        <v>5.8</v>
      </c>
      <c r="C14" s="51">
        <v>16.95</v>
      </c>
      <c r="D14" s="51">
        <v>24.68</v>
      </c>
      <c r="E14" s="51">
        <v>3.83</v>
      </c>
      <c r="F14" s="51">
        <v>10.96</v>
      </c>
      <c r="G14" s="51">
        <v>17.18</v>
      </c>
      <c r="H14" s="51">
        <v>7.66</v>
      </c>
      <c r="I14" s="51">
        <v>4.16</v>
      </c>
      <c r="J14" s="51">
        <v>0.22</v>
      </c>
      <c r="K14" s="51">
        <v>250.98</v>
      </c>
      <c r="L14" s="51">
        <v>26.33</v>
      </c>
      <c r="M14" s="51">
        <v>97.32</v>
      </c>
      <c r="N14" s="51">
        <v>75.400000000000006</v>
      </c>
      <c r="O14" s="51">
        <v>0</v>
      </c>
      <c r="P14" s="51">
        <v>0.38</v>
      </c>
      <c r="Q14" s="51">
        <v>9.2799999999999994</v>
      </c>
      <c r="R14" s="43"/>
      <c r="S14" s="43"/>
      <c r="T14" s="43"/>
      <c r="U14" s="43"/>
    </row>
    <row r="15" spans="1:21" s="11" customFormat="1" x14ac:dyDescent="0.25">
      <c r="A15" s="50" t="s">
        <v>378</v>
      </c>
      <c r="B15" s="51">
        <v>8.49</v>
      </c>
      <c r="C15" s="51">
        <v>20.49</v>
      </c>
      <c r="D15" s="51">
        <v>27.2</v>
      </c>
      <c r="E15" s="51">
        <v>3.69</v>
      </c>
      <c r="F15" s="51">
        <v>12.26</v>
      </c>
      <c r="G15" s="51">
        <v>21.02</v>
      </c>
      <c r="H15" s="51">
        <v>172.4</v>
      </c>
      <c r="I15" s="51">
        <v>4.1100000000000003</v>
      </c>
      <c r="J15" s="51">
        <v>0.11</v>
      </c>
      <c r="K15" s="51">
        <v>259.3</v>
      </c>
      <c r="L15" s="51">
        <v>27.8</v>
      </c>
      <c r="M15" s="51">
        <v>95.42</v>
      </c>
      <c r="N15" s="51">
        <v>210.8</v>
      </c>
      <c r="O15" s="51">
        <v>0</v>
      </c>
      <c r="P15" s="51">
        <v>0.38</v>
      </c>
      <c r="Q15" s="51">
        <v>9.3000000000000007</v>
      </c>
      <c r="R15" s="43"/>
      <c r="S15" s="43"/>
      <c r="T15" s="43"/>
      <c r="U15" s="43"/>
    </row>
    <row r="16" spans="1:21" s="11" customFormat="1" x14ac:dyDescent="0.25">
      <c r="A16" s="50" t="s">
        <v>379</v>
      </c>
      <c r="B16" s="51">
        <v>10.62</v>
      </c>
      <c r="C16" s="51">
        <v>21.61</v>
      </c>
      <c r="D16" s="51">
        <v>25.05</v>
      </c>
      <c r="E16" s="51">
        <v>5.09</v>
      </c>
      <c r="F16" s="51">
        <v>9.56</v>
      </c>
      <c r="G16" s="51">
        <v>21.11</v>
      </c>
      <c r="H16" s="51">
        <v>48.32</v>
      </c>
      <c r="I16" s="51">
        <v>4.04</v>
      </c>
      <c r="J16" s="51">
        <v>0.38</v>
      </c>
      <c r="K16" s="51">
        <v>302.64</v>
      </c>
      <c r="L16" s="51">
        <v>30.83</v>
      </c>
      <c r="M16" s="51">
        <v>85.79</v>
      </c>
      <c r="N16" s="51">
        <v>411.9</v>
      </c>
      <c r="O16" s="51">
        <v>0</v>
      </c>
      <c r="P16" s="51">
        <v>0.38</v>
      </c>
      <c r="Q16" s="51">
        <v>9.31</v>
      </c>
      <c r="R16" s="43"/>
      <c r="S16" s="43"/>
      <c r="T16" s="43"/>
      <c r="U16" s="43"/>
    </row>
    <row r="17" spans="1:21" s="11" customFormat="1" x14ac:dyDescent="0.25">
      <c r="A17" s="50" t="s">
        <v>380</v>
      </c>
      <c r="B17" s="51">
        <v>6.56</v>
      </c>
      <c r="C17" s="51">
        <v>18.510000000000002</v>
      </c>
      <c r="D17" s="51">
        <v>26.24</v>
      </c>
      <c r="E17" s="51">
        <v>4.8</v>
      </c>
      <c r="F17" s="51">
        <v>7.45</v>
      </c>
      <c r="G17" s="51">
        <v>24.2</v>
      </c>
      <c r="H17" s="51">
        <v>89.98</v>
      </c>
      <c r="I17" s="51">
        <v>4.0599999999999996</v>
      </c>
      <c r="J17" s="51">
        <v>0.21</v>
      </c>
      <c r="K17" s="51">
        <v>294.55</v>
      </c>
      <c r="L17" s="51">
        <v>30.57</v>
      </c>
      <c r="M17" s="51">
        <v>78.930000000000007</v>
      </c>
      <c r="N17" s="51">
        <v>462.2</v>
      </c>
      <c r="O17" s="51">
        <v>0</v>
      </c>
      <c r="P17" s="51">
        <v>0.37</v>
      </c>
      <c r="Q17" s="51">
        <v>9.23</v>
      </c>
      <c r="R17" s="43"/>
      <c r="S17" s="43"/>
      <c r="T17" s="43"/>
      <c r="U17" s="43"/>
    </row>
    <row r="18" spans="1:21" s="11" customFormat="1" x14ac:dyDescent="0.25">
      <c r="A18" s="50" t="s">
        <v>381</v>
      </c>
      <c r="B18" s="51">
        <v>4.45</v>
      </c>
      <c r="C18" s="51">
        <v>18.46</v>
      </c>
      <c r="D18" s="51">
        <v>28.51</v>
      </c>
      <c r="E18" s="51">
        <v>4.79</v>
      </c>
      <c r="F18" s="51">
        <v>12.02</v>
      </c>
      <c r="G18" s="51">
        <v>24.85</v>
      </c>
      <c r="H18" s="51">
        <v>40.880000000000003</v>
      </c>
      <c r="I18" s="51">
        <v>4.12</v>
      </c>
      <c r="J18" s="51">
        <v>0.28000000000000003</v>
      </c>
      <c r="K18" s="51">
        <v>289.5</v>
      </c>
      <c r="L18" s="51">
        <v>32.450000000000003</v>
      </c>
      <c r="M18" s="51">
        <v>73.89</v>
      </c>
      <c r="N18" s="51">
        <v>792.4</v>
      </c>
      <c r="O18" s="51">
        <v>0</v>
      </c>
      <c r="P18" s="51">
        <v>0.56999999999999995</v>
      </c>
      <c r="Q18" s="51">
        <v>9.15</v>
      </c>
      <c r="R18" s="43"/>
      <c r="S18" s="43"/>
      <c r="T18" s="43"/>
      <c r="U18" s="43"/>
    </row>
    <row r="19" spans="1:21" s="11" customFormat="1" x14ac:dyDescent="0.25">
      <c r="A19" s="50" t="s">
        <v>382</v>
      </c>
      <c r="B19" s="51">
        <v>6.53</v>
      </c>
      <c r="C19" s="51">
        <v>23.01</v>
      </c>
      <c r="D19" s="51">
        <v>34.03</v>
      </c>
      <c r="E19" s="51">
        <v>6.67</v>
      </c>
      <c r="F19" s="51">
        <v>20.88</v>
      </c>
      <c r="G19" s="51">
        <v>27.63</v>
      </c>
      <c r="H19" s="51">
        <v>0</v>
      </c>
      <c r="I19" s="51">
        <v>4.01</v>
      </c>
      <c r="J19" s="51">
        <v>0.31</v>
      </c>
      <c r="K19" s="51">
        <v>308.42</v>
      </c>
      <c r="L19" s="51">
        <v>34.9</v>
      </c>
      <c r="M19" s="51">
        <v>67.11</v>
      </c>
      <c r="N19" s="51">
        <v>886.8</v>
      </c>
      <c r="O19" s="51">
        <v>0</v>
      </c>
      <c r="P19" s="51">
        <v>1.01</v>
      </c>
      <c r="Q19" s="51">
        <v>9.14</v>
      </c>
      <c r="R19" s="43"/>
      <c r="S19" s="43"/>
      <c r="T19" s="43"/>
      <c r="U19" s="43"/>
    </row>
    <row r="20" spans="1:21" s="11" customFormat="1" x14ac:dyDescent="0.25">
      <c r="A20" s="50" t="s">
        <v>383</v>
      </c>
      <c r="B20" s="51">
        <v>5.21</v>
      </c>
      <c r="C20" s="51">
        <v>21.28</v>
      </c>
      <c r="D20" s="51">
        <v>32.72</v>
      </c>
      <c r="E20" s="51">
        <v>7.28</v>
      </c>
      <c r="F20" s="51">
        <v>24.15</v>
      </c>
      <c r="G20" s="51">
        <v>30.5</v>
      </c>
      <c r="H20" s="51">
        <v>175.25</v>
      </c>
      <c r="I20" s="51">
        <v>4.0199999999999996</v>
      </c>
      <c r="J20" s="51">
        <v>0.45</v>
      </c>
      <c r="K20" s="51">
        <v>321.82</v>
      </c>
      <c r="L20" s="51">
        <v>36.19</v>
      </c>
      <c r="M20" s="51">
        <v>59.08</v>
      </c>
      <c r="N20" s="51">
        <v>929.2</v>
      </c>
      <c r="O20" s="51">
        <v>0</v>
      </c>
      <c r="P20" s="51">
        <v>0.8</v>
      </c>
      <c r="Q20" s="51">
        <v>9.16</v>
      </c>
      <c r="R20" s="43"/>
      <c r="S20" s="43"/>
      <c r="T20" s="43"/>
      <c r="U20" s="43"/>
    </row>
    <row r="21" spans="1:21" s="11" customFormat="1" x14ac:dyDescent="0.25">
      <c r="A21" s="50" t="s">
        <v>384</v>
      </c>
      <c r="B21" s="51">
        <v>8.69</v>
      </c>
      <c r="C21" s="51">
        <v>24.63</v>
      </c>
      <c r="D21" s="51">
        <v>33.799999999999997</v>
      </c>
      <c r="E21" s="51">
        <v>6.79</v>
      </c>
      <c r="F21" s="51">
        <v>21.58</v>
      </c>
      <c r="G21" s="51">
        <v>35.979999999999997</v>
      </c>
      <c r="H21" s="51">
        <v>3962.17</v>
      </c>
      <c r="I21" s="51">
        <v>4.1399999999999997</v>
      </c>
      <c r="J21" s="51">
        <v>0.37</v>
      </c>
      <c r="K21" s="51">
        <v>321.29000000000002</v>
      </c>
      <c r="L21" s="51">
        <v>36.18</v>
      </c>
      <c r="M21" s="51">
        <v>57.16</v>
      </c>
      <c r="N21" s="51">
        <v>913.5</v>
      </c>
      <c r="O21" s="51">
        <v>0</v>
      </c>
      <c r="P21" s="51">
        <v>0.8</v>
      </c>
      <c r="Q21" s="51">
        <v>9.16</v>
      </c>
      <c r="R21" s="43"/>
      <c r="S21" s="43"/>
      <c r="T21" s="43"/>
      <c r="U21" s="43"/>
    </row>
    <row r="22" spans="1:21" s="11" customFormat="1" x14ac:dyDescent="0.25">
      <c r="A22" s="50" t="s">
        <v>385</v>
      </c>
      <c r="B22" s="51">
        <v>5.48</v>
      </c>
      <c r="C22" s="51">
        <v>22.89</v>
      </c>
      <c r="D22" s="51">
        <v>35.42</v>
      </c>
      <c r="E22" s="51">
        <v>7.03</v>
      </c>
      <c r="F22" s="51">
        <v>24.81</v>
      </c>
      <c r="G22" s="51">
        <v>38.229999999999997</v>
      </c>
      <c r="H22" s="51">
        <v>4515.7</v>
      </c>
      <c r="I22" s="51">
        <v>3.99</v>
      </c>
      <c r="J22" s="51">
        <v>1.9</v>
      </c>
      <c r="K22" s="51">
        <v>114.91</v>
      </c>
      <c r="L22" s="51">
        <v>36.659999999999997</v>
      </c>
      <c r="M22" s="51">
        <v>66.040000000000006</v>
      </c>
      <c r="N22" s="51">
        <v>871.1</v>
      </c>
      <c r="O22" s="51">
        <v>0</v>
      </c>
      <c r="P22" s="51">
        <v>0.62</v>
      </c>
      <c r="Q22" s="51">
        <v>9.16</v>
      </c>
      <c r="R22" s="43"/>
      <c r="S22" s="43"/>
      <c r="T22" s="43"/>
      <c r="U22" s="43"/>
    </row>
    <row r="23" spans="1:21" s="11" customFormat="1" x14ac:dyDescent="0.25">
      <c r="A23" s="50" t="s">
        <v>386</v>
      </c>
      <c r="B23" s="51">
        <v>5.04</v>
      </c>
      <c r="C23" s="51">
        <v>23.05</v>
      </c>
      <c r="D23" s="51">
        <v>36.64</v>
      </c>
      <c r="E23" s="51">
        <v>6.47</v>
      </c>
      <c r="F23" s="51">
        <v>29.63</v>
      </c>
      <c r="G23" s="51">
        <v>40.770000000000003</v>
      </c>
      <c r="H23" s="51">
        <v>636.72</v>
      </c>
      <c r="I23" s="51">
        <v>4.1500000000000004</v>
      </c>
      <c r="J23" s="51">
        <v>0.54</v>
      </c>
      <c r="K23" s="51">
        <v>135.5</v>
      </c>
      <c r="L23" s="51">
        <v>33.54</v>
      </c>
      <c r="M23" s="51">
        <v>61.77</v>
      </c>
      <c r="N23" s="51">
        <v>284.2</v>
      </c>
      <c r="O23" s="51">
        <v>0</v>
      </c>
      <c r="P23" s="51">
        <v>0.43</v>
      </c>
      <c r="Q23" s="51">
        <v>9.17</v>
      </c>
      <c r="R23" s="43"/>
      <c r="S23" s="43"/>
      <c r="T23" s="43"/>
      <c r="U23" s="43"/>
    </row>
    <row r="24" spans="1:21" s="11" customFormat="1" x14ac:dyDescent="0.25">
      <c r="A24" s="50" t="s">
        <v>387</v>
      </c>
      <c r="B24" s="51">
        <v>9.18</v>
      </c>
      <c r="C24" s="51">
        <v>32.01</v>
      </c>
      <c r="D24" s="51">
        <v>47.17</v>
      </c>
      <c r="E24" s="51">
        <v>6.32</v>
      </c>
      <c r="F24" s="51">
        <v>28.02</v>
      </c>
      <c r="G24" s="51">
        <v>36.619999999999997</v>
      </c>
      <c r="H24" s="51">
        <v>0</v>
      </c>
      <c r="I24" s="51">
        <v>3.98</v>
      </c>
      <c r="J24" s="51">
        <v>0.59</v>
      </c>
      <c r="K24" s="51">
        <v>337.72</v>
      </c>
      <c r="L24" s="51">
        <v>34.28</v>
      </c>
      <c r="M24" s="51">
        <v>56.46</v>
      </c>
      <c r="N24" s="51">
        <v>255.4</v>
      </c>
      <c r="O24" s="51">
        <v>0</v>
      </c>
      <c r="P24" s="51">
        <v>0.6</v>
      </c>
      <c r="Q24" s="51">
        <v>9.16</v>
      </c>
      <c r="R24" s="43"/>
      <c r="S24" s="43"/>
      <c r="T24" s="43"/>
      <c r="U24" s="43"/>
    </row>
    <row r="25" spans="1:21" s="11" customFormat="1" x14ac:dyDescent="0.25">
      <c r="A25" s="50" t="s">
        <v>388</v>
      </c>
      <c r="B25" s="51">
        <v>9.06</v>
      </c>
      <c r="C25" s="51">
        <v>31.94</v>
      </c>
      <c r="D25" s="51">
        <v>47.22</v>
      </c>
      <c r="E25" s="51">
        <v>5.49</v>
      </c>
      <c r="F25" s="51">
        <v>29.42</v>
      </c>
      <c r="G25" s="51">
        <v>34.950000000000003</v>
      </c>
      <c r="H25" s="51">
        <v>3203.29</v>
      </c>
      <c r="I25" s="51">
        <v>4.1900000000000004</v>
      </c>
      <c r="J25" s="51">
        <v>1.6</v>
      </c>
      <c r="K25" s="51">
        <v>355.47</v>
      </c>
      <c r="L25" s="51">
        <v>34.229999999999997</v>
      </c>
      <c r="M25" s="51">
        <v>57.85</v>
      </c>
      <c r="N25" s="51">
        <v>199</v>
      </c>
      <c r="O25" s="51">
        <v>0</v>
      </c>
      <c r="P25" s="51">
        <v>0.63</v>
      </c>
      <c r="Q25" s="51">
        <v>9.18</v>
      </c>
      <c r="R25" s="43"/>
      <c r="S25" s="43"/>
      <c r="T25" s="43"/>
      <c r="U25" s="43"/>
    </row>
    <row r="26" spans="1:21" s="11" customFormat="1" x14ac:dyDescent="0.25">
      <c r="A26" s="50" t="s">
        <v>389</v>
      </c>
      <c r="B26" s="51">
        <v>12.97</v>
      </c>
      <c r="C26" s="51">
        <v>34.71</v>
      </c>
      <c r="D26" s="51">
        <v>46.52</v>
      </c>
      <c r="E26" s="51">
        <v>5.7</v>
      </c>
      <c r="F26" s="51">
        <v>16.14</v>
      </c>
      <c r="G26" s="51">
        <v>33.340000000000003</v>
      </c>
      <c r="H26" s="51">
        <v>2869.84</v>
      </c>
      <c r="I26" s="51">
        <v>4.05</v>
      </c>
      <c r="J26" s="51">
        <v>1.42</v>
      </c>
      <c r="K26" s="51">
        <v>348.51</v>
      </c>
      <c r="L26" s="51">
        <v>31.57</v>
      </c>
      <c r="M26" s="51">
        <v>61.55</v>
      </c>
      <c r="N26" s="51">
        <v>79</v>
      </c>
      <c r="O26" s="51">
        <v>0</v>
      </c>
      <c r="P26" s="51">
        <v>0.61</v>
      </c>
      <c r="Q26" s="51">
        <v>9.2799999999999994</v>
      </c>
      <c r="R26" s="43"/>
      <c r="S26" s="43"/>
      <c r="T26" s="43"/>
      <c r="U26" s="43"/>
    </row>
    <row r="27" spans="1:21" s="11" customFormat="1" x14ac:dyDescent="0.25">
      <c r="A27" s="50" t="s">
        <v>390</v>
      </c>
      <c r="B27" s="51">
        <v>3.45</v>
      </c>
      <c r="C27" s="51">
        <v>19.940000000000001</v>
      </c>
      <c r="D27" s="51">
        <v>33.909999999999997</v>
      </c>
      <c r="E27" s="51">
        <v>5.53</v>
      </c>
      <c r="F27" s="51">
        <v>17.02</v>
      </c>
      <c r="G27" s="51">
        <v>47.7</v>
      </c>
      <c r="H27" s="51">
        <v>129.19</v>
      </c>
      <c r="I27" s="51">
        <v>4.08</v>
      </c>
      <c r="J27" s="51">
        <v>0.84</v>
      </c>
      <c r="K27" s="51">
        <v>152.68</v>
      </c>
      <c r="L27" s="51">
        <v>30.02</v>
      </c>
      <c r="M27" s="51">
        <v>64.06</v>
      </c>
      <c r="N27" s="51">
        <v>48.1</v>
      </c>
      <c r="O27" s="51">
        <v>0</v>
      </c>
      <c r="P27" s="51">
        <v>0.38</v>
      </c>
      <c r="Q27" s="51">
        <v>9.2899999999999991</v>
      </c>
      <c r="R27" s="43"/>
      <c r="S27" s="43"/>
      <c r="T27" s="43"/>
      <c r="U27" s="43"/>
    </row>
    <row r="28" spans="1:21" s="11" customFormat="1" x14ac:dyDescent="0.25">
      <c r="A28" s="50" t="s">
        <v>391</v>
      </c>
      <c r="B28" s="51">
        <v>12.29</v>
      </c>
      <c r="C28" s="51">
        <v>27.51</v>
      </c>
      <c r="D28" s="51">
        <v>34.270000000000003</v>
      </c>
      <c r="E28" s="51">
        <v>4.6399999999999997</v>
      </c>
      <c r="F28" s="51">
        <v>17.309999999999999</v>
      </c>
      <c r="G28" s="51">
        <v>61.33</v>
      </c>
      <c r="H28" s="51">
        <v>156.1</v>
      </c>
      <c r="I28" s="51">
        <v>4.07</v>
      </c>
      <c r="J28" s="51">
        <v>0.94</v>
      </c>
      <c r="K28" s="51">
        <v>205.96</v>
      </c>
      <c r="L28" s="51">
        <v>29.03</v>
      </c>
      <c r="M28" s="51">
        <v>73.05</v>
      </c>
      <c r="N28" s="51">
        <v>39</v>
      </c>
      <c r="O28" s="51">
        <v>0</v>
      </c>
      <c r="P28" s="51">
        <v>0.52</v>
      </c>
      <c r="Q28" s="51">
        <v>9.2200000000000006</v>
      </c>
      <c r="R28" s="43"/>
      <c r="S28" s="43"/>
      <c r="T28" s="43"/>
      <c r="U28" s="43"/>
    </row>
    <row r="29" spans="1:21" s="11" customFormat="1" x14ac:dyDescent="0.25">
      <c r="A29" s="50" t="s">
        <v>392</v>
      </c>
      <c r="B29" s="51">
        <v>6.07</v>
      </c>
      <c r="C29" s="51">
        <v>22.48</v>
      </c>
      <c r="D29" s="51">
        <v>33.71</v>
      </c>
      <c r="E29" s="51">
        <v>4.8</v>
      </c>
      <c r="F29" s="51">
        <v>14.49</v>
      </c>
      <c r="G29" s="51">
        <v>48.02</v>
      </c>
      <c r="H29" s="51">
        <v>125.06</v>
      </c>
      <c r="I29" s="51">
        <v>4.1399999999999997</v>
      </c>
      <c r="J29" s="51">
        <v>0.53</v>
      </c>
      <c r="K29" s="51">
        <v>175.43</v>
      </c>
      <c r="L29" s="51">
        <v>28.53</v>
      </c>
      <c r="M29" s="51">
        <v>79.75</v>
      </c>
      <c r="N29" s="51">
        <v>38.5</v>
      </c>
      <c r="O29" s="51">
        <v>0</v>
      </c>
      <c r="P29" s="51">
        <v>0.39</v>
      </c>
      <c r="Q29" s="51">
        <v>9.24</v>
      </c>
      <c r="R29" s="43"/>
      <c r="S29" s="43"/>
      <c r="T29" s="43"/>
      <c r="U29" s="43"/>
    </row>
    <row r="30" spans="1:21" s="11" customFormat="1" x14ac:dyDescent="0.25">
      <c r="A30" s="50" t="s">
        <v>393</v>
      </c>
      <c r="B30" s="51">
        <v>5.84</v>
      </c>
      <c r="C30" s="51">
        <v>20.260000000000002</v>
      </c>
      <c r="D30" s="51">
        <v>30.33</v>
      </c>
      <c r="E30" s="51">
        <v>4.46</v>
      </c>
      <c r="F30" s="51">
        <v>11.36</v>
      </c>
      <c r="G30" s="51">
        <v>43.71</v>
      </c>
      <c r="H30" s="51">
        <v>101.25</v>
      </c>
      <c r="I30" s="51">
        <v>4.01</v>
      </c>
      <c r="J30" s="51">
        <v>0.38</v>
      </c>
      <c r="K30" s="51">
        <v>319.02</v>
      </c>
      <c r="L30" s="51">
        <v>28.2</v>
      </c>
      <c r="M30" s="51">
        <v>86.08</v>
      </c>
      <c r="N30" s="51">
        <v>38.799999999999997</v>
      </c>
      <c r="O30" s="51">
        <v>0</v>
      </c>
      <c r="P30" s="51">
        <v>0.39</v>
      </c>
      <c r="Q30" s="51">
        <v>9.26</v>
      </c>
      <c r="R30" s="43"/>
      <c r="S30" s="43"/>
      <c r="T30" s="43"/>
      <c r="U30" s="43"/>
    </row>
    <row r="31" spans="1:21" s="11" customFormat="1" x14ac:dyDescent="0.25">
      <c r="A31" s="50" t="s">
        <v>394</v>
      </c>
      <c r="B31" s="51">
        <v>6.72</v>
      </c>
      <c r="C31" s="51">
        <v>22.21</v>
      </c>
      <c r="D31" s="51">
        <v>32.25</v>
      </c>
      <c r="E31" s="51">
        <v>3.96</v>
      </c>
      <c r="F31" s="51">
        <v>8.49</v>
      </c>
      <c r="G31" s="51">
        <v>36.130000000000003</v>
      </c>
      <c r="H31" s="51">
        <v>72.819999999999993</v>
      </c>
      <c r="I31" s="51">
        <v>4.08</v>
      </c>
      <c r="J31" s="51">
        <v>0.78</v>
      </c>
      <c r="K31" s="51">
        <v>147.32</v>
      </c>
      <c r="L31" s="51">
        <v>27.77</v>
      </c>
      <c r="M31" s="51">
        <v>85.29</v>
      </c>
      <c r="N31" s="51">
        <v>38.9</v>
      </c>
      <c r="O31" s="51">
        <v>0</v>
      </c>
      <c r="P31" s="51">
        <v>0.37</v>
      </c>
      <c r="Q31" s="51">
        <v>9.26</v>
      </c>
      <c r="R31" s="43"/>
      <c r="S31" s="43"/>
      <c r="T31" s="43"/>
      <c r="U31" s="43"/>
    </row>
    <row r="32" spans="1:21" s="11" customFormat="1" x14ac:dyDescent="0.25">
      <c r="A32" s="50" t="s">
        <v>395</v>
      </c>
      <c r="B32" s="51">
        <v>5.04</v>
      </c>
      <c r="C32" s="51">
        <v>17.579999999999998</v>
      </c>
      <c r="D32" s="51">
        <v>26.75</v>
      </c>
      <c r="E32" s="51">
        <v>4.76</v>
      </c>
      <c r="F32" s="51">
        <v>14.86</v>
      </c>
      <c r="G32" s="51">
        <v>30.01</v>
      </c>
      <c r="H32" s="51">
        <v>68.05</v>
      </c>
      <c r="I32" s="51">
        <v>4.0599999999999996</v>
      </c>
      <c r="J32" s="51">
        <v>0.1</v>
      </c>
      <c r="K32" s="51">
        <v>226.22</v>
      </c>
      <c r="L32" s="51">
        <v>27.46</v>
      </c>
      <c r="M32" s="51">
        <v>86.55</v>
      </c>
      <c r="N32" s="51">
        <v>38.9</v>
      </c>
      <c r="O32" s="51">
        <v>0</v>
      </c>
      <c r="P32" s="51">
        <v>0.27</v>
      </c>
      <c r="Q32" s="51">
        <v>9.26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3.45</v>
      </c>
      <c r="C34" s="28">
        <f t="shared" si="0"/>
        <v>14.14</v>
      </c>
      <c r="D34" s="28">
        <f t="shared" si="0"/>
        <v>20.76</v>
      </c>
      <c r="E34" s="28">
        <f t="shared" si="0"/>
        <v>3.69</v>
      </c>
      <c r="F34" s="28">
        <f t="shared" si="0"/>
        <v>7.45</v>
      </c>
      <c r="G34" s="28">
        <f t="shared" si="0"/>
        <v>17.18</v>
      </c>
      <c r="H34" s="28">
        <f t="shared" si="0"/>
        <v>0</v>
      </c>
      <c r="I34" s="28">
        <f t="shared" si="0"/>
        <v>3.96</v>
      </c>
      <c r="J34" s="28">
        <f t="shared" si="0"/>
        <v>0.1</v>
      </c>
      <c r="K34" s="28">
        <f t="shared" si="0"/>
        <v>114.91</v>
      </c>
      <c r="L34" s="28">
        <f t="shared" si="0"/>
        <v>26.33</v>
      </c>
      <c r="M34" s="28">
        <f t="shared" si="0"/>
        <v>56.46</v>
      </c>
      <c r="N34" s="28">
        <f t="shared" si="0"/>
        <v>38.5</v>
      </c>
      <c r="O34" s="28">
        <f t="shared" si="0"/>
        <v>0</v>
      </c>
      <c r="P34" s="28">
        <f t="shared" si="0"/>
        <v>0.27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12.97</v>
      </c>
      <c r="C35" s="29">
        <f t="shared" si="1"/>
        <v>34.71</v>
      </c>
      <c r="D35" s="29">
        <f t="shared" si="1"/>
        <v>47.22</v>
      </c>
      <c r="E35" s="29">
        <f t="shared" si="1"/>
        <v>7.28</v>
      </c>
      <c r="F35" s="29">
        <f t="shared" si="1"/>
        <v>29.63</v>
      </c>
      <c r="G35" s="29">
        <f t="shared" si="1"/>
        <v>61.33</v>
      </c>
      <c r="H35" s="29">
        <f t="shared" si="1"/>
        <v>4515.7</v>
      </c>
      <c r="I35" s="29">
        <f t="shared" si="1"/>
        <v>4.1900000000000004</v>
      </c>
      <c r="J35" s="29">
        <f t="shared" si="1"/>
        <v>1.9</v>
      </c>
      <c r="K35" s="29">
        <f t="shared" si="1"/>
        <v>355.47</v>
      </c>
      <c r="L35" s="29">
        <f t="shared" si="1"/>
        <v>36.659999999999997</v>
      </c>
      <c r="M35" s="29">
        <f t="shared" si="1"/>
        <v>97.32</v>
      </c>
      <c r="N35" s="29">
        <f t="shared" si="1"/>
        <v>929.2</v>
      </c>
      <c r="O35" s="29">
        <f t="shared" si="1"/>
        <v>0</v>
      </c>
      <c r="P35" s="29">
        <f t="shared" si="1"/>
        <v>1.01</v>
      </c>
      <c r="Q35" s="29">
        <f t="shared" si="1"/>
        <v>9.31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6.852083333333332</v>
      </c>
      <c r="C36" s="28">
        <f t="shared" si="2"/>
        <v>21.548333333333332</v>
      </c>
      <c r="D36" s="28">
        <f t="shared" si="2"/>
        <v>31.186250000000001</v>
      </c>
      <c r="E36" s="28">
        <f t="shared" si="2"/>
        <v>5.1141666666666667</v>
      </c>
      <c r="F36" s="28">
        <f t="shared" si="2"/>
        <v>16.117500000000003</v>
      </c>
      <c r="G36" s="28">
        <f t="shared" si="2"/>
        <v>31.404166666666669</v>
      </c>
      <c r="H36" s="28">
        <f t="shared" si="2"/>
        <v>713.30624999999975</v>
      </c>
      <c r="I36" s="28">
        <f t="shared" si="2"/>
        <v>4.0774999999999997</v>
      </c>
      <c r="J36" s="28">
        <f t="shared" si="2"/>
        <v>0.58249999999999991</v>
      </c>
      <c r="K36" s="28">
        <f t="shared" si="2"/>
        <v>244.79916666666671</v>
      </c>
      <c r="L36" s="28">
        <f t="shared" si="2"/>
        <v>30.448333333333338</v>
      </c>
      <c r="M36" s="28">
        <f t="shared" si="2"/>
        <v>77.622916666666654</v>
      </c>
      <c r="N36" s="28">
        <f t="shared" si="2"/>
        <v>284.22916666666663</v>
      </c>
      <c r="O36" s="28">
        <f t="shared" si="2"/>
        <v>0</v>
      </c>
      <c r="P36" s="28">
        <f t="shared" si="2"/>
        <v>0.48791666666666661</v>
      </c>
      <c r="Q36" s="28">
        <f t="shared" si="2"/>
        <v>9.2329166666666662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2.4965941655656132</v>
      </c>
      <c r="C37" s="28">
        <f t="shared" ref="C37:Q37" si="3">STDEV(C9:C32)</f>
        <v>5.4838289278700989</v>
      </c>
      <c r="D37" s="28">
        <f t="shared" si="3"/>
        <v>7.7465048570306818</v>
      </c>
      <c r="E37" s="28">
        <f t="shared" si="3"/>
        <v>1.1154796849500386</v>
      </c>
      <c r="F37" s="28">
        <f t="shared" si="3"/>
        <v>6.854915881258524</v>
      </c>
      <c r="G37" s="28">
        <f t="shared" si="3"/>
        <v>11.40650878900389</v>
      </c>
      <c r="H37" s="28">
        <f t="shared" si="3"/>
        <v>1371.2082201310245</v>
      </c>
      <c r="I37" s="28">
        <f t="shared" si="3"/>
        <v>6.2013322551795716E-2</v>
      </c>
      <c r="J37" s="28">
        <f t="shared" si="3"/>
        <v>0.48040064801027871</v>
      </c>
      <c r="K37" s="28">
        <f t="shared" si="3"/>
        <v>75.363753594132277</v>
      </c>
      <c r="L37" s="28">
        <f t="shared" si="3"/>
        <v>3.5196697802945507</v>
      </c>
      <c r="M37" s="28">
        <f t="shared" si="3"/>
        <v>14.673647327975452</v>
      </c>
      <c r="N37" s="28">
        <f t="shared" si="3"/>
        <v>334.66016309757094</v>
      </c>
      <c r="O37" s="28">
        <f t="shared" si="3"/>
        <v>0</v>
      </c>
      <c r="P37" s="28">
        <f t="shared" si="3"/>
        <v>0.18247046614313442</v>
      </c>
      <c r="Q37" s="28">
        <f t="shared" si="3"/>
        <v>5.6835320208373875E-2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3" sqref="G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396</v>
      </c>
      <c r="B9" s="51">
        <v>3.75</v>
      </c>
      <c r="C9" s="51">
        <v>14.48</v>
      </c>
      <c r="D9" s="51">
        <v>21.95</v>
      </c>
      <c r="E9" s="51">
        <v>5.09</v>
      </c>
      <c r="F9" s="51">
        <v>13.92</v>
      </c>
      <c r="G9" s="51">
        <v>25.83</v>
      </c>
      <c r="H9" s="51">
        <v>61.97</v>
      </c>
      <c r="I9" s="51">
        <v>4.0999999999999996</v>
      </c>
      <c r="J9" s="51">
        <v>0.38</v>
      </c>
      <c r="K9" s="51">
        <v>279.10000000000002</v>
      </c>
      <c r="L9" s="51">
        <v>27.24</v>
      </c>
      <c r="M9" s="51">
        <v>87.24</v>
      </c>
      <c r="N9" s="51">
        <v>38.700000000000003</v>
      </c>
      <c r="O9" s="51">
        <v>0</v>
      </c>
      <c r="P9" s="51">
        <v>0.23</v>
      </c>
      <c r="Q9" s="51">
        <v>9.27</v>
      </c>
      <c r="R9" s="43"/>
      <c r="S9" s="43"/>
      <c r="T9" s="43"/>
      <c r="U9" s="43"/>
    </row>
    <row r="10" spans="1:21" s="11" customFormat="1" x14ac:dyDescent="0.25">
      <c r="A10" s="50" t="s">
        <v>397</v>
      </c>
      <c r="B10" s="51">
        <v>5.82</v>
      </c>
      <c r="C10" s="51">
        <v>14.46</v>
      </c>
      <c r="D10" s="51">
        <v>18.739999999999998</v>
      </c>
      <c r="E10" s="51">
        <v>5.38</v>
      </c>
      <c r="F10" s="51">
        <v>9.56</v>
      </c>
      <c r="G10" s="51">
        <v>21.73</v>
      </c>
      <c r="H10" s="51">
        <v>62.89</v>
      </c>
      <c r="I10" s="51">
        <v>4.12</v>
      </c>
      <c r="J10" s="51">
        <v>0.21</v>
      </c>
      <c r="K10" s="51">
        <v>264.7</v>
      </c>
      <c r="L10" s="51">
        <v>27.26</v>
      </c>
      <c r="M10" s="51">
        <v>87.86</v>
      </c>
      <c r="N10" s="51">
        <v>38.700000000000003</v>
      </c>
      <c r="O10" s="51">
        <v>0</v>
      </c>
      <c r="P10" s="51">
        <v>0.26</v>
      </c>
      <c r="Q10" s="51">
        <v>9.2799999999999994</v>
      </c>
      <c r="R10" s="43"/>
      <c r="S10" s="43"/>
      <c r="T10" s="43"/>
      <c r="U10" s="43"/>
    </row>
    <row r="11" spans="1:21" s="11" customFormat="1" x14ac:dyDescent="0.25">
      <c r="A11" s="50" t="s">
        <v>398</v>
      </c>
      <c r="B11" s="51">
        <v>5.74</v>
      </c>
      <c r="C11" s="51">
        <v>13.6</v>
      </c>
      <c r="D11" s="51">
        <v>18.27</v>
      </c>
      <c r="E11" s="51">
        <v>5.6</v>
      </c>
      <c r="F11" s="51">
        <v>10.4</v>
      </c>
      <c r="G11" s="51">
        <v>21.25</v>
      </c>
      <c r="H11" s="51">
        <v>54.01</v>
      </c>
      <c r="I11" s="51">
        <v>4.05</v>
      </c>
      <c r="J11" s="51">
        <v>0.13</v>
      </c>
      <c r="K11" s="51">
        <v>215.62</v>
      </c>
      <c r="L11" s="51">
        <v>26.95</v>
      </c>
      <c r="M11" s="51">
        <v>88.29</v>
      </c>
      <c r="N11" s="51">
        <v>38.799999999999997</v>
      </c>
      <c r="O11" s="51">
        <v>0</v>
      </c>
      <c r="P11" s="51">
        <v>0.25</v>
      </c>
      <c r="Q11" s="51">
        <v>9.26</v>
      </c>
      <c r="R11" s="43"/>
      <c r="S11" s="43"/>
      <c r="T11" s="43"/>
      <c r="U11" s="43"/>
    </row>
    <row r="12" spans="1:21" s="11" customFormat="1" x14ac:dyDescent="0.25">
      <c r="A12" s="50" t="s">
        <v>399</v>
      </c>
      <c r="B12" s="51">
        <v>5.9</v>
      </c>
      <c r="C12" s="51">
        <v>13.41</v>
      </c>
      <c r="D12" s="51">
        <v>17.329999999999998</v>
      </c>
      <c r="E12" s="51">
        <v>5.22</v>
      </c>
      <c r="F12" s="51">
        <v>13.68</v>
      </c>
      <c r="G12" s="51">
        <v>16.05</v>
      </c>
      <c r="H12" s="51">
        <v>47.62</v>
      </c>
      <c r="I12" s="51">
        <v>4.12</v>
      </c>
      <c r="J12" s="51">
        <v>0.1</v>
      </c>
      <c r="K12" s="51">
        <v>299.89</v>
      </c>
      <c r="L12" s="51">
        <v>26.82</v>
      </c>
      <c r="M12" s="51">
        <v>87.04</v>
      </c>
      <c r="N12" s="51">
        <v>38.9</v>
      </c>
      <c r="O12" s="51">
        <v>0</v>
      </c>
      <c r="P12" s="51">
        <v>0.2</v>
      </c>
      <c r="Q12" s="51">
        <v>9.23</v>
      </c>
      <c r="R12" s="43"/>
      <c r="S12" s="43"/>
      <c r="T12" s="43"/>
      <c r="U12" s="43"/>
    </row>
    <row r="13" spans="1:21" s="11" customFormat="1" x14ac:dyDescent="0.25">
      <c r="A13" s="50" t="s">
        <v>400</v>
      </c>
      <c r="B13" s="51">
        <v>4.3899999999999997</v>
      </c>
      <c r="C13" s="51">
        <v>13.85</v>
      </c>
      <c r="D13" s="51">
        <v>19.78</v>
      </c>
      <c r="E13" s="51">
        <v>5.14</v>
      </c>
      <c r="F13" s="51">
        <v>12.41</v>
      </c>
      <c r="G13" s="51">
        <v>15.12</v>
      </c>
      <c r="H13" s="51">
        <v>47.4</v>
      </c>
      <c r="I13" s="51">
        <v>3.98</v>
      </c>
      <c r="J13" s="51">
        <v>0.12</v>
      </c>
      <c r="K13" s="51">
        <v>202.62</v>
      </c>
      <c r="L13" s="51">
        <v>26.71</v>
      </c>
      <c r="M13" s="51">
        <v>97.96</v>
      </c>
      <c r="N13" s="51">
        <v>39.1</v>
      </c>
      <c r="O13" s="51">
        <v>0</v>
      </c>
      <c r="P13" s="51">
        <v>0.16</v>
      </c>
      <c r="Q13" s="51">
        <v>9.23</v>
      </c>
      <c r="R13" s="43"/>
      <c r="S13" s="43"/>
      <c r="T13" s="43"/>
      <c r="U13" s="43"/>
    </row>
    <row r="14" spans="1:21" s="11" customFormat="1" x14ac:dyDescent="0.25">
      <c r="A14" s="50" t="s">
        <v>401</v>
      </c>
      <c r="B14" s="51">
        <v>8.94</v>
      </c>
      <c r="C14" s="51">
        <v>17.64</v>
      </c>
      <c r="D14" s="51">
        <v>22.38</v>
      </c>
      <c r="E14" s="51">
        <v>5.25</v>
      </c>
      <c r="F14" s="51">
        <v>9.74</v>
      </c>
      <c r="G14" s="51">
        <v>12.97</v>
      </c>
      <c r="H14" s="51">
        <v>48.84</v>
      </c>
      <c r="I14" s="51">
        <v>4.1500000000000004</v>
      </c>
      <c r="J14" s="51">
        <v>0.41</v>
      </c>
      <c r="K14" s="51">
        <v>190.15</v>
      </c>
      <c r="L14" s="51">
        <v>26.05</v>
      </c>
      <c r="M14" s="51">
        <v>96.65</v>
      </c>
      <c r="N14" s="51">
        <v>62.7</v>
      </c>
      <c r="O14" s="51">
        <v>0</v>
      </c>
      <c r="P14" s="51">
        <v>0.2</v>
      </c>
      <c r="Q14" s="51">
        <v>9.25</v>
      </c>
      <c r="R14" s="43"/>
      <c r="S14" s="43"/>
      <c r="T14" s="43"/>
      <c r="U14" s="43"/>
    </row>
    <row r="15" spans="1:21" s="11" customFormat="1" x14ac:dyDescent="0.25">
      <c r="A15" s="50" t="s">
        <v>402</v>
      </c>
      <c r="B15" s="51">
        <v>8.4600000000000009</v>
      </c>
      <c r="C15" s="51">
        <v>18.54</v>
      </c>
      <c r="D15" s="51">
        <v>23.84</v>
      </c>
      <c r="E15" s="51">
        <v>5.43</v>
      </c>
      <c r="F15" s="51">
        <v>8.52</v>
      </c>
      <c r="G15" s="51">
        <v>11.73</v>
      </c>
      <c r="H15" s="51">
        <v>49.15</v>
      </c>
      <c r="I15" s="51">
        <v>4.09</v>
      </c>
      <c r="J15" s="51">
        <v>0.55000000000000004</v>
      </c>
      <c r="K15" s="51">
        <v>183.12</v>
      </c>
      <c r="L15" s="51">
        <v>26.92</v>
      </c>
      <c r="M15" s="51">
        <v>92.44</v>
      </c>
      <c r="N15" s="51">
        <v>178</v>
      </c>
      <c r="O15" s="51">
        <v>0</v>
      </c>
      <c r="P15" s="51">
        <v>0.21</v>
      </c>
      <c r="Q15" s="51">
        <v>9.26</v>
      </c>
      <c r="R15" s="43"/>
      <c r="S15" s="43"/>
      <c r="T15" s="43"/>
      <c r="U15" s="43"/>
    </row>
    <row r="16" spans="1:21" s="11" customFormat="1" x14ac:dyDescent="0.25">
      <c r="A16" s="50" t="s">
        <v>403</v>
      </c>
      <c r="B16" s="51">
        <v>10.87</v>
      </c>
      <c r="C16" s="51">
        <v>21.3</v>
      </c>
      <c r="D16" s="51">
        <v>24.07</v>
      </c>
      <c r="E16" s="51">
        <v>5.17</v>
      </c>
      <c r="F16" s="51">
        <v>8.7200000000000006</v>
      </c>
      <c r="G16" s="51">
        <v>10.63</v>
      </c>
      <c r="H16" s="51">
        <v>19.29</v>
      </c>
      <c r="I16" s="51">
        <v>3.98</v>
      </c>
      <c r="J16" s="51">
        <v>0.36</v>
      </c>
      <c r="K16" s="51">
        <v>215.85</v>
      </c>
      <c r="L16" s="51">
        <v>28.94</v>
      </c>
      <c r="M16" s="51">
        <v>86.25</v>
      </c>
      <c r="N16" s="51">
        <v>294.10000000000002</v>
      </c>
      <c r="O16" s="51">
        <v>0</v>
      </c>
      <c r="P16" s="51">
        <v>0.32</v>
      </c>
      <c r="Q16" s="51">
        <v>9.27</v>
      </c>
      <c r="R16" s="43"/>
      <c r="S16" s="43"/>
      <c r="T16" s="43"/>
      <c r="U16" s="43"/>
    </row>
    <row r="17" spans="1:21" s="11" customFormat="1" x14ac:dyDescent="0.25">
      <c r="A17" s="50" t="s">
        <v>404</v>
      </c>
      <c r="B17" s="51">
        <v>9.8699999999999992</v>
      </c>
      <c r="C17" s="51">
        <v>21.01</v>
      </c>
      <c r="D17" s="51">
        <v>26.53</v>
      </c>
      <c r="E17" s="51">
        <v>5.66</v>
      </c>
      <c r="F17" s="51">
        <v>15.07</v>
      </c>
      <c r="G17" s="51">
        <v>13.8</v>
      </c>
      <c r="H17" s="51">
        <v>2.88</v>
      </c>
      <c r="I17" s="51">
        <v>4.08</v>
      </c>
      <c r="J17" s="51">
        <v>0.23</v>
      </c>
      <c r="K17" s="51">
        <v>314.48</v>
      </c>
      <c r="L17" s="51">
        <v>31.67</v>
      </c>
      <c r="M17" s="51">
        <v>81.53</v>
      </c>
      <c r="N17" s="51">
        <v>564.4</v>
      </c>
      <c r="O17" s="51">
        <v>0</v>
      </c>
      <c r="P17" s="51">
        <v>0.38</v>
      </c>
      <c r="Q17" s="51">
        <v>9.31</v>
      </c>
      <c r="R17" s="43"/>
      <c r="S17" s="43"/>
      <c r="T17" s="43"/>
      <c r="U17" s="43"/>
    </row>
    <row r="18" spans="1:21" s="11" customFormat="1" x14ac:dyDescent="0.25">
      <c r="A18" s="50" t="s">
        <v>405</v>
      </c>
      <c r="B18" s="51">
        <v>9.67</v>
      </c>
      <c r="C18" s="51">
        <v>22.88</v>
      </c>
      <c r="D18" s="51">
        <v>28.96</v>
      </c>
      <c r="E18" s="51">
        <v>5.85</v>
      </c>
      <c r="F18" s="51">
        <v>14.18</v>
      </c>
      <c r="G18" s="51">
        <v>17.79</v>
      </c>
      <c r="H18" s="51">
        <v>12.68</v>
      </c>
      <c r="I18" s="51">
        <v>4.1100000000000003</v>
      </c>
      <c r="J18" s="51">
        <v>0.28999999999999998</v>
      </c>
      <c r="K18" s="51">
        <v>288.74</v>
      </c>
      <c r="L18" s="51">
        <v>33.17</v>
      </c>
      <c r="M18" s="51">
        <v>71.86</v>
      </c>
      <c r="N18" s="51">
        <v>812.8</v>
      </c>
      <c r="O18" s="51">
        <v>0</v>
      </c>
      <c r="P18" s="51">
        <v>0.38</v>
      </c>
      <c r="Q18" s="51">
        <v>9.27</v>
      </c>
      <c r="R18" s="43"/>
      <c r="S18" s="43"/>
      <c r="T18" s="43"/>
      <c r="U18" s="43"/>
    </row>
    <row r="19" spans="1:21" s="11" customFormat="1" x14ac:dyDescent="0.25">
      <c r="A19" s="50" t="s">
        <v>406</v>
      </c>
      <c r="B19" s="51">
        <v>5.48</v>
      </c>
      <c r="C19" s="51">
        <v>17.66</v>
      </c>
      <c r="D19" s="51">
        <v>25.38</v>
      </c>
      <c r="E19" s="51">
        <v>5.87</v>
      </c>
      <c r="F19" s="51">
        <v>10.64</v>
      </c>
      <c r="G19" s="51">
        <v>20.43</v>
      </c>
      <c r="H19" s="51">
        <v>0</v>
      </c>
      <c r="I19" s="51">
        <v>4.12</v>
      </c>
      <c r="J19" s="51">
        <v>0.33</v>
      </c>
      <c r="K19" s="51">
        <v>308.25</v>
      </c>
      <c r="L19" s="51">
        <v>33.76</v>
      </c>
      <c r="M19" s="51">
        <v>64.680000000000007</v>
      </c>
      <c r="N19" s="51">
        <v>914.4</v>
      </c>
      <c r="O19" s="51">
        <v>0</v>
      </c>
      <c r="P19" s="51">
        <v>0.36</v>
      </c>
      <c r="Q19" s="51">
        <v>9.18</v>
      </c>
      <c r="R19" s="43"/>
      <c r="S19" s="43"/>
      <c r="T19" s="43"/>
      <c r="U19" s="43"/>
    </row>
    <row r="20" spans="1:21" s="11" customFormat="1" x14ac:dyDescent="0.25">
      <c r="A20" s="50" t="s">
        <v>407</v>
      </c>
      <c r="B20" s="51">
        <v>4.57</v>
      </c>
      <c r="C20" s="51">
        <v>16.829999999999998</v>
      </c>
      <c r="D20" s="51">
        <v>25.34</v>
      </c>
      <c r="E20" s="51">
        <v>5.72</v>
      </c>
      <c r="F20" s="51">
        <v>11.77</v>
      </c>
      <c r="G20" s="51">
        <v>21.42</v>
      </c>
      <c r="H20" s="51">
        <v>1201.54</v>
      </c>
      <c r="I20" s="51">
        <v>4.18</v>
      </c>
      <c r="J20" s="51">
        <v>0.77</v>
      </c>
      <c r="K20" s="51">
        <v>330.41</v>
      </c>
      <c r="L20" s="51">
        <v>35.78</v>
      </c>
      <c r="M20" s="51">
        <v>59.72</v>
      </c>
      <c r="N20" s="51">
        <v>931.8</v>
      </c>
      <c r="O20" s="51">
        <v>0</v>
      </c>
      <c r="P20" s="51">
        <v>0.4</v>
      </c>
      <c r="Q20" s="51">
        <v>9.11</v>
      </c>
      <c r="R20" s="43"/>
      <c r="S20" s="43"/>
      <c r="T20" s="43"/>
      <c r="U20" s="43"/>
    </row>
    <row r="21" spans="1:21" s="11" customFormat="1" x14ac:dyDescent="0.25">
      <c r="A21" s="50" t="s">
        <v>408</v>
      </c>
      <c r="B21" s="51">
        <v>6.28</v>
      </c>
      <c r="C21" s="51">
        <v>18.28</v>
      </c>
      <c r="D21" s="51">
        <v>26.79</v>
      </c>
      <c r="E21" s="51">
        <v>5.6</v>
      </c>
      <c r="F21" s="51">
        <v>18.47</v>
      </c>
      <c r="G21" s="51">
        <v>21.56</v>
      </c>
      <c r="H21" s="51">
        <v>1544.84</v>
      </c>
      <c r="I21" s="51">
        <v>4.13</v>
      </c>
      <c r="J21" s="51">
        <v>0.6</v>
      </c>
      <c r="K21" s="51">
        <v>336.93</v>
      </c>
      <c r="L21" s="51">
        <v>35.770000000000003</v>
      </c>
      <c r="M21" s="51">
        <v>56.68</v>
      </c>
      <c r="N21" s="51">
        <v>923.7</v>
      </c>
      <c r="O21" s="51">
        <v>0</v>
      </c>
      <c r="P21" s="51">
        <v>0.48</v>
      </c>
      <c r="Q21" s="51">
        <v>9.1300000000000008</v>
      </c>
      <c r="R21" s="43"/>
      <c r="S21" s="43"/>
      <c r="T21" s="43"/>
      <c r="U21" s="43"/>
    </row>
    <row r="22" spans="1:21" s="11" customFormat="1" x14ac:dyDescent="0.25">
      <c r="A22" s="50" t="s">
        <v>409</v>
      </c>
      <c r="B22" s="51">
        <v>5.01</v>
      </c>
      <c r="C22" s="51">
        <v>18.53</v>
      </c>
      <c r="D22" s="51">
        <v>27.77</v>
      </c>
      <c r="E22" s="51">
        <v>5.51</v>
      </c>
      <c r="F22" s="51">
        <v>21.95</v>
      </c>
      <c r="G22" s="51">
        <v>20.71</v>
      </c>
      <c r="H22" s="51">
        <v>665.7</v>
      </c>
      <c r="I22" s="51">
        <v>4.09</v>
      </c>
      <c r="J22" s="51">
        <v>0.45</v>
      </c>
      <c r="K22" s="51">
        <v>236.61</v>
      </c>
      <c r="L22" s="51">
        <v>34.58</v>
      </c>
      <c r="M22" s="51">
        <v>53.28</v>
      </c>
      <c r="N22" s="51">
        <v>712.9</v>
      </c>
      <c r="O22" s="51">
        <v>0</v>
      </c>
      <c r="P22" s="51">
        <v>0.37</v>
      </c>
      <c r="Q22" s="51">
        <v>9.1300000000000008</v>
      </c>
      <c r="R22" s="43"/>
      <c r="S22" s="43"/>
      <c r="T22" s="43"/>
      <c r="U22" s="43"/>
    </row>
    <row r="23" spans="1:21" s="11" customFormat="1" x14ac:dyDescent="0.25">
      <c r="A23" s="50" t="s">
        <v>410</v>
      </c>
      <c r="B23" s="51">
        <v>4.46</v>
      </c>
      <c r="C23" s="51">
        <v>15.02</v>
      </c>
      <c r="D23" s="51">
        <v>22.82</v>
      </c>
      <c r="E23" s="51">
        <v>5.74</v>
      </c>
      <c r="F23" s="51">
        <v>15.89</v>
      </c>
      <c r="G23" s="51">
        <v>20.56</v>
      </c>
      <c r="H23" s="51">
        <v>855.9</v>
      </c>
      <c r="I23" s="51">
        <v>4.22</v>
      </c>
      <c r="J23" s="51">
        <v>0.44</v>
      </c>
      <c r="K23" s="51">
        <v>303.04000000000002</v>
      </c>
      <c r="L23" s="51">
        <v>35.31</v>
      </c>
      <c r="M23" s="51">
        <v>54.23</v>
      </c>
      <c r="N23" s="51">
        <v>436.4</v>
      </c>
      <c r="O23" s="51">
        <v>0</v>
      </c>
      <c r="P23" s="51">
        <v>0.4</v>
      </c>
      <c r="Q23" s="51">
        <v>9.1199999999999992</v>
      </c>
      <c r="R23" s="43"/>
      <c r="S23" s="43"/>
      <c r="T23" s="43"/>
      <c r="U23" s="43"/>
    </row>
    <row r="24" spans="1:21" s="11" customFormat="1" x14ac:dyDescent="0.25">
      <c r="A24" s="50" t="s">
        <v>411</v>
      </c>
      <c r="B24" s="51">
        <v>5.21</v>
      </c>
      <c r="C24" s="51">
        <v>18.440000000000001</v>
      </c>
      <c r="D24" s="51">
        <v>27.3</v>
      </c>
      <c r="E24" s="51">
        <v>5.18</v>
      </c>
      <c r="F24" s="51">
        <v>16.11</v>
      </c>
      <c r="G24" s="51">
        <v>22.13</v>
      </c>
      <c r="H24" s="51">
        <v>78.78</v>
      </c>
      <c r="I24" s="51">
        <v>4.05</v>
      </c>
      <c r="J24" s="51">
        <v>0.23</v>
      </c>
      <c r="K24" s="51">
        <v>298.39999999999998</v>
      </c>
      <c r="L24" s="51">
        <v>34.5</v>
      </c>
      <c r="M24" s="51">
        <v>52.23</v>
      </c>
      <c r="N24" s="51">
        <v>392.8</v>
      </c>
      <c r="O24" s="51">
        <v>0</v>
      </c>
      <c r="P24" s="51">
        <v>0.43</v>
      </c>
      <c r="Q24" s="51">
        <v>9.1</v>
      </c>
      <c r="R24" s="43"/>
      <c r="S24" s="43"/>
      <c r="T24" s="43"/>
      <c r="U24" s="43"/>
    </row>
    <row r="25" spans="1:21" s="11" customFormat="1" x14ac:dyDescent="0.25">
      <c r="A25" s="50" t="s">
        <v>412</v>
      </c>
      <c r="B25" s="51">
        <v>7.43</v>
      </c>
      <c r="C25" s="51">
        <v>20.32</v>
      </c>
      <c r="D25" s="51">
        <v>27.74</v>
      </c>
      <c r="E25" s="51">
        <v>4.8600000000000003</v>
      </c>
      <c r="F25" s="51">
        <v>15.87</v>
      </c>
      <c r="G25" s="51">
        <v>22.47</v>
      </c>
      <c r="H25" s="51">
        <v>38.520000000000003</v>
      </c>
      <c r="I25" s="51">
        <v>4.0599999999999996</v>
      </c>
      <c r="J25" s="51">
        <v>0.59</v>
      </c>
      <c r="K25" s="51">
        <v>310.04000000000002</v>
      </c>
      <c r="L25" s="51">
        <v>35.270000000000003</v>
      </c>
      <c r="M25" s="51">
        <v>51.22</v>
      </c>
      <c r="N25" s="51">
        <v>244.4</v>
      </c>
      <c r="O25" s="51">
        <v>0</v>
      </c>
      <c r="P25" s="51">
        <v>0.5</v>
      </c>
      <c r="Q25" s="51">
        <v>9.15</v>
      </c>
      <c r="R25" s="43"/>
      <c r="S25" s="43"/>
      <c r="T25" s="43"/>
      <c r="U25" s="43"/>
    </row>
    <row r="26" spans="1:21" s="11" customFormat="1" x14ac:dyDescent="0.25">
      <c r="A26" s="50" t="s">
        <v>413</v>
      </c>
      <c r="B26" s="51">
        <v>4.26</v>
      </c>
      <c r="C26" s="51">
        <v>15.41</v>
      </c>
      <c r="D26" s="51">
        <v>22.96</v>
      </c>
      <c r="E26" s="51">
        <v>4.5199999999999996</v>
      </c>
      <c r="F26" s="51">
        <v>15</v>
      </c>
      <c r="G26" s="51">
        <v>22.21</v>
      </c>
      <c r="H26" s="51">
        <v>2037.5</v>
      </c>
      <c r="I26" s="51">
        <v>4.1900000000000004</v>
      </c>
      <c r="J26" s="51">
        <v>1.39</v>
      </c>
      <c r="K26" s="51">
        <v>160.49</v>
      </c>
      <c r="L26" s="51">
        <v>31.11</v>
      </c>
      <c r="M26" s="51">
        <v>71.040000000000006</v>
      </c>
      <c r="N26" s="51">
        <v>77.8</v>
      </c>
      <c r="O26" s="51">
        <v>0</v>
      </c>
      <c r="P26" s="51">
        <v>0.4</v>
      </c>
      <c r="Q26" s="51">
        <v>9.17</v>
      </c>
      <c r="R26" s="43"/>
      <c r="S26" s="43"/>
      <c r="T26" s="43"/>
      <c r="U26" s="43"/>
    </row>
    <row r="27" spans="1:21" s="11" customFormat="1" x14ac:dyDescent="0.25">
      <c r="A27" s="50" t="s">
        <v>414</v>
      </c>
      <c r="B27" s="51">
        <v>7.9</v>
      </c>
      <c r="C27" s="51">
        <v>24.01</v>
      </c>
      <c r="D27" s="51">
        <v>33.83</v>
      </c>
      <c r="E27" s="51">
        <v>4.62</v>
      </c>
      <c r="F27" s="51">
        <v>17.309999999999999</v>
      </c>
      <c r="G27" s="51">
        <v>22.15</v>
      </c>
      <c r="H27" s="51">
        <v>2619.64</v>
      </c>
      <c r="I27" s="51">
        <v>4.12</v>
      </c>
      <c r="J27" s="51">
        <v>0.89</v>
      </c>
      <c r="K27" s="51">
        <v>328.2</v>
      </c>
      <c r="L27" s="51">
        <v>28.96</v>
      </c>
      <c r="M27" s="51">
        <v>101.71</v>
      </c>
      <c r="N27" s="51">
        <v>48.5</v>
      </c>
      <c r="O27" s="51">
        <v>0.8</v>
      </c>
      <c r="P27" s="51">
        <v>0.64</v>
      </c>
      <c r="Q27" s="51">
        <v>9.1999999999999993</v>
      </c>
      <c r="R27" s="43"/>
      <c r="S27" s="43"/>
      <c r="T27" s="43"/>
      <c r="U27" s="43"/>
    </row>
    <row r="28" spans="1:21" s="11" customFormat="1" x14ac:dyDescent="0.25">
      <c r="A28" s="50" t="s">
        <v>415</v>
      </c>
      <c r="B28" s="51">
        <v>10.220000000000001</v>
      </c>
      <c r="C28" s="51">
        <v>25.5</v>
      </c>
      <c r="D28" s="51">
        <v>33.11</v>
      </c>
      <c r="E28" s="51">
        <v>4.68</v>
      </c>
      <c r="F28" s="51">
        <v>10.98</v>
      </c>
      <c r="G28" s="51">
        <v>22.32</v>
      </c>
      <c r="H28" s="51">
        <v>2850.75</v>
      </c>
      <c r="I28" s="51">
        <v>4.24</v>
      </c>
      <c r="J28" s="51">
        <v>0.99</v>
      </c>
      <c r="K28" s="51">
        <v>296.27999999999997</v>
      </c>
      <c r="L28" s="51">
        <v>27</v>
      </c>
      <c r="M28" s="51">
        <v>95.9</v>
      </c>
      <c r="N28" s="51">
        <v>44.3</v>
      </c>
      <c r="O28" s="51">
        <v>0.2</v>
      </c>
      <c r="P28" s="51">
        <v>0.64</v>
      </c>
      <c r="Q28" s="51">
        <v>9.25</v>
      </c>
      <c r="R28" s="43"/>
      <c r="S28" s="43"/>
      <c r="T28" s="43"/>
      <c r="U28" s="43"/>
    </row>
    <row r="29" spans="1:21" s="11" customFormat="1" x14ac:dyDescent="0.25">
      <c r="A29" s="50" t="s">
        <v>416</v>
      </c>
      <c r="B29" s="51">
        <v>9.61</v>
      </c>
      <c r="C29" s="51">
        <v>24.88</v>
      </c>
      <c r="D29" s="51">
        <v>32.86</v>
      </c>
      <c r="E29" s="51">
        <v>4.45</v>
      </c>
      <c r="F29" s="51">
        <v>9.0299999999999994</v>
      </c>
      <c r="G29" s="51">
        <v>22.58</v>
      </c>
      <c r="H29" s="51">
        <v>3665.25</v>
      </c>
      <c r="I29" s="51">
        <v>4.1399999999999997</v>
      </c>
      <c r="J29" s="51">
        <v>1.24</v>
      </c>
      <c r="K29" s="51">
        <v>307.02999999999997</v>
      </c>
      <c r="L29" s="51">
        <v>26.44</v>
      </c>
      <c r="M29" s="51">
        <v>98.12</v>
      </c>
      <c r="N29" s="51">
        <v>42.6</v>
      </c>
      <c r="O29" s="51">
        <v>0</v>
      </c>
      <c r="P29" s="51">
        <v>0.53</v>
      </c>
      <c r="Q29" s="51">
        <v>9.24</v>
      </c>
      <c r="R29" s="43"/>
      <c r="S29" s="43"/>
      <c r="T29" s="43"/>
      <c r="U29" s="43"/>
    </row>
    <row r="30" spans="1:21" s="11" customFormat="1" x14ac:dyDescent="0.25">
      <c r="A30" s="50" t="s">
        <v>417</v>
      </c>
      <c r="B30" s="51">
        <v>8.8000000000000007</v>
      </c>
      <c r="C30" s="51">
        <v>21.34</v>
      </c>
      <c r="D30" s="51">
        <v>29.51</v>
      </c>
      <c r="E30" s="51">
        <v>4.51</v>
      </c>
      <c r="F30" s="51">
        <v>10.45</v>
      </c>
      <c r="G30" s="51">
        <v>23.12</v>
      </c>
      <c r="H30" s="51">
        <v>58.66</v>
      </c>
      <c r="I30" s="51">
        <v>4.09</v>
      </c>
      <c r="J30" s="51">
        <v>0.15</v>
      </c>
      <c r="K30" s="51">
        <v>321.73</v>
      </c>
      <c r="L30" s="51">
        <v>26.45</v>
      </c>
      <c r="M30" s="51">
        <v>95.85</v>
      </c>
      <c r="N30" s="51">
        <v>43.8</v>
      </c>
      <c r="O30" s="51">
        <v>0</v>
      </c>
      <c r="P30" s="51">
        <v>0.45</v>
      </c>
      <c r="Q30" s="51">
        <v>9.25</v>
      </c>
      <c r="R30" s="43"/>
      <c r="S30" s="43"/>
      <c r="T30" s="43"/>
      <c r="U30" s="43"/>
    </row>
    <row r="31" spans="1:21" s="11" customFormat="1" x14ac:dyDescent="0.25">
      <c r="A31" s="50" t="s">
        <v>418</v>
      </c>
      <c r="B31" s="51">
        <v>7.38</v>
      </c>
      <c r="C31" s="51">
        <v>20.71</v>
      </c>
      <c r="D31" s="51">
        <v>28.32</v>
      </c>
      <c r="E31" s="51">
        <v>4.28</v>
      </c>
      <c r="F31" s="51">
        <v>5.45</v>
      </c>
      <c r="G31" s="51">
        <v>23.61</v>
      </c>
      <c r="H31" s="51">
        <v>54.63</v>
      </c>
      <c r="I31" s="51">
        <v>4.1500000000000004</v>
      </c>
      <c r="J31" s="51">
        <v>0.53</v>
      </c>
      <c r="K31" s="51">
        <v>318.12</v>
      </c>
      <c r="L31" s="51">
        <v>25.43</v>
      </c>
      <c r="M31" s="51">
        <v>101.73</v>
      </c>
      <c r="N31" s="51">
        <v>43.6</v>
      </c>
      <c r="O31" s="51">
        <v>0</v>
      </c>
      <c r="P31" s="51">
        <v>0.52</v>
      </c>
      <c r="Q31" s="51">
        <v>9.25</v>
      </c>
      <c r="R31" s="43"/>
      <c r="S31" s="43"/>
      <c r="T31" s="43"/>
      <c r="U31" s="43"/>
    </row>
    <row r="32" spans="1:21" s="11" customFormat="1" x14ac:dyDescent="0.25">
      <c r="A32" s="50" t="s">
        <v>419</v>
      </c>
      <c r="B32" s="51">
        <v>11.66</v>
      </c>
      <c r="C32" s="51">
        <v>30.1</v>
      </c>
      <c r="D32" s="51">
        <v>39.71</v>
      </c>
      <c r="E32" s="51">
        <v>4.28</v>
      </c>
      <c r="F32" s="51">
        <v>6.3</v>
      </c>
      <c r="G32" s="51">
        <v>22.96</v>
      </c>
      <c r="H32" s="51">
        <v>61.6</v>
      </c>
      <c r="I32" s="51">
        <v>4.17</v>
      </c>
      <c r="J32" s="51">
        <v>0.6</v>
      </c>
      <c r="K32" s="51">
        <v>319.43</v>
      </c>
      <c r="L32" s="51">
        <v>25.01</v>
      </c>
      <c r="M32" s="51">
        <v>101.77</v>
      </c>
      <c r="N32" s="51">
        <v>43.6</v>
      </c>
      <c r="O32" s="51">
        <v>0</v>
      </c>
      <c r="P32" s="51">
        <v>0.56999999999999995</v>
      </c>
      <c r="Q32" s="51">
        <v>9.3000000000000007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3.75</v>
      </c>
      <c r="C34" s="28">
        <f t="shared" si="0"/>
        <v>13.41</v>
      </c>
      <c r="D34" s="28">
        <f t="shared" si="0"/>
        <v>17.329999999999998</v>
      </c>
      <c r="E34" s="28">
        <f t="shared" si="0"/>
        <v>4.28</v>
      </c>
      <c r="F34" s="28">
        <f t="shared" si="0"/>
        <v>5.45</v>
      </c>
      <c r="G34" s="28">
        <f t="shared" si="0"/>
        <v>10.63</v>
      </c>
      <c r="H34" s="28">
        <f t="shared" si="0"/>
        <v>0</v>
      </c>
      <c r="I34" s="28">
        <f t="shared" si="0"/>
        <v>3.98</v>
      </c>
      <c r="J34" s="28">
        <f t="shared" si="0"/>
        <v>0.1</v>
      </c>
      <c r="K34" s="28">
        <f t="shared" si="0"/>
        <v>160.49</v>
      </c>
      <c r="L34" s="28">
        <f t="shared" si="0"/>
        <v>25.01</v>
      </c>
      <c r="M34" s="28">
        <f t="shared" si="0"/>
        <v>51.22</v>
      </c>
      <c r="N34" s="28">
        <f t="shared" si="0"/>
        <v>38.700000000000003</v>
      </c>
      <c r="O34" s="28">
        <f t="shared" si="0"/>
        <v>0</v>
      </c>
      <c r="P34" s="28">
        <f t="shared" si="0"/>
        <v>0.16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11.66</v>
      </c>
      <c r="C35" s="29">
        <f t="shared" si="1"/>
        <v>30.1</v>
      </c>
      <c r="D35" s="29">
        <f t="shared" si="1"/>
        <v>39.71</v>
      </c>
      <c r="E35" s="29">
        <f t="shared" si="1"/>
        <v>5.87</v>
      </c>
      <c r="F35" s="29">
        <f t="shared" si="1"/>
        <v>21.95</v>
      </c>
      <c r="G35" s="29">
        <f t="shared" si="1"/>
        <v>25.83</v>
      </c>
      <c r="H35" s="29">
        <f t="shared" si="1"/>
        <v>3665.25</v>
      </c>
      <c r="I35" s="29">
        <f t="shared" si="1"/>
        <v>4.24</v>
      </c>
      <c r="J35" s="29">
        <f t="shared" si="1"/>
        <v>1.39</v>
      </c>
      <c r="K35" s="29">
        <f t="shared" si="1"/>
        <v>336.93</v>
      </c>
      <c r="L35" s="29">
        <f t="shared" si="1"/>
        <v>35.78</v>
      </c>
      <c r="M35" s="29">
        <f t="shared" si="1"/>
        <v>101.77</v>
      </c>
      <c r="N35" s="29">
        <f t="shared" si="1"/>
        <v>931.8</v>
      </c>
      <c r="O35" s="29">
        <f t="shared" si="1"/>
        <v>0.8</v>
      </c>
      <c r="P35" s="29">
        <f t="shared" si="1"/>
        <v>0.64</v>
      </c>
      <c r="Q35" s="29">
        <f t="shared" si="1"/>
        <v>9.31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7.1533333333333351</v>
      </c>
      <c r="C36" s="28">
        <f t="shared" si="2"/>
        <v>19.091666666666665</v>
      </c>
      <c r="D36" s="28">
        <f t="shared" si="2"/>
        <v>26.053750000000004</v>
      </c>
      <c r="E36" s="28">
        <f t="shared" si="2"/>
        <v>5.1504166666666675</v>
      </c>
      <c r="F36" s="28">
        <f t="shared" si="2"/>
        <v>12.559166666666664</v>
      </c>
      <c r="G36" s="28">
        <f t="shared" si="2"/>
        <v>19.79708333333333</v>
      </c>
      <c r="H36" s="28">
        <f t="shared" si="2"/>
        <v>672.50166666666667</v>
      </c>
      <c r="I36" s="28">
        <f t="shared" si="2"/>
        <v>4.1137500000000005</v>
      </c>
      <c r="J36" s="28">
        <f t="shared" si="2"/>
        <v>0.4991666666666667</v>
      </c>
      <c r="K36" s="28">
        <f t="shared" si="2"/>
        <v>276.21791666666661</v>
      </c>
      <c r="L36" s="28">
        <f t="shared" si="2"/>
        <v>29.879166666666674</v>
      </c>
      <c r="M36" s="28">
        <f t="shared" si="2"/>
        <v>80.63666666666667</v>
      </c>
      <c r="N36" s="28">
        <f t="shared" si="2"/>
        <v>291.95</v>
      </c>
      <c r="O36" s="28">
        <f t="shared" si="2"/>
        <v>4.1666666666666664E-2</v>
      </c>
      <c r="P36" s="28">
        <f t="shared" si="2"/>
        <v>0.38666666666666666</v>
      </c>
      <c r="Q36" s="28">
        <f t="shared" si="2"/>
        <v>9.2170833333333331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2.3808176649258908</v>
      </c>
      <c r="C37" s="28">
        <f t="shared" ref="C37:Q37" si="3">STDEV(C9:C32)</f>
        <v>4.3025732105199719</v>
      </c>
      <c r="D37" s="28">
        <f t="shared" si="3"/>
        <v>5.3828397326091979</v>
      </c>
      <c r="E37" s="28">
        <f t="shared" si="3"/>
        <v>0.51175299040494693</v>
      </c>
      <c r="F37" s="28">
        <f t="shared" si="3"/>
        <v>3.9807121021972574</v>
      </c>
      <c r="G37" s="28">
        <f t="shared" si="3"/>
        <v>4.1445180966697714</v>
      </c>
      <c r="H37" s="28">
        <f t="shared" si="3"/>
        <v>1078.7468345368102</v>
      </c>
      <c r="I37" s="28">
        <f t="shared" si="3"/>
        <v>6.3984542970395922E-2</v>
      </c>
      <c r="J37" s="28">
        <f t="shared" si="3"/>
        <v>0.34585642493188801</v>
      </c>
      <c r="K37" s="28">
        <f t="shared" si="3"/>
        <v>53.505156596608408</v>
      </c>
      <c r="L37" s="28">
        <f t="shared" si="3"/>
        <v>3.8700251843542315</v>
      </c>
      <c r="M37" s="28">
        <f t="shared" si="3"/>
        <v>18.15676845090308</v>
      </c>
      <c r="N37" s="28">
        <f t="shared" si="3"/>
        <v>333.06262891926002</v>
      </c>
      <c r="O37" s="28">
        <f t="shared" si="3"/>
        <v>0.16659418713870483</v>
      </c>
      <c r="P37" s="28">
        <f t="shared" si="3"/>
        <v>0.13914854954536796</v>
      </c>
      <c r="Q37" s="28">
        <f t="shared" si="3"/>
        <v>6.4233214127127819E-2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420</v>
      </c>
      <c r="B9" s="51">
        <v>6.93</v>
      </c>
      <c r="C9" s="51">
        <v>17.52</v>
      </c>
      <c r="D9" s="51">
        <v>22.89</v>
      </c>
      <c r="E9" s="51">
        <v>4.26</v>
      </c>
      <c r="F9" s="51">
        <v>7.91</v>
      </c>
      <c r="G9" s="51">
        <v>21.75</v>
      </c>
      <c r="H9" s="51">
        <v>65.45</v>
      </c>
      <c r="I9" s="51">
        <v>4.04</v>
      </c>
      <c r="J9" s="51">
        <v>0.34</v>
      </c>
      <c r="K9" s="51">
        <v>169.84</v>
      </c>
      <c r="L9" s="51">
        <v>24.76</v>
      </c>
      <c r="M9" s="51">
        <v>101.75</v>
      </c>
      <c r="N9" s="51">
        <v>43.4</v>
      </c>
      <c r="O9" s="51">
        <v>0</v>
      </c>
      <c r="P9" s="51">
        <v>0.5</v>
      </c>
      <c r="Q9" s="51">
        <v>9.2899999999999991</v>
      </c>
      <c r="R9" s="43"/>
      <c r="S9" s="43"/>
      <c r="T9" s="43"/>
      <c r="U9" s="43"/>
    </row>
    <row r="10" spans="1:21" s="11" customFormat="1" x14ac:dyDescent="0.25">
      <c r="A10" s="50" t="s">
        <v>421</v>
      </c>
      <c r="B10" s="51">
        <v>6.86</v>
      </c>
      <c r="C10" s="51">
        <v>15.13</v>
      </c>
      <c r="D10" s="51">
        <v>18.47</v>
      </c>
      <c r="E10" s="51">
        <v>4.32</v>
      </c>
      <c r="F10" s="51">
        <v>13.4</v>
      </c>
      <c r="G10" s="51">
        <v>18.54</v>
      </c>
      <c r="H10" s="51">
        <v>52.44</v>
      </c>
      <c r="I10" s="51">
        <v>4.17</v>
      </c>
      <c r="J10" s="51">
        <v>0.1</v>
      </c>
      <c r="K10" s="51">
        <v>307.91000000000003</v>
      </c>
      <c r="L10" s="51">
        <v>24.85</v>
      </c>
      <c r="M10" s="51">
        <v>101.48</v>
      </c>
      <c r="N10" s="51">
        <v>43.5</v>
      </c>
      <c r="O10" s="51">
        <v>0</v>
      </c>
      <c r="P10" s="51">
        <v>0.42</v>
      </c>
      <c r="Q10" s="51">
        <v>9.26</v>
      </c>
      <c r="R10" s="43"/>
      <c r="S10" s="43"/>
      <c r="T10" s="43"/>
      <c r="U10" s="43"/>
    </row>
    <row r="11" spans="1:21" s="11" customFormat="1" x14ac:dyDescent="0.25">
      <c r="A11" s="50" t="s">
        <v>422</v>
      </c>
      <c r="B11" s="51">
        <v>5.26</v>
      </c>
      <c r="C11" s="51">
        <v>12</v>
      </c>
      <c r="D11" s="51">
        <v>15.63</v>
      </c>
      <c r="E11" s="51">
        <v>4.3899999999999997</v>
      </c>
      <c r="F11" s="51">
        <v>13.56</v>
      </c>
      <c r="G11" s="51">
        <v>16.23</v>
      </c>
      <c r="H11" s="51">
        <v>98.69</v>
      </c>
      <c r="I11" s="51">
        <v>4.13</v>
      </c>
      <c r="J11" s="51">
        <v>0.48</v>
      </c>
      <c r="K11" s="51">
        <v>157.87</v>
      </c>
      <c r="L11" s="51">
        <v>24.97</v>
      </c>
      <c r="M11" s="51">
        <v>101.48</v>
      </c>
      <c r="N11" s="51">
        <v>43.8</v>
      </c>
      <c r="O11" s="51">
        <v>0</v>
      </c>
      <c r="P11" s="51">
        <v>0.25</v>
      </c>
      <c r="Q11" s="51">
        <v>9.27</v>
      </c>
      <c r="R11" s="43"/>
      <c r="S11" s="43"/>
      <c r="T11" s="43"/>
      <c r="U11" s="43"/>
    </row>
    <row r="12" spans="1:21" s="11" customFormat="1" x14ac:dyDescent="0.25">
      <c r="A12" s="50" t="s">
        <v>423</v>
      </c>
      <c r="B12" s="51">
        <v>7.96</v>
      </c>
      <c r="C12" s="51">
        <v>15.42</v>
      </c>
      <c r="D12" s="51">
        <v>17.29</v>
      </c>
      <c r="E12" s="51">
        <v>4.4400000000000004</v>
      </c>
      <c r="F12" s="51">
        <v>12.71</v>
      </c>
      <c r="G12" s="51">
        <v>12.44</v>
      </c>
      <c r="H12" s="51">
        <v>115.87</v>
      </c>
      <c r="I12" s="51">
        <v>4.08</v>
      </c>
      <c r="J12" s="51">
        <v>0.48</v>
      </c>
      <c r="K12" s="51">
        <v>147.91</v>
      </c>
      <c r="L12" s="51">
        <v>24.66</v>
      </c>
      <c r="M12" s="51">
        <v>101.51</v>
      </c>
      <c r="N12" s="51">
        <v>43.8</v>
      </c>
      <c r="O12" s="51">
        <v>0</v>
      </c>
      <c r="P12" s="51">
        <v>0.33</v>
      </c>
      <c r="Q12" s="51">
        <v>9.2799999999999994</v>
      </c>
      <c r="R12" s="43"/>
      <c r="S12" s="43"/>
      <c r="T12" s="43"/>
      <c r="U12" s="43"/>
    </row>
    <row r="13" spans="1:21" s="11" customFormat="1" x14ac:dyDescent="0.25">
      <c r="A13" s="50" t="s">
        <v>424</v>
      </c>
      <c r="B13" s="51">
        <v>8.3800000000000008</v>
      </c>
      <c r="C13" s="51">
        <v>16.170000000000002</v>
      </c>
      <c r="D13" s="51">
        <v>18.3</v>
      </c>
      <c r="E13" s="51">
        <v>4.1500000000000004</v>
      </c>
      <c r="F13" s="51">
        <v>5.15</v>
      </c>
      <c r="G13" s="51">
        <v>9.92</v>
      </c>
      <c r="H13" s="51">
        <v>147.56</v>
      </c>
      <c r="I13" s="51">
        <v>4.13</v>
      </c>
      <c r="J13" s="51">
        <v>0.54</v>
      </c>
      <c r="K13" s="51">
        <v>183.73</v>
      </c>
      <c r="L13" s="51">
        <v>24.58</v>
      </c>
      <c r="M13" s="51">
        <v>101.61</v>
      </c>
      <c r="N13" s="51">
        <v>44.1</v>
      </c>
      <c r="O13" s="51">
        <v>0</v>
      </c>
      <c r="P13" s="51">
        <v>0.31</v>
      </c>
      <c r="Q13" s="51">
        <v>9.27</v>
      </c>
      <c r="R13" s="43"/>
      <c r="S13" s="43"/>
      <c r="T13" s="43"/>
      <c r="U13" s="43"/>
    </row>
    <row r="14" spans="1:21" s="11" customFormat="1" x14ac:dyDescent="0.25">
      <c r="A14" s="50" t="s">
        <v>425</v>
      </c>
      <c r="B14" s="51">
        <v>7.79</v>
      </c>
      <c r="C14" s="51">
        <v>15.82</v>
      </c>
      <c r="D14" s="51">
        <v>18.329999999999998</v>
      </c>
      <c r="E14" s="51">
        <v>4.05</v>
      </c>
      <c r="F14" s="51">
        <v>6.29</v>
      </c>
      <c r="G14" s="51">
        <v>7.88</v>
      </c>
      <c r="H14" s="51">
        <v>206.49</v>
      </c>
      <c r="I14" s="51">
        <v>4.1500000000000004</v>
      </c>
      <c r="J14" s="51">
        <v>0.24</v>
      </c>
      <c r="K14" s="51">
        <v>157.29</v>
      </c>
      <c r="L14" s="51">
        <v>24.63</v>
      </c>
      <c r="M14" s="51">
        <v>101.57</v>
      </c>
      <c r="N14" s="51">
        <v>84.9</v>
      </c>
      <c r="O14" s="51">
        <v>0</v>
      </c>
      <c r="P14" s="51">
        <v>0.28000000000000003</v>
      </c>
      <c r="Q14" s="51">
        <v>9.24</v>
      </c>
      <c r="R14" s="43"/>
      <c r="S14" s="43"/>
      <c r="T14" s="43"/>
      <c r="U14" s="43"/>
    </row>
    <row r="15" spans="1:21" s="11" customFormat="1" x14ac:dyDescent="0.25">
      <c r="A15" s="50" t="s">
        <v>426</v>
      </c>
      <c r="B15" s="51">
        <v>8.11</v>
      </c>
      <c r="C15" s="51">
        <v>20.59</v>
      </c>
      <c r="D15" s="51">
        <v>26.96</v>
      </c>
      <c r="E15" s="51">
        <v>4.45</v>
      </c>
      <c r="F15" s="51">
        <v>11.92</v>
      </c>
      <c r="G15" s="51">
        <v>9.89</v>
      </c>
      <c r="H15" s="51">
        <v>45.38</v>
      </c>
      <c r="I15" s="51">
        <v>4.05</v>
      </c>
      <c r="J15" s="51">
        <v>0.35</v>
      </c>
      <c r="K15" s="51">
        <v>167.79</v>
      </c>
      <c r="L15" s="51">
        <v>26.87</v>
      </c>
      <c r="M15" s="51">
        <v>98.62</v>
      </c>
      <c r="N15" s="51">
        <v>242.4</v>
      </c>
      <c r="O15" s="51">
        <v>0</v>
      </c>
      <c r="P15" s="51">
        <v>0.23</v>
      </c>
      <c r="Q15" s="51">
        <v>9.26</v>
      </c>
      <c r="R15" s="43"/>
      <c r="S15" s="43"/>
      <c r="T15" s="43"/>
      <c r="U15" s="43"/>
    </row>
    <row r="16" spans="1:21" s="11" customFormat="1" x14ac:dyDescent="0.25">
      <c r="A16" s="50" t="s">
        <v>427</v>
      </c>
      <c r="B16" s="51">
        <v>9.8000000000000007</v>
      </c>
      <c r="C16" s="51">
        <v>20.83</v>
      </c>
      <c r="D16" s="51">
        <v>24.84</v>
      </c>
      <c r="E16" s="51">
        <v>4.6100000000000003</v>
      </c>
      <c r="F16" s="51">
        <v>12.22</v>
      </c>
      <c r="G16" s="51">
        <v>12.05</v>
      </c>
      <c r="H16" s="51">
        <v>37.130000000000003</v>
      </c>
      <c r="I16" s="51">
        <v>3.98</v>
      </c>
      <c r="J16" s="51">
        <v>0.63</v>
      </c>
      <c r="K16" s="51">
        <v>144.68</v>
      </c>
      <c r="L16" s="51">
        <v>28.15</v>
      </c>
      <c r="M16" s="51">
        <v>88.9</v>
      </c>
      <c r="N16" s="51">
        <v>485.2</v>
      </c>
      <c r="O16" s="51">
        <v>0</v>
      </c>
      <c r="P16" s="51">
        <v>0.28000000000000003</v>
      </c>
      <c r="Q16" s="51">
        <v>9.31</v>
      </c>
      <c r="R16" s="43"/>
      <c r="S16" s="43"/>
      <c r="T16" s="43"/>
      <c r="U16" s="43"/>
    </row>
    <row r="17" spans="1:21" s="11" customFormat="1" x14ac:dyDescent="0.25">
      <c r="A17" s="50" t="s">
        <v>428</v>
      </c>
      <c r="B17" s="51">
        <v>9.09</v>
      </c>
      <c r="C17" s="51">
        <v>17.79</v>
      </c>
      <c r="D17" s="51">
        <v>20.100000000000001</v>
      </c>
      <c r="E17" s="51">
        <v>4.5999999999999996</v>
      </c>
      <c r="F17" s="51">
        <v>6.84</v>
      </c>
      <c r="G17" s="51">
        <v>13.38</v>
      </c>
      <c r="H17" s="51">
        <v>35.700000000000003</v>
      </c>
      <c r="I17" s="51">
        <v>4.1500000000000004</v>
      </c>
      <c r="J17" s="51">
        <v>0.82</v>
      </c>
      <c r="K17" s="51">
        <v>155.58000000000001</v>
      </c>
      <c r="L17" s="51">
        <v>29.87</v>
      </c>
      <c r="M17" s="51">
        <v>83.55</v>
      </c>
      <c r="N17" s="51">
        <v>740.7</v>
      </c>
      <c r="O17" s="51">
        <v>0</v>
      </c>
      <c r="P17" s="51">
        <v>0.25</v>
      </c>
      <c r="Q17" s="51">
        <v>9.3000000000000007</v>
      </c>
      <c r="R17" s="43"/>
      <c r="S17" s="43"/>
      <c r="T17" s="43"/>
      <c r="U17" s="43"/>
    </row>
    <row r="18" spans="1:21" s="11" customFormat="1" x14ac:dyDescent="0.25">
      <c r="A18" s="50" t="s">
        <v>429</v>
      </c>
      <c r="B18" s="51">
        <v>8.07</v>
      </c>
      <c r="C18" s="51">
        <v>18.54</v>
      </c>
      <c r="D18" s="51">
        <v>23.09</v>
      </c>
      <c r="E18" s="51">
        <v>4.33</v>
      </c>
      <c r="F18" s="51">
        <v>7.92</v>
      </c>
      <c r="G18" s="51">
        <v>14.97</v>
      </c>
      <c r="H18" s="51">
        <v>35.86</v>
      </c>
      <c r="I18" s="51">
        <v>4.16</v>
      </c>
      <c r="J18" s="51">
        <v>0.67</v>
      </c>
      <c r="K18" s="51">
        <v>228.5</v>
      </c>
      <c r="L18" s="51">
        <v>30.19</v>
      </c>
      <c r="M18" s="51">
        <v>79.23</v>
      </c>
      <c r="N18" s="51">
        <v>594.1</v>
      </c>
      <c r="O18" s="51">
        <v>0</v>
      </c>
      <c r="P18" s="51">
        <v>0.24</v>
      </c>
      <c r="Q18" s="51">
        <v>9.24</v>
      </c>
      <c r="R18" s="43"/>
      <c r="S18" s="43"/>
      <c r="T18" s="43"/>
      <c r="U18" s="43"/>
    </row>
    <row r="19" spans="1:21" s="11" customFormat="1" x14ac:dyDescent="0.25">
      <c r="A19" s="50" t="s">
        <v>430</v>
      </c>
      <c r="B19" s="51">
        <v>6.96</v>
      </c>
      <c r="C19" s="51">
        <v>22.24</v>
      </c>
      <c r="D19" s="51">
        <v>33.53</v>
      </c>
      <c r="E19" s="51">
        <v>4.29</v>
      </c>
      <c r="F19" s="51">
        <v>12.22</v>
      </c>
      <c r="G19" s="51">
        <v>40.33</v>
      </c>
      <c r="H19" s="51">
        <v>35.869999999999997</v>
      </c>
      <c r="I19" s="51">
        <v>3.98</v>
      </c>
      <c r="J19" s="51">
        <v>0.32</v>
      </c>
      <c r="K19" s="51">
        <v>280.06</v>
      </c>
      <c r="L19" s="51">
        <v>30.91</v>
      </c>
      <c r="M19" s="51">
        <v>74.489999999999995</v>
      </c>
      <c r="N19" s="51">
        <v>521.5</v>
      </c>
      <c r="O19" s="51">
        <v>0</v>
      </c>
      <c r="P19" s="51">
        <v>0.28000000000000003</v>
      </c>
      <c r="Q19" s="51">
        <v>9.15</v>
      </c>
      <c r="R19" s="43"/>
      <c r="S19" s="43"/>
      <c r="T19" s="43"/>
      <c r="U19" s="43"/>
    </row>
    <row r="20" spans="1:21" s="11" customFormat="1" x14ac:dyDescent="0.25">
      <c r="A20" s="50" t="s">
        <v>431</v>
      </c>
      <c r="B20" s="51">
        <v>4.71</v>
      </c>
      <c r="C20" s="51">
        <v>19.04</v>
      </c>
      <c r="D20" s="51">
        <v>29.22</v>
      </c>
      <c r="E20" s="51">
        <v>4.4400000000000004</v>
      </c>
      <c r="F20" s="51">
        <v>15.53</v>
      </c>
      <c r="G20" s="51">
        <v>40.33</v>
      </c>
      <c r="H20" s="51">
        <v>35.869999999999997</v>
      </c>
      <c r="I20" s="51">
        <v>4.1500000000000004</v>
      </c>
      <c r="J20" s="51">
        <v>0.34</v>
      </c>
      <c r="K20" s="51">
        <v>296.04000000000002</v>
      </c>
      <c r="L20" s="51">
        <v>33.03</v>
      </c>
      <c r="M20" s="51">
        <v>69.94</v>
      </c>
      <c r="N20" s="51">
        <v>927.6</v>
      </c>
      <c r="O20" s="51">
        <v>0</v>
      </c>
      <c r="P20" s="51">
        <v>0.26</v>
      </c>
      <c r="Q20" s="51">
        <v>9.15</v>
      </c>
      <c r="R20" s="43"/>
      <c r="S20" s="43"/>
      <c r="T20" s="43"/>
      <c r="U20" s="43"/>
    </row>
    <row r="21" spans="1:21" s="11" customFormat="1" x14ac:dyDescent="0.25">
      <c r="A21" s="50" t="s">
        <v>432</v>
      </c>
      <c r="B21" s="51">
        <v>8.75</v>
      </c>
      <c r="C21" s="51">
        <v>25.74</v>
      </c>
      <c r="D21" s="51">
        <v>35.840000000000003</v>
      </c>
      <c r="E21" s="51">
        <v>4.32</v>
      </c>
      <c r="F21" s="51">
        <v>13.11</v>
      </c>
      <c r="G21" s="51">
        <v>40.33</v>
      </c>
      <c r="H21" s="51">
        <v>35.869999999999997</v>
      </c>
      <c r="I21" s="51">
        <v>4.1500000000000004</v>
      </c>
      <c r="J21" s="51">
        <v>0.86</v>
      </c>
      <c r="K21" s="51">
        <v>324.32</v>
      </c>
      <c r="L21" s="51">
        <v>34.92</v>
      </c>
      <c r="M21" s="51">
        <v>61.91</v>
      </c>
      <c r="N21" s="51">
        <v>966.7</v>
      </c>
      <c r="O21" s="51">
        <v>0</v>
      </c>
      <c r="P21" s="51">
        <v>0.3</v>
      </c>
      <c r="Q21" s="51">
        <v>9.15</v>
      </c>
      <c r="R21" s="43"/>
      <c r="S21" s="43"/>
      <c r="T21" s="43"/>
      <c r="U21" s="43"/>
    </row>
    <row r="22" spans="1:21" s="11" customFormat="1" x14ac:dyDescent="0.25">
      <c r="A22" s="50" t="s">
        <v>433</v>
      </c>
      <c r="B22" s="51">
        <v>5.13</v>
      </c>
      <c r="C22" s="51">
        <v>24.69</v>
      </c>
      <c r="D22" s="51">
        <v>39.380000000000003</v>
      </c>
      <c r="E22" s="51">
        <v>4.84</v>
      </c>
      <c r="F22" s="51">
        <v>18.309999999999999</v>
      </c>
      <c r="G22" s="51">
        <v>49.2</v>
      </c>
      <c r="H22" s="51">
        <v>34.01</v>
      </c>
      <c r="I22" s="51">
        <v>4.12</v>
      </c>
      <c r="J22" s="51">
        <v>0.25</v>
      </c>
      <c r="K22" s="51">
        <v>292.87</v>
      </c>
      <c r="L22" s="51">
        <v>31.75</v>
      </c>
      <c r="M22" s="51">
        <v>71.11</v>
      </c>
      <c r="N22" s="51">
        <v>312.8</v>
      </c>
      <c r="O22" s="51">
        <v>0</v>
      </c>
      <c r="P22" s="51">
        <v>0.24</v>
      </c>
      <c r="Q22" s="51">
        <v>9.23</v>
      </c>
      <c r="R22" s="43"/>
      <c r="S22" s="43"/>
      <c r="T22" s="43"/>
      <c r="U22" s="43"/>
    </row>
    <row r="23" spans="1:21" s="11" customFormat="1" x14ac:dyDescent="0.25">
      <c r="A23" s="50" t="s">
        <v>434</v>
      </c>
      <c r="B23" s="51">
        <v>11.17</v>
      </c>
      <c r="C23" s="51">
        <v>25.78</v>
      </c>
      <c r="D23" s="51">
        <v>32.21</v>
      </c>
      <c r="E23" s="51">
        <v>4.1399999999999997</v>
      </c>
      <c r="F23" s="51">
        <v>15.92</v>
      </c>
      <c r="G23" s="51">
        <v>51.06</v>
      </c>
      <c r="H23" s="51">
        <v>34.01</v>
      </c>
      <c r="I23" s="51">
        <v>4.22</v>
      </c>
      <c r="J23" s="51">
        <v>0.36</v>
      </c>
      <c r="K23" s="51">
        <v>329.72</v>
      </c>
      <c r="L23" s="51">
        <v>31.37</v>
      </c>
      <c r="M23" s="51">
        <v>71.22</v>
      </c>
      <c r="N23" s="51">
        <v>280.5</v>
      </c>
      <c r="O23" s="51">
        <v>0</v>
      </c>
      <c r="P23" s="51">
        <v>0.39</v>
      </c>
      <c r="Q23" s="51">
        <v>9.18</v>
      </c>
      <c r="R23" s="43"/>
      <c r="S23" s="43"/>
      <c r="T23" s="43"/>
      <c r="U23" s="43"/>
    </row>
    <row r="24" spans="1:21" s="11" customFormat="1" x14ac:dyDescent="0.25">
      <c r="A24" s="50" t="s">
        <v>435</v>
      </c>
      <c r="B24" s="51">
        <v>6.29</v>
      </c>
      <c r="C24" s="51">
        <v>20.29</v>
      </c>
      <c r="D24" s="51">
        <v>29.18</v>
      </c>
      <c r="E24" s="51">
        <v>4.8600000000000003</v>
      </c>
      <c r="F24" s="51">
        <v>12.41</v>
      </c>
      <c r="G24" s="51">
        <v>79.599999999999994</v>
      </c>
      <c r="H24" s="51">
        <v>56.84</v>
      </c>
      <c r="I24" s="51">
        <v>3.99</v>
      </c>
      <c r="J24" s="51">
        <v>1.42</v>
      </c>
      <c r="K24" s="51">
        <v>159.34</v>
      </c>
      <c r="L24" s="51">
        <v>30.33</v>
      </c>
      <c r="M24" s="51">
        <v>74.23</v>
      </c>
      <c r="N24" s="51">
        <v>363.8</v>
      </c>
      <c r="O24" s="51">
        <v>0</v>
      </c>
      <c r="P24" s="51">
        <v>0.25</v>
      </c>
      <c r="Q24" s="51">
        <v>9.24</v>
      </c>
      <c r="R24" s="43"/>
      <c r="S24" s="43"/>
      <c r="T24" s="43"/>
      <c r="U24" s="43"/>
    </row>
    <row r="25" spans="1:21" s="11" customFormat="1" x14ac:dyDescent="0.25">
      <c r="A25" s="50" t="s">
        <v>436</v>
      </c>
      <c r="B25" s="51">
        <v>6.17</v>
      </c>
      <c r="C25" s="51">
        <v>17.600000000000001</v>
      </c>
      <c r="D25" s="51">
        <v>24.54</v>
      </c>
      <c r="E25" s="51">
        <v>5.9</v>
      </c>
      <c r="F25" s="51">
        <v>12.77</v>
      </c>
      <c r="G25" s="51">
        <v>65.02</v>
      </c>
      <c r="H25" s="51">
        <v>56.84</v>
      </c>
      <c r="I25" s="51">
        <v>4.01</v>
      </c>
      <c r="J25" s="51">
        <v>1.1000000000000001</v>
      </c>
      <c r="K25" s="51">
        <v>154.41</v>
      </c>
      <c r="L25" s="51">
        <v>29.21</v>
      </c>
      <c r="M25" s="51">
        <v>76.680000000000007</v>
      </c>
      <c r="N25" s="51">
        <v>125.7</v>
      </c>
      <c r="O25" s="51">
        <v>0</v>
      </c>
      <c r="P25" s="51">
        <v>0.21</v>
      </c>
      <c r="Q25" s="51">
        <v>9.26</v>
      </c>
      <c r="R25" s="43"/>
      <c r="S25" s="43"/>
      <c r="T25" s="43"/>
      <c r="U25" s="43"/>
    </row>
    <row r="26" spans="1:21" s="11" customFormat="1" x14ac:dyDescent="0.25">
      <c r="A26" s="50" t="s">
        <v>437</v>
      </c>
      <c r="B26" s="51">
        <v>7.17</v>
      </c>
      <c r="C26" s="51">
        <v>19.7</v>
      </c>
      <c r="D26" s="51">
        <v>26.7</v>
      </c>
      <c r="E26" s="51">
        <v>5.65</v>
      </c>
      <c r="F26" s="51">
        <v>8.1199999999999992</v>
      </c>
      <c r="G26" s="51">
        <v>56.23</v>
      </c>
      <c r="H26" s="51">
        <v>56.84</v>
      </c>
      <c r="I26" s="51">
        <v>4.03</v>
      </c>
      <c r="J26" s="51">
        <v>1.0900000000000001</v>
      </c>
      <c r="K26" s="51">
        <v>151.49</v>
      </c>
      <c r="L26" s="51">
        <v>28.46</v>
      </c>
      <c r="M26" s="51">
        <v>77.48</v>
      </c>
      <c r="N26" s="51">
        <v>66.599999999999994</v>
      </c>
      <c r="O26" s="51">
        <v>0</v>
      </c>
      <c r="P26" s="51">
        <v>0.22</v>
      </c>
      <c r="Q26" s="51">
        <v>9.26</v>
      </c>
      <c r="R26" s="43"/>
      <c r="S26" s="43"/>
      <c r="T26" s="43"/>
      <c r="U26" s="43"/>
    </row>
    <row r="27" spans="1:21" s="11" customFormat="1" x14ac:dyDescent="0.25">
      <c r="A27" s="50" t="s">
        <v>438</v>
      </c>
      <c r="B27" s="51">
        <v>8.01</v>
      </c>
      <c r="C27" s="51">
        <v>20.399999999999999</v>
      </c>
      <c r="D27" s="51">
        <v>26.76</v>
      </c>
      <c r="E27" s="51">
        <v>5.64</v>
      </c>
      <c r="F27" s="51">
        <v>9.5399999999999991</v>
      </c>
      <c r="G27" s="51">
        <v>54.31</v>
      </c>
      <c r="H27" s="51">
        <v>56.84</v>
      </c>
      <c r="I27" s="51">
        <v>4.07</v>
      </c>
      <c r="J27" s="51">
        <v>1.06</v>
      </c>
      <c r="K27" s="51">
        <v>151.86000000000001</v>
      </c>
      <c r="L27" s="51">
        <v>28.33</v>
      </c>
      <c r="M27" s="51">
        <v>80.33</v>
      </c>
      <c r="N27" s="51">
        <v>62</v>
      </c>
      <c r="O27" s="51">
        <v>0</v>
      </c>
      <c r="P27" s="51">
        <v>0.24</v>
      </c>
      <c r="Q27" s="51">
        <v>9.26</v>
      </c>
      <c r="R27" s="43"/>
      <c r="S27" s="43"/>
      <c r="T27" s="43"/>
      <c r="U27" s="43"/>
    </row>
    <row r="28" spans="1:21" s="11" customFormat="1" x14ac:dyDescent="0.25">
      <c r="A28" s="50" t="s">
        <v>439</v>
      </c>
      <c r="B28" s="51">
        <v>8.0399999999999991</v>
      </c>
      <c r="C28" s="51">
        <v>21.58</v>
      </c>
      <c r="D28" s="51">
        <v>29.67</v>
      </c>
      <c r="E28" s="51">
        <v>5.43</v>
      </c>
      <c r="F28" s="51">
        <v>11.68</v>
      </c>
      <c r="G28" s="51">
        <v>55.83</v>
      </c>
      <c r="H28" s="51">
        <v>56.84</v>
      </c>
      <c r="I28" s="51">
        <v>4.04</v>
      </c>
      <c r="J28" s="51">
        <v>0.76</v>
      </c>
      <c r="K28" s="51">
        <v>173.5</v>
      </c>
      <c r="L28" s="51">
        <v>27.72</v>
      </c>
      <c r="M28" s="51">
        <v>89.11</v>
      </c>
      <c r="N28" s="51">
        <v>51.4</v>
      </c>
      <c r="O28" s="51">
        <v>0</v>
      </c>
      <c r="P28" s="51">
        <v>0.25</v>
      </c>
      <c r="Q28" s="51">
        <v>9.2799999999999994</v>
      </c>
      <c r="R28" s="43"/>
      <c r="S28" s="43"/>
      <c r="T28" s="43"/>
      <c r="U28" s="43"/>
    </row>
    <row r="29" spans="1:21" s="11" customFormat="1" x14ac:dyDescent="0.25">
      <c r="A29" s="50" t="s">
        <v>440</v>
      </c>
      <c r="B29" s="51">
        <v>15.05</v>
      </c>
      <c r="C29" s="51">
        <v>31.54</v>
      </c>
      <c r="D29" s="51">
        <v>37.270000000000003</v>
      </c>
      <c r="E29" s="51">
        <v>5.66</v>
      </c>
      <c r="F29" s="51">
        <v>9.4700000000000006</v>
      </c>
      <c r="G29" s="51">
        <v>84.3</v>
      </c>
      <c r="H29" s="51">
        <v>66.430000000000007</v>
      </c>
      <c r="I29" s="51">
        <v>4.01</v>
      </c>
      <c r="J29" s="51">
        <v>1.01</v>
      </c>
      <c r="K29" s="51">
        <v>167.28</v>
      </c>
      <c r="L29" s="51">
        <v>26.96</v>
      </c>
      <c r="M29" s="51">
        <v>91.52</v>
      </c>
      <c r="N29" s="51">
        <v>53.1</v>
      </c>
      <c r="O29" s="51">
        <v>0</v>
      </c>
      <c r="P29" s="51">
        <v>0.28999999999999998</v>
      </c>
      <c r="Q29" s="51">
        <v>9.35</v>
      </c>
      <c r="R29" s="43"/>
      <c r="S29" s="43"/>
      <c r="T29" s="43"/>
      <c r="U29" s="43"/>
    </row>
    <row r="30" spans="1:21" s="11" customFormat="1" x14ac:dyDescent="0.25">
      <c r="A30" s="50" t="s">
        <v>441</v>
      </c>
      <c r="B30" s="51">
        <v>18.57</v>
      </c>
      <c r="C30" s="51">
        <v>36.99</v>
      </c>
      <c r="D30" s="51">
        <v>42.29</v>
      </c>
      <c r="E30" s="51">
        <v>5.7</v>
      </c>
      <c r="F30" s="51">
        <v>8.36</v>
      </c>
      <c r="G30" s="51">
        <v>84.3</v>
      </c>
      <c r="H30" s="51">
        <v>66.430000000000007</v>
      </c>
      <c r="I30" s="51">
        <v>4.21</v>
      </c>
      <c r="J30" s="51">
        <v>0.41</v>
      </c>
      <c r="K30" s="51">
        <v>169.27</v>
      </c>
      <c r="L30" s="51">
        <v>26.87</v>
      </c>
      <c r="M30" s="51">
        <v>96.74</v>
      </c>
      <c r="N30" s="51">
        <v>54</v>
      </c>
      <c r="O30" s="51">
        <v>0</v>
      </c>
      <c r="P30" s="51">
        <v>0.31</v>
      </c>
      <c r="Q30" s="51">
        <v>9.42</v>
      </c>
      <c r="R30" s="43"/>
      <c r="S30" s="43"/>
      <c r="T30" s="43"/>
      <c r="U30" s="43"/>
    </row>
    <row r="31" spans="1:21" s="11" customFormat="1" x14ac:dyDescent="0.25">
      <c r="A31" s="50" t="s">
        <v>442</v>
      </c>
      <c r="B31" s="51">
        <v>13.09</v>
      </c>
      <c r="C31" s="51">
        <v>25.38</v>
      </c>
      <c r="D31" s="51">
        <v>28.49</v>
      </c>
      <c r="E31" s="51">
        <v>5.6</v>
      </c>
      <c r="F31" s="51">
        <v>6.24</v>
      </c>
      <c r="G31" s="51">
        <v>59.16</v>
      </c>
      <c r="H31" s="51">
        <v>66.430000000000007</v>
      </c>
      <c r="I31" s="51">
        <v>4.0599999999999996</v>
      </c>
      <c r="J31" s="51">
        <v>0.97</v>
      </c>
      <c r="K31" s="51">
        <v>151.47999999999999</v>
      </c>
      <c r="L31" s="51">
        <v>26.78</v>
      </c>
      <c r="M31" s="51">
        <v>95.07</v>
      </c>
      <c r="N31" s="51">
        <v>54.2</v>
      </c>
      <c r="O31" s="51">
        <v>0</v>
      </c>
      <c r="P31" s="51">
        <v>0.25</v>
      </c>
      <c r="Q31" s="51">
        <v>9.44</v>
      </c>
      <c r="R31" s="43"/>
      <c r="S31" s="43"/>
      <c r="T31" s="43"/>
      <c r="U31" s="43"/>
    </row>
    <row r="32" spans="1:21" s="11" customFormat="1" x14ac:dyDescent="0.25">
      <c r="A32" s="50" t="s">
        <v>443</v>
      </c>
      <c r="B32" s="51">
        <v>9.18</v>
      </c>
      <c r="C32" s="51">
        <v>18.46</v>
      </c>
      <c r="D32" s="51">
        <v>21.24</v>
      </c>
      <c r="E32" s="51">
        <v>5.5</v>
      </c>
      <c r="F32" s="51">
        <v>7.63</v>
      </c>
      <c r="G32" s="51">
        <v>49.51</v>
      </c>
      <c r="H32" s="51">
        <v>8.6199999999999992</v>
      </c>
      <c r="I32" s="51">
        <v>4</v>
      </c>
      <c r="J32" s="51">
        <v>0.77</v>
      </c>
      <c r="K32" s="51">
        <v>147.27000000000001</v>
      </c>
      <c r="L32" s="51">
        <v>26.68</v>
      </c>
      <c r="M32" s="51">
        <v>94.05</v>
      </c>
      <c r="N32" s="51">
        <v>54.7</v>
      </c>
      <c r="O32" s="51">
        <v>0</v>
      </c>
      <c r="P32" s="51">
        <v>0.23</v>
      </c>
      <c r="Q32" s="51">
        <v>9.43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4.71</v>
      </c>
      <c r="C34" s="28">
        <f t="shared" si="0"/>
        <v>12</v>
      </c>
      <c r="D34" s="28">
        <f t="shared" si="0"/>
        <v>15.63</v>
      </c>
      <c r="E34" s="28">
        <f t="shared" si="0"/>
        <v>4.05</v>
      </c>
      <c r="F34" s="28">
        <f t="shared" si="0"/>
        <v>5.15</v>
      </c>
      <c r="G34" s="28">
        <f t="shared" si="0"/>
        <v>7.88</v>
      </c>
      <c r="H34" s="28">
        <f t="shared" si="0"/>
        <v>8.6199999999999992</v>
      </c>
      <c r="I34" s="28">
        <f t="shared" si="0"/>
        <v>3.98</v>
      </c>
      <c r="J34" s="28">
        <f t="shared" si="0"/>
        <v>0.1</v>
      </c>
      <c r="K34" s="28">
        <f t="shared" si="0"/>
        <v>144.68</v>
      </c>
      <c r="L34" s="28">
        <f t="shared" si="0"/>
        <v>24.58</v>
      </c>
      <c r="M34" s="28">
        <f t="shared" si="0"/>
        <v>61.91</v>
      </c>
      <c r="N34" s="28">
        <f t="shared" si="0"/>
        <v>43.4</v>
      </c>
      <c r="O34" s="28">
        <f t="shared" si="0"/>
        <v>0</v>
      </c>
      <c r="P34" s="28">
        <f t="shared" si="0"/>
        <v>0.21</v>
      </c>
      <c r="Q34" s="28">
        <f t="shared" si="0"/>
        <v>9.15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18.57</v>
      </c>
      <c r="C35" s="29">
        <f t="shared" si="1"/>
        <v>36.99</v>
      </c>
      <c r="D35" s="29">
        <f t="shared" si="1"/>
        <v>42.29</v>
      </c>
      <c r="E35" s="29">
        <f t="shared" si="1"/>
        <v>5.9</v>
      </c>
      <c r="F35" s="29">
        <f t="shared" si="1"/>
        <v>18.309999999999999</v>
      </c>
      <c r="G35" s="29">
        <f t="shared" si="1"/>
        <v>84.3</v>
      </c>
      <c r="H35" s="29">
        <f t="shared" si="1"/>
        <v>206.49</v>
      </c>
      <c r="I35" s="29">
        <f t="shared" si="1"/>
        <v>4.22</v>
      </c>
      <c r="J35" s="29">
        <f t="shared" si="1"/>
        <v>1.42</v>
      </c>
      <c r="K35" s="29">
        <f t="shared" si="1"/>
        <v>329.72</v>
      </c>
      <c r="L35" s="29">
        <f t="shared" si="1"/>
        <v>34.92</v>
      </c>
      <c r="M35" s="29">
        <f t="shared" si="1"/>
        <v>101.75</v>
      </c>
      <c r="N35" s="29">
        <f t="shared" si="1"/>
        <v>966.7</v>
      </c>
      <c r="O35" s="29">
        <f t="shared" si="1"/>
        <v>0</v>
      </c>
      <c r="P35" s="29">
        <f t="shared" si="1"/>
        <v>0.5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8.605833333333333</v>
      </c>
      <c r="C36" s="28">
        <f t="shared" si="2"/>
        <v>20.801666666666669</v>
      </c>
      <c r="D36" s="28">
        <f t="shared" si="2"/>
        <v>26.759166666666662</v>
      </c>
      <c r="E36" s="28">
        <f t="shared" si="2"/>
        <v>4.8154166666666667</v>
      </c>
      <c r="F36" s="28">
        <f t="shared" si="2"/>
        <v>10.801250000000001</v>
      </c>
      <c r="G36" s="28">
        <f t="shared" si="2"/>
        <v>39.44</v>
      </c>
      <c r="H36" s="28">
        <f t="shared" si="2"/>
        <v>62.846249999999991</v>
      </c>
      <c r="I36" s="28">
        <f t="shared" si="2"/>
        <v>4.0866666666666669</v>
      </c>
      <c r="J36" s="28">
        <f t="shared" si="2"/>
        <v>0.64041666666666663</v>
      </c>
      <c r="K36" s="28">
        <f t="shared" si="2"/>
        <v>198.75041666666664</v>
      </c>
      <c r="L36" s="28">
        <f t="shared" si="2"/>
        <v>28.202083333333334</v>
      </c>
      <c r="M36" s="28">
        <f t="shared" si="2"/>
        <v>86.81583333333333</v>
      </c>
      <c r="N36" s="28">
        <f t="shared" si="2"/>
        <v>260.85416666666669</v>
      </c>
      <c r="O36" s="28">
        <f t="shared" si="2"/>
        <v>0</v>
      </c>
      <c r="P36" s="28">
        <f t="shared" si="2"/>
        <v>0.28375</v>
      </c>
      <c r="Q36" s="28">
        <f t="shared" si="2"/>
        <v>9.2716666666666665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3.1775296894814735</v>
      </c>
      <c r="C37" s="28">
        <f t="shared" ref="C37:Q37" si="3">STDEV(C9:C32)</f>
        <v>5.4995775858867706</v>
      </c>
      <c r="D37" s="28">
        <f t="shared" si="3"/>
        <v>7.3102215018286127</v>
      </c>
      <c r="E37" s="28">
        <f t="shared" si="3"/>
        <v>0.62533454814318679</v>
      </c>
      <c r="F37" s="28">
        <f t="shared" si="3"/>
        <v>3.4440210478829631</v>
      </c>
      <c r="G37" s="28">
        <f t="shared" si="3"/>
        <v>25.171437574465575</v>
      </c>
      <c r="H37" s="28">
        <f t="shared" si="3"/>
        <v>42.456363461436105</v>
      </c>
      <c r="I37" s="28">
        <f t="shared" si="3"/>
        <v>7.4464270198746255E-2</v>
      </c>
      <c r="J37" s="28">
        <f t="shared" si="3"/>
        <v>0.34392212423197194</v>
      </c>
      <c r="K37" s="28">
        <f t="shared" si="3"/>
        <v>65.531971784052288</v>
      </c>
      <c r="L37" s="28">
        <f t="shared" si="3"/>
        <v>2.8921046633996443</v>
      </c>
      <c r="M37" s="28">
        <f t="shared" si="3"/>
        <v>12.685322883816106</v>
      </c>
      <c r="N37" s="28">
        <f t="shared" si="3"/>
        <v>294.41400010893665</v>
      </c>
      <c r="O37" s="28">
        <f t="shared" si="3"/>
        <v>0</v>
      </c>
      <c r="P37" s="28">
        <f t="shared" si="3"/>
        <v>6.844944183086199E-2</v>
      </c>
      <c r="Q37" s="28">
        <f t="shared" si="3"/>
        <v>7.8721670772890343E-2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5" sqref="F1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444</v>
      </c>
      <c r="B9" s="51">
        <v>6.86</v>
      </c>
      <c r="C9" s="51">
        <v>17.23</v>
      </c>
      <c r="D9" s="51">
        <v>22.46</v>
      </c>
      <c r="E9" s="51">
        <v>4.7699999999999996</v>
      </c>
      <c r="F9" s="51">
        <v>9.44</v>
      </c>
      <c r="G9" s="51">
        <v>42.02</v>
      </c>
      <c r="H9" s="51">
        <v>13.48</v>
      </c>
      <c r="I9" s="51">
        <v>4.12</v>
      </c>
      <c r="J9" s="51">
        <v>0.44</v>
      </c>
      <c r="K9" s="51">
        <v>210.36</v>
      </c>
      <c r="L9" s="51">
        <v>26.45</v>
      </c>
      <c r="M9" s="51">
        <v>94.9</v>
      </c>
      <c r="N9" s="51">
        <v>54.8</v>
      </c>
      <c r="O9" s="51">
        <v>0</v>
      </c>
      <c r="P9" s="51">
        <v>0.21</v>
      </c>
      <c r="Q9" s="51">
        <v>9.41</v>
      </c>
      <c r="R9" s="43"/>
      <c r="S9" s="43"/>
      <c r="T9" s="43"/>
      <c r="U9" s="43"/>
    </row>
    <row r="10" spans="1:21" s="11" customFormat="1" x14ac:dyDescent="0.25">
      <c r="A10" s="50" t="s">
        <v>445</v>
      </c>
      <c r="B10" s="51">
        <v>8.08</v>
      </c>
      <c r="C10" s="51">
        <v>16.52</v>
      </c>
      <c r="D10" s="51">
        <v>20.76</v>
      </c>
      <c r="E10" s="51">
        <v>4.82</v>
      </c>
      <c r="F10" s="51">
        <v>9.6300000000000008</v>
      </c>
      <c r="G10" s="51">
        <v>36.78</v>
      </c>
      <c r="H10" s="51">
        <v>7.96</v>
      </c>
      <c r="I10" s="51">
        <v>4.1900000000000004</v>
      </c>
      <c r="J10" s="51">
        <v>0.17</v>
      </c>
      <c r="K10" s="51">
        <v>221.08</v>
      </c>
      <c r="L10" s="51">
        <v>26.11</v>
      </c>
      <c r="M10" s="51">
        <v>94.3</v>
      </c>
      <c r="N10" s="51">
        <v>54.6</v>
      </c>
      <c r="O10" s="51">
        <v>0</v>
      </c>
      <c r="P10" s="51">
        <v>0.26</v>
      </c>
      <c r="Q10" s="51">
        <v>9.41</v>
      </c>
      <c r="R10" s="43"/>
      <c r="S10" s="43"/>
      <c r="T10" s="43"/>
      <c r="U10" s="43"/>
    </row>
    <row r="11" spans="1:21" s="11" customFormat="1" x14ac:dyDescent="0.25">
      <c r="A11" s="50" t="s">
        <v>446</v>
      </c>
      <c r="B11" s="51">
        <v>9.75</v>
      </c>
      <c r="C11" s="51">
        <v>17.11</v>
      </c>
      <c r="D11" s="51">
        <v>17.8</v>
      </c>
      <c r="E11" s="51">
        <v>5.18</v>
      </c>
      <c r="F11" s="51">
        <v>7.16</v>
      </c>
      <c r="G11" s="51">
        <v>31.45</v>
      </c>
      <c r="H11" s="51">
        <v>24.33</v>
      </c>
      <c r="I11" s="51">
        <v>4.07</v>
      </c>
      <c r="J11" s="51">
        <v>0.16</v>
      </c>
      <c r="K11" s="51">
        <v>350.83</v>
      </c>
      <c r="L11" s="51">
        <v>25.74</v>
      </c>
      <c r="M11" s="51">
        <v>94.54</v>
      </c>
      <c r="N11" s="51">
        <v>54.6</v>
      </c>
      <c r="O11" s="51">
        <v>0</v>
      </c>
      <c r="P11" s="51">
        <v>0.26</v>
      </c>
      <c r="Q11" s="51">
        <v>9.3800000000000008</v>
      </c>
      <c r="R11" s="43"/>
      <c r="S11" s="43"/>
      <c r="T11" s="43"/>
      <c r="U11" s="43"/>
    </row>
    <row r="12" spans="1:21" s="11" customFormat="1" x14ac:dyDescent="0.25">
      <c r="A12" s="50" t="s">
        <v>447</v>
      </c>
      <c r="B12" s="51">
        <v>8.98</v>
      </c>
      <c r="C12" s="51">
        <v>16.61</v>
      </c>
      <c r="D12" s="51">
        <v>18.920000000000002</v>
      </c>
      <c r="E12" s="51">
        <v>4.6399999999999997</v>
      </c>
      <c r="F12" s="51">
        <v>4.6100000000000003</v>
      </c>
      <c r="G12" s="51">
        <v>29.18</v>
      </c>
      <c r="H12" s="51">
        <v>25.94</v>
      </c>
      <c r="I12" s="51">
        <v>4.13</v>
      </c>
      <c r="J12" s="51">
        <v>0.21</v>
      </c>
      <c r="K12" s="51">
        <v>302.24</v>
      </c>
      <c r="L12" s="51">
        <v>25.76</v>
      </c>
      <c r="M12" s="51">
        <v>91.47</v>
      </c>
      <c r="N12" s="51">
        <v>54.3</v>
      </c>
      <c r="O12" s="51">
        <v>0</v>
      </c>
      <c r="P12" s="51">
        <v>0.25</v>
      </c>
      <c r="Q12" s="51">
        <v>9.2899999999999991</v>
      </c>
      <c r="R12" s="43"/>
      <c r="S12" s="43"/>
      <c r="T12" s="43"/>
      <c r="U12" s="43"/>
    </row>
    <row r="13" spans="1:21" s="11" customFormat="1" x14ac:dyDescent="0.25">
      <c r="A13" s="50" t="s">
        <v>448</v>
      </c>
      <c r="B13" s="51">
        <v>6</v>
      </c>
      <c r="C13" s="51">
        <v>15.13</v>
      </c>
      <c r="D13" s="51">
        <v>20.48</v>
      </c>
      <c r="E13" s="51">
        <v>4.67</v>
      </c>
      <c r="F13" s="51">
        <v>5.1100000000000003</v>
      </c>
      <c r="G13" s="51">
        <v>22.45</v>
      </c>
      <c r="H13" s="51">
        <v>5.62</v>
      </c>
      <c r="I13" s="51">
        <v>4.2</v>
      </c>
      <c r="J13" s="51">
        <v>0.2</v>
      </c>
      <c r="K13" s="51">
        <v>306.12</v>
      </c>
      <c r="L13" s="51">
        <v>25.41</v>
      </c>
      <c r="M13" s="51">
        <v>94.31</v>
      </c>
      <c r="N13" s="51">
        <v>54.6</v>
      </c>
      <c r="O13" s="51">
        <v>0</v>
      </c>
      <c r="P13" s="51">
        <v>0.23</v>
      </c>
      <c r="Q13" s="51">
        <v>9.17</v>
      </c>
      <c r="R13" s="43"/>
      <c r="S13" s="43"/>
      <c r="T13" s="43"/>
      <c r="U13" s="43"/>
    </row>
    <row r="14" spans="1:21" s="11" customFormat="1" x14ac:dyDescent="0.25">
      <c r="A14" s="50" t="s">
        <v>449</v>
      </c>
      <c r="B14" s="51">
        <v>5.55</v>
      </c>
      <c r="C14" s="51">
        <v>13.76</v>
      </c>
      <c r="D14" s="51">
        <v>18.14</v>
      </c>
      <c r="E14" s="51">
        <v>4.6500000000000004</v>
      </c>
      <c r="F14" s="51">
        <v>5.35</v>
      </c>
      <c r="G14" s="51">
        <v>23.13</v>
      </c>
      <c r="H14" s="51">
        <v>1.38</v>
      </c>
      <c r="I14" s="51">
        <v>4.04</v>
      </c>
      <c r="J14" s="51">
        <v>0.17</v>
      </c>
      <c r="K14" s="51">
        <v>298.69</v>
      </c>
      <c r="L14" s="51">
        <v>25.12</v>
      </c>
      <c r="M14" s="51">
        <v>96.36</v>
      </c>
      <c r="N14" s="51">
        <v>76.8</v>
      </c>
      <c r="O14" s="51">
        <v>0</v>
      </c>
      <c r="P14" s="51">
        <v>0.21</v>
      </c>
      <c r="Q14" s="51">
        <v>9.15</v>
      </c>
      <c r="R14" s="43"/>
      <c r="S14" s="43"/>
      <c r="T14" s="43"/>
      <c r="U14" s="43"/>
    </row>
    <row r="15" spans="1:21" s="11" customFormat="1" x14ac:dyDescent="0.25">
      <c r="A15" s="50" t="s">
        <v>450</v>
      </c>
      <c r="B15" s="51">
        <v>6.52</v>
      </c>
      <c r="C15" s="51">
        <v>16.670000000000002</v>
      </c>
      <c r="D15" s="51">
        <v>21.89</v>
      </c>
      <c r="E15" s="51">
        <v>4.7300000000000004</v>
      </c>
      <c r="F15" s="51">
        <v>5.85</v>
      </c>
      <c r="G15" s="51">
        <v>23.03</v>
      </c>
      <c r="H15" s="51">
        <v>4.0199999999999996</v>
      </c>
      <c r="I15" s="51">
        <v>4.0599999999999996</v>
      </c>
      <c r="J15" s="51">
        <v>0.14000000000000001</v>
      </c>
      <c r="K15" s="51">
        <v>301.39999999999998</v>
      </c>
      <c r="L15" s="51">
        <v>25.39</v>
      </c>
      <c r="M15" s="51">
        <v>97.75</v>
      </c>
      <c r="N15" s="51">
        <v>139.5</v>
      </c>
      <c r="O15" s="51">
        <v>0</v>
      </c>
      <c r="P15" s="51">
        <v>0.23</v>
      </c>
      <c r="Q15" s="51">
        <v>9.15</v>
      </c>
      <c r="R15" s="43"/>
      <c r="S15" s="43"/>
      <c r="T15" s="43"/>
      <c r="U15" s="43"/>
    </row>
    <row r="16" spans="1:21" s="11" customFormat="1" x14ac:dyDescent="0.25">
      <c r="A16" s="50" t="s">
        <v>451</v>
      </c>
      <c r="B16" s="51">
        <v>7.01</v>
      </c>
      <c r="C16" s="51">
        <v>16.98</v>
      </c>
      <c r="D16" s="51">
        <v>21.73</v>
      </c>
      <c r="E16" s="51">
        <v>4.62</v>
      </c>
      <c r="F16" s="51">
        <v>4.82</v>
      </c>
      <c r="G16" s="51">
        <v>32.1</v>
      </c>
      <c r="H16" s="51">
        <v>8.36</v>
      </c>
      <c r="I16" s="51">
        <v>4.08</v>
      </c>
      <c r="J16" s="51">
        <v>0.2</v>
      </c>
      <c r="K16" s="51">
        <v>297</v>
      </c>
      <c r="L16" s="51">
        <v>25.88</v>
      </c>
      <c r="M16" s="51">
        <v>95.28</v>
      </c>
      <c r="N16" s="51">
        <v>187.9</v>
      </c>
      <c r="O16" s="51">
        <v>0</v>
      </c>
      <c r="P16" s="51">
        <v>0.25</v>
      </c>
      <c r="Q16" s="51">
        <v>9.17</v>
      </c>
      <c r="R16" s="43"/>
      <c r="S16" s="43"/>
      <c r="T16" s="43"/>
      <c r="U16" s="43"/>
    </row>
    <row r="17" spans="1:21" s="11" customFormat="1" x14ac:dyDescent="0.25">
      <c r="A17" s="50" t="s">
        <v>452</v>
      </c>
      <c r="B17" s="51">
        <v>6.55</v>
      </c>
      <c r="C17" s="51">
        <v>16.39</v>
      </c>
      <c r="D17" s="51">
        <v>21.61</v>
      </c>
      <c r="E17" s="51">
        <v>4.07</v>
      </c>
      <c r="F17" s="51">
        <v>5.04</v>
      </c>
      <c r="G17" s="51">
        <v>36.340000000000003</v>
      </c>
      <c r="H17" s="51">
        <v>2.2799999999999998</v>
      </c>
      <c r="I17" s="51">
        <v>4.1500000000000004</v>
      </c>
      <c r="J17" s="51">
        <v>0.31</v>
      </c>
      <c r="K17" s="51">
        <v>299.05</v>
      </c>
      <c r="L17" s="51">
        <v>26.75</v>
      </c>
      <c r="M17" s="51">
        <v>91.79</v>
      </c>
      <c r="N17" s="51">
        <v>231.5</v>
      </c>
      <c r="O17" s="51">
        <v>0</v>
      </c>
      <c r="P17" s="51">
        <v>0.27</v>
      </c>
      <c r="Q17" s="51">
        <v>9.17</v>
      </c>
      <c r="R17" s="43"/>
      <c r="S17" s="43"/>
      <c r="T17" s="43"/>
      <c r="U17" s="43"/>
    </row>
    <row r="18" spans="1:21" s="11" customFormat="1" x14ac:dyDescent="0.25">
      <c r="A18" s="50" t="s">
        <v>453</v>
      </c>
      <c r="B18" s="51">
        <v>6.22</v>
      </c>
      <c r="C18" s="51">
        <v>17.190000000000001</v>
      </c>
      <c r="D18" s="51">
        <v>23.36</v>
      </c>
      <c r="E18" s="51">
        <v>4.18</v>
      </c>
      <c r="F18" s="51">
        <v>6.6</v>
      </c>
      <c r="G18" s="51">
        <v>43.27</v>
      </c>
      <c r="H18" s="51">
        <v>0</v>
      </c>
      <c r="I18" s="51">
        <v>4.05</v>
      </c>
      <c r="J18" s="51">
        <v>0.3</v>
      </c>
      <c r="K18" s="51">
        <v>296.97000000000003</v>
      </c>
      <c r="L18" s="51">
        <v>27.43</v>
      </c>
      <c r="M18" s="51">
        <v>87.73</v>
      </c>
      <c r="N18" s="51">
        <v>229.5</v>
      </c>
      <c r="O18" s="51">
        <v>0</v>
      </c>
      <c r="P18" s="51">
        <v>0.34</v>
      </c>
      <c r="Q18" s="51">
        <v>9.16</v>
      </c>
      <c r="R18" s="43"/>
      <c r="S18" s="43"/>
      <c r="T18" s="43"/>
      <c r="U18" s="43"/>
    </row>
    <row r="19" spans="1:21" s="11" customFormat="1" x14ac:dyDescent="0.25">
      <c r="A19" s="50" t="s">
        <v>454</v>
      </c>
      <c r="B19" s="51">
        <v>6.89</v>
      </c>
      <c r="C19" s="51">
        <v>20.29</v>
      </c>
      <c r="D19" s="51">
        <v>28.26</v>
      </c>
      <c r="E19" s="51">
        <v>4.09</v>
      </c>
      <c r="F19" s="51">
        <v>4.8099999999999996</v>
      </c>
      <c r="G19" s="51">
        <v>45.46</v>
      </c>
      <c r="H19" s="51">
        <v>0</v>
      </c>
      <c r="I19" s="51">
        <v>4.16</v>
      </c>
      <c r="J19" s="51">
        <v>0.44</v>
      </c>
      <c r="K19" s="51">
        <v>289.07</v>
      </c>
      <c r="L19" s="51">
        <v>29.28</v>
      </c>
      <c r="M19" s="51">
        <v>80.739999999999995</v>
      </c>
      <c r="N19" s="51">
        <v>433.3</v>
      </c>
      <c r="O19" s="51">
        <v>0</v>
      </c>
      <c r="P19" s="51">
        <v>0.45</v>
      </c>
      <c r="Q19" s="51">
        <v>9.19</v>
      </c>
      <c r="R19" s="43"/>
      <c r="S19" s="43"/>
      <c r="T19" s="43"/>
      <c r="U19" s="43"/>
    </row>
    <row r="20" spans="1:21" s="11" customFormat="1" x14ac:dyDescent="0.25">
      <c r="A20" s="50" t="s">
        <v>455</v>
      </c>
      <c r="B20" s="51">
        <v>7.22</v>
      </c>
      <c r="C20" s="51">
        <v>19.940000000000001</v>
      </c>
      <c r="D20" s="51">
        <v>27.87</v>
      </c>
      <c r="E20" s="51">
        <v>4.1399999999999997</v>
      </c>
      <c r="F20" s="51">
        <v>4.78</v>
      </c>
      <c r="G20" s="51">
        <v>51.28</v>
      </c>
      <c r="H20" s="51">
        <v>0</v>
      </c>
      <c r="I20" s="51">
        <v>4.03</v>
      </c>
      <c r="J20" s="51">
        <v>0.42</v>
      </c>
      <c r="K20" s="51">
        <v>291.43</v>
      </c>
      <c r="L20" s="51">
        <v>30.01</v>
      </c>
      <c r="M20" s="51">
        <v>72.77</v>
      </c>
      <c r="N20" s="51">
        <v>433.6</v>
      </c>
      <c r="O20" s="51">
        <v>0</v>
      </c>
      <c r="P20" s="51">
        <v>0.53</v>
      </c>
      <c r="Q20" s="51">
        <v>9.23</v>
      </c>
      <c r="R20" s="43"/>
      <c r="S20" s="43"/>
      <c r="T20" s="43"/>
      <c r="U20" s="43"/>
    </row>
    <row r="21" spans="1:21" s="11" customFormat="1" x14ac:dyDescent="0.25">
      <c r="A21" s="50" t="s">
        <v>456</v>
      </c>
      <c r="B21" s="51">
        <v>6.18</v>
      </c>
      <c r="C21" s="51">
        <v>19.28</v>
      </c>
      <c r="D21" s="51">
        <v>27.66</v>
      </c>
      <c r="E21" s="51">
        <v>3.74</v>
      </c>
      <c r="F21" s="51">
        <v>5.89</v>
      </c>
      <c r="G21" s="51">
        <v>56.89</v>
      </c>
      <c r="H21" s="51">
        <v>1234.8</v>
      </c>
      <c r="I21" s="51">
        <v>4.0999999999999996</v>
      </c>
      <c r="J21" s="51">
        <v>0.38</v>
      </c>
      <c r="K21" s="51">
        <v>287.45</v>
      </c>
      <c r="L21" s="51">
        <v>30.74</v>
      </c>
      <c r="M21" s="51">
        <v>72.55</v>
      </c>
      <c r="N21" s="51">
        <v>651.70000000000005</v>
      </c>
      <c r="O21" s="51">
        <v>0</v>
      </c>
      <c r="P21" s="51">
        <v>0.56000000000000005</v>
      </c>
      <c r="Q21" s="51">
        <v>9.2100000000000009</v>
      </c>
      <c r="R21" s="43"/>
      <c r="S21" s="43"/>
      <c r="T21" s="43"/>
      <c r="U21" s="43"/>
    </row>
    <row r="22" spans="1:21" s="11" customFormat="1" x14ac:dyDescent="0.25">
      <c r="A22" s="50" t="s">
        <v>457</v>
      </c>
      <c r="B22" s="51">
        <v>5.01</v>
      </c>
      <c r="C22" s="51">
        <v>17.78</v>
      </c>
      <c r="D22" s="51">
        <v>26.34</v>
      </c>
      <c r="E22" s="51">
        <v>3.56</v>
      </c>
      <c r="F22" s="51">
        <v>7.25</v>
      </c>
      <c r="G22" s="51">
        <v>58.87</v>
      </c>
      <c r="H22" s="51">
        <v>4630.49</v>
      </c>
      <c r="I22" s="51">
        <v>4.0999999999999996</v>
      </c>
      <c r="J22" s="51">
        <v>0.35</v>
      </c>
      <c r="K22" s="51">
        <v>283.87</v>
      </c>
      <c r="L22" s="51">
        <v>31.05</v>
      </c>
      <c r="M22" s="51">
        <v>70.92</v>
      </c>
      <c r="N22" s="51">
        <v>629.9</v>
      </c>
      <c r="O22" s="51">
        <v>0</v>
      </c>
      <c r="P22" s="51">
        <v>0.41</v>
      </c>
      <c r="Q22" s="51">
        <v>9.18</v>
      </c>
      <c r="R22" s="43"/>
      <c r="S22" s="43"/>
      <c r="T22" s="43"/>
      <c r="U22" s="43"/>
    </row>
    <row r="23" spans="1:21" s="11" customFormat="1" x14ac:dyDescent="0.25">
      <c r="A23" s="50" t="s">
        <v>458</v>
      </c>
      <c r="B23" s="51">
        <v>4.1100000000000003</v>
      </c>
      <c r="C23" s="51">
        <v>15.27</v>
      </c>
      <c r="D23" s="51">
        <v>23.14</v>
      </c>
      <c r="E23" s="51">
        <v>4.09</v>
      </c>
      <c r="F23" s="51">
        <v>6.99</v>
      </c>
      <c r="G23" s="51">
        <v>59.14</v>
      </c>
      <c r="H23" s="51">
        <v>521.78</v>
      </c>
      <c r="I23" s="51">
        <v>4.05</v>
      </c>
      <c r="J23" s="51">
        <v>0.43</v>
      </c>
      <c r="K23" s="51">
        <v>280.66000000000003</v>
      </c>
      <c r="L23" s="51">
        <v>30.45</v>
      </c>
      <c r="M23" s="51">
        <v>69.260000000000005</v>
      </c>
      <c r="N23" s="51">
        <v>395.3</v>
      </c>
      <c r="O23" s="51">
        <v>0</v>
      </c>
      <c r="P23" s="51">
        <v>0.36</v>
      </c>
      <c r="Q23" s="51">
        <v>9.16</v>
      </c>
      <c r="R23" s="43"/>
      <c r="S23" s="43"/>
      <c r="T23" s="43"/>
      <c r="U23" s="43"/>
    </row>
    <row r="24" spans="1:21" s="11" customFormat="1" x14ac:dyDescent="0.25">
      <c r="A24" s="50" t="s">
        <v>459</v>
      </c>
      <c r="B24" s="51">
        <v>4.09</v>
      </c>
      <c r="C24" s="51">
        <v>15.53</v>
      </c>
      <c r="D24" s="51">
        <v>23.5</v>
      </c>
      <c r="E24" s="51">
        <v>4.5199999999999996</v>
      </c>
      <c r="F24" s="51">
        <v>8.08</v>
      </c>
      <c r="G24" s="51">
        <v>57.38</v>
      </c>
      <c r="H24" s="51">
        <v>2236.1799999999998</v>
      </c>
      <c r="I24" s="51">
        <v>4.0999999999999996</v>
      </c>
      <c r="J24" s="51">
        <v>0.34</v>
      </c>
      <c r="K24" s="51">
        <v>288.33999999999997</v>
      </c>
      <c r="L24" s="51">
        <v>30.81</v>
      </c>
      <c r="M24" s="51">
        <v>68.03</v>
      </c>
      <c r="N24" s="51">
        <v>311.89999999999998</v>
      </c>
      <c r="O24" s="51">
        <v>0</v>
      </c>
      <c r="P24" s="51">
        <v>0.33</v>
      </c>
      <c r="Q24" s="51">
        <v>9.15</v>
      </c>
      <c r="R24" s="43"/>
      <c r="S24" s="43"/>
      <c r="T24" s="43"/>
      <c r="U24" s="43"/>
    </row>
    <row r="25" spans="1:21" s="11" customFormat="1" x14ac:dyDescent="0.25">
      <c r="A25" s="50" t="s">
        <v>460</v>
      </c>
      <c r="B25" s="51">
        <v>5.95</v>
      </c>
      <c r="C25" s="51">
        <v>18.420000000000002</v>
      </c>
      <c r="D25" s="51">
        <v>26.12</v>
      </c>
      <c r="E25" s="51">
        <v>4.9400000000000004</v>
      </c>
      <c r="F25" s="51">
        <v>8.7899999999999991</v>
      </c>
      <c r="G25" s="51">
        <v>58.88</v>
      </c>
      <c r="H25" s="51">
        <v>0</v>
      </c>
      <c r="I25" s="51">
        <v>4.08</v>
      </c>
      <c r="J25" s="51">
        <v>0.23</v>
      </c>
      <c r="K25" s="51">
        <v>315.42</v>
      </c>
      <c r="L25" s="51">
        <v>30.77</v>
      </c>
      <c r="M25" s="51">
        <v>68.209999999999994</v>
      </c>
      <c r="N25" s="51">
        <v>228.1</v>
      </c>
      <c r="O25" s="51">
        <v>0</v>
      </c>
      <c r="P25" s="51">
        <v>0.33</v>
      </c>
      <c r="Q25" s="51">
        <v>9.1300000000000008</v>
      </c>
      <c r="R25" s="43"/>
      <c r="S25" s="43"/>
      <c r="T25" s="43"/>
      <c r="U25" s="43"/>
    </row>
    <row r="26" spans="1:21" s="11" customFormat="1" x14ac:dyDescent="0.25">
      <c r="A26" s="50" t="s">
        <v>461</v>
      </c>
      <c r="B26" s="51">
        <v>5.25</v>
      </c>
      <c r="C26" s="51">
        <v>19.239999999999998</v>
      </c>
      <c r="D26" s="51">
        <v>28.89</v>
      </c>
      <c r="E26" s="51">
        <v>4.7</v>
      </c>
      <c r="F26" s="51">
        <v>10.48</v>
      </c>
      <c r="G26" s="51">
        <v>60.71</v>
      </c>
      <c r="H26" s="51">
        <v>671.63</v>
      </c>
      <c r="I26" s="51">
        <v>4.1399999999999997</v>
      </c>
      <c r="J26" s="51">
        <v>0.22</v>
      </c>
      <c r="K26" s="51">
        <v>358.37</v>
      </c>
      <c r="L26" s="51">
        <v>30.23</v>
      </c>
      <c r="M26" s="51">
        <v>70.19</v>
      </c>
      <c r="N26" s="51">
        <v>115.1</v>
      </c>
      <c r="O26" s="51">
        <v>0</v>
      </c>
      <c r="P26" s="51">
        <v>0.38</v>
      </c>
      <c r="Q26" s="51">
        <v>9.14</v>
      </c>
      <c r="R26" s="43"/>
      <c r="S26" s="43"/>
      <c r="T26" s="43"/>
      <c r="U26" s="43"/>
    </row>
    <row r="27" spans="1:21" s="11" customFormat="1" x14ac:dyDescent="0.25">
      <c r="A27" s="50" t="s">
        <v>462</v>
      </c>
      <c r="B27" s="51">
        <v>5.87</v>
      </c>
      <c r="C27" s="51">
        <v>21.16</v>
      </c>
      <c r="D27" s="51">
        <v>31.49</v>
      </c>
      <c r="E27" s="51">
        <v>5.55</v>
      </c>
      <c r="F27" s="51">
        <v>15.62</v>
      </c>
      <c r="G27" s="51">
        <v>62.8</v>
      </c>
      <c r="H27" s="51">
        <v>2518.61</v>
      </c>
      <c r="I27" s="51">
        <v>4.09</v>
      </c>
      <c r="J27" s="51">
        <v>0.11</v>
      </c>
      <c r="K27" s="51">
        <v>347.42</v>
      </c>
      <c r="L27" s="51">
        <v>29.42</v>
      </c>
      <c r="M27" s="51">
        <v>74.23</v>
      </c>
      <c r="N27" s="51">
        <v>62.8</v>
      </c>
      <c r="O27" s="51">
        <v>0</v>
      </c>
      <c r="P27" s="51">
        <v>0.47</v>
      </c>
      <c r="Q27" s="51">
        <v>9.17</v>
      </c>
      <c r="R27" s="43"/>
      <c r="S27" s="43"/>
      <c r="T27" s="43"/>
      <c r="U27" s="43"/>
    </row>
    <row r="28" spans="1:21" s="11" customFormat="1" x14ac:dyDescent="0.25">
      <c r="A28" s="50" t="s">
        <v>463</v>
      </c>
      <c r="B28" s="51">
        <v>9.18</v>
      </c>
      <c r="C28" s="51">
        <v>22.11</v>
      </c>
      <c r="D28" s="51">
        <v>28.25</v>
      </c>
      <c r="E28" s="51">
        <v>5.57</v>
      </c>
      <c r="F28" s="51">
        <v>12.16</v>
      </c>
      <c r="G28" s="51">
        <v>67.53</v>
      </c>
      <c r="H28" s="51">
        <v>1946.93</v>
      </c>
      <c r="I28" s="51">
        <v>3.99</v>
      </c>
      <c r="J28" s="51">
        <v>0.16</v>
      </c>
      <c r="K28" s="51">
        <v>352.41</v>
      </c>
      <c r="L28" s="51">
        <v>28.86</v>
      </c>
      <c r="M28" s="51">
        <v>75.510000000000005</v>
      </c>
      <c r="N28" s="51">
        <v>45.2</v>
      </c>
      <c r="O28" s="51">
        <v>0</v>
      </c>
      <c r="P28" s="51">
        <v>0.41</v>
      </c>
      <c r="Q28" s="51">
        <v>9.2100000000000009</v>
      </c>
      <c r="R28" s="43"/>
      <c r="S28" s="43"/>
      <c r="T28" s="43"/>
      <c r="U28" s="43"/>
    </row>
    <row r="29" spans="1:21" s="11" customFormat="1" x14ac:dyDescent="0.25">
      <c r="A29" s="50" t="s">
        <v>464</v>
      </c>
      <c r="B29" s="51">
        <v>6.79</v>
      </c>
      <c r="C29" s="51">
        <v>17.84</v>
      </c>
      <c r="D29" s="51">
        <v>24.18</v>
      </c>
      <c r="E29" s="51">
        <v>5.18</v>
      </c>
      <c r="F29" s="51">
        <v>5.65</v>
      </c>
      <c r="G29" s="51">
        <v>65.010000000000005</v>
      </c>
      <c r="H29" s="51">
        <v>7300.99</v>
      </c>
      <c r="I29" s="51">
        <v>4.0199999999999996</v>
      </c>
      <c r="J29" s="51">
        <v>0.2</v>
      </c>
      <c r="K29" s="51">
        <v>349.58</v>
      </c>
      <c r="L29" s="51">
        <v>28.3</v>
      </c>
      <c r="M29" s="51">
        <v>82.08</v>
      </c>
      <c r="N29" s="51">
        <v>46.1</v>
      </c>
      <c r="O29" s="51">
        <v>0</v>
      </c>
      <c r="P29" s="51">
        <v>0.37</v>
      </c>
      <c r="Q29" s="51">
        <v>9.2100000000000009</v>
      </c>
      <c r="R29" s="43"/>
      <c r="S29" s="43"/>
      <c r="T29" s="43"/>
      <c r="U29" s="43"/>
    </row>
    <row r="30" spans="1:21" s="11" customFormat="1" x14ac:dyDescent="0.25">
      <c r="A30" s="50" t="s">
        <v>465</v>
      </c>
      <c r="B30" s="51">
        <v>6.57</v>
      </c>
      <c r="C30" s="51">
        <v>17.98</v>
      </c>
      <c r="D30" s="51">
        <v>24.33</v>
      </c>
      <c r="E30" s="51">
        <v>5.01</v>
      </c>
      <c r="F30" s="51">
        <v>6</v>
      </c>
      <c r="G30" s="51">
        <v>63.27</v>
      </c>
      <c r="H30" s="51">
        <v>458.71</v>
      </c>
      <c r="I30" s="51">
        <v>4.12</v>
      </c>
      <c r="J30" s="51">
        <v>0.24</v>
      </c>
      <c r="K30" s="51">
        <v>338.43</v>
      </c>
      <c r="L30" s="51">
        <v>26.97</v>
      </c>
      <c r="M30" s="51">
        <v>82.87</v>
      </c>
      <c r="N30" s="51">
        <v>45.7</v>
      </c>
      <c r="O30" s="51">
        <v>0</v>
      </c>
      <c r="P30" s="51">
        <v>0.36</v>
      </c>
      <c r="Q30" s="51">
        <v>9.17</v>
      </c>
      <c r="R30" s="43"/>
      <c r="S30" s="43"/>
      <c r="T30" s="43"/>
      <c r="U30" s="43"/>
    </row>
    <row r="31" spans="1:21" s="11" customFormat="1" x14ac:dyDescent="0.25">
      <c r="A31" s="50" t="s">
        <v>466</v>
      </c>
      <c r="B31" s="51">
        <v>8.33</v>
      </c>
      <c r="C31" s="51">
        <v>18.760000000000002</v>
      </c>
      <c r="D31" s="51">
        <v>25.48</v>
      </c>
      <c r="E31" s="51">
        <v>4.9000000000000004</v>
      </c>
      <c r="F31" s="51">
        <v>7.08</v>
      </c>
      <c r="G31" s="51">
        <v>53.88</v>
      </c>
      <c r="H31" s="51">
        <v>1720.17</v>
      </c>
      <c r="I31" s="51">
        <v>4.07</v>
      </c>
      <c r="J31" s="51">
        <v>0.13</v>
      </c>
      <c r="K31" s="51">
        <v>344.82</v>
      </c>
      <c r="L31" s="51">
        <v>26.43</v>
      </c>
      <c r="M31" s="51">
        <v>82.69</v>
      </c>
      <c r="N31" s="51">
        <v>45.5</v>
      </c>
      <c r="O31" s="51">
        <v>0</v>
      </c>
      <c r="P31" s="51">
        <v>0.34</v>
      </c>
      <c r="Q31" s="51">
        <v>9.1999999999999993</v>
      </c>
      <c r="R31" s="43"/>
      <c r="S31" s="43"/>
      <c r="T31" s="43"/>
      <c r="U31" s="43"/>
    </row>
    <row r="32" spans="1:21" s="11" customFormat="1" x14ac:dyDescent="0.25">
      <c r="A32" s="50" t="s">
        <v>467</v>
      </c>
      <c r="B32" s="51">
        <v>7.39</v>
      </c>
      <c r="C32" s="51">
        <v>19.059999999999999</v>
      </c>
      <c r="D32" s="51">
        <v>25.21</v>
      </c>
      <c r="E32" s="51">
        <v>5.62</v>
      </c>
      <c r="F32" s="51">
        <v>7.18</v>
      </c>
      <c r="G32" s="51">
        <v>49.89</v>
      </c>
      <c r="H32" s="51">
        <v>117.51</v>
      </c>
      <c r="I32" s="51">
        <v>4.04</v>
      </c>
      <c r="J32" s="51">
        <v>0.14000000000000001</v>
      </c>
      <c r="K32" s="51">
        <v>322.7</v>
      </c>
      <c r="L32" s="51">
        <v>25.97</v>
      </c>
      <c r="M32" s="51">
        <v>84.72</v>
      </c>
      <c r="N32" s="51">
        <v>45.6</v>
      </c>
      <c r="O32" s="51">
        <v>0</v>
      </c>
      <c r="P32" s="51">
        <v>0.28000000000000003</v>
      </c>
      <c r="Q32" s="51">
        <v>9.2200000000000006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4.09</v>
      </c>
      <c r="C34" s="28">
        <f t="shared" si="0"/>
        <v>13.76</v>
      </c>
      <c r="D34" s="28">
        <f t="shared" si="0"/>
        <v>17.8</v>
      </c>
      <c r="E34" s="28">
        <f t="shared" si="0"/>
        <v>3.56</v>
      </c>
      <c r="F34" s="28">
        <f t="shared" si="0"/>
        <v>4.6100000000000003</v>
      </c>
      <c r="G34" s="28">
        <f t="shared" si="0"/>
        <v>22.45</v>
      </c>
      <c r="H34" s="28">
        <f t="shared" si="0"/>
        <v>0</v>
      </c>
      <c r="I34" s="28">
        <f t="shared" si="0"/>
        <v>3.99</v>
      </c>
      <c r="J34" s="28">
        <f t="shared" si="0"/>
        <v>0.11</v>
      </c>
      <c r="K34" s="28">
        <f t="shared" si="0"/>
        <v>210.36</v>
      </c>
      <c r="L34" s="28">
        <f t="shared" si="0"/>
        <v>25.12</v>
      </c>
      <c r="M34" s="28">
        <f t="shared" si="0"/>
        <v>68.03</v>
      </c>
      <c r="N34" s="28">
        <f t="shared" si="0"/>
        <v>45.2</v>
      </c>
      <c r="O34" s="28">
        <f t="shared" si="0"/>
        <v>0</v>
      </c>
      <c r="P34" s="28">
        <f t="shared" si="0"/>
        <v>0.21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9.75</v>
      </c>
      <c r="C35" s="29">
        <f t="shared" si="1"/>
        <v>22.11</v>
      </c>
      <c r="D35" s="29">
        <f t="shared" si="1"/>
        <v>31.49</v>
      </c>
      <c r="E35" s="29">
        <f t="shared" si="1"/>
        <v>5.62</v>
      </c>
      <c r="F35" s="29">
        <f t="shared" si="1"/>
        <v>15.62</v>
      </c>
      <c r="G35" s="29">
        <f t="shared" si="1"/>
        <v>67.53</v>
      </c>
      <c r="H35" s="29">
        <f t="shared" si="1"/>
        <v>7300.99</v>
      </c>
      <c r="I35" s="29">
        <f t="shared" si="1"/>
        <v>4.2</v>
      </c>
      <c r="J35" s="29">
        <f t="shared" si="1"/>
        <v>0.44</v>
      </c>
      <c r="K35" s="29">
        <f t="shared" si="1"/>
        <v>358.37</v>
      </c>
      <c r="L35" s="29">
        <f t="shared" si="1"/>
        <v>31.05</v>
      </c>
      <c r="M35" s="29">
        <f t="shared" si="1"/>
        <v>97.75</v>
      </c>
      <c r="N35" s="29">
        <f t="shared" si="1"/>
        <v>651.70000000000005</v>
      </c>
      <c r="O35" s="29">
        <f t="shared" si="1"/>
        <v>0</v>
      </c>
      <c r="P35" s="29">
        <f t="shared" si="1"/>
        <v>0.56000000000000005</v>
      </c>
      <c r="Q35" s="29">
        <f t="shared" si="1"/>
        <v>9.41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6.6812499999999995</v>
      </c>
      <c r="C36" s="28">
        <f t="shared" si="2"/>
        <v>17.760416666666668</v>
      </c>
      <c r="D36" s="28">
        <f t="shared" si="2"/>
        <v>24.077916666666667</v>
      </c>
      <c r="E36" s="28">
        <f t="shared" si="2"/>
        <v>4.6641666666666675</v>
      </c>
      <c r="F36" s="28">
        <f t="shared" si="2"/>
        <v>7.2654166666666669</v>
      </c>
      <c r="G36" s="28">
        <f t="shared" si="2"/>
        <v>47.114166666666677</v>
      </c>
      <c r="H36" s="28">
        <f t="shared" si="2"/>
        <v>977.13208333333307</v>
      </c>
      <c r="I36" s="28">
        <f t="shared" si="2"/>
        <v>4.0908333333333333</v>
      </c>
      <c r="J36" s="28">
        <f t="shared" si="2"/>
        <v>0.25374999999999998</v>
      </c>
      <c r="K36" s="28">
        <f t="shared" si="2"/>
        <v>305.57125000000002</v>
      </c>
      <c r="L36" s="28">
        <f t="shared" si="2"/>
        <v>27.888750000000002</v>
      </c>
      <c r="M36" s="28">
        <f t="shared" si="2"/>
        <v>83.05</v>
      </c>
      <c r="N36" s="28">
        <f t="shared" si="2"/>
        <v>192.82916666666674</v>
      </c>
      <c r="O36" s="28">
        <f t="shared" si="2"/>
        <v>0</v>
      </c>
      <c r="P36" s="28">
        <f t="shared" si="2"/>
        <v>0.3370833333333334</v>
      </c>
      <c r="Q36" s="28">
        <f t="shared" si="2"/>
        <v>9.2095833333333328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1.4481151542608797</v>
      </c>
      <c r="C37" s="28">
        <f t="shared" ref="C37:Q37" si="3">STDEV(C9:C32)</f>
        <v>1.9887629521162482</v>
      </c>
      <c r="D37" s="28">
        <f t="shared" si="3"/>
        <v>3.6042052481808549</v>
      </c>
      <c r="E37" s="28">
        <f t="shared" si="3"/>
        <v>0.55016927566345586</v>
      </c>
      <c r="F37" s="28">
        <f t="shared" si="3"/>
        <v>2.6750050453697516</v>
      </c>
      <c r="G37" s="28">
        <f t="shared" si="3"/>
        <v>14.661976234513824</v>
      </c>
      <c r="H37" s="28">
        <f t="shared" si="3"/>
        <v>1774.1911932041869</v>
      </c>
      <c r="I37" s="28">
        <f t="shared" si="3"/>
        <v>5.3317479527715969E-2</v>
      </c>
      <c r="J37" s="28">
        <f t="shared" si="3"/>
        <v>0.10874031691023871</v>
      </c>
      <c r="K37" s="28">
        <f t="shared" si="3"/>
        <v>37.525484941686003</v>
      </c>
      <c r="L37" s="28">
        <f t="shared" si="3"/>
        <v>2.121575117279817</v>
      </c>
      <c r="M37" s="28">
        <f t="shared" si="3"/>
        <v>10.521417080949863</v>
      </c>
      <c r="N37" s="28">
        <f t="shared" si="3"/>
        <v>188.79993662297818</v>
      </c>
      <c r="O37" s="28">
        <f t="shared" si="3"/>
        <v>0</v>
      </c>
      <c r="P37" s="28">
        <f t="shared" si="3"/>
        <v>9.8266680923444691E-2</v>
      </c>
      <c r="Q37" s="28">
        <f t="shared" si="3"/>
        <v>8.1372956017429374E-2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14" sqref="I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468</v>
      </c>
      <c r="B9" s="51">
        <v>8.27</v>
      </c>
      <c r="C9" s="51">
        <v>20.62</v>
      </c>
      <c r="D9" s="51">
        <v>27.83</v>
      </c>
      <c r="E9" s="51">
        <v>5.48</v>
      </c>
      <c r="F9" s="51">
        <v>7.56</v>
      </c>
      <c r="G9" s="51">
        <v>48.85</v>
      </c>
      <c r="H9" s="51">
        <v>374.93</v>
      </c>
      <c r="I9" s="51">
        <v>4.04</v>
      </c>
      <c r="J9" s="51">
        <v>0.11</v>
      </c>
      <c r="K9" s="51">
        <v>324.77</v>
      </c>
      <c r="L9" s="51">
        <v>25.83</v>
      </c>
      <c r="M9" s="51">
        <v>87.93</v>
      </c>
      <c r="N9" s="51">
        <v>45.6</v>
      </c>
      <c r="O9" s="51">
        <v>0</v>
      </c>
      <c r="P9" s="51">
        <v>0.31</v>
      </c>
      <c r="Q9" s="51">
        <v>9.2200000000000006</v>
      </c>
      <c r="R9" s="43"/>
      <c r="S9" s="43"/>
      <c r="T9" s="43"/>
      <c r="U9" s="43"/>
    </row>
    <row r="10" spans="1:21" s="11" customFormat="1" x14ac:dyDescent="0.25">
      <c r="A10" s="50" t="s">
        <v>469</v>
      </c>
      <c r="B10" s="51">
        <v>5.55</v>
      </c>
      <c r="C10" s="51">
        <v>16.34</v>
      </c>
      <c r="D10" s="51">
        <v>23.18</v>
      </c>
      <c r="E10" s="51">
        <v>5.04</v>
      </c>
      <c r="F10" s="51">
        <v>7.98</v>
      </c>
      <c r="G10" s="51">
        <v>50.75</v>
      </c>
      <c r="H10" s="51">
        <v>18.260000000000002</v>
      </c>
      <c r="I10" s="51">
        <v>4.07</v>
      </c>
      <c r="J10" s="51">
        <v>0.25</v>
      </c>
      <c r="K10" s="51">
        <v>215.85</v>
      </c>
      <c r="L10" s="51">
        <v>25.64</v>
      </c>
      <c r="M10" s="51">
        <v>90.76</v>
      </c>
      <c r="N10" s="51">
        <v>45.6</v>
      </c>
      <c r="O10" s="51">
        <v>0</v>
      </c>
      <c r="P10" s="51">
        <v>0.26</v>
      </c>
      <c r="Q10" s="51">
        <v>9.2100000000000009</v>
      </c>
      <c r="R10" s="43"/>
      <c r="S10" s="43"/>
      <c r="T10" s="43"/>
      <c r="U10" s="43"/>
    </row>
    <row r="11" spans="1:21" s="11" customFormat="1" x14ac:dyDescent="0.25">
      <c r="A11" s="50" t="s">
        <v>470</v>
      </c>
      <c r="B11" s="51">
        <v>14.45</v>
      </c>
      <c r="C11" s="51">
        <v>25.57</v>
      </c>
      <c r="D11" s="51">
        <v>26.95</v>
      </c>
      <c r="E11" s="51">
        <v>5.07</v>
      </c>
      <c r="F11" s="51">
        <v>8.98</v>
      </c>
      <c r="G11" s="51">
        <v>48.61</v>
      </c>
      <c r="H11" s="51">
        <v>43.13</v>
      </c>
      <c r="I11" s="51">
        <v>4.01</v>
      </c>
      <c r="J11" s="51">
        <v>0.21</v>
      </c>
      <c r="K11" s="51">
        <v>197.04</v>
      </c>
      <c r="L11" s="51">
        <v>25.27</v>
      </c>
      <c r="M11" s="51">
        <v>93.58</v>
      </c>
      <c r="N11" s="51">
        <v>45.6</v>
      </c>
      <c r="O11" s="51">
        <v>0</v>
      </c>
      <c r="P11" s="51">
        <v>0.18</v>
      </c>
      <c r="Q11" s="51">
        <v>9.23</v>
      </c>
      <c r="R11" s="43"/>
      <c r="S11" s="43"/>
      <c r="T11" s="43"/>
      <c r="U11" s="43"/>
    </row>
    <row r="12" spans="1:21" s="11" customFormat="1" x14ac:dyDescent="0.25">
      <c r="A12" s="50" t="s">
        <v>471</v>
      </c>
      <c r="B12" s="51">
        <v>4.97</v>
      </c>
      <c r="C12" s="51">
        <v>12.83</v>
      </c>
      <c r="D12" s="51">
        <v>16.93</v>
      </c>
      <c r="E12" s="51">
        <v>5.25</v>
      </c>
      <c r="F12" s="51">
        <v>10.73</v>
      </c>
      <c r="G12" s="51">
        <v>40.24</v>
      </c>
      <c r="H12" s="51">
        <v>19.07</v>
      </c>
      <c r="I12" s="51">
        <v>4.13</v>
      </c>
      <c r="J12" s="51">
        <v>0.18</v>
      </c>
      <c r="K12" s="51">
        <v>253.18</v>
      </c>
      <c r="L12" s="51">
        <v>24.98</v>
      </c>
      <c r="M12" s="51">
        <v>95.85</v>
      </c>
      <c r="N12" s="51">
        <v>45.4</v>
      </c>
      <c r="O12" s="51">
        <v>0</v>
      </c>
      <c r="P12" s="51">
        <v>0.14000000000000001</v>
      </c>
      <c r="Q12" s="51">
        <v>9.2899999999999991</v>
      </c>
      <c r="R12" s="43"/>
      <c r="S12" s="43"/>
      <c r="T12" s="43"/>
      <c r="U12" s="43"/>
    </row>
    <row r="13" spans="1:21" s="11" customFormat="1" x14ac:dyDescent="0.25">
      <c r="A13" s="50" t="s">
        <v>472</v>
      </c>
      <c r="B13" s="51">
        <v>10.050000000000001</v>
      </c>
      <c r="C13" s="51">
        <v>20.23</v>
      </c>
      <c r="D13" s="51">
        <v>23.31</v>
      </c>
      <c r="E13" s="51">
        <v>5.36</v>
      </c>
      <c r="F13" s="51">
        <v>9.07</v>
      </c>
      <c r="G13" s="51">
        <v>31.74</v>
      </c>
      <c r="H13" s="51">
        <v>-18.600000000000001</v>
      </c>
      <c r="I13" s="51">
        <v>4.1500000000000004</v>
      </c>
      <c r="J13" s="51">
        <v>0.14000000000000001</v>
      </c>
      <c r="K13" s="51">
        <v>216.45</v>
      </c>
      <c r="L13" s="51">
        <v>24.91</v>
      </c>
      <c r="M13" s="51">
        <v>99.72</v>
      </c>
      <c r="N13" s="51">
        <v>45.6</v>
      </c>
      <c r="O13" s="51">
        <v>0</v>
      </c>
      <c r="P13" s="51">
        <v>0.19</v>
      </c>
      <c r="Q13" s="51">
        <v>9.2899999999999991</v>
      </c>
      <c r="R13" s="43"/>
      <c r="S13" s="43"/>
      <c r="T13" s="43"/>
      <c r="U13" s="43"/>
    </row>
    <row r="14" spans="1:21" s="11" customFormat="1" x14ac:dyDescent="0.25">
      <c r="A14" s="50" t="s">
        <v>473</v>
      </c>
      <c r="B14" s="51">
        <v>11.06</v>
      </c>
      <c r="C14" s="51">
        <v>20.51</v>
      </c>
      <c r="D14" s="51">
        <v>22.37</v>
      </c>
      <c r="E14" s="51">
        <v>5.37</v>
      </c>
      <c r="F14" s="51">
        <v>5.96</v>
      </c>
      <c r="G14" s="51">
        <v>36.799999999999997</v>
      </c>
      <c r="H14" s="51">
        <v>41.54</v>
      </c>
      <c r="I14" s="51">
        <v>4.16</v>
      </c>
      <c r="J14" s="51">
        <v>0.14000000000000001</v>
      </c>
      <c r="K14" s="51">
        <v>305.89</v>
      </c>
      <c r="L14" s="51">
        <v>25.44</v>
      </c>
      <c r="M14" s="51">
        <v>99.22</v>
      </c>
      <c r="N14" s="51">
        <v>67.7</v>
      </c>
      <c r="O14" s="51">
        <v>0</v>
      </c>
      <c r="P14" s="51">
        <v>0.22</v>
      </c>
      <c r="Q14" s="51">
        <v>9.32</v>
      </c>
      <c r="R14" s="43"/>
      <c r="S14" s="43"/>
      <c r="T14" s="43"/>
      <c r="U14" s="43"/>
    </row>
    <row r="15" spans="1:21" s="11" customFormat="1" x14ac:dyDescent="0.25">
      <c r="A15" s="50" t="s">
        <v>474</v>
      </c>
      <c r="B15" s="51">
        <v>11.05</v>
      </c>
      <c r="C15" s="51">
        <v>19.57</v>
      </c>
      <c r="D15" s="51">
        <v>20.87</v>
      </c>
      <c r="E15" s="51">
        <v>5.0999999999999996</v>
      </c>
      <c r="F15" s="51">
        <v>4.18</v>
      </c>
      <c r="G15" s="51">
        <v>44.25</v>
      </c>
      <c r="H15" s="51">
        <v>0</v>
      </c>
      <c r="I15" s="51">
        <v>4.0599999999999996</v>
      </c>
      <c r="J15" s="51">
        <v>0.22</v>
      </c>
      <c r="K15" s="51">
        <v>296.12</v>
      </c>
      <c r="L15" s="51">
        <v>26.25</v>
      </c>
      <c r="M15" s="51">
        <v>90.93</v>
      </c>
      <c r="N15" s="51">
        <v>120.2</v>
      </c>
      <c r="O15" s="51">
        <v>0</v>
      </c>
      <c r="P15" s="51">
        <v>0.23</v>
      </c>
      <c r="Q15" s="51">
        <v>9.32</v>
      </c>
      <c r="R15" s="43"/>
      <c r="S15" s="43"/>
      <c r="T15" s="43"/>
      <c r="U15" s="43"/>
    </row>
    <row r="16" spans="1:21" s="11" customFormat="1" x14ac:dyDescent="0.25">
      <c r="A16" s="50" t="s">
        <v>475</v>
      </c>
      <c r="B16" s="51">
        <v>9.1</v>
      </c>
      <c r="C16" s="51">
        <v>18.170000000000002</v>
      </c>
      <c r="D16" s="51">
        <v>22.14</v>
      </c>
      <c r="E16" s="51">
        <v>4.8</v>
      </c>
      <c r="F16" s="51">
        <v>4.43</v>
      </c>
      <c r="G16" s="51">
        <v>50.51</v>
      </c>
      <c r="H16" s="51">
        <v>0</v>
      </c>
      <c r="I16" s="51">
        <v>4.07</v>
      </c>
      <c r="J16" s="51">
        <v>0.3</v>
      </c>
      <c r="K16" s="51">
        <v>290.57</v>
      </c>
      <c r="L16" s="51">
        <v>27.34</v>
      </c>
      <c r="M16" s="51">
        <v>84.49</v>
      </c>
      <c r="N16" s="51">
        <v>184.5</v>
      </c>
      <c r="O16" s="51">
        <v>0</v>
      </c>
      <c r="P16" s="51">
        <v>0.23</v>
      </c>
      <c r="Q16" s="51">
        <v>9.2899999999999991</v>
      </c>
      <c r="R16" s="43"/>
      <c r="S16" s="43"/>
      <c r="T16" s="43"/>
      <c r="U16" s="43"/>
    </row>
    <row r="17" spans="1:21" s="11" customFormat="1" x14ac:dyDescent="0.25">
      <c r="A17" s="50" t="s">
        <v>476</v>
      </c>
      <c r="B17" s="51">
        <v>6.89</v>
      </c>
      <c r="C17" s="51">
        <v>16.88</v>
      </c>
      <c r="D17" s="51">
        <v>23.67</v>
      </c>
      <c r="E17" s="51">
        <v>3.21</v>
      </c>
      <c r="F17" s="51">
        <v>4.47</v>
      </c>
      <c r="G17" s="51">
        <v>52.16</v>
      </c>
      <c r="H17" s="51">
        <v>0.06</v>
      </c>
      <c r="I17" s="51">
        <v>4.17</v>
      </c>
      <c r="J17" s="51">
        <v>0.35</v>
      </c>
      <c r="K17" s="51">
        <v>295.83</v>
      </c>
      <c r="L17" s="51">
        <v>27.92</v>
      </c>
      <c r="M17" s="51">
        <v>75.489999999999995</v>
      </c>
      <c r="N17" s="51">
        <v>248.3</v>
      </c>
      <c r="O17" s="51">
        <v>0</v>
      </c>
      <c r="P17" s="51">
        <v>0.25</v>
      </c>
      <c r="Q17" s="51">
        <v>9.24</v>
      </c>
      <c r="R17" s="43"/>
      <c r="S17" s="43"/>
      <c r="T17" s="43"/>
      <c r="U17" s="43"/>
    </row>
    <row r="18" spans="1:21" s="11" customFormat="1" x14ac:dyDescent="0.25">
      <c r="A18" s="50" t="s">
        <v>477</v>
      </c>
      <c r="B18" s="51">
        <v>6.59</v>
      </c>
      <c r="C18" s="51">
        <v>19.77</v>
      </c>
      <c r="D18" s="51">
        <v>28.16</v>
      </c>
      <c r="E18" s="51">
        <v>3.41</v>
      </c>
      <c r="F18" s="51">
        <v>4.9000000000000004</v>
      </c>
      <c r="G18" s="51">
        <v>58.41</v>
      </c>
      <c r="H18" s="51">
        <v>7.53</v>
      </c>
      <c r="I18" s="51">
        <v>4.13</v>
      </c>
      <c r="J18" s="51">
        <v>0.35</v>
      </c>
      <c r="K18" s="51">
        <v>292.73</v>
      </c>
      <c r="L18" s="51">
        <v>28.36</v>
      </c>
      <c r="M18" s="51">
        <v>73.5</v>
      </c>
      <c r="N18" s="51">
        <v>245.3</v>
      </c>
      <c r="O18" s="51">
        <v>0</v>
      </c>
      <c r="P18" s="51">
        <v>0.31</v>
      </c>
      <c r="Q18" s="51">
        <v>9.19</v>
      </c>
      <c r="R18" s="43"/>
      <c r="S18" s="43"/>
      <c r="T18" s="43"/>
      <c r="U18" s="43"/>
    </row>
    <row r="19" spans="1:21" s="11" customFormat="1" x14ac:dyDescent="0.25">
      <c r="A19" s="50" t="s">
        <v>478</v>
      </c>
      <c r="B19" s="51">
        <v>7.15</v>
      </c>
      <c r="C19" s="51">
        <v>23.22</v>
      </c>
      <c r="D19" s="51">
        <v>34.19</v>
      </c>
      <c r="E19" s="51">
        <v>3.31</v>
      </c>
      <c r="F19" s="51">
        <v>5.3</v>
      </c>
      <c r="G19" s="51">
        <v>63.16</v>
      </c>
      <c r="H19" s="51">
        <v>27.66</v>
      </c>
      <c r="I19" s="51">
        <v>4.12</v>
      </c>
      <c r="J19" s="51">
        <v>0.35</v>
      </c>
      <c r="K19" s="51">
        <v>290.04000000000002</v>
      </c>
      <c r="L19" s="51">
        <v>29.12</v>
      </c>
      <c r="M19" s="51">
        <v>72.05</v>
      </c>
      <c r="N19" s="51">
        <v>283</v>
      </c>
      <c r="O19" s="51">
        <v>0</v>
      </c>
      <c r="P19" s="51">
        <v>0.52</v>
      </c>
      <c r="Q19" s="51">
        <v>9.24</v>
      </c>
      <c r="R19" s="43"/>
      <c r="S19" s="43"/>
      <c r="T19" s="43"/>
      <c r="U19" s="43"/>
    </row>
    <row r="20" spans="1:21" s="11" customFormat="1" x14ac:dyDescent="0.25">
      <c r="A20" s="50" t="s">
        <v>479</v>
      </c>
      <c r="B20" s="51">
        <v>6.93</v>
      </c>
      <c r="C20" s="51">
        <v>25.92</v>
      </c>
      <c r="D20" s="51">
        <v>39.130000000000003</v>
      </c>
      <c r="E20" s="51">
        <v>3.68</v>
      </c>
      <c r="F20" s="51">
        <v>5.83</v>
      </c>
      <c r="G20" s="51">
        <v>56.76</v>
      </c>
      <c r="H20" s="51">
        <v>17.149999999999999</v>
      </c>
      <c r="I20" s="51">
        <v>4.12</v>
      </c>
      <c r="J20" s="51">
        <v>0.33</v>
      </c>
      <c r="K20" s="51">
        <v>291.58999999999997</v>
      </c>
      <c r="L20" s="51">
        <v>29.97</v>
      </c>
      <c r="M20" s="51">
        <v>66.44</v>
      </c>
      <c r="N20" s="51">
        <v>345.8</v>
      </c>
      <c r="O20" s="51">
        <v>0</v>
      </c>
      <c r="P20" s="51">
        <v>0.64</v>
      </c>
      <c r="Q20" s="51">
        <v>9.2799999999999994</v>
      </c>
      <c r="R20" s="43"/>
      <c r="S20" s="43"/>
      <c r="T20" s="43"/>
      <c r="U20" s="43"/>
    </row>
    <row r="21" spans="1:21" s="11" customFormat="1" x14ac:dyDescent="0.25">
      <c r="A21" s="50" t="s">
        <v>480</v>
      </c>
      <c r="B21" s="51">
        <v>8.83</v>
      </c>
      <c r="C21" s="51">
        <v>26.7</v>
      </c>
      <c r="D21" s="51">
        <v>37.659999999999997</v>
      </c>
      <c r="E21" s="51">
        <v>3.85</v>
      </c>
      <c r="F21" s="51">
        <v>7.7</v>
      </c>
      <c r="G21" s="51">
        <v>82.24</v>
      </c>
      <c r="H21" s="51">
        <v>36</v>
      </c>
      <c r="I21" s="51">
        <v>4.0999999999999996</v>
      </c>
      <c r="J21" s="51">
        <v>0.28000000000000003</v>
      </c>
      <c r="K21" s="51">
        <v>293.52999999999997</v>
      </c>
      <c r="L21" s="51">
        <v>30.62</v>
      </c>
      <c r="M21" s="51">
        <v>62.68</v>
      </c>
      <c r="N21" s="51">
        <v>298.60000000000002</v>
      </c>
      <c r="O21" s="51">
        <v>0</v>
      </c>
      <c r="P21" s="51">
        <v>0.66</v>
      </c>
      <c r="Q21" s="51">
        <v>9.33</v>
      </c>
      <c r="R21" s="43"/>
      <c r="S21" s="43"/>
      <c r="T21" s="43"/>
      <c r="U21" s="43"/>
    </row>
    <row r="22" spans="1:21" s="11" customFormat="1" x14ac:dyDescent="0.25">
      <c r="A22" s="50" t="s">
        <v>481</v>
      </c>
      <c r="B22" s="51">
        <v>7.38</v>
      </c>
      <c r="C22" s="51">
        <v>22.66</v>
      </c>
      <c r="D22" s="51">
        <v>33.01</v>
      </c>
      <c r="E22" s="51">
        <v>3.54</v>
      </c>
      <c r="F22" s="51">
        <v>7.46</v>
      </c>
      <c r="G22" s="51">
        <v>80.92</v>
      </c>
      <c r="H22" s="51">
        <v>1215.46</v>
      </c>
      <c r="I22" s="51">
        <v>3.97</v>
      </c>
      <c r="J22" s="51">
        <v>0.17</v>
      </c>
      <c r="K22" s="51">
        <v>282.77999999999997</v>
      </c>
      <c r="L22" s="51">
        <v>30.14</v>
      </c>
      <c r="M22" s="51">
        <v>62.95</v>
      </c>
      <c r="N22" s="51">
        <v>288.39999999999998</v>
      </c>
      <c r="O22" s="51">
        <v>0</v>
      </c>
      <c r="P22" s="51">
        <v>0.51</v>
      </c>
      <c r="Q22" s="51">
        <v>9.32</v>
      </c>
      <c r="R22" s="43"/>
      <c r="S22" s="43"/>
      <c r="T22" s="43"/>
      <c r="U22" s="43"/>
    </row>
    <row r="23" spans="1:21" s="11" customFormat="1" x14ac:dyDescent="0.25">
      <c r="A23" s="50" t="s">
        <v>482</v>
      </c>
      <c r="B23" s="51">
        <v>4.47</v>
      </c>
      <c r="C23" s="51">
        <v>19.47</v>
      </c>
      <c r="D23" s="51">
        <v>30.41</v>
      </c>
      <c r="E23" s="51">
        <v>3.33</v>
      </c>
      <c r="F23" s="51">
        <v>7.34</v>
      </c>
      <c r="G23" s="51">
        <v>99.01</v>
      </c>
      <c r="H23" s="51">
        <v>4498.76</v>
      </c>
      <c r="I23" s="51">
        <v>4.24</v>
      </c>
      <c r="J23" s="51">
        <v>0.16</v>
      </c>
      <c r="K23" s="51">
        <v>289.32</v>
      </c>
      <c r="L23" s="51">
        <v>29.83</v>
      </c>
      <c r="M23" s="51">
        <v>64.27</v>
      </c>
      <c r="N23" s="51">
        <v>222.1</v>
      </c>
      <c r="O23" s="51">
        <v>0</v>
      </c>
      <c r="P23" s="51">
        <v>0.35</v>
      </c>
      <c r="Q23" s="51">
        <v>9.2100000000000009</v>
      </c>
      <c r="R23" s="43"/>
      <c r="S23" s="43"/>
      <c r="T23" s="43"/>
      <c r="U23" s="43"/>
    </row>
    <row r="24" spans="1:21" s="11" customFormat="1" x14ac:dyDescent="0.25">
      <c r="A24" s="50" t="s">
        <v>483</v>
      </c>
      <c r="B24" s="51">
        <v>6.41</v>
      </c>
      <c r="C24" s="51">
        <v>20.56</v>
      </c>
      <c r="D24" s="51">
        <v>30.03</v>
      </c>
      <c r="E24" s="51">
        <v>5.71</v>
      </c>
      <c r="F24" s="51">
        <v>12.5</v>
      </c>
      <c r="G24" s="51">
        <v>74.37</v>
      </c>
      <c r="H24" s="51">
        <v>1479.26</v>
      </c>
      <c r="I24" s="51">
        <v>4.1900000000000004</v>
      </c>
      <c r="J24" s="51">
        <v>0.16</v>
      </c>
      <c r="K24" s="51">
        <v>301.41000000000003</v>
      </c>
      <c r="L24" s="51">
        <v>29.62</v>
      </c>
      <c r="M24" s="51">
        <v>63.04</v>
      </c>
      <c r="N24" s="51">
        <v>197.2</v>
      </c>
      <c r="O24" s="51">
        <v>0</v>
      </c>
      <c r="P24" s="51">
        <v>0.24</v>
      </c>
      <c r="Q24" s="51">
        <v>9.19</v>
      </c>
      <c r="R24" s="43"/>
      <c r="S24" s="43"/>
      <c r="T24" s="43"/>
      <c r="U24" s="43"/>
    </row>
    <row r="25" spans="1:21" s="11" customFormat="1" x14ac:dyDescent="0.25">
      <c r="A25" s="50" t="s">
        <v>484</v>
      </c>
      <c r="B25" s="51">
        <v>6.26</v>
      </c>
      <c r="C25" s="51">
        <v>22.76</v>
      </c>
      <c r="D25" s="51">
        <v>34.28</v>
      </c>
      <c r="E25" s="51">
        <v>6.44</v>
      </c>
      <c r="F25" s="51">
        <v>14.52</v>
      </c>
      <c r="G25" s="51">
        <v>92.23</v>
      </c>
      <c r="H25" s="51">
        <v>116.94</v>
      </c>
      <c r="I25" s="51">
        <v>4.1500000000000004</v>
      </c>
      <c r="J25" s="51">
        <v>0.62</v>
      </c>
      <c r="K25" s="51">
        <v>267.70999999999998</v>
      </c>
      <c r="L25" s="51">
        <v>29.65</v>
      </c>
      <c r="M25" s="51">
        <v>68.17</v>
      </c>
      <c r="N25" s="51">
        <v>142.80000000000001</v>
      </c>
      <c r="O25" s="51">
        <v>0</v>
      </c>
      <c r="P25" s="51">
        <v>0.22</v>
      </c>
      <c r="Q25" s="51">
        <v>9.18</v>
      </c>
      <c r="R25" s="43"/>
      <c r="S25" s="43"/>
      <c r="T25" s="43"/>
      <c r="U25" s="43"/>
    </row>
    <row r="26" spans="1:21" s="11" customFormat="1" x14ac:dyDescent="0.25">
      <c r="A26" s="50" t="s">
        <v>485</v>
      </c>
      <c r="B26" s="51">
        <v>6.73</v>
      </c>
      <c r="C26" s="51">
        <v>24.57</v>
      </c>
      <c r="D26" s="51">
        <v>36.71</v>
      </c>
      <c r="E26" s="51">
        <v>6.32</v>
      </c>
      <c r="F26" s="51">
        <v>14.06</v>
      </c>
      <c r="G26" s="51">
        <v>92.6</v>
      </c>
      <c r="H26" s="51">
        <v>458.91</v>
      </c>
      <c r="I26" s="51">
        <v>4.13</v>
      </c>
      <c r="J26" s="51">
        <v>0.54</v>
      </c>
      <c r="K26" s="51">
        <v>141.19999999999999</v>
      </c>
      <c r="L26" s="51">
        <v>28.96</v>
      </c>
      <c r="M26" s="51">
        <v>71.180000000000007</v>
      </c>
      <c r="N26" s="51">
        <v>103.7</v>
      </c>
      <c r="O26" s="51">
        <v>0</v>
      </c>
      <c r="P26" s="51">
        <v>0.25</v>
      </c>
      <c r="Q26" s="51">
        <v>9.23</v>
      </c>
      <c r="R26" s="43"/>
      <c r="S26" s="43"/>
      <c r="T26" s="43"/>
      <c r="U26" s="43"/>
    </row>
    <row r="27" spans="1:21" s="11" customFormat="1" x14ac:dyDescent="0.25">
      <c r="A27" s="50" t="s">
        <v>486</v>
      </c>
      <c r="B27" s="51">
        <v>7.69</v>
      </c>
      <c r="C27" s="51">
        <v>24.69</v>
      </c>
      <c r="D27" s="51">
        <v>36.020000000000003</v>
      </c>
      <c r="E27" s="51">
        <v>6.52</v>
      </c>
      <c r="F27" s="51">
        <v>9.11</v>
      </c>
      <c r="G27" s="51">
        <v>99.44</v>
      </c>
      <c r="H27" s="51">
        <v>1720.92</v>
      </c>
      <c r="I27" s="51">
        <v>4.0999999999999996</v>
      </c>
      <c r="J27" s="51">
        <v>0.75</v>
      </c>
      <c r="K27" s="51">
        <v>140.04</v>
      </c>
      <c r="L27" s="51">
        <v>28.55</v>
      </c>
      <c r="M27" s="51">
        <v>72.16</v>
      </c>
      <c r="N27" s="51">
        <v>63.5</v>
      </c>
      <c r="O27" s="51">
        <v>0</v>
      </c>
      <c r="P27" s="51">
        <v>0.27</v>
      </c>
      <c r="Q27" s="51">
        <v>9.25</v>
      </c>
      <c r="R27" s="43"/>
      <c r="S27" s="43"/>
      <c r="T27" s="43"/>
      <c r="U27" s="43"/>
    </row>
    <row r="28" spans="1:21" s="11" customFormat="1" x14ac:dyDescent="0.25">
      <c r="A28" s="50" t="s">
        <v>487</v>
      </c>
      <c r="B28" s="51">
        <v>7.42</v>
      </c>
      <c r="C28" s="51">
        <v>22.06</v>
      </c>
      <c r="D28" s="51">
        <v>32.65</v>
      </c>
      <c r="E28" s="51">
        <v>6.47</v>
      </c>
      <c r="F28" s="51">
        <v>9.32</v>
      </c>
      <c r="G28" s="51">
        <v>89.06</v>
      </c>
      <c r="H28" s="51">
        <v>247.66</v>
      </c>
      <c r="I28" s="51">
        <v>4.0599999999999996</v>
      </c>
      <c r="J28" s="51">
        <v>0.32</v>
      </c>
      <c r="K28" s="51">
        <v>173.94</v>
      </c>
      <c r="L28" s="51">
        <v>28.14</v>
      </c>
      <c r="M28" s="51">
        <v>74.08</v>
      </c>
      <c r="N28" s="51">
        <v>53.5</v>
      </c>
      <c r="O28" s="51">
        <v>0</v>
      </c>
      <c r="P28" s="51">
        <v>0.37</v>
      </c>
      <c r="Q28" s="51">
        <v>9.25</v>
      </c>
      <c r="R28" s="43"/>
      <c r="S28" s="43"/>
      <c r="T28" s="43"/>
      <c r="U28" s="43"/>
    </row>
    <row r="29" spans="1:21" s="11" customFormat="1" x14ac:dyDescent="0.25">
      <c r="A29" s="50" t="s">
        <v>488</v>
      </c>
      <c r="B29" s="51">
        <v>11.21</v>
      </c>
      <c r="C29" s="51">
        <v>25.86</v>
      </c>
      <c r="D29" s="51">
        <v>32.299999999999997</v>
      </c>
      <c r="E29" s="51">
        <v>6.32</v>
      </c>
      <c r="F29" s="51">
        <v>9.85</v>
      </c>
      <c r="G29" s="51">
        <v>90.47</v>
      </c>
      <c r="H29" s="51">
        <v>392.16</v>
      </c>
      <c r="I29" s="51">
        <v>4.04</v>
      </c>
      <c r="J29" s="51">
        <v>0.47</v>
      </c>
      <c r="K29" s="51">
        <v>148.6</v>
      </c>
      <c r="L29" s="51">
        <v>27.6</v>
      </c>
      <c r="M29" s="51">
        <v>79.12</v>
      </c>
      <c r="N29" s="51">
        <v>53.5</v>
      </c>
      <c r="O29" s="51">
        <v>0</v>
      </c>
      <c r="P29" s="51">
        <v>0.34</v>
      </c>
      <c r="Q29" s="51">
        <v>9.31</v>
      </c>
      <c r="R29" s="43"/>
      <c r="S29" s="43"/>
      <c r="T29" s="43"/>
      <c r="U29" s="43"/>
    </row>
    <row r="30" spans="1:21" s="11" customFormat="1" x14ac:dyDescent="0.25">
      <c r="A30" s="50" t="s">
        <v>489</v>
      </c>
      <c r="B30" s="51">
        <v>9.57</v>
      </c>
      <c r="C30" s="51">
        <v>22.11</v>
      </c>
      <c r="D30" s="51">
        <v>28.84</v>
      </c>
      <c r="E30" s="51">
        <v>6.3</v>
      </c>
      <c r="F30" s="51">
        <v>8.02</v>
      </c>
      <c r="G30" s="51">
        <v>78.36</v>
      </c>
      <c r="H30" s="51">
        <v>59.7</v>
      </c>
      <c r="I30" s="51">
        <v>4.05</v>
      </c>
      <c r="J30" s="51">
        <v>0.15</v>
      </c>
      <c r="K30" s="51">
        <v>204.82</v>
      </c>
      <c r="L30" s="51">
        <v>27.3</v>
      </c>
      <c r="M30" s="51">
        <v>80.2</v>
      </c>
      <c r="N30" s="51">
        <v>53.5</v>
      </c>
      <c r="O30" s="51">
        <v>0</v>
      </c>
      <c r="P30" s="51">
        <v>0.31</v>
      </c>
      <c r="Q30" s="51">
        <v>9.35</v>
      </c>
      <c r="R30" s="43"/>
      <c r="S30" s="43"/>
      <c r="T30" s="43"/>
      <c r="U30" s="43"/>
    </row>
    <row r="31" spans="1:21" s="11" customFormat="1" x14ac:dyDescent="0.25">
      <c r="A31" s="50" t="s">
        <v>490</v>
      </c>
      <c r="B31" s="51">
        <v>10.45</v>
      </c>
      <c r="C31" s="51">
        <v>20.46</v>
      </c>
      <c r="D31" s="51">
        <v>23.12</v>
      </c>
      <c r="E31" s="51">
        <v>6.27</v>
      </c>
      <c r="F31" s="51">
        <v>6.65</v>
      </c>
      <c r="G31" s="51">
        <v>76.239999999999995</v>
      </c>
      <c r="H31" s="51">
        <v>223.87</v>
      </c>
      <c r="I31" s="51">
        <v>4.04</v>
      </c>
      <c r="J31" s="51">
        <v>0.12</v>
      </c>
      <c r="K31" s="51">
        <v>221.85</v>
      </c>
      <c r="L31" s="51">
        <v>27.06</v>
      </c>
      <c r="M31" s="51">
        <v>81.66</v>
      </c>
      <c r="N31" s="51">
        <v>53.5</v>
      </c>
      <c r="O31" s="51">
        <v>0</v>
      </c>
      <c r="P31" s="51">
        <v>0.33</v>
      </c>
      <c r="Q31" s="51">
        <v>9.35</v>
      </c>
      <c r="R31" s="43"/>
      <c r="S31" s="43"/>
      <c r="T31" s="43"/>
      <c r="U31" s="43"/>
    </row>
    <row r="32" spans="1:21" s="11" customFormat="1" x14ac:dyDescent="0.25">
      <c r="A32" s="50" t="s">
        <v>491</v>
      </c>
      <c r="B32" s="51">
        <v>10.88</v>
      </c>
      <c r="C32" s="51">
        <v>19.21</v>
      </c>
      <c r="D32" s="51">
        <v>21.79</v>
      </c>
      <c r="E32" s="51">
        <v>5.94</v>
      </c>
      <c r="F32" s="51">
        <v>6.21</v>
      </c>
      <c r="G32" s="51">
        <v>68.94</v>
      </c>
      <c r="H32" s="51">
        <v>0</v>
      </c>
      <c r="I32" s="51">
        <v>4.18</v>
      </c>
      <c r="J32" s="51">
        <v>0.13</v>
      </c>
      <c r="K32" s="51">
        <v>310.2</v>
      </c>
      <c r="L32" s="51">
        <v>26.9</v>
      </c>
      <c r="M32" s="51">
        <v>84.27</v>
      </c>
      <c r="N32" s="51">
        <v>53.5</v>
      </c>
      <c r="O32" s="51">
        <v>0</v>
      </c>
      <c r="P32" s="51">
        <v>0.28999999999999998</v>
      </c>
      <c r="Q32" s="51">
        <v>9.33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4.47</v>
      </c>
      <c r="C34" s="28">
        <f t="shared" si="0"/>
        <v>12.83</v>
      </c>
      <c r="D34" s="28">
        <f t="shared" si="0"/>
        <v>16.93</v>
      </c>
      <c r="E34" s="28">
        <f t="shared" si="0"/>
        <v>3.21</v>
      </c>
      <c r="F34" s="28">
        <f t="shared" si="0"/>
        <v>4.18</v>
      </c>
      <c r="G34" s="28">
        <f t="shared" si="0"/>
        <v>31.74</v>
      </c>
      <c r="H34" s="28">
        <f t="shared" si="0"/>
        <v>-18.600000000000001</v>
      </c>
      <c r="I34" s="28">
        <f t="shared" si="0"/>
        <v>3.97</v>
      </c>
      <c r="J34" s="28">
        <f t="shared" si="0"/>
        <v>0.11</v>
      </c>
      <c r="K34" s="28">
        <f t="shared" si="0"/>
        <v>140.04</v>
      </c>
      <c r="L34" s="28">
        <f t="shared" si="0"/>
        <v>24.91</v>
      </c>
      <c r="M34" s="28">
        <f t="shared" si="0"/>
        <v>62.68</v>
      </c>
      <c r="N34" s="28">
        <f t="shared" si="0"/>
        <v>45.4</v>
      </c>
      <c r="O34" s="28">
        <f t="shared" si="0"/>
        <v>0</v>
      </c>
      <c r="P34" s="28">
        <f t="shared" si="0"/>
        <v>0.14000000000000001</v>
      </c>
      <c r="Q34" s="28">
        <f t="shared" si="0"/>
        <v>9.18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14.45</v>
      </c>
      <c r="C35" s="29">
        <f t="shared" si="1"/>
        <v>26.7</v>
      </c>
      <c r="D35" s="29">
        <f t="shared" si="1"/>
        <v>39.130000000000003</v>
      </c>
      <c r="E35" s="29">
        <f t="shared" si="1"/>
        <v>6.52</v>
      </c>
      <c r="F35" s="29">
        <f t="shared" si="1"/>
        <v>14.52</v>
      </c>
      <c r="G35" s="29">
        <f t="shared" si="1"/>
        <v>99.44</v>
      </c>
      <c r="H35" s="29">
        <f t="shared" si="1"/>
        <v>4498.76</v>
      </c>
      <c r="I35" s="29">
        <f t="shared" si="1"/>
        <v>4.24</v>
      </c>
      <c r="J35" s="29">
        <f t="shared" si="1"/>
        <v>0.75</v>
      </c>
      <c r="K35" s="29">
        <f t="shared" si="1"/>
        <v>324.77</v>
      </c>
      <c r="L35" s="29">
        <f t="shared" si="1"/>
        <v>30.62</v>
      </c>
      <c r="M35" s="29">
        <f t="shared" si="1"/>
        <v>99.72</v>
      </c>
      <c r="N35" s="29">
        <f t="shared" si="1"/>
        <v>345.8</v>
      </c>
      <c r="O35" s="29">
        <f t="shared" si="1"/>
        <v>0</v>
      </c>
      <c r="P35" s="29">
        <f t="shared" si="1"/>
        <v>0.66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8.3066666666666649</v>
      </c>
      <c r="C36" s="28">
        <f t="shared" si="2"/>
        <v>21.280833333333334</v>
      </c>
      <c r="D36" s="28">
        <f t="shared" si="2"/>
        <v>28.564583333333331</v>
      </c>
      <c r="E36" s="28">
        <f t="shared" si="2"/>
        <v>5.0870833333333332</v>
      </c>
      <c r="F36" s="28">
        <f t="shared" si="2"/>
        <v>8.0054166666666671</v>
      </c>
      <c r="G36" s="28">
        <f t="shared" si="2"/>
        <v>66.921666666666667</v>
      </c>
      <c r="H36" s="28">
        <f t="shared" si="2"/>
        <v>457.51541666666679</v>
      </c>
      <c r="I36" s="28">
        <f t="shared" si="2"/>
        <v>4.1033333333333344</v>
      </c>
      <c r="J36" s="28">
        <f t="shared" si="2"/>
        <v>0.28333333333333338</v>
      </c>
      <c r="K36" s="28">
        <f t="shared" si="2"/>
        <v>251.89416666666662</v>
      </c>
      <c r="L36" s="28">
        <f t="shared" si="2"/>
        <v>27.724999999999991</v>
      </c>
      <c r="M36" s="28">
        <f t="shared" si="2"/>
        <v>78.905833333333348</v>
      </c>
      <c r="N36" s="28">
        <f t="shared" si="2"/>
        <v>137.76666666666665</v>
      </c>
      <c r="O36" s="28">
        <f t="shared" si="2"/>
        <v>0</v>
      </c>
      <c r="P36" s="28">
        <f t="shared" si="2"/>
        <v>0.31749999999999995</v>
      </c>
      <c r="Q36" s="28">
        <f t="shared" si="2"/>
        <v>9.2675000000000001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2.3953681148827854</v>
      </c>
      <c r="C37" s="28">
        <f t="shared" ref="C37:Q37" si="3">STDEV(C9:C32)</f>
        <v>3.3803754829600221</v>
      </c>
      <c r="D37" s="28">
        <f t="shared" si="3"/>
        <v>6.1512098344582844</v>
      </c>
      <c r="E37" s="28">
        <f t="shared" si="3"/>
        <v>1.1745099965023966</v>
      </c>
      <c r="F37" s="28">
        <f t="shared" si="3"/>
        <v>2.8517378060566441</v>
      </c>
      <c r="G37" s="28">
        <f t="shared" si="3"/>
        <v>20.966803299017961</v>
      </c>
      <c r="H37" s="28">
        <f t="shared" si="3"/>
        <v>988.69622485099092</v>
      </c>
      <c r="I37" s="28">
        <f t="shared" si="3"/>
        <v>6.397463265379813E-2</v>
      </c>
      <c r="J37" s="28">
        <f t="shared" si="3"/>
        <v>0.1684369748385241</v>
      </c>
      <c r="K37" s="28">
        <f t="shared" si="3"/>
        <v>58.492842365293143</v>
      </c>
      <c r="L37" s="28">
        <f t="shared" si="3"/>
        <v>1.7941329503351366</v>
      </c>
      <c r="M37" s="28">
        <f t="shared" si="3"/>
        <v>11.896221876189651</v>
      </c>
      <c r="N37" s="28">
        <f t="shared" si="3"/>
        <v>102.03833323450245</v>
      </c>
      <c r="O37" s="28">
        <f t="shared" si="3"/>
        <v>0</v>
      </c>
      <c r="P37" s="28">
        <f t="shared" si="3"/>
        <v>0.13616645823339207</v>
      </c>
      <c r="Q37" s="28">
        <f t="shared" si="3"/>
        <v>5.3831460011377279E-2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38" sqref="B38:D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492</v>
      </c>
      <c r="B9" s="51">
        <v>8.83</v>
      </c>
      <c r="C9" s="51">
        <v>17.22</v>
      </c>
      <c r="D9" s="51">
        <v>19.399999999999999</v>
      </c>
      <c r="E9" s="51">
        <v>3.74</v>
      </c>
      <c r="F9" s="51">
        <v>9.24</v>
      </c>
      <c r="G9" s="51">
        <v>60.91</v>
      </c>
      <c r="H9" s="51">
        <v>28.83</v>
      </c>
      <c r="I9" s="51">
        <v>4.18</v>
      </c>
      <c r="J9" s="51">
        <v>0.1</v>
      </c>
      <c r="K9" s="51">
        <v>313.51</v>
      </c>
      <c r="L9" s="51">
        <v>26.51</v>
      </c>
      <c r="M9" s="51">
        <v>85.85</v>
      </c>
      <c r="N9" s="51">
        <v>53.6</v>
      </c>
      <c r="O9" s="51">
        <v>0</v>
      </c>
      <c r="P9" s="51">
        <v>0.24</v>
      </c>
      <c r="Q9" s="51">
        <v>9.33</v>
      </c>
      <c r="R9" s="43"/>
      <c r="S9" s="43"/>
      <c r="T9" s="43"/>
      <c r="U9" s="43"/>
    </row>
    <row r="10" spans="1:21" s="11" customFormat="1" x14ac:dyDescent="0.25">
      <c r="A10" s="50" t="s">
        <v>493</v>
      </c>
      <c r="B10" s="51">
        <v>6.76</v>
      </c>
      <c r="C10" s="51">
        <v>14.38</v>
      </c>
      <c r="D10" s="51">
        <v>17.18</v>
      </c>
      <c r="E10" s="51">
        <v>3.65</v>
      </c>
      <c r="F10" s="51">
        <v>9.52</v>
      </c>
      <c r="G10" s="51">
        <v>56.79</v>
      </c>
      <c r="H10" s="51">
        <v>109.08</v>
      </c>
      <c r="I10" s="51">
        <v>4.04</v>
      </c>
      <c r="J10" s="51">
        <v>0.1</v>
      </c>
      <c r="K10" s="51">
        <v>284.26</v>
      </c>
      <c r="L10" s="51">
        <v>26.37</v>
      </c>
      <c r="M10" s="51">
        <v>88.77</v>
      </c>
      <c r="N10" s="51">
        <v>53.8</v>
      </c>
      <c r="O10" s="51">
        <v>0</v>
      </c>
      <c r="P10" s="51">
        <v>0.19</v>
      </c>
      <c r="Q10" s="51">
        <v>9.34</v>
      </c>
      <c r="R10" s="43"/>
      <c r="S10" s="43"/>
      <c r="T10" s="43"/>
      <c r="U10" s="43"/>
    </row>
    <row r="11" spans="1:21" s="11" customFormat="1" x14ac:dyDescent="0.25">
      <c r="A11" s="50" t="s">
        <v>494</v>
      </c>
      <c r="B11" s="51">
        <v>10.029999999999999</v>
      </c>
      <c r="C11" s="51">
        <v>17.309999999999999</v>
      </c>
      <c r="D11" s="51">
        <v>17.96</v>
      </c>
      <c r="E11" s="51">
        <v>3.97</v>
      </c>
      <c r="F11" s="51">
        <v>9.7899999999999991</v>
      </c>
      <c r="G11" s="51">
        <v>48.96</v>
      </c>
      <c r="H11" s="51">
        <v>111.79</v>
      </c>
      <c r="I11" s="51">
        <v>4.03</v>
      </c>
      <c r="J11" s="51">
        <v>0.12</v>
      </c>
      <c r="K11" s="51">
        <v>306.02999999999997</v>
      </c>
      <c r="L11" s="51">
        <v>26.31</v>
      </c>
      <c r="M11" s="51">
        <v>88.75</v>
      </c>
      <c r="N11" s="51">
        <v>53.9</v>
      </c>
      <c r="O11" s="51">
        <v>0</v>
      </c>
      <c r="P11" s="51">
        <v>0.22</v>
      </c>
      <c r="Q11" s="51">
        <v>9.34</v>
      </c>
      <c r="R11" s="43"/>
      <c r="S11" s="43"/>
      <c r="T11" s="43"/>
      <c r="U11" s="43"/>
    </row>
    <row r="12" spans="1:21" s="11" customFormat="1" x14ac:dyDescent="0.25">
      <c r="A12" s="50" t="s">
        <v>495</v>
      </c>
      <c r="B12" s="51">
        <v>9.93</v>
      </c>
      <c r="C12" s="51">
        <v>17.510000000000002</v>
      </c>
      <c r="D12" s="51">
        <v>18.3</v>
      </c>
      <c r="E12" s="51">
        <v>3.73</v>
      </c>
      <c r="F12" s="51">
        <v>5.97</v>
      </c>
      <c r="G12" s="51">
        <v>47.18</v>
      </c>
      <c r="H12" s="51">
        <v>381.58</v>
      </c>
      <c r="I12" s="51">
        <v>4.0199999999999996</v>
      </c>
      <c r="J12" s="51">
        <v>0.17</v>
      </c>
      <c r="K12" s="51">
        <v>301.55</v>
      </c>
      <c r="L12" s="51">
        <v>26.46</v>
      </c>
      <c r="M12" s="51">
        <v>85.57</v>
      </c>
      <c r="N12" s="51">
        <v>53.9</v>
      </c>
      <c r="O12" s="51">
        <v>0</v>
      </c>
      <c r="P12" s="51">
        <v>0.21</v>
      </c>
      <c r="Q12" s="51">
        <v>9.2899999999999991</v>
      </c>
      <c r="R12" s="43"/>
      <c r="S12" s="43"/>
      <c r="T12" s="43"/>
      <c r="U12" s="43"/>
    </row>
    <row r="13" spans="1:21" s="11" customFormat="1" x14ac:dyDescent="0.25">
      <c r="A13" s="50" t="s">
        <v>496</v>
      </c>
      <c r="B13" s="51">
        <v>8.57</v>
      </c>
      <c r="C13" s="51">
        <v>16.64</v>
      </c>
      <c r="D13" s="51">
        <v>18.96</v>
      </c>
      <c r="E13" s="51">
        <v>3.81</v>
      </c>
      <c r="F13" s="51">
        <v>5.68</v>
      </c>
      <c r="G13" s="51">
        <v>31.02</v>
      </c>
      <c r="H13" s="51">
        <v>1430.92</v>
      </c>
      <c r="I13" s="51">
        <v>4.0599999999999996</v>
      </c>
      <c r="J13" s="51">
        <v>0.16</v>
      </c>
      <c r="K13" s="51">
        <v>313.95</v>
      </c>
      <c r="L13" s="51">
        <v>26.4</v>
      </c>
      <c r="M13" s="51">
        <v>86.64</v>
      </c>
      <c r="N13" s="51">
        <v>54.3</v>
      </c>
      <c r="O13" s="51">
        <v>0</v>
      </c>
      <c r="P13" s="51">
        <v>0.2</v>
      </c>
      <c r="Q13" s="51">
        <v>9.1999999999999993</v>
      </c>
      <c r="R13" s="43"/>
      <c r="S13" s="43"/>
      <c r="T13" s="43"/>
      <c r="U13" s="43"/>
    </row>
    <row r="14" spans="1:21" s="11" customFormat="1" x14ac:dyDescent="0.25">
      <c r="A14" s="50" t="s">
        <v>497</v>
      </c>
      <c r="B14" s="51">
        <v>6.04</v>
      </c>
      <c r="C14" s="51">
        <v>14.8</v>
      </c>
      <c r="D14" s="51">
        <v>19.05</v>
      </c>
      <c r="E14" s="51">
        <v>3.8</v>
      </c>
      <c r="F14" s="51">
        <v>8.85</v>
      </c>
      <c r="G14" s="51">
        <v>28.97</v>
      </c>
      <c r="H14" s="51">
        <v>215.49</v>
      </c>
      <c r="I14" s="51">
        <v>4.0199999999999996</v>
      </c>
      <c r="J14" s="51">
        <v>0.12</v>
      </c>
      <c r="K14" s="51">
        <v>267.94</v>
      </c>
      <c r="L14" s="51">
        <v>26.01</v>
      </c>
      <c r="M14" s="51">
        <v>100.88</v>
      </c>
      <c r="N14" s="51">
        <v>61.2</v>
      </c>
      <c r="O14" s="51">
        <v>0</v>
      </c>
      <c r="P14" s="51">
        <v>0.18</v>
      </c>
      <c r="Q14" s="51">
        <v>9.2100000000000009</v>
      </c>
      <c r="R14" s="43"/>
      <c r="S14" s="43"/>
      <c r="T14" s="43"/>
      <c r="U14" s="43"/>
    </row>
    <row r="15" spans="1:21" s="11" customFormat="1" x14ac:dyDescent="0.25">
      <c r="A15" s="50" t="s">
        <v>498</v>
      </c>
      <c r="B15" s="51">
        <v>9.9499999999999993</v>
      </c>
      <c r="C15" s="51">
        <v>20.27</v>
      </c>
      <c r="D15" s="51">
        <v>23.52</v>
      </c>
      <c r="E15" s="51">
        <v>3.95</v>
      </c>
      <c r="F15" s="51">
        <v>8.4700000000000006</v>
      </c>
      <c r="G15" s="51">
        <v>29.06</v>
      </c>
      <c r="H15" s="51">
        <v>18.27</v>
      </c>
      <c r="I15" s="51">
        <v>4.13</v>
      </c>
      <c r="J15" s="51">
        <v>0.13</v>
      </c>
      <c r="K15" s="51">
        <v>300.02</v>
      </c>
      <c r="L15" s="51">
        <v>25.85</v>
      </c>
      <c r="M15" s="51">
        <v>100.6</v>
      </c>
      <c r="N15" s="51">
        <v>98.5</v>
      </c>
      <c r="O15" s="51">
        <v>0</v>
      </c>
      <c r="P15" s="51">
        <v>0.25</v>
      </c>
      <c r="Q15" s="51">
        <v>9.26</v>
      </c>
      <c r="R15" s="43"/>
      <c r="S15" s="43"/>
      <c r="T15" s="43"/>
      <c r="U15" s="43"/>
    </row>
    <row r="16" spans="1:21" s="11" customFormat="1" x14ac:dyDescent="0.25">
      <c r="A16" s="50" t="s">
        <v>499</v>
      </c>
      <c r="B16" s="51">
        <v>9.6999999999999993</v>
      </c>
      <c r="C16" s="51">
        <v>17.96</v>
      </c>
      <c r="D16" s="51">
        <v>19.649999999999999</v>
      </c>
      <c r="E16" s="51">
        <v>4.2300000000000004</v>
      </c>
      <c r="F16" s="51">
        <v>4.71</v>
      </c>
      <c r="G16" s="51">
        <v>31.87</v>
      </c>
      <c r="H16" s="51">
        <v>41.96</v>
      </c>
      <c r="I16" s="51">
        <v>4.1399999999999997</v>
      </c>
      <c r="J16" s="51">
        <v>0.09</v>
      </c>
      <c r="K16" s="51">
        <v>281.89999999999998</v>
      </c>
      <c r="L16" s="51">
        <v>26.22</v>
      </c>
      <c r="M16" s="51">
        <v>95.87</v>
      </c>
      <c r="N16" s="51">
        <v>144.4</v>
      </c>
      <c r="O16" s="51">
        <v>0</v>
      </c>
      <c r="P16" s="51">
        <v>0.22</v>
      </c>
      <c r="Q16" s="51">
        <v>9.26</v>
      </c>
      <c r="R16" s="43"/>
      <c r="S16" s="43"/>
      <c r="T16" s="43"/>
      <c r="U16" s="43"/>
    </row>
    <row r="17" spans="1:21" s="11" customFormat="1" x14ac:dyDescent="0.25">
      <c r="A17" s="50" t="s">
        <v>500</v>
      </c>
      <c r="B17" s="51">
        <v>10.56</v>
      </c>
      <c r="C17" s="51">
        <v>19.53</v>
      </c>
      <c r="D17" s="51">
        <v>21.18</v>
      </c>
      <c r="E17" s="51">
        <v>4.57</v>
      </c>
      <c r="F17" s="51">
        <v>4.54</v>
      </c>
      <c r="G17" s="51">
        <v>31.07</v>
      </c>
      <c r="H17" s="51">
        <v>16.510000000000002</v>
      </c>
      <c r="I17" s="51">
        <v>4.01</v>
      </c>
      <c r="J17" s="51">
        <v>0.24</v>
      </c>
      <c r="K17" s="51">
        <v>288.33999999999997</v>
      </c>
      <c r="L17" s="51">
        <v>27.04</v>
      </c>
      <c r="M17" s="51">
        <v>91.15</v>
      </c>
      <c r="N17" s="51">
        <v>167.5</v>
      </c>
      <c r="O17" s="51">
        <v>0</v>
      </c>
      <c r="P17" s="51">
        <v>0.25</v>
      </c>
      <c r="Q17" s="51">
        <v>9.26</v>
      </c>
      <c r="R17" s="43"/>
      <c r="S17" s="43"/>
      <c r="T17" s="43"/>
      <c r="U17" s="43"/>
    </row>
    <row r="18" spans="1:21" s="11" customFormat="1" x14ac:dyDescent="0.25">
      <c r="A18" s="50" t="s">
        <v>501</v>
      </c>
      <c r="B18" s="51">
        <v>12.14</v>
      </c>
      <c r="C18" s="51">
        <v>22.5</v>
      </c>
      <c r="D18" s="51">
        <v>24.43</v>
      </c>
      <c r="E18" s="51">
        <v>4.47</v>
      </c>
      <c r="F18" s="51">
        <v>4.9000000000000004</v>
      </c>
      <c r="G18" s="51">
        <v>35.74</v>
      </c>
      <c r="H18" s="51">
        <v>9.84</v>
      </c>
      <c r="I18" s="51">
        <v>4.12</v>
      </c>
      <c r="J18" s="51">
        <v>0.26</v>
      </c>
      <c r="K18" s="51">
        <v>290.11</v>
      </c>
      <c r="L18" s="51">
        <v>27.68</v>
      </c>
      <c r="M18" s="51">
        <v>81.59</v>
      </c>
      <c r="N18" s="51">
        <v>234.3</v>
      </c>
      <c r="O18" s="51">
        <v>0</v>
      </c>
      <c r="P18" s="51">
        <v>0.3</v>
      </c>
      <c r="Q18" s="51">
        <v>9.2899999999999991</v>
      </c>
      <c r="R18" s="43"/>
      <c r="S18" s="43"/>
      <c r="T18" s="43"/>
      <c r="U18" s="43"/>
    </row>
    <row r="19" spans="1:21" s="11" customFormat="1" x14ac:dyDescent="0.25">
      <c r="A19" s="50" t="s">
        <v>502</v>
      </c>
      <c r="B19" s="51">
        <v>9.57</v>
      </c>
      <c r="C19" s="51">
        <v>19.36</v>
      </c>
      <c r="D19" s="51">
        <v>23.09</v>
      </c>
      <c r="E19" s="51">
        <v>4.33</v>
      </c>
      <c r="F19" s="51">
        <v>5.27</v>
      </c>
      <c r="G19" s="51">
        <v>44.8</v>
      </c>
      <c r="H19" s="51">
        <v>10.01</v>
      </c>
      <c r="I19" s="51">
        <v>4.2</v>
      </c>
      <c r="J19" s="51">
        <v>0.33</v>
      </c>
      <c r="K19" s="51">
        <v>285.89</v>
      </c>
      <c r="L19" s="51">
        <v>27.95</v>
      </c>
      <c r="M19" s="51">
        <v>77.03</v>
      </c>
      <c r="N19" s="51">
        <v>220.7</v>
      </c>
      <c r="O19" s="51">
        <v>0</v>
      </c>
      <c r="P19" s="51">
        <v>0.31</v>
      </c>
      <c r="Q19" s="51">
        <v>9.2899999999999991</v>
      </c>
      <c r="R19" s="43"/>
      <c r="S19" s="43"/>
      <c r="T19" s="43"/>
      <c r="U19" s="43"/>
    </row>
    <row r="20" spans="1:21" s="11" customFormat="1" x14ac:dyDescent="0.25">
      <c r="A20" s="50" t="s">
        <v>503</v>
      </c>
      <c r="B20" s="51">
        <v>8.64</v>
      </c>
      <c r="C20" s="51">
        <v>18.670000000000002</v>
      </c>
      <c r="D20" s="51">
        <v>22.47</v>
      </c>
      <c r="E20" s="51">
        <v>4.59</v>
      </c>
      <c r="F20" s="51">
        <v>4.75</v>
      </c>
      <c r="G20" s="51">
        <v>49.87</v>
      </c>
      <c r="H20" s="51">
        <v>30.08</v>
      </c>
      <c r="I20" s="51">
        <v>4.0599999999999996</v>
      </c>
      <c r="J20" s="51">
        <v>0.32</v>
      </c>
      <c r="K20" s="51">
        <v>295.52999999999997</v>
      </c>
      <c r="L20" s="51">
        <v>28.18</v>
      </c>
      <c r="M20" s="51">
        <v>75.12</v>
      </c>
      <c r="N20" s="51">
        <v>214.1</v>
      </c>
      <c r="O20" s="51">
        <v>0</v>
      </c>
      <c r="P20" s="51">
        <v>0.32</v>
      </c>
      <c r="Q20" s="51">
        <v>9.2200000000000006</v>
      </c>
      <c r="R20" s="43"/>
      <c r="S20" s="43"/>
      <c r="T20" s="43"/>
      <c r="U20" s="43"/>
    </row>
    <row r="21" spans="1:21" s="11" customFormat="1" x14ac:dyDescent="0.25">
      <c r="A21" s="50" t="s">
        <v>504</v>
      </c>
      <c r="B21" s="51">
        <v>6.31</v>
      </c>
      <c r="C21" s="51">
        <v>16.600000000000001</v>
      </c>
      <c r="D21" s="51">
        <v>22.1</v>
      </c>
      <c r="E21" s="51">
        <v>4.33</v>
      </c>
      <c r="F21" s="51">
        <v>4.9000000000000004</v>
      </c>
      <c r="G21" s="51">
        <v>51.1</v>
      </c>
      <c r="H21" s="51">
        <v>-5.09</v>
      </c>
      <c r="I21" s="51">
        <v>4.09</v>
      </c>
      <c r="J21" s="51">
        <v>0.33</v>
      </c>
      <c r="K21" s="51">
        <v>287.10000000000002</v>
      </c>
      <c r="L21" s="51">
        <v>27.87</v>
      </c>
      <c r="M21" s="51">
        <v>75.400000000000006</v>
      </c>
      <c r="N21" s="51">
        <v>224.1</v>
      </c>
      <c r="O21" s="51">
        <v>0</v>
      </c>
      <c r="P21" s="51">
        <v>0.28999999999999998</v>
      </c>
      <c r="Q21" s="51">
        <v>9.16</v>
      </c>
      <c r="R21" s="43"/>
      <c r="S21" s="43"/>
      <c r="T21" s="43"/>
      <c r="U21" s="43"/>
    </row>
    <row r="22" spans="1:21" s="11" customFormat="1" x14ac:dyDescent="0.25">
      <c r="A22" s="50" t="s">
        <v>505</v>
      </c>
      <c r="B22" s="51">
        <v>5.3</v>
      </c>
      <c r="C22" s="51">
        <v>15.42</v>
      </c>
      <c r="D22" s="51">
        <v>21.57</v>
      </c>
      <c r="E22" s="51">
        <v>4.33</v>
      </c>
      <c r="F22" s="51">
        <v>4.7</v>
      </c>
      <c r="G22" s="51">
        <v>53.32</v>
      </c>
      <c r="H22" s="51">
        <v>31.23</v>
      </c>
      <c r="I22" s="51">
        <v>4.0199999999999996</v>
      </c>
      <c r="J22" s="51">
        <v>0.32</v>
      </c>
      <c r="K22" s="51">
        <v>286.26</v>
      </c>
      <c r="L22" s="51">
        <v>28.07</v>
      </c>
      <c r="M22" s="51">
        <v>75.510000000000005</v>
      </c>
      <c r="N22" s="51">
        <v>223.1</v>
      </c>
      <c r="O22" s="51">
        <v>0</v>
      </c>
      <c r="P22" s="51">
        <v>0.28000000000000003</v>
      </c>
      <c r="Q22" s="51">
        <v>9.1</v>
      </c>
      <c r="R22" s="43"/>
      <c r="S22" s="43"/>
      <c r="T22" s="43"/>
      <c r="U22" s="43"/>
    </row>
    <row r="23" spans="1:21" s="11" customFormat="1" x14ac:dyDescent="0.25">
      <c r="A23" s="50" t="s">
        <v>506</v>
      </c>
      <c r="B23" s="51">
        <v>6.6</v>
      </c>
      <c r="C23" s="51">
        <v>16.920000000000002</v>
      </c>
      <c r="D23" s="51">
        <v>22.26</v>
      </c>
      <c r="E23" s="51">
        <v>4.04</v>
      </c>
      <c r="F23" s="51">
        <v>5.74</v>
      </c>
      <c r="G23" s="51">
        <v>56.33</v>
      </c>
      <c r="H23" s="51">
        <v>15.94</v>
      </c>
      <c r="I23" s="51">
        <v>4.09</v>
      </c>
      <c r="J23" s="51">
        <v>0.26</v>
      </c>
      <c r="K23" s="51">
        <v>291.83999999999997</v>
      </c>
      <c r="L23" s="51">
        <v>28.25</v>
      </c>
      <c r="M23" s="51">
        <v>76.97</v>
      </c>
      <c r="N23" s="51">
        <v>182.5</v>
      </c>
      <c r="O23" s="51">
        <v>0</v>
      </c>
      <c r="P23" s="51">
        <v>0.3</v>
      </c>
      <c r="Q23" s="51">
        <v>9.15</v>
      </c>
      <c r="R23" s="43"/>
      <c r="S23" s="43"/>
      <c r="T23" s="43"/>
      <c r="U23" s="43"/>
    </row>
    <row r="24" spans="1:21" s="11" customFormat="1" x14ac:dyDescent="0.25">
      <c r="A24" s="50" t="s">
        <v>507</v>
      </c>
      <c r="B24" s="51">
        <v>7.75</v>
      </c>
      <c r="C24" s="51">
        <v>17.920000000000002</v>
      </c>
      <c r="D24" s="51">
        <v>23.65</v>
      </c>
      <c r="E24" s="51">
        <v>4.16</v>
      </c>
      <c r="F24" s="51">
        <v>7.94</v>
      </c>
      <c r="G24" s="51">
        <v>56.66</v>
      </c>
      <c r="H24" s="51">
        <v>12.98</v>
      </c>
      <c r="I24" s="51">
        <v>4.1100000000000003</v>
      </c>
      <c r="J24" s="51">
        <v>0.22</v>
      </c>
      <c r="K24" s="51">
        <v>290.93</v>
      </c>
      <c r="L24" s="51">
        <v>27.82</v>
      </c>
      <c r="M24" s="51">
        <v>78.91</v>
      </c>
      <c r="N24" s="51">
        <v>134.1</v>
      </c>
      <c r="O24" s="51">
        <v>0</v>
      </c>
      <c r="P24" s="51">
        <v>0.31</v>
      </c>
      <c r="Q24" s="51">
        <v>9.15</v>
      </c>
      <c r="R24" s="43"/>
      <c r="S24" s="43"/>
      <c r="T24" s="43"/>
      <c r="U24" s="43"/>
    </row>
    <row r="25" spans="1:21" s="11" customFormat="1" x14ac:dyDescent="0.25">
      <c r="A25" s="50" t="s">
        <v>508</v>
      </c>
      <c r="B25" s="51">
        <v>4.22</v>
      </c>
      <c r="C25" s="51">
        <v>16.07</v>
      </c>
      <c r="D25" s="51">
        <v>24.27</v>
      </c>
      <c r="E25" s="51">
        <v>4.25</v>
      </c>
      <c r="F25" s="51">
        <v>13.07</v>
      </c>
      <c r="G25" s="51">
        <v>43.25</v>
      </c>
      <c r="H25" s="51">
        <v>12.15</v>
      </c>
      <c r="I25" s="51">
        <v>4.09</v>
      </c>
      <c r="J25" s="51">
        <v>0.13</v>
      </c>
      <c r="K25" s="51">
        <v>313.25</v>
      </c>
      <c r="L25" s="51">
        <v>27.72</v>
      </c>
      <c r="M25" s="51">
        <v>75.63</v>
      </c>
      <c r="N25" s="51">
        <v>154.5</v>
      </c>
      <c r="O25" s="51">
        <v>0</v>
      </c>
      <c r="P25" s="51">
        <v>0.3</v>
      </c>
      <c r="Q25" s="51">
        <v>9.1199999999999992</v>
      </c>
      <c r="R25" s="43"/>
      <c r="S25" s="43"/>
      <c r="T25" s="43"/>
      <c r="U25" s="43"/>
    </row>
    <row r="26" spans="1:21" s="11" customFormat="1" x14ac:dyDescent="0.25">
      <c r="A26" s="50" t="s">
        <v>509</v>
      </c>
      <c r="B26" s="57" t="s">
        <v>14</v>
      </c>
      <c r="C26" s="57" t="s">
        <v>14</v>
      </c>
      <c r="D26" s="57" t="s">
        <v>14</v>
      </c>
      <c r="E26" s="51">
        <v>4.43</v>
      </c>
      <c r="F26" s="51">
        <v>9.61</v>
      </c>
      <c r="G26" s="51">
        <v>59.96</v>
      </c>
      <c r="H26" s="51">
        <v>12.67</v>
      </c>
      <c r="I26" s="51">
        <v>4.05</v>
      </c>
      <c r="J26" s="51">
        <v>0.28999999999999998</v>
      </c>
      <c r="K26" s="51">
        <v>195.23</v>
      </c>
      <c r="L26" s="51">
        <v>27.69</v>
      </c>
      <c r="M26" s="51">
        <v>81</v>
      </c>
      <c r="N26" s="51">
        <v>113.8</v>
      </c>
      <c r="O26" s="51">
        <v>0</v>
      </c>
      <c r="P26" s="51">
        <v>0.25</v>
      </c>
      <c r="Q26" s="51">
        <v>9.07</v>
      </c>
      <c r="R26" s="43"/>
      <c r="S26" s="43"/>
      <c r="T26" s="43"/>
      <c r="U26" s="43"/>
    </row>
    <row r="27" spans="1:21" s="11" customFormat="1" x14ac:dyDescent="0.25">
      <c r="A27" s="50" t="s">
        <v>510</v>
      </c>
      <c r="B27" s="57" t="s">
        <v>14</v>
      </c>
      <c r="C27" s="57" t="s">
        <v>14</v>
      </c>
      <c r="D27" s="57" t="s">
        <v>14</v>
      </c>
      <c r="E27" s="51">
        <v>4.0999999999999996</v>
      </c>
      <c r="F27" s="51">
        <v>9.16</v>
      </c>
      <c r="G27" s="51">
        <v>52.83</v>
      </c>
      <c r="H27" s="51">
        <v>25.05</v>
      </c>
      <c r="I27" s="51">
        <v>4.1399999999999997</v>
      </c>
      <c r="J27" s="51">
        <v>0.27</v>
      </c>
      <c r="K27" s="51">
        <v>240.03</v>
      </c>
      <c r="L27" s="51">
        <v>26.58</v>
      </c>
      <c r="M27" s="51">
        <v>84.07</v>
      </c>
      <c r="N27" s="51">
        <v>92.8</v>
      </c>
      <c r="O27" s="51">
        <v>0</v>
      </c>
      <c r="P27" s="51">
        <v>0.25</v>
      </c>
      <c r="Q27" s="51">
        <v>9.16</v>
      </c>
      <c r="R27" s="43"/>
      <c r="S27" s="43"/>
      <c r="T27" s="43"/>
      <c r="U27" s="43"/>
    </row>
    <row r="28" spans="1:21" s="11" customFormat="1" x14ac:dyDescent="0.25">
      <c r="A28" s="50" t="s">
        <v>511</v>
      </c>
      <c r="B28" s="57" t="s">
        <v>14</v>
      </c>
      <c r="C28" s="57" t="s">
        <v>14</v>
      </c>
      <c r="D28" s="57" t="s">
        <v>14</v>
      </c>
      <c r="E28" s="51">
        <v>4.47</v>
      </c>
      <c r="F28" s="51">
        <v>9.49</v>
      </c>
      <c r="G28" s="51">
        <v>55.28</v>
      </c>
      <c r="H28" s="51">
        <v>15.72</v>
      </c>
      <c r="I28" s="51">
        <v>4.1500000000000004</v>
      </c>
      <c r="J28" s="51">
        <v>0.13</v>
      </c>
      <c r="K28" s="51">
        <v>204.98</v>
      </c>
      <c r="L28" s="51">
        <v>26.27</v>
      </c>
      <c r="M28" s="51">
        <v>86.41</v>
      </c>
      <c r="N28" s="51">
        <v>84.3</v>
      </c>
      <c r="O28" s="51">
        <v>0</v>
      </c>
      <c r="P28" s="51">
        <v>0.27</v>
      </c>
      <c r="Q28" s="51">
        <v>9.2100000000000009</v>
      </c>
      <c r="R28" s="43"/>
      <c r="S28" s="43"/>
      <c r="T28" s="43"/>
      <c r="U28" s="43"/>
    </row>
    <row r="29" spans="1:21" s="11" customFormat="1" x14ac:dyDescent="0.25">
      <c r="A29" s="50" t="s">
        <v>512</v>
      </c>
      <c r="B29" s="57" t="s">
        <v>14</v>
      </c>
      <c r="C29" s="57" t="s">
        <v>14</v>
      </c>
      <c r="D29" s="57" t="s">
        <v>14</v>
      </c>
      <c r="E29" s="51">
        <v>4.75</v>
      </c>
      <c r="F29" s="51">
        <v>5.16</v>
      </c>
      <c r="G29" s="51">
        <v>57</v>
      </c>
      <c r="H29" s="51">
        <v>6.98</v>
      </c>
      <c r="I29" s="51">
        <v>4.08</v>
      </c>
      <c r="J29" s="51">
        <v>0.37</v>
      </c>
      <c r="K29" s="51">
        <v>285.04000000000002</v>
      </c>
      <c r="L29" s="51">
        <v>25.98</v>
      </c>
      <c r="M29" s="51">
        <v>93.7</v>
      </c>
      <c r="N29" s="51">
        <v>73.8</v>
      </c>
      <c r="O29" s="51">
        <v>0</v>
      </c>
      <c r="P29" s="51">
        <v>0.28999999999999998</v>
      </c>
      <c r="Q29" s="51">
        <v>9.2200000000000006</v>
      </c>
      <c r="R29" s="43"/>
      <c r="S29" s="43"/>
      <c r="T29" s="43"/>
      <c r="U29" s="43"/>
    </row>
    <row r="30" spans="1:21" s="11" customFormat="1" x14ac:dyDescent="0.25">
      <c r="A30" s="50" t="s">
        <v>513</v>
      </c>
      <c r="B30" s="57" t="s">
        <v>14</v>
      </c>
      <c r="C30" s="57" t="s">
        <v>14</v>
      </c>
      <c r="D30" s="57" t="s">
        <v>14</v>
      </c>
      <c r="E30" s="51">
        <v>4.0599999999999996</v>
      </c>
      <c r="F30" s="51">
        <v>4.62</v>
      </c>
      <c r="G30" s="51">
        <v>51.29</v>
      </c>
      <c r="H30" s="51">
        <v>8.51</v>
      </c>
      <c r="I30" s="51">
        <v>4.21</v>
      </c>
      <c r="J30" s="51">
        <v>0.16</v>
      </c>
      <c r="K30" s="51">
        <v>340.39</v>
      </c>
      <c r="L30" s="51">
        <v>25.55</v>
      </c>
      <c r="M30" s="51">
        <v>98.11</v>
      </c>
      <c r="N30" s="51">
        <v>88.2</v>
      </c>
      <c r="O30" s="51">
        <v>0.2</v>
      </c>
      <c r="P30" s="51">
        <v>0.28000000000000003</v>
      </c>
      <c r="Q30" s="51">
        <v>9.23</v>
      </c>
      <c r="R30" s="43"/>
      <c r="S30" s="43"/>
      <c r="T30" s="43"/>
      <c r="U30" s="43"/>
    </row>
    <row r="31" spans="1:21" s="11" customFormat="1" x14ac:dyDescent="0.25">
      <c r="A31" s="50" t="s">
        <v>514</v>
      </c>
      <c r="B31" s="57" t="s">
        <v>14</v>
      </c>
      <c r="C31" s="57" t="s">
        <v>14</v>
      </c>
      <c r="D31" s="57" t="s">
        <v>14</v>
      </c>
      <c r="E31" s="51">
        <v>4.13</v>
      </c>
      <c r="F31" s="51">
        <v>8.92</v>
      </c>
      <c r="G31" s="51">
        <v>38.49</v>
      </c>
      <c r="H31" s="51">
        <v>9.44</v>
      </c>
      <c r="I31" s="51">
        <v>4.08</v>
      </c>
      <c r="J31" s="51">
        <v>0.28999999999999998</v>
      </c>
      <c r="K31" s="51">
        <v>197.89</v>
      </c>
      <c r="L31" s="51">
        <v>24.49</v>
      </c>
      <c r="M31" s="51">
        <v>98.26</v>
      </c>
      <c r="N31" s="51">
        <v>87.4</v>
      </c>
      <c r="O31" s="51">
        <v>0</v>
      </c>
      <c r="P31" s="51">
        <v>0.27</v>
      </c>
      <c r="Q31" s="51">
        <v>9.23</v>
      </c>
      <c r="R31" s="43"/>
      <c r="S31" s="43"/>
      <c r="T31" s="43"/>
      <c r="U31" s="43"/>
    </row>
    <row r="32" spans="1:21" s="11" customFormat="1" x14ac:dyDescent="0.25">
      <c r="A32" s="50" t="s">
        <v>515</v>
      </c>
      <c r="B32" s="57" t="s">
        <v>14</v>
      </c>
      <c r="C32" s="57" t="s">
        <v>14</v>
      </c>
      <c r="D32" s="57" t="s">
        <v>14</v>
      </c>
      <c r="E32" s="51">
        <v>4.3099999999999996</v>
      </c>
      <c r="F32" s="51">
        <v>5.35</v>
      </c>
      <c r="G32" s="51">
        <v>33.26</v>
      </c>
      <c r="H32" s="51">
        <v>144.63</v>
      </c>
      <c r="I32" s="51">
        <v>4.01</v>
      </c>
      <c r="J32" s="51">
        <v>0.31</v>
      </c>
      <c r="K32" s="51">
        <v>311.51</v>
      </c>
      <c r="L32" s="51">
        <v>24.62</v>
      </c>
      <c r="M32" s="51">
        <v>98.27</v>
      </c>
      <c r="N32" s="51">
        <v>85.7</v>
      </c>
      <c r="O32" s="51">
        <v>0</v>
      </c>
      <c r="P32" s="51">
        <v>0.25</v>
      </c>
      <c r="Q32" s="51">
        <v>9.25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4.22</v>
      </c>
      <c r="C34" s="28">
        <f t="shared" si="0"/>
        <v>14.38</v>
      </c>
      <c r="D34" s="28">
        <f t="shared" si="0"/>
        <v>17.18</v>
      </c>
      <c r="E34" s="28">
        <f t="shared" si="0"/>
        <v>3.65</v>
      </c>
      <c r="F34" s="28">
        <f t="shared" si="0"/>
        <v>4.54</v>
      </c>
      <c r="G34" s="28">
        <f t="shared" si="0"/>
        <v>28.97</v>
      </c>
      <c r="H34" s="28">
        <f t="shared" si="0"/>
        <v>-5.09</v>
      </c>
      <c r="I34" s="28">
        <f t="shared" si="0"/>
        <v>4.01</v>
      </c>
      <c r="J34" s="28">
        <f t="shared" si="0"/>
        <v>0.09</v>
      </c>
      <c r="K34" s="28">
        <f t="shared" si="0"/>
        <v>195.23</v>
      </c>
      <c r="L34" s="28">
        <f t="shared" si="0"/>
        <v>24.49</v>
      </c>
      <c r="M34" s="28">
        <f t="shared" si="0"/>
        <v>75.12</v>
      </c>
      <c r="N34" s="28">
        <f t="shared" si="0"/>
        <v>53.6</v>
      </c>
      <c r="O34" s="28">
        <f t="shared" si="0"/>
        <v>0</v>
      </c>
      <c r="P34" s="28">
        <f t="shared" si="0"/>
        <v>0.18</v>
      </c>
      <c r="Q34" s="28">
        <f t="shared" si="0"/>
        <v>9.07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12.14</v>
      </c>
      <c r="C35" s="29">
        <f t="shared" si="1"/>
        <v>22.5</v>
      </c>
      <c r="D35" s="29">
        <f t="shared" si="1"/>
        <v>24.43</v>
      </c>
      <c r="E35" s="29">
        <f t="shared" si="1"/>
        <v>4.75</v>
      </c>
      <c r="F35" s="29">
        <f t="shared" si="1"/>
        <v>13.07</v>
      </c>
      <c r="G35" s="29">
        <f t="shared" si="1"/>
        <v>60.91</v>
      </c>
      <c r="H35" s="29">
        <f t="shared" si="1"/>
        <v>1430.92</v>
      </c>
      <c r="I35" s="29">
        <f t="shared" si="1"/>
        <v>4.21</v>
      </c>
      <c r="J35" s="29">
        <f t="shared" si="1"/>
        <v>0.37</v>
      </c>
      <c r="K35" s="29">
        <f t="shared" si="1"/>
        <v>340.39</v>
      </c>
      <c r="L35" s="29">
        <f t="shared" si="1"/>
        <v>28.25</v>
      </c>
      <c r="M35" s="29">
        <f t="shared" si="1"/>
        <v>100.88</v>
      </c>
      <c r="N35" s="29">
        <f t="shared" si="1"/>
        <v>234.3</v>
      </c>
      <c r="O35" s="29">
        <f t="shared" si="1"/>
        <v>0.2</v>
      </c>
      <c r="P35" s="29">
        <f t="shared" si="1"/>
        <v>0.32</v>
      </c>
      <c r="Q35" s="29">
        <f t="shared" si="1"/>
        <v>9.34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8.2882352941176478</v>
      </c>
      <c r="C36" s="28">
        <f t="shared" si="2"/>
        <v>17.592941176470589</v>
      </c>
      <c r="D36" s="28">
        <f t="shared" si="2"/>
        <v>21.119999999999997</v>
      </c>
      <c r="E36" s="28">
        <f t="shared" si="2"/>
        <v>4.1749999999999998</v>
      </c>
      <c r="F36" s="28">
        <f t="shared" si="2"/>
        <v>7.0979166666666664</v>
      </c>
      <c r="G36" s="28">
        <f t="shared" si="2"/>
        <v>46.042083333333345</v>
      </c>
      <c r="H36" s="28">
        <f t="shared" si="2"/>
        <v>112.27375000000002</v>
      </c>
      <c r="I36" s="28">
        <f t="shared" si="2"/>
        <v>4.0887500000000001</v>
      </c>
      <c r="J36" s="28">
        <f t="shared" si="2"/>
        <v>0.2175</v>
      </c>
      <c r="K36" s="28">
        <f t="shared" si="2"/>
        <v>282.22833333333335</v>
      </c>
      <c r="L36" s="28">
        <f t="shared" si="2"/>
        <v>26.74541666666666</v>
      </c>
      <c r="M36" s="28">
        <f t="shared" si="2"/>
        <v>86.669166666666683</v>
      </c>
      <c r="N36" s="28">
        <f t="shared" si="2"/>
        <v>123.10416666666669</v>
      </c>
      <c r="O36" s="28">
        <f t="shared" si="2"/>
        <v>8.3333333333333332E-3</v>
      </c>
      <c r="P36" s="28">
        <f t="shared" si="2"/>
        <v>0.25958333333333328</v>
      </c>
      <c r="Q36" s="28">
        <f t="shared" si="2"/>
        <v>9.2224999999999984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2.1293139602173383</v>
      </c>
      <c r="C37" s="28">
        <f t="shared" ref="C37:Q37" si="3">STDEV(C9:C32)</f>
        <v>2.0503010897971508</v>
      </c>
      <c r="D37" s="28">
        <f t="shared" si="3"/>
        <v>2.3550530779581367</v>
      </c>
      <c r="E37" s="28">
        <f t="shared" si="3"/>
        <v>0.29968098980778535</v>
      </c>
      <c r="F37" s="28">
        <f t="shared" si="3"/>
        <v>2.4067170118986381</v>
      </c>
      <c r="G37" s="28">
        <f t="shared" si="3"/>
        <v>10.829338162428554</v>
      </c>
      <c r="H37" s="28">
        <f t="shared" si="3"/>
        <v>294.10674775773236</v>
      </c>
      <c r="I37" s="28">
        <f t="shared" si="3"/>
        <v>6.0167339110618667E-2</v>
      </c>
      <c r="J37" s="28">
        <f t="shared" si="3"/>
        <v>9.0949101867114621E-2</v>
      </c>
      <c r="K37" s="28">
        <f t="shared" si="3"/>
        <v>37.059064333511557</v>
      </c>
      <c r="L37" s="28">
        <f t="shared" si="3"/>
        <v>1.0799958903571836</v>
      </c>
      <c r="M37" s="28">
        <f t="shared" si="3"/>
        <v>8.7956125014328759</v>
      </c>
      <c r="N37" s="28">
        <f t="shared" si="3"/>
        <v>64.148458785014853</v>
      </c>
      <c r="O37" s="28">
        <f t="shared" si="3"/>
        <v>4.0824829046386311E-2</v>
      </c>
      <c r="P37" s="28">
        <f t="shared" si="3"/>
        <v>4.0483938486297805E-2</v>
      </c>
      <c r="Q37" s="28">
        <f t="shared" si="3"/>
        <v>7.3971204738295063E-2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COUNT(B9:B32)+7</f>
        <v>24</v>
      </c>
      <c r="C38" s="32">
        <f t="shared" ref="C38:D38" si="4">COUNT(C9:C32)+7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516</v>
      </c>
      <c r="B9" s="57" t="s">
        <v>14</v>
      </c>
      <c r="C9" s="57" t="s">
        <v>14</v>
      </c>
      <c r="D9" s="57" t="s">
        <v>14</v>
      </c>
      <c r="E9" s="51">
        <v>4.22</v>
      </c>
      <c r="F9" s="51">
        <v>5.34</v>
      </c>
      <c r="G9" s="51">
        <v>26.64</v>
      </c>
      <c r="H9" s="51">
        <v>529.63</v>
      </c>
      <c r="I9" s="51">
        <v>4.1500000000000004</v>
      </c>
      <c r="J9" s="51">
        <v>0.24</v>
      </c>
      <c r="K9" s="51">
        <v>317.66000000000003</v>
      </c>
      <c r="L9" s="51">
        <v>23.21</v>
      </c>
      <c r="M9" s="51">
        <v>98.37</v>
      </c>
      <c r="N9" s="51">
        <v>82.7</v>
      </c>
      <c r="O9" s="51">
        <v>0.2</v>
      </c>
      <c r="P9" s="51">
        <v>0.2</v>
      </c>
      <c r="Q9" s="51">
        <v>9.11</v>
      </c>
      <c r="R9" s="43"/>
      <c r="S9" s="43"/>
      <c r="T9" s="43"/>
      <c r="U9" s="43"/>
    </row>
    <row r="10" spans="1:21" s="11" customFormat="1" x14ac:dyDescent="0.25">
      <c r="A10" s="50" t="s">
        <v>517</v>
      </c>
      <c r="B10" s="57" t="s">
        <v>14</v>
      </c>
      <c r="C10" s="57" t="s">
        <v>14</v>
      </c>
      <c r="D10" s="57" t="s">
        <v>14</v>
      </c>
      <c r="E10" s="51">
        <v>3.98</v>
      </c>
      <c r="F10" s="51">
        <v>4.8099999999999996</v>
      </c>
      <c r="G10" s="51">
        <v>19.36</v>
      </c>
      <c r="H10" s="51">
        <v>14.49</v>
      </c>
      <c r="I10" s="51">
        <v>4.16</v>
      </c>
      <c r="J10" s="51">
        <v>0.24</v>
      </c>
      <c r="K10" s="51">
        <v>322.04000000000002</v>
      </c>
      <c r="L10" s="51">
        <v>23.03</v>
      </c>
      <c r="M10" s="51">
        <v>98.32</v>
      </c>
      <c r="N10" s="51">
        <v>70.7</v>
      </c>
      <c r="O10" s="51">
        <v>0</v>
      </c>
      <c r="P10" s="51">
        <v>0.21</v>
      </c>
      <c r="Q10" s="51">
        <v>9.0299999999999994</v>
      </c>
      <c r="R10" s="43"/>
      <c r="S10" s="43"/>
      <c r="T10" s="43"/>
      <c r="U10" s="43"/>
    </row>
    <row r="11" spans="1:21" s="11" customFormat="1" x14ac:dyDescent="0.25">
      <c r="A11" s="50" t="s">
        <v>518</v>
      </c>
      <c r="B11" s="57" t="s">
        <v>14</v>
      </c>
      <c r="C11" s="57" t="s">
        <v>14</v>
      </c>
      <c r="D11" s="57" t="s">
        <v>14</v>
      </c>
      <c r="E11" s="51">
        <v>3.81</v>
      </c>
      <c r="F11" s="51">
        <v>4.5599999999999996</v>
      </c>
      <c r="G11" s="51">
        <v>17.010000000000002</v>
      </c>
      <c r="H11" s="51">
        <v>2.73</v>
      </c>
      <c r="I11" s="51">
        <v>4</v>
      </c>
      <c r="J11" s="51">
        <v>0.23</v>
      </c>
      <c r="K11" s="51">
        <v>319.26</v>
      </c>
      <c r="L11" s="51">
        <v>23.27</v>
      </c>
      <c r="M11" s="51">
        <v>98.58</v>
      </c>
      <c r="N11" s="51">
        <v>79.8</v>
      </c>
      <c r="O11" s="51">
        <v>0</v>
      </c>
      <c r="P11" s="51">
        <v>0.19</v>
      </c>
      <c r="Q11" s="51">
        <v>9</v>
      </c>
      <c r="R11" s="43"/>
      <c r="S11" s="43"/>
      <c r="T11" s="43"/>
      <c r="U11" s="43"/>
    </row>
    <row r="12" spans="1:21" s="11" customFormat="1" x14ac:dyDescent="0.25">
      <c r="A12" s="50" t="s">
        <v>519</v>
      </c>
      <c r="B12" s="57" t="s">
        <v>14</v>
      </c>
      <c r="C12" s="57" t="s">
        <v>14</v>
      </c>
      <c r="D12" s="57" t="s">
        <v>14</v>
      </c>
      <c r="E12" s="51">
        <v>3.81</v>
      </c>
      <c r="F12" s="51">
        <v>4.7699999999999996</v>
      </c>
      <c r="G12" s="51">
        <v>12.21</v>
      </c>
      <c r="H12" s="51">
        <v>6.71</v>
      </c>
      <c r="I12" s="51">
        <v>3.99</v>
      </c>
      <c r="J12" s="51">
        <v>0.28000000000000003</v>
      </c>
      <c r="K12" s="51">
        <v>302.95999999999998</v>
      </c>
      <c r="L12" s="51">
        <v>23.3</v>
      </c>
      <c r="M12" s="51">
        <v>98.8</v>
      </c>
      <c r="N12" s="51">
        <v>76.599999999999994</v>
      </c>
      <c r="O12" s="51">
        <v>0</v>
      </c>
      <c r="P12" s="51">
        <v>0.18</v>
      </c>
      <c r="Q12" s="51">
        <v>9.01</v>
      </c>
      <c r="R12" s="43"/>
      <c r="S12" s="43"/>
      <c r="T12" s="43"/>
      <c r="U12" s="43"/>
    </row>
    <row r="13" spans="1:21" s="11" customFormat="1" x14ac:dyDescent="0.25">
      <c r="A13" s="50" t="s">
        <v>520</v>
      </c>
      <c r="B13" s="57" t="s">
        <v>14</v>
      </c>
      <c r="C13" s="57" t="s">
        <v>14</v>
      </c>
      <c r="D13" s="57" t="s">
        <v>14</v>
      </c>
      <c r="E13" s="51">
        <v>4.09</v>
      </c>
      <c r="F13" s="51">
        <v>4.8</v>
      </c>
      <c r="G13" s="51">
        <v>8.65</v>
      </c>
      <c r="H13" s="51">
        <v>18.87</v>
      </c>
      <c r="I13" s="51">
        <v>4.09</v>
      </c>
      <c r="J13" s="51">
        <v>0.28999999999999998</v>
      </c>
      <c r="K13" s="51">
        <v>300.88</v>
      </c>
      <c r="L13" s="51">
        <v>23.1</v>
      </c>
      <c r="M13" s="51">
        <v>99.27</v>
      </c>
      <c r="N13" s="51">
        <v>80.900000000000006</v>
      </c>
      <c r="O13" s="51">
        <v>0</v>
      </c>
      <c r="P13" s="51">
        <v>0.17</v>
      </c>
      <c r="Q13" s="51">
        <v>9.02</v>
      </c>
      <c r="R13" s="43"/>
      <c r="S13" s="43"/>
      <c r="T13" s="43"/>
      <c r="U13" s="43"/>
    </row>
    <row r="14" spans="1:21" s="11" customFormat="1" x14ac:dyDescent="0.25">
      <c r="A14" s="50" t="s">
        <v>521</v>
      </c>
      <c r="B14" s="51">
        <v>4.76</v>
      </c>
      <c r="C14" s="51">
        <v>13.78</v>
      </c>
      <c r="D14" s="51">
        <v>19.07</v>
      </c>
      <c r="E14" s="51">
        <v>4.05</v>
      </c>
      <c r="F14" s="51">
        <v>4.4800000000000004</v>
      </c>
      <c r="G14" s="51">
        <v>9.02</v>
      </c>
      <c r="H14" s="51">
        <v>2.16</v>
      </c>
      <c r="I14" s="51">
        <v>4.09</v>
      </c>
      <c r="J14" s="51">
        <v>0.27</v>
      </c>
      <c r="K14" s="51">
        <v>297.76</v>
      </c>
      <c r="L14" s="51">
        <v>23.12</v>
      </c>
      <c r="M14" s="51">
        <v>98.86</v>
      </c>
      <c r="N14" s="51">
        <v>80.8</v>
      </c>
      <c r="O14" s="51">
        <v>0</v>
      </c>
      <c r="P14" s="51">
        <v>0.2</v>
      </c>
      <c r="Q14" s="51">
        <v>9.01</v>
      </c>
      <c r="R14" s="43"/>
      <c r="S14" s="43"/>
      <c r="T14" s="43"/>
      <c r="U14" s="43"/>
    </row>
    <row r="15" spans="1:21" s="11" customFormat="1" x14ac:dyDescent="0.25">
      <c r="A15" s="50" t="s">
        <v>522</v>
      </c>
      <c r="B15" s="51">
        <v>4.74</v>
      </c>
      <c r="C15" s="51">
        <v>13.48</v>
      </c>
      <c r="D15" s="51">
        <v>18.52</v>
      </c>
      <c r="E15" s="51">
        <v>3.95</v>
      </c>
      <c r="F15" s="51">
        <v>4.4000000000000004</v>
      </c>
      <c r="G15" s="51">
        <v>13.28</v>
      </c>
      <c r="H15" s="51">
        <v>6.57</v>
      </c>
      <c r="I15" s="51">
        <v>4.07</v>
      </c>
      <c r="J15" s="51">
        <v>0.27</v>
      </c>
      <c r="K15" s="51">
        <v>292.42</v>
      </c>
      <c r="L15" s="51">
        <v>23.22</v>
      </c>
      <c r="M15" s="51">
        <v>98.62</v>
      </c>
      <c r="N15" s="51">
        <v>103.4</v>
      </c>
      <c r="O15" s="51">
        <v>0</v>
      </c>
      <c r="P15" s="51">
        <v>0.21</v>
      </c>
      <c r="Q15" s="51">
        <v>9.0299999999999994</v>
      </c>
      <c r="R15" s="43"/>
      <c r="S15" s="43"/>
      <c r="T15" s="43"/>
      <c r="U15" s="43"/>
    </row>
    <row r="16" spans="1:21" s="11" customFormat="1" x14ac:dyDescent="0.25">
      <c r="A16" s="50" t="s">
        <v>523</v>
      </c>
      <c r="B16" s="51">
        <v>4.9400000000000004</v>
      </c>
      <c r="C16" s="51">
        <v>13.83</v>
      </c>
      <c r="D16" s="51">
        <v>19.059999999999999</v>
      </c>
      <c r="E16" s="51">
        <v>4.13</v>
      </c>
      <c r="F16" s="51">
        <v>5</v>
      </c>
      <c r="G16" s="51">
        <v>21.61</v>
      </c>
      <c r="H16" s="51">
        <v>21.46</v>
      </c>
      <c r="I16" s="51">
        <v>4.04</v>
      </c>
      <c r="J16" s="51">
        <v>0.31</v>
      </c>
      <c r="K16" s="51">
        <v>299.27</v>
      </c>
      <c r="L16" s="51">
        <v>24.29</v>
      </c>
      <c r="M16" s="51">
        <v>96.88</v>
      </c>
      <c r="N16" s="51">
        <v>227.2</v>
      </c>
      <c r="O16" s="51">
        <v>0</v>
      </c>
      <c r="P16" s="51">
        <v>0.24</v>
      </c>
      <c r="Q16" s="51">
        <v>9.06</v>
      </c>
      <c r="R16" s="43"/>
      <c r="S16" s="43"/>
      <c r="T16" s="43"/>
      <c r="U16" s="43"/>
    </row>
    <row r="17" spans="1:21" s="11" customFormat="1" x14ac:dyDescent="0.25">
      <c r="A17" s="50" t="s">
        <v>524</v>
      </c>
      <c r="B17" s="51">
        <v>4.6900000000000004</v>
      </c>
      <c r="C17" s="51">
        <v>14.05</v>
      </c>
      <c r="D17" s="51">
        <v>19.88</v>
      </c>
      <c r="E17" s="51">
        <v>3.76</v>
      </c>
      <c r="F17" s="51">
        <v>5.39</v>
      </c>
      <c r="G17" s="51">
        <v>28.24</v>
      </c>
      <c r="H17" s="51">
        <v>12.1</v>
      </c>
      <c r="I17" s="51">
        <v>4.1399999999999997</v>
      </c>
      <c r="J17" s="51">
        <v>0.34</v>
      </c>
      <c r="K17" s="51">
        <v>293.42</v>
      </c>
      <c r="L17" s="51">
        <v>25.09</v>
      </c>
      <c r="M17" s="51">
        <v>92.44</v>
      </c>
      <c r="N17" s="51">
        <v>281.8</v>
      </c>
      <c r="O17" s="51">
        <v>0</v>
      </c>
      <c r="P17" s="51">
        <v>0.27</v>
      </c>
      <c r="Q17" s="51">
        <v>9.07</v>
      </c>
      <c r="R17" s="43"/>
      <c r="S17" s="43"/>
      <c r="T17" s="43"/>
      <c r="U17" s="43"/>
    </row>
    <row r="18" spans="1:21" s="11" customFormat="1" x14ac:dyDescent="0.25">
      <c r="A18" s="50" t="s">
        <v>525</v>
      </c>
      <c r="B18" s="51">
        <v>5.15</v>
      </c>
      <c r="C18" s="51">
        <v>14.95</v>
      </c>
      <c r="D18" s="51">
        <v>21.28</v>
      </c>
      <c r="E18" s="51">
        <v>4.0199999999999996</v>
      </c>
      <c r="F18" s="51">
        <v>4.0999999999999996</v>
      </c>
      <c r="G18" s="51">
        <v>32.69</v>
      </c>
      <c r="H18" s="51">
        <v>13.76</v>
      </c>
      <c r="I18" s="51">
        <v>4.03</v>
      </c>
      <c r="J18" s="51">
        <v>0.38</v>
      </c>
      <c r="K18" s="51">
        <v>293.87</v>
      </c>
      <c r="L18" s="51">
        <v>26.42</v>
      </c>
      <c r="M18" s="51">
        <v>89.76</v>
      </c>
      <c r="N18" s="51">
        <v>279.7</v>
      </c>
      <c r="O18" s="51">
        <v>0</v>
      </c>
      <c r="P18" s="51">
        <v>0.3</v>
      </c>
      <c r="Q18" s="51">
        <v>9.07</v>
      </c>
      <c r="R18" s="43"/>
      <c r="S18" s="43"/>
      <c r="T18" s="43"/>
      <c r="U18" s="43"/>
    </row>
    <row r="19" spans="1:21" s="11" customFormat="1" x14ac:dyDescent="0.25">
      <c r="A19" s="50" t="s">
        <v>526</v>
      </c>
      <c r="B19" s="51">
        <v>4.79</v>
      </c>
      <c r="C19" s="51">
        <v>15.39</v>
      </c>
      <c r="D19" s="51">
        <v>23.06</v>
      </c>
      <c r="E19" s="51">
        <v>3.47</v>
      </c>
      <c r="F19" s="51">
        <v>5.35</v>
      </c>
      <c r="G19" s="51">
        <v>33.409999999999997</v>
      </c>
      <c r="H19" s="51">
        <v>9.24</v>
      </c>
      <c r="I19" s="51">
        <v>4.09</v>
      </c>
      <c r="J19" s="51">
        <v>0.51</v>
      </c>
      <c r="K19" s="51">
        <v>291.05</v>
      </c>
      <c r="L19" s="51">
        <v>27.54</v>
      </c>
      <c r="M19" s="51">
        <v>78.599999999999994</v>
      </c>
      <c r="N19" s="51">
        <v>384.5</v>
      </c>
      <c r="O19" s="51">
        <v>0</v>
      </c>
      <c r="P19" s="51">
        <v>0.33</v>
      </c>
      <c r="Q19" s="51">
        <v>9.06</v>
      </c>
      <c r="R19" s="43"/>
      <c r="S19" s="43"/>
      <c r="T19" s="43"/>
      <c r="U19" s="43"/>
    </row>
    <row r="20" spans="1:21" s="11" customFormat="1" x14ac:dyDescent="0.25">
      <c r="A20" s="50" t="s">
        <v>527</v>
      </c>
      <c r="B20" s="51">
        <v>4.57</v>
      </c>
      <c r="C20" s="51">
        <v>15.46</v>
      </c>
      <c r="D20" s="51">
        <v>22.65</v>
      </c>
      <c r="E20" s="51">
        <v>3.45</v>
      </c>
      <c r="F20" s="51">
        <v>4.8600000000000003</v>
      </c>
      <c r="G20" s="51">
        <v>33.6</v>
      </c>
      <c r="H20" s="51">
        <v>12.22</v>
      </c>
      <c r="I20" s="51">
        <v>4.01</v>
      </c>
      <c r="J20" s="51">
        <v>0.65</v>
      </c>
      <c r="K20" s="51">
        <v>294.77999999999997</v>
      </c>
      <c r="L20" s="51">
        <v>28.47</v>
      </c>
      <c r="M20" s="51">
        <v>75.150000000000006</v>
      </c>
      <c r="N20" s="51">
        <v>432</v>
      </c>
      <c r="O20" s="51">
        <v>0</v>
      </c>
      <c r="P20" s="51">
        <v>0.36</v>
      </c>
      <c r="Q20" s="51">
        <v>9.06</v>
      </c>
      <c r="R20" s="43"/>
      <c r="S20" s="43"/>
      <c r="T20" s="43"/>
      <c r="U20" s="43"/>
    </row>
    <row r="21" spans="1:21" s="11" customFormat="1" x14ac:dyDescent="0.25">
      <c r="A21" s="50" t="s">
        <v>528</v>
      </c>
      <c r="B21" s="51">
        <v>5.3</v>
      </c>
      <c r="C21" s="51">
        <v>17.88</v>
      </c>
      <c r="D21" s="51">
        <v>26.25</v>
      </c>
      <c r="E21" s="51">
        <v>3.82</v>
      </c>
      <c r="F21" s="51">
        <v>4.78</v>
      </c>
      <c r="G21" s="51">
        <v>42.18</v>
      </c>
      <c r="H21" s="51">
        <v>15.41</v>
      </c>
      <c r="I21" s="51">
        <v>4.07</v>
      </c>
      <c r="J21" s="51">
        <v>0.5</v>
      </c>
      <c r="K21" s="51">
        <v>289.62</v>
      </c>
      <c r="L21" s="51">
        <v>28.5</v>
      </c>
      <c r="M21" s="51">
        <v>76.69</v>
      </c>
      <c r="N21" s="51">
        <v>333.4</v>
      </c>
      <c r="O21" s="51">
        <v>0</v>
      </c>
      <c r="P21" s="51">
        <v>0.47</v>
      </c>
      <c r="Q21" s="51">
        <v>9.1</v>
      </c>
      <c r="R21" s="43"/>
      <c r="S21" s="43"/>
      <c r="T21" s="43"/>
      <c r="U21" s="43"/>
    </row>
    <row r="22" spans="1:21" s="11" customFormat="1" x14ac:dyDescent="0.25">
      <c r="A22" s="50" t="s">
        <v>529</v>
      </c>
      <c r="B22" s="51">
        <v>5.18</v>
      </c>
      <c r="C22" s="51">
        <v>17.079999999999998</v>
      </c>
      <c r="D22" s="51">
        <v>24.77</v>
      </c>
      <c r="E22" s="51">
        <v>3.77</v>
      </c>
      <c r="F22" s="51">
        <v>5.07</v>
      </c>
      <c r="G22" s="51">
        <v>55.53</v>
      </c>
      <c r="H22" s="51">
        <v>22.13</v>
      </c>
      <c r="I22" s="51">
        <v>3.99</v>
      </c>
      <c r="J22" s="51">
        <v>0.79</v>
      </c>
      <c r="K22" s="51">
        <v>294.63</v>
      </c>
      <c r="L22" s="51">
        <v>28.59</v>
      </c>
      <c r="M22" s="51">
        <v>72.88</v>
      </c>
      <c r="N22" s="51">
        <v>229.1</v>
      </c>
      <c r="O22" s="51">
        <v>0</v>
      </c>
      <c r="P22" s="51">
        <v>0.39</v>
      </c>
      <c r="Q22" s="51">
        <v>9.11</v>
      </c>
      <c r="R22" s="43"/>
      <c r="S22" s="43"/>
      <c r="T22" s="43"/>
      <c r="U22" s="43"/>
    </row>
    <row r="23" spans="1:21" s="11" customFormat="1" x14ac:dyDescent="0.25">
      <c r="A23" s="50" t="s">
        <v>530</v>
      </c>
      <c r="B23" s="51">
        <v>5.82</v>
      </c>
      <c r="C23" s="51">
        <v>17.399999999999999</v>
      </c>
      <c r="D23" s="51">
        <v>24.37</v>
      </c>
      <c r="E23" s="51">
        <v>3.71</v>
      </c>
      <c r="F23" s="51">
        <v>5.59</v>
      </c>
      <c r="G23" s="51">
        <v>57.91</v>
      </c>
      <c r="H23" s="51">
        <v>26.27</v>
      </c>
      <c r="I23" s="51">
        <v>3.92</v>
      </c>
      <c r="J23" s="51">
        <v>0.91</v>
      </c>
      <c r="K23" s="51">
        <v>301.47000000000003</v>
      </c>
      <c r="L23" s="51">
        <v>27.75</v>
      </c>
      <c r="M23" s="51">
        <v>86.93</v>
      </c>
      <c r="N23" s="51">
        <v>201.1</v>
      </c>
      <c r="O23" s="51">
        <v>0</v>
      </c>
      <c r="P23" s="51">
        <v>0.38</v>
      </c>
      <c r="Q23" s="51">
        <v>9.1300000000000008</v>
      </c>
      <c r="R23" s="43"/>
      <c r="S23" s="43"/>
      <c r="T23" s="43"/>
      <c r="U23" s="43"/>
    </row>
    <row r="24" spans="1:21" s="11" customFormat="1" x14ac:dyDescent="0.25">
      <c r="A24" s="50" t="s">
        <v>531</v>
      </c>
      <c r="B24" s="51">
        <v>8.0399999999999991</v>
      </c>
      <c r="C24" s="51">
        <v>17.989999999999998</v>
      </c>
      <c r="D24" s="51">
        <v>22.49</v>
      </c>
      <c r="E24" s="51">
        <v>3.78</v>
      </c>
      <c r="F24" s="51">
        <v>4.6500000000000004</v>
      </c>
      <c r="G24" s="51">
        <v>56.3</v>
      </c>
      <c r="H24" s="51">
        <v>19.510000000000002</v>
      </c>
      <c r="I24" s="51">
        <v>4.1100000000000003</v>
      </c>
      <c r="J24" s="51">
        <v>2.2599999999999998</v>
      </c>
      <c r="K24" s="51">
        <v>334.15</v>
      </c>
      <c r="L24" s="51">
        <v>27.15</v>
      </c>
      <c r="M24" s="51">
        <v>93.54</v>
      </c>
      <c r="N24" s="51">
        <v>201.7</v>
      </c>
      <c r="O24" s="51">
        <v>0</v>
      </c>
      <c r="P24" s="51">
        <v>0.35</v>
      </c>
      <c r="Q24" s="51">
        <v>9.18</v>
      </c>
      <c r="R24" s="43"/>
      <c r="S24" s="43"/>
      <c r="T24" s="43"/>
      <c r="U24" s="43"/>
    </row>
    <row r="25" spans="1:21" s="11" customFormat="1" x14ac:dyDescent="0.25">
      <c r="A25" s="50" t="s">
        <v>532</v>
      </c>
      <c r="B25" s="51">
        <v>11.21</v>
      </c>
      <c r="C25" s="51">
        <v>19.73</v>
      </c>
      <c r="D25" s="51">
        <v>22.43</v>
      </c>
      <c r="E25" s="51">
        <v>2.25</v>
      </c>
      <c r="F25" s="51">
        <v>3.77</v>
      </c>
      <c r="G25" s="51">
        <v>58.39</v>
      </c>
      <c r="H25" s="51">
        <v>8.89</v>
      </c>
      <c r="I25" s="51">
        <v>4.16</v>
      </c>
      <c r="J25" s="51">
        <v>1.64</v>
      </c>
      <c r="K25" s="51">
        <v>339.61</v>
      </c>
      <c r="L25" s="51">
        <v>24.8</v>
      </c>
      <c r="M25" s="51">
        <v>98.62</v>
      </c>
      <c r="N25" s="51">
        <v>88.3</v>
      </c>
      <c r="O25" s="51">
        <v>0</v>
      </c>
      <c r="P25" s="51">
        <v>0.37</v>
      </c>
      <c r="Q25" s="51">
        <v>9.25</v>
      </c>
      <c r="R25" s="43"/>
      <c r="S25" s="43"/>
      <c r="T25" s="43"/>
      <c r="U25" s="43"/>
    </row>
    <row r="26" spans="1:21" s="11" customFormat="1" x14ac:dyDescent="0.25">
      <c r="A26" s="50" t="s">
        <v>533</v>
      </c>
      <c r="B26" s="51">
        <v>17.91</v>
      </c>
      <c r="C26" s="51">
        <v>29.21</v>
      </c>
      <c r="D26" s="51">
        <v>28.42</v>
      </c>
      <c r="E26" s="51">
        <v>2.2200000000000002</v>
      </c>
      <c r="F26" s="51">
        <v>7.93</v>
      </c>
      <c r="G26" s="51">
        <v>64.33</v>
      </c>
      <c r="H26" s="51">
        <v>19.54</v>
      </c>
      <c r="I26" s="51">
        <v>4.09</v>
      </c>
      <c r="J26" s="51">
        <v>0.51</v>
      </c>
      <c r="K26" s="51">
        <v>322.35000000000002</v>
      </c>
      <c r="L26" s="51">
        <v>25.33</v>
      </c>
      <c r="M26" s="51">
        <v>96.95</v>
      </c>
      <c r="N26" s="51">
        <v>93.7</v>
      </c>
      <c r="O26" s="51">
        <v>0</v>
      </c>
      <c r="P26" s="51">
        <v>0.56000000000000005</v>
      </c>
      <c r="Q26" s="51">
        <v>9.34</v>
      </c>
      <c r="R26" s="43"/>
      <c r="S26" s="43"/>
      <c r="T26" s="43"/>
      <c r="U26" s="43"/>
    </row>
    <row r="27" spans="1:21" s="11" customFormat="1" x14ac:dyDescent="0.25">
      <c r="A27" s="50" t="s">
        <v>534</v>
      </c>
      <c r="B27" s="51">
        <v>21.43</v>
      </c>
      <c r="C27" s="51">
        <v>33.409999999999997</v>
      </c>
      <c r="D27" s="51">
        <v>34.659999999999997</v>
      </c>
      <c r="E27" s="51">
        <v>2.1</v>
      </c>
      <c r="F27" s="51">
        <v>8.23</v>
      </c>
      <c r="G27" s="51">
        <v>71.84</v>
      </c>
      <c r="H27" s="51">
        <v>31.66</v>
      </c>
      <c r="I27" s="51">
        <v>4.0999999999999996</v>
      </c>
      <c r="J27" s="51">
        <v>0.3</v>
      </c>
      <c r="K27" s="51">
        <v>322.83</v>
      </c>
      <c r="L27" s="51">
        <v>25.26</v>
      </c>
      <c r="M27" s="51">
        <v>96.54</v>
      </c>
      <c r="N27" s="51">
        <v>64</v>
      </c>
      <c r="O27" s="51">
        <v>0</v>
      </c>
      <c r="P27" s="51">
        <v>0.57999999999999996</v>
      </c>
      <c r="Q27" s="51">
        <v>9.4499999999999993</v>
      </c>
      <c r="R27" s="43"/>
      <c r="S27" s="43"/>
      <c r="T27" s="43"/>
      <c r="U27" s="43"/>
    </row>
    <row r="28" spans="1:21" s="11" customFormat="1" x14ac:dyDescent="0.25">
      <c r="A28" s="50" t="s">
        <v>535</v>
      </c>
      <c r="B28" s="51">
        <v>13.85</v>
      </c>
      <c r="C28" s="51">
        <v>26.7</v>
      </c>
      <c r="D28" s="51">
        <v>31.17</v>
      </c>
      <c r="E28" s="51">
        <v>2.4300000000000002</v>
      </c>
      <c r="F28" s="51">
        <v>9.01</v>
      </c>
      <c r="G28" s="51">
        <v>74.67</v>
      </c>
      <c r="H28" s="51">
        <v>33.380000000000003</v>
      </c>
      <c r="I28" s="51">
        <v>4.03</v>
      </c>
      <c r="J28" s="51">
        <v>0.08</v>
      </c>
      <c r="K28" s="51">
        <v>196.3</v>
      </c>
      <c r="L28" s="51">
        <v>24.73</v>
      </c>
      <c r="M28" s="51">
        <v>97.08</v>
      </c>
      <c r="N28" s="51">
        <v>52</v>
      </c>
      <c r="O28" s="51">
        <v>0</v>
      </c>
      <c r="P28" s="51">
        <v>0.46</v>
      </c>
      <c r="Q28" s="51">
        <v>9.4499999999999993</v>
      </c>
      <c r="R28" s="43"/>
      <c r="S28" s="43"/>
      <c r="T28" s="43"/>
      <c r="U28" s="43"/>
    </row>
    <row r="29" spans="1:21" s="11" customFormat="1" x14ac:dyDescent="0.25">
      <c r="A29" s="50" t="s">
        <v>536</v>
      </c>
      <c r="B29" s="51">
        <v>18.87</v>
      </c>
      <c r="C29" s="51">
        <v>35.54</v>
      </c>
      <c r="D29" s="51">
        <v>39.06</v>
      </c>
      <c r="E29" s="51">
        <v>2.48</v>
      </c>
      <c r="F29" s="51">
        <v>5.28</v>
      </c>
      <c r="G29" s="51">
        <v>78.52</v>
      </c>
      <c r="H29" s="51">
        <v>19.32</v>
      </c>
      <c r="I29" s="51">
        <v>4.12</v>
      </c>
      <c r="J29" s="51">
        <v>0.6</v>
      </c>
      <c r="K29" s="51">
        <v>171.23</v>
      </c>
      <c r="L29" s="51">
        <v>25.02</v>
      </c>
      <c r="M29" s="51">
        <v>95.77</v>
      </c>
      <c r="N29" s="51">
        <v>52</v>
      </c>
      <c r="O29" s="51">
        <v>0</v>
      </c>
      <c r="P29" s="51">
        <v>0.75</v>
      </c>
      <c r="Q29" s="51">
        <v>9.4499999999999993</v>
      </c>
      <c r="R29" s="43"/>
      <c r="S29" s="43"/>
      <c r="T29" s="43"/>
      <c r="U29" s="43"/>
    </row>
    <row r="30" spans="1:21" s="11" customFormat="1" x14ac:dyDescent="0.25">
      <c r="A30" s="50" t="s">
        <v>537</v>
      </c>
      <c r="B30" s="51">
        <v>16.260000000000002</v>
      </c>
      <c r="C30" s="51">
        <v>26.29</v>
      </c>
      <c r="D30" s="51">
        <v>28.51</v>
      </c>
      <c r="E30" s="51">
        <v>2.41</v>
      </c>
      <c r="F30" s="51">
        <v>5.16</v>
      </c>
      <c r="G30" s="51">
        <v>90.89</v>
      </c>
      <c r="H30" s="51">
        <v>29.56</v>
      </c>
      <c r="I30" s="51">
        <v>4.16</v>
      </c>
      <c r="J30" s="51">
        <v>0.33</v>
      </c>
      <c r="K30" s="51">
        <v>237.95</v>
      </c>
      <c r="L30" s="51">
        <v>25.03</v>
      </c>
      <c r="M30" s="51">
        <v>96.15</v>
      </c>
      <c r="N30" s="51">
        <v>52.1</v>
      </c>
      <c r="O30" s="51">
        <v>0</v>
      </c>
      <c r="P30" s="51">
        <v>0.59</v>
      </c>
      <c r="Q30" s="51">
        <v>9.48</v>
      </c>
      <c r="R30" s="43"/>
      <c r="S30" s="43"/>
      <c r="T30" s="43"/>
      <c r="U30" s="43"/>
    </row>
    <row r="31" spans="1:21" s="11" customFormat="1" x14ac:dyDescent="0.25">
      <c r="A31" s="50" t="s">
        <v>538</v>
      </c>
      <c r="B31" s="51">
        <v>15.67</v>
      </c>
      <c r="C31" s="51">
        <v>29.33</v>
      </c>
      <c r="D31" s="51">
        <v>32.090000000000003</v>
      </c>
      <c r="E31" s="51">
        <v>2.17</v>
      </c>
      <c r="F31" s="51">
        <v>5.93</v>
      </c>
      <c r="G31" s="51">
        <v>85.4</v>
      </c>
      <c r="H31" s="51">
        <v>35.270000000000003</v>
      </c>
      <c r="I31" s="51">
        <v>4</v>
      </c>
      <c r="J31" s="51">
        <v>1.06</v>
      </c>
      <c r="K31" s="51">
        <v>145.96</v>
      </c>
      <c r="L31" s="51">
        <v>24.92</v>
      </c>
      <c r="M31" s="51">
        <v>98.8</v>
      </c>
      <c r="N31" s="51">
        <v>52.8</v>
      </c>
      <c r="O31" s="51">
        <v>0</v>
      </c>
      <c r="P31" s="51">
        <v>0.56000000000000005</v>
      </c>
      <c r="Q31" s="51">
        <v>9.49</v>
      </c>
      <c r="R31" s="43"/>
      <c r="S31" s="43"/>
      <c r="T31" s="43"/>
      <c r="U31" s="43"/>
    </row>
    <row r="32" spans="1:21" s="11" customFormat="1" x14ac:dyDescent="0.25">
      <c r="A32" s="50" t="s">
        <v>539</v>
      </c>
      <c r="B32" s="51">
        <v>13.69</v>
      </c>
      <c r="C32" s="51">
        <v>22.12</v>
      </c>
      <c r="D32" s="51">
        <v>21.4</v>
      </c>
      <c r="E32" s="51">
        <v>5.27</v>
      </c>
      <c r="F32" s="51">
        <v>6.81</v>
      </c>
      <c r="G32" s="51">
        <v>79.45</v>
      </c>
      <c r="H32" s="51">
        <v>33.090000000000003</v>
      </c>
      <c r="I32" s="51">
        <v>4.05</v>
      </c>
      <c r="J32" s="51">
        <v>1.21</v>
      </c>
      <c r="K32" s="51">
        <v>150.51</v>
      </c>
      <c r="L32" s="51">
        <v>24.51</v>
      </c>
      <c r="M32" s="51">
        <v>98.73</v>
      </c>
      <c r="N32" s="51">
        <v>52.7</v>
      </c>
      <c r="O32" s="51">
        <v>0</v>
      </c>
      <c r="P32" s="51">
        <v>0.52</v>
      </c>
      <c r="Q32" s="51">
        <v>9.4700000000000006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4.57</v>
      </c>
      <c r="C34" s="28">
        <f t="shared" si="0"/>
        <v>13.48</v>
      </c>
      <c r="D34" s="28">
        <f t="shared" si="0"/>
        <v>18.52</v>
      </c>
      <c r="E34" s="28">
        <f t="shared" si="0"/>
        <v>2.1</v>
      </c>
      <c r="F34" s="28">
        <f t="shared" si="0"/>
        <v>3.77</v>
      </c>
      <c r="G34" s="28">
        <f t="shared" si="0"/>
        <v>8.65</v>
      </c>
      <c r="H34" s="28">
        <f t="shared" si="0"/>
        <v>2.16</v>
      </c>
      <c r="I34" s="28">
        <f t="shared" si="0"/>
        <v>3.92</v>
      </c>
      <c r="J34" s="28">
        <f t="shared" si="0"/>
        <v>0.08</v>
      </c>
      <c r="K34" s="28">
        <f t="shared" si="0"/>
        <v>145.96</v>
      </c>
      <c r="L34" s="28">
        <f t="shared" si="0"/>
        <v>23.03</v>
      </c>
      <c r="M34" s="28">
        <f t="shared" si="0"/>
        <v>72.88</v>
      </c>
      <c r="N34" s="28">
        <f t="shared" si="0"/>
        <v>52</v>
      </c>
      <c r="O34" s="28">
        <f t="shared" si="0"/>
        <v>0</v>
      </c>
      <c r="P34" s="28">
        <f t="shared" si="0"/>
        <v>0.17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21.43</v>
      </c>
      <c r="C35" s="29">
        <f t="shared" si="1"/>
        <v>35.54</v>
      </c>
      <c r="D35" s="29">
        <f t="shared" si="1"/>
        <v>39.06</v>
      </c>
      <c r="E35" s="29">
        <f t="shared" si="1"/>
        <v>5.27</v>
      </c>
      <c r="F35" s="29">
        <f t="shared" si="1"/>
        <v>9.01</v>
      </c>
      <c r="G35" s="29">
        <f t="shared" si="1"/>
        <v>90.89</v>
      </c>
      <c r="H35" s="29">
        <f t="shared" si="1"/>
        <v>529.63</v>
      </c>
      <c r="I35" s="29">
        <f t="shared" si="1"/>
        <v>4.16</v>
      </c>
      <c r="J35" s="29">
        <f t="shared" si="1"/>
        <v>2.2599999999999998</v>
      </c>
      <c r="K35" s="29">
        <f t="shared" si="1"/>
        <v>339.61</v>
      </c>
      <c r="L35" s="29">
        <f t="shared" si="1"/>
        <v>28.59</v>
      </c>
      <c r="M35" s="29">
        <f t="shared" si="1"/>
        <v>99.27</v>
      </c>
      <c r="N35" s="29">
        <f t="shared" si="1"/>
        <v>432</v>
      </c>
      <c r="O35" s="29">
        <f t="shared" si="1"/>
        <v>0.2</v>
      </c>
      <c r="P35" s="29">
        <f t="shared" si="1"/>
        <v>0.75</v>
      </c>
      <c r="Q35" s="29">
        <f t="shared" si="1"/>
        <v>9.49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9.8352631578947349</v>
      </c>
      <c r="C36" s="28">
        <f t="shared" si="2"/>
        <v>20.716842105263158</v>
      </c>
      <c r="D36" s="28">
        <f t="shared" si="2"/>
        <v>25.217894736842112</v>
      </c>
      <c r="E36" s="28">
        <f t="shared" si="2"/>
        <v>3.4645833333333331</v>
      </c>
      <c r="F36" s="28">
        <f t="shared" si="2"/>
        <v>5.4195833333333345</v>
      </c>
      <c r="G36" s="28">
        <f t="shared" si="2"/>
        <v>44.630416666666662</v>
      </c>
      <c r="H36" s="28">
        <f t="shared" si="2"/>
        <v>39.332083333333337</v>
      </c>
      <c r="I36" s="28">
        <f t="shared" si="2"/>
        <v>4.0691666666666668</v>
      </c>
      <c r="J36" s="28">
        <f t="shared" si="2"/>
        <v>0.59166666666666667</v>
      </c>
      <c r="K36" s="28">
        <f t="shared" si="2"/>
        <v>280.49916666666667</v>
      </c>
      <c r="L36" s="28">
        <f t="shared" si="2"/>
        <v>25.235416666666666</v>
      </c>
      <c r="M36" s="28">
        <f t="shared" si="2"/>
        <v>93.013750000000002</v>
      </c>
      <c r="N36" s="28">
        <f t="shared" si="2"/>
        <v>152.20833333333331</v>
      </c>
      <c r="O36" s="28">
        <f t="shared" si="2"/>
        <v>8.3333333333333332E-3</v>
      </c>
      <c r="P36" s="28">
        <f t="shared" si="2"/>
        <v>0.36833333333333335</v>
      </c>
      <c r="Q36" s="28">
        <f t="shared" si="2"/>
        <v>9.1845833333333324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5.9082159070804439</v>
      </c>
      <c r="C37" s="28">
        <f t="shared" ref="C37:Q37" si="3">STDEV(C9:C32)</f>
        <v>7.142626386414622</v>
      </c>
      <c r="D37" s="28">
        <f t="shared" si="3"/>
        <v>5.7353955389583895</v>
      </c>
      <c r="E37" s="28">
        <f t="shared" si="3"/>
        <v>0.84019138175240604</v>
      </c>
      <c r="F37" s="28">
        <f t="shared" si="3"/>
        <v>1.3076247273343475</v>
      </c>
      <c r="G37" s="28">
        <f t="shared" si="3"/>
        <v>26.646618429584727</v>
      </c>
      <c r="H37" s="28">
        <f t="shared" si="3"/>
        <v>104.88882698317202</v>
      </c>
      <c r="I37" s="28">
        <f t="shared" si="3"/>
        <v>6.4397992587311007E-2</v>
      </c>
      <c r="J37" s="28">
        <f t="shared" si="3"/>
        <v>0.51185652428124351</v>
      </c>
      <c r="K37" s="28">
        <f t="shared" si="3"/>
        <v>56.514102581388556</v>
      </c>
      <c r="L37" s="28">
        <f t="shared" si="3"/>
        <v>1.8746825335104804</v>
      </c>
      <c r="M37" s="28">
        <f t="shared" si="3"/>
        <v>8.4632103131345993</v>
      </c>
      <c r="N37" s="28">
        <f t="shared" si="3"/>
        <v>116.96810385246306</v>
      </c>
      <c r="O37" s="28">
        <f t="shared" si="3"/>
        <v>4.0824829046386311E-2</v>
      </c>
      <c r="P37" s="28">
        <f t="shared" si="3"/>
        <v>0.1617208186610673</v>
      </c>
      <c r="Q37" s="28">
        <f t="shared" si="3"/>
        <v>0.18247046614313436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COUNT(B9:B32)+5</f>
        <v>24</v>
      </c>
      <c r="C38" s="32">
        <f t="shared" ref="C38:D38" si="4">COUNT(C9:C32)+5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6" sqref="G1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540</v>
      </c>
      <c r="B9" s="51">
        <v>14.52</v>
      </c>
      <c r="C9" s="51">
        <v>20.96</v>
      </c>
      <c r="D9" s="51">
        <v>18.510000000000002</v>
      </c>
      <c r="E9" s="51">
        <v>4.8600000000000003</v>
      </c>
      <c r="F9" s="51">
        <v>5.0599999999999996</v>
      </c>
      <c r="G9" s="51">
        <v>80.209999999999994</v>
      </c>
      <c r="H9" s="51">
        <v>25.56</v>
      </c>
      <c r="I9" s="51">
        <v>4.16</v>
      </c>
      <c r="J9" s="51">
        <v>0.56000000000000005</v>
      </c>
      <c r="K9" s="51">
        <v>190.1</v>
      </c>
      <c r="L9" s="51">
        <v>24.54</v>
      </c>
      <c r="M9" s="51">
        <v>99.17</v>
      </c>
      <c r="N9" s="51">
        <v>52.4</v>
      </c>
      <c r="O9" s="51">
        <v>0</v>
      </c>
      <c r="P9" s="51">
        <v>0.52</v>
      </c>
      <c r="Q9" s="51">
        <v>9.44</v>
      </c>
      <c r="R9" s="43"/>
      <c r="S9" s="43"/>
      <c r="T9" s="43"/>
      <c r="U9" s="43"/>
    </row>
    <row r="10" spans="1:21" s="11" customFormat="1" x14ac:dyDescent="0.25">
      <c r="A10" s="50" t="s">
        <v>541</v>
      </c>
      <c r="B10" s="51">
        <v>12.99</v>
      </c>
      <c r="C10" s="51">
        <v>19.04</v>
      </c>
      <c r="D10" s="51">
        <v>17.62</v>
      </c>
      <c r="E10" s="51">
        <v>4.92</v>
      </c>
      <c r="F10" s="51">
        <v>4.9800000000000004</v>
      </c>
      <c r="G10" s="51">
        <v>68.67</v>
      </c>
      <c r="H10" s="51">
        <v>26.4</v>
      </c>
      <c r="I10" s="51">
        <v>4.16</v>
      </c>
      <c r="J10" s="51">
        <v>0.2</v>
      </c>
      <c r="K10" s="51">
        <v>180.55</v>
      </c>
      <c r="L10" s="51">
        <v>24.56</v>
      </c>
      <c r="M10" s="51">
        <v>99.33</v>
      </c>
      <c r="N10" s="51">
        <v>52.4</v>
      </c>
      <c r="O10" s="51">
        <v>0</v>
      </c>
      <c r="P10" s="51">
        <v>0.45</v>
      </c>
      <c r="Q10" s="51">
        <v>9.3699999999999992</v>
      </c>
      <c r="R10" s="43"/>
      <c r="S10" s="43"/>
      <c r="T10" s="43"/>
      <c r="U10" s="43"/>
    </row>
    <row r="11" spans="1:21" s="11" customFormat="1" x14ac:dyDescent="0.25">
      <c r="A11" s="50" t="s">
        <v>542</v>
      </c>
      <c r="B11" s="51">
        <v>12.18</v>
      </c>
      <c r="C11" s="51">
        <v>18.3</v>
      </c>
      <c r="D11" s="51">
        <v>18.55</v>
      </c>
      <c r="E11" s="51">
        <v>4.8099999999999996</v>
      </c>
      <c r="F11" s="51">
        <v>8.51</v>
      </c>
      <c r="G11" s="51">
        <v>64.67</v>
      </c>
      <c r="H11" s="51">
        <v>28.65</v>
      </c>
      <c r="I11" s="51">
        <v>4.1100000000000003</v>
      </c>
      <c r="J11" s="51">
        <v>0.56000000000000005</v>
      </c>
      <c r="K11" s="51">
        <v>140.34</v>
      </c>
      <c r="L11" s="51">
        <v>24.56</v>
      </c>
      <c r="M11" s="51">
        <v>99.2</v>
      </c>
      <c r="N11" s="51">
        <v>52.4</v>
      </c>
      <c r="O11" s="51">
        <v>0</v>
      </c>
      <c r="P11" s="51">
        <v>0.43</v>
      </c>
      <c r="Q11" s="51">
        <v>9.33</v>
      </c>
      <c r="R11" s="43"/>
      <c r="S11" s="43"/>
      <c r="T11" s="43"/>
      <c r="U11" s="43"/>
    </row>
    <row r="12" spans="1:21" s="11" customFormat="1" x14ac:dyDescent="0.25">
      <c r="A12" s="50" t="s">
        <v>543</v>
      </c>
      <c r="B12" s="51">
        <v>8.24</v>
      </c>
      <c r="C12" s="51">
        <v>16.05</v>
      </c>
      <c r="D12" s="51">
        <v>18.64</v>
      </c>
      <c r="E12" s="51">
        <v>4.84</v>
      </c>
      <c r="F12" s="51">
        <v>7.54</v>
      </c>
      <c r="G12" s="51">
        <v>67.19</v>
      </c>
      <c r="H12" s="51">
        <v>21.09</v>
      </c>
      <c r="I12" s="51">
        <v>4.13</v>
      </c>
      <c r="J12" s="51">
        <v>0.28000000000000003</v>
      </c>
      <c r="K12" s="51">
        <v>138.86000000000001</v>
      </c>
      <c r="L12" s="51">
        <v>24.48</v>
      </c>
      <c r="M12" s="51">
        <v>98.17</v>
      </c>
      <c r="N12" s="51">
        <v>52.4</v>
      </c>
      <c r="O12" s="51">
        <v>0</v>
      </c>
      <c r="P12" s="51">
        <v>0.28999999999999998</v>
      </c>
      <c r="Q12" s="51">
        <v>9.35</v>
      </c>
      <c r="R12" s="43"/>
      <c r="S12" s="43"/>
      <c r="T12" s="43"/>
      <c r="U12" s="43"/>
    </row>
    <row r="13" spans="1:21" s="11" customFormat="1" x14ac:dyDescent="0.25">
      <c r="A13" s="50" t="s">
        <v>544</v>
      </c>
      <c r="B13" s="51">
        <v>12.65</v>
      </c>
      <c r="C13" s="51">
        <v>18.309999999999999</v>
      </c>
      <c r="D13" s="51">
        <v>18.510000000000002</v>
      </c>
      <c r="E13" s="51">
        <v>4.8099999999999996</v>
      </c>
      <c r="F13" s="51">
        <v>7.32</v>
      </c>
      <c r="G13" s="51">
        <v>47.53</v>
      </c>
      <c r="H13" s="51">
        <v>12.04</v>
      </c>
      <c r="I13" s="51">
        <v>4.1500000000000004</v>
      </c>
      <c r="J13" s="51">
        <v>0.13</v>
      </c>
      <c r="K13" s="51">
        <v>294.77</v>
      </c>
      <c r="L13" s="51">
        <v>24.52</v>
      </c>
      <c r="M13" s="51">
        <v>98.16</v>
      </c>
      <c r="N13" s="51">
        <v>52.4</v>
      </c>
      <c r="O13" s="51">
        <v>0</v>
      </c>
      <c r="P13" s="51">
        <v>0.38</v>
      </c>
      <c r="Q13" s="51">
        <v>9.36</v>
      </c>
      <c r="R13" s="43"/>
      <c r="S13" s="43"/>
      <c r="T13" s="43"/>
      <c r="U13" s="43"/>
    </row>
    <row r="14" spans="1:21" s="11" customFormat="1" x14ac:dyDescent="0.25">
      <c r="A14" s="50" t="s">
        <v>545</v>
      </c>
      <c r="B14" s="51">
        <v>13.26</v>
      </c>
      <c r="C14" s="51">
        <v>18.71</v>
      </c>
      <c r="D14" s="51">
        <v>17.5</v>
      </c>
      <c r="E14" s="51">
        <v>4.79</v>
      </c>
      <c r="F14" s="51">
        <v>5.0999999999999996</v>
      </c>
      <c r="G14" s="51">
        <v>52.36</v>
      </c>
      <c r="H14" s="51">
        <v>12.4</v>
      </c>
      <c r="I14" s="51">
        <v>4</v>
      </c>
      <c r="J14" s="51">
        <v>0.12</v>
      </c>
      <c r="K14" s="51">
        <v>288.98</v>
      </c>
      <c r="L14" s="51">
        <v>24.49</v>
      </c>
      <c r="M14" s="51">
        <v>98.06</v>
      </c>
      <c r="N14" s="51">
        <v>77.599999999999994</v>
      </c>
      <c r="O14" s="51">
        <v>0</v>
      </c>
      <c r="P14" s="51">
        <v>0.34</v>
      </c>
      <c r="Q14" s="51">
        <v>9.33</v>
      </c>
      <c r="R14" s="43"/>
      <c r="S14" s="43"/>
      <c r="T14" s="43"/>
      <c r="U14" s="43"/>
    </row>
    <row r="15" spans="1:21" s="11" customFormat="1" x14ac:dyDescent="0.25">
      <c r="A15" s="50" t="s">
        <v>546</v>
      </c>
      <c r="B15" s="51">
        <v>15.8</v>
      </c>
      <c r="C15" s="51">
        <v>23.08</v>
      </c>
      <c r="D15" s="51">
        <v>19.920000000000002</v>
      </c>
      <c r="E15" s="51">
        <v>4.78</v>
      </c>
      <c r="F15" s="51">
        <v>5.33</v>
      </c>
      <c r="G15" s="51">
        <v>51.42</v>
      </c>
      <c r="H15" s="51">
        <v>13.82</v>
      </c>
      <c r="I15" s="51">
        <v>4.1399999999999997</v>
      </c>
      <c r="J15" s="51">
        <v>7.0000000000000007E-2</v>
      </c>
      <c r="K15" s="51">
        <v>279.25</v>
      </c>
      <c r="L15" s="51">
        <v>25.53</v>
      </c>
      <c r="M15" s="51">
        <v>97.48</v>
      </c>
      <c r="N15" s="51">
        <v>207.6</v>
      </c>
      <c r="O15" s="51">
        <v>0</v>
      </c>
      <c r="P15" s="51">
        <v>0.33</v>
      </c>
      <c r="Q15" s="51">
        <v>9.32</v>
      </c>
      <c r="R15" s="43"/>
      <c r="S15" s="43"/>
      <c r="T15" s="43"/>
      <c r="U15" s="43"/>
    </row>
    <row r="16" spans="1:21" s="11" customFormat="1" x14ac:dyDescent="0.25">
      <c r="A16" s="50" t="s">
        <v>547</v>
      </c>
      <c r="B16" s="51">
        <v>13.11</v>
      </c>
      <c r="C16" s="51">
        <v>21.88</v>
      </c>
      <c r="D16" s="51">
        <v>21.88</v>
      </c>
      <c r="E16" s="51">
        <v>5.68</v>
      </c>
      <c r="F16" s="51">
        <v>6.52</v>
      </c>
      <c r="G16" s="51">
        <v>51.95</v>
      </c>
      <c r="H16" s="51">
        <v>10.8</v>
      </c>
      <c r="I16" s="51">
        <v>4.07</v>
      </c>
      <c r="J16" s="51">
        <v>0.3</v>
      </c>
      <c r="K16" s="51">
        <v>291.07</v>
      </c>
      <c r="L16" s="51">
        <v>28.2</v>
      </c>
      <c r="M16" s="51">
        <v>85.6</v>
      </c>
      <c r="N16" s="51">
        <v>490</v>
      </c>
      <c r="O16" s="51">
        <v>0</v>
      </c>
      <c r="P16" s="51">
        <v>0.3</v>
      </c>
      <c r="Q16" s="51">
        <v>9.36</v>
      </c>
      <c r="R16" s="43"/>
      <c r="S16" s="43"/>
      <c r="T16" s="43"/>
      <c r="U16" s="43"/>
    </row>
    <row r="17" spans="1:21" s="11" customFormat="1" x14ac:dyDescent="0.25">
      <c r="A17" s="50" t="s">
        <v>548</v>
      </c>
      <c r="B17" s="51">
        <v>11.53</v>
      </c>
      <c r="C17" s="51">
        <v>19.16</v>
      </c>
      <c r="D17" s="51">
        <v>21.8</v>
      </c>
      <c r="E17" s="51">
        <v>6.09</v>
      </c>
      <c r="F17" s="51">
        <v>4.41</v>
      </c>
      <c r="G17" s="51">
        <v>54.61</v>
      </c>
      <c r="H17" s="51">
        <v>8.75</v>
      </c>
      <c r="I17" s="51">
        <v>4.03</v>
      </c>
      <c r="J17" s="51">
        <v>0.47</v>
      </c>
      <c r="K17" s="51">
        <v>296.91000000000003</v>
      </c>
      <c r="L17" s="51">
        <v>29.98</v>
      </c>
      <c r="M17" s="51">
        <v>73.430000000000007</v>
      </c>
      <c r="N17" s="51">
        <v>420.2</v>
      </c>
      <c r="O17" s="51">
        <v>0</v>
      </c>
      <c r="P17" s="51">
        <v>0.36</v>
      </c>
      <c r="Q17" s="51">
        <v>9.3000000000000007</v>
      </c>
      <c r="R17" s="43"/>
      <c r="S17" s="43"/>
      <c r="T17" s="43"/>
      <c r="U17" s="43"/>
    </row>
    <row r="18" spans="1:21" s="11" customFormat="1" x14ac:dyDescent="0.25">
      <c r="A18" s="50" t="s">
        <v>549</v>
      </c>
      <c r="B18" s="51">
        <v>9.16</v>
      </c>
      <c r="C18" s="51">
        <v>18.88</v>
      </c>
      <c r="D18" s="51">
        <v>22.07</v>
      </c>
      <c r="E18" s="51">
        <v>6.19</v>
      </c>
      <c r="F18" s="51">
        <v>4.59</v>
      </c>
      <c r="G18" s="51">
        <v>61.88</v>
      </c>
      <c r="H18" s="51">
        <v>12.57</v>
      </c>
      <c r="I18" s="51">
        <v>4.1900000000000004</v>
      </c>
      <c r="J18" s="51">
        <v>0.59</v>
      </c>
      <c r="K18" s="51">
        <v>302.02999999999997</v>
      </c>
      <c r="L18" s="51">
        <v>33.07</v>
      </c>
      <c r="M18" s="51">
        <v>68.260000000000005</v>
      </c>
      <c r="N18" s="51">
        <v>680</v>
      </c>
      <c r="O18" s="51">
        <v>0</v>
      </c>
      <c r="P18" s="51">
        <v>0.42</v>
      </c>
      <c r="Q18" s="51">
        <v>9.2200000000000006</v>
      </c>
      <c r="R18" s="43"/>
      <c r="S18" s="43"/>
      <c r="T18" s="43"/>
      <c r="U18" s="43"/>
    </row>
    <row r="19" spans="1:21" s="11" customFormat="1" x14ac:dyDescent="0.25">
      <c r="A19" s="50" t="s">
        <v>550</v>
      </c>
      <c r="B19" s="51">
        <v>8.2799999999999994</v>
      </c>
      <c r="C19" s="51">
        <v>20.239999999999998</v>
      </c>
      <c r="D19" s="51">
        <v>26.55</v>
      </c>
      <c r="E19" s="51">
        <v>6.01</v>
      </c>
      <c r="F19" s="51">
        <v>6.08</v>
      </c>
      <c r="G19" s="51">
        <v>67.53</v>
      </c>
      <c r="H19" s="51">
        <v>16.440000000000001</v>
      </c>
      <c r="I19" s="51">
        <v>4.17</v>
      </c>
      <c r="J19" s="51">
        <v>0.51</v>
      </c>
      <c r="K19" s="51">
        <v>299.29000000000002</v>
      </c>
      <c r="L19" s="51">
        <v>33.130000000000003</v>
      </c>
      <c r="M19" s="51">
        <v>61.88</v>
      </c>
      <c r="N19" s="51">
        <v>822.6</v>
      </c>
      <c r="O19" s="51">
        <v>0</v>
      </c>
      <c r="P19" s="51">
        <v>0.49</v>
      </c>
      <c r="Q19" s="51">
        <v>9.17</v>
      </c>
      <c r="R19" s="43"/>
      <c r="S19" s="43"/>
      <c r="T19" s="43"/>
      <c r="U19" s="43"/>
    </row>
    <row r="20" spans="1:21" s="11" customFormat="1" x14ac:dyDescent="0.25">
      <c r="A20" s="50" t="s">
        <v>551</v>
      </c>
      <c r="B20" s="51">
        <v>5.34</v>
      </c>
      <c r="C20" s="51">
        <v>17.22</v>
      </c>
      <c r="D20" s="51">
        <v>25.15</v>
      </c>
      <c r="E20" s="51">
        <v>5.94</v>
      </c>
      <c r="F20" s="51">
        <v>5.66</v>
      </c>
      <c r="G20" s="51">
        <v>72.510000000000005</v>
      </c>
      <c r="H20" s="51">
        <v>19.3</v>
      </c>
      <c r="I20" s="51">
        <v>4.08</v>
      </c>
      <c r="J20" s="51">
        <v>0.61</v>
      </c>
      <c r="K20" s="51">
        <v>299.36</v>
      </c>
      <c r="L20" s="51">
        <v>33.25</v>
      </c>
      <c r="M20" s="51">
        <v>55.1</v>
      </c>
      <c r="N20" s="51">
        <v>880.7</v>
      </c>
      <c r="O20" s="51">
        <v>0</v>
      </c>
      <c r="P20" s="51">
        <v>0.52</v>
      </c>
      <c r="Q20" s="51">
        <v>9.1</v>
      </c>
      <c r="R20" s="43"/>
      <c r="S20" s="43"/>
      <c r="T20" s="43"/>
      <c r="U20" s="43"/>
    </row>
    <row r="21" spans="1:21" s="11" customFormat="1" x14ac:dyDescent="0.25">
      <c r="A21" s="50" t="s">
        <v>552</v>
      </c>
      <c r="B21" s="51">
        <v>5.36</v>
      </c>
      <c r="C21" s="51">
        <v>17.46</v>
      </c>
      <c r="D21" s="51">
        <v>25.69</v>
      </c>
      <c r="E21" s="51">
        <v>6.31</v>
      </c>
      <c r="F21" s="51">
        <v>6.04</v>
      </c>
      <c r="G21" s="51">
        <v>75.53</v>
      </c>
      <c r="H21" s="51">
        <v>14.56</v>
      </c>
      <c r="I21" s="51">
        <v>4.13</v>
      </c>
      <c r="J21" s="51">
        <v>0.57999999999999996</v>
      </c>
      <c r="K21" s="51">
        <v>298.13</v>
      </c>
      <c r="L21" s="51">
        <v>33.36</v>
      </c>
      <c r="M21" s="51">
        <v>49.86</v>
      </c>
      <c r="N21" s="51">
        <v>744.4</v>
      </c>
      <c r="O21" s="51">
        <v>0</v>
      </c>
      <c r="P21" s="51">
        <v>0.53</v>
      </c>
      <c r="Q21" s="51">
        <v>9.11</v>
      </c>
      <c r="R21" s="43"/>
      <c r="S21" s="43"/>
      <c r="T21" s="43"/>
      <c r="U21" s="43"/>
    </row>
    <row r="22" spans="1:21" s="11" customFormat="1" x14ac:dyDescent="0.25">
      <c r="A22" s="50" t="s">
        <v>553</v>
      </c>
      <c r="B22" s="51">
        <v>4.93</v>
      </c>
      <c r="C22" s="51">
        <v>16.52</v>
      </c>
      <c r="D22" s="51">
        <v>24.05</v>
      </c>
      <c r="E22" s="51">
        <v>6.48</v>
      </c>
      <c r="F22" s="51">
        <v>6.67</v>
      </c>
      <c r="G22" s="51">
        <v>74.69</v>
      </c>
      <c r="H22" s="51">
        <v>17.38</v>
      </c>
      <c r="I22" s="51">
        <v>4.05</v>
      </c>
      <c r="J22" s="51">
        <v>0.51</v>
      </c>
      <c r="K22" s="51">
        <v>297.44</v>
      </c>
      <c r="L22" s="51">
        <v>33.54</v>
      </c>
      <c r="M22" s="51">
        <v>46.07</v>
      </c>
      <c r="N22" s="51">
        <v>570.70000000000005</v>
      </c>
      <c r="O22" s="51">
        <v>0</v>
      </c>
      <c r="P22" s="51">
        <v>0.51</v>
      </c>
      <c r="Q22" s="51">
        <v>9.1</v>
      </c>
      <c r="R22" s="43"/>
      <c r="S22" s="43"/>
      <c r="T22" s="43"/>
      <c r="U22" s="43"/>
    </row>
    <row r="23" spans="1:21" s="11" customFormat="1" x14ac:dyDescent="0.25">
      <c r="A23" s="50" t="s">
        <v>554</v>
      </c>
      <c r="B23" s="51">
        <v>5.24</v>
      </c>
      <c r="C23" s="51">
        <v>16.36</v>
      </c>
      <c r="D23" s="51">
        <v>23.26</v>
      </c>
      <c r="E23" s="51">
        <v>5.77</v>
      </c>
      <c r="F23" s="51">
        <v>5.92</v>
      </c>
      <c r="G23" s="51">
        <v>77.849999999999994</v>
      </c>
      <c r="H23" s="51">
        <v>21.12</v>
      </c>
      <c r="I23" s="51">
        <v>4.1399999999999997</v>
      </c>
      <c r="J23" s="51">
        <v>0.67</v>
      </c>
      <c r="K23" s="51">
        <v>299.68</v>
      </c>
      <c r="L23" s="51">
        <v>34.299999999999997</v>
      </c>
      <c r="M23" s="51">
        <v>42.48</v>
      </c>
      <c r="N23" s="51">
        <v>353.4</v>
      </c>
      <c r="O23" s="51">
        <v>0</v>
      </c>
      <c r="P23" s="51">
        <v>0.51</v>
      </c>
      <c r="Q23" s="51">
        <v>9.06</v>
      </c>
      <c r="R23" s="43"/>
      <c r="S23" s="43"/>
      <c r="T23" s="43"/>
      <c r="U23" s="43"/>
    </row>
    <row r="24" spans="1:21" s="11" customFormat="1" x14ac:dyDescent="0.25">
      <c r="A24" s="50" t="s">
        <v>555</v>
      </c>
      <c r="B24" s="51">
        <v>4.59</v>
      </c>
      <c r="C24" s="51">
        <v>16.09</v>
      </c>
      <c r="D24" s="51">
        <v>24.04</v>
      </c>
      <c r="E24" s="51">
        <v>5.8</v>
      </c>
      <c r="F24" s="51">
        <v>5.98</v>
      </c>
      <c r="G24" s="51">
        <v>77.989999999999995</v>
      </c>
      <c r="H24" s="51">
        <v>19.5</v>
      </c>
      <c r="I24" s="51">
        <v>4.17</v>
      </c>
      <c r="J24" s="51">
        <v>0.43</v>
      </c>
      <c r="K24" s="51">
        <v>295.48</v>
      </c>
      <c r="L24" s="51">
        <v>34.04</v>
      </c>
      <c r="M24" s="51">
        <v>42</v>
      </c>
      <c r="N24" s="51">
        <v>383.2</v>
      </c>
      <c r="O24" s="51">
        <v>0</v>
      </c>
      <c r="P24" s="51">
        <v>0.49</v>
      </c>
      <c r="Q24" s="51">
        <v>9.07</v>
      </c>
      <c r="R24" s="43"/>
      <c r="S24" s="43"/>
      <c r="T24" s="43"/>
      <c r="U24" s="43"/>
    </row>
    <row r="25" spans="1:21" s="11" customFormat="1" x14ac:dyDescent="0.25">
      <c r="A25" s="50" t="s">
        <v>556</v>
      </c>
      <c r="B25" s="51">
        <v>6.77</v>
      </c>
      <c r="C25" s="51">
        <v>20.36</v>
      </c>
      <c r="D25" s="51">
        <v>28.57</v>
      </c>
      <c r="E25" s="51">
        <v>6.32</v>
      </c>
      <c r="F25" s="51">
        <v>6.74</v>
      </c>
      <c r="G25" s="51">
        <v>76.59</v>
      </c>
      <c r="H25" s="51">
        <v>24.47</v>
      </c>
      <c r="I25" s="51">
        <v>4.08</v>
      </c>
      <c r="J25" s="51">
        <v>0.25</v>
      </c>
      <c r="K25" s="51">
        <v>329.96</v>
      </c>
      <c r="L25" s="51">
        <v>33.35</v>
      </c>
      <c r="M25" s="51">
        <v>41.63</v>
      </c>
      <c r="N25" s="51">
        <v>140.69999999999999</v>
      </c>
      <c r="O25" s="51">
        <v>0</v>
      </c>
      <c r="P25" s="51">
        <v>0.43</v>
      </c>
      <c r="Q25" s="51">
        <v>9.1199999999999992</v>
      </c>
      <c r="R25" s="43"/>
      <c r="S25" s="43"/>
      <c r="T25" s="43"/>
      <c r="U25" s="43"/>
    </row>
    <row r="26" spans="1:21" s="11" customFormat="1" x14ac:dyDescent="0.25">
      <c r="A26" s="50" t="s">
        <v>557</v>
      </c>
      <c r="B26" s="51">
        <v>7.69</v>
      </c>
      <c r="C26" s="51">
        <v>19.82</v>
      </c>
      <c r="D26" s="51">
        <v>26.14</v>
      </c>
      <c r="E26" s="51">
        <v>6.14</v>
      </c>
      <c r="F26" s="51">
        <v>7.51</v>
      </c>
      <c r="G26" s="51">
        <v>76.36</v>
      </c>
      <c r="H26" s="51">
        <v>17.75</v>
      </c>
      <c r="I26" s="51">
        <v>4.13</v>
      </c>
      <c r="J26" s="51">
        <v>0.88</v>
      </c>
      <c r="K26" s="51">
        <v>314.86</v>
      </c>
      <c r="L26" s="51">
        <v>32.950000000000003</v>
      </c>
      <c r="M26" s="51">
        <v>43.31</v>
      </c>
      <c r="N26" s="51">
        <v>118.7</v>
      </c>
      <c r="O26" s="51">
        <v>0</v>
      </c>
      <c r="P26" s="51">
        <v>0.41</v>
      </c>
      <c r="Q26" s="51">
        <v>9.14</v>
      </c>
      <c r="R26" s="43"/>
      <c r="S26" s="43"/>
      <c r="T26" s="43"/>
      <c r="U26" s="43"/>
    </row>
    <row r="27" spans="1:21" s="11" customFormat="1" x14ac:dyDescent="0.25">
      <c r="A27" s="50" t="s">
        <v>558</v>
      </c>
      <c r="B27" s="51">
        <v>9.6199999999999992</v>
      </c>
      <c r="C27" s="51">
        <v>25.1</v>
      </c>
      <c r="D27" s="51">
        <v>33.270000000000003</v>
      </c>
      <c r="E27" s="51">
        <v>5.7</v>
      </c>
      <c r="F27" s="51">
        <v>8.65</v>
      </c>
      <c r="G27" s="51">
        <v>72.95</v>
      </c>
      <c r="H27" s="51">
        <v>21.77</v>
      </c>
      <c r="I27" s="51">
        <v>3.99</v>
      </c>
      <c r="J27" s="51">
        <v>0.47</v>
      </c>
      <c r="K27" s="51">
        <v>335.94</v>
      </c>
      <c r="L27" s="51">
        <v>31.94</v>
      </c>
      <c r="M27" s="51">
        <v>50.45</v>
      </c>
      <c r="N27" s="51">
        <v>68.400000000000006</v>
      </c>
      <c r="O27" s="51">
        <v>0</v>
      </c>
      <c r="P27" s="51">
        <v>0.53</v>
      </c>
      <c r="Q27" s="51">
        <v>9.16</v>
      </c>
      <c r="R27" s="43"/>
      <c r="S27" s="43"/>
      <c r="T27" s="43"/>
      <c r="U27" s="43"/>
    </row>
    <row r="28" spans="1:21" s="11" customFormat="1" x14ac:dyDescent="0.25">
      <c r="A28" s="50" t="s">
        <v>559</v>
      </c>
      <c r="B28" s="51">
        <v>6.8</v>
      </c>
      <c r="C28" s="51">
        <v>19.21</v>
      </c>
      <c r="D28" s="51">
        <v>28.46</v>
      </c>
      <c r="E28" s="51">
        <v>5.74</v>
      </c>
      <c r="F28" s="51">
        <v>7.93</v>
      </c>
      <c r="G28" s="51">
        <v>82.87</v>
      </c>
      <c r="H28" s="51">
        <v>21.23</v>
      </c>
      <c r="I28" s="51">
        <v>4.21</v>
      </c>
      <c r="J28" s="51">
        <v>0.14000000000000001</v>
      </c>
      <c r="K28" s="51">
        <v>353.59</v>
      </c>
      <c r="L28" s="51">
        <v>29.46</v>
      </c>
      <c r="M28" s="51">
        <v>62.74</v>
      </c>
      <c r="N28" s="51">
        <v>84.3</v>
      </c>
      <c r="O28" s="51">
        <v>0</v>
      </c>
      <c r="P28" s="51">
        <v>0.39</v>
      </c>
      <c r="Q28" s="51">
        <v>9.16</v>
      </c>
      <c r="R28" s="43"/>
      <c r="S28" s="43"/>
      <c r="T28" s="43"/>
      <c r="U28" s="43"/>
    </row>
    <row r="29" spans="1:21" s="11" customFormat="1" x14ac:dyDescent="0.25">
      <c r="A29" s="50" t="s">
        <v>560</v>
      </c>
      <c r="B29" s="51">
        <v>26.17</v>
      </c>
      <c r="C29" s="51">
        <v>50.52</v>
      </c>
      <c r="D29" s="51">
        <v>56.53</v>
      </c>
      <c r="E29" s="51">
        <v>6.13</v>
      </c>
      <c r="F29" s="51">
        <v>11.56</v>
      </c>
      <c r="G29" s="51">
        <v>72.66</v>
      </c>
      <c r="H29" s="51">
        <v>22.88</v>
      </c>
      <c r="I29" s="51">
        <v>3.96</v>
      </c>
      <c r="J29" s="51">
        <v>0.05</v>
      </c>
      <c r="K29" s="51">
        <v>322.26</v>
      </c>
      <c r="L29" s="51">
        <v>28.32</v>
      </c>
      <c r="M29" s="51">
        <v>64.63</v>
      </c>
      <c r="N29" s="51">
        <v>86</v>
      </c>
      <c r="O29" s="51">
        <v>0</v>
      </c>
      <c r="P29" s="51">
        <v>0.99</v>
      </c>
      <c r="Q29" s="51">
        <v>9.19</v>
      </c>
      <c r="R29" s="43"/>
      <c r="S29" s="43"/>
      <c r="T29" s="43"/>
      <c r="U29" s="43"/>
    </row>
    <row r="30" spans="1:21" s="11" customFormat="1" x14ac:dyDescent="0.25">
      <c r="A30" s="50" t="s">
        <v>561</v>
      </c>
      <c r="B30" s="51">
        <v>16.14</v>
      </c>
      <c r="C30" s="51">
        <v>38.340000000000003</v>
      </c>
      <c r="D30" s="51">
        <v>48.61</v>
      </c>
      <c r="E30" s="51">
        <v>6.41</v>
      </c>
      <c r="F30" s="51">
        <v>10.28</v>
      </c>
      <c r="G30" s="51">
        <v>74.27</v>
      </c>
      <c r="H30" s="51">
        <v>17.079999999999998</v>
      </c>
      <c r="I30" s="51">
        <v>4.1399999999999997</v>
      </c>
      <c r="J30" s="51">
        <v>0.13</v>
      </c>
      <c r="K30" s="51">
        <v>278.32</v>
      </c>
      <c r="L30" s="51">
        <v>28.26</v>
      </c>
      <c r="M30" s="51">
        <v>64.53</v>
      </c>
      <c r="N30" s="51">
        <v>74.7</v>
      </c>
      <c r="O30" s="51">
        <v>0</v>
      </c>
      <c r="P30" s="51">
        <v>0.62</v>
      </c>
      <c r="Q30" s="51">
        <v>9.2799999999999994</v>
      </c>
      <c r="R30" s="43"/>
      <c r="S30" s="43"/>
      <c r="T30" s="43"/>
      <c r="U30" s="43"/>
    </row>
    <row r="31" spans="1:21" s="11" customFormat="1" x14ac:dyDescent="0.25">
      <c r="A31" s="50" t="s">
        <v>562</v>
      </c>
      <c r="B31" s="51">
        <v>15.13</v>
      </c>
      <c r="C31" s="51">
        <v>28.21</v>
      </c>
      <c r="D31" s="51">
        <v>30.77</v>
      </c>
      <c r="E31" s="51">
        <v>6.44</v>
      </c>
      <c r="F31" s="51">
        <v>7.04</v>
      </c>
      <c r="G31" s="51">
        <v>73.430000000000007</v>
      </c>
      <c r="H31" s="51">
        <v>19.59</v>
      </c>
      <c r="I31" s="51">
        <v>4.07</v>
      </c>
      <c r="J31" s="51">
        <v>0.09</v>
      </c>
      <c r="K31" s="51">
        <v>331.56</v>
      </c>
      <c r="L31" s="51">
        <v>28.18</v>
      </c>
      <c r="M31" s="51">
        <v>65.58</v>
      </c>
      <c r="N31" s="51">
        <v>73.599999999999994</v>
      </c>
      <c r="O31" s="51">
        <v>0</v>
      </c>
      <c r="P31" s="51">
        <v>0.49</v>
      </c>
      <c r="Q31" s="51">
        <v>9.2899999999999991</v>
      </c>
      <c r="R31" s="43"/>
      <c r="S31" s="43"/>
      <c r="T31" s="43"/>
      <c r="U31" s="43"/>
    </row>
    <row r="32" spans="1:21" s="11" customFormat="1" x14ac:dyDescent="0.25">
      <c r="A32" s="50" t="s">
        <v>563</v>
      </c>
      <c r="B32" s="51">
        <v>11.33</v>
      </c>
      <c r="C32" s="51">
        <v>20.440000000000001</v>
      </c>
      <c r="D32" s="51">
        <v>21.73</v>
      </c>
      <c r="E32" s="51">
        <v>5.87</v>
      </c>
      <c r="F32" s="51">
        <v>4.46</v>
      </c>
      <c r="G32" s="51">
        <v>71.47</v>
      </c>
      <c r="H32" s="51">
        <v>16.649999999999999</v>
      </c>
      <c r="I32" s="51">
        <v>4.1399999999999997</v>
      </c>
      <c r="J32" s="51">
        <v>0.79</v>
      </c>
      <c r="K32" s="51">
        <v>325.81</v>
      </c>
      <c r="L32" s="51">
        <v>28.19</v>
      </c>
      <c r="M32" s="51">
        <v>74.12</v>
      </c>
      <c r="N32" s="51">
        <v>72.5</v>
      </c>
      <c r="O32" s="51">
        <v>0</v>
      </c>
      <c r="P32" s="51">
        <v>0.37</v>
      </c>
      <c r="Q32" s="51">
        <v>9.26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4.59</v>
      </c>
      <c r="C34" s="28">
        <f t="shared" si="0"/>
        <v>16.05</v>
      </c>
      <c r="D34" s="28">
        <f t="shared" si="0"/>
        <v>17.5</v>
      </c>
      <c r="E34" s="28">
        <f t="shared" si="0"/>
        <v>4.78</v>
      </c>
      <c r="F34" s="28">
        <f t="shared" si="0"/>
        <v>4.41</v>
      </c>
      <c r="G34" s="28">
        <f t="shared" si="0"/>
        <v>47.53</v>
      </c>
      <c r="H34" s="28">
        <f t="shared" si="0"/>
        <v>8.75</v>
      </c>
      <c r="I34" s="28">
        <f t="shared" si="0"/>
        <v>3.96</v>
      </c>
      <c r="J34" s="28">
        <f t="shared" si="0"/>
        <v>0.05</v>
      </c>
      <c r="K34" s="28">
        <f t="shared" si="0"/>
        <v>138.86000000000001</v>
      </c>
      <c r="L34" s="28">
        <f t="shared" si="0"/>
        <v>24.48</v>
      </c>
      <c r="M34" s="28">
        <f t="shared" si="0"/>
        <v>41.63</v>
      </c>
      <c r="N34" s="28">
        <f t="shared" si="0"/>
        <v>52.4</v>
      </c>
      <c r="O34" s="28">
        <f t="shared" si="0"/>
        <v>0</v>
      </c>
      <c r="P34" s="28">
        <f t="shared" si="0"/>
        <v>0.28999999999999998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26.17</v>
      </c>
      <c r="C35" s="29">
        <f t="shared" si="1"/>
        <v>50.52</v>
      </c>
      <c r="D35" s="29">
        <f t="shared" si="1"/>
        <v>56.53</v>
      </c>
      <c r="E35" s="29">
        <f t="shared" si="1"/>
        <v>6.48</v>
      </c>
      <c r="F35" s="29">
        <f t="shared" si="1"/>
        <v>11.56</v>
      </c>
      <c r="G35" s="29">
        <f t="shared" si="1"/>
        <v>82.87</v>
      </c>
      <c r="H35" s="29">
        <f t="shared" si="1"/>
        <v>28.65</v>
      </c>
      <c r="I35" s="29">
        <f t="shared" si="1"/>
        <v>4.21</v>
      </c>
      <c r="J35" s="29">
        <f t="shared" si="1"/>
        <v>0.88</v>
      </c>
      <c r="K35" s="29">
        <f t="shared" si="1"/>
        <v>353.59</v>
      </c>
      <c r="L35" s="29">
        <f t="shared" si="1"/>
        <v>34.299999999999997</v>
      </c>
      <c r="M35" s="29">
        <f t="shared" si="1"/>
        <v>99.33</v>
      </c>
      <c r="N35" s="29">
        <f t="shared" si="1"/>
        <v>880.7</v>
      </c>
      <c r="O35" s="29">
        <f t="shared" si="1"/>
        <v>0</v>
      </c>
      <c r="P35" s="29">
        <f t="shared" si="1"/>
        <v>0.99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10.701250000000002</v>
      </c>
      <c r="C36" s="28">
        <f t="shared" si="2"/>
        <v>21.677499999999998</v>
      </c>
      <c r="D36" s="28">
        <f t="shared" si="2"/>
        <v>25.742500000000003</v>
      </c>
      <c r="E36" s="28">
        <f t="shared" si="2"/>
        <v>5.701249999999999</v>
      </c>
      <c r="F36" s="28">
        <f t="shared" si="2"/>
        <v>6.661666666666668</v>
      </c>
      <c r="G36" s="28">
        <f t="shared" si="2"/>
        <v>68.632916666666659</v>
      </c>
      <c r="H36" s="28">
        <f t="shared" si="2"/>
        <v>18.408333333333331</v>
      </c>
      <c r="I36" s="28">
        <f t="shared" si="2"/>
        <v>4.1083333333333325</v>
      </c>
      <c r="J36" s="28">
        <f t="shared" si="2"/>
        <v>0.39125000000000004</v>
      </c>
      <c r="K36" s="28">
        <f t="shared" si="2"/>
        <v>282.68916666666667</v>
      </c>
      <c r="L36" s="28">
        <f t="shared" si="2"/>
        <v>29.425000000000011</v>
      </c>
      <c r="M36" s="28">
        <f t="shared" si="2"/>
        <v>70.051666666666662</v>
      </c>
      <c r="N36" s="28">
        <f t="shared" si="2"/>
        <v>275.47083333333325</v>
      </c>
      <c r="O36" s="28">
        <f t="shared" si="2"/>
        <v>0</v>
      </c>
      <c r="P36" s="28">
        <f t="shared" si="2"/>
        <v>0.46249999999999997</v>
      </c>
      <c r="Q36" s="28">
        <f t="shared" si="2"/>
        <v>9.2329166666666662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4.963646373996335</v>
      </c>
      <c r="C37" s="28">
        <f t="shared" ref="C37:Q37" si="3">STDEV(C9:C32)</f>
        <v>7.772320033017956</v>
      </c>
      <c r="D37" s="28">
        <f t="shared" si="3"/>
        <v>9.3619527180846269</v>
      </c>
      <c r="E37" s="28">
        <f t="shared" si="3"/>
        <v>0.61499602331694858</v>
      </c>
      <c r="F37" s="28">
        <f t="shared" si="3"/>
        <v>1.8023647912061791</v>
      </c>
      <c r="G37" s="28">
        <f t="shared" si="3"/>
        <v>10.16223164431689</v>
      </c>
      <c r="H37" s="28">
        <f t="shared" si="3"/>
        <v>5.199625962021452</v>
      </c>
      <c r="I37" s="28">
        <f t="shared" si="3"/>
        <v>6.5585434933087952E-2</v>
      </c>
      <c r="J37" s="28">
        <f t="shared" si="3"/>
        <v>0.2430300124604402</v>
      </c>
      <c r="K37" s="28">
        <f t="shared" si="3"/>
        <v>58.690695575205432</v>
      </c>
      <c r="L37" s="28">
        <f t="shared" si="3"/>
        <v>3.7299131590309806</v>
      </c>
      <c r="M37" s="28">
        <f t="shared" si="3"/>
        <v>21.675337350900968</v>
      </c>
      <c r="N37" s="28">
        <f t="shared" si="3"/>
        <v>279.27573016670283</v>
      </c>
      <c r="O37" s="28">
        <f t="shared" si="3"/>
        <v>0</v>
      </c>
      <c r="P37" s="28">
        <f t="shared" si="3"/>
        <v>0.14022497451688426</v>
      </c>
      <c r="Q37" s="28">
        <f t="shared" si="3"/>
        <v>0.11222954608521199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7" sqref="G1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564</v>
      </c>
      <c r="B9" s="51">
        <v>6.85</v>
      </c>
      <c r="C9" s="51">
        <v>15.46</v>
      </c>
      <c r="D9" s="51">
        <v>19.27</v>
      </c>
      <c r="E9" s="51">
        <v>5.61</v>
      </c>
      <c r="F9" s="51">
        <v>6.49</v>
      </c>
      <c r="G9" s="51">
        <v>68.510000000000005</v>
      </c>
      <c r="H9" s="51">
        <v>15.45</v>
      </c>
      <c r="I9" s="51">
        <v>4.01</v>
      </c>
      <c r="J9" s="51">
        <v>0.24</v>
      </c>
      <c r="K9" s="51">
        <v>317.42</v>
      </c>
      <c r="L9" s="51">
        <v>26.77</v>
      </c>
      <c r="M9" s="51">
        <v>78.98</v>
      </c>
      <c r="N9" s="51">
        <v>77.099999999999994</v>
      </c>
      <c r="O9" s="51">
        <v>0</v>
      </c>
      <c r="P9" s="51">
        <v>0.33</v>
      </c>
      <c r="Q9" s="51">
        <v>9.15</v>
      </c>
      <c r="R9" s="43"/>
      <c r="S9" s="43"/>
      <c r="T9" s="43"/>
      <c r="U9" s="43"/>
    </row>
    <row r="10" spans="1:21" s="11" customFormat="1" x14ac:dyDescent="0.25">
      <c r="A10" s="50" t="s">
        <v>565</v>
      </c>
      <c r="B10" s="51">
        <v>5.38</v>
      </c>
      <c r="C10" s="51">
        <v>13.44</v>
      </c>
      <c r="D10" s="51">
        <v>17.87</v>
      </c>
      <c r="E10" s="51">
        <v>5.53</v>
      </c>
      <c r="F10" s="51">
        <v>7.81</v>
      </c>
      <c r="G10" s="51">
        <v>58.91</v>
      </c>
      <c r="H10" s="51">
        <v>12.82</v>
      </c>
      <c r="I10" s="51">
        <v>4.2300000000000004</v>
      </c>
      <c r="J10" s="51">
        <v>0.12</v>
      </c>
      <c r="K10" s="51">
        <v>302.54000000000002</v>
      </c>
      <c r="L10" s="51">
        <v>26.56</v>
      </c>
      <c r="M10" s="51">
        <v>79.94</v>
      </c>
      <c r="N10" s="51">
        <v>81.2</v>
      </c>
      <c r="O10" s="51">
        <v>0</v>
      </c>
      <c r="P10" s="51">
        <v>0.22</v>
      </c>
      <c r="Q10" s="51">
        <v>9.15</v>
      </c>
      <c r="R10" s="43"/>
      <c r="S10" s="43"/>
      <c r="T10" s="43"/>
      <c r="U10" s="43"/>
    </row>
    <row r="11" spans="1:21" s="11" customFormat="1" x14ac:dyDescent="0.25">
      <c r="A11" s="50" t="s">
        <v>566</v>
      </c>
      <c r="B11" s="51">
        <v>6.04</v>
      </c>
      <c r="C11" s="51">
        <v>13.1</v>
      </c>
      <c r="D11" s="51">
        <v>15.81</v>
      </c>
      <c r="E11" s="51">
        <v>5.4</v>
      </c>
      <c r="F11" s="51">
        <v>6.38</v>
      </c>
      <c r="G11" s="51">
        <v>50.27</v>
      </c>
      <c r="H11" s="51">
        <v>12.89</v>
      </c>
      <c r="I11" s="51">
        <v>4.07</v>
      </c>
      <c r="J11" s="51">
        <v>0.18</v>
      </c>
      <c r="K11" s="51">
        <v>306.72000000000003</v>
      </c>
      <c r="L11" s="51">
        <v>26.37</v>
      </c>
      <c r="M11" s="51">
        <v>82.41</v>
      </c>
      <c r="N11" s="51">
        <v>72.400000000000006</v>
      </c>
      <c r="O11" s="51">
        <v>0</v>
      </c>
      <c r="P11" s="51">
        <v>0.23</v>
      </c>
      <c r="Q11" s="51">
        <v>9.1300000000000008</v>
      </c>
      <c r="R11" s="43"/>
      <c r="S11" s="43"/>
      <c r="T11" s="43"/>
      <c r="U11" s="43"/>
    </row>
    <row r="12" spans="1:21" s="11" customFormat="1" x14ac:dyDescent="0.25">
      <c r="A12" s="50" t="s">
        <v>567</v>
      </c>
      <c r="B12" s="51">
        <v>5.9</v>
      </c>
      <c r="C12" s="51">
        <v>12.64</v>
      </c>
      <c r="D12" s="51">
        <v>15.15</v>
      </c>
      <c r="E12" s="51">
        <v>5.39</v>
      </c>
      <c r="F12" s="51">
        <v>4.12</v>
      </c>
      <c r="G12" s="51">
        <v>45.3</v>
      </c>
      <c r="H12" s="51">
        <v>23.59</v>
      </c>
      <c r="I12" s="51">
        <v>4.1399999999999997</v>
      </c>
      <c r="J12" s="51">
        <v>0.2</v>
      </c>
      <c r="K12" s="51">
        <v>293.8</v>
      </c>
      <c r="L12" s="51">
        <v>26.14</v>
      </c>
      <c r="M12" s="51">
        <v>82.6</v>
      </c>
      <c r="N12" s="51">
        <v>62.4</v>
      </c>
      <c r="O12" s="51">
        <v>0</v>
      </c>
      <c r="P12" s="51">
        <v>0.22</v>
      </c>
      <c r="Q12" s="51">
        <v>9.08</v>
      </c>
      <c r="R12" s="43"/>
      <c r="S12" s="43"/>
      <c r="T12" s="43"/>
      <c r="U12" s="43"/>
    </row>
    <row r="13" spans="1:21" s="11" customFormat="1" x14ac:dyDescent="0.25">
      <c r="A13" s="50" t="s">
        <v>568</v>
      </c>
      <c r="B13" s="51">
        <v>5.94</v>
      </c>
      <c r="C13" s="51">
        <v>12.87</v>
      </c>
      <c r="D13" s="51">
        <v>15.82</v>
      </c>
      <c r="E13" s="51">
        <v>5.15</v>
      </c>
      <c r="F13" s="51">
        <v>4.16</v>
      </c>
      <c r="G13" s="51">
        <v>40.08</v>
      </c>
      <c r="H13" s="51">
        <v>22.35</v>
      </c>
      <c r="I13" s="51">
        <v>4.07</v>
      </c>
      <c r="J13" s="51">
        <v>0.23</v>
      </c>
      <c r="K13" s="51">
        <v>298.69</v>
      </c>
      <c r="L13" s="51">
        <v>25.84</v>
      </c>
      <c r="M13" s="51">
        <v>83.12</v>
      </c>
      <c r="N13" s="51">
        <v>72.8</v>
      </c>
      <c r="O13" s="51">
        <v>0</v>
      </c>
      <c r="P13" s="51">
        <v>0.2</v>
      </c>
      <c r="Q13" s="51">
        <v>9.07</v>
      </c>
      <c r="R13" s="43"/>
      <c r="S13" s="43"/>
      <c r="T13" s="43"/>
      <c r="U13" s="43"/>
    </row>
    <row r="14" spans="1:21" s="11" customFormat="1" x14ac:dyDescent="0.25">
      <c r="A14" s="50" t="s">
        <v>569</v>
      </c>
      <c r="B14" s="51">
        <v>5.86</v>
      </c>
      <c r="C14" s="51">
        <v>13.21</v>
      </c>
      <c r="D14" s="51">
        <v>16.66</v>
      </c>
      <c r="E14" s="51">
        <v>5.35</v>
      </c>
      <c r="F14" s="51">
        <v>4.58</v>
      </c>
      <c r="G14" s="51">
        <v>37.979999999999997</v>
      </c>
      <c r="H14" s="51">
        <v>22.33</v>
      </c>
      <c r="I14" s="51">
        <v>4.05</v>
      </c>
      <c r="J14" s="51">
        <v>0.26</v>
      </c>
      <c r="K14" s="51">
        <v>287.43</v>
      </c>
      <c r="L14" s="51">
        <v>25.12</v>
      </c>
      <c r="M14" s="51">
        <v>88.15</v>
      </c>
      <c r="N14" s="51">
        <v>126.1</v>
      </c>
      <c r="O14" s="51">
        <v>0</v>
      </c>
      <c r="P14" s="51">
        <v>0.16</v>
      </c>
      <c r="Q14" s="51">
        <v>9.08</v>
      </c>
      <c r="R14" s="43"/>
      <c r="S14" s="43"/>
      <c r="T14" s="43"/>
      <c r="U14" s="43"/>
    </row>
    <row r="15" spans="1:21" s="11" customFormat="1" x14ac:dyDescent="0.25">
      <c r="A15" s="50" t="s">
        <v>570</v>
      </c>
      <c r="B15" s="51">
        <v>5.9</v>
      </c>
      <c r="C15" s="51">
        <v>13.8</v>
      </c>
      <c r="D15" s="51">
        <v>17.440000000000001</v>
      </c>
      <c r="E15" s="51">
        <v>5.47</v>
      </c>
      <c r="F15" s="51">
        <v>4.57</v>
      </c>
      <c r="G15" s="51">
        <v>44.26</v>
      </c>
      <c r="H15" s="51">
        <v>40.729999999999997</v>
      </c>
      <c r="I15" s="51">
        <v>4.08</v>
      </c>
      <c r="J15" s="51">
        <v>0.24</v>
      </c>
      <c r="K15" s="51">
        <v>293.3</v>
      </c>
      <c r="L15" s="51">
        <v>25.91</v>
      </c>
      <c r="M15" s="51">
        <v>86.91</v>
      </c>
      <c r="N15" s="51">
        <v>206</v>
      </c>
      <c r="O15" s="51">
        <v>0</v>
      </c>
      <c r="P15" s="51">
        <v>0.17</v>
      </c>
      <c r="Q15" s="51">
        <v>9.11</v>
      </c>
      <c r="R15" s="43"/>
      <c r="S15" s="43"/>
      <c r="T15" s="43"/>
      <c r="U15" s="43"/>
    </row>
    <row r="16" spans="1:21" s="11" customFormat="1" x14ac:dyDescent="0.25">
      <c r="A16" s="50" t="s">
        <v>571</v>
      </c>
      <c r="B16" s="51">
        <v>6.13</v>
      </c>
      <c r="C16" s="51">
        <v>14.06</v>
      </c>
      <c r="D16" s="51">
        <v>17.649999999999999</v>
      </c>
      <c r="E16" s="51">
        <v>5.19</v>
      </c>
      <c r="F16" s="51">
        <v>4.18</v>
      </c>
      <c r="G16" s="51">
        <v>47.51</v>
      </c>
      <c r="H16" s="51">
        <v>152.74</v>
      </c>
      <c r="I16" s="51">
        <v>4.0999999999999996</v>
      </c>
      <c r="J16" s="51">
        <v>0.24</v>
      </c>
      <c r="K16" s="51">
        <v>291.3</v>
      </c>
      <c r="L16" s="51">
        <v>27.51</v>
      </c>
      <c r="M16" s="51">
        <v>81.540000000000006</v>
      </c>
      <c r="N16" s="51">
        <v>402.7</v>
      </c>
      <c r="O16" s="51">
        <v>0</v>
      </c>
      <c r="P16" s="51">
        <v>0.18</v>
      </c>
      <c r="Q16" s="51">
        <v>9.1</v>
      </c>
      <c r="R16" s="43"/>
      <c r="S16" s="43"/>
      <c r="T16" s="43"/>
      <c r="U16" s="43"/>
    </row>
    <row r="17" spans="1:21" s="11" customFormat="1" x14ac:dyDescent="0.25">
      <c r="A17" s="50" t="s">
        <v>572</v>
      </c>
      <c r="B17" s="51">
        <v>5.95</v>
      </c>
      <c r="C17" s="51">
        <v>13.93</v>
      </c>
      <c r="D17" s="51">
        <v>17.95</v>
      </c>
      <c r="E17" s="51">
        <v>4.34</v>
      </c>
      <c r="F17" s="51">
        <v>4.2300000000000004</v>
      </c>
      <c r="G17" s="51">
        <v>50.25</v>
      </c>
      <c r="H17" s="51">
        <v>87.05</v>
      </c>
      <c r="I17" s="51">
        <v>4.05</v>
      </c>
      <c r="J17" s="51">
        <v>0.33</v>
      </c>
      <c r="K17" s="51">
        <v>292.93</v>
      </c>
      <c r="L17" s="51">
        <v>28.07</v>
      </c>
      <c r="M17" s="51">
        <v>78.3</v>
      </c>
      <c r="N17" s="51">
        <v>555.79999999999995</v>
      </c>
      <c r="O17" s="51">
        <v>0</v>
      </c>
      <c r="P17" s="51">
        <v>0.21</v>
      </c>
      <c r="Q17" s="51">
        <v>9.08</v>
      </c>
      <c r="R17" s="43"/>
      <c r="S17" s="43"/>
      <c r="T17" s="43"/>
      <c r="U17" s="43"/>
    </row>
    <row r="18" spans="1:21" s="11" customFormat="1" x14ac:dyDescent="0.25">
      <c r="A18" s="50" t="s">
        <v>573</v>
      </c>
      <c r="B18" s="51">
        <v>5.69</v>
      </c>
      <c r="C18" s="51">
        <v>14.05</v>
      </c>
      <c r="D18" s="51">
        <v>18.38</v>
      </c>
      <c r="E18" s="51">
        <v>4.53</v>
      </c>
      <c r="F18" s="51">
        <v>4.96</v>
      </c>
      <c r="G18" s="51">
        <v>47.62</v>
      </c>
      <c r="H18" s="51">
        <v>41.7</v>
      </c>
      <c r="I18" s="51">
        <v>4.04</v>
      </c>
      <c r="J18" s="51">
        <v>0.43</v>
      </c>
      <c r="K18" s="51">
        <v>292.25</v>
      </c>
      <c r="L18" s="51">
        <v>30.43</v>
      </c>
      <c r="M18" s="51">
        <v>71.42</v>
      </c>
      <c r="N18" s="51">
        <v>747.5</v>
      </c>
      <c r="O18" s="51">
        <v>0</v>
      </c>
      <c r="P18" s="51">
        <v>0.24</v>
      </c>
      <c r="Q18" s="51">
        <v>9.07</v>
      </c>
      <c r="R18" s="43"/>
      <c r="S18" s="43"/>
      <c r="T18" s="43"/>
      <c r="U18" s="43"/>
    </row>
    <row r="19" spans="1:21" s="11" customFormat="1" x14ac:dyDescent="0.25">
      <c r="A19" s="50" t="s">
        <v>574</v>
      </c>
      <c r="B19" s="51">
        <v>5.18</v>
      </c>
      <c r="C19" s="51">
        <v>14.76</v>
      </c>
      <c r="D19" s="51">
        <v>20.45</v>
      </c>
      <c r="E19" s="51">
        <v>4.43</v>
      </c>
      <c r="F19" s="51">
        <v>4.8499999999999996</v>
      </c>
      <c r="G19" s="51">
        <v>51.17</v>
      </c>
      <c r="H19" s="51">
        <v>61.8</v>
      </c>
      <c r="I19" s="51">
        <v>4.0599999999999996</v>
      </c>
      <c r="J19" s="51">
        <v>0.7</v>
      </c>
      <c r="K19" s="51">
        <v>299.87</v>
      </c>
      <c r="L19" s="51">
        <v>31.25</v>
      </c>
      <c r="M19" s="51">
        <v>63.7</v>
      </c>
      <c r="N19" s="51">
        <v>646.4</v>
      </c>
      <c r="O19" s="51">
        <v>0</v>
      </c>
      <c r="P19" s="51">
        <v>0.3</v>
      </c>
      <c r="Q19" s="51">
        <v>9.11</v>
      </c>
      <c r="R19" s="43"/>
      <c r="S19" s="43"/>
      <c r="T19" s="43"/>
      <c r="U19" s="43"/>
    </row>
    <row r="20" spans="1:21" s="11" customFormat="1" x14ac:dyDescent="0.25">
      <c r="A20" s="50" t="s">
        <v>575</v>
      </c>
      <c r="B20" s="51">
        <v>5.3</v>
      </c>
      <c r="C20" s="51">
        <v>15.66</v>
      </c>
      <c r="D20" s="51">
        <v>21.87</v>
      </c>
      <c r="E20" s="51">
        <v>4.34</v>
      </c>
      <c r="F20" s="51">
        <v>5.29</v>
      </c>
      <c r="G20" s="51">
        <v>52.65</v>
      </c>
      <c r="H20" s="51">
        <v>250.49</v>
      </c>
      <c r="I20" s="51">
        <v>4.05</v>
      </c>
      <c r="J20" s="51">
        <v>0.55000000000000004</v>
      </c>
      <c r="K20" s="51">
        <v>294.89999999999998</v>
      </c>
      <c r="L20" s="51">
        <v>31.14</v>
      </c>
      <c r="M20" s="51">
        <v>64.8</v>
      </c>
      <c r="N20" s="51">
        <v>384.7</v>
      </c>
      <c r="O20" s="51">
        <v>0</v>
      </c>
      <c r="P20" s="51">
        <v>0.37</v>
      </c>
      <c r="Q20" s="51">
        <v>9.1199999999999992</v>
      </c>
      <c r="R20" s="43"/>
      <c r="S20" s="43"/>
      <c r="T20" s="43"/>
      <c r="U20" s="43"/>
    </row>
    <row r="21" spans="1:21" s="11" customFormat="1" x14ac:dyDescent="0.25">
      <c r="A21" s="50" t="s">
        <v>576</v>
      </c>
      <c r="B21" s="51">
        <v>5.68</v>
      </c>
      <c r="C21" s="51">
        <v>15.93</v>
      </c>
      <c r="D21" s="51">
        <v>21.77</v>
      </c>
      <c r="E21" s="51">
        <v>4.45</v>
      </c>
      <c r="F21" s="51">
        <v>5.04</v>
      </c>
      <c r="G21" s="51">
        <v>57.55</v>
      </c>
      <c r="H21" s="51">
        <v>302.07</v>
      </c>
      <c r="I21" s="51">
        <v>4.07</v>
      </c>
      <c r="J21" s="51">
        <v>0.62</v>
      </c>
      <c r="K21" s="51">
        <v>298.37</v>
      </c>
      <c r="L21" s="51">
        <v>30.9</v>
      </c>
      <c r="M21" s="51">
        <v>63.36</v>
      </c>
      <c r="N21" s="51">
        <v>388.6</v>
      </c>
      <c r="O21" s="51">
        <v>0</v>
      </c>
      <c r="P21" s="51">
        <v>0.39</v>
      </c>
      <c r="Q21" s="51">
        <v>9.09</v>
      </c>
      <c r="R21" s="43"/>
      <c r="S21" s="43"/>
      <c r="T21" s="43"/>
      <c r="U21" s="43"/>
    </row>
    <row r="22" spans="1:21" s="11" customFormat="1" x14ac:dyDescent="0.25">
      <c r="A22" s="50" t="s">
        <v>577</v>
      </c>
      <c r="B22" s="51">
        <v>5.55</v>
      </c>
      <c r="C22" s="51">
        <v>15.78</v>
      </c>
      <c r="D22" s="51">
        <v>21.68</v>
      </c>
      <c r="E22" s="51">
        <v>4.2699999999999996</v>
      </c>
      <c r="F22" s="51">
        <v>4.87</v>
      </c>
      <c r="G22" s="51">
        <v>62.49</v>
      </c>
      <c r="H22" s="51">
        <v>21.19</v>
      </c>
      <c r="I22" s="51">
        <v>4.1100000000000003</v>
      </c>
      <c r="J22" s="51">
        <v>0.74</v>
      </c>
      <c r="K22" s="51">
        <v>299.48</v>
      </c>
      <c r="L22" s="51">
        <v>31.04</v>
      </c>
      <c r="M22" s="51">
        <v>63.08</v>
      </c>
      <c r="N22" s="51">
        <v>372.4</v>
      </c>
      <c r="O22" s="51">
        <v>0</v>
      </c>
      <c r="P22" s="51">
        <v>0.36</v>
      </c>
      <c r="Q22" s="51">
        <v>9.1</v>
      </c>
      <c r="R22" s="43"/>
      <c r="S22" s="43"/>
      <c r="T22" s="43"/>
      <c r="U22" s="43"/>
    </row>
    <row r="23" spans="1:21" s="11" customFormat="1" x14ac:dyDescent="0.25">
      <c r="A23" s="50" t="s">
        <v>578</v>
      </c>
      <c r="B23" s="51">
        <v>7.37</v>
      </c>
      <c r="C23" s="51">
        <v>19.149999999999999</v>
      </c>
      <c r="D23" s="51">
        <v>25.33</v>
      </c>
      <c r="E23" s="51">
        <v>4.43</v>
      </c>
      <c r="F23" s="51">
        <v>5.57</v>
      </c>
      <c r="G23" s="51">
        <v>67.180000000000007</v>
      </c>
      <c r="H23" s="51">
        <v>31.12</v>
      </c>
      <c r="I23" s="51">
        <v>4.0999999999999996</v>
      </c>
      <c r="J23" s="51">
        <v>0.48</v>
      </c>
      <c r="K23" s="51">
        <v>299.60000000000002</v>
      </c>
      <c r="L23" s="51">
        <v>31.1</v>
      </c>
      <c r="M23" s="51">
        <v>64.95</v>
      </c>
      <c r="N23" s="51">
        <v>257.7</v>
      </c>
      <c r="O23" s="51">
        <v>0</v>
      </c>
      <c r="P23" s="51">
        <v>0.48</v>
      </c>
      <c r="Q23" s="51">
        <v>9.1199999999999992</v>
      </c>
      <c r="R23" s="43"/>
      <c r="S23" s="43"/>
      <c r="T23" s="43"/>
      <c r="U23" s="43"/>
    </row>
    <row r="24" spans="1:21" s="11" customFormat="1" x14ac:dyDescent="0.25">
      <c r="A24" s="50" t="s">
        <v>579</v>
      </c>
      <c r="B24" s="51">
        <v>6.96</v>
      </c>
      <c r="C24" s="51">
        <v>17.899999999999999</v>
      </c>
      <c r="D24" s="51">
        <v>23.84</v>
      </c>
      <c r="E24" s="51">
        <v>4.83</v>
      </c>
      <c r="F24" s="51">
        <v>5.21</v>
      </c>
      <c r="G24" s="51">
        <v>72.91</v>
      </c>
      <c r="H24" s="51">
        <v>13.73</v>
      </c>
      <c r="I24" s="51">
        <v>4.04</v>
      </c>
      <c r="J24" s="51">
        <v>0.52</v>
      </c>
      <c r="K24" s="51">
        <v>295.76</v>
      </c>
      <c r="L24" s="51">
        <v>29.29</v>
      </c>
      <c r="M24" s="51">
        <v>71.33</v>
      </c>
      <c r="N24" s="51">
        <v>147.6</v>
      </c>
      <c r="O24" s="51">
        <v>0</v>
      </c>
      <c r="P24" s="51">
        <v>0.47</v>
      </c>
      <c r="Q24" s="51">
        <v>9.15</v>
      </c>
      <c r="R24" s="43"/>
      <c r="S24" s="43"/>
      <c r="T24" s="43"/>
      <c r="U24" s="43"/>
    </row>
    <row r="25" spans="1:21" s="11" customFormat="1" x14ac:dyDescent="0.25">
      <c r="A25" s="50" t="s">
        <v>580</v>
      </c>
      <c r="B25" s="51">
        <v>7.29</v>
      </c>
      <c r="C25" s="51">
        <v>17.82</v>
      </c>
      <c r="D25" s="51">
        <v>24.19</v>
      </c>
      <c r="E25" s="51">
        <v>4.1399999999999997</v>
      </c>
      <c r="F25" s="51">
        <v>4.0199999999999996</v>
      </c>
      <c r="G25" s="51">
        <v>75.47</v>
      </c>
      <c r="H25" s="51">
        <v>25.89</v>
      </c>
      <c r="I25" s="51">
        <v>4.08</v>
      </c>
      <c r="J25" s="51">
        <v>1.5</v>
      </c>
      <c r="K25" s="51">
        <v>327.45</v>
      </c>
      <c r="L25" s="51">
        <v>28.45</v>
      </c>
      <c r="M25" s="51">
        <v>75.16</v>
      </c>
      <c r="N25" s="51">
        <v>117.2</v>
      </c>
      <c r="O25" s="51">
        <v>0</v>
      </c>
      <c r="P25" s="51">
        <v>0.48</v>
      </c>
      <c r="Q25" s="51">
        <v>9.17</v>
      </c>
      <c r="R25" s="43"/>
      <c r="S25" s="43"/>
      <c r="T25" s="43"/>
      <c r="U25" s="43"/>
    </row>
    <row r="26" spans="1:21" s="11" customFormat="1" x14ac:dyDescent="0.25">
      <c r="A26" s="50" t="s">
        <v>581</v>
      </c>
      <c r="B26" s="51">
        <v>11.19</v>
      </c>
      <c r="C26" s="51">
        <v>22.31</v>
      </c>
      <c r="D26" s="51">
        <v>25.53</v>
      </c>
      <c r="E26" s="51">
        <v>4.0599999999999996</v>
      </c>
      <c r="F26" s="51">
        <v>4.7699999999999996</v>
      </c>
      <c r="G26" s="51">
        <v>71.400000000000006</v>
      </c>
      <c r="H26" s="51">
        <v>32.01</v>
      </c>
      <c r="I26" s="51">
        <v>4.13</v>
      </c>
      <c r="J26" s="51">
        <v>0.74</v>
      </c>
      <c r="K26" s="51">
        <v>314.02</v>
      </c>
      <c r="L26" s="51">
        <v>27.62</v>
      </c>
      <c r="M26" s="51">
        <v>77.39</v>
      </c>
      <c r="N26" s="51">
        <v>79</v>
      </c>
      <c r="O26" s="51">
        <v>0</v>
      </c>
      <c r="P26" s="51">
        <v>0.48</v>
      </c>
      <c r="Q26" s="51">
        <v>9.2100000000000009</v>
      </c>
      <c r="R26" s="43"/>
      <c r="S26" s="43"/>
      <c r="T26" s="43"/>
      <c r="U26" s="43"/>
    </row>
    <row r="27" spans="1:21" s="11" customFormat="1" x14ac:dyDescent="0.25">
      <c r="A27" s="50" t="s">
        <v>582</v>
      </c>
      <c r="B27" s="51">
        <v>12.76</v>
      </c>
      <c r="C27" s="51">
        <v>26.36</v>
      </c>
      <c r="D27" s="51">
        <v>30.86</v>
      </c>
      <c r="E27" s="51">
        <v>4.7699999999999996</v>
      </c>
      <c r="F27" s="51">
        <v>7.48</v>
      </c>
      <c r="G27" s="51">
        <v>72.61</v>
      </c>
      <c r="H27" s="51">
        <v>22.84</v>
      </c>
      <c r="I27" s="51">
        <v>4.16</v>
      </c>
      <c r="J27" s="51">
        <v>0.24</v>
      </c>
      <c r="K27" s="51">
        <v>323.33999999999997</v>
      </c>
      <c r="L27" s="51">
        <v>27.58</v>
      </c>
      <c r="M27" s="51">
        <v>76.75</v>
      </c>
      <c r="N27" s="51">
        <v>69.099999999999994</v>
      </c>
      <c r="O27" s="51">
        <v>0</v>
      </c>
      <c r="P27" s="51">
        <v>0.76</v>
      </c>
      <c r="Q27" s="51">
        <v>9.3000000000000007</v>
      </c>
      <c r="R27" s="43"/>
      <c r="S27" s="43"/>
      <c r="T27" s="43"/>
      <c r="U27" s="43"/>
    </row>
    <row r="28" spans="1:21" s="11" customFormat="1" x14ac:dyDescent="0.25">
      <c r="A28" s="50" t="s">
        <v>583</v>
      </c>
      <c r="B28" s="51">
        <v>16.829999999999998</v>
      </c>
      <c r="C28" s="51">
        <v>29.57</v>
      </c>
      <c r="D28" s="51">
        <v>32.39</v>
      </c>
      <c r="E28" s="51">
        <v>4.6900000000000004</v>
      </c>
      <c r="F28" s="51">
        <v>7.39</v>
      </c>
      <c r="G28" s="51">
        <v>89.96</v>
      </c>
      <c r="H28" s="51">
        <v>39.04</v>
      </c>
      <c r="I28" s="51">
        <v>4.0599999999999996</v>
      </c>
      <c r="J28" s="51">
        <v>0.57999999999999996</v>
      </c>
      <c r="K28" s="51">
        <v>315.48</v>
      </c>
      <c r="L28" s="51">
        <v>27.44</v>
      </c>
      <c r="M28" s="51">
        <v>78.959999999999994</v>
      </c>
      <c r="N28" s="51">
        <v>54.3</v>
      </c>
      <c r="O28" s="51">
        <v>0</v>
      </c>
      <c r="P28" s="51">
        <v>0.65</v>
      </c>
      <c r="Q28" s="51">
        <v>9.3699999999999992</v>
      </c>
      <c r="R28" s="43"/>
      <c r="S28" s="43"/>
      <c r="T28" s="43"/>
      <c r="U28" s="43"/>
    </row>
    <row r="29" spans="1:21" s="11" customFormat="1" x14ac:dyDescent="0.25">
      <c r="A29" s="50" t="s">
        <v>584</v>
      </c>
      <c r="B29" s="51">
        <v>18.22</v>
      </c>
      <c r="C29" s="51">
        <v>26.95</v>
      </c>
      <c r="D29" s="51">
        <v>27.55</v>
      </c>
      <c r="E29" s="51">
        <v>4.5599999999999996</v>
      </c>
      <c r="F29" s="51">
        <v>6.68</v>
      </c>
      <c r="G29" s="51">
        <v>96.03</v>
      </c>
      <c r="H29" s="51">
        <v>22.7</v>
      </c>
      <c r="I29" s="51">
        <v>4.08</v>
      </c>
      <c r="J29" s="51">
        <v>0.3</v>
      </c>
      <c r="K29" s="51">
        <v>315.72000000000003</v>
      </c>
      <c r="L29" s="51">
        <v>27.16</v>
      </c>
      <c r="M29" s="51">
        <v>78.760000000000005</v>
      </c>
      <c r="N29" s="51">
        <v>54.6</v>
      </c>
      <c r="O29" s="51">
        <v>0</v>
      </c>
      <c r="P29" s="51">
        <v>0.62</v>
      </c>
      <c r="Q29" s="51">
        <v>9.41</v>
      </c>
      <c r="R29" s="43"/>
      <c r="S29" s="43"/>
      <c r="T29" s="43"/>
      <c r="U29" s="43"/>
    </row>
    <row r="30" spans="1:21" s="11" customFormat="1" x14ac:dyDescent="0.25">
      <c r="A30" s="50" t="s">
        <v>585</v>
      </c>
      <c r="B30" s="51">
        <v>17.5</v>
      </c>
      <c r="C30" s="51">
        <v>25.82</v>
      </c>
      <c r="D30" s="51">
        <v>23.26</v>
      </c>
      <c r="E30" s="51">
        <v>4.6399999999999997</v>
      </c>
      <c r="F30" s="51">
        <v>5.6</v>
      </c>
      <c r="G30" s="51">
        <v>88.3</v>
      </c>
      <c r="H30" s="51">
        <v>22.31</v>
      </c>
      <c r="I30" s="51">
        <v>4.0199999999999996</v>
      </c>
      <c r="J30" s="51">
        <v>0.57999999999999996</v>
      </c>
      <c r="K30" s="51">
        <v>323.31</v>
      </c>
      <c r="L30" s="51">
        <v>26.96</v>
      </c>
      <c r="M30" s="51">
        <v>79.760000000000005</v>
      </c>
      <c r="N30" s="51">
        <v>54.6</v>
      </c>
      <c r="O30" s="51">
        <v>0</v>
      </c>
      <c r="P30" s="51">
        <v>0.57999999999999996</v>
      </c>
      <c r="Q30" s="51">
        <v>9.43</v>
      </c>
      <c r="R30" s="43"/>
      <c r="S30" s="43"/>
      <c r="T30" s="43"/>
      <c r="U30" s="43"/>
    </row>
    <row r="31" spans="1:21" s="11" customFormat="1" x14ac:dyDescent="0.25">
      <c r="A31" s="50" t="s">
        <v>586</v>
      </c>
      <c r="B31" s="51">
        <v>15.76</v>
      </c>
      <c r="C31" s="51">
        <v>27.55</v>
      </c>
      <c r="D31" s="51">
        <v>28.55</v>
      </c>
      <c r="E31" s="51">
        <v>4.3499999999999996</v>
      </c>
      <c r="F31" s="51">
        <v>8.75</v>
      </c>
      <c r="G31" s="51">
        <v>93.84</v>
      </c>
      <c r="H31" s="51">
        <v>27.2</v>
      </c>
      <c r="I31" s="51">
        <v>4.01</v>
      </c>
      <c r="J31" s="51">
        <v>0.04</v>
      </c>
      <c r="K31" s="51">
        <v>298.88</v>
      </c>
      <c r="L31" s="51">
        <v>26.58</v>
      </c>
      <c r="M31" s="51">
        <v>82.36</v>
      </c>
      <c r="N31" s="51">
        <v>55</v>
      </c>
      <c r="O31" s="51">
        <v>0</v>
      </c>
      <c r="P31" s="51">
        <v>0.57999999999999996</v>
      </c>
      <c r="Q31" s="51">
        <v>9.43</v>
      </c>
      <c r="R31" s="43"/>
      <c r="S31" s="43"/>
      <c r="T31" s="43"/>
      <c r="U31" s="43"/>
    </row>
    <row r="32" spans="1:21" s="11" customFormat="1" x14ac:dyDescent="0.25">
      <c r="A32" s="50" t="s">
        <v>587</v>
      </c>
      <c r="B32" s="51">
        <v>12.93</v>
      </c>
      <c r="C32" s="51">
        <v>22.03</v>
      </c>
      <c r="D32" s="51">
        <v>22.31</v>
      </c>
      <c r="E32" s="51">
        <v>4.55</v>
      </c>
      <c r="F32" s="51">
        <v>7.91</v>
      </c>
      <c r="G32" s="51">
        <v>80.459999999999994</v>
      </c>
      <c r="H32" s="51">
        <v>21.95</v>
      </c>
      <c r="I32" s="51">
        <v>4.07</v>
      </c>
      <c r="J32" s="51">
        <v>0.3</v>
      </c>
      <c r="K32" s="51">
        <v>329.53</v>
      </c>
      <c r="L32" s="51">
        <v>26.05</v>
      </c>
      <c r="M32" s="51">
        <v>86.89</v>
      </c>
      <c r="N32" s="51">
        <v>54.8</v>
      </c>
      <c r="O32" s="51">
        <v>0</v>
      </c>
      <c r="P32" s="51">
        <v>0.4</v>
      </c>
      <c r="Q32" s="51">
        <v>9.42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5.18</v>
      </c>
      <c r="C34" s="28">
        <f t="shared" si="0"/>
        <v>12.64</v>
      </c>
      <c r="D34" s="28">
        <f t="shared" si="0"/>
        <v>15.15</v>
      </c>
      <c r="E34" s="28">
        <f t="shared" si="0"/>
        <v>4.0599999999999996</v>
      </c>
      <c r="F34" s="28">
        <f t="shared" si="0"/>
        <v>4.0199999999999996</v>
      </c>
      <c r="G34" s="28">
        <f t="shared" si="0"/>
        <v>37.979999999999997</v>
      </c>
      <c r="H34" s="28">
        <f t="shared" si="0"/>
        <v>12.82</v>
      </c>
      <c r="I34" s="28">
        <f t="shared" si="0"/>
        <v>4.01</v>
      </c>
      <c r="J34" s="28">
        <f t="shared" si="0"/>
        <v>0.04</v>
      </c>
      <c r="K34" s="28">
        <f t="shared" si="0"/>
        <v>287.43</v>
      </c>
      <c r="L34" s="28">
        <f t="shared" si="0"/>
        <v>25.12</v>
      </c>
      <c r="M34" s="28">
        <f t="shared" si="0"/>
        <v>63.08</v>
      </c>
      <c r="N34" s="28">
        <f t="shared" si="0"/>
        <v>54.3</v>
      </c>
      <c r="O34" s="28">
        <f t="shared" si="0"/>
        <v>0</v>
      </c>
      <c r="P34" s="28">
        <f t="shared" si="0"/>
        <v>0.16</v>
      </c>
      <c r="Q34" s="28">
        <f t="shared" si="0"/>
        <v>9.07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18.22</v>
      </c>
      <c r="C35" s="29">
        <f t="shared" si="1"/>
        <v>29.57</v>
      </c>
      <c r="D35" s="29">
        <f t="shared" si="1"/>
        <v>32.39</v>
      </c>
      <c r="E35" s="29">
        <f t="shared" si="1"/>
        <v>5.61</v>
      </c>
      <c r="F35" s="29">
        <f t="shared" si="1"/>
        <v>8.75</v>
      </c>
      <c r="G35" s="29">
        <f t="shared" si="1"/>
        <v>96.03</v>
      </c>
      <c r="H35" s="29">
        <f t="shared" si="1"/>
        <v>302.07</v>
      </c>
      <c r="I35" s="29">
        <f t="shared" si="1"/>
        <v>4.2300000000000004</v>
      </c>
      <c r="J35" s="29">
        <f t="shared" si="1"/>
        <v>1.5</v>
      </c>
      <c r="K35" s="29">
        <f t="shared" si="1"/>
        <v>329.53</v>
      </c>
      <c r="L35" s="29">
        <f t="shared" si="1"/>
        <v>31.25</v>
      </c>
      <c r="M35" s="29">
        <f t="shared" si="1"/>
        <v>88.15</v>
      </c>
      <c r="N35" s="29">
        <f t="shared" si="1"/>
        <v>747.5</v>
      </c>
      <c r="O35" s="29">
        <f t="shared" si="1"/>
        <v>0</v>
      </c>
      <c r="P35" s="29">
        <f t="shared" si="1"/>
        <v>0.76</v>
      </c>
      <c r="Q35" s="29">
        <f t="shared" si="1"/>
        <v>9.43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8.6733333333333338</v>
      </c>
      <c r="C36" s="28">
        <f t="shared" si="2"/>
        <v>18.089583333333334</v>
      </c>
      <c r="D36" s="28">
        <f t="shared" si="2"/>
        <v>21.732499999999998</v>
      </c>
      <c r="E36" s="28">
        <f t="shared" si="2"/>
        <v>4.7695833333333324</v>
      </c>
      <c r="F36" s="28">
        <f t="shared" si="2"/>
        <v>5.621249999999999</v>
      </c>
      <c r="G36" s="28">
        <f t="shared" si="2"/>
        <v>63.446249999999992</v>
      </c>
      <c r="H36" s="28">
        <f t="shared" si="2"/>
        <v>55.249583333333334</v>
      </c>
      <c r="I36" s="28">
        <f t="shared" si="2"/>
        <v>4.0783333333333331</v>
      </c>
      <c r="J36" s="28">
        <f t="shared" si="2"/>
        <v>0.4316666666666667</v>
      </c>
      <c r="K36" s="28">
        <f t="shared" si="2"/>
        <v>304.67041666666665</v>
      </c>
      <c r="L36" s="28">
        <f t="shared" si="2"/>
        <v>27.970000000000002</v>
      </c>
      <c r="M36" s="28">
        <f t="shared" si="2"/>
        <v>76.69250000000001</v>
      </c>
      <c r="N36" s="28">
        <f t="shared" si="2"/>
        <v>214.16666666666671</v>
      </c>
      <c r="O36" s="28">
        <f t="shared" si="2"/>
        <v>0</v>
      </c>
      <c r="P36" s="28">
        <f t="shared" si="2"/>
        <v>0.37833333333333335</v>
      </c>
      <c r="Q36" s="28">
        <f t="shared" si="2"/>
        <v>9.1854166666666668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4.4255165914782513</v>
      </c>
      <c r="C37" s="28">
        <f t="shared" ref="C37:Q37" si="3">STDEV(C9:C32)</f>
        <v>5.485017125070712</v>
      </c>
      <c r="D37" s="28">
        <f t="shared" si="3"/>
        <v>4.8459245539534415</v>
      </c>
      <c r="E37" s="28">
        <f t="shared" si="3"/>
        <v>0.48541760745072748</v>
      </c>
      <c r="F37" s="28">
        <f t="shared" si="3"/>
        <v>1.3979622203640638</v>
      </c>
      <c r="G37" s="28">
        <f t="shared" si="3"/>
        <v>17.550189349282061</v>
      </c>
      <c r="H37" s="28">
        <f t="shared" si="3"/>
        <v>74.763575441937761</v>
      </c>
      <c r="I37" s="28">
        <f t="shared" si="3"/>
        <v>4.9840324748284932E-2</v>
      </c>
      <c r="J37" s="28">
        <f t="shared" si="3"/>
        <v>0.30479739053240318</v>
      </c>
      <c r="K37" s="28">
        <f t="shared" si="3"/>
        <v>12.693096884310489</v>
      </c>
      <c r="L37" s="28">
        <f t="shared" si="3"/>
        <v>1.9885563913902793</v>
      </c>
      <c r="M37" s="28">
        <f t="shared" si="3"/>
        <v>7.8350989838646274</v>
      </c>
      <c r="N37" s="28">
        <f t="shared" si="3"/>
        <v>208.27816405756121</v>
      </c>
      <c r="O37" s="28">
        <f t="shared" si="3"/>
        <v>0</v>
      </c>
      <c r="P37" s="28">
        <f t="shared" si="3"/>
        <v>0.17319671315956114</v>
      </c>
      <c r="Q37" s="28">
        <f t="shared" si="3"/>
        <v>0.12914363983621074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20" sqref="G2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588</v>
      </c>
      <c r="B9" s="51">
        <v>11.22</v>
      </c>
      <c r="C9" s="51">
        <v>17.11</v>
      </c>
      <c r="D9" s="51">
        <v>16.100000000000001</v>
      </c>
      <c r="E9" s="51">
        <v>4.2699999999999996</v>
      </c>
      <c r="F9" s="51">
        <v>7.13</v>
      </c>
      <c r="G9" s="51">
        <v>68.37</v>
      </c>
      <c r="H9" s="51">
        <v>7.59</v>
      </c>
      <c r="I9" s="51">
        <v>4.13</v>
      </c>
      <c r="J9" s="51">
        <v>0.1</v>
      </c>
      <c r="K9" s="51">
        <v>344.04</v>
      </c>
      <c r="L9" s="51">
        <v>25.6</v>
      </c>
      <c r="M9" s="51">
        <v>90.73</v>
      </c>
      <c r="N9" s="51">
        <v>54.7</v>
      </c>
      <c r="O9" s="51">
        <v>0</v>
      </c>
      <c r="P9" s="51">
        <v>0.37</v>
      </c>
      <c r="Q9" s="51">
        <v>9.39</v>
      </c>
      <c r="R9" s="43"/>
      <c r="S9" s="43"/>
      <c r="T9" s="43"/>
      <c r="U9" s="43"/>
    </row>
    <row r="10" spans="1:21" s="11" customFormat="1" x14ac:dyDescent="0.25">
      <c r="A10" s="50" t="s">
        <v>589</v>
      </c>
      <c r="B10" s="51">
        <v>10.28</v>
      </c>
      <c r="C10" s="51">
        <v>15.99</v>
      </c>
      <c r="D10" s="51">
        <v>15.59</v>
      </c>
      <c r="E10" s="51">
        <v>4.2</v>
      </c>
      <c r="F10" s="51">
        <v>6.28</v>
      </c>
      <c r="G10" s="51">
        <v>58.7</v>
      </c>
      <c r="H10" s="51">
        <v>12.29</v>
      </c>
      <c r="I10" s="51">
        <v>4.04</v>
      </c>
      <c r="J10" s="51">
        <v>0.41</v>
      </c>
      <c r="K10" s="51">
        <v>197.25</v>
      </c>
      <c r="L10" s="51">
        <v>25.19</v>
      </c>
      <c r="M10" s="51">
        <v>94.92</v>
      </c>
      <c r="N10" s="51">
        <v>54.7</v>
      </c>
      <c r="O10" s="51">
        <v>0</v>
      </c>
      <c r="P10" s="51">
        <v>0.34</v>
      </c>
      <c r="Q10" s="51">
        <v>9.31</v>
      </c>
      <c r="R10" s="43"/>
      <c r="S10" s="43"/>
      <c r="T10" s="43"/>
      <c r="U10" s="43"/>
    </row>
    <row r="11" spans="1:21" s="11" customFormat="1" x14ac:dyDescent="0.25">
      <c r="A11" s="50" t="s">
        <v>590</v>
      </c>
      <c r="B11" s="51">
        <v>10.14</v>
      </c>
      <c r="C11" s="51">
        <v>15.56</v>
      </c>
      <c r="D11" s="51">
        <v>14.59</v>
      </c>
      <c r="E11" s="51">
        <v>4.0599999999999996</v>
      </c>
      <c r="F11" s="51">
        <v>5.81</v>
      </c>
      <c r="G11" s="51">
        <v>49.1</v>
      </c>
      <c r="H11" s="51">
        <v>13.07</v>
      </c>
      <c r="I11" s="51">
        <v>4.08</v>
      </c>
      <c r="J11" s="51">
        <v>0.39</v>
      </c>
      <c r="K11" s="51">
        <v>306.94</v>
      </c>
      <c r="L11" s="51">
        <v>24.8</v>
      </c>
      <c r="M11" s="51">
        <v>95.75</v>
      </c>
      <c r="N11" s="51">
        <v>54.9</v>
      </c>
      <c r="O11" s="51">
        <v>0</v>
      </c>
      <c r="P11" s="51">
        <v>0.3</v>
      </c>
      <c r="Q11" s="51">
        <v>9.23</v>
      </c>
      <c r="R11" s="43"/>
      <c r="S11" s="43"/>
      <c r="T11" s="43"/>
      <c r="U11" s="43"/>
    </row>
    <row r="12" spans="1:21" s="11" customFormat="1" x14ac:dyDescent="0.25">
      <c r="A12" s="50" t="s">
        <v>591</v>
      </c>
      <c r="B12" s="51">
        <v>8.68</v>
      </c>
      <c r="C12" s="51">
        <v>14.02</v>
      </c>
      <c r="D12" s="51">
        <v>13.51</v>
      </c>
      <c r="E12" s="51">
        <v>4.1100000000000003</v>
      </c>
      <c r="F12" s="51">
        <v>7.85</v>
      </c>
      <c r="G12" s="51">
        <v>41.36</v>
      </c>
      <c r="H12" s="51">
        <v>7.54</v>
      </c>
      <c r="I12" s="51">
        <v>4.3</v>
      </c>
      <c r="J12" s="51">
        <v>0.34</v>
      </c>
      <c r="K12" s="51">
        <v>168.56</v>
      </c>
      <c r="L12" s="51">
        <v>24.59</v>
      </c>
      <c r="M12" s="51">
        <v>97.21</v>
      </c>
      <c r="N12" s="51">
        <v>54.7</v>
      </c>
      <c r="O12" s="51">
        <v>0</v>
      </c>
      <c r="P12" s="51">
        <v>0.22</v>
      </c>
      <c r="Q12" s="51">
        <v>9.23</v>
      </c>
      <c r="R12" s="43"/>
      <c r="S12" s="43"/>
      <c r="T12" s="43"/>
      <c r="U12" s="43"/>
    </row>
    <row r="13" spans="1:21" s="11" customFormat="1" x14ac:dyDescent="0.25">
      <c r="A13" s="50" t="s">
        <v>592</v>
      </c>
      <c r="B13" s="51">
        <v>9.26</v>
      </c>
      <c r="C13" s="51">
        <v>14.51</v>
      </c>
      <c r="D13" s="51">
        <v>13.95</v>
      </c>
      <c r="E13" s="51">
        <v>4.21</v>
      </c>
      <c r="F13" s="51">
        <v>6.39</v>
      </c>
      <c r="G13" s="51">
        <v>34.42</v>
      </c>
      <c r="H13" s="51">
        <v>4.6100000000000003</v>
      </c>
      <c r="I13" s="51">
        <v>4.0999999999999996</v>
      </c>
      <c r="J13" s="51">
        <v>0.22</v>
      </c>
      <c r="K13" s="51">
        <v>291.07</v>
      </c>
      <c r="L13" s="51">
        <v>24.4</v>
      </c>
      <c r="M13" s="51">
        <v>98.23</v>
      </c>
      <c r="N13" s="51">
        <v>54.6</v>
      </c>
      <c r="O13" s="51">
        <v>0</v>
      </c>
      <c r="P13" s="51">
        <v>0.21</v>
      </c>
      <c r="Q13" s="51">
        <v>9.25</v>
      </c>
      <c r="R13" s="43"/>
      <c r="S13" s="43"/>
      <c r="T13" s="43"/>
      <c r="U13" s="43"/>
    </row>
    <row r="14" spans="1:21" s="11" customFormat="1" x14ac:dyDescent="0.25">
      <c r="A14" s="50" t="s">
        <v>593</v>
      </c>
      <c r="B14" s="51">
        <v>10.43</v>
      </c>
      <c r="C14" s="51">
        <v>16.309999999999999</v>
      </c>
      <c r="D14" s="51">
        <v>15.58</v>
      </c>
      <c r="E14" s="51">
        <v>4.29</v>
      </c>
      <c r="F14" s="51">
        <v>4.0999999999999996</v>
      </c>
      <c r="G14" s="51">
        <v>30.36</v>
      </c>
      <c r="H14" s="51">
        <v>10.27</v>
      </c>
      <c r="I14" s="51">
        <v>4.12</v>
      </c>
      <c r="J14" s="51">
        <v>0.18</v>
      </c>
      <c r="K14" s="51">
        <v>306.77</v>
      </c>
      <c r="L14" s="51">
        <v>24.67</v>
      </c>
      <c r="M14" s="51">
        <v>96.21</v>
      </c>
      <c r="N14" s="51">
        <v>68.599999999999994</v>
      </c>
      <c r="O14" s="51">
        <v>0</v>
      </c>
      <c r="P14" s="51">
        <v>0.21</v>
      </c>
      <c r="Q14" s="51">
        <v>9.24</v>
      </c>
      <c r="R14" s="43"/>
      <c r="S14" s="43"/>
      <c r="T14" s="43"/>
      <c r="U14" s="43"/>
    </row>
    <row r="15" spans="1:21" s="11" customFormat="1" x14ac:dyDescent="0.25">
      <c r="A15" s="50" t="s">
        <v>594</v>
      </c>
      <c r="B15" s="51">
        <v>9.9499999999999993</v>
      </c>
      <c r="C15" s="51">
        <v>16.100000000000001</v>
      </c>
      <c r="D15" s="51">
        <v>16.37</v>
      </c>
      <c r="E15" s="51">
        <v>4.0599999999999996</v>
      </c>
      <c r="F15" s="51">
        <v>4.2</v>
      </c>
      <c r="G15" s="51">
        <v>31.5</v>
      </c>
      <c r="H15" s="51">
        <v>6.55</v>
      </c>
      <c r="I15" s="51">
        <v>4.09</v>
      </c>
      <c r="J15" s="51">
        <v>0.23</v>
      </c>
      <c r="K15" s="51">
        <v>299.14</v>
      </c>
      <c r="L15" s="51">
        <v>25.08</v>
      </c>
      <c r="M15" s="51">
        <v>92.3</v>
      </c>
      <c r="N15" s="51">
        <v>107.7</v>
      </c>
      <c r="O15" s="51">
        <v>0</v>
      </c>
      <c r="P15" s="51">
        <v>0.2</v>
      </c>
      <c r="Q15" s="51">
        <v>9.19</v>
      </c>
      <c r="R15" s="43"/>
      <c r="S15" s="43"/>
      <c r="T15" s="43"/>
      <c r="U15" s="43"/>
    </row>
    <row r="16" spans="1:21" s="11" customFormat="1" x14ac:dyDescent="0.25">
      <c r="A16" s="50" t="s">
        <v>595</v>
      </c>
      <c r="B16" s="51">
        <v>9.49</v>
      </c>
      <c r="C16" s="51">
        <v>17.46</v>
      </c>
      <c r="D16" s="51">
        <v>18.87</v>
      </c>
      <c r="E16" s="51">
        <v>4.6399999999999997</v>
      </c>
      <c r="F16" s="51">
        <v>3.56</v>
      </c>
      <c r="G16" s="51">
        <v>33.590000000000003</v>
      </c>
      <c r="H16" s="51">
        <v>9.58</v>
      </c>
      <c r="I16" s="51">
        <v>4.0599999999999996</v>
      </c>
      <c r="J16" s="51">
        <v>0.36</v>
      </c>
      <c r="K16" s="51">
        <v>290.58999999999997</v>
      </c>
      <c r="L16" s="51">
        <v>25.89</v>
      </c>
      <c r="M16" s="51">
        <v>86.81</v>
      </c>
      <c r="N16" s="51">
        <v>170.1</v>
      </c>
      <c r="O16" s="51">
        <v>0</v>
      </c>
      <c r="P16" s="51">
        <v>0.24</v>
      </c>
      <c r="Q16" s="51">
        <v>9.16</v>
      </c>
      <c r="R16" s="43"/>
      <c r="S16" s="43"/>
      <c r="T16" s="43"/>
      <c r="U16" s="43"/>
    </row>
    <row r="17" spans="1:21" s="11" customFormat="1" x14ac:dyDescent="0.25">
      <c r="A17" s="50" t="s">
        <v>596</v>
      </c>
      <c r="B17" s="51">
        <v>9.08</v>
      </c>
      <c r="C17" s="51">
        <v>18.21</v>
      </c>
      <c r="D17" s="51">
        <v>20.92</v>
      </c>
      <c r="E17" s="51">
        <v>4.41</v>
      </c>
      <c r="F17" s="51">
        <v>3.94</v>
      </c>
      <c r="G17" s="51">
        <v>31.43</v>
      </c>
      <c r="H17" s="51">
        <v>9.1300000000000008</v>
      </c>
      <c r="I17" s="51">
        <v>4.05</v>
      </c>
      <c r="J17" s="51">
        <v>0.39</v>
      </c>
      <c r="K17" s="51">
        <v>294.35000000000002</v>
      </c>
      <c r="L17" s="51">
        <v>27.8</v>
      </c>
      <c r="M17" s="51">
        <v>82.61</v>
      </c>
      <c r="N17" s="51">
        <v>326.89999999999998</v>
      </c>
      <c r="O17" s="51">
        <v>0</v>
      </c>
      <c r="P17" s="51">
        <v>0.37</v>
      </c>
      <c r="Q17" s="51">
        <v>9.2200000000000006</v>
      </c>
      <c r="R17" s="43"/>
      <c r="S17" s="43"/>
      <c r="T17" s="43"/>
      <c r="U17" s="43"/>
    </row>
    <row r="18" spans="1:21" s="11" customFormat="1" x14ac:dyDescent="0.25">
      <c r="A18" s="50" t="s">
        <v>597</v>
      </c>
      <c r="B18" s="51">
        <v>10.42</v>
      </c>
      <c r="C18" s="51">
        <v>20.85</v>
      </c>
      <c r="D18" s="51">
        <v>24.59</v>
      </c>
      <c r="E18" s="51">
        <v>4.6100000000000003</v>
      </c>
      <c r="F18" s="51">
        <v>4.1399999999999997</v>
      </c>
      <c r="G18" s="51">
        <v>38.799999999999997</v>
      </c>
      <c r="H18" s="51">
        <v>16.48</v>
      </c>
      <c r="I18" s="51">
        <v>4.04</v>
      </c>
      <c r="J18" s="51">
        <v>0.4</v>
      </c>
      <c r="K18" s="51">
        <v>287.01</v>
      </c>
      <c r="L18" s="51">
        <v>29.45</v>
      </c>
      <c r="M18" s="51">
        <v>74.61</v>
      </c>
      <c r="N18" s="51">
        <v>476.3</v>
      </c>
      <c r="O18" s="51">
        <v>0</v>
      </c>
      <c r="P18" s="51">
        <v>0.49</v>
      </c>
      <c r="Q18" s="51">
        <v>9.2799999999999994</v>
      </c>
      <c r="R18" s="43"/>
      <c r="S18" s="43"/>
      <c r="T18" s="43"/>
      <c r="U18" s="43"/>
    </row>
    <row r="19" spans="1:21" s="11" customFormat="1" x14ac:dyDescent="0.25">
      <c r="A19" s="50" t="s">
        <v>598</v>
      </c>
      <c r="B19" s="51">
        <v>9.23</v>
      </c>
      <c r="C19" s="51">
        <v>19.29</v>
      </c>
      <c r="D19" s="51">
        <v>22.76</v>
      </c>
      <c r="E19" s="51">
        <v>4.6500000000000004</v>
      </c>
      <c r="F19" s="51">
        <v>5.23</v>
      </c>
      <c r="G19" s="51">
        <v>57.04</v>
      </c>
      <c r="H19" s="51">
        <v>20.059999999999999</v>
      </c>
      <c r="I19" s="51">
        <v>3.99</v>
      </c>
      <c r="J19" s="51">
        <v>0.75</v>
      </c>
      <c r="K19" s="51">
        <v>304.52</v>
      </c>
      <c r="L19" s="51">
        <v>31.63</v>
      </c>
      <c r="M19" s="51">
        <v>64.48</v>
      </c>
      <c r="N19" s="51">
        <v>599.1</v>
      </c>
      <c r="O19" s="51">
        <v>0</v>
      </c>
      <c r="P19" s="51">
        <v>0.49</v>
      </c>
      <c r="Q19" s="51">
        <v>9.25</v>
      </c>
      <c r="R19" s="43"/>
      <c r="S19" s="43"/>
      <c r="T19" s="43"/>
      <c r="U19" s="43"/>
    </row>
    <row r="20" spans="1:21" s="11" customFormat="1" x14ac:dyDescent="0.25">
      <c r="A20" s="50" t="s">
        <v>599</v>
      </c>
      <c r="B20" s="51">
        <v>7.97</v>
      </c>
      <c r="C20" s="51">
        <v>17.21</v>
      </c>
      <c r="D20" s="51">
        <v>21.98</v>
      </c>
      <c r="E20" s="51">
        <v>4.5999999999999996</v>
      </c>
      <c r="F20" s="51">
        <v>4.66</v>
      </c>
      <c r="G20" s="51">
        <v>61.18</v>
      </c>
      <c r="H20" s="51">
        <v>196.08</v>
      </c>
      <c r="I20" s="51">
        <v>4.09</v>
      </c>
      <c r="J20" s="51">
        <v>1</v>
      </c>
      <c r="K20" s="51">
        <v>313.58999999999997</v>
      </c>
      <c r="L20" s="51">
        <v>31.41</v>
      </c>
      <c r="M20" s="51">
        <v>61.66</v>
      </c>
      <c r="N20" s="51">
        <v>379.1</v>
      </c>
      <c r="O20" s="51">
        <v>0</v>
      </c>
      <c r="P20" s="51">
        <v>0.44</v>
      </c>
      <c r="Q20" s="51">
        <v>9.14</v>
      </c>
      <c r="R20" s="43"/>
      <c r="S20" s="43"/>
      <c r="T20" s="43"/>
      <c r="U20" s="43"/>
    </row>
    <row r="21" spans="1:21" s="11" customFormat="1" x14ac:dyDescent="0.25">
      <c r="A21" s="50" t="s">
        <v>600</v>
      </c>
      <c r="B21" s="51">
        <v>6.84</v>
      </c>
      <c r="C21" s="51">
        <v>16.739999999999998</v>
      </c>
      <c r="D21" s="51">
        <v>22.51</v>
      </c>
      <c r="E21" s="51">
        <v>4.88</v>
      </c>
      <c r="F21" s="51">
        <v>5.64</v>
      </c>
      <c r="G21" s="51">
        <v>61.39</v>
      </c>
      <c r="H21" s="51">
        <v>707.68</v>
      </c>
      <c r="I21" s="51">
        <v>4.03</v>
      </c>
      <c r="J21" s="51">
        <v>0.48</v>
      </c>
      <c r="K21" s="51">
        <v>289.36</v>
      </c>
      <c r="L21" s="51">
        <v>30.28</v>
      </c>
      <c r="M21" s="51">
        <v>67.150000000000006</v>
      </c>
      <c r="N21" s="51">
        <v>368.1</v>
      </c>
      <c r="O21" s="51">
        <v>0</v>
      </c>
      <c r="P21" s="51">
        <v>0.43</v>
      </c>
      <c r="Q21" s="51">
        <v>9.15</v>
      </c>
      <c r="R21" s="43"/>
      <c r="S21" s="43"/>
      <c r="T21" s="43"/>
      <c r="U21" s="43"/>
    </row>
    <row r="22" spans="1:21" s="11" customFormat="1" x14ac:dyDescent="0.25">
      <c r="A22" s="50" t="s">
        <v>601</v>
      </c>
      <c r="B22" s="51">
        <v>5.24</v>
      </c>
      <c r="C22" s="51">
        <v>16.100000000000001</v>
      </c>
      <c r="D22" s="51">
        <v>22.78</v>
      </c>
      <c r="E22" s="51">
        <v>5.43</v>
      </c>
      <c r="F22" s="51">
        <v>5.41</v>
      </c>
      <c r="G22" s="51">
        <v>62.85</v>
      </c>
      <c r="H22" s="51">
        <v>32.369999999999997</v>
      </c>
      <c r="I22" s="51">
        <v>4.07</v>
      </c>
      <c r="J22" s="51">
        <v>0.35</v>
      </c>
      <c r="K22" s="51">
        <v>287.82</v>
      </c>
      <c r="L22" s="51">
        <v>30.32</v>
      </c>
      <c r="M22" s="51">
        <v>64.959999999999994</v>
      </c>
      <c r="N22" s="51">
        <v>483.3</v>
      </c>
      <c r="O22" s="51">
        <v>0</v>
      </c>
      <c r="P22" s="51">
        <v>0.48</v>
      </c>
      <c r="Q22" s="51">
        <v>9.14</v>
      </c>
      <c r="R22" s="43"/>
      <c r="S22" s="43"/>
      <c r="T22" s="43"/>
      <c r="U22" s="43"/>
    </row>
    <row r="23" spans="1:21" s="11" customFormat="1" x14ac:dyDescent="0.25">
      <c r="A23" s="50" t="s">
        <v>602</v>
      </c>
      <c r="B23" s="51">
        <v>5.32</v>
      </c>
      <c r="C23" s="51">
        <v>16.170000000000002</v>
      </c>
      <c r="D23" s="51">
        <v>22.78</v>
      </c>
      <c r="E23" s="51">
        <v>4.75</v>
      </c>
      <c r="F23" s="51">
        <v>5.0599999999999996</v>
      </c>
      <c r="G23" s="51">
        <v>68.459999999999994</v>
      </c>
      <c r="H23" s="51">
        <v>22.76</v>
      </c>
      <c r="I23" s="51">
        <v>4.17</v>
      </c>
      <c r="J23" s="51">
        <v>0.65</v>
      </c>
      <c r="K23" s="51">
        <v>290.45999999999998</v>
      </c>
      <c r="L23" s="51">
        <v>30.34</v>
      </c>
      <c r="M23" s="51">
        <v>64.81</v>
      </c>
      <c r="N23" s="51">
        <v>231.2</v>
      </c>
      <c r="O23" s="51">
        <v>0</v>
      </c>
      <c r="P23" s="51">
        <v>0.42</v>
      </c>
      <c r="Q23" s="51">
        <v>9.11</v>
      </c>
      <c r="R23" s="43"/>
      <c r="S23" s="43"/>
      <c r="T23" s="43"/>
      <c r="U23" s="43"/>
    </row>
    <row r="24" spans="1:21" s="11" customFormat="1" x14ac:dyDescent="0.25">
      <c r="A24" s="50" t="s">
        <v>603</v>
      </c>
      <c r="B24" s="51">
        <v>7.62</v>
      </c>
      <c r="C24" s="51">
        <v>17.53</v>
      </c>
      <c r="D24" s="51">
        <v>23.73</v>
      </c>
      <c r="E24" s="51">
        <v>4.6399999999999997</v>
      </c>
      <c r="F24" s="51">
        <v>4.99</v>
      </c>
      <c r="G24" s="51">
        <v>63.65</v>
      </c>
      <c r="H24" s="51">
        <v>18.78</v>
      </c>
      <c r="I24" s="51">
        <v>4.09</v>
      </c>
      <c r="J24" s="51">
        <v>0.6</v>
      </c>
      <c r="K24" s="51">
        <v>308.31</v>
      </c>
      <c r="L24" s="51">
        <v>29.53</v>
      </c>
      <c r="M24" s="51">
        <v>75.47</v>
      </c>
      <c r="N24" s="51">
        <v>136.6</v>
      </c>
      <c r="O24" s="51">
        <v>0</v>
      </c>
      <c r="P24" s="51">
        <v>0.43</v>
      </c>
      <c r="Q24" s="51">
        <v>9.1199999999999992</v>
      </c>
      <c r="R24" s="43"/>
      <c r="S24" s="43"/>
      <c r="T24" s="43"/>
      <c r="U24" s="43"/>
    </row>
    <row r="25" spans="1:21" s="11" customFormat="1" x14ac:dyDescent="0.25">
      <c r="A25" s="50" t="s">
        <v>604</v>
      </c>
      <c r="B25" s="51">
        <v>7.1</v>
      </c>
      <c r="C25" s="51">
        <v>17.86</v>
      </c>
      <c r="D25" s="51">
        <v>23.29</v>
      </c>
      <c r="E25" s="51">
        <v>5.07</v>
      </c>
      <c r="F25" s="51">
        <v>5.26</v>
      </c>
      <c r="G25" s="51">
        <v>68.55</v>
      </c>
      <c r="H25" s="51">
        <v>27.58</v>
      </c>
      <c r="I25" s="51">
        <v>4.12</v>
      </c>
      <c r="J25" s="51">
        <v>0.45</v>
      </c>
      <c r="K25" s="51">
        <v>307.11</v>
      </c>
      <c r="L25" s="51">
        <v>28.53</v>
      </c>
      <c r="M25" s="51">
        <v>70.17</v>
      </c>
      <c r="N25" s="51">
        <v>91.8</v>
      </c>
      <c r="O25" s="51">
        <v>0</v>
      </c>
      <c r="P25" s="51">
        <v>0.4</v>
      </c>
      <c r="Q25" s="51">
        <v>9.1300000000000008</v>
      </c>
      <c r="R25" s="43"/>
      <c r="S25" s="43"/>
      <c r="T25" s="43"/>
      <c r="U25" s="43"/>
    </row>
    <row r="26" spans="1:21" s="11" customFormat="1" x14ac:dyDescent="0.25">
      <c r="A26" s="50" t="s">
        <v>605</v>
      </c>
      <c r="B26" s="51">
        <v>5.26</v>
      </c>
      <c r="C26" s="51">
        <v>15.31</v>
      </c>
      <c r="D26" s="51">
        <v>21.24</v>
      </c>
      <c r="E26" s="51">
        <v>4.7699999999999996</v>
      </c>
      <c r="F26" s="51">
        <v>5.5</v>
      </c>
      <c r="G26" s="51">
        <v>69.86</v>
      </c>
      <c r="H26" s="51">
        <v>18.71</v>
      </c>
      <c r="I26" s="51">
        <v>4.09</v>
      </c>
      <c r="J26" s="51">
        <v>0.31</v>
      </c>
      <c r="K26" s="51">
        <v>336.86</v>
      </c>
      <c r="L26" s="51">
        <v>28.07</v>
      </c>
      <c r="M26" s="51">
        <v>75.98</v>
      </c>
      <c r="N26" s="51">
        <v>76.8</v>
      </c>
      <c r="O26" s="51">
        <v>0</v>
      </c>
      <c r="P26" s="51">
        <v>0.34</v>
      </c>
      <c r="Q26" s="51">
        <v>9.1300000000000008</v>
      </c>
      <c r="R26" s="43"/>
      <c r="S26" s="43"/>
      <c r="T26" s="43"/>
      <c r="U26" s="43"/>
    </row>
    <row r="27" spans="1:21" s="11" customFormat="1" x14ac:dyDescent="0.25">
      <c r="A27" s="50" t="s">
        <v>606</v>
      </c>
      <c r="B27" s="51">
        <v>5.0199999999999996</v>
      </c>
      <c r="C27" s="51">
        <v>14.79</v>
      </c>
      <c r="D27" s="51">
        <v>20.65</v>
      </c>
      <c r="E27" s="51">
        <v>4.9400000000000004</v>
      </c>
      <c r="F27" s="51">
        <v>4.74</v>
      </c>
      <c r="G27" s="51">
        <v>67.790000000000006</v>
      </c>
      <c r="H27" s="51">
        <v>21.2</v>
      </c>
      <c r="I27" s="51">
        <v>4.0199999999999996</v>
      </c>
      <c r="J27" s="51">
        <v>0.23</v>
      </c>
      <c r="K27" s="51">
        <v>341.05</v>
      </c>
      <c r="L27" s="51">
        <v>26.84</v>
      </c>
      <c r="M27" s="51">
        <v>78.56</v>
      </c>
      <c r="N27" s="51">
        <v>57.7</v>
      </c>
      <c r="O27" s="51">
        <v>0</v>
      </c>
      <c r="P27" s="51">
        <v>0.32</v>
      </c>
      <c r="Q27" s="51">
        <v>9.1300000000000008</v>
      </c>
      <c r="R27" s="43"/>
      <c r="S27" s="43"/>
      <c r="T27" s="43"/>
      <c r="U27" s="43"/>
    </row>
    <row r="28" spans="1:21" s="11" customFormat="1" x14ac:dyDescent="0.25">
      <c r="A28" s="50" t="s">
        <v>607</v>
      </c>
      <c r="B28" s="51">
        <v>5.1100000000000003</v>
      </c>
      <c r="C28" s="51">
        <v>13.84</v>
      </c>
      <c r="D28" s="51">
        <v>19.05</v>
      </c>
      <c r="E28" s="51">
        <v>5.05</v>
      </c>
      <c r="F28" s="51">
        <v>4.55</v>
      </c>
      <c r="G28" s="51">
        <v>56.02</v>
      </c>
      <c r="H28" s="51">
        <v>4.17</v>
      </c>
      <c r="I28" s="51">
        <v>4.1399999999999997</v>
      </c>
      <c r="J28" s="51">
        <v>0.25</v>
      </c>
      <c r="K28" s="51">
        <v>337.97</v>
      </c>
      <c r="L28" s="51">
        <v>26.58</v>
      </c>
      <c r="M28" s="51">
        <v>77.78</v>
      </c>
      <c r="N28" s="51">
        <v>49.7</v>
      </c>
      <c r="O28" s="51">
        <v>0</v>
      </c>
      <c r="P28" s="51">
        <v>0.33</v>
      </c>
      <c r="Q28" s="51">
        <v>9.11</v>
      </c>
      <c r="R28" s="43"/>
      <c r="S28" s="43"/>
      <c r="T28" s="43"/>
      <c r="U28" s="43"/>
    </row>
    <row r="29" spans="1:21" s="11" customFormat="1" x14ac:dyDescent="0.25">
      <c r="A29" s="50" t="s">
        <v>608</v>
      </c>
      <c r="B29" s="51">
        <v>9.34</v>
      </c>
      <c r="C29" s="51">
        <v>18.649999999999999</v>
      </c>
      <c r="D29" s="51">
        <v>21.36</v>
      </c>
      <c r="E29" s="51">
        <v>4.82</v>
      </c>
      <c r="F29" s="51">
        <v>4.2</v>
      </c>
      <c r="G29" s="51">
        <v>52.69</v>
      </c>
      <c r="H29" s="51">
        <v>1.61</v>
      </c>
      <c r="I29" s="51">
        <v>4.17</v>
      </c>
      <c r="J29" s="51">
        <v>0.19</v>
      </c>
      <c r="K29" s="51">
        <v>350.62</v>
      </c>
      <c r="L29" s="51">
        <v>26.48</v>
      </c>
      <c r="M29" s="51">
        <v>80.23</v>
      </c>
      <c r="N29" s="51">
        <v>51.3</v>
      </c>
      <c r="O29" s="51">
        <v>0</v>
      </c>
      <c r="P29" s="51">
        <v>0.37</v>
      </c>
      <c r="Q29" s="51">
        <v>9.1</v>
      </c>
      <c r="R29" s="43"/>
      <c r="S29" s="43"/>
      <c r="T29" s="43"/>
      <c r="U29" s="43"/>
    </row>
    <row r="30" spans="1:21" s="11" customFormat="1" x14ac:dyDescent="0.25">
      <c r="A30" s="50" t="s">
        <v>609</v>
      </c>
      <c r="B30" s="51">
        <v>9.82</v>
      </c>
      <c r="C30" s="51">
        <v>19.59</v>
      </c>
      <c r="D30" s="51">
        <v>23.52</v>
      </c>
      <c r="E30" s="51">
        <v>4.9000000000000004</v>
      </c>
      <c r="F30" s="51">
        <v>4.76</v>
      </c>
      <c r="G30" s="51">
        <v>53.76</v>
      </c>
      <c r="H30" s="51">
        <v>4.79</v>
      </c>
      <c r="I30" s="51">
        <v>4.03</v>
      </c>
      <c r="J30" s="51">
        <v>0.15</v>
      </c>
      <c r="K30" s="51">
        <v>333.53</v>
      </c>
      <c r="L30" s="51">
        <v>26.13</v>
      </c>
      <c r="M30" s="51">
        <v>83.37</v>
      </c>
      <c r="N30" s="51">
        <v>51.6</v>
      </c>
      <c r="O30" s="51">
        <v>0</v>
      </c>
      <c r="P30" s="51">
        <v>0.37</v>
      </c>
      <c r="Q30" s="51">
        <v>9.1999999999999993</v>
      </c>
      <c r="R30" s="43"/>
      <c r="S30" s="43"/>
      <c r="T30" s="43"/>
      <c r="U30" s="43"/>
    </row>
    <row r="31" spans="1:21" s="11" customFormat="1" x14ac:dyDescent="0.25">
      <c r="A31" s="50" t="s">
        <v>610</v>
      </c>
      <c r="B31" s="51">
        <v>10.78</v>
      </c>
      <c r="C31" s="51">
        <v>21.92</v>
      </c>
      <c r="D31" s="51">
        <v>25.4</v>
      </c>
      <c r="E31" s="51">
        <v>4.9800000000000004</v>
      </c>
      <c r="F31" s="51">
        <v>4.6100000000000003</v>
      </c>
      <c r="G31" s="51">
        <v>50.68</v>
      </c>
      <c r="H31" s="51">
        <v>15.76</v>
      </c>
      <c r="I31" s="51">
        <v>3.99</v>
      </c>
      <c r="J31" s="51">
        <v>0.15</v>
      </c>
      <c r="K31" s="51">
        <v>330.9</v>
      </c>
      <c r="L31" s="51">
        <v>25.79</v>
      </c>
      <c r="M31" s="51">
        <v>86.45</v>
      </c>
      <c r="N31" s="51">
        <v>51.6</v>
      </c>
      <c r="O31" s="51">
        <v>0</v>
      </c>
      <c r="P31" s="51">
        <v>0.33</v>
      </c>
      <c r="Q31" s="51">
        <v>9.2100000000000009</v>
      </c>
      <c r="R31" s="43"/>
      <c r="S31" s="43"/>
      <c r="T31" s="43"/>
      <c r="U31" s="43"/>
    </row>
    <row r="32" spans="1:21" s="11" customFormat="1" x14ac:dyDescent="0.25">
      <c r="A32" s="50" t="s">
        <v>611</v>
      </c>
      <c r="B32" s="51">
        <v>7.77</v>
      </c>
      <c r="C32" s="51">
        <v>15.48</v>
      </c>
      <c r="D32" s="51">
        <v>17.690000000000001</v>
      </c>
      <c r="E32" s="51">
        <v>5.22</v>
      </c>
      <c r="F32" s="51">
        <v>3.93</v>
      </c>
      <c r="G32" s="51">
        <v>54.59</v>
      </c>
      <c r="H32" s="51">
        <v>5.88</v>
      </c>
      <c r="I32" s="51">
        <v>4.17</v>
      </c>
      <c r="J32" s="51">
        <v>0.18</v>
      </c>
      <c r="K32" s="51">
        <v>328.5</v>
      </c>
      <c r="L32" s="51">
        <v>25.39</v>
      </c>
      <c r="M32" s="51">
        <v>88.69</v>
      </c>
      <c r="N32" s="51">
        <v>52</v>
      </c>
      <c r="O32" s="51">
        <v>0</v>
      </c>
      <c r="P32" s="51">
        <v>0.33</v>
      </c>
      <c r="Q32" s="51">
        <v>9.19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5.0199999999999996</v>
      </c>
      <c r="C34" s="28">
        <f t="shared" si="0"/>
        <v>13.84</v>
      </c>
      <c r="D34" s="28">
        <f t="shared" si="0"/>
        <v>13.51</v>
      </c>
      <c r="E34" s="28">
        <f t="shared" si="0"/>
        <v>4.0599999999999996</v>
      </c>
      <c r="F34" s="28">
        <f t="shared" si="0"/>
        <v>3.56</v>
      </c>
      <c r="G34" s="28">
        <f t="shared" si="0"/>
        <v>30.36</v>
      </c>
      <c r="H34" s="28">
        <f t="shared" si="0"/>
        <v>1.61</v>
      </c>
      <c r="I34" s="28">
        <f t="shared" si="0"/>
        <v>3.99</v>
      </c>
      <c r="J34" s="28">
        <f t="shared" si="0"/>
        <v>0.1</v>
      </c>
      <c r="K34" s="28">
        <f t="shared" si="0"/>
        <v>168.56</v>
      </c>
      <c r="L34" s="28">
        <f t="shared" si="0"/>
        <v>24.4</v>
      </c>
      <c r="M34" s="28">
        <f t="shared" si="0"/>
        <v>61.66</v>
      </c>
      <c r="N34" s="28">
        <f t="shared" si="0"/>
        <v>49.7</v>
      </c>
      <c r="O34" s="28">
        <f t="shared" si="0"/>
        <v>0</v>
      </c>
      <c r="P34" s="28">
        <f t="shared" si="0"/>
        <v>0.2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11.22</v>
      </c>
      <c r="C35" s="29">
        <f t="shared" si="1"/>
        <v>21.92</v>
      </c>
      <c r="D35" s="29">
        <f t="shared" si="1"/>
        <v>25.4</v>
      </c>
      <c r="E35" s="29">
        <f t="shared" si="1"/>
        <v>5.43</v>
      </c>
      <c r="F35" s="29">
        <f t="shared" si="1"/>
        <v>7.85</v>
      </c>
      <c r="G35" s="29">
        <f t="shared" si="1"/>
        <v>69.86</v>
      </c>
      <c r="H35" s="29">
        <f t="shared" si="1"/>
        <v>707.68</v>
      </c>
      <c r="I35" s="29">
        <f t="shared" si="1"/>
        <v>4.3</v>
      </c>
      <c r="J35" s="29">
        <f t="shared" si="1"/>
        <v>1</v>
      </c>
      <c r="K35" s="29">
        <f t="shared" si="1"/>
        <v>350.62</v>
      </c>
      <c r="L35" s="29">
        <f t="shared" si="1"/>
        <v>31.63</v>
      </c>
      <c r="M35" s="29">
        <f t="shared" si="1"/>
        <v>98.23</v>
      </c>
      <c r="N35" s="29">
        <f t="shared" si="1"/>
        <v>599.1</v>
      </c>
      <c r="O35" s="29">
        <f t="shared" si="1"/>
        <v>0</v>
      </c>
      <c r="P35" s="29">
        <f t="shared" si="1"/>
        <v>0.49</v>
      </c>
      <c r="Q35" s="29">
        <f t="shared" si="1"/>
        <v>9.39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8.3904166666666669</v>
      </c>
      <c r="C36" s="28">
        <f t="shared" si="2"/>
        <v>16.94166666666667</v>
      </c>
      <c r="D36" s="28">
        <f t="shared" si="2"/>
        <v>19.950416666666666</v>
      </c>
      <c r="E36" s="28">
        <f t="shared" si="2"/>
        <v>4.6483333333333325</v>
      </c>
      <c r="F36" s="28">
        <f t="shared" si="2"/>
        <v>5.0808333333333335</v>
      </c>
      <c r="G36" s="28">
        <f t="shared" si="2"/>
        <v>52.755833333333335</v>
      </c>
      <c r="H36" s="28">
        <f t="shared" si="2"/>
        <v>49.772500000000001</v>
      </c>
      <c r="I36" s="28">
        <f t="shared" si="2"/>
        <v>4.0908333333333333</v>
      </c>
      <c r="J36" s="28">
        <f t="shared" si="2"/>
        <v>0.36499999999999999</v>
      </c>
      <c r="K36" s="28">
        <f t="shared" si="2"/>
        <v>301.93</v>
      </c>
      <c r="L36" s="28">
        <f t="shared" si="2"/>
        <v>27.282916666666662</v>
      </c>
      <c r="M36" s="28">
        <f t="shared" si="2"/>
        <v>81.214166666666671</v>
      </c>
      <c r="N36" s="28">
        <f t="shared" si="2"/>
        <v>170.96250000000001</v>
      </c>
      <c r="O36" s="28">
        <f t="shared" si="2"/>
        <v>0</v>
      </c>
      <c r="P36" s="28">
        <f t="shared" si="2"/>
        <v>0.35125000000000006</v>
      </c>
      <c r="Q36" s="28">
        <f t="shared" si="2"/>
        <v>9.1920833333333345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2.0187350304555562</v>
      </c>
      <c r="C37" s="28">
        <f t="shared" ref="C37:Q37" si="3">STDEV(C9:C32)</f>
        <v>2.0582530935483443</v>
      </c>
      <c r="D37" s="28">
        <f t="shared" si="3"/>
        <v>3.6601561847961399</v>
      </c>
      <c r="E37" s="28">
        <f t="shared" si="3"/>
        <v>0.38170859209004232</v>
      </c>
      <c r="F37" s="28">
        <f t="shared" si="3"/>
        <v>1.0518758261425976</v>
      </c>
      <c r="G37" s="28">
        <f t="shared" si="3"/>
        <v>13.42819581156097</v>
      </c>
      <c r="H37" s="28">
        <f t="shared" si="3"/>
        <v>145.22287977749772</v>
      </c>
      <c r="I37" s="28">
        <f t="shared" si="3"/>
        <v>6.8962287530571875E-2</v>
      </c>
      <c r="J37" s="28">
        <f t="shared" si="3"/>
        <v>0.21358228228096979</v>
      </c>
      <c r="K37" s="28">
        <f t="shared" si="3"/>
        <v>42.099437360693805</v>
      </c>
      <c r="L37" s="28">
        <f t="shared" si="3"/>
        <v>2.3471230848343505</v>
      </c>
      <c r="M37" s="28">
        <f t="shared" si="3"/>
        <v>11.690500014101547</v>
      </c>
      <c r="N37" s="28">
        <f t="shared" si="3"/>
        <v>170.30312568935787</v>
      </c>
      <c r="O37" s="28">
        <f t="shared" si="3"/>
        <v>0</v>
      </c>
      <c r="P37" s="28">
        <f t="shared" si="3"/>
        <v>8.8823836401291711E-2</v>
      </c>
      <c r="Q37" s="28">
        <f t="shared" si="3"/>
        <v>7.2470633732727913E-2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1" sqref="G1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612</v>
      </c>
      <c r="B9" s="51">
        <v>6.01</v>
      </c>
      <c r="C9" s="51">
        <v>13.28</v>
      </c>
      <c r="D9" s="51">
        <v>16.190000000000001</v>
      </c>
      <c r="E9" s="51">
        <v>5.25</v>
      </c>
      <c r="F9" s="51">
        <v>4.55</v>
      </c>
      <c r="G9" s="51">
        <v>37.9</v>
      </c>
      <c r="H9" s="51">
        <v>1.55</v>
      </c>
      <c r="I9" s="51">
        <v>4.13</v>
      </c>
      <c r="J9" s="51">
        <v>0.25</v>
      </c>
      <c r="K9" s="51">
        <v>313.44</v>
      </c>
      <c r="L9" s="51">
        <v>25.05</v>
      </c>
      <c r="M9" s="51">
        <v>94.09</v>
      </c>
      <c r="N9" s="51">
        <v>52.2</v>
      </c>
      <c r="O9" s="51">
        <v>0</v>
      </c>
      <c r="P9" s="51">
        <v>0.24</v>
      </c>
      <c r="Q9" s="51">
        <v>9.1</v>
      </c>
      <c r="R9" s="43"/>
      <c r="S9" s="43"/>
      <c r="T9" s="43"/>
      <c r="U9" s="43"/>
    </row>
    <row r="10" spans="1:21" s="11" customFormat="1" x14ac:dyDescent="0.25">
      <c r="A10" s="50" t="s">
        <v>613</v>
      </c>
      <c r="B10" s="51">
        <v>4.0999999999999996</v>
      </c>
      <c r="C10" s="51">
        <v>11.07</v>
      </c>
      <c r="D10" s="51">
        <v>14.89</v>
      </c>
      <c r="E10" s="51">
        <v>5.22</v>
      </c>
      <c r="F10" s="51">
        <v>4.49</v>
      </c>
      <c r="G10" s="51">
        <v>34.81</v>
      </c>
      <c r="H10" s="51">
        <v>2.48</v>
      </c>
      <c r="I10" s="51">
        <v>4.0999999999999996</v>
      </c>
      <c r="J10" s="51">
        <v>0.2</v>
      </c>
      <c r="K10" s="51">
        <v>307.94</v>
      </c>
      <c r="L10" s="51">
        <v>24.47</v>
      </c>
      <c r="M10" s="51">
        <v>95.32</v>
      </c>
      <c r="N10" s="51">
        <v>52.2</v>
      </c>
      <c r="O10" s="51">
        <v>0</v>
      </c>
      <c r="P10" s="51">
        <v>0.2</v>
      </c>
      <c r="Q10" s="51">
        <v>9.02</v>
      </c>
      <c r="R10" s="43"/>
      <c r="S10" s="43"/>
      <c r="T10" s="43"/>
      <c r="U10" s="43"/>
    </row>
    <row r="11" spans="1:21" s="11" customFormat="1" x14ac:dyDescent="0.25">
      <c r="A11" s="50" t="s">
        <v>614</v>
      </c>
      <c r="B11" s="51">
        <v>3.97</v>
      </c>
      <c r="C11" s="51">
        <v>10.15</v>
      </c>
      <c r="D11" s="51">
        <v>13.33</v>
      </c>
      <c r="E11" s="51">
        <v>5.14</v>
      </c>
      <c r="F11" s="51">
        <v>5.79</v>
      </c>
      <c r="G11" s="51">
        <v>34.42</v>
      </c>
      <c r="H11" s="51">
        <v>7.53</v>
      </c>
      <c r="I11" s="51">
        <v>3.98</v>
      </c>
      <c r="J11" s="51">
        <v>0.17</v>
      </c>
      <c r="K11" s="51">
        <v>292.70999999999998</v>
      </c>
      <c r="L11" s="51">
        <v>24.33</v>
      </c>
      <c r="M11" s="51">
        <v>98.13</v>
      </c>
      <c r="N11" s="51">
        <v>52.2</v>
      </c>
      <c r="O11" s="51">
        <v>0</v>
      </c>
      <c r="P11" s="51">
        <v>0.18</v>
      </c>
      <c r="Q11" s="51">
        <v>9.0399999999999991</v>
      </c>
      <c r="R11" s="43"/>
      <c r="S11" s="43"/>
      <c r="T11" s="43"/>
      <c r="U11" s="43"/>
    </row>
    <row r="12" spans="1:21" s="11" customFormat="1" x14ac:dyDescent="0.25">
      <c r="A12" s="50" t="s">
        <v>615</v>
      </c>
      <c r="B12" s="51">
        <v>4.47</v>
      </c>
      <c r="C12" s="51">
        <v>10.28</v>
      </c>
      <c r="D12" s="51">
        <v>12.91</v>
      </c>
      <c r="E12" s="51">
        <v>5.23</v>
      </c>
      <c r="F12" s="51">
        <v>4.84</v>
      </c>
      <c r="G12" s="51">
        <v>24.18</v>
      </c>
      <c r="H12" s="51">
        <v>4.1100000000000003</v>
      </c>
      <c r="I12" s="51">
        <v>4.0199999999999996</v>
      </c>
      <c r="J12" s="51">
        <v>0.15</v>
      </c>
      <c r="K12" s="51">
        <v>313.16000000000003</v>
      </c>
      <c r="L12" s="51">
        <v>23.27</v>
      </c>
      <c r="M12" s="51">
        <v>98.17</v>
      </c>
      <c r="N12" s="51">
        <v>51.8</v>
      </c>
      <c r="O12" s="51">
        <v>0.2</v>
      </c>
      <c r="P12" s="51">
        <v>0.18</v>
      </c>
      <c r="Q12" s="51">
        <v>9.0399999999999991</v>
      </c>
      <c r="R12" s="43"/>
      <c r="S12" s="43"/>
      <c r="T12" s="43"/>
      <c r="U12" s="43"/>
    </row>
    <row r="13" spans="1:21" s="11" customFormat="1" x14ac:dyDescent="0.25">
      <c r="A13" s="50" t="s">
        <v>616</v>
      </c>
      <c r="B13" s="51">
        <v>4.62</v>
      </c>
      <c r="C13" s="51">
        <v>10.69</v>
      </c>
      <c r="D13" s="51">
        <v>13.47</v>
      </c>
      <c r="E13" s="51">
        <v>5.26</v>
      </c>
      <c r="F13" s="51">
        <v>3.8</v>
      </c>
      <c r="G13" s="51">
        <v>20.47</v>
      </c>
      <c r="H13" s="51">
        <v>1.71</v>
      </c>
      <c r="I13" s="51">
        <v>4.03</v>
      </c>
      <c r="J13" s="51">
        <v>0.19</v>
      </c>
      <c r="K13" s="51">
        <v>303.81</v>
      </c>
      <c r="L13" s="51">
        <v>23.51</v>
      </c>
      <c r="M13" s="51">
        <v>98.25</v>
      </c>
      <c r="N13" s="51">
        <v>52.8</v>
      </c>
      <c r="O13" s="51">
        <v>0</v>
      </c>
      <c r="P13" s="51">
        <v>0.17</v>
      </c>
      <c r="Q13" s="51">
        <v>9.01</v>
      </c>
      <c r="R13" s="43"/>
      <c r="S13" s="43"/>
      <c r="T13" s="43"/>
      <c r="U13" s="43"/>
    </row>
    <row r="14" spans="1:21" s="11" customFormat="1" x14ac:dyDescent="0.25">
      <c r="A14" s="50" t="s">
        <v>617</v>
      </c>
      <c r="B14" s="51">
        <v>5.1100000000000003</v>
      </c>
      <c r="C14" s="51">
        <v>11.64</v>
      </c>
      <c r="D14" s="51">
        <v>14.44</v>
      </c>
      <c r="E14" s="51">
        <v>5.45</v>
      </c>
      <c r="F14" s="51">
        <v>4.13</v>
      </c>
      <c r="G14" s="51">
        <v>27.43</v>
      </c>
      <c r="H14" s="51">
        <v>2.76</v>
      </c>
      <c r="I14" s="51">
        <v>4.03</v>
      </c>
      <c r="J14" s="51">
        <v>0.22</v>
      </c>
      <c r="K14" s="51">
        <v>297.16000000000003</v>
      </c>
      <c r="L14" s="51">
        <v>23.62</v>
      </c>
      <c r="M14" s="51">
        <v>98.35</v>
      </c>
      <c r="N14" s="51">
        <v>57.9</v>
      </c>
      <c r="O14" s="51">
        <v>0</v>
      </c>
      <c r="P14" s="51">
        <v>0.16</v>
      </c>
      <c r="Q14" s="51">
        <v>9.0299999999999994</v>
      </c>
      <c r="R14" s="43"/>
      <c r="S14" s="43"/>
      <c r="T14" s="43"/>
      <c r="U14" s="43"/>
    </row>
    <row r="15" spans="1:21" s="11" customFormat="1" x14ac:dyDescent="0.25">
      <c r="A15" s="50" t="s">
        <v>618</v>
      </c>
      <c r="B15" s="51">
        <v>5.53</v>
      </c>
      <c r="C15" s="51">
        <v>12.34</v>
      </c>
      <c r="D15" s="51">
        <v>15.13</v>
      </c>
      <c r="E15" s="51">
        <v>5.4</v>
      </c>
      <c r="F15" s="51">
        <v>4.3499999999999996</v>
      </c>
      <c r="G15" s="51">
        <v>23.06</v>
      </c>
      <c r="H15" s="51">
        <v>6.54</v>
      </c>
      <c r="I15" s="51">
        <v>4.1399999999999997</v>
      </c>
      <c r="J15" s="51">
        <v>0.2</v>
      </c>
      <c r="K15" s="51">
        <v>294.99</v>
      </c>
      <c r="L15" s="51">
        <v>23.96</v>
      </c>
      <c r="M15" s="51">
        <v>98.46</v>
      </c>
      <c r="N15" s="51">
        <v>99.2</v>
      </c>
      <c r="O15" s="51">
        <v>0</v>
      </c>
      <c r="P15" s="51">
        <v>0.18</v>
      </c>
      <c r="Q15" s="51">
        <v>9.06</v>
      </c>
      <c r="R15" s="43"/>
      <c r="S15" s="43"/>
      <c r="T15" s="43"/>
      <c r="U15" s="43"/>
    </row>
    <row r="16" spans="1:21" s="11" customFormat="1" x14ac:dyDescent="0.25">
      <c r="A16" s="50" t="s">
        <v>619</v>
      </c>
      <c r="B16" s="51">
        <v>5.82</v>
      </c>
      <c r="C16" s="51">
        <v>13.22</v>
      </c>
      <c r="D16" s="51">
        <v>16.63</v>
      </c>
      <c r="E16" s="51">
        <v>5.29</v>
      </c>
      <c r="F16" s="51">
        <v>4.99</v>
      </c>
      <c r="G16" s="51">
        <v>30.92</v>
      </c>
      <c r="H16" s="51">
        <v>2.76</v>
      </c>
      <c r="I16" s="51">
        <v>4.04</v>
      </c>
      <c r="J16" s="51">
        <v>0.3</v>
      </c>
      <c r="K16" s="51">
        <v>292.95999999999998</v>
      </c>
      <c r="L16" s="51">
        <v>24.15</v>
      </c>
      <c r="M16" s="51">
        <v>98.56</v>
      </c>
      <c r="N16" s="51">
        <v>145.80000000000001</v>
      </c>
      <c r="O16" s="51">
        <v>0</v>
      </c>
      <c r="P16" s="51">
        <v>0.23</v>
      </c>
      <c r="Q16" s="51">
        <v>9.09</v>
      </c>
      <c r="R16" s="43"/>
      <c r="S16" s="43"/>
      <c r="T16" s="43"/>
      <c r="U16" s="43"/>
    </row>
    <row r="17" spans="1:21" s="11" customFormat="1" x14ac:dyDescent="0.25">
      <c r="A17" s="50" t="s">
        <v>620</v>
      </c>
      <c r="B17" s="51">
        <v>6.2</v>
      </c>
      <c r="C17" s="51">
        <v>13.82</v>
      </c>
      <c r="D17" s="51">
        <v>17.510000000000002</v>
      </c>
      <c r="E17" s="51">
        <v>4.95</v>
      </c>
      <c r="F17" s="51">
        <v>4.4400000000000004</v>
      </c>
      <c r="G17" s="51">
        <v>35.71</v>
      </c>
      <c r="H17" s="51">
        <v>1.5</v>
      </c>
      <c r="I17" s="51">
        <v>3.99</v>
      </c>
      <c r="J17" s="51">
        <v>0.27</v>
      </c>
      <c r="K17" s="51">
        <v>289.66000000000003</v>
      </c>
      <c r="L17" s="51">
        <v>24.58</v>
      </c>
      <c r="M17" s="51">
        <v>98.79</v>
      </c>
      <c r="N17" s="51">
        <v>190.8</v>
      </c>
      <c r="O17" s="51">
        <v>0</v>
      </c>
      <c r="P17" s="51">
        <v>0.25</v>
      </c>
      <c r="Q17" s="51">
        <v>9.07</v>
      </c>
      <c r="R17" s="43"/>
      <c r="S17" s="43"/>
      <c r="T17" s="43"/>
      <c r="U17" s="43"/>
    </row>
    <row r="18" spans="1:21" s="11" customFormat="1" x14ac:dyDescent="0.25">
      <c r="A18" s="50" t="s">
        <v>621</v>
      </c>
      <c r="B18" s="51">
        <v>7.54</v>
      </c>
      <c r="C18" s="51">
        <v>14.79</v>
      </c>
      <c r="D18" s="51">
        <v>16.72</v>
      </c>
      <c r="E18" s="51">
        <v>5.12</v>
      </c>
      <c r="F18" s="51">
        <v>3.82</v>
      </c>
      <c r="G18" s="51">
        <v>38.08</v>
      </c>
      <c r="H18" s="51">
        <v>1.8</v>
      </c>
      <c r="I18" s="51">
        <v>4.08</v>
      </c>
      <c r="J18" s="51">
        <v>0.28999999999999998</v>
      </c>
      <c r="K18" s="51">
        <v>296.2</v>
      </c>
      <c r="L18" s="51">
        <v>24.04</v>
      </c>
      <c r="M18" s="51">
        <v>98.55</v>
      </c>
      <c r="N18" s="51">
        <v>195.3</v>
      </c>
      <c r="O18" s="51">
        <v>0.2</v>
      </c>
      <c r="P18" s="51">
        <v>0.28999999999999998</v>
      </c>
      <c r="Q18" s="51">
        <v>9.09</v>
      </c>
      <c r="R18" s="43"/>
      <c r="S18" s="43"/>
      <c r="T18" s="43"/>
      <c r="U18" s="43"/>
    </row>
    <row r="19" spans="1:21" s="11" customFormat="1" x14ac:dyDescent="0.25">
      <c r="A19" s="50" t="s">
        <v>622</v>
      </c>
      <c r="B19" s="51">
        <v>7.98</v>
      </c>
      <c r="C19" s="51">
        <v>16.23</v>
      </c>
      <c r="D19" s="51">
        <v>18.829999999999998</v>
      </c>
      <c r="E19" s="51">
        <v>4.72</v>
      </c>
      <c r="F19" s="51">
        <v>4.3899999999999997</v>
      </c>
      <c r="G19" s="51">
        <v>31.49</v>
      </c>
      <c r="H19" s="51">
        <v>6</v>
      </c>
      <c r="I19" s="51">
        <v>4.05</v>
      </c>
      <c r="J19" s="51">
        <v>0.27</v>
      </c>
      <c r="K19" s="51">
        <v>288.39</v>
      </c>
      <c r="L19" s="51">
        <v>24.8</v>
      </c>
      <c r="M19" s="51">
        <v>98.01</v>
      </c>
      <c r="N19" s="51">
        <v>207</v>
      </c>
      <c r="O19" s="51">
        <v>0</v>
      </c>
      <c r="P19" s="51">
        <v>0.37</v>
      </c>
      <c r="Q19" s="51">
        <v>9.16</v>
      </c>
      <c r="R19" s="43"/>
      <c r="S19" s="43"/>
      <c r="T19" s="43"/>
      <c r="U19" s="43"/>
    </row>
    <row r="20" spans="1:21" s="11" customFormat="1" x14ac:dyDescent="0.25">
      <c r="A20" s="50" t="s">
        <v>623</v>
      </c>
      <c r="B20" s="51">
        <v>9.58</v>
      </c>
      <c r="C20" s="51">
        <v>18.62</v>
      </c>
      <c r="D20" s="51">
        <v>22.07</v>
      </c>
      <c r="E20" s="51">
        <v>4.9800000000000004</v>
      </c>
      <c r="F20" s="51">
        <v>4.79</v>
      </c>
      <c r="G20" s="51">
        <v>36.07</v>
      </c>
      <c r="H20" s="51">
        <v>10.67</v>
      </c>
      <c r="I20" s="51">
        <v>4.18</v>
      </c>
      <c r="J20" s="51">
        <v>0.36</v>
      </c>
      <c r="K20" s="51">
        <v>291</v>
      </c>
      <c r="L20" s="51">
        <v>25.92</v>
      </c>
      <c r="M20" s="51">
        <v>97.55</v>
      </c>
      <c r="N20" s="51">
        <v>228.2</v>
      </c>
      <c r="O20" s="51">
        <v>0</v>
      </c>
      <c r="P20" s="51">
        <v>0.42</v>
      </c>
      <c r="Q20" s="51">
        <v>9.2100000000000009</v>
      </c>
      <c r="R20" s="43"/>
      <c r="S20" s="43"/>
      <c r="T20" s="43"/>
      <c r="U20" s="43"/>
    </row>
    <row r="21" spans="1:21" s="11" customFormat="1" x14ac:dyDescent="0.25">
      <c r="A21" s="50" t="s">
        <v>624</v>
      </c>
      <c r="B21" s="51">
        <v>9.27</v>
      </c>
      <c r="C21" s="51">
        <v>17.88</v>
      </c>
      <c r="D21" s="51">
        <v>20.79</v>
      </c>
      <c r="E21" s="51">
        <v>4.96</v>
      </c>
      <c r="F21" s="51">
        <v>4.16</v>
      </c>
      <c r="G21" s="51">
        <v>45.24</v>
      </c>
      <c r="H21" s="51">
        <v>9.02</v>
      </c>
      <c r="I21" s="51">
        <v>4.12</v>
      </c>
      <c r="J21" s="51">
        <v>0.41</v>
      </c>
      <c r="K21" s="51">
        <v>286.49</v>
      </c>
      <c r="L21" s="51">
        <v>26.75</v>
      </c>
      <c r="M21" s="51">
        <v>93.65</v>
      </c>
      <c r="N21" s="51">
        <v>387.3</v>
      </c>
      <c r="O21" s="51">
        <v>0</v>
      </c>
      <c r="P21" s="51">
        <v>0.43</v>
      </c>
      <c r="Q21" s="51">
        <v>9.2100000000000009</v>
      </c>
      <c r="R21" s="43"/>
      <c r="S21" s="43"/>
      <c r="T21" s="43"/>
      <c r="U21" s="43"/>
    </row>
    <row r="22" spans="1:21" s="11" customFormat="1" x14ac:dyDescent="0.25">
      <c r="A22" s="50" t="s">
        <v>625</v>
      </c>
      <c r="B22" s="51">
        <v>6.7</v>
      </c>
      <c r="C22" s="51">
        <v>16.13</v>
      </c>
      <c r="D22" s="51">
        <v>21.48</v>
      </c>
      <c r="E22" s="51">
        <v>5.13</v>
      </c>
      <c r="F22" s="51">
        <v>4.6500000000000004</v>
      </c>
      <c r="G22" s="51">
        <v>49.46</v>
      </c>
      <c r="H22" s="51">
        <v>17.45</v>
      </c>
      <c r="I22" s="51">
        <v>4.1100000000000003</v>
      </c>
      <c r="J22" s="51">
        <v>0.4</v>
      </c>
      <c r="K22" s="51">
        <v>289.93</v>
      </c>
      <c r="L22" s="51">
        <v>26.7</v>
      </c>
      <c r="M22" s="51">
        <v>88.91</v>
      </c>
      <c r="N22" s="51">
        <v>184.5</v>
      </c>
      <c r="O22" s="51">
        <v>0</v>
      </c>
      <c r="P22" s="51">
        <v>0.41</v>
      </c>
      <c r="Q22" s="51">
        <v>9.1199999999999992</v>
      </c>
      <c r="R22" s="43"/>
      <c r="S22" s="43"/>
      <c r="T22" s="43"/>
      <c r="U22" s="43"/>
    </row>
    <row r="23" spans="1:21" s="11" customFormat="1" x14ac:dyDescent="0.25">
      <c r="A23" s="50" t="s">
        <v>626</v>
      </c>
      <c r="B23" s="51">
        <v>6.53</v>
      </c>
      <c r="C23" s="51">
        <v>17.36</v>
      </c>
      <c r="D23" s="51">
        <v>23.21</v>
      </c>
      <c r="E23" s="51">
        <v>4.8099999999999996</v>
      </c>
      <c r="F23" s="51">
        <v>5.7</v>
      </c>
      <c r="G23" s="51">
        <v>52.28</v>
      </c>
      <c r="H23" s="51">
        <v>19.09</v>
      </c>
      <c r="I23" s="51">
        <v>4.1100000000000003</v>
      </c>
      <c r="J23" s="51">
        <v>0.32</v>
      </c>
      <c r="K23" s="51">
        <v>288.31</v>
      </c>
      <c r="L23" s="51">
        <v>26.93</v>
      </c>
      <c r="M23" s="51">
        <v>86.29</v>
      </c>
      <c r="N23" s="51">
        <v>162.6</v>
      </c>
      <c r="O23" s="51">
        <v>0</v>
      </c>
      <c r="P23" s="51">
        <v>0.41</v>
      </c>
      <c r="Q23" s="51">
        <v>9.1199999999999992</v>
      </c>
      <c r="R23" s="43"/>
      <c r="S23" s="43"/>
      <c r="T23" s="43"/>
      <c r="U23" s="43"/>
    </row>
    <row r="24" spans="1:21" s="11" customFormat="1" x14ac:dyDescent="0.25">
      <c r="A24" s="50" t="s">
        <v>627</v>
      </c>
      <c r="B24" s="51">
        <v>7.45</v>
      </c>
      <c r="C24" s="51">
        <v>17.82</v>
      </c>
      <c r="D24" s="51">
        <v>22.67</v>
      </c>
      <c r="E24" s="51">
        <v>4.8899999999999997</v>
      </c>
      <c r="F24" s="51">
        <v>5.33</v>
      </c>
      <c r="G24" s="51">
        <v>54.42</v>
      </c>
      <c r="H24" s="51">
        <v>18.350000000000001</v>
      </c>
      <c r="I24" s="51">
        <v>4.32</v>
      </c>
      <c r="J24" s="51">
        <v>0.33</v>
      </c>
      <c r="K24" s="51">
        <v>292.45999999999998</v>
      </c>
      <c r="L24" s="51">
        <v>27.34</v>
      </c>
      <c r="M24" s="51">
        <v>84.62</v>
      </c>
      <c r="N24" s="51">
        <v>233.7</v>
      </c>
      <c r="O24" s="51">
        <v>0</v>
      </c>
      <c r="P24" s="51">
        <v>0.39</v>
      </c>
      <c r="Q24" s="51">
        <v>9.14</v>
      </c>
      <c r="R24" s="43"/>
      <c r="S24" s="43"/>
      <c r="T24" s="43"/>
      <c r="U24" s="43"/>
    </row>
    <row r="25" spans="1:21" s="11" customFormat="1" x14ac:dyDescent="0.25">
      <c r="A25" s="50" t="s">
        <v>628</v>
      </c>
      <c r="B25" s="51">
        <v>5.13</v>
      </c>
      <c r="C25" s="51">
        <v>15.55</v>
      </c>
      <c r="D25" s="51">
        <v>21.88</v>
      </c>
      <c r="E25" s="51">
        <v>4.7</v>
      </c>
      <c r="F25" s="51">
        <v>5.07</v>
      </c>
      <c r="G25" s="51">
        <v>49.15</v>
      </c>
      <c r="H25" s="51">
        <v>11.62</v>
      </c>
      <c r="I25" s="51">
        <v>4.0999999999999996</v>
      </c>
      <c r="J25" s="51">
        <v>0.23</v>
      </c>
      <c r="K25" s="51">
        <v>286.57</v>
      </c>
      <c r="L25" s="51">
        <v>27.27</v>
      </c>
      <c r="M25" s="51">
        <v>84.96</v>
      </c>
      <c r="N25" s="51">
        <v>216.9</v>
      </c>
      <c r="O25" s="51">
        <v>0</v>
      </c>
      <c r="P25" s="51">
        <v>0.34</v>
      </c>
      <c r="Q25" s="51">
        <v>9.11</v>
      </c>
      <c r="R25" s="43"/>
      <c r="S25" s="43"/>
      <c r="T25" s="43"/>
      <c r="U25" s="43"/>
    </row>
    <row r="26" spans="1:21" s="11" customFormat="1" x14ac:dyDescent="0.25">
      <c r="A26" s="50" t="s">
        <v>629</v>
      </c>
      <c r="B26" s="51">
        <v>4.38</v>
      </c>
      <c r="C26" s="51">
        <v>12.64</v>
      </c>
      <c r="D26" s="51">
        <v>17.47</v>
      </c>
      <c r="E26" s="51">
        <v>5.21</v>
      </c>
      <c r="F26" s="51">
        <v>5.04</v>
      </c>
      <c r="G26" s="51">
        <v>50.82</v>
      </c>
      <c r="H26" s="51">
        <v>12.45</v>
      </c>
      <c r="I26" s="51">
        <v>4.08</v>
      </c>
      <c r="J26" s="51">
        <v>0.19</v>
      </c>
      <c r="K26" s="51">
        <v>329.15</v>
      </c>
      <c r="L26" s="51">
        <v>26.91</v>
      </c>
      <c r="M26" s="51">
        <v>85.73</v>
      </c>
      <c r="N26" s="51">
        <v>130.19999999999999</v>
      </c>
      <c r="O26" s="51">
        <v>0</v>
      </c>
      <c r="P26" s="51">
        <v>0.32</v>
      </c>
      <c r="Q26" s="51">
        <v>9.06</v>
      </c>
      <c r="R26" s="43"/>
      <c r="S26" s="43"/>
      <c r="T26" s="43"/>
      <c r="U26" s="43"/>
    </row>
    <row r="27" spans="1:21" s="11" customFormat="1" x14ac:dyDescent="0.25">
      <c r="A27" s="50" t="s">
        <v>630</v>
      </c>
      <c r="B27" s="51">
        <v>5.79</v>
      </c>
      <c r="C27" s="51">
        <v>13.86</v>
      </c>
      <c r="D27" s="51">
        <v>17.63</v>
      </c>
      <c r="E27" s="51">
        <v>4.8</v>
      </c>
      <c r="F27" s="51">
        <v>5.67</v>
      </c>
      <c r="G27" s="51">
        <v>53.77</v>
      </c>
      <c r="H27" s="51">
        <v>14.23</v>
      </c>
      <c r="I27" s="51">
        <v>4.01</v>
      </c>
      <c r="J27" s="51">
        <v>0.11</v>
      </c>
      <c r="K27" s="51">
        <v>351.78</v>
      </c>
      <c r="L27" s="51">
        <v>26.48</v>
      </c>
      <c r="M27" s="51">
        <v>90.8</v>
      </c>
      <c r="N27" s="51">
        <v>65.2</v>
      </c>
      <c r="O27" s="51">
        <v>0</v>
      </c>
      <c r="P27" s="51">
        <v>0.34</v>
      </c>
      <c r="Q27" s="51">
        <v>9.0399999999999991</v>
      </c>
      <c r="R27" s="43"/>
      <c r="S27" s="43"/>
      <c r="T27" s="43"/>
      <c r="U27" s="43"/>
    </row>
    <row r="28" spans="1:21" s="11" customFormat="1" x14ac:dyDescent="0.25">
      <c r="A28" s="50" t="s">
        <v>631</v>
      </c>
      <c r="B28" s="51">
        <v>7.9</v>
      </c>
      <c r="C28" s="51">
        <v>18.420000000000002</v>
      </c>
      <c r="D28" s="51">
        <v>23.71</v>
      </c>
      <c r="E28" s="51">
        <v>5.08</v>
      </c>
      <c r="F28" s="51">
        <v>7.74</v>
      </c>
      <c r="G28" s="51">
        <v>53.55</v>
      </c>
      <c r="H28" s="51">
        <v>17.54</v>
      </c>
      <c r="I28" s="51">
        <v>4.1399999999999997</v>
      </c>
      <c r="J28" s="51">
        <v>0.26</v>
      </c>
      <c r="K28" s="51">
        <v>179.78</v>
      </c>
      <c r="L28" s="51">
        <v>25.56</v>
      </c>
      <c r="M28" s="51">
        <v>97.66</v>
      </c>
      <c r="N28" s="51">
        <v>48.6</v>
      </c>
      <c r="O28" s="51">
        <v>0</v>
      </c>
      <c r="P28" s="51">
        <v>0.28999999999999998</v>
      </c>
      <c r="Q28" s="51">
        <v>9.11</v>
      </c>
      <c r="R28" s="43"/>
      <c r="S28" s="43"/>
      <c r="T28" s="43"/>
      <c r="U28" s="43"/>
    </row>
    <row r="29" spans="1:21" s="11" customFormat="1" x14ac:dyDescent="0.25">
      <c r="A29" s="50" t="s">
        <v>632</v>
      </c>
      <c r="B29" s="51">
        <v>7.31</v>
      </c>
      <c r="C29" s="51">
        <v>15.6</v>
      </c>
      <c r="D29" s="51">
        <v>19.22</v>
      </c>
      <c r="E29" s="51">
        <v>5.22</v>
      </c>
      <c r="F29" s="51">
        <v>6.76</v>
      </c>
      <c r="G29" s="51">
        <v>53.86</v>
      </c>
      <c r="H29" s="51">
        <v>14.9</v>
      </c>
      <c r="I29" s="51">
        <v>4.05</v>
      </c>
      <c r="J29" s="51">
        <v>0.14000000000000001</v>
      </c>
      <c r="K29" s="51">
        <v>214.82</v>
      </c>
      <c r="L29" s="51">
        <v>25.05</v>
      </c>
      <c r="M29" s="51">
        <v>97.68</v>
      </c>
      <c r="N29" s="51">
        <v>47.9</v>
      </c>
      <c r="O29" s="51">
        <v>0</v>
      </c>
      <c r="P29" s="51">
        <v>0.28999999999999998</v>
      </c>
      <c r="Q29" s="51">
        <v>9.15</v>
      </c>
      <c r="R29" s="43"/>
      <c r="S29" s="43"/>
      <c r="T29" s="43"/>
      <c r="U29" s="43"/>
    </row>
    <row r="30" spans="1:21" s="11" customFormat="1" x14ac:dyDescent="0.25">
      <c r="A30" s="50" t="s">
        <v>633</v>
      </c>
      <c r="B30" s="51">
        <v>8.25</v>
      </c>
      <c r="C30" s="51">
        <v>15.08</v>
      </c>
      <c r="D30" s="51">
        <v>16.59</v>
      </c>
      <c r="E30" s="51">
        <v>5.15</v>
      </c>
      <c r="F30" s="51">
        <v>4.09</v>
      </c>
      <c r="G30" s="51">
        <v>50.46</v>
      </c>
      <c r="H30" s="51">
        <v>11</v>
      </c>
      <c r="I30" s="51">
        <v>4.0999999999999996</v>
      </c>
      <c r="J30" s="51">
        <v>0.3</v>
      </c>
      <c r="K30" s="51">
        <v>181.44</v>
      </c>
      <c r="L30" s="51">
        <v>24.64</v>
      </c>
      <c r="M30" s="51">
        <v>97.73</v>
      </c>
      <c r="N30" s="51">
        <v>48</v>
      </c>
      <c r="O30" s="51">
        <v>0</v>
      </c>
      <c r="P30" s="51">
        <v>0.28000000000000003</v>
      </c>
      <c r="Q30" s="51">
        <v>9.15</v>
      </c>
      <c r="R30" s="43"/>
      <c r="S30" s="43"/>
      <c r="T30" s="43"/>
      <c r="U30" s="43"/>
    </row>
    <row r="31" spans="1:21" s="11" customFormat="1" x14ac:dyDescent="0.25">
      <c r="A31" s="50" t="s">
        <v>634</v>
      </c>
      <c r="B31" s="51">
        <v>8.73</v>
      </c>
      <c r="C31" s="51">
        <v>15.31</v>
      </c>
      <c r="D31" s="51">
        <v>16.16</v>
      </c>
      <c r="E31" s="51">
        <v>5.13</v>
      </c>
      <c r="F31" s="51">
        <v>4.8499999999999996</v>
      </c>
      <c r="G31" s="51">
        <v>43.34</v>
      </c>
      <c r="H31" s="51">
        <v>12.54</v>
      </c>
      <c r="I31" s="51">
        <v>4.0999999999999996</v>
      </c>
      <c r="J31" s="51">
        <v>0.17</v>
      </c>
      <c r="K31" s="51">
        <v>216.48</v>
      </c>
      <c r="L31" s="51">
        <v>24.5</v>
      </c>
      <c r="M31" s="51">
        <v>97.74</v>
      </c>
      <c r="N31" s="51">
        <v>49.1</v>
      </c>
      <c r="O31" s="51">
        <v>0</v>
      </c>
      <c r="P31" s="51">
        <v>0.27</v>
      </c>
      <c r="Q31" s="51">
        <v>9.16</v>
      </c>
      <c r="R31" s="43"/>
      <c r="S31" s="43"/>
      <c r="T31" s="43"/>
      <c r="U31" s="43"/>
    </row>
    <row r="32" spans="1:21" s="11" customFormat="1" x14ac:dyDescent="0.25">
      <c r="A32" s="50" t="s">
        <v>635</v>
      </c>
      <c r="B32" s="51">
        <v>8.76</v>
      </c>
      <c r="C32" s="51">
        <v>14.68</v>
      </c>
      <c r="D32" s="51">
        <v>15.2</v>
      </c>
      <c r="E32" s="51">
        <v>4.96</v>
      </c>
      <c r="F32" s="51">
        <v>6.33</v>
      </c>
      <c r="G32" s="51">
        <v>42.13</v>
      </c>
      <c r="H32" s="51">
        <v>12.78</v>
      </c>
      <c r="I32" s="51">
        <v>4.22</v>
      </c>
      <c r="J32" s="51">
        <v>7.0000000000000007E-2</v>
      </c>
      <c r="K32" s="51">
        <v>307.11</v>
      </c>
      <c r="L32" s="51">
        <v>24.48</v>
      </c>
      <c r="M32" s="51">
        <v>97.74</v>
      </c>
      <c r="N32" s="51">
        <v>52</v>
      </c>
      <c r="O32" s="51">
        <v>0</v>
      </c>
      <c r="P32" s="51">
        <v>0.25</v>
      </c>
      <c r="Q32" s="51">
        <v>9.18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3.97</v>
      </c>
      <c r="C34" s="28">
        <f t="shared" si="0"/>
        <v>10.15</v>
      </c>
      <c r="D34" s="28">
        <f t="shared" si="0"/>
        <v>12.91</v>
      </c>
      <c r="E34" s="28">
        <f t="shared" si="0"/>
        <v>4.7</v>
      </c>
      <c r="F34" s="28">
        <f t="shared" si="0"/>
        <v>3.8</v>
      </c>
      <c r="G34" s="28">
        <f t="shared" si="0"/>
        <v>20.47</v>
      </c>
      <c r="H34" s="28">
        <f t="shared" si="0"/>
        <v>1.5</v>
      </c>
      <c r="I34" s="28">
        <f t="shared" si="0"/>
        <v>3.98</v>
      </c>
      <c r="J34" s="28">
        <f t="shared" si="0"/>
        <v>7.0000000000000007E-2</v>
      </c>
      <c r="K34" s="28">
        <f t="shared" si="0"/>
        <v>179.78</v>
      </c>
      <c r="L34" s="28">
        <f t="shared" si="0"/>
        <v>23.27</v>
      </c>
      <c r="M34" s="28">
        <f t="shared" si="0"/>
        <v>84.62</v>
      </c>
      <c r="N34" s="28">
        <f t="shared" si="0"/>
        <v>47.9</v>
      </c>
      <c r="O34" s="28">
        <f t="shared" si="0"/>
        <v>0</v>
      </c>
      <c r="P34" s="28">
        <f t="shared" si="0"/>
        <v>0.16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9.58</v>
      </c>
      <c r="C35" s="29">
        <f t="shared" si="1"/>
        <v>18.62</v>
      </c>
      <c r="D35" s="29">
        <f t="shared" si="1"/>
        <v>23.71</v>
      </c>
      <c r="E35" s="29">
        <f t="shared" si="1"/>
        <v>5.45</v>
      </c>
      <c r="F35" s="29">
        <f t="shared" si="1"/>
        <v>7.74</v>
      </c>
      <c r="G35" s="29">
        <f t="shared" si="1"/>
        <v>54.42</v>
      </c>
      <c r="H35" s="29">
        <f t="shared" si="1"/>
        <v>19.09</v>
      </c>
      <c r="I35" s="29">
        <f t="shared" si="1"/>
        <v>4.32</v>
      </c>
      <c r="J35" s="29">
        <f t="shared" si="1"/>
        <v>0.41</v>
      </c>
      <c r="K35" s="29">
        <f t="shared" si="1"/>
        <v>351.78</v>
      </c>
      <c r="L35" s="29">
        <f t="shared" si="1"/>
        <v>27.34</v>
      </c>
      <c r="M35" s="29">
        <f t="shared" si="1"/>
        <v>98.79</v>
      </c>
      <c r="N35" s="29">
        <f t="shared" si="1"/>
        <v>387.3</v>
      </c>
      <c r="O35" s="29">
        <f t="shared" si="1"/>
        <v>0.2</v>
      </c>
      <c r="P35" s="29">
        <f t="shared" si="1"/>
        <v>0.43</v>
      </c>
      <c r="Q35" s="29">
        <f t="shared" si="1"/>
        <v>9.2100000000000009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6.5470833333333331</v>
      </c>
      <c r="C36" s="28">
        <f t="shared" si="2"/>
        <v>14.435833333333335</v>
      </c>
      <c r="D36" s="28">
        <f t="shared" si="2"/>
        <v>17.838749999999997</v>
      </c>
      <c r="E36" s="28">
        <f t="shared" si="2"/>
        <v>5.0854166666666663</v>
      </c>
      <c r="F36" s="28">
        <f t="shared" si="2"/>
        <v>4.9904166666666665</v>
      </c>
      <c r="G36" s="28">
        <f t="shared" si="2"/>
        <v>40.542499999999997</v>
      </c>
      <c r="H36" s="28">
        <f t="shared" si="2"/>
        <v>9.1824999999999992</v>
      </c>
      <c r="I36" s="28">
        <f t="shared" si="2"/>
        <v>4.0929166666666665</v>
      </c>
      <c r="J36" s="28">
        <f t="shared" si="2"/>
        <v>0.24166666666666667</v>
      </c>
      <c r="K36" s="28">
        <f t="shared" si="2"/>
        <v>283.57249999999993</v>
      </c>
      <c r="L36" s="28">
        <f t="shared" si="2"/>
        <v>25.17958333333333</v>
      </c>
      <c r="M36" s="28">
        <f t="shared" si="2"/>
        <v>94.822499999999977</v>
      </c>
      <c r="N36" s="28">
        <f t="shared" si="2"/>
        <v>125.47499999999998</v>
      </c>
      <c r="O36" s="28">
        <f t="shared" si="2"/>
        <v>1.6666666666666666E-2</v>
      </c>
      <c r="P36" s="28">
        <f t="shared" si="2"/>
        <v>0.28708333333333336</v>
      </c>
      <c r="Q36" s="28">
        <f t="shared" si="2"/>
        <v>9.102916666666669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1.7123299132714067</v>
      </c>
      <c r="C37" s="28">
        <f t="shared" ref="C37:Q37" si="3">STDEV(C9:C32)</f>
        <v>2.5981195819897849</v>
      </c>
      <c r="D37" s="28">
        <f t="shared" si="3"/>
        <v>3.3238771395962421</v>
      </c>
      <c r="E37" s="28">
        <f t="shared" si="3"/>
        <v>0.20374705474887389</v>
      </c>
      <c r="F37" s="28">
        <f t="shared" si="3"/>
        <v>0.95459747568266273</v>
      </c>
      <c r="G37" s="28">
        <f t="shared" si="3"/>
        <v>10.817419225289022</v>
      </c>
      <c r="H37" s="28">
        <f t="shared" si="3"/>
        <v>5.991121147890075</v>
      </c>
      <c r="I37" s="28">
        <f t="shared" si="3"/>
        <v>7.6013681072192044E-2</v>
      </c>
      <c r="J37" s="28">
        <f t="shared" si="3"/>
        <v>8.7906406091274522E-2</v>
      </c>
      <c r="K37" s="28">
        <f t="shared" si="3"/>
        <v>42.430238012838643</v>
      </c>
      <c r="L37" s="28">
        <f t="shared" si="3"/>
        <v>1.2849411394628383</v>
      </c>
      <c r="M37" s="28">
        <f t="shared" si="3"/>
        <v>4.9895510384419746</v>
      </c>
      <c r="N37" s="28">
        <f t="shared" si="3"/>
        <v>89.717359330384923</v>
      </c>
      <c r="O37" s="28">
        <f t="shared" si="3"/>
        <v>5.6465970257327996E-2</v>
      </c>
      <c r="P37" s="28">
        <f t="shared" si="3"/>
        <v>8.6701846260201013E-2</v>
      </c>
      <c r="Q37" s="28">
        <f t="shared" si="3"/>
        <v>5.8864558368207379E-2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P22" sqref="P22:P2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636</v>
      </c>
      <c r="B9" s="51">
        <v>7.79</v>
      </c>
      <c r="C9" s="51">
        <v>13.37</v>
      </c>
      <c r="D9" s="51">
        <v>13.64</v>
      </c>
      <c r="E9" s="51">
        <v>5</v>
      </c>
      <c r="F9" s="51">
        <v>7.53</v>
      </c>
      <c r="G9" s="51">
        <v>35.74</v>
      </c>
      <c r="H9" s="51">
        <v>13.31</v>
      </c>
      <c r="I9" s="51">
        <v>4.13</v>
      </c>
      <c r="J9" s="51">
        <v>0.1</v>
      </c>
      <c r="K9" s="51">
        <v>327.44</v>
      </c>
      <c r="L9" s="51">
        <v>24.44</v>
      </c>
      <c r="M9" s="51">
        <v>97.78</v>
      </c>
      <c r="N9" s="51">
        <v>52.4</v>
      </c>
      <c r="O9" s="51">
        <v>0</v>
      </c>
      <c r="P9" s="51">
        <v>0.2</v>
      </c>
      <c r="Q9" s="51">
        <v>9.19</v>
      </c>
      <c r="R9" s="43"/>
      <c r="S9" s="43"/>
      <c r="T9" s="43"/>
      <c r="U9" s="43"/>
    </row>
    <row r="10" spans="1:21" s="11" customFormat="1" x14ac:dyDescent="0.25">
      <c r="A10" s="50" t="s">
        <v>637</v>
      </c>
      <c r="B10" s="51">
        <v>9.1300000000000008</v>
      </c>
      <c r="C10" s="51">
        <v>14.6</v>
      </c>
      <c r="D10" s="51">
        <v>13.94</v>
      </c>
      <c r="E10" s="51">
        <v>5.34</v>
      </c>
      <c r="F10" s="51">
        <v>7.37</v>
      </c>
      <c r="G10" s="51">
        <v>35.92</v>
      </c>
      <c r="H10" s="51">
        <v>9.4600000000000009</v>
      </c>
      <c r="I10" s="51">
        <v>4.12</v>
      </c>
      <c r="J10" s="51">
        <v>0.12</v>
      </c>
      <c r="K10" s="51">
        <v>334.96</v>
      </c>
      <c r="L10" s="51">
        <v>24.43</v>
      </c>
      <c r="M10" s="51">
        <v>97.8</v>
      </c>
      <c r="N10" s="51">
        <v>53</v>
      </c>
      <c r="O10" s="51">
        <v>0</v>
      </c>
      <c r="P10" s="51">
        <v>0.24</v>
      </c>
      <c r="Q10" s="51">
        <v>9.19</v>
      </c>
      <c r="R10" s="43"/>
      <c r="S10" s="43"/>
      <c r="T10" s="43"/>
      <c r="U10" s="43"/>
    </row>
    <row r="11" spans="1:21" s="11" customFormat="1" x14ac:dyDescent="0.25">
      <c r="A11" s="50" t="s">
        <v>638</v>
      </c>
      <c r="B11" s="51">
        <v>8.57</v>
      </c>
      <c r="C11" s="51">
        <v>14.22</v>
      </c>
      <c r="D11" s="51">
        <v>14.52</v>
      </c>
      <c r="E11" s="51">
        <v>5.38</v>
      </c>
      <c r="F11" s="51">
        <v>3.92</v>
      </c>
      <c r="G11" s="51">
        <v>28.79</v>
      </c>
      <c r="H11" s="51">
        <v>7.86</v>
      </c>
      <c r="I11" s="51">
        <v>4.04</v>
      </c>
      <c r="J11" s="51">
        <v>0.18</v>
      </c>
      <c r="K11" s="51">
        <v>313.22000000000003</v>
      </c>
      <c r="L11" s="51">
        <v>24.28</v>
      </c>
      <c r="M11" s="51">
        <v>97.64</v>
      </c>
      <c r="N11" s="51">
        <v>53.1</v>
      </c>
      <c r="O11" s="51">
        <v>0</v>
      </c>
      <c r="P11" s="51">
        <v>0.23</v>
      </c>
      <c r="Q11" s="51">
        <v>9.1300000000000008</v>
      </c>
      <c r="R11" s="43"/>
      <c r="S11" s="43"/>
      <c r="T11" s="43"/>
      <c r="U11" s="43"/>
    </row>
    <row r="12" spans="1:21" s="11" customFormat="1" x14ac:dyDescent="0.25">
      <c r="A12" s="50" t="s">
        <v>639</v>
      </c>
      <c r="B12" s="51">
        <v>6.48</v>
      </c>
      <c r="C12" s="51">
        <v>12.59</v>
      </c>
      <c r="D12" s="51">
        <v>14.59</v>
      </c>
      <c r="E12" s="51">
        <v>5.14</v>
      </c>
      <c r="F12" s="51">
        <v>4.26</v>
      </c>
      <c r="G12" s="51">
        <v>30.51</v>
      </c>
      <c r="H12" s="51">
        <v>7.84</v>
      </c>
      <c r="I12" s="51">
        <v>4.18</v>
      </c>
      <c r="J12" s="51">
        <v>0.23</v>
      </c>
      <c r="K12" s="51">
        <v>312.07</v>
      </c>
      <c r="L12" s="51">
        <v>24.04</v>
      </c>
      <c r="M12" s="51">
        <v>97.45</v>
      </c>
      <c r="N12" s="51">
        <v>53.1</v>
      </c>
      <c r="O12" s="51">
        <v>0</v>
      </c>
      <c r="P12" s="51">
        <v>0.21</v>
      </c>
      <c r="Q12" s="51">
        <v>9.0299999999999994</v>
      </c>
      <c r="R12" s="43"/>
      <c r="S12" s="43"/>
      <c r="T12" s="43"/>
      <c r="U12" s="43"/>
    </row>
    <row r="13" spans="1:21" s="11" customFormat="1" x14ac:dyDescent="0.25">
      <c r="A13" s="50" t="s">
        <v>640</v>
      </c>
      <c r="B13" s="51">
        <v>6.73</v>
      </c>
      <c r="C13" s="51">
        <v>14.6</v>
      </c>
      <c r="D13" s="51">
        <v>18.16</v>
      </c>
      <c r="E13" s="51">
        <v>5.09</v>
      </c>
      <c r="F13" s="51">
        <v>4.78</v>
      </c>
      <c r="G13" s="51">
        <v>24.44</v>
      </c>
      <c r="H13" s="51">
        <v>5.72</v>
      </c>
      <c r="I13" s="51">
        <v>4.09</v>
      </c>
      <c r="J13" s="51">
        <v>0.2</v>
      </c>
      <c r="K13" s="51">
        <v>294.95</v>
      </c>
      <c r="L13" s="51">
        <v>24.14</v>
      </c>
      <c r="M13" s="51">
        <v>97.47</v>
      </c>
      <c r="N13" s="51">
        <v>53.4</v>
      </c>
      <c r="O13" s="51">
        <v>0</v>
      </c>
      <c r="P13" s="51">
        <v>0.18</v>
      </c>
      <c r="Q13" s="51">
        <v>9.07</v>
      </c>
      <c r="R13" s="43"/>
      <c r="S13" s="43"/>
      <c r="T13" s="43"/>
      <c r="U13" s="43"/>
    </row>
    <row r="14" spans="1:21" s="11" customFormat="1" x14ac:dyDescent="0.25">
      <c r="A14" s="50" t="s">
        <v>641</v>
      </c>
      <c r="B14" s="51">
        <v>6.76</v>
      </c>
      <c r="C14" s="51">
        <v>13.52</v>
      </c>
      <c r="D14" s="51">
        <v>15.76</v>
      </c>
      <c r="E14" s="51">
        <v>5.0599999999999996</v>
      </c>
      <c r="F14" s="51">
        <v>4.74</v>
      </c>
      <c r="G14" s="51">
        <v>28.27</v>
      </c>
      <c r="H14" s="51">
        <v>4</v>
      </c>
      <c r="I14" s="51">
        <v>4.1100000000000003</v>
      </c>
      <c r="J14" s="51">
        <v>0.18</v>
      </c>
      <c r="K14" s="51">
        <v>313.24</v>
      </c>
      <c r="L14" s="51">
        <v>23.99</v>
      </c>
      <c r="M14" s="51">
        <v>97.48</v>
      </c>
      <c r="N14" s="51">
        <v>64.2</v>
      </c>
      <c r="O14" s="51">
        <v>0</v>
      </c>
      <c r="P14" s="51">
        <v>0.2</v>
      </c>
      <c r="Q14" s="51">
        <v>9.09</v>
      </c>
      <c r="R14" s="43"/>
      <c r="S14" s="43"/>
      <c r="T14" s="43"/>
      <c r="U14" s="43"/>
    </row>
    <row r="15" spans="1:21" s="11" customFormat="1" x14ac:dyDescent="0.25">
      <c r="A15" s="50" t="s">
        <v>642</v>
      </c>
      <c r="B15" s="51">
        <v>7.97</v>
      </c>
      <c r="C15" s="51">
        <v>14.37</v>
      </c>
      <c r="D15" s="51">
        <v>15.27</v>
      </c>
      <c r="E15" s="51">
        <v>5.12</v>
      </c>
      <c r="F15" s="51">
        <v>3.55</v>
      </c>
      <c r="G15" s="51">
        <v>27.79</v>
      </c>
      <c r="H15" s="51">
        <v>4.04</v>
      </c>
      <c r="I15" s="51">
        <v>4.1100000000000003</v>
      </c>
      <c r="J15" s="51">
        <v>0.19</v>
      </c>
      <c r="K15" s="51">
        <v>298.61</v>
      </c>
      <c r="L15" s="51">
        <v>24.11</v>
      </c>
      <c r="M15" s="51">
        <v>97.49</v>
      </c>
      <c r="N15" s="51">
        <v>106.9</v>
      </c>
      <c r="O15" s="51">
        <v>0</v>
      </c>
      <c r="P15" s="51">
        <v>0.2</v>
      </c>
      <c r="Q15" s="51">
        <v>9.1</v>
      </c>
      <c r="R15" s="43"/>
      <c r="S15" s="43"/>
      <c r="T15" s="43"/>
      <c r="U15" s="43"/>
    </row>
    <row r="16" spans="1:21" s="11" customFormat="1" x14ac:dyDescent="0.25">
      <c r="A16" s="50" t="s">
        <v>643</v>
      </c>
      <c r="B16" s="51">
        <v>9.61</v>
      </c>
      <c r="C16" s="51">
        <v>16.71</v>
      </c>
      <c r="D16" s="51">
        <v>17.23</v>
      </c>
      <c r="E16" s="51">
        <v>5.27</v>
      </c>
      <c r="F16" s="51">
        <v>3.69</v>
      </c>
      <c r="G16" s="51">
        <v>31.86</v>
      </c>
      <c r="H16" s="51">
        <v>7.18</v>
      </c>
      <c r="I16" s="51">
        <v>4.0599999999999996</v>
      </c>
      <c r="J16" s="51">
        <v>0.26</v>
      </c>
      <c r="K16" s="51">
        <v>290.26</v>
      </c>
      <c r="L16" s="51">
        <v>24.6</v>
      </c>
      <c r="M16" s="51">
        <v>97.26</v>
      </c>
      <c r="N16" s="51">
        <v>126</v>
      </c>
      <c r="O16" s="51">
        <v>0</v>
      </c>
      <c r="P16" s="51">
        <v>0.26</v>
      </c>
      <c r="Q16" s="51">
        <v>9.15</v>
      </c>
      <c r="R16" s="43"/>
      <c r="S16" s="43"/>
      <c r="T16" s="43"/>
      <c r="U16" s="43"/>
    </row>
    <row r="17" spans="1:21" s="11" customFormat="1" x14ac:dyDescent="0.25">
      <c r="A17" s="50" t="s">
        <v>644</v>
      </c>
      <c r="B17" s="51">
        <v>12.12</v>
      </c>
      <c r="C17" s="51">
        <v>21.01</v>
      </c>
      <c r="D17" s="51">
        <v>21.62</v>
      </c>
      <c r="E17" s="51">
        <v>4.6500000000000004</v>
      </c>
      <c r="F17" s="51">
        <v>4.41</v>
      </c>
      <c r="G17" s="51">
        <v>36.869999999999997</v>
      </c>
      <c r="H17" s="51">
        <v>7.81</v>
      </c>
      <c r="I17" s="51">
        <v>4.16</v>
      </c>
      <c r="J17" s="51">
        <v>0.21</v>
      </c>
      <c r="K17" s="51">
        <v>285.56</v>
      </c>
      <c r="L17" s="51">
        <v>26.52</v>
      </c>
      <c r="M17" s="51">
        <v>95.43</v>
      </c>
      <c r="N17" s="51">
        <v>464.8</v>
      </c>
      <c r="O17" s="51">
        <v>0</v>
      </c>
      <c r="P17" s="51">
        <v>0.47</v>
      </c>
      <c r="Q17" s="51">
        <v>9.24</v>
      </c>
      <c r="R17" s="43"/>
      <c r="S17" s="43"/>
      <c r="T17" s="43"/>
      <c r="U17" s="43"/>
    </row>
    <row r="18" spans="1:21" s="11" customFormat="1" x14ac:dyDescent="0.25">
      <c r="A18" s="50" t="s">
        <v>645</v>
      </c>
      <c r="B18" s="51">
        <v>12.32</v>
      </c>
      <c r="C18" s="51">
        <v>21.52</v>
      </c>
      <c r="D18" s="51">
        <v>22.29</v>
      </c>
      <c r="E18" s="51">
        <v>4.67</v>
      </c>
      <c r="F18" s="51">
        <v>5.0999999999999996</v>
      </c>
      <c r="G18" s="51">
        <v>47.37</v>
      </c>
      <c r="H18" s="51">
        <v>10.89</v>
      </c>
      <c r="I18" s="51">
        <v>4.12</v>
      </c>
      <c r="J18" s="51">
        <v>0.35</v>
      </c>
      <c r="K18" s="51">
        <v>285.51</v>
      </c>
      <c r="L18" s="51">
        <v>28.97</v>
      </c>
      <c r="M18" s="51">
        <v>81.400000000000006</v>
      </c>
      <c r="N18" s="51">
        <v>541.20000000000005</v>
      </c>
      <c r="O18" s="51">
        <v>0</v>
      </c>
      <c r="P18" s="51">
        <v>0.56000000000000005</v>
      </c>
      <c r="Q18" s="51">
        <v>9.2899999999999991</v>
      </c>
      <c r="R18" s="43"/>
      <c r="S18" s="43"/>
      <c r="T18" s="43"/>
      <c r="U18" s="43"/>
    </row>
    <row r="19" spans="1:21" s="11" customFormat="1" x14ac:dyDescent="0.25">
      <c r="A19" s="50" t="s">
        <v>646</v>
      </c>
      <c r="B19" s="51">
        <v>11.58</v>
      </c>
      <c r="C19" s="51">
        <v>20.420000000000002</v>
      </c>
      <c r="D19" s="51">
        <v>21.94</v>
      </c>
      <c r="E19" s="51">
        <v>4.75</v>
      </c>
      <c r="F19" s="51">
        <v>4.38</v>
      </c>
      <c r="G19" s="51">
        <v>61.66</v>
      </c>
      <c r="H19" s="51">
        <v>14.75</v>
      </c>
      <c r="I19" s="51">
        <v>4.17</v>
      </c>
      <c r="J19" s="51">
        <v>0.31</v>
      </c>
      <c r="K19" s="51">
        <v>289.23</v>
      </c>
      <c r="L19" s="51">
        <v>28.92</v>
      </c>
      <c r="M19" s="51">
        <v>80.349999999999994</v>
      </c>
      <c r="N19" s="51">
        <v>357.4</v>
      </c>
      <c r="O19" s="51">
        <v>0</v>
      </c>
      <c r="P19" s="51">
        <v>0.6</v>
      </c>
      <c r="Q19" s="51">
        <v>9.2899999999999991</v>
      </c>
      <c r="R19" s="43"/>
      <c r="S19" s="43"/>
      <c r="T19" s="43"/>
      <c r="U19" s="43"/>
    </row>
    <row r="20" spans="1:21" s="11" customFormat="1" x14ac:dyDescent="0.25">
      <c r="A20" s="50" t="s">
        <v>647</v>
      </c>
      <c r="B20" s="51">
        <v>10.71</v>
      </c>
      <c r="C20" s="51">
        <v>20.85</v>
      </c>
      <c r="D20" s="51">
        <v>23.46</v>
      </c>
      <c r="E20" s="51">
        <v>4.6399999999999997</v>
      </c>
      <c r="F20" s="51">
        <v>4.6500000000000004</v>
      </c>
      <c r="G20" s="51">
        <v>57.64</v>
      </c>
      <c r="H20" s="51">
        <v>14.68</v>
      </c>
      <c r="I20" s="51">
        <v>4.16</v>
      </c>
      <c r="J20" s="51">
        <v>0.3</v>
      </c>
      <c r="K20" s="51">
        <v>289.99</v>
      </c>
      <c r="L20" s="51">
        <v>28.72</v>
      </c>
      <c r="M20" s="51">
        <v>81.27</v>
      </c>
      <c r="N20" s="51">
        <v>274</v>
      </c>
      <c r="O20" s="51">
        <v>0</v>
      </c>
      <c r="P20" s="51">
        <v>0.66</v>
      </c>
      <c r="Q20" s="51">
        <v>9.25</v>
      </c>
      <c r="R20" s="43"/>
      <c r="S20" s="43"/>
      <c r="T20" s="43"/>
      <c r="U20" s="43"/>
    </row>
    <row r="21" spans="1:21" s="11" customFormat="1" x14ac:dyDescent="0.25">
      <c r="A21" s="50" t="s">
        <v>648</v>
      </c>
      <c r="B21" s="51">
        <v>11.73</v>
      </c>
      <c r="C21" s="51">
        <v>34.18</v>
      </c>
      <c r="D21" s="51">
        <v>23.96</v>
      </c>
      <c r="E21" s="51">
        <v>4.5199999999999996</v>
      </c>
      <c r="F21" s="51">
        <v>4.71</v>
      </c>
      <c r="G21" s="51">
        <v>0</v>
      </c>
      <c r="H21" s="51">
        <v>0</v>
      </c>
      <c r="I21" s="51">
        <v>4.0199999999999996</v>
      </c>
      <c r="J21" s="51">
        <v>0.32</v>
      </c>
      <c r="K21" s="51">
        <v>287.14999999999998</v>
      </c>
      <c r="L21" s="51">
        <v>28.7</v>
      </c>
      <c r="M21" s="51">
        <v>80.86</v>
      </c>
      <c r="N21" s="51">
        <v>484.4</v>
      </c>
      <c r="O21" s="51">
        <v>0</v>
      </c>
      <c r="P21" s="51">
        <v>0.71</v>
      </c>
      <c r="Q21" s="51">
        <v>9.27</v>
      </c>
      <c r="R21" s="43"/>
      <c r="S21" s="43"/>
      <c r="T21" s="43"/>
      <c r="U21" s="43"/>
    </row>
    <row r="22" spans="1:21" s="11" customFormat="1" x14ac:dyDescent="0.25">
      <c r="A22" s="50" t="s">
        <v>649</v>
      </c>
      <c r="B22" s="51">
        <v>8.77</v>
      </c>
      <c r="C22" s="51">
        <v>39.119999999999997</v>
      </c>
      <c r="D22" s="51">
        <v>32.19</v>
      </c>
      <c r="E22" s="51">
        <v>8.6199999999999992</v>
      </c>
      <c r="F22" s="51">
        <v>7.1</v>
      </c>
      <c r="G22" s="51">
        <v>103.36</v>
      </c>
      <c r="H22" s="51">
        <v>0</v>
      </c>
      <c r="I22" s="51">
        <v>4.09</v>
      </c>
      <c r="J22" s="51">
        <v>0.35</v>
      </c>
      <c r="K22" s="51">
        <v>288.06</v>
      </c>
      <c r="L22" s="51">
        <v>30.09</v>
      </c>
      <c r="M22" s="51">
        <v>75.17</v>
      </c>
      <c r="N22" s="51">
        <v>528.6</v>
      </c>
      <c r="O22" s="51">
        <v>0</v>
      </c>
      <c r="P22" s="51">
        <v>0.55000000000000004</v>
      </c>
      <c r="Q22" s="51">
        <v>9.23</v>
      </c>
      <c r="R22" s="43"/>
      <c r="S22" s="43"/>
      <c r="T22" s="43"/>
      <c r="U22" s="43"/>
    </row>
    <row r="23" spans="1:21" s="11" customFormat="1" x14ac:dyDescent="0.25">
      <c r="A23" s="50" t="s">
        <v>650</v>
      </c>
      <c r="B23" s="51">
        <v>5.09</v>
      </c>
      <c r="C23" s="51">
        <v>17.37</v>
      </c>
      <c r="D23" s="51">
        <v>26.45</v>
      </c>
      <c r="E23" s="51">
        <v>5.19</v>
      </c>
      <c r="F23" s="51">
        <v>5.99</v>
      </c>
      <c r="G23" s="51">
        <v>103.36</v>
      </c>
      <c r="H23" s="51">
        <v>1.28</v>
      </c>
      <c r="I23" s="51">
        <v>4.05</v>
      </c>
      <c r="J23" s="51">
        <v>0.35</v>
      </c>
      <c r="K23" s="51">
        <v>290.17</v>
      </c>
      <c r="L23" s="51">
        <v>29.76</v>
      </c>
      <c r="M23" s="51">
        <v>74.45</v>
      </c>
      <c r="N23" s="51">
        <v>283.7</v>
      </c>
      <c r="O23" s="51">
        <v>0</v>
      </c>
      <c r="P23" s="51">
        <v>0.55000000000000004</v>
      </c>
      <c r="Q23" s="51">
        <v>9.15</v>
      </c>
      <c r="R23" s="43"/>
      <c r="S23" s="43"/>
      <c r="T23" s="43"/>
      <c r="U23" s="43"/>
    </row>
    <row r="24" spans="1:21" s="11" customFormat="1" x14ac:dyDescent="0.25">
      <c r="A24" s="50" t="s">
        <v>651</v>
      </c>
      <c r="B24" s="51">
        <v>7.35</v>
      </c>
      <c r="C24" s="51">
        <v>17.809999999999999</v>
      </c>
      <c r="D24" s="51">
        <v>25.56</v>
      </c>
      <c r="E24" s="51">
        <v>5.31</v>
      </c>
      <c r="F24" s="51">
        <v>5.76</v>
      </c>
      <c r="G24" s="51">
        <v>99.5</v>
      </c>
      <c r="H24" s="51">
        <v>1.29</v>
      </c>
      <c r="I24" s="51">
        <v>4.1900000000000004</v>
      </c>
      <c r="J24" s="51">
        <v>0.22</v>
      </c>
      <c r="K24" s="51">
        <v>292.19</v>
      </c>
      <c r="L24" s="51">
        <v>29.28</v>
      </c>
      <c r="M24" s="51">
        <v>82.37</v>
      </c>
      <c r="N24" s="51">
        <v>143.5</v>
      </c>
      <c r="O24" s="51">
        <v>0</v>
      </c>
      <c r="P24" s="51">
        <v>1.1100000000000001</v>
      </c>
      <c r="Q24" s="51">
        <v>9.19</v>
      </c>
      <c r="R24" s="43"/>
      <c r="S24" s="43"/>
      <c r="T24" s="43"/>
      <c r="U24" s="43"/>
    </row>
    <row r="25" spans="1:21" s="11" customFormat="1" x14ac:dyDescent="0.25">
      <c r="A25" s="50" t="s">
        <v>652</v>
      </c>
      <c r="B25" s="51">
        <v>5.42</v>
      </c>
      <c r="C25" s="51">
        <v>15.81</v>
      </c>
      <c r="D25" s="51">
        <v>22.17</v>
      </c>
      <c r="E25" s="51">
        <v>5.27</v>
      </c>
      <c r="F25" s="51">
        <v>4.5999999999999996</v>
      </c>
      <c r="G25" s="51">
        <v>145.09</v>
      </c>
      <c r="H25" s="51">
        <v>11.27</v>
      </c>
      <c r="I25" s="51">
        <v>4.22</v>
      </c>
      <c r="J25" s="51">
        <v>0.11</v>
      </c>
      <c r="K25" s="51">
        <v>313.24</v>
      </c>
      <c r="L25" s="51">
        <v>26.58</v>
      </c>
      <c r="M25" s="51">
        <v>97.63</v>
      </c>
      <c r="N25" s="51">
        <v>102.4</v>
      </c>
      <c r="O25" s="51">
        <v>0.4</v>
      </c>
      <c r="P25" s="51">
        <v>0.81</v>
      </c>
      <c r="Q25" s="51">
        <v>9.16</v>
      </c>
      <c r="R25" s="43"/>
      <c r="S25" s="43"/>
      <c r="T25" s="43"/>
      <c r="U25" s="43"/>
    </row>
    <row r="26" spans="1:21" s="11" customFormat="1" x14ac:dyDescent="0.25">
      <c r="A26" s="50" t="s">
        <v>653</v>
      </c>
      <c r="B26" s="51">
        <v>5.72</v>
      </c>
      <c r="C26" s="51">
        <v>13.59</v>
      </c>
      <c r="D26" s="51">
        <v>17.82</v>
      </c>
      <c r="E26" s="51">
        <v>5.14</v>
      </c>
      <c r="F26" s="51">
        <v>4.46</v>
      </c>
      <c r="G26" s="51">
        <v>145.09</v>
      </c>
      <c r="H26" s="51">
        <v>15.7</v>
      </c>
      <c r="I26" s="51">
        <v>4.04</v>
      </c>
      <c r="J26" s="51">
        <v>0.16</v>
      </c>
      <c r="K26" s="51">
        <v>275.92</v>
      </c>
      <c r="L26" s="51">
        <v>25.26</v>
      </c>
      <c r="M26" s="51">
        <v>97.63</v>
      </c>
      <c r="N26" s="51">
        <v>110.7</v>
      </c>
      <c r="O26" s="51">
        <v>0.2</v>
      </c>
      <c r="P26" s="51">
        <v>0.54</v>
      </c>
      <c r="Q26" s="51">
        <v>9.14</v>
      </c>
      <c r="R26" s="43"/>
      <c r="S26" s="43"/>
      <c r="T26" s="43"/>
      <c r="U26" s="43"/>
    </row>
    <row r="27" spans="1:21" s="11" customFormat="1" x14ac:dyDescent="0.25">
      <c r="A27" s="50" t="s">
        <v>654</v>
      </c>
      <c r="B27" s="51">
        <v>5.7</v>
      </c>
      <c r="C27" s="51">
        <v>18.03</v>
      </c>
      <c r="D27" s="51">
        <v>27.22</v>
      </c>
      <c r="E27" s="51">
        <v>5.68</v>
      </c>
      <c r="F27" s="51">
        <v>10.199999999999999</v>
      </c>
      <c r="G27" s="51">
        <v>29</v>
      </c>
      <c r="H27" s="51">
        <v>15.7</v>
      </c>
      <c r="I27" s="51">
        <v>4.16</v>
      </c>
      <c r="J27" s="51">
        <v>0.85</v>
      </c>
      <c r="K27" s="51">
        <v>195.73</v>
      </c>
      <c r="L27" s="51">
        <v>24.59</v>
      </c>
      <c r="M27" s="51">
        <v>97.65</v>
      </c>
      <c r="N27" s="51">
        <v>94.4</v>
      </c>
      <c r="O27" s="51">
        <v>0.2</v>
      </c>
      <c r="P27" s="51">
        <v>0.27</v>
      </c>
      <c r="Q27" s="51">
        <v>9.1999999999999993</v>
      </c>
      <c r="R27" s="43"/>
      <c r="S27" s="43"/>
      <c r="T27" s="43"/>
      <c r="U27" s="43"/>
    </row>
    <row r="28" spans="1:21" s="11" customFormat="1" x14ac:dyDescent="0.25">
      <c r="A28" s="50" t="s">
        <v>655</v>
      </c>
      <c r="B28" s="51">
        <v>6.88</v>
      </c>
      <c r="C28" s="51">
        <v>16.84</v>
      </c>
      <c r="D28" s="51">
        <v>23.28</v>
      </c>
      <c r="E28" s="51">
        <v>5.42</v>
      </c>
      <c r="F28" s="51">
        <v>6.68</v>
      </c>
      <c r="G28" s="51">
        <v>38.630000000000003</v>
      </c>
      <c r="H28" s="51">
        <v>12.52</v>
      </c>
      <c r="I28" s="51">
        <v>4.1500000000000004</v>
      </c>
      <c r="J28" s="51">
        <v>0.22</v>
      </c>
      <c r="K28" s="51">
        <v>333.66</v>
      </c>
      <c r="L28" s="51">
        <v>24.18</v>
      </c>
      <c r="M28" s="51">
        <v>97.69</v>
      </c>
      <c r="N28" s="51">
        <v>76.5</v>
      </c>
      <c r="O28" s="51">
        <v>0</v>
      </c>
      <c r="P28" s="51">
        <v>0.3</v>
      </c>
      <c r="Q28" s="51">
        <v>9.17</v>
      </c>
      <c r="R28" s="43"/>
      <c r="S28" s="43"/>
      <c r="T28" s="43"/>
      <c r="U28" s="43"/>
    </row>
    <row r="29" spans="1:21" s="11" customFormat="1" x14ac:dyDescent="0.25">
      <c r="A29" s="50" t="s">
        <v>656</v>
      </c>
      <c r="B29" s="51">
        <v>7.45</v>
      </c>
      <c r="C29" s="51">
        <v>14.44</v>
      </c>
      <c r="D29" s="51">
        <v>17.32</v>
      </c>
      <c r="E29" s="51">
        <v>5.32</v>
      </c>
      <c r="F29" s="51">
        <v>7.87</v>
      </c>
      <c r="G29" s="51">
        <v>38.630000000000003</v>
      </c>
      <c r="H29" s="51">
        <v>12.52</v>
      </c>
      <c r="I29" s="51">
        <v>4.04</v>
      </c>
      <c r="J29" s="51">
        <v>0.31</v>
      </c>
      <c r="K29" s="51">
        <v>207.04</v>
      </c>
      <c r="L29" s="51">
        <v>24.03</v>
      </c>
      <c r="M29" s="51">
        <v>97.7</v>
      </c>
      <c r="N29" s="51">
        <v>77.599999999999994</v>
      </c>
      <c r="O29" s="51">
        <v>0</v>
      </c>
      <c r="P29" s="51">
        <v>0.28999999999999998</v>
      </c>
      <c r="Q29" s="51">
        <v>9.14</v>
      </c>
      <c r="R29" s="43"/>
      <c r="S29" s="43"/>
      <c r="T29" s="43"/>
      <c r="U29" s="43"/>
    </row>
    <row r="30" spans="1:21" s="11" customFormat="1" x14ac:dyDescent="0.25">
      <c r="A30" s="50" t="s">
        <v>657</v>
      </c>
      <c r="B30" s="51">
        <v>8.9600000000000009</v>
      </c>
      <c r="C30" s="51">
        <v>15.49</v>
      </c>
      <c r="D30" s="51">
        <v>15.91</v>
      </c>
      <c r="E30" s="51">
        <v>5.2</v>
      </c>
      <c r="F30" s="51">
        <v>8.16</v>
      </c>
      <c r="G30" s="51">
        <v>32.69</v>
      </c>
      <c r="H30" s="51">
        <v>9.6300000000000008</v>
      </c>
      <c r="I30" s="51">
        <v>4.08</v>
      </c>
      <c r="J30" s="51">
        <v>0.1</v>
      </c>
      <c r="K30" s="51">
        <v>322.02</v>
      </c>
      <c r="L30" s="51">
        <v>24.06</v>
      </c>
      <c r="M30" s="51">
        <v>97.7</v>
      </c>
      <c r="N30" s="51">
        <v>80.2</v>
      </c>
      <c r="O30" s="51">
        <v>0</v>
      </c>
      <c r="P30" s="51">
        <v>0.31</v>
      </c>
      <c r="Q30" s="51">
        <v>9.15</v>
      </c>
      <c r="R30" s="43"/>
      <c r="S30" s="43"/>
      <c r="T30" s="43"/>
      <c r="U30" s="43"/>
    </row>
    <row r="31" spans="1:21" s="11" customFormat="1" x14ac:dyDescent="0.25">
      <c r="A31" s="50" t="s">
        <v>658</v>
      </c>
      <c r="B31" s="51">
        <v>8.2200000000000006</v>
      </c>
      <c r="C31" s="51">
        <v>15.13</v>
      </c>
      <c r="D31" s="51">
        <v>16.350000000000001</v>
      </c>
      <c r="E31" s="51">
        <v>5.45</v>
      </c>
      <c r="F31" s="51">
        <v>8.39</v>
      </c>
      <c r="G31" s="51">
        <v>27.12</v>
      </c>
      <c r="H31" s="51">
        <v>11.51</v>
      </c>
      <c r="I31" s="51">
        <v>4.04</v>
      </c>
      <c r="J31" s="51">
        <v>0.1</v>
      </c>
      <c r="K31" s="51">
        <v>327.02999999999997</v>
      </c>
      <c r="L31" s="51">
        <v>24.12</v>
      </c>
      <c r="M31" s="51">
        <v>97.71</v>
      </c>
      <c r="N31" s="51">
        <v>82.4</v>
      </c>
      <c r="O31" s="51">
        <v>0.2</v>
      </c>
      <c r="P31" s="51">
        <v>0.28999999999999998</v>
      </c>
      <c r="Q31" s="51">
        <v>9.18</v>
      </c>
      <c r="R31" s="43"/>
      <c r="S31" s="43"/>
      <c r="T31" s="43"/>
      <c r="U31" s="43"/>
    </row>
    <row r="32" spans="1:21" s="11" customFormat="1" x14ac:dyDescent="0.25">
      <c r="A32" s="50" t="s">
        <v>659</v>
      </c>
      <c r="B32" s="51">
        <v>9.14</v>
      </c>
      <c r="C32" s="51">
        <v>13.19</v>
      </c>
      <c r="D32" s="51">
        <v>14.69</v>
      </c>
      <c r="E32" s="51">
        <v>5.46</v>
      </c>
      <c r="F32" s="51">
        <v>8.7200000000000006</v>
      </c>
      <c r="G32" s="51">
        <v>21.13</v>
      </c>
      <c r="H32" s="51">
        <v>11.51</v>
      </c>
      <c r="I32" s="51">
        <v>4.1900000000000004</v>
      </c>
      <c r="J32" s="51">
        <v>0.09</v>
      </c>
      <c r="K32" s="51">
        <v>314.95999999999998</v>
      </c>
      <c r="L32" s="51">
        <v>23.97</v>
      </c>
      <c r="M32" s="51">
        <v>97.71</v>
      </c>
      <c r="N32" s="51">
        <v>83.8</v>
      </c>
      <c r="O32" s="51">
        <v>0</v>
      </c>
      <c r="P32" s="51">
        <v>0.28000000000000003</v>
      </c>
      <c r="Q32" s="51">
        <v>9.1999999999999993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5.09</v>
      </c>
      <c r="C34" s="28">
        <f t="shared" si="0"/>
        <v>12.59</v>
      </c>
      <c r="D34" s="28">
        <f t="shared" si="0"/>
        <v>13.64</v>
      </c>
      <c r="E34" s="28">
        <f t="shared" si="0"/>
        <v>4.5199999999999996</v>
      </c>
      <c r="F34" s="28">
        <f t="shared" si="0"/>
        <v>3.55</v>
      </c>
      <c r="G34" s="28">
        <f t="shared" si="0"/>
        <v>0</v>
      </c>
      <c r="H34" s="28">
        <f t="shared" si="0"/>
        <v>0</v>
      </c>
      <c r="I34" s="28">
        <f t="shared" si="0"/>
        <v>4.0199999999999996</v>
      </c>
      <c r="J34" s="28">
        <f t="shared" si="0"/>
        <v>0.09</v>
      </c>
      <c r="K34" s="28">
        <f t="shared" si="0"/>
        <v>195.73</v>
      </c>
      <c r="L34" s="28">
        <f t="shared" si="0"/>
        <v>23.97</v>
      </c>
      <c r="M34" s="28">
        <f t="shared" si="0"/>
        <v>74.45</v>
      </c>
      <c r="N34" s="28">
        <f t="shared" si="0"/>
        <v>52.4</v>
      </c>
      <c r="O34" s="28">
        <f t="shared" si="0"/>
        <v>0</v>
      </c>
      <c r="P34" s="28">
        <f t="shared" si="0"/>
        <v>0.18</v>
      </c>
      <c r="Q34" s="28">
        <f t="shared" si="0"/>
        <v>9.0299999999999994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12.32</v>
      </c>
      <c r="C35" s="29">
        <f t="shared" si="1"/>
        <v>39.119999999999997</v>
      </c>
      <c r="D35" s="29">
        <f t="shared" si="1"/>
        <v>32.19</v>
      </c>
      <c r="E35" s="29">
        <f t="shared" si="1"/>
        <v>8.6199999999999992</v>
      </c>
      <c r="F35" s="29">
        <f t="shared" si="1"/>
        <v>10.199999999999999</v>
      </c>
      <c r="G35" s="29">
        <f t="shared" si="1"/>
        <v>145.09</v>
      </c>
      <c r="H35" s="29">
        <f t="shared" si="1"/>
        <v>15.7</v>
      </c>
      <c r="I35" s="29">
        <f t="shared" si="1"/>
        <v>4.22</v>
      </c>
      <c r="J35" s="29">
        <f t="shared" si="1"/>
        <v>0.85</v>
      </c>
      <c r="K35" s="29">
        <f t="shared" si="1"/>
        <v>334.96</v>
      </c>
      <c r="L35" s="29">
        <f t="shared" si="1"/>
        <v>30.09</v>
      </c>
      <c r="M35" s="29">
        <f t="shared" si="1"/>
        <v>97.8</v>
      </c>
      <c r="N35" s="29">
        <f t="shared" si="1"/>
        <v>541.20000000000005</v>
      </c>
      <c r="O35" s="29">
        <f t="shared" si="1"/>
        <v>0.4</v>
      </c>
      <c r="P35" s="29">
        <f t="shared" si="1"/>
        <v>1.1100000000000001</v>
      </c>
      <c r="Q35" s="29">
        <f t="shared" si="1"/>
        <v>9.2899999999999991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8.3416666666666632</v>
      </c>
      <c r="C36" s="28">
        <f t="shared" si="2"/>
        <v>17.865833333333331</v>
      </c>
      <c r="D36" s="28">
        <f t="shared" si="2"/>
        <v>19.805833333333332</v>
      </c>
      <c r="E36" s="28">
        <f t="shared" si="2"/>
        <v>5.2787500000000005</v>
      </c>
      <c r="F36" s="28">
        <f t="shared" si="2"/>
        <v>5.8758333333333335</v>
      </c>
      <c r="G36" s="28">
        <f t="shared" si="2"/>
        <v>51.269166666666678</v>
      </c>
      <c r="H36" s="28">
        <f t="shared" si="2"/>
        <v>8.7695833333333315</v>
      </c>
      <c r="I36" s="28">
        <f t="shared" si="2"/>
        <v>4.1133333333333342</v>
      </c>
      <c r="J36" s="28">
        <f t="shared" si="2"/>
        <v>0.24208333333333323</v>
      </c>
      <c r="K36" s="28">
        <f t="shared" si="2"/>
        <v>295.09208333333328</v>
      </c>
      <c r="L36" s="28">
        <f t="shared" si="2"/>
        <v>25.907499999999988</v>
      </c>
      <c r="M36" s="28">
        <f t="shared" si="2"/>
        <v>92.212083333333354</v>
      </c>
      <c r="N36" s="28">
        <f t="shared" si="2"/>
        <v>181.15416666666667</v>
      </c>
      <c r="O36" s="28">
        <f t="shared" si="2"/>
        <v>4.1666666666666664E-2</v>
      </c>
      <c r="P36" s="28">
        <f t="shared" si="2"/>
        <v>0.41749999999999998</v>
      </c>
      <c r="Q36" s="28">
        <f t="shared" si="2"/>
        <v>9.1749999999999989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2.1575260926764686</v>
      </c>
      <c r="C37" s="28">
        <f t="shared" ref="C37:Q37" si="3">STDEV(C9:C32)</f>
        <v>6.400541360708881</v>
      </c>
      <c r="D37" s="28">
        <f t="shared" si="3"/>
        <v>5.0439398995373601</v>
      </c>
      <c r="E37" s="28">
        <f t="shared" si="3"/>
        <v>0.77156144617093669</v>
      </c>
      <c r="F37" s="28">
        <f t="shared" si="3"/>
        <v>1.8654779470726761</v>
      </c>
      <c r="G37" s="28">
        <f t="shared" si="3"/>
        <v>38.78556162516805</v>
      </c>
      <c r="H37" s="28">
        <f t="shared" si="3"/>
        <v>4.9690235933243985</v>
      </c>
      <c r="I37" s="28">
        <f t="shared" si="3"/>
        <v>5.8359207512176554E-2</v>
      </c>
      <c r="J37" s="28">
        <f t="shared" si="3"/>
        <v>0.15612088868584506</v>
      </c>
      <c r="K37" s="28">
        <f t="shared" si="3"/>
        <v>33.593684445167199</v>
      </c>
      <c r="L37" s="28">
        <f t="shared" si="3"/>
        <v>2.283584615391375</v>
      </c>
      <c r="M37" s="28">
        <f t="shared" si="3"/>
        <v>8.5622751848197272</v>
      </c>
      <c r="N37" s="28">
        <f t="shared" si="3"/>
        <v>167.91861118376386</v>
      </c>
      <c r="O37" s="28">
        <f t="shared" si="3"/>
        <v>0.10179547554081032</v>
      </c>
      <c r="P37" s="28">
        <f t="shared" si="3"/>
        <v>0.23918793775024993</v>
      </c>
      <c r="Q37" s="28">
        <f t="shared" si="3"/>
        <v>6.6528843042110056E-2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4" sqref="G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660</v>
      </c>
      <c r="B9" s="51">
        <v>9.6199999999999992</v>
      </c>
      <c r="C9" s="51">
        <v>14.16</v>
      </c>
      <c r="D9" s="51">
        <v>12.33</v>
      </c>
      <c r="E9" s="51">
        <v>4.9400000000000004</v>
      </c>
      <c r="F9" s="51">
        <v>5.91</v>
      </c>
      <c r="G9" s="51">
        <v>21.08</v>
      </c>
      <c r="H9" s="51">
        <v>9.5299999999999994</v>
      </c>
      <c r="I9" s="51">
        <v>4.1500000000000004</v>
      </c>
      <c r="J9" s="51">
        <v>0.14000000000000001</v>
      </c>
      <c r="K9" s="51">
        <v>306.26</v>
      </c>
      <c r="L9" s="51">
        <v>23.94</v>
      </c>
      <c r="M9" s="51">
        <v>97.71</v>
      </c>
      <c r="N9" s="51">
        <v>86.1</v>
      </c>
      <c r="O9" s="51">
        <v>0.4</v>
      </c>
      <c r="P9" s="51">
        <v>0.27</v>
      </c>
      <c r="Q9" s="51">
        <v>9.17</v>
      </c>
      <c r="R9" s="43"/>
      <c r="S9" s="43"/>
      <c r="T9" s="43"/>
      <c r="U9" s="43"/>
    </row>
    <row r="10" spans="1:21" s="11" customFormat="1" x14ac:dyDescent="0.25">
      <c r="A10" s="50" t="s">
        <v>661</v>
      </c>
      <c r="B10" s="51">
        <v>8.23</v>
      </c>
      <c r="C10" s="51">
        <v>12.65</v>
      </c>
      <c r="D10" s="51">
        <v>12.68</v>
      </c>
      <c r="E10" s="51">
        <v>4.96</v>
      </c>
      <c r="F10" s="51">
        <v>6.22</v>
      </c>
      <c r="G10" s="51">
        <v>21.08</v>
      </c>
      <c r="H10" s="51">
        <v>7.99</v>
      </c>
      <c r="I10" s="51">
        <v>4.17</v>
      </c>
      <c r="J10" s="51">
        <v>7.0000000000000007E-2</v>
      </c>
      <c r="K10" s="51">
        <v>302.2</v>
      </c>
      <c r="L10" s="51">
        <v>23.75</v>
      </c>
      <c r="M10" s="51">
        <v>97.75</v>
      </c>
      <c r="N10" s="51">
        <v>84.5</v>
      </c>
      <c r="O10" s="51">
        <v>0.4</v>
      </c>
      <c r="P10" s="51">
        <v>0.3</v>
      </c>
      <c r="Q10" s="51">
        <v>9.14</v>
      </c>
      <c r="R10" s="43"/>
      <c r="S10" s="43"/>
      <c r="T10" s="43"/>
      <c r="U10" s="43"/>
    </row>
    <row r="11" spans="1:21" s="11" customFormat="1" x14ac:dyDescent="0.25">
      <c r="A11" s="50" t="s">
        <v>662</v>
      </c>
      <c r="B11" s="51">
        <v>6.21</v>
      </c>
      <c r="C11" s="51">
        <v>11.09</v>
      </c>
      <c r="D11" s="51">
        <v>12.32</v>
      </c>
      <c r="E11" s="51">
        <v>4.95</v>
      </c>
      <c r="F11" s="51">
        <v>9.33</v>
      </c>
      <c r="G11" s="51">
        <v>19.64</v>
      </c>
      <c r="H11" s="51">
        <v>9.93</v>
      </c>
      <c r="I11" s="51">
        <v>4.0199999999999996</v>
      </c>
      <c r="J11" s="51">
        <v>0.14000000000000001</v>
      </c>
      <c r="K11" s="51">
        <v>270</v>
      </c>
      <c r="L11" s="51">
        <v>23.54</v>
      </c>
      <c r="M11" s="51">
        <v>97.73</v>
      </c>
      <c r="N11" s="51">
        <v>83.3</v>
      </c>
      <c r="O11" s="51">
        <v>0.4</v>
      </c>
      <c r="P11" s="51">
        <v>0.24</v>
      </c>
      <c r="Q11" s="51">
        <v>9.18</v>
      </c>
      <c r="R11" s="43"/>
      <c r="S11" s="43"/>
      <c r="T11" s="43"/>
      <c r="U11" s="43"/>
    </row>
    <row r="12" spans="1:21" s="11" customFormat="1" x14ac:dyDescent="0.25">
      <c r="A12" s="50" t="s">
        <v>663</v>
      </c>
      <c r="B12" s="51">
        <v>7.19</v>
      </c>
      <c r="C12" s="51">
        <v>10.8</v>
      </c>
      <c r="D12" s="51">
        <v>11.29</v>
      </c>
      <c r="E12" s="51">
        <v>5.33</v>
      </c>
      <c r="F12" s="51">
        <v>8.8000000000000007</v>
      </c>
      <c r="G12" s="51">
        <v>18.16</v>
      </c>
      <c r="H12" s="51">
        <v>10.17</v>
      </c>
      <c r="I12" s="51">
        <v>4.17</v>
      </c>
      <c r="J12" s="51">
        <v>0.21</v>
      </c>
      <c r="K12" s="51">
        <v>266.17</v>
      </c>
      <c r="L12" s="51">
        <v>23.51</v>
      </c>
      <c r="M12" s="51">
        <v>97.75</v>
      </c>
      <c r="N12" s="51">
        <v>82.6</v>
      </c>
      <c r="O12" s="51">
        <v>0</v>
      </c>
      <c r="P12" s="51">
        <v>0.25</v>
      </c>
      <c r="Q12" s="51">
        <v>9.1999999999999993</v>
      </c>
      <c r="R12" s="43"/>
      <c r="S12" s="43"/>
      <c r="T12" s="43"/>
      <c r="U12" s="43"/>
    </row>
    <row r="13" spans="1:21" s="11" customFormat="1" x14ac:dyDescent="0.25">
      <c r="A13" s="50" t="s">
        <v>664</v>
      </c>
      <c r="B13" s="51">
        <v>9.4700000000000006</v>
      </c>
      <c r="C13" s="51">
        <v>12.6</v>
      </c>
      <c r="D13" s="51">
        <v>11.19</v>
      </c>
      <c r="E13" s="51">
        <v>5.49</v>
      </c>
      <c r="F13" s="51">
        <v>5.86</v>
      </c>
      <c r="G13" s="51">
        <v>16.649999999999999</v>
      </c>
      <c r="H13" s="51">
        <v>10.17</v>
      </c>
      <c r="I13" s="51">
        <v>4.1399999999999997</v>
      </c>
      <c r="J13" s="51">
        <v>0.26</v>
      </c>
      <c r="K13" s="51">
        <v>259.73</v>
      </c>
      <c r="L13" s="51">
        <v>23.54</v>
      </c>
      <c r="M13" s="51">
        <v>97.72</v>
      </c>
      <c r="N13" s="51">
        <v>82.9</v>
      </c>
      <c r="O13" s="51">
        <v>0.2</v>
      </c>
      <c r="P13" s="51">
        <v>0.28000000000000003</v>
      </c>
      <c r="Q13" s="51">
        <v>9.17</v>
      </c>
      <c r="R13" s="43"/>
      <c r="S13" s="43"/>
      <c r="T13" s="43"/>
      <c r="U13" s="43"/>
    </row>
    <row r="14" spans="1:21" s="11" customFormat="1" x14ac:dyDescent="0.25">
      <c r="A14" s="50" t="s">
        <v>665</v>
      </c>
      <c r="B14" s="51">
        <v>10.039999999999999</v>
      </c>
      <c r="C14" s="51">
        <v>13.27</v>
      </c>
      <c r="D14" s="51">
        <v>11.62</v>
      </c>
      <c r="E14" s="51">
        <v>5.25</v>
      </c>
      <c r="F14" s="51">
        <v>5.86</v>
      </c>
      <c r="G14" s="51">
        <v>14.04</v>
      </c>
      <c r="H14" s="51">
        <v>8.1300000000000008</v>
      </c>
      <c r="I14" s="51">
        <v>4.05</v>
      </c>
      <c r="J14" s="51">
        <v>0.23</v>
      </c>
      <c r="K14" s="51">
        <v>236.03</v>
      </c>
      <c r="L14" s="51">
        <v>23.59</v>
      </c>
      <c r="M14" s="51">
        <v>97.73</v>
      </c>
      <c r="N14" s="51">
        <v>86.8</v>
      </c>
      <c r="O14" s="51">
        <v>0</v>
      </c>
      <c r="P14" s="51">
        <v>0.28000000000000003</v>
      </c>
      <c r="Q14" s="51">
        <v>9.16</v>
      </c>
      <c r="R14" s="43"/>
      <c r="S14" s="43"/>
      <c r="T14" s="43"/>
      <c r="U14" s="43"/>
    </row>
    <row r="15" spans="1:21" s="11" customFormat="1" x14ac:dyDescent="0.25">
      <c r="A15" s="50" t="s">
        <v>666</v>
      </c>
      <c r="B15" s="51">
        <v>12.51</v>
      </c>
      <c r="C15" s="51">
        <v>16.55</v>
      </c>
      <c r="D15" s="51">
        <v>12.69</v>
      </c>
      <c r="E15" s="51">
        <v>5.26</v>
      </c>
      <c r="F15" s="51">
        <v>8.3800000000000008</v>
      </c>
      <c r="G15" s="51">
        <v>14.04</v>
      </c>
      <c r="H15" s="51">
        <v>6.55</v>
      </c>
      <c r="I15" s="51">
        <v>3.98</v>
      </c>
      <c r="J15" s="51">
        <v>0.55000000000000004</v>
      </c>
      <c r="K15" s="51">
        <v>333.63</v>
      </c>
      <c r="L15" s="51">
        <v>23.22</v>
      </c>
      <c r="M15" s="51">
        <v>97.68</v>
      </c>
      <c r="N15" s="51">
        <v>90.5</v>
      </c>
      <c r="O15" s="51">
        <v>3.6</v>
      </c>
      <c r="P15" s="51">
        <v>0.27</v>
      </c>
      <c r="Q15" s="51">
        <v>9.2100000000000009</v>
      </c>
      <c r="R15" s="43"/>
      <c r="S15" s="43"/>
      <c r="T15" s="43"/>
      <c r="U15" s="43"/>
    </row>
    <row r="16" spans="1:21" s="11" customFormat="1" x14ac:dyDescent="0.25">
      <c r="A16" s="50" t="s">
        <v>667</v>
      </c>
      <c r="B16" s="51">
        <v>13.78</v>
      </c>
      <c r="C16" s="51">
        <v>18.63</v>
      </c>
      <c r="D16" s="51">
        <v>16.55</v>
      </c>
      <c r="E16" s="51">
        <v>5.15</v>
      </c>
      <c r="F16" s="51">
        <v>6.72</v>
      </c>
      <c r="G16" s="51">
        <v>9.83</v>
      </c>
      <c r="H16" s="51">
        <v>6.55</v>
      </c>
      <c r="I16" s="51">
        <v>4.07</v>
      </c>
      <c r="J16" s="51">
        <v>0.11</v>
      </c>
      <c r="K16" s="51">
        <v>326.45999999999998</v>
      </c>
      <c r="L16" s="51">
        <v>22.4</v>
      </c>
      <c r="M16" s="51">
        <v>97.68</v>
      </c>
      <c r="N16" s="51">
        <v>110.1</v>
      </c>
      <c r="O16" s="51">
        <v>1.2</v>
      </c>
      <c r="P16" s="51">
        <v>0.36</v>
      </c>
      <c r="Q16" s="51">
        <v>9.27</v>
      </c>
      <c r="R16" s="43"/>
      <c r="S16" s="43"/>
      <c r="T16" s="43"/>
      <c r="U16" s="43"/>
    </row>
    <row r="17" spans="1:21" s="11" customFormat="1" x14ac:dyDescent="0.25">
      <c r="A17" s="50" t="s">
        <v>668</v>
      </c>
      <c r="B17" s="51">
        <v>11.36</v>
      </c>
      <c r="C17" s="51">
        <v>15.38</v>
      </c>
      <c r="D17" s="51">
        <v>12.16</v>
      </c>
      <c r="E17" s="51">
        <v>4.41</v>
      </c>
      <c r="F17" s="51">
        <v>5.79</v>
      </c>
      <c r="G17" s="51">
        <v>8.73</v>
      </c>
      <c r="H17" s="51">
        <v>4.5999999999999996</v>
      </c>
      <c r="I17" s="51">
        <v>4.03</v>
      </c>
      <c r="J17" s="51">
        <v>0.12</v>
      </c>
      <c r="K17" s="51">
        <v>313.55</v>
      </c>
      <c r="L17" s="51">
        <v>23.16</v>
      </c>
      <c r="M17" s="51">
        <v>97.68</v>
      </c>
      <c r="N17" s="51">
        <v>235.2</v>
      </c>
      <c r="O17" s="51">
        <v>0.4</v>
      </c>
      <c r="P17" s="51">
        <v>0.32</v>
      </c>
      <c r="Q17" s="51">
        <v>9.26</v>
      </c>
      <c r="R17" s="43"/>
      <c r="S17" s="43"/>
      <c r="T17" s="43"/>
      <c r="U17" s="43"/>
    </row>
    <row r="18" spans="1:21" s="11" customFormat="1" x14ac:dyDescent="0.25">
      <c r="A18" s="50" t="s">
        <v>669</v>
      </c>
      <c r="B18" s="51">
        <v>10.96</v>
      </c>
      <c r="C18" s="51">
        <v>14.99</v>
      </c>
      <c r="D18" s="51">
        <v>11.88</v>
      </c>
      <c r="E18" s="51">
        <v>4.45</v>
      </c>
      <c r="F18" s="51">
        <v>4.32</v>
      </c>
      <c r="G18" s="51">
        <v>8.7100000000000009</v>
      </c>
      <c r="H18" s="51">
        <v>4.5999999999999996</v>
      </c>
      <c r="I18" s="51">
        <v>4.0199999999999996</v>
      </c>
      <c r="J18" s="51">
        <v>0.14000000000000001</v>
      </c>
      <c r="K18" s="51">
        <v>324.74</v>
      </c>
      <c r="L18" s="51">
        <v>23.4</v>
      </c>
      <c r="M18" s="51">
        <v>97.68</v>
      </c>
      <c r="N18" s="51">
        <v>199.7</v>
      </c>
      <c r="O18" s="51">
        <v>0</v>
      </c>
      <c r="P18" s="51">
        <v>0.34</v>
      </c>
      <c r="Q18" s="51">
        <v>9.18</v>
      </c>
      <c r="R18" s="43"/>
      <c r="S18" s="43"/>
      <c r="T18" s="43"/>
      <c r="U18" s="43"/>
    </row>
    <row r="19" spans="1:21" s="11" customFormat="1" x14ac:dyDescent="0.25">
      <c r="A19" s="50" t="s">
        <v>670</v>
      </c>
      <c r="B19" s="51">
        <v>12.05</v>
      </c>
      <c r="C19" s="51">
        <v>17.829999999999998</v>
      </c>
      <c r="D19" s="51">
        <v>15.62</v>
      </c>
      <c r="E19" s="51">
        <v>4.5599999999999996</v>
      </c>
      <c r="F19" s="51">
        <v>4.25</v>
      </c>
      <c r="G19" s="51">
        <v>7.57</v>
      </c>
      <c r="H19" s="51">
        <v>3.59</v>
      </c>
      <c r="I19" s="51">
        <v>4.09</v>
      </c>
      <c r="J19" s="51">
        <v>0.16</v>
      </c>
      <c r="K19" s="51">
        <v>297.63</v>
      </c>
      <c r="L19" s="51">
        <v>24.53</v>
      </c>
      <c r="M19" s="51">
        <v>97.69</v>
      </c>
      <c r="N19" s="51">
        <v>213.2</v>
      </c>
      <c r="O19" s="51">
        <v>0</v>
      </c>
      <c r="P19" s="51">
        <v>0.49</v>
      </c>
      <c r="Q19" s="51">
        <v>9.2100000000000009</v>
      </c>
      <c r="R19" s="43"/>
      <c r="S19" s="43"/>
      <c r="T19" s="43"/>
      <c r="U19" s="43"/>
    </row>
    <row r="20" spans="1:21" s="11" customFormat="1" x14ac:dyDescent="0.25">
      <c r="A20" s="50" t="s">
        <v>671</v>
      </c>
      <c r="B20" s="51">
        <v>10.95</v>
      </c>
      <c r="C20" s="51">
        <v>18.399999999999999</v>
      </c>
      <c r="D20" s="51">
        <v>19.760000000000002</v>
      </c>
      <c r="E20" s="51">
        <v>4.46</v>
      </c>
      <c r="F20" s="51">
        <v>4.68</v>
      </c>
      <c r="G20" s="51">
        <v>6.21</v>
      </c>
      <c r="H20" s="51">
        <v>3.26</v>
      </c>
      <c r="I20" s="51">
        <v>1.35</v>
      </c>
      <c r="J20" s="51">
        <v>0.31</v>
      </c>
      <c r="K20" s="51">
        <v>294.72000000000003</v>
      </c>
      <c r="L20" s="51">
        <v>26.45</v>
      </c>
      <c r="M20" s="51">
        <v>97.63</v>
      </c>
      <c r="N20" s="51">
        <v>402.7</v>
      </c>
      <c r="O20" s="51">
        <v>0</v>
      </c>
      <c r="P20" s="51">
        <v>0.48</v>
      </c>
      <c r="Q20" s="51">
        <v>9.24</v>
      </c>
      <c r="R20" s="43"/>
      <c r="S20" s="43"/>
      <c r="T20" s="43"/>
      <c r="U20" s="43"/>
    </row>
    <row r="21" spans="1:21" s="11" customFormat="1" x14ac:dyDescent="0.25">
      <c r="A21" s="50" t="s">
        <v>672</v>
      </c>
      <c r="B21" s="51">
        <v>7.98</v>
      </c>
      <c r="C21" s="51">
        <v>29.36</v>
      </c>
      <c r="D21" s="51">
        <v>21.38</v>
      </c>
      <c r="E21" s="51">
        <v>4.49</v>
      </c>
      <c r="F21" s="51">
        <v>9.64</v>
      </c>
      <c r="G21" s="51">
        <v>13.83</v>
      </c>
      <c r="H21" s="51">
        <v>3.26</v>
      </c>
      <c r="I21" s="51">
        <v>1.2</v>
      </c>
      <c r="J21" s="51">
        <v>0.27</v>
      </c>
      <c r="K21" s="51">
        <v>292.08</v>
      </c>
      <c r="L21" s="51">
        <v>27.11</v>
      </c>
      <c r="M21" s="51">
        <v>94.98</v>
      </c>
      <c r="N21" s="51">
        <v>340.6</v>
      </c>
      <c r="O21" s="51">
        <v>0</v>
      </c>
      <c r="P21" s="51">
        <v>0.44</v>
      </c>
      <c r="Q21" s="51">
        <v>9.1300000000000008</v>
      </c>
      <c r="R21" s="43"/>
      <c r="S21" s="43"/>
      <c r="T21" s="43"/>
      <c r="U21" s="43"/>
    </row>
    <row r="22" spans="1:21" s="11" customFormat="1" x14ac:dyDescent="0.25">
      <c r="A22" s="50" t="s">
        <v>673</v>
      </c>
      <c r="B22" s="51">
        <v>5.17</v>
      </c>
      <c r="C22" s="51">
        <v>18.52</v>
      </c>
      <c r="D22" s="51">
        <v>15.92</v>
      </c>
      <c r="E22" s="51">
        <v>4.91</v>
      </c>
      <c r="F22" s="51">
        <v>6.69</v>
      </c>
      <c r="G22" s="51">
        <v>24.41</v>
      </c>
      <c r="H22" s="51">
        <v>2.31</v>
      </c>
      <c r="I22" s="51">
        <v>1.04</v>
      </c>
      <c r="J22" s="51">
        <v>0.28000000000000003</v>
      </c>
      <c r="K22" s="51">
        <v>279.2</v>
      </c>
      <c r="L22" s="51">
        <v>28.39</v>
      </c>
      <c r="M22" s="51">
        <v>92.33</v>
      </c>
      <c r="N22" s="51">
        <v>608.4</v>
      </c>
      <c r="O22" s="51">
        <v>0</v>
      </c>
      <c r="P22" s="51">
        <v>0.32</v>
      </c>
      <c r="Q22" s="51">
        <v>9.09</v>
      </c>
      <c r="R22" s="43"/>
      <c r="S22" s="43"/>
      <c r="T22" s="43"/>
      <c r="U22" s="43"/>
    </row>
    <row r="23" spans="1:21" s="11" customFormat="1" x14ac:dyDescent="0.25">
      <c r="A23" s="50" t="s">
        <v>674</v>
      </c>
      <c r="B23" s="51">
        <v>7.44</v>
      </c>
      <c r="C23" s="51">
        <v>21.31</v>
      </c>
      <c r="D23" s="51">
        <v>17.100000000000001</v>
      </c>
      <c r="E23" s="51">
        <v>4.0199999999999996</v>
      </c>
      <c r="F23" s="51">
        <v>11.06</v>
      </c>
      <c r="G23" s="51">
        <v>43.09</v>
      </c>
      <c r="H23" s="51">
        <v>5.46</v>
      </c>
      <c r="I23" s="51">
        <v>0.87</v>
      </c>
      <c r="J23" s="51">
        <v>0.21</v>
      </c>
      <c r="K23" s="51">
        <v>291.33999999999997</v>
      </c>
      <c r="L23" s="51">
        <v>28.28</v>
      </c>
      <c r="M23" s="51">
        <v>88.14</v>
      </c>
      <c r="N23" s="51">
        <v>265.2</v>
      </c>
      <c r="O23" s="51">
        <v>0</v>
      </c>
      <c r="P23" s="51">
        <v>0.3</v>
      </c>
      <c r="Q23" s="51">
        <v>9.06</v>
      </c>
      <c r="R23" s="43"/>
      <c r="S23" s="43"/>
      <c r="T23" s="43"/>
      <c r="U23" s="43"/>
    </row>
    <row r="24" spans="1:21" s="11" customFormat="1" x14ac:dyDescent="0.25">
      <c r="A24" s="50" t="s">
        <v>675</v>
      </c>
      <c r="B24" s="51">
        <v>6.44</v>
      </c>
      <c r="C24" s="51">
        <v>18.36</v>
      </c>
      <c r="D24" s="51">
        <v>14.37</v>
      </c>
      <c r="E24" s="51">
        <v>4.17</v>
      </c>
      <c r="F24" s="51">
        <v>9.17</v>
      </c>
      <c r="G24" s="51">
        <v>43.09</v>
      </c>
      <c r="H24" s="51">
        <v>8.85</v>
      </c>
      <c r="I24" s="51">
        <v>0.86</v>
      </c>
      <c r="J24" s="51">
        <v>0.64</v>
      </c>
      <c r="K24" s="51">
        <v>181.37</v>
      </c>
      <c r="L24" s="51">
        <v>27.32</v>
      </c>
      <c r="M24" s="51">
        <v>97.48</v>
      </c>
      <c r="N24" s="51">
        <v>200.4</v>
      </c>
      <c r="O24" s="51">
        <v>0</v>
      </c>
      <c r="P24" s="51">
        <v>0.25</v>
      </c>
      <c r="Q24" s="51">
        <v>9.08</v>
      </c>
      <c r="R24" s="43"/>
      <c r="S24" s="43"/>
      <c r="T24" s="43"/>
      <c r="U24" s="43"/>
    </row>
    <row r="25" spans="1:21" s="11" customFormat="1" x14ac:dyDescent="0.25">
      <c r="A25" s="50" t="s">
        <v>676</v>
      </c>
      <c r="B25" s="51">
        <v>6.69</v>
      </c>
      <c r="C25" s="51">
        <v>15.93</v>
      </c>
      <c r="D25" s="51">
        <v>13.58</v>
      </c>
      <c r="E25" s="51">
        <v>4</v>
      </c>
      <c r="F25" s="51">
        <v>8.99</v>
      </c>
      <c r="G25" s="51">
        <v>41.93</v>
      </c>
      <c r="H25" s="51">
        <v>8.85</v>
      </c>
      <c r="I25" s="51">
        <v>0.8</v>
      </c>
      <c r="J25" s="51">
        <v>0.17</v>
      </c>
      <c r="K25" s="51">
        <v>290.73</v>
      </c>
      <c r="L25" s="51">
        <v>26.27</v>
      </c>
      <c r="M25" s="51">
        <v>96.76</v>
      </c>
      <c r="N25" s="51">
        <v>161.69999999999999</v>
      </c>
      <c r="O25" s="51">
        <v>0</v>
      </c>
      <c r="P25" s="51">
        <v>0.24</v>
      </c>
      <c r="Q25" s="51">
        <v>9.1</v>
      </c>
      <c r="R25" s="43"/>
      <c r="S25" s="43"/>
      <c r="T25" s="43"/>
      <c r="U25" s="43"/>
    </row>
    <row r="26" spans="1:21" s="11" customFormat="1" x14ac:dyDescent="0.25">
      <c r="A26" s="50" t="s">
        <v>677</v>
      </c>
      <c r="B26" s="51">
        <v>5.46</v>
      </c>
      <c r="C26" s="51">
        <v>16.559999999999999</v>
      </c>
      <c r="D26" s="51">
        <v>13.03</v>
      </c>
      <c r="E26" s="51">
        <v>4.07</v>
      </c>
      <c r="F26" s="51">
        <v>10.79</v>
      </c>
      <c r="G26" s="51">
        <v>28.63</v>
      </c>
      <c r="H26" s="51">
        <v>6.63</v>
      </c>
      <c r="I26" s="51">
        <v>0.82</v>
      </c>
      <c r="J26" s="51">
        <v>0.16</v>
      </c>
      <c r="K26" s="51">
        <v>317.91000000000003</v>
      </c>
      <c r="L26" s="51">
        <v>25.98</v>
      </c>
      <c r="M26" s="51">
        <v>95.45</v>
      </c>
      <c r="N26" s="51">
        <v>111.9</v>
      </c>
      <c r="O26" s="51">
        <v>0</v>
      </c>
      <c r="P26" s="51">
        <v>0.25</v>
      </c>
      <c r="Q26" s="51">
        <v>9.09</v>
      </c>
      <c r="R26" s="43"/>
      <c r="S26" s="43"/>
      <c r="T26" s="43"/>
      <c r="U26" s="43"/>
    </row>
    <row r="27" spans="1:21" s="11" customFormat="1" x14ac:dyDescent="0.25">
      <c r="A27" s="50" t="s">
        <v>678</v>
      </c>
      <c r="B27" s="51">
        <v>7.61</v>
      </c>
      <c r="C27" s="51">
        <v>16.38</v>
      </c>
      <c r="D27" s="51">
        <v>14.56</v>
      </c>
      <c r="E27" s="51">
        <v>4.05</v>
      </c>
      <c r="F27" s="51">
        <v>5.25</v>
      </c>
      <c r="G27" s="51">
        <v>28.63</v>
      </c>
      <c r="H27" s="51">
        <v>7.67</v>
      </c>
      <c r="I27" s="51">
        <v>0.87</v>
      </c>
      <c r="J27" s="51">
        <v>0.19</v>
      </c>
      <c r="K27" s="51">
        <v>338.93</v>
      </c>
      <c r="L27" s="51">
        <v>25.39</v>
      </c>
      <c r="M27" s="51">
        <v>93.89</v>
      </c>
      <c r="N27" s="51">
        <v>86.2</v>
      </c>
      <c r="O27" s="51">
        <v>0</v>
      </c>
      <c r="P27" s="51">
        <v>0.31</v>
      </c>
      <c r="Q27" s="51">
        <v>9.08</v>
      </c>
      <c r="R27" s="43"/>
      <c r="S27" s="43"/>
      <c r="T27" s="43"/>
      <c r="U27" s="43"/>
    </row>
    <row r="28" spans="1:21" s="11" customFormat="1" x14ac:dyDescent="0.25">
      <c r="A28" s="50" t="s">
        <v>679</v>
      </c>
      <c r="B28" s="51">
        <v>7.86</v>
      </c>
      <c r="C28" s="51">
        <v>22.37</v>
      </c>
      <c r="D28" s="51">
        <v>17.04</v>
      </c>
      <c r="E28" s="51">
        <v>4.3</v>
      </c>
      <c r="F28" s="51">
        <v>7.47</v>
      </c>
      <c r="G28" s="51">
        <v>26.56</v>
      </c>
      <c r="H28" s="51">
        <v>7.67</v>
      </c>
      <c r="I28" s="51">
        <v>1.04</v>
      </c>
      <c r="J28" s="51">
        <v>0.05</v>
      </c>
      <c r="K28" s="51">
        <v>334.14</v>
      </c>
      <c r="L28" s="51">
        <v>24.87</v>
      </c>
      <c r="M28" s="51">
        <v>97.61</v>
      </c>
      <c r="N28" s="51">
        <v>64.900000000000006</v>
      </c>
      <c r="O28" s="51">
        <v>0</v>
      </c>
      <c r="P28" s="51">
        <v>0.38</v>
      </c>
      <c r="Q28" s="51">
        <v>9.11</v>
      </c>
      <c r="R28" s="43"/>
      <c r="S28" s="43"/>
      <c r="T28" s="43"/>
      <c r="U28" s="43"/>
    </row>
    <row r="29" spans="1:21" s="11" customFormat="1" x14ac:dyDescent="0.25">
      <c r="A29" s="50" t="s">
        <v>680</v>
      </c>
      <c r="B29" s="51">
        <v>12.23</v>
      </c>
      <c r="C29" s="51">
        <v>24.54</v>
      </c>
      <c r="D29" s="51">
        <v>21.79</v>
      </c>
      <c r="E29" s="51">
        <v>3.87</v>
      </c>
      <c r="F29" s="51">
        <v>8.8699999999999992</v>
      </c>
      <c r="G29" s="51">
        <v>31.7</v>
      </c>
      <c r="H29" s="51">
        <v>7.01</v>
      </c>
      <c r="I29" s="51">
        <v>1.18</v>
      </c>
      <c r="J29" s="51">
        <v>0.08</v>
      </c>
      <c r="K29" s="51">
        <v>321.54000000000002</v>
      </c>
      <c r="L29" s="51">
        <v>24.72</v>
      </c>
      <c r="M29" s="51">
        <v>97.63</v>
      </c>
      <c r="N29" s="51">
        <v>65.599999999999994</v>
      </c>
      <c r="O29" s="51">
        <v>0</v>
      </c>
      <c r="P29" s="51">
        <v>0.42</v>
      </c>
      <c r="Q29" s="51">
        <v>9.17</v>
      </c>
      <c r="R29" s="43"/>
      <c r="S29" s="43"/>
      <c r="T29" s="43"/>
      <c r="U29" s="43"/>
    </row>
    <row r="30" spans="1:21" s="11" customFormat="1" x14ac:dyDescent="0.25">
      <c r="A30" s="50" t="s">
        <v>681</v>
      </c>
      <c r="B30" s="51">
        <v>9.81</v>
      </c>
      <c r="C30" s="51">
        <v>17.45</v>
      </c>
      <c r="D30" s="51">
        <v>16.98</v>
      </c>
      <c r="E30" s="51">
        <v>4.29</v>
      </c>
      <c r="F30" s="51">
        <v>6.39</v>
      </c>
      <c r="G30" s="51">
        <v>31.7</v>
      </c>
      <c r="H30" s="51">
        <v>7.62</v>
      </c>
      <c r="I30" s="51">
        <v>1.19</v>
      </c>
      <c r="J30" s="51">
        <v>0.16</v>
      </c>
      <c r="K30" s="51">
        <v>348.2</v>
      </c>
      <c r="L30" s="51">
        <v>24.71</v>
      </c>
      <c r="M30" s="51">
        <v>95.18</v>
      </c>
      <c r="N30" s="51">
        <v>84.9</v>
      </c>
      <c r="O30" s="51">
        <v>0</v>
      </c>
      <c r="P30" s="51">
        <v>0.33</v>
      </c>
      <c r="Q30" s="51">
        <v>9.17</v>
      </c>
      <c r="R30" s="43"/>
      <c r="S30" s="43"/>
      <c r="T30" s="43"/>
      <c r="U30" s="43"/>
    </row>
    <row r="31" spans="1:21" s="11" customFormat="1" x14ac:dyDescent="0.25">
      <c r="A31" s="50" t="s">
        <v>682</v>
      </c>
      <c r="B31" s="51">
        <v>8.99</v>
      </c>
      <c r="C31" s="51">
        <v>14.36</v>
      </c>
      <c r="D31" s="51">
        <v>14.71</v>
      </c>
      <c r="E31" s="51">
        <v>4.2699999999999996</v>
      </c>
      <c r="F31" s="51">
        <v>4.9800000000000004</v>
      </c>
      <c r="G31" s="51">
        <v>26.75</v>
      </c>
      <c r="H31" s="51">
        <v>7.62</v>
      </c>
      <c r="I31" s="51">
        <v>1.1399999999999999</v>
      </c>
      <c r="J31" s="51">
        <v>0.11</v>
      </c>
      <c r="K31" s="51">
        <v>357.22</v>
      </c>
      <c r="L31" s="51">
        <v>24.43</v>
      </c>
      <c r="M31" s="51">
        <v>97.63</v>
      </c>
      <c r="N31" s="51">
        <v>84.8</v>
      </c>
      <c r="O31" s="51">
        <v>0</v>
      </c>
      <c r="P31" s="51">
        <v>0.32</v>
      </c>
      <c r="Q31" s="51">
        <v>9.15</v>
      </c>
      <c r="R31" s="43"/>
      <c r="S31" s="43"/>
      <c r="T31" s="43"/>
      <c r="U31" s="43"/>
    </row>
    <row r="32" spans="1:21" s="11" customFormat="1" x14ac:dyDescent="0.25">
      <c r="A32" s="50" t="s">
        <v>683</v>
      </c>
      <c r="B32" s="51">
        <v>7.99</v>
      </c>
      <c r="C32" s="51">
        <v>12.86</v>
      </c>
      <c r="D32" s="51">
        <v>13.06</v>
      </c>
      <c r="E32" s="51">
        <v>4.3</v>
      </c>
      <c r="F32" s="51">
        <v>4.59</v>
      </c>
      <c r="G32" s="51">
        <v>30.12</v>
      </c>
      <c r="H32" s="51">
        <v>5.53</v>
      </c>
      <c r="I32" s="51">
        <v>1.06</v>
      </c>
      <c r="J32" s="51">
        <v>0.09</v>
      </c>
      <c r="K32" s="51">
        <v>354.47</v>
      </c>
      <c r="L32" s="51">
        <v>24.12</v>
      </c>
      <c r="M32" s="51">
        <v>97.66</v>
      </c>
      <c r="N32" s="51">
        <v>79.7</v>
      </c>
      <c r="O32" s="51">
        <v>0</v>
      </c>
      <c r="P32" s="51">
        <v>0.28999999999999998</v>
      </c>
      <c r="Q32" s="51">
        <v>9.1199999999999992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5.17</v>
      </c>
      <c r="C34" s="28">
        <f t="shared" si="0"/>
        <v>10.8</v>
      </c>
      <c r="D34" s="28">
        <f t="shared" si="0"/>
        <v>11.19</v>
      </c>
      <c r="E34" s="28">
        <f t="shared" si="0"/>
        <v>3.87</v>
      </c>
      <c r="F34" s="28">
        <f t="shared" si="0"/>
        <v>4.25</v>
      </c>
      <c r="G34" s="28">
        <f t="shared" si="0"/>
        <v>6.21</v>
      </c>
      <c r="H34" s="28">
        <f t="shared" si="0"/>
        <v>2.31</v>
      </c>
      <c r="I34" s="28">
        <f t="shared" si="0"/>
        <v>0.8</v>
      </c>
      <c r="J34" s="28">
        <f t="shared" si="0"/>
        <v>0.05</v>
      </c>
      <c r="K34" s="28">
        <f t="shared" si="0"/>
        <v>181.37</v>
      </c>
      <c r="L34" s="28">
        <f t="shared" si="0"/>
        <v>22.4</v>
      </c>
      <c r="M34" s="28">
        <f t="shared" si="0"/>
        <v>88.14</v>
      </c>
      <c r="N34" s="28">
        <f t="shared" si="0"/>
        <v>64.900000000000006</v>
      </c>
      <c r="O34" s="28">
        <f t="shared" si="0"/>
        <v>0</v>
      </c>
      <c r="P34" s="28">
        <f t="shared" si="0"/>
        <v>0.24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13.78</v>
      </c>
      <c r="C35" s="29">
        <f t="shared" si="1"/>
        <v>29.36</v>
      </c>
      <c r="D35" s="29">
        <f t="shared" si="1"/>
        <v>21.79</v>
      </c>
      <c r="E35" s="29">
        <f t="shared" si="1"/>
        <v>5.49</v>
      </c>
      <c r="F35" s="29">
        <f t="shared" si="1"/>
        <v>11.06</v>
      </c>
      <c r="G35" s="29">
        <f t="shared" si="1"/>
        <v>43.09</v>
      </c>
      <c r="H35" s="29">
        <f t="shared" si="1"/>
        <v>10.17</v>
      </c>
      <c r="I35" s="29">
        <f t="shared" si="1"/>
        <v>4.17</v>
      </c>
      <c r="J35" s="29">
        <f t="shared" si="1"/>
        <v>0.64</v>
      </c>
      <c r="K35" s="29">
        <f t="shared" si="1"/>
        <v>357.22</v>
      </c>
      <c r="L35" s="29">
        <f t="shared" si="1"/>
        <v>28.39</v>
      </c>
      <c r="M35" s="29">
        <f t="shared" si="1"/>
        <v>97.75</v>
      </c>
      <c r="N35" s="29">
        <f t="shared" si="1"/>
        <v>608.4</v>
      </c>
      <c r="O35" s="29">
        <f t="shared" si="1"/>
        <v>3.6</v>
      </c>
      <c r="P35" s="29">
        <f t="shared" si="1"/>
        <v>0.49</v>
      </c>
      <c r="Q35" s="29">
        <f t="shared" si="1"/>
        <v>9.27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9.0016666666666669</v>
      </c>
      <c r="C36" s="28">
        <f t="shared" si="2"/>
        <v>16.847916666666666</v>
      </c>
      <c r="D36" s="28">
        <f t="shared" si="2"/>
        <v>14.733750000000001</v>
      </c>
      <c r="E36" s="28">
        <f t="shared" si="2"/>
        <v>4.5812499999999998</v>
      </c>
      <c r="F36" s="28">
        <f t="shared" si="2"/>
        <v>7.0837499999999993</v>
      </c>
      <c r="G36" s="28">
        <f t="shared" si="2"/>
        <v>22.340833333333332</v>
      </c>
      <c r="H36" s="28">
        <f t="shared" si="2"/>
        <v>6.8145833333333314</v>
      </c>
      <c r="I36" s="28">
        <f t="shared" si="2"/>
        <v>2.429583333333333</v>
      </c>
      <c r="J36" s="28">
        <f t="shared" si="2"/>
        <v>0.20208333333333339</v>
      </c>
      <c r="K36" s="28">
        <f t="shared" si="2"/>
        <v>301.59375000000006</v>
      </c>
      <c r="L36" s="28">
        <f t="shared" si="2"/>
        <v>24.859166666666667</v>
      </c>
      <c r="M36" s="28">
        <f t="shared" si="2"/>
        <v>96.548749999999998</v>
      </c>
      <c r="N36" s="28">
        <f t="shared" si="2"/>
        <v>162.99583333333334</v>
      </c>
      <c r="O36" s="28">
        <f t="shared" si="2"/>
        <v>0.27500000000000002</v>
      </c>
      <c r="P36" s="28">
        <f t="shared" si="2"/>
        <v>0.32208333333333333</v>
      </c>
      <c r="Q36" s="28">
        <f t="shared" si="2"/>
        <v>9.1558333333333319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2.3676234032696453</v>
      </c>
      <c r="C37" s="28">
        <f t="shared" ref="C37:Q37" si="3">STDEV(C9:C32)</f>
        <v>4.336275680277061</v>
      </c>
      <c r="D37" s="28">
        <f t="shared" si="3"/>
        <v>3.069909802527127</v>
      </c>
      <c r="E37" s="28">
        <f t="shared" si="3"/>
        <v>0.48523694346612245</v>
      </c>
      <c r="F37" s="28">
        <f t="shared" si="3"/>
        <v>2.0861214531736425</v>
      </c>
      <c r="G37" s="28">
        <f t="shared" si="3"/>
        <v>11.185516612300848</v>
      </c>
      <c r="H37" s="28">
        <f t="shared" si="3"/>
        <v>2.314613272546691</v>
      </c>
      <c r="I37" s="28">
        <f t="shared" si="3"/>
        <v>1.5574742071049215</v>
      </c>
      <c r="J37" s="28">
        <f t="shared" si="3"/>
        <v>0.13975068380222108</v>
      </c>
      <c r="K37" s="28">
        <f t="shared" si="3"/>
        <v>40.195818819169126</v>
      </c>
      <c r="L37" s="28">
        <f t="shared" si="3"/>
        <v>1.6806828753623426</v>
      </c>
      <c r="M37" s="28">
        <f t="shared" si="3"/>
        <v>2.3098490680975896</v>
      </c>
      <c r="N37" s="28">
        <f t="shared" si="3"/>
        <v>131.91678035187863</v>
      </c>
      <c r="O37" s="28">
        <f t="shared" si="3"/>
        <v>0.75943342725665075</v>
      </c>
      <c r="P37" s="28">
        <f t="shared" si="3"/>
        <v>7.282971005480314E-2</v>
      </c>
      <c r="Q37" s="28">
        <f t="shared" si="3"/>
        <v>5.8079156379867471E-2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20" sqref="J2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2"/>
      <c r="B8" s="53" t="s">
        <v>22</v>
      </c>
      <c r="C8" s="53" t="s">
        <v>22</v>
      </c>
      <c r="D8" s="29" t="s">
        <v>42</v>
      </c>
      <c r="E8" s="53" t="s">
        <v>22</v>
      </c>
      <c r="F8" s="53" t="s">
        <v>22</v>
      </c>
      <c r="G8" s="53" t="s">
        <v>23</v>
      </c>
      <c r="H8" s="53" t="s">
        <v>22</v>
      </c>
      <c r="I8" s="53" t="s">
        <v>22</v>
      </c>
      <c r="J8" s="53" t="s">
        <v>24</v>
      </c>
      <c r="K8" s="53" t="s">
        <v>25</v>
      </c>
      <c r="L8" s="52" t="s">
        <v>27</v>
      </c>
      <c r="M8" s="53" t="s">
        <v>26</v>
      </c>
      <c r="N8" s="53" t="s">
        <v>28</v>
      </c>
      <c r="O8" s="52" t="s">
        <v>29</v>
      </c>
      <c r="P8" s="53" t="s">
        <v>22</v>
      </c>
      <c r="Q8" s="53" t="s">
        <v>22</v>
      </c>
      <c r="R8" s="27"/>
      <c r="S8" s="29"/>
      <c r="T8" s="27"/>
      <c r="U8" s="27"/>
    </row>
    <row r="9" spans="1:21" s="11" customFormat="1" x14ac:dyDescent="0.25">
      <c r="A9" s="50" t="s">
        <v>684</v>
      </c>
      <c r="B9" s="51">
        <v>9.0299999999999994</v>
      </c>
      <c r="C9" s="51">
        <v>11.65</v>
      </c>
      <c r="D9" s="51">
        <v>13.12</v>
      </c>
      <c r="E9" s="51">
        <v>4.63</v>
      </c>
      <c r="F9" s="51">
        <v>7.03</v>
      </c>
      <c r="G9" s="51">
        <v>30.12</v>
      </c>
      <c r="H9" s="51">
        <v>3.98</v>
      </c>
      <c r="I9" s="51">
        <v>0.98</v>
      </c>
      <c r="J9" s="51">
        <v>7.0000000000000007E-2</v>
      </c>
      <c r="K9" s="51">
        <v>341.2</v>
      </c>
      <c r="L9" s="51">
        <v>23.99</v>
      </c>
      <c r="M9" s="51">
        <v>97.66</v>
      </c>
      <c r="N9" s="51">
        <v>85.5</v>
      </c>
      <c r="O9" s="51">
        <v>0</v>
      </c>
      <c r="P9" s="51">
        <v>0.26</v>
      </c>
      <c r="Q9" s="51">
        <v>9.1199999999999992</v>
      </c>
      <c r="R9" s="43"/>
      <c r="S9" s="43"/>
      <c r="T9" s="43"/>
      <c r="U9" s="43"/>
    </row>
    <row r="10" spans="1:21" s="11" customFormat="1" x14ac:dyDescent="0.25">
      <c r="A10" s="50" t="s">
        <v>685</v>
      </c>
      <c r="B10" s="51">
        <v>7.23</v>
      </c>
      <c r="C10" s="51">
        <v>10.71</v>
      </c>
      <c r="D10" s="51">
        <v>11.4</v>
      </c>
      <c r="E10" s="51">
        <v>4.6900000000000004</v>
      </c>
      <c r="F10" s="51">
        <v>6.7</v>
      </c>
      <c r="G10" s="51">
        <v>21.59</v>
      </c>
      <c r="H10" s="51">
        <v>2.86</v>
      </c>
      <c r="I10" s="51">
        <v>0.91</v>
      </c>
      <c r="J10" s="51">
        <v>0.12</v>
      </c>
      <c r="K10" s="51">
        <v>320.31</v>
      </c>
      <c r="L10" s="51">
        <v>24.08</v>
      </c>
      <c r="M10" s="51">
        <v>97.64</v>
      </c>
      <c r="N10" s="51">
        <v>80.3</v>
      </c>
      <c r="O10" s="51">
        <v>0</v>
      </c>
      <c r="P10" s="51">
        <v>0.2</v>
      </c>
      <c r="Q10" s="51">
        <v>9.11</v>
      </c>
      <c r="R10" s="43"/>
      <c r="S10" s="43"/>
      <c r="T10" s="43"/>
      <c r="U10" s="43"/>
    </row>
    <row r="11" spans="1:21" s="11" customFormat="1" x14ac:dyDescent="0.25">
      <c r="A11" s="50" t="s">
        <v>686</v>
      </c>
      <c r="B11" s="51">
        <v>7.99</v>
      </c>
      <c r="C11" s="51">
        <v>11.58</v>
      </c>
      <c r="D11" s="51">
        <v>12.23</v>
      </c>
      <c r="E11" s="51">
        <v>4.78</v>
      </c>
      <c r="F11" s="51">
        <v>6.68</v>
      </c>
      <c r="G11" s="51">
        <v>18.059999999999999</v>
      </c>
      <c r="H11" s="51">
        <v>2.4700000000000002</v>
      </c>
      <c r="I11" s="51">
        <v>0.94</v>
      </c>
      <c r="J11" s="51">
        <v>0.12</v>
      </c>
      <c r="K11" s="51">
        <v>313.83999999999997</v>
      </c>
      <c r="L11" s="51">
        <v>23.95</v>
      </c>
      <c r="M11" s="51">
        <v>97.65</v>
      </c>
      <c r="N11" s="51">
        <v>80.599999999999994</v>
      </c>
      <c r="O11" s="51">
        <v>0</v>
      </c>
      <c r="P11" s="51">
        <v>0.21</v>
      </c>
      <c r="Q11" s="51">
        <v>9.11</v>
      </c>
      <c r="R11" s="43"/>
      <c r="S11" s="43"/>
      <c r="T11" s="43"/>
      <c r="U11" s="43"/>
    </row>
    <row r="12" spans="1:21" s="11" customFormat="1" x14ac:dyDescent="0.25">
      <c r="A12" s="50" t="s">
        <v>687</v>
      </c>
      <c r="B12" s="51">
        <v>7.78</v>
      </c>
      <c r="C12" s="51">
        <v>11.57</v>
      </c>
      <c r="D12" s="51">
        <v>11.93</v>
      </c>
      <c r="E12" s="51">
        <v>4.82</v>
      </c>
      <c r="F12" s="51">
        <v>3.93</v>
      </c>
      <c r="G12" s="51">
        <v>14.94</v>
      </c>
      <c r="H12" s="51">
        <v>4.71</v>
      </c>
      <c r="I12" s="51">
        <v>0.91</v>
      </c>
      <c r="J12" s="51">
        <v>0.26</v>
      </c>
      <c r="K12" s="51">
        <v>295.33</v>
      </c>
      <c r="L12" s="51">
        <v>23.9</v>
      </c>
      <c r="M12" s="51">
        <v>97.7</v>
      </c>
      <c r="N12" s="51">
        <v>74</v>
      </c>
      <c r="O12" s="51">
        <v>0.2</v>
      </c>
      <c r="P12" s="51">
        <v>0.2</v>
      </c>
      <c r="Q12" s="51">
        <v>9.07</v>
      </c>
      <c r="R12" s="43"/>
      <c r="S12" s="43"/>
      <c r="T12" s="43"/>
      <c r="U12" s="43"/>
    </row>
    <row r="13" spans="1:21" s="11" customFormat="1" x14ac:dyDescent="0.25">
      <c r="A13" s="50" t="s">
        <v>688</v>
      </c>
      <c r="B13" s="51">
        <v>5.74</v>
      </c>
      <c r="C13" s="51">
        <v>11.66</v>
      </c>
      <c r="D13" s="51">
        <v>10.62</v>
      </c>
      <c r="E13" s="51">
        <v>4.53</v>
      </c>
      <c r="F13" s="51">
        <v>3.87</v>
      </c>
      <c r="G13" s="51">
        <v>16.78</v>
      </c>
      <c r="H13" s="51">
        <v>5.01</v>
      </c>
      <c r="I13" s="51">
        <v>0.73</v>
      </c>
      <c r="J13" s="51">
        <v>0.22</v>
      </c>
      <c r="K13" s="51">
        <v>303.48</v>
      </c>
      <c r="L13" s="51">
        <v>23.22</v>
      </c>
      <c r="M13" s="51">
        <v>97.7</v>
      </c>
      <c r="N13" s="51">
        <v>88.7</v>
      </c>
      <c r="O13" s="51">
        <v>0</v>
      </c>
      <c r="P13" s="51">
        <v>0.17</v>
      </c>
      <c r="Q13" s="51">
        <v>9.01</v>
      </c>
      <c r="R13" s="43"/>
      <c r="S13" s="43"/>
      <c r="T13" s="43"/>
      <c r="U13" s="43"/>
    </row>
    <row r="14" spans="1:21" s="11" customFormat="1" x14ac:dyDescent="0.25">
      <c r="A14" s="50" t="s">
        <v>689</v>
      </c>
      <c r="B14" s="51">
        <v>6.1</v>
      </c>
      <c r="C14" s="51">
        <v>14.06</v>
      </c>
      <c r="D14" s="51">
        <v>12.16</v>
      </c>
      <c r="E14" s="51">
        <v>4.74</v>
      </c>
      <c r="F14" s="51">
        <v>4.9000000000000004</v>
      </c>
      <c r="G14" s="51">
        <v>16.78</v>
      </c>
      <c r="H14" s="51">
        <v>5.01</v>
      </c>
      <c r="I14" s="51">
        <v>0.68</v>
      </c>
      <c r="J14" s="51">
        <v>0.14000000000000001</v>
      </c>
      <c r="K14" s="51">
        <v>300.52</v>
      </c>
      <c r="L14" s="51">
        <v>23.17</v>
      </c>
      <c r="M14" s="51">
        <v>97.58</v>
      </c>
      <c r="N14" s="51">
        <v>103</v>
      </c>
      <c r="O14" s="51">
        <v>0</v>
      </c>
      <c r="P14" s="51">
        <v>0.16</v>
      </c>
      <c r="Q14" s="51">
        <v>9.0399999999999991</v>
      </c>
      <c r="R14" s="43"/>
      <c r="S14" s="43"/>
      <c r="T14" s="43"/>
      <c r="U14" s="43"/>
    </row>
    <row r="15" spans="1:21" s="11" customFormat="1" x14ac:dyDescent="0.25">
      <c r="A15" s="50" t="s">
        <v>690</v>
      </c>
      <c r="B15" s="51">
        <v>10.24</v>
      </c>
      <c r="C15" s="51">
        <v>15.54</v>
      </c>
      <c r="D15" s="51">
        <v>16.329999999999998</v>
      </c>
      <c r="E15" s="51">
        <v>4.68</v>
      </c>
      <c r="F15" s="51">
        <v>6.59</v>
      </c>
      <c r="G15" s="51">
        <v>15.35</v>
      </c>
      <c r="H15" s="51">
        <v>4.9000000000000004</v>
      </c>
      <c r="I15" s="51">
        <v>0.74</v>
      </c>
      <c r="J15" s="51">
        <v>0.15</v>
      </c>
      <c r="K15" s="51">
        <v>300.11</v>
      </c>
      <c r="L15" s="51">
        <v>23.82</v>
      </c>
      <c r="M15" s="51">
        <v>97.58</v>
      </c>
      <c r="N15" s="51">
        <v>148.30000000000001</v>
      </c>
      <c r="O15" s="51">
        <v>0</v>
      </c>
      <c r="P15" s="51">
        <v>0.19</v>
      </c>
      <c r="Q15" s="51">
        <v>9.09</v>
      </c>
      <c r="R15" s="43"/>
      <c r="S15" s="43"/>
      <c r="T15" s="43"/>
      <c r="U15" s="43"/>
    </row>
    <row r="16" spans="1:21" s="11" customFormat="1" x14ac:dyDescent="0.25">
      <c r="A16" s="50" t="s">
        <v>691</v>
      </c>
      <c r="B16" s="51">
        <v>7.88</v>
      </c>
      <c r="C16" s="51">
        <v>11.76</v>
      </c>
      <c r="D16" s="51">
        <v>12.43</v>
      </c>
      <c r="E16" s="51">
        <v>4.74</v>
      </c>
      <c r="F16" s="51">
        <v>3.73</v>
      </c>
      <c r="G16" s="51">
        <v>18.73</v>
      </c>
      <c r="H16" s="51">
        <v>4.9000000000000004</v>
      </c>
      <c r="I16" s="51">
        <v>0.79</v>
      </c>
      <c r="J16" s="51">
        <v>0.21</v>
      </c>
      <c r="K16" s="51">
        <v>282.25</v>
      </c>
      <c r="L16" s="51">
        <v>24.5</v>
      </c>
      <c r="M16" s="51">
        <v>97.55</v>
      </c>
      <c r="N16" s="51">
        <v>219.1</v>
      </c>
      <c r="O16" s="51">
        <v>0</v>
      </c>
      <c r="P16" s="51">
        <v>0.25</v>
      </c>
      <c r="Q16" s="51">
        <v>9.08</v>
      </c>
      <c r="R16" s="43"/>
      <c r="S16" s="43"/>
      <c r="T16" s="43"/>
      <c r="U16" s="43"/>
    </row>
    <row r="17" spans="1:21" s="11" customFormat="1" x14ac:dyDescent="0.25">
      <c r="A17" s="50" t="s">
        <v>692</v>
      </c>
      <c r="B17" s="51">
        <v>7.16</v>
      </c>
      <c r="C17" s="51">
        <v>12.84</v>
      </c>
      <c r="D17" s="51">
        <v>12.19</v>
      </c>
      <c r="E17" s="51">
        <v>3.66</v>
      </c>
      <c r="F17" s="51">
        <v>4.17</v>
      </c>
      <c r="G17" s="51">
        <v>19.13</v>
      </c>
      <c r="H17" s="51">
        <v>4.6100000000000003</v>
      </c>
      <c r="I17" s="51">
        <v>0.84</v>
      </c>
      <c r="J17" s="51">
        <v>0.24</v>
      </c>
      <c r="K17" s="51">
        <v>300.83</v>
      </c>
      <c r="L17" s="51">
        <v>25.02</v>
      </c>
      <c r="M17" s="51">
        <v>97.01</v>
      </c>
      <c r="N17" s="51">
        <v>251.8</v>
      </c>
      <c r="O17" s="51">
        <v>0</v>
      </c>
      <c r="P17" s="51">
        <v>0.25</v>
      </c>
      <c r="Q17" s="51">
        <v>9.0500000000000007</v>
      </c>
      <c r="R17" s="43"/>
      <c r="S17" s="43"/>
      <c r="T17" s="43"/>
      <c r="U17" s="43"/>
    </row>
    <row r="18" spans="1:21" s="11" customFormat="1" x14ac:dyDescent="0.25">
      <c r="A18" s="50" t="s">
        <v>693</v>
      </c>
      <c r="B18" s="51">
        <v>6.92</v>
      </c>
      <c r="C18" s="51">
        <v>13.47</v>
      </c>
      <c r="D18" s="51">
        <v>12.5</v>
      </c>
      <c r="E18" s="51">
        <v>3.93</v>
      </c>
      <c r="F18" s="51">
        <v>4.83</v>
      </c>
      <c r="G18" s="51">
        <v>22.56</v>
      </c>
      <c r="H18" s="51">
        <v>6.95</v>
      </c>
      <c r="I18" s="51">
        <v>0.87</v>
      </c>
      <c r="J18" s="51">
        <v>0.24</v>
      </c>
      <c r="K18" s="51">
        <v>303.45999999999998</v>
      </c>
      <c r="L18" s="51">
        <v>25.67</v>
      </c>
      <c r="M18" s="51">
        <v>96.81</v>
      </c>
      <c r="N18" s="51">
        <v>254.7</v>
      </c>
      <c r="O18" s="51">
        <v>0</v>
      </c>
      <c r="P18" s="51">
        <v>0.28999999999999998</v>
      </c>
      <c r="Q18" s="51">
        <v>9.08</v>
      </c>
      <c r="R18" s="43"/>
      <c r="S18" s="43"/>
      <c r="T18" s="43"/>
      <c r="U18" s="43"/>
    </row>
    <row r="19" spans="1:21" s="11" customFormat="1" x14ac:dyDescent="0.25">
      <c r="A19" s="50" t="s">
        <v>694</v>
      </c>
      <c r="B19" s="51">
        <v>7.24</v>
      </c>
      <c r="C19" s="51">
        <v>14.65</v>
      </c>
      <c r="D19" s="51">
        <v>13.12</v>
      </c>
      <c r="E19" s="51">
        <v>3.8</v>
      </c>
      <c r="F19" s="51">
        <v>5.21</v>
      </c>
      <c r="G19" s="51">
        <v>27.21</v>
      </c>
      <c r="H19" s="51">
        <v>6.95</v>
      </c>
      <c r="I19" s="51">
        <v>0.89</v>
      </c>
      <c r="J19" s="51">
        <v>0.28000000000000003</v>
      </c>
      <c r="K19" s="51">
        <v>288.02999999999997</v>
      </c>
      <c r="L19" s="51">
        <v>26.38</v>
      </c>
      <c r="M19" s="51">
        <v>91.84</v>
      </c>
      <c r="N19" s="51">
        <v>305.10000000000002</v>
      </c>
      <c r="O19" s="51">
        <v>0</v>
      </c>
      <c r="P19" s="51">
        <v>0.32</v>
      </c>
      <c r="Q19" s="51">
        <v>9.09</v>
      </c>
      <c r="R19" s="43"/>
      <c r="S19" s="43"/>
      <c r="T19" s="43"/>
      <c r="U19" s="43"/>
    </row>
    <row r="20" spans="1:21" s="11" customFormat="1" x14ac:dyDescent="0.25">
      <c r="A20" s="50" t="s">
        <v>695</v>
      </c>
      <c r="B20" s="51">
        <v>7.1</v>
      </c>
      <c r="C20" s="51">
        <v>16.07</v>
      </c>
      <c r="D20" s="51">
        <v>14.08</v>
      </c>
      <c r="E20" s="51">
        <v>3.93</v>
      </c>
      <c r="F20" s="51">
        <v>5.63</v>
      </c>
      <c r="G20" s="51">
        <v>28.56</v>
      </c>
      <c r="H20" s="51">
        <v>6.84</v>
      </c>
      <c r="I20" s="51">
        <v>0.84</v>
      </c>
      <c r="J20" s="51">
        <v>0.27</v>
      </c>
      <c r="K20" s="51">
        <v>281.19</v>
      </c>
      <c r="L20" s="51">
        <v>26.64</v>
      </c>
      <c r="M20" s="51">
        <v>91.43</v>
      </c>
      <c r="N20" s="51">
        <v>331.4</v>
      </c>
      <c r="O20" s="51">
        <v>0</v>
      </c>
      <c r="P20" s="51">
        <v>0.32</v>
      </c>
      <c r="Q20" s="51">
        <v>9.08</v>
      </c>
      <c r="R20" s="43"/>
      <c r="S20" s="43"/>
      <c r="T20" s="43"/>
      <c r="U20" s="43"/>
    </row>
    <row r="21" spans="1:21" s="11" customFormat="1" x14ac:dyDescent="0.25">
      <c r="A21" s="50" t="s">
        <v>696</v>
      </c>
      <c r="B21" s="51">
        <v>5.4</v>
      </c>
      <c r="C21" s="51">
        <v>13.9</v>
      </c>
      <c r="D21" s="51">
        <v>11.54</v>
      </c>
      <c r="E21" s="51">
        <v>3.82</v>
      </c>
      <c r="F21" s="51">
        <v>4.8499999999999996</v>
      </c>
      <c r="G21" s="51">
        <v>28.56</v>
      </c>
      <c r="H21" s="51">
        <v>6.84</v>
      </c>
      <c r="I21" s="51">
        <v>0.8</v>
      </c>
      <c r="J21" s="51">
        <v>0.28000000000000003</v>
      </c>
      <c r="K21" s="51">
        <v>280.14</v>
      </c>
      <c r="L21" s="51">
        <v>26.74</v>
      </c>
      <c r="M21" s="51">
        <v>87.59</v>
      </c>
      <c r="N21" s="51">
        <v>345.9</v>
      </c>
      <c r="O21" s="51">
        <v>0</v>
      </c>
      <c r="P21" s="51">
        <v>0.3</v>
      </c>
      <c r="Q21" s="51">
        <v>9.0299999999999994</v>
      </c>
      <c r="R21" s="43"/>
      <c r="S21" s="43"/>
      <c r="T21" s="43"/>
      <c r="U21" s="43"/>
    </row>
    <row r="22" spans="1:21" s="11" customFormat="1" x14ac:dyDescent="0.25">
      <c r="A22" s="50" t="s">
        <v>697</v>
      </c>
      <c r="B22" s="51">
        <v>4.93</v>
      </c>
      <c r="C22" s="51">
        <v>14.03</v>
      </c>
      <c r="D22" s="51">
        <v>11.28</v>
      </c>
      <c r="E22" s="51">
        <v>4.04</v>
      </c>
      <c r="F22" s="51">
        <v>5.29</v>
      </c>
      <c r="G22" s="51">
        <v>28.51</v>
      </c>
      <c r="H22" s="51">
        <v>5.49</v>
      </c>
      <c r="I22" s="51">
        <v>0.73</v>
      </c>
      <c r="J22" s="51">
        <v>0.25</v>
      </c>
      <c r="K22" s="51">
        <v>285.93</v>
      </c>
      <c r="L22" s="51">
        <v>27.23</v>
      </c>
      <c r="M22" s="51">
        <v>84.73</v>
      </c>
      <c r="N22" s="51">
        <v>319</v>
      </c>
      <c r="O22" s="51">
        <v>0</v>
      </c>
      <c r="P22" s="51">
        <v>0.23</v>
      </c>
      <c r="Q22" s="51">
        <v>9</v>
      </c>
      <c r="R22" s="43"/>
      <c r="S22" s="43"/>
      <c r="T22" s="43"/>
      <c r="U22" s="43"/>
    </row>
    <row r="23" spans="1:21" s="11" customFormat="1" x14ac:dyDescent="0.25">
      <c r="A23" s="50" t="s">
        <v>698</v>
      </c>
      <c r="B23" s="51">
        <v>5.14</v>
      </c>
      <c r="C23" s="51">
        <v>16.84</v>
      </c>
      <c r="D23" s="51">
        <v>12.85</v>
      </c>
      <c r="E23" s="51">
        <v>3.53</v>
      </c>
      <c r="F23" s="51">
        <v>5.13</v>
      </c>
      <c r="G23" s="51">
        <v>29</v>
      </c>
      <c r="H23" s="51">
        <v>7.76</v>
      </c>
      <c r="I23" s="51">
        <v>0.68</v>
      </c>
      <c r="J23" s="51">
        <v>0.42</v>
      </c>
      <c r="K23" s="51">
        <v>291.06</v>
      </c>
      <c r="L23" s="51">
        <v>27.32</v>
      </c>
      <c r="M23" s="51">
        <v>83.76</v>
      </c>
      <c r="N23" s="51">
        <v>281.7</v>
      </c>
      <c r="O23" s="51">
        <v>0</v>
      </c>
      <c r="P23" s="51">
        <v>0.23</v>
      </c>
      <c r="Q23" s="51">
        <v>9.0500000000000007</v>
      </c>
      <c r="R23" s="43"/>
      <c r="S23" s="43"/>
      <c r="T23" s="43"/>
      <c r="U23" s="43"/>
    </row>
    <row r="24" spans="1:21" s="11" customFormat="1" x14ac:dyDescent="0.25">
      <c r="A24" s="50" t="s">
        <v>699</v>
      </c>
      <c r="B24" s="51">
        <v>5.21</v>
      </c>
      <c r="C24" s="51">
        <v>17.48</v>
      </c>
      <c r="D24" s="51">
        <v>13.31</v>
      </c>
      <c r="E24" s="51">
        <v>4.43</v>
      </c>
      <c r="F24" s="51">
        <v>5.25</v>
      </c>
      <c r="G24" s="51">
        <v>33.11</v>
      </c>
      <c r="H24" s="51">
        <v>9.2200000000000006</v>
      </c>
      <c r="I24" s="51">
        <v>0.66</v>
      </c>
      <c r="J24" s="51">
        <v>0.28999999999999998</v>
      </c>
      <c r="K24" s="51">
        <v>296</v>
      </c>
      <c r="L24" s="51">
        <v>27.05</v>
      </c>
      <c r="M24" s="51">
        <v>82.55</v>
      </c>
      <c r="N24" s="51">
        <v>181.1</v>
      </c>
      <c r="O24" s="51">
        <v>0</v>
      </c>
      <c r="P24" s="51">
        <v>0.25</v>
      </c>
      <c r="Q24" s="51">
        <v>9.07</v>
      </c>
      <c r="R24" s="43"/>
      <c r="S24" s="43"/>
      <c r="T24" s="43"/>
      <c r="U24" s="43"/>
    </row>
    <row r="25" spans="1:21" s="11" customFormat="1" x14ac:dyDescent="0.25">
      <c r="A25" s="50" t="s">
        <v>700</v>
      </c>
      <c r="B25" s="51">
        <v>5.75</v>
      </c>
      <c r="C25" s="51">
        <v>15.94</v>
      </c>
      <c r="D25" s="51">
        <v>12.92</v>
      </c>
      <c r="E25" s="51">
        <v>4.42</v>
      </c>
      <c r="F25" s="51">
        <v>4.5599999999999996</v>
      </c>
      <c r="G25" s="51">
        <v>34.880000000000003</v>
      </c>
      <c r="H25" s="51">
        <v>9.2200000000000006</v>
      </c>
      <c r="I25" s="51">
        <v>0.68</v>
      </c>
      <c r="J25" s="51">
        <v>0.26</v>
      </c>
      <c r="K25" s="51">
        <v>304.42</v>
      </c>
      <c r="L25" s="51">
        <v>28.04</v>
      </c>
      <c r="M25" s="51">
        <v>81.11</v>
      </c>
      <c r="N25" s="51">
        <v>196.3</v>
      </c>
      <c r="O25" s="51">
        <v>0</v>
      </c>
      <c r="P25" s="51">
        <v>0.26</v>
      </c>
      <c r="Q25" s="51">
        <v>9.0500000000000007</v>
      </c>
      <c r="R25" s="43"/>
      <c r="S25" s="43"/>
      <c r="T25" s="43"/>
      <c r="U25" s="43"/>
    </row>
    <row r="26" spans="1:21" s="11" customFormat="1" x14ac:dyDescent="0.25">
      <c r="A26" s="50" t="s">
        <v>701</v>
      </c>
      <c r="B26" s="51">
        <v>6.04</v>
      </c>
      <c r="C26" s="51">
        <v>16.96</v>
      </c>
      <c r="D26" s="51">
        <v>13.7</v>
      </c>
      <c r="E26" s="51">
        <v>4.4400000000000004</v>
      </c>
      <c r="F26" s="51">
        <v>4.4000000000000004</v>
      </c>
      <c r="G26" s="51">
        <v>35.53</v>
      </c>
      <c r="H26" s="51">
        <v>6.58</v>
      </c>
      <c r="I26" s="51">
        <v>0.84</v>
      </c>
      <c r="J26" s="51">
        <v>0.2</v>
      </c>
      <c r="K26" s="51">
        <v>345.07</v>
      </c>
      <c r="L26" s="51">
        <v>28.02</v>
      </c>
      <c r="M26" s="51">
        <v>76.42</v>
      </c>
      <c r="N26" s="51">
        <v>169.5</v>
      </c>
      <c r="O26" s="51">
        <v>0</v>
      </c>
      <c r="P26" s="51">
        <v>0.32</v>
      </c>
      <c r="Q26" s="51">
        <v>9.0500000000000007</v>
      </c>
      <c r="R26" s="43"/>
      <c r="S26" s="43"/>
      <c r="T26" s="43"/>
      <c r="U26" s="43"/>
    </row>
    <row r="27" spans="1:21" s="11" customFormat="1" x14ac:dyDescent="0.25">
      <c r="A27" s="50" t="s">
        <v>702</v>
      </c>
      <c r="B27" s="51">
        <v>14.02</v>
      </c>
      <c r="C27" s="51">
        <v>23.75</v>
      </c>
      <c r="D27" s="51">
        <v>23.65</v>
      </c>
      <c r="E27" s="51">
        <v>4.63</v>
      </c>
      <c r="F27" s="51">
        <v>11.64</v>
      </c>
      <c r="G27" s="51">
        <v>41.22</v>
      </c>
      <c r="H27" s="51">
        <v>10.18</v>
      </c>
      <c r="I27" s="51">
        <v>0.96</v>
      </c>
      <c r="J27" s="51">
        <v>0.17</v>
      </c>
      <c r="K27" s="51">
        <v>345.6</v>
      </c>
      <c r="L27" s="51">
        <v>27.66</v>
      </c>
      <c r="M27" s="51">
        <v>82.33</v>
      </c>
      <c r="N27" s="51">
        <v>75.7</v>
      </c>
      <c r="O27" s="51">
        <v>0</v>
      </c>
      <c r="P27" s="51">
        <v>0.63</v>
      </c>
      <c r="Q27" s="51">
        <v>9.1199999999999992</v>
      </c>
      <c r="R27" s="43"/>
      <c r="S27" s="43"/>
      <c r="T27" s="43"/>
      <c r="U27" s="43"/>
    </row>
    <row r="28" spans="1:21" s="11" customFormat="1" x14ac:dyDescent="0.25">
      <c r="A28" s="50" t="s">
        <v>703</v>
      </c>
      <c r="B28" s="51">
        <v>20.100000000000001</v>
      </c>
      <c r="C28" s="51">
        <v>24.96</v>
      </c>
      <c r="D28" s="51">
        <v>28.63</v>
      </c>
      <c r="E28" s="51">
        <v>4.8099999999999996</v>
      </c>
      <c r="F28" s="51">
        <v>9.8000000000000007</v>
      </c>
      <c r="G28" s="51">
        <v>45.47</v>
      </c>
      <c r="H28" s="51">
        <v>11.32</v>
      </c>
      <c r="I28" s="51">
        <v>1.1599999999999999</v>
      </c>
      <c r="J28" s="51">
        <v>0.09</v>
      </c>
      <c r="K28" s="51">
        <v>358.94</v>
      </c>
      <c r="L28" s="51">
        <v>26.81</v>
      </c>
      <c r="M28" s="51">
        <v>86.15</v>
      </c>
      <c r="N28" s="51">
        <v>52.4</v>
      </c>
      <c r="O28" s="51">
        <v>0</v>
      </c>
      <c r="P28" s="51">
        <v>0.81</v>
      </c>
      <c r="Q28" s="51">
        <v>9.2200000000000006</v>
      </c>
      <c r="R28" s="43"/>
      <c r="S28" s="43"/>
      <c r="T28" s="43"/>
      <c r="U28" s="43"/>
    </row>
    <row r="29" spans="1:21" s="11" customFormat="1" x14ac:dyDescent="0.25">
      <c r="A29" s="50" t="s">
        <v>704</v>
      </c>
      <c r="B29" s="51">
        <v>10.74</v>
      </c>
      <c r="C29" s="51">
        <v>18.940000000000001</v>
      </c>
      <c r="D29" s="51">
        <v>18.27</v>
      </c>
      <c r="E29" s="51">
        <v>4.6399999999999997</v>
      </c>
      <c r="F29" s="51">
        <v>8.57</v>
      </c>
      <c r="G29" s="51">
        <v>47.29</v>
      </c>
      <c r="H29" s="51">
        <v>11.32</v>
      </c>
      <c r="I29" s="51">
        <v>1.3</v>
      </c>
      <c r="J29" s="51">
        <v>7.0000000000000007E-2</v>
      </c>
      <c r="K29" s="51">
        <v>354.34</v>
      </c>
      <c r="L29" s="51">
        <v>26.31</v>
      </c>
      <c r="M29" s="51">
        <v>91.57</v>
      </c>
      <c r="N29" s="51">
        <v>57.1</v>
      </c>
      <c r="O29" s="51">
        <v>0</v>
      </c>
      <c r="P29" s="51">
        <v>0.55000000000000004</v>
      </c>
      <c r="Q29" s="51">
        <v>9.2200000000000006</v>
      </c>
      <c r="R29" s="43"/>
      <c r="S29" s="43"/>
      <c r="T29" s="43"/>
      <c r="U29" s="43"/>
    </row>
    <row r="30" spans="1:21" s="11" customFormat="1" x14ac:dyDescent="0.25">
      <c r="A30" s="50" t="s">
        <v>705</v>
      </c>
      <c r="B30" s="51">
        <v>9.6300000000000008</v>
      </c>
      <c r="C30" s="51">
        <v>16.84</v>
      </c>
      <c r="D30" s="51">
        <v>16.52</v>
      </c>
      <c r="E30" s="51">
        <v>4.79</v>
      </c>
      <c r="F30" s="51">
        <v>5.97</v>
      </c>
      <c r="G30" s="51">
        <v>47.29</v>
      </c>
      <c r="H30" s="51">
        <v>10.38</v>
      </c>
      <c r="I30" s="51">
        <v>1.3</v>
      </c>
      <c r="J30" s="51">
        <v>0.56999999999999995</v>
      </c>
      <c r="K30" s="51">
        <v>320.54000000000002</v>
      </c>
      <c r="L30" s="51">
        <v>25.86</v>
      </c>
      <c r="M30" s="51">
        <v>97.6</v>
      </c>
      <c r="N30" s="51">
        <v>61.7</v>
      </c>
      <c r="O30" s="51">
        <v>0.8</v>
      </c>
      <c r="P30" s="51">
        <v>0.54</v>
      </c>
      <c r="Q30" s="51">
        <v>9.2100000000000009</v>
      </c>
      <c r="R30" s="43"/>
      <c r="S30" s="43"/>
      <c r="T30" s="43"/>
      <c r="U30" s="43"/>
    </row>
    <row r="31" spans="1:21" s="11" customFormat="1" x14ac:dyDescent="0.25">
      <c r="A31" s="50" t="s">
        <v>706</v>
      </c>
      <c r="B31" s="51">
        <v>7.61</v>
      </c>
      <c r="C31" s="51">
        <v>15.57</v>
      </c>
      <c r="D31" s="51">
        <v>14.21</v>
      </c>
      <c r="E31" s="51">
        <v>4.37</v>
      </c>
      <c r="F31" s="51">
        <v>4.3600000000000003</v>
      </c>
      <c r="G31" s="51">
        <v>44.2</v>
      </c>
      <c r="H31" s="51">
        <v>9.25</v>
      </c>
      <c r="I31" s="51">
        <v>1.31</v>
      </c>
      <c r="J31" s="51">
        <v>0.16</v>
      </c>
      <c r="K31" s="51">
        <v>356.62</v>
      </c>
      <c r="L31" s="51">
        <v>22.43</v>
      </c>
      <c r="M31" s="51">
        <v>97.62</v>
      </c>
      <c r="N31" s="51">
        <v>61.3</v>
      </c>
      <c r="O31" s="51">
        <v>0.6</v>
      </c>
      <c r="P31" s="51">
        <v>0.59</v>
      </c>
      <c r="Q31" s="51">
        <v>9.11</v>
      </c>
      <c r="R31" s="43"/>
      <c r="S31" s="43"/>
      <c r="T31" s="43"/>
      <c r="U31" s="43"/>
    </row>
    <row r="32" spans="1:21" s="11" customFormat="1" x14ac:dyDescent="0.25">
      <c r="A32" s="50" t="s">
        <v>707</v>
      </c>
      <c r="B32" s="51">
        <v>8.61</v>
      </c>
      <c r="C32" s="51">
        <v>15.32</v>
      </c>
      <c r="D32" s="51">
        <v>14.91</v>
      </c>
      <c r="E32" s="51">
        <v>4.3600000000000003</v>
      </c>
      <c r="F32" s="51">
        <v>4.25</v>
      </c>
      <c r="G32" s="51">
        <v>35.369999999999997</v>
      </c>
      <c r="H32" s="51">
        <v>9.25</v>
      </c>
      <c r="I32" s="51">
        <v>1.24</v>
      </c>
      <c r="J32" s="51">
        <v>0.2</v>
      </c>
      <c r="K32" s="51">
        <v>334.19</v>
      </c>
      <c r="L32" s="51">
        <v>22.42</v>
      </c>
      <c r="M32" s="51">
        <v>97.62</v>
      </c>
      <c r="N32" s="51">
        <v>62.5</v>
      </c>
      <c r="O32" s="51">
        <v>0.4</v>
      </c>
      <c r="P32" s="51">
        <v>0.5</v>
      </c>
      <c r="Q32" s="51">
        <v>9.1300000000000008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4.93</v>
      </c>
      <c r="C34" s="28">
        <f t="shared" si="0"/>
        <v>10.71</v>
      </c>
      <c r="D34" s="28">
        <f t="shared" si="0"/>
        <v>10.62</v>
      </c>
      <c r="E34" s="28">
        <f t="shared" si="0"/>
        <v>3.53</v>
      </c>
      <c r="F34" s="28">
        <f t="shared" si="0"/>
        <v>3.73</v>
      </c>
      <c r="G34" s="28">
        <f t="shared" si="0"/>
        <v>14.94</v>
      </c>
      <c r="H34" s="28">
        <f t="shared" si="0"/>
        <v>2.4700000000000002</v>
      </c>
      <c r="I34" s="28">
        <f t="shared" si="0"/>
        <v>0.66</v>
      </c>
      <c r="J34" s="28">
        <f t="shared" si="0"/>
        <v>7.0000000000000007E-2</v>
      </c>
      <c r="K34" s="28">
        <f t="shared" si="0"/>
        <v>280.14</v>
      </c>
      <c r="L34" s="28">
        <f t="shared" si="0"/>
        <v>22.42</v>
      </c>
      <c r="M34" s="28">
        <f t="shared" si="0"/>
        <v>76.42</v>
      </c>
      <c r="N34" s="28">
        <f t="shared" si="0"/>
        <v>52.4</v>
      </c>
      <c r="O34" s="28">
        <f t="shared" si="0"/>
        <v>0</v>
      </c>
      <c r="P34" s="28">
        <f t="shared" si="0"/>
        <v>0.16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20.100000000000001</v>
      </c>
      <c r="C35" s="29">
        <f t="shared" si="1"/>
        <v>24.96</v>
      </c>
      <c r="D35" s="29">
        <f t="shared" si="1"/>
        <v>28.63</v>
      </c>
      <c r="E35" s="29">
        <f t="shared" si="1"/>
        <v>4.82</v>
      </c>
      <c r="F35" s="29">
        <f t="shared" si="1"/>
        <v>11.64</v>
      </c>
      <c r="G35" s="29">
        <f t="shared" si="1"/>
        <v>47.29</v>
      </c>
      <c r="H35" s="29">
        <f t="shared" si="1"/>
        <v>11.32</v>
      </c>
      <c r="I35" s="29">
        <f t="shared" si="1"/>
        <v>1.31</v>
      </c>
      <c r="J35" s="29">
        <f t="shared" si="1"/>
        <v>0.56999999999999995</v>
      </c>
      <c r="K35" s="29">
        <f t="shared" si="1"/>
        <v>358.94</v>
      </c>
      <c r="L35" s="29">
        <f t="shared" si="1"/>
        <v>28.04</v>
      </c>
      <c r="M35" s="29">
        <f t="shared" si="1"/>
        <v>97.7</v>
      </c>
      <c r="N35" s="29">
        <f t="shared" si="1"/>
        <v>345.9</v>
      </c>
      <c r="O35" s="29">
        <f t="shared" si="1"/>
        <v>0.8</v>
      </c>
      <c r="P35" s="29">
        <f t="shared" si="1"/>
        <v>0.81</v>
      </c>
      <c r="Q35" s="29">
        <f t="shared" si="1"/>
        <v>9.2200000000000006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8.0662500000000019</v>
      </c>
      <c r="C36" s="28">
        <f t="shared" si="2"/>
        <v>15.253749999999998</v>
      </c>
      <c r="D36" s="28">
        <f t="shared" si="2"/>
        <v>14.329166666666666</v>
      </c>
      <c r="E36" s="28">
        <f t="shared" si="2"/>
        <v>4.38375</v>
      </c>
      <c r="F36" s="28">
        <f t="shared" si="2"/>
        <v>5.722500000000001</v>
      </c>
      <c r="G36" s="28">
        <f t="shared" si="2"/>
        <v>29.176666666666666</v>
      </c>
      <c r="H36" s="28">
        <f t="shared" si="2"/>
        <v>6.9166666666666652</v>
      </c>
      <c r="I36" s="28">
        <f t="shared" si="2"/>
        <v>0.90750000000000008</v>
      </c>
      <c r="J36" s="28">
        <f t="shared" si="2"/>
        <v>0.22</v>
      </c>
      <c r="K36" s="28">
        <f t="shared" si="2"/>
        <v>312.64166666666665</v>
      </c>
      <c r="L36" s="28">
        <f t="shared" si="2"/>
        <v>25.426249999999996</v>
      </c>
      <c r="M36" s="28">
        <f t="shared" si="2"/>
        <v>91.966666666666654</v>
      </c>
      <c r="N36" s="28">
        <f t="shared" si="2"/>
        <v>161.94583333333333</v>
      </c>
      <c r="O36" s="28">
        <f t="shared" si="2"/>
        <v>8.3333333333333329E-2</v>
      </c>
      <c r="P36" s="28">
        <f t="shared" si="2"/>
        <v>0.33458333333333329</v>
      </c>
      <c r="Q36" s="28">
        <f t="shared" si="2"/>
        <v>9.0912500000000005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3.3166114353423213</v>
      </c>
      <c r="C37" s="28">
        <f t="shared" ref="C37:Q37" si="3">STDEV(C9:C32)</f>
        <v>3.5762353444831421</v>
      </c>
      <c r="D37" s="28">
        <f t="shared" si="3"/>
        <v>4.1203755808829197</v>
      </c>
      <c r="E37" s="28">
        <f t="shared" si="3"/>
        <v>0.40573939483582216</v>
      </c>
      <c r="F37" s="28">
        <f t="shared" si="3"/>
        <v>1.9511852585142841</v>
      </c>
      <c r="G37" s="28">
        <f t="shared" si="3"/>
        <v>10.552800026807908</v>
      </c>
      <c r="H37" s="28">
        <f t="shared" si="3"/>
        <v>2.606382912017724</v>
      </c>
      <c r="I37" s="28">
        <f t="shared" si="3"/>
        <v>0.2087072007674243</v>
      </c>
      <c r="J37" s="28">
        <f t="shared" si="3"/>
        <v>0.11076806948480815</v>
      </c>
      <c r="K37" s="28">
        <f t="shared" si="3"/>
        <v>25.848187669488581</v>
      </c>
      <c r="L37" s="28">
        <f t="shared" si="3"/>
        <v>1.806239939042237</v>
      </c>
      <c r="M37" s="28">
        <f t="shared" si="3"/>
        <v>6.9646864948118443</v>
      </c>
      <c r="N37" s="28">
        <f t="shared" si="3"/>
        <v>102.14841282542585</v>
      </c>
      <c r="O37" s="28">
        <f t="shared" si="3"/>
        <v>0.21196116680157256</v>
      </c>
      <c r="P37" s="28">
        <f t="shared" si="3"/>
        <v>0.17232373897548992</v>
      </c>
      <c r="Q37" s="28">
        <f t="shared" si="3"/>
        <v>5.9293851869862815E-2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25" sqref="H2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708</v>
      </c>
      <c r="B9" s="51">
        <v>7.64</v>
      </c>
      <c r="C9" s="51">
        <v>13.63</v>
      </c>
      <c r="D9" s="51">
        <v>12.49</v>
      </c>
      <c r="E9" s="51">
        <v>3.87</v>
      </c>
      <c r="F9" s="51">
        <v>4.93</v>
      </c>
      <c r="G9" s="51">
        <v>23.88</v>
      </c>
      <c r="H9" s="51">
        <v>8.59</v>
      </c>
      <c r="I9" s="51">
        <v>1.27</v>
      </c>
      <c r="J9" s="51">
        <v>0.28999999999999998</v>
      </c>
      <c r="K9" s="51">
        <v>326.61</v>
      </c>
      <c r="L9" s="51">
        <v>22.33</v>
      </c>
      <c r="M9" s="51">
        <v>97.65</v>
      </c>
      <c r="N9" s="51">
        <v>62.6</v>
      </c>
      <c r="O9" s="51">
        <v>0</v>
      </c>
      <c r="P9" s="51">
        <v>0.46</v>
      </c>
      <c r="Q9" s="51">
        <v>9.1199999999999992</v>
      </c>
      <c r="R9" s="43"/>
      <c r="S9" s="43"/>
      <c r="T9" s="43"/>
      <c r="U9" s="43"/>
    </row>
    <row r="10" spans="1:21" s="11" customFormat="1" x14ac:dyDescent="0.25">
      <c r="A10" s="50" t="s">
        <v>709</v>
      </c>
      <c r="B10" s="51">
        <v>8.7200000000000006</v>
      </c>
      <c r="C10" s="51">
        <v>11.57</v>
      </c>
      <c r="D10" s="51">
        <v>12.81</v>
      </c>
      <c r="E10" s="51">
        <v>4.07</v>
      </c>
      <c r="F10" s="51">
        <v>3.6</v>
      </c>
      <c r="G10" s="51">
        <v>19.100000000000001</v>
      </c>
      <c r="H10" s="51">
        <v>8.59</v>
      </c>
      <c r="I10" s="51">
        <v>1.39</v>
      </c>
      <c r="J10" s="51">
        <v>0.27</v>
      </c>
      <c r="K10" s="51">
        <v>308.56</v>
      </c>
      <c r="L10" s="51">
        <v>22.47</v>
      </c>
      <c r="M10" s="51">
        <v>97.65</v>
      </c>
      <c r="N10" s="51">
        <v>63.1</v>
      </c>
      <c r="O10" s="51">
        <v>0.2</v>
      </c>
      <c r="P10" s="51">
        <v>0.41</v>
      </c>
      <c r="Q10" s="51">
        <v>9.1</v>
      </c>
      <c r="R10" s="43"/>
      <c r="S10" s="43"/>
      <c r="T10" s="43"/>
      <c r="U10" s="43"/>
    </row>
    <row r="11" spans="1:21" s="11" customFormat="1" x14ac:dyDescent="0.25">
      <c r="A11" s="50" t="s">
        <v>710</v>
      </c>
      <c r="B11" s="51">
        <v>8.75</v>
      </c>
      <c r="C11" s="51">
        <v>11.43</v>
      </c>
      <c r="D11" s="51">
        <v>12.75</v>
      </c>
      <c r="E11" s="51">
        <v>3.81</v>
      </c>
      <c r="F11" s="51">
        <v>4.2699999999999996</v>
      </c>
      <c r="G11" s="51">
        <v>21.58</v>
      </c>
      <c r="H11" s="51">
        <v>8.2899999999999991</v>
      </c>
      <c r="I11" s="51">
        <v>1.45</v>
      </c>
      <c r="J11" s="51">
        <v>0.13</v>
      </c>
      <c r="K11" s="51">
        <v>287.62</v>
      </c>
      <c r="L11" s="51">
        <v>22.39</v>
      </c>
      <c r="M11" s="51">
        <v>97.65</v>
      </c>
      <c r="N11" s="51">
        <v>62.8</v>
      </c>
      <c r="O11" s="51">
        <v>0.8</v>
      </c>
      <c r="P11" s="51">
        <v>0.4</v>
      </c>
      <c r="Q11" s="51">
        <v>9.11</v>
      </c>
      <c r="R11" s="43"/>
      <c r="S11" s="43"/>
      <c r="T11" s="43"/>
      <c r="U11" s="43"/>
    </row>
    <row r="12" spans="1:21" s="11" customFormat="1" x14ac:dyDescent="0.25">
      <c r="A12" s="50" t="s">
        <v>711</v>
      </c>
      <c r="B12" s="51">
        <v>10.29</v>
      </c>
      <c r="C12" s="51">
        <v>13.75</v>
      </c>
      <c r="D12" s="51">
        <v>15.43</v>
      </c>
      <c r="E12" s="51">
        <v>3.74</v>
      </c>
      <c r="F12" s="51">
        <v>6.58</v>
      </c>
      <c r="G12" s="51">
        <v>21.97</v>
      </c>
      <c r="H12" s="51">
        <v>6.88</v>
      </c>
      <c r="I12" s="51">
        <v>1.54</v>
      </c>
      <c r="J12" s="51">
        <v>0.16</v>
      </c>
      <c r="K12" s="51">
        <v>217.46</v>
      </c>
      <c r="L12" s="51">
        <v>22.09</v>
      </c>
      <c r="M12" s="51">
        <v>97.62</v>
      </c>
      <c r="N12" s="51">
        <v>62.8</v>
      </c>
      <c r="O12" s="51">
        <v>0.4</v>
      </c>
      <c r="P12" s="51">
        <v>0.55000000000000004</v>
      </c>
      <c r="Q12" s="51">
        <v>9.16</v>
      </c>
      <c r="R12" s="43"/>
      <c r="S12" s="43"/>
      <c r="T12" s="43"/>
      <c r="U12" s="43"/>
    </row>
    <row r="13" spans="1:21" s="11" customFormat="1" x14ac:dyDescent="0.25">
      <c r="A13" s="50" t="s">
        <v>712</v>
      </c>
      <c r="B13" s="51">
        <v>10.48</v>
      </c>
      <c r="C13" s="51">
        <v>12.77</v>
      </c>
      <c r="D13" s="51">
        <v>15.08</v>
      </c>
      <c r="E13" s="51">
        <v>4.05</v>
      </c>
      <c r="F13" s="51">
        <v>6.08</v>
      </c>
      <c r="G13" s="51">
        <v>23.34</v>
      </c>
      <c r="H13" s="51">
        <v>6.88</v>
      </c>
      <c r="I13" s="51">
        <v>1.59</v>
      </c>
      <c r="J13" s="51">
        <v>0.18</v>
      </c>
      <c r="K13" s="51">
        <v>305.85000000000002</v>
      </c>
      <c r="L13" s="51">
        <v>22.13</v>
      </c>
      <c r="M13" s="51">
        <v>97.61</v>
      </c>
      <c r="N13" s="51">
        <v>62.6</v>
      </c>
      <c r="O13" s="51">
        <v>0.2</v>
      </c>
      <c r="P13" s="51">
        <v>0.36</v>
      </c>
      <c r="Q13" s="51">
        <v>9.1999999999999993</v>
      </c>
      <c r="R13" s="43"/>
      <c r="S13" s="43"/>
      <c r="T13" s="43"/>
      <c r="U13" s="43"/>
    </row>
    <row r="14" spans="1:21" s="11" customFormat="1" x14ac:dyDescent="0.25">
      <c r="A14" s="50" t="s">
        <v>713</v>
      </c>
      <c r="B14" s="51">
        <v>11.58</v>
      </c>
      <c r="C14" s="51">
        <v>10.11</v>
      </c>
      <c r="D14" s="51">
        <v>14.48</v>
      </c>
      <c r="E14" s="51">
        <v>4.17</v>
      </c>
      <c r="F14" s="51">
        <v>4.54</v>
      </c>
      <c r="G14" s="51">
        <v>23.34</v>
      </c>
      <c r="H14" s="51">
        <v>4.93</v>
      </c>
      <c r="I14" s="51">
        <v>1.57</v>
      </c>
      <c r="J14" s="51">
        <v>0.91</v>
      </c>
      <c r="K14" s="51">
        <v>324.44</v>
      </c>
      <c r="L14" s="51">
        <v>22.19</v>
      </c>
      <c r="M14" s="51">
        <v>97.62</v>
      </c>
      <c r="N14" s="51">
        <v>64</v>
      </c>
      <c r="O14" s="51">
        <v>3.2</v>
      </c>
      <c r="P14" s="51">
        <v>0.41</v>
      </c>
      <c r="Q14" s="51">
        <v>9.1999999999999993</v>
      </c>
      <c r="R14" s="43"/>
      <c r="S14" s="43"/>
      <c r="T14" s="43"/>
      <c r="U14" s="43"/>
    </row>
    <row r="15" spans="1:21" s="11" customFormat="1" x14ac:dyDescent="0.25">
      <c r="A15" s="50" t="s">
        <v>714</v>
      </c>
      <c r="B15" s="51">
        <v>10.84</v>
      </c>
      <c r="C15" s="51">
        <v>10.74</v>
      </c>
      <c r="D15" s="51">
        <v>13.99</v>
      </c>
      <c r="E15" s="51">
        <v>4.2</v>
      </c>
      <c r="F15" s="51">
        <v>3.88</v>
      </c>
      <c r="G15" s="51">
        <v>16.739999999999998</v>
      </c>
      <c r="H15" s="51">
        <v>3.77</v>
      </c>
      <c r="I15" s="51">
        <v>1.36</v>
      </c>
      <c r="J15" s="51">
        <v>1.03</v>
      </c>
      <c r="K15" s="51">
        <v>318.29000000000002</v>
      </c>
      <c r="L15" s="51">
        <v>21.84</v>
      </c>
      <c r="M15" s="51">
        <v>97.59</v>
      </c>
      <c r="N15" s="51">
        <v>72</v>
      </c>
      <c r="O15" s="51">
        <v>1.8</v>
      </c>
      <c r="P15" s="51">
        <v>0.34</v>
      </c>
      <c r="Q15" s="51">
        <v>9.17</v>
      </c>
      <c r="R15" s="43"/>
      <c r="S15" s="43"/>
      <c r="T15" s="43"/>
      <c r="U15" s="43"/>
    </row>
    <row r="16" spans="1:21" s="11" customFormat="1" x14ac:dyDescent="0.25">
      <c r="A16" s="50" t="s">
        <v>715</v>
      </c>
      <c r="B16" s="51">
        <v>10.37</v>
      </c>
      <c r="C16" s="51">
        <v>11.63</v>
      </c>
      <c r="D16" s="51">
        <v>13.94</v>
      </c>
      <c r="E16" s="51">
        <v>3.87</v>
      </c>
      <c r="F16" s="51">
        <v>3.93</v>
      </c>
      <c r="G16" s="51">
        <v>12.1</v>
      </c>
      <c r="H16" s="51">
        <v>3.06</v>
      </c>
      <c r="I16" s="51">
        <v>1.17</v>
      </c>
      <c r="J16" s="51">
        <v>0.51</v>
      </c>
      <c r="K16" s="51">
        <v>306.89</v>
      </c>
      <c r="L16" s="51">
        <v>22.14</v>
      </c>
      <c r="M16" s="51">
        <v>97.58</v>
      </c>
      <c r="N16" s="51">
        <v>119.8</v>
      </c>
      <c r="O16" s="51">
        <v>0.8</v>
      </c>
      <c r="P16" s="51">
        <v>0.3</v>
      </c>
      <c r="Q16" s="51">
        <v>9.16</v>
      </c>
      <c r="R16" s="43"/>
      <c r="S16" s="43"/>
      <c r="T16" s="43"/>
      <c r="U16" s="43"/>
    </row>
    <row r="17" spans="1:21" s="11" customFormat="1" x14ac:dyDescent="0.25">
      <c r="A17" s="50" t="s">
        <v>716</v>
      </c>
      <c r="B17" s="51">
        <v>12.15</v>
      </c>
      <c r="C17" s="51">
        <v>12.38</v>
      </c>
      <c r="D17" s="51">
        <v>15.87</v>
      </c>
      <c r="E17" s="51">
        <v>4.92</v>
      </c>
      <c r="F17" s="51">
        <v>3.98</v>
      </c>
      <c r="G17" s="51">
        <v>11.33</v>
      </c>
      <c r="H17" s="51">
        <v>2.33</v>
      </c>
      <c r="I17" s="51">
        <v>1.1499999999999999</v>
      </c>
      <c r="J17" s="51">
        <v>0.25</v>
      </c>
      <c r="K17" s="51">
        <v>300.83</v>
      </c>
      <c r="L17" s="51">
        <v>23.62</v>
      </c>
      <c r="M17" s="51">
        <v>97.57</v>
      </c>
      <c r="N17" s="51">
        <v>286</v>
      </c>
      <c r="O17" s="51">
        <v>0</v>
      </c>
      <c r="P17" s="51">
        <v>0.3</v>
      </c>
      <c r="Q17" s="51">
        <v>9.24</v>
      </c>
      <c r="R17" s="43"/>
      <c r="S17" s="43"/>
      <c r="T17" s="43"/>
      <c r="U17" s="43"/>
    </row>
    <row r="18" spans="1:21" s="11" customFormat="1" x14ac:dyDescent="0.25">
      <c r="A18" s="50" t="s">
        <v>717</v>
      </c>
      <c r="B18" s="51">
        <v>12.49</v>
      </c>
      <c r="C18" s="51">
        <v>12.49</v>
      </c>
      <c r="D18" s="51">
        <v>16.12</v>
      </c>
      <c r="E18" s="51">
        <v>4.83</v>
      </c>
      <c r="F18" s="51">
        <v>3.72</v>
      </c>
      <c r="G18" s="51">
        <v>10.63</v>
      </c>
      <c r="H18" s="51">
        <v>2.16</v>
      </c>
      <c r="I18" s="51">
        <v>1.23</v>
      </c>
      <c r="J18" s="51">
        <v>0.28999999999999998</v>
      </c>
      <c r="K18" s="51">
        <v>299.83</v>
      </c>
      <c r="L18" s="51">
        <v>23.64</v>
      </c>
      <c r="M18" s="51">
        <v>97.58</v>
      </c>
      <c r="N18" s="51">
        <v>248.7</v>
      </c>
      <c r="O18" s="51">
        <v>0</v>
      </c>
      <c r="P18" s="51">
        <v>0.38</v>
      </c>
      <c r="Q18" s="51">
        <v>9.25</v>
      </c>
      <c r="R18" s="43"/>
      <c r="S18" s="43"/>
      <c r="T18" s="43"/>
      <c r="U18" s="43"/>
    </row>
    <row r="19" spans="1:21" s="11" customFormat="1" x14ac:dyDescent="0.25">
      <c r="A19" s="50" t="s">
        <v>718</v>
      </c>
      <c r="B19" s="51">
        <v>12.35</v>
      </c>
      <c r="C19" s="51">
        <v>13.6</v>
      </c>
      <c r="D19" s="51">
        <v>16.43</v>
      </c>
      <c r="E19" s="51">
        <v>4.96</v>
      </c>
      <c r="F19" s="51">
        <v>3.67</v>
      </c>
      <c r="G19" s="51">
        <v>23.42</v>
      </c>
      <c r="H19" s="51">
        <v>4.38</v>
      </c>
      <c r="I19" s="51">
        <v>1.85</v>
      </c>
      <c r="J19" s="51">
        <v>0.22</v>
      </c>
      <c r="K19" s="51">
        <v>294.25</v>
      </c>
      <c r="L19" s="51">
        <v>25.33</v>
      </c>
      <c r="M19" s="51">
        <v>97.51</v>
      </c>
      <c r="N19" s="51">
        <v>343.7</v>
      </c>
      <c r="O19" s="51">
        <v>0</v>
      </c>
      <c r="P19" s="51">
        <v>0.52</v>
      </c>
      <c r="Q19" s="51">
        <v>9.2200000000000006</v>
      </c>
      <c r="R19" s="43"/>
      <c r="S19" s="43"/>
      <c r="T19" s="43"/>
      <c r="U19" s="43"/>
    </row>
    <row r="20" spans="1:21" s="11" customFormat="1" x14ac:dyDescent="0.25">
      <c r="A20" s="50" t="s">
        <v>719</v>
      </c>
      <c r="B20" s="51">
        <v>11.75</v>
      </c>
      <c r="C20" s="51">
        <v>14.91</v>
      </c>
      <c r="D20" s="51">
        <v>16.989999999999998</v>
      </c>
      <c r="E20" s="51">
        <v>4.93</v>
      </c>
      <c r="F20" s="51">
        <v>4.1900000000000004</v>
      </c>
      <c r="G20" s="51">
        <v>31.38</v>
      </c>
      <c r="H20" s="51">
        <v>5.78</v>
      </c>
      <c r="I20" s="51">
        <v>2.2599999999999998</v>
      </c>
      <c r="J20" s="51">
        <v>0.25</v>
      </c>
      <c r="K20" s="51">
        <v>291.06</v>
      </c>
      <c r="L20" s="51">
        <v>26.88</v>
      </c>
      <c r="M20" s="51">
        <v>97.4</v>
      </c>
      <c r="N20" s="51">
        <v>411.6</v>
      </c>
      <c r="O20" s="51">
        <v>0</v>
      </c>
      <c r="P20" s="51">
        <v>0.56000000000000005</v>
      </c>
      <c r="Q20" s="51">
        <v>9.23</v>
      </c>
      <c r="R20" s="43"/>
      <c r="S20" s="43"/>
      <c r="T20" s="43"/>
      <c r="U20" s="43"/>
    </row>
    <row r="21" spans="1:21" s="11" customFormat="1" x14ac:dyDescent="0.25">
      <c r="A21" s="50" t="s">
        <v>720</v>
      </c>
      <c r="B21" s="51">
        <v>12.31</v>
      </c>
      <c r="C21" s="51">
        <v>17.04</v>
      </c>
      <c r="D21" s="51">
        <v>18.59</v>
      </c>
      <c r="E21" s="51">
        <v>4.99</v>
      </c>
      <c r="F21" s="51">
        <v>6.36</v>
      </c>
      <c r="G21" s="51">
        <v>40.200000000000003</v>
      </c>
      <c r="H21" s="51">
        <v>7.99</v>
      </c>
      <c r="I21" s="51">
        <v>2.4900000000000002</v>
      </c>
      <c r="J21" s="51">
        <v>0.28999999999999998</v>
      </c>
      <c r="K21" s="51">
        <v>288.39999999999998</v>
      </c>
      <c r="L21" s="51">
        <v>27.93</v>
      </c>
      <c r="M21" s="51">
        <v>92.48</v>
      </c>
      <c r="N21" s="51">
        <v>393.4</v>
      </c>
      <c r="O21" s="51">
        <v>0</v>
      </c>
      <c r="P21" s="51">
        <v>0.66</v>
      </c>
      <c r="Q21" s="51">
        <v>9.24</v>
      </c>
      <c r="R21" s="43"/>
      <c r="S21" s="43"/>
      <c r="T21" s="43"/>
      <c r="U21" s="43"/>
    </row>
    <row r="22" spans="1:21" s="11" customFormat="1" x14ac:dyDescent="0.25">
      <c r="A22" s="50" t="s">
        <v>721</v>
      </c>
      <c r="B22" s="51">
        <v>11.04</v>
      </c>
      <c r="C22" s="51">
        <v>18.649999999999999</v>
      </c>
      <c r="D22" s="51">
        <v>17.8</v>
      </c>
      <c r="E22" s="51">
        <v>4.95</v>
      </c>
      <c r="F22" s="51">
        <v>7.95</v>
      </c>
      <c r="G22" s="51">
        <v>42.28</v>
      </c>
      <c r="H22" s="51">
        <v>9.82</v>
      </c>
      <c r="I22" s="51">
        <v>2.57</v>
      </c>
      <c r="J22" s="51">
        <v>0.46</v>
      </c>
      <c r="K22" s="51">
        <v>302.33999999999997</v>
      </c>
      <c r="L22" s="51">
        <v>29.12</v>
      </c>
      <c r="M22" s="51">
        <v>83.33</v>
      </c>
      <c r="N22" s="51">
        <v>421.2</v>
      </c>
      <c r="O22" s="51">
        <v>0</v>
      </c>
      <c r="P22" s="51">
        <v>0.61</v>
      </c>
      <c r="Q22" s="51">
        <v>9.23</v>
      </c>
      <c r="R22" s="43"/>
      <c r="S22" s="43"/>
      <c r="T22" s="43"/>
      <c r="U22" s="43"/>
    </row>
    <row r="23" spans="1:21" s="11" customFormat="1" x14ac:dyDescent="0.25">
      <c r="A23" s="50" t="s">
        <v>722</v>
      </c>
      <c r="B23" s="51">
        <v>8.27</v>
      </c>
      <c r="C23" s="51">
        <v>18.46</v>
      </c>
      <c r="D23" s="51">
        <v>15.92</v>
      </c>
      <c r="E23" s="51">
        <v>4.83</v>
      </c>
      <c r="F23" s="51">
        <v>4.33</v>
      </c>
      <c r="G23" s="51">
        <v>50.14</v>
      </c>
      <c r="H23" s="51">
        <v>14.9</v>
      </c>
      <c r="I23" s="51">
        <v>2.65</v>
      </c>
      <c r="J23" s="51">
        <v>0.38</v>
      </c>
      <c r="K23" s="51">
        <v>296.83999999999997</v>
      </c>
      <c r="L23" s="51">
        <v>27.8</v>
      </c>
      <c r="M23" s="51">
        <v>86.65</v>
      </c>
      <c r="N23" s="51">
        <v>297.39999999999998</v>
      </c>
      <c r="O23" s="51">
        <v>0</v>
      </c>
      <c r="P23" s="51">
        <v>0.65</v>
      </c>
      <c r="Q23" s="51">
        <v>9.17</v>
      </c>
      <c r="R23" s="43"/>
      <c r="S23" s="43"/>
      <c r="T23" s="43"/>
      <c r="U23" s="43"/>
    </row>
    <row r="24" spans="1:21" s="11" customFormat="1" x14ac:dyDescent="0.25">
      <c r="A24" s="50" t="s">
        <v>723</v>
      </c>
      <c r="B24" s="51">
        <v>6.52</v>
      </c>
      <c r="C24" s="51">
        <v>18.63</v>
      </c>
      <c r="D24" s="51">
        <v>14.97</v>
      </c>
      <c r="E24" s="51">
        <v>5.01</v>
      </c>
      <c r="F24" s="51">
        <v>3.98</v>
      </c>
      <c r="G24" s="51">
        <v>50.14</v>
      </c>
      <c r="H24" s="51">
        <v>14.9</v>
      </c>
      <c r="I24" s="51">
        <v>2.72</v>
      </c>
      <c r="J24" s="51">
        <v>0.91</v>
      </c>
      <c r="K24" s="51">
        <v>301.06</v>
      </c>
      <c r="L24" s="51">
        <v>26.99</v>
      </c>
      <c r="M24" s="51">
        <v>87.37</v>
      </c>
      <c r="N24" s="51">
        <v>150.5</v>
      </c>
      <c r="O24" s="51">
        <v>0.2</v>
      </c>
      <c r="P24" s="51">
        <v>0.61</v>
      </c>
      <c r="Q24" s="51">
        <v>9.11</v>
      </c>
      <c r="R24" s="43"/>
      <c r="S24" s="43"/>
      <c r="T24" s="43"/>
      <c r="U24" s="43"/>
    </row>
    <row r="25" spans="1:21" s="11" customFormat="1" x14ac:dyDescent="0.25">
      <c r="A25" s="50" t="s">
        <v>724</v>
      </c>
      <c r="B25" s="51">
        <v>10.32</v>
      </c>
      <c r="C25" s="51">
        <v>25.26</v>
      </c>
      <c r="D25" s="51">
        <v>21.47</v>
      </c>
      <c r="E25" s="51">
        <v>4.5</v>
      </c>
      <c r="F25" s="51">
        <v>6.73</v>
      </c>
      <c r="G25" s="51">
        <v>49.21</v>
      </c>
      <c r="H25" s="51">
        <v>12.02</v>
      </c>
      <c r="I25" s="51">
        <v>2.12</v>
      </c>
      <c r="J25" s="51">
        <v>0.38</v>
      </c>
      <c r="K25" s="51">
        <v>291.38</v>
      </c>
      <c r="L25" s="51">
        <v>25.26</v>
      </c>
      <c r="M25" s="51">
        <v>97.49</v>
      </c>
      <c r="N25" s="51">
        <v>92.3</v>
      </c>
      <c r="O25" s="51">
        <v>0.2</v>
      </c>
      <c r="P25" s="51">
        <v>0.74</v>
      </c>
      <c r="Q25" s="51">
        <v>9.1300000000000008</v>
      </c>
      <c r="R25" s="43"/>
      <c r="S25" s="43"/>
      <c r="T25" s="43"/>
      <c r="U25" s="43"/>
    </row>
    <row r="26" spans="1:21" s="11" customFormat="1" x14ac:dyDescent="0.25">
      <c r="A26" s="50" t="s">
        <v>725</v>
      </c>
      <c r="B26" s="51">
        <v>17.39</v>
      </c>
      <c r="C26" s="51">
        <v>30.94</v>
      </c>
      <c r="D26" s="51">
        <v>29.59</v>
      </c>
      <c r="E26" s="51">
        <v>4.5599999999999996</v>
      </c>
      <c r="F26" s="51">
        <v>6.94</v>
      </c>
      <c r="G26" s="51">
        <v>46.07</v>
      </c>
      <c r="H26" s="51">
        <v>12.16</v>
      </c>
      <c r="I26" s="51">
        <v>1.95</v>
      </c>
      <c r="J26" s="51">
        <v>0.11</v>
      </c>
      <c r="K26" s="51">
        <v>323.47000000000003</v>
      </c>
      <c r="L26" s="51">
        <v>23.45</v>
      </c>
      <c r="M26" s="51">
        <v>97.53</v>
      </c>
      <c r="N26" s="51">
        <v>61.9</v>
      </c>
      <c r="O26" s="51">
        <v>0.4</v>
      </c>
      <c r="P26" s="51">
        <v>1.1100000000000001</v>
      </c>
      <c r="Q26" s="51">
        <v>9.2100000000000009</v>
      </c>
      <c r="R26" s="43"/>
      <c r="S26" s="43"/>
      <c r="T26" s="43"/>
      <c r="U26" s="43"/>
    </row>
    <row r="27" spans="1:21" s="11" customFormat="1" x14ac:dyDescent="0.25">
      <c r="A27" s="50" t="s">
        <v>726</v>
      </c>
      <c r="B27" s="51">
        <v>11.84</v>
      </c>
      <c r="C27" s="51">
        <v>22.48</v>
      </c>
      <c r="D27" s="51">
        <v>20.92</v>
      </c>
      <c r="E27" s="51">
        <v>4.46</v>
      </c>
      <c r="F27" s="51">
        <v>6.15</v>
      </c>
      <c r="G27" s="51">
        <v>44.06</v>
      </c>
      <c r="H27" s="51">
        <v>12.72</v>
      </c>
      <c r="I27" s="51">
        <v>2.04</v>
      </c>
      <c r="J27" s="51">
        <v>0.08</v>
      </c>
      <c r="K27" s="51">
        <v>253.61</v>
      </c>
      <c r="L27" s="51">
        <v>23.05</v>
      </c>
      <c r="M27" s="51">
        <v>97.58</v>
      </c>
      <c r="N27" s="51">
        <v>51.7</v>
      </c>
      <c r="O27" s="51">
        <v>0.4</v>
      </c>
      <c r="P27" s="51">
        <v>0.71</v>
      </c>
      <c r="Q27" s="51">
        <v>9.24</v>
      </c>
      <c r="R27" s="43"/>
      <c r="S27" s="43"/>
      <c r="T27" s="43"/>
      <c r="U27" s="43"/>
    </row>
    <row r="28" spans="1:21" s="11" customFormat="1" x14ac:dyDescent="0.25">
      <c r="A28" s="50" t="s">
        <v>727</v>
      </c>
      <c r="B28" s="51">
        <v>14.31</v>
      </c>
      <c r="C28" s="51">
        <v>21.89</v>
      </c>
      <c r="D28" s="51">
        <v>22.91</v>
      </c>
      <c r="E28" s="51">
        <v>4.37</v>
      </c>
      <c r="F28" s="51">
        <v>5.26</v>
      </c>
      <c r="G28" s="51">
        <v>41.66</v>
      </c>
      <c r="H28" s="51">
        <v>12.72</v>
      </c>
      <c r="I28" s="51">
        <v>2.06</v>
      </c>
      <c r="J28" s="51">
        <v>0.15</v>
      </c>
      <c r="K28" s="51">
        <v>232.81</v>
      </c>
      <c r="L28" s="51">
        <v>23.11</v>
      </c>
      <c r="M28" s="51">
        <v>97.58</v>
      </c>
      <c r="N28" s="51">
        <v>46.5</v>
      </c>
      <c r="O28" s="51">
        <v>0.2</v>
      </c>
      <c r="P28" s="51">
        <v>0.5</v>
      </c>
      <c r="Q28" s="51">
        <v>9.2799999999999994</v>
      </c>
      <c r="R28" s="43"/>
      <c r="S28" s="43"/>
      <c r="T28" s="43"/>
      <c r="U28" s="43"/>
    </row>
    <row r="29" spans="1:21" s="11" customFormat="1" x14ac:dyDescent="0.25">
      <c r="A29" s="50" t="s">
        <v>728</v>
      </c>
      <c r="B29" s="51">
        <v>14.88</v>
      </c>
      <c r="C29" s="51">
        <v>19.63</v>
      </c>
      <c r="D29" s="51">
        <v>20.190000000000001</v>
      </c>
      <c r="E29" s="51">
        <v>4.3</v>
      </c>
      <c r="F29" s="51">
        <v>7.44</v>
      </c>
      <c r="G29" s="51">
        <v>36.85</v>
      </c>
      <c r="H29" s="51">
        <v>10.52</v>
      </c>
      <c r="I29" s="51">
        <v>2.02</v>
      </c>
      <c r="J29" s="51">
        <v>0.1</v>
      </c>
      <c r="K29" s="51">
        <v>303.04000000000002</v>
      </c>
      <c r="L29" s="51">
        <v>23.16</v>
      </c>
      <c r="M29" s="51">
        <v>97.58</v>
      </c>
      <c r="N29" s="51">
        <v>46.5</v>
      </c>
      <c r="O29" s="51">
        <v>0</v>
      </c>
      <c r="P29" s="51">
        <v>0.47</v>
      </c>
      <c r="Q29" s="51">
        <v>9.2899999999999991</v>
      </c>
      <c r="R29" s="43"/>
      <c r="S29" s="43"/>
      <c r="T29" s="43"/>
      <c r="U29" s="43"/>
    </row>
    <row r="30" spans="1:21" s="11" customFormat="1" x14ac:dyDescent="0.25">
      <c r="A30" s="50" t="s">
        <v>729</v>
      </c>
      <c r="B30" s="51">
        <v>13.86</v>
      </c>
      <c r="C30" s="51">
        <v>20.56</v>
      </c>
      <c r="D30" s="51">
        <v>21.86</v>
      </c>
      <c r="E30" s="51">
        <v>4.28</v>
      </c>
      <c r="F30" s="51">
        <v>8.1</v>
      </c>
      <c r="G30" s="51">
        <v>27.85</v>
      </c>
      <c r="H30" s="51">
        <v>8.43</v>
      </c>
      <c r="I30" s="51">
        <v>1.93</v>
      </c>
      <c r="J30" s="51">
        <v>7.0000000000000007E-2</v>
      </c>
      <c r="K30" s="51">
        <v>248.83</v>
      </c>
      <c r="L30" s="51">
        <v>23.24</v>
      </c>
      <c r="M30" s="51">
        <v>97.58</v>
      </c>
      <c r="N30" s="51">
        <v>46.5</v>
      </c>
      <c r="O30" s="51">
        <v>0</v>
      </c>
      <c r="P30" s="51">
        <v>0.38</v>
      </c>
      <c r="Q30" s="51">
        <v>9.34</v>
      </c>
      <c r="R30" s="43"/>
      <c r="S30" s="43"/>
      <c r="T30" s="43"/>
      <c r="U30" s="43"/>
    </row>
    <row r="31" spans="1:21" s="11" customFormat="1" x14ac:dyDescent="0.25">
      <c r="A31" s="50" t="s">
        <v>730</v>
      </c>
      <c r="B31" s="51">
        <v>12.61</v>
      </c>
      <c r="C31" s="51">
        <v>16.829999999999998</v>
      </c>
      <c r="D31" s="51">
        <v>17.59</v>
      </c>
      <c r="E31" s="51">
        <v>4.42</v>
      </c>
      <c r="F31" s="51">
        <v>8.1199999999999992</v>
      </c>
      <c r="G31" s="51">
        <v>26.43</v>
      </c>
      <c r="H31" s="51">
        <v>8.68</v>
      </c>
      <c r="I31" s="51">
        <v>1.88</v>
      </c>
      <c r="J31" s="51">
        <v>0.08</v>
      </c>
      <c r="K31" s="51">
        <v>272.2</v>
      </c>
      <c r="L31" s="51">
        <v>23.21</v>
      </c>
      <c r="M31" s="51">
        <v>97.58</v>
      </c>
      <c r="N31" s="51">
        <v>47</v>
      </c>
      <c r="O31" s="51">
        <v>0</v>
      </c>
      <c r="P31" s="51">
        <v>0.36</v>
      </c>
      <c r="Q31" s="51">
        <v>9.35</v>
      </c>
      <c r="R31" s="43"/>
      <c r="S31" s="43"/>
      <c r="T31" s="43"/>
      <c r="U31" s="43"/>
    </row>
    <row r="32" spans="1:21" s="11" customFormat="1" x14ac:dyDescent="0.25">
      <c r="A32" s="50" t="s">
        <v>731</v>
      </c>
      <c r="B32" s="51">
        <v>13.83</v>
      </c>
      <c r="C32" s="51">
        <v>15.16</v>
      </c>
      <c r="D32" s="51">
        <v>17.34</v>
      </c>
      <c r="E32" s="51">
        <v>4.45</v>
      </c>
      <c r="F32" s="51">
        <v>4.82</v>
      </c>
      <c r="G32" s="51">
        <v>26.43</v>
      </c>
      <c r="H32" s="51">
        <v>8.68</v>
      </c>
      <c r="I32" s="51">
        <v>1.77</v>
      </c>
      <c r="J32" s="51">
        <v>0.25</v>
      </c>
      <c r="K32" s="51">
        <v>321.64</v>
      </c>
      <c r="L32" s="51">
        <v>23.71</v>
      </c>
      <c r="M32" s="51">
        <v>97.58</v>
      </c>
      <c r="N32" s="51">
        <v>47.5</v>
      </c>
      <c r="O32" s="51">
        <v>0</v>
      </c>
      <c r="P32" s="51">
        <v>0.37</v>
      </c>
      <c r="Q32" s="51">
        <v>9.3000000000000007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6.52</v>
      </c>
      <c r="C34" s="28">
        <f t="shared" si="0"/>
        <v>10.11</v>
      </c>
      <c r="D34" s="28">
        <f t="shared" si="0"/>
        <v>12.49</v>
      </c>
      <c r="E34" s="28">
        <f t="shared" si="0"/>
        <v>3.74</v>
      </c>
      <c r="F34" s="28">
        <f t="shared" si="0"/>
        <v>3.6</v>
      </c>
      <c r="G34" s="28">
        <f t="shared" si="0"/>
        <v>10.63</v>
      </c>
      <c r="H34" s="28">
        <f t="shared" si="0"/>
        <v>2.16</v>
      </c>
      <c r="I34" s="28">
        <f t="shared" si="0"/>
        <v>1.1499999999999999</v>
      </c>
      <c r="J34" s="28">
        <f t="shared" si="0"/>
        <v>7.0000000000000007E-2</v>
      </c>
      <c r="K34" s="28">
        <f t="shared" si="0"/>
        <v>217.46</v>
      </c>
      <c r="L34" s="28">
        <f t="shared" si="0"/>
        <v>21.84</v>
      </c>
      <c r="M34" s="28">
        <f t="shared" si="0"/>
        <v>83.33</v>
      </c>
      <c r="N34" s="28">
        <f t="shared" si="0"/>
        <v>46.5</v>
      </c>
      <c r="O34" s="28">
        <f t="shared" si="0"/>
        <v>0</v>
      </c>
      <c r="P34" s="28">
        <f t="shared" si="0"/>
        <v>0.3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17.39</v>
      </c>
      <c r="C35" s="29">
        <f t="shared" si="1"/>
        <v>30.94</v>
      </c>
      <c r="D35" s="29">
        <f t="shared" si="1"/>
        <v>29.59</v>
      </c>
      <c r="E35" s="29">
        <f t="shared" si="1"/>
        <v>5.01</v>
      </c>
      <c r="F35" s="29">
        <f t="shared" si="1"/>
        <v>8.1199999999999992</v>
      </c>
      <c r="G35" s="29">
        <f t="shared" si="1"/>
        <v>50.14</v>
      </c>
      <c r="H35" s="29">
        <f t="shared" si="1"/>
        <v>14.9</v>
      </c>
      <c r="I35" s="29">
        <f t="shared" si="1"/>
        <v>2.72</v>
      </c>
      <c r="J35" s="29">
        <f t="shared" si="1"/>
        <v>1.03</v>
      </c>
      <c r="K35" s="29">
        <f t="shared" si="1"/>
        <v>326.61</v>
      </c>
      <c r="L35" s="29">
        <f t="shared" si="1"/>
        <v>29.12</v>
      </c>
      <c r="M35" s="29">
        <f t="shared" si="1"/>
        <v>97.65</v>
      </c>
      <c r="N35" s="29">
        <f t="shared" si="1"/>
        <v>421.2</v>
      </c>
      <c r="O35" s="29">
        <f t="shared" si="1"/>
        <v>3.2</v>
      </c>
      <c r="P35" s="29">
        <f t="shared" si="1"/>
        <v>1.1100000000000001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11.441249999999998</v>
      </c>
      <c r="C36" s="28">
        <f t="shared" si="2"/>
        <v>16.439166666666669</v>
      </c>
      <c r="D36" s="28">
        <f t="shared" si="2"/>
        <v>17.313749999999999</v>
      </c>
      <c r="E36" s="28">
        <f t="shared" si="2"/>
        <v>4.4391666666666678</v>
      </c>
      <c r="F36" s="28">
        <f t="shared" si="2"/>
        <v>5.3979166666666671</v>
      </c>
      <c r="G36" s="28">
        <f t="shared" si="2"/>
        <v>30.005416666666658</v>
      </c>
      <c r="H36" s="28">
        <f t="shared" si="2"/>
        <v>8.2991666666666681</v>
      </c>
      <c r="I36" s="28">
        <f t="shared" si="2"/>
        <v>1.8345833333333337</v>
      </c>
      <c r="J36" s="28">
        <f t="shared" si="2"/>
        <v>0.32291666666666669</v>
      </c>
      <c r="K36" s="28">
        <f t="shared" si="2"/>
        <v>292.38791666666668</v>
      </c>
      <c r="L36" s="28">
        <f t="shared" si="2"/>
        <v>24.045000000000002</v>
      </c>
      <c r="M36" s="28">
        <f t="shared" si="2"/>
        <v>95.89</v>
      </c>
      <c r="N36" s="28">
        <f t="shared" si="2"/>
        <v>148.42083333333335</v>
      </c>
      <c r="O36" s="28">
        <f t="shared" si="2"/>
        <v>0.36666666666666664</v>
      </c>
      <c r="P36" s="28">
        <f t="shared" si="2"/>
        <v>0.50666666666666671</v>
      </c>
      <c r="Q36" s="28">
        <f t="shared" si="2"/>
        <v>9.2104166666666654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2.4704414541253321</v>
      </c>
      <c r="C37" s="28">
        <f t="shared" ref="C37:Q37" si="3">STDEV(C9:C32)</f>
        <v>5.1621270613092651</v>
      </c>
      <c r="D37" s="28">
        <f t="shared" si="3"/>
        <v>3.9474601768511883</v>
      </c>
      <c r="E37" s="28">
        <f t="shared" si="3"/>
        <v>0.41482229476232829</v>
      </c>
      <c r="F37" s="28">
        <f t="shared" si="3"/>
        <v>1.5547066804766858</v>
      </c>
      <c r="G37" s="28">
        <f t="shared" si="3"/>
        <v>12.768127770952285</v>
      </c>
      <c r="H37" s="28">
        <f t="shared" si="3"/>
        <v>3.7368039315956079</v>
      </c>
      <c r="I37" s="28">
        <f t="shared" si="3"/>
        <v>0.4763993498942975</v>
      </c>
      <c r="J37" s="28">
        <f t="shared" si="3"/>
        <v>0.26972577324687236</v>
      </c>
      <c r="K37" s="28">
        <f t="shared" si="3"/>
        <v>28.586729055275107</v>
      </c>
      <c r="L37" s="28">
        <f t="shared" si="3"/>
        <v>2.1586267776568953</v>
      </c>
      <c r="M37" s="28">
        <f t="shared" si="3"/>
        <v>4.087637778558129</v>
      </c>
      <c r="N37" s="28">
        <f t="shared" si="3"/>
        <v>134.34005190970208</v>
      </c>
      <c r="O37" s="28">
        <f t="shared" si="3"/>
        <v>0.7287074123086873</v>
      </c>
      <c r="P37" s="28">
        <f t="shared" si="3"/>
        <v>0.18305776390947234</v>
      </c>
      <c r="Q37" s="28">
        <f t="shared" si="3"/>
        <v>7.1046779853391251E-2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12" sqref="F1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732</v>
      </c>
      <c r="B9" s="51">
        <v>14.13</v>
      </c>
      <c r="C9" s="51">
        <v>13.22</v>
      </c>
      <c r="D9" s="51">
        <v>17.03</v>
      </c>
      <c r="E9" s="51">
        <v>4.5199999999999996</v>
      </c>
      <c r="F9" s="51">
        <v>4.22</v>
      </c>
      <c r="G9" s="51">
        <v>25.61</v>
      </c>
      <c r="H9" s="51">
        <v>9.26</v>
      </c>
      <c r="I9" s="51">
        <v>1.58</v>
      </c>
      <c r="J9" s="51">
        <v>0.46</v>
      </c>
      <c r="K9" s="51">
        <v>295.89999999999998</v>
      </c>
      <c r="L9" s="51">
        <v>23.82</v>
      </c>
      <c r="M9" s="51">
        <v>97.54</v>
      </c>
      <c r="N9" s="51">
        <v>48.5</v>
      </c>
      <c r="O9" s="51">
        <v>0</v>
      </c>
      <c r="P9" s="51">
        <v>0.33</v>
      </c>
      <c r="Q9" s="51">
        <v>9.27</v>
      </c>
      <c r="R9" s="43"/>
      <c r="S9" s="43"/>
      <c r="T9" s="43"/>
      <c r="U9" s="43"/>
    </row>
    <row r="10" spans="1:21" s="11" customFormat="1" x14ac:dyDescent="0.25">
      <c r="A10" s="50" t="s">
        <v>733</v>
      </c>
      <c r="B10" s="51">
        <v>8.06</v>
      </c>
      <c r="C10" s="51">
        <v>16.29</v>
      </c>
      <c r="D10" s="51">
        <v>14.01</v>
      </c>
      <c r="E10" s="51">
        <v>4.5</v>
      </c>
      <c r="F10" s="51">
        <v>4.08</v>
      </c>
      <c r="G10" s="51">
        <v>23.09</v>
      </c>
      <c r="H10" s="51">
        <v>9.26</v>
      </c>
      <c r="I10" s="51">
        <v>1.37</v>
      </c>
      <c r="J10" s="51">
        <v>0.49</v>
      </c>
      <c r="K10" s="51">
        <v>299.66000000000003</v>
      </c>
      <c r="L10" s="51">
        <v>23.45</v>
      </c>
      <c r="M10" s="51">
        <v>97.53</v>
      </c>
      <c r="N10" s="51">
        <v>47.8</v>
      </c>
      <c r="O10" s="51">
        <v>0.2</v>
      </c>
      <c r="P10" s="51">
        <v>0.48</v>
      </c>
      <c r="Q10" s="51">
        <v>9.1199999999999992</v>
      </c>
      <c r="R10" s="43"/>
      <c r="S10" s="43"/>
      <c r="T10" s="43"/>
      <c r="U10" s="43"/>
    </row>
    <row r="11" spans="1:21" s="11" customFormat="1" x14ac:dyDescent="0.25">
      <c r="A11" s="50" t="s">
        <v>734</v>
      </c>
      <c r="B11" s="51">
        <v>5.36</v>
      </c>
      <c r="C11" s="51">
        <v>16.309999999999999</v>
      </c>
      <c r="D11" s="51">
        <v>12.82</v>
      </c>
      <c r="E11" s="51">
        <v>4.2699999999999996</v>
      </c>
      <c r="F11" s="51">
        <v>4.58</v>
      </c>
      <c r="G11" s="51">
        <v>24.52</v>
      </c>
      <c r="H11" s="51">
        <v>9.56</v>
      </c>
      <c r="I11" s="51">
        <v>2.08</v>
      </c>
      <c r="J11" s="51">
        <v>0.79</v>
      </c>
      <c r="K11" s="51">
        <v>297.8</v>
      </c>
      <c r="L11" s="51">
        <v>22.97</v>
      </c>
      <c r="M11" s="51">
        <v>97.56</v>
      </c>
      <c r="N11" s="51">
        <v>46.2</v>
      </c>
      <c r="O11" s="51">
        <v>0.2</v>
      </c>
      <c r="P11" s="51">
        <v>0.5</v>
      </c>
      <c r="Q11" s="51">
        <v>9.06</v>
      </c>
      <c r="R11" s="43"/>
      <c r="S11" s="43"/>
      <c r="T11" s="43"/>
      <c r="U11" s="43"/>
    </row>
    <row r="12" spans="1:21" s="11" customFormat="1" x14ac:dyDescent="0.25">
      <c r="A12" s="50" t="s">
        <v>735</v>
      </c>
      <c r="B12" s="51">
        <v>4.9400000000000004</v>
      </c>
      <c r="C12" s="51">
        <v>13.48</v>
      </c>
      <c r="D12" s="51">
        <v>10.91</v>
      </c>
      <c r="E12" s="51">
        <v>4.2699999999999996</v>
      </c>
      <c r="F12" s="51">
        <v>4.09</v>
      </c>
      <c r="G12" s="51">
        <v>24.71</v>
      </c>
      <c r="H12" s="51">
        <v>9.56</v>
      </c>
      <c r="I12" s="51">
        <v>1.77</v>
      </c>
      <c r="J12" s="51">
        <v>0.42</v>
      </c>
      <c r="K12" s="51">
        <v>294.45</v>
      </c>
      <c r="L12" s="51">
        <v>22.21</v>
      </c>
      <c r="M12" s="51">
        <v>97.58</v>
      </c>
      <c r="N12" s="51">
        <v>46.5</v>
      </c>
      <c r="O12" s="51">
        <v>0.2</v>
      </c>
      <c r="P12" s="51">
        <v>0.35</v>
      </c>
      <c r="Q12" s="51">
        <v>9.01</v>
      </c>
      <c r="R12" s="43"/>
      <c r="S12" s="43"/>
      <c r="T12" s="43"/>
      <c r="U12" s="43"/>
    </row>
    <row r="13" spans="1:21" s="11" customFormat="1" x14ac:dyDescent="0.25">
      <c r="A13" s="50" t="s">
        <v>736</v>
      </c>
      <c r="B13" s="51">
        <v>5.75</v>
      </c>
      <c r="C13" s="51">
        <v>13.41</v>
      </c>
      <c r="D13" s="51">
        <v>11.43</v>
      </c>
      <c r="E13" s="51">
        <v>4.3600000000000003</v>
      </c>
      <c r="F13" s="51">
        <v>3.99</v>
      </c>
      <c r="G13" s="51">
        <v>25.7</v>
      </c>
      <c r="H13" s="51">
        <v>8.02</v>
      </c>
      <c r="I13" s="51">
        <v>1.44</v>
      </c>
      <c r="J13" s="51">
        <v>0.24</v>
      </c>
      <c r="K13" s="51">
        <v>303.48</v>
      </c>
      <c r="L13" s="51">
        <v>22.12</v>
      </c>
      <c r="M13" s="51">
        <v>97.58</v>
      </c>
      <c r="N13" s="51">
        <v>46.7</v>
      </c>
      <c r="O13" s="51">
        <v>0</v>
      </c>
      <c r="P13" s="51">
        <v>0.31</v>
      </c>
      <c r="Q13" s="51">
        <v>9.01</v>
      </c>
      <c r="R13" s="43"/>
      <c r="S13" s="43"/>
      <c r="T13" s="43"/>
      <c r="U13" s="43"/>
    </row>
    <row r="14" spans="1:21" s="11" customFormat="1" x14ac:dyDescent="0.25">
      <c r="A14" s="50" t="s">
        <v>737</v>
      </c>
      <c r="B14" s="51">
        <v>6.88</v>
      </c>
      <c r="C14" s="51">
        <v>14.51</v>
      </c>
      <c r="D14" s="51">
        <v>13.08</v>
      </c>
      <c r="E14" s="51">
        <v>4.3600000000000003</v>
      </c>
      <c r="F14" s="51">
        <v>4.32</v>
      </c>
      <c r="G14" s="51">
        <v>25.7</v>
      </c>
      <c r="H14" s="51">
        <v>7.18</v>
      </c>
      <c r="I14" s="51">
        <v>1.55</v>
      </c>
      <c r="J14" s="51">
        <v>0.2</v>
      </c>
      <c r="K14" s="51">
        <v>297.89999999999998</v>
      </c>
      <c r="L14" s="51">
        <v>22.35</v>
      </c>
      <c r="M14" s="51">
        <v>97.56</v>
      </c>
      <c r="N14" s="51">
        <v>51.9</v>
      </c>
      <c r="O14" s="51">
        <v>0</v>
      </c>
      <c r="P14" s="51">
        <v>0.35</v>
      </c>
      <c r="Q14" s="51">
        <v>9.07</v>
      </c>
      <c r="R14" s="43"/>
      <c r="S14" s="43"/>
      <c r="T14" s="43"/>
      <c r="U14" s="43"/>
    </row>
    <row r="15" spans="1:21" s="11" customFormat="1" x14ac:dyDescent="0.25">
      <c r="A15" s="50" t="s">
        <v>738</v>
      </c>
      <c r="B15" s="51">
        <v>7.54</v>
      </c>
      <c r="C15" s="51">
        <v>18.149999999999999</v>
      </c>
      <c r="D15" s="51">
        <v>15.53</v>
      </c>
      <c r="E15" s="51">
        <v>4.3099999999999996</v>
      </c>
      <c r="F15" s="51">
        <v>3.64</v>
      </c>
      <c r="G15" s="51">
        <v>24.44</v>
      </c>
      <c r="H15" s="51">
        <v>7.62</v>
      </c>
      <c r="I15" s="51">
        <v>1.55</v>
      </c>
      <c r="J15" s="51">
        <v>0.59</v>
      </c>
      <c r="K15" s="51">
        <v>288.3</v>
      </c>
      <c r="L15" s="51">
        <v>22.61</v>
      </c>
      <c r="M15" s="51">
        <v>97.55</v>
      </c>
      <c r="N15" s="51">
        <v>93.6</v>
      </c>
      <c r="O15" s="51">
        <v>0</v>
      </c>
      <c r="P15" s="51">
        <v>0.54</v>
      </c>
      <c r="Q15" s="51">
        <v>9.1199999999999992</v>
      </c>
      <c r="R15" s="43"/>
      <c r="S15" s="43"/>
      <c r="T15" s="43"/>
      <c r="U15" s="43"/>
    </row>
    <row r="16" spans="1:21" s="11" customFormat="1" x14ac:dyDescent="0.25">
      <c r="A16" s="50" t="s">
        <v>739</v>
      </c>
      <c r="B16" s="51">
        <v>7.47</v>
      </c>
      <c r="C16" s="51">
        <v>17.510000000000002</v>
      </c>
      <c r="D16" s="51">
        <v>14.92</v>
      </c>
      <c r="E16" s="51">
        <v>4.34</v>
      </c>
      <c r="F16" s="51">
        <v>4.2300000000000004</v>
      </c>
      <c r="G16" s="51">
        <v>27.6</v>
      </c>
      <c r="H16" s="51">
        <v>12</v>
      </c>
      <c r="I16" s="51">
        <v>2.37</v>
      </c>
      <c r="J16" s="51">
        <v>0.5</v>
      </c>
      <c r="K16" s="51">
        <v>294.14</v>
      </c>
      <c r="L16" s="51">
        <v>22.84</v>
      </c>
      <c r="M16" s="51">
        <v>97.57</v>
      </c>
      <c r="N16" s="51">
        <v>123.8</v>
      </c>
      <c r="O16" s="51">
        <v>0</v>
      </c>
      <c r="P16" s="51">
        <v>0.5</v>
      </c>
      <c r="Q16" s="51">
        <v>9.16</v>
      </c>
      <c r="R16" s="43"/>
      <c r="S16" s="43"/>
      <c r="T16" s="43"/>
      <c r="U16" s="43"/>
    </row>
    <row r="17" spans="1:21" s="11" customFormat="1" x14ac:dyDescent="0.25">
      <c r="A17" s="50" t="s">
        <v>740</v>
      </c>
      <c r="B17" s="51">
        <v>9.7200000000000006</v>
      </c>
      <c r="C17" s="51">
        <v>17.45</v>
      </c>
      <c r="D17" s="51">
        <v>16.899999999999999</v>
      </c>
      <c r="E17" s="51">
        <v>4.24</v>
      </c>
      <c r="F17" s="51">
        <v>4.3600000000000003</v>
      </c>
      <c r="G17" s="51">
        <v>32.659999999999997</v>
      </c>
      <c r="H17" s="51">
        <v>12</v>
      </c>
      <c r="I17" s="51">
        <v>2.91</v>
      </c>
      <c r="J17" s="51">
        <v>0.5</v>
      </c>
      <c r="K17" s="51">
        <v>290.17</v>
      </c>
      <c r="L17" s="51">
        <v>23.34</v>
      </c>
      <c r="M17" s="51">
        <v>97.55</v>
      </c>
      <c r="N17" s="51">
        <v>267.2</v>
      </c>
      <c r="O17" s="51">
        <v>0</v>
      </c>
      <c r="P17" s="51">
        <v>0.68</v>
      </c>
      <c r="Q17" s="51">
        <v>9.2200000000000006</v>
      </c>
      <c r="R17" s="43"/>
      <c r="S17" s="43"/>
      <c r="T17" s="43"/>
      <c r="U17" s="43"/>
    </row>
    <row r="18" spans="1:21" s="11" customFormat="1" x14ac:dyDescent="0.25">
      <c r="A18" s="50" t="s">
        <v>741</v>
      </c>
      <c r="B18" s="51">
        <v>10.93</v>
      </c>
      <c r="C18" s="51">
        <v>17.579999999999998</v>
      </c>
      <c r="D18" s="51">
        <v>17.95</v>
      </c>
      <c r="E18" s="51">
        <v>4.12</v>
      </c>
      <c r="F18" s="51">
        <v>4.25</v>
      </c>
      <c r="G18" s="51">
        <v>33.92</v>
      </c>
      <c r="H18" s="51">
        <v>15.12</v>
      </c>
      <c r="I18" s="51">
        <v>3.74</v>
      </c>
      <c r="J18" s="51">
        <v>0.42</v>
      </c>
      <c r="K18" s="51">
        <v>291.45999999999998</v>
      </c>
      <c r="L18" s="51">
        <v>24.36</v>
      </c>
      <c r="M18" s="51">
        <v>97.06</v>
      </c>
      <c r="N18" s="51">
        <v>344</v>
      </c>
      <c r="O18" s="51">
        <v>0</v>
      </c>
      <c r="P18" s="51">
        <v>0.84</v>
      </c>
      <c r="Q18" s="51">
        <v>9.24</v>
      </c>
      <c r="R18" s="43"/>
      <c r="S18" s="43"/>
      <c r="T18" s="43"/>
      <c r="U18" s="43"/>
    </row>
    <row r="19" spans="1:21" s="11" customFormat="1" x14ac:dyDescent="0.25">
      <c r="A19" s="50" t="s">
        <v>742</v>
      </c>
      <c r="B19" s="51">
        <v>8.1199999999999992</v>
      </c>
      <c r="C19" s="51">
        <v>17.8</v>
      </c>
      <c r="D19" s="51">
        <v>15.43</v>
      </c>
      <c r="E19" s="51">
        <v>3.92</v>
      </c>
      <c r="F19" s="51">
        <v>4.4800000000000004</v>
      </c>
      <c r="G19" s="51">
        <v>40.409999999999997</v>
      </c>
      <c r="H19" s="51">
        <v>15.12</v>
      </c>
      <c r="I19" s="51">
        <v>3.47</v>
      </c>
      <c r="J19" s="51">
        <v>0.55000000000000004</v>
      </c>
      <c r="K19" s="51">
        <v>287.44</v>
      </c>
      <c r="L19" s="51">
        <v>24.79</v>
      </c>
      <c r="M19" s="51">
        <v>92.52</v>
      </c>
      <c r="N19" s="51">
        <v>464.6</v>
      </c>
      <c r="O19" s="51">
        <v>0</v>
      </c>
      <c r="P19" s="51">
        <v>0.56999999999999995</v>
      </c>
      <c r="Q19" s="51">
        <v>9.19</v>
      </c>
      <c r="R19" s="43"/>
      <c r="S19" s="43"/>
      <c r="T19" s="43"/>
      <c r="U19" s="43"/>
    </row>
    <row r="20" spans="1:21" s="11" customFormat="1" x14ac:dyDescent="0.25">
      <c r="A20" s="50" t="s">
        <v>743</v>
      </c>
      <c r="B20" s="51">
        <v>5.21</v>
      </c>
      <c r="C20" s="51">
        <v>17.07</v>
      </c>
      <c r="D20" s="51">
        <v>13.1</v>
      </c>
      <c r="E20" s="51">
        <v>3.95</v>
      </c>
      <c r="F20" s="51">
        <v>5.56</v>
      </c>
      <c r="G20" s="51">
        <v>40.409999999999997</v>
      </c>
      <c r="H20" s="51">
        <v>14.58</v>
      </c>
      <c r="I20" s="51">
        <v>1.97</v>
      </c>
      <c r="J20" s="51">
        <v>0.55000000000000004</v>
      </c>
      <c r="K20" s="51">
        <v>290.23</v>
      </c>
      <c r="L20" s="51">
        <v>25.1</v>
      </c>
      <c r="M20" s="51">
        <v>90.16</v>
      </c>
      <c r="N20" s="51">
        <v>426.9</v>
      </c>
      <c r="O20" s="51">
        <v>0</v>
      </c>
      <c r="P20" s="51">
        <v>0.35</v>
      </c>
      <c r="Q20" s="51">
        <v>9.09</v>
      </c>
      <c r="R20" s="43"/>
      <c r="S20" s="43"/>
      <c r="T20" s="43"/>
      <c r="U20" s="43"/>
    </row>
    <row r="21" spans="1:21" s="11" customFormat="1" x14ac:dyDescent="0.25">
      <c r="A21" s="50" t="s">
        <v>744</v>
      </c>
      <c r="B21" s="51">
        <v>6.42</v>
      </c>
      <c r="C21" s="51">
        <v>16.64</v>
      </c>
      <c r="D21" s="51">
        <v>13.24</v>
      </c>
      <c r="E21" s="51">
        <v>4.07</v>
      </c>
      <c r="F21" s="51">
        <v>4.04</v>
      </c>
      <c r="G21" s="51">
        <v>37.76</v>
      </c>
      <c r="H21" s="51">
        <v>14.58</v>
      </c>
      <c r="I21" s="51">
        <v>1.27</v>
      </c>
      <c r="J21" s="51">
        <v>0.45</v>
      </c>
      <c r="K21" s="51">
        <v>291.52999999999997</v>
      </c>
      <c r="L21" s="51">
        <v>24.56</v>
      </c>
      <c r="M21" s="51">
        <v>97.01</v>
      </c>
      <c r="N21" s="51">
        <v>209.7</v>
      </c>
      <c r="O21" s="51">
        <v>0.2</v>
      </c>
      <c r="P21" s="51">
        <v>0.28000000000000003</v>
      </c>
      <c r="Q21" s="51">
        <v>9.07</v>
      </c>
      <c r="R21" s="43"/>
      <c r="S21" s="43"/>
      <c r="T21" s="43"/>
      <c r="U21" s="43"/>
    </row>
    <row r="22" spans="1:21" s="11" customFormat="1" x14ac:dyDescent="0.25">
      <c r="A22" s="50" t="s">
        <v>745</v>
      </c>
      <c r="B22" s="51">
        <v>7.5</v>
      </c>
      <c r="C22" s="51">
        <v>15.59</v>
      </c>
      <c r="D22" s="51">
        <v>13.96</v>
      </c>
      <c r="E22" s="51">
        <v>4.1399999999999997</v>
      </c>
      <c r="F22" s="51">
        <v>4.49</v>
      </c>
      <c r="G22" s="51">
        <v>37.21</v>
      </c>
      <c r="H22" s="51">
        <v>10.36</v>
      </c>
      <c r="I22" s="51">
        <v>1.17</v>
      </c>
      <c r="J22" s="51">
        <v>0.39</v>
      </c>
      <c r="K22" s="51">
        <v>294.14999999999998</v>
      </c>
      <c r="L22" s="51">
        <v>23.4</v>
      </c>
      <c r="M22" s="51">
        <v>97.39</v>
      </c>
      <c r="N22" s="51">
        <v>200.5</v>
      </c>
      <c r="O22" s="51">
        <v>0.4</v>
      </c>
      <c r="P22" s="51">
        <v>0.35</v>
      </c>
      <c r="Q22" s="51">
        <v>9.11</v>
      </c>
      <c r="R22" s="43"/>
      <c r="S22" s="43"/>
      <c r="T22" s="43"/>
      <c r="U22" s="43"/>
    </row>
    <row r="23" spans="1:21" s="11" customFormat="1" x14ac:dyDescent="0.25">
      <c r="A23" s="50" t="s">
        <v>746</v>
      </c>
      <c r="B23" s="51">
        <v>7.7</v>
      </c>
      <c r="C23" s="51">
        <v>14.92</v>
      </c>
      <c r="D23" s="51">
        <v>13.81</v>
      </c>
      <c r="E23" s="51">
        <v>4</v>
      </c>
      <c r="F23" s="51">
        <v>4.32</v>
      </c>
      <c r="G23" s="51">
        <v>25.07</v>
      </c>
      <c r="H23" s="51">
        <v>9.6300000000000008</v>
      </c>
      <c r="I23" s="51">
        <v>1.06</v>
      </c>
      <c r="J23" s="51">
        <v>0.39</v>
      </c>
      <c r="K23" s="51">
        <v>298.29000000000002</v>
      </c>
      <c r="L23" s="51">
        <v>24.34</v>
      </c>
      <c r="M23" s="51">
        <v>97.55</v>
      </c>
      <c r="N23" s="51">
        <v>330.1</v>
      </c>
      <c r="O23" s="51">
        <v>0</v>
      </c>
      <c r="P23" s="51">
        <v>0.33</v>
      </c>
      <c r="Q23" s="51">
        <v>9.1300000000000008</v>
      </c>
      <c r="R23" s="43"/>
      <c r="S23" s="43"/>
      <c r="T23" s="43"/>
      <c r="U23" s="43"/>
    </row>
    <row r="24" spans="1:21" s="11" customFormat="1" x14ac:dyDescent="0.25">
      <c r="A24" s="50" t="s">
        <v>747</v>
      </c>
      <c r="B24" s="51">
        <v>8.3000000000000007</v>
      </c>
      <c r="C24" s="51">
        <v>16.18</v>
      </c>
      <c r="D24" s="51">
        <v>14.29</v>
      </c>
      <c r="E24" s="51">
        <v>4.26</v>
      </c>
      <c r="F24" s="51">
        <v>4.47</v>
      </c>
      <c r="G24" s="51">
        <v>25.07</v>
      </c>
      <c r="H24" s="51">
        <v>9.89</v>
      </c>
      <c r="I24" s="51">
        <v>1.01</v>
      </c>
      <c r="J24" s="51">
        <v>0.36</v>
      </c>
      <c r="K24" s="51">
        <v>292.17</v>
      </c>
      <c r="L24" s="51">
        <v>24.27</v>
      </c>
      <c r="M24" s="51">
        <v>97.55</v>
      </c>
      <c r="N24" s="51">
        <v>166.2</v>
      </c>
      <c r="O24" s="51">
        <v>0</v>
      </c>
      <c r="P24" s="51">
        <v>0.33</v>
      </c>
      <c r="Q24" s="51">
        <v>9.1300000000000008</v>
      </c>
      <c r="R24" s="43"/>
      <c r="S24" s="43"/>
      <c r="T24" s="43"/>
      <c r="U24" s="43"/>
    </row>
    <row r="25" spans="1:21" s="11" customFormat="1" x14ac:dyDescent="0.25">
      <c r="A25" s="50" t="s">
        <v>748</v>
      </c>
      <c r="B25" s="51">
        <v>6.3</v>
      </c>
      <c r="C25" s="51">
        <v>17.66</v>
      </c>
      <c r="D25" s="51">
        <v>13.93</v>
      </c>
      <c r="E25" s="51">
        <v>4.6900000000000004</v>
      </c>
      <c r="F25" s="51">
        <v>4.09</v>
      </c>
      <c r="G25" s="51">
        <v>24.47</v>
      </c>
      <c r="H25" s="51">
        <v>9.89</v>
      </c>
      <c r="I25" s="51">
        <v>0.9</v>
      </c>
      <c r="J25" s="51">
        <v>0.3</v>
      </c>
      <c r="K25" s="51">
        <v>297.98</v>
      </c>
      <c r="L25" s="51">
        <v>24.22</v>
      </c>
      <c r="M25" s="51">
        <v>97.56</v>
      </c>
      <c r="N25" s="51">
        <v>166.3</v>
      </c>
      <c r="O25" s="51">
        <v>0</v>
      </c>
      <c r="P25" s="51">
        <v>0.33</v>
      </c>
      <c r="Q25" s="51">
        <v>9.1300000000000008</v>
      </c>
      <c r="R25" s="43"/>
      <c r="S25" s="43"/>
      <c r="T25" s="43"/>
      <c r="U25" s="43"/>
    </row>
    <row r="26" spans="1:21" s="11" customFormat="1" x14ac:dyDescent="0.25">
      <c r="A26" s="50" t="s">
        <v>749</v>
      </c>
      <c r="B26" s="51">
        <v>5.87</v>
      </c>
      <c r="C26" s="51">
        <v>16.39</v>
      </c>
      <c r="D26" s="51">
        <v>13.27</v>
      </c>
      <c r="E26" s="51">
        <v>4.58</v>
      </c>
      <c r="F26" s="51">
        <v>4.18</v>
      </c>
      <c r="G26" s="51">
        <v>27.98</v>
      </c>
      <c r="H26" s="51">
        <v>8.3000000000000007</v>
      </c>
      <c r="I26" s="51">
        <v>0.85</v>
      </c>
      <c r="J26" s="51">
        <v>0.27</v>
      </c>
      <c r="K26" s="51">
        <v>308.69</v>
      </c>
      <c r="L26" s="51">
        <v>23.94</v>
      </c>
      <c r="M26" s="51">
        <v>97.58</v>
      </c>
      <c r="N26" s="51">
        <v>153.6</v>
      </c>
      <c r="O26" s="51">
        <v>0</v>
      </c>
      <c r="P26" s="51">
        <v>0.32</v>
      </c>
      <c r="Q26" s="51">
        <v>9.08</v>
      </c>
      <c r="R26" s="43"/>
      <c r="S26" s="43"/>
      <c r="T26" s="43"/>
      <c r="U26" s="43"/>
    </row>
    <row r="27" spans="1:21" s="11" customFormat="1" x14ac:dyDescent="0.25">
      <c r="A27" s="50" t="s">
        <v>750</v>
      </c>
      <c r="B27" s="51">
        <v>5.45</v>
      </c>
      <c r="C27" s="51">
        <v>15.44</v>
      </c>
      <c r="D27" s="51">
        <v>12.36</v>
      </c>
      <c r="E27" s="51">
        <v>4.53</v>
      </c>
      <c r="F27" s="51">
        <v>4.13</v>
      </c>
      <c r="G27" s="51">
        <v>27.98</v>
      </c>
      <c r="H27" s="51">
        <v>7.35</v>
      </c>
      <c r="I27" s="51">
        <v>0.84</v>
      </c>
      <c r="J27" s="51">
        <v>0.2</v>
      </c>
      <c r="K27" s="51">
        <v>325.63</v>
      </c>
      <c r="L27" s="51">
        <v>23.38</v>
      </c>
      <c r="M27" s="51">
        <v>97.58</v>
      </c>
      <c r="N27" s="51">
        <v>67.099999999999994</v>
      </c>
      <c r="O27" s="51">
        <v>0</v>
      </c>
      <c r="P27" s="51">
        <v>0.34</v>
      </c>
      <c r="Q27" s="51">
        <v>9.0399999999999991</v>
      </c>
      <c r="R27" s="43"/>
      <c r="S27" s="43"/>
      <c r="T27" s="43"/>
      <c r="U27" s="43"/>
    </row>
    <row r="28" spans="1:21" s="11" customFormat="1" x14ac:dyDescent="0.25">
      <c r="A28" s="50" t="s">
        <v>751</v>
      </c>
      <c r="B28" s="51">
        <v>6.13</v>
      </c>
      <c r="C28" s="51">
        <v>15.25</v>
      </c>
      <c r="D28" s="51">
        <v>12.88</v>
      </c>
      <c r="E28" s="51">
        <v>4.45</v>
      </c>
      <c r="F28" s="51">
        <v>4.05</v>
      </c>
      <c r="G28" s="51">
        <v>27.68</v>
      </c>
      <c r="H28" s="51">
        <v>6.54</v>
      </c>
      <c r="I28" s="51">
        <v>0.93</v>
      </c>
      <c r="J28" s="51">
        <v>0.26</v>
      </c>
      <c r="K28" s="51">
        <v>324.27999999999997</v>
      </c>
      <c r="L28" s="51">
        <v>23.4</v>
      </c>
      <c r="M28" s="51">
        <v>97.58</v>
      </c>
      <c r="N28" s="51">
        <v>62.4</v>
      </c>
      <c r="O28" s="51">
        <v>0</v>
      </c>
      <c r="P28" s="51">
        <v>0.35</v>
      </c>
      <c r="Q28" s="51">
        <v>9.07</v>
      </c>
      <c r="R28" s="43"/>
      <c r="S28" s="43"/>
      <c r="T28" s="43"/>
      <c r="U28" s="43"/>
    </row>
    <row r="29" spans="1:21" s="11" customFormat="1" x14ac:dyDescent="0.25">
      <c r="A29" s="50" t="s">
        <v>752</v>
      </c>
      <c r="B29" s="51">
        <v>6.15</v>
      </c>
      <c r="C29" s="51">
        <v>15.74</v>
      </c>
      <c r="D29" s="51">
        <v>13.13</v>
      </c>
      <c r="E29" s="51">
        <v>4.59</v>
      </c>
      <c r="F29" s="51">
        <v>4.43</v>
      </c>
      <c r="G29" s="51">
        <v>25.25</v>
      </c>
      <c r="H29" s="51">
        <v>6.54</v>
      </c>
      <c r="I29" s="51">
        <v>0.96</v>
      </c>
      <c r="J29" s="51">
        <v>0.23</v>
      </c>
      <c r="K29" s="51">
        <v>334.78</v>
      </c>
      <c r="L29" s="51">
        <v>23.19</v>
      </c>
      <c r="M29" s="51">
        <v>97.58</v>
      </c>
      <c r="N29" s="51">
        <v>62.5</v>
      </c>
      <c r="O29" s="51">
        <v>0</v>
      </c>
      <c r="P29" s="51">
        <v>0.36</v>
      </c>
      <c r="Q29" s="51">
        <v>9.1199999999999992</v>
      </c>
      <c r="R29" s="43"/>
      <c r="S29" s="43"/>
      <c r="T29" s="43"/>
      <c r="U29" s="43"/>
    </row>
    <row r="30" spans="1:21" s="11" customFormat="1" x14ac:dyDescent="0.25">
      <c r="A30" s="50" t="s">
        <v>753</v>
      </c>
      <c r="B30" s="51">
        <v>6.95</v>
      </c>
      <c r="C30" s="51">
        <v>15.34</v>
      </c>
      <c r="D30" s="51">
        <v>13.21</v>
      </c>
      <c r="E30" s="51">
        <v>4.6500000000000004</v>
      </c>
      <c r="F30" s="51">
        <v>3.89</v>
      </c>
      <c r="G30" s="51">
        <v>25.25</v>
      </c>
      <c r="H30" s="51">
        <v>4.9000000000000004</v>
      </c>
      <c r="I30" s="51">
        <v>0.93</v>
      </c>
      <c r="J30" s="51">
        <v>0.24</v>
      </c>
      <c r="K30" s="51">
        <v>333.05</v>
      </c>
      <c r="L30" s="51">
        <v>22.98</v>
      </c>
      <c r="M30" s="51">
        <v>97.6</v>
      </c>
      <c r="N30" s="51">
        <v>62.9</v>
      </c>
      <c r="O30" s="51">
        <v>0</v>
      </c>
      <c r="P30" s="51">
        <v>0.35</v>
      </c>
      <c r="Q30" s="51">
        <v>9.09</v>
      </c>
      <c r="R30" s="43"/>
      <c r="S30" s="43"/>
      <c r="T30" s="43"/>
      <c r="U30" s="43"/>
    </row>
    <row r="31" spans="1:21" s="11" customFormat="1" x14ac:dyDescent="0.25">
      <c r="A31" s="50" t="s">
        <v>754</v>
      </c>
      <c r="B31" s="51">
        <v>7.03</v>
      </c>
      <c r="C31" s="51">
        <v>14.57</v>
      </c>
      <c r="D31" s="51">
        <v>13.14</v>
      </c>
      <c r="E31" s="51">
        <v>4.51</v>
      </c>
      <c r="F31" s="51">
        <v>4.63</v>
      </c>
      <c r="G31" s="51">
        <v>23.86</v>
      </c>
      <c r="H31" s="51">
        <v>5.6</v>
      </c>
      <c r="I31" s="51">
        <v>0.88</v>
      </c>
      <c r="J31" s="51">
        <v>0.25</v>
      </c>
      <c r="K31" s="51">
        <v>329.86</v>
      </c>
      <c r="L31" s="51">
        <v>22.79</v>
      </c>
      <c r="M31" s="51">
        <v>97.6</v>
      </c>
      <c r="N31" s="51">
        <v>63.6</v>
      </c>
      <c r="O31" s="51">
        <v>0</v>
      </c>
      <c r="P31" s="51">
        <v>0.34</v>
      </c>
      <c r="Q31" s="51">
        <v>9.09</v>
      </c>
      <c r="R31" s="43"/>
      <c r="S31" s="43"/>
      <c r="T31" s="43"/>
      <c r="U31" s="43"/>
    </row>
    <row r="32" spans="1:21" s="11" customFormat="1" x14ac:dyDescent="0.25">
      <c r="A32" s="50" t="s">
        <v>755</v>
      </c>
      <c r="B32" s="51">
        <v>4.91</v>
      </c>
      <c r="C32" s="51">
        <v>14.17</v>
      </c>
      <c r="D32" s="51">
        <v>11.35</v>
      </c>
      <c r="E32" s="51">
        <v>4.3</v>
      </c>
      <c r="F32" s="51">
        <v>4.3499999999999996</v>
      </c>
      <c r="G32" s="51">
        <v>25.97</v>
      </c>
      <c r="H32" s="51">
        <v>6.18</v>
      </c>
      <c r="I32" s="51">
        <v>0.75</v>
      </c>
      <c r="J32" s="51">
        <v>0.24</v>
      </c>
      <c r="K32" s="51">
        <v>323.44</v>
      </c>
      <c r="L32" s="51">
        <v>22.19</v>
      </c>
      <c r="M32" s="51">
        <v>97.6</v>
      </c>
      <c r="N32" s="51">
        <v>64</v>
      </c>
      <c r="O32" s="51">
        <v>0</v>
      </c>
      <c r="P32" s="51">
        <v>0.27</v>
      </c>
      <c r="Q32" s="51">
        <v>9.02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4.91</v>
      </c>
      <c r="C34" s="28">
        <f t="shared" si="0"/>
        <v>13.22</v>
      </c>
      <c r="D34" s="28">
        <f t="shared" si="0"/>
        <v>10.91</v>
      </c>
      <c r="E34" s="28">
        <f t="shared" si="0"/>
        <v>3.92</v>
      </c>
      <c r="F34" s="28">
        <f t="shared" si="0"/>
        <v>3.64</v>
      </c>
      <c r="G34" s="28">
        <f t="shared" si="0"/>
        <v>23.09</v>
      </c>
      <c r="H34" s="28">
        <f t="shared" si="0"/>
        <v>4.9000000000000004</v>
      </c>
      <c r="I34" s="28">
        <f t="shared" si="0"/>
        <v>0.75</v>
      </c>
      <c r="J34" s="28">
        <f t="shared" si="0"/>
        <v>0.2</v>
      </c>
      <c r="K34" s="28">
        <f t="shared" si="0"/>
        <v>287.44</v>
      </c>
      <c r="L34" s="28">
        <f t="shared" si="0"/>
        <v>22.12</v>
      </c>
      <c r="M34" s="28">
        <f t="shared" si="0"/>
        <v>90.16</v>
      </c>
      <c r="N34" s="28">
        <f t="shared" si="0"/>
        <v>46.2</v>
      </c>
      <c r="O34" s="28">
        <f t="shared" si="0"/>
        <v>0</v>
      </c>
      <c r="P34" s="28">
        <f t="shared" si="0"/>
        <v>0.27</v>
      </c>
      <c r="Q34" s="28">
        <f t="shared" si="0"/>
        <v>9.01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14.13</v>
      </c>
      <c r="C35" s="29">
        <f t="shared" si="1"/>
        <v>18.149999999999999</v>
      </c>
      <c r="D35" s="29">
        <f t="shared" si="1"/>
        <v>17.95</v>
      </c>
      <c r="E35" s="29">
        <f t="shared" si="1"/>
        <v>4.6900000000000004</v>
      </c>
      <c r="F35" s="29">
        <f t="shared" si="1"/>
        <v>5.56</v>
      </c>
      <c r="G35" s="29">
        <f t="shared" si="1"/>
        <v>40.409999999999997</v>
      </c>
      <c r="H35" s="29">
        <f t="shared" si="1"/>
        <v>15.12</v>
      </c>
      <c r="I35" s="29">
        <f t="shared" si="1"/>
        <v>3.74</v>
      </c>
      <c r="J35" s="29">
        <f t="shared" si="1"/>
        <v>0.79</v>
      </c>
      <c r="K35" s="29">
        <f t="shared" si="1"/>
        <v>334.78</v>
      </c>
      <c r="L35" s="29">
        <f t="shared" si="1"/>
        <v>25.1</v>
      </c>
      <c r="M35" s="29">
        <f t="shared" si="1"/>
        <v>97.6</v>
      </c>
      <c r="N35" s="29">
        <f t="shared" si="1"/>
        <v>464.6</v>
      </c>
      <c r="O35" s="29">
        <f t="shared" si="1"/>
        <v>0.4</v>
      </c>
      <c r="P35" s="29">
        <f t="shared" si="1"/>
        <v>0.84</v>
      </c>
      <c r="Q35" s="29">
        <f t="shared" si="1"/>
        <v>9.27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7.2008333333333328</v>
      </c>
      <c r="C36" s="28">
        <f t="shared" si="2"/>
        <v>15.86125</v>
      </c>
      <c r="D36" s="28">
        <f t="shared" si="2"/>
        <v>13.82</v>
      </c>
      <c r="E36" s="28">
        <f t="shared" si="2"/>
        <v>4.3304166666666672</v>
      </c>
      <c r="F36" s="28">
        <f t="shared" si="2"/>
        <v>4.2862499999999999</v>
      </c>
      <c r="G36" s="28">
        <f t="shared" si="2"/>
        <v>28.429999999999996</v>
      </c>
      <c r="H36" s="28">
        <f t="shared" si="2"/>
        <v>9.543333333333333</v>
      </c>
      <c r="I36" s="28">
        <f t="shared" si="2"/>
        <v>1.5562500000000001</v>
      </c>
      <c r="J36" s="28">
        <f t="shared" si="2"/>
        <v>0.38708333333333328</v>
      </c>
      <c r="K36" s="28">
        <f t="shared" si="2"/>
        <v>303.53249999999991</v>
      </c>
      <c r="L36" s="28">
        <f t="shared" si="2"/>
        <v>23.442499999999995</v>
      </c>
      <c r="M36" s="28">
        <f t="shared" si="2"/>
        <v>96.99749999999996</v>
      </c>
      <c r="N36" s="28">
        <f t="shared" si="2"/>
        <v>150.69166666666663</v>
      </c>
      <c r="O36" s="28">
        <f t="shared" si="2"/>
        <v>5.000000000000001E-2</v>
      </c>
      <c r="P36" s="28">
        <f t="shared" si="2"/>
        <v>0.40624999999999994</v>
      </c>
      <c r="Q36" s="28">
        <f t="shared" si="2"/>
        <v>9.1100000000000012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2.0862237919611921</v>
      </c>
      <c r="C37" s="28">
        <f t="shared" ref="C37:Q37" si="3">STDEV(C9:C32)</f>
        <v>1.4754345343719559</v>
      </c>
      <c r="D37" s="28">
        <f t="shared" si="3"/>
        <v>1.7591277482839685</v>
      </c>
      <c r="E37" s="28">
        <f t="shared" si="3"/>
        <v>0.21933653250827517</v>
      </c>
      <c r="F37" s="28">
        <f t="shared" si="3"/>
        <v>0.35601431944821244</v>
      </c>
      <c r="G37" s="28">
        <f t="shared" si="3"/>
        <v>5.4482147055949577</v>
      </c>
      <c r="H37" s="28">
        <f t="shared" si="3"/>
        <v>3.0252914579916319</v>
      </c>
      <c r="I37" s="28">
        <f t="shared" si="3"/>
        <v>0.83227196903102707</v>
      </c>
      <c r="J37" s="28">
        <f t="shared" si="3"/>
        <v>0.15046245138027747</v>
      </c>
      <c r="K37" s="28">
        <f t="shared" si="3"/>
        <v>15.607707195903037</v>
      </c>
      <c r="L37" s="28">
        <f t="shared" si="3"/>
        <v>0.86400608894794839</v>
      </c>
      <c r="M37" s="28">
        <f t="shared" si="3"/>
        <v>1.7834779163928194</v>
      </c>
      <c r="N37" s="28">
        <f t="shared" si="3"/>
        <v>128.05298467454</v>
      </c>
      <c r="O37" s="28">
        <f t="shared" si="3"/>
        <v>0.106321906614239</v>
      </c>
      <c r="P37" s="28">
        <f t="shared" si="3"/>
        <v>0.13755038602509342</v>
      </c>
      <c r="Q37" s="28">
        <f t="shared" si="3"/>
        <v>6.8334217032108555E-2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K15" sqref="K1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756</v>
      </c>
      <c r="B9" s="51">
        <v>4.17</v>
      </c>
      <c r="C9" s="51">
        <v>12.91</v>
      </c>
      <c r="D9" s="51">
        <v>10.09</v>
      </c>
      <c r="E9" s="51">
        <v>3.64</v>
      </c>
      <c r="F9" s="51">
        <v>4.83</v>
      </c>
      <c r="G9" s="51">
        <v>25.97</v>
      </c>
      <c r="H9" s="51">
        <v>6.18</v>
      </c>
      <c r="I9" s="51">
        <v>0.64</v>
      </c>
      <c r="J9" s="51">
        <v>0.24</v>
      </c>
      <c r="K9" s="51">
        <v>322.01</v>
      </c>
      <c r="L9" s="51">
        <v>21.82</v>
      </c>
      <c r="M9" s="51">
        <v>97.63</v>
      </c>
      <c r="N9" s="51">
        <v>64.5</v>
      </c>
      <c r="O9" s="51">
        <v>0</v>
      </c>
      <c r="P9" s="51">
        <v>0.21</v>
      </c>
      <c r="Q9" s="51">
        <v>8.99</v>
      </c>
      <c r="R9" s="43"/>
      <c r="S9" s="43"/>
      <c r="T9" s="43"/>
      <c r="U9" s="43"/>
    </row>
    <row r="10" spans="1:21" s="11" customFormat="1" x14ac:dyDescent="0.25">
      <c r="A10" s="50" t="s">
        <v>757</v>
      </c>
      <c r="B10" s="51">
        <v>4.37</v>
      </c>
      <c r="C10" s="51">
        <v>12.47</v>
      </c>
      <c r="D10" s="51">
        <v>9.99</v>
      </c>
      <c r="E10" s="51">
        <v>3.79</v>
      </c>
      <c r="F10" s="51">
        <v>4.0999999999999996</v>
      </c>
      <c r="G10" s="51">
        <v>22.21</v>
      </c>
      <c r="H10" s="51">
        <v>9.91</v>
      </c>
      <c r="I10" s="51">
        <v>0.54</v>
      </c>
      <c r="J10" s="51">
        <v>0.23</v>
      </c>
      <c r="K10" s="51">
        <v>311.48</v>
      </c>
      <c r="L10" s="51">
        <v>21.74</v>
      </c>
      <c r="M10" s="51">
        <v>97.65</v>
      </c>
      <c r="N10" s="51">
        <v>66.2</v>
      </c>
      <c r="O10" s="51">
        <v>0</v>
      </c>
      <c r="P10" s="51">
        <v>0.19</v>
      </c>
      <c r="Q10" s="51">
        <v>8.98</v>
      </c>
      <c r="R10" s="43"/>
      <c r="S10" s="43"/>
      <c r="T10" s="43"/>
      <c r="U10" s="43"/>
    </row>
    <row r="11" spans="1:21" s="11" customFormat="1" x14ac:dyDescent="0.25">
      <c r="A11" s="50" t="s">
        <v>758</v>
      </c>
      <c r="B11" s="51">
        <v>4.37</v>
      </c>
      <c r="C11" s="51">
        <v>12.01</v>
      </c>
      <c r="D11" s="51">
        <v>9.7799999999999994</v>
      </c>
      <c r="E11" s="51">
        <v>3.72</v>
      </c>
      <c r="F11" s="51">
        <v>4.04</v>
      </c>
      <c r="G11" s="51">
        <v>22.21</v>
      </c>
      <c r="H11" s="51">
        <v>9.91</v>
      </c>
      <c r="I11" s="51">
        <v>0.48</v>
      </c>
      <c r="J11" s="51">
        <v>0.22</v>
      </c>
      <c r="K11" s="51">
        <v>307.07</v>
      </c>
      <c r="L11" s="51">
        <v>21.65</v>
      </c>
      <c r="M11" s="51">
        <v>97.68</v>
      </c>
      <c r="N11" s="51">
        <v>85.8</v>
      </c>
      <c r="O11" s="51">
        <v>0</v>
      </c>
      <c r="P11" s="51">
        <v>0.16</v>
      </c>
      <c r="Q11" s="51">
        <v>8.9700000000000006</v>
      </c>
      <c r="R11" s="43"/>
      <c r="S11" s="43"/>
      <c r="T11" s="43"/>
      <c r="U11" s="43"/>
    </row>
    <row r="12" spans="1:21" s="11" customFormat="1" x14ac:dyDescent="0.25">
      <c r="A12" s="50" t="s">
        <v>759</v>
      </c>
      <c r="B12" s="51">
        <v>4.5</v>
      </c>
      <c r="C12" s="51">
        <v>11.67</v>
      </c>
      <c r="D12" s="51">
        <v>9.6999999999999993</v>
      </c>
      <c r="E12" s="51">
        <v>3.9</v>
      </c>
      <c r="F12" s="51">
        <v>3.77</v>
      </c>
      <c r="G12" s="51">
        <v>16.22</v>
      </c>
      <c r="H12" s="51">
        <v>7.26</v>
      </c>
      <c r="I12" s="51">
        <v>0.48</v>
      </c>
      <c r="J12" s="51">
        <v>0.21</v>
      </c>
      <c r="K12" s="51">
        <v>296.22000000000003</v>
      </c>
      <c r="L12" s="51">
        <v>21.53</v>
      </c>
      <c r="M12" s="51">
        <v>97.68</v>
      </c>
      <c r="N12" s="51">
        <v>103.3</v>
      </c>
      <c r="O12" s="51">
        <v>0.2</v>
      </c>
      <c r="P12" s="51">
        <v>0.15</v>
      </c>
      <c r="Q12" s="51">
        <v>8.9600000000000009</v>
      </c>
      <c r="R12" s="43"/>
      <c r="S12" s="43"/>
      <c r="T12" s="43"/>
      <c r="U12" s="43"/>
    </row>
    <row r="13" spans="1:21" s="11" customFormat="1" x14ac:dyDescent="0.25">
      <c r="A13" s="50" t="s">
        <v>760</v>
      </c>
      <c r="B13" s="51">
        <v>4.99</v>
      </c>
      <c r="C13" s="51">
        <v>11.35</v>
      </c>
      <c r="D13" s="51">
        <v>9.94</v>
      </c>
      <c r="E13" s="51">
        <v>3.85</v>
      </c>
      <c r="F13" s="51">
        <v>3.98</v>
      </c>
      <c r="G13" s="51">
        <v>14.53</v>
      </c>
      <c r="H13" s="51">
        <v>6.18</v>
      </c>
      <c r="I13" s="51">
        <v>0.45</v>
      </c>
      <c r="J13" s="51">
        <v>0.18</v>
      </c>
      <c r="K13" s="51">
        <v>311.45999999999998</v>
      </c>
      <c r="L13" s="51">
        <v>21.35</v>
      </c>
      <c r="M13" s="51">
        <v>97.67</v>
      </c>
      <c r="N13" s="51">
        <v>91.3</v>
      </c>
      <c r="O13" s="51">
        <v>0.6</v>
      </c>
      <c r="P13" s="51">
        <v>0.15</v>
      </c>
      <c r="Q13" s="51">
        <v>8.99</v>
      </c>
      <c r="R13" s="43"/>
      <c r="S13" s="43"/>
      <c r="T13" s="43"/>
      <c r="U13" s="43"/>
    </row>
    <row r="14" spans="1:21" s="11" customFormat="1" x14ac:dyDescent="0.25">
      <c r="A14" s="50" t="s">
        <v>761</v>
      </c>
      <c r="B14" s="51">
        <v>5.61</v>
      </c>
      <c r="C14" s="51">
        <v>12.07</v>
      </c>
      <c r="D14" s="51">
        <v>10.76</v>
      </c>
      <c r="E14" s="51">
        <v>3.92</v>
      </c>
      <c r="F14" s="51">
        <v>3.46</v>
      </c>
      <c r="G14" s="51">
        <v>11.58</v>
      </c>
      <c r="H14" s="51">
        <v>4.3600000000000003</v>
      </c>
      <c r="I14" s="51">
        <v>0.47</v>
      </c>
      <c r="J14" s="51">
        <v>0.13</v>
      </c>
      <c r="K14" s="51">
        <v>322.52999999999997</v>
      </c>
      <c r="L14" s="51">
        <v>21.12</v>
      </c>
      <c r="M14" s="51">
        <v>97.68</v>
      </c>
      <c r="N14" s="51">
        <v>93.7</v>
      </c>
      <c r="O14" s="51">
        <v>0.4</v>
      </c>
      <c r="P14" s="51">
        <v>0.15</v>
      </c>
      <c r="Q14" s="51">
        <v>9.01</v>
      </c>
      <c r="R14" s="43"/>
      <c r="S14" s="43"/>
      <c r="T14" s="43"/>
      <c r="U14" s="43"/>
    </row>
    <row r="15" spans="1:21" s="11" customFormat="1" x14ac:dyDescent="0.25">
      <c r="A15" s="50" t="s">
        <v>762</v>
      </c>
      <c r="B15" s="51">
        <v>7.17</v>
      </c>
      <c r="C15" s="51">
        <v>11.81</v>
      </c>
      <c r="D15" s="51">
        <v>11.9</v>
      </c>
      <c r="E15" s="51">
        <v>4.12</v>
      </c>
      <c r="F15" s="51">
        <v>4</v>
      </c>
      <c r="G15" s="51">
        <v>8.4</v>
      </c>
      <c r="H15" s="51">
        <v>3.31</v>
      </c>
      <c r="I15" s="51">
        <v>0.54</v>
      </c>
      <c r="J15" s="51">
        <v>0.19</v>
      </c>
      <c r="K15" s="51">
        <v>307.49</v>
      </c>
      <c r="L15" s="51">
        <v>21.21</v>
      </c>
      <c r="M15" s="51">
        <v>97.68</v>
      </c>
      <c r="N15" s="51">
        <v>107.7</v>
      </c>
      <c r="O15" s="51">
        <v>1.2</v>
      </c>
      <c r="P15" s="51">
        <v>0.2</v>
      </c>
      <c r="Q15" s="51">
        <v>9.0299999999999994</v>
      </c>
      <c r="R15" s="43"/>
      <c r="S15" s="43"/>
      <c r="T15" s="43"/>
      <c r="U15" s="43"/>
    </row>
    <row r="16" spans="1:21" s="11" customFormat="1" x14ac:dyDescent="0.25">
      <c r="A16" s="50" t="s">
        <v>763</v>
      </c>
      <c r="B16" s="51">
        <v>10.99</v>
      </c>
      <c r="C16" s="51">
        <v>11.67</v>
      </c>
      <c r="D16" s="51">
        <v>14.91</v>
      </c>
      <c r="E16" s="51">
        <v>4.67</v>
      </c>
      <c r="F16" s="51">
        <v>4.0999999999999996</v>
      </c>
      <c r="G16" s="51">
        <v>7.32</v>
      </c>
      <c r="H16" s="51">
        <v>4.47</v>
      </c>
      <c r="I16" s="51">
        <v>1.0900000000000001</v>
      </c>
      <c r="J16" s="51">
        <v>0.2</v>
      </c>
      <c r="K16" s="51">
        <v>303.23</v>
      </c>
      <c r="L16" s="51">
        <v>21.29</v>
      </c>
      <c r="M16" s="51">
        <v>97.68</v>
      </c>
      <c r="N16" s="51">
        <v>129.6</v>
      </c>
      <c r="O16" s="51">
        <v>0.4</v>
      </c>
      <c r="P16" s="51">
        <v>0.35</v>
      </c>
      <c r="Q16" s="51">
        <v>9.16</v>
      </c>
      <c r="R16" s="43"/>
      <c r="S16" s="43"/>
      <c r="T16" s="43"/>
      <c r="U16" s="43"/>
    </row>
    <row r="17" spans="1:21" s="11" customFormat="1" x14ac:dyDescent="0.25">
      <c r="A17" s="50" t="s">
        <v>764</v>
      </c>
      <c r="B17" s="51">
        <v>14.99</v>
      </c>
      <c r="C17" s="51">
        <v>11.99</v>
      </c>
      <c r="D17" s="51">
        <v>18.13</v>
      </c>
      <c r="E17" s="51">
        <v>4.63</v>
      </c>
      <c r="F17" s="51">
        <v>3.04</v>
      </c>
      <c r="G17" s="51">
        <v>8.86</v>
      </c>
      <c r="H17" s="51">
        <v>4.47</v>
      </c>
      <c r="I17" s="51">
        <v>1.76</v>
      </c>
      <c r="J17" s="51">
        <v>0.2</v>
      </c>
      <c r="K17" s="51">
        <v>302.05</v>
      </c>
      <c r="L17" s="51">
        <v>21.62</v>
      </c>
      <c r="M17" s="51">
        <v>97.68</v>
      </c>
      <c r="N17" s="51">
        <v>169.4</v>
      </c>
      <c r="O17" s="51">
        <v>0.6</v>
      </c>
      <c r="P17" s="51">
        <v>0.5</v>
      </c>
      <c r="Q17" s="51">
        <v>9.31</v>
      </c>
      <c r="R17" s="43"/>
      <c r="S17" s="43"/>
      <c r="T17" s="43"/>
      <c r="U17" s="43"/>
    </row>
    <row r="18" spans="1:21" s="11" customFormat="1" x14ac:dyDescent="0.25">
      <c r="A18" s="50" t="s">
        <v>765</v>
      </c>
      <c r="B18" s="51">
        <v>19.170000000000002</v>
      </c>
      <c r="C18" s="51">
        <v>11.77</v>
      </c>
      <c r="D18" s="51">
        <v>21.25</v>
      </c>
      <c r="E18" s="51">
        <v>4.7</v>
      </c>
      <c r="F18" s="51">
        <v>3.33</v>
      </c>
      <c r="G18" s="51">
        <v>19.78</v>
      </c>
      <c r="H18" s="51">
        <v>7.83</v>
      </c>
      <c r="I18" s="51">
        <v>2.2799999999999998</v>
      </c>
      <c r="J18" s="51">
        <v>0.27</v>
      </c>
      <c r="K18" s="51">
        <v>299.44</v>
      </c>
      <c r="L18" s="51">
        <v>22.28</v>
      </c>
      <c r="M18" s="51">
        <v>97.67</v>
      </c>
      <c r="N18" s="51">
        <v>181.6</v>
      </c>
      <c r="O18" s="51">
        <v>0</v>
      </c>
      <c r="P18" s="51">
        <v>0.77</v>
      </c>
      <c r="Q18" s="51">
        <v>9.4700000000000006</v>
      </c>
      <c r="R18" s="43"/>
      <c r="S18" s="43"/>
      <c r="T18" s="43"/>
      <c r="U18" s="43"/>
    </row>
    <row r="19" spans="1:21" s="11" customFormat="1" x14ac:dyDescent="0.25">
      <c r="A19" s="50" t="s">
        <v>766</v>
      </c>
      <c r="B19" s="51">
        <v>20.76</v>
      </c>
      <c r="C19" s="51">
        <v>11.36</v>
      </c>
      <c r="D19" s="51">
        <v>22.57</v>
      </c>
      <c r="E19" s="51">
        <v>4.53</v>
      </c>
      <c r="F19" s="51">
        <v>3.91</v>
      </c>
      <c r="G19" s="51">
        <v>19.78</v>
      </c>
      <c r="H19" s="51">
        <v>9.8699999999999992</v>
      </c>
      <c r="I19" s="51">
        <v>2.76</v>
      </c>
      <c r="J19" s="51">
        <v>0.34</v>
      </c>
      <c r="K19" s="51">
        <v>291.44</v>
      </c>
      <c r="L19" s="51">
        <v>22.76</v>
      </c>
      <c r="M19" s="51">
        <v>97.66</v>
      </c>
      <c r="N19" s="51">
        <v>179</v>
      </c>
      <c r="O19" s="51">
        <v>0</v>
      </c>
      <c r="P19" s="51">
        <v>0.85</v>
      </c>
      <c r="Q19" s="51">
        <v>9.5</v>
      </c>
      <c r="R19" s="43"/>
      <c r="S19" s="43"/>
      <c r="T19" s="43"/>
      <c r="U19" s="43"/>
    </row>
    <row r="20" spans="1:21" s="11" customFormat="1" x14ac:dyDescent="0.25">
      <c r="A20" s="50" t="s">
        <v>767</v>
      </c>
      <c r="B20" s="51">
        <v>21.25</v>
      </c>
      <c r="C20" s="51">
        <v>18.260000000000002</v>
      </c>
      <c r="D20" s="51">
        <v>26.5</v>
      </c>
      <c r="E20" s="51">
        <v>4.7300000000000004</v>
      </c>
      <c r="F20" s="51">
        <v>3.84</v>
      </c>
      <c r="G20" s="51">
        <v>19.72</v>
      </c>
      <c r="H20" s="51">
        <v>9.8699999999999992</v>
      </c>
      <c r="I20" s="51">
        <v>4</v>
      </c>
      <c r="J20" s="51">
        <v>0.32</v>
      </c>
      <c r="K20" s="51">
        <v>297.72000000000003</v>
      </c>
      <c r="L20" s="51">
        <v>23.34</v>
      </c>
      <c r="M20" s="51">
        <v>97.6</v>
      </c>
      <c r="N20" s="51">
        <v>167.2</v>
      </c>
      <c r="O20" s="51">
        <v>0</v>
      </c>
      <c r="P20" s="51">
        <v>0.88</v>
      </c>
      <c r="Q20" s="51">
        <v>9.5399999999999991</v>
      </c>
      <c r="R20" s="43"/>
      <c r="S20" s="43"/>
      <c r="T20" s="43"/>
      <c r="U20" s="43"/>
    </row>
    <row r="21" spans="1:21" s="11" customFormat="1" x14ac:dyDescent="0.25">
      <c r="A21" s="50" t="s">
        <v>768</v>
      </c>
      <c r="B21" s="51">
        <v>20.309999999999999</v>
      </c>
      <c r="C21" s="51">
        <v>18.22</v>
      </c>
      <c r="D21" s="51">
        <v>24.73</v>
      </c>
      <c r="E21" s="51">
        <v>4.5199999999999996</v>
      </c>
      <c r="F21" s="51">
        <v>3.72</v>
      </c>
      <c r="G21" s="51">
        <v>31.16</v>
      </c>
      <c r="H21" s="51">
        <v>9.34</v>
      </c>
      <c r="I21" s="51">
        <v>4.24</v>
      </c>
      <c r="J21" s="51">
        <v>0.35</v>
      </c>
      <c r="K21" s="51">
        <v>288.97000000000003</v>
      </c>
      <c r="L21" s="51">
        <v>24.01</v>
      </c>
      <c r="M21" s="51">
        <v>97.54</v>
      </c>
      <c r="N21" s="51">
        <v>255.3</v>
      </c>
      <c r="O21" s="51">
        <v>0</v>
      </c>
      <c r="P21" s="51">
        <v>0.83</v>
      </c>
      <c r="Q21" s="51">
        <v>9.5399999999999991</v>
      </c>
      <c r="R21" s="43"/>
      <c r="S21" s="43"/>
      <c r="T21" s="43"/>
      <c r="U21" s="43"/>
    </row>
    <row r="22" spans="1:21" s="11" customFormat="1" x14ac:dyDescent="0.25">
      <c r="A22" s="50" t="s">
        <v>769</v>
      </c>
      <c r="B22" s="51">
        <v>15.93</v>
      </c>
      <c r="C22" s="51">
        <v>16.95</v>
      </c>
      <c r="D22" s="51">
        <v>21.54</v>
      </c>
      <c r="E22" s="51">
        <v>4.4400000000000004</v>
      </c>
      <c r="F22" s="51">
        <v>4.0999999999999996</v>
      </c>
      <c r="G22" s="51">
        <v>61.03</v>
      </c>
      <c r="H22" s="51">
        <v>8.3000000000000007</v>
      </c>
      <c r="I22" s="51">
        <v>4.03</v>
      </c>
      <c r="J22" s="51">
        <v>0.41</v>
      </c>
      <c r="K22" s="51">
        <v>288.95</v>
      </c>
      <c r="L22" s="51">
        <v>24.39</v>
      </c>
      <c r="M22" s="51">
        <v>97.52</v>
      </c>
      <c r="N22" s="51">
        <v>258.2</v>
      </c>
      <c r="O22" s="51">
        <v>0</v>
      </c>
      <c r="P22" s="51">
        <v>0.59</v>
      </c>
      <c r="Q22" s="51">
        <v>9.44</v>
      </c>
      <c r="R22" s="43"/>
      <c r="S22" s="43"/>
      <c r="T22" s="43"/>
      <c r="U22" s="43"/>
    </row>
    <row r="23" spans="1:21" s="11" customFormat="1" x14ac:dyDescent="0.25">
      <c r="A23" s="50" t="s">
        <v>770</v>
      </c>
      <c r="B23" s="51">
        <v>14.12</v>
      </c>
      <c r="C23" s="51">
        <v>19.29</v>
      </c>
      <c r="D23" s="51">
        <v>21.2</v>
      </c>
      <c r="E23" s="51">
        <v>4.5199999999999996</v>
      </c>
      <c r="F23" s="51">
        <v>4.13</v>
      </c>
      <c r="G23" s="51">
        <v>61.03</v>
      </c>
      <c r="H23" s="51">
        <v>8.59</v>
      </c>
      <c r="I23" s="51">
        <v>3.21</v>
      </c>
      <c r="J23" s="51">
        <v>0.41</v>
      </c>
      <c r="K23" s="51">
        <v>286.26</v>
      </c>
      <c r="L23" s="51">
        <v>24.73</v>
      </c>
      <c r="M23" s="51">
        <v>97.5</v>
      </c>
      <c r="N23" s="51">
        <v>213.8</v>
      </c>
      <c r="O23" s="51">
        <v>0</v>
      </c>
      <c r="P23" s="51">
        <v>0.48</v>
      </c>
      <c r="Q23" s="51">
        <v>9.41</v>
      </c>
      <c r="R23" s="43"/>
      <c r="S23" s="43"/>
      <c r="T23" s="43"/>
      <c r="U23" s="43"/>
    </row>
    <row r="24" spans="1:21" s="11" customFormat="1" x14ac:dyDescent="0.25">
      <c r="A24" s="50" t="s">
        <v>771</v>
      </c>
      <c r="B24" s="51">
        <v>13.81</v>
      </c>
      <c r="C24" s="51">
        <v>18.21</v>
      </c>
      <c r="D24" s="51">
        <v>20.34</v>
      </c>
      <c r="E24" s="51">
        <v>4.47</v>
      </c>
      <c r="F24" s="51">
        <v>4.16</v>
      </c>
      <c r="G24" s="51">
        <v>55.66</v>
      </c>
      <c r="H24" s="51">
        <v>9.86</v>
      </c>
      <c r="I24" s="51">
        <v>2.97</v>
      </c>
      <c r="J24" s="51">
        <v>0.4</v>
      </c>
      <c r="K24" s="51">
        <v>293.02</v>
      </c>
      <c r="L24" s="51">
        <v>25.41</v>
      </c>
      <c r="M24" s="51">
        <v>97.5</v>
      </c>
      <c r="N24" s="51">
        <v>279.2</v>
      </c>
      <c r="O24" s="51">
        <v>0</v>
      </c>
      <c r="P24" s="51">
        <v>0.49</v>
      </c>
      <c r="Q24" s="51">
        <v>9.3699999999999992</v>
      </c>
      <c r="R24" s="43"/>
      <c r="S24" s="43"/>
      <c r="T24" s="43"/>
      <c r="U24" s="43"/>
    </row>
    <row r="25" spans="1:21" s="11" customFormat="1" x14ac:dyDescent="0.25">
      <c r="A25" s="50" t="s">
        <v>772</v>
      </c>
      <c r="B25" s="51">
        <v>12.25</v>
      </c>
      <c r="C25" s="51">
        <v>17.420000000000002</v>
      </c>
      <c r="D25" s="51">
        <v>18.809999999999999</v>
      </c>
      <c r="E25" s="51">
        <v>4.1399999999999997</v>
      </c>
      <c r="F25" s="51">
        <v>3.45</v>
      </c>
      <c r="G25" s="51">
        <v>55.66</v>
      </c>
      <c r="H25" s="51">
        <v>9.86</v>
      </c>
      <c r="I25" s="51">
        <v>2.78</v>
      </c>
      <c r="J25" s="51">
        <v>0.32</v>
      </c>
      <c r="K25" s="51">
        <v>296.55</v>
      </c>
      <c r="L25" s="51">
        <v>24.37</v>
      </c>
      <c r="M25" s="51">
        <v>97.5</v>
      </c>
      <c r="N25" s="51">
        <v>122.9</v>
      </c>
      <c r="O25" s="51">
        <v>0</v>
      </c>
      <c r="P25" s="51">
        <v>0.42</v>
      </c>
      <c r="Q25" s="51">
        <v>9.3000000000000007</v>
      </c>
      <c r="R25" s="43"/>
      <c r="S25" s="43"/>
      <c r="T25" s="43"/>
      <c r="U25" s="43"/>
    </row>
    <row r="26" spans="1:21" s="11" customFormat="1" x14ac:dyDescent="0.25">
      <c r="A26" s="50" t="s">
        <v>773</v>
      </c>
      <c r="B26" s="51">
        <v>12.67</v>
      </c>
      <c r="C26" s="51">
        <v>17.05</v>
      </c>
      <c r="D26" s="51">
        <v>18.72</v>
      </c>
      <c r="E26" s="51">
        <v>4.0999999999999996</v>
      </c>
      <c r="F26" s="51">
        <v>3.51</v>
      </c>
      <c r="G26" s="51">
        <v>50.35</v>
      </c>
      <c r="H26" s="51">
        <v>7.84</v>
      </c>
      <c r="I26" s="51">
        <v>2.2000000000000002</v>
      </c>
      <c r="J26" s="51">
        <v>0.27</v>
      </c>
      <c r="K26" s="51">
        <v>321.19</v>
      </c>
      <c r="L26" s="51">
        <v>24.07</v>
      </c>
      <c r="M26" s="51">
        <v>97.51</v>
      </c>
      <c r="N26" s="51">
        <v>97.6</v>
      </c>
      <c r="O26" s="51">
        <v>0</v>
      </c>
      <c r="P26" s="51">
        <v>0.33</v>
      </c>
      <c r="Q26" s="51">
        <v>9.32</v>
      </c>
      <c r="R26" s="43"/>
      <c r="S26" s="43"/>
      <c r="T26" s="43"/>
      <c r="U26" s="43"/>
    </row>
    <row r="27" spans="1:21" s="11" customFormat="1" x14ac:dyDescent="0.25">
      <c r="A27" s="50" t="s">
        <v>774</v>
      </c>
      <c r="B27" s="51">
        <v>9.91</v>
      </c>
      <c r="C27" s="51">
        <v>18.13</v>
      </c>
      <c r="D27" s="51">
        <v>17.420000000000002</v>
      </c>
      <c r="E27" s="51">
        <v>4.29</v>
      </c>
      <c r="F27" s="51">
        <v>4.0999999999999996</v>
      </c>
      <c r="G27" s="51">
        <v>44.45</v>
      </c>
      <c r="H27" s="51">
        <v>5.72</v>
      </c>
      <c r="I27" s="51">
        <v>1.62</v>
      </c>
      <c r="J27" s="51">
        <v>0.22</v>
      </c>
      <c r="K27" s="51">
        <v>329.76</v>
      </c>
      <c r="L27" s="51">
        <v>23.69</v>
      </c>
      <c r="M27" s="51">
        <v>97.54</v>
      </c>
      <c r="N27" s="51">
        <v>70.099999999999994</v>
      </c>
      <c r="O27" s="51">
        <v>0</v>
      </c>
      <c r="P27" s="51">
        <v>0.27</v>
      </c>
      <c r="Q27" s="51">
        <v>9.26</v>
      </c>
      <c r="R27" s="43"/>
      <c r="S27" s="43"/>
      <c r="T27" s="43"/>
      <c r="U27" s="43"/>
    </row>
    <row r="28" spans="1:21" s="11" customFormat="1" x14ac:dyDescent="0.25">
      <c r="A28" s="50" t="s">
        <v>775</v>
      </c>
      <c r="B28" s="51">
        <v>9</v>
      </c>
      <c r="C28" s="51">
        <v>16.2</v>
      </c>
      <c r="D28" s="51">
        <v>15.53</v>
      </c>
      <c r="E28" s="51">
        <v>4.13</v>
      </c>
      <c r="F28" s="51">
        <v>4</v>
      </c>
      <c r="G28" s="51">
        <v>43.58</v>
      </c>
      <c r="H28" s="51">
        <v>7.6</v>
      </c>
      <c r="I28" s="51">
        <v>1.39</v>
      </c>
      <c r="J28" s="51">
        <v>0.23</v>
      </c>
      <c r="K28" s="51">
        <v>338.39</v>
      </c>
      <c r="L28" s="51">
        <v>23.38</v>
      </c>
      <c r="M28" s="51">
        <v>97.55</v>
      </c>
      <c r="N28" s="51">
        <v>59.1</v>
      </c>
      <c r="O28" s="51">
        <v>0</v>
      </c>
      <c r="P28" s="51">
        <v>0.44</v>
      </c>
      <c r="Q28" s="51">
        <v>9.19</v>
      </c>
      <c r="R28" s="43"/>
      <c r="S28" s="43"/>
      <c r="T28" s="43"/>
      <c r="U28" s="43"/>
    </row>
    <row r="29" spans="1:21" s="11" customFormat="1" x14ac:dyDescent="0.25">
      <c r="A29" s="50" t="s">
        <v>776</v>
      </c>
      <c r="B29" s="51">
        <v>8.5399999999999991</v>
      </c>
      <c r="C29" s="51">
        <v>14.34</v>
      </c>
      <c r="D29" s="51">
        <v>14.34</v>
      </c>
      <c r="E29" s="51">
        <v>3.99</v>
      </c>
      <c r="F29" s="51">
        <v>3.76</v>
      </c>
      <c r="G29" s="51">
        <v>36.86</v>
      </c>
      <c r="H29" s="51">
        <v>7.6</v>
      </c>
      <c r="I29" s="51">
        <v>1.37</v>
      </c>
      <c r="J29" s="51">
        <v>0.24</v>
      </c>
      <c r="K29" s="51">
        <v>337.14</v>
      </c>
      <c r="L29" s="51">
        <v>23.17</v>
      </c>
      <c r="M29" s="51">
        <v>97.55</v>
      </c>
      <c r="N29" s="51">
        <v>59.1</v>
      </c>
      <c r="O29" s="51">
        <v>0</v>
      </c>
      <c r="P29" s="51">
        <v>0.43</v>
      </c>
      <c r="Q29" s="51">
        <v>9.17</v>
      </c>
      <c r="R29" s="43"/>
      <c r="S29" s="43"/>
      <c r="T29" s="43"/>
      <c r="U29" s="43"/>
    </row>
    <row r="30" spans="1:21" s="11" customFormat="1" x14ac:dyDescent="0.25">
      <c r="A30" s="50" t="s">
        <v>777</v>
      </c>
      <c r="B30" s="51">
        <v>8.32</v>
      </c>
      <c r="C30" s="51">
        <v>14.68</v>
      </c>
      <c r="D30" s="51">
        <v>14.26</v>
      </c>
      <c r="E30" s="51">
        <v>3.97</v>
      </c>
      <c r="F30" s="51">
        <v>3.35</v>
      </c>
      <c r="G30" s="51">
        <v>36.03</v>
      </c>
      <c r="H30" s="51">
        <v>5.32</v>
      </c>
      <c r="I30" s="51">
        <v>1.32</v>
      </c>
      <c r="J30" s="51">
        <v>0.17</v>
      </c>
      <c r="K30" s="51">
        <v>343.59</v>
      </c>
      <c r="L30" s="51">
        <v>23.08</v>
      </c>
      <c r="M30" s="51">
        <v>97.58</v>
      </c>
      <c r="N30" s="51">
        <v>59.1</v>
      </c>
      <c r="O30" s="51">
        <v>0</v>
      </c>
      <c r="P30" s="51">
        <v>0.43</v>
      </c>
      <c r="Q30" s="51">
        <v>9.14</v>
      </c>
      <c r="R30" s="43"/>
      <c r="S30" s="43"/>
      <c r="T30" s="43"/>
      <c r="U30" s="43"/>
    </row>
    <row r="31" spans="1:21" s="11" customFormat="1" x14ac:dyDescent="0.25">
      <c r="A31" s="50" t="s">
        <v>778</v>
      </c>
      <c r="B31" s="51">
        <v>8.66</v>
      </c>
      <c r="C31" s="51">
        <v>13.88</v>
      </c>
      <c r="D31" s="51">
        <v>13.8</v>
      </c>
      <c r="E31" s="51">
        <v>4.18</v>
      </c>
      <c r="F31" s="51">
        <v>3.54</v>
      </c>
      <c r="G31" s="51">
        <v>29.22</v>
      </c>
      <c r="H31" s="51">
        <v>3.73</v>
      </c>
      <c r="I31" s="51">
        <v>1.23</v>
      </c>
      <c r="J31" s="51">
        <v>0.26</v>
      </c>
      <c r="K31" s="51">
        <v>329.25</v>
      </c>
      <c r="L31" s="51">
        <v>23.19</v>
      </c>
      <c r="M31" s="51">
        <v>97.56</v>
      </c>
      <c r="N31" s="51">
        <v>59.1</v>
      </c>
      <c r="O31" s="51">
        <v>0</v>
      </c>
      <c r="P31" s="51">
        <v>0.38</v>
      </c>
      <c r="Q31" s="51">
        <v>9.16</v>
      </c>
      <c r="R31" s="43"/>
      <c r="S31" s="43"/>
      <c r="T31" s="43"/>
      <c r="U31" s="43"/>
    </row>
    <row r="32" spans="1:21" s="11" customFormat="1" x14ac:dyDescent="0.25">
      <c r="A32" s="50" t="s">
        <v>779</v>
      </c>
      <c r="B32" s="51">
        <v>7.97</v>
      </c>
      <c r="C32" s="51">
        <v>13.05</v>
      </c>
      <c r="D32" s="51">
        <v>13.21</v>
      </c>
      <c r="E32" s="51">
        <v>5.0599999999999996</v>
      </c>
      <c r="F32" s="51">
        <v>3.78</v>
      </c>
      <c r="G32" s="51">
        <v>27.6</v>
      </c>
      <c r="H32" s="51">
        <v>2.61</v>
      </c>
      <c r="I32" s="51">
        <v>1.07</v>
      </c>
      <c r="J32" s="51">
        <v>0.18</v>
      </c>
      <c r="K32" s="51">
        <v>331</v>
      </c>
      <c r="L32" s="51">
        <v>23.13</v>
      </c>
      <c r="M32" s="51">
        <v>97.58</v>
      </c>
      <c r="N32" s="51">
        <v>59.2</v>
      </c>
      <c r="O32" s="51">
        <v>0</v>
      </c>
      <c r="P32" s="51">
        <v>0.34</v>
      </c>
      <c r="Q32" s="51">
        <v>9.1300000000000008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4.17</v>
      </c>
      <c r="C34" s="28">
        <f t="shared" si="0"/>
        <v>11.35</v>
      </c>
      <c r="D34" s="28">
        <f t="shared" si="0"/>
        <v>9.6999999999999993</v>
      </c>
      <c r="E34" s="28">
        <f t="shared" si="0"/>
        <v>3.64</v>
      </c>
      <c r="F34" s="28">
        <f t="shared" si="0"/>
        <v>3.04</v>
      </c>
      <c r="G34" s="28">
        <f t="shared" si="0"/>
        <v>7.32</v>
      </c>
      <c r="H34" s="28">
        <f t="shared" si="0"/>
        <v>2.61</v>
      </c>
      <c r="I34" s="28">
        <f t="shared" si="0"/>
        <v>0.45</v>
      </c>
      <c r="J34" s="28">
        <f t="shared" si="0"/>
        <v>0.13</v>
      </c>
      <c r="K34" s="28">
        <f t="shared" si="0"/>
        <v>286.26</v>
      </c>
      <c r="L34" s="28">
        <f t="shared" si="0"/>
        <v>21.12</v>
      </c>
      <c r="M34" s="28">
        <f t="shared" si="0"/>
        <v>97.5</v>
      </c>
      <c r="N34" s="28">
        <f t="shared" si="0"/>
        <v>59.1</v>
      </c>
      <c r="O34" s="28">
        <f t="shared" si="0"/>
        <v>0</v>
      </c>
      <c r="P34" s="28">
        <f t="shared" si="0"/>
        <v>0.15</v>
      </c>
      <c r="Q34" s="28">
        <f t="shared" si="0"/>
        <v>8.9600000000000009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21.25</v>
      </c>
      <c r="C35" s="29">
        <f t="shared" si="1"/>
        <v>19.29</v>
      </c>
      <c r="D35" s="29">
        <f t="shared" si="1"/>
        <v>26.5</v>
      </c>
      <c r="E35" s="29">
        <f t="shared" si="1"/>
        <v>5.0599999999999996</v>
      </c>
      <c r="F35" s="29">
        <f t="shared" si="1"/>
        <v>4.83</v>
      </c>
      <c r="G35" s="29">
        <f t="shared" si="1"/>
        <v>61.03</v>
      </c>
      <c r="H35" s="29">
        <f t="shared" si="1"/>
        <v>9.91</v>
      </c>
      <c r="I35" s="29">
        <f t="shared" si="1"/>
        <v>4.24</v>
      </c>
      <c r="J35" s="29">
        <f t="shared" si="1"/>
        <v>0.41</v>
      </c>
      <c r="K35" s="29">
        <f t="shared" si="1"/>
        <v>343.59</v>
      </c>
      <c r="L35" s="29">
        <f t="shared" si="1"/>
        <v>25.41</v>
      </c>
      <c r="M35" s="29">
        <f t="shared" si="1"/>
        <v>97.68</v>
      </c>
      <c r="N35" s="29">
        <f t="shared" si="1"/>
        <v>279.2</v>
      </c>
      <c r="O35" s="29">
        <f t="shared" si="1"/>
        <v>1.2</v>
      </c>
      <c r="P35" s="29">
        <f t="shared" si="1"/>
        <v>0.88</v>
      </c>
      <c r="Q35" s="29">
        <f t="shared" si="1"/>
        <v>9.5399999999999991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10.992916666666666</v>
      </c>
      <c r="C36" s="28">
        <f t="shared" si="2"/>
        <v>14.448333333333331</v>
      </c>
      <c r="D36" s="28">
        <f t="shared" si="2"/>
        <v>16.225833333333327</v>
      </c>
      <c r="E36" s="28">
        <f t="shared" si="2"/>
        <v>4.2504166666666663</v>
      </c>
      <c r="F36" s="28">
        <f t="shared" si="2"/>
        <v>3.8333333333333339</v>
      </c>
      <c r="G36" s="28">
        <f t="shared" si="2"/>
        <v>30.383750000000003</v>
      </c>
      <c r="H36" s="28">
        <f t="shared" si="2"/>
        <v>7.0829166666666659</v>
      </c>
      <c r="I36" s="28">
        <f t="shared" si="2"/>
        <v>1.7883333333333331</v>
      </c>
      <c r="J36" s="28">
        <f t="shared" si="2"/>
        <v>0.25791666666666668</v>
      </c>
      <c r="K36" s="28">
        <f t="shared" si="2"/>
        <v>310.67541666666671</v>
      </c>
      <c r="L36" s="28">
        <f t="shared" si="2"/>
        <v>22.847083333333334</v>
      </c>
      <c r="M36" s="28">
        <f t="shared" si="2"/>
        <v>97.599583333333328</v>
      </c>
      <c r="N36" s="28">
        <f t="shared" si="2"/>
        <v>126.3333333333333</v>
      </c>
      <c r="O36" s="28">
        <f t="shared" si="2"/>
        <v>0.14166666666666669</v>
      </c>
      <c r="P36" s="28">
        <f t="shared" si="2"/>
        <v>0.41625000000000001</v>
      </c>
      <c r="Q36" s="28">
        <f t="shared" si="2"/>
        <v>9.2224999999999984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5.539122893341168</v>
      </c>
      <c r="C37" s="28">
        <f t="shared" ref="C37:Q37" si="3">STDEV(C9:C32)</f>
        <v>2.7960090605480397</v>
      </c>
      <c r="D37" s="28">
        <f t="shared" si="3"/>
        <v>5.1271459275428253</v>
      </c>
      <c r="E37" s="28">
        <f t="shared" si="3"/>
        <v>0.37258765139362099</v>
      </c>
      <c r="F37" s="28">
        <f t="shared" si="3"/>
        <v>0.3739642701680454</v>
      </c>
      <c r="G37" s="28">
        <f t="shared" si="3"/>
        <v>17.17691393360893</v>
      </c>
      <c r="H37" s="28">
        <f t="shared" si="3"/>
        <v>2.3832576885735501</v>
      </c>
      <c r="I37" s="28">
        <f t="shared" si="3"/>
        <v>1.2330403098832994</v>
      </c>
      <c r="J37" s="28">
        <f t="shared" si="3"/>
        <v>7.9289188180475381E-2</v>
      </c>
      <c r="K37" s="28">
        <f t="shared" si="3"/>
        <v>17.608642635677921</v>
      </c>
      <c r="L37" s="28">
        <f t="shared" si="3"/>
        <v>1.2660636674926453</v>
      </c>
      <c r="M37" s="28">
        <f t="shared" si="3"/>
        <v>7.0493858299650922E-2</v>
      </c>
      <c r="N37" s="28">
        <f t="shared" si="3"/>
        <v>70.168620923592698</v>
      </c>
      <c r="O37" s="28">
        <f t="shared" si="3"/>
        <v>0.29769647026089696</v>
      </c>
      <c r="P37" s="28">
        <f t="shared" si="3"/>
        <v>0.22902083634084658</v>
      </c>
      <c r="Q37" s="28">
        <f t="shared" si="3"/>
        <v>0.19532024984624591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6" sqref="G56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01/06/2025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01/06/2025 01:00</v>
      </c>
      <c r="B9" s="24">
        <f>'01'!B36</f>
        <v>12.033333333333333</v>
      </c>
      <c r="C9" s="24">
        <f>'01'!C36</f>
        <v>25.057500000000005</v>
      </c>
      <c r="D9" s="24">
        <f>'01'!D36</f>
        <v>30.032499999999999</v>
      </c>
      <c r="E9" s="24">
        <f>'01'!E36</f>
        <v>4.7737500000000006</v>
      </c>
      <c r="F9" s="24">
        <f>'01'!F36</f>
        <v>7.6704166666666653</v>
      </c>
      <c r="G9" s="24">
        <f>'01'!G36</f>
        <v>55.955416666666657</v>
      </c>
      <c r="H9" s="24">
        <f>'01'!H36</f>
        <v>40.673749999999998</v>
      </c>
      <c r="I9" s="24">
        <f>'01'!I36</f>
        <v>4.0850000000000009</v>
      </c>
      <c r="J9" s="24">
        <f>'01'!J36</f>
        <v>0.33041666666666669</v>
      </c>
      <c r="K9" s="24">
        <f>'01'!K36</f>
        <v>280.47458333333333</v>
      </c>
      <c r="L9" s="24">
        <f>'01'!L36</f>
        <v>30.032916666666665</v>
      </c>
      <c r="M9" s="24">
        <f>'01'!M36</f>
        <v>67.605833333333322</v>
      </c>
      <c r="N9" s="24">
        <f>'01'!N36</f>
        <v>273.22916666666669</v>
      </c>
      <c r="O9" s="24">
        <f>'01'!O36</f>
        <v>0</v>
      </c>
      <c r="P9" s="30">
        <f>'01'!$P$36</f>
        <v>0.50708333333333333</v>
      </c>
      <c r="Q9" s="24">
        <f>'01'!Q36</f>
        <v>9.3625000000000007</v>
      </c>
      <c r="R9" s="44"/>
      <c r="S9" s="44"/>
      <c r="T9" s="44"/>
      <c r="U9" s="45"/>
    </row>
    <row r="10" spans="1:21" s="34" customFormat="1" x14ac:dyDescent="0.25">
      <c r="A10" s="36" t="str">
        <f>'02'!$B$2</f>
        <v>02/06/2025 01:00</v>
      </c>
      <c r="B10" s="33">
        <f>'02'!B36</f>
        <v>9.0808333333333326</v>
      </c>
      <c r="C10" s="33">
        <f>'02'!C36</f>
        <v>24.064999999999998</v>
      </c>
      <c r="D10" s="33">
        <f>'02'!D36</f>
        <v>32.744583333333331</v>
      </c>
      <c r="E10" s="33">
        <f>'02'!E36</f>
        <v>5.2354166666666666</v>
      </c>
      <c r="F10" s="33">
        <f>'02'!F36</f>
        <v>9.7141666666666655</v>
      </c>
      <c r="G10" s="33">
        <f>'02'!G36</f>
        <v>38.134166666666673</v>
      </c>
      <c r="H10" s="33">
        <f>'02'!H36</f>
        <v>71.650416666666686</v>
      </c>
      <c r="I10" s="33">
        <f>'02'!I36</f>
        <v>4.1258333333333344</v>
      </c>
      <c r="J10" s="33">
        <f>'02'!J36</f>
        <v>0.24749999999999997</v>
      </c>
      <c r="K10" s="33">
        <f>'02'!K36</f>
        <v>271.81083333333328</v>
      </c>
      <c r="L10" s="33">
        <f>'02'!L36</f>
        <v>30.089583333333334</v>
      </c>
      <c r="M10" s="33">
        <f>'02'!M36</f>
        <v>56.077083333333327</v>
      </c>
      <c r="N10" s="33">
        <f>'02'!N36</f>
        <v>289.60416666666669</v>
      </c>
      <c r="O10" s="33">
        <f>'02'!O36</f>
        <v>0</v>
      </c>
      <c r="P10" s="30">
        <f>'02'!$P$36</f>
        <v>0.31916666666666665</v>
      </c>
      <c r="Q10" s="33">
        <f>'02'!Q36</f>
        <v>9.3395833333333318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03/06/2025 01:00</v>
      </c>
      <c r="B11" s="33">
        <f>'03'!B36</f>
        <v>9.4375</v>
      </c>
      <c r="C11" s="33">
        <f>'03'!C36</f>
        <v>24.010833333333334</v>
      </c>
      <c r="D11" s="33">
        <f>'03'!D36</f>
        <v>32.191666666666663</v>
      </c>
      <c r="E11" s="33">
        <f>'03'!E36</f>
        <v>4.9275000000000002</v>
      </c>
      <c r="F11" s="33">
        <f>'03'!F36</f>
        <v>8.632083333333334</v>
      </c>
      <c r="G11" s="33">
        <f>'03'!G36</f>
        <v>39.824583333333329</v>
      </c>
      <c r="H11" s="33">
        <f>'03'!H36</f>
        <v>148.23833333333332</v>
      </c>
      <c r="I11" s="33">
        <f>'03'!I36</f>
        <v>4.0737499999999995</v>
      </c>
      <c r="J11" s="33">
        <f>'03'!J36</f>
        <v>0.34833333333333338</v>
      </c>
      <c r="K11" s="33">
        <f>'03'!K36</f>
        <v>288.0358333333333</v>
      </c>
      <c r="L11" s="33">
        <f>'03'!L36</f>
        <v>31.053333333333342</v>
      </c>
      <c r="M11" s="33">
        <f>'03'!M36</f>
        <v>53.823749999999983</v>
      </c>
      <c r="N11" s="33">
        <f>'03'!N36</f>
        <v>287.80416666666673</v>
      </c>
      <c r="O11" s="33">
        <f>'03'!O36</f>
        <v>0</v>
      </c>
      <c r="P11" s="30">
        <f>'03'!$P$36</f>
        <v>0.38208333333333333</v>
      </c>
      <c r="Q11" s="33">
        <f>'03'!Q36</f>
        <v>9.3433333333333319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04/06/2025 01:00</v>
      </c>
      <c r="B12" s="33">
        <f>'04'!B36</f>
        <v>10.008750000000004</v>
      </c>
      <c r="C12" s="33">
        <f>'04'!C36</f>
        <v>26.93708333333333</v>
      </c>
      <c r="D12" s="33">
        <f>'04'!D36</f>
        <v>37.468333333333327</v>
      </c>
      <c r="E12" s="33">
        <f>'04'!E36</f>
        <v>6.1016666666666666</v>
      </c>
      <c r="F12" s="33">
        <f>'04'!F36</f>
        <v>9.9454166666666666</v>
      </c>
      <c r="G12" s="33">
        <f>'04'!G36</f>
        <v>50.715000000000003</v>
      </c>
      <c r="H12" s="33">
        <f>'04'!H36</f>
        <v>21.372916666666669</v>
      </c>
      <c r="I12" s="33">
        <f>'04'!I36</f>
        <v>4.112916666666667</v>
      </c>
      <c r="J12" s="33">
        <f>'04'!J36</f>
        <v>0.55541666666666656</v>
      </c>
      <c r="K12" s="33">
        <f>'04'!K36</f>
        <v>305.07916666666671</v>
      </c>
      <c r="L12" s="33">
        <f>'04'!L36</f>
        <v>31.344999999999995</v>
      </c>
      <c r="M12" s="33">
        <f>'04'!M36</f>
        <v>51.060416666666661</v>
      </c>
      <c r="N12" s="33">
        <f>'04'!N36</f>
        <v>286.14166666666665</v>
      </c>
      <c r="O12" s="33">
        <f>'04'!O36</f>
        <v>0</v>
      </c>
      <c r="P12" s="30">
        <f>'04'!$P$36</f>
        <v>0.55625000000000002</v>
      </c>
      <c r="Q12" s="33">
        <f>'04'!Q36</f>
        <v>9.4116666666666653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05/06/2025 01:00</v>
      </c>
      <c r="B13" s="33">
        <f>'05'!B36</f>
        <v>17.028333333333336</v>
      </c>
      <c r="C13" s="33">
        <f>'05'!C36</f>
        <v>36.47291666666667</v>
      </c>
      <c r="D13" s="33">
        <f>'05'!D36</f>
        <v>44.542916666666663</v>
      </c>
      <c r="E13" s="33">
        <f>'05'!E36</f>
        <v>6.8724999999999987</v>
      </c>
      <c r="F13" s="33">
        <f>'05'!F36</f>
        <v>12.454166666666666</v>
      </c>
      <c r="G13" s="33">
        <f>'05'!G36</f>
        <v>45.941666666666663</v>
      </c>
      <c r="H13" s="33">
        <f>'05'!H36</f>
        <v>83.742083333333341</v>
      </c>
      <c r="I13" s="33">
        <f>'05'!I36</f>
        <v>4.0991666666666671</v>
      </c>
      <c r="J13" s="33">
        <f>'05'!J36</f>
        <v>0.47666666666666657</v>
      </c>
      <c r="K13" s="33">
        <f>'05'!K36</f>
        <v>295.74500000000006</v>
      </c>
      <c r="L13" s="33">
        <f>'05'!L36</f>
        <v>31.737083333333331</v>
      </c>
      <c r="M13" s="33">
        <f>'05'!M36</f>
        <v>52.276249999999997</v>
      </c>
      <c r="N13" s="33">
        <f>'05'!N36</f>
        <v>315.62500000000006</v>
      </c>
      <c r="O13" s="33">
        <f>'05'!O36</f>
        <v>0</v>
      </c>
      <c r="P13" s="30">
        <f>'05'!$P$36</f>
        <v>0.64166666666666672</v>
      </c>
      <c r="Q13" s="33">
        <f>'05'!Q36</f>
        <v>9.3729166666666668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06/06/2025 01:00</v>
      </c>
      <c r="B14" s="33">
        <f>'06'!B36</f>
        <v>12.172499999999998</v>
      </c>
      <c r="C14" s="33">
        <f>'06'!C36</f>
        <v>34.112916666666656</v>
      </c>
      <c r="D14" s="33">
        <f>'06'!D36</f>
        <v>47.845833333333324</v>
      </c>
      <c r="E14" s="33">
        <f>'06'!E36</f>
        <v>7.9762499999999994</v>
      </c>
      <c r="F14" s="33">
        <f>'06'!F36</f>
        <v>16.830833333333334</v>
      </c>
      <c r="G14" s="33">
        <f>'06'!G36</f>
        <v>69.553749999999994</v>
      </c>
      <c r="H14" s="33">
        <f>'06'!H36</f>
        <v>77.887916666666669</v>
      </c>
      <c r="I14" s="33">
        <f>'06'!I36</f>
        <v>4.097500000000001</v>
      </c>
      <c r="J14" s="33">
        <f>'06'!J36</f>
        <v>0.28125000000000006</v>
      </c>
      <c r="K14" s="33">
        <f>'06'!K36</f>
        <v>283.28708333333333</v>
      </c>
      <c r="L14" s="33">
        <f>'06'!L36</f>
        <v>32.776249999999997</v>
      </c>
      <c r="M14" s="33">
        <f>'06'!M36</f>
        <v>49.400833333333338</v>
      </c>
      <c r="N14" s="33">
        <f>'06'!N36</f>
        <v>319.32500000000005</v>
      </c>
      <c r="O14" s="33">
        <f>'06'!O36</f>
        <v>0</v>
      </c>
      <c r="P14" s="30">
        <f>'06'!$P$36</f>
        <v>0.66208333333333336</v>
      </c>
      <c r="Q14" s="33">
        <f>'06'!Q36</f>
        <v>9.4500000000000011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07/06/2025 01:00</v>
      </c>
      <c r="B15" s="33">
        <f>'07'!B36</f>
        <v>10.815416666666666</v>
      </c>
      <c r="C15" s="33">
        <f>'07'!C36</f>
        <v>29.480416666666667</v>
      </c>
      <c r="D15" s="33">
        <f>'07'!D36</f>
        <v>41.184166666666663</v>
      </c>
      <c r="E15" s="33">
        <f>'07'!E36</f>
        <v>7.9024999999999999</v>
      </c>
      <c r="F15" s="33">
        <f>'07'!F36</f>
        <v>13.818750000000001</v>
      </c>
      <c r="G15" s="33">
        <f>'07'!G36</f>
        <v>52.58958333333333</v>
      </c>
      <c r="H15" s="33">
        <f>'07'!H36</f>
        <v>250.98458333333335</v>
      </c>
      <c r="I15" s="33">
        <f>'07'!I36</f>
        <v>4.105833333333333</v>
      </c>
      <c r="J15" s="33">
        <f>'07'!J36</f>
        <v>0.37958333333333338</v>
      </c>
      <c r="K15" s="33">
        <f>'07'!K36</f>
        <v>272.31916666666666</v>
      </c>
      <c r="L15" s="33">
        <f>'07'!L36</f>
        <v>33.34041666666667</v>
      </c>
      <c r="M15" s="33">
        <f>'07'!M36</f>
        <v>44.17166666666666</v>
      </c>
      <c r="N15" s="33">
        <f>'07'!N36</f>
        <v>343.5</v>
      </c>
      <c r="O15" s="33">
        <f>'07'!O36</f>
        <v>0</v>
      </c>
      <c r="P15" s="33">
        <f>'07'!P36</f>
        <v>0.65750000000000008</v>
      </c>
      <c r="Q15" s="33">
        <f>'07'!Q36</f>
        <v>9.3858333333333359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08/06/2025 01:00</v>
      </c>
      <c r="B16" s="33">
        <f>'08'!B36</f>
        <v>8.1620833333333334</v>
      </c>
      <c r="C16" s="33">
        <f>'08'!C36</f>
        <v>26.823333333333327</v>
      </c>
      <c r="D16" s="33">
        <f>'08'!D36</f>
        <v>39.794583333333328</v>
      </c>
      <c r="E16" s="33">
        <f>'08'!E36</f>
        <v>6.1429166666666655</v>
      </c>
      <c r="F16" s="33">
        <f>'08'!F36</f>
        <v>16.49625</v>
      </c>
      <c r="G16" s="33">
        <f>'08'!G36</f>
        <v>53.992916666666666</v>
      </c>
      <c r="H16" s="33">
        <f>'08'!H36</f>
        <v>21.278333333333332</v>
      </c>
      <c r="I16" s="33">
        <f>'08'!I36</f>
        <v>4.0958333333333332</v>
      </c>
      <c r="J16" s="33">
        <f>'08'!J36</f>
        <v>0.60583333333333333</v>
      </c>
      <c r="K16" s="33">
        <f>'08'!K36</f>
        <v>294.44416666666672</v>
      </c>
      <c r="L16" s="33">
        <f>'08'!L36</f>
        <v>33.331249999999997</v>
      </c>
      <c r="M16" s="33">
        <f>'08'!M36</f>
        <v>47.412916666666668</v>
      </c>
      <c r="N16" s="33">
        <f>'08'!N36</f>
        <v>341.28333333333342</v>
      </c>
      <c r="O16" s="33">
        <f>'08'!O36</f>
        <v>0</v>
      </c>
      <c r="P16" s="30">
        <f>'08'!$P$36</f>
        <v>0.55625000000000002</v>
      </c>
      <c r="Q16" s="33">
        <f>'08'!Q36</f>
        <v>9.394166666666667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09/06/2025 01:00</v>
      </c>
      <c r="B17" s="33">
        <f>'09'!B36</f>
        <v>5.5166666666666666</v>
      </c>
      <c r="C17" s="33">
        <f>'09'!C36</f>
        <v>22.751249999999999</v>
      </c>
      <c r="D17" s="33">
        <f>'09'!D36</f>
        <v>35.419999999999995</v>
      </c>
      <c r="E17" s="33">
        <f>'09'!E36</f>
        <v>6.339999999999999</v>
      </c>
      <c r="F17" s="33">
        <f>'09'!F36</f>
        <v>15.000833333333334</v>
      </c>
      <c r="G17" s="33">
        <f>'09'!G36</f>
        <v>39.684583333333329</v>
      </c>
      <c r="H17" s="33">
        <f>'09'!H36</f>
        <v>12.874999999999998</v>
      </c>
      <c r="I17" s="33">
        <f>'09'!I36</f>
        <v>4.0841666666666674</v>
      </c>
      <c r="J17" s="33">
        <f>'09'!J36</f>
        <v>0.46749999999999997</v>
      </c>
      <c r="K17" s="33">
        <f>'09'!K36</f>
        <v>252.37750000000003</v>
      </c>
      <c r="L17" s="33">
        <f>'09'!L36</f>
        <v>31.445416666666659</v>
      </c>
      <c r="M17" s="33">
        <f>'09'!M36</f>
        <v>55.428333333333335</v>
      </c>
      <c r="N17" s="33">
        <f>'09'!N36</f>
        <v>296.78333333333336</v>
      </c>
      <c r="O17" s="33">
        <f>'09'!O36</f>
        <v>0</v>
      </c>
      <c r="P17" s="33">
        <f>'09'!P36</f>
        <v>0.43291666666666667</v>
      </c>
      <c r="Q17" s="33">
        <f>'09'!Q36</f>
        <v>9.3108333333333348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10/06/2025 01:00</v>
      </c>
      <c r="B18" s="33">
        <f>'10'!B36</f>
        <v>6.4554166666666646</v>
      </c>
      <c r="C18" s="33">
        <f>'10'!C36</f>
        <v>21.594583333333333</v>
      </c>
      <c r="D18" s="33">
        <f>'10'!D36</f>
        <v>31.67916666666666</v>
      </c>
      <c r="E18" s="33">
        <f>'10'!E36</f>
        <v>8.144166666666667</v>
      </c>
      <c r="F18" s="33">
        <f>'10'!F36</f>
        <v>15.532083333333333</v>
      </c>
      <c r="G18" s="33">
        <f>'10'!G36</f>
        <v>44.881666666666668</v>
      </c>
      <c r="H18" s="33">
        <f>'10'!H36</f>
        <v>18.647916666666667</v>
      </c>
      <c r="I18" s="33">
        <f>'10'!I36</f>
        <v>4.0858333333333334</v>
      </c>
      <c r="J18" s="33">
        <f>'10'!J36</f>
        <v>0.56958333333333322</v>
      </c>
      <c r="K18" s="33">
        <f>'10'!K36</f>
        <v>242.49499999999998</v>
      </c>
      <c r="L18" s="33">
        <f>'10'!L36</f>
        <v>28.640416666666667</v>
      </c>
      <c r="M18" s="33">
        <f>'10'!M36</f>
        <v>72.463750000000005</v>
      </c>
      <c r="N18" s="33">
        <f>'10'!N36</f>
        <v>208.29166666666666</v>
      </c>
      <c r="O18" s="33">
        <f>'10'!O36</f>
        <v>0.67499999999999993</v>
      </c>
      <c r="P18" s="30">
        <f>'10'!$P$36</f>
        <v>0.53583333333333338</v>
      </c>
      <c r="Q18" s="33">
        <f>'10'!Q36</f>
        <v>9.3025000000000002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11/06/2025 01:00</v>
      </c>
      <c r="B19" s="33">
        <f>'11'!B36</f>
        <v>10.411666666666667</v>
      </c>
      <c r="C19" s="33">
        <f>'11'!C36</f>
        <v>28.270416666666673</v>
      </c>
      <c r="D19" s="33">
        <f>'11'!D36</f>
        <v>39.030833333333327</v>
      </c>
      <c r="E19" s="33">
        <f>'11'!E36</f>
        <v>5.4850000000000003</v>
      </c>
      <c r="F19" s="33">
        <f>'11'!F36</f>
        <v>14.038333333333332</v>
      </c>
      <c r="G19" s="33">
        <f>'11'!G36</f>
        <v>42.319583333333341</v>
      </c>
      <c r="H19" s="33">
        <f>'11'!H36</f>
        <v>13.999583333333332</v>
      </c>
      <c r="I19" s="33">
        <f>'11'!I36</f>
        <v>4.1012500000000003</v>
      </c>
      <c r="J19" s="33">
        <f>'11'!J36</f>
        <v>0.66583333333333339</v>
      </c>
      <c r="K19" s="33">
        <f>'11'!K36</f>
        <v>194.65208333333331</v>
      </c>
      <c r="L19" s="33">
        <f>'11'!L36</f>
        <v>29.148749999999996</v>
      </c>
      <c r="M19" s="33">
        <f>'11'!M36</f>
        <v>75.121249999999989</v>
      </c>
      <c r="N19" s="33">
        <f>'11'!N36</f>
        <v>317.10416666666669</v>
      </c>
      <c r="O19" s="33">
        <f>'11'!O36</f>
        <v>0</v>
      </c>
      <c r="P19" s="33">
        <f>'11'!P36</f>
        <v>0.53749999999999998</v>
      </c>
      <c r="Q19" s="33">
        <f>'11'!Q36</f>
        <v>9.3912500000000012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12/06/2025 01:00</v>
      </c>
      <c r="B20" s="33">
        <f>'12'!B36</f>
        <v>7.4679166666666683</v>
      </c>
      <c r="C20" s="33">
        <f>'12'!C36</f>
        <v>19.577083333333331</v>
      </c>
      <c r="D20" s="33">
        <f>'12'!D36</f>
        <v>26.417499999999993</v>
      </c>
      <c r="E20" s="33">
        <f>'12'!E36</f>
        <v>5.4941666666666675</v>
      </c>
      <c r="F20" s="33">
        <f>'12'!F36</f>
        <v>14.652083333333335</v>
      </c>
      <c r="G20" s="33">
        <f>'12'!G36</f>
        <v>33.006250000000001</v>
      </c>
      <c r="H20" s="33">
        <f>'12'!H36</f>
        <v>31.232083333333332</v>
      </c>
      <c r="I20" s="33">
        <f>'12'!I36</f>
        <v>4.1133333333333342</v>
      </c>
      <c r="J20" s="33">
        <f>'12'!J36</f>
        <v>0.97041666666666682</v>
      </c>
      <c r="K20" s="33">
        <f>'12'!K36</f>
        <v>134.08041666666665</v>
      </c>
      <c r="L20" s="33">
        <f>'12'!L36</f>
        <v>30.307500000000001</v>
      </c>
      <c r="M20" s="33">
        <f>'12'!M36</f>
        <v>64.048749999999998</v>
      </c>
      <c r="N20" s="33">
        <f>'12'!N36</f>
        <v>344.2</v>
      </c>
      <c r="O20" s="33">
        <f>'12'!O36</f>
        <v>0</v>
      </c>
      <c r="P20" s="33">
        <f>'12'!P36</f>
        <v>0.33291666666666669</v>
      </c>
      <c r="Q20" s="33">
        <f>'12'!Q36</f>
        <v>9.2833333333333314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13/06/2025 01:00</v>
      </c>
      <c r="B21" s="33">
        <f>'13'!B36</f>
        <v>7.1283333333333347</v>
      </c>
      <c r="C21" s="33">
        <f>'13'!C36</f>
        <v>21.394999999999996</v>
      </c>
      <c r="D21" s="33">
        <f>'13'!D36</f>
        <v>30.308750000000003</v>
      </c>
      <c r="E21" s="33">
        <f>'13'!E36</f>
        <v>5.097083333333333</v>
      </c>
      <c r="F21" s="33">
        <f>'13'!F36</f>
        <v>15.884583333333337</v>
      </c>
      <c r="G21" s="33">
        <f>'13'!G36</f>
        <v>16.549583333333334</v>
      </c>
      <c r="H21" s="33">
        <f>'13'!H36</f>
        <v>52.179999999999978</v>
      </c>
      <c r="I21" s="33">
        <f>'13'!I36</f>
        <v>4.1083333333333334</v>
      </c>
      <c r="J21" s="33">
        <f>'13'!J36</f>
        <v>0.63583333333333336</v>
      </c>
      <c r="K21" s="33">
        <f>'13'!K36</f>
        <v>186.43499999999997</v>
      </c>
      <c r="L21" s="33">
        <f>'13'!L36</f>
        <v>30.672916666666669</v>
      </c>
      <c r="M21" s="33">
        <f>'13'!M36</f>
        <v>74.528750000000016</v>
      </c>
      <c r="N21" s="33">
        <f>'13'!N36</f>
        <v>357.68749999999994</v>
      </c>
      <c r="O21" s="33">
        <f>'13'!O36</f>
        <v>7.4999999999999997E-2</v>
      </c>
      <c r="P21" s="33">
        <f>'13'!P36</f>
        <v>0.36583333333333345</v>
      </c>
      <c r="Q21" s="33">
        <f>'13'!Q36</f>
        <v>9.2329166666666662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14/06/2025 01:00</v>
      </c>
      <c r="B22" s="30">
        <f>'14'!B36</f>
        <v>6.852083333333332</v>
      </c>
      <c r="C22" s="30">
        <f>'14'!C36</f>
        <v>21.548333333333332</v>
      </c>
      <c r="D22" s="30">
        <f>'14'!D36</f>
        <v>31.186250000000001</v>
      </c>
      <c r="E22" s="30">
        <f>'14'!E36</f>
        <v>5.1141666666666667</v>
      </c>
      <c r="F22" s="30">
        <f>'14'!F36</f>
        <v>16.117500000000003</v>
      </c>
      <c r="G22" s="30">
        <f>'14'!G36</f>
        <v>31.404166666666669</v>
      </c>
      <c r="H22" s="30">
        <f>'14'!H36</f>
        <v>713.30624999999975</v>
      </c>
      <c r="I22" s="30">
        <f>'14'!I36</f>
        <v>4.0774999999999997</v>
      </c>
      <c r="J22" s="30">
        <f>'14'!J36</f>
        <v>0.58249999999999991</v>
      </c>
      <c r="K22" s="30">
        <f>'14'!K36</f>
        <v>244.79916666666671</v>
      </c>
      <c r="L22" s="30">
        <f>'14'!L36</f>
        <v>30.448333333333338</v>
      </c>
      <c r="M22" s="30">
        <f>'14'!M36</f>
        <v>77.622916666666654</v>
      </c>
      <c r="N22" s="30">
        <f>'14'!N36</f>
        <v>284.22916666666663</v>
      </c>
      <c r="O22" s="30">
        <f>'14'!O36</f>
        <v>0</v>
      </c>
      <c r="P22" s="30">
        <f>'14'!P36</f>
        <v>0.48791666666666661</v>
      </c>
      <c r="Q22" s="30">
        <f>'14'!Q36</f>
        <v>9.2329166666666662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15/06/2025 01:00</v>
      </c>
      <c r="B23" s="33">
        <f>'15'!B36</f>
        <v>7.1533333333333351</v>
      </c>
      <c r="C23" s="33">
        <f>'15'!C36</f>
        <v>19.091666666666665</v>
      </c>
      <c r="D23" s="33">
        <f>'15'!D36</f>
        <v>26.053750000000004</v>
      </c>
      <c r="E23" s="33">
        <f>'15'!E36</f>
        <v>5.1504166666666675</v>
      </c>
      <c r="F23" s="33">
        <f>'15'!F36</f>
        <v>12.559166666666664</v>
      </c>
      <c r="G23" s="33">
        <f>'15'!G36</f>
        <v>19.79708333333333</v>
      </c>
      <c r="H23" s="33">
        <f>'15'!H36</f>
        <v>672.50166666666667</v>
      </c>
      <c r="I23" s="33">
        <f>'15'!I36</f>
        <v>4.1137500000000005</v>
      </c>
      <c r="J23" s="33">
        <f>'15'!J36</f>
        <v>0.4991666666666667</v>
      </c>
      <c r="K23" s="33">
        <f>'15'!K36</f>
        <v>276.21791666666661</v>
      </c>
      <c r="L23" s="33">
        <f>'15'!L36</f>
        <v>29.879166666666674</v>
      </c>
      <c r="M23" s="33">
        <f>'15'!M36</f>
        <v>80.63666666666667</v>
      </c>
      <c r="N23" s="33">
        <f>'15'!N36</f>
        <v>291.95</v>
      </c>
      <c r="O23" s="33">
        <f>'15'!O36</f>
        <v>4.1666666666666664E-2</v>
      </c>
      <c r="P23" s="30">
        <f>'15'!P36</f>
        <v>0.38666666666666666</v>
      </c>
      <c r="Q23" s="30">
        <f>'15'!Q36</f>
        <v>9.2170833333333331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16/06/2025 01:00</v>
      </c>
      <c r="B24" s="33">
        <f>'16'!B36</f>
        <v>8.605833333333333</v>
      </c>
      <c r="C24" s="33">
        <f>'16'!C36</f>
        <v>20.801666666666669</v>
      </c>
      <c r="D24" s="33">
        <f>'16'!D36</f>
        <v>26.759166666666662</v>
      </c>
      <c r="E24" s="33">
        <f>'16'!E36</f>
        <v>4.8154166666666667</v>
      </c>
      <c r="F24" s="33">
        <f>'16'!F36</f>
        <v>10.801250000000001</v>
      </c>
      <c r="G24" s="33">
        <f>'16'!G36</f>
        <v>39.44</v>
      </c>
      <c r="H24" s="33">
        <f>'16'!H36</f>
        <v>62.846249999999991</v>
      </c>
      <c r="I24" s="33">
        <f>'16'!I36</f>
        <v>4.0866666666666669</v>
      </c>
      <c r="J24" s="33">
        <f>'16'!J36</f>
        <v>0.64041666666666663</v>
      </c>
      <c r="K24" s="33">
        <f>'16'!K36</f>
        <v>198.75041666666664</v>
      </c>
      <c r="L24" s="33">
        <f>'16'!L36</f>
        <v>28.202083333333334</v>
      </c>
      <c r="M24" s="33">
        <f>'16'!M36</f>
        <v>86.81583333333333</v>
      </c>
      <c r="N24" s="33">
        <f>'16'!N36</f>
        <v>260.85416666666669</v>
      </c>
      <c r="O24" s="33">
        <f>'16'!O36</f>
        <v>0</v>
      </c>
      <c r="P24" s="30">
        <f>'16'!P36</f>
        <v>0.28375</v>
      </c>
      <c r="Q24" s="30">
        <f>'16'!Q36</f>
        <v>9.2716666666666665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17/06/2025 01:00</v>
      </c>
      <c r="B25" s="33">
        <f>'17'!B36</f>
        <v>6.6812499999999995</v>
      </c>
      <c r="C25" s="33">
        <f>'17'!C36</f>
        <v>17.760416666666668</v>
      </c>
      <c r="D25" s="33">
        <f>'17'!D36</f>
        <v>24.077916666666667</v>
      </c>
      <c r="E25" s="33">
        <f>'17'!E36</f>
        <v>4.6641666666666675</v>
      </c>
      <c r="F25" s="33">
        <f>'17'!F36</f>
        <v>7.2654166666666669</v>
      </c>
      <c r="G25" s="33">
        <f>'17'!G36</f>
        <v>47.114166666666677</v>
      </c>
      <c r="H25" s="33">
        <f>'17'!H36</f>
        <v>977.13208333333307</v>
      </c>
      <c r="I25" s="33">
        <f>'17'!I36</f>
        <v>4.0908333333333333</v>
      </c>
      <c r="J25" s="33">
        <f>'17'!J36</f>
        <v>0.25374999999999998</v>
      </c>
      <c r="K25" s="33">
        <f>'17'!K36</f>
        <v>305.57125000000002</v>
      </c>
      <c r="L25" s="33">
        <f>'17'!L36</f>
        <v>27.888750000000002</v>
      </c>
      <c r="M25" s="33">
        <f>'17'!M36</f>
        <v>83.05</v>
      </c>
      <c r="N25" s="33">
        <f>'17'!N36</f>
        <v>192.82916666666674</v>
      </c>
      <c r="O25" s="33">
        <f>'17'!O36</f>
        <v>0</v>
      </c>
      <c r="P25" s="30">
        <f>'17'!P36</f>
        <v>0.3370833333333334</v>
      </c>
      <c r="Q25" s="30">
        <f>'17'!Q36</f>
        <v>9.2095833333333328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18/06/2025 01:00</v>
      </c>
      <c r="B26" s="33">
        <f>'18'!B36</f>
        <v>8.3066666666666649</v>
      </c>
      <c r="C26" s="33">
        <f>'18'!C36</f>
        <v>21.280833333333334</v>
      </c>
      <c r="D26" s="33">
        <f>'18'!D36</f>
        <v>28.564583333333331</v>
      </c>
      <c r="E26" s="33">
        <f>'18'!E36</f>
        <v>5.0870833333333332</v>
      </c>
      <c r="F26" s="33">
        <f>'18'!F36</f>
        <v>8.0054166666666671</v>
      </c>
      <c r="G26" s="33">
        <f>'18'!G36</f>
        <v>66.921666666666667</v>
      </c>
      <c r="H26" s="33">
        <f>'18'!H36</f>
        <v>457.51541666666679</v>
      </c>
      <c r="I26" s="33">
        <f>'18'!I36</f>
        <v>4.1033333333333344</v>
      </c>
      <c r="J26" s="33">
        <f>'18'!J36</f>
        <v>0.28333333333333338</v>
      </c>
      <c r="K26" s="33">
        <f>'18'!K36</f>
        <v>251.89416666666662</v>
      </c>
      <c r="L26" s="33">
        <f>'18'!L36</f>
        <v>27.724999999999991</v>
      </c>
      <c r="M26" s="33">
        <f>'18'!M36</f>
        <v>78.905833333333348</v>
      </c>
      <c r="N26" s="33">
        <f>'18'!N36</f>
        <v>137.76666666666665</v>
      </c>
      <c r="O26" s="33">
        <f>'18'!O36</f>
        <v>0</v>
      </c>
      <c r="P26" s="30">
        <f>'18'!P36</f>
        <v>0.31749999999999995</v>
      </c>
      <c r="Q26" s="30">
        <f>'18'!Q36</f>
        <v>9.2675000000000001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19/06/2025 01:00</v>
      </c>
      <c r="B27" s="33">
        <f>'19'!B36</f>
        <v>8.2882352941176478</v>
      </c>
      <c r="C27" s="33">
        <f>'19'!C36</f>
        <v>17.592941176470589</v>
      </c>
      <c r="D27" s="33">
        <f>'19'!D36</f>
        <v>21.119999999999997</v>
      </c>
      <c r="E27" s="33">
        <f>'19'!E36</f>
        <v>4.1749999999999998</v>
      </c>
      <c r="F27" s="33">
        <f>'19'!F36</f>
        <v>7.0979166666666664</v>
      </c>
      <c r="G27" s="33">
        <f>'19'!G36</f>
        <v>46.042083333333345</v>
      </c>
      <c r="H27" s="33">
        <f>'19'!H36</f>
        <v>112.27375000000002</v>
      </c>
      <c r="I27" s="33">
        <f>'19'!I36</f>
        <v>4.0887500000000001</v>
      </c>
      <c r="J27" s="33">
        <f>'19'!J36</f>
        <v>0.2175</v>
      </c>
      <c r="K27" s="33">
        <f>'19'!K36</f>
        <v>282.22833333333335</v>
      </c>
      <c r="L27" s="33">
        <f>'19'!L36</f>
        <v>26.74541666666666</v>
      </c>
      <c r="M27" s="33">
        <f>'19'!M36</f>
        <v>86.669166666666683</v>
      </c>
      <c r="N27" s="33">
        <f>'19'!N36</f>
        <v>123.10416666666669</v>
      </c>
      <c r="O27" s="33">
        <f>'19'!O36</f>
        <v>8.3333333333333332E-3</v>
      </c>
      <c r="P27" s="30">
        <f>'19'!P36</f>
        <v>0.25958333333333328</v>
      </c>
      <c r="Q27" s="30">
        <f>'19'!Q36</f>
        <v>9.2224999999999984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20/06/2025 01:00</v>
      </c>
      <c r="B28" s="33">
        <f>'20'!B36</f>
        <v>9.8352631578947349</v>
      </c>
      <c r="C28" s="33">
        <f>'20'!C36</f>
        <v>20.716842105263158</v>
      </c>
      <c r="D28" s="33">
        <f>'20'!D36</f>
        <v>25.217894736842112</v>
      </c>
      <c r="E28" s="33">
        <f>'20'!E36</f>
        <v>3.4645833333333331</v>
      </c>
      <c r="F28" s="33">
        <f>'20'!F36</f>
        <v>5.4195833333333345</v>
      </c>
      <c r="G28" s="33">
        <f>'20'!G36</f>
        <v>44.630416666666662</v>
      </c>
      <c r="H28" s="33">
        <f>'20'!H36</f>
        <v>39.332083333333337</v>
      </c>
      <c r="I28" s="33">
        <f>'20'!I36</f>
        <v>4.0691666666666668</v>
      </c>
      <c r="J28" s="33">
        <f>'20'!J36</f>
        <v>0.59166666666666667</v>
      </c>
      <c r="K28" s="33">
        <f>'20'!K36</f>
        <v>280.49916666666667</v>
      </c>
      <c r="L28" s="33">
        <f>'20'!L36</f>
        <v>25.235416666666666</v>
      </c>
      <c r="M28" s="33">
        <f>'20'!M36</f>
        <v>93.013750000000002</v>
      </c>
      <c r="N28" s="33">
        <f>'20'!N36</f>
        <v>152.20833333333331</v>
      </c>
      <c r="O28" s="33">
        <f>'20'!O36</f>
        <v>8.3333333333333332E-3</v>
      </c>
      <c r="P28" s="30">
        <f>'20'!P36</f>
        <v>0.36833333333333335</v>
      </c>
      <c r="Q28" s="30">
        <f>'20'!Q36</f>
        <v>9.1845833333333324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21/06/2025 01:00</v>
      </c>
      <c r="B29" s="33">
        <f>'21'!B36</f>
        <v>10.701250000000002</v>
      </c>
      <c r="C29" s="33">
        <f>'21'!C36</f>
        <v>21.677499999999998</v>
      </c>
      <c r="D29" s="33">
        <f>'21'!D36</f>
        <v>25.742500000000003</v>
      </c>
      <c r="E29" s="33">
        <f>'21'!E36</f>
        <v>5.701249999999999</v>
      </c>
      <c r="F29" s="33">
        <f>'21'!F36</f>
        <v>6.661666666666668</v>
      </c>
      <c r="G29" s="33">
        <f>'21'!G36</f>
        <v>68.632916666666659</v>
      </c>
      <c r="H29" s="33">
        <f>'21'!H36</f>
        <v>18.408333333333331</v>
      </c>
      <c r="I29" s="33">
        <f>'21'!I36</f>
        <v>4.1083333333333325</v>
      </c>
      <c r="J29" s="33">
        <f>'21'!J36</f>
        <v>0.39125000000000004</v>
      </c>
      <c r="K29" s="33">
        <f>'21'!K36</f>
        <v>282.68916666666667</v>
      </c>
      <c r="L29" s="33">
        <f>'21'!L36</f>
        <v>29.425000000000011</v>
      </c>
      <c r="M29" s="33">
        <f>'21'!M36</f>
        <v>70.051666666666662</v>
      </c>
      <c r="N29" s="33">
        <f>'21'!N36</f>
        <v>275.47083333333325</v>
      </c>
      <c r="O29" s="33">
        <f>'21'!O36</f>
        <v>0</v>
      </c>
      <c r="P29" s="30">
        <f>'21'!P36</f>
        <v>0.46249999999999997</v>
      </c>
      <c r="Q29" s="30">
        <f>'21'!Q36</f>
        <v>9.2329166666666662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22/06/2025 01:00</v>
      </c>
      <c r="B30" s="33">
        <f>'22'!B36</f>
        <v>8.6733333333333338</v>
      </c>
      <c r="C30" s="33">
        <f>'22'!C36</f>
        <v>18.089583333333334</v>
      </c>
      <c r="D30" s="33">
        <f>'22'!D36</f>
        <v>21.732499999999998</v>
      </c>
      <c r="E30" s="33">
        <f>'22'!E36</f>
        <v>4.7695833333333324</v>
      </c>
      <c r="F30" s="33">
        <f>'22'!F36</f>
        <v>5.621249999999999</v>
      </c>
      <c r="G30" s="33">
        <f>'22'!G36</f>
        <v>63.446249999999992</v>
      </c>
      <c r="H30" s="33">
        <f>'22'!H36</f>
        <v>55.249583333333334</v>
      </c>
      <c r="I30" s="33">
        <f>'22'!I36</f>
        <v>4.0783333333333331</v>
      </c>
      <c r="J30" s="33">
        <f>'22'!J36</f>
        <v>0.4316666666666667</v>
      </c>
      <c r="K30" s="33">
        <f>'22'!K36</f>
        <v>304.67041666666665</v>
      </c>
      <c r="L30" s="33">
        <f>'22'!L36</f>
        <v>27.970000000000002</v>
      </c>
      <c r="M30" s="33">
        <f>'22'!M36</f>
        <v>76.69250000000001</v>
      </c>
      <c r="N30" s="33">
        <f>'22'!N36</f>
        <v>214.16666666666671</v>
      </c>
      <c r="O30" s="33">
        <f>'22'!O36</f>
        <v>0</v>
      </c>
      <c r="P30" s="30">
        <f>'22'!P36</f>
        <v>0.37833333333333335</v>
      </c>
      <c r="Q30" s="30">
        <f>'22'!Q36</f>
        <v>9.1854166666666668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23/06/2025 01:00</v>
      </c>
      <c r="B31" s="33">
        <f>'23'!B36</f>
        <v>8.3904166666666669</v>
      </c>
      <c r="C31" s="33">
        <f>'23'!C36</f>
        <v>16.94166666666667</v>
      </c>
      <c r="D31" s="33">
        <f>'23'!D36</f>
        <v>19.950416666666666</v>
      </c>
      <c r="E31" s="33">
        <f>'23'!E36</f>
        <v>4.6483333333333325</v>
      </c>
      <c r="F31" s="33">
        <f>'23'!F36</f>
        <v>5.0808333333333335</v>
      </c>
      <c r="G31" s="33">
        <f>'23'!G36</f>
        <v>52.755833333333335</v>
      </c>
      <c r="H31" s="33">
        <f>'23'!H36</f>
        <v>49.772500000000001</v>
      </c>
      <c r="I31" s="33">
        <f>'23'!I36</f>
        <v>4.0908333333333333</v>
      </c>
      <c r="J31" s="33">
        <f>'23'!J36</f>
        <v>0.36499999999999999</v>
      </c>
      <c r="K31" s="33">
        <f>'23'!K36</f>
        <v>301.93</v>
      </c>
      <c r="L31" s="33">
        <f>'23'!L36</f>
        <v>27.282916666666662</v>
      </c>
      <c r="M31" s="33">
        <f>'23'!M36</f>
        <v>81.214166666666671</v>
      </c>
      <c r="N31" s="33">
        <f>'23'!N36</f>
        <v>170.96250000000001</v>
      </c>
      <c r="O31" s="33">
        <f>'23'!O36</f>
        <v>0</v>
      </c>
      <c r="P31" s="33">
        <f>'23'!P36</f>
        <v>0.35125000000000006</v>
      </c>
      <c r="Q31" s="33">
        <f>'23'!Q36</f>
        <v>9.1920833333333345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24/06/2025 01:00</v>
      </c>
      <c r="B32" s="33">
        <f>'24'!B36</f>
        <v>6.5470833333333331</v>
      </c>
      <c r="C32" s="33">
        <f>'24'!C36</f>
        <v>14.435833333333335</v>
      </c>
      <c r="D32" s="33">
        <f>'24'!D36</f>
        <v>17.838749999999997</v>
      </c>
      <c r="E32" s="33">
        <f>'24'!E36</f>
        <v>5.0854166666666663</v>
      </c>
      <c r="F32" s="33">
        <f>'24'!F36</f>
        <v>4.9904166666666665</v>
      </c>
      <c r="G32" s="33">
        <f>'24'!G36</f>
        <v>40.542499999999997</v>
      </c>
      <c r="H32" s="33">
        <f>'24'!H36</f>
        <v>9.1824999999999992</v>
      </c>
      <c r="I32" s="33">
        <f>'24'!I36</f>
        <v>4.0929166666666665</v>
      </c>
      <c r="J32" s="33">
        <f>'24'!J36</f>
        <v>0.24166666666666667</v>
      </c>
      <c r="K32" s="33">
        <f>'24'!K36</f>
        <v>283.57249999999993</v>
      </c>
      <c r="L32" s="33">
        <f>'24'!L36</f>
        <v>25.17958333333333</v>
      </c>
      <c r="M32" s="33">
        <f>'24'!M36</f>
        <v>94.822499999999977</v>
      </c>
      <c r="N32" s="33">
        <f>'24'!N36</f>
        <v>125.47499999999998</v>
      </c>
      <c r="O32" s="33">
        <f>'24'!O36</f>
        <v>1.6666666666666666E-2</v>
      </c>
      <c r="P32" s="33">
        <f>'24'!P36</f>
        <v>0.28708333333333336</v>
      </c>
      <c r="Q32" s="33">
        <f>'24'!Q36</f>
        <v>9.102916666666669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25/06/2025 01:00</v>
      </c>
      <c r="B33" s="33">
        <f>'25'!B36</f>
        <v>8.3416666666666632</v>
      </c>
      <c r="C33" s="33">
        <f>'25'!C36</f>
        <v>17.865833333333331</v>
      </c>
      <c r="D33" s="33">
        <f>'25'!D36</f>
        <v>19.805833333333332</v>
      </c>
      <c r="E33" s="33">
        <f>'25'!E36</f>
        <v>5.2787500000000005</v>
      </c>
      <c r="F33" s="33">
        <f>'25'!F36</f>
        <v>5.8758333333333335</v>
      </c>
      <c r="G33" s="33">
        <f>'25'!G36</f>
        <v>51.269166666666678</v>
      </c>
      <c r="H33" s="33">
        <f>'25'!H36</f>
        <v>8.7695833333333315</v>
      </c>
      <c r="I33" s="33">
        <f>'25'!I36</f>
        <v>4.1133333333333342</v>
      </c>
      <c r="J33" s="33">
        <f>'25'!J36</f>
        <v>0.24208333333333323</v>
      </c>
      <c r="K33" s="33">
        <f>'25'!K36</f>
        <v>295.09208333333328</v>
      </c>
      <c r="L33" s="33">
        <f>'25'!L36</f>
        <v>25.907499999999988</v>
      </c>
      <c r="M33" s="33">
        <f>'25'!M36</f>
        <v>92.212083333333354</v>
      </c>
      <c r="N33" s="33">
        <f>'25'!N36</f>
        <v>181.15416666666667</v>
      </c>
      <c r="O33" s="33">
        <f>'25'!O36</f>
        <v>4.1666666666666664E-2</v>
      </c>
      <c r="P33" s="33">
        <f>'25'!P36</f>
        <v>0.41749999999999998</v>
      </c>
      <c r="Q33" s="33">
        <f>'25'!Q36</f>
        <v>9.1749999999999989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26/06/2025 01:00</v>
      </c>
      <c r="B34" s="33">
        <f>'26'!B36</f>
        <v>9.0016666666666669</v>
      </c>
      <c r="C34" s="33">
        <f>'26'!C36</f>
        <v>16.847916666666666</v>
      </c>
      <c r="D34" s="33">
        <f>'26'!D36</f>
        <v>14.733750000000001</v>
      </c>
      <c r="E34" s="33">
        <f>'26'!E36</f>
        <v>4.5812499999999998</v>
      </c>
      <c r="F34" s="33">
        <f>'26'!F36</f>
        <v>7.0837499999999993</v>
      </c>
      <c r="G34" s="33">
        <f>'26'!G36</f>
        <v>22.340833333333332</v>
      </c>
      <c r="H34" s="33">
        <f>'26'!H36</f>
        <v>6.8145833333333314</v>
      </c>
      <c r="I34" s="33">
        <f>'26'!I36</f>
        <v>2.429583333333333</v>
      </c>
      <c r="J34" s="33">
        <f>'26'!J36</f>
        <v>0.20208333333333339</v>
      </c>
      <c r="K34" s="33">
        <f>'26'!K36</f>
        <v>301.59375000000006</v>
      </c>
      <c r="L34" s="33">
        <f>'26'!L36</f>
        <v>24.859166666666667</v>
      </c>
      <c r="M34" s="33">
        <f>'26'!M36</f>
        <v>96.548749999999998</v>
      </c>
      <c r="N34" s="33">
        <f>'26'!N36</f>
        <v>162.99583333333334</v>
      </c>
      <c r="O34" s="33">
        <f>'26'!O36</f>
        <v>0.27500000000000002</v>
      </c>
      <c r="P34" s="33">
        <f>'26'!P36</f>
        <v>0.32208333333333333</v>
      </c>
      <c r="Q34" s="33">
        <f>'26'!Q36</f>
        <v>9.1558333333333319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27/06/2025 01:00</v>
      </c>
      <c r="B35" s="33">
        <f>'27'!B36</f>
        <v>8.0662500000000019</v>
      </c>
      <c r="C35" s="33">
        <f>'27'!C36</f>
        <v>15.253749999999998</v>
      </c>
      <c r="D35" s="33">
        <f>'27'!D36</f>
        <v>14.329166666666666</v>
      </c>
      <c r="E35" s="33">
        <f>'27'!E36</f>
        <v>4.38375</v>
      </c>
      <c r="F35" s="33">
        <f>'27'!F36</f>
        <v>5.722500000000001</v>
      </c>
      <c r="G35" s="33">
        <f>'27'!G36</f>
        <v>29.176666666666666</v>
      </c>
      <c r="H35" s="33">
        <f>'27'!H36</f>
        <v>6.9166666666666652</v>
      </c>
      <c r="I35" s="33">
        <f>'27'!I36</f>
        <v>0.90750000000000008</v>
      </c>
      <c r="J35" s="33">
        <f>'27'!J36</f>
        <v>0.22</v>
      </c>
      <c r="K35" s="33">
        <f>'27'!K36</f>
        <v>312.64166666666665</v>
      </c>
      <c r="L35" s="33">
        <f>'27'!L36</f>
        <v>25.426249999999996</v>
      </c>
      <c r="M35" s="33">
        <f>'27'!M36</f>
        <v>91.966666666666654</v>
      </c>
      <c r="N35" s="33">
        <f>'27'!N36</f>
        <v>161.94583333333333</v>
      </c>
      <c r="O35" s="33">
        <f>'27'!O36</f>
        <v>8.3333333333333329E-2</v>
      </c>
      <c r="P35" s="30">
        <f>'27'!P36</f>
        <v>0.33458333333333329</v>
      </c>
      <c r="Q35" s="33">
        <f>'27'!Q36</f>
        <v>9.0912500000000005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28/06/2025 01:00</v>
      </c>
      <c r="B36" s="33">
        <f>'28'!B36</f>
        <v>11.441249999999998</v>
      </c>
      <c r="C36" s="33">
        <f>'28'!C36</f>
        <v>16.439166666666669</v>
      </c>
      <c r="D36" s="33">
        <f>'28'!D36</f>
        <v>17.313749999999999</v>
      </c>
      <c r="E36" s="33">
        <f>'28'!E36</f>
        <v>4.4391666666666678</v>
      </c>
      <c r="F36" s="33">
        <f>'28'!F36</f>
        <v>5.3979166666666671</v>
      </c>
      <c r="G36" s="33">
        <f>'28'!G36</f>
        <v>30.005416666666658</v>
      </c>
      <c r="H36" s="33">
        <f>'28'!H36</f>
        <v>8.2991666666666681</v>
      </c>
      <c r="I36" s="33">
        <f>'28'!I36</f>
        <v>1.8345833333333337</v>
      </c>
      <c r="J36" s="33">
        <f>'28'!J36</f>
        <v>0.32291666666666669</v>
      </c>
      <c r="K36" s="33">
        <f>'28'!K36</f>
        <v>292.38791666666668</v>
      </c>
      <c r="L36" s="33">
        <f>'28'!L36</f>
        <v>24.045000000000002</v>
      </c>
      <c r="M36" s="33">
        <f>'28'!M36</f>
        <v>95.89</v>
      </c>
      <c r="N36" s="33">
        <f>'28'!N36</f>
        <v>148.42083333333335</v>
      </c>
      <c r="O36" s="33">
        <f>'28'!O36</f>
        <v>0.36666666666666664</v>
      </c>
      <c r="P36" s="30">
        <f>'28'!P36</f>
        <v>0.50666666666666671</v>
      </c>
      <c r="Q36" s="33">
        <f>'28'!Q36</f>
        <v>9.2104166666666654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29/06/2025 01:00</v>
      </c>
      <c r="B37" s="33">
        <f>'29'!B36</f>
        <v>7.2008333333333328</v>
      </c>
      <c r="C37" s="33">
        <f>'29'!C36</f>
        <v>15.86125</v>
      </c>
      <c r="D37" s="33">
        <f>'29'!D36</f>
        <v>13.82</v>
      </c>
      <c r="E37" s="33">
        <f>'29'!E36</f>
        <v>4.3304166666666672</v>
      </c>
      <c r="F37" s="33">
        <f>'29'!F36</f>
        <v>4.2862499999999999</v>
      </c>
      <c r="G37" s="33">
        <f>'29'!G36</f>
        <v>28.429999999999996</v>
      </c>
      <c r="H37" s="33">
        <f>'29'!H36</f>
        <v>9.543333333333333</v>
      </c>
      <c r="I37" s="33">
        <f>'29'!I36</f>
        <v>1.5562500000000001</v>
      </c>
      <c r="J37" s="33">
        <f>'29'!J36</f>
        <v>0.38708333333333328</v>
      </c>
      <c r="K37" s="33">
        <f>'29'!K36</f>
        <v>303.53249999999991</v>
      </c>
      <c r="L37" s="33">
        <f>'29'!L36</f>
        <v>23.442499999999995</v>
      </c>
      <c r="M37" s="33">
        <f>'29'!M36</f>
        <v>96.99749999999996</v>
      </c>
      <c r="N37" s="33">
        <f>'29'!N36</f>
        <v>150.69166666666663</v>
      </c>
      <c r="O37" s="33">
        <f>'29'!O36</f>
        <v>5.000000000000001E-2</v>
      </c>
      <c r="P37" s="33">
        <f>'29'!P36</f>
        <v>0.40624999999999994</v>
      </c>
      <c r="Q37" s="33">
        <f>'29'!Q36</f>
        <v>9.1100000000000012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30/06/2025 01:00</v>
      </c>
      <c r="B38" s="33">
        <f>'30'!B36</f>
        <v>10.992916666666666</v>
      </c>
      <c r="C38" s="33">
        <f>'30'!C36</f>
        <v>14.448333333333331</v>
      </c>
      <c r="D38" s="33">
        <f>'30'!D36</f>
        <v>16.225833333333327</v>
      </c>
      <c r="E38" s="33">
        <f>'30'!E36</f>
        <v>4.2504166666666663</v>
      </c>
      <c r="F38" s="33">
        <f>'30'!F36</f>
        <v>3.8333333333333339</v>
      </c>
      <c r="G38" s="33">
        <f>'30'!G36</f>
        <v>30.383750000000003</v>
      </c>
      <c r="H38" s="33">
        <f>'30'!H36</f>
        <v>7.0829166666666659</v>
      </c>
      <c r="I38" s="33">
        <f>'30'!I36</f>
        <v>1.7883333333333331</v>
      </c>
      <c r="J38" s="33">
        <f>'30'!J36</f>
        <v>0.25791666666666668</v>
      </c>
      <c r="K38" s="33">
        <f>'30'!K36</f>
        <v>310.67541666666671</v>
      </c>
      <c r="L38" s="33">
        <f>'30'!L36</f>
        <v>22.847083333333334</v>
      </c>
      <c r="M38" s="33">
        <f>'30'!M36</f>
        <v>97.599583333333328</v>
      </c>
      <c r="N38" s="33">
        <f>'30'!N36</f>
        <v>126.3333333333333</v>
      </c>
      <c r="O38" s="33">
        <f>'30'!O36</f>
        <v>0.14166666666666669</v>
      </c>
      <c r="P38" s="33">
        <f>'30'!P36</f>
        <v>0.41625000000000001</v>
      </c>
      <c r="Q38" s="33">
        <f>'30'!Q36</f>
        <v>9.2224999999999984</v>
      </c>
      <c r="R38" s="46"/>
      <c r="S38" s="46"/>
      <c r="T38" s="46"/>
      <c r="U38" s="46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5.5166666666666666</v>
      </c>
      <c r="C40" s="15">
        <f t="shared" si="0"/>
        <v>14.435833333333335</v>
      </c>
      <c r="D40" s="15">
        <f t="shared" si="0"/>
        <v>13.82</v>
      </c>
      <c r="E40" s="15">
        <f t="shared" si="0"/>
        <v>3.4645833333333331</v>
      </c>
      <c r="F40" s="15">
        <f t="shared" si="0"/>
        <v>3.8333333333333339</v>
      </c>
      <c r="G40" s="15">
        <f t="shared" si="0"/>
        <v>16.549583333333334</v>
      </c>
      <c r="H40" s="15">
        <f t="shared" si="0"/>
        <v>6.8145833333333314</v>
      </c>
      <c r="I40" s="15">
        <f t="shared" si="0"/>
        <v>0.90750000000000008</v>
      </c>
      <c r="J40" s="15">
        <f t="shared" si="0"/>
        <v>0.20208333333333339</v>
      </c>
      <c r="K40" s="15">
        <f t="shared" si="0"/>
        <v>134.08041666666665</v>
      </c>
      <c r="L40" s="15">
        <f t="shared" si="0"/>
        <v>22.847083333333334</v>
      </c>
      <c r="M40" s="15">
        <f t="shared" si="0"/>
        <v>44.17166666666666</v>
      </c>
      <c r="N40" s="15">
        <f t="shared" si="0"/>
        <v>123.10416666666669</v>
      </c>
      <c r="O40" s="15">
        <f t="shared" si="0"/>
        <v>0</v>
      </c>
      <c r="P40" s="15">
        <f t="shared" si="0"/>
        <v>0.25958333333333328</v>
      </c>
      <c r="Q40" s="15">
        <f t="shared" si="0"/>
        <v>9.0912500000000005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17.028333333333336</v>
      </c>
      <c r="C41" s="15">
        <f t="shared" si="1"/>
        <v>36.47291666666667</v>
      </c>
      <c r="D41" s="15">
        <f t="shared" si="1"/>
        <v>47.845833333333324</v>
      </c>
      <c r="E41" s="15">
        <f t="shared" si="1"/>
        <v>8.144166666666667</v>
      </c>
      <c r="F41" s="15">
        <f t="shared" si="1"/>
        <v>16.830833333333334</v>
      </c>
      <c r="G41" s="15">
        <f t="shared" si="1"/>
        <v>69.553749999999994</v>
      </c>
      <c r="H41" s="15">
        <f t="shared" si="1"/>
        <v>977.13208333333307</v>
      </c>
      <c r="I41" s="15">
        <f t="shared" si="1"/>
        <v>4.1258333333333344</v>
      </c>
      <c r="J41" s="15">
        <f t="shared" si="1"/>
        <v>0.97041666666666682</v>
      </c>
      <c r="K41" s="15">
        <f t="shared" si="1"/>
        <v>312.64166666666665</v>
      </c>
      <c r="L41" s="15">
        <f t="shared" si="1"/>
        <v>33.34041666666667</v>
      </c>
      <c r="M41" s="15">
        <f t="shared" si="1"/>
        <v>97.599583333333328</v>
      </c>
      <c r="N41" s="15">
        <f t="shared" si="1"/>
        <v>357.68749999999994</v>
      </c>
      <c r="O41" s="15">
        <f t="shared" si="1"/>
        <v>0.67499999999999993</v>
      </c>
      <c r="P41" s="15">
        <f t="shared" si="1"/>
        <v>0.66208333333333336</v>
      </c>
      <c r="Q41" s="15">
        <f t="shared" si="1"/>
        <v>9.4500000000000011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9.02660272617819</v>
      </c>
      <c r="C42" s="15">
        <f t="shared" si="2"/>
        <v>21.573395553835571</v>
      </c>
      <c r="D42" s="15">
        <f t="shared" si="2"/>
        <v>27.771096491228072</v>
      </c>
      <c r="E42" s="15">
        <f t="shared" si="2"/>
        <v>5.3477361111111126</v>
      </c>
      <c r="F42" s="15">
        <f t="shared" si="2"/>
        <v>9.7496666666666663</v>
      </c>
      <c r="G42" s="15">
        <f t="shared" si="2"/>
        <v>43.182722222222225</v>
      </c>
      <c r="H42" s="15">
        <f t="shared" si="2"/>
        <v>135.32365277777774</v>
      </c>
      <c r="I42" s="15">
        <f t="shared" si="2"/>
        <v>3.6972916666666666</v>
      </c>
      <c r="J42" s="15">
        <f t="shared" si="2"/>
        <v>0.4221388888888889</v>
      </c>
      <c r="K42" s="15">
        <f t="shared" si="2"/>
        <v>270.99938888888897</v>
      </c>
      <c r="L42" s="15">
        <f t="shared" si="2"/>
        <v>28.547666666666665</v>
      </c>
      <c r="M42" s="15">
        <f t="shared" si="2"/>
        <v>74.804305555555558</v>
      </c>
      <c r="N42" s="15">
        <f t="shared" si="2"/>
        <v>238.03791666666663</v>
      </c>
      <c r="O42" s="15">
        <f t="shared" si="2"/>
        <v>5.9444444444444439E-2</v>
      </c>
      <c r="P42" s="15">
        <f t="shared" si="2"/>
        <v>0.42701388888888897</v>
      </c>
      <c r="Q42" s="15">
        <f t="shared" si="2"/>
        <v>9.2621666666666691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2.3079144983373809</v>
      </c>
      <c r="C43" s="15">
        <f t="shared" si="3"/>
        <v>5.5114386463275471</v>
      </c>
      <c r="D43" s="15">
        <f t="shared" si="3"/>
        <v>9.2726238429761327</v>
      </c>
      <c r="E43" s="15">
        <f t="shared" si="3"/>
        <v>1.1420617745039838</v>
      </c>
      <c r="F43" s="15">
        <f t="shared" si="3"/>
        <v>4.3307670028361516</v>
      </c>
      <c r="G43" s="15">
        <f t="shared" si="3"/>
        <v>14.008204199206023</v>
      </c>
      <c r="H43" s="15">
        <f t="shared" si="3"/>
        <v>242.85556416285738</v>
      </c>
      <c r="I43" s="15">
        <f t="shared" si="3"/>
        <v>0.92975915823035549</v>
      </c>
      <c r="J43" s="15">
        <f t="shared" si="3"/>
        <v>0.18043223610627102</v>
      </c>
      <c r="K43" s="15">
        <f t="shared" si="3"/>
        <v>42.417836089401369</v>
      </c>
      <c r="L43" s="15">
        <f t="shared" si="3"/>
        <v>2.9537114628296357</v>
      </c>
      <c r="M43" s="15">
        <f t="shared" si="3"/>
        <v>17.103427084873186</v>
      </c>
      <c r="N43" s="15">
        <f t="shared" si="3"/>
        <v>78.661790341678412</v>
      </c>
      <c r="O43" s="15">
        <f t="shared" si="3"/>
        <v>0.14368463586942673</v>
      </c>
      <c r="P43" s="15">
        <f t="shared" si="3"/>
        <v>0.1140942846379125</v>
      </c>
      <c r="Q43" s="15">
        <f t="shared" si="3"/>
        <v>9.7047863630525422E-2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 t="shared" ref="B44:Q44" si="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2025-08-12T10:44:20Z</dcterms:modified>
</cp:coreProperties>
</file>