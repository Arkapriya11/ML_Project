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9" sheetId="24" r:id="rId18"/>
    <sheet name="18" sheetId="23" r:id="rId19"/>
    <sheet name="20" sheetId="25" r:id="rId20"/>
    <sheet name="21" sheetId="26" r:id="rId21"/>
    <sheet name="22" sheetId="27" r:id="rId22"/>
    <sheet name="24" sheetId="29" r:id="rId23"/>
    <sheet name="23" sheetId="28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44525"/>
</workbook>
</file>

<file path=xl/calcChain.xml><?xml version="1.0" encoding="utf-8"?>
<calcChain xmlns="http://schemas.openxmlformats.org/spreadsheetml/2006/main">
  <c r="A9" i="39" l="1"/>
  <c r="A10" i="39"/>
  <c r="A11" i="39"/>
  <c r="A12" i="39"/>
  <c r="A13" i="39"/>
  <c r="A14" i="39"/>
  <c r="A15" i="39"/>
  <c r="A16" i="39"/>
  <c r="A17" i="39"/>
  <c r="A18" i="39"/>
  <c r="A19" i="39"/>
  <c r="C110" i="26" l="1"/>
  <c r="C112" i="26" s="1"/>
  <c r="D110" i="26"/>
  <c r="D112" i="26" s="1"/>
  <c r="B110" i="26"/>
  <c r="B112" i="26" s="1"/>
  <c r="E110" i="26"/>
  <c r="E112" i="26"/>
  <c r="F110" i="26"/>
  <c r="F111" i="26" s="1"/>
  <c r="G110" i="26"/>
  <c r="G112" i="26" s="1"/>
  <c r="H110" i="26"/>
  <c r="H112" i="26"/>
  <c r="I110" i="26"/>
  <c r="I112" i="26" s="1"/>
  <c r="J110" i="26"/>
  <c r="J111" i="26" s="1"/>
  <c r="K110" i="26"/>
  <c r="L110" i="26"/>
  <c r="M110" i="26"/>
  <c r="N110" i="26"/>
  <c r="N112" i="26" s="1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 s="1"/>
  <c r="I110" i="25"/>
  <c r="J110" i="25"/>
  <c r="K110" i="25"/>
  <c r="K111" i="25" s="1"/>
  <c r="L110" i="25"/>
  <c r="L112" i="25" s="1"/>
  <c r="M110" i="25"/>
  <c r="M111" i="25" s="1"/>
  <c r="N110" i="25"/>
  <c r="N111" i="25" s="1"/>
  <c r="O110" i="25"/>
  <c r="O112" i="25" s="1"/>
  <c r="P110" i="25"/>
  <c r="P111" i="25" s="1"/>
  <c r="Q110" i="25"/>
  <c r="Q111" i="25" s="1"/>
  <c r="B110" i="25"/>
  <c r="B112" i="25" s="1"/>
  <c r="Q110" i="14"/>
  <c r="Q112" i="14"/>
  <c r="I110" i="14"/>
  <c r="I111" i="14" s="1"/>
  <c r="I110" i="13"/>
  <c r="I111" i="13" s="1"/>
  <c r="I110" i="41"/>
  <c r="I112" i="41" s="1"/>
  <c r="J110" i="41"/>
  <c r="J112" i="41" s="1"/>
  <c r="H110" i="41"/>
  <c r="H112" i="41" s="1"/>
  <c r="J110" i="40"/>
  <c r="J111" i="40" s="1"/>
  <c r="H110" i="40"/>
  <c r="H111" i="40" s="1"/>
  <c r="I110" i="40"/>
  <c r="I111" i="40" s="1"/>
  <c r="G110" i="33"/>
  <c r="G112" i="33"/>
  <c r="H110" i="33"/>
  <c r="H111" i="33" s="1"/>
  <c r="I110" i="33"/>
  <c r="I111" i="33" s="1"/>
  <c r="J110" i="33"/>
  <c r="J112" i="33" s="1"/>
  <c r="J110" i="32"/>
  <c r="J111" i="32" s="1"/>
  <c r="I110" i="32"/>
  <c r="I112" i="32" s="1"/>
  <c r="H110" i="32"/>
  <c r="H111" i="32" s="1"/>
  <c r="Q110" i="31"/>
  <c r="H110" i="31"/>
  <c r="H112" i="31" s="1"/>
  <c r="I110" i="31"/>
  <c r="I111" i="31" s="1"/>
  <c r="J110" i="31"/>
  <c r="J111" i="31"/>
  <c r="G110" i="31"/>
  <c r="G111" i="31" s="1"/>
  <c r="G112" i="31"/>
  <c r="J110" i="30"/>
  <c r="J111" i="30" s="1"/>
  <c r="I110" i="30"/>
  <c r="I112" i="30" s="1"/>
  <c r="H110" i="30"/>
  <c r="H112" i="30" s="1"/>
  <c r="J110" i="29"/>
  <c r="J112" i="29" s="1"/>
  <c r="I110" i="29"/>
  <c r="I112" i="29" s="1"/>
  <c r="H110" i="29"/>
  <c r="H112" i="29" s="1"/>
  <c r="J110" i="28"/>
  <c r="J111" i="28" s="1"/>
  <c r="I110" i="28"/>
  <c r="I112" i="28" s="1"/>
  <c r="H110" i="28"/>
  <c r="H111" i="28" s="1"/>
  <c r="I110" i="27"/>
  <c r="I112" i="27" s="1"/>
  <c r="C110" i="27"/>
  <c r="C111" i="27" s="1"/>
  <c r="D110" i="27"/>
  <c r="D111" i="27" s="1"/>
  <c r="E110" i="27"/>
  <c r="F110" i="27"/>
  <c r="F112" i="27" s="1"/>
  <c r="G110" i="27"/>
  <c r="G112" i="27" s="1"/>
  <c r="H110" i="27"/>
  <c r="H111" i="27" s="1"/>
  <c r="J110" i="27"/>
  <c r="K110" i="27"/>
  <c r="L110" i="27"/>
  <c r="L112" i="27" s="1"/>
  <c r="M110" i="27"/>
  <c r="M111" i="27" s="1"/>
  <c r="N110" i="27"/>
  <c r="O110" i="27"/>
  <c r="P110" i="27"/>
  <c r="Q110" i="27"/>
  <c r="Q111" i="26"/>
  <c r="J112" i="25"/>
  <c r="I111" i="25"/>
  <c r="F112" i="25"/>
  <c r="J110" i="24"/>
  <c r="J111" i="24" s="1"/>
  <c r="I110" i="24"/>
  <c r="I112" i="24" s="1"/>
  <c r="H110" i="24"/>
  <c r="H112" i="24" s="1"/>
  <c r="J110" i="23"/>
  <c r="J112" i="23" s="1"/>
  <c r="I110" i="23"/>
  <c r="I112" i="23" s="1"/>
  <c r="H110" i="23"/>
  <c r="J110" i="22"/>
  <c r="J112" i="22" s="1"/>
  <c r="I110" i="22"/>
  <c r="I112" i="22" s="1"/>
  <c r="H110" i="22"/>
  <c r="H112" i="22" s="1"/>
  <c r="G110" i="22"/>
  <c r="G111" i="22" s="1"/>
  <c r="J110" i="21"/>
  <c r="J111" i="21" s="1"/>
  <c r="I110" i="21"/>
  <c r="I111" i="21" s="1"/>
  <c r="H110" i="21"/>
  <c r="H111" i="21" s="1"/>
  <c r="H110" i="20"/>
  <c r="H112" i="20"/>
  <c r="I110" i="20"/>
  <c r="I111" i="20" s="1"/>
  <c r="J110" i="20"/>
  <c r="J112" i="20" s="1"/>
  <c r="Q110" i="19"/>
  <c r="Q112" i="19" s="1"/>
  <c r="J110" i="19"/>
  <c r="J111" i="19" s="1"/>
  <c r="I110" i="19"/>
  <c r="I112" i="19" s="1"/>
  <c r="H110" i="19"/>
  <c r="H112" i="19" s="1"/>
  <c r="Q110" i="17"/>
  <c r="Q112" i="17" s="1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1" i="16" s="1"/>
  <c r="Q110" i="16"/>
  <c r="H110" i="15"/>
  <c r="H111" i="15" s="1"/>
  <c r="I110" i="15"/>
  <c r="I111" i="15" s="1"/>
  <c r="J110" i="15"/>
  <c r="J112" i="15" s="1"/>
  <c r="Q110" i="15"/>
  <c r="Q111" i="15" s="1"/>
  <c r="J110" i="14"/>
  <c r="J111" i="14"/>
  <c r="H110" i="14"/>
  <c r="H112" i="14" s="1"/>
  <c r="D110" i="11"/>
  <c r="D111" i="11" s="1"/>
  <c r="D112" i="11"/>
  <c r="C110" i="11"/>
  <c r="C112" i="11" s="1"/>
  <c r="B110" i="11"/>
  <c r="B111" i="11"/>
  <c r="J110" i="13"/>
  <c r="J112" i="13" s="1"/>
  <c r="H110" i="13"/>
  <c r="H112" i="13" s="1"/>
  <c r="F110" i="12"/>
  <c r="F111" i="12" s="1"/>
  <c r="J110" i="12"/>
  <c r="J112" i="12"/>
  <c r="H110" i="12"/>
  <c r="H111" i="12" s="1"/>
  <c r="I110" i="12"/>
  <c r="I112" i="12" s="1"/>
  <c r="J110" i="11"/>
  <c r="J112" i="11" s="1"/>
  <c r="I110" i="11"/>
  <c r="I111" i="11" s="1"/>
  <c r="H110" i="11"/>
  <c r="H111" i="11" s="1"/>
  <c r="G110" i="11"/>
  <c r="G112" i="11"/>
  <c r="J110" i="10"/>
  <c r="J112" i="10" s="1"/>
  <c r="I110" i="10"/>
  <c r="I111" i="10"/>
  <c r="H110" i="10"/>
  <c r="H112" i="10" s="1"/>
  <c r="J110" i="9"/>
  <c r="J111" i="9" s="1"/>
  <c r="I110" i="9"/>
  <c r="I111" i="9" s="1"/>
  <c r="H110" i="9"/>
  <c r="H111" i="9" s="1"/>
  <c r="Q110" i="8"/>
  <c r="Q111" i="8" s="1"/>
  <c r="J110" i="8"/>
  <c r="J111" i="8" s="1"/>
  <c r="I110" i="8"/>
  <c r="I111" i="8" s="1"/>
  <c r="H110" i="8"/>
  <c r="H111" i="8" s="1"/>
  <c r="P110" i="8"/>
  <c r="P112" i="8" s="1"/>
  <c r="O110" i="8"/>
  <c r="O111" i="8"/>
  <c r="N110" i="8"/>
  <c r="M110" i="8"/>
  <c r="L110" i="8"/>
  <c r="L112" i="8" s="1"/>
  <c r="K110" i="8"/>
  <c r="K111" i="8" s="1"/>
  <c r="G110" i="8"/>
  <c r="G112" i="8" s="1"/>
  <c r="F110" i="8"/>
  <c r="F111" i="8" s="1"/>
  <c r="E110" i="8"/>
  <c r="E112" i="8" s="1"/>
  <c r="D110" i="8"/>
  <c r="C110" i="8"/>
  <c r="B110" i="8"/>
  <c r="B112" i="8" s="1"/>
  <c r="I110" i="3"/>
  <c r="I112" i="3" s="1"/>
  <c r="I110" i="2"/>
  <c r="I111" i="2" s="1"/>
  <c r="B2" i="23"/>
  <c r="C110" i="2"/>
  <c r="C111" i="2" s="1"/>
  <c r="D110" i="2"/>
  <c r="D112" i="2" s="1"/>
  <c r="E110" i="2"/>
  <c r="E111" i="2" s="1"/>
  <c r="F110" i="2"/>
  <c r="F111" i="2" s="1"/>
  <c r="G110" i="2"/>
  <c r="G112" i="2" s="1"/>
  <c r="H110" i="2"/>
  <c r="J110" i="2"/>
  <c r="J111" i="2"/>
  <c r="K110" i="2"/>
  <c r="K111" i="2" s="1"/>
  <c r="L110" i="2"/>
  <c r="L112" i="2" s="1"/>
  <c r="M110" i="2"/>
  <c r="M112" i="2" s="1"/>
  <c r="N110" i="2"/>
  <c r="N112" i="2" s="1"/>
  <c r="O110" i="2"/>
  <c r="O111" i="2" s="1"/>
  <c r="P110" i="2"/>
  <c r="P111" i="2" s="1"/>
  <c r="P112" i="2"/>
  <c r="Q110" i="2"/>
  <c r="Q111" i="2" s="1"/>
  <c r="C110" i="3"/>
  <c r="C111" i="3" s="1"/>
  <c r="D110" i="3"/>
  <c r="D111" i="3" s="1"/>
  <c r="E110" i="3"/>
  <c r="E111" i="3" s="1"/>
  <c r="F110" i="3"/>
  <c r="F112" i="3" s="1"/>
  <c r="G110" i="3"/>
  <c r="G112" i="3"/>
  <c r="H110" i="3"/>
  <c r="H112" i="3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/>
  <c r="M110" i="41"/>
  <c r="M112" i="41" s="1"/>
  <c r="L110" i="41"/>
  <c r="L111" i="41" s="1"/>
  <c r="K110" i="41"/>
  <c r="K112" i="41" s="1"/>
  <c r="G110" i="41"/>
  <c r="G112" i="41" s="1"/>
  <c r="F110" i="41"/>
  <c r="F112" i="41" s="1"/>
  <c r="E110" i="41"/>
  <c r="E111" i="41" s="1"/>
  <c r="D110" i="41"/>
  <c r="D112" i="41" s="1"/>
  <c r="C110" i="41"/>
  <c r="C112" i="41" s="1"/>
  <c r="B110" i="41"/>
  <c r="B112" i="4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/>
  <c r="P108" i="41"/>
  <c r="O108" i="41"/>
  <c r="N108" i="41"/>
  <c r="N38" i="39" s="1"/>
  <c r="M108" i="41"/>
  <c r="L108" i="41"/>
  <c r="K108" i="41"/>
  <c r="K38" i="39" s="1"/>
  <c r="J108" i="41"/>
  <c r="I108" i="41"/>
  <c r="I38" i="39"/>
  <c r="H108" i="41"/>
  <c r="G108" i="4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 s="1"/>
  <c r="D110" i="40"/>
  <c r="D112" i="40" s="1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K37" i="39" s="1"/>
  <c r="J108" i="40"/>
  <c r="I108" i="40"/>
  <c r="H108" i="40"/>
  <c r="H37" i="39" s="1"/>
  <c r="G108" i="40"/>
  <c r="G37" i="39" s="1"/>
  <c r="F108" i="40"/>
  <c r="F37" i="39" s="1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/>
  <c r="L110" i="33"/>
  <c r="L112" i="33" s="1"/>
  <c r="K110" i="33"/>
  <c r="K111" i="33" s="1"/>
  <c r="F110" i="33"/>
  <c r="F112" i="33" s="1"/>
  <c r="E110" i="33"/>
  <c r="E112" i="33" s="1"/>
  <c r="D110" i="33"/>
  <c r="D112" i="33" s="1"/>
  <c r="C110" i="33"/>
  <c r="C112" i="33" s="1"/>
  <c r="B110" i="33"/>
  <c r="B111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/>
  <c r="N108" i="33"/>
  <c r="M108" i="33"/>
  <c r="M36" i="39" s="1"/>
  <c r="L108" i="33"/>
  <c r="L36" i="39" s="1"/>
  <c r="K108" i="33"/>
  <c r="J108" i="33"/>
  <c r="I108" i="33"/>
  <c r="I36" i="39" s="1"/>
  <c r="H108" i="33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 s="1"/>
  <c r="N110" i="32"/>
  <c r="N111" i="32" s="1"/>
  <c r="M110" i="32"/>
  <c r="M112" i="32" s="1"/>
  <c r="L110" i="32"/>
  <c r="L111" i="32" s="1"/>
  <c r="K110" i="32"/>
  <c r="K112" i="32" s="1"/>
  <c r="G110" i="32"/>
  <c r="G111" i="32" s="1"/>
  <c r="F110" i="32"/>
  <c r="F112" i="32" s="1"/>
  <c r="E110" i="32"/>
  <c r="E111" i="32" s="1"/>
  <c r="D110" i="32"/>
  <c r="D112" i="32" s="1"/>
  <c r="C110" i="32"/>
  <c r="C111" i="32" s="1"/>
  <c r="B110" i="32"/>
  <c r="B111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 s="1"/>
  <c r="N108" i="32"/>
  <c r="N35" i="39" s="1"/>
  <c r="M108" i="32"/>
  <c r="M35" i="39" s="1"/>
  <c r="L108" i="32"/>
  <c r="K108" i="32"/>
  <c r="J108" i="32"/>
  <c r="J35" i="39" s="1"/>
  <c r="I108" i="32"/>
  <c r="I35" i="39" s="1"/>
  <c r="H108" i="32"/>
  <c r="H35" i="39" s="1"/>
  <c r="G108" i="32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K34" i="39" s="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1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G110" i="30"/>
  <c r="G112" i="30" s="1"/>
  <c r="F110" i="30"/>
  <c r="F112" i="30" s="1"/>
  <c r="E110" i="30"/>
  <c r="E111" i="30"/>
  <c r="D110" i="30"/>
  <c r="D112" i="30" s="1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/>
  <c r="L108" i="30"/>
  <c r="K108" i="30"/>
  <c r="K33" i="39" s="1"/>
  <c r="J108" i="30"/>
  <c r="I108" i="30"/>
  <c r="H108" i="30"/>
  <c r="H33" i="39" s="1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/>
  <c r="N110" i="29"/>
  <c r="N112" i="29" s="1"/>
  <c r="M110" i="29"/>
  <c r="M112" i="29" s="1"/>
  <c r="L110" i="29"/>
  <c r="L111" i="29" s="1"/>
  <c r="K110" i="29"/>
  <c r="K112" i="29" s="1"/>
  <c r="G110" i="29"/>
  <c r="G111" i="29" s="1"/>
  <c r="F110" i="29"/>
  <c r="F111" i="29" s="1"/>
  <c r="E110" i="29"/>
  <c r="E112" i="29" s="1"/>
  <c r="D110" i="29"/>
  <c r="D112" i="29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M108" i="29"/>
  <c r="M32" i="39" s="1"/>
  <c r="L108" i="29"/>
  <c r="L32" i="39" s="1"/>
  <c r="K108" i="29"/>
  <c r="J108" i="29"/>
  <c r="I108" i="29"/>
  <c r="H108" i="29"/>
  <c r="G108" i="29"/>
  <c r="F108" i="29"/>
  <c r="E108" i="29"/>
  <c r="D108" i="29"/>
  <c r="D32" i="39" s="1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2" i="28" s="1"/>
  <c r="K110" i="28"/>
  <c r="K111" i="28" s="1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 s="1"/>
  <c r="N108" i="28"/>
  <c r="M108" i="28"/>
  <c r="L108" i="28"/>
  <c r="L31" i="39" s="1"/>
  <c r="K108" i="28"/>
  <c r="K31" i="39"/>
  <c r="J108" i="28"/>
  <c r="I108" i="28"/>
  <c r="H108" i="28"/>
  <c r="H31" i="39"/>
  <c r="G108" i="28"/>
  <c r="F108" i="28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P112" i="27"/>
  <c r="O112" i="27"/>
  <c r="N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/>
  <c r="N108" i="27"/>
  <c r="N30" i="39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 s="1"/>
  <c r="C108" i="27"/>
  <c r="C30" i="39" s="1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 s="1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F108" i="25"/>
  <c r="F28" i="39" s="1"/>
  <c r="E108" i="25"/>
  <c r="E28" i="39" s="1"/>
  <c r="D108" i="25"/>
  <c r="D28" i="39" s="1"/>
  <c r="C108" i="25"/>
  <c r="C28" i="39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Q110" i="24"/>
  <c r="Q112" i="24" s="1"/>
  <c r="P110" i="24"/>
  <c r="P112" i="24" s="1"/>
  <c r="O110" i="24"/>
  <c r="O112" i="24" s="1"/>
  <c r="N110" i="24"/>
  <c r="N112" i="24" s="1"/>
  <c r="N111" i="24"/>
  <c r="M110" i="24"/>
  <c r="M112" i="24" s="1"/>
  <c r="L110" i="24"/>
  <c r="L112" i="24" s="1"/>
  <c r="K110" i="24"/>
  <c r="K111" i="24" s="1"/>
  <c r="G110" i="24"/>
  <c r="G112" i="24" s="1"/>
  <c r="F110" i="24"/>
  <c r="F112" i="24" s="1"/>
  <c r="E110" i="24"/>
  <c r="E112" i="24" s="1"/>
  <c r="D110" i="24"/>
  <c r="D112" i="24" s="1"/>
  <c r="C110" i="24"/>
  <c r="C111" i="24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N108" i="24"/>
  <c r="N27" i="39" s="1"/>
  <c r="M108" i="24"/>
  <c r="L108" i="24"/>
  <c r="K108" i="24"/>
  <c r="K27" i="39" s="1"/>
  <c r="J108" i="24"/>
  <c r="I108" i="24"/>
  <c r="H108" i="24"/>
  <c r="H27" i="39"/>
  <c r="G108" i="24"/>
  <c r="G27" i="39" s="1"/>
  <c r="F108" i="24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1" i="23"/>
  <c r="M110" i="23"/>
  <c r="M112" i="23" s="1"/>
  <c r="L110" i="23"/>
  <c r="L112" i="23" s="1"/>
  <c r="K110" i="23"/>
  <c r="K112" i="23" s="1"/>
  <c r="H112" i="23"/>
  <c r="G110" i="23"/>
  <c r="G111" i="23" s="1"/>
  <c r="F110" i="23"/>
  <c r="F111" i="23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F108" i="23"/>
  <c r="F26" i="39" s="1"/>
  <c r="E108" i="23"/>
  <c r="D108" i="23"/>
  <c r="D26" i="39" s="1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0" i="22"/>
  <c r="C112" i="22" s="1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/>
  <c r="F108" i="22"/>
  <c r="F25" i="39" s="1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/>
  <c r="M110" i="21"/>
  <c r="M111" i="21" s="1"/>
  <c r="L110" i="21"/>
  <c r="L112" i="21" s="1"/>
  <c r="K110" i="21"/>
  <c r="K111" i="21" s="1"/>
  <c r="G110" i="21"/>
  <c r="G112" i="21"/>
  <c r="F110" i="21"/>
  <c r="F112" i="21" s="1"/>
  <c r="E110" i="21"/>
  <c r="E112" i="21" s="1"/>
  <c r="D110" i="21"/>
  <c r="D111" i="21" s="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O108" i="21"/>
  <c r="O24" i="39"/>
  <c r="N108" i="21"/>
  <c r="N24" i="39"/>
  <c r="M108" i="21"/>
  <c r="M24" i="39" s="1"/>
  <c r="L108" i="21"/>
  <c r="L24" i="39" s="1"/>
  <c r="K108" i="21"/>
  <c r="K24" i="39"/>
  <c r="J108" i="21"/>
  <c r="J24" i="39" s="1"/>
  <c r="I108" i="21"/>
  <c r="I24" i="39" s="1"/>
  <c r="H108" i="21"/>
  <c r="G108" i="21"/>
  <c r="G24" i="39" s="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2" i="20" s="1"/>
  <c r="L110" i="20"/>
  <c r="L112" i="20" s="1"/>
  <c r="K110" i="20"/>
  <c r="K112" i="20" s="1"/>
  <c r="G110" i="20"/>
  <c r="G112" i="20" s="1"/>
  <c r="F110" i="20"/>
  <c r="F112" i="20" s="1"/>
  <c r="E110" i="20"/>
  <c r="E111" i="20" s="1"/>
  <c r="D110" i="20"/>
  <c r="D112" i="20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O23" i="39" s="1"/>
  <c r="N108" i="20"/>
  <c r="M108" i="20"/>
  <c r="L108" i="20"/>
  <c r="K108" i="20"/>
  <c r="J108" i="20"/>
  <c r="J23" i="39"/>
  <c r="I108" i="20"/>
  <c r="I23" i="39" s="1"/>
  <c r="H108" i="20"/>
  <c r="H23" i="39" s="1"/>
  <c r="G108" i="20"/>
  <c r="F108" i="20"/>
  <c r="F23" i="39" s="1"/>
  <c r="E108" i="20"/>
  <c r="D108" i="20"/>
  <c r="D23" i="39"/>
  <c r="C108" i="20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/>
  <c r="K110" i="19"/>
  <c r="K111" i="19" s="1"/>
  <c r="G110" i="19"/>
  <c r="G112" i="19" s="1"/>
  <c r="F110" i="19"/>
  <c r="F112" i="19"/>
  <c r="E110" i="19"/>
  <c r="E111" i="19" s="1"/>
  <c r="D110" i="19"/>
  <c r="D112" i="19" s="1"/>
  <c r="C110" i="19"/>
  <c r="C111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N22" i="39" s="1"/>
  <c r="M108" i="19"/>
  <c r="L108" i="19"/>
  <c r="K108" i="19"/>
  <c r="K22" i="39" s="1"/>
  <c r="J108" i="19"/>
  <c r="I108" i="19"/>
  <c r="I22" i="39" s="1"/>
  <c r="H108" i="19"/>
  <c r="G108" i="19"/>
  <c r="F108" i="19"/>
  <c r="F22" i="39" s="1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1" i="18" s="1"/>
  <c r="N110" i="18"/>
  <c r="N112" i="18" s="1"/>
  <c r="M110" i="18"/>
  <c r="M111" i="18" s="1"/>
  <c r="L110" i="18"/>
  <c r="L112" i="18" s="1"/>
  <c r="K110" i="18"/>
  <c r="K112" i="18" s="1"/>
  <c r="J110" i="18"/>
  <c r="J111" i="18" s="1"/>
  <c r="I110" i="18"/>
  <c r="I112" i="18" s="1"/>
  <c r="H110" i="18"/>
  <c r="H111" i="18" s="1"/>
  <c r="G110" i="18"/>
  <c r="G111" i="18" s="1"/>
  <c r="F110" i="18"/>
  <c r="F112" i="18" s="1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 s="1"/>
  <c r="L108" i="18"/>
  <c r="L21" i="39" s="1"/>
  <c r="K108" i="18"/>
  <c r="J108" i="18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 s="1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0" i="17"/>
  <c r="C111" i="17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 s="1"/>
  <c r="I108" i="17"/>
  <c r="I20" i="39" s="1"/>
  <c r="H108" i="17"/>
  <c r="H20" i="39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/>
  <c r="M110" i="16"/>
  <c r="M112" i="16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 s="1"/>
  <c r="N108" i="16"/>
  <c r="M108" i="16"/>
  <c r="M19" i="39" s="1"/>
  <c r="L108" i="16"/>
  <c r="K108" i="16"/>
  <c r="J108" i="16"/>
  <c r="J19" i="39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P110" i="15"/>
  <c r="P112" i="15" s="1"/>
  <c r="O110" i="15"/>
  <c r="O112" i="15" s="1"/>
  <c r="N110" i="15"/>
  <c r="N111" i="15" s="1"/>
  <c r="M110" i="15"/>
  <c r="M112" i="15" s="1"/>
  <c r="L110" i="15"/>
  <c r="L111" i="15"/>
  <c r="K110" i="15"/>
  <c r="K112" i="15" s="1"/>
  <c r="G110" i="15"/>
  <c r="G111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/>
  <c r="O108" i="15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P110" i="14"/>
  <c r="P112" i="14"/>
  <c r="O110" i="14"/>
  <c r="O111" i="14" s="1"/>
  <c r="N110" i="14"/>
  <c r="N112" i="14" s="1"/>
  <c r="M110" i="14"/>
  <c r="M112" i="14" s="1"/>
  <c r="L110" i="14"/>
  <c r="L112" i="14" s="1"/>
  <c r="K110" i="14"/>
  <c r="K111" i="14" s="1"/>
  <c r="G110" i="14"/>
  <c r="G112" i="14" s="1"/>
  <c r="F110" i="14"/>
  <c r="F111" i="14" s="1"/>
  <c r="E110" i="14"/>
  <c r="E112" i="14" s="1"/>
  <c r="D110" i="14"/>
  <c r="D112" i="14" s="1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I108" i="14"/>
  <c r="I17" i="39" s="1"/>
  <c r="H108" i="14"/>
  <c r="G108" i="14"/>
  <c r="G17" i="39" s="1"/>
  <c r="F108" i="14"/>
  <c r="F17" i="39" s="1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Q110" i="13"/>
  <c r="Q112" i="13" s="1"/>
  <c r="P110" i="13"/>
  <c r="P112" i="13" s="1"/>
  <c r="O110" i="13"/>
  <c r="O112" i="13" s="1"/>
  <c r="O111" i="13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/>
  <c r="C110" i="13"/>
  <c r="C112" i="13" s="1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P16" i="39" s="1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Q110" i="12"/>
  <c r="Q112" i="12" s="1"/>
  <c r="P110" i="12"/>
  <c r="P112" i="12" s="1"/>
  <c r="O110" i="12"/>
  <c r="O111" i="12" s="1"/>
  <c r="N110" i="12"/>
  <c r="N112" i="12" s="1"/>
  <c r="M110" i="12"/>
  <c r="M111" i="12" s="1"/>
  <c r="L110" i="12"/>
  <c r="L112" i="12" s="1"/>
  <c r="K110" i="12"/>
  <c r="K111" i="12" s="1"/>
  <c r="G110" i="12"/>
  <c r="G111" i="12" s="1"/>
  <c r="E110" i="12"/>
  <c r="E112" i="12" s="1"/>
  <c r="D110" i="12"/>
  <c r="D112" i="12" s="1"/>
  <c r="C110" i="12"/>
  <c r="C112" i="12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I108" i="12"/>
  <c r="I15" i="39"/>
  <c r="H108" i="12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Q110" i="11"/>
  <c r="Q111" i="11"/>
  <c r="P110" i="11"/>
  <c r="P112" i="11" s="1"/>
  <c r="O110" i="11"/>
  <c r="O112" i="11" s="1"/>
  <c r="N110" i="11"/>
  <c r="N112" i="11" s="1"/>
  <c r="M110" i="11"/>
  <c r="M112" i="11" s="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/>
  <c r="P108" i="11"/>
  <c r="P14" i="39" s="1"/>
  <c r="O108" i="11"/>
  <c r="O14" i="39" s="1"/>
  <c r="N108" i="11"/>
  <c r="N14" i="39" s="1"/>
  <c r="M108" i="11"/>
  <c r="M14" i="39" s="1"/>
  <c r="L108" i="11"/>
  <c r="K108" i="11"/>
  <c r="K14" i="39" s="1"/>
  <c r="J108" i="11"/>
  <c r="J14" i="39" s="1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1" i="10" s="1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O108" i="3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/>
  <c r="H108" i="3"/>
  <c r="H10" i="39" s="1"/>
  <c r="G108" i="3"/>
  <c r="G10" i="39" s="1"/>
  <c r="F108" i="3"/>
  <c r="F10" i="39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34" i="39"/>
  <c r="J27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H112" i="2"/>
  <c r="N21" i="39"/>
  <c r="L35" i="39"/>
  <c r="K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T40" i="6"/>
  <c r="T21" i="6"/>
  <c r="K88" i="6"/>
  <c r="J88" i="6"/>
  <c r="K115" i="6"/>
  <c r="J115" i="6"/>
  <c r="I115" i="6"/>
  <c r="L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O38" i="39"/>
  <c r="M38" i="39"/>
  <c r="L38" i="39"/>
  <c r="J38" i="39"/>
  <c r="H38" i="39"/>
  <c r="G38" i="39"/>
  <c r="F38" i="39"/>
  <c r="E38" i="39"/>
  <c r="D38" i="39"/>
  <c r="C38" i="39"/>
  <c r="O37" i="39"/>
  <c r="N37" i="39"/>
  <c r="M37" i="39"/>
  <c r="L37" i="39"/>
  <c r="J37" i="39"/>
  <c r="I37" i="39"/>
  <c r="C37" i="39"/>
  <c r="B37" i="39"/>
  <c r="A37" i="39"/>
  <c r="A26" i="39"/>
  <c r="C26" i="39"/>
  <c r="I26" i="39"/>
  <c r="L26" i="39"/>
  <c r="O25" i="39"/>
  <c r="N25" i="39"/>
  <c r="L25" i="39"/>
  <c r="K25" i="39"/>
  <c r="J25" i="39"/>
  <c r="H25" i="39"/>
  <c r="E25" i="39"/>
  <c r="D25" i="39"/>
  <c r="C25" i="39"/>
  <c r="E24" i="39"/>
  <c r="A24" i="39"/>
  <c r="Q23" i="39"/>
  <c r="M23" i="39"/>
  <c r="L23" i="39"/>
  <c r="K23" i="39"/>
  <c r="E23" i="39"/>
  <c r="Q22" i="39"/>
  <c r="M22" i="39"/>
  <c r="L22" i="39"/>
  <c r="G22" i="39"/>
  <c r="C22" i="39"/>
  <c r="Q21" i="39"/>
  <c r="P21" i="39"/>
  <c r="K21" i="39"/>
  <c r="J21" i="39"/>
  <c r="G21" i="39"/>
  <c r="F21" i="39"/>
  <c r="C21" i="39"/>
  <c r="B21" i="39"/>
  <c r="A21" i="39"/>
  <c r="M20" i="39"/>
  <c r="E20" i="39"/>
  <c r="A20" i="39"/>
  <c r="L19" i="39"/>
  <c r="K19" i="39"/>
  <c r="G19" i="39"/>
  <c r="B19" i="39"/>
  <c r="L18" i="39"/>
  <c r="I18" i="39"/>
  <c r="H18" i="39"/>
  <c r="G18" i="39"/>
  <c r="E18" i="39"/>
  <c r="D18" i="39"/>
  <c r="P17" i="39"/>
  <c r="M17" i="39"/>
  <c r="L17" i="39"/>
  <c r="Q16" i="39"/>
  <c r="L16" i="39"/>
  <c r="I16" i="39"/>
  <c r="F16" i="39"/>
  <c r="E16" i="39"/>
  <c r="D16" i="39"/>
  <c r="C16" i="39"/>
  <c r="B16" i="39"/>
  <c r="N15" i="39"/>
  <c r="H15" i="39"/>
  <c r="F15" i="39"/>
  <c r="C15" i="39"/>
  <c r="L14" i="39"/>
  <c r="I14" i="39"/>
  <c r="H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/>
  <c r="K108" i="2"/>
  <c r="K9" i="39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E36" i="39"/>
  <c r="D36" i="39"/>
  <c r="C36" i="39"/>
  <c r="A36" i="39"/>
  <c r="P35" i="39"/>
  <c r="G35" i="39"/>
  <c r="C35" i="39"/>
  <c r="M34" i="39"/>
  <c r="J34" i="39"/>
  <c r="I34" i="39"/>
  <c r="H34" i="39"/>
  <c r="F34" i="39"/>
  <c r="L33" i="39"/>
  <c r="J33" i="39"/>
  <c r="I33" i="39"/>
  <c r="F33" i="39"/>
  <c r="B33" i="39"/>
  <c r="Q32" i="39"/>
  <c r="O32" i="39"/>
  <c r="N32" i="39"/>
  <c r="K32" i="39"/>
  <c r="I32" i="39"/>
  <c r="G32" i="39"/>
  <c r="F32" i="39"/>
  <c r="E32" i="39"/>
  <c r="B32" i="39"/>
  <c r="Q31" i="39"/>
  <c r="M31" i="39"/>
  <c r="J31" i="39"/>
  <c r="I31" i="39"/>
  <c r="F31" i="39"/>
  <c r="P30" i="39"/>
  <c r="M30" i="39"/>
  <c r="L30" i="39"/>
  <c r="I30" i="39"/>
  <c r="F30" i="39"/>
  <c r="B30" i="39"/>
  <c r="Q29" i="39"/>
  <c r="M29" i="39"/>
  <c r="K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G28" i="39"/>
  <c r="B28" i="39"/>
  <c r="O27" i="39"/>
  <c r="M27" i="39"/>
  <c r="L27" i="39"/>
  <c r="B27" i="39"/>
  <c r="O26" i="39"/>
  <c r="G26" i="39"/>
  <c r="I25" i="39"/>
  <c r="P24" i="39"/>
  <c r="H24" i="39"/>
  <c r="N23" i="39"/>
  <c r="C23" i="39"/>
  <c r="O22" i="39"/>
  <c r="D22" i="39"/>
  <c r="P20" i="39"/>
  <c r="D20" i="39"/>
  <c r="F18" i="39"/>
  <c r="E17" i="39"/>
  <c r="M16" i="39"/>
  <c r="K16" i="39"/>
  <c r="J15" i="39"/>
  <c r="B12" i="39"/>
  <c r="N11" i="39"/>
  <c r="P10" i="39"/>
  <c r="P36" i="39"/>
  <c r="E34" i="39"/>
  <c r="E26" i="39"/>
  <c r="P23" i="39"/>
  <c r="Q17" i="39"/>
  <c r="P15" i="39"/>
  <c r="B2" i="2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N29" i="39"/>
  <c r="J28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J22" i="39"/>
  <c r="N19" i="39"/>
  <c r="F19" i="39"/>
  <c r="O18" i="39"/>
  <c r="J17" i="39"/>
  <c r="H17" i="39"/>
  <c r="B17" i="39"/>
  <c r="K28" i="6"/>
  <c r="J28" i="6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H22" i="39"/>
  <c r="O111" i="41"/>
  <c r="M111" i="41"/>
  <c r="K111" i="41"/>
  <c r="G111" i="41"/>
  <c r="F111" i="41"/>
  <c r="D111" i="41"/>
  <c r="C111" i="41"/>
  <c r="B111" i="41"/>
  <c r="Q111" i="40"/>
  <c r="O111" i="40"/>
  <c r="M111" i="40"/>
  <c r="K111" i="40"/>
  <c r="G111" i="40"/>
  <c r="F111" i="40"/>
  <c r="B111" i="40"/>
  <c r="P111" i="33"/>
  <c r="O111" i="33"/>
  <c r="M111" i="33"/>
  <c r="L111" i="33"/>
  <c r="F111" i="33"/>
  <c r="D111" i="33"/>
  <c r="C111" i="33"/>
  <c r="O111" i="32"/>
  <c r="M111" i="32"/>
  <c r="K111" i="32"/>
  <c r="F111" i="32"/>
  <c r="D111" i="32"/>
  <c r="O111" i="31"/>
  <c r="N111" i="31"/>
  <c r="F111" i="31"/>
  <c r="E111" i="31"/>
  <c r="D111" i="31"/>
  <c r="C111" i="31"/>
  <c r="B111" i="31"/>
  <c r="O111" i="30"/>
  <c r="N111" i="30"/>
  <c r="M111" i="30"/>
  <c r="L111" i="30"/>
  <c r="D111" i="30"/>
  <c r="B111" i="30"/>
  <c r="P111" i="29"/>
  <c r="N111" i="29"/>
  <c r="M111" i="29"/>
  <c r="E111" i="29"/>
  <c r="D111" i="29"/>
  <c r="C111" i="29"/>
  <c r="O111" i="28"/>
  <c r="N111" i="28"/>
  <c r="M111" i="28"/>
  <c r="L111" i="28"/>
  <c r="G111" i="28"/>
  <c r="E111" i="28"/>
  <c r="D111" i="28"/>
  <c r="C111" i="28"/>
  <c r="P111" i="27"/>
  <c r="N111" i="27"/>
  <c r="E111" i="27"/>
  <c r="B111" i="27"/>
  <c r="L111" i="26"/>
  <c r="K111" i="26"/>
  <c r="P111" i="24"/>
  <c r="O111" i="24"/>
  <c r="M111" i="24"/>
  <c r="L111" i="24"/>
  <c r="Q111" i="24"/>
  <c r="F111" i="24"/>
  <c r="E111" i="24"/>
  <c r="D111" i="24"/>
  <c r="P111" i="23"/>
  <c r="M111" i="23"/>
  <c r="K111" i="23"/>
  <c r="H111" i="23"/>
  <c r="E111" i="23"/>
  <c r="D111" i="23"/>
  <c r="C111" i="23"/>
  <c r="B111" i="23"/>
  <c r="P111" i="22"/>
  <c r="M111" i="22"/>
  <c r="K111" i="22"/>
  <c r="E111" i="22"/>
  <c r="Q111" i="21"/>
  <c r="N111" i="21"/>
  <c r="L111" i="21"/>
  <c r="G111" i="21"/>
  <c r="E111" i="21"/>
  <c r="C111" i="21"/>
  <c r="O111" i="20"/>
  <c r="Q112" i="20"/>
  <c r="M111" i="20"/>
  <c r="K111" i="20"/>
  <c r="G111" i="20"/>
  <c r="F111" i="20"/>
  <c r="D111" i="20"/>
  <c r="B111" i="20"/>
  <c r="P111" i="19"/>
  <c r="N111" i="19"/>
  <c r="L111" i="19"/>
  <c r="H111" i="19"/>
  <c r="G111" i="19"/>
  <c r="F111" i="19"/>
  <c r="B111" i="19"/>
  <c r="Q111" i="18"/>
  <c r="N111" i="18"/>
  <c r="L111" i="18"/>
  <c r="I111" i="18"/>
  <c r="F111" i="18"/>
  <c r="E111" i="18"/>
  <c r="D111" i="18"/>
  <c r="O111" i="17"/>
  <c r="B111" i="17"/>
  <c r="O111" i="16"/>
  <c r="N111" i="16"/>
  <c r="F111" i="16"/>
  <c r="E111" i="16"/>
  <c r="D111" i="16"/>
  <c r="P111" i="15"/>
  <c r="O111" i="15"/>
  <c r="M111" i="15"/>
  <c r="K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N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E111" i="11"/>
  <c r="P111" i="10"/>
  <c r="N111" i="10"/>
  <c r="G111" i="10"/>
  <c r="C111" i="10"/>
  <c r="B111" i="10"/>
  <c r="P111" i="9"/>
  <c r="M111" i="9"/>
  <c r="K111" i="9"/>
  <c r="E111" i="9"/>
  <c r="C111" i="9"/>
  <c r="M111" i="8"/>
  <c r="E111" i="8"/>
  <c r="D111" i="8"/>
  <c r="C111" i="8"/>
  <c r="Q111" i="3"/>
  <c r="P111" i="3"/>
  <c r="O111" i="3"/>
  <c r="H111" i="3"/>
  <c r="G111" i="3"/>
  <c r="C112" i="17"/>
  <c r="D112" i="3"/>
  <c r="M111" i="2"/>
  <c r="K112" i="2"/>
  <c r="G111" i="2"/>
  <c r="D111" i="2"/>
  <c r="L112" i="10"/>
  <c r="M112" i="10"/>
  <c r="E111" i="10"/>
  <c r="L111" i="9"/>
  <c r="G111" i="9"/>
  <c r="B111" i="3"/>
  <c r="N112" i="3"/>
  <c r="I112" i="2"/>
  <c r="L111" i="2"/>
  <c r="I111" i="3"/>
  <c r="M111" i="3"/>
  <c r="E112" i="3"/>
  <c r="J111" i="10"/>
  <c r="I112" i="9"/>
  <c r="J112" i="8"/>
  <c r="P111" i="8"/>
  <c r="L111" i="8"/>
  <c r="B111" i="8"/>
  <c r="I112" i="8"/>
  <c r="H112" i="8"/>
  <c r="F112" i="8"/>
  <c r="N111" i="8"/>
  <c r="J111" i="13"/>
  <c r="I112" i="13"/>
  <c r="F112" i="12"/>
  <c r="H112" i="12"/>
  <c r="O112" i="12"/>
  <c r="Q112" i="11"/>
  <c r="H112" i="11"/>
  <c r="G111" i="11"/>
  <c r="I112" i="11"/>
  <c r="C111" i="11"/>
  <c r="C111" i="16"/>
  <c r="I112" i="16"/>
  <c r="P111" i="16"/>
  <c r="Q112" i="16"/>
  <c r="Q112" i="15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I112" i="20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K112" i="25"/>
  <c r="I112" i="25"/>
  <c r="J112" i="24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C112" i="27"/>
  <c r="Q111" i="27"/>
  <c r="Q112" i="26"/>
  <c r="G111" i="26"/>
  <c r="O111" i="27"/>
  <c r="K111" i="27"/>
  <c r="J111" i="27"/>
  <c r="I111" i="32"/>
  <c r="B112" i="32"/>
  <c r="J112" i="32"/>
  <c r="H112" i="32"/>
  <c r="I112" i="31"/>
  <c r="Q112" i="31"/>
  <c r="P111" i="31"/>
  <c r="H111" i="30"/>
  <c r="I111" i="30"/>
  <c r="J111" i="29"/>
  <c r="I111" i="29"/>
  <c r="H111" i="29"/>
  <c r="O111" i="29"/>
  <c r="G112" i="29"/>
  <c r="I111" i="28"/>
  <c r="B111" i="28"/>
  <c r="J112" i="40"/>
  <c r="H112" i="40"/>
  <c r="I112" i="40"/>
  <c r="D111" i="40"/>
  <c r="G111" i="33"/>
  <c r="J111" i="33"/>
  <c r="J111" i="41"/>
  <c r="H111" i="41"/>
  <c r="Q112" i="41"/>
  <c r="B111" i="2"/>
  <c r="J112" i="3"/>
  <c r="L112" i="3"/>
  <c r="C112" i="3"/>
  <c r="K112" i="8"/>
  <c r="Q112" i="8"/>
  <c r="F112" i="9"/>
  <c r="Q112" i="9"/>
  <c r="D112" i="9"/>
  <c r="O111" i="9"/>
  <c r="D111" i="10"/>
  <c r="O112" i="10"/>
  <c r="H111" i="10"/>
  <c r="B112" i="11"/>
  <c r="M112" i="12"/>
  <c r="K112" i="12"/>
  <c r="D112" i="13"/>
  <c r="B112" i="13"/>
  <c r="M112" i="13"/>
  <c r="H111" i="13"/>
  <c r="D111" i="14"/>
  <c r="O112" i="14"/>
  <c r="L112" i="15"/>
  <c r="G112" i="15"/>
  <c r="H112" i="15"/>
  <c r="H112" i="16"/>
  <c r="B111" i="16"/>
  <c r="M111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M112" i="26"/>
  <c r="F111" i="27"/>
  <c r="P112" i="28"/>
  <c r="F112" i="29"/>
  <c r="Q112" i="29"/>
  <c r="K111" i="30"/>
  <c r="M112" i="31"/>
  <c r="H111" i="31"/>
  <c r="K112" i="31"/>
  <c r="J112" i="31"/>
  <c r="E112" i="32"/>
  <c r="P111" i="32"/>
  <c r="C112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P112" i="17"/>
  <c r="C112" i="24"/>
  <c r="L112" i="29"/>
  <c r="C112" i="40"/>
  <c r="K111" i="3"/>
  <c r="I111" i="19"/>
  <c r="G111" i="27"/>
  <c r="H112" i="33"/>
  <c r="G112" i="13"/>
  <c r="B112" i="22"/>
  <c r="N112" i="22"/>
  <c r="N112" i="23"/>
  <c r="K112" i="28"/>
  <c r="G111" i="30"/>
  <c r="L112" i="32"/>
  <c r="B112" i="33"/>
  <c r="N112" i="33"/>
  <c r="N112" i="41"/>
  <c r="I112" i="10"/>
  <c r="J111" i="12"/>
  <c r="H111" i="14"/>
  <c r="H111" i="24"/>
  <c r="G111" i="25"/>
  <c r="O111" i="25"/>
  <c r="H111" i="26"/>
  <c r="J112" i="28"/>
  <c r="F112" i="10"/>
  <c r="G112" i="12"/>
  <c r="G112" i="16"/>
  <c r="O112" i="18"/>
  <c r="F111" i="15"/>
  <c r="E111" i="17"/>
  <c r="G112" i="18"/>
  <c r="N112" i="40"/>
  <c r="J112" i="2"/>
  <c r="H112" i="28"/>
  <c r="E111" i="13"/>
  <c r="L111" i="27"/>
  <c r="P111" i="13"/>
  <c r="K112" i="21"/>
  <c r="F112" i="28"/>
  <c r="Q112" i="28"/>
  <c r="E112" i="30"/>
  <c r="P112" i="30"/>
  <c r="G112" i="32"/>
  <c r="O112" i="8"/>
  <c r="J112" i="9"/>
  <c r="I111" i="12"/>
  <c r="I112" i="15"/>
  <c r="I111" i="23"/>
  <c r="E111" i="25"/>
  <c r="M112" i="25"/>
  <c r="F112" i="26"/>
  <c r="L112" i="41" l="1"/>
  <c r="Q111" i="32"/>
  <c r="L111" i="31"/>
  <c r="J112" i="30"/>
  <c r="C112" i="30"/>
  <c r="B111" i="29"/>
  <c r="M112" i="27"/>
  <c r="N111" i="26"/>
  <c r="B111" i="24"/>
  <c r="C111" i="22"/>
  <c r="D111" i="22"/>
  <c r="B112" i="21"/>
  <c r="L111" i="20"/>
  <c r="L111" i="16"/>
  <c r="J112" i="16"/>
  <c r="F112" i="14"/>
  <c r="B112" i="14"/>
  <c r="P111" i="11"/>
  <c r="J111" i="11"/>
  <c r="K112" i="10"/>
  <c r="J42" i="39"/>
  <c r="H112" i="9"/>
  <c r="K42" i="39"/>
  <c r="N111" i="9"/>
  <c r="G111" i="8"/>
  <c r="J41" i="39"/>
  <c r="F111" i="3"/>
  <c r="K44" i="39"/>
  <c r="K46" i="39" s="1"/>
  <c r="K43" i="39"/>
  <c r="F112" i="2"/>
  <c r="E112" i="2"/>
  <c r="N111" i="2"/>
  <c r="K41" i="39"/>
  <c r="C112" i="2"/>
  <c r="Q112" i="2"/>
  <c r="O112" i="2"/>
  <c r="K40" i="39"/>
  <c r="E44" i="39"/>
  <c r="E43" i="39"/>
  <c r="E40" i="39"/>
  <c r="E42" i="39"/>
  <c r="E41" i="39"/>
  <c r="N43" i="39"/>
  <c r="N42" i="39"/>
  <c r="N44" i="39"/>
  <c r="N40" i="39"/>
  <c r="N41" i="39"/>
  <c r="D42" i="39"/>
  <c r="D44" i="39"/>
  <c r="D41" i="39"/>
  <c r="D40" i="39"/>
  <c r="D43" i="39"/>
  <c r="C41" i="39"/>
  <c r="C43" i="39"/>
  <c r="C44" i="39"/>
  <c r="C40" i="39"/>
  <c r="C42" i="39"/>
  <c r="B41" i="39"/>
  <c r="B40" i="39"/>
  <c r="B44" i="39"/>
  <c r="B42" i="39"/>
  <c r="B43" i="39"/>
  <c r="F43" i="39"/>
  <c r="F41" i="39"/>
  <c r="F40" i="39"/>
  <c r="F42" i="39"/>
  <c r="F44" i="39"/>
  <c r="Q44" i="39"/>
  <c r="Q42" i="39"/>
  <c r="Q40" i="39"/>
  <c r="Q41" i="39"/>
  <c r="Q43" i="39"/>
  <c r="M44" i="39"/>
  <c r="M42" i="39"/>
  <c r="M43" i="39"/>
  <c r="M40" i="39"/>
  <c r="M41" i="39"/>
  <c r="L44" i="39"/>
  <c r="L41" i="39"/>
  <c r="L42" i="39"/>
  <c r="L43" i="39"/>
  <c r="L40" i="39"/>
  <c r="O41" i="39"/>
  <c r="O40" i="39"/>
  <c r="O43" i="39"/>
  <c r="O44" i="39"/>
  <c r="O42" i="39"/>
  <c r="I42" i="39"/>
  <c r="I43" i="39"/>
  <c r="I40" i="39"/>
  <c r="I41" i="39"/>
  <c r="I44" i="39"/>
  <c r="H44" i="39"/>
  <c r="H41" i="39"/>
  <c r="H43" i="39"/>
  <c r="H42" i="39"/>
  <c r="H40" i="39"/>
  <c r="G40" i="39"/>
  <c r="G42" i="39"/>
  <c r="G44" i="39"/>
  <c r="G41" i="39"/>
  <c r="G43" i="39"/>
  <c r="P43" i="39"/>
  <c r="P42" i="39"/>
  <c r="P44" i="39"/>
  <c r="P41" i="39"/>
  <c r="P40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3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4" i="39"/>
  <c r="J40" i="39"/>
  <c r="K45" i="39" l="1"/>
  <c r="D46" i="39"/>
  <c r="D45" i="39"/>
  <c r="L46" i="39"/>
  <c r="L45" i="39"/>
  <c r="H45" i="39"/>
  <c r="H46" i="39"/>
  <c r="I46" i="39"/>
  <c r="I45" i="39"/>
  <c r="B46" i="39"/>
  <c r="B45" i="39"/>
  <c r="N45" i="39"/>
  <c r="N46" i="39"/>
  <c r="F46" i="39"/>
  <c r="F45" i="39"/>
  <c r="J45" i="39"/>
  <c r="J46" i="39"/>
  <c r="P46" i="39"/>
  <c r="P45" i="39"/>
  <c r="O46" i="39"/>
  <c r="O45" i="39"/>
  <c r="C45" i="39"/>
  <c r="C46" i="39"/>
  <c r="M45" i="39"/>
  <c r="M46" i="39"/>
  <c r="G46" i="39"/>
  <c r="G45" i="39"/>
  <c r="Q46" i="39"/>
  <c r="Q45" i="39"/>
  <c r="E45" i="39"/>
  <c r="E46" i="39"/>
</calcChain>
</file>

<file path=xl/sharedStrings.xml><?xml version="1.0" encoding="utf-8"?>
<sst xmlns="http://schemas.openxmlformats.org/spreadsheetml/2006/main" count="4566" uniqueCount="2071">
  <si>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</si>
  <si>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</si>
  <si>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</si>
  <si>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</si>
  <si>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</si>
  <si>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</si>
  <si>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</si>
  <si>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</si>
  <si>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</si>
  <si>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</si>
  <si>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</si>
  <si>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</si>
  <si>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</si>
  <si>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</si>
  <si>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</si>
  <si>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</si>
  <si>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</si>
  <si>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</si>
  <si>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</si>
  <si>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</si>
  <si>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</si>
  <si>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</si>
  <si>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</si>
  <si>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</si>
  <si>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</si>
  <si>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</si>
  <si>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</si>
  <si>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</si>
  <si>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</si>
  <si>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</si>
  <si>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</si>
  <si>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</si>
  <si>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</si>
  <si>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</si>
  <si>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</si>
  <si>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</si>
  <si>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</si>
  <si>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</si>
  <si>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</si>
  <si>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</si>
  <si>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</si>
  <si>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</si>
  <si>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</si>
  <si>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</si>
  <si>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</si>
  <si>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</si>
  <si>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</si>
  <si>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</si>
  <si>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</si>
  <si>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</si>
  <si>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</si>
  <si>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</si>
  <si>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</si>
  <si>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</si>
  <si>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</si>
  <si>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</si>
  <si>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</si>
  <si>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</si>
  <si>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</si>
  <si>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</si>
  <si>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</si>
  <si>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</si>
  <si>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</si>
  <si>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</si>
  <si>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</si>
  <si>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</si>
  <si>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</si>
  <si>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</si>
  <si>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</si>
  <si>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</si>
  <si>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</si>
  <si>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</si>
  <si>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</si>
  <si>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</si>
  <si>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</si>
  <si>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</si>
  <si>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</si>
  <si>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</si>
  <si>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</si>
  <si>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</si>
  <si>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</si>
  <si>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</si>
  <si>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</si>
  <si>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</si>
  <si>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</si>
  <si>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</si>
  <si>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</si>
  <si>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</si>
  <si>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</si>
  <si>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</si>
  <si>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</si>
  <si>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</si>
  <si>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</si>
  <si>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</si>
  <si>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</si>
  <si>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</si>
  <si>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</si>
  <si>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</si>
  <si>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</si>
  <si>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</si>
  <si>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</si>
  <si>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</si>
  <si>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</si>
  <si>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</si>
  <si>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</si>
  <si>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</si>
  <si>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</si>
  <si>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</si>
  <si>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</si>
  <si>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</si>
  <si>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</si>
  <si>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</si>
  <si>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</si>
  <si>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</si>
  <si>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</si>
  <si>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</si>
  <si>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</si>
  <si>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</si>
  <si>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</si>
  <si>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</si>
  <si>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</si>
  <si>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</si>
  <si>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</si>
  <si>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</si>
  <si>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</si>
  <si>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</si>
  <si>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</si>
  <si>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</si>
  <si>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</si>
  <si>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</si>
  <si>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</si>
  <si>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</si>
  <si>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</si>
  <si>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KK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</si>
  <si>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</si>
  <si>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</si>
  <si>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</si>
  <si>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</si>
  <si>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</si>
  <si>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</si>
  <si>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</si>
  <si>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</si>
  <si>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</si>
  <si>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</si>
  <si>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</si>
  <si>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</si>
  <si>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</si>
  <si>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</si>
  <si>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</si>
  <si>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</si>
  <si>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</si>
  <si>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</si>
  <si>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</si>
  <si>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</si>
  <si>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</si>
  <si>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</si>
  <si>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</si>
  <si>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</si>
  <si>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</si>
  <si>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</si>
  <si>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</si>
  <si>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</si>
  <si>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</si>
  <si>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</si>
  <si>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</si>
  <si>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</si>
  <si>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</si>
  <si>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</si>
  <si>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</si>
  <si>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</si>
  <si>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</si>
  <si>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</si>
  <si>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</si>
  <si>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</si>
  <si>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</si>
  <si>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</si>
  <si>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</si>
  <si>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</si>
  <si>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</si>
  <si>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</si>
  <si>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</si>
  <si>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</si>
  <si>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</si>
  <si>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</si>
  <si>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</si>
  <si>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</si>
  <si>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</si>
  <si>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</si>
  <si>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</si>
  <si>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</si>
  <si>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</si>
  <si>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</si>
  <si>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</si>
  <si>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</si>
  <si>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</si>
  <si>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</si>
  <si>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</si>
  <si>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</si>
  <si>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</si>
  <si>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</si>
  <si>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</si>
  <si>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</si>
  <si>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</si>
  <si>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</si>
  <si>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</si>
  <si>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</si>
  <si>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</si>
  <si>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</si>
  <si>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</si>
  <si>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</si>
  <si>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</si>
  <si>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</si>
  <si>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</si>
  <si>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</si>
  <si>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</si>
  <si>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</si>
  <si>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</si>
  <si>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</si>
  <si>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</si>
  <si>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</si>
  <si>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</si>
  <si>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</si>
  <si>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</si>
  <si>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ppb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</si>
  <si>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</si>
  <si>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</si>
  <si>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</si>
  <si>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</si>
  <si>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</si>
  <si>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</si>
  <si>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</si>
  <si>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</si>
  <si>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</si>
  <si>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</si>
  <si>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</si>
  <si>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</si>
  <si>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</si>
  <si>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</si>
  <si>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</si>
  <si>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</si>
  <si>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</si>
  <si>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</si>
  <si>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835 ug/cm2</t>
  </si>
  <si>
    <t>animesh</t>
  </si>
  <si>
    <t>847 ug/cm2</t>
  </si>
  <si>
    <t>12/06/2025 00:15</t>
  </si>
  <si>
    <t>12/06/2025 00:30</t>
  </si>
  <si>
    <t>12/06/2025 00:45</t>
  </si>
  <si>
    <t>12/06/2025 01:00</t>
  </si>
  <si>
    <t>12/06/2025 01:15</t>
  </si>
  <si>
    <t>12/06/2025 01:30</t>
  </si>
  <si>
    <t>12/06/2025 01:45</t>
  </si>
  <si>
    <t>12/06/2025 02:00</t>
  </si>
  <si>
    <t>12/06/2025 02:15</t>
  </si>
  <si>
    <t>12/06/2025 02:30</t>
  </si>
  <si>
    <t>12/06/2025 02:45</t>
  </si>
  <si>
    <t>12/06/2025 03:00</t>
  </si>
  <si>
    <t>12/06/2025 03:15</t>
  </si>
  <si>
    <t>12/06/2025 03:30</t>
  </si>
  <si>
    <t>12/06/2025 03:45</t>
  </si>
  <si>
    <t>12/06/2025 04:00</t>
  </si>
  <si>
    <t>12/06/2025 04:15</t>
  </si>
  <si>
    <t>12/06/2025 04:30</t>
  </si>
  <si>
    <t>12/06/2025 04:45</t>
  </si>
  <si>
    <t>12/06/2025 05:00</t>
  </si>
  <si>
    <t>12/06/2025 05:15</t>
  </si>
  <si>
    <t>12/06/2025 05:30</t>
  </si>
  <si>
    <t>12/06/2025 05:45</t>
  </si>
  <si>
    <t>12/06/2025 06:00</t>
  </si>
  <si>
    <t>12/06/2025 06:15</t>
  </si>
  <si>
    <t>12/06/2025 06:30</t>
  </si>
  <si>
    <t>12/06/2025 06:45</t>
  </si>
  <si>
    <t>12/06/2025 07:00</t>
  </si>
  <si>
    <t>12/06/2025 07:15</t>
  </si>
  <si>
    <t>12/06/2025 07:30</t>
  </si>
  <si>
    <t>12/06/2025 07:45</t>
  </si>
  <si>
    <t>12/06/2025 08:00</t>
  </si>
  <si>
    <t>12/06/2025 08:15</t>
  </si>
  <si>
    <t>12/06/2025 08:30</t>
  </si>
  <si>
    <t>12/06/2025 08:45</t>
  </si>
  <si>
    <t>12/06/2025 09:00</t>
  </si>
  <si>
    <t>12/06/2025 09:15</t>
  </si>
  <si>
    <t>12/06/2025 09:30</t>
  </si>
  <si>
    <t>12/06/2025 09:45</t>
  </si>
  <si>
    <t>12/06/2025 10:00</t>
  </si>
  <si>
    <t>12/06/2025 10:15</t>
  </si>
  <si>
    <t>12/06/2025 10:30</t>
  </si>
  <si>
    <t>12/06/2025 10:45</t>
  </si>
  <si>
    <t>12/06/2025 11:00</t>
  </si>
  <si>
    <t>12/06/2025 11:15</t>
  </si>
  <si>
    <t>12/06/2025 11:30</t>
  </si>
  <si>
    <t>12/06/2025 11:45</t>
  </si>
  <si>
    <t>12/06/2025 12:00</t>
  </si>
  <si>
    <t>12/06/2025 12:15</t>
  </si>
  <si>
    <t>12/06/2025 12:30</t>
  </si>
  <si>
    <t>12/06/2025 12:45</t>
  </si>
  <si>
    <t>12/06/2025 13:00</t>
  </si>
  <si>
    <t>12/06/2025 13:15</t>
  </si>
  <si>
    <t>12/06/2025 13:30</t>
  </si>
  <si>
    <t>12/06/2025 13:45</t>
  </si>
  <si>
    <t>12/06/2025 14:00</t>
  </si>
  <si>
    <t>12/06/2025 14:15</t>
  </si>
  <si>
    <t>12/06/2025 14:30</t>
  </si>
  <si>
    <t>12/06/2025 14:45</t>
  </si>
  <si>
    <t>12/06/2025 15:00</t>
  </si>
  <si>
    <t>12/06/2025 15:15</t>
  </si>
  <si>
    <t>12/06/2025 15:30</t>
  </si>
  <si>
    <t>12/06/2025 15:45</t>
  </si>
  <si>
    <t>12/06/2025 16:00</t>
  </si>
  <si>
    <t>12/06/2025 16:15</t>
  </si>
  <si>
    <t>12/06/2025 16:30</t>
  </si>
  <si>
    <t>12/06/2025 16:45</t>
  </si>
  <si>
    <t>12/06/2025 17:00</t>
  </si>
  <si>
    <t>12/06/2025 17:15</t>
  </si>
  <si>
    <t>12/06/2025 17:30</t>
  </si>
  <si>
    <t>12/06/2025 17:45</t>
  </si>
  <si>
    <t>12/06/2025 18:00</t>
  </si>
  <si>
    <t>12/06/2025 18:15</t>
  </si>
  <si>
    <t>12/06/2025 18:30</t>
  </si>
  <si>
    <t>12/06/2025 18:45</t>
  </si>
  <si>
    <t>12/06/2025 19:00</t>
  </si>
  <si>
    <t>12/06/2025 19:15</t>
  </si>
  <si>
    <t>12/06/2025 19:30</t>
  </si>
  <si>
    <t>12/06/2025 19:45</t>
  </si>
  <si>
    <t>12/06/2025 20:00</t>
  </si>
  <si>
    <t>12/06/2025 20:15</t>
  </si>
  <si>
    <t>12/06/2025 20:30</t>
  </si>
  <si>
    <t>12/06/2025 20:45</t>
  </si>
  <si>
    <t>12/06/2025 21:00</t>
  </si>
  <si>
    <t>12/06/2025 21:15</t>
  </si>
  <si>
    <t>12/06/2025 21:30</t>
  </si>
  <si>
    <t>12/06/2025 21:45</t>
  </si>
  <si>
    <t>12/06/2025 22:00</t>
  </si>
  <si>
    <t>12/06/2025 22:15</t>
  </si>
  <si>
    <t>12/06/2025 22:30</t>
  </si>
  <si>
    <t>12/06/2025 22:45</t>
  </si>
  <si>
    <t>12/06/2025 23:00</t>
  </si>
  <si>
    <t>12/06/2025 23:15</t>
  </si>
  <si>
    <t>12/06/2025 23:30</t>
  </si>
  <si>
    <t>12/06/2025 23:45</t>
  </si>
  <si>
    <t>12/06/2025 24:00</t>
  </si>
  <si>
    <t>13/06/2025 00:15</t>
  </si>
  <si>
    <t>13/06/2025 00:30</t>
  </si>
  <si>
    <t>13/06/2025 00:45</t>
  </si>
  <si>
    <t>13/06/2025 01:00</t>
  </si>
  <si>
    <t>13/06/2025 01:15</t>
  </si>
  <si>
    <t>13/06/2025 01:30</t>
  </si>
  <si>
    <t>13/06/2025 01:45</t>
  </si>
  <si>
    <t>13/06/2025 02:00</t>
  </si>
  <si>
    <t>13/06/2025 02:15</t>
  </si>
  <si>
    <t>13/06/2025 02:30</t>
  </si>
  <si>
    <t>13/06/2025 02:45</t>
  </si>
  <si>
    <t>13/06/2025 03:00</t>
  </si>
  <si>
    <t>13/06/2025 03:15</t>
  </si>
  <si>
    <t>13/06/2025 03:30</t>
  </si>
  <si>
    <t>13/06/2025 03:45</t>
  </si>
  <si>
    <t>13/06/2025 04:00</t>
  </si>
  <si>
    <t>13/06/2025 04:15</t>
  </si>
  <si>
    <t>13/06/2025 04:30</t>
  </si>
  <si>
    <t>13/06/2025 04:45</t>
  </si>
  <si>
    <t>13/06/2025 05:00</t>
  </si>
  <si>
    <t>13/06/2025 05:15</t>
  </si>
  <si>
    <t>13/06/2025 05:30</t>
  </si>
  <si>
    <t>13/06/2025 05:45</t>
  </si>
  <si>
    <t>13/06/2025 06:00</t>
  </si>
  <si>
    <t>13/06/2025 06:15</t>
  </si>
  <si>
    <t>13/06/2025 06:30</t>
  </si>
  <si>
    <t>13/06/2025 06:45</t>
  </si>
  <si>
    <t>13/06/2025 07:00</t>
  </si>
  <si>
    <t>13/06/2025 07:15</t>
  </si>
  <si>
    <t>13/06/2025 07:30</t>
  </si>
  <si>
    <t>13/06/2025 07:45</t>
  </si>
  <si>
    <t>13/06/2025 08:00</t>
  </si>
  <si>
    <t>13/06/2025 08:15</t>
  </si>
  <si>
    <t>13/06/2025 08:30</t>
  </si>
  <si>
    <t>13/06/2025 08:45</t>
  </si>
  <si>
    <t>13/06/2025 09:00</t>
  </si>
  <si>
    <t>13/06/2025 09:15</t>
  </si>
  <si>
    <t>13/06/2025 09:30</t>
  </si>
  <si>
    <t>13/06/2025 09:45</t>
  </si>
  <si>
    <t>13/06/2025 10:00</t>
  </si>
  <si>
    <t>13/06/2025 10:15</t>
  </si>
  <si>
    <t>13/06/2025 10:30</t>
  </si>
  <si>
    <t>13/06/2025 10:45</t>
  </si>
  <si>
    <t>13/06/2025 11:00</t>
  </si>
  <si>
    <t>13/06/2025 11:15</t>
  </si>
  <si>
    <t>13/06/2025 11:30</t>
  </si>
  <si>
    <t>13/06/2025 11:45</t>
  </si>
  <si>
    <t>13/06/2025 12:00</t>
  </si>
  <si>
    <t>13/06/2025 12:15</t>
  </si>
  <si>
    <t>13/06/2025 12:30</t>
  </si>
  <si>
    <t>13/06/2025 12:45</t>
  </si>
  <si>
    <t>13/06/2025 13:00</t>
  </si>
  <si>
    <t>13/06/2025 13:15</t>
  </si>
  <si>
    <t>13/06/2025 13:30</t>
  </si>
  <si>
    <t>13/06/2025 13:45</t>
  </si>
  <si>
    <t>13/06/2025 14:00</t>
  </si>
  <si>
    <t>13/06/2025 14:15</t>
  </si>
  <si>
    <t>13/06/2025 14:30</t>
  </si>
  <si>
    <t>13/06/2025 14:45</t>
  </si>
  <si>
    <t>13/06/2025 15:00</t>
  </si>
  <si>
    <t>13/06/2025 15:15</t>
  </si>
  <si>
    <t>13/06/2025 15:30</t>
  </si>
  <si>
    <t>13/06/2025 15:45</t>
  </si>
  <si>
    <t>13/06/2025 16:00</t>
  </si>
  <si>
    <t>13/06/2025 16:15</t>
  </si>
  <si>
    <t>13/06/2025 16:30</t>
  </si>
  <si>
    <t>13/06/2025 16:45</t>
  </si>
  <si>
    <t>13/06/2025 17:00</t>
  </si>
  <si>
    <t>13/06/2025 17:15</t>
  </si>
  <si>
    <t>13/06/2025 17:30</t>
  </si>
  <si>
    <t>13/06/2025 17:45</t>
  </si>
  <si>
    <t>13/06/2025 18:00</t>
  </si>
  <si>
    <t>13/06/2025 18:15</t>
  </si>
  <si>
    <t>13/06/2025 18:30</t>
  </si>
  <si>
    <t>13/06/2025 18:45</t>
  </si>
  <si>
    <t>13/06/2025 19:00</t>
  </si>
  <si>
    <t>13/06/2025 19:15</t>
  </si>
  <si>
    <t>13/06/2025 19:30</t>
  </si>
  <si>
    <t>13/06/2025 19:45</t>
  </si>
  <si>
    <t>13/06/2025 20:00</t>
  </si>
  <si>
    <t>13/06/2025 20:15</t>
  </si>
  <si>
    <t>13/06/2025 20:30</t>
  </si>
  <si>
    <t>13/06/2025 20:45</t>
  </si>
  <si>
    <t>13/06/2025 21:00</t>
  </si>
  <si>
    <t>13/06/2025 21:15</t>
  </si>
  <si>
    <t>13/06/2025 21:30</t>
  </si>
  <si>
    <t>13/06/2025 21:45</t>
  </si>
  <si>
    <t>13/06/2025 22:00</t>
  </si>
  <si>
    <t>13/06/2025 22:15</t>
  </si>
  <si>
    <t>13/06/2025 22:30</t>
  </si>
  <si>
    <t>13/06/2025 22:45</t>
  </si>
  <si>
    <t>13/06/2025 23:00</t>
  </si>
  <si>
    <t>13/06/2025 23:15</t>
  </si>
  <si>
    <t>13/06/2025 23:30</t>
  </si>
  <si>
    <t>13/06/2025 23:45</t>
  </si>
  <si>
    <t>13/06/2025 24:00</t>
  </si>
  <si>
    <t>14/06/2025 00:15</t>
  </si>
  <si>
    <t>14/06/2025 00:30</t>
  </si>
  <si>
    <t>14/06/2025 00:45</t>
  </si>
  <si>
    <t>14/06/2025 01:00</t>
  </si>
  <si>
    <t>14/06/2025 01:15</t>
  </si>
  <si>
    <t>14/06/2025 01:30</t>
  </si>
  <si>
    <t>14/06/2025 01:45</t>
  </si>
  <si>
    <t>14/06/2025 02:00</t>
  </si>
  <si>
    <t>14/06/2025 02:15</t>
  </si>
  <si>
    <t>14/06/2025 02:30</t>
  </si>
  <si>
    <t>14/06/2025 02:45</t>
  </si>
  <si>
    <t>14/06/2025 03:00</t>
  </si>
  <si>
    <t>14/06/2025 03:15</t>
  </si>
  <si>
    <t>14/06/2025 03:30</t>
  </si>
  <si>
    <t>14/06/2025 03:45</t>
  </si>
  <si>
    <t>14/06/2025 04:00</t>
  </si>
  <si>
    <t>14/06/2025 04:15</t>
  </si>
  <si>
    <t>14/06/2025 04:30</t>
  </si>
  <si>
    <t>14/06/2025 04:45</t>
  </si>
  <si>
    <t>14/06/2025 05:00</t>
  </si>
  <si>
    <t>14/06/2025 05:15</t>
  </si>
  <si>
    <t>14/06/2025 05:30</t>
  </si>
  <si>
    <t>14/06/2025 05:45</t>
  </si>
  <si>
    <t>14/06/2025 06:00</t>
  </si>
  <si>
    <t>14/06/2025 06:15</t>
  </si>
  <si>
    <t>14/06/2025 06:30</t>
  </si>
  <si>
    <t>14/06/2025 06:45</t>
  </si>
  <si>
    <t>14/06/2025 07:00</t>
  </si>
  <si>
    <t>14/06/2025 07:15</t>
  </si>
  <si>
    <t>14/06/2025 07:30</t>
  </si>
  <si>
    <t>14/06/2025 07:45</t>
  </si>
  <si>
    <t>14/06/2025 08:00</t>
  </si>
  <si>
    <t>14/06/2025 08:15</t>
  </si>
  <si>
    <t>14/06/2025 08:30</t>
  </si>
  <si>
    <t>14/06/2025 08:45</t>
  </si>
  <si>
    <t>14/06/2025 09:00</t>
  </si>
  <si>
    <t>14/06/2025 09:15</t>
  </si>
  <si>
    <t>14/06/2025 09:30</t>
  </si>
  <si>
    <t>14/06/2025 09:45</t>
  </si>
  <si>
    <t>14/06/2025 10:00</t>
  </si>
  <si>
    <t>14/06/2025 10:15</t>
  </si>
  <si>
    <t>14/06/2025 10:30</t>
  </si>
  <si>
    <t>14/06/2025 10:45</t>
  </si>
  <si>
    <t>14/06/2025 11:00</t>
  </si>
  <si>
    <t>14/06/2025 11:15</t>
  </si>
  <si>
    <t>14/06/2025 11:30</t>
  </si>
  <si>
    <t>14/06/2025 11:45</t>
  </si>
  <si>
    <t>14/06/2025 12:00</t>
  </si>
  <si>
    <t>14/06/2025 12:15</t>
  </si>
  <si>
    <t>14/06/2025 12:30</t>
  </si>
  <si>
    <t>14/06/2025 12:45</t>
  </si>
  <si>
    <t>14/06/2025 13:00</t>
  </si>
  <si>
    <t>14/06/2025 13:15</t>
  </si>
  <si>
    <t>14/06/2025 13:30</t>
  </si>
  <si>
    <t>14/06/2025 13:45</t>
  </si>
  <si>
    <t>14/06/2025 14:00</t>
  </si>
  <si>
    <t>14/06/2025 14:15</t>
  </si>
  <si>
    <t>14/06/2025 14:30</t>
  </si>
  <si>
    <t>14/06/2025 14:45</t>
  </si>
  <si>
    <t>14/06/2025 15:00</t>
  </si>
  <si>
    <t>14/06/2025 15:15</t>
  </si>
  <si>
    <t>14/06/2025 15:30</t>
  </si>
  <si>
    <t>14/06/2025 15:45</t>
  </si>
  <si>
    <t>14/06/2025 16:00</t>
  </si>
  <si>
    <t>14/06/2025 16:15</t>
  </si>
  <si>
    <t>14/06/2025 16:30</t>
  </si>
  <si>
    <t>14/06/2025 16:45</t>
  </si>
  <si>
    <t>14/06/2025 17:00</t>
  </si>
  <si>
    <t>14/06/2025 17:15</t>
  </si>
  <si>
    <t>14/06/2025 17:30</t>
  </si>
  <si>
    <t>14/06/2025 17:45</t>
  </si>
  <si>
    <t>14/06/2025 18:00</t>
  </si>
  <si>
    <t>14/06/2025 18:15</t>
  </si>
  <si>
    <t>14/06/2025 18:30</t>
  </si>
  <si>
    <t>14/06/2025 18:45</t>
  </si>
  <si>
    <t>14/06/2025 19:00</t>
  </si>
  <si>
    <t>14/06/2025 19:15</t>
  </si>
  <si>
    <t>14/06/2025 19:30</t>
  </si>
  <si>
    <t>14/06/2025 19:45</t>
  </si>
  <si>
    <t>14/06/2025 20:00</t>
  </si>
  <si>
    <t>14/06/2025 20:15</t>
  </si>
  <si>
    <t>14/06/2025 20:30</t>
  </si>
  <si>
    <t>14/06/2025 20:45</t>
  </si>
  <si>
    <t>14/06/2025 21:00</t>
  </si>
  <si>
    <t>14/06/2025 21:15</t>
  </si>
  <si>
    <t>14/06/2025 21:30</t>
  </si>
  <si>
    <t>14/06/2025 21:45</t>
  </si>
  <si>
    <t>14/06/2025 22:00</t>
  </si>
  <si>
    <t>14/06/2025 22:15</t>
  </si>
  <si>
    <t>14/06/2025 22:30</t>
  </si>
  <si>
    <t>14/06/2025 22:45</t>
  </si>
  <si>
    <t>14/06/2025 23:00</t>
  </si>
  <si>
    <t>14/06/2025 23:15</t>
  </si>
  <si>
    <t>14/06/2025 23:30</t>
  </si>
  <si>
    <t>14/06/2025 23:45</t>
  </si>
  <si>
    <t>14/06/2025 24:00</t>
  </si>
  <si>
    <t>15/06/2025 00:15</t>
  </si>
  <si>
    <t>15/06/2025 00:30</t>
  </si>
  <si>
    <t>15/06/2025 00:45</t>
  </si>
  <si>
    <t>15/06/2025 01:00</t>
  </si>
  <si>
    <t>15/06/2025 01:15</t>
  </si>
  <si>
    <t>15/06/2025 01:30</t>
  </si>
  <si>
    <t>15/06/2025 01:45</t>
  </si>
  <si>
    <t>15/06/2025 02:00</t>
  </si>
  <si>
    <t>15/06/2025 02:15</t>
  </si>
  <si>
    <t>15/06/2025 02:30</t>
  </si>
  <si>
    <t>15/06/2025 02:45</t>
  </si>
  <si>
    <t>15/06/2025 03:00</t>
  </si>
  <si>
    <t>15/06/2025 03:15</t>
  </si>
  <si>
    <t>15/06/2025 03:30</t>
  </si>
  <si>
    <t>15/06/2025 03:45</t>
  </si>
  <si>
    <t>15/06/2025 04:00</t>
  </si>
  <si>
    <t>15/06/2025 04:15</t>
  </si>
  <si>
    <t>15/06/2025 04:30</t>
  </si>
  <si>
    <t>15/06/2025 04:45</t>
  </si>
  <si>
    <t>15/06/2025 05:00</t>
  </si>
  <si>
    <t>15/06/2025 05:15</t>
  </si>
  <si>
    <t>15/06/2025 05:30</t>
  </si>
  <si>
    <t>15/06/2025 05:45</t>
  </si>
  <si>
    <t>15/06/2025 06:00</t>
  </si>
  <si>
    <t>15/06/2025 06:15</t>
  </si>
  <si>
    <t>15/06/2025 06:30</t>
  </si>
  <si>
    <t>15/06/2025 06:45</t>
  </si>
  <si>
    <t>15/06/2025 07:00</t>
  </si>
  <si>
    <t>15/06/2025 07:15</t>
  </si>
  <si>
    <t>15/06/2025 07:30</t>
  </si>
  <si>
    <t>15/06/2025 07:45</t>
  </si>
  <si>
    <t>15/06/2025 08:00</t>
  </si>
  <si>
    <t>15/06/2025 08:15</t>
  </si>
  <si>
    <t>15/06/2025 08:30</t>
  </si>
  <si>
    <t>15/06/2025 08:45</t>
  </si>
  <si>
    <t>15/06/2025 09:00</t>
  </si>
  <si>
    <t>15/06/2025 09:15</t>
  </si>
  <si>
    <t>15/06/2025 09:30</t>
  </si>
  <si>
    <t>15/06/2025 09:45</t>
  </si>
  <si>
    <t>15/06/2025 10:00</t>
  </si>
  <si>
    <t>15/06/2025 10:15</t>
  </si>
  <si>
    <t>15/06/2025 10:30</t>
  </si>
  <si>
    <t>15/06/2025 10:45</t>
  </si>
  <si>
    <t>15/06/2025 11:00</t>
  </si>
  <si>
    <t>15/06/2025 11:15</t>
  </si>
  <si>
    <t>15/06/2025 11:30</t>
  </si>
  <si>
    <t>15/06/2025 11:45</t>
  </si>
  <si>
    <t>15/06/2025 12:00</t>
  </si>
  <si>
    <t>15/06/2025 12:15</t>
  </si>
  <si>
    <t>15/06/2025 12:30</t>
  </si>
  <si>
    <t>15/06/2025 12:45</t>
  </si>
  <si>
    <t>15/06/2025 13:00</t>
  </si>
  <si>
    <t>15/06/2025 13:15</t>
  </si>
  <si>
    <t>15/06/2025 13:30</t>
  </si>
  <si>
    <t>15/06/2025 13:45</t>
  </si>
  <si>
    <t>15/06/2025 14:00</t>
  </si>
  <si>
    <t>15/06/2025 14:15</t>
  </si>
  <si>
    <t>15/06/2025 14:30</t>
  </si>
  <si>
    <t>15/06/2025 14:45</t>
  </si>
  <si>
    <t>15/06/2025 15:00</t>
  </si>
  <si>
    <t>15/06/2025 15:15</t>
  </si>
  <si>
    <t>15/06/2025 15:30</t>
  </si>
  <si>
    <t>15/06/2025 15:45</t>
  </si>
  <si>
    <t>15/06/2025 16:00</t>
  </si>
  <si>
    <t>15/06/2025 16:15</t>
  </si>
  <si>
    <t>15/06/2025 16:30</t>
  </si>
  <si>
    <t>15/06/2025 16:45</t>
  </si>
  <si>
    <t>15/06/2025 17:00</t>
  </si>
  <si>
    <t>15/06/2025 17:15</t>
  </si>
  <si>
    <t>15/06/2025 17:30</t>
  </si>
  <si>
    <t>15/06/2025 17:45</t>
  </si>
  <si>
    <t>15/06/2025 18:00</t>
  </si>
  <si>
    <t>15/06/2025 18:15</t>
  </si>
  <si>
    <t>15/06/2025 18:30</t>
  </si>
  <si>
    <t>15/06/2025 18:45</t>
  </si>
  <si>
    <t>15/06/2025 19:00</t>
  </si>
  <si>
    <t>15/06/2025 19:15</t>
  </si>
  <si>
    <t>15/06/2025 19:30</t>
  </si>
  <si>
    <t>15/06/2025 19:45</t>
  </si>
  <si>
    <t>15/06/2025 20:00</t>
  </si>
  <si>
    <t>15/06/2025 20:15</t>
  </si>
  <si>
    <t>15/06/2025 20:30</t>
  </si>
  <si>
    <t>15/06/2025 20:45</t>
  </si>
  <si>
    <t>15/06/2025 21:00</t>
  </si>
  <si>
    <t>15/06/2025 21:15</t>
  </si>
  <si>
    <t>15/06/2025 21:30</t>
  </si>
  <si>
    <t>15/06/2025 21:45</t>
  </si>
  <si>
    <t>15/06/2025 22:00</t>
  </si>
  <si>
    <t>15/06/2025 22:15</t>
  </si>
  <si>
    <t>15/06/2025 22:30</t>
  </si>
  <si>
    <t>15/06/2025 22:45</t>
  </si>
  <si>
    <t>15/06/2025 23:00</t>
  </si>
  <si>
    <t>15/06/2025 23:15</t>
  </si>
  <si>
    <t>15/06/2025 23:30</t>
  </si>
  <si>
    <t>15/06/2025 23:45</t>
  </si>
  <si>
    <t>15/06/2025 24:00</t>
  </si>
  <si>
    <t>16/06/2025 00:15</t>
  </si>
  <si>
    <t>16/06/2025 00:30</t>
  </si>
  <si>
    <t>16/06/2025 00:45</t>
  </si>
  <si>
    <t>16/06/2025 01:00</t>
  </si>
  <si>
    <t>16/06/2025 01:15</t>
  </si>
  <si>
    <t>16/06/2025 01:30</t>
  </si>
  <si>
    <t>16/06/2025 01:45</t>
  </si>
  <si>
    <t>16/06/2025 02:00</t>
  </si>
  <si>
    <t>16/06/2025 02:15</t>
  </si>
  <si>
    <t>16/06/2025 02:30</t>
  </si>
  <si>
    <t>16/06/2025 02:45</t>
  </si>
  <si>
    <t>16/06/2025 03:00</t>
  </si>
  <si>
    <t>16/06/2025 03:15</t>
  </si>
  <si>
    <t>16/06/2025 03:30</t>
  </si>
  <si>
    <t>16/06/2025 03:45</t>
  </si>
  <si>
    <t>16/06/2025 04:00</t>
  </si>
  <si>
    <t>16/06/2025 04:15</t>
  </si>
  <si>
    <t>16/06/2025 04:30</t>
  </si>
  <si>
    <t>16/06/2025 04:45</t>
  </si>
  <si>
    <t>16/06/2025 05:00</t>
  </si>
  <si>
    <t>16/06/2025 05:15</t>
  </si>
  <si>
    <t>16/06/2025 05:30</t>
  </si>
  <si>
    <t>16/06/2025 05:45</t>
  </si>
  <si>
    <t>16/06/2025 06:00</t>
  </si>
  <si>
    <t>16/06/2025 06:15</t>
  </si>
  <si>
    <t>16/06/2025 06:30</t>
  </si>
  <si>
    <t>16/06/2025 06:45</t>
  </si>
  <si>
    <t>16/06/2025 07:00</t>
  </si>
  <si>
    <t>16/06/2025 07:15</t>
  </si>
  <si>
    <t>16/06/2025 07:30</t>
  </si>
  <si>
    <t>16/06/2025 07:45</t>
  </si>
  <si>
    <t>16/06/2025 08:00</t>
  </si>
  <si>
    <t>16/06/2025 08:15</t>
  </si>
  <si>
    <t>16/06/2025 08:30</t>
  </si>
  <si>
    <t>16/06/2025 08:45</t>
  </si>
  <si>
    <t>16/06/2025 09:00</t>
  </si>
  <si>
    <t>16/06/2025 09:15</t>
  </si>
  <si>
    <t>16/06/2025 09:30</t>
  </si>
  <si>
    <t>16/06/2025 09:45</t>
  </si>
  <si>
    <t>16/06/2025 10:00</t>
  </si>
  <si>
    <t>16/06/2025 10:15</t>
  </si>
  <si>
    <t>16/06/2025 10:30</t>
  </si>
  <si>
    <t>16/06/2025 10:45</t>
  </si>
  <si>
    <t>16/06/2025 11:00</t>
  </si>
  <si>
    <t>16/06/2025 11:15</t>
  </si>
  <si>
    <t>16/06/2025 11:30</t>
  </si>
  <si>
    <t>16/06/2025 11:45</t>
  </si>
  <si>
    <t>16/06/2025 12:00</t>
  </si>
  <si>
    <t>16/06/2025 12:15</t>
  </si>
  <si>
    <t>16/06/2025 12:30</t>
  </si>
  <si>
    <t>16/06/2025 12:45</t>
  </si>
  <si>
    <t>16/06/2025 13:00</t>
  </si>
  <si>
    <t>16/06/2025 13:15</t>
  </si>
  <si>
    <t>16/06/2025 13:30</t>
  </si>
  <si>
    <t>16/06/2025 13:45</t>
  </si>
  <si>
    <t>16/06/2025 14:00</t>
  </si>
  <si>
    <t>16/06/2025 14:15</t>
  </si>
  <si>
    <t>16/06/2025 14:30</t>
  </si>
  <si>
    <t>16/06/2025 14:45</t>
  </si>
  <si>
    <t>16/06/2025 15:00</t>
  </si>
  <si>
    <t>16/06/2025 15:15</t>
  </si>
  <si>
    <t>16/06/2025 15:30</t>
  </si>
  <si>
    <t>16/06/2025 15:45</t>
  </si>
  <si>
    <t>16/06/2025 16:00</t>
  </si>
  <si>
    <t>16/06/2025 16:15</t>
  </si>
  <si>
    <t>16/06/2025 16:30</t>
  </si>
  <si>
    <t>16/06/2025 16:45</t>
  </si>
  <si>
    <t>16/06/2025 17:00</t>
  </si>
  <si>
    <t>16/06/2025 17:15</t>
  </si>
  <si>
    <t>16/06/2025 17:30</t>
  </si>
  <si>
    <t>16/06/2025 17:45</t>
  </si>
  <si>
    <t>16/06/2025 18:00</t>
  </si>
  <si>
    <t>16/06/2025 18:15</t>
  </si>
  <si>
    <t>16/06/2025 18:30</t>
  </si>
  <si>
    <t>16/06/2025 18:45</t>
  </si>
  <si>
    <t>16/06/2025 19:00</t>
  </si>
  <si>
    <t>16/06/2025 19:15</t>
  </si>
  <si>
    <t>16/06/2025 19:30</t>
  </si>
  <si>
    <t>16/06/2025 19:45</t>
  </si>
  <si>
    <t>16/06/2025 20:00</t>
  </si>
  <si>
    <t>16/06/2025 20:15</t>
  </si>
  <si>
    <t>16/06/2025 20:30</t>
  </si>
  <si>
    <t>16/06/2025 20:45</t>
  </si>
  <si>
    <t>16/06/2025 21:00</t>
  </si>
  <si>
    <t>16/06/2025 21:15</t>
  </si>
  <si>
    <t>16/06/2025 21:30</t>
  </si>
  <si>
    <t>16/06/2025 21:45</t>
  </si>
  <si>
    <t>16/06/2025 22:00</t>
  </si>
  <si>
    <t>16/06/2025 22:15</t>
  </si>
  <si>
    <t>16/06/2025 22:30</t>
  </si>
  <si>
    <t>16/06/2025 22:45</t>
  </si>
  <si>
    <t>16/06/2025 23:00</t>
  </si>
  <si>
    <t>16/06/2025 23:15</t>
  </si>
  <si>
    <t>16/06/2025 23:30</t>
  </si>
  <si>
    <t>16/06/2025 23:45</t>
  </si>
  <si>
    <t>16/06/2025 24:00</t>
  </si>
  <si>
    <t>17/06/2025 00:15</t>
  </si>
  <si>
    <t>17/06/2025 00:30</t>
  </si>
  <si>
    <t>17/06/2025 00:45</t>
  </si>
  <si>
    <t>17/06/2025 01:00</t>
  </si>
  <si>
    <t>17/06/2025 01:15</t>
  </si>
  <si>
    <t>17/06/2025 01:30</t>
  </si>
  <si>
    <t>17/06/2025 01:45</t>
  </si>
  <si>
    <t>17/06/2025 02:00</t>
  </si>
  <si>
    <t>17/06/2025 02:15</t>
  </si>
  <si>
    <t>17/06/2025 02:30</t>
  </si>
  <si>
    <t>17/06/2025 02:45</t>
  </si>
  <si>
    <t>17/06/2025 03:00</t>
  </si>
  <si>
    <t>17/06/2025 03:15</t>
  </si>
  <si>
    <t>17/06/2025 03:30</t>
  </si>
  <si>
    <t>17/06/2025 03:45</t>
  </si>
  <si>
    <t>17/06/2025 04:00</t>
  </si>
  <si>
    <t>17/06/2025 04:15</t>
  </si>
  <si>
    <t>17/06/2025 04:30</t>
  </si>
  <si>
    <t>17/06/2025 04:45</t>
  </si>
  <si>
    <t>17/06/2025 05:00</t>
  </si>
  <si>
    <t>17/06/2025 05:15</t>
  </si>
  <si>
    <t>17/06/2025 05:30</t>
  </si>
  <si>
    <t>17/06/2025 05:45</t>
  </si>
  <si>
    <t>17/06/2025 06:00</t>
  </si>
  <si>
    <t>17/06/2025 06:15</t>
  </si>
  <si>
    <t>17/06/2025 06:30</t>
  </si>
  <si>
    <t>17/06/2025 06:45</t>
  </si>
  <si>
    <t>17/06/2025 07:00</t>
  </si>
  <si>
    <t>17/06/2025 07:15</t>
  </si>
  <si>
    <t>17/06/2025 07:30</t>
  </si>
  <si>
    <t>17/06/2025 07:45</t>
  </si>
  <si>
    <t>17/06/2025 08:00</t>
  </si>
  <si>
    <t>17/06/2025 08:15</t>
  </si>
  <si>
    <t>17/06/2025 08:30</t>
  </si>
  <si>
    <t>17/06/2025 08:45</t>
  </si>
  <si>
    <t>17/06/2025 09:00</t>
  </si>
  <si>
    <t>17/06/2025 09:15</t>
  </si>
  <si>
    <t>17/06/2025 09:30</t>
  </si>
  <si>
    <t>17/06/2025 09:45</t>
  </si>
  <si>
    <t>17/06/2025 10:00</t>
  </si>
  <si>
    <t>17/06/2025 10:15</t>
  </si>
  <si>
    <t>17/06/2025 10:30</t>
  </si>
  <si>
    <t>17/06/2025 10:45</t>
  </si>
  <si>
    <t>17/06/2025 11:00</t>
  </si>
  <si>
    <t>17/06/2025 11:15</t>
  </si>
  <si>
    <t>17/06/2025 11:30</t>
  </si>
  <si>
    <t>17/06/2025 11:45</t>
  </si>
  <si>
    <t>17/06/2025 12:00</t>
  </si>
  <si>
    <t>17/06/2025 12:15</t>
  </si>
  <si>
    <t>17/06/2025 12:30</t>
  </si>
  <si>
    <t>17/06/2025 12:45</t>
  </si>
  <si>
    <t>17/06/2025 13:00</t>
  </si>
  <si>
    <t>17/06/2025 13:15</t>
  </si>
  <si>
    <t>17/06/2025 13:30</t>
  </si>
  <si>
    <t>17/06/2025 13:45</t>
  </si>
  <si>
    <t>17/06/2025 14:00</t>
  </si>
  <si>
    <t>17/06/2025 14:15</t>
  </si>
  <si>
    <t>17/06/2025 14:30</t>
  </si>
  <si>
    <t>17/06/2025 14:45</t>
  </si>
  <si>
    <t>17/06/2025 15:00</t>
  </si>
  <si>
    <t>17/06/2025 15:15</t>
  </si>
  <si>
    <t>17/06/2025 15:30</t>
  </si>
  <si>
    <t>17/06/2025 15:45</t>
  </si>
  <si>
    <t>17/06/2025 16:00</t>
  </si>
  <si>
    <t>17/06/2025 16:15</t>
  </si>
  <si>
    <t>17/06/2025 16:30</t>
  </si>
  <si>
    <t>17/06/2025 16:45</t>
  </si>
  <si>
    <t>17/06/2025 17:00</t>
  </si>
  <si>
    <t>17/06/2025 17:15</t>
  </si>
  <si>
    <t>17/06/2025 17:30</t>
  </si>
  <si>
    <t>17/06/2025 17:45</t>
  </si>
  <si>
    <t>17/06/2025 18:00</t>
  </si>
  <si>
    <t>17/06/2025 18:15</t>
  </si>
  <si>
    <t>17/06/2025 18:30</t>
  </si>
  <si>
    <t>17/06/2025 18:45</t>
  </si>
  <si>
    <t>17/06/2025 19:00</t>
  </si>
  <si>
    <t>17/06/2025 19:15</t>
  </si>
  <si>
    <t>17/06/2025 19:30</t>
  </si>
  <si>
    <t>17/06/2025 19:45</t>
  </si>
  <si>
    <t>17/06/2025 20:00</t>
  </si>
  <si>
    <t>17/06/2025 20:15</t>
  </si>
  <si>
    <t>17/06/2025 20:30</t>
  </si>
  <si>
    <t>17/06/2025 20:45</t>
  </si>
  <si>
    <t>17/06/2025 21:00</t>
  </si>
  <si>
    <t>17/06/2025 21:15</t>
  </si>
  <si>
    <t>17/06/2025 21:30</t>
  </si>
  <si>
    <t>17/06/2025 21:45</t>
  </si>
  <si>
    <t>17/06/2025 22:00</t>
  </si>
  <si>
    <t>17/06/2025 22:15</t>
  </si>
  <si>
    <t>17/06/2025 22:30</t>
  </si>
  <si>
    <t>17/06/2025 22:45</t>
  </si>
  <si>
    <t>17/06/2025 23:00</t>
  </si>
  <si>
    <t>17/06/2025 23:15</t>
  </si>
  <si>
    <t>17/06/2025 23:30</t>
  </si>
  <si>
    <t>17/06/2025 23:45</t>
  </si>
  <si>
    <t>17/06/2025 24:00</t>
  </si>
  <si>
    <t>18/06/2025 00:15</t>
  </si>
  <si>
    <t>18/06/2025 00:30</t>
  </si>
  <si>
    <t>18/06/2025 00:45</t>
  </si>
  <si>
    <t>18/06/2025 01:00</t>
  </si>
  <si>
    <t>18/06/2025 01:15</t>
  </si>
  <si>
    <t>18/06/2025 01:30</t>
  </si>
  <si>
    <t>18/06/2025 01:45</t>
  </si>
  <si>
    <t>18/06/2025 02:00</t>
  </si>
  <si>
    <t>18/06/2025 02:15</t>
  </si>
  <si>
    <t>18/06/2025 02:30</t>
  </si>
  <si>
    <t>18/06/2025 02:45</t>
  </si>
  <si>
    <t>18/06/2025 03:00</t>
  </si>
  <si>
    <t>18/06/2025 03:15</t>
  </si>
  <si>
    <t>18/06/2025 03:30</t>
  </si>
  <si>
    <t>18/06/2025 03:45</t>
  </si>
  <si>
    <t>18/06/2025 04:00</t>
  </si>
  <si>
    <t>18/06/2025 04:15</t>
  </si>
  <si>
    <t>18/06/2025 04:30</t>
  </si>
  <si>
    <t>18/06/2025 04:45</t>
  </si>
  <si>
    <t>18/06/2025 05:00</t>
  </si>
  <si>
    <t>18/06/2025 05:15</t>
  </si>
  <si>
    <t>18/06/2025 05:30</t>
  </si>
  <si>
    <t>18/06/2025 05:45</t>
  </si>
  <si>
    <t>18/06/2025 06:00</t>
  </si>
  <si>
    <t>18/06/2025 06:15</t>
  </si>
  <si>
    <t>18/06/2025 06:30</t>
  </si>
  <si>
    <t>18/06/2025 06:45</t>
  </si>
  <si>
    <t>18/06/2025 07:00</t>
  </si>
  <si>
    <t>18/06/2025 07:15</t>
  </si>
  <si>
    <t>18/06/2025 07:30</t>
  </si>
  <si>
    <t>18/06/2025 07:45</t>
  </si>
  <si>
    <t>18/06/2025 08:00</t>
  </si>
  <si>
    <t>18/06/2025 08:15</t>
  </si>
  <si>
    <t>18/06/2025 08:30</t>
  </si>
  <si>
    <t>18/06/2025 08:45</t>
  </si>
  <si>
    <t>18/06/2025 09:00</t>
  </si>
  <si>
    <t>18/06/2025 09:15</t>
  </si>
  <si>
    <t>18/06/2025 09:30</t>
  </si>
  <si>
    <t>18/06/2025 09:45</t>
  </si>
  <si>
    <t>18/06/2025 10:00</t>
  </si>
  <si>
    <t>18/06/2025 10:15</t>
  </si>
  <si>
    <t>18/06/2025 10:30</t>
  </si>
  <si>
    <t>18/06/2025 10:45</t>
  </si>
  <si>
    <t>18/06/2025 11:00</t>
  </si>
  <si>
    <t>18/06/2025 11:15</t>
  </si>
  <si>
    <t>18/06/2025 11:30</t>
  </si>
  <si>
    <t>18/06/2025 11:45</t>
  </si>
  <si>
    <t>18/06/2025 12:00</t>
  </si>
  <si>
    <t>18/06/2025 12:15</t>
  </si>
  <si>
    <t>18/06/2025 12:30</t>
  </si>
  <si>
    <t>18/06/2025 12:45</t>
  </si>
  <si>
    <t>18/06/2025 13:00</t>
  </si>
  <si>
    <t>18/06/2025 13:15</t>
  </si>
  <si>
    <t>18/06/2025 13:30</t>
  </si>
  <si>
    <t>18/06/2025 13:45</t>
  </si>
  <si>
    <t>18/06/2025 14:00</t>
  </si>
  <si>
    <t>18/06/2025 14:15</t>
  </si>
  <si>
    <t>18/06/2025 14:30</t>
  </si>
  <si>
    <t>18/06/2025 14:45</t>
  </si>
  <si>
    <t>18/06/2025 15:00</t>
  </si>
  <si>
    <t>18/06/2025 15:15</t>
  </si>
  <si>
    <t>18/06/2025 15:30</t>
  </si>
  <si>
    <t>18/06/2025 15:45</t>
  </si>
  <si>
    <t>18/06/2025 16:00</t>
  </si>
  <si>
    <t>18/06/2025 16:15</t>
  </si>
  <si>
    <t>18/06/2025 16:30</t>
  </si>
  <si>
    <t>18/06/2025 16:45</t>
  </si>
  <si>
    <t>18/06/2025 17:00</t>
  </si>
  <si>
    <t>18/06/2025 17:15</t>
  </si>
  <si>
    <t>18/06/2025 17:30</t>
  </si>
  <si>
    <t>18/06/2025 17:45</t>
  </si>
  <si>
    <t>18/06/2025 18:00</t>
  </si>
  <si>
    <t>18/06/2025 18:15</t>
  </si>
  <si>
    <t>18/06/2025 18:30</t>
  </si>
  <si>
    <t>18/06/2025 18:45</t>
  </si>
  <si>
    <t>18/06/2025 19:00</t>
  </si>
  <si>
    <t>18/06/2025 19:15</t>
  </si>
  <si>
    <t>18/06/2025 19:30</t>
  </si>
  <si>
    <t>18/06/2025 19:45</t>
  </si>
  <si>
    <t>18/06/2025 20:00</t>
  </si>
  <si>
    <t>18/06/2025 20:15</t>
  </si>
  <si>
    <t>18/06/2025 20:30</t>
  </si>
  <si>
    <t>18/06/2025 20:45</t>
  </si>
  <si>
    <t>18/06/2025 21:00</t>
  </si>
  <si>
    <t>18/06/2025 21:15</t>
  </si>
  <si>
    <t>18/06/2025 21:30</t>
  </si>
  <si>
    <t>18/06/2025 21:45</t>
  </si>
  <si>
    <t>18/06/2025 22:00</t>
  </si>
  <si>
    <t>18/06/2025 22:15</t>
  </si>
  <si>
    <t>18/06/2025 22:30</t>
  </si>
  <si>
    <t>18/06/2025 22:45</t>
  </si>
  <si>
    <t>18/06/2025 23:00</t>
  </si>
  <si>
    <t>18/06/2025 23:15</t>
  </si>
  <si>
    <t>18/06/2025 23:30</t>
  </si>
  <si>
    <t>18/06/2025 23:45</t>
  </si>
  <si>
    <t>18/06/2025 24:00</t>
  </si>
  <si>
    <t>19/06/2025 00:15</t>
  </si>
  <si>
    <t>19/06/2025 00:30</t>
  </si>
  <si>
    <t>19/06/2025 00:45</t>
  </si>
  <si>
    <t>19/06/2025 01:00</t>
  </si>
  <si>
    <t>19/06/2025 01:15</t>
  </si>
  <si>
    <t>19/06/2025 01:30</t>
  </si>
  <si>
    <t>19/06/2025 01:45</t>
  </si>
  <si>
    <t>19/06/2025 02:00</t>
  </si>
  <si>
    <t>19/06/2025 02:15</t>
  </si>
  <si>
    <t>19/06/2025 02:30</t>
  </si>
  <si>
    <t>19/06/2025 02:45</t>
  </si>
  <si>
    <t>19/06/2025 03:00</t>
  </si>
  <si>
    <t>19/06/2025 03:15</t>
  </si>
  <si>
    <t>19/06/2025 03:30</t>
  </si>
  <si>
    <t>19/06/2025 03:45</t>
  </si>
  <si>
    <t>19/06/2025 04:00</t>
  </si>
  <si>
    <t>19/06/2025 04:15</t>
  </si>
  <si>
    <t>19/06/2025 04:30</t>
  </si>
  <si>
    <t>19/06/2025 04:45</t>
  </si>
  <si>
    <t>19/06/2025 05:00</t>
  </si>
  <si>
    <t>19/06/2025 05:15</t>
  </si>
  <si>
    <t>19/06/2025 05:30</t>
  </si>
  <si>
    <t>19/06/2025 05:45</t>
  </si>
  <si>
    <t>19/06/2025 06:00</t>
  </si>
  <si>
    <t>19/06/2025 06:15</t>
  </si>
  <si>
    <t>19/06/2025 06:30</t>
  </si>
  <si>
    <t>19/06/2025 06:45</t>
  </si>
  <si>
    <t>19/06/2025 07:00</t>
  </si>
  <si>
    <t>19/06/2025 07:15</t>
  </si>
  <si>
    <t>19/06/2025 07:30</t>
  </si>
  <si>
    <t>19/06/2025 07:45</t>
  </si>
  <si>
    <t>19/06/2025 08:00</t>
  </si>
  <si>
    <t>19/06/2025 08:15</t>
  </si>
  <si>
    <t>19/06/2025 08:30</t>
  </si>
  <si>
    <t>19/06/2025 08:45</t>
  </si>
  <si>
    <t>19/06/2025 09:00</t>
  </si>
  <si>
    <t>19/06/2025 09:15</t>
  </si>
  <si>
    <t>19/06/2025 09:30</t>
  </si>
  <si>
    <t>19/06/2025 09:45</t>
  </si>
  <si>
    <t>19/06/2025 10:00</t>
  </si>
  <si>
    <t>19/06/2025 10:15</t>
  </si>
  <si>
    <t>19/06/2025 10:30</t>
  </si>
  <si>
    <t>19/06/2025 10:45</t>
  </si>
  <si>
    <t>19/06/2025 11:00</t>
  </si>
  <si>
    <t>19/06/2025 11:15</t>
  </si>
  <si>
    <t>19/06/2025 11:30</t>
  </si>
  <si>
    <t>19/06/2025 11:45</t>
  </si>
  <si>
    <t>19/06/2025 12:00</t>
  </si>
  <si>
    <t>19/06/2025 12:15</t>
  </si>
  <si>
    <t>19/06/2025 12:30</t>
  </si>
  <si>
    <t>19/06/2025 12:45</t>
  </si>
  <si>
    <t>19/06/2025 13:00</t>
  </si>
  <si>
    <t>19/06/2025 13:15</t>
  </si>
  <si>
    <t>19/06/2025 13:30</t>
  </si>
  <si>
    <t>19/06/2025 13:45</t>
  </si>
  <si>
    <t>19/06/2025 14:00</t>
  </si>
  <si>
    <t>19/06/2025 14:15</t>
  </si>
  <si>
    <t>19/06/2025 14:30</t>
  </si>
  <si>
    <t>19/06/2025 14:45</t>
  </si>
  <si>
    <t>19/06/2025 15:00</t>
  </si>
  <si>
    <t>19/06/2025 15:15</t>
  </si>
  <si>
    <t>19/06/2025 15:30</t>
  </si>
  <si>
    <t>19/06/2025 15:45</t>
  </si>
  <si>
    <t>19/06/2025 16:00</t>
  </si>
  <si>
    <t>19/06/2025 16:15</t>
  </si>
  <si>
    <t>19/06/2025 16:30</t>
  </si>
  <si>
    <t>19/06/2025 16:45</t>
  </si>
  <si>
    <t>19/06/2025 17:00</t>
  </si>
  <si>
    <t>19/06/2025 17:15</t>
  </si>
  <si>
    <t>19/06/2025 17:30</t>
  </si>
  <si>
    <t>19/06/2025 17:45</t>
  </si>
  <si>
    <t>19/06/2025 18:00</t>
  </si>
  <si>
    <t>19/06/2025 18:15</t>
  </si>
  <si>
    <t>19/06/2025 18:30</t>
  </si>
  <si>
    <t>19/06/2025 18:45</t>
  </si>
  <si>
    <t>19/06/2025 19:00</t>
  </si>
  <si>
    <t>19/06/2025 19:15</t>
  </si>
  <si>
    <t>19/06/2025 19:30</t>
  </si>
  <si>
    <t>19/06/2025 19:45</t>
  </si>
  <si>
    <t>19/06/2025 20:00</t>
  </si>
  <si>
    <t>19/06/2025 20:15</t>
  </si>
  <si>
    <t>19/06/2025 20:30</t>
  </si>
  <si>
    <t>19/06/2025 20:45</t>
  </si>
  <si>
    <t>19/06/2025 21:00</t>
  </si>
  <si>
    <t>19/06/2025 21:15</t>
  </si>
  <si>
    <t>19/06/2025 21:30</t>
  </si>
  <si>
    <t>19/06/2025 21:45</t>
  </si>
  <si>
    <t>19/06/2025 22:00</t>
  </si>
  <si>
    <t>19/06/2025 22:15</t>
  </si>
  <si>
    <t>19/06/2025 22:30</t>
  </si>
  <si>
    <t>19/06/2025 22:45</t>
  </si>
  <si>
    <t>19/06/2025 23:00</t>
  </si>
  <si>
    <t>19/06/2025 23:15</t>
  </si>
  <si>
    <t>19/06/2025 23:30</t>
  </si>
  <si>
    <t>19/06/2025 23:45</t>
  </si>
  <si>
    <t>19/06/2025 24:00</t>
  </si>
  <si>
    <t>20/06/2025 00:15</t>
  </si>
  <si>
    <t>20/06/2025 00:30</t>
  </si>
  <si>
    <t>20/06/2025 00:45</t>
  </si>
  <si>
    <t>20/06/2025 01:00</t>
  </si>
  <si>
    <t>20/06/2025 01:15</t>
  </si>
  <si>
    <t>20/06/2025 01:30</t>
  </si>
  <si>
    <t>20/06/2025 01:45</t>
  </si>
  <si>
    <t>20/06/2025 02:00</t>
  </si>
  <si>
    <t>20/06/2025 02:15</t>
  </si>
  <si>
    <t>20/06/2025 02:30</t>
  </si>
  <si>
    <t>20/06/2025 02:45</t>
  </si>
  <si>
    <t>20/06/2025 03:00</t>
  </si>
  <si>
    <t>20/06/2025 03:15</t>
  </si>
  <si>
    <t>20/06/2025 03:30</t>
  </si>
  <si>
    <t>20/06/2025 03:45</t>
  </si>
  <si>
    <t>20/06/2025 04:00</t>
  </si>
  <si>
    <t>20/06/2025 04:15</t>
  </si>
  <si>
    <t>20/06/2025 04:30</t>
  </si>
  <si>
    <t>20/06/2025 04:45</t>
  </si>
  <si>
    <t>20/06/2025 05:00</t>
  </si>
  <si>
    <t>20/06/2025 05:15</t>
  </si>
  <si>
    <t>20/06/2025 05:30</t>
  </si>
  <si>
    <t>20/06/2025 05:45</t>
  </si>
  <si>
    <t>20/06/2025 06:00</t>
  </si>
  <si>
    <t>20/06/2025 06:15</t>
  </si>
  <si>
    <t>20/06/2025 06:30</t>
  </si>
  <si>
    <t>20/06/2025 06:45</t>
  </si>
  <si>
    <t>20/06/2025 07:00</t>
  </si>
  <si>
    <t>20/06/2025 07:15</t>
  </si>
  <si>
    <t>20/06/2025 07:30</t>
  </si>
  <si>
    <t>20/06/2025 07:45</t>
  </si>
  <si>
    <t>20/06/2025 08:00</t>
  </si>
  <si>
    <t>20/06/2025 08:15</t>
  </si>
  <si>
    <t>20/06/2025 08:30</t>
  </si>
  <si>
    <t>20/06/2025 08:45</t>
  </si>
  <si>
    <t>20/06/2025 09:00</t>
  </si>
  <si>
    <t>20/06/2025 09:15</t>
  </si>
  <si>
    <t>20/06/2025 09:30</t>
  </si>
  <si>
    <t>20/06/2025 09:45</t>
  </si>
  <si>
    <t>20/06/2025 10:00</t>
  </si>
  <si>
    <t>20/06/2025 10:15</t>
  </si>
  <si>
    <t>20/06/2025 10:30</t>
  </si>
  <si>
    <t>20/06/2025 10:45</t>
  </si>
  <si>
    <t>20/06/2025 11:00</t>
  </si>
  <si>
    <t>20/06/2025 11:15</t>
  </si>
  <si>
    <t>20/06/2025 11:30</t>
  </si>
  <si>
    <t>20/06/2025 11:45</t>
  </si>
  <si>
    <t>20/06/2025 12:00</t>
  </si>
  <si>
    <t>20/06/2025 12:15</t>
  </si>
  <si>
    <t>20/06/2025 12:30</t>
  </si>
  <si>
    <t>20/06/2025 12:45</t>
  </si>
  <si>
    <t>20/06/2025 13:00</t>
  </si>
  <si>
    <t>20/06/2025 13:15</t>
  </si>
  <si>
    <t>20/06/2025 13:30</t>
  </si>
  <si>
    <t>20/06/2025 13:45</t>
  </si>
  <si>
    <t>20/06/2025 14:00</t>
  </si>
  <si>
    <t>20/06/2025 14:15</t>
  </si>
  <si>
    <t>20/06/2025 14:30</t>
  </si>
  <si>
    <t>20/06/2025 14:45</t>
  </si>
  <si>
    <t>20/06/2025 15:00</t>
  </si>
  <si>
    <t>20/06/2025 15:15</t>
  </si>
  <si>
    <t>20/06/2025 15:30</t>
  </si>
  <si>
    <t>20/06/2025 15:45</t>
  </si>
  <si>
    <t>20/06/2025 16:00</t>
  </si>
  <si>
    <t>20/06/2025 16:15</t>
  </si>
  <si>
    <t>20/06/2025 16:30</t>
  </si>
  <si>
    <t>20/06/2025 16:45</t>
  </si>
  <si>
    <t>20/06/2025 17:00</t>
  </si>
  <si>
    <t>20/06/2025 17:15</t>
  </si>
  <si>
    <t>20/06/2025 17:30</t>
  </si>
  <si>
    <t>20/06/2025 17:45</t>
  </si>
  <si>
    <t>20/06/2025 18:00</t>
  </si>
  <si>
    <t>20/06/2025 18:15</t>
  </si>
  <si>
    <t>20/06/2025 18:30</t>
  </si>
  <si>
    <t>20/06/2025 18:45</t>
  </si>
  <si>
    <t>20/06/2025 19:00</t>
  </si>
  <si>
    <t>20/06/2025 19:15</t>
  </si>
  <si>
    <t>20/06/2025 19:30</t>
  </si>
  <si>
    <t>20/06/2025 19:45</t>
  </si>
  <si>
    <t>20/06/2025 20:00</t>
  </si>
  <si>
    <t>20/06/2025 20:15</t>
  </si>
  <si>
    <t>20/06/2025 20:30</t>
  </si>
  <si>
    <t>20/06/2025 20:45</t>
  </si>
  <si>
    <t>20/06/2025 21:00</t>
  </si>
  <si>
    <t>20/06/2025 21:15</t>
  </si>
  <si>
    <t>20/06/2025 21:30</t>
  </si>
  <si>
    <t>20/06/2025 21:45</t>
  </si>
  <si>
    <t>20/06/2025 22:00</t>
  </si>
  <si>
    <t>20/06/2025 22:15</t>
  </si>
  <si>
    <t>20/06/2025 22:30</t>
  </si>
  <si>
    <t>20/06/2025 22:45</t>
  </si>
  <si>
    <t>20/06/2025 23:00</t>
  </si>
  <si>
    <t>20/06/2025 23:15</t>
  </si>
  <si>
    <t>20/06/2025 23:30</t>
  </si>
  <si>
    <t>20/06/2025 23:45</t>
  </si>
  <si>
    <t>20/06/2025 24:00</t>
  </si>
  <si>
    <t>21/06/2025 00:15</t>
  </si>
  <si>
    <t>21/06/2025 00:30</t>
  </si>
  <si>
    <t>21/06/2025 00:45</t>
  </si>
  <si>
    <t>21/06/2025 01:00</t>
  </si>
  <si>
    <t>21/06/2025 01:15</t>
  </si>
  <si>
    <t>21/06/2025 01:30</t>
  </si>
  <si>
    <t>21/06/2025 01:45</t>
  </si>
  <si>
    <t>21/06/2025 02:00</t>
  </si>
  <si>
    <t>21/06/2025 02:15</t>
  </si>
  <si>
    <t>21/06/2025 02:30</t>
  </si>
  <si>
    <t>21/06/2025 02:45</t>
  </si>
  <si>
    <t>21/06/2025 03:00</t>
  </si>
  <si>
    <t>21/06/2025 03:15</t>
  </si>
  <si>
    <t>21/06/2025 03:30</t>
  </si>
  <si>
    <t>21/06/2025 03:45</t>
  </si>
  <si>
    <t>21/06/2025 04:00</t>
  </si>
  <si>
    <t>21/06/2025 04:15</t>
  </si>
  <si>
    <t>21/06/2025 04:30</t>
  </si>
  <si>
    <t>21/06/2025 04:45</t>
  </si>
  <si>
    <t>21/06/2025 05:00</t>
  </si>
  <si>
    <t>21/06/2025 05:15</t>
  </si>
  <si>
    <t>21/06/2025 05:30</t>
  </si>
  <si>
    <t>21/06/2025 05:45</t>
  </si>
  <si>
    <t>21/06/2025 06:00</t>
  </si>
  <si>
    <t>21/06/2025 06:15</t>
  </si>
  <si>
    <t>21/06/2025 06:30</t>
  </si>
  <si>
    <t>21/06/2025 06:45</t>
  </si>
  <si>
    <t>21/06/2025 07:00</t>
  </si>
  <si>
    <t>21/06/2025 07:15</t>
  </si>
  <si>
    <t>21/06/2025 07:30</t>
  </si>
  <si>
    <t>21/06/2025 07:45</t>
  </si>
  <si>
    <t>21/06/2025 08:00</t>
  </si>
  <si>
    <t>21/06/2025 08:15</t>
  </si>
  <si>
    <t>21/06/2025 08:30</t>
  </si>
  <si>
    <t>21/06/2025 08:45</t>
  </si>
  <si>
    <t>21/06/2025 09:00</t>
  </si>
  <si>
    <t>21/06/2025 09:15</t>
  </si>
  <si>
    <t>21/06/2025 09:30</t>
  </si>
  <si>
    <t>21/06/2025 09:45</t>
  </si>
  <si>
    <t>21/06/2025 10:00</t>
  </si>
  <si>
    <t>21/06/2025 10:15</t>
  </si>
  <si>
    <t>21/06/2025 10:30</t>
  </si>
  <si>
    <t>21/06/2025 10:45</t>
  </si>
  <si>
    <t>21/06/2025 11:00</t>
  </si>
  <si>
    <t>21/06/2025 11:15</t>
  </si>
  <si>
    <t>21/06/2025 11:30</t>
  </si>
  <si>
    <t>21/06/2025 11:45</t>
  </si>
  <si>
    <t>21/06/2025 12:00</t>
  </si>
  <si>
    <t>21/06/2025 12:15</t>
  </si>
  <si>
    <t>21/06/2025 12:30</t>
  </si>
  <si>
    <t>21/06/2025 12:45</t>
  </si>
  <si>
    <t>21/06/2025 13:00</t>
  </si>
  <si>
    <t>21/06/2025 13:15</t>
  </si>
  <si>
    <t>21/06/2025 13:30</t>
  </si>
  <si>
    <t>21/06/2025 13:45</t>
  </si>
  <si>
    <t>21/06/2025 14:00</t>
  </si>
  <si>
    <t>21/06/2025 14:15</t>
  </si>
  <si>
    <t>21/06/2025 14:30</t>
  </si>
  <si>
    <t>21/06/2025 14:45</t>
  </si>
  <si>
    <t>21/06/2025 15:00</t>
  </si>
  <si>
    <t>21/06/2025 15:15</t>
  </si>
  <si>
    <t>21/06/2025 15:30</t>
  </si>
  <si>
    <t>21/06/2025 15:45</t>
  </si>
  <si>
    <t>21/06/2025 16:00</t>
  </si>
  <si>
    <t>21/06/2025 16:15</t>
  </si>
  <si>
    <t>21/06/2025 16:30</t>
  </si>
  <si>
    <t>21/06/2025 16:45</t>
  </si>
  <si>
    <t>21/06/2025 17:00</t>
  </si>
  <si>
    <t>21/06/2025 17:15</t>
  </si>
  <si>
    <t>21/06/2025 17:30</t>
  </si>
  <si>
    <t>21/06/2025 17:45</t>
  </si>
  <si>
    <t>21/06/2025 18:00</t>
  </si>
  <si>
    <t>21/06/2025 18:15</t>
  </si>
  <si>
    <t>21/06/2025 18:30</t>
  </si>
  <si>
    <t>21/06/2025 18:45</t>
  </si>
  <si>
    <t>21/06/2025 19:00</t>
  </si>
  <si>
    <t>21/06/2025 19:15</t>
  </si>
  <si>
    <t>21/06/2025 19:30</t>
  </si>
  <si>
    <t>21/06/2025 19:45</t>
  </si>
  <si>
    <t>21/06/2025 20:00</t>
  </si>
  <si>
    <t>21/06/2025 20:15</t>
  </si>
  <si>
    <t>21/06/2025 20:30</t>
  </si>
  <si>
    <t>21/06/2025 20:45</t>
  </si>
  <si>
    <t>21/06/2025 21:00</t>
  </si>
  <si>
    <t>21/06/2025 21:15</t>
  </si>
  <si>
    <t>21/06/2025 21:30</t>
  </si>
  <si>
    <t>21/06/2025 21:45</t>
  </si>
  <si>
    <t>21/06/2025 22:00</t>
  </si>
  <si>
    <t>21/06/2025 22:15</t>
  </si>
  <si>
    <t>21/06/2025 22:30</t>
  </si>
  <si>
    <t>21/06/2025 22:45</t>
  </si>
  <si>
    <t>21/06/2025 23:00</t>
  </si>
  <si>
    <t>21/06/2025 23:15</t>
  </si>
  <si>
    <t>21/06/2025 23:30</t>
  </si>
  <si>
    <t>21/06/2025 23:45</t>
  </si>
  <si>
    <t>21/06/2025 24:00</t>
  </si>
  <si>
    <t>22/06/2025 00:15</t>
  </si>
  <si>
    <t>22/06/2025 00:30</t>
  </si>
  <si>
    <t>22/06/2025 00:45</t>
  </si>
  <si>
    <t>22/06/2025 01:00</t>
  </si>
  <si>
    <t>22/06/2025 01:15</t>
  </si>
  <si>
    <t>22/06/2025 01:30</t>
  </si>
  <si>
    <t>22/06/2025 01:45</t>
  </si>
  <si>
    <t>22/06/2025 02:00</t>
  </si>
  <si>
    <t>22/06/2025 02:15</t>
  </si>
  <si>
    <t>22/06/2025 02:30</t>
  </si>
  <si>
    <t>22/06/2025 02:45</t>
  </si>
  <si>
    <t>22/06/2025 03:00</t>
  </si>
  <si>
    <t>22/06/2025 03:15</t>
  </si>
  <si>
    <t>22/06/2025 03:30</t>
  </si>
  <si>
    <t>22/06/2025 03:45</t>
  </si>
  <si>
    <t>22/06/2025 04:00</t>
  </si>
  <si>
    <t>22/06/2025 04:15</t>
  </si>
  <si>
    <t>22/06/2025 04:30</t>
  </si>
  <si>
    <t>22/06/2025 04:45</t>
  </si>
  <si>
    <t>22/06/2025 05:00</t>
  </si>
  <si>
    <t>22/06/2025 05:15</t>
  </si>
  <si>
    <t>22/06/2025 05:30</t>
  </si>
  <si>
    <t>22/06/2025 05:45</t>
  </si>
  <si>
    <t>22/06/2025 06:00</t>
  </si>
  <si>
    <t>22/06/2025 06:15</t>
  </si>
  <si>
    <t>22/06/2025 06:30</t>
  </si>
  <si>
    <t>22/06/2025 06:45</t>
  </si>
  <si>
    <t>22/06/2025 07:00</t>
  </si>
  <si>
    <t>22/06/2025 07:15</t>
  </si>
  <si>
    <t>22/06/2025 07:30</t>
  </si>
  <si>
    <t>22/06/2025 07:45</t>
  </si>
  <si>
    <t>22/06/2025 08:00</t>
  </si>
  <si>
    <t>22/06/2025 08:15</t>
  </si>
  <si>
    <t>22/06/2025 08:30</t>
  </si>
  <si>
    <t>22/06/2025 08:45</t>
  </si>
  <si>
    <t>22/06/2025 09:00</t>
  </si>
  <si>
    <t>22/06/2025 09:15</t>
  </si>
  <si>
    <t>22/06/2025 09:30</t>
  </si>
  <si>
    <t>22/06/2025 09:45</t>
  </si>
  <si>
    <t>22/06/2025 10:00</t>
  </si>
  <si>
    <t>22/06/2025 10:15</t>
  </si>
  <si>
    <t>22/06/2025 10:30</t>
  </si>
  <si>
    <t>22/06/2025 10:45</t>
  </si>
  <si>
    <t>22/06/2025 11:00</t>
  </si>
  <si>
    <t>22/06/2025 11:15</t>
  </si>
  <si>
    <t>22/06/2025 11:30</t>
  </si>
  <si>
    <t>22/06/2025 11:45</t>
  </si>
  <si>
    <t>22/06/2025 12:00</t>
  </si>
  <si>
    <t>22/06/2025 12:15</t>
  </si>
  <si>
    <t>22/06/2025 12:30</t>
  </si>
  <si>
    <t>22/06/2025 12:45</t>
  </si>
  <si>
    <t>22/06/2025 13:00</t>
  </si>
  <si>
    <t>22/06/2025 13:15</t>
  </si>
  <si>
    <t>22/06/2025 13:30</t>
  </si>
  <si>
    <t>22/06/2025 13:45</t>
  </si>
  <si>
    <t>22/06/2025 14:00</t>
  </si>
  <si>
    <t>22/06/2025 14:15</t>
  </si>
  <si>
    <t>22/06/2025 14:30</t>
  </si>
  <si>
    <t>22/06/2025 14:45</t>
  </si>
  <si>
    <t>22/06/2025 15:00</t>
  </si>
  <si>
    <t>22/06/2025 15:15</t>
  </si>
  <si>
    <t>22/06/2025 15:30</t>
  </si>
  <si>
    <t>22/06/2025 15:45</t>
  </si>
  <si>
    <t>22/06/2025 16:00</t>
  </si>
  <si>
    <t>22/06/2025 16:15</t>
  </si>
  <si>
    <t>22/06/2025 16:30</t>
  </si>
  <si>
    <t>22/06/2025 16:45</t>
  </si>
  <si>
    <t>22/06/2025 17:00</t>
  </si>
  <si>
    <t>22/06/2025 17:15</t>
  </si>
  <si>
    <t>22/06/2025 17:30</t>
  </si>
  <si>
    <t>22/06/2025 17:45</t>
  </si>
  <si>
    <t>22/06/2025 18:00</t>
  </si>
  <si>
    <t>22/06/2025 18:15</t>
  </si>
  <si>
    <t>22/06/2025 18:30</t>
  </si>
  <si>
    <t>22/06/2025 18:45</t>
  </si>
  <si>
    <t>22/06/2025 19:00</t>
  </si>
  <si>
    <t>22/06/2025 19:15</t>
  </si>
  <si>
    <t>22/06/2025 19:30</t>
  </si>
  <si>
    <t>22/06/2025 19:45</t>
  </si>
  <si>
    <t>22/06/2025 20:00</t>
  </si>
  <si>
    <t>22/06/2025 20:15</t>
  </si>
  <si>
    <t>22/06/2025 20:30</t>
  </si>
  <si>
    <t>22/06/2025 20:45</t>
  </si>
  <si>
    <t>22/06/2025 21:00</t>
  </si>
  <si>
    <t>22/06/2025 21:15</t>
  </si>
  <si>
    <t>22/06/2025 21:30</t>
  </si>
  <si>
    <t>22/06/2025 21:45</t>
  </si>
  <si>
    <t>22/06/2025 22:00</t>
  </si>
  <si>
    <t>22/06/2025 22:15</t>
  </si>
  <si>
    <t>22/06/2025 22:30</t>
  </si>
  <si>
    <t>22/06/2025 22:45</t>
  </si>
  <si>
    <t>22/06/2025 23:00</t>
  </si>
  <si>
    <t>22/06/2025 23:15</t>
  </si>
  <si>
    <t>22/06/2025 23:30</t>
  </si>
  <si>
    <t>22/06/2025 23:45</t>
  </si>
  <si>
    <t>22/06/2025 24:00</t>
  </si>
  <si>
    <t>23/06/2025 00:15</t>
  </si>
  <si>
    <t>23/06/2025 00:30</t>
  </si>
  <si>
    <t>23/06/2025 00:45</t>
  </si>
  <si>
    <t>23/06/2025 01:00</t>
  </si>
  <si>
    <t>23/06/2025 01:15</t>
  </si>
  <si>
    <t>23/06/2025 01:30</t>
  </si>
  <si>
    <t>23/06/2025 01:45</t>
  </si>
  <si>
    <t>23/06/2025 02:00</t>
  </si>
  <si>
    <t>23/06/2025 02:15</t>
  </si>
  <si>
    <t>23/06/2025 02:30</t>
  </si>
  <si>
    <t>23/06/2025 02:45</t>
  </si>
  <si>
    <t>23/06/2025 03:00</t>
  </si>
  <si>
    <t>23/06/2025 03:15</t>
  </si>
  <si>
    <t>23/06/2025 03:30</t>
  </si>
  <si>
    <t>23/06/2025 03:45</t>
  </si>
  <si>
    <t>23/06/2025 04:00</t>
  </si>
  <si>
    <t>23/06/2025 04:15</t>
  </si>
  <si>
    <t>23/06/2025 04:30</t>
  </si>
  <si>
    <t>23/06/2025 04:45</t>
  </si>
  <si>
    <t>23/06/2025 05:00</t>
  </si>
  <si>
    <t>23/06/2025 05:15</t>
  </si>
  <si>
    <t>23/06/2025 05:30</t>
  </si>
  <si>
    <t>23/06/2025 05:45</t>
  </si>
  <si>
    <t>23/06/2025 06:00</t>
  </si>
  <si>
    <t>23/06/2025 06:15</t>
  </si>
  <si>
    <t>23/06/2025 06:30</t>
  </si>
  <si>
    <t>23/06/2025 06:45</t>
  </si>
  <si>
    <t>23/06/2025 07:00</t>
  </si>
  <si>
    <t>23/06/2025 07:15</t>
  </si>
  <si>
    <t>23/06/2025 07:30</t>
  </si>
  <si>
    <t>23/06/2025 07:45</t>
  </si>
  <si>
    <t>23/06/2025 08:00</t>
  </si>
  <si>
    <t>23/06/2025 08:15</t>
  </si>
  <si>
    <t>23/06/2025 08:30</t>
  </si>
  <si>
    <t>23/06/2025 08:45</t>
  </si>
  <si>
    <t>23/06/2025 09:00</t>
  </si>
  <si>
    <t>23/06/2025 09:15</t>
  </si>
  <si>
    <t>23/06/2025 09:30</t>
  </si>
  <si>
    <t>23/06/2025 09:45</t>
  </si>
  <si>
    <t>23/06/2025 10:00</t>
  </si>
  <si>
    <t>23/06/2025 10:15</t>
  </si>
  <si>
    <t>23/06/2025 10:30</t>
  </si>
  <si>
    <t>23/06/2025 10:45</t>
  </si>
  <si>
    <t>23/06/2025 11:00</t>
  </si>
  <si>
    <t>23/06/2025 11:15</t>
  </si>
  <si>
    <t>23/06/2025 11:30</t>
  </si>
  <si>
    <t>23/06/2025 11:45</t>
  </si>
  <si>
    <t>23/06/2025 12:00</t>
  </si>
  <si>
    <t>23/06/2025 12:15</t>
  </si>
  <si>
    <t>23/06/2025 12:30</t>
  </si>
  <si>
    <t>23/06/2025 12:45</t>
  </si>
  <si>
    <t>23/06/2025 13:00</t>
  </si>
  <si>
    <t>23/06/2025 13:15</t>
  </si>
  <si>
    <t>23/06/2025 13:30</t>
  </si>
  <si>
    <t>23/06/2025 13:45</t>
  </si>
  <si>
    <t>23/06/2025 14:00</t>
  </si>
  <si>
    <t>23/06/2025 14:15</t>
  </si>
  <si>
    <t>23/06/2025 14:30</t>
  </si>
  <si>
    <t>23/06/2025 14:45</t>
  </si>
  <si>
    <t>23/06/2025 15:00</t>
  </si>
  <si>
    <t>23/06/2025 15:15</t>
  </si>
  <si>
    <t>23/06/2025 15:30</t>
  </si>
  <si>
    <t>23/06/2025 15:45</t>
  </si>
  <si>
    <t>23/06/2025 16:00</t>
  </si>
  <si>
    <t>23/06/2025 16:15</t>
  </si>
  <si>
    <t>23/06/2025 16:30</t>
  </si>
  <si>
    <t>23/06/2025 16:45</t>
  </si>
  <si>
    <t>23/06/2025 17:00</t>
  </si>
  <si>
    <t>23/06/2025 17:15</t>
  </si>
  <si>
    <t>23/06/2025 17:30</t>
  </si>
  <si>
    <t>23/06/2025 17:45</t>
  </si>
  <si>
    <t>23/06/2025 18:00</t>
  </si>
  <si>
    <t>23/06/2025 18:15</t>
  </si>
  <si>
    <t>23/06/2025 18:30</t>
  </si>
  <si>
    <t>23/06/2025 18:45</t>
  </si>
  <si>
    <t>23/06/2025 19:00</t>
  </si>
  <si>
    <t>23/06/2025 19:15</t>
  </si>
  <si>
    <t>23/06/2025 19:30</t>
  </si>
  <si>
    <t>23/06/2025 19:45</t>
  </si>
  <si>
    <t>23/06/2025 20:00</t>
  </si>
  <si>
    <t>23/06/2025 20:15</t>
  </si>
  <si>
    <t>23/06/2025 20:30</t>
  </si>
  <si>
    <t>23/06/2025 20:45</t>
  </si>
  <si>
    <t>23/06/2025 21:00</t>
  </si>
  <si>
    <t>23/06/2025 21:15</t>
  </si>
  <si>
    <t>23/06/2025 21:30</t>
  </si>
  <si>
    <t>23/06/2025 21:45</t>
  </si>
  <si>
    <t>23/06/2025 22:00</t>
  </si>
  <si>
    <t>23/06/2025 22:15</t>
  </si>
  <si>
    <t>23/06/2025 22:30</t>
  </si>
  <si>
    <t>23/06/2025 22:45</t>
  </si>
  <si>
    <t>23/06/2025 23:00</t>
  </si>
  <si>
    <t>23/06/2025 23:15</t>
  </si>
  <si>
    <t>23/06/2025 23:30</t>
  </si>
  <si>
    <t>23/06/2025 23:45</t>
  </si>
  <si>
    <t>23/06/2025 24:00</t>
  </si>
  <si>
    <t>24/06/2025 00:15</t>
  </si>
  <si>
    <t>24/06/2025 00:30</t>
  </si>
  <si>
    <t>24/06/2025 00:45</t>
  </si>
  <si>
    <t>24/06/2025 01:00</t>
  </si>
  <si>
    <t>24/06/2025 01:15</t>
  </si>
  <si>
    <t>24/06/2025 01:30</t>
  </si>
  <si>
    <t>24/06/2025 01:45</t>
  </si>
  <si>
    <t>24/06/2025 02:00</t>
  </si>
  <si>
    <t>24/06/2025 02:15</t>
  </si>
  <si>
    <t>24/06/2025 02:30</t>
  </si>
  <si>
    <t>24/06/2025 02:45</t>
  </si>
  <si>
    <t>24/06/2025 03:00</t>
  </si>
  <si>
    <t>24/06/2025 03:15</t>
  </si>
  <si>
    <t>24/06/2025 03:30</t>
  </si>
  <si>
    <t>24/06/2025 03:45</t>
  </si>
  <si>
    <t>24/06/2025 04:00</t>
  </si>
  <si>
    <t>24/06/2025 04:15</t>
  </si>
  <si>
    <t>24/06/2025 04:30</t>
  </si>
  <si>
    <t>24/06/2025 04:45</t>
  </si>
  <si>
    <t>24/06/2025 05:00</t>
  </si>
  <si>
    <t>24/06/2025 05:15</t>
  </si>
  <si>
    <t>24/06/2025 05:30</t>
  </si>
  <si>
    <t>24/06/2025 05:45</t>
  </si>
  <si>
    <t>24/06/2025 06:00</t>
  </si>
  <si>
    <t>24/06/2025 06:15</t>
  </si>
  <si>
    <t>24/06/2025 06:30</t>
  </si>
  <si>
    <t>24/06/2025 06:45</t>
  </si>
  <si>
    <t>24/06/2025 07:00</t>
  </si>
  <si>
    <t>24/06/2025 07:15</t>
  </si>
  <si>
    <t>24/06/2025 07:30</t>
  </si>
  <si>
    <t>24/06/2025 07:45</t>
  </si>
  <si>
    <t>24/06/2025 08:00</t>
  </si>
  <si>
    <t>24/06/2025 08:15</t>
  </si>
  <si>
    <t>24/06/2025 08:30</t>
  </si>
  <si>
    <t>24/06/2025 08:45</t>
  </si>
  <si>
    <t>24/06/2025 09:00</t>
  </si>
  <si>
    <t>24/06/2025 09:15</t>
  </si>
  <si>
    <t>24/06/2025 09:30</t>
  </si>
  <si>
    <t>24/06/2025 09:45</t>
  </si>
  <si>
    <t>24/06/2025 10:00</t>
  </si>
  <si>
    <t>24/06/2025 10:15</t>
  </si>
  <si>
    <t>24/06/2025 10:30</t>
  </si>
  <si>
    <t>24/06/2025 10:45</t>
  </si>
  <si>
    <t>24/06/2025 11:00</t>
  </si>
  <si>
    <t>24/06/2025 11:15</t>
  </si>
  <si>
    <t>24/06/2025 11:30</t>
  </si>
  <si>
    <t>24/06/2025 11:45</t>
  </si>
  <si>
    <t>24/06/2025 12:00</t>
  </si>
  <si>
    <t>24/06/2025 12:15</t>
  </si>
  <si>
    <t>24/06/2025 12:30</t>
  </si>
  <si>
    <t>24/06/2025 12:45</t>
  </si>
  <si>
    <t>24/06/2025 13:00</t>
  </si>
  <si>
    <t>24/06/2025 13:15</t>
  </si>
  <si>
    <t>24/06/2025 13:30</t>
  </si>
  <si>
    <t>24/06/2025 13:45</t>
  </si>
  <si>
    <t>24/06/2025 14:00</t>
  </si>
  <si>
    <t>24/06/2025 14:15</t>
  </si>
  <si>
    <t>24/06/2025 14:30</t>
  </si>
  <si>
    <t>24/06/2025 14:45</t>
  </si>
  <si>
    <t>24/06/2025 15:00</t>
  </si>
  <si>
    <t>24/06/2025 15:15</t>
  </si>
  <si>
    <t>24/06/2025 15:30</t>
  </si>
  <si>
    <t>24/06/2025 15:45</t>
  </si>
  <si>
    <t>24/06/2025 16:00</t>
  </si>
  <si>
    <t>24/06/2025 16:15</t>
  </si>
  <si>
    <t>24/06/2025 16:30</t>
  </si>
  <si>
    <t>24/06/2025 16:45</t>
  </si>
  <si>
    <t>24/06/2025 17:00</t>
  </si>
  <si>
    <t>24/06/2025 17:15</t>
  </si>
  <si>
    <t>24/06/2025 17:30</t>
  </si>
  <si>
    <t>24/06/2025 17:45</t>
  </si>
  <si>
    <t>24/06/2025 18:00</t>
  </si>
  <si>
    <t>24/06/2025 18:15</t>
  </si>
  <si>
    <t>24/06/2025 18:30</t>
  </si>
  <si>
    <t>24/06/2025 18:45</t>
  </si>
  <si>
    <t>24/06/2025 19:00</t>
  </si>
  <si>
    <t>24/06/2025 19:15</t>
  </si>
  <si>
    <t>24/06/2025 19:30</t>
  </si>
  <si>
    <t>24/06/2025 19:45</t>
  </si>
  <si>
    <t>24/06/2025 20:00</t>
  </si>
  <si>
    <t>24/06/2025 20:15</t>
  </si>
  <si>
    <t>24/06/2025 20:30</t>
  </si>
  <si>
    <t>24/06/2025 20:45</t>
  </si>
  <si>
    <t>24/06/2025 21:00</t>
  </si>
  <si>
    <t>24/06/2025 21:15</t>
  </si>
  <si>
    <t>24/06/2025 21:30</t>
  </si>
  <si>
    <t>24/06/2025 21:45</t>
  </si>
  <si>
    <t>24/06/2025 22:00</t>
  </si>
  <si>
    <t>24/06/2025 22:15</t>
  </si>
  <si>
    <t>24/06/2025 22:30</t>
  </si>
  <si>
    <t>24/06/2025 22:45</t>
  </si>
  <si>
    <t>24/06/2025 23:00</t>
  </si>
  <si>
    <t>24/06/2025 23:15</t>
  </si>
  <si>
    <t>24/06/2025 23:30</t>
  </si>
  <si>
    <t>24/06/2025 23:45</t>
  </si>
  <si>
    <t>24/06/2025 24:00</t>
  </si>
  <si>
    <t>25/06/2025 00:15</t>
  </si>
  <si>
    <t>25/06/2025 00:30</t>
  </si>
  <si>
    <t>25/06/2025 00:45</t>
  </si>
  <si>
    <t>25/06/2025 01:00</t>
  </si>
  <si>
    <t>25/06/2025 01:15</t>
  </si>
  <si>
    <t>25/06/2025 01:30</t>
  </si>
  <si>
    <t>25/06/2025 01:45</t>
  </si>
  <si>
    <t>25/06/2025 02:00</t>
  </si>
  <si>
    <t>25/06/2025 02:15</t>
  </si>
  <si>
    <t>25/06/2025 02:30</t>
  </si>
  <si>
    <t>25/06/2025 02:45</t>
  </si>
  <si>
    <t>25/06/2025 03:00</t>
  </si>
  <si>
    <t>25/06/2025 03:15</t>
  </si>
  <si>
    <t>25/06/2025 03:30</t>
  </si>
  <si>
    <t>25/06/2025 03:45</t>
  </si>
  <si>
    <t>25/06/2025 04:00</t>
  </si>
  <si>
    <t>25/06/2025 04:15</t>
  </si>
  <si>
    <t>25/06/2025 04:30</t>
  </si>
  <si>
    <t>25/06/2025 04:45</t>
  </si>
  <si>
    <t>25/06/2025 05:00</t>
  </si>
  <si>
    <t>25/06/2025 05:15</t>
  </si>
  <si>
    <t>25/06/2025 05:30</t>
  </si>
  <si>
    <t>25/06/2025 05:45</t>
  </si>
  <si>
    <t>25/06/2025 06:00</t>
  </si>
  <si>
    <t>25/06/2025 06:15</t>
  </si>
  <si>
    <t>25/06/2025 06:30</t>
  </si>
  <si>
    <t>25/06/2025 06:45</t>
  </si>
  <si>
    <t>25/06/2025 07:00</t>
  </si>
  <si>
    <t>25/06/2025 07:15</t>
  </si>
  <si>
    <t>25/06/2025 07:30</t>
  </si>
  <si>
    <t>25/06/2025 07:45</t>
  </si>
  <si>
    <t>25/06/2025 08:00</t>
  </si>
  <si>
    <t>25/06/2025 08:15</t>
  </si>
  <si>
    <t>25/06/2025 08:30</t>
  </si>
  <si>
    <t>25/06/2025 08:45</t>
  </si>
  <si>
    <t>25/06/2025 09:00</t>
  </si>
  <si>
    <t>25/06/2025 09:15</t>
  </si>
  <si>
    <t>25/06/2025 09:30</t>
  </si>
  <si>
    <t>25/06/2025 09:45</t>
  </si>
  <si>
    <t>25/06/2025 10:00</t>
  </si>
  <si>
    <t>25/06/2025 10:15</t>
  </si>
  <si>
    <t>25/06/2025 10:30</t>
  </si>
  <si>
    <t>25/06/2025 10:45</t>
  </si>
  <si>
    <t>25/06/2025 11:00</t>
  </si>
  <si>
    <t>25/06/2025 11:15</t>
  </si>
  <si>
    <t>25/06/2025 11:30</t>
  </si>
  <si>
    <t>25/06/2025 11:45</t>
  </si>
  <si>
    <t>25/06/2025 12:00</t>
  </si>
  <si>
    <t>25/06/2025 12:15</t>
  </si>
  <si>
    <t>25/06/2025 12:30</t>
  </si>
  <si>
    <t>25/06/2025 12:45</t>
  </si>
  <si>
    <t>25/06/2025 13:00</t>
  </si>
  <si>
    <t>25/06/2025 13:15</t>
  </si>
  <si>
    <t>25/06/2025 13:30</t>
  </si>
  <si>
    <t>25/06/2025 13:45</t>
  </si>
  <si>
    <t>25/06/2025 14:00</t>
  </si>
  <si>
    <t>25/06/2025 14:15</t>
  </si>
  <si>
    <t>25/06/2025 14:30</t>
  </si>
  <si>
    <t>25/06/2025 14:45</t>
  </si>
  <si>
    <t>25/06/2025 15:00</t>
  </si>
  <si>
    <t>25/06/2025 15:15</t>
  </si>
  <si>
    <t>25/06/2025 15:30</t>
  </si>
  <si>
    <t>25/06/2025 15:45</t>
  </si>
  <si>
    <t>25/06/2025 16:00</t>
  </si>
  <si>
    <t>25/06/2025 16:15</t>
  </si>
  <si>
    <t>25/06/2025 16:30</t>
  </si>
  <si>
    <t>25/06/2025 16:45</t>
  </si>
  <si>
    <t>25/06/2025 17:00</t>
  </si>
  <si>
    <t>25/06/2025 17:15</t>
  </si>
  <si>
    <t>25/06/2025 17:30</t>
  </si>
  <si>
    <t>25/06/2025 17:45</t>
  </si>
  <si>
    <t>25/06/2025 18:00</t>
  </si>
  <si>
    <t>25/06/2025 18:15</t>
  </si>
  <si>
    <t>25/06/2025 18:30</t>
  </si>
  <si>
    <t>25/06/2025 18:45</t>
  </si>
  <si>
    <t>25/06/2025 19:00</t>
  </si>
  <si>
    <t>25/06/2025 19:15</t>
  </si>
  <si>
    <t>25/06/2025 19:30</t>
  </si>
  <si>
    <t>25/06/2025 19:45</t>
  </si>
  <si>
    <t>25/06/2025 20:00</t>
  </si>
  <si>
    <t>25/06/2025 20:15</t>
  </si>
  <si>
    <t>25/06/2025 20:30</t>
  </si>
  <si>
    <t>25/06/2025 20:45</t>
  </si>
  <si>
    <t>25/06/2025 21:00</t>
  </si>
  <si>
    <t>25/06/2025 21:15</t>
  </si>
  <si>
    <t>25/06/2025 21:30</t>
  </si>
  <si>
    <t>25/06/2025 21:45</t>
  </si>
  <si>
    <t>25/06/2025 22:00</t>
  </si>
  <si>
    <t>25/06/2025 22:15</t>
  </si>
  <si>
    <t>25/06/2025 22:30</t>
  </si>
  <si>
    <t>25/06/2025 22:45</t>
  </si>
  <si>
    <t>25/06/2025 23:00</t>
  </si>
  <si>
    <t>25/06/2025 23:15</t>
  </si>
  <si>
    <t>25/06/2025 23:30</t>
  </si>
  <si>
    <t>25/06/2025 23:45</t>
  </si>
  <si>
    <t>25/06/2025 24:00</t>
  </si>
  <si>
    <t>26/06/2025 00:15</t>
  </si>
  <si>
    <t>26/06/2025 00:30</t>
  </si>
  <si>
    <t>26/06/2025 00:45</t>
  </si>
  <si>
    <t>26/06/2025 01:00</t>
  </si>
  <si>
    <t>26/06/2025 01:15</t>
  </si>
  <si>
    <t>26/06/2025 01:30</t>
  </si>
  <si>
    <t>26/06/2025 01:45</t>
  </si>
  <si>
    <t>26/06/2025 02:00</t>
  </si>
  <si>
    <t>26/06/2025 02:15</t>
  </si>
  <si>
    <t>26/06/2025 02:30</t>
  </si>
  <si>
    <t>26/06/2025 02:45</t>
  </si>
  <si>
    <t>26/06/2025 03:00</t>
  </si>
  <si>
    <t>26/06/2025 03:15</t>
  </si>
  <si>
    <t>26/06/2025 03:30</t>
  </si>
  <si>
    <t>26/06/2025 03:45</t>
  </si>
  <si>
    <t>26/06/2025 04:00</t>
  </si>
  <si>
    <t>26/06/2025 04:15</t>
  </si>
  <si>
    <t>26/06/2025 04:30</t>
  </si>
  <si>
    <t>26/06/2025 04:45</t>
  </si>
  <si>
    <t>26/06/2025 05:00</t>
  </si>
  <si>
    <t>26/06/2025 05:15</t>
  </si>
  <si>
    <t>26/06/2025 05:30</t>
  </si>
  <si>
    <t>26/06/2025 05:45</t>
  </si>
  <si>
    <t>26/06/2025 06:00</t>
  </si>
  <si>
    <t>26/06/2025 06:15</t>
  </si>
  <si>
    <t>26/06/2025 06:30</t>
  </si>
  <si>
    <t>26/06/2025 06:45</t>
  </si>
  <si>
    <t>26/06/2025 07:00</t>
  </si>
  <si>
    <t>26/06/2025 07:15</t>
  </si>
  <si>
    <t>26/06/2025 07:30</t>
  </si>
  <si>
    <t>26/06/2025 07:45</t>
  </si>
  <si>
    <t>26/06/2025 08:00</t>
  </si>
  <si>
    <t>26/06/2025 08:15</t>
  </si>
  <si>
    <t>26/06/2025 08:30</t>
  </si>
  <si>
    <t>26/06/2025 08:45</t>
  </si>
  <si>
    <t>26/06/2025 09:00</t>
  </si>
  <si>
    <t>26/06/2025 09:15</t>
  </si>
  <si>
    <t>26/06/2025 09:30</t>
  </si>
  <si>
    <t>26/06/2025 09:45</t>
  </si>
  <si>
    <t>26/06/2025 10:00</t>
  </si>
  <si>
    <t>26/06/2025 10:15</t>
  </si>
  <si>
    <t>26/06/2025 10:30</t>
  </si>
  <si>
    <t>26/06/2025 10:45</t>
  </si>
  <si>
    <t>26/06/2025 11:00</t>
  </si>
  <si>
    <t>26/06/2025 11:15</t>
  </si>
  <si>
    <t>26/06/2025 11:30</t>
  </si>
  <si>
    <t>26/06/2025 11:45</t>
  </si>
  <si>
    <t>26/06/2025 12:00</t>
  </si>
  <si>
    <t>26/06/2025 12:15</t>
  </si>
  <si>
    <t>26/06/2025 12:30</t>
  </si>
  <si>
    <t>26/06/2025 12:45</t>
  </si>
  <si>
    <t>26/06/2025 13:00</t>
  </si>
  <si>
    <t>26/06/2025 13:15</t>
  </si>
  <si>
    <t>26/06/2025 13:30</t>
  </si>
  <si>
    <t>26/06/2025 13:45</t>
  </si>
  <si>
    <t>26/06/2025 14:00</t>
  </si>
  <si>
    <t>26/06/2025 14:15</t>
  </si>
  <si>
    <t>26/06/2025 14:30</t>
  </si>
  <si>
    <t>26/06/2025 14:45</t>
  </si>
  <si>
    <t>26/06/2025 15:00</t>
  </si>
  <si>
    <t>26/06/2025 15:15</t>
  </si>
  <si>
    <t>26/06/2025 15:30</t>
  </si>
  <si>
    <t>26/06/2025 15:45</t>
  </si>
  <si>
    <t>26/06/2025 16:00</t>
  </si>
  <si>
    <t>26/06/2025 16:15</t>
  </si>
  <si>
    <t>26/06/2025 16:30</t>
  </si>
  <si>
    <t>26/06/2025 16:45</t>
  </si>
  <si>
    <t>26/06/2025 17:00</t>
  </si>
  <si>
    <t>26/06/2025 17:15</t>
  </si>
  <si>
    <t>26/06/2025 17:30</t>
  </si>
  <si>
    <t>26/06/2025 17:45</t>
  </si>
  <si>
    <t>26/06/2025 18:00</t>
  </si>
  <si>
    <t>26/06/2025 18:15</t>
  </si>
  <si>
    <t>26/06/2025 18:30</t>
  </si>
  <si>
    <t>26/06/2025 18:45</t>
  </si>
  <si>
    <t>26/06/2025 19:00</t>
  </si>
  <si>
    <t>26/06/2025 19:15</t>
  </si>
  <si>
    <t>26/06/2025 19:30</t>
  </si>
  <si>
    <t>26/06/2025 19:45</t>
  </si>
  <si>
    <t>26/06/2025 20:00</t>
  </si>
  <si>
    <t>26/06/2025 20:15</t>
  </si>
  <si>
    <t>26/06/2025 20:30</t>
  </si>
  <si>
    <t>26/06/2025 20:45</t>
  </si>
  <si>
    <t>26/06/2025 21:00</t>
  </si>
  <si>
    <t>26/06/2025 21:15</t>
  </si>
  <si>
    <t>26/06/2025 21:30</t>
  </si>
  <si>
    <t>26/06/2025 21:45</t>
  </si>
  <si>
    <t>26/06/2025 22:00</t>
  </si>
  <si>
    <t>26/06/2025 22:15</t>
  </si>
  <si>
    <t>26/06/2025 22:30</t>
  </si>
  <si>
    <t>26/06/2025 22:45</t>
  </si>
  <si>
    <t>26/06/2025 23:00</t>
  </si>
  <si>
    <t>26/06/2025 23:15</t>
  </si>
  <si>
    <t>26/06/2025 23:30</t>
  </si>
  <si>
    <t>26/06/2025 23:45</t>
  </si>
  <si>
    <t>26/06/2025 24:00</t>
  </si>
  <si>
    <t>27/06/2025 00:15</t>
  </si>
  <si>
    <t>27/06/2025 00:30</t>
  </si>
  <si>
    <t>27/06/2025 00:45</t>
  </si>
  <si>
    <t>27/06/2025 01:00</t>
  </si>
  <si>
    <t>27/06/2025 01:15</t>
  </si>
  <si>
    <t>27/06/2025 01:30</t>
  </si>
  <si>
    <t>27/06/2025 01:45</t>
  </si>
  <si>
    <t>27/06/2025 02:00</t>
  </si>
  <si>
    <t>27/06/2025 02:15</t>
  </si>
  <si>
    <t>27/06/2025 02:30</t>
  </si>
  <si>
    <t>27/06/2025 02:45</t>
  </si>
  <si>
    <t>27/06/2025 03:00</t>
  </si>
  <si>
    <t>27/06/2025 03:15</t>
  </si>
  <si>
    <t>27/06/2025 03:30</t>
  </si>
  <si>
    <t>27/06/2025 03:45</t>
  </si>
  <si>
    <t>27/06/2025 04:00</t>
  </si>
  <si>
    <t>27/06/2025 04:15</t>
  </si>
  <si>
    <t>27/06/2025 04:30</t>
  </si>
  <si>
    <t>27/06/2025 04:45</t>
  </si>
  <si>
    <t>27/06/2025 05:00</t>
  </si>
  <si>
    <t>27/06/2025 05:15</t>
  </si>
  <si>
    <t>27/06/2025 05:30</t>
  </si>
  <si>
    <t>27/06/2025 05:45</t>
  </si>
  <si>
    <t>27/06/2025 06:00</t>
  </si>
  <si>
    <t>27/06/2025 06:15</t>
  </si>
  <si>
    <t>27/06/2025 06:30</t>
  </si>
  <si>
    <t>27/06/2025 06:45</t>
  </si>
  <si>
    <t>27/06/2025 07:00</t>
  </si>
  <si>
    <t>27/06/2025 07:15</t>
  </si>
  <si>
    <t>27/06/2025 07:30</t>
  </si>
  <si>
    <t>27/06/2025 07:45</t>
  </si>
  <si>
    <t>27/06/2025 08:00</t>
  </si>
  <si>
    <t>27/06/2025 08:15</t>
  </si>
  <si>
    <t>27/06/2025 08:30</t>
  </si>
  <si>
    <t>27/06/2025 08:45</t>
  </si>
  <si>
    <t>27/06/2025 09:00</t>
  </si>
  <si>
    <t>27/06/2025 09:15</t>
  </si>
  <si>
    <t>27/06/2025 09:30</t>
  </si>
  <si>
    <t>27/06/2025 09:45</t>
  </si>
  <si>
    <t>27/06/2025 10:00</t>
  </si>
  <si>
    <t>27/06/2025 10:15</t>
  </si>
  <si>
    <t>27/06/2025 10:30</t>
  </si>
  <si>
    <t>27/06/2025 10:45</t>
  </si>
  <si>
    <t>27/06/2025 11:00</t>
  </si>
  <si>
    <t>27/06/2025 11:15</t>
  </si>
  <si>
    <t>27/06/2025 11:30</t>
  </si>
  <si>
    <t>27/06/2025 11:45</t>
  </si>
  <si>
    <t>27/06/2025 12:00</t>
  </si>
  <si>
    <t>27/06/2025 12:15</t>
  </si>
  <si>
    <t>27/06/2025 12:30</t>
  </si>
  <si>
    <t>27/06/2025 12:45</t>
  </si>
  <si>
    <t>27/06/2025 13:00</t>
  </si>
  <si>
    <t>27/06/2025 13:15</t>
  </si>
  <si>
    <t>27/06/2025 13:30</t>
  </si>
  <si>
    <t>27/06/2025 13:45</t>
  </si>
  <si>
    <t>27/06/2025 14:00</t>
  </si>
  <si>
    <t>27/06/2025 14:15</t>
  </si>
  <si>
    <t>27/06/2025 14:30</t>
  </si>
  <si>
    <t>27/06/2025 14:45</t>
  </si>
  <si>
    <t>27/06/2025 15:00</t>
  </si>
  <si>
    <t>27/06/2025 15:15</t>
  </si>
  <si>
    <t>27/06/2025 15:30</t>
  </si>
  <si>
    <t>27/06/2025 15:45</t>
  </si>
  <si>
    <t>27/06/2025 16:00</t>
  </si>
  <si>
    <t>27/06/2025 16:15</t>
  </si>
  <si>
    <t>27/06/2025 16:30</t>
  </si>
  <si>
    <t>27/06/2025 16:45</t>
  </si>
  <si>
    <t>27/06/2025 17:00</t>
  </si>
  <si>
    <t>27/06/2025 17:15</t>
  </si>
  <si>
    <t>27/06/2025 17:30</t>
  </si>
  <si>
    <t>27/06/2025 17:45</t>
  </si>
  <si>
    <t>27/06/2025 18:00</t>
  </si>
  <si>
    <t>27/06/2025 18:15</t>
  </si>
  <si>
    <t>27/06/2025 18:30</t>
  </si>
  <si>
    <t>27/06/2025 18:45</t>
  </si>
  <si>
    <t>27/06/2025 19:00</t>
  </si>
  <si>
    <t>27/06/2025 19:15</t>
  </si>
  <si>
    <t>27/06/2025 19:30</t>
  </si>
  <si>
    <t>27/06/2025 19:45</t>
  </si>
  <si>
    <t>27/06/2025 20:00</t>
  </si>
  <si>
    <t>27/06/2025 20:15</t>
  </si>
  <si>
    <t>27/06/2025 20:30</t>
  </si>
  <si>
    <t>27/06/2025 20:45</t>
  </si>
  <si>
    <t>27/06/2025 21:00</t>
  </si>
  <si>
    <t>27/06/2025 21:15</t>
  </si>
  <si>
    <t>27/06/2025 21:30</t>
  </si>
  <si>
    <t>27/06/2025 21:45</t>
  </si>
  <si>
    <t>27/06/2025 22:00</t>
  </si>
  <si>
    <t>27/06/2025 22:15</t>
  </si>
  <si>
    <t>27/06/2025 22:30</t>
  </si>
  <si>
    <t>27/06/2025 22:45</t>
  </si>
  <si>
    <t>27/06/2025 23:00</t>
  </si>
  <si>
    <t>27/06/2025 23:15</t>
  </si>
  <si>
    <t>27/06/2025 23:30</t>
  </si>
  <si>
    <t>27/06/2025 23:45</t>
  </si>
  <si>
    <t>27/06/2025 24:00</t>
  </si>
  <si>
    <t>28/06/2025 00:15</t>
  </si>
  <si>
    <t>28/06/2025 00:30</t>
  </si>
  <si>
    <t>28/06/2025 00:45</t>
  </si>
  <si>
    <t>28/06/2025 01:00</t>
  </si>
  <si>
    <t>28/06/2025 01:15</t>
  </si>
  <si>
    <t>28/06/2025 01:30</t>
  </si>
  <si>
    <t>28/06/2025 01:45</t>
  </si>
  <si>
    <t>28/06/2025 02:00</t>
  </si>
  <si>
    <t>28/06/2025 02:15</t>
  </si>
  <si>
    <t>28/06/2025 02:30</t>
  </si>
  <si>
    <t>28/06/2025 02:45</t>
  </si>
  <si>
    <t>28/06/2025 03:00</t>
  </si>
  <si>
    <t>28/06/2025 03:15</t>
  </si>
  <si>
    <t>28/06/2025 03:30</t>
  </si>
  <si>
    <t>28/06/2025 03:45</t>
  </si>
  <si>
    <t>28/06/2025 04:00</t>
  </si>
  <si>
    <t>28/06/2025 04:15</t>
  </si>
  <si>
    <t>28/06/2025 04:30</t>
  </si>
  <si>
    <t>28/06/2025 04:45</t>
  </si>
  <si>
    <t>28/06/2025 05:00</t>
  </si>
  <si>
    <t>28/06/2025 05:15</t>
  </si>
  <si>
    <t>28/06/2025 05:30</t>
  </si>
  <si>
    <t>28/06/2025 05:45</t>
  </si>
  <si>
    <t>28/06/2025 06:00</t>
  </si>
  <si>
    <t>28/06/2025 06:15</t>
  </si>
  <si>
    <t>28/06/2025 06:30</t>
  </si>
  <si>
    <t>28/06/2025 06:45</t>
  </si>
  <si>
    <t>28/06/2025 07:00</t>
  </si>
  <si>
    <t>28/06/2025 07:15</t>
  </si>
  <si>
    <t>28/06/2025 07:30</t>
  </si>
  <si>
    <t>28/06/2025 07:45</t>
  </si>
  <si>
    <t>28/06/2025 08:00</t>
  </si>
  <si>
    <t>28/06/2025 08:15</t>
  </si>
  <si>
    <t>28/06/2025 08:30</t>
  </si>
  <si>
    <t>28/06/2025 08:45</t>
  </si>
  <si>
    <t>28/06/2025 09:00</t>
  </si>
  <si>
    <t>28/06/2025 09:15</t>
  </si>
  <si>
    <t>28/06/2025 09:30</t>
  </si>
  <si>
    <t>28/06/2025 09:45</t>
  </si>
  <si>
    <t>28/06/2025 10:00</t>
  </si>
  <si>
    <t>28/06/2025 10:15</t>
  </si>
  <si>
    <t>28/06/2025 10:30</t>
  </si>
  <si>
    <t>28/06/2025 10:45</t>
  </si>
  <si>
    <t>28/06/2025 11:00</t>
  </si>
  <si>
    <t>28/06/2025 11:15</t>
  </si>
  <si>
    <t>28/06/2025 11:30</t>
  </si>
  <si>
    <t>28/06/2025 11:45</t>
  </si>
  <si>
    <t>28/06/2025 12:00</t>
  </si>
  <si>
    <t>28/06/2025 12:15</t>
  </si>
  <si>
    <t>28/06/2025 12:30</t>
  </si>
  <si>
    <t>28/06/2025 12:45</t>
  </si>
  <si>
    <t>28/06/2025 13:00</t>
  </si>
  <si>
    <t>28/06/2025 13:15</t>
  </si>
  <si>
    <t>28/06/2025 13:30</t>
  </si>
  <si>
    <t>28/06/2025 13:45</t>
  </si>
  <si>
    <t>28/06/2025 14:00</t>
  </si>
  <si>
    <t>28/06/2025 14:15</t>
  </si>
  <si>
    <t>28/06/2025 14:30</t>
  </si>
  <si>
    <t>28/06/2025 14:45</t>
  </si>
  <si>
    <t>28/06/2025 15:00</t>
  </si>
  <si>
    <t>28/06/2025 15:15</t>
  </si>
  <si>
    <t>28/06/2025 15:30</t>
  </si>
  <si>
    <t>28/06/2025 15:45</t>
  </si>
  <si>
    <t>28/06/2025 16:00</t>
  </si>
  <si>
    <t>28/06/2025 16:15</t>
  </si>
  <si>
    <t>28/06/2025 16:30</t>
  </si>
  <si>
    <t>28/06/2025 16:45</t>
  </si>
  <si>
    <t>28/06/2025 17:00</t>
  </si>
  <si>
    <t>28/06/2025 17:15</t>
  </si>
  <si>
    <t>28/06/2025 17:30</t>
  </si>
  <si>
    <t>28/06/2025 17:45</t>
  </si>
  <si>
    <t>28/06/2025 18:00</t>
  </si>
  <si>
    <t>28/06/2025 18:15</t>
  </si>
  <si>
    <t>28/06/2025 18:30</t>
  </si>
  <si>
    <t>28/06/2025 18:45</t>
  </si>
  <si>
    <t>28/06/2025 19:00</t>
  </si>
  <si>
    <t>28/06/2025 19:15</t>
  </si>
  <si>
    <t>28/06/2025 19:30</t>
  </si>
  <si>
    <t>28/06/2025 19:45</t>
  </si>
  <si>
    <t>28/06/2025 20:00</t>
  </si>
  <si>
    <t>28/06/2025 20:15</t>
  </si>
  <si>
    <t>28/06/2025 20:30</t>
  </si>
  <si>
    <t>28/06/2025 20:45</t>
  </si>
  <si>
    <t>28/06/2025 21:00</t>
  </si>
  <si>
    <t>28/06/2025 21:15</t>
  </si>
  <si>
    <t>28/06/2025 21:30</t>
  </si>
  <si>
    <t>28/06/2025 21:45</t>
  </si>
  <si>
    <t>28/06/2025 22:00</t>
  </si>
  <si>
    <t>28/06/2025 22:15</t>
  </si>
  <si>
    <t>28/06/2025 22:30</t>
  </si>
  <si>
    <t>28/06/2025 22:45</t>
  </si>
  <si>
    <t>28/06/2025 23:00</t>
  </si>
  <si>
    <t>28/06/2025 23:15</t>
  </si>
  <si>
    <t>28/06/2025 23:30</t>
  </si>
  <si>
    <t>28/06/2025 23:45</t>
  </si>
  <si>
    <t>28/06/2025 24:00</t>
  </si>
  <si>
    <t>29/06/2025 00:15</t>
  </si>
  <si>
    <t>29/06/2025 00:30</t>
  </si>
  <si>
    <t>29/06/2025 00:45</t>
  </si>
  <si>
    <t>29/06/2025 01:00</t>
  </si>
  <si>
    <t>29/06/2025 01:15</t>
  </si>
  <si>
    <t>29/06/2025 01:30</t>
  </si>
  <si>
    <t>29/06/2025 01:45</t>
  </si>
  <si>
    <t>29/06/2025 02:00</t>
  </si>
  <si>
    <t>29/06/2025 02:15</t>
  </si>
  <si>
    <t>29/06/2025 02:30</t>
  </si>
  <si>
    <t>29/06/2025 02:45</t>
  </si>
  <si>
    <t>29/06/2025 03:00</t>
  </si>
  <si>
    <t>29/06/2025 03:15</t>
  </si>
  <si>
    <t>29/06/2025 03:30</t>
  </si>
  <si>
    <t>29/06/2025 03:45</t>
  </si>
  <si>
    <t>29/06/2025 04:00</t>
  </si>
  <si>
    <t>29/06/2025 04:15</t>
  </si>
  <si>
    <t>29/06/2025 04:30</t>
  </si>
  <si>
    <t>29/06/2025 04:45</t>
  </si>
  <si>
    <t>29/06/2025 05:00</t>
  </si>
  <si>
    <t>29/06/2025 05:15</t>
  </si>
  <si>
    <t>29/06/2025 05:30</t>
  </si>
  <si>
    <t>29/06/2025 05:45</t>
  </si>
  <si>
    <t>29/06/2025 06:00</t>
  </si>
  <si>
    <t>29/06/2025 06:15</t>
  </si>
  <si>
    <t>29/06/2025 06:30</t>
  </si>
  <si>
    <t>29/06/2025 06:45</t>
  </si>
  <si>
    <t>29/06/2025 07:00</t>
  </si>
  <si>
    <t>29/06/2025 07:15</t>
  </si>
  <si>
    <t>29/06/2025 07:30</t>
  </si>
  <si>
    <t>29/06/2025 07:45</t>
  </si>
  <si>
    <t>29/06/2025 08:00</t>
  </si>
  <si>
    <t>29/06/2025 08:15</t>
  </si>
  <si>
    <t>29/06/2025 08:30</t>
  </si>
  <si>
    <t>29/06/2025 08:45</t>
  </si>
  <si>
    <t>29/06/2025 09:00</t>
  </si>
  <si>
    <t>29/06/2025 09:15</t>
  </si>
  <si>
    <t>29/06/2025 09:30</t>
  </si>
  <si>
    <t>29/06/2025 09:45</t>
  </si>
  <si>
    <t>29/06/2025 10:00</t>
  </si>
  <si>
    <t>29/06/2025 10:15</t>
  </si>
  <si>
    <t>29/06/2025 10:30</t>
  </si>
  <si>
    <t>29/06/2025 10:45</t>
  </si>
  <si>
    <t>29/06/2025 11:00</t>
  </si>
  <si>
    <t>29/06/2025 11:15</t>
  </si>
  <si>
    <t>29/06/2025 11:30</t>
  </si>
  <si>
    <t>29/06/2025 11:45</t>
  </si>
  <si>
    <t>29/06/2025 12:00</t>
  </si>
  <si>
    <t>29/06/2025 12:15</t>
  </si>
  <si>
    <t>29/06/2025 12:30</t>
  </si>
  <si>
    <t>29/06/2025 12:45</t>
  </si>
  <si>
    <t>29/06/2025 13:00</t>
  </si>
  <si>
    <t>29/06/2025 13:15</t>
  </si>
  <si>
    <t>29/06/2025 13:30</t>
  </si>
  <si>
    <t>29/06/2025 13:45</t>
  </si>
  <si>
    <t>29/06/2025 14:00</t>
  </si>
  <si>
    <t>29/06/2025 14:15</t>
  </si>
  <si>
    <t>29/06/2025 14:30</t>
  </si>
  <si>
    <t>29/06/2025 14:45</t>
  </si>
  <si>
    <t>29/06/2025 15:00</t>
  </si>
  <si>
    <t>29/06/2025 15:15</t>
  </si>
  <si>
    <t>29/06/2025 15:30</t>
  </si>
  <si>
    <t>29/06/2025 15:45</t>
  </si>
  <si>
    <t>29/06/2025 16:00</t>
  </si>
  <si>
    <t>29/06/2025 16:15</t>
  </si>
  <si>
    <t>29/06/2025 16:30</t>
  </si>
  <si>
    <t>29/06/2025 16:45</t>
  </si>
  <si>
    <t>29/06/2025 17:00</t>
  </si>
  <si>
    <t>29/06/2025 17:15</t>
  </si>
  <si>
    <t>29/06/2025 17:30</t>
  </si>
  <si>
    <t>29/06/2025 17:45</t>
  </si>
  <si>
    <t>29/06/2025 18:00</t>
  </si>
  <si>
    <t>29/06/2025 18:15</t>
  </si>
  <si>
    <t>29/06/2025 18:30</t>
  </si>
  <si>
    <t>29/06/2025 18:45</t>
  </si>
  <si>
    <t>29/06/2025 19:00</t>
  </si>
  <si>
    <t>29/06/2025 19:15</t>
  </si>
  <si>
    <t>29/06/2025 19:30</t>
  </si>
  <si>
    <t>29/06/2025 19:45</t>
  </si>
  <si>
    <t>29/06/2025 20:00</t>
  </si>
  <si>
    <t>29/06/2025 20:15</t>
  </si>
  <si>
    <t>29/06/2025 20:30</t>
  </si>
  <si>
    <t>29/06/2025 20:45</t>
  </si>
  <si>
    <t>29/06/2025 21:00</t>
  </si>
  <si>
    <t>29/06/2025 21:15</t>
  </si>
  <si>
    <t>29/06/2025 21:30</t>
  </si>
  <si>
    <t>29/06/2025 21:45</t>
  </si>
  <si>
    <t>29/06/2025 22:00</t>
  </si>
  <si>
    <t>29/06/2025 22:15</t>
  </si>
  <si>
    <t>29/06/2025 22:30</t>
  </si>
  <si>
    <t>29/06/2025 22:45</t>
  </si>
  <si>
    <t>29/06/2025 23:00</t>
  </si>
  <si>
    <t>29/06/2025 23:15</t>
  </si>
  <si>
    <t>29/06/2025 23:30</t>
  </si>
  <si>
    <t>29/06/2025 23:45</t>
  </si>
  <si>
    <t>29/06/2025 24:00</t>
  </si>
  <si>
    <t>30/06/2025 00:15</t>
  </si>
  <si>
    <t>30/06/2025 00:30</t>
  </si>
  <si>
    <t>30/06/2025 00:45</t>
  </si>
  <si>
    <t>30/06/2025 01:00</t>
  </si>
  <si>
    <t>30/06/2025 01:15</t>
  </si>
  <si>
    <t>30/06/2025 01:30</t>
  </si>
  <si>
    <t>30/06/2025 01:45</t>
  </si>
  <si>
    <t>30/06/2025 02:00</t>
  </si>
  <si>
    <t>30/06/2025 02:15</t>
  </si>
  <si>
    <t>30/06/2025 02:30</t>
  </si>
  <si>
    <t>30/06/2025 02:45</t>
  </si>
  <si>
    <t>30/06/2025 03:00</t>
  </si>
  <si>
    <t>30/06/2025 03:15</t>
  </si>
  <si>
    <t>30/06/2025 03:30</t>
  </si>
  <si>
    <t>30/06/2025 03:45</t>
  </si>
  <si>
    <t>30/06/2025 04:00</t>
  </si>
  <si>
    <t>30/06/2025 04:15</t>
  </si>
  <si>
    <t>30/06/2025 04:30</t>
  </si>
  <si>
    <t>30/06/2025 04:45</t>
  </si>
  <si>
    <t>30/06/2025 05:00</t>
  </si>
  <si>
    <t>30/06/2025 05:15</t>
  </si>
  <si>
    <t>30/06/2025 05:30</t>
  </si>
  <si>
    <t>30/06/2025 05:45</t>
  </si>
  <si>
    <t>30/06/2025 06:00</t>
  </si>
  <si>
    <t>30/06/2025 06:15</t>
  </si>
  <si>
    <t>30/06/2025 06:30</t>
  </si>
  <si>
    <t>30/06/2025 06:45</t>
  </si>
  <si>
    <t>30/06/2025 07:00</t>
  </si>
  <si>
    <t>30/06/2025 07:15</t>
  </si>
  <si>
    <t>30/06/2025 07:30</t>
  </si>
  <si>
    <t>30/06/2025 07:45</t>
  </si>
  <si>
    <t>30/06/2025 08:00</t>
  </si>
  <si>
    <t>30/06/2025 08:15</t>
  </si>
  <si>
    <t>30/06/2025 08:30</t>
  </si>
  <si>
    <t>30/06/2025 08:45</t>
  </si>
  <si>
    <t>30/06/2025 09:00</t>
  </si>
  <si>
    <t>30/06/2025 09:15</t>
  </si>
  <si>
    <t>30/06/2025 09:30</t>
  </si>
  <si>
    <t>30/06/2025 09:45</t>
  </si>
  <si>
    <t>30/06/2025 10:00</t>
  </si>
  <si>
    <t>30/06/2025 10:15</t>
  </si>
  <si>
    <t>30/06/2025 10:30</t>
  </si>
  <si>
    <t>30/06/2025 10:45</t>
  </si>
  <si>
    <t>30/06/2025 11:00</t>
  </si>
  <si>
    <t>30/06/2025 11:15</t>
  </si>
  <si>
    <t>30/06/2025 11:30</t>
  </si>
  <si>
    <t>30/06/2025 11:45</t>
  </si>
  <si>
    <t>30/06/2025 12:00</t>
  </si>
  <si>
    <t>30/06/2025 12:15</t>
  </si>
  <si>
    <t>30/06/2025 12:30</t>
  </si>
  <si>
    <t>30/06/2025 12:45</t>
  </si>
  <si>
    <t>30/06/2025 13:00</t>
  </si>
  <si>
    <t>30/06/2025 13:15</t>
  </si>
  <si>
    <t>30/06/2025 13:30</t>
  </si>
  <si>
    <t>30/06/2025 13:45</t>
  </si>
  <si>
    <t>30/06/2025 14:00</t>
  </si>
  <si>
    <t>30/06/2025 14:15</t>
  </si>
  <si>
    <t>30/06/2025 14:30</t>
  </si>
  <si>
    <t>30/06/2025 14:45</t>
  </si>
  <si>
    <t>30/06/2025 15:00</t>
  </si>
  <si>
    <t>30/06/2025 15:15</t>
  </si>
  <si>
    <t>30/06/2025 15:30</t>
  </si>
  <si>
    <t>30/06/2025 15:45</t>
  </si>
  <si>
    <t>30/06/2025 16:00</t>
  </si>
  <si>
    <t>30/06/2025 16:15</t>
  </si>
  <si>
    <t>30/06/2025 16:30</t>
  </si>
  <si>
    <t>30/06/2025 16:45</t>
  </si>
  <si>
    <t>30/06/2025 17:00</t>
  </si>
  <si>
    <t>30/06/2025 17:15</t>
  </si>
  <si>
    <t>30/06/2025 17:30</t>
  </si>
  <si>
    <t>30/06/2025 17:45</t>
  </si>
  <si>
    <t>30/06/2025 18:00</t>
  </si>
  <si>
    <t>30/06/2025 18:15</t>
  </si>
  <si>
    <t>30/06/2025 18:30</t>
  </si>
  <si>
    <t>30/06/2025 18:45</t>
  </si>
  <si>
    <t>30/06/2025 19:00</t>
  </si>
  <si>
    <t>30/06/2025 19:15</t>
  </si>
  <si>
    <t>30/06/2025 19:30</t>
  </si>
  <si>
    <t>30/06/2025 19:45</t>
  </si>
  <si>
    <t>30/06/2025 20:00</t>
  </si>
  <si>
    <t>30/06/2025 20:15</t>
  </si>
  <si>
    <t>30/06/2025 20:30</t>
  </si>
  <si>
    <t>30/06/2025 20:45</t>
  </si>
  <si>
    <t>30/06/2025 21:00</t>
  </si>
  <si>
    <t>30/06/2025 21:15</t>
  </si>
  <si>
    <t>30/06/2025 21:30</t>
  </si>
  <si>
    <t>30/06/2025 21:45</t>
  </si>
  <si>
    <t>30/06/2025 22:00</t>
  </si>
  <si>
    <t>30/06/2025 22:15</t>
  </si>
  <si>
    <t>30/06/2025 22:30</t>
  </si>
  <si>
    <t>30/06/2025 22:45</t>
  </si>
  <si>
    <t>30/06/2025 23:00</t>
  </si>
  <si>
    <t>30/06/2025 23:15</t>
  </si>
  <si>
    <t>30/06/2025 23:30</t>
  </si>
  <si>
    <t>30/06/2025 23:45</t>
  </si>
  <si>
    <t>30/06/2025 24:00</t>
  </si>
  <si>
    <t>Calibration report Of Bhatagaon, RAIPUR</t>
  </si>
  <si>
    <t>01/06/2025 - 30/06/2025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</si>
</sst>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1" fillId="12" borderId="1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D20" sqref="D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45809.010416666664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3">
        <v>45809.010416666664</v>
      </c>
      <c r="B9" s="60">
        <v>11.32</v>
      </c>
      <c r="C9" s="60">
        <v>19.37</v>
      </c>
      <c r="D9" s="60">
        <v>19.7</v>
      </c>
      <c r="E9" s="60">
        <v>4.72</v>
      </c>
      <c r="F9" s="60">
        <v>4.83</v>
      </c>
      <c r="G9" s="60">
        <v>55.16</v>
      </c>
      <c r="H9" s="60">
        <v>9.02</v>
      </c>
      <c r="I9" s="60">
        <v>4.04</v>
      </c>
      <c r="J9" s="60">
        <v>0.11</v>
      </c>
      <c r="K9" s="60">
        <v>113.75</v>
      </c>
      <c r="L9" s="60">
        <v>25.27</v>
      </c>
      <c r="M9" s="60">
        <v>100.82</v>
      </c>
      <c r="N9" s="60">
        <v>26.3</v>
      </c>
      <c r="O9" s="60">
        <v>0</v>
      </c>
      <c r="P9" s="60">
        <v>0.61</v>
      </c>
      <c r="Q9" s="60">
        <v>9.41</v>
      </c>
      <c r="R9" s="198"/>
      <c r="S9" s="198"/>
      <c r="T9" s="198"/>
      <c r="U9" s="198"/>
    </row>
    <row r="10" spans="1:21" s="12" customFormat="1" x14ac:dyDescent="0.25">
      <c r="A10" s="63">
        <v>45809.020833333336</v>
      </c>
      <c r="B10" s="60">
        <v>11.23</v>
      </c>
      <c r="C10" s="60">
        <v>21.31</v>
      </c>
      <c r="D10" s="60">
        <v>23.55</v>
      </c>
      <c r="E10" s="60">
        <v>4.9400000000000004</v>
      </c>
      <c r="F10" s="60">
        <v>5.58</v>
      </c>
      <c r="G10" s="60">
        <v>52.72</v>
      </c>
      <c r="H10" s="60">
        <v>7.82</v>
      </c>
      <c r="I10" s="60">
        <v>4.0199999999999996</v>
      </c>
      <c r="J10" s="60">
        <v>0.3</v>
      </c>
      <c r="K10" s="60">
        <v>0.95</v>
      </c>
      <c r="L10" s="60">
        <v>25.23</v>
      </c>
      <c r="M10" s="60">
        <v>100.83</v>
      </c>
      <c r="N10" s="60">
        <v>26.3</v>
      </c>
      <c r="O10" s="60">
        <v>0</v>
      </c>
      <c r="P10" s="60">
        <v>0.56000000000000005</v>
      </c>
      <c r="Q10" s="60">
        <v>9.4</v>
      </c>
      <c r="R10" s="198"/>
      <c r="S10" s="198"/>
      <c r="T10" s="198"/>
      <c r="U10" s="198"/>
    </row>
    <row r="11" spans="1:21" s="12" customFormat="1" x14ac:dyDescent="0.25">
      <c r="A11" s="63">
        <v>45809.03125</v>
      </c>
      <c r="B11" s="60">
        <v>12.33</v>
      </c>
      <c r="C11" s="60">
        <v>20.83</v>
      </c>
      <c r="D11" s="60">
        <v>20.95</v>
      </c>
      <c r="E11" s="60">
        <v>4.82</v>
      </c>
      <c r="F11" s="60">
        <v>5.58</v>
      </c>
      <c r="G11" s="60">
        <v>52.72</v>
      </c>
      <c r="H11" s="60">
        <v>7.82</v>
      </c>
      <c r="I11" s="60">
        <v>3.96</v>
      </c>
      <c r="J11" s="60">
        <v>0.18</v>
      </c>
      <c r="K11" s="60">
        <v>359.43</v>
      </c>
      <c r="L11" s="60">
        <v>25.15</v>
      </c>
      <c r="M11" s="60">
        <v>100.84</v>
      </c>
      <c r="N11" s="60">
        <v>26.3</v>
      </c>
      <c r="O11" s="60">
        <v>0</v>
      </c>
      <c r="P11" s="60">
        <v>0.62</v>
      </c>
      <c r="Q11" s="60">
        <v>9.4</v>
      </c>
      <c r="R11" s="198"/>
      <c r="S11" s="198"/>
      <c r="T11" s="198"/>
      <c r="U11" s="198"/>
    </row>
    <row r="12" spans="1:21" s="12" customFormat="1" x14ac:dyDescent="0.25">
      <c r="A12" s="63">
        <v>45809.041666666664</v>
      </c>
      <c r="B12" s="60">
        <v>11.07</v>
      </c>
      <c r="C12" s="60">
        <v>20.100000000000001</v>
      </c>
      <c r="D12" s="60">
        <v>21.49</v>
      </c>
      <c r="E12" s="60">
        <v>4.8</v>
      </c>
      <c r="F12" s="60">
        <v>6.88</v>
      </c>
      <c r="G12" s="60">
        <v>52.72</v>
      </c>
      <c r="H12" s="60">
        <v>7.82</v>
      </c>
      <c r="I12" s="60">
        <v>3.97</v>
      </c>
      <c r="J12" s="60">
        <v>0.17</v>
      </c>
      <c r="K12" s="60">
        <v>344.1</v>
      </c>
      <c r="L12" s="60">
        <v>25.09</v>
      </c>
      <c r="M12" s="60">
        <v>100.89</v>
      </c>
      <c r="N12" s="60">
        <v>26.2</v>
      </c>
      <c r="O12" s="60">
        <v>0</v>
      </c>
      <c r="P12" s="60">
        <v>0.57999999999999996</v>
      </c>
      <c r="Q12" s="60">
        <v>9.41</v>
      </c>
      <c r="R12" s="198"/>
      <c r="S12" s="198"/>
      <c r="T12" s="198"/>
      <c r="U12" s="198"/>
    </row>
    <row r="13" spans="1:21" s="12" customFormat="1" x14ac:dyDescent="0.25">
      <c r="A13" s="63">
        <v>45809.052083333336</v>
      </c>
      <c r="B13" s="60">
        <v>11.45</v>
      </c>
      <c r="C13" s="60">
        <v>19.73</v>
      </c>
      <c r="D13" s="60">
        <v>20.190000000000001</v>
      </c>
      <c r="E13" s="60">
        <v>4.7699999999999996</v>
      </c>
      <c r="F13" s="60">
        <v>5.49</v>
      </c>
      <c r="G13" s="60">
        <v>52.29</v>
      </c>
      <c r="H13" s="60">
        <v>18.36</v>
      </c>
      <c r="I13" s="60">
        <v>3.84</v>
      </c>
      <c r="J13" s="60">
        <v>7.0000000000000007E-2</v>
      </c>
      <c r="K13" s="60">
        <v>333.48</v>
      </c>
      <c r="L13" s="60">
        <v>25.03</v>
      </c>
      <c r="M13" s="60">
        <v>100.9</v>
      </c>
      <c r="N13" s="60">
        <v>26.3</v>
      </c>
      <c r="O13" s="60">
        <v>0</v>
      </c>
      <c r="P13" s="60">
        <v>0.59</v>
      </c>
      <c r="Q13" s="60">
        <v>9.4</v>
      </c>
      <c r="R13" s="198"/>
      <c r="S13" s="198"/>
      <c r="T13" s="198"/>
      <c r="U13" s="198"/>
    </row>
    <row r="14" spans="1:21" s="12" customFormat="1" x14ac:dyDescent="0.25">
      <c r="A14" s="63">
        <v>45809.0625</v>
      </c>
      <c r="B14" s="60">
        <v>9.81</v>
      </c>
      <c r="C14" s="60">
        <v>18.260000000000002</v>
      </c>
      <c r="D14" s="60">
        <v>19.89</v>
      </c>
      <c r="E14" s="60">
        <v>4.82</v>
      </c>
      <c r="F14" s="60">
        <v>6.01</v>
      </c>
      <c r="G14" s="60">
        <v>52.1</v>
      </c>
      <c r="H14" s="60">
        <v>22.87</v>
      </c>
      <c r="I14" s="60">
        <v>4</v>
      </c>
      <c r="J14" s="60">
        <v>0.02</v>
      </c>
      <c r="K14" s="60">
        <v>151.84</v>
      </c>
      <c r="L14" s="60">
        <v>24.92</v>
      </c>
      <c r="M14" s="60">
        <v>100.91</v>
      </c>
      <c r="N14" s="60">
        <v>26.2</v>
      </c>
      <c r="O14" s="60">
        <v>0</v>
      </c>
      <c r="P14" s="60">
        <v>0.56999999999999995</v>
      </c>
      <c r="Q14" s="60">
        <v>9.41</v>
      </c>
      <c r="R14" s="198"/>
      <c r="S14" s="198"/>
      <c r="T14" s="198"/>
      <c r="U14" s="198"/>
    </row>
    <row r="15" spans="1:21" s="12" customFormat="1" x14ac:dyDescent="0.25">
      <c r="A15" s="63">
        <v>45809.072916666664</v>
      </c>
      <c r="B15" s="60">
        <v>19.46</v>
      </c>
      <c r="C15" s="60">
        <v>32.39</v>
      </c>
      <c r="D15" s="60">
        <v>32.14</v>
      </c>
      <c r="E15" s="60">
        <v>4.75</v>
      </c>
      <c r="F15" s="60">
        <v>5.56</v>
      </c>
      <c r="G15" s="60">
        <v>52.1</v>
      </c>
      <c r="H15" s="60">
        <v>22.87</v>
      </c>
      <c r="I15" s="60">
        <v>3.99</v>
      </c>
      <c r="J15" s="60">
        <v>0.04</v>
      </c>
      <c r="K15" s="60">
        <v>268.04000000000002</v>
      </c>
      <c r="L15" s="60">
        <v>24.9</v>
      </c>
      <c r="M15" s="60">
        <v>100.93</v>
      </c>
      <c r="N15" s="60">
        <v>26.3</v>
      </c>
      <c r="O15" s="60">
        <v>0</v>
      </c>
      <c r="P15" s="60">
        <v>0.62</v>
      </c>
      <c r="Q15" s="60">
        <v>9.41</v>
      </c>
      <c r="R15" s="198"/>
      <c r="S15" s="198"/>
      <c r="T15" s="198"/>
      <c r="U15" s="198"/>
    </row>
    <row r="16" spans="1:21" s="12" customFormat="1" x14ac:dyDescent="0.25">
      <c r="A16" s="63">
        <v>45809.083333333336</v>
      </c>
      <c r="B16" s="60">
        <v>10.49</v>
      </c>
      <c r="C16" s="60">
        <v>25.85</v>
      </c>
      <c r="D16" s="60">
        <v>33.380000000000003</v>
      </c>
      <c r="E16" s="60">
        <v>4.4000000000000004</v>
      </c>
      <c r="F16" s="60">
        <v>4.32</v>
      </c>
      <c r="G16" s="60">
        <v>52.1</v>
      </c>
      <c r="H16" s="60">
        <v>22.87</v>
      </c>
      <c r="I16" s="60">
        <v>3.99</v>
      </c>
      <c r="J16" s="60">
        <v>0.06</v>
      </c>
      <c r="K16" s="60">
        <v>82.48</v>
      </c>
      <c r="L16" s="60">
        <v>24.86</v>
      </c>
      <c r="M16" s="60">
        <v>100.93</v>
      </c>
      <c r="N16" s="60">
        <v>26.2</v>
      </c>
      <c r="O16" s="60">
        <v>0</v>
      </c>
      <c r="P16" s="60">
        <v>0.6</v>
      </c>
      <c r="Q16" s="60">
        <v>9.43</v>
      </c>
      <c r="R16" s="198"/>
      <c r="S16" s="198"/>
      <c r="T16" s="198"/>
      <c r="U16" s="198"/>
    </row>
    <row r="17" spans="1:21" s="12" customFormat="1" x14ac:dyDescent="0.25">
      <c r="A17" s="63">
        <v>45809.09375</v>
      </c>
      <c r="B17" s="60">
        <v>30.05</v>
      </c>
      <c r="C17" s="60">
        <v>42.95</v>
      </c>
      <c r="D17" s="60">
        <v>36.090000000000003</v>
      </c>
      <c r="E17" s="60">
        <v>4.58</v>
      </c>
      <c r="F17" s="60">
        <v>4.24</v>
      </c>
      <c r="G17" s="60">
        <v>49.02</v>
      </c>
      <c r="H17" s="60">
        <v>17.84</v>
      </c>
      <c r="I17" s="60">
        <v>4.0599999999999996</v>
      </c>
      <c r="J17" s="60">
        <v>0.09</v>
      </c>
      <c r="K17" s="60">
        <v>216.4</v>
      </c>
      <c r="L17" s="60">
        <v>24.81</v>
      </c>
      <c r="M17" s="60">
        <v>100.98</v>
      </c>
      <c r="N17" s="60">
        <v>26.1</v>
      </c>
      <c r="O17" s="60">
        <v>0</v>
      </c>
      <c r="P17" s="60">
        <v>0.59</v>
      </c>
      <c r="Q17" s="60">
        <v>9.4499999999999993</v>
      </c>
      <c r="R17" s="198"/>
      <c r="S17" s="198"/>
      <c r="T17" s="198"/>
      <c r="U17" s="198"/>
    </row>
    <row r="18" spans="1:21" s="12" customFormat="1" x14ac:dyDescent="0.25">
      <c r="A18" s="63">
        <v>45809.104166666664</v>
      </c>
      <c r="B18" s="60">
        <v>18.350000000000001</v>
      </c>
      <c r="C18" s="60">
        <v>32.49</v>
      </c>
      <c r="D18" s="60">
        <v>34.01</v>
      </c>
      <c r="E18" s="60">
        <v>4.7699999999999996</v>
      </c>
      <c r="F18" s="60">
        <v>4.1399999999999997</v>
      </c>
      <c r="G18" s="60">
        <v>47.63</v>
      </c>
      <c r="H18" s="60">
        <v>15.68</v>
      </c>
      <c r="I18" s="60">
        <v>4.08</v>
      </c>
      <c r="J18" s="60">
        <v>7.0000000000000007E-2</v>
      </c>
      <c r="K18" s="60">
        <v>263.22000000000003</v>
      </c>
      <c r="L18" s="60">
        <v>24.69</v>
      </c>
      <c r="M18" s="60">
        <v>101.02</v>
      </c>
      <c r="N18" s="60">
        <v>26.2</v>
      </c>
      <c r="O18" s="60">
        <v>0</v>
      </c>
      <c r="P18" s="60">
        <v>0.62</v>
      </c>
      <c r="Q18" s="60">
        <v>9.48</v>
      </c>
      <c r="R18" s="198"/>
      <c r="S18" s="198"/>
      <c r="T18" s="198"/>
      <c r="U18" s="198"/>
    </row>
    <row r="19" spans="1:21" s="12" customFormat="1" x14ac:dyDescent="0.25">
      <c r="A19" s="63">
        <v>45809.114583333336</v>
      </c>
      <c r="B19" s="60">
        <v>36.39</v>
      </c>
      <c r="C19" s="60">
        <v>48.39</v>
      </c>
      <c r="D19" s="60">
        <v>36.770000000000003</v>
      </c>
      <c r="E19" s="60">
        <v>4.8099999999999996</v>
      </c>
      <c r="F19" s="60">
        <v>3.59</v>
      </c>
      <c r="G19" s="60">
        <v>47.63</v>
      </c>
      <c r="H19" s="60">
        <v>15.68</v>
      </c>
      <c r="I19" s="60">
        <v>3.98</v>
      </c>
      <c r="J19" s="60">
        <v>7.0000000000000007E-2</v>
      </c>
      <c r="K19" s="60">
        <v>319.24</v>
      </c>
      <c r="L19" s="60">
        <v>24.64</v>
      </c>
      <c r="M19" s="60">
        <v>101.04</v>
      </c>
      <c r="N19" s="60">
        <v>26.2</v>
      </c>
      <c r="O19" s="60">
        <v>0</v>
      </c>
      <c r="P19" s="60">
        <v>0.63</v>
      </c>
      <c r="Q19" s="60">
        <v>9.52</v>
      </c>
      <c r="R19" s="198"/>
      <c r="S19" s="198"/>
      <c r="T19" s="198"/>
      <c r="U19" s="198"/>
    </row>
    <row r="20" spans="1:21" s="12" customFormat="1" x14ac:dyDescent="0.25">
      <c r="A20" s="63">
        <v>45809.125</v>
      </c>
      <c r="B20" s="60">
        <v>27.91</v>
      </c>
      <c r="C20" s="60">
        <v>39.47</v>
      </c>
      <c r="D20" s="60">
        <v>32.700000000000003</v>
      </c>
      <c r="E20" s="60">
        <v>5.21</v>
      </c>
      <c r="F20" s="60">
        <v>3.86</v>
      </c>
      <c r="G20" s="60">
        <v>47.63</v>
      </c>
      <c r="H20" s="60">
        <v>15.68</v>
      </c>
      <c r="I20" s="60">
        <v>3.98</v>
      </c>
      <c r="J20" s="60">
        <v>0.26</v>
      </c>
      <c r="K20" s="60">
        <v>163.75</v>
      </c>
      <c r="L20" s="60">
        <v>24.65</v>
      </c>
      <c r="M20" s="60">
        <v>101.03</v>
      </c>
      <c r="N20" s="60">
        <v>26</v>
      </c>
      <c r="O20" s="60">
        <v>0</v>
      </c>
      <c r="P20" s="60">
        <v>0.63</v>
      </c>
      <c r="Q20" s="60">
        <v>9.56</v>
      </c>
      <c r="R20" s="198"/>
      <c r="S20" s="198"/>
      <c r="T20" s="198"/>
      <c r="U20" s="198"/>
    </row>
    <row r="21" spans="1:21" s="12" customFormat="1" x14ac:dyDescent="0.25">
      <c r="A21" s="63">
        <v>45809.135416666664</v>
      </c>
      <c r="B21" s="60">
        <v>15.8</v>
      </c>
      <c r="C21" s="60">
        <v>25.02</v>
      </c>
      <c r="D21" s="60">
        <v>23.64</v>
      </c>
      <c r="E21" s="60">
        <v>5.05</v>
      </c>
      <c r="F21" s="60">
        <v>4.7</v>
      </c>
      <c r="G21" s="60">
        <v>47.98</v>
      </c>
      <c r="H21" s="60">
        <v>19.350000000000001</v>
      </c>
      <c r="I21" s="60">
        <v>4.24</v>
      </c>
      <c r="J21" s="60">
        <v>0.09</v>
      </c>
      <c r="K21" s="60">
        <v>174.98</v>
      </c>
      <c r="L21" s="60">
        <v>24.52</v>
      </c>
      <c r="M21" s="60">
        <v>101.04</v>
      </c>
      <c r="N21" s="60">
        <v>26.2</v>
      </c>
      <c r="O21" s="60">
        <v>0</v>
      </c>
      <c r="P21" s="60">
        <v>0.48</v>
      </c>
      <c r="Q21" s="60">
        <v>9.59</v>
      </c>
      <c r="R21" s="198"/>
      <c r="S21" s="198"/>
      <c r="T21" s="198"/>
      <c r="U21" s="198"/>
    </row>
    <row r="22" spans="1:21" s="12" customFormat="1" x14ac:dyDescent="0.25">
      <c r="A22" s="63">
        <v>45809.145833333336</v>
      </c>
      <c r="B22" s="60">
        <v>21.53</v>
      </c>
      <c r="C22" s="60">
        <v>30.79</v>
      </c>
      <c r="D22" s="60">
        <v>25.88</v>
      </c>
      <c r="E22" s="60">
        <v>4.92</v>
      </c>
      <c r="F22" s="60">
        <v>4.7300000000000004</v>
      </c>
      <c r="G22" s="60">
        <v>48.14</v>
      </c>
      <c r="H22" s="60">
        <v>21</v>
      </c>
      <c r="I22" s="60">
        <v>4.16</v>
      </c>
      <c r="J22" s="60">
        <v>0.17</v>
      </c>
      <c r="K22" s="60">
        <v>184.12</v>
      </c>
      <c r="L22" s="60">
        <v>24.38</v>
      </c>
      <c r="M22" s="60">
        <v>101.02</v>
      </c>
      <c r="N22" s="60">
        <v>26.2</v>
      </c>
      <c r="O22" s="60">
        <v>0</v>
      </c>
      <c r="P22" s="60">
        <v>0.48</v>
      </c>
      <c r="Q22" s="60">
        <v>9.6199999999999992</v>
      </c>
      <c r="R22" s="198"/>
      <c r="S22" s="198"/>
      <c r="T22" s="198"/>
      <c r="U22" s="198"/>
    </row>
    <row r="23" spans="1:21" s="12" customFormat="1" x14ac:dyDescent="0.25">
      <c r="A23" s="63">
        <v>45809.15625</v>
      </c>
      <c r="B23" s="60">
        <v>18.8</v>
      </c>
      <c r="C23" s="60">
        <v>25.81</v>
      </c>
      <c r="D23" s="60">
        <v>20.55</v>
      </c>
      <c r="E23" s="60">
        <v>4.8499999999999996</v>
      </c>
      <c r="F23" s="60">
        <v>4.08</v>
      </c>
      <c r="G23" s="60">
        <v>48.14</v>
      </c>
      <c r="H23" s="60">
        <v>21</v>
      </c>
      <c r="I23" s="60">
        <v>4.05</v>
      </c>
      <c r="J23" s="60">
        <v>0.15</v>
      </c>
      <c r="K23" s="60">
        <v>197.92</v>
      </c>
      <c r="L23" s="60">
        <v>24.24</v>
      </c>
      <c r="M23" s="60">
        <v>100.99</v>
      </c>
      <c r="N23" s="60">
        <v>26.1</v>
      </c>
      <c r="O23" s="60">
        <v>0</v>
      </c>
      <c r="P23" s="60">
        <v>0.6</v>
      </c>
      <c r="Q23" s="60">
        <v>9.6199999999999992</v>
      </c>
      <c r="R23" s="198"/>
      <c r="S23" s="198"/>
      <c r="T23" s="198"/>
      <c r="U23" s="198"/>
    </row>
    <row r="24" spans="1:21" s="12" customFormat="1" x14ac:dyDescent="0.25">
      <c r="A24" s="63">
        <v>45809.166666666664</v>
      </c>
      <c r="B24" s="60">
        <v>17.850000000000001</v>
      </c>
      <c r="C24" s="60">
        <v>24.71</v>
      </c>
      <c r="D24" s="60">
        <v>19.899999999999999</v>
      </c>
      <c r="E24" s="60">
        <v>5.15</v>
      </c>
      <c r="F24" s="60">
        <v>4.29</v>
      </c>
      <c r="G24" s="60">
        <v>48.14</v>
      </c>
      <c r="H24" s="60">
        <v>21</v>
      </c>
      <c r="I24" s="60">
        <v>3.93</v>
      </c>
      <c r="J24" s="60">
        <v>0.06</v>
      </c>
      <c r="K24" s="60">
        <v>228.31</v>
      </c>
      <c r="L24" s="60">
        <v>24.12</v>
      </c>
      <c r="M24" s="60">
        <v>100.96</v>
      </c>
      <c r="N24" s="60">
        <v>26.1</v>
      </c>
      <c r="O24" s="60">
        <v>0</v>
      </c>
      <c r="P24" s="60">
        <v>0.55000000000000004</v>
      </c>
      <c r="Q24" s="60">
        <v>9.6</v>
      </c>
      <c r="R24" s="198"/>
      <c r="S24" s="198"/>
      <c r="T24" s="198"/>
      <c r="U24" s="198"/>
    </row>
    <row r="25" spans="1:21" s="12" customFormat="1" x14ac:dyDescent="0.25">
      <c r="A25" s="63">
        <v>45809.177083333336</v>
      </c>
      <c r="B25" s="60">
        <v>22.63</v>
      </c>
      <c r="C25" s="60">
        <v>29.82</v>
      </c>
      <c r="D25" s="60">
        <v>22.33</v>
      </c>
      <c r="E25" s="60">
        <v>4.93</v>
      </c>
      <c r="F25" s="60">
        <v>3.43</v>
      </c>
      <c r="G25" s="60">
        <v>47.31</v>
      </c>
      <c r="H25" s="60">
        <v>18.02</v>
      </c>
      <c r="I25" s="60">
        <v>3.99</v>
      </c>
      <c r="J25" s="60">
        <v>0.19</v>
      </c>
      <c r="K25" s="60">
        <v>176.4</v>
      </c>
      <c r="L25" s="60">
        <v>23.97</v>
      </c>
      <c r="M25" s="60">
        <v>100.98</v>
      </c>
      <c r="N25" s="60">
        <v>26.1</v>
      </c>
      <c r="O25" s="60">
        <v>0</v>
      </c>
      <c r="P25" s="60">
        <v>0.54</v>
      </c>
      <c r="Q25" s="60">
        <v>9.61</v>
      </c>
      <c r="R25" s="198"/>
      <c r="S25" s="198"/>
      <c r="T25" s="198"/>
      <c r="U25" s="198"/>
    </row>
    <row r="26" spans="1:21" s="12" customFormat="1" x14ac:dyDescent="0.25">
      <c r="A26" s="63">
        <v>45809.1875</v>
      </c>
      <c r="B26" s="60">
        <v>17.829999999999998</v>
      </c>
      <c r="C26" s="60">
        <v>24.97</v>
      </c>
      <c r="D26" s="60">
        <v>20.420000000000002</v>
      </c>
      <c r="E26" s="60">
        <v>4.74</v>
      </c>
      <c r="F26" s="60">
        <v>3.95</v>
      </c>
      <c r="G26" s="60">
        <v>46.93</v>
      </c>
      <c r="H26" s="60">
        <v>16.68</v>
      </c>
      <c r="I26" s="60">
        <v>4.08</v>
      </c>
      <c r="J26" s="60">
        <v>0.1</v>
      </c>
      <c r="K26" s="60">
        <v>197.92</v>
      </c>
      <c r="L26" s="60">
        <v>23.86</v>
      </c>
      <c r="M26" s="60">
        <v>101</v>
      </c>
      <c r="N26" s="60">
        <v>26.1</v>
      </c>
      <c r="O26" s="60">
        <v>0</v>
      </c>
      <c r="P26" s="60">
        <v>0.55000000000000004</v>
      </c>
      <c r="Q26" s="60">
        <v>9.61</v>
      </c>
      <c r="R26" s="198"/>
      <c r="S26" s="198"/>
      <c r="T26" s="198"/>
      <c r="U26" s="198"/>
    </row>
    <row r="27" spans="1:21" s="12" customFormat="1" x14ac:dyDescent="0.25">
      <c r="A27" s="63">
        <v>45809.197916666664</v>
      </c>
      <c r="B27" s="60">
        <v>18.239999999999998</v>
      </c>
      <c r="C27" s="60">
        <v>24.81</v>
      </c>
      <c r="D27" s="60">
        <v>19.5</v>
      </c>
      <c r="E27" s="60">
        <v>5.04</v>
      </c>
      <c r="F27" s="60">
        <v>4.2</v>
      </c>
      <c r="G27" s="60">
        <v>46.93</v>
      </c>
      <c r="H27" s="60">
        <v>16.68</v>
      </c>
      <c r="I27" s="60">
        <v>3.94</v>
      </c>
      <c r="J27" s="60">
        <v>0.15</v>
      </c>
      <c r="K27" s="60">
        <v>184.81</v>
      </c>
      <c r="L27" s="60">
        <v>23.8</v>
      </c>
      <c r="M27" s="60">
        <v>101</v>
      </c>
      <c r="N27" s="60">
        <v>26.1</v>
      </c>
      <c r="O27" s="60">
        <v>0</v>
      </c>
      <c r="P27" s="60">
        <v>0.55000000000000004</v>
      </c>
      <c r="Q27" s="60">
        <v>9.6300000000000008</v>
      </c>
      <c r="R27" s="198"/>
      <c r="S27" s="198"/>
      <c r="T27" s="198"/>
      <c r="U27" s="198"/>
    </row>
    <row r="28" spans="1:21" s="12" customFormat="1" x14ac:dyDescent="0.25">
      <c r="A28" s="63">
        <v>45809.208333333336</v>
      </c>
      <c r="B28" s="60">
        <v>16.61</v>
      </c>
      <c r="C28" s="60">
        <v>23.38</v>
      </c>
      <c r="D28" s="60">
        <v>19.260000000000002</v>
      </c>
      <c r="E28" s="60">
        <v>4.84</v>
      </c>
      <c r="F28" s="60">
        <v>3.45</v>
      </c>
      <c r="G28" s="60">
        <v>46.93</v>
      </c>
      <c r="H28" s="60">
        <v>16.68</v>
      </c>
      <c r="I28" s="60">
        <v>4.0199999999999996</v>
      </c>
      <c r="J28" s="60">
        <v>0.14000000000000001</v>
      </c>
      <c r="K28" s="60">
        <v>202.67</v>
      </c>
      <c r="L28" s="60">
        <v>23.76</v>
      </c>
      <c r="M28" s="60">
        <v>101.01</v>
      </c>
      <c r="N28" s="60">
        <v>26.1</v>
      </c>
      <c r="O28" s="60">
        <v>0</v>
      </c>
      <c r="P28" s="60">
        <v>0.51</v>
      </c>
      <c r="Q28" s="60">
        <v>9.6300000000000008</v>
      </c>
      <c r="R28" s="198"/>
      <c r="S28" s="198"/>
      <c r="T28" s="198"/>
      <c r="U28" s="198"/>
    </row>
    <row r="29" spans="1:21" s="12" customFormat="1" x14ac:dyDescent="0.25">
      <c r="A29" s="63">
        <v>45809.21875</v>
      </c>
      <c r="B29" s="60">
        <v>16.27</v>
      </c>
      <c r="C29" s="60">
        <v>22.93</v>
      </c>
      <c r="D29" s="60">
        <v>18.899999999999999</v>
      </c>
      <c r="E29" s="60">
        <v>4.4000000000000004</v>
      </c>
      <c r="F29" s="60">
        <v>3.53</v>
      </c>
      <c r="G29" s="60">
        <v>43.61</v>
      </c>
      <c r="H29" s="60">
        <v>14.62</v>
      </c>
      <c r="I29" s="60">
        <v>3.96</v>
      </c>
      <c r="J29" s="60">
        <v>0.09</v>
      </c>
      <c r="K29" s="60">
        <v>221.49</v>
      </c>
      <c r="L29" s="60">
        <v>23.77</v>
      </c>
      <c r="M29" s="60">
        <v>101.01</v>
      </c>
      <c r="N29" s="60">
        <v>27.3</v>
      </c>
      <c r="O29" s="60">
        <v>0</v>
      </c>
      <c r="P29" s="60">
        <v>0.51</v>
      </c>
      <c r="Q29" s="60">
        <v>9.6300000000000008</v>
      </c>
      <c r="R29" s="198"/>
      <c r="S29" s="198"/>
      <c r="T29" s="198"/>
      <c r="U29" s="198"/>
    </row>
    <row r="30" spans="1:21" s="12" customFormat="1" x14ac:dyDescent="0.25">
      <c r="A30" s="63">
        <v>45809.229166666664</v>
      </c>
      <c r="B30" s="60">
        <v>16.809999999999999</v>
      </c>
      <c r="C30" s="60">
        <v>23.5</v>
      </c>
      <c r="D30" s="60">
        <v>19.18</v>
      </c>
      <c r="E30" s="60">
        <v>4.76</v>
      </c>
      <c r="F30" s="60">
        <v>4.22</v>
      </c>
      <c r="G30" s="60">
        <v>42.12</v>
      </c>
      <c r="H30" s="60">
        <v>13.68</v>
      </c>
      <c r="I30" s="60">
        <v>4.0999999999999996</v>
      </c>
      <c r="J30" s="60">
        <v>7.0000000000000007E-2</v>
      </c>
      <c r="K30" s="60">
        <v>223.75</v>
      </c>
      <c r="L30" s="60">
        <v>23.85</v>
      </c>
      <c r="M30" s="60">
        <v>101.02</v>
      </c>
      <c r="N30" s="60">
        <v>32.700000000000003</v>
      </c>
      <c r="O30" s="60">
        <v>0</v>
      </c>
      <c r="P30" s="60">
        <v>0.52</v>
      </c>
      <c r="Q30" s="60">
        <v>9.6199999999999992</v>
      </c>
      <c r="R30" s="198"/>
      <c r="S30" s="198"/>
      <c r="T30" s="198"/>
      <c r="U30" s="198"/>
    </row>
    <row r="31" spans="1:21" s="12" customFormat="1" x14ac:dyDescent="0.25">
      <c r="A31" s="63">
        <v>45809.239583333336</v>
      </c>
      <c r="B31" s="60">
        <v>15.34</v>
      </c>
      <c r="C31" s="60">
        <v>22.41</v>
      </c>
      <c r="D31" s="60">
        <v>19.350000000000001</v>
      </c>
      <c r="E31" s="60">
        <v>4.54</v>
      </c>
      <c r="F31" s="60">
        <v>3.74</v>
      </c>
      <c r="G31" s="60">
        <v>42.12</v>
      </c>
      <c r="H31" s="60">
        <v>13.68</v>
      </c>
      <c r="I31" s="60">
        <v>4.12</v>
      </c>
      <c r="J31" s="60">
        <v>0.13</v>
      </c>
      <c r="K31" s="60">
        <v>196.77</v>
      </c>
      <c r="L31" s="60">
        <v>23.9</v>
      </c>
      <c r="M31" s="60">
        <v>101.03</v>
      </c>
      <c r="N31" s="60">
        <v>44.1</v>
      </c>
      <c r="O31" s="60">
        <v>0</v>
      </c>
      <c r="P31" s="60">
        <v>0.49</v>
      </c>
      <c r="Q31" s="60">
        <v>9.61</v>
      </c>
      <c r="R31" s="198"/>
      <c r="S31" s="198"/>
      <c r="T31" s="198"/>
      <c r="U31" s="198"/>
    </row>
    <row r="32" spans="1:21" s="12" customFormat="1" x14ac:dyDescent="0.25">
      <c r="A32" s="63">
        <v>45809.25</v>
      </c>
      <c r="B32" s="60">
        <v>17.510000000000002</v>
      </c>
      <c r="C32" s="60">
        <v>23.67</v>
      </c>
      <c r="D32" s="60">
        <v>18.43</v>
      </c>
      <c r="E32" s="60">
        <v>4.8</v>
      </c>
      <c r="F32" s="60">
        <v>5.24</v>
      </c>
      <c r="G32" s="60">
        <v>42.12</v>
      </c>
      <c r="H32" s="60">
        <v>13.68</v>
      </c>
      <c r="I32" s="60">
        <v>4.04</v>
      </c>
      <c r="J32" s="60">
        <v>0.2</v>
      </c>
      <c r="K32" s="60">
        <v>212.29</v>
      </c>
      <c r="L32" s="60">
        <v>24.01</v>
      </c>
      <c r="M32" s="60">
        <v>101.05</v>
      </c>
      <c r="N32" s="60">
        <v>61.3</v>
      </c>
      <c r="O32" s="60">
        <v>0</v>
      </c>
      <c r="P32" s="60">
        <v>0.52</v>
      </c>
      <c r="Q32" s="60">
        <v>9.6</v>
      </c>
      <c r="R32" s="198"/>
      <c r="S32" s="198"/>
      <c r="T32" s="198"/>
      <c r="U32" s="198"/>
    </row>
    <row r="33" spans="1:21" s="12" customFormat="1" x14ac:dyDescent="0.25">
      <c r="A33" s="63">
        <v>45809.260416666664</v>
      </c>
      <c r="B33" s="60">
        <v>13.01</v>
      </c>
      <c r="C33" s="60">
        <v>21.74</v>
      </c>
      <c r="D33" s="60">
        <v>21.64</v>
      </c>
      <c r="E33" s="60">
        <v>4.72</v>
      </c>
      <c r="F33" s="60">
        <v>7.96</v>
      </c>
      <c r="G33" s="60">
        <v>42.59</v>
      </c>
      <c r="H33" s="60">
        <v>12.89</v>
      </c>
      <c r="I33" s="60">
        <v>3.98</v>
      </c>
      <c r="J33" s="60">
        <v>0.09</v>
      </c>
      <c r="K33" s="60">
        <v>242.61</v>
      </c>
      <c r="L33" s="60">
        <v>24.21</v>
      </c>
      <c r="M33" s="60">
        <v>101.02</v>
      </c>
      <c r="N33" s="60">
        <v>91.1</v>
      </c>
      <c r="O33" s="60">
        <v>0</v>
      </c>
      <c r="P33" s="60">
        <v>0.46</v>
      </c>
      <c r="Q33" s="60">
        <v>9.59</v>
      </c>
      <c r="R33" s="198"/>
      <c r="S33" s="198"/>
      <c r="T33" s="198"/>
      <c r="U33" s="198"/>
    </row>
    <row r="34" spans="1:21" s="12" customFormat="1" x14ac:dyDescent="0.25">
      <c r="A34" s="63">
        <v>45809.270833333336</v>
      </c>
      <c r="B34" s="60">
        <v>13.66</v>
      </c>
      <c r="C34" s="60">
        <v>23.18</v>
      </c>
      <c r="D34" s="60">
        <v>23.4</v>
      </c>
      <c r="E34" s="60">
        <v>4.83</v>
      </c>
      <c r="F34" s="60">
        <v>7.61</v>
      </c>
      <c r="G34" s="60">
        <v>42.81</v>
      </c>
      <c r="H34" s="60">
        <v>12.56</v>
      </c>
      <c r="I34" s="60">
        <v>3.96</v>
      </c>
      <c r="J34" s="60">
        <v>0.09</v>
      </c>
      <c r="K34" s="60">
        <v>280.67</v>
      </c>
      <c r="L34" s="60">
        <v>24.82</v>
      </c>
      <c r="M34" s="60">
        <v>100.98</v>
      </c>
      <c r="N34" s="60">
        <v>127.6</v>
      </c>
      <c r="O34" s="60">
        <v>0</v>
      </c>
      <c r="P34" s="60">
        <v>0.47</v>
      </c>
      <c r="Q34" s="60">
        <v>9.61</v>
      </c>
      <c r="R34" s="198"/>
      <c r="S34" s="198"/>
      <c r="T34" s="198"/>
      <c r="U34" s="198"/>
    </row>
    <row r="35" spans="1:21" s="12" customFormat="1" x14ac:dyDescent="0.25">
      <c r="A35" s="63">
        <v>45809.28125</v>
      </c>
      <c r="B35" s="60">
        <v>19.8</v>
      </c>
      <c r="C35" s="60">
        <v>31.3</v>
      </c>
      <c r="D35" s="60">
        <v>29.52</v>
      </c>
      <c r="E35" s="60">
        <v>4.72</v>
      </c>
      <c r="F35" s="60">
        <v>7.17</v>
      </c>
      <c r="G35" s="60">
        <v>42.81</v>
      </c>
      <c r="H35" s="60">
        <v>12.56</v>
      </c>
      <c r="I35" s="60">
        <v>3.9</v>
      </c>
      <c r="J35" s="60">
        <v>0.12</v>
      </c>
      <c r="K35" s="60">
        <v>277.31</v>
      </c>
      <c r="L35" s="60">
        <v>25.62</v>
      </c>
      <c r="M35" s="60">
        <v>100.87</v>
      </c>
      <c r="N35" s="60">
        <v>168.9</v>
      </c>
      <c r="O35" s="60">
        <v>0</v>
      </c>
      <c r="P35" s="60">
        <v>0.56000000000000005</v>
      </c>
      <c r="Q35" s="60">
        <v>9.61</v>
      </c>
      <c r="R35" s="198"/>
      <c r="S35" s="198"/>
      <c r="T35" s="198"/>
      <c r="U35" s="198"/>
    </row>
    <row r="36" spans="1:21" s="12" customFormat="1" x14ac:dyDescent="0.25">
      <c r="A36" s="63">
        <v>45809.291666666664</v>
      </c>
      <c r="B36" s="60">
        <v>15.18</v>
      </c>
      <c r="C36" s="60">
        <v>25.67</v>
      </c>
      <c r="D36" s="60">
        <v>25.83</v>
      </c>
      <c r="E36" s="60">
        <v>4.51</v>
      </c>
      <c r="F36" s="60">
        <v>7.38</v>
      </c>
      <c r="G36" s="60">
        <v>42.81</v>
      </c>
      <c r="H36" s="60">
        <v>12.56</v>
      </c>
      <c r="I36" s="60">
        <v>4.01</v>
      </c>
      <c r="J36" s="60">
        <v>0.15</v>
      </c>
      <c r="K36" s="60">
        <v>272.68</v>
      </c>
      <c r="L36" s="60">
        <v>26.2</v>
      </c>
      <c r="M36" s="60">
        <v>96.41</v>
      </c>
      <c r="N36" s="60">
        <v>215.9</v>
      </c>
      <c r="O36" s="60">
        <v>0</v>
      </c>
      <c r="P36" s="60">
        <v>0.54</v>
      </c>
      <c r="Q36" s="60">
        <v>9.61</v>
      </c>
      <c r="R36" s="198"/>
      <c r="S36" s="198"/>
      <c r="T36" s="198"/>
      <c r="U36" s="198"/>
    </row>
    <row r="37" spans="1:21" s="12" customFormat="1" x14ac:dyDescent="0.25">
      <c r="A37" s="63">
        <v>45809.302083333336</v>
      </c>
      <c r="B37" s="60">
        <v>15.63</v>
      </c>
      <c r="C37" s="60">
        <v>25.58</v>
      </c>
      <c r="D37" s="60">
        <v>24.98</v>
      </c>
      <c r="E37" s="60">
        <v>4.6500000000000004</v>
      </c>
      <c r="F37" s="60">
        <v>7.11</v>
      </c>
      <c r="G37" s="60">
        <v>42.98</v>
      </c>
      <c r="H37" s="60">
        <v>12.96</v>
      </c>
      <c r="I37" s="60">
        <v>3.98</v>
      </c>
      <c r="J37" s="60">
        <v>0.13</v>
      </c>
      <c r="K37" s="60">
        <v>243.48</v>
      </c>
      <c r="L37" s="60">
        <v>26.69</v>
      </c>
      <c r="M37" s="60">
        <v>89.53</v>
      </c>
      <c r="N37" s="60">
        <v>265.10000000000002</v>
      </c>
      <c r="O37" s="60">
        <v>0</v>
      </c>
      <c r="P37" s="60">
        <v>0.49</v>
      </c>
      <c r="Q37" s="60">
        <v>9.61</v>
      </c>
      <c r="R37" s="198"/>
      <c r="S37" s="198"/>
      <c r="T37" s="198"/>
      <c r="U37" s="198"/>
    </row>
    <row r="38" spans="1:21" s="12" customFormat="1" x14ac:dyDescent="0.25">
      <c r="A38" s="63">
        <v>45809.3125</v>
      </c>
      <c r="B38" s="60">
        <v>14.79</v>
      </c>
      <c r="C38" s="60">
        <v>24.61</v>
      </c>
      <c r="D38" s="60">
        <v>24.41</v>
      </c>
      <c r="E38" s="60">
        <v>4.3499999999999996</v>
      </c>
      <c r="F38" s="60">
        <v>7.19</v>
      </c>
      <c r="G38" s="60">
        <v>43.05</v>
      </c>
      <c r="H38" s="60">
        <v>13.14</v>
      </c>
      <c r="I38" s="60">
        <v>3.99</v>
      </c>
      <c r="J38" s="60">
        <v>0.13</v>
      </c>
      <c r="K38" s="60">
        <v>276.77999999999997</v>
      </c>
      <c r="L38" s="60">
        <v>27.47</v>
      </c>
      <c r="M38" s="60">
        <v>84.1</v>
      </c>
      <c r="N38" s="60">
        <v>320.89999999999998</v>
      </c>
      <c r="O38" s="60">
        <v>0</v>
      </c>
      <c r="P38" s="60">
        <v>0.5</v>
      </c>
      <c r="Q38" s="60">
        <v>9.61</v>
      </c>
      <c r="R38" s="198"/>
      <c r="S38" s="198"/>
      <c r="T38" s="198"/>
      <c r="U38" s="198"/>
    </row>
    <row r="39" spans="1:21" s="12" customFormat="1" x14ac:dyDescent="0.25">
      <c r="A39" s="63">
        <v>45809.322916666664</v>
      </c>
      <c r="B39" s="60">
        <v>15.49</v>
      </c>
      <c r="C39" s="60">
        <v>27.71</v>
      </c>
      <c r="D39" s="60">
        <v>29.25</v>
      </c>
      <c r="E39" s="60">
        <v>4.51</v>
      </c>
      <c r="F39" s="60">
        <v>7.28</v>
      </c>
      <c r="G39" s="60">
        <v>43.05</v>
      </c>
      <c r="H39" s="60">
        <v>13.14</v>
      </c>
      <c r="I39" s="60">
        <v>3.92</v>
      </c>
      <c r="J39" s="60">
        <v>0.16</v>
      </c>
      <c r="K39" s="60">
        <v>271.05</v>
      </c>
      <c r="L39" s="60">
        <v>28.55</v>
      </c>
      <c r="M39" s="60">
        <v>78.3</v>
      </c>
      <c r="N39" s="60">
        <v>373.4</v>
      </c>
      <c r="O39" s="60">
        <v>0</v>
      </c>
      <c r="P39" s="60">
        <v>0.51</v>
      </c>
      <c r="Q39" s="60">
        <v>9.6</v>
      </c>
      <c r="R39" s="198"/>
      <c r="S39" s="198"/>
      <c r="T39" s="198"/>
      <c r="U39" s="198"/>
    </row>
    <row r="40" spans="1:21" s="12" customFormat="1" x14ac:dyDescent="0.25">
      <c r="A40" s="63">
        <v>45809.333333333336</v>
      </c>
      <c r="B40" s="60">
        <v>14.47</v>
      </c>
      <c r="C40" s="60">
        <v>27.16</v>
      </c>
      <c r="D40" s="60">
        <v>29.77</v>
      </c>
      <c r="E40" s="60">
        <v>5.12</v>
      </c>
      <c r="F40" s="60">
        <v>6.34</v>
      </c>
      <c r="G40" s="60">
        <v>43.05</v>
      </c>
      <c r="H40" s="60">
        <v>13.14</v>
      </c>
      <c r="I40" s="60">
        <v>4.0199999999999996</v>
      </c>
      <c r="J40" s="60">
        <v>0.13</v>
      </c>
      <c r="K40" s="60">
        <v>258.13</v>
      </c>
      <c r="L40" s="60">
        <v>28.88</v>
      </c>
      <c r="M40" s="60">
        <v>77.37</v>
      </c>
      <c r="N40" s="60">
        <v>423.7</v>
      </c>
      <c r="O40" s="60">
        <v>0</v>
      </c>
      <c r="P40" s="60">
        <v>0.54</v>
      </c>
      <c r="Q40" s="60">
        <v>9.57</v>
      </c>
      <c r="R40" s="198"/>
      <c r="S40" s="198"/>
      <c r="T40" s="198"/>
      <c r="U40" s="198"/>
    </row>
    <row r="41" spans="1:21" s="12" customFormat="1" x14ac:dyDescent="0.25">
      <c r="A41" s="63">
        <v>45809.34375</v>
      </c>
      <c r="B41" s="60">
        <v>16.059999999999999</v>
      </c>
      <c r="C41" s="60">
        <v>26.06</v>
      </c>
      <c r="D41" s="60">
        <v>25.22</v>
      </c>
      <c r="E41" s="60">
        <v>4.88</v>
      </c>
      <c r="F41" s="60">
        <v>3.88</v>
      </c>
      <c r="G41" s="60">
        <v>44.05</v>
      </c>
      <c r="H41" s="60">
        <v>15.02</v>
      </c>
      <c r="I41" s="60">
        <v>3.91</v>
      </c>
      <c r="J41" s="60">
        <v>0.23</v>
      </c>
      <c r="K41" s="60">
        <v>276.24</v>
      </c>
      <c r="L41" s="60">
        <v>30.17</v>
      </c>
      <c r="M41" s="60">
        <v>71.73</v>
      </c>
      <c r="N41" s="60">
        <v>475.3</v>
      </c>
      <c r="O41" s="60">
        <v>0</v>
      </c>
      <c r="P41" s="60">
        <v>0.54</v>
      </c>
      <c r="Q41" s="60">
        <v>9.5299999999999994</v>
      </c>
      <c r="R41" s="198"/>
      <c r="S41" s="198"/>
      <c r="T41" s="198"/>
      <c r="U41" s="198"/>
    </row>
    <row r="42" spans="1:21" s="12" customFormat="1" x14ac:dyDescent="0.25">
      <c r="A42" s="63">
        <v>45809.354166666664</v>
      </c>
      <c r="B42" s="60">
        <v>15.63</v>
      </c>
      <c r="C42" s="60">
        <v>24.88</v>
      </c>
      <c r="D42" s="60">
        <v>23.63</v>
      </c>
      <c r="E42" s="60">
        <v>5.22</v>
      </c>
      <c r="F42" s="60">
        <v>3.67</v>
      </c>
      <c r="G42" s="60">
        <v>44.5</v>
      </c>
      <c r="H42" s="60">
        <v>15.83</v>
      </c>
      <c r="I42" s="60">
        <v>4.01</v>
      </c>
      <c r="J42" s="60">
        <v>0.21</v>
      </c>
      <c r="K42" s="60">
        <v>273.35000000000002</v>
      </c>
      <c r="L42" s="60">
        <v>29.85</v>
      </c>
      <c r="M42" s="60">
        <v>73.38</v>
      </c>
      <c r="N42" s="60">
        <v>524.9</v>
      </c>
      <c r="O42" s="60">
        <v>0</v>
      </c>
      <c r="P42" s="60">
        <v>0.56000000000000005</v>
      </c>
      <c r="Q42" s="60">
        <v>9.48</v>
      </c>
      <c r="R42" s="198"/>
      <c r="S42" s="198"/>
      <c r="T42" s="198"/>
      <c r="U42" s="198"/>
    </row>
    <row r="43" spans="1:21" s="12" customFormat="1" x14ac:dyDescent="0.25">
      <c r="A43" s="63">
        <v>45809.364583333336</v>
      </c>
      <c r="B43" s="60">
        <v>15.25</v>
      </c>
      <c r="C43" s="60">
        <v>25.43</v>
      </c>
      <c r="D43" s="60">
        <v>25.27</v>
      </c>
      <c r="E43" s="60">
        <v>4.88</v>
      </c>
      <c r="F43" s="60">
        <v>3.47</v>
      </c>
      <c r="G43" s="60">
        <v>44.5</v>
      </c>
      <c r="H43" s="60">
        <v>15.83</v>
      </c>
      <c r="I43" s="60">
        <v>4</v>
      </c>
      <c r="J43" s="60">
        <v>0.28000000000000003</v>
      </c>
      <c r="K43" s="60">
        <v>278.58</v>
      </c>
      <c r="L43" s="60">
        <v>31.17</v>
      </c>
      <c r="M43" s="60">
        <v>68.88</v>
      </c>
      <c r="N43" s="60">
        <v>570.29999999999995</v>
      </c>
      <c r="O43" s="60">
        <v>0</v>
      </c>
      <c r="P43" s="60">
        <v>0.6</v>
      </c>
      <c r="Q43" s="60">
        <v>9.4499999999999993</v>
      </c>
      <c r="R43" s="198"/>
      <c r="S43" s="198"/>
      <c r="T43" s="198"/>
      <c r="U43" s="198"/>
    </row>
    <row r="44" spans="1:21" s="12" customFormat="1" x14ac:dyDescent="0.25">
      <c r="A44" s="63">
        <v>45809.375</v>
      </c>
      <c r="B44" s="60">
        <v>13.93</v>
      </c>
      <c r="C44" s="60">
        <v>24.78</v>
      </c>
      <c r="D44" s="60">
        <v>26.05</v>
      </c>
      <c r="E44" s="60">
        <v>5.25</v>
      </c>
      <c r="F44" s="60">
        <v>3.66</v>
      </c>
      <c r="G44" s="60">
        <v>44.5</v>
      </c>
      <c r="H44" s="60">
        <v>15.83</v>
      </c>
      <c r="I44" s="60">
        <v>4.1399999999999997</v>
      </c>
      <c r="J44" s="60">
        <v>0.32</v>
      </c>
      <c r="K44" s="60">
        <v>277.16000000000003</v>
      </c>
      <c r="L44" s="60">
        <v>32.409999999999997</v>
      </c>
      <c r="M44" s="60">
        <v>62.84</v>
      </c>
      <c r="N44" s="60">
        <v>614.70000000000005</v>
      </c>
      <c r="O44" s="60">
        <v>0</v>
      </c>
      <c r="P44" s="60">
        <v>0.64</v>
      </c>
      <c r="Q44" s="60">
        <v>9.42</v>
      </c>
      <c r="R44" s="198"/>
      <c r="S44" s="198"/>
      <c r="T44" s="198"/>
      <c r="U44" s="198"/>
    </row>
    <row r="45" spans="1:21" s="12" customFormat="1" x14ac:dyDescent="0.25">
      <c r="A45" s="63">
        <v>45809.385416666664</v>
      </c>
      <c r="B45" s="60">
        <v>12.39</v>
      </c>
      <c r="C45" s="60">
        <v>24.83</v>
      </c>
      <c r="D45" s="60">
        <v>28.52</v>
      </c>
      <c r="E45" s="60">
        <v>4.88</v>
      </c>
      <c r="F45" s="60">
        <v>4.47</v>
      </c>
      <c r="G45" s="60">
        <v>51.27</v>
      </c>
      <c r="H45" s="60">
        <v>17.82</v>
      </c>
      <c r="I45" s="60">
        <v>3.95</v>
      </c>
      <c r="J45" s="60">
        <v>0.36</v>
      </c>
      <c r="K45" s="60">
        <v>295.48</v>
      </c>
      <c r="L45" s="60">
        <v>33.01</v>
      </c>
      <c r="M45" s="60">
        <v>61.31</v>
      </c>
      <c r="N45" s="60">
        <v>658.6</v>
      </c>
      <c r="O45" s="60">
        <v>0</v>
      </c>
      <c r="P45" s="60">
        <v>0.69</v>
      </c>
      <c r="Q45" s="60">
        <v>9.39</v>
      </c>
      <c r="R45" s="198"/>
      <c r="S45" s="198"/>
      <c r="T45" s="198"/>
      <c r="U45" s="198"/>
    </row>
    <row r="46" spans="1:21" s="12" customFormat="1" x14ac:dyDescent="0.25">
      <c r="A46" s="63">
        <v>45809.395833333336</v>
      </c>
      <c r="B46" s="60">
        <v>11.29</v>
      </c>
      <c r="C46" s="60">
        <v>23.71</v>
      </c>
      <c r="D46" s="60">
        <v>28.04</v>
      </c>
      <c r="E46" s="60">
        <v>4.79</v>
      </c>
      <c r="F46" s="60">
        <v>4.2300000000000004</v>
      </c>
      <c r="G46" s="60">
        <v>54.33</v>
      </c>
      <c r="H46" s="60">
        <v>18.72</v>
      </c>
      <c r="I46" s="60">
        <v>4.08</v>
      </c>
      <c r="J46" s="60">
        <v>0.41</v>
      </c>
      <c r="K46" s="60">
        <v>285.27999999999997</v>
      </c>
      <c r="L46" s="60">
        <v>33.9</v>
      </c>
      <c r="M46" s="60">
        <v>58.65</v>
      </c>
      <c r="N46" s="60">
        <v>701.6</v>
      </c>
      <c r="O46" s="60">
        <v>0</v>
      </c>
      <c r="P46" s="60">
        <v>0.7</v>
      </c>
      <c r="Q46" s="60">
        <v>9.3699999999999992</v>
      </c>
      <c r="R46" s="198"/>
      <c r="S46" s="198"/>
      <c r="T46" s="198"/>
      <c r="U46" s="198"/>
    </row>
    <row r="47" spans="1:21" s="12" customFormat="1" x14ac:dyDescent="0.25">
      <c r="A47" s="63">
        <v>45809.40625</v>
      </c>
      <c r="B47" s="60">
        <v>10.31</v>
      </c>
      <c r="C47" s="60">
        <v>22.84</v>
      </c>
      <c r="D47" s="60">
        <v>27.89</v>
      </c>
      <c r="E47" s="60">
        <v>4.67</v>
      </c>
      <c r="F47" s="60">
        <v>4.74</v>
      </c>
      <c r="G47" s="60">
        <v>54.33</v>
      </c>
      <c r="H47" s="60">
        <v>18.72</v>
      </c>
      <c r="I47" s="60">
        <v>3.94</v>
      </c>
      <c r="J47" s="60">
        <v>0.46</v>
      </c>
      <c r="K47" s="60">
        <v>293.79000000000002</v>
      </c>
      <c r="L47" s="60">
        <v>34.21</v>
      </c>
      <c r="M47" s="60">
        <v>57.05</v>
      </c>
      <c r="N47" s="60">
        <v>745.7</v>
      </c>
      <c r="O47" s="60">
        <v>0</v>
      </c>
      <c r="P47" s="60">
        <v>0.74</v>
      </c>
      <c r="Q47" s="60">
        <v>9.35</v>
      </c>
      <c r="R47" s="198"/>
      <c r="S47" s="198"/>
      <c r="T47" s="198"/>
      <c r="U47" s="198"/>
    </row>
    <row r="48" spans="1:21" s="12" customFormat="1" x14ac:dyDescent="0.25">
      <c r="A48" s="63">
        <v>45809.416666666664</v>
      </c>
      <c r="B48" s="60">
        <v>9.2100000000000009</v>
      </c>
      <c r="C48" s="60">
        <v>21.73</v>
      </c>
      <c r="D48" s="60">
        <v>27.45</v>
      </c>
      <c r="E48" s="60">
        <v>4.67</v>
      </c>
      <c r="F48" s="60">
        <v>4.7300000000000004</v>
      </c>
      <c r="G48" s="60">
        <v>54.33</v>
      </c>
      <c r="H48" s="60">
        <v>18.72</v>
      </c>
      <c r="I48" s="60">
        <v>4.0199999999999996</v>
      </c>
      <c r="J48" s="60">
        <v>0.56999999999999995</v>
      </c>
      <c r="K48" s="60">
        <v>289.70999999999998</v>
      </c>
      <c r="L48" s="60">
        <v>34.94</v>
      </c>
      <c r="M48" s="60">
        <v>53.7</v>
      </c>
      <c r="N48" s="60">
        <v>783.7</v>
      </c>
      <c r="O48" s="60">
        <v>0</v>
      </c>
      <c r="P48" s="60">
        <v>0.73</v>
      </c>
      <c r="Q48" s="60">
        <v>9.31</v>
      </c>
      <c r="R48" s="198"/>
      <c r="S48" s="198"/>
      <c r="T48" s="198"/>
      <c r="U48" s="198"/>
    </row>
    <row r="49" spans="1:21" s="12" customFormat="1" x14ac:dyDescent="0.25">
      <c r="A49" s="63">
        <v>45809.427083333336</v>
      </c>
      <c r="B49" s="60">
        <v>8.09</v>
      </c>
      <c r="C49" s="60">
        <v>21.97</v>
      </c>
      <c r="D49" s="60">
        <v>29.63</v>
      </c>
      <c r="E49" s="60">
        <v>5.04</v>
      </c>
      <c r="F49" s="60">
        <v>3.77</v>
      </c>
      <c r="G49" s="60">
        <v>60.6</v>
      </c>
      <c r="H49" s="60">
        <v>20.49</v>
      </c>
      <c r="I49" s="60">
        <v>4.0999999999999996</v>
      </c>
      <c r="J49" s="60">
        <v>0.89</v>
      </c>
      <c r="K49" s="60">
        <v>305.44</v>
      </c>
      <c r="L49" s="60">
        <v>34.71</v>
      </c>
      <c r="M49" s="60">
        <v>52.14</v>
      </c>
      <c r="N49" s="60">
        <v>829.8</v>
      </c>
      <c r="O49" s="60">
        <v>0</v>
      </c>
      <c r="P49" s="60">
        <v>0.71</v>
      </c>
      <c r="Q49" s="60">
        <v>9.27</v>
      </c>
      <c r="R49" s="198"/>
      <c r="S49" s="198"/>
      <c r="T49" s="198"/>
      <c r="U49" s="198"/>
    </row>
    <row r="50" spans="1:21" s="12" customFormat="1" x14ac:dyDescent="0.25">
      <c r="A50" s="63">
        <v>45809.4375</v>
      </c>
      <c r="B50" s="60">
        <v>7.9</v>
      </c>
      <c r="C50" s="60">
        <v>21.08</v>
      </c>
      <c r="D50" s="60">
        <v>28.22</v>
      </c>
      <c r="E50" s="60">
        <v>4.87</v>
      </c>
      <c r="F50" s="60">
        <v>4.78</v>
      </c>
      <c r="G50" s="60">
        <v>63.43</v>
      </c>
      <c r="H50" s="60">
        <v>21.29</v>
      </c>
      <c r="I50" s="60">
        <v>4.12</v>
      </c>
      <c r="J50" s="60">
        <v>0.6</v>
      </c>
      <c r="K50" s="60">
        <v>286.64999999999998</v>
      </c>
      <c r="L50" s="60">
        <v>34.5</v>
      </c>
      <c r="M50" s="60">
        <v>49.04</v>
      </c>
      <c r="N50" s="60">
        <v>856.3</v>
      </c>
      <c r="O50" s="60">
        <v>0</v>
      </c>
      <c r="P50" s="60">
        <v>0.65</v>
      </c>
      <c r="Q50" s="60">
        <v>9.25</v>
      </c>
      <c r="R50" s="198"/>
      <c r="S50" s="198"/>
      <c r="T50" s="198"/>
      <c r="U50" s="198"/>
    </row>
    <row r="51" spans="1:21" s="12" customFormat="1" x14ac:dyDescent="0.25">
      <c r="A51" s="63">
        <v>45809.447916666664</v>
      </c>
      <c r="B51" s="60">
        <v>8.1</v>
      </c>
      <c r="C51" s="60">
        <v>20.51</v>
      </c>
      <c r="D51" s="60">
        <v>26.82</v>
      </c>
      <c r="E51" s="60">
        <v>4.54</v>
      </c>
      <c r="F51" s="60">
        <v>5.45</v>
      </c>
      <c r="G51" s="60">
        <v>63.43</v>
      </c>
      <c r="H51" s="60">
        <v>21.29</v>
      </c>
      <c r="I51" s="60">
        <v>3.89</v>
      </c>
      <c r="J51" s="60">
        <v>0.59</v>
      </c>
      <c r="K51" s="60">
        <v>291.95999999999998</v>
      </c>
      <c r="L51" s="60">
        <v>35.15</v>
      </c>
      <c r="M51" s="60">
        <v>48.57</v>
      </c>
      <c r="N51" s="60">
        <v>881.2</v>
      </c>
      <c r="O51" s="60">
        <v>0</v>
      </c>
      <c r="P51" s="60">
        <v>0.62</v>
      </c>
      <c r="Q51" s="60">
        <v>9.23</v>
      </c>
      <c r="R51" s="198"/>
      <c r="S51" s="198"/>
      <c r="T51" s="198"/>
      <c r="U51" s="198"/>
    </row>
    <row r="52" spans="1:21" s="12" customFormat="1" x14ac:dyDescent="0.25">
      <c r="A52" s="63">
        <v>45809.458333333336</v>
      </c>
      <c r="B52" s="60">
        <v>6.56</v>
      </c>
      <c r="C52" s="60">
        <v>18.75</v>
      </c>
      <c r="D52" s="60">
        <v>25.83</v>
      </c>
      <c r="E52" s="60">
        <v>4.6500000000000004</v>
      </c>
      <c r="F52" s="60">
        <v>5.08</v>
      </c>
      <c r="G52" s="60">
        <v>63.43</v>
      </c>
      <c r="H52" s="60">
        <v>21.29</v>
      </c>
      <c r="I52" s="60">
        <v>3.99</v>
      </c>
      <c r="J52" s="60">
        <v>0.71</v>
      </c>
      <c r="K52" s="60">
        <v>290.12</v>
      </c>
      <c r="L52" s="60">
        <v>35.549999999999997</v>
      </c>
      <c r="M52" s="60">
        <v>46.06</v>
      </c>
      <c r="N52" s="60">
        <v>891.9</v>
      </c>
      <c r="O52" s="60">
        <v>0</v>
      </c>
      <c r="P52" s="60">
        <v>0.6</v>
      </c>
      <c r="Q52" s="60">
        <v>9.2100000000000009</v>
      </c>
      <c r="R52" s="198"/>
      <c r="S52" s="198"/>
      <c r="T52" s="198"/>
      <c r="U52" s="198"/>
    </row>
    <row r="53" spans="1:21" s="12" customFormat="1" x14ac:dyDescent="0.25">
      <c r="A53" s="63">
        <v>45809.46875</v>
      </c>
      <c r="B53" s="60">
        <v>6.36</v>
      </c>
      <c r="C53" s="60">
        <v>18.2</v>
      </c>
      <c r="D53" s="60">
        <v>25.07</v>
      </c>
      <c r="E53" s="60">
        <v>4.66</v>
      </c>
      <c r="F53" s="60">
        <v>5.39</v>
      </c>
      <c r="G53" s="60">
        <v>64.599999999999994</v>
      </c>
      <c r="H53" s="60">
        <v>16.73</v>
      </c>
      <c r="I53" s="60">
        <v>4.04</v>
      </c>
      <c r="J53" s="60">
        <v>0.98</v>
      </c>
      <c r="K53" s="60">
        <v>305.02999999999997</v>
      </c>
      <c r="L53" s="60">
        <v>35.119999999999997</v>
      </c>
      <c r="M53" s="60">
        <v>45.27</v>
      </c>
      <c r="N53" s="60">
        <v>903.5</v>
      </c>
      <c r="O53" s="60">
        <v>0</v>
      </c>
      <c r="P53" s="60">
        <v>0.56999999999999995</v>
      </c>
      <c r="Q53" s="60">
        <v>9.2100000000000009</v>
      </c>
      <c r="R53" s="198"/>
      <c r="S53" s="198"/>
      <c r="T53" s="198"/>
      <c r="U53" s="198"/>
    </row>
    <row r="54" spans="1:21" s="12" customFormat="1" x14ac:dyDescent="0.25">
      <c r="A54" s="63">
        <v>45809.479166666664</v>
      </c>
      <c r="B54" s="60">
        <v>6.81</v>
      </c>
      <c r="C54" s="60">
        <v>18.8</v>
      </c>
      <c r="D54" s="60">
        <v>25.52</v>
      </c>
      <c r="E54" s="60">
        <v>4.62</v>
      </c>
      <c r="F54" s="60">
        <v>7.34</v>
      </c>
      <c r="G54" s="60">
        <v>65.13</v>
      </c>
      <c r="H54" s="60">
        <v>13.84</v>
      </c>
      <c r="I54" s="60">
        <v>4.1399999999999997</v>
      </c>
      <c r="J54" s="60">
        <v>0.85</v>
      </c>
      <c r="K54" s="60">
        <v>305.83</v>
      </c>
      <c r="L54" s="60">
        <v>35.28</v>
      </c>
      <c r="M54" s="60">
        <v>45.46</v>
      </c>
      <c r="N54" s="60">
        <v>908.5</v>
      </c>
      <c r="O54" s="60">
        <v>0</v>
      </c>
      <c r="P54" s="60">
        <v>0.55000000000000004</v>
      </c>
      <c r="Q54" s="60">
        <v>9.2100000000000009</v>
      </c>
      <c r="R54" s="198"/>
      <c r="S54" s="198"/>
      <c r="T54" s="198"/>
      <c r="U54" s="198"/>
    </row>
    <row r="55" spans="1:21" s="12" customFormat="1" x14ac:dyDescent="0.25">
      <c r="A55" s="63">
        <v>45809.489583333336</v>
      </c>
      <c r="B55" s="60">
        <v>6.29</v>
      </c>
      <c r="C55" s="60">
        <v>19.600000000000001</v>
      </c>
      <c r="D55" s="60">
        <v>27.86</v>
      </c>
      <c r="E55" s="60">
        <v>4.95</v>
      </c>
      <c r="F55" s="60">
        <v>7.08</v>
      </c>
      <c r="G55" s="60">
        <v>65.13</v>
      </c>
      <c r="H55" s="60">
        <v>13.84</v>
      </c>
      <c r="I55" s="60">
        <v>4.04</v>
      </c>
      <c r="J55" s="60">
        <v>0.68</v>
      </c>
      <c r="K55" s="60">
        <v>297.69</v>
      </c>
      <c r="L55" s="60">
        <v>35.6</v>
      </c>
      <c r="M55" s="60">
        <v>43.15</v>
      </c>
      <c r="N55" s="60">
        <v>902</v>
      </c>
      <c r="O55" s="60">
        <v>0</v>
      </c>
      <c r="P55" s="60">
        <v>0.53</v>
      </c>
      <c r="Q55" s="60">
        <v>9.1999999999999993</v>
      </c>
      <c r="R55" s="198"/>
      <c r="S55" s="198"/>
      <c r="T55" s="198"/>
      <c r="U55" s="198"/>
    </row>
    <row r="56" spans="1:21" s="12" customFormat="1" x14ac:dyDescent="0.25">
      <c r="A56" s="63">
        <v>45809.5</v>
      </c>
      <c r="B56" s="60">
        <v>5.3</v>
      </c>
      <c r="C56" s="60">
        <v>17.940000000000001</v>
      </c>
      <c r="D56" s="60">
        <v>26.19</v>
      </c>
      <c r="E56" s="60">
        <v>4.8</v>
      </c>
      <c r="F56" s="60">
        <v>5.93</v>
      </c>
      <c r="G56" s="60">
        <v>65.13</v>
      </c>
      <c r="H56" s="60">
        <v>13.84</v>
      </c>
      <c r="I56" s="60">
        <v>4</v>
      </c>
      <c r="J56" s="60">
        <v>0.54</v>
      </c>
      <c r="K56" s="60">
        <v>282.81</v>
      </c>
      <c r="L56" s="60">
        <v>34.700000000000003</v>
      </c>
      <c r="M56" s="60">
        <v>43.39</v>
      </c>
      <c r="N56" s="60">
        <v>864.1</v>
      </c>
      <c r="O56" s="60">
        <v>0</v>
      </c>
      <c r="P56" s="60">
        <v>0.52</v>
      </c>
      <c r="Q56" s="60">
        <v>9.2100000000000009</v>
      </c>
      <c r="R56" s="198"/>
      <c r="S56" s="198"/>
      <c r="T56" s="198"/>
      <c r="U56" s="198"/>
    </row>
    <row r="57" spans="1:21" s="12" customFormat="1" x14ac:dyDescent="0.25">
      <c r="A57" s="63">
        <v>45809.510416666664</v>
      </c>
      <c r="B57" s="60">
        <v>5.29</v>
      </c>
      <c r="C57" s="60">
        <v>17.98</v>
      </c>
      <c r="D57" s="60">
        <v>26.29</v>
      </c>
      <c r="E57" s="60">
        <v>4.71</v>
      </c>
      <c r="F57" s="60">
        <v>8.93</v>
      </c>
      <c r="G57" s="60">
        <v>60.19</v>
      </c>
      <c r="H57" s="60">
        <v>11.1</v>
      </c>
      <c r="I57" s="60">
        <v>4.0199999999999996</v>
      </c>
      <c r="J57" s="60">
        <v>0.35</v>
      </c>
      <c r="K57" s="60">
        <v>279.89</v>
      </c>
      <c r="L57" s="60">
        <v>34.14</v>
      </c>
      <c r="M57" s="60">
        <v>43.87</v>
      </c>
      <c r="N57" s="60">
        <v>863.1</v>
      </c>
      <c r="O57" s="60">
        <v>0</v>
      </c>
      <c r="P57" s="60">
        <v>0.46</v>
      </c>
      <c r="Q57" s="60">
        <v>9.1999999999999993</v>
      </c>
      <c r="R57" s="198"/>
      <c r="S57" s="198"/>
      <c r="T57" s="198"/>
      <c r="U57" s="198"/>
    </row>
    <row r="58" spans="1:21" s="12" customFormat="1" x14ac:dyDescent="0.25">
      <c r="A58" s="63">
        <v>45809.520833333336</v>
      </c>
      <c r="B58" s="60">
        <v>4.97</v>
      </c>
      <c r="C58" s="60">
        <v>17.97</v>
      </c>
      <c r="D58" s="60">
        <v>26.77</v>
      </c>
      <c r="E58" s="60">
        <v>4.62</v>
      </c>
      <c r="F58" s="60">
        <v>5.88</v>
      </c>
      <c r="G58" s="60">
        <v>58.08</v>
      </c>
      <c r="H58" s="60">
        <v>9.27</v>
      </c>
      <c r="I58" s="60">
        <v>4.0199999999999996</v>
      </c>
      <c r="J58" s="60">
        <v>0.95</v>
      </c>
      <c r="K58" s="60">
        <v>303.43</v>
      </c>
      <c r="L58" s="60">
        <v>35.54</v>
      </c>
      <c r="M58" s="60">
        <v>41.44</v>
      </c>
      <c r="N58" s="60">
        <v>831.4</v>
      </c>
      <c r="O58" s="60">
        <v>0</v>
      </c>
      <c r="P58" s="60">
        <v>0.48</v>
      </c>
      <c r="Q58" s="60">
        <v>9.17</v>
      </c>
      <c r="R58" s="198"/>
      <c r="S58" s="198"/>
      <c r="T58" s="198"/>
      <c r="U58" s="198"/>
    </row>
    <row r="59" spans="1:21" s="12" customFormat="1" x14ac:dyDescent="0.25">
      <c r="A59" s="63">
        <v>45809.53125</v>
      </c>
      <c r="B59" s="60">
        <v>4.5999999999999996</v>
      </c>
      <c r="C59" s="60">
        <v>18.100000000000001</v>
      </c>
      <c r="D59" s="60">
        <v>27.58</v>
      </c>
      <c r="E59" s="60">
        <v>4.7</v>
      </c>
      <c r="F59" s="60">
        <v>5.49</v>
      </c>
      <c r="G59" s="60">
        <v>58.08</v>
      </c>
      <c r="H59" s="60">
        <v>9.27</v>
      </c>
      <c r="I59" s="60">
        <v>3.99</v>
      </c>
      <c r="J59" s="60">
        <v>0.64</v>
      </c>
      <c r="K59" s="60">
        <v>285.91000000000003</v>
      </c>
      <c r="L59" s="60">
        <v>35.43</v>
      </c>
      <c r="M59" s="60">
        <v>39.57</v>
      </c>
      <c r="N59" s="60">
        <v>759.6</v>
      </c>
      <c r="O59" s="60">
        <v>0</v>
      </c>
      <c r="P59" s="60">
        <v>0.47</v>
      </c>
      <c r="Q59" s="60">
        <v>9.17</v>
      </c>
      <c r="R59" s="198"/>
      <c r="S59" s="198"/>
      <c r="T59" s="198"/>
      <c r="U59" s="198"/>
    </row>
    <row r="60" spans="1:21" s="12" customFormat="1" x14ac:dyDescent="0.25">
      <c r="A60" s="63">
        <v>45809.541666666664</v>
      </c>
      <c r="B60" s="60">
        <v>4.46</v>
      </c>
      <c r="C60" s="60">
        <v>16.53</v>
      </c>
      <c r="D60" s="60">
        <v>24.79</v>
      </c>
      <c r="E60" s="60">
        <v>4.49</v>
      </c>
      <c r="F60" s="60">
        <v>7.19</v>
      </c>
      <c r="G60" s="60">
        <v>58.08</v>
      </c>
      <c r="H60" s="60">
        <v>9.27</v>
      </c>
      <c r="I60" s="60">
        <v>3.99</v>
      </c>
      <c r="J60" s="60">
        <v>0.47</v>
      </c>
      <c r="K60" s="60">
        <v>287.63</v>
      </c>
      <c r="L60" s="60">
        <v>35.119999999999997</v>
      </c>
      <c r="M60" s="60">
        <v>38.6</v>
      </c>
      <c r="N60" s="60">
        <v>568.6</v>
      </c>
      <c r="O60" s="60">
        <v>0</v>
      </c>
      <c r="P60" s="60">
        <v>0.44</v>
      </c>
      <c r="Q60" s="60">
        <v>9.15</v>
      </c>
      <c r="R60" s="198"/>
      <c r="S60" s="198"/>
      <c r="T60" s="198"/>
      <c r="U60" s="198"/>
    </row>
    <row r="61" spans="1:21" s="12" customFormat="1" x14ac:dyDescent="0.25">
      <c r="A61" s="63">
        <v>45809.552083333336</v>
      </c>
      <c r="B61" s="60">
        <v>4.3</v>
      </c>
      <c r="C61" s="60">
        <v>17.64</v>
      </c>
      <c r="D61" s="60">
        <v>27.17</v>
      </c>
      <c r="E61" s="60">
        <v>4.5</v>
      </c>
      <c r="F61" s="60">
        <v>4.83</v>
      </c>
      <c r="G61" s="60">
        <v>58.3</v>
      </c>
      <c r="H61" s="60">
        <v>7.26</v>
      </c>
      <c r="I61" s="60">
        <v>4.08</v>
      </c>
      <c r="J61" s="60">
        <v>0.59</v>
      </c>
      <c r="K61" s="60">
        <v>292.7</v>
      </c>
      <c r="L61" s="60">
        <v>35.47</v>
      </c>
      <c r="M61" s="60">
        <v>39.18</v>
      </c>
      <c r="N61" s="60">
        <v>563.29999999999995</v>
      </c>
      <c r="O61" s="60">
        <v>0</v>
      </c>
      <c r="P61" s="60">
        <v>0.38</v>
      </c>
      <c r="Q61" s="60">
        <v>9.14</v>
      </c>
      <c r="R61" s="198"/>
      <c r="S61" s="198"/>
      <c r="T61" s="198"/>
      <c r="U61" s="198"/>
    </row>
    <row r="62" spans="1:21" s="12" customFormat="1" x14ac:dyDescent="0.25">
      <c r="A62" s="63">
        <v>45809.5625</v>
      </c>
      <c r="B62" s="60">
        <v>4.3499999999999996</v>
      </c>
      <c r="C62" s="60">
        <v>16.23</v>
      </c>
      <c r="D62" s="60">
        <v>24.4</v>
      </c>
      <c r="E62" s="60">
        <v>4.9400000000000004</v>
      </c>
      <c r="F62" s="60">
        <v>5.94</v>
      </c>
      <c r="G62" s="60">
        <v>58.4</v>
      </c>
      <c r="H62" s="60">
        <v>6.4</v>
      </c>
      <c r="I62" s="60">
        <v>4.0999999999999996</v>
      </c>
      <c r="J62" s="60">
        <v>0.49</v>
      </c>
      <c r="K62" s="60">
        <v>281.33</v>
      </c>
      <c r="L62" s="60">
        <v>34.700000000000003</v>
      </c>
      <c r="M62" s="60">
        <v>37.78</v>
      </c>
      <c r="N62" s="60">
        <v>390.8</v>
      </c>
      <c r="O62" s="60">
        <v>0</v>
      </c>
      <c r="P62" s="60">
        <v>0.43</v>
      </c>
      <c r="Q62" s="60">
        <v>9.14</v>
      </c>
      <c r="R62" s="198"/>
      <c r="S62" s="198"/>
      <c r="T62" s="198"/>
      <c r="U62" s="198"/>
    </row>
    <row r="63" spans="1:21" s="12" customFormat="1" x14ac:dyDescent="0.25">
      <c r="A63" s="63">
        <v>45809.572916666664</v>
      </c>
      <c r="B63" s="60">
        <v>4.2699999999999996</v>
      </c>
      <c r="C63" s="60">
        <v>16.27</v>
      </c>
      <c r="D63" s="60">
        <v>24.59</v>
      </c>
      <c r="E63" s="60">
        <v>4.8600000000000003</v>
      </c>
      <c r="F63" s="60">
        <v>6</v>
      </c>
      <c r="G63" s="60">
        <v>58.4</v>
      </c>
      <c r="H63" s="60">
        <v>6.4</v>
      </c>
      <c r="I63" s="60">
        <v>4.0599999999999996</v>
      </c>
      <c r="J63" s="60">
        <v>0.5</v>
      </c>
      <c r="K63" s="60">
        <v>286.8</v>
      </c>
      <c r="L63" s="60">
        <v>34.729999999999997</v>
      </c>
      <c r="M63" s="60">
        <v>38.729999999999997</v>
      </c>
      <c r="N63" s="60">
        <v>338.6</v>
      </c>
      <c r="O63" s="60">
        <v>0</v>
      </c>
      <c r="P63" s="60">
        <v>0.43</v>
      </c>
      <c r="Q63" s="60">
        <v>9.1300000000000008</v>
      </c>
      <c r="R63" s="198"/>
      <c r="S63" s="198"/>
      <c r="T63" s="198"/>
      <c r="U63" s="198"/>
    </row>
    <row r="64" spans="1:21" s="12" customFormat="1" x14ac:dyDescent="0.25">
      <c r="A64" s="63">
        <v>45809.583333333336</v>
      </c>
      <c r="B64" s="60">
        <v>4.42</v>
      </c>
      <c r="C64" s="60">
        <v>17.739999999999998</v>
      </c>
      <c r="D64" s="60">
        <v>27.18</v>
      </c>
      <c r="E64" s="60">
        <v>4.68</v>
      </c>
      <c r="F64" s="60">
        <v>5.87</v>
      </c>
      <c r="G64" s="60">
        <v>58.4</v>
      </c>
      <c r="H64" s="60">
        <v>6.4</v>
      </c>
      <c r="I64" s="60">
        <v>4.09</v>
      </c>
      <c r="J64" s="60">
        <v>0.49</v>
      </c>
      <c r="K64" s="60">
        <v>285.95999999999998</v>
      </c>
      <c r="L64" s="60">
        <v>34.450000000000003</v>
      </c>
      <c r="M64" s="60">
        <v>39.61</v>
      </c>
      <c r="N64" s="60">
        <v>292.60000000000002</v>
      </c>
      <c r="O64" s="60">
        <v>0</v>
      </c>
      <c r="P64" s="60">
        <v>0.43</v>
      </c>
      <c r="Q64" s="60">
        <v>9.1300000000000008</v>
      </c>
      <c r="R64" s="198"/>
      <c r="S64" s="198"/>
      <c r="T64" s="198"/>
      <c r="U64" s="198"/>
    </row>
    <row r="65" spans="1:21" s="12" customFormat="1" x14ac:dyDescent="0.25">
      <c r="A65" s="63">
        <v>45809.59375</v>
      </c>
      <c r="B65" s="60">
        <v>4.24</v>
      </c>
      <c r="C65" s="60">
        <v>16.309999999999999</v>
      </c>
      <c r="D65" s="60">
        <v>24.7</v>
      </c>
      <c r="E65" s="60">
        <v>4.6399999999999997</v>
      </c>
      <c r="F65" s="60">
        <v>5.79</v>
      </c>
      <c r="G65" s="60">
        <v>62.83</v>
      </c>
      <c r="H65" s="60">
        <v>118.7</v>
      </c>
      <c r="I65" s="60">
        <v>4.01</v>
      </c>
      <c r="J65" s="60">
        <v>0.44</v>
      </c>
      <c r="K65" s="60">
        <v>284.39999999999998</v>
      </c>
      <c r="L65" s="60">
        <v>34.53</v>
      </c>
      <c r="M65" s="60">
        <v>37.630000000000003</v>
      </c>
      <c r="N65" s="60">
        <v>350.4</v>
      </c>
      <c r="O65" s="60">
        <v>0</v>
      </c>
      <c r="P65" s="60">
        <v>0.43</v>
      </c>
      <c r="Q65" s="60">
        <v>9.14</v>
      </c>
      <c r="R65" s="198"/>
      <c r="S65" s="198"/>
      <c r="T65" s="198"/>
      <c r="U65" s="198"/>
    </row>
    <row r="66" spans="1:21" s="12" customFormat="1" x14ac:dyDescent="0.25">
      <c r="A66" s="63">
        <v>45809.604166666664</v>
      </c>
      <c r="B66" s="60">
        <v>4.16</v>
      </c>
      <c r="C66" s="60">
        <v>16.829999999999998</v>
      </c>
      <c r="D66" s="60">
        <v>25.83</v>
      </c>
      <c r="E66" s="60">
        <v>4.5999999999999996</v>
      </c>
      <c r="F66" s="60">
        <v>5.22</v>
      </c>
      <c r="G66" s="60">
        <v>64.72</v>
      </c>
      <c r="H66" s="60">
        <v>166.83</v>
      </c>
      <c r="I66" s="60">
        <v>3.96</v>
      </c>
      <c r="J66" s="60">
        <v>0.38</v>
      </c>
      <c r="K66" s="60">
        <v>285.89</v>
      </c>
      <c r="L66" s="60">
        <v>34.43</v>
      </c>
      <c r="M66" s="60">
        <v>35.729999999999997</v>
      </c>
      <c r="N66" s="60">
        <v>244.2</v>
      </c>
      <c r="O66" s="60">
        <v>0</v>
      </c>
      <c r="P66" s="60">
        <v>0.42</v>
      </c>
      <c r="Q66" s="60">
        <v>9.14</v>
      </c>
      <c r="R66" s="198"/>
      <c r="S66" s="198"/>
      <c r="T66" s="198"/>
      <c r="U66" s="198"/>
    </row>
    <row r="67" spans="1:21" s="12" customFormat="1" x14ac:dyDescent="0.25">
      <c r="A67" s="63">
        <v>45809.614583333336</v>
      </c>
      <c r="B67" s="60">
        <v>4.3099999999999996</v>
      </c>
      <c r="C67" s="60">
        <v>17.46</v>
      </c>
      <c r="D67" s="60">
        <v>26.8</v>
      </c>
      <c r="E67" s="60">
        <v>5.03</v>
      </c>
      <c r="F67" s="60">
        <v>5.62</v>
      </c>
      <c r="G67" s="60">
        <v>64.72</v>
      </c>
      <c r="H67" s="60">
        <v>166.83</v>
      </c>
      <c r="I67" s="60">
        <v>3.91</v>
      </c>
      <c r="J67" s="60">
        <v>0.35</v>
      </c>
      <c r="K67" s="60">
        <v>284.45</v>
      </c>
      <c r="L67" s="60">
        <v>34.340000000000003</v>
      </c>
      <c r="M67" s="60">
        <v>37.840000000000003</v>
      </c>
      <c r="N67" s="60">
        <v>273</v>
      </c>
      <c r="O67" s="60">
        <v>0</v>
      </c>
      <c r="P67" s="60">
        <v>0.41</v>
      </c>
      <c r="Q67" s="60">
        <v>9.14</v>
      </c>
      <c r="R67" s="198"/>
      <c r="S67" s="198"/>
      <c r="T67" s="198"/>
      <c r="U67" s="198"/>
    </row>
    <row r="68" spans="1:21" s="12" customFormat="1" x14ac:dyDescent="0.25">
      <c r="A68" s="63">
        <v>45809.625</v>
      </c>
      <c r="B68" s="60">
        <v>4.3499999999999996</v>
      </c>
      <c r="C68" s="60">
        <v>16.600000000000001</v>
      </c>
      <c r="D68" s="60">
        <v>25.09</v>
      </c>
      <c r="E68" s="60">
        <v>4.5199999999999996</v>
      </c>
      <c r="F68" s="60">
        <v>9</v>
      </c>
      <c r="G68" s="60">
        <v>64.72</v>
      </c>
      <c r="H68" s="60">
        <v>166.83</v>
      </c>
      <c r="I68" s="60">
        <v>3.97</v>
      </c>
      <c r="J68" s="60">
        <v>0.37</v>
      </c>
      <c r="K68" s="60">
        <v>276.04000000000002</v>
      </c>
      <c r="L68" s="60">
        <v>34.090000000000003</v>
      </c>
      <c r="M68" s="60">
        <v>38.24</v>
      </c>
      <c r="N68" s="60">
        <v>293</v>
      </c>
      <c r="O68" s="60">
        <v>0</v>
      </c>
      <c r="P68" s="60">
        <v>0.41</v>
      </c>
      <c r="Q68" s="60">
        <v>9.1300000000000008</v>
      </c>
      <c r="R68" s="198"/>
      <c r="S68" s="198"/>
      <c r="T68" s="198"/>
      <c r="U68" s="198"/>
    </row>
    <row r="69" spans="1:21" s="12" customFormat="1" x14ac:dyDescent="0.25">
      <c r="A69" s="63">
        <v>45809.635416666664</v>
      </c>
      <c r="B69" s="60">
        <v>4.71</v>
      </c>
      <c r="C69" s="60">
        <v>18.350000000000001</v>
      </c>
      <c r="D69" s="60">
        <v>27.9</v>
      </c>
      <c r="E69" s="60">
        <v>4.8099999999999996</v>
      </c>
      <c r="F69" s="60">
        <v>8.58</v>
      </c>
      <c r="G69" s="60">
        <v>64</v>
      </c>
      <c r="H69" s="60">
        <v>50.05</v>
      </c>
      <c r="I69" s="60">
        <v>3.86</v>
      </c>
      <c r="J69" s="60">
        <v>0.41</v>
      </c>
      <c r="K69" s="60">
        <v>278.37</v>
      </c>
      <c r="L69" s="60">
        <v>34.049999999999997</v>
      </c>
      <c r="M69" s="60">
        <v>37.49</v>
      </c>
      <c r="N69" s="60">
        <v>252.2</v>
      </c>
      <c r="O69" s="60">
        <v>0</v>
      </c>
      <c r="P69" s="60">
        <v>0.38</v>
      </c>
      <c r="Q69" s="60">
        <v>9.14</v>
      </c>
      <c r="R69" s="198"/>
      <c r="S69" s="198"/>
      <c r="T69" s="198"/>
      <c r="U69" s="198"/>
    </row>
    <row r="70" spans="1:21" s="12" customFormat="1" x14ac:dyDescent="0.25">
      <c r="A70" s="63">
        <v>45809.645833333336</v>
      </c>
      <c r="B70" s="60">
        <v>5.51</v>
      </c>
      <c r="C70" s="60">
        <v>19.66</v>
      </c>
      <c r="D70" s="60">
        <v>29.17</v>
      </c>
      <c r="E70" s="60">
        <v>4.7699999999999996</v>
      </c>
      <c r="F70" s="60">
        <v>8.19</v>
      </c>
      <c r="G70" s="60">
        <v>63.68</v>
      </c>
      <c r="H70" s="60">
        <v>0</v>
      </c>
      <c r="I70" s="60">
        <v>4</v>
      </c>
      <c r="J70" s="60">
        <v>0.41</v>
      </c>
      <c r="K70" s="60">
        <v>285.55</v>
      </c>
      <c r="L70" s="60">
        <v>34.299999999999997</v>
      </c>
      <c r="M70" s="60">
        <v>35.869999999999997</v>
      </c>
      <c r="N70" s="60">
        <v>291.2</v>
      </c>
      <c r="O70" s="60">
        <v>0</v>
      </c>
      <c r="P70" s="60">
        <v>0.39</v>
      </c>
      <c r="Q70" s="60">
        <v>9.14</v>
      </c>
      <c r="R70" s="198"/>
      <c r="S70" s="198"/>
      <c r="T70" s="198"/>
      <c r="U70" s="198"/>
    </row>
    <row r="71" spans="1:21" s="12" customFormat="1" x14ac:dyDescent="0.25">
      <c r="A71" s="63">
        <v>45809.65625</v>
      </c>
      <c r="B71" s="60">
        <v>5.91</v>
      </c>
      <c r="C71" s="60">
        <v>20.2</v>
      </c>
      <c r="D71" s="60">
        <v>29.6</v>
      </c>
      <c r="E71" s="60">
        <v>5.33</v>
      </c>
      <c r="F71" s="60">
        <v>7.72</v>
      </c>
      <c r="G71" s="60">
        <v>63.68</v>
      </c>
      <c r="H71" s="60">
        <v>0</v>
      </c>
      <c r="I71" s="60">
        <v>4.16</v>
      </c>
      <c r="J71" s="60">
        <v>0.34</v>
      </c>
      <c r="K71" s="60">
        <v>280.69</v>
      </c>
      <c r="L71" s="60">
        <v>34.11</v>
      </c>
      <c r="M71" s="60">
        <v>35.700000000000003</v>
      </c>
      <c r="N71" s="60">
        <v>186.8</v>
      </c>
      <c r="O71" s="60">
        <v>0</v>
      </c>
      <c r="P71" s="60">
        <v>0.38</v>
      </c>
      <c r="Q71" s="60">
        <v>9.16</v>
      </c>
      <c r="R71" s="198"/>
      <c r="S71" s="198"/>
      <c r="T71" s="198"/>
      <c r="U71" s="198"/>
    </row>
    <row r="72" spans="1:21" s="12" customFormat="1" x14ac:dyDescent="0.25">
      <c r="A72" s="63">
        <v>45809.666666666664</v>
      </c>
      <c r="B72" s="60">
        <v>5.59</v>
      </c>
      <c r="C72" s="60">
        <v>19.52</v>
      </c>
      <c r="D72" s="60">
        <v>28.78</v>
      </c>
      <c r="E72" s="60">
        <v>4.34</v>
      </c>
      <c r="F72" s="60">
        <v>8.89</v>
      </c>
      <c r="G72" s="60">
        <v>63.68</v>
      </c>
      <c r="H72" s="60">
        <v>0</v>
      </c>
      <c r="I72" s="60">
        <v>4.08</v>
      </c>
      <c r="J72" s="60">
        <v>0.3</v>
      </c>
      <c r="K72" s="60">
        <v>285.57</v>
      </c>
      <c r="L72" s="60">
        <v>33.590000000000003</v>
      </c>
      <c r="M72" s="60">
        <v>36.76</v>
      </c>
      <c r="N72" s="60">
        <v>133.6</v>
      </c>
      <c r="O72" s="60">
        <v>0</v>
      </c>
      <c r="P72" s="60">
        <v>0.38</v>
      </c>
      <c r="Q72" s="60">
        <v>9.17</v>
      </c>
      <c r="R72" s="198"/>
      <c r="S72" s="198"/>
      <c r="T72" s="198"/>
      <c r="U72" s="198"/>
    </row>
    <row r="73" spans="1:21" s="12" customFormat="1" x14ac:dyDescent="0.25">
      <c r="A73" s="63">
        <v>45809.677083333336</v>
      </c>
      <c r="B73" s="60">
        <v>5.34</v>
      </c>
      <c r="C73" s="60">
        <v>20</v>
      </c>
      <c r="D73" s="60">
        <v>30.08</v>
      </c>
      <c r="E73" s="60">
        <v>4.21</v>
      </c>
      <c r="F73" s="60">
        <v>11.11</v>
      </c>
      <c r="G73" s="60">
        <v>63.32</v>
      </c>
      <c r="H73" s="60">
        <v>0</v>
      </c>
      <c r="I73" s="60">
        <v>4.08</v>
      </c>
      <c r="J73" s="60">
        <v>0.21</v>
      </c>
      <c r="K73" s="60">
        <v>284.82</v>
      </c>
      <c r="L73" s="60">
        <v>33.18</v>
      </c>
      <c r="M73" s="60">
        <v>38.33</v>
      </c>
      <c r="N73" s="60">
        <v>166.2</v>
      </c>
      <c r="O73" s="60">
        <v>0</v>
      </c>
      <c r="P73" s="60">
        <v>0.35</v>
      </c>
      <c r="Q73" s="60">
        <v>9.18</v>
      </c>
      <c r="R73" s="198"/>
      <c r="S73" s="198"/>
      <c r="T73" s="198"/>
      <c r="U73" s="198"/>
    </row>
    <row r="74" spans="1:21" s="12" customFormat="1" x14ac:dyDescent="0.25">
      <c r="A74" s="63">
        <v>45809.6875</v>
      </c>
      <c r="B74" s="60">
        <v>5.45</v>
      </c>
      <c r="C74" s="60">
        <v>19.79</v>
      </c>
      <c r="D74" s="60">
        <v>29.51</v>
      </c>
      <c r="E74" s="60">
        <v>3.93</v>
      </c>
      <c r="F74" s="60">
        <v>10.52</v>
      </c>
      <c r="G74" s="60">
        <v>63.17</v>
      </c>
      <c r="H74" s="60">
        <v>0</v>
      </c>
      <c r="I74" s="60">
        <v>3.98</v>
      </c>
      <c r="J74" s="60">
        <v>0.21</v>
      </c>
      <c r="K74" s="60">
        <v>266.64</v>
      </c>
      <c r="L74" s="60">
        <v>33.18</v>
      </c>
      <c r="M74" s="60">
        <v>38.549999999999997</v>
      </c>
      <c r="N74" s="60">
        <v>145.30000000000001</v>
      </c>
      <c r="O74" s="60">
        <v>0</v>
      </c>
      <c r="P74" s="60">
        <v>0.37</v>
      </c>
      <c r="Q74" s="60">
        <v>9.19</v>
      </c>
      <c r="R74" s="198"/>
      <c r="S74" s="198"/>
      <c r="T74" s="198"/>
      <c r="U74" s="198"/>
    </row>
    <row r="75" spans="1:21" s="12" customFormat="1" x14ac:dyDescent="0.25">
      <c r="A75" s="63">
        <v>45809.697916666664</v>
      </c>
      <c r="B75" s="60">
        <v>6.02</v>
      </c>
      <c r="C75" s="60">
        <v>22.39</v>
      </c>
      <c r="D75" s="60">
        <v>33.619999999999997</v>
      </c>
      <c r="E75" s="60">
        <v>4.1100000000000003</v>
      </c>
      <c r="F75" s="60">
        <v>13.03</v>
      </c>
      <c r="G75" s="60">
        <v>63.17</v>
      </c>
      <c r="H75" s="60">
        <v>0</v>
      </c>
      <c r="I75" s="60">
        <v>4.09</v>
      </c>
      <c r="J75" s="60">
        <v>0.13</v>
      </c>
      <c r="K75" s="60">
        <v>272.62</v>
      </c>
      <c r="L75" s="60">
        <v>33.08</v>
      </c>
      <c r="M75" s="60">
        <v>39.86</v>
      </c>
      <c r="N75" s="60">
        <v>119.2</v>
      </c>
      <c r="O75" s="60">
        <v>0</v>
      </c>
      <c r="P75" s="60">
        <v>0.34</v>
      </c>
      <c r="Q75" s="60">
        <v>9.18</v>
      </c>
      <c r="R75" s="198"/>
      <c r="S75" s="198"/>
      <c r="T75" s="198"/>
      <c r="U75" s="198"/>
    </row>
    <row r="76" spans="1:21" s="12" customFormat="1" x14ac:dyDescent="0.25">
      <c r="A76" s="63">
        <v>45809.708333333336</v>
      </c>
      <c r="B76" s="60">
        <v>5.22</v>
      </c>
      <c r="C76" s="60">
        <v>19.91</v>
      </c>
      <c r="D76" s="60">
        <v>30.1</v>
      </c>
      <c r="E76" s="60">
        <v>4.22</v>
      </c>
      <c r="F76" s="60">
        <v>7.09</v>
      </c>
      <c r="G76" s="60">
        <v>63.17</v>
      </c>
      <c r="H76" s="60">
        <v>0</v>
      </c>
      <c r="I76" s="60">
        <v>4</v>
      </c>
      <c r="J76" s="60">
        <v>0.11</v>
      </c>
      <c r="K76" s="60">
        <v>293.91000000000003</v>
      </c>
      <c r="L76" s="60">
        <v>32.880000000000003</v>
      </c>
      <c r="M76" s="60">
        <v>40.549999999999997</v>
      </c>
      <c r="N76" s="60">
        <v>114.8</v>
      </c>
      <c r="O76" s="60">
        <v>0</v>
      </c>
      <c r="P76" s="60">
        <v>0.36</v>
      </c>
      <c r="Q76" s="60">
        <v>9.17</v>
      </c>
      <c r="R76" s="198"/>
      <c r="S76" s="198"/>
      <c r="T76" s="198"/>
      <c r="U76" s="198"/>
    </row>
    <row r="77" spans="1:21" s="12" customFormat="1" x14ac:dyDescent="0.25">
      <c r="A77" s="63">
        <v>45809.71875</v>
      </c>
      <c r="B77" s="60">
        <v>5.22</v>
      </c>
      <c r="C77" s="60">
        <v>19</v>
      </c>
      <c r="D77" s="60">
        <v>28.35</v>
      </c>
      <c r="E77" s="60">
        <v>4.29</v>
      </c>
      <c r="F77" s="60">
        <v>9.77</v>
      </c>
      <c r="G77" s="60">
        <v>63.01</v>
      </c>
      <c r="H77" s="60">
        <v>0</v>
      </c>
      <c r="I77" s="60">
        <v>3.99</v>
      </c>
      <c r="J77" s="60">
        <v>0.09</v>
      </c>
      <c r="K77" s="60">
        <v>279.05</v>
      </c>
      <c r="L77" s="60">
        <v>32.770000000000003</v>
      </c>
      <c r="M77" s="60">
        <v>40.86</v>
      </c>
      <c r="N77" s="60">
        <v>107.6</v>
      </c>
      <c r="O77" s="60">
        <v>0</v>
      </c>
      <c r="P77" s="60">
        <v>0.35</v>
      </c>
      <c r="Q77" s="60">
        <v>9.18</v>
      </c>
      <c r="R77" s="198"/>
      <c r="S77" s="198"/>
      <c r="T77" s="198"/>
      <c r="U77" s="198"/>
    </row>
    <row r="78" spans="1:21" s="12" customFormat="1" x14ac:dyDescent="0.25">
      <c r="A78" s="63">
        <v>45809.729166666664</v>
      </c>
      <c r="B78" s="60">
        <v>5.13</v>
      </c>
      <c r="C78" s="60">
        <v>18.07</v>
      </c>
      <c r="D78" s="60">
        <v>26.72</v>
      </c>
      <c r="E78" s="60">
        <v>4.1500000000000004</v>
      </c>
      <c r="F78" s="60">
        <v>6.74</v>
      </c>
      <c r="G78" s="60">
        <v>62.94</v>
      </c>
      <c r="H78" s="60">
        <v>0</v>
      </c>
      <c r="I78" s="60">
        <v>4.0599999999999996</v>
      </c>
      <c r="J78" s="60">
        <v>0.12</v>
      </c>
      <c r="K78" s="60">
        <v>218.71</v>
      </c>
      <c r="L78" s="60">
        <v>32.6</v>
      </c>
      <c r="M78" s="60">
        <v>41.34</v>
      </c>
      <c r="N78" s="60">
        <v>93.1</v>
      </c>
      <c r="O78" s="60">
        <v>0</v>
      </c>
      <c r="P78" s="60">
        <v>0.36</v>
      </c>
      <c r="Q78" s="60">
        <v>9.18</v>
      </c>
      <c r="R78" s="198"/>
      <c r="S78" s="198"/>
      <c r="T78" s="198"/>
      <c r="U78" s="198"/>
    </row>
    <row r="79" spans="1:21" s="12" customFormat="1" x14ac:dyDescent="0.25">
      <c r="A79" s="63">
        <v>45809.739583333336</v>
      </c>
      <c r="B79" s="60">
        <v>4.97</v>
      </c>
      <c r="C79" s="60">
        <v>19.14</v>
      </c>
      <c r="D79" s="60">
        <v>29</v>
      </c>
      <c r="E79" s="60">
        <v>3.97</v>
      </c>
      <c r="F79" s="60">
        <v>9.4499999999999993</v>
      </c>
      <c r="G79" s="60">
        <v>62.94</v>
      </c>
      <c r="H79" s="60">
        <v>0</v>
      </c>
      <c r="I79" s="60">
        <v>3.98</v>
      </c>
      <c r="J79" s="60">
        <v>0.05</v>
      </c>
      <c r="K79" s="60">
        <v>233.43</v>
      </c>
      <c r="L79" s="60">
        <v>32.25</v>
      </c>
      <c r="M79" s="60">
        <v>44.38</v>
      </c>
      <c r="N79" s="60">
        <v>80.2</v>
      </c>
      <c r="O79" s="60">
        <v>0</v>
      </c>
      <c r="P79" s="60">
        <v>0.34</v>
      </c>
      <c r="Q79" s="60">
        <v>9.18</v>
      </c>
      <c r="R79" s="198"/>
      <c r="S79" s="198"/>
      <c r="T79" s="198"/>
      <c r="U79" s="198"/>
    </row>
    <row r="80" spans="1:21" s="12" customFormat="1" x14ac:dyDescent="0.25">
      <c r="A80" s="63">
        <v>45809.75</v>
      </c>
      <c r="B80" s="60">
        <v>5.05</v>
      </c>
      <c r="C80" s="60">
        <v>18.43</v>
      </c>
      <c r="D80" s="60">
        <v>27.52</v>
      </c>
      <c r="E80" s="60">
        <v>4.04</v>
      </c>
      <c r="F80" s="60">
        <v>10.36</v>
      </c>
      <c r="G80" s="60">
        <v>62.94</v>
      </c>
      <c r="H80" s="60">
        <v>0</v>
      </c>
      <c r="I80" s="60">
        <v>4.08</v>
      </c>
      <c r="J80" s="60">
        <v>0.06</v>
      </c>
      <c r="K80" s="60">
        <v>262.48</v>
      </c>
      <c r="L80" s="60">
        <v>31.94</v>
      </c>
      <c r="M80" s="60">
        <v>45.81</v>
      </c>
      <c r="N80" s="60">
        <v>67.8</v>
      </c>
      <c r="O80" s="60">
        <v>0</v>
      </c>
      <c r="P80" s="60">
        <v>0.35</v>
      </c>
      <c r="Q80" s="60">
        <v>9.17</v>
      </c>
      <c r="R80" s="198"/>
      <c r="S80" s="198"/>
      <c r="T80" s="198"/>
      <c r="U80" s="198"/>
    </row>
    <row r="81" spans="1:26" s="12" customFormat="1" x14ac:dyDescent="0.25">
      <c r="A81" s="63">
        <v>45809.760416666664</v>
      </c>
      <c r="B81" s="60">
        <v>5.1100000000000003</v>
      </c>
      <c r="C81" s="60">
        <v>18.239999999999998</v>
      </c>
      <c r="D81" s="60">
        <v>27.07</v>
      </c>
      <c r="E81" s="60">
        <v>3.94</v>
      </c>
      <c r="F81" s="60">
        <v>10.6</v>
      </c>
      <c r="G81" s="60">
        <v>63.21</v>
      </c>
      <c r="H81" s="60">
        <v>214.8</v>
      </c>
      <c r="I81" s="60">
        <v>3.97</v>
      </c>
      <c r="J81" s="60">
        <v>0</v>
      </c>
      <c r="K81" s="60">
        <v>255.63</v>
      </c>
      <c r="L81" s="60">
        <v>31.63</v>
      </c>
      <c r="M81" s="60">
        <v>46.49</v>
      </c>
      <c r="N81" s="60">
        <v>50.8</v>
      </c>
      <c r="O81" s="60">
        <v>0</v>
      </c>
      <c r="P81" s="60">
        <v>0.35</v>
      </c>
      <c r="Q81" s="60">
        <v>9.17</v>
      </c>
      <c r="R81" s="198"/>
      <c r="S81" s="198"/>
      <c r="T81" s="198"/>
      <c r="U81" s="198"/>
    </row>
    <row r="82" spans="1:26" s="12" customFormat="1" x14ac:dyDescent="0.25">
      <c r="A82" s="63">
        <v>45809.770833333336</v>
      </c>
      <c r="B82" s="60">
        <v>5.29</v>
      </c>
      <c r="C82" s="60">
        <v>17.8</v>
      </c>
      <c r="D82" s="60">
        <v>25.94</v>
      </c>
      <c r="E82" s="60">
        <v>4</v>
      </c>
      <c r="F82" s="60">
        <v>7.56</v>
      </c>
      <c r="G82" s="60">
        <v>63.33</v>
      </c>
      <c r="H82" s="60">
        <v>311.8</v>
      </c>
      <c r="I82" s="60">
        <v>3.84</v>
      </c>
      <c r="J82" s="60">
        <v>0.02</v>
      </c>
      <c r="K82" s="60">
        <v>279.02999999999997</v>
      </c>
      <c r="L82" s="60">
        <v>31.34</v>
      </c>
      <c r="M82" s="60">
        <v>46.34</v>
      </c>
      <c r="N82" s="60">
        <v>36.5</v>
      </c>
      <c r="O82" s="60">
        <v>0</v>
      </c>
      <c r="P82" s="60">
        <v>0.36</v>
      </c>
      <c r="Q82" s="60">
        <v>9.18</v>
      </c>
      <c r="R82" s="198"/>
      <c r="S82" s="198"/>
      <c r="T82" s="198"/>
      <c r="U82" s="198"/>
    </row>
    <row r="83" spans="1:26" s="12" customFormat="1" x14ac:dyDescent="0.25">
      <c r="A83" s="63">
        <v>45809.78125</v>
      </c>
      <c r="B83" s="60">
        <v>5.24</v>
      </c>
      <c r="C83" s="60">
        <v>18.760000000000002</v>
      </c>
      <c r="D83" s="60">
        <v>27.86</v>
      </c>
      <c r="E83" s="60">
        <v>3.99</v>
      </c>
      <c r="F83" s="60">
        <v>10.44</v>
      </c>
      <c r="G83" s="60">
        <v>63.33</v>
      </c>
      <c r="H83" s="60">
        <v>311.8</v>
      </c>
      <c r="I83" s="60">
        <v>3.9</v>
      </c>
      <c r="J83" s="60">
        <v>0.06</v>
      </c>
      <c r="K83" s="60">
        <v>198.17</v>
      </c>
      <c r="L83" s="60">
        <v>30.98</v>
      </c>
      <c r="M83" s="60">
        <v>47.2</v>
      </c>
      <c r="N83" s="60">
        <v>30.9</v>
      </c>
      <c r="O83" s="60">
        <v>0</v>
      </c>
      <c r="P83" s="60">
        <v>0.37</v>
      </c>
      <c r="Q83" s="60">
        <v>9.18</v>
      </c>
      <c r="R83" s="198"/>
      <c r="S83" s="198"/>
      <c r="T83" s="198"/>
      <c r="U83" s="198"/>
    </row>
    <row r="84" spans="1:26" s="12" customFormat="1" x14ac:dyDescent="0.25">
      <c r="A84" s="63">
        <v>45809.791666666664</v>
      </c>
      <c r="B84" s="60">
        <v>5.24</v>
      </c>
      <c r="C84" s="60">
        <v>20.74</v>
      </c>
      <c r="D84" s="60">
        <v>31.64</v>
      </c>
      <c r="E84" s="60">
        <v>4.34</v>
      </c>
      <c r="F84" s="60">
        <v>8.09</v>
      </c>
      <c r="G84" s="60">
        <v>63.33</v>
      </c>
      <c r="H84" s="60">
        <v>311.8</v>
      </c>
      <c r="I84" s="60">
        <v>4.12</v>
      </c>
      <c r="J84" s="60">
        <v>0.21</v>
      </c>
      <c r="K84" s="60">
        <v>184.78</v>
      </c>
      <c r="L84" s="60">
        <v>30.64</v>
      </c>
      <c r="M84" s="60">
        <v>47.07</v>
      </c>
      <c r="N84" s="60">
        <v>27.4</v>
      </c>
      <c r="O84" s="60">
        <v>0</v>
      </c>
      <c r="P84" s="60">
        <v>0.38</v>
      </c>
      <c r="Q84" s="60">
        <v>9.19</v>
      </c>
      <c r="R84" s="198"/>
      <c r="S84" s="198"/>
      <c r="T84" s="198"/>
      <c r="U84" s="198"/>
    </row>
    <row r="85" spans="1:26" s="12" customFormat="1" x14ac:dyDescent="0.25">
      <c r="A85" s="63">
        <v>45809.802083333336</v>
      </c>
      <c r="B85" s="60">
        <v>5.66</v>
      </c>
      <c r="C85" s="60">
        <v>20.64</v>
      </c>
      <c r="D85" s="60">
        <v>30.82</v>
      </c>
      <c r="E85" s="60">
        <v>3.91</v>
      </c>
      <c r="F85" s="60">
        <v>7.32</v>
      </c>
      <c r="G85" s="60">
        <v>60.24</v>
      </c>
      <c r="H85" s="60">
        <v>113.93</v>
      </c>
      <c r="I85" s="60">
        <v>4.03</v>
      </c>
      <c r="J85" s="60">
        <v>0.15</v>
      </c>
      <c r="K85" s="60">
        <v>187.01</v>
      </c>
      <c r="L85" s="60">
        <v>30.16</v>
      </c>
      <c r="M85" s="60">
        <v>48.97</v>
      </c>
      <c r="N85" s="60">
        <v>27</v>
      </c>
      <c r="O85" s="60">
        <v>0</v>
      </c>
      <c r="P85" s="60">
        <v>0.34</v>
      </c>
      <c r="Q85" s="60">
        <v>9.19</v>
      </c>
      <c r="R85" s="198"/>
      <c r="S85" s="198"/>
      <c r="T85" s="198"/>
      <c r="U85" s="198"/>
    </row>
    <row r="86" spans="1:26" s="12" customFormat="1" x14ac:dyDescent="0.25">
      <c r="A86" s="63">
        <v>45809.8125</v>
      </c>
      <c r="B86" s="60">
        <v>5.86</v>
      </c>
      <c r="C86" s="60">
        <v>25.98</v>
      </c>
      <c r="D86" s="60">
        <v>40.729999999999997</v>
      </c>
      <c r="E86" s="60">
        <v>4.2699999999999996</v>
      </c>
      <c r="F86" s="60">
        <v>11.69</v>
      </c>
      <c r="G86" s="60">
        <v>58.92</v>
      </c>
      <c r="H86" s="60">
        <v>29.13</v>
      </c>
      <c r="I86" s="60">
        <v>4.08</v>
      </c>
      <c r="J86" s="60">
        <v>0.13</v>
      </c>
      <c r="K86" s="60">
        <v>217.89</v>
      </c>
      <c r="L86" s="60">
        <v>29.7</v>
      </c>
      <c r="M86" s="60">
        <v>52.65</v>
      </c>
      <c r="N86" s="60">
        <v>26.9</v>
      </c>
      <c r="O86" s="60">
        <v>0</v>
      </c>
      <c r="P86" s="60">
        <v>0.39</v>
      </c>
      <c r="Q86" s="60">
        <v>9.2100000000000009</v>
      </c>
      <c r="R86" s="198"/>
      <c r="S86" s="198"/>
      <c r="T86" s="198"/>
      <c r="U86" s="198"/>
    </row>
    <row r="87" spans="1:26" s="12" customFormat="1" x14ac:dyDescent="0.25">
      <c r="A87" s="63">
        <v>45809.822916666664</v>
      </c>
      <c r="B87" s="60">
        <v>5.87</v>
      </c>
      <c r="C87" s="60">
        <v>24.27</v>
      </c>
      <c r="D87" s="60">
        <v>37.44</v>
      </c>
      <c r="E87" s="60">
        <v>3.67</v>
      </c>
      <c r="F87" s="60">
        <v>11.21</v>
      </c>
      <c r="G87" s="60">
        <v>58.92</v>
      </c>
      <c r="H87" s="60">
        <v>29.13</v>
      </c>
      <c r="I87" s="60">
        <v>4.07</v>
      </c>
      <c r="J87" s="60">
        <v>0.13</v>
      </c>
      <c r="K87" s="60">
        <v>177.64</v>
      </c>
      <c r="L87" s="60">
        <v>29.42</v>
      </c>
      <c r="M87" s="60">
        <v>55.02</v>
      </c>
      <c r="N87" s="60">
        <v>26.8</v>
      </c>
      <c r="O87" s="60">
        <v>0</v>
      </c>
      <c r="P87" s="60">
        <v>0.39</v>
      </c>
      <c r="Q87" s="60">
        <v>9.23</v>
      </c>
      <c r="R87" s="198"/>
      <c r="S87" s="198"/>
      <c r="T87" s="198"/>
      <c r="U87" s="198"/>
    </row>
    <row r="88" spans="1:26" s="12" customFormat="1" x14ac:dyDescent="0.25">
      <c r="A88" s="63">
        <v>45809.833333333336</v>
      </c>
      <c r="B88" s="60">
        <v>6.38</v>
      </c>
      <c r="C88" s="60">
        <v>26.88</v>
      </c>
      <c r="D88" s="60">
        <v>41.66</v>
      </c>
      <c r="E88" s="60">
        <v>4</v>
      </c>
      <c r="F88" s="60">
        <v>10.67</v>
      </c>
      <c r="G88" s="60">
        <v>58.92</v>
      </c>
      <c r="H88" s="60">
        <v>29.13</v>
      </c>
      <c r="I88" s="60">
        <v>4</v>
      </c>
      <c r="J88" s="60">
        <v>0.28000000000000003</v>
      </c>
      <c r="K88" s="60">
        <v>150.35</v>
      </c>
      <c r="L88" s="60">
        <v>28.94</v>
      </c>
      <c r="M88" s="60">
        <v>58.76</v>
      </c>
      <c r="N88" s="60">
        <v>26.7</v>
      </c>
      <c r="O88" s="60">
        <v>0</v>
      </c>
      <c r="P88" s="60">
        <v>0.43</v>
      </c>
      <c r="Q88" s="60">
        <v>9.25</v>
      </c>
      <c r="R88" s="198"/>
      <c r="S88" s="198"/>
      <c r="T88" s="198"/>
      <c r="U88" s="198"/>
    </row>
    <row r="89" spans="1:26" s="12" customFormat="1" x14ac:dyDescent="0.25">
      <c r="A89" s="63">
        <v>45809.84375</v>
      </c>
      <c r="B89" s="60">
        <v>8.3800000000000008</v>
      </c>
      <c r="C89" s="60">
        <v>28.36</v>
      </c>
      <c r="D89" s="60">
        <v>41.41</v>
      </c>
      <c r="E89" s="60">
        <v>4.07</v>
      </c>
      <c r="F89" s="60">
        <v>10.11</v>
      </c>
      <c r="G89" s="60">
        <v>60.03</v>
      </c>
      <c r="H89" s="60">
        <v>24.49</v>
      </c>
      <c r="I89" s="60">
        <v>4.0599999999999996</v>
      </c>
      <c r="J89" s="60">
        <v>0.06</v>
      </c>
      <c r="K89" s="60">
        <v>252.34</v>
      </c>
      <c r="L89" s="60">
        <v>28.7</v>
      </c>
      <c r="M89" s="60">
        <v>59.43</v>
      </c>
      <c r="N89" s="60">
        <v>26.6</v>
      </c>
      <c r="O89" s="60">
        <v>0</v>
      </c>
      <c r="P89" s="60">
        <v>0.44</v>
      </c>
      <c r="Q89" s="60">
        <v>9.27</v>
      </c>
      <c r="R89" s="198"/>
      <c r="S89" s="198"/>
      <c r="T89" s="198"/>
      <c r="U89" s="198"/>
    </row>
    <row r="90" spans="1:26" s="12" customFormat="1" x14ac:dyDescent="0.25">
      <c r="A90" s="63">
        <v>45809.854166666664</v>
      </c>
      <c r="B90" s="60">
        <v>6.87</v>
      </c>
      <c r="C90" s="60">
        <v>21.9</v>
      </c>
      <c r="D90" s="60">
        <v>31.37</v>
      </c>
      <c r="E90" s="60">
        <v>3.92</v>
      </c>
      <c r="F90" s="60">
        <v>10.36</v>
      </c>
      <c r="G90" s="60">
        <v>60.53</v>
      </c>
      <c r="H90" s="60">
        <v>22.5</v>
      </c>
      <c r="I90" s="60">
        <v>3.86</v>
      </c>
      <c r="J90" s="60">
        <v>0.1</v>
      </c>
      <c r="K90" s="60">
        <v>203.75</v>
      </c>
      <c r="L90" s="60">
        <v>28.64</v>
      </c>
      <c r="M90" s="60">
        <v>58.46</v>
      </c>
      <c r="N90" s="60">
        <v>26.4</v>
      </c>
      <c r="O90" s="60">
        <v>0</v>
      </c>
      <c r="P90" s="60">
        <v>0.41</v>
      </c>
      <c r="Q90" s="60">
        <v>9.2799999999999994</v>
      </c>
      <c r="R90" s="198"/>
      <c r="S90" s="198"/>
      <c r="T90" s="198"/>
      <c r="U90" s="198"/>
    </row>
    <row r="91" spans="1:26" s="12" customFormat="1" x14ac:dyDescent="0.25">
      <c r="A91" s="63">
        <v>45809.864583333336</v>
      </c>
      <c r="B91" s="60">
        <v>7.76</v>
      </c>
      <c r="C91" s="60">
        <v>25.97</v>
      </c>
      <c r="D91" s="60">
        <v>37.799999999999997</v>
      </c>
      <c r="E91" s="60">
        <v>4.07</v>
      </c>
      <c r="F91" s="60">
        <v>9.49</v>
      </c>
      <c r="G91" s="60">
        <v>60.53</v>
      </c>
      <c r="H91" s="60">
        <v>22.5</v>
      </c>
      <c r="I91" s="60">
        <v>4.05</v>
      </c>
      <c r="J91" s="60">
        <v>0.19</v>
      </c>
      <c r="K91" s="60">
        <v>192.36</v>
      </c>
      <c r="L91" s="60">
        <v>28.5</v>
      </c>
      <c r="M91" s="60">
        <v>58.3</v>
      </c>
      <c r="N91" s="60">
        <v>26.5</v>
      </c>
      <c r="O91" s="60">
        <v>0</v>
      </c>
      <c r="P91" s="60">
        <v>0.39</v>
      </c>
      <c r="Q91" s="60">
        <v>9.2899999999999991</v>
      </c>
      <c r="R91" s="198"/>
      <c r="S91" s="198"/>
      <c r="T91" s="198"/>
      <c r="U91" s="198"/>
    </row>
    <row r="92" spans="1:26" s="12" customFormat="1" x14ac:dyDescent="0.25">
      <c r="A92" s="63">
        <v>45809.875</v>
      </c>
      <c r="B92" s="60">
        <v>9.73</v>
      </c>
      <c r="C92" s="60">
        <v>28.95</v>
      </c>
      <c r="D92" s="60">
        <v>40.479999999999997</v>
      </c>
      <c r="E92" s="60">
        <v>3.95</v>
      </c>
      <c r="F92" s="60">
        <v>8.8800000000000008</v>
      </c>
      <c r="G92" s="60">
        <v>60.53</v>
      </c>
      <c r="H92" s="60">
        <v>22.5</v>
      </c>
      <c r="I92" s="60">
        <v>3.91</v>
      </c>
      <c r="J92" s="60">
        <v>0.15</v>
      </c>
      <c r="K92" s="60">
        <v>198.72</v>
      </c>
      <c r="L92" s="60">
        <v>28.31</v>
      </c>
      <c r="M92" s="60">
        <v>59.05</v>
      </c>
      <c r="N92" s="60">
        <v>26.5</v>
      </c>
      <c r="O92" s="60">
        <v>0</v>
      </c>
      <c r="P92" s="60">
        <v>0.43</v>
      </c>
      <c r="Q92" s="60">
        <v>9.31</v>
      </c>
      <c r="R92" s="198"/>
      <c r="S92" s="198"/>
      <c r="T92" s="198"/>
      <c r="U92" s="198"/>
    </row>
    <row r="93" spans="1:26" s="12" customFormat="1" x14ac:dyDescent="0.25">
      <c r="A93" s="63">
        <v>45809.885416666664</v>
      </c>
      <c r="B93" s="60">
        <v>8.5399999999999991</v>
      </c>
      <c r="C93" s="60">
        <v>26.71</v>
      </c>
      <c r="D93" s="60">
        <v>38</v>
      </c>
      <c r="E93" s="60">
        <v>4.51</v>
      </c>
      <c r="F93" s="60">
        <v>9</v>
      </c>
      <c r="G93" s="60">
        <v>57.58</v>
      </c>
      <c r="H93" s="60">
        <v>7.38</v>
      </c>
      <c r="I93" s="60">
        <v>3.94</v>
      </c>
      <c r="J93" s="60">
        <v>0.02</v>
      </c>
      <c r="K93" s="60">
        <v>351.31</v>
      </c>
      <c r="L93" s="60">
        <v>28.16</v>
      </c>
      <c r="M93" s="60">
        <v>59.81</v>
      </c>
      <c r="N93" s="60">
        <v>26.8</v>
      </c>
      <c r="O93" s="60">
        <v>0</v>
      </c>
      <c r="P93" s="60">
        <v>0.41</v>
      </c>
      <c r="Q93" s="60">
        <v>9.32</v>
      </c>
      <c r="R93" s="198"/>
      <c r="S93" s="198"/>
      <c r="T93" s="198"/>
      <c r="U93" s="198"/>
    </row>
    <row r="94" spans="1:26" s="12" customFormat="1" x14ac:dyDescent="0.25">
      <c r="A94" s="63">
        <v>45809.895833333336</v>
      </c>
      <c r="B94" s="60">
        <v>9.2799999999999994</v>
      </c>
      <c r="C94" s="60">
        <v>22.43</v>
      </c>
      <c r="D94" s="60">
        <v>28.7</v>
      </c>
      <c r="E94" s="60">
        <v>4.38</v>
      </c>
      <c r="F94" s="60">
        <v>5.88</v>
      </c>
      <c r="G94" s="60">
        <v>56.32</v>
      </c>
      <c r="H94" s="60">
        <v>0.9</v>
      </c>
      <c r="I94" s="60">
        <v>4.07</v>
      </c>
      <c r="J94" s="60">
        <v>0.03</v>
      </c>
      <c r="K94" s="60">
        <v>307.33999999999997</v>
      </c>
      <c r="L94" s="60">
        <v>28.21</v>
      </c>
      <c r="M94" s="60">
        <v>57.87</v>
      </c>
      <c r="N94" s="60">
        <v>26.5</v>
      </c>
      <c r="O94" s="60">
        <v>0</v>
      </c>
      <c r="P94" s="60">
        <v>0.41</v>
      </c>
      <c r="Q94" s="60">
        <v>9.33</v>
      </c>
      <c r="R94" s="198"/>
      <c r="S94" s="198"/>
      <c r="T94" s="198"/>
      <c r="U94" s="198"/>
    </row>
    <row r="95" spans="1:26" s="12" customFormat="1" x14ac:dyDescent="0.25">
      <c r="A95" s="63">
        <v>45809.90625</v>
      </c>
      <c r="B95" s="60">
        <v>9.36</v>
      </c>
      <c r="C95" s="60">
        <v>21.55</v>
      </c>
      <c r="D95" s="60">
        <v>26.88</v>
      </c>
      <c r="E95" s="60">
        <v>4.13</v>
      </c>
      <c r="F95" s="60">
        <v>6.06</v>
      </c>
      <c r="G95" s="60">
        <v>56.32</v>
      </c>
      <c r="H95" s="60">
        <v>0.9</v>
      </c>
      <c r="I95" s="60">
        <v>3.96</v>
      </c>
      <c r="J95" s="60">
        <v>0.06</v>
      </c>
      <c r="K95" s="60">
        <v>339.22</v>
      </c>
      <c r="L95" s="60">
        <v>28.29</v>
      </c>
      <c r="M95" s="60">
        <v>56.41</v>
      </c>
      <c r="N95" s="60">
        <v>26.5</v>
      </c>
      <c r="O95" s="60">
        <v>0</v>
      </c>
      <c r="P95" s="60">
        <v>0.4</v>
      </c>
      <c r="Q95" s="60">
        <v>9.33</v>
      </c>
      <c r="R95" s="198"/>
      <c r="S95" s="198"/>
      <c r="T95" s="198"/>
      <c r="U95" s="198"/>
    </row>
    <row r="96" spans="1:26" s="12" customFormat="1" x14ac:dyDescent="0.25">
      <c r="A96" s="63">
        <v>45809.916666666664</v>
      </c>
      <c r="B96" s="60">
        <v>9.25</v>
      </c>
      <c r="C96" s="60">
        <v>21.15</v>
      </c>
      <c r="D96" s="60">
        <v>26.27</v>
      </c>
      <c r="E96" s="60">
        <v>4.24</v>
      </c>
      <c r="F96" s="60">
        <v>6.22</v>
      </c>
      <c r="G96" s="60">
        <v>56.32</v>
      </c>
      <c r="H96" s="60">
        <v>0.9</v>
      </c>
      <c r="I96" s="60">
        <v>3.94</v>
      </c>
      <c r="J96" s="60">
        <v>0.05</v>
      </c>
      <c r="K96" s="60">
        <v>335.52</v>
      </c>
      <c r="L96" s="60">
        <v>28.18</v>
      </c>
      <c r="M96" s="60">
        <v>56.41</v>
      </c>
      <c r="N96" s="60">
        <v>26.5</v>
      </c>
      <c r="O96" s="60">
        <v>0</v>
      </c>
      <c r="P96" s="60">
        <v>0.4</v>
      </c>
      <c r="Q96" s="60">
        <v>9.32</v>
      </c>
      <c r="R96" s="198"/>
      <c r="S96" s="198"/>
      <c r="T96" s="198"/>
      <c r="U96" s="198"/>
      <c r="Z96" s="109"/>
    </row>
    <row r="97" spans="1:33" s="12" customFormat="1" x14ac:dyDescent="0.25">
      <c r="A97" s="63">
        <v>45809.927083333336</v>
      </c>
      <c r="B97" s="60">
        <v>8.94</v>
      </c>
      <c r="C97" s="60">
        <v>20.93</v>
      </c>
      <c r="D97" s="60">
        <v>26.34</v>
      </c>
      <c r="E97" s="60">
        <v>4.09</v>
      </c>
      <c r="F97" s="60">
        <v>4.8099999999999996</v>
      </c>
      <c r="G97" s="60">
        <v>58.73</v>
      </c>
      <c r="H97" s="60">
        <v>0.31</v>
      </c>
      <c r="I97" s="60">
        <v>4.12</v>
      </c>
      <c r="J97" s="60">
        <v>0.06</v>
      </c>
      <c r="K97" s="60">
        <v>246.89</v>
      </c>
      <c r="L97" s="60">
        <v>28.03</v>
      </c>
      <c r="M97" s="60">
        <v>56.32</v>
      </c>
      <c r="N97" s="60">
        <v>26.4</v>
      </c>
      <c r="O97" s="60">
        <v>0</v>
      </c>
      <c r="P97" s="60">
        <v>0.4</v>
      </c>
      <c r="Q97" s="60">
        <v>9.32</v>
      </c>
      <c r="R97" s="198"/>
      <c r="S97" s="198"/>
      <c r="T97" s="198"/>
      <c r="U97" s="198"/>
    </row>
    <row r="98" spans="1:33" s="12" customFormat="1" x14ac:dyDescent="0.25">
      <c r="A98" s="63">
        <v>45809.9375</v>
      </c>
      <c r="B98" s="60">
        <v>8.5</v>
      </c>
      <c r="C98" s="60">
        <v>22.04</v>
      </c>
      <c r="D98" s="60">
        <v>29.15</v>
      </c>
      <c r="E98" s="60">
        <v>4.17</v>
      </c>
      <c r="F98" s="60">
        <v>6.39</v>
      </c>
      <c r="G98" s="60">
        <v>59.83</v>
      </c>
      <c r="H98" s="60">
        <v>0.05</v>
      </c>
      <c r="I98" s="60">
        <v>4</v>
      </c>
      <c r="J98" s="60">
        <v>0.13</v>
      </c>
      <c r="K98" s="60">
        <v>196.33</v>
      </c>
      <c r="L98" s="60">
        <v>27.78</v>
      </c>
      <c r="M98" s="60">
        <v>58.45</v>
      </c>
      <c r="N98" s="60">
        <v>26.5</v>
      </c>
      <c r="O98" s="60">
        <v>0</v>
      </c>
      <c r="P98" s="60">
        <v>0.37</v>
      </c>
      <c r="Q98" s="60">
        <v>9.32</v>
      </c>
      <c r="R98" s="198"/>
      <c r="S98" s="198"/>
      <c r="T98" s="198"/>
      <c r="U98" s="198"/>
    </row>
    <row r="99" spans="1:33" s="12" customFormat="1" x14ac:dyDescent="0.25">
      <c r="A99" s="63">
        <v>45809.947916666664</v>
      </c>
      <c r="B99" s="60">
        <v>8.27</v>
      </c>
      <c r="C99" s="60">
        <v>24.2</v>
      </c>
      <c r="D99" s="60">
        <v>33.630000000000003</v>
      </c>
      <c r="E99" s="60">
        <v>4.18</v>
      </c>
      <c r="F99" s="60">
        <v>5.45</v>
      </c>
      <c r="G99" s="60">
        <v>59.83</v>
      </c>
      <c r="H99" s="60">
        <v>0.05</v>
      </c>
      <c r="I99" s="60">
        <v>4.0999999999999996</v>
      </c>
      <c r="J99" s="60">
        <v>0.12</v>
      </c>
      <c r="K99" s="60">
        <v>193.55</v>
      </c>
      <c r="L99" s="60">
        <v>27.56</v>
      </c>
      <c r="M99" s="60">
        <v>59.59</v>
      </c>
      <c r="N99" s="60">
        <v>26.7</v>
      </c>
      <c r="O99" s="60">
        <v>0</v>
      </c>
      <c r="P99" s="60">
        <v>0.37</v>
      </c>
      <c r="Q99" s="60">
        <v>9.33</v>
      </c>
      <c r="R99" s="198"/>
      <c r="S99" s="198"/>
      <c r="T99" s="198"/>
      <c r="U99" s="198"/>
    </row>
    <row r="100" spans="1:33" s="12" customFormat="1" x14ac:dyDescent="0.25">
      <c r="A100" s="63">
        <v>45809.958333333336</v>
      </c>
      <c r="B100" s="60">
        <v>9.2799999999999994</v>
      </c>
      <c r="C100" s="60">
        <v>22.9</v>
      </c>
      <c r="D100" s="60">
        <v>29.58</v>
      </c>
      <c r="E100" s="60">
        <v>4.04</v>
      </c>
      <c r="F100" s="60">
        <v>5.15</v>
      </c>
      <c r="G100" s="60">
        <v>59.83</v>
      </c>
      <c r="H100" s="60">
        <v>0.05</v>
      </c>
      <c r="I100" s="60">
        <v>4.01</v>
      </c>
      <c r="J100" s="60">
        <v>0.04</v>
      </c>
      <c r="K100" s="60">
        <v>227.55</v>
      </c>
      <c r="L100" s="60">
        <v>27.33</v>
      </c>
      <c r="M100" s="60">
        <v>60.2</v>
      </c>
      <c r="N100" s="60">
        <v>26.9</v>
      </c>
      <c r="O100" s="60">
        <v>0</v>
      </c>
      <c r="P100" s="60">
        <v>0.39</v>
      </c>
      <c r="Q100" s="60">
        <v>9.33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3">
        <v>45809.96875</v>
      </c>
      <c r="B101" s="60">
        <v>8.81</v>
      </c>
      <c r="C101" s="60">
        <v>21.03</v>
      </c>
      <c r="D101" s="60">
        <v>26.73</v>
      </c>
      <c r="E101" s="60">
        <v>4.3099999999999996</v>
      </c>
      <c r="F101" s="60">
        <v>6.47</v>
      </c>
      <c r="G101" s="60">
        <v>59</v>
      </c>
      <c r="H101" s="60">
        <v>56.75</v>
      </c>
      <c r="I101" s="60">
        <v>4.0599999999999996</v>
      </c>
      <c r="J101" s="60">
        <v>0.06</v>
      </c>
      <c r="K101" s="60">
        <v>231.44</v>
      </c>
      <c r="L101" s="60">
        <v>27</v>
      </c>
      <c r="M101" s="60">
        <v>61.74</v>
      </c>
      <c r="N101" s="60">
        <v>26.8</v>
      </c>
      <c r="O101" s="60">
        <v>0</v>
      </c>
      <c r="P101" s="60">
        <v>0.35</v>
      </c>
      <c r="Q101" s="60">
        <v>9.35</v>
      </c>
      <c r="R101" s="198"/>
      <c r="S101" s="198"/>
      <c r="T101" s="198"/>
      <c r="U101" s="198"/>
    </row>
    <row r="102" spans="1:33" s="12" customFormat="1" x14ac:dyDescent="0.25">
      <c r="A102" s="63">
        <v>45809.979166666664</v>
      </c>
      <c r="B102" s="60">
        <v>8.91</v>
      </c>
      <c r="C102" s="60">
        <v>20.94</v>
      </c>
      <c r="D102" s="60">
        <v>26.4</v>
      </c>
      <c r="E102" s="60">
        <v>3.94</v>
      </c>
      <c r="F102" s="60">
        <v>5.5</v>
      </c>
      <c r="G102" s="60">
        <v>58.65</v>
      </c>
      <c r="H102" s="60">
        <v>81.05</v>
      </c>
      <c r="I102" s="60">
        <v>3.97</v>
      </c>
      <c r="J102" s="60">
        <v>0.05</v>
      </c>
      <c r="K102" s="60">
        <v>142</v>
      </c>
      <c r="L102" s="60">
        <v>26.73</v>
      </c>
      <c r="M102" s="60">
        <v>62.77</v>
      </c>
      <c r="N102" s="60">
        <v>26.6</v>
      </c>
      <c r="O102" s="60">
        <v>0</v>
      </c>
      <c r="P102" s="60">
        <v>0.34</v>
      </c>
      <c r="Q102" s="60">
        <v>9.35</v>
      </c>
      <c r="R102" s="198"/>
      <c r="S102" s="198"/>
      <c r="T102" s="198"/>
      <c r="U102" s="198"/>
    </row>
    <row r="103" spans="1:33" s="12" customFormat="1" x14ac:dyDescent="0.25">
      <c r="A103" s="63">
        <v>45809.989583333336</v>
      </c>
      <c r="B103" s="60">
        <v>8.57</v>
      </c>
      <c r="C103" s="60">
        <v>20.97</v>
      </c>
      <c r="D103" s="60">
        <v>26.99</v>
      </c>
      <c r="E103" s="60">
        <v>4.2</v>
      </c>
      <c r="F103" s="60">
        <v>7.53</v>
      </c>
      <c r="G103" s="60">
        <v>58.65</v>
      </c>
      <c r="H103" s="60">
        <v>81.05</v>
      </c>
      <c r="I103" s="60">
        <v>4.05</v>
      </c>
      <c r="J103" s="60">
        <v>0.08</v>
      </c>
      <c r="K103" s="60">
        <v>202.97</v>
      </c>
      <c r="L103" s="60">
        <v>26.51</v>
      </c>
      <c r="M103" s="60">
        <v>62.67</v>
      </c>
      <c r="N103" s="60">
        <v>26.5</v>
      </c>
      <c r="O103" s="60">
        <v>0</v>
      </c>
      <c r="P103" s="60">
        <v>0.32</v>
      </c>
      <c r="Q103" s="60">
        <v>9.36</v>
      </c>
      <c r="R103" s="198"/>
      <c r="S103" s="198"/>
      <c r="T103" s="198"/>
      <c r="U103" s="198"/>
    </row>
    <row r="104" spans="1:33" s="12" customFormat="1" x14ac:dyDescent="0.25">
      <c r="A104" s="60">
        <v>45810</v>
      </c>
      <c r="B104" s="60">
        <v>6.4</v>
      </c>
      <c r="C104" s="60">
        <v>19.79</v>
      </c>
      <c r="D104" s="60">
        <v>28.05</v>
      </c>
      <c r="E104" s="60">
        <v>4.6500000000000004</v>
      </c>
      <c r="F104" s="60">
        <v>11.89</v>
      </c>
      <c r="G104" s="60">
        <v>58.65</v>
      </c>
      <c r="H104" s="60">
        <v>81.05</v>
      </c>
      <c r="I104" s="60">
        <v>3.82</v>
      </c>
      <c r="J104" s="60">
        <v>0.05</v>
      </c>
      <c r="K104" s="60">
        <v>233.72</v>
      </c>
      <c r="L104" s="60">
        <v>26.48</v>
      </c>
      <c r="M104" s="60">
        <v>61.86</v>
      </c>
      <c r="N104" s="60">
        <v>26.5</v>
      </c>
      <c r="O104" s="60">
        <v>0</v>
      </c>
      <c r="P104" s="60">
        <v>0.28000000000000003</v>
      </c>
      <c r="Q104" s="60">
        <v>9.3699999999999992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4.16</v>
      </c>
      <c r="C106" s="67">
        <f>MIN(C9:C104)</f>
        <v>16.23</v>
      </c>
      <c r="D106" s="67">
        <f t="shared" ref="D106:Q106" si="0">MIN(D9:D104)</f>
        <v>18.43</v>
      </c>
      <c r="E106" s="67">
        <f t="shared" si="0"/>
        <v>3.67</v>
      </c>
      <c r="F106" s="67">
        <f t="shared" si="0"/>
        <v>3.43</v>
      </c>
      <c r="G106" s="67">
        <f t="shared" si="0"/>
        <v>42.12</v>
      </c>
      <c r="H106" s="67">
        <f t="shared" si="0"/>
        <v>0</v>
      </c>
      <c r="I106" s="67">
        <f t="shared" si="0"/>
        <v>3.82</v>
      </c>
      <c r="J106" s="67">
        <f t="shared" si="0"/>
        <v>0</v>
      </c>
      <c r="K106" s="67">
        <f t="shared" si="0"/>
        <v>0.95</v>
      </c>
      <c r="L106" s="67">
        <f t="shared" si="0"/>
        <v>23.76</v>
      </c>
      <c r="M106" s="67">
        <f t="shared" si="0"/>
        <v>35.700000000000003</v>
      </c>
      <c r="N106" s="67">
        <f t="shared" si="0"/>
        <v>26</v>
      </c>
      <c r="O106" s="67">
        <f t="shared" si="0"/>
        <v>0</v>
      </c>
      <c r="P106" s="67">
        <f t="shared" si="0"/>
        <v>0.28000000000000003</v>
      </c>
      <c r="Q106" s="67">
        <f t="shared" si="0"/>
        <v>9.1300000000000008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36.39</v>
      </c>
      <c r="C107" s="66">
        <f t="shared" ref="C107:Q107" si="1">MAX(C9:C104)</f>
        <v>48.39</v>
      </c>
      <c r="D107" s="66">
        <f t="shared" si="1"/>
        <v>41.66</v>
      </c>
      <c r="E107" s="66">
        <f t="shared" si="1"/>
        <v>5.33</v>
      </c>
      <c r="F107" s="66">
        <f t="shared" si="1"/>
        <v>13.03</v>
      </c>
      <c r="G107" s="66">
        <f t="shared" si="1"/>
        <v>65.13</v>
      </c>
      <c r="H107" s="66">
        <f t="shared" si="1"/>
        <v>311.8</v>
      </c>
      <c r="I107" s="66">
        <f t="shared" si="1"/>
        <v>4.24</v>
      </c>
      <c r="J107" s="66">
        <f t="shared" si="1"/>
        <v>0.98</v>
      </c>
      <c r="K107" s="66">
        <f t="shared" si="1"/>
        <v>359.43</v>
      </c>
      <c r="L107" s="66">
        <f t="shared" si="1"/>
        <v>35.6</v>
      </c>
      <c r="M107" s="66">
        <f t="shared" si="1"/>
        <v>101.05</v>
      </c>
      <c r="N107" s="66">
        <f t="shared" si="1"/>
        <v>908.5</v>
      </c>
      <c r="O107" s="66">
        <f t="shared" si="1"/>
        <v>0</v>
      </c>
      <c r="P107" s="66">
        <f t="shared" si="1"/>
        <v>0.74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10.478437499999997</v>
      </c>
      <c r="C108" s="67">
        <f t="shared" ref="C108:Q108" si="2">AVERAGE(C9:C104)</f>
        <v>22.752812500000001</v>
      </c>
      <c r="D108" s="67">
        <f t="shared" si="2"/>
        <v>27.465520833333326</v>
      </c>
      <c r="E108" s="67">
        <f t="shared" si="2"/>
        <v>4.5585416666666658</v>
      </c>
      <c r="F108" s="67">
        <f t="shared" si="2"/>
        <v>6.5555208333333326</v>
      </c>
      <c r="G108" s="67">
        <f t="shared" si="2"/>
        <v>55.482083333333286</v>
      </c>
      <c r="H108" s="67">
        <f t="shared" si="2"/>
        <v>33.968854166666681</v>
      </c>
      <c r="I108" s="67">
        <f t="shared" si="2"/>
        <v>4.0120833333333339</v>
      </c>
      <c r="J108" s="67">
        <f t="shared" si="2"/>
        <v>0.24322916666666661</v>
      </c>
      <c r="K108" s="67">
        <f t="shared" si="2"/>
        <v>249.55958333333331</v>
      </c>
      <c r="L108" s="67">
        <f t="shared" si="2"/>
        <v>29.606770833333329</v>
      </c>
      <c r="M108" s="67">
        <f t="shared" si="2"/>
        <v>65.916562499999998</v>
      </c>
      <c r="N108" s="67">
        <f t="shared" si="2"/>
        <v>239.50520833333329</v>
      </c>
      <c r="O108" s="67">
        <f t="shared" si="2"/>
        <v>0</v>
      </c>
      <c r="P108" s="67">
        <f t="shared" si="2"/>
        <v>0.48125000000000012</v>
      </c>
      <c r="Q108" s="67">
        <f t="shared" si="2"/>
        <v>9.3453124999999986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6.2086369939277732</v>
      </c>
      <c r="C109" s="67">
        <f t="shared" ref="C109:Q109" si="3">STDEV(C9:C104)</f>
        <v>5.3814082882153977</v>
      </c>
      <c r="D109" s="67">
        <f t="shared" si="3"/>
        <v>5.2004720169963319</v>
      </c>
      <c r="E109" s="67">
        <f t="shared" si="3"/>
        <v>0.37513781093483828</v>
      </c>
      <c r="F109" s="67">
        <f t="shared" si="3"/>
        <v>2.3336823712938584</v>
      </c>
      <c r="G109" s="67">
        <f t="shared" si="3"/>
        <v>7.5905486822925274</v>
      </c>
      <c r="H109" s="67">
        <f t="shared" si="3"/>
        <v>63.367409735351991</v>
      </c>
      <c r="I109" s="67">
        <f t="shared" si="3"/>
        <v>7.7227165477695064E-2</v>
      </c>
      <c r="J109" s="67">
        <f t="shared" si="3"/>
        <v>0.2251665806355104</v>
      </c>
      <c r="K109" s="67">
        <f t="shared" si="3"/>
        <v>59.518185207135502</v>
      </c>
      <c r="L109" s="67">
        <f t="shared" si="3"/>
        <v>4.1216696909950148</v>
      </c>
      <c r="M109" s="67">
        <f t="shared" si="3"/>
        <v>24.861155701134503</v>
      </c>
      <c r="N109" s="67">
        <f t="shared" si="3"/>
        <v>295.23902194298603</v>
      </c>
      <c r="O109" s="67">
        <f t="shared" si="3"/>
        <v>0</v>
      </c>
      <c r="P109" s="67">
        <f t="shared" si="3"/>
        <v>0.10853328376221885</v>
      </c>
      <c r="Q109" s="67">
        <f t="shared" si="3"/>
        <v>0.17055916167587976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COUNT(I9:I104)+1</f>
        <v>97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8" activePane="bottomRight" state="frozen"/>
      <selection activeCell="A9" sqref="A9:U104"/>
      <selection pane="topRight" activeCell="A9" sqref="A9:U104"/>
      <selection pane="bottomLeft" activeCell="A9" sqref="A9:U104"/>
      <selection pane="bottomRight" activeCell="H84" sqref="H8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45810.010416666664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3">
        <v>45810.010416666664</v>
      </c>
      <c r="B9" s="60">
        <v>8.2200000000000006</v>
      </c>
      <c r="C9" s="60">
        <v>24.82</v>
      </c>
      <c r="D9" s="60">
        <v>34.9</v>
      </c>
      <c r="E9" s="60">
        <v>4</v>
      </c>
      <c r="F9" s="60">
        <v>9.08</v>
      </c>
      <c r="G9" s="60">
        <v>54.69</v>
      </c>
      <c r="H9" s="60">
        <v>89.89</v>
      </c>
      <c r="I9" s="60">
        <v>3.91</v>
      </c>
      <c r="J9" s="60">
        <v>0.04</v>
      </c>
      <c r="K9" s="60">
        <v>278.29000000000002</v>
      </c>
      <c r="L9" s="60">
        <v>26.43</v>
      </c>
      <c r="M9" s="60">
        <v>61.99</v>
      </c>
      <c r="N9" s="60">
        <v>26.3</v>
      </c>
      <c r="O9" s="60">
        <v>0</v>
      </c>
      <c r="P9" s="60">
        <v>0.28000000000000003</v>
      </c>
      <c r="Q9" s="60">
        <v>9.3800000000000008</v>
      </c>
      <c r="R9" s="198"/>
      <c r="S9" s="198"/>
      <c r="T9" s="198"/>
      <c r="U9" s="198"/>
    </row>
    <row r="10" spans="1:21" s="12" customFormat="1" x14ac:dyDescent="0.25">
      <c r="A10" s="63">
        <v>45810.020833333336</v>
      </c>
      <c r="B10" s="60">
        <v>7.66</v>
      </c>
      <c r="C10" s="60">
        <v>20.6</v>
      </c>
      <c r="D10" s="60">
        <v>27.66</v>
      </c>
      <c r="E10" s="60">
        <v>4.42</v>
      </c>
      <c r="F10" s="60">
        <v>10.86</v>
      </c>
      <c r="G10" s="60">
        <v>52.99</v>
      </c>
      <c r="H10" s="60">
        <v>93.68</v>
      </c>
      <c r="I10" s="60">
        <v>3.98</v>
      </c>
      <c r="J10" s="60">
        <v>0.14000000000000001</v>
      </c>
      <c r="K10" s="60">
        <v>147.22999999999999</v>
      </c>
      <c r="L10" s="60">
        <v>26.41</v>
      </c>
      <c r="M10" s="60">
        <v>60.97</v>
      </c>
      <c r="N10" s="60">
        <v>26.2</v>
      </c>
      <c r="O10" s="60">
        <v>0</v>
      </c>
      <c r="P10" s="60">
        <v>0.28000000000000003</v>
      </c>
      <c r="Q10" s="60">
        <v>9.4</v>
      </c>
      <c r="R10" s="198"/>
      <c r="S10" s="198"/>
      <c r="T10" s="198"/>
      <c r="U10" s="198"/>
    </row>
    <row r="11" spans="1:21" s="12" customFormat="1" x14ac:dyDescent="0.25">
      <c r="A11" s="63">
        <v>45810.03125</v>
      </c>
      <c r="B11" s="60">
        <v>7.11</v>
      </c>
      <c r="C11" s="60">
        <v>18.62</v>
      </c>
      <c r="D11" s="60">
        <v>24.73</v>
      </c>
      <c r="E11" s="60">
        <v>4.67</v>
      </c>
      <c r="F11" s="60">
        <v>11.58</v>
      </c>
      <c r="G11" s="60">
        <v>52.99</v>
      </c>
      <c r="H11" s="60">
        <v>93.68</v>
      </c>
      <c r="I11" s="60">
        <v>3.94</v>
      </c>
      <c r="J11" s="60">
        <v>0.13</v>
      </c>
      <c r="K11" s="60">
        <v>169.09</v>
      </c>
      <c r="L11" s="60">
        <v>26.04</v>
      </c>
      <c r="M11" s="60">
        <v>62.75</v>
      </c>
      <c r="N11" s="60">
        <v>26.6</v>
      </c>
      <c r="O11" s="60">
        <v>0</v>
      </c>
      <c r="P11" s="60">
        <v>0.26</v>
      </c>
      <c r="Q11" s="60">
        <v>9.42</v>
      </c>
      <c r="R11" s="198"/>
      <c r="S11" s="198"/>
      <c r="T11" s="198"/>
      <c r="U11" s="198"/>
    </row>
    <row r="12" spans="1:21" s="12" customFormat="1" x14ac:dyDescent="0.25">
      <c r="A12" s="63">
        <v>45810.041666666664</v>
      </c>
      <c r="B12" s="60">
        <v>7.36</v>
      </c>
      <c r="C12" s="60">
        <v>18.71</v>
      </c>
      <c r="D12" s="60">
        <v>24.52</v>
      </c>
      <c r="E12" s="60">
        <v>4.45</v>
      </c>
      <c r="F12" s="60">
        <v>11.08</v>
      </c>
      <c r="G12" s="60">
        <v>52.99</v>
      </c>
      <c r="H12" s="60">
        <v>93.68</v>
      </c>
      <c r="I12" s="60">
        <v>4.05</v>
      </c>
      <c r="J12" s="60">
        <v>0.03</v>
      </c>
      <c r="K12" s="60">
        <v>176.05</v>
      </c>
      <c r="L12" s="60">
        <v>25.76</v>
      </c>
      <c r="M12" s="60">
        <v>63.51</v>
      </c>
      <c r="N12" s="60">
        <v>26.5</v>
      </c>
      <c r="O12" s="60">
        <v>0</v>
      </c>
      <c r="P12" s="60">
        <v>0.26</v>
      </c>
      <c r="Q12" s="60">
        <v>9.41</v>
      </c>
      <c r="R12" s="198"/>
      <c r="S12" s="198"/>
      <c r="T12" s="198"/>
      <c r="U12" s="198"/>
    </row>
    <row r="13" spans="1:21" s="12" customFormat="1" x14ac:dyDescent="0.25">
      <c r="A13" s="63">
        <v>45810.052083333336</v>
      </c>
      <c r="B13" s="60">
        <v>7.01</v>
      </c>
      <c r="C13" s="60">
        <v>17.55</v>
      </c>
      <c r="D13" s="60">
        <v>22.83</v>
      </c>
      <c r="E13" s="60">
        <v>4.58</v>
      </c>
      <c r="F13" s="60">
        <v>12.2</v>
      </c>
      <c r="G13" s="60">
        <v>50.76</v>
      </c>
      <c r="H13" s="60">
        <v>39.979999999999997</v>
      </c>
      <c r="I13" s="60">
        <v>4.0999999999999996</v>
      </c>
      <c r="J13" s="60">
        <v>0.08</v>
      </c>
      <c r="K13" s="60">
        <v>226.81</v>
      </c>
      <c r="L13" s="60">
        <v>25.41</v>
      </c>
      <c r="M13" s="60">
        <v>63.86</v>
      </c>
      <c r="N13" s="60">
        <v>26.5</v>
      </c>
      <c r="O13" s="60">
        <v>0</v>
      </c>
      <c r="P13" s="60">
        <v>0.2</v>
      </c>
      <c r="Q13" s="60">
        <v>9.43</v>
      </c>
      <c r="R13" s="198"/>
      <c r="S13" s="198"/>
      <c r="T13" s="198"/>
      <c r="U13" s="198"/>
    </row>
    <row r="14" spans="1:21" s="12" customFormat="1" x14ac:dyDescent="0.25">
      <c r="A14" s="63">
        <v>45810.0625</v>
      </c>
      <c r="B14" s="60">
        <v>7.9</v>
      </c>
      <c r="C14" s="60">
        <v>17.59</v>
      </c>
      <c r="D14" s="60">
        <v>21.54</v>
      </c>
      <c r="E14" s="60">
        <v>4.6900000000000004</v>
      </c>
      <c r="F14" s="60">
        <v>11.24</v>
      </c>
      <c r="G14" s="60">
        <v>49.75</v>
      </c>
      <c r="H14" s="60">
        <v>16.96</v>
      </c>
      <c r="I14" s="60">
        <v>3.99</v>
      </c>
      <c r="J14" s="60">
        <v>7.0000000000000007E-2</v>
      </c>
      <c r="K14" s="60">
        <v>290.77</v>
      </c>
      <c r="L14" s="60">
        <v>25.26</v>
      </c>
      <c r="M14" s="60">
        <v>64</v>
      </c>
      <c r="N14" s="60">
        <v>26.3</v>
      </c>
      <c r="O14" s="60">
        <v>0</v>
      </c>
      <c r="P14" s="60">
        <v>0.26</v>
      </c>
      <c r="Q14" s="60">
        <v>9.43</v>
      </c>
      <c r="R14" s="198"/>
      <c r="S14" s="198"/>
      <c r="T14" s="198"/>
      <c r="U14" s="198"/>
    </row>
    <row r="15" spans="1:21" s="12" customFormat="1" x14ac:dyDescent="0.25">
      <c r="A15" s="63">
        <v>45810.072916666664</v>
      </c>
      <c r="B15" s="60">
        <v>10.74</v>
      </c>
      <c r="C15" s="60">
        <v>19.37</v>
      </c>
      <c r="D15" s="60">
        <v>20.59</v>
      </c>
      <c r="E15" s="60">
        <v>4.5199999999999996</v>
      </c>
      <c r="F15" s="60">
        <v>4.95</v>
      </c>
      <c r="G15" s="60">
        <v>49.75</v>
      </c>
      <c r="H15" s="60">
        <v>16.96</v>
      </c>
      <c r="I15" s="60">
        <v>4.01</v>
      </c>
      <c r="J15" s="60">
        <v>7.0000000000000007E-2</v>
      </c>
      <c r="K15" s="60">
        <v>294.77</v>
      </c>
      <c r="L15" s="60">
        <v>25.52</v>
      </c>
      <c r="M15" s="60">
        <v>60.58</v>
      </c>
      <c r="N15" s="60">
        <v>26.1</v>
      </c>
      <c r="O15" s="60">
        <v>0</v>
      </c>
      <c r="P15" s="60">
        <v>0.33</v>
      </c>
      <c r="Q15" s="60">
        <v>9.42</v>
      </c>
      <c r="R15" s="198"/>
      <c r="S15" s="198"/>
      <c r="T15" s="198"/>
      <c r="U15" s="198"/>
    </row>
    <row r="16" spans="1:21" s="12" customFormat="1" x14ac:dyDescent="0.25">
      <c r="A16" s="63">
        <v>45810.083333333336</v>
      </c>
      <c r="B16" s="60">
        <v>11.51</v>
      </c>
      <c r="C16" s="60">
        <v>20.25</v>
      </c>
      <c r="D16" s="60">
        <v>21.09</v>
      </c>
      <c r="E16" s="60">
        <v>4.62</v>
      </c>
      <c r="F16" s="60">
        <v>5.92</v>
      </c>
      <c r="G16" s="60">
        <v>49.75</v>
      </c>
      <c r="H16" s="60">
        <v>16.96</v>
      </c>
      <c r="I16" s="60">
        <v>3.93</v>
      </c>
      <c r="J16" s="60">
        <v>0.05</v>
      </c>
      <c r="K16" s="60">
        <v>311.93</v>
      </c>
      <c r="L16" s="60">
        <v>25.56</v>
      </c>
      <c r="M16" s="60">
        <v>60.72</v>
      </c>
      <c r="N16" s="60">
        <v>26.4</v>
      </c>
      <c r="O16" s="60">
        <v>0</v>
      </c>
      <c r="P16" s="60">
        <v>0.31</v>
      </c>
      <c r="Q16" s="60">
        <v>9.4</v>
      </c>
      <c r="R16" s="198"/>
      <c r="S16" s="198"/>
      <c r="T16" s="198"/>
      <c r="U16" s="198"/>
    </row>
    <row r="17" spans="1:21" s="12" customFormat="1" x14ac:dyDescent="0.25">
      <c r="A17" s="63">
        <v>45810.09375</v>
      </c>
      <c r="B17" s="60">
        <v>12.18</v>
      </c>
      <c r="C17" s="60">
        <v>20.99</v>
      </c>
      <c r="D17" s="60">
        <v>21.5</v>
      </c>
      <c r="E17" s="60">
        <v>4.55</v>
      </c>
      <c r="F17" s="60">
        <v>4.84</v>
      </c>
      <c r="G17" s="60">
        <v>48.77</v>
      </c>
      <c r="H17" s="60">
        <v>13.75</v>
      </c>
      <c r="I17" s="60">
        <v>4.1399999999999997</v>
      </c>
      <c r="J17" s="60">
        <v>0.12</v>
      </c>
      <c r="K17" s="60">
        <v>282.58999999999997</v>
      </c>
      <c r="L17" s="60">
        <v>25.2</v>
      </c>
      <c r="M17" s="60">
        <v>62.17</v>
      </c>
      <c r="N17" s="60">
        <v>26.2</v>
      </c>
      <c r="O17" s="60">
        <v>0</v>
      </c>
      <c r="P17" s="60">
        <v>0.33</v>
      </c>
      <c r="Q17" s="60">
        <v>9.39</v>
      </c>
      <c r="R17" s="198"/>
      <c r="S17" s="198"/>
      <c r="T17" s="198"/>
      <c r="U17" s="198"/>
    </row>
    <row r="18" spans="1:21" s="12" customFormat="1" x14ac:dyDescent="0.25">
      <c r="A18" s="63">
        <v>45810.104166666664</v>
      </c>
      <c r="B18" s="60">
        <v>12.05</v>
      </c>
      <c r="C18" s="60">
        <v>20.82</v>
      </c>
      <c r="D18" s="60">
        <v>21.35</v>
      </c>
      <c r="E18" s="60">
        <v>4.2300000000000004</v>
      </c>
      <c r="F18" s="60">
        <v>4.83</v>
      </c>
      <c r="G18" s="60">
        <v>48.32</v>
      </c>
      <c r="H18" s="60">
        <v>12.3</v>
      </c>
      <c r="I18" s="60">
        <v>4.03</v>
      </c>
      <c r="J18" s="60">
        <v>0.08</v>
      </c>
      <c r="K18" s="60">
        <v>303.06</v>
      </c>
      <c r="L18" s="60">
        <v>25.22</v>
      </c>
      <c r="M18" s="60">
        <v>60.33</v>
      </c>
      <c r="N18" s="60">
        <v>26.3</v>
      </c>
      <c r="O18" s="60">
        <v>0</v>
      </c>
      <c r="P18" s="60">
        <v>0.31</v>
      </c>
      <c r="Q18" s="60">
        <v>9.3800000000000008</v>
      </c>
      <c r="R18" s="198"/>
      <c r="S18" s="198"/>
      <c r="T18" s="198"/>
      <c r="U18" s="198"/>
    </row>
    <row r="19" spans="1:21" s="12" customFormat="1" x14ac:dyDescent="0.25">
      <c r="A19" s="63">
        <v>45810.114583333336</v>
      </c>
      <c r="B19" s="60">
        <v>11.74</v>
      </c>
      <c r="C19" s="60">
        <v>20.71</v>
      </c>
      <c r="D19" s="60">
        <v>21.63</v>
      </c>
      <c r="E19" s="60">
        <v>4.66</v>
      </c>
      <c r="F19" s="60">
        <v>4.9800000000000004</v>
      </c>
      <c r="G19" s="60">
        <v>48.32</v>
      </c>
      <c r="H19" s="60">
        <v>12.3</v>
      </c>
      <c r="I19" s="60">
        <v>4.05</v>
      </c>
      <c r="J19" s="60">
        <v>0.08</v>
      </c>
      <c r="K19" s="60">
        <v>291.04000000000002</v>
      </c>
      <c r="L19" s="60">
        <v>25.03</v>
      </c>
      <c r="M19" s="60">
        <v>61.87</v>
      </c>
      <c r="N19" s="60">
        <v>26.4</v>
      </c>
      <c r="O19" s="60">
        <v>0</v>
      </c>
      <c r="P19" s="60">
        <v>0.3</v>
      </c>
      <c r="Q19" s="60">
        <v>9.3800000000000008</v>
      </c>
      <c r="R19" s="198"/>
      <c r="S19" s="198"/>
      <c r="T19" s="198"/>
      <c r="U19" s="198"/>
    </row>
    <row r="20" spans="1:21" s="12" customFormat="1" x14ac:dyDescent="0.25">
      <c r="A20" s="63">
        <v>45810.125</v>
      </c>
      <c r="B20" s="60">
        <v>11.63</v>
      </c>
      <c r="C20" s="60">
        <v>20.74</v>
      </c>
      <c r="D20" s="60">
        <v>21.85</v>
      </c>
      <c r="E20" s="60">
        <v>4.22</v>
      </c>
      <c r="F20" s="60">
        <v>4.75</v>
      </c>
      <c r="G20" s="60">
        <v>48.32</v>
      </c>
      <c r="H20" s="60">
        <v>12.3</v>
      </c>
      <c r="I20" s="60">
        <v>4.04</v>
      </c>
      <c r="J20" s="60">
        <v>7.0000000000000007E-2</v>
      </c>
      <c r="K20" s="60">
        <v>290.70999999999998</v>
      </c>
      <c r="L20" s="60">
        <v>24.94</v>
      </c>
      <c r="M20" s="60">
        <v>62.22</v>
      </c>
      <c r="N20" s="60">
        <v>26.4</v>
      </c>
      <c r="O20" s="60">
        <v>0</v>
      </c>
      <c r="P20" s="60">
        <v>0.31</v>
      </c>
      <c r="Q20" s="60">
        <v>9.3699999999999992</v>
      </c>
      <c r="R20" s="198"/>
      <c r="S20" s="198"/>
      <c r="T20" s="198"/>
      <c r="U20" s="198"/>
    </row>
    <row r="21" spans="1:21" s="12" customFormat="1" x14ac:dyDescent="0.25">
      <c r="A21" s="63">
        <v>45810.135416666664</v>
      </c>
      <c r="B21" s="60">
        <v>11.37</v>
      </c>
      <c r="C21" s="60">
        <v>20.51</v>
      </c>
      <c r="D21" s="60">
        <v>21.8</v>
      </c>
      <c r="E21" s="60">
        <v>4.24</v>
      </c>
      <c r="F21" s="60">
        <v>4.67</v>
      </c>
      <c r="G21" s="60">
        <v>44.7</v>
      </c>
      <c r="H21" s="60">
        <v>24.6</v>
      </c>
      <c r="I21" s="60">
        <v>4.0199999999999996</v>
      </c>
      <c r="J21" s="60">
        <v>0.09</v>
      </c>
      <c r="K21" s="60">
        <v>279.56</v>
      </c>
      <c r="L21" s="60">
        <v>24.87</v>
      </c>
      <c r="M21" s="60">
        <v>62.79</v>
      </c>
      <c r="N21" s="60">
        <v>26.2</v>
      </c>
      <c r="O21" s="60">
        <v>0</v>
      </c>
      <c r="P21" s="60">
        <v>0.3</v>
      </c>
      <c r="Q21" s="60">
        <v>9.3699999999999992</v>
      </c>
      <c r="R21" s="198"/>
      <c r="S21" s="198"/>
      <c r="T21" s="198"/>
      <c r="U21" s="198"/>
    </row>
    <row r="22" spans="1:21" s="12" customFormat="1" x14ac:dyDescent="0.25">
      <c r="A22" s="63">
        <v>45810.145833333336</v>
      </c>
      <c r="B22" s="60">
        <v>12.08</v>
      </c>
      <c r="C22" s="60">
        <v>21.18</v>
      </c>
      <c r="D22" s="60">
        <v>21.99</v>
      </c>
      <c r="E22" s="60">
        <v>4.34</v>
      </c>
      <c r="F22" s="60">
        <v>3.52</v>
      </c>
      <c r="G22" s="60">
        <v>43.06</v>
      </c>
      <c r="H22" s="60">
        <v>30.15</v>
      </c>
      <c r="I22" s="60">
        <v>4.1100000000000003</v>
      </c>
      <c r="J22" s="60">
        <v>0.12</v>
      </c>
      <c r="K22" s="60">
        <v>286.82</v>
      </c>
      <c r="L22" s="60">
        <v>24.92</v>
      </c>
      <c r="M22" s="60">
        <v>63.7</v>
      </c>
      <c r="N22" s="60">
        <v>26</v>
      </c>
      <c r="O22" s="60">
        <v>0</v>
      </c>
      <c r="P22" s="60">
        <v>0.3</v>
      </c>
      <c r="Q22" s="60">
        <v>9.3699999999999992</v>
      </c>
      <c r="R22" s="198"/>
      <c r="S22" s="198"/>
      <c r="T22" s="198"/>
      <c r="U22" s="198"/>
    </row>
    <row r="23" spans="1:21" s="12" customFormat="1" x14ac:dyDescent="0.25">
      <c r="A23" s="63">
        <v>45810.15625</v>
      </c>
      <c r="B23" s="60">
        <v>11.68</v>
      </c>
      <c r="C23" s="60">
        <v>20.85</v>
      </c>
      <c r="D23" s="60">
        <v>21.98</v>
      </c>
      <c r="E23" s="60">
        <v>4.3499999999999996</v>
      </c>
      <c r="F23" s="60">
        <v>3.58</v>
      </c>
      <c r="G23" s="60">
        <v>43.06</v>
      </c>
      <c r="H23" s="60">
        <v>30.15</v>
      </c>
      <c r="I23" s="60">
        <v>3.8</v>
      </c>
      <c r="J23" s="60">
        <v>0.06</v>
      </c>
      <c r="K23" s="60">
        <v>288.63</v>
      </c>
      <c r="L23" s="60">
        <v>24.83</v>
      </c>
      <c r="M23" s="60">
        <v>66.38</v>
      </c>
      <c r="N23" s="60">
        <v>26.3</v>
      </c>
      <c r="O23" s="60">
        <v>0</v>
      </c>
      <c r="P23" s="60">
        <v>0.28999999999999998</v>
      </c>
      <c r="Q23" s="60">
        <v>9.36</v>
      </c>
      <c r="R23" s="198"/>
      <c r="S23" s="198"/>
      <c r="T23" s="198"/>
      <c r="U23" s="198"/>
    </row>
    <row r="24" spans="1:21" s="12" customFormat="1" x14ac:dyDescent="0.25">
      <c r="A24" s="63">
        <v>45810.166666666664</v>
      </c>
      <c r="B24" s="60">
        <v>11.34</v>
      </c>
      <c r="C24" s="60">
        <v>20.6</v>
      </c>
      <c r="D24" s="60">
        <v>22.03</v>
      </c>
      <c r="E24" s="60">
        <v>4.49</v>
      </c>
      <c r="F24" s="60">
        <v>3.88</v>
      </c>
      <c r="G24" s="60">
        <v>43.06</v>
      </c>
      <c r="H24" s="60">
        <v>30.15</v>
      </c>
      <c r="I24" s="60">
        <v>4</v>
      </c>
      <c r="J24" s="60">
        <v>0.09</v>
      </c>
      <c r="K24" s="60">
        <v>247.09</v>
      </c>
      <c r="L24" s="60">
        <v>24.4</v>
      </c>
      <c r="M24" s="60">
        <v>70.400000000000006</v>
      </c>
      <c r="N24" s="60">
        <v>26.4</v>
      </c>
      <c r="O24" s="60">
        <v>0</v>
      </c>
      <c r="P24" s="60">
        <v>0.28000000000000003</v>
      </c>
      <c r="Q24" s="60">
        <v>9.35</v>
      </c>
      <c r="R24" s="198"/>
      <c r="S24" s="198"/>
      <c r="T24" s="198"/>
      <c r="U24" s="198"/>
    </row>
    <row r="25" spans="1:21" s="12" customFormat="1" x14ac:dyDescent="0.25">
      <c r="A25" s="63">
        <v>45810.177083333336</v>
      </c>
      <c r="B25" s="60">
        <v>13.95</v>
      </c>
      <c r="C25" s="60">
        <v>29.08</v>
      </c>
      <c r="D25" s="60">
        <v>34.24</v>
      </c>
      <c r="E25" s="60">
        <v>4.28</v>
      </c>
      <c r="F25" s="60">
        <v>5.24</v>
      </c>
      <c r="G25" s="60">
        <v>41.56</v>
      </c>
      <c r="H25" s="60">
        <v>15.93</v>
      </c>
      <c r="I25" s="60">
        <v>4.16</v>
      </c>
      <c r="J25" s="60">
        <v>0.1</v>
      </c>
      <c r="K25" s="60">
        <v>314.54000000000002</v>
      </c>
      <c r="L25" s="60">
        <v>24.2</v>
      </c>
      <c r="M25" s="60">
        <v>73.040000000000006</v>
      </c>
      <c r="N25" s="60">
        <v>26.5</v>
      </c>
      <c r="O25" s="60">
        <v>0</v>
      </c>
      <c r="P25" s="60">
        <v>0.28000000000000003</v>
      </c>
      <c r="Q25" s="60">
        <v>9.36</v>
      </c>
      <c r="R25" s="198"/>
      <c r="S25" s="198"/>
      <c r="T25" s="198"/>
      <c r="U25" s="198"/>
    </row>
    <row r="26" spans="1:21" s="12" customFormat="1" x14ac:dyDescent="0.25">
      <c r="A26" s="63">
        <v>45810.1875</v>
      </c>
      <c r="B26" s="60">
        <v>10.11</v>
      </c>
      <c r="C26" s="60">
        <v>21.91</v>
      </c>
      <c r="D26" s="60">
        <v>26.42</v>
      </c>
      <c r="E26" s="60">
        <v>4.0999999999999996</v>
      </c>
      <c r="F26" s="60">
        <v>6.74</v>
      </c>
      <c r="G26" s="60">
        <v>40.92</v>
      </c>
      <c r="H26" s="60">
        <v>9.51</v>
      </c>
      <c r="I26" s="60">
        <v>4.1100000000000003</v>
      </c>
      <c r="J26" s="60">
        <v>0.1</v>
      </c>
      <c r="K26" s="60">
        <v>276.98</v>
      </c>
      <c r="L26" s="60">
        <v>23.95</v>
      </c>
      <c r="M26" s="60">
        <v>74.7</v>
      </c>
      <c r="N26" s="60">
        <v>26.3</v>
      </c>
      <c r="O26" s="60">
        <v>0</v>
      </c>
      <c r="P26" s="60">
        <v>0.27</v>
      </c>
      <c r="Q26" s="60">
        <v>9.3699999999999992</v>
      </c>
      <c r="R26" s="198"/>
      <c r="S26" s="198"/>
      <c r="T26" s="198"/>
      <c r="U26" s="198"/>
    </row>
    <row r="27" spans="1:21" s="12" customFormat="1" x14ac:dyDescent="0.25">
      <c r="A27" s="63">
        <v>45810.197916666664</v>
      </c>
      <c r="B27" s="60">
        <v>9.2100000000000009</v>
      </c>
      <c r="C27" s="60">
        <v>19.760000000000002</v>
      </c>
      <c r="D27" s="60">
        <v>23.69</v>
      </c>
      <c r="E27" s="60">
        <v>3.96</v>
      </c>
      <c r="F27" s="60">
        <v>6.69</v>
      </c>
      <c r="G27" s="60">
        <v>40.92</v>
      </c>
      <c r="H27" s="60">
        <v>9.51</v>
      </c>
      <c r="I27" s="60">
        <v>4.18</v>
      </c>
      <c r="J27" s="60">
        <v>0.08</v>
      </c>
      <c r="K27" s="60">
        <v>234.41</v>
      </c>
      <c r="L27" s="60">
        <v>24.02</v>
      </c>
      <c r="M27" s="60">
        <v>72.819999999999993</v>
      </c>
      <c r="N27" s="60">
        <v>26.2</v>
      </c>
      <c r="O27" s="60">
        <v>0</v>
      </c>
      <c r="P27" s="60">
        <v>0.25</v>
      </c>
      <c r="Q27" s="60">
        <v>9.4</v>
      </c>
      <c r="R27" s="198"/>
      <c r="S27" s="198"/>
      <c r="T27" s="198"/>
      <c r="U27" s="198"/>
    </row>
    <row r="28" spans="1:21" s="12" customFormat="1" x14ac:dyDescent="0.25">
      <c r="A28" s="63">
        <v>45810.208333333336</v>
      </c>
      <c r="B28" s="60">
        <v>11.68</v>
      </c>
      <c r="C28" s="60">
        <v>24.71</v>
      </c>
      <c r="D28" s="60">
        <v>29.38</v>
      </c>
      <c r="E28" s="60">
        <v>3.96</v>
      </c>
      <c r="F28" s="60">
        <v>5.46</v>
      </c>
      <c r="G28" s="60">
        <v>40.92</v>
      </c>
      <c r="H28" s="60">
        <v>9.51</v>
      </c>
      <c r="I28" s="60">
        <v>3.97</v>
      </c>
      <c r="J28" s="60">
        <v>0.15</v>
      </c>
      <c r="K28" s="60">
        <v>156.09</v>
      </c>
      <c r="L28" s="60">
        <v>24.12</v>
      </c>
      <c r="M28" s="60">
        <v>72.38</v>
      </c>
      <c r="N28" s="60">
        <v>26.2</v>
      </c>
      <c r="O28" s="60">
        <v>0</v>
      </c>
      <c r="P28" s="60">
        <v>0.27</v>
      </c>
      <c r="Q28" s="60">
        <v>9.42</v>
      </c>
      <c r="R28" s="198"/>
      <c r="S28" s="198"/>
      <c r="T28" s="198"/>
      <c r="U28" s="198"/>
    </row>
    <row r="29" spans="1:21" s="12" customFormat="1" x14ac:dyDescent="0.25">
      <c r="A29" s="63">
        <v>45810.21875</v>
      </c>
      <c r="B29" s="60">
        <v>10.45</v>
      </c>
      <c r="C29" s="60">
        <v>24.45</v>
      </c>
      <c r="D29" s="60">
        <v>30.76</v>
      </c>
      <c r="E29" s="60">
        <v>4.51</v>
      </c>
      <c r="F29" s="60">
        <v>5.57</v>
      </c>
      <c r="G29" s="60">
        <v>41.41</v>
      </c>
      <c r="H29" s="60">
        <v>16.190000000000001</v>
      </c>
      <c r="I29" s="60">
        <v>3.95</v>
      </c>
      <c r="J29" s="60">
        <v>0.12</v>
      </c>
      <c r="K29" s="60">
        <v>173.77</v>
      </c>
      <c r="L29" s="60">
        <v>23.78</v>
      </c>
      <c r="M29" s="60">
        <v>76.47</v>
      </c>
      <c r="N29" s="60">
        <v>28.3</v>
      </c>
      <c r="O29" s="60">
        <v>0</v>
      </c>
      <c r="P29" s="60">
        <v>0.26</v>
      </c>
      <c r="Q29" s="60">
        <v>9.44</v>
      </c>
      <c r="R29" s="198"/>
      <c r="S29" s="198"/>
      <c r="T29" s="198"/>
      <c r="U29" s="198"/>
    </row>
    <row r="30" spans="1:21" s="12" customFormat="1" x14ac:dyDescent="0.25">
      <c r="A30" s="63">
        <v>45810.229166666664</v>
      </c>
      <c r="B30" s="60">
        <v>10.98</v>
      </c>
      <c r="C30" s="60">
        <v>24.42</v>
      </c>
      <c r="D30" s="60">
        <v>29.88</v>
      </c>
      <c r="E30" s="60">
        <v>4.37</v>
      </c>
      <c r="F30" s="60">
        <v>5.78</v>
      </c>
      <c r="G30" s="60">
        <v>41.63</v>
      </c>
      <c r="H30" s="60">
        <v>19.21</v>
      </c>
      <c r="I30" s="60">
        <v>4.16</v>
      </c>
      <c r="J30" s="60">
        <v>0.13</v>
      </c>
      <c r="K30" s="60">
        <v>171.23</v>
      </c>
      <c r="L30" s="60">
        <v>23.6</v>
      </c>
      <c r="M30" s="60">
        <v>78.92</v>
      </c>
      <c r="N30" s="60">
        <v>35</v>
      </c>
      <c r="O30" s="60">
        <v>0</v>
      </c>
      <c r="P30" s="60">
        <v>0.28000000000000003</v>
      </c>
      <c r="Q30" s="60">
        <v>9.4600000000000009</v>
      </c>
      <c r="R30" s="198"/>
      <c r="S30" s="198"/>
      <c r="T30" s="198"/>
      <c r="U30" s="198"/>
    </row>
    <row r="31" spans="1:21" s="12" customFormat="1" x14ac:dyDescent="0.25">
      <c r="A31" s="63">
        <v>45810.239583333336</v>
      </c>
      <c r="B31" s="60">
        <v>14.51</v>
      </c>
      <c r="C31" s="60">
        <v>28.75</v>
      </c>
      <c r="D31" s="60">
        <v>32.75</v>
      </c>
      <c r="E31" s="60">
        <v>4.57</v>
      </c>
      <c r="F31" s="60">
        <v>4.42</v>
      </c>
      <c r="G31" s="60">
        <v>41.63</v>
      </c>
      <c r="H31" s="60">
        <v>19.21</v>
      </c>
      <c r="I31" s="60">
        <v>3.98</v>
      </c>
      <c r="J31" s="60">
        <v>0.42</v>
      </c>
      <c r="K31" s="60">
        <v>154.72</v>
      </c>
      <c r="L31" s="60">
        <v>23.71</v>
      </c>
      <c r="M31" s="60">
        <v>80.040000000000006</v>
      </c>
      <c r="N31" s="60">
        <v>48.8</v>
      </c>
      <c r="O31" s="60">
        <v>0</v>
      </c>
      <c r="P31" s="60">
        <v>0.3</v>
      </c>
      <c r="Q31" s="60">
        <v>9.49</v>
      </c>
      <c r="R31" s="198"/>
      <c r="S31" s="198"/>
      <c r="T31" s="198"/>
      <c r="U31" s="198"/>
    </row>
    <row r="32" spans="1:21" s="12" customFormat="1" x14ac:dyDescent="0.25">
      <c r="A32" s="63">
        <v>45810.25</v>
      </c>
      <c r="B32" s="60">
        <v>13.35</v>
      </c>
      <c r="C32" s="60">
        <v>24.57</v>
      </c>
      <c r="D32" s="60">
        <v>26.55</v>
      </c>
      <c r="E32" s="60">
        <v>4.3</v>
      </c>
      <c r="F32" s="60">
        <v>4.6900000000000004</v>
      </c>
      <c r="G32" s="60">
        <v>41.63</v>
      </c>
      <c r="H32" s="60">
        <v>19.21</v>
      </c>
      <c r="I32" s="60">
        <v>3.95</v>
      </c>
      <c r="J32" s="60">
        <v>0.17</v>
      </c>
      <c r="K32" s="60">
        <v>161.19</v>
      </c>
      <c r="L32" s="60">
        <v>24</v>
      </c>
      <c r="M32" s="60">
        <v>77.930000000000007</v>
      </c>
      <c r="N32" s="60">
        <v>73.5</v>
      </c>
      <c r="O32" s="60">
        <v>0</v>
      </c>
      <c r="P32" s="60">
        <v>0.28999999999999998</v>
      </c>
      <c r="Q32" s="60">
        <v>9.51</v>
      </c>
      <c r="R32" s="198"/>
      <c r="S32" s="198"/>
      <c r="T32" s="198"/>
      <c r="U32" s="198"/>
    </row>
    <row r="33" spans="1:21" s="12" customFormat="1" x14ac:dyDescent="0.25">
      <c r="A33" s="63">
        <v>45810.260416666664</v>
      </c>
      <c r="B33" s="60">
        <v>15.77</v>
      </c>
      <c r="C33" s="60">
        <v>24.31</v>
      </c>
      <c r="D33" s="60">
        <v>22.33</v>
      </c>
      <c r="E33" s="60">
        <v>4.53</v>
      </c>
      <c r="F33" s="60">
        <v>3.59</v>
      </c>
      <c r="G33" s="60">
        <v>43.62</v>
      </c>
      <c r="H33" s="60">
        <v>9.0500000000000007</v>
      </c>
      <c r="I33" s="60">
        <v>4.1399999999999997</v>
      </c>
      <c r="J33" s="60">
        <v>0.06</v>
      </c>
      <c r="K33" s="60">
        <v>223.84</v>
      </c>
      <c r="L33" s="60">
        <v>24.43</v>
      </c>
      <c r="M33" s="60">
        <v>75.849999999999994</v>
      </c>
      <c r="N33" s="60">
        <v>111.3</v>
      </c>
      <c r="O33" s="60">
        <v>0</v>
      </c>
      <c r="P33" s="60">
        <v>0.28999999999999998</v>
      </c>
      <c r="Q33" s="60">
        <v>9.52</v>
      </c>
      <c r="R33" s="198"/>
      <c r="S33" s="198"/>
      <c r="T33" s="198"/>
      <c r="U33" s="198"/>
    </row>
    <row r="34" spans="1:21" s="12" customFormat="1" x14ac:dyDescent="0.25">
      <c r="A34" s="63">
        <v>45810.270833333336</v>
      </c>
      <c r="B34" s="60">
        <v>15.83</v>
      </c>
      <c r="C34" s="60">
        <v>23.96</v>
      </c>
      <c r="D34" s="60">
        <v>21.55</v>
      </c>
      <c r="E34" s="60">
        <v>4.41</v>
      </c>
      <c r="F34" s="60">
        <v>3.95</v>
      </c>
      <c r="G34" s="60">
        <v>44.47</v>
      </c>
      <c r="H34" s="60">
        <v>4.6900000000000004</v>
      </c>
      <c r="I34" s="60">
        <v>3.92</v>
      </c>
      <c r="J34" s="60">
        <v>0.1</v>
      </c>
      <c r="K34" s="60">
        <v>213.89</v>
      </c>
      <c r="L34" s="60">
        <v>25.1</v>
      </c>
      <c r="M34" s="60">
        <v>72.63</v>
      </c>
      <c r="N34" s="60">
        <v>154.69999999999999</v>
      </c>
      <c r="O34" s="60">
        <v>0</v>
      </c>
      <c r="P34" s="60">
        <v>0.28999999999999998</v>
      </c>
      <c r="Q34" s="60">
        <v>9.52</v>
      </c>
      <c r="R34" s="198"/>
      <c r="S34" s="198"/>
      <c r="T34" s="198"/>
      <c r="U34" s="198"/>
    </row>
    <row r="35" spans="1:21" s="12" customFormat="1" x14ac:dyDescent="0.25">
      <c r="A35" s="63">
        <v>45810.28125</v>
      </c>
      <c r="B35" s="60">
        <v>16.04</v>
      </c>
      <c r="C35" s="60">
        <v>24.16</v>
      </c>
      <c r="D35" s="60">
        <v>21.62</v>
      </c>
      <c r="E35" s="60">
        <v>4.5</v>
      </c>
      <c r="F35" s="60">
        <v>3.68</v>
      </c>
      <c r="G35" s="60">
        <v>44.47</v>
      </c>
      <c r="H35" s="60">
        <v>4.6900000000000004</v>
      </c>
      <c r="I35" s="60">
        <v>4.0199999999999996</v>
      </c>
      <c r="J35" s="60">
        <v>0.11</v>
      </c>
      <c r="K35" s="60">
        <v>242.34</v>
      </c>
      <c r="L35" s="60">
        <v>25.79</v>
      </c>
      <c r="M35" s="60">
        <v>70.28</v>
      </c>
      <c r="N35" s="60">
        <v>199.6</v>
      </c>
      <c r="O35" s="60">
        <v>0</v>
      </c>
      <c r="P35" s="60">
        <v>0.28999999999999998</v>
      </c>
      <c r="Q35" s="60">
        <v>9.5</v>
      </c>
      <c r="R35" s="198"/>
      <c r="S35" s="198"/>
      <c r="T35" s="198"/>
      <c r="U35" s="198"/>
    </row>
    <row r="36" spans="1:21" s="12" customFormat="1" x14ac:dyDescent="0.25">
      <c r="A36" s="63">
        <v>45810.291666666664</v>
      </c>
      <c r="B36" s="60">
        <v>15.75</v>
      </c>
      <c r="C36" s="60">
        <v>24.28</v>
      </c>
      <c r="D36" s="60">
        <v>22.31</v>
      </c>
      <c r="E36" s="60">
        <v>4.49</v>
      </c>
      <c r="F36" s="60">
        <v>3.9</v>
      </c>
      <c r="G36" s="60">
        <v>44.47</v>
      </c>
      <c r="H36" s="60">
        <v>4.6900000000000004</v>
      </c>
      <c r="I36" s="60">
        <v>3.99</v>
      </c>
      <c r="J36" s="60">
        <v>7.0000000000000007E-2</v>
      </c>
      <c r="K36" s="60">
        <v>238.71</v>
      </c>
      <c r="L36" s="60">
        <v>26.57</v>
      </c>
      <c r="M36" s="60">
        <v>68.27</v>
      </c>
      <c r="N36" s="60">
        <v>251.6</v>
      </c>
      <c r="O36" s="60">
        <v>0</v>
      </c>
      <c r="P36" s="60">
        <v>0.3</v>
      </c>
      <c r="Q36" s="60">
        <v>9.49</v>
      </c>
      <c r="R36" s="198"/>
      <c r="S36" s="198"/>
      <c r="T36" s="198"/>
      <c r="U36" s="198"/>
    </row>
    <row r="37" spans="1:21" s="12" customFormat="1" x14ac:dyDescent="0.25">
      <c r="A37" s="63">
        <v>45810.302083333336</v>
      </c>
      <c r="B37" s="60">
        <v>16.55</v>
      </c>
      <c r="C37" s="60">
        <v>24.87</v>
      </c>
      <c r="D37" s="60">
        <v>22.21</v>
      </c>
      <c r="E37" s="60">
        <v>4.6100000000000003</v>
      </c>
      <c r="F37" s="60">
        <v>4.1500000000000004</v>
      </c>
      <c r="G37" s="60">
        <v>44.45</v>
      </c>
      <c r="H37" s="60">
        <v>14.62</v>
      </c>
      <c r="I37" s="60">
        <v>3.98</v>
      </c>
      <c r="J37" s="60">
        <v>0.16</v>
      </c>
      <c r="K37" s="60">
        <v>273.98</v>
      </c>
      <c r="L37" s="60">
        <v>27.33</v>
      </c>
      <c r="M37" s="60">
        <v>65.37</v>
      </c>
      <c r="N37" s="60">
        <v>307.39999999999998</v>
      </c>
      <c r="O37" s="60">
        <v>0</v>
      </c>
      <c r="P37" s="60">
        <v>0.3</v>
      </c>
      <c r="Q37" s="60">
        <v>9.5</v>
      </c>
      <c r="R37" s="198"/>
      <c r="S37" s="198"/>
      <c r="T37" s="198"/>
      <c r="U37" s="198"/>
    </row>
    <row r="38" spans="1:21" s="12" customFormat="1" x14ac:dyDescent="0.25">
      <c r="A38" s="63">
        <v>45810.3125</v>
      </c>
      <c r="B38" s="60">
        <v>16.13</v>
      </c>
      <c r="C38" s="60">
        <v>25.06</v>
      </c>
      <c r="D38" s="60">
        <v>23.21</v>
      </c>
      <c r="E38" s="60">
        <v>4.16</v>
      </c>
      <c r="F38" s="60">
        <v>3.76</v>
      </c>
      <c r="G38" s="60">
        <v>44.44</v>
      </c>
      <c r="H38" s="60">
        <v>18.88</v>
      </c>
      <c r="I38" s="60">
        <v>3.94</v>
      </c>
      <c r="J38" s="60">
        <v>0.19</v>
      </c>
      <c r="K38" s="60">
        <v>280.66000000000003</v>
      </c>
      <c r="L38" s="60">
        <v>27.93</v>
      </c>
      <c r="M38" s="60">
        <v>63.38</v>
      </c>
      <c r="N38" s="60">
        <v>360</v>
      </c>
      <c r="O38" s="60">
        <v>0</v>
      </c>
      <c r="P38" s="60">
        <v>0.31</v>
      </c>
      <c r="Q38" s="60">
        <v>9.5</v>
      </c>
      <c r="R38" s="198"/>
      <c r="S38" s="198"/>
      <c r="T38" s="198"/>
      <c r="U38" s="198"/>
    </row>
    <row r="39" spans="1:21" s="12" customFormat="1" x14ac:dyDescent="0.25">
      <c r="A39" s="63">
        <v>45810.322916666664</v>
      </c>
      <c r="B39" s="60">
        <v>15.29</v>
      </c>
      <c r="C39" s="60">
        <v>25.13</v>
      </c>
      <c r="D39" s="60">
        <v>24.64</v>
      </c>
      <c r="E39" s="60">
        <v>4.26</v>
      </c>
      <c r="F39" s="60">
        <v>3.25</v>
      </c>
      <c r="G39" s="60">
        <v>44.44</v>
      </c>
      <c r="H39" s="60">
        <v>18.88</v>
      </c>
      <c r="I39" s="60">
        <v>4.0599999999999996</v>
      </c>
      <c r="J39" s="60">
        <v>0.19</v>
      </c>
      <c r="K39" s="60">
        <v>266.58</v>
      </c>
      <c r="L39" s="60">
        <v>28.96</v>
      </c>
      <c r="M39" s="60">
        <v>59.51</v>
      </c>
      <c r="N39" s="60">
        <v>415.5</v>
      </c>
      <c r="O39" s="60">
        <v>0</v>
      </c>
      <c r="P39" s="60">
        <v>0.32</v>
      </c>
      <c r="Q39" s="60">
        <v>9.49</v>
      </c>
      <c r="R39" s="198"/>
      <c r="S39" s="198"/>
      <c r="T39" s="198"/>
      <c r="U39" s="198"/>
    </row>
    <row r="40" spans="1:21" s="12" customFormat="1" x14ac:dyDescent="0.25">
      <c r="A40" s="63">
        <v>45810.333333333336</v>
      </c>
      <c r="B40" s="60">
        <v>14.44</v>
      </c>
      <c r="C40" s="60">
        <v>24.74</v>
      </c>
      <c r="D40" s="60">
        <v>25.19</v>
      </c>
      <c r="E40" s="60">
        <v>4.9000000000000004</v>
      </c>
      <c r="F40" s="60">
        <v>3.5</v>
      </c>
      <c r="G40" s="60">
        <v>44.44</v>
      </c>
      <c r="H40" s="60">
        <v>18.88</v>
      </c>
      <c r="I40" s="60">
        <v>3.85</v>
      </c>
      <c r="J40" s="60">
        <v>0.2</v>
      </c>
      <c r="K40" s="60">
        <v>256.88</v>
      </c>
      <c r="L40" s="60">
        <v>28.33</v>
      </c>
      <c r="M40" s="60">
        <v>62.96</v>
      </c>
      <c r="N40" s="60">
        <v>469</v>
      </c>
      <c r="O40" s="60">
        <v>0</v>
      </c>
      <c r="P40" s="60">
        <v>0.31</v>
      </c>
      <c r="Q40" s="60">
        <v>9.4700000000000006</v>
      </c>
      <c r="R40" s="198"/>
      <c r="S40" s="198"/>
      <c r="T40" s="198"/>
      <c r="U40" s="198"/>
    </row>
    <row r="41" spans="1:21" s="12" customFormat="1" x14ac:dyDescent="0.25">
      <c r="A41" s="63">
        <v>45810.34375</v>
      </c>
      <c r="B41" s="60">
        <v>13.5</v>
      </c>
      <c r="C41" s="60">
        <v>23.94</v>
      </c>
      <c r="D41" s="60">
        <v>25.1</v>
      </c>
      <c r="E41" s="60">
        <v>4.97</v>
      </c>
      <c r="F41" s="60">
        <v>3.63</v>
      </c>
      <c r="G41" s="60">
        <v>44.2</v>
      </c>
      <c r="H41" s="60">
        <v>17.95</v>
      </c>
      <c r="I41" s="60">
        <v>4.0199999999999996</v>
      </c>
      <c r="J41" s="60">
        <v>0.22</v>
      </c>
      <c r="K41" s="60">
        <v>272.85000000000002</v>
      </c>
      <c r="L41" s="60">
        <v>29.33</v>
      </c>
      <c r="M41" s="60">
        <v>59.4</v>
      </c>
      <c r="N41" s="60">
        <v>511.1</v>
      </c>
      <c r="O41" s="60">
        <v>0</v>
      </c>
      <c r="P41" s="60">
        <v>0.32</v>
      </c>
      <c r="Q41" s="60">
        <v>9.44</v>
      </c>
      <c r="R41" s="198"/>
      <c r="S41" s="198"/>
      <c r="T41" s="198"/>
      <c r="U41" s="198"/>
    </row>
    <row r="42" spans="1:21" s="12" customFormat="1" x14ac:dyDescent="0.25">
      <c r="A42" s="63">
        <v>45810.354166666664</v>
      </c>
      <c r="B42" s="60">
        <v>12.24</v>
      </c>
      <c r="C42" s="60">
        <v>23.45</v>
      </c>
      <c r="D42" s="60">
        <v>26.09</v>
      </c>
      <c r="E42" s="60">
        <v>5.0999999999999996</v>
      </c>
      <c r="F42" s="60">
        <v>4.33</v>
      </c>
      <c r="G42" s="60">
        <v>44.09</v>
      </c>
      <c r="H42" s="60">
        <v>17.55</v>
      </c>
      <c r="I42" s="60">
        <v>3.97</v>
      </c>
      <c r="J42" s="60">
        <v>0.23</v>
      </c>
      <c r="K42" s="60">
        <v>251.55</v>
      </c>
      <c r="L42" s="60">
        <v>29.98</v>
      </c>
      <c r="M42" s="60">
        <v>57.16</v>
      </c>
      <c r="N42" s="60">
        <v>555.4</v>
      </c>
      <c r="O42" s="60">
        <v>0</v>
      </c>
      <c r="P42" s="60">
        <v>0.31</v>
      </c>
      <c r="Q42" s="60">
        <v>9.41</v>
      </c>
      <c r="R42" s="198"/>
      <c r="S42" s="198"/>
      <c r="T42" s="198"/>
      <c r="U42" s="198"/>
    </row>
    <row r="43" spans="1:21" s="12" customFormat="1" x14ac:dyDescent="0.25">
      <c r="A43" s="63">
        <v>45810.364583333336</v>
      </c>
      <c r="B43" s="60">
        <v>11.18</v>
      </c>
      <c r="C43" s="60">
        <v>22.79</v>
      </c>
      <c r="D43" s="60">
        <v>26.45</v>
      </c>
      <c r="E43" s="60">
        <v>5.16</v>
      </c>
      <c r="F43" s="60">
        <v>6.66</v>
      </c>
      <c r="G43" s="60">
        <v>44.09</v>
      </c>
      <c r="H43" s="60">
        <v>17.55</v>
      </c>
      <c r="I43" s="60">
        <v>4.05</v>
      </c>
      <c r="J43" s="60">
        <v>0.24</v>
      </c>
      <c r="K43" s="60">
        <v>254.17</v>
      </c>
      <c r="L43" s="60">
        <v>30.4</v>
      </c>
      <c r="M43" s="60">
        <v>56.15</v>
      </c>
      <c r="N43" s="60">
        <v>606.5</v>
      </c>
      <c r="O43" s="60">
        <v>0</v>
      </c>
      <c r="P43" s="60">
        <v>0.31</v>
      </c>
      <c r="Q43" s="60">
        <v>9.39</v>
      </c>
      <c r="R43" s="198"/>
      <c r="S43" s="198"/>
      <c r="T43" s="198"/>
      <c r="U43" s="198"/>
    </row>
    <row r="44" spans="1:21" s="12" customFormat="1" x14ac:dyDescent="0.25">
      <c r="A44" s="63">
        <v>45810.375</v>
      </c>
      <c r="B44" s="60">
        <v>9.9600000000000009</v>
      </c>
      <c r="C44" s="60">
        <v>21.72</v>
      </c>
      <c r="D44" s="60">
        <v>26.29</v>
      </c>
      <c r="E44" s="60">
        <v>4.96</v>
      </c>
      <c r="F44" s="60">
        <v>4.75</v>
      </c>
      <c r="G44" s="60">
        <v>44.09</v>
      </c>
      <c r="H44" s="60">
        <v>17.55</v>
      </c>
      <c r="I44" s="60">
        <v>4.17</v>
      </c>
      <c r="J44" s="60">
        <v>0.32</v>
      </c>
      <c r="K44" s="60">
        <v>270.24</v>
      </c>
      <c r="L44" s="60">
        <v>31</v>
      </c>
      <c r="M44" s="60">
        <v>53.13</v>
      </c>
      <c r="N44" s="60">
        <v>664.7</v>
      </c>
      <c r="O44" s="60">
        <v>0</v>
      </c>
      <c r="P44" s="60">
        <v>0.31</v>
      </c>
      <c r="Q44" s="60">
        <v>9.36</v>
      </c>
      <c r="R44" s="198"/>
      <c r="S44" s="198"/>
      <c r="T44" s="198"/>
      <c r="U44" s="198"/>
    </row>
    <row r="45" spans="1:21" s="12" customFormat="1" x14ac:dyDescent="0.25">
      <c r="A45" s="63">
        <v>45810.385416666664</v>
      </c>
      <c r="B45" s="60">
        <v>8.5500000000000007</v>
      </c>
      <c r="C45" s="60">
        <v>21.24</v>
      </c>
      <c r="D45" s="60">
        <v>27.52</v>
      </c>
      <c r="E45" s="60">
        <v>5</v>
      </c>
      <c r="F45" s="60">
        <v>6.15</v>
      </c>
      <c r="G45" s="60">
        <v>43.81</v>
      </c>
      <c r="H45" s="60">
        <v>17.13</v>
      </c>
      <c r="I45" s="60">
        <v>3.89</v>
      </c>
      <c r="J45" s="60">
        <v>0.27</v>
      </c>
      <c r="K45" s="60">
        <v>280.26</v>
      </c>
      <c r="L45" s="60">
        <v>31.24</v>
      </c>
      <c r="M45" s="60">
        <v>51.77</v>
      </c>
      <c r="N45" s="60">
        <v>707.2</v>
      </c>
      <c r="O45" s="60">
        <v>0</v>
      </c>
      <c r="P45" s="60">
        <v>0.31</v>
      </c>
      <c r="Q45" s="60">
        <v>9.32</v>
      </c>
      <c r="R45" s="198"/>
      <c r="S45" s="198"/>
      <c r="T45" s="198"/>
      <c r="U45" s="198"/>
    </row>
    <row r="46" spans="1:21" s="12" customFormat="1" x14ac:dyDescent="0.25">
      <c r="A46" s="63">
        <v>45810.395833333336</v>
      </c>
      <c r="B46" s="60">
        <v>7.29</v>
      </c>
      <c r="C46" s="60">
        <v>20.52</v>
      </c>
      <c r="D46" s="60">
        <v>28.09</v>
      </c>
      <c r="E46" s="60">
        <v>5.57</v>
      </c>
      <c r="F46" s="60">
        <v>6.14</v>
      </c>
      <c r="G46" s="60">
        <v>43.68</v>
      </c>
      <c r="H46" s="60">
        <v>16.940000000000001</v>
      </c>
      <c r="I46" s="60">
        <v>4.03</v>
      </c>
      <c r="J46" s="60">
        <v>0.25</v>
      </c>
      <c r="K46" s="60">
        <v>260.08999999999997</v>
      </c>
      <c r="L46" s="60">
        <v>31.12</v>
      </c>
      <c r="M46" s="60">
        <v>51.49</v>
      </c>
      <c r="N46" s="60">
        <v>699.3</v>
      </c>
      <c r="O46" s="60">
        <v>0</v>
      </c>
      <c r="P46" s="60">
        <v>0.31</v>
      </c>
      <c r="Q46" s="60">
        <v>9.2899999999999991</v>
      </c>
      <c r="R46" s="198"/>
      <c r="S46" s="198"/>
      <c r="T46" s="198"/>
      <c r="U46" s="198"/>
    </row>
    <row r="47" spans="1:21" s="12" customFormat="1" x14ac:dyDescent="0.25">
      <c r="A47" s="63">
        <v>45810.40625</v>
      </c>
      <c r="B47" s="60">
        <v>6.74</v>
      </c>
      <c r="C47" s="60">
        <v>21.38</v>
      </c>
      <c r="D47" s="60">
        <v>30.57</v>
      </c>
      <c r="E47" s="60">
        <v>5.28</v>
      </c>
      <c r="F47" s="60">
        <v>6.43</v>
      </c>
      <c r="G47" s="60">
        <v>43.68</v>
      </c>
      <c r="H47" s="60">
        <v>16.940000000000001</v>
      </c>
      <c r="I47" s="60">
        <v>4.12</v>
      </c>
      <c r="J47" s="60">
        <v>0.25</v>
      </c>
      <c r="K47" s="60">
        <v>282.48</v>
      </c>
      <c r="L47" s="60">
        <v>32.26</v>
      </c>
      <c r="M47" s="60">
        <v>49.44</v>
      </c>
      <c r="N47" s="60">
        <v>722.3</v>
      </c>
      <c r="O47" s="60">
        <v>0</v>
      </c>
      <c r="P47" s="60">
        <v>0.31</v>
      </c>
      <c r="Q47" s="60">
        <v>9.26</v>
      </c>
      <c r="R47" s="198"/>
      <c r="S47" s="198"/>
      <c r="T47" s="198"/>
      <c r="U47" s="198"/>
    </row>
    <row r="48" spans="1:21" s="12" customFormat="1" x14ac:dyDescent="0.25">
      <c r="A48" s="63">
        <v>45810.416666666664</v>
      </c>
      <c r="B48" s="60">
        <v>6.5</v>
      </c>
      <c r="C48" s="60">
        <v>19.96</v>
      </c>
      <c r="D48" s="60">
        <v>28.22</v>
      </c>
      <c r="E48" s="60">
        <v>5.33</v>
      </c>
      <c r="F48" s="60">
        <v>5.76</v>
      </c>
      <c r="G48" s="60">
        <v>43.68</v>
      </c>
      <c r="H48" s="60">
        <v>16.940000000000001</v>
      </c>
      <c r="I48" s="60">
        <v>3.98</v>
      </c>
      <c r="J48" s="60">
        <v>0.3</v>
      </c>
      <c r="K48" s="60">
        <v>263.83999999999997</v>
      </c>
      <c r="L48" s="60">
        <v>32.130000000000003</v>
      </c>
      <c r="M48" s="60">
        <v>48.74</v>
      </c>
      <c r="N48" s="60">
        <v>803.3</v>
      </c>
      <c r="O48" s="60">
        <v>0</v>
      </c>
      <c r="P48" s="60">
        <v>0.31</v>
      </c>
      <c r="Q48" s="60">
        <v>9.25</v>
      </c>
      <c r="R48" s="198"/>
      <c r="S48" s="198"/>
      <c r="T48" s="198"/>
      <c r="U48" s="198"/>
    </row>
    <row r="49" spans="1:21" s="12" customFormat="1" x14ac:dyDescent="0.25">
      <c r="A49" s="63">
        <v>45810.427083333336</v>
      </c>
      <c r="B49" s="60">
        <v>6.07</v>
      </c>
      <c r="C49" s="60">
        <v>19.27</v>
      </c>
      <c r="D49" s="60">
        <v>27.55</v>
      </c>
      <c r="E49" s="60">
        <v>5.59</v>
      </c>
      <c r="F49" s="60">
        <v>9.02</v>
      </c>
      <c r="G49" s="60">
        <v>39.770000000000003</v>
      </c>
      <c r="H49" s="60">
        <v>27.36</v>
      </c>
      <c r="I49" s="60">
        <v>3.97</v>
      </c>
      <c r="J49" s="60">
        <v>0.25</v>
      </c>
      <c r="K49" s="60">
        <v>260.58</v>
      </c>
      <c r="L49" s="60">
        <v>32.54</v>
      </c>
      <c r="M49" s="60">
        <v>47.87</v>
      </c>
      <c r="N49" s="60">
        <v>852.1</v>
      </c>
      <c r="O49" s="60">
        <v>0</v>
      </c>
      <c r="P49" s="60">
        <v>0.31</v>
      </c>
      <c r="Q49" s="60">
        <v>9.24</v>
      </c>
      <c r="R49" s="198"/>
      <c r="S49" s="198"/>
      <c r="T49" s="198"/>
      <c r="U49" s="198"/>
    </row>
    <row r="50" spans="1:21" s="12" customFormat="1" x14ac:dyDescent="0.25">
      <c r="A50" s="63">
        <v>45810.4375</v>
      </c>
      <c r="B50" s="60">
        <v>5.21</v>
      </c>
      <c r="C50" s="60">
        <v>18.09</v>
      </c>
      <c r="D50" s="60">
        <v>26.62</v>
      </c>
      <c r="E50" s="60">
        <v>5.36</v>
      </c>
      <c r="F50" s="60">
        <v>6.93</v>
      </c>
      <c r="G50" s="60">
        <v>38.090000000000003</v>
      </c>
      <c r="H50" s="60">
        <v>31.82</v>
      </c>
      <c r="I50" s="60">
        <v>4.0999999999999996</v>
      </c>
      <c r="J50" s="60">
        <v>0.24</v>
      </c>
      <c r="K50" s="60">
        <v>254.41</v>
      </c>
      <c r="L50" s="60">
        <v>33.200000000000003</v>
      </c>
      <c r="M50" s="60">
        <v>46.52</v>
      </c>
      <c r="N50" s="60">
        <v>873.7</v>
      </c>
      <c r="O50" s="60">
        <v>0</v>
      </c>
      <c r="P50" s="60">
        <v>0.31</v>
      </c>
      <c r="Q50" s="60">
        <v>9.2200000000000006</v>
      </c>
      <c r="R50" s="198"/>
      <c r="S50" s="198"/>
      <c r="T50" s="198"/>
      <c r="U50" s="198"/>
    </row>
    <row r="51" spans="1:21" s="12" customFormat="1" x14ac:dyDescent="0.25">
      <c r="A51" s="63">
        <v>45810.447916666664</v>
      </c>
      <c r="B51" s="60">
        <v>5.05</v>
      </c>
      <c r="C51" s="60">
        <v>18.600000000000001</v>
      </c>
      <c r="D51" s="60">
        <v>27.85</v>
      </c>
      <c r="E51" s="60">
        <v>5.0199999999999996</v>
      </c>
      <c r="F51" s="60">
        <v>4.9400000000000004</v>
      </c>
      <c r="G51" s="60">
        <v>38.090000000000003</v>
      </c>
      <c r="H51" s="60">
        <v>31.82</v>
      </c>
      <c r="I51" s="60">
        <v>4.05</v>
      </c>
      <c r="J51" s="60">
        <v>0.3</v>
      </c>
      <c r="K51" s="60">
        <v>261.16000000000003</v>
      </c>
      <c r="L51" s="60">
        <v>33.26</v>
      </c>
      <c r="M51" s="60">
        <v>45.71</v>
      </c>
      <c r="N51" s="60">
        <v>625</v>
      </c>
      <c r="O51" s="60">
        <v>0</v>
      </c>
      <c r="P51" s="60">
        <v>0.32</v>
      </c>
      <c r="Q51" s="60">
        <v>9.19</v>
      </c>
      <c r="R51" s="198"/>
      <c r="S51" s="198"/>
      <c r="T51" s="198"/>
      <c r="U51" s="198"/>
    </row>
    <row r="52" spans="1:21" s="12" customFormat="1" x14ac:dyDescent="0.25">
      <c r="A52" s="63">
        <v>45810.458333333336</v>
      </c>
      <c r="B52" s="60">
        <v>4.84</v>
      </c>
      <c r="C52" s="60">
        <v>17.809999999999999</v>
      </c>
      <c r="D52" s="60">
        <v>26.67</v>
      </c>
      <c r="E52" s="60">
        <v>5.28</v>
      </c>
      <c r="F52" s="60">
        <v>4.99</v>
      </c>
      <c r="G52" s="60">
        <v>38.090000000000003</v>
      </c>
      <c r="H52" s="60">
        <v>31.82</v>
      </c>
      <c r="I52" s="60">
        <v>3.92</v>
      </c>
      <c r="J52" s="60">
        <v>0.27</v>
      </c>
      <c r="K52" s="60">
        <v>272.76</v>
      </c>
      <c r="L52" s="60">
        <v>33.47</v>
      </c>
      <c r="M52" s="60">
        <v>45.55</v>
      </c>
      <c r="N52" s="60">
        <v>799.1</v>
      </c>
      <c r="O52" s="60">
        <v>0</v>
      </c>
      <c r="P52" s="60">
        <v>0.32</v>
      </c>
      <c r="Q52" s="60">
        <v>9.17</v>
      </c>
      <c r="R52" s="198"/>
      <c r="S52" s="198"/>
      <c r="T52" s="198"/>
      <c r="U52" s="198"/>
    </row>
    <row r="53" spans="1:21" s="12" customFormat="1" x14ac:dyDescent="0.25">
      <c r="A53" s="63">
        <v>45810.46875</v>
      </c>
      <c r="B53" s="60">
        <v>4.8</v>
      </c>
      <c r="C53" s="60">
        <v>17.350000000000001</v>
      </c>
      <c r="D53" s="60">
        <v>25.85</v>
      </c>
      <c r="E53" s="60">
        <v>5.31</v>
      </c>
      <c r="F53" s="60">
        <v>4.9000000000000004</v>
      </c>
      <c r="G53" s="60">
        <v>37.53</v>
      </c>
      <c r="H53" s="60">
        <v>16.690000000000001</v>
      </c>
      <c r="I53" s="60">
        <v>4.1399999999999997</v>
      </c>
      <c r="J53" s="60">
        <v>0.32</v>
      </c>
      <c r="K53" s="60">
        <v>275.68</v>
      </c>
      <c r="L53" s="60">
        <v>33.799999999999997</v>
      </c>
      <c r="M53" s="60">
        <v>43.2</v>
      </c>
      <c r="N53" s="60">
        <v>977.6</v>
      </c>
      <c r="O53" s="60">
        <v>0</v>
      </c>
      <c r="P53" s="60">
        <v>0.31</v>
      </c>
      <c r="Q53" s="60">
        <v>9.17</v>
      </c>
      <c r="R53" s="198"/>
      <c r="S53" s="198"/>
      <c r="T53" s="198"/>
      <c r="U53" s="198"/>
    </row>
    <row r="54" spans="1:21" s="12" customFormat="1" x14ac:dyDescent="0.25">
      <c r="A54" s="63">
        <v>45810.479166666664</v>
      </c>
      <c r="B54" s="60">
        <v>4.5999999999999996</v>
      </c>
      <c r="C54" s="60">
        <v>17.329999999999998</v>
      </c>
      <c r="D54" s="60">
        <v>26.11</v>
      </c>
      <c r="E54" s="60">
        <v>5.15</v>
      </c>
      <c r="F54" s="60">
        <v>5.65</v>
      </c>
      <c r="G54" s="60">
        <v>37.28</v>
      </c>
      <c r="H54" s="60">
        <v>10.199999999999999</v>
      </c>
      <c r="I54" s="60">
        <v>3.86</v>
      </c>
      <c r="J54" s="60">
        <v>0.27</v>
      </c>
      <c r="K54" s="60">
        <v>265.08</v>
      </c>
      <c r="L54" s="60">
        <v>33.700000000000003</v>
      </c>
      <c r="M54" s="60">
        <v>42.28</v>
      </c>
      <c r="N54" s="60">
        <v>905.2</v>
      </c>
      <c r="O54" s="60">
        <v>0</v>
      </c>
      <c r="P54" s="60">
        <v>0.31</v>
      </c>
      <c r="Q54" s="60">
        <v>9.16</v>
      </c>
      <c r="R54" s="198"/>
      <c r="S54" s="198"/>
      <c r="T54" s="198"/>
      <c r="U54" s="198"/>
    </row>
    <row r="55" spans="1:21" s="12" customFormat="1" x14ac:dyDescent="0.25">
      <c r="A55" s="63">
        <v>45810.489583333336</v>
      </c>
      <c r="B55" s="60">
        <v>4.7699999999999996</v>
      </c>
      <c r="C55" s="60">
        <v>17.420000000000002</v>
      </c>
      <c r="D55" s="60">
        <v>26.02</v>
      </c>
      <c r="E55" s="60">
        <v>5.17</v>
      </c>
      <c r="F55" s="60">
        <v>4.8499999999999996</v>
      </c>
      <c r="G55" s="60">
        <v>37.28</v>
      </c>
      <c r="H55" s="60">
        <v>10.199999999999999</v>
      </c>
      <c r="I55" s="60">
        <v>4.0599999999999996</v>
      </c>
      <c r="J55" s="60">
        <v>0.31</v>
      </c>
      <c r="K55" s="60">
        <v>273</v>
      </c>
      <c r="L55" s="60">
        <v>34.299999999999997</v>
      </c>
      <c r="M55" s="60">
        <v>41.35</v>
      </c>
      <c r="N55" s="60">
        <v>920.9</v>
      </c>
      <c r="O55" s="60">
        <v>0</v>
      </c>
      <c r="P55" s="60">
        <v>0.3</v>
      </c>
      <c r="Q55" s="60">
        <v>9.16</v>
      </c>
      <c r="R55" s="198"/>
      <c r="S55" s="198"/>
      <c r="T55" s="198"/>
      <c r="U55" s="198"/>
    </row>
    <row r="56" spans="1:21" s="12" customFormat="1" x14ac:dyDescent="0.25">
      <c r="A56" s="63">
        <v>45810.5</v>
      </c>
      <c r="B56" s="60">
        <v>5.89</v>
      </c>
      <c r="C56" s="60">
        <v>19.059999999999999</v>
      </c>
      <c r="D56" s="60">
        <v>27.45</v>
      </c>
      <c r="E56" s="60">
        <v>4.88</v>
      </c>
      <c r="F56" s="60">
        <v>5.65</v>
      </c>
      <c r="G56" s="60">
        <v>37.28</v>
      </c>
      <c r="H56" s="60">
        <v>10.199999999999999</v>
      </c>
      <c r="I56" s="60">
        <v>4.0199999999999996</v>
      </c>
      <c r="J56" s="60">
        <v>0.26</v>
      </c>
      <c r="K56" s="60">
        <v>259.8</v>
      </c>
      <c r="L56" s="60">
        <v>34.4</v>
      </c>
      <c r="M56" s="60">
        <v>39.04</v>
      </c>
      <c r="N56" s="60">
        <v>935.1</v>
      </c>
      <c r="O56" s="60">
        <v>0</v>
      </c>
      <c r="P56" s="60">
        <v>0.3</v>
      </c>
      <c r="Q56" s="60">
        <v>9.15</v>
      </c>
      <c r="R56" s="198"/>
      <c r="S56" s="198"/>
      <c r="T56" s="198"/>
      <c r="U56" s="198"/>
    </row>
    <row r="57" spans="1:21" s="12" customFormat="1" x14ac:dyDescent="0.25">
      <c r="A57" s="63">
        <v>45810.510416666664</v>
      </c>
      <c r="B57" s="60">
        <v>5.2</v>
      </c>
      <c r="C57" s="60">
        <v>18.91</v>
      </c>
      <c r="D57" s="60">
        <v>28.21</v>
      </c>
      <c r="E57" s="60">
        <v>5.51</v>
      </c>
      <c r="F57" s="60">
        <v>5.31</v>
      </c>
      <c r="G57" s="60">
        <v>36.659999999999997</v>
      </c>
      <c r="H57" s="60">
        <v>12.89</v>
      </c>
      <c r="I57" s="60">
        <v>4.09</v>
      </c>
      <c r="J57" s="60">
        <v>0.3</v>
      </c>
      <c r="K57" s="60">
        <v>255.32</v>
      </c>
      <c r="L57" s="60">
        <v>34.28</v>
      </c>
      <c r="M57" s="60">
        <v>38.979999999999997</v>
      </c>
      <c r="N57" s="60">
        <v>938.6</v>
      </c>
      <c r="O57" s="60">
        <v>0</v>
      </c>
      <c r="P57" s="60">
        <v>0.3</v>
      </c>
      <c r="Q57" s="60">
        <v>9.16</v>
      </c>
      <c r="R57" s="198"/>
      <c r="S57" s="198"/>
      <c r="T57" s="198"/>
      <c r="U57" s="198"/>
    </row>
    <row r="58" spans="1:21" s="12" customFormat="1" x14ac:dyDescent="0.25">
      <c r="A58" s="63">
        <v>45810.520833333336</v>
      </c>
      <c r="B58" s="60">
        <v>5.0999999999999996</v>
      </c>
      <c r="C58" s="60">
        <v>18.23</v>
      </c>
      <c r="D58" s="60">
        <v>27.06</v>
      </c>
      <c r="E58" s="60">
        <v>5.32</v>
      </c>
      <c r="F58" s="60">
        <v>5.39</v>
      </c>
      <c r="G58" s="60">
        <v>36.39</v>
      </c>
      <c r="H58" s="60">
        <v>14.1</v>
      </c>
      <c r="I58" s="60">
        <v>4.05</v>
      </c>
      <c r="J58" s="60">
        <v>0.35</v>
      </c>
      <c r="K58" s="60">
        <v>278.54000000000002</v>
      </c>
      <c r="L58" s="60">
        <v>35.299999999999997</v>
      </c>
      <c r="M58" s="60">
        <v>37.72</v>
      </c>
      <c r="N58" s="60">
        <v>926.3</v>
      </c>
      <c r="O58" s="60">
        <v>0</v>
      </c>
      <c r="P58" s="60">
        <v>0.28000000000000003</v>
      </c>
      <c r="Q58" s="60">
        <v>9.16</v>
      </c>
      <c r="R58" s="198"/>
      <c r="S58" s="198"/>
      <c r="T58" s="198"/>
      <c r="U58" s="198"/>
    </row>
    <row r="59" spans="1:21" s="12" customFormat="1" x14ac:dyDescent="0.25">
      <c r="A59" s="63">
        <v>45810.53125</v>
      </c>
      <c r="B59" s="60">
        <v>5.0199999999999996</v>
      </c>
      <c r="C59" s="60">
        <v>18.27</v>
      </c>
      <c r="D59" s="60">
        <v>27.27</v>
      </c>
      <c r="E59" s="60">
        <v>4.97</v>
      </c>
      <c r="F59" s="60">
        <v>5.63</v>
      </c>
      <c r="G59" s="60">
        <v>36.39</v>
      </c>
      <c r="H59" s="60">
        <v>14.1</v>
      </c>
      <c r="I59" s="60">
        <v>3.99</v>
      </c>
      <c r="J59" s="60">
        <v>0.34</v>
      </c>
      <c r="K59" s="60">
        <v>256</v>
      </c>
      <c r="L59" s="60">
        <v>34.9</v>
      </c>
      <c r="M59" s="60">
        <v>38.9</v>
      </c>
      <c r="N59" s="60">
        <v>772.4</v>
      </c>
      <c r="O59" s="60">
        <v>0</v>
      </c>
      <c r="P59" s="60">
        <v>0.28000000000000003</v>
      </c>
      <c r="Q59" s="60">
        <v>9.15</v>
      </c>
      <c r="R59" s="198"/>
      <c r="S59" s="198"/>
      <c r="T59" s="198"/>
      <c r="U59" s="198"/>
    </row>
    <row r="60" spans="1:21" s="12" customFormat="1" x14ac:dyDescent="0.25">
      <c r="A60" s="63">
        <v>45810.541666666664</v>
      </c>
      <c r="B60" s="60">
        <v>4.75</v>
      </c>
      <c r="C60" s="60">
        <v>18.329999999999998</v>
      </c>
      <c r="D60" s="60">
        <v>27.8</v>
      </c>
      <c r="E60" s="60">
        <v>5.0599999999999996</v>
      </c>
      <c r="F60" s="60">
        <v>5.6</v>
      </c>
      <c r="G60" s="60">
        <v>36.39</v>
      </c>
      <c r="H60" s="60">
        <v>14.1</v>
      </c>
      <c r="I60" s="60">
        <v>4.03</v>
      </c>
      <c r="J60" s="60">
        <v>0.37</v>
      </c>
      <c r="K60" s="60">
        <v>262.25</v>
      </c>
      <c r="L60" s="60">
        <v>34.51</v>
      </c>
      <c r="M60" s="60">
        <v>39.68</v>
      </c>
      <c r="N60" s="60">
        <v>491.8</v>
      </c>
      <c r="O60" s="60">
        <v>0</v>
      </c>
      <c r="P60" s="60">
        <v>0.3</v>
      </c>
      <c r="Q60" s="60">
        <v>9.15</v>
      </c>
      <c r="R60" s="198"/>
      <c r="S60" s="198"/>
      <c r="T60" s="198"/>
      <c r="U60" s="198"/>
    </row>
    <row r="61" spans="1:21" s="12" customFormat="1" x14ac:dyDescent="0.25">
      <c r="A61" s="63">
        <v>45810.552083333336</v>
      </c>
      <c r="B61" s="60">
        <v>4.9400000000000004</v>
      </c>
      <c r="C61" s="60">
        <v>19.07</v>
      </c>
      <c r="D61" s="60">
        <v>28.91</v>
      </c>
      <c r="E61" s="60">
        <v>5.05</v>
      </c>
      <c r="F61" s="60">
        <v>8.4</v>
      </c>
      <c r="G61" s="60">
        <v>38</v>
      </c>
      <c r="H61" s="60">
        <v>14.81</v>
      </c>
      <c r="I61" s="60">
        <v>4.08</v>
      </c>
      <c r="J61" s="60">
        <v>0.33</v>
      </c>
      <c r="K61" s="60">
        <v>286.73</v>
      </c>
      <c r="L61" s="60">
        <v>34.83</v>
      </c>
      <c r="M61" s="60">
        <v>38.86</v>
      </c>
      <c r="N61" s="60">
        <v>564.29999999999995</v>
      </c>
      <c r="O61" s="60">
        <v>0</v>
      </c>
      <c r="P61" s="60">
        <v>0.26</v>
      </c>
      <c r="Q61" s="60">
        <v>9.17</v>
      </c>
      <c r="R61" s="198"/>
      <c r="S61" s="198"/>
      <c r="T61" s="198"/>
      <c r="U61" s="198"/>
    </row>
    <row r="62" spans="1:21" s="12" customFormat="1" x14ac:dyDescent="0.25">
      <c r="A62" s="63">
        <v>45810.5625</v>
      </c>
      <c r="B62" s="60">
        <v>4.96</v>
      </c>
      <c r="C62" s="60">
        <v>18.75</v>
      </c>
      <c r="D62" s="60">
        <v>28.28</v>
      </c>
      <c r="E62" s="60">
        <v>5.33</v>
      </c>
      <c r="F62" s="60">
        <v>7.3</v>
      </c>
      <c r="G62" s="60">
        <v>38.69</v>
      </c>
      <c r="H62" s="60">
        <v>15.11</v>
      </c>
      <c r="I62" s="60">
        <v>4.04</v>
      </c>
      <c r="J62" s="60">
        <v>0.38</v>
      </c>
      <c r="K62" s="60">
        <v>276.37</v>
      </c>
      <c r="L62" s="60">
        <v>34.409999999999997</v>
      </c>
      <c r="M62" s="60">
        <v>38.11</v>
      </c>
      <c r="N62" s="60">
        <v>343.7</v>
      </c>
      <c r="O62" s="60">
        <v>0</v>
      </c>
      <c r="P62" s="60">
        <v>0.27</v>
      </c>
      <c r="Q62" s="60">
        <v>9.17</v>
      </c>
      <c r="R62" s="198"/>
      <c r="S62" s="198"/>
      <c r="T62" s="198"/>
      <c r="U62" s="198"/>
    </row>
    <row r="63" spans="1:21" s="12" customFormat="1" x14ac:dyDescent="0.25">
      <c r="A63" s="63">
        <v>45810.572916666664</v>
      </c>
      <c r="B63" s="60">
        <v>4.92</v>
      </c>
      <c r="C63" s="60">
        <v>17.78</v>
      </c>
      <c r="D63" s="60">
        <v>26.48</v>
      </c>
      <c r="E63" s="60">
        <v>6.04</v>
      </c>
      <c r="F63" s="60">
        <v>6.91</v>
      </c>
      <c r="G63" s="60">
        <v>38.69</v>
      </c>
      <c r="H63" s="60">
        <v>15.11</v>
      </c>
      <c r="I63" s="60">
        <v>4.01</v>
      </c>
      <c r="J63" s="60">
        <v>0.57999999999999996</v>
      </c>
      <c r="K63" s="60">
        <v>287.45999999999998</v>
      </c>
      <c r="L63" s="60">
        <v>35.33</v>
      </c>
      <c r="M63" s="60">
        <v>38.36</v>
      </c>
      <c r="N63" s="60">
        <v>375.1</v>
      </c>
      <c r="O63" s="60">
        <v>0</v>
      </c>
      <c r="P63" s="60">
        <v>0.27</v>
      </c>
      <c r="Q63" s="60">
        <v>9.18</v>
      </c>
      <c r="R63" s="198"/>
      <c r="S63" s="198"/>
      <c r="T63" s="198"/>
      <c r="U63" s="198"/>
    </row>
    <row r="64" spans="1:21" s="12" customFormat="1" x14ac:dyDescent="0.25">
      <c r="A64" s="63">
        <v>45810.583333333336</v>
      </c>
      <c r="B64" s="60">
        <v>4.9800000000000004</v>
      </c>
      <c r="C64" s="60">
        <v>17.88</v>
      </c>
      <c r="D64" s="60">
        <v>26.58</v>
      </c>
      <c r="E64" s="60">
        <v>5.23</v>
      </c>
      <c r="F64" s="60">
        <v>7.34</v>
      </c>
      <c r="G64" s="60">
        <v>38.69</v>
      </c>
      <c r="H64" s="60">
        <v>15.11</v>
      </c>
      <c r="I64" s="60">
        <v>3.94</v>
      </c>
      <c r="J64" s="60">
        <v>0.39</v>
      </c>
      <c r="K64" s="60">
        <v>280.02</v>
      </c>
      <c r="L64" s="60">
        <v>35.229999999999997</v>
      </c>
      <c r="M64" s="60">
        <v>38.24</v>
      </c>
      <c r="N64" s="60">
        <v>261.3</v>
      </c>
      <c r="O64" s="60">
        <v>0</v>
      </c>
      <c r="P64" s="60">
        <v>0.28000000000000003</v>
      </c>
      <c r="Q64" s="60">
        <v>9.17</v>
      </c>
      <c r="R64" s="198"/>
      <c r="S64" s="198"/>
      <c r="T64" s="198"/>
      <c r="U64" s="198"/>
    </row>
    <row r="65" spans="1:21" s="12" customFormat="1" x14ac:dyDescent="0.25">
      <c r="A65" s="63">
        <v>45810.59375</v>
      </c>
      <c r="B65" s="60">
        <v>5.69</v>
      </c>
      <c r="C65" s="60">
        <v>20.86</v>
      </c>
      <c r="D65" s="60">
        <v>31.19</v>
      </c>
      <c r="E65" s="60">
        <v>5.44</v>
      </c>
      <c r="F65" s="60">
        <v>9.19</v>
      </c>
      <c r="G65" s="60">
        <v>34.96</v>
      </c>
      <c r="H65" s="60">
        <v>7.41</v>
      </c>
      <c r="I65" s="60">
        <v>3.99</v>
      </c>
      <c r="J65" s="60">
        <v>0.33</v>
      </c>
      <c r="K65" s="60">
        <v>263.39999999999998</v>
      </c>
      <c r="L65" s="60">
        <v>34.07</v>
      </c>
      <c r="M65" s="60">
        <v>39.229999999999997</v>
      </c>
      <c r="N65" s="60">
        <v>348.2</v>
      </c>
      <c r="O65" s="60">
        <v>0</v>
      </c>
      <c r="P65" s="60">
        <v>0.26</v>
      </c>
      <c r="Q65" s="60">
        <v>9.18</v>
      </c>
      <c r="R65" s="198"/>
      <c r="S65" s="198"/>
      <c r="T65" s="198"/>
      <c r="U65" s="198"/>
    </row>
    <row r="66" spans="1:21" s="12" customFormat="1" x14ac:dyDescent="0.25">
      <c r="A66" s="63">
        <v>45810.604166666664</v>
      </c>
      <c r="B66" s="60">
        <v>5.95</v>
      </c>
      <c r="C66" s="60">
        <v>20.83</v>
      </c>
      <c r="D66" s="60">
        <v>30.75</v>
      </c>
      <c r="E66" s="60">
        <v>5.65</v>
      </c>
      <c r="F66" s="60">
        <v>7.88</v>
      </c>
      <c r="G66" s="60">
        <v>33.36</v>
      </c>
      <c r="H66" s="60">
        <v>3.93</v>
      </c>
      <c r="I66" s="60">
        <v>3.93</v>
      </c>
      <c r="J66" s="60">
        <v>0.25</v>
      </c>
      <c r="K66" s="60">
        <v>259.89</v>
      </c>
      <c r="L66" s="60">
        <v>33.96</v>
      </c>
      <c r="M66" s="60">
        <v>39.18</v>
      </c>
      <c r="N66" s="60">
        <v>173.3</v>
      </c>
      <c r="O66" s="60">
        <v>0</v>
      </c>
      <c r="P66" s="60">
        <v>0.26</v>
      </c>
      <c r="Q66" s="60">
        <v>9.18</v>
      </c>
      <c r="R66" s="198"/>
      <c r="S66" s="198"/>
      <c r="T66" s="198"/>
      <c r="U66" s="198"/>
    </row>
    <row r="67" spans="1:21" s="12" customFormat="1" x14ac:dyDescent="0.25">
      <c r="A67" s="63">
        <v>45810.614583333336</v>
      </c>
      <c r="B67" s="60">
        <v>6.7</v>
      </c>
      <c r="C67" s="60">
        <v>22.82</v>
      </c>
      <c r="D67" s="60">
        <v>33.380000000000003</v>
      </c>
      <c r="E67" s="60">
        <v>5.24</v>
      </c>
      <c r="F67" s="60">
        <v>11.91</v>
      </c>
      <c r="G67" s="60">
        <v>33.36</v>
      </c>
      <c r="H67" s="60">
        <v>3.93</v>
      </c>
      <c r="I67" s="60">
        <v>4.0599999999999996</v>
      </c>
      <c r="J67" s="60">
        <v>0.23</v>
      </c>
      <c r="K67" s="60">
        <v>277.61</v>
      </c>
      <c r="L67" s="60">
        <v>34.270000000000003</v>
      </c>
      <c r="M67" s="60">
        <v>40.98</v>
      </c>
      <c r="N67" s="60">
        <v>293.60000000000002</v>
      </c>
      <c r="O67" s="60">
        <v>0</v>
      </c>
      <c r="P67" s="60">
        <v>0.28000000000000003</v>
      </c>
      <c r="Q67" s="60">
        <v>9.18</v>
      </c>
      <c r="R67" s="198"/>
      <c r="S67" s="198"/>
      <c r="T67" s="198"/>
      <c r="U67" s="198"/>
    </row>
    <row r="68" spans="1:21" s="12" customFormat="1" x14ac:dyDescent="0.25">
      <c r="A68" s="63">
        <v>45810.625</v>
      </c>
      <c r="B68" s="60">
        <v>5.44</v>
      </c>
      <c r="C68" s="60">
        <v>19.77</v>
      </c>
      <c r="D68" s="60">
        <v>29.5</v>
      </c>
      <c r="E68" s="60">
        <v>5.24</v>
      </c>
      <c r="F68" s="60">
        <v>6.97</v>
      </c>
      <c r="G68" s="60">
        <v>33.36</v>
      </c>
      <c r="H68" s="60">
        <v>3.93</v>
      </c>
      <c r="I68" s="60">
        <v>3.88</v>
      </c>
      <c r="J68" s="60">
        <v>0.23</v>
      </c>
      <c r="K68" s="60">
        <v>266.14999999999998</v>
      </c>
      <c r="L68" s="60">
        <v>34.520000000000003</v>
      </c>
      <c r="M68" s="60">
        <v>38.979999999999997</v>
      </c>
      <c r="N68" s="60">
        <v>269</v>
      </c>
      <c r="O68" s="60">
        <v>0</v>
      </c>
      <c r="P68" s="60">
        <v>0.27</v>
      </c>
      <c r="Q68" s="60">
        <v>9.18</v>
      </c>
      <c r="R68" s="198"/>
      <c r="S68" s="198"/>
      <c r="T68" s="198"/>
      <c r="U68" s="198"/>
    </row>
    <row r="69" spans="1:21" s="12" customFormat="1" x14ac:dyDescent="0.25">
      <c r="A69" s="63">
        <v>45810.635416666664</v>
      </c>
      <c r="B69" s="60">
        <v>4.71</v>
      </c>
      <c r="C69" s="60">
        <v>19.62</v>
      </c>
      <c r="D69" s="60">
        <v>30.34</v>
      </c>
      <c r="E69" s="60">
        <v>5.52</v>
      </c>
      <c r="F69" s="60">
        <v>19.29</v>
      </c>
      <c r="G69" s="60">
        <v>25.91</v>
      </c>
      <c r="H69" s="60">
        <v>1.95</v>
      </c>
      <c r="I69" s="60">
        <v>4.03</v>
      </c>
      <c r="J69" s="60">
        <v>0.3</v>
      </c>
      <c r="K69" s="60">
        <v>269.69</v>
      </c>
      <c r="L69" s="60">
        <v>34.42</v>
      </c>
      <c r="M69" s="60">
        <v>37.700000000000003</v>
      </c>
      <c r="N69" s="60">
        <v>289.2</v>
      </c>
      <c r="O69" s="60">
        <v>0</v>
      </c>
      <c r="P69" s="60">
        <v>0.23</v>
      </c>
      <c r="Q69" s="60">
        <v>9.17</v>
      </c>
      <c r="R69" s="198"/>
      <c r="S69" s="198"/>
      <c r="T69" s="198"/>
      <c r="U69" s="198"/>
    </row>
    <row r="70" spans="1:21" s="12" customFormat="1" x14ac:dyDescent="0.25">
      <c r="A70" s="63">
        <v>45810.645833333336</v>
      </c>
      <c r="B70" s="60">
        <v>4.1399999999999997</v>
      </c>
      <c r="C70" s="60">
        <v>18.55</v>
      </c>
      <c r="D70" s="60">
        <v>29.15</v>
      </c>
      <c r="E70" s="60">
        <v>5.66</v>
      </c>
      <c r="F70" s="60">
        <v>13.14</v>
      </c>
      <c r="G70" s="60">
        <v>22.72</v>
      </c>
      <c r="H70" s="60">
        <v>2.35</v>
      </c>
      <c r="I70" s="60">
        <v>4.03</v>
      </c>
      <c r="J70" s="60">
        <v>0.26</v>
      </c>
      <c r="K70" s="60">
        <v>266.39</v>
      </c>
      <c r="L70" s="60">
        <v>34.18</v>
      </c>
      <c r="M70" s="60">
        <v>38.89</v>
      </c>
      <c r="N70" s="60">
        <v>385.5</v>
      </c>
      <c r="O70" s="60">
        <v>0</v>
      </c>
      <c r="P70" s="60">
        <v>0.16</v>
      </c>
      <c r="Q70" s="60">
        <v>9.15</v>
      </c>
      <c r="R70" s="198"/>
      <c r="S70" s="198"/>
      <c r="T70" s="198"/>
      <c r="U70" s="198"/>
    </row>
    <row r="71" spans="1:21" s="12" customFormat="1" x14ac:dyDescent="0.25">
      <c r="A71" s="63">
        <v>45810.65625</v>
      </c>
      <c r="B71" s="60">
        <v>4.0599999999999996</v>
      </c>
      <c r="C71" s="60">
        <v>17.59</v>
      </c>
      <c r="D71" s="60">
        <v>27.45</v>
      </c>
      <c r="E71" s="60">
        <v>5.37</v>
      </c>
      <c r="F71" s="60">
        <v>8.59</v>
      </c>
      <c r="G71" s="60">
        <v>22.72</v>
      </c>
      <c r="H71" s="60">
        <v>1.1000000000000001</v>
      </c>
      <c r="I71" s="60">
        <v>4.0999999999999996</v>
      </c>
      <c r="J71" s="60">
        <v>0.26</v>
      </c>
      <c r="K71" s="60">
        <v>255.06</v>
      </c>
      <c r="L71" s="60">
        <v>33.96</v>
      </c>
      <c r="M71" s="60">
        <v>40.15</v>
      </c>
      <c r="N71" s="60">
        <v>230.6</v>
      </c>
      <c r="O71" s="60">
        <v>0</v>
      </c>
      <c r="P71" s="60">
        <v>0.18</v>
      </c>
      <c r="Q71" s="60">
        <v>9.15</v>
      </c>
      <c r="R71" s="198"/>
      <c r="S71" s="198"/>
      <c r="T71" s="198"/>
      <c r="U71" s="198"/>
    </row>
    <row r="72" spans="1:21" s="12" customFormat="1" x14ac:dyDescent="0.25">
      <c r="A72" s="63">
        <v>45810.666666666664</v>
      </c>
      <c r="B72" s="60">
        <v>4.29</v>
      </c>
      <c r="C72" s="60">
        <v>17.11</v>
      </c>
      <c r="D72" s="60">
        <v>26.16</v>
      </c>
      <c r="E72" s="60">
        <v>5.39</v>
      </c>
      <c r="F72" s="60">
        <v>8.73</v>
      </c>
      <c r="G72" s="60">
        <v>0</v>
      </c>
      <c r="H72" s="60">
        <v>0</v>
      </c>
      <c r="I72" s="60">
        <v>3.99</v>
      </c>
      <c r="J72" s="60">
        <v>0.26</v>
      </c>
      <c r="K72" s="60">
        <v>264.68</v>
      </c>
      <c r="L72" s="60">
        <v>33.869999999999997</v>
      </c>
      <c r="M72" s="60">
        <v>40.22</v>
      </c>
      <c r="N72" s="60">
        <v>186.3</v>
      </c>
      <c r="O72" s="60">
        <v>0</v>
      </c>
      <c r="P72" s="60">
        <v>0.18</v>
      </c>
      <c r="Q72" s="60">
        <v>9.14</v>
      </c>
      <c r="R72" s="198"/>
      <c r="S72" s="198"/>
      <c r="T72" s="198"/>
      <c r="U72" s="198"/>
    </row>
    <row r="73" spans="1:21" s="12" customFormat="1" x14ac:dyDescent="0.25">
      <c r="A73" s="63">
        <v>45810.677083333336</v>
      </c>
      <c r="B73" s="60">
        <v>5.51</v>
      </c>
      <c r="C73" s="60">
        <v>25.76</v>
      </c>
      <c r="D73" s="60">
        <v>40.86</v>
      </c>
      <c r="E73" s="60">
        <v>5.78</v>
      </c>
      <c r="F73" s="60">
        <v>22.6</v>
      </c>
      <c r="G73" s="60">
        <v>0</v>
      </c>
      <c r="H73" s="60">
        <v>0</v>
      </c>
      <c r="I73" s="60">
        <v>3.99</v>
      </c>
      <c r="J73" s="60">
        <v>0.34</v>
      </c>
      <c r="K73" s="60">
        <v>276.64</v>
      </c>
      <c r="L73" s="60">
        <v>33.99</v>
      </c>
      <c r="M73" s="60">
        <v>40.46</v>
      </c>
      <c r="N73" s="60">
        <v>194.3</v>
      </c>
      <c r="O73" s="60">
        <v>0</v>
      </c>
      <c r="P73" s="60">
        <v>0.24</v>
      </c>
      <c r="Q73" s="60">
        <v>9.14</v>
      </c>
      <c r="R73" s="198"/>
      <c r="S73" s="198"/>
      <c r="T73" s="198"/>
      <c r="U73" s="198"/>
    </row>
    <row r="74" spans="1:21" s="12" customFormat="1" x14ac:dyDescent="0.25">
      <c r="A74" s="63">
        <v>45810.6875</v>
      </c>
      <c r="B74" s="60">
        <v>8.92</v>
      </c>
      <c r="C74" s="60">
        <v>45.97</v>
      </c>
      <c r="D74" s="60">
        <v>74.3</v>
      </c>
      <c r="E74" s="60">
        <v>5.63</v>
      </c>
      <c r="F74" s="60">
        <v>15.71</v>
      </c>
      <c r="G74" s="60">
        <v>0</v>
      </c>
      <c r="H74" s="60">
        <v>0</v>
      </c>
      <c r="I74" s="60">
        <v>3.81</v>
      </c>
      <c r="J74" s="60">
        <v>0.19</v>
      </c>
      <c r="K74" s="60">
        <v>277.37</v>
      </c>
      <c r="L74" s="60">
        <v>33.82</v>
      </c>
      <c r="M74" s="60">
        <v>41.01</v>
      </c>
      <c r="N74" s="60">
        <v>172.9</v>
      </c>
      <c r="O74" s="60">
        <v>0</v>
      </c>
      <c r="P74" s="60">
        <v>0.28000000000000003</v>
      </c>
      <c r="Q74" s="60">
        <v>9.34</v>
      </c>
      <c r="R74" s="198"/>
      <c r="S74" s="198"/>
      <c r="T74" s="198"/>
      <c r="U74" s="198"/>
    </row>
    <row r="75" spans="1:21" s="12" customFormat="1" x14ac:dyDescent="0.25">
      <c r="A75" s="63">
        <v>45810.697916666664</v>
      </c>
      <c r="B75" s="60">
        <v>4.62</v>
      </c>
      <c r="C75" s="60">
        <v>33.369999999999997</v>
      </c>
      <c r="D75" s="60">
        <v>56.78</v>
      </c>
      <c r="E75" s="60">
        <v>5.0999999999999996</v>
      </c>
      <c r="F75" s="60">
        <v>10.53</v>
      </c>
      <c r="G75" s="60">
        <v>0</v>
      </c>
      <c r="H75" s="60">
        <v>0</v>
      </c>
      <c r="I75" s="60">
        <v>3.98</v>
      </c>
      <c r="J75" s="60">
        <v>0.27</v>
      </c>
      <c r="K75" s="60">
        <v>276.94</v>
      </c>
      <c r="L75" s="60">
        <v>33.65</v>
      </c>
      <c r="M75" s="60">
        <v>41.13</v>
      </c>
      <c r="N75" s="60">
        <v>131.69999999999999</v>
      </c>
      <c r="O75" s="60">
        <v>0</v>
      </c>
      <c r="P75" s="60">
        <v>0.25</v>
      </c>
      <c r="Q75" s="60">
        <v>9.3800000000000008</v>
      </c>
      <c r="R75" s="198"/>
      <c r="S75" s="198"/>
      <c r="T75" s="198"/>
      <c r="U75" s="198"/>
    </row>
    <row r="76" spans="1:21" s="12" customFormat="1" x14ac:dyDescent="0.25">
      <c r="A76" s="63">
        <v>45810.708333333336</v>
      </c>
      <c r="B76" s="60">
        <v>4.13</v>
      </c>
      <c r="C76" s="60">
        <v>29.85</v>
      </c>
      <c r="D76" s="60">
        <v>50.8</v>
      </c>
      <c r="E76" s="60">
        <v>4.5599999999999996</v>
      </c>
      <c r="F76" s="60">
        <v>7.36</v>
      </c>
      <c r="G76" s="60">
        <v>16.39</v>
      </c>
      <c r="H76" s="60">
        <v>339.3</v>
      </c>
      <c r="I76" s="60">
        <v>4.07</v>
      </c>
      <c r="J76" s="60">
        <v>0.17</v>
      </c>
      <c r="K76" s="60">
        <v>285.02999999999997</v>
      </c>
      <c r="L76" s="60">
        <v>33.58</v>
      </c>
      <c r="M76" s="60">
        <v>41.07</v>
      </c>
      <c r="N76" s="60">
        <v>117.3</v>
      </c>
      <c r="O76" s="60">
        <v>0</v>
      </c>
      <c r="P76" s="60">
        <v>0.25</v>
      </c>
      <c r="Q76" s="60">
        <v>9.35</v>
      </c>
      <c r="R76" s="198"/>
      <c r="S76" s="198"/>
      <c r="T76" s="198"/>
      <c r="U76" s="198"/>
    </row>
    <row r="77" spans="1:21" s="12" customFormat="1" x14ac:dyDescent="0.25">
      <c r="A77" s="63">
        <v>45810.71875</v>
      </c>
      <c r="B77" s="60">
        <v>4.5599999999999996</v>
      </c>
      <c r="C77" s="60">
        <v>27.49</v>
      </c>
      <c r="D77" s="60">
        <v>45.61</v>
      </c>
      <c r="E77" s="60">
        <v>4.38</v>
      </c>
      <c r="F77" s="60">
        <v>7.44</v>
      </c>
      <c r="G77" s="60">
        <v>26.35</v>
      </c>
      <c r="H77" s="60">
        <v>545.30999999999995</v>
      </c>
      <c r="I77" s="60">
        <v>4.0999999999999996</v>
      </c>
      <c r="J77" s="60">
        <v>0.15</v>
      </c>
      <c r="K77" s="60">
        <v>277.95</v>
      </c>
      <c r="L77" s="60">
        <v>33.33</v>
      </c>
      <c r="M77" s="60">
        <v>42.19</v>
      </c>
      <c r="N77" s="60">
        <v>99.9</v>
      </c>
      <c r="O77" s="60">
        <v>0</v>
      </c>
      <c r="P77" s="60">
        <v>0.25</v>
      </c>
      <c r="Q77" s="60">
        <v>9.32</v>
      </c>
      <c r="R77" s="198"/>
      <c r="S77" s="198"/>
      <c r="T77" s="198"/>
      <c r="U77" s="198"/>
    </row>
    <row r="78" spans="1:21" s="12" customFormat="1" x14ac:dyDescent="0.25">
      <c r="A78" s="63">
        <v>45810.729166666664</v>
      </c>
      <c r="B78" s="60">
        <v>6.02</v>
      </c>
      <c r="C78" s="60">
        <v>25.53</v>
      </c>
      <c r="D78" s="60">
        <v>39.630000000000003</v>
      </c>
      <c r="E78" s="60">
        <v>4.8</v>
      </c>
      <c r="F78" s="60">
        <v>13.21</v>
      </c>
      <c r="G78" s="60">
        <v>26.35</v>
      </c>
      <c r="H78" s="60">
        <v>545.30999999999995</v>
      </c>
      <c r="I78" s="60">
        <v>4.1500000000000004</v>
      </c>
      <c r="J78" s="60">
        <v>0.12</v>
      </c>
      <c r="K78" s="60">
        <v>231.82</v>
      </c>
      <c r="L78" s="60">
        <v>32.96</v>
      </c>
      <c r="M78" s="60">
        <v>44.1</v>
      </c>
      <c r="N78" s="60">
        <v>81</v>
      </c>
      <c r="O78" s="60">
        <v>0</v>
      </c>
      <c r="P78" s="60">
        <v>0.27</v>
      </c>
      <c r="Q78" s="60">
        <v>9.31</v>
      </c>
      <c r="R78" s="198"/>
      <c r="S78" s="198"/>
      <c r="T78" s="198"/>
      <c r="U78" s="198"/>
    </row>
    <row r="79" spans="1:21" s="12" customFormat="1" x14ac:dyDescent="0.25">
      <c r="A79" s="63">
        <v>45810.739583333336</v>
      </c>
      <c r="B79" s="60">
        <v>4.8600000000000003</v>
      </c>
      <c r="C79" s="60">
        <v>22.21</v>
      </c>
      <c r="D79" s="60">
        <v>35.049999999999997</v>
      </c>
      <c r="E79" s="60">
        <v>4.97</v>
      </c>
      <c r="F79" s="60">
        <v>12.46</v>
      </c>
      <c r="G79" s="60">
        <v>26.35</v>
      </c>
      <c r="H79" s="60">
        <v>545.30999999999995</v>
      </c>
      <c r="I79" s="60">
        <v>4</v>
      </c>
      <c r="J79" s="60">
        <v>0.17</v>
      </c>
      <c r="K79" s="60">
        <v>215.55</v>
      </c>
      <c r="L79" s="60">
        <v>32.69</v>
      </c>
      <c r="M79" s="60">
        <v>44.03</v>
      </c>
      <c r="N79" s="60">
        <v>67.5</v>
      </c>
      <c r="O79" s="60">
        <v>0</v>
      </c>
      <c r="P79" s="60">
        <v>0.26</v>
      </c>
      <c r="Q79" s="60">
        <v>9.33</v>
      </c>
      <c r="R79" s="198"/>
      <c r="S79" s="198"/>
      <c r="T79" s="198"/>
      <c r="U79" s="198"/>
    </row>
    <row r="80" spans="1:21" s="12" customFormat="1" x14ac:dyDescent="0.25">
      <c r="A80" s="63">
        <v>45810.75</v>
      </c>
      <c r="B80" s="60">
        <v>4.75</v>
      </c>
      <c r="C80" s="60">
        <v>20.07</v>
      </c>
      <c r="D80" s="60">
        <v>31.11</v>
      </c>
      <c r="E80" s="60">
        <v>5.59</v>
      </c>
      <c r="F80" s="60">
        <v>15.1</v>
      </c>
      <c r="G80" s="60">
        <v>25.56</v>
      </c>
      <c r="H80" s="60">
        <v>206.01</v>
      </c>
      <c r="I80" s="60">
        <v>4.04</v>
      </c>
      <c r="J80" s="60">
        <v>0.15</v>
      </c>
      <c r="K80" s="60">
        <v>208.34</v>
      </c>
      <c r="L80" s="60">
        <v>32.229999999999997</v>
      </c>
      <c r="M80" s="60">
        <v>46.42</v>
      </c>
      <c r="N80" s="60">
        <v>55.4</v>
      </c>
      <c r="O80" s="60">
        <v>0</v>
      </c>
      <c r="P80" s="60">
        <v>0.27</v>
      </c>
      <c r="Q80" s="60">
        <v>9.35</v>
      </c>
      <c r="R80" s="198"/>
      <c r="S80" s="198"/>
      <c r="T80" s="198"/>
      <c r="U80" s="198"/>
    </row>
    <row r="81" spans="1:26" s="12" customFormat="1" x14ac:dyDescent="0.25">
      <c r="A81" s="63">
        <v>45810.760416666664</v>
      </c>
      <c r="B81" s="60">
        <v>5.21</v>
      </c>
      <c r="C81" s="60">
        <v>21.67</v>
      </c>
      <c r="D81" s="60">
        <v>33.479999999999997</v>
      </c>
      <c r="E81" s="60">
        <v>5.6</v>
      </c>
      <c r="F81" s="60">
        <v>13.78</v>
      </c>
      <c r="G81" s="60">
        <v>25.08</v>
      </c>
      <c r="H81" s="60">
        <v>0</v>
      </c>
      <c r="I81" s="60">
        <v>3.97</v>
      </c>
      <c r="J81" s="60">
        <v>0.15</v>
      </c>
      <c r="K81" s="60">
        <v>190.5</v>
      </c>
      <c r="L81" s="60">
        <v>31.73</v>
      </c>
      <c r="M81" s="60">
        <v>47.87</v>
      </c>
      <c r="N81" s="60">
        <v>40.5</v>
      </c>
      <c r="O81" s="60">
        <v>0</v>
      </c>
      <c r="P81" s="60">
        <v>0.28999999999999998</v>
      </c>
      <c r="Q81" s="60">
        <v>9.36</v>
      </c>
      <c r="R81" s="198"/>
      <c r="S81" s="198"/>
      <c r="T81" s="198"/>
      <c r="U81" s="198"/>
    </row>
    <row r="82" spans="1:26" s="12" customFormat="1" x14ac:dyDescent="0.25">
      <c r="A82" s="63">
        <v>45810.770833333336</v>
      </c>
      <c r="B82" s="60">
        <v>5.07</v>
      </c>
      <c r="C82" s="60">
        <v>22.15</v>
      </c>
      <c r="D82" s="60">
        <v>34.61</v>
      </c>
      <c r="E82" s="60">
        <v>5.44</v>
      </c>
      <c r="F82" s="60">
        <v>16.5</v>
      </c>
      <c r="G82" s="60">
        <v>25.08</v>
      </c>
      <c r="H82" s="60">
        <v>0</v>
      </c>
      <c r="I82" s="60">
        <v>4.07</v>
      </c>
      <c r="J82" s="60">
        <v>0.19</v>
      </c>
      <c r="K82" s="60">
        <v>195.7</v>
      </c>
      <c r="L82" s="60">
        <v>31.39</v>
      </c>
      <c r="M82" s="60">
        <v>48.05</v>
      </c>
      <c r="N82" s="60">
        <v>34.6</v>
      </c>
      <c r="O82" s="60">
        <v>0</v>
      </c>
      <c r="P82" s="60">
        <v>0.3</v>
      </c>
      <c r="Q82" s="60">
        <v>9.36</v>
      </c>
      <c r="R82" s="198"/>
      <c r="S82" s="198"/>
      <c r="T82" s="198"/>
      <c r="U82" s="198"/>
    </row>
    <row r="83" spans="1:26" s="12" customFormat="1" x14ac:dyDescent="0.25">
      <c r="A83" s="63">
        <v>45810.78125</v>
      </c>
      <c r="B83" s="60">
        <v>5.33</v>
      </c>
      <c r="C83" s="60">
        <v>24.55</v>
      </c>
      <c r="D83" s="60">
        <v>38.81</v>
      </c>
      <c r="E83" s="60">
        <v>5.27</v>
      </c>
      <c r="F83" s="60">
        <v>15.32</v>
      </c>
      <c r="G83" s="60">
        <v>25.08</v>
      </c>
      <c r="H83" s="60">
        <v>0</v>
      </c>
      <c r="I83" s="60">
        <v>4.17</v>
      </c>
      <c r="J83" s="60">
        <v>0.18</v>
      </c>
      <c r="K83" s="60">
        <v>205.79</v>
      </c>
      <c r="L83" s="60">
        <v>31.03</v>
      </c>
      <c r="M83" s="60">
        <v>49.01</v>
      </c>
      <c r="N83" s="60">
        <v>28.8</v>
      </c>
      <c r="O83" s="60">
        <v>0</v>
      </c>
      <c r="P83" s="60">
        <v>0.3</v>
      </c>
      <c r="Q83" s="60">
        <v>9.36</v>
      </c>
      <c r="R83" s="198"/>
      <c r="S83" s="198"/>
      <c r="T83" s="198"/>
      <c r="U83" s="198"/>
    </row>
    <row r="84" spans="1:26" s="12" customFormat="1" x14ac:dyDescent="0.25">
      <c r="A84" s="63">
        <v>45810.791666666664</v>
      </c>
      <c r="B84" s="60">
        <v>5.88</v>
      </c>
      <c r="C84" s="60">
        <v>25.74</v>
      </c>
      <c r="D84" s="60">
        <v>40.24</v>
      </c>
      <c r="E84" s="60">
        <v>5.78</v>
      </c>
      <c r="F84" s="60">
        <v>14.79</v>
      </c>
      <c r="G84" s="60">
        <v>27.77</v>
      </c>
      <c r="H84" s="60">
        <v>119.88</v>
      </c>
      <c r="I84" s="60">
        <v>3.94</v>
      </c>
      <c r="J84" s="60">
        <v>0.19</v>
      </c>
      <c r="K84" s="60">
        <v>203.78</v>
      </c>
      <c r="L84" s="60">
        <v>30.84</v>
      </c>
      <c r="M84" s="60">
        <v>49.69</v>
      </c>
      <c r="N84" s="60">
        <v>27</v>
      </c>
      <c r="O84" s="60">
        <v>0</v>
      </c>
      <c r="P84" s="60">
        <v>0.33</v>
      </c>
      <c r="Q84" s="60">
        <v>9.36</v>
      </c>
      <c r="R84" s="198"/>
      <c r="S84" s="198"/>
      <c r="T84" s="198"/>
      <c r="U84" s="198"/>
    </row>
    <row r="85" spans="1:26" s="12" customFormat="1" x14ac:dyDescent="0.25">
      <c r="A85" s="63">
        <v>45810.802083333336</v>
      </c>
      <c r="B85" s="60">
        <v>6</v>
      </c>
      <c r="C85" s="60">
        <v>22.82</v>
      </c>
      <c r="D85" s="60">
        <v>34.46</v>
      </c>
      <c r="E85" s="60">
        <v>5.41</v>
      </c>
      <c r="F85" s="60">
        <v>13.1</v>
      </c>
      <c r="G85" s="60">
        <v>29.4</v>
      </c>
      <c r="H85" s="60">
        <v>192.66</v>
      </c>
      <c r="I85" s="60">
        <v>3.94</v>
      </c>
      <c r="J85" s="60">
        <v>0.04</v>
      </c>
      <c r="K85" s="60">
        <v>311.58999999999997</v>
      </c>
      <c r="L85" s="60">
        <v>30.87</v>
      </c>
      <c r="M85" s="60">
        <v>49.11</v>
      </c>
      <c r="N85" s="60">
        <v>26.8</v>
      </c>
      <c r="O85" s="60">
        <v>0</v>
      </c>
      <c r="P85" s="60">
        <v>0.31</v>
      </c>
      <c r="Q85" s="60">
        <v>9.35</v>
      </c>
      <c r="R85" s="198"/>
      <c r="S85" s="198"/>
      <c r="T85" s="198"/>
      <c r="U85" s="198"/>
    </row>
    <row r="86" spans="1:26" s="12" customFormat="1" x14ac:dyDescent="0.25">
      <c r="A86" s="63">
        <v>45810.8125</v>
      </c>
      <c r="B86" s="60">
        <v>6.31</v>
      </c>
      <c r="C86" s="60">
        <v>20.34</v>
      </c>
      <c r="D86" s="60">
        <v>29.24</v>
      </c>
      <c r="E86" s="60">
        <v>5.52</v>
      </c>
      <c r="F86" s="60">
        <v>6</v>
      </c>
      <c r="G86" s="60">
        <v>29.4</v>
      </c>
      <c r="H86" s="60">
        <v>192.66</v>
      </c>
      <c r="I86" s="60">
        <v>3.91</v>
      </c>
      <c r="J86" s="60">
        <v>7.0000000000000007E-2</v>
      </c>
      <c r="K86" s="60">
        <v>329.44</v>
      </c>
      <c r="L86" s="60">
        <v>30.8</v>
      </c>
      <c r="M86" s="60">
        <v>48.85</v>
      </c>
      <c r="N86" s="60">
        <v>26.7</v>
      </c>
      <c r="O86" s="60">
        <v>0</v>
      </c>
      <c r="P86" s="60">
        <v>0.31</v>
      </c>
      <c r="Q86" s="60">
        <v>9.34</v>
      </c>
      <c r="R86" s="198"/>
      <c r="S86" s="198"/>
      <c r="T86" s="198"/>
      <c r="U86" s="198"/>
    </row>
    <row r="87" spans="1:26" s="12" customFormat="1" x14ac:dyDescent="0.25">
      <c r="A87" s="63">
        <v>45810.822916666664</v>
      </c>
      <c r="B87" s="60">
        <v>6.21</v>
      </c>
      <c r="C87" s="60">
        <v>21.24</v>
      </c>
      <c r="D87" s="60">
        <v>31.13</v>
      </c>
      <c r="E87" s="60">
        <v>5.94</v>
      </c>
      <c r="F87" s="60">
        <v>8.24</v>
      </c>
      <c r="G87" s="60">
        <v>29.4</v>
      </c>
      <c r="H87" s="60">
        <v>192.66</v>
      </c>
      <c r="I87" s="60">
        <v>4.21</v>
      </c>
      <c r="J87" s="60">
        <v>0.06</v>
      </c>
      <c r="K87" s="60">
        <v>327.64</v>
      </c>
      <c r="L87" s="60">
        <v>30.6</v>
      </c>
      <c r="M87" s="60">
        <v>49.64</v>
      </c>
      <c r="N87" s="60">
        <v>26.7</v>
      </c>
      <c r="O87" s="60">
        <v>0</v>
      </c>
      <c r="P87" s="60">
        <v>0.39</v>
      </c>
      <c r="Q87" s="60">
        <v>9.33</v>
      </c>
      <c r="R87" s="198"/>
      <c r="S87" s="198"/>
      <c r="T87" s="198"/>
      <c r="U87" s="198"/>
    </row>
    <row r="88" spans="1:26" s="12" customFormat="1" x14ac:dyDescent="0.25">
      <c r="A88" s="63">
        <v>45810.833333333336</v>
      </c>
      <c r="B88" s="60">
        <v>7.01</v>
      </c>
      <c r="C88" s="60">
        <v>24.35</v>
      </c>
      <c r="D88" s="60">
        <v>35.85</v>
      </c>
      <c r="E88" s="60">
        <v>5.7</v>
      </c>
      <c r="F88" s="60">
        <v>8.81</v>
      </c>
      <c r="G88" s="60">
        <v>31.58</v>
      </c>
      <c r="H88" s="60">
        <v>48.45</v>
      </c>
      <c r="I88" s="60">
        <v>4.03</v>
      </c>
      <c r="J88" s="60">
        <v>0.14000000000000001</v>
      </c>
      <c r="K88" s="60">
        <v>9.61</v>
      </c>
      <c r="L88" s="60">
        <v>30.41</v>
      </c>
      <c r="M88" s="60">
        <v>50.46</v>
      </c>
      <c r="N88" s="60">
        <v>26.7</v>
      </c>
      <c r="O88" s="60">
        <v>0</v>
      </c>
      <c r="P88" s="60">
        <v>0.56000000000000005</v>
      </c>
      <c r="Q88" s="60">
        <v>9.3000000000000007</v>
      </c>
      <c r="R88" s="198"/>
      <c r="S88" s="198"/>
      <c r="T88" s="198"/>
      <c r="U88" s="198"/>
    </row>
    <row r="89" spans="1:26" s="12" customFormat="1" x14ac:dyDescent="0.25">
      <c r="A89" s="63">
        <v>45810.84375</v>
      </c>
      <c r="B89" s="60">
        <v>6.26</v>
      </c>
      <c r="C89" s="60">
        <v>19.86</v>
      </c>
      <c r="D89" s="60">
        <v>28.4</v>
      </c>
      <c r="E89" s="60">
        <v>5.16</v>
      </c>
      <c r="F89" s="60">
        <v>5.94</v>
      </c>
      <c r="G89" s="60">
        <v>32.9</v>
      </c>
      <c r="H89" s="60">
        <v>-39.11</v>
      </c>
      <c r="I89" s="60">
        <v>3.97</v>
      </c>
      <c r="J89" s="60">
        <v>7.0000000000000007E-2</v>
      </c>
      <c r="K89" s="60">
        <v>339.81</v>
      </c>
      <c r="L89" s="60">
        <v>30.26</v>
      </c>
      <c r="M89" s="60">
        <v>50.37</v>
      </c>
      <c r="N89" s="60">
        <v>26.5</v>
      </c>
      <c r="O89" s="60">
        <v>0</v>
      </c>
      <c r="P89" s="60">
        <v>0.39</v>
      </c>
      <c r="Q89" s="60">
        <v>9.2799999999999994</v>
      </c>
      <c r="R89" s="198"/>
      <c r="S89" s="198"/>
      <c r="T89" s="198"/>
      <c r="U89" s="198"/>
    </row>
    <row r="90" spans="1:26" s="12" customFormat="1" x14ac:dyDescent="0.25">
      <c r="A90" s="63">
        <v>45810.854166666664</v>
      </c>
      <c r="B90" s="60">
        <v>5.81</v>
      </c>
      <c r="C90" s="60">
        <v>20.27</v>
      </c>
      <c r="D90" s="60">
        <v>29.89</v>
      </c>
      <c r="E90" s="60">
        <v>5.22</v>
      </c>
      <c r="F90" s="60">
        <v>7</v>
      </c>
      <c r="G90" s="60">
        <v>32.9</v>
      </c>
      <c r="H90" s="60">
        <v>-39.11</v>
      </c>
      <c r="I90" s="60">
        <v>4.0199999999999996</v>
      </c>
      <c r="J90" s="60">
        <v>0.02</v>
      </c>
      <c r="K90" s="60">
        <v>294.14999999999998</v>
      </c>
      <c r="L90" s="60">
        <v>29.97</v>
      </c>
      <c r="M90" s="60">
        <v>52.04</v>
      </c>
      <c r="N90" s="60">
        <v>26.7</v>
      </c>
      <c r="O90" s="60">
        <v>0</v>
      </c>
      <c r="P90" s="60">
        <v>0.39</v>
      </c>
      <c r="Q90" s="60">
        <v>9.2899999999999991</v>
      </c>
      <c r="R90" s="198"/>
      <c r="S90" s="198"/>
      <c r="T90" s="198"/>
      <c r="U90" s="198"/>
    </row>
    <row r="91" spans="1:26" s="12" customFormat="1" x14ac:dyDescent="0.25">
      <c r="A91" s="63">
        <v>45810.864583333336</v>
      </c>
      <c r="B91" s="60">
        <v>6.81</v>
      </c>
      <c r="C91" s="60">
        <v>21.23</v>
      </c>
      <c r="D91" s="60">
        <v>30.18</v>
      </c>
      <c r="E91" s="60">
        <v>5.0599999999999996</v>
      </c>
      <c r="F91" s="60">
        <v>8.1999999999999993</v>
      </c>
      <c r="G91" s="60">
        <v>32.9</v>
      </c>
      <c r="H91" s="60">
        <v>-39.11</v>
      </c>
      <c r="I91" s="60">
        <v>4.29</v>
      </c>
      <c r="J91" s="60">
        <v>0.13</v>
      </c>
      <c r="K91" s="60">
        <v>212.79</v>
      </c>
      <c r="L91" s="60">
        <v>29.76</v>
      </c>
      <c r="M91" s="60">
        <v>53.03</v>
      </c>
      <c r="N91" s="60">
        <v>26.5</v>
      </c>
      <c r="O91" s="60">
        <v>0</v>
      </c>
      <c r="P91" s="60">
        <v>0.39</v>
      </c>
      <c r="Q91" s="60">
        <v>9.2899999999999991</v>
      </c>
      <c r="R91" s="198"/>
      <c r="S91" s="198"/>
      <c r="T91" s="198"/>
      <c r="U91" s="198"/>
    </row>
    <row r="92" spans="1:26" s="12" customFormat="1" x14ac:dyDescent="0.25">
      <c r="A92" s="63">
        <v>45810.875</v>
      </c>
      <c r="B92" s="60">
        <v>6.63</v>
      </c>
      <c r="C92" s="60">
        <v>20.149999999999999</v>
      </c>
      <c r="D92" s="60">
        <v>28.39</v>
      </c>
      <c r="E92" s="60">
        <v>4.8600000000000003</v>
      </c>
      <c r="F92" s="60">
        <v>6.33</v>
      </c>
      <c r="G92" s="60">
        <v>35.07</v>
      </c>
      <c r="H92" s="60">
        <v>7.65</v>
      </c>
      <c r="I92" s="60">
        <v>4.04</v>
      </c>
      <c r="J92" s="60">
        <v>0.08</v>
      </c>
      <c r="K92" s="60">
        <v>214.61</v>
      </c>
      <c r="L92" s="60">
        <v>29.51</v>
      </c>
      <c r="M92" s="60">
        <v>53.81</v>
      </c>
      <c r="N92" s="60">
        <v>26.5</v>
      </c>
      <c r="O92" s="60">
        <v>0</v>
      </c>
      <c r="P92" s="60">
        <v>0.37</v>
      </c>
      <c r="Q92" s="60">
        <v>9.2799999999999994</v>
      </c>
      <c r="R92" s="198"/>
      <c r="S92" s="198"/>
      <c r="T92" s="198"/>
      <c r="U92" s="198"/>
    </row>
    <row r="93" spans="1:26" s="12" customFormat="1" x14ac:dyDescent="0.25">
      <c r="A93" s="63">
        <v>45810.885416666664</v>
      </c>
      <c r="B93" s="60">
        <v>6.45</v>
      </c>
      <c r="C93" s="60">
        <v>18.63</v>
      </c>
      <c r="D93" s="60">
        <v>25.77</v>
      </c>
      <c r="E93" s="60">
        <v>5.29</v>
      </c>
      <c r="F93" s="60">
        <v>4.7</v>
      </c>
      <c r="G93" s="60">
        <v>36.39</v>
      </c>
      <c r="H93" s="60">
        <v>36.04</v>
      </c>
      <c r="I93" s="60">
        <v>4.1500000000000004</v>
      </c>
      <c r="J93" s="60">
        <v>0.03</v>
      </c>
      <c r="K93" s="60">
        <v>257</v>
      </c>
      <c r="L93" s="60">
        <v>29.38</v>
      </c>
      <c r="M93" s="60">
        <v>53.74</v>
      </c>
      <c r="N93" s="60">
        <v>26.6</v>
      </c>
      <c r="O93" s="60">
        <v>0</v>
      </c>
      <c r="P93" s="60">
        <v>0.38</v>
      </c>
      <c r="Q93" s="60">
        <v>9.2899999999999991</v>
      </c>
      <c r="R93" s="198"/>
      <c r="S93" s="198"/>
      <c r="T93" s="198"/>
      <c r="U93" s="198"/>
    </row>
    <row r="94" spans="1:26" s="12" customFormat="1" x14ac:dyDescent="0.25">
      <c r="A94" s="63">
        <v>45810.895833333336</v>
      </c>
      <c r="B94" s="60">
        <v>7.08</v>
      </c>
      <c r="C94" s="60">
        <v>19.73</v>
      </c>
      <c r="D94" s="60">
        <v>26.9</v>
      </c>
      <c r="E94" s="60">
        <v>5.3</v>
      </c>
      <c r="F94" s="60">
        <v>9.08</v>
      </c>
      <c r="G94" s="60">
        <v>36.39</v>
      </c>
      <c r="H94" s="60">
        <v>36.04</v>
      </c>
      <c r="I94" s="60">
        <v>4.05</v>
      </c>
      <c r="J94" s="60">
        <v>0.01</v>
      </c>
      <c r="K94" s="60">
        <v>290.22000000000003</v>
      </c>
      <c r="L94" s="60">
        <v>29.17</v>
      </c>
      <c r="M94" s="60">
        <v>55.04</v>
      </c>
      <c r="N94" s="60">
        <v>26.7</v>
      </c>
      <c r="O94" s="60">
        <v>0</v>
      </c>
      <c r="P94" s="60">
        <v>0.39</v>
      </c>
      <c r="Q94" s="60">
        <v>9.2799999999999994</v>
      </c>
      <c r="R94" s="198"/>
      <c r="S94" s="198"/>
      <c r="T94" s="198"/>
      <c r="U94" s="198"/>
    </row>
    <row r="95" spans="1:26" s="12" customFormat="1" x14ac:dyDescent="0.25">
      <c r="A95" s="63">
        <v>45810.90625</v>
      </c>
      <c r="B95" s="60">
        <v>6.92</v>
      </c>
      <c r="C95" s="60">
        <v>20.95</v>
      </c>
      <c r="D95" s="60">
        <v>29.48</v>
      </c>
      <c r="E95" s="60">
        <v>5.27</v>
      </c>
      <c r="F95" s="60">
        <v>7.72</v>
      </c>
      <c r="G95" s="60">
        <v>36.39</v>
      </c>
      <c r="H95" s="60">
        <v>36.04</v>
      </c>
      <c r="I95" s="60">
        <v>4.17</v>
      </c>
      <c r="J95" s="60">
        <v>0.11</v>
      </c>
      <c r="K95" s="60">
        <v>206.23</v>
      </c>
      <c r="L95" s="60">
        <v>28.93</v>
      </c>
      <c r="M95" s="60">
        <v>56.36</v>
      </c>
      <c r="N95" s="60">
        <v>26.5</v>
      </c>
      <c r="O95" s="60">
        <v>0</v>
      </c>
      <c r="P95" s="60">
        <v>0.38</v>
      </c>
      <c r="Q95" s="60">
        <v>9.25</v>
      </c>
      <c r="R95" s="198"/>
      <c r="S95" s="198"/>
      <c r="T95" s="198"/>
      <c r="U95" s="198"/>
    </row>
    <row r="96" spans="1:26" s="12" customFormat="1" x14ac:dyDescent="0.25">
      <c r="A96" s="63">
        <v>45810.916666666664</v>
      </c>
      <c r="B96" s="60">
        <v>7.43</v>
      </c>
      <c r="C96" s="60">
        <v>27.39</v>
      </c>
      <c r="D96" s="60">
        <v>41.02</v>
      </c>
      <c r="E96" s="60">
        <v>5.38</v>
      </c>
      <c r="F96" s="60">
        <v>9.25</v>
      </c>
      <c r="G96" s="60">
        <v>35.74</v>
      </c>
      <c r="H96" s="60">
        <v>-25.64</v>
      </c>
      <c r="I96" s="60">
        <v>3.94</v>
      </c>
      <c r="J96" s="60">
        <v>0.16</v>
      </c>
      <c r="K96" s="60">
        <v>207.16</v>
      </c>
      <c r="L96" s="60">
        <v>28.66</v>
      </c>
      <c r="M96" s="60">
        <v>57.38</v>
      </c>
      <c r="N96" s="60">
        <v>26.5</v>
      </c>
      <c r="O96" s="60">
        <v>0</v>
      </c>
      <c r="P96" s="60">
        <v>0.33</v>
      </c>
      <c r="Q96" s="60">
        <v>9.27</v>
      </c>
      <c r="R96" s="198"/>
      <c r="S96" s="198"/>
      <c r="T96" s="198"/>
      <c r="U96" s="198"/>
      <c r="Z96" s="109"/>
    </row>
    <row r="97" spans="1:33" s="12" customFormat="1" x14ac:dyDescent="0.25">
      <c r="A97" s="63">
        <v>45810.927083333336</v>
      </c>
      <c r="B97" s="60">
        <v>6.53</v>
      </c>
      <c r="C97" s="60">
        <v>24.75</v>
      </c>
      <c r="D97" s="60">
        <v>37.340000000000003</v>
      </c>
      <c r="E97" s="60">
        <v>5.07</v>
      </c>
      <c r="F97" s="60">
        <v>10.02</v>
      </c>
      <c r="G97" s="60">
        <v>35.340000000000003</v>
      </c>
      <c r="H97" s="60">
        <v>-63.1</v>
      </c>
      <c r="I97" s="60">
        <v>3.93</v>
      </c>
      <c r="J97" s="60">
        <v>0.1</v>
      </c>
      <c r="K97" s="60">
        <v>208.97</v>
      </c>
      <c r="L97" s="60">
        <v>28.4</v>
      </c>
      <c r="M97" s="60">
        <v>58.8</v>
      </c>
      <c r="N97" s="60">
        <v>26.6</v>
      </c>
      <c r="O97" s="60">
        <v>0</v>
      </c>
      <c r="P97" s="60">
        <v>0.32</v>
      </c>
      <c r="Q97" s="60">
        <v>9.2899999999999991</v>
      </c>
      <c r="R97" s="198"/>
      <c r="S97" s="198"/>
      <c r="T97" s="198"/>
      <c r="U97" s="198"/>
    </row>
    <row r="98" spans="1:33" s="12" customFormat="1" x14ac:dyDescent="0.25">
      <c r="A98" s="63">
        <v>45810.9375</v>
      </c>
      <c r="B98" s="60">
        <v>6.9</v>
      </c>
      <c r="C98" s="60">
        <v>28.3</v>
      </c>
      <c r="D98" s="60">
        <v>43.58</v>
      </c>
      <c r="E98" s="60">
        <v>4.99</v>
      </c>
      <c r="F98" s="60">
        <v>8.9</v>
      </c>
      <c r="G98" s="60">
        <v>35.340000000000003</v>
      </c>
      <c r="H98" s="60">
        <v>-63.1</v>
      </c>
      <c r="I98" s="60">
        <v>4.01</v>
      </c>
      <c r="J98" s="60">
        <v>0.08</v>
      </c>
      <c r="K98" s="60">
        <v>167.84</v>
      </c>
      <c r="L98" s="60">
        <v>28.11</v>
      </c>
      <c r="M98" s="60">
        <v>60.96</v>
      </c>
      <c r="N98" s="60">
        <v>26.6</v>
      </c>
      <c r="O98" s="60">
        <v>0</v>
      </c>
      <c r="P98" s="60">
        <v>0.33</v>
      </c>
      <c r="Q98" s="60">
        <v>9.3000000000000007</v>
      </c>
      <c r="R98" s="198"/>
      <c r="S98" s="198"/>
      <c r="T98" s="198"/>
      <c r="U98" s="198"/>
    </row>
    <row r="99" spans="1:33" s="12" customFormat="1" x14ac:dyDescent="0.25">
      <c r="A99" s="63">
        <v>45810.947916666664</v>
      </c>
      <c r="B99" s="60">
        <v>6.64</v>
      </c>
      <c r="C99" s="60">
        <v>25.4</v>
      </c>
      <c r="D99" s="60">
        <v>38.409999999999997</v>
      </c>
      <c r="E99" s="60">
        <v>5.07</v>
      </c>
      <c r="F99" s="60">
        <v>9.5500000000000007</v>
      </c>
      <c r="G99" s="60">
        <v>35.340000000000003</v>
      </c>
      <c r="H99" s="60">
        <v>-63.1</v>
      </c>
      <c r="I99" s="60">
        <v>4.04</v>
      </c>
      <c r="J99" s="60">
        <v>0.18</v>
      </c>
      <c r="K99" s="60">
        <v>150.22999999999999</v>
      </c>
      <c r="L99" s="60">
        <v>27.94</v>
      </c>
      <c r="M99" s="60">
        <v>61.55</v>
      </c>
      <c r="N99" s="60">
        <v>26.4</v>
      </c>
      <c r="O99" s="60">
        <v>0</v>
      </c>
      <c r="P99" s="60">
        <v>0.28999999999999998</v>
      </c>
      <c r="Q99" s="60">
        <v>9.33</v>
      </c>
      <c r="R99" s="198"/>
      <c r="S99" s="198"/>
      <c r="T99" s="198"/>
      <c r="U99" s="198"/>
    </row>
    <row r="100" spans="1:33" s="12" customFormat="1" x14ac:dyDescent="0.25">
      <c r="A100" s="63">
        <v>45810.958333333336</v>
      </c>
      <c r="B100" s="60">
        <v>6.13</v>
      </c>
      <c r="C100" s="60">
        <v>21.64</v>
      </c>
      <c r="D100" s="60">
        <v>32.020000000000003</v>
      </c>
      <c r="E100" s="60">
        <v>5.13</v>
      </c>
      <c r="F100" s="60">
        <v>10.46</v>
      </c>
      <c r="G100" s="60">
        <v>34.36</v>
      </c>
      <c r="H100" s="60">
        <v>29.64</v>
      </c>
      <c r="I100" s="60">
        <v>4</v>
      </c>
      <c r="J100" s="60">
        <v>0.26</v>
      </c>
      <c r="K100" s="60">
        <v>158.77000000000001</v>
      </c>
      <c r="L100" s="60">
        <v>27.85</v>
      </c>
      <c r="M100" s="60">
        <v>61.86</v>
      </c>
      <c r="N100" s="60">
        <v>26.3</v>
      </c>
      <c r="O100" s="60">
        <v>0</v>
      </c>
      <c r="P100" s="60">
        <v>0.28000000000000003</v>
      </c>
      <c r="Q100" s="60">
        <v>9.35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3">
        <v>45810.96875</v>
      </c>
      <c r="B101" s="60">
        <v>6.07</v>
      </c>
      <c r="C101" s="60">
        <v>18.350000000000001</v>
      </c>
      <c r="D101" s="60">
        <v>25.81</v>
      </c>
      <c r="E101" s="60">
        <v>5.55</v>
      </c>
      <c r="F101" s="60">
        <v>10.89</v>
      </c>
      <c r="G101" s="60">
        <v>33.770000000000003</v>
      </c>
      <c r="H101" s="60">
        <v>85.94</v>
      </c>
      <c r="I101" s="60">
        <v>3.85</v>
      </c>
      <c r="J101" s="60">
        <v>0.39</v>
      </c>
      <c r="K101" s="60">
        <v>148.27000000000001</v>
      </c>
      <c r="L101" s="60">
        <v>27.63</v>
      </c>
      <c r="M101" s="60">
        <v>63.57</v>
      </c>
      <c r="N101" s="60">
        <v>26.6</v>
      </c>
      <c r="O101" s="60">
        <v>0</v>
      </c>
      <c r="P101" s="60">
        <v>0.27</v>
      </c>
      <c r="Q101" s="60">
        <v>9.36</v>
      </c>
      <c r="R101" s="198"/>
      <c r="S101" s="198"/>
      <c r="T101" s="198"/>
      <c r="U101" s="198"/>
    </row>
    <row r="102" spans="1:33" s="12" customFormat="1" x14ac:dyDescent="0.25">
      <c r="A102" s="63">
        <v>45810.979166666664</v>
      </c>
      <c r="B102" s="60">
        <v>6.27</v>
      </c>
      <c r="C102" s="60">
        <v>17.649999999999999</v>
      </c>
      <c r="D102" s="60">
        <v>24.15</v>
      </c>
      <c r="E102" s="60">
        <v>5.51</v>
      </c>
      <c r="F102" s="60">
        <v>8.98</v>
      </c>
      <c r="G102" s="60">
        <v>33.770000000000003</v>
      </c>
      <c r="H102" s="60">
        <v>85.94</v>
      </c>
      <c r="I102" s="60">
        <v>4.12</v>
      </c>
      <c r="J102" s="60">
        <v>0.24</v>
      </c>
      <c r="K102" s="60">
        <v>154.08000000000001</v>
      </c>
      <c r="L102" s="60">
        <v>27.36</v>
      </c>
      <c r="M102" s="60">
        <v>64.95</v>
      </c>
      <c r="N102" s="60">
        <v>26.5</v>
      </c>
      <c r="O102" s="60">
        <v>0</v>
      </c>
      <c r="P102" s="60">
        <v>0.28999999999999998</v>
      </c>
      <c r="Q102" s="60">
        <v>9.36</v>
      </c>
      <c r="R102" s="198"/>
      <c r="S102" s="198"/>
      <c r="T102" s="198"/>
      <c r="U102" s="198"/>
    </row>
    <row r="103" spans="1:33" s="12" customFormat="1" x14ac:dyDescent="0.25">
      <c r="A103" s="63">
        <v>45810.989583333336</v>
      </c>
      <c r="B103" s="60">
        <v>7.57</v>
      </c>
      <c r="C103" s="60">
        <v>18.510000000000002</v>
      </c>
      <c r="D103" s="60">
        <v>23.82</v>
      </c>
      <c r="E103" s="60">
        <v>5.53</v>
      </c>
      <c r="F103" s="60">
        <v>6.9</v>
      </c>
      <c r="G103" s="60">
        <v>33.770000000000003</v>
      </c>
      <c r="H103" s="60">
        <v>85.94</v>
      </c>
      <c r="I103" s="60">
        <v>4.05</v>
      </c>
      <c r="J103" s="60">
        <v>0.26</v>
      </c>
      <c r="K103" s="60">
        <v>156.12</v>
      </c>
      <c r="L103" s="60">
        <v>27.23</v>
      </c>
      <c r="M103" s="60">
        <v>66.14</v>
      </c>
      <c r="N103" s="60">
        <v>26.5</v>
      </c>
      <c r="O103" s="60">
        <v>0</v>
      </c>
      <c r="P103" s="60">
        <v>0.32</v>
      </c>
      <c r="Q103" s="60">
        <v>9.36</v>
      </c>
      <c r="R103" s="198"/>
      <c r="S103" s="198"/>
      <c r="T103" s="198"/>
      <c r="U103" s="198"/>
    </row>
    <row r="104" spans="1:33" s="12" customFormat="1" x14ac:dyDescent="0.25">
      <c r="A104" s="60">
        <v>45811</v>
      </c>
      <c r="B104" s="60">
        <v>8.33</v>
      </c>
      <c r="C104" s="60">
        <v>18.32</v>
      </c>
      <c r="D104" s="60">
        <v>22.28</v>
      </c>
      <c r="E104" s="60">
        <v>4.24</v>
      </c>
      <c r="F104" s="60">
        <v>6.52</v>
      </c>
      <c r="G104" s="60">
        <v>32.83</v>
      </c>
      <c r="H104" s="60">
        <v>50.8</v>
      </c>
      <c r="I104" s="60">
        <v>3.86</v>
      </c>
      <c r="J104" s="60">
        <v>0.18</v>
      </c>
      <c r="K104" s="60">
        <v>175.96</v>
      </c>
      <c r="L104" s="60">
        <v>27.04</v>
      </c>
      <c r="M104" s="60">
        <v>67.03</v>
      </c>
      <c r="N104" s="60">
        <v>26.6</v>
      </c>
      <c r="O104" s="60">
        <v>0</v>
      </c>
      <c r="P104" s="60">
        <v>0.32</v>
      </c>
      <c r="Q104" s="60">
        <v>9.36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4.0599999999999996</v>
      </c>
      <c r="C106" s="67">
        <f>MIN(C9:C104)</f>
        <v>17.11</v>
      </c>
      <c r="D106" s="67">
        <f t="shared" ref="D106:Q106" si="0">MIN(D9:D104)</f>
        <v>20.59</v>
      </c>
      <c r="E106" s="67">
        <f t="shared" si="0"/>
        <v>3.96</v>
      </c>
      <c r="F106" s="67">
        <f t="shared" si="0"/>
        <v>3.25</v>
      </c>
      <c r="G106" s="67">
        <f t="shared" si="0"/>
        <v>0</v>
      </c>
      <c r="H106" s="67">
        <f t="shared" si="0"/>
        <v>-63.1</v>
      </c>
      <c r="I106" s="67">
        <f t="shared" si="0"/>
        <v>3.8</v>
      </c>
      <c r="J106" s="67">
        <f t="shared" si="0"/>
        <v>0.01</v>
      </c>
      <c r="K106" s="67">
        <f t="shared" si="0"/>
        <v>9.61</v>
      </c>
      <c r="L106" s="67">
        <f t="shared" si="0"/>
        <v>23.6</v>
      </c>
      <c r="M106" s="67">
        <f t="shared" si="0"/>
        <v>37.700000000000003</v>
      </c>
      <c r="N106" s="67">
        <f t="shared" si="0"/>
        <v>26</v>
      </c>
      <c r="O106" s="67">
        <f t="shared" si="0"/>
        <v>0</v>
      </c>
      <c r="P106" s="67">
        <f t="shared" si="0"/>
        <v>0.16</v>
      </c>
      <c r="Q106" s="67">
        <f t="shared" si="0"/>
        <v>9.14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16.55</v>
      </c>
      <c r="C107" s="66">
        <f t="shared" ref="C107:Q107" si="1">MAX(C9:C104)</f>
        <v>45.97</v>
      </c>
      <c r="D107" s="66">
        <f t="shared" si="1"/>
        <v>74.3</v>
      </c>
      <c r="E107" s="66">
        <f t="shared" si="1"/>
        <v>6.04</v>
      </c>
      <c r="F107" s="66">
        <f t="shared" si="1"/>
        <v>22.6</v>
      </c>
      <c r="G107" s="66">
        <f t="shared" si="1"/>
        <v>54.69</v>
      </c>
      <c r="H107" s="66">
        <f t="shared" si="1"/>
        <v>545.30999999999995</v>
      </c>
      <c r="I107" s="66">
        <f t="shared" si="1"/>
        <v>4.29</v>
      </c>
      <c r="J107" s="66">
        <f t="shared" si="1"/>
        <v>0.57999999999999996</v>
      </c>
      <c r="K107" s="66">
        <f t="shared" si="1"/>
        <v>339.81</v>
      </c>
      <c r="L107" s="66">
        <f t="shared" si="1"/>
        <v>35.33</v>
      </c>
      <c r="M107" s="66">
        <f t="shared" si="1"/>
        <v>80.040000000000006</v>
      </c>
      <c r="N107" s="66">
        <f t="shared" si="1"/>
        <v>977.6</v>
      </c>
      <c r="O107" s="66">
        <f t="shared" si="1"/>
        <v>0</v>
      </c>
      <c r="P107" s="66">
        <f t="shared" si="1"/>
        <v>0.56000000000000005</v>
      </c>
      <c r="Q107" s="66">
        <f t="shared" si="1"/>
        <v>9.52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8.1029166666666672</v>
      </c>
      <c r="C108" s="67">
        <f t="shared" ref="C108:Q108" si="2">AVERAGE(C9:C104)</f>
        <v>21.839687499999997</v>
      </c>
      <c r="D108" s="67">
        <f t="shared" si="2"/>
        <v>29.365416666666661</v>
      </c>
      <c r="E108" s="67">
        <f t="shared" si="2"/>
        <v>4.9811458333333336</v>
      </c>
      <c r="F108" s="67">
        <f t="shared" si="2"/>
        <v>7.7716666666666674</v>
      </c>
      <c r="G108" s="67">
        <f t="shared" si="2"/>
        <v>36.715729166666662</v>
      </c>
      <c r="H108" s="67">
        <f t="shared" si="2"/>
        <v>45.188020833333319</v>
      </c>
      <c r="I108" s="67">
        <f t="shared" si="2"/>
        <v>4.0200000000000022</v>
      </c>
      <c r="J108" s="67">
        <f t="shared" si="2"/>
        <v>0.18760416666666668</v>
      </c>
      <c r="K108" s="67">
        <f t="shared" si="2"/>
        <v>245.14229166666669</v>
      </c>
      <c r="L108" s="67">
        <f t="shared" si="2"/>
        <v>29.696979166666679</v>
      </c>
      <c r="M108" s="67">
        <f t="shared" si="2"/>
        <v>54.432187500000005</v>
      </c>
      <c r="N108" s="67">
        <f t="shared" si="2"/>
        <v>245.53229166666662</v>
      </c>
      <c r="O108" s="67">
        <f t="shared" si="2"/>
        <v>0</v>
      </c>
      <c r="P108" s="67">
        <f t="shared" si="2"/>
        <v>0.29729166666666673</v>
      </c>
      <c r="Q108" s="67">
        <f t="shared" si="2"/>
        <v>9.3202083333333317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3.517633449880659</v>
      </c>
      <c r="C109" s="67">
        <f t="shared" ref="C109:Q109" si="3">STDEV(C9:C104)</f>
        <v>4.1238925028424553</v>
      </c>
      <c r="D109" s="67">
        <f t="shared" si="3"/>
        <v>8.0320472472749032</v>
      </c>
      <c r="E109" s="67">
        <f t="shared" si="3"/>
        <v>0.50729181841921656</v>
      </c>
      <c r="F109" s="67">
        <f t="shared" si="3"/>
        <v>3.7647950015251519</v>
      </c>
      <c r="G109" s="67">
        <f t="shared" si="3"/>
        <v>10.863791888634527</v>
      </c>
      <c r="H109" s="67">
        <f t="shared" si="3"/>
        <v>106.68133074594579</v>
      </c>
      <c r="I109" s="67">
        <f t="shared" si="3"/>
        <v>9.1156314560267959E-2</v>
      </c>
      <c r="J109" s="67">
        <f t="shared" si="3"/>
        <v>0.10950361485661855</v>
      </c>
      <c r="K109" s="67">
        <f t="shared" si="3"/>
        <v>53.380106672590763</v>
      </c>
      <c r="L109" s="67">
        <f t="shared" si="3"/>
        <v>3.7399507792402202</v>
      </c>
      <c r="M109" s="67">
        <f t="shared" si="3"/>
        <v>11.9089914905658</v>
      </c>
      <c r="N109" s="67">
        <f t="shared" si="3"/>
        <v>299.79751850902096</v>
      </c>
      <c r="O109" s="67">
        <f t="shared" si="3"/>
        <v>0</v>
      </c>
      <c r="P109" s="67">
        <f t="shared" si="3"/>
        <v>4.987308453869075E-2</v>
      </c>
      <c r="Q109" s="67">
        <f t="shared" si="3"/>
        <v>0.10867604361652275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COUNT(I9:I104)+22</f>
        <v>118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E19" sqref="E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45811.010416666664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3">
        <v>45811.010416666664</v>
      </c>
      <c r="B9" s="60">
        <v>7.82</v>
      </c>
      <c r="C9" s="60">
        <v>17.190000000000001</v>
      </c>
      <c r="D9" s="60">
        <v>20.89</v>
      </c>
      <c r="E9" s="60">
        <v>4.49</v>
      </c>
      <c r="F9" s="60">
        <v>6.47</v>
      </c>
      <c r="G9" s="60">
        <v>32.26</v>
      </c>
      <c r="H9" s="60">
        <v>29.47</v>
      </c>
      <c r="I9" s="60">
        <v>3.93</v>
      </c>
      <c r="J9" s="60">
        <v>7.0000000000000007E-2</v>
      </c>
      <c r="K9" s="60">
        <v>158.12</v>
      </c>
      <c r="L9" s="60">
        <v>26.85</v>
      </c>
      <c r="M9" s="60">
        <v>68.48</v>
      </c>
      <c r="N9" s="60">
        <v>26.5</v>
      </c>
      <c r="O9" s="60">
        <v>0</v>
      </c>
      <c r="P9" s="60">
        <v>0.3</v>
      </c>
      <c r="Q9" s="60">
        <v>9.35</v>
      </c>
      <c r="R9" s="198"/>
      <c r="S9" s="198"/>
      <c r="T9" s="198"/>
      <c r="U9" s="198"/>
    </row>
    <row r="10" spans="1:21" s="12" customFormat="1" x14ac:dyDescent="0.25">
      <c r="A10" s="63">
        <v>45811.020833333336</v>
      </c>
      <c r="B10" s="60">
        <v>9.0299999999999994</v>
      </c>
      <c r="C10" s="60">
        <v>17.739999999999998</v>
      </c>
      <c r="D10" s="60">
        <v>20.100000000000001</v>
      </c>
      <c r="E10" s="60">
        <v>4.08</v>
      </c>
      <c r="F10" s="60">
        <v>5.44</v>
      </c>
      <c r="G10" s="60">
        <v>32.26</v>
      </c>
      <c r="H10" s="60">
        <v>29.47</v>
      </c>
      <c r="I10" s="60">
        <v>3.89</v>
      </c>
      <c r="J10" s="60">
        <v>0.15</v>
      </c>
      <c r="K10" s="60">
        <v>178.1</v>
      </c>
      <c r="L10" s="60">
        <v>26.65</v>
      </c>
      <c r="M10" s="60">
        <v>69.34</v>
      </c>
      <c r="N10" s="60">
        <v>26.6</v>
      </c>
      <c r="O10" s="60">
        <v>0</v>
      </c>
      <c r="P10" s="60">
        <v>0.32</v>
      </c>
      <c r="Q10" s="60">
        <v>9.34</v>
      </c>
      <c r="R10" s="198"/>
      <c r="S10" s="198"/>
      <c r="T10" s="198"/>
      <c r="U10" s="198"/>
    </row>
    <row r="11" spans="1:21" s="12" customFormat="1" x14ac:dyDescent="0.25">
      <c r="A11" s="63">
        <v>45811.03125</v>
      </c>
      <c r="B11" s="60">
        <v>7.94</v>
      </c>
      <c r="C11" s="60">
        <v>16.37</v>
      </c>
      <c r="D11" s="60">
        <v>19.149999999999999</v>
      </c>
      <c r="E11" s="60">
        <v>4.38</v>
      </c>
      <c r="F11" s="60">
        <v>7.38</v>
      </c>
      <c r="G11" s="60">
        <v>32.26</v>
      </c>
      <c r="H11" s="60">
        <v>29.47</v>
      </c>
      <c r="I11" s="60">
        <v>4.0199999999999996</v>
      </c>
      <c r="J11" s="60">
        <v>7.0000000000000007E-2</v>
      </c>
      <c r="K11" s="60">
        <v>209.77</v>
      </c>
      <c r="L11" s="60">
        <v>26.49</v>
      </c>
      <c r="M11" s="60">
        <v>70.23</v>
      </c>
      <c r="N11" s="60">
        <v>26.7</v>
      </c>
      <c r="O11" s="60">
        <v>0</v>
      </c>
      <c r="P11" s="60">
        <v>0.27</v>
      </c>
      <c r="Q11" s="60">
        <v>9.34</v>
      </c>
      <c r="R11" s="198"/>
      <c r="S11" s="198"/>
      <c r="T11" s="198"/>
      <c r="U11" s="198"/>
    </row>
    <row r="12" spans="1:21" s="12" customFormat="1" x14ac:dyDescent="0.25">
      <c r="A12" s="63">
        <v>45811.041666666664</v>
      </c>
      <c r="B12" s="60">
        <v>8.2799999999999994</v>
      </c>
      <c r="C12" s="60">
        <v>16.54</v>
      </c>
      <c r="D12" s="60">
        <v>18.95</v>
      </c>
      <c r="E12" s="60">
        <v>4.0599999999999996</v>
      </c>
      <c r="F12" s="60">
        <v>6.52</v>
      </c>
      <c r="G12" s="60">
        <v>30.41</v>
      </c>
      <c r="H12" s="60">
        <v>11.13</v>
      </c>
      <c r="I12" s="60">
        <v>4.25</v>
      </c>
      <c r="J12" s="60">
        <v>0.03</v>
      </c>
      <c r="K12" s="60">
        <v>239.11</v>
      </c>
      <c r="L12" s="60">
        <v>26.25</v>
      </c>
      <c r="M12" s="60">
        <v>71.88</v>
      </c>
      <c r="N12" s="60">
        <v>26.8</v>
      </c>
      <c r="O12" s="60">
        <v>0</v>
      </c>
      <c r="P12" s="60">
        <v>0.3</v>
      </c>
      <c r="Q12" s="60">
        <v>9.32</v>
      </c>
      <c r="R12" s="198"/>
      <c r="S12" s="198"/>
      <c r="T12" s="198"/>
      <c r="U12" s="198"/>
    </row>
    <row r="13" spans="1:21" s="12" customFormat="1" x14ac:dyDescent="0.25">
      <c r="A13" s="63">
        <v>45811.052083333336</v>
      </c>
      <c r="B13" s="60">
        <v>7.75</v>
      </c>
      <c r="C13" s="60">
        <v>16.510000000000002</v>
      </c>
      <c r="D13" s="60">
        <v>19.71</v>
      </c>
      <c r="E13" s="60">
        <v>3.98</v>
      </c>
      <c r="F13" s="60">
        <v>6.16</v>
      </c>
      <c r="G13" s="60">
        <v>29.28</v>
      </c>
      <c r="H13" s="60">
        <v>0</v>
      </c>
      <c r="I13" s="60">
        <v>3.97</v>
      </c>
      <c r="J13" s="60">
        <v>0.09</v>
      </c>
      <c r="K13" s="60">
        <v>160.80000000000001</v>
      </c>
      <c r="L13" s="60">
        <v>26.08</v>
      </c>
      <c r="M13" s="60">
        <v>73.36</v>
      </c>
      <c r="N13" s="60">
        <v>26.5</v>
      </c>
      <c r="O13" s="60">
        <v>0</v>
      </c>
      <c r="P13" s="60">
        <v>0.25</v>
      </c>
      <c r="Q13" s="60">
        <v>9.33</v>
      </c>
      <c r="R13" s="198"/>
      <c r="S13" s="198"/>
      <c r="T13" s="198"/>
      <c r="U13" s="198"/>
    </row>
    <row r="14" spans="1:21" s="12" customFormat="1" x14ac:dyDescent="0.25">
      <c r="A14" s="63">
        <v>45811.0625</v>
      </c>
      <c r="B14" s="60">
        <v>7.97</v>
      </c>
      <c r="C14" s="60">
        <v>17.690000000000001</v>
      </c>
      <c r="D14" s="60">
        <v>21.61</v>
      </c>
      <c r="E14" s="60">
        <v>4</v>
      </c>
      <c r="F14" s="60">
        <v>5.97</v>
      </c>
      <c r="G14" s="60">
        <v>29.28</v>
      </c>
      <c r="H14" s="60">
        <v>0</v>
      </c>
      <c r="I14" s="60">
        <v>3.99</v>
      </c>
      <c r="J14" s="60">
        <v>0.2</v>
      </c>
      <c r="K14" s="60">
        <v>140.38</v>
      </c>
      <c r="L14" s="60">
        <v>26.04</v>
      </c>
      <c r="M14" s="60">
        <v>74.05</v>
      </c>
      <c r="N14" s="60">
        <v>26.3</v>
      </c>
      <c r="O14" s="60">
        <v>0</v>
      </c>
      <c r="P14" s="60">
        <v>0.28999999999999998</v>
      </c>
      <c r="Q14" s="60">
        <v>9.33</v>
      </c>
      <c r="R14" s="198"/>
      <c r="S14" s="198"/>
      <c r="T14" s="198"/>
      <c r="U14" s="198"/>
    </row>
    <row r="15" spans="1:21" s="12" customFormat="1" x14ac:dyDescent="0.25">
      <c r="A15" s="63">
        <v>45811.072916666664</v>
      </c>
      <c r="B15" s="60">
        <v>8.6199999999999992</v>
      </c>
      <c r="C15" s="60">
        <v>18.329999999999998</v>
      </c>
      <c r="D15" s="60">
        <v>21.85</v>
      </c>
      <c r="E15" s="60">
        <v>4.03</v>
      </c>
      <c r="F15" s="60">
        <v>5.24</v>
      </c>
      <c r="G15" s="60">
        <v>29.28</v>
      </c>
      <c r="H15" s="60">
        <v>0</v>
      </c>
      <c r="I15" s="60">
        <v>4</v>
      </c>
      <c r="J15" s="60">
        <v>0.11</v>
      </c>
      <c r="K15" s="60">
        <v>156.12</v>
      </c>
      <c r="L15" s="60">
        <v>25.97</v>
      </c>
      <c r="M15" s="60">
        <v>73.94</v>
      </c>
      <c r="N15" s="60">
        <v>26.4</v>
      </c>
      <c r="O15" s="60">
        <v>0</v>
      </c>
      <c r="P15" s="60">
        <v>0.28000000000000003</v>
      </c>
      <c r="Q15" s="60">
        <v>9.33</v>
      </c>
      <c r="R15" s="198"/>
      <c r="S15" s="198"/>
      <c r="T15" s="198"/>
      <c r="U15" s="198"/>
    </row>
    <row r="16" spans="1:21" s="12" customFormat="1" x14ac:dyDescent="0.25">
      <c r="A16" s="63">
        <v>45811.083333333336</v>
      </c>
      <c r="B16" s="60">
        <v>7.87</v>
      </c>
      <c r="C16" s="60">
        <v>17.399999999999999</v>
      </c>
      <c r="D16" s="60">
        <v>21.22</v>
      </c>
      <c r="E16" s="60">
        <v>3.84</v>
      </c>
      <c r="F16" s="60">
        <v>6.7</v>
      </c>
      <c r="G16" s="60">
        <v>29.15</v>
      </c>
      <c r="H16" s="60">
        <v>146.19999999999999</v>
      </c>
      <c r="I16" s="60">
        <v>3.99</v>
      </c>
      <c r="J16" s="60">
        <v>7.0000000000000007E-2</v>
      </c>
      <c r="K16" s="60">
        <v>168.49</v>
      </c>
      <c r="L16" s="60">
        <v>25.97</v>
      </c>
      <c r="M16" s="60">
        <v>73.87</v>
      </c>
      <c r="N16" s="60">
        <v>26.4</v>
      </c>
      <c r="O16" s="60">
        <v>0</v>
      </c>
      <c r="P16" s="60">
        <v>0.27</v>
      </c>
      <c r="Q16" s="60">
        <v>9.33</v>
      </c>
      <c r="R16" s="198"/>
      <c r="S16" s="198"/>
      <c r="T16" s="198"/>
      <c r="U16" s="198"/>
    </row>
    <row r="17" spans="1:21" s="12" customFormat="1" x14ac:dyDescent="0.25">
      <c r="A17" s="63">
        <v>45811.09375</v>
      </c>
      <c r="B17" s="60">
        <v>8.2799999999999994</v>
      </c>
      <c r="C17" s="60">
        <v>17.579999999999998</v>
      </c>
      <c r="D17" s="60">
        <v>20.94</v>
      </c>
      <c r="E17" s="60">
        <v>3.8</v>
      </c>
      <c r="F17" s="60">
        <v>5.95</v>
      </c>
      <c r="G17" s="60">
        <v>29.06</v>
      </c>
      <c r="H17" s="60">
        <v>234.97</v>
      </c>
      <c r="I17" s="60">
        <v>3.87</v>
      </c>
      <c r="J17" s="60">
        <v>0.18</v>
      </c>
      <c r="K17" s="60">
        <v>146.44999999999999</v>
      </c>
      <c r="L17" s="60">
        <v>25.9</v>
      </c>
      <c r="M17" s="60">
        <v>75.040000000000006</v>
      </c>
      <c r="N17" s="60">
        <v>26.3</v>
      </c>
      <c r="O17" s="60">
        <v>0</v>
      </c>
      <c r="P17" s="60">
        <v>0.26</v>
      </c>
      <c r="Q17" s="60">
        <v>9.34</v>
      </c>
      <c r="R17" s="198"/>
      <c r="S17" s="198"/>
      <c r="T17" s="198"/>
      <c r="U17" s="198"/>
    </row>
    <row r="18" spans="1:21" s="12" customFormat="1" x14ac:dyDescent="0.25">
      <c r="A18" s="63">
        <v>45811.104166666664</v>
      </c>
      <c r="B18" s="60">
        <v>6.34</v>
      </c>
      <c r="C18" s="60">
        <v>16.12</v>
      </c>
      <c r="D18" s="60">
        <v>21.12</v>
      </c>
      <c r="E18" s="60">
        <v>3.82</v>
      </c>
      <c r="F18" s="60">
        <v>8.7899999999999991</v>
      </c>
      <c r="G18" s="60">
        <v>29.06</v>
      </c>
      <c r="H18" s="60">
        <v>234.97</v>
      </c>
      <c r="I18" s="60">
        <v>3.93</v>
      </c>
      <c r="J18" s="60">
        <v>0.04</v>
      </c>
      <c r="K18" s="60">
        <v>217.41</v>
      </c>
      <c r="L18" s="60">
        <v>25.84</v>
      </c>
      <c r="M18" s="60">
        <v>75.34</v>
      </c>
      <c r="N18" s="60">
        <v>26.5</v>
      </c>
      <c r="O18" s="60">
        <v>0</v>
      </c>
      <c r="P18" s="60">
        <v>0.23</v>
      </c>
      <c r="Q18" s="60">
        <v>9.3699999999999992</v>
      </c>
      <c r="R18" s="198"/>
      <c r="S18" s="198"/>
      <c r="T18" s="198"/>
      <c r="U18" s="198"/>
    </row>
    <row r="19" spans="1:21" s="12" customFormat="1" x14ac:dyDescent="0.25">
      <c r="A19" s="63">
        <v>45811.114583333336</v>
      </c>
      <c r="B19" s="60">
        <v>6.18</v>
      </c>
      <c r="C19" s="60">
        <v>16.21</v>
      </c>
      <c r="D19" s="60">
        <v>21.55</v>
      </c>
      <c r="E19" s="60">
        <v>4.05</v>
      </c>
      <c r="F19" s="60">
        <v>8.2200000000000006</v>
      </c>
      <c r="G19" s="60">
        <v>29.06</v>
      </c>
      <c r="H19" s="60">
        <v>234.97</v>
      </c>
      <c r="I19" s="60">
        <v>4.0599999999999996</v>
      </c>
      <c r="J19" s="60">
        <v>0.05</v>
      </c>
      <c r="K19" s="60">
        <v>239.21</v>
      </c>
      <c r="L19" s="60">
        <v>25.74</v>
      </c>
      <c r="M19" s="60">
        <v>76.349999999999994</v>
      </c>
      <c r="N19" s="60">
        <v>26.5</v>
      </c>
      <c r="O19" s="60">
        <v>0</v>
      </c>
      <c r="P19" s="60">
        <v>0.23</v>
      </c>
      <c r="Q19" s="60">
        <v>9.3800000000000008</v>
      </c>
      <c r="R19" s="198"/>
      <c r="S19" s="198"/>
      <c r="T19" s="198"/>
      <c r="U19" s="198"/>
    </row>
    <row r="20" spans="1:21" s="12" customFormat="1" x14ac:dyDescent="0.25">
      <c r="A20" s="63">
        <v>45811.125</v>
      </c>
      <c r="B20" s="60">
        <v>6</v>
      </c>
      <c r="C20" s="60">
        <v>14.78</v>
      </c>
      <c r="D20" s="60">
        <v>19.09</v>
      </c>
      <c r="E20" s="60">
        <v>4.21</v>
      </c>
      <c r="F20" s="60">
        <v>8.94</v>
      </c>
      <c r="G20" s="60">
        <v>26.65</v>
      </c>
      <c r="H20" s="60">
        <v>121.24</v>
      </c>
      <c r="I20" s="60">
        <v>3.87</v>
      </c>
      <c r="J20" s="60">
        <v>0.08</v>
      </c>
      <c r="K20" s="60">
        <v>240.08</v>
      </c>
      <c r="L20" s="60">
        <v>25.57</v>
      </c>
      <c r="M20" s="60">
        <v>77.239999999999995</v>
      </c>
      <c r="N20" s="60">
        <v>26.5</v>
      </c>
      <c r="O20" s="60">
        <v>0</v>
      </c>
      <c r="P20" s="60">
        <v>0.21</v>
      </c>
      <c r="Q20" s="60">
        <v>9.4</v>
      </c>
      <c r="R20" s="198"/>
      <c r="S20" s="198"/>
      <c r="T20" s="198"/>
      <c r="U20" s="198"/>
    </row>
    <row r="21" spans="1:21" s="12" customFormat="1" x14ac:dyDescent="0.25">
      <c r="A21" s="63">
        <v>45811.135416666664</v>
      </c>
      <c r="B21" s="60">
        <v>6.44</v>
      </c>
      <c r="C21" s="60">
        <v>14.59</v>
      </c>
      <c r="D21" s="60">
        <v>18.05</v>
      </c>
      <c r="E21" s="60">
        <v>4.1900000000000004</v>
      </c>
      <c r="F21" s="60">
        <v>9.2899999999999991</v>
      </c>
      <c r="G21" s="60">
        <v>25.19</v>
      </c>
      <c r="H21" s="60">
        <v>52.19</v>
      </c>
      <c r="I21" s="60">
        <v>3.91</v>
      </c>
      <c r="J21" s="60">
        <v>0.05</v>
      </c>
      <c r="K21" s="60">
        <v>222.56</v>
      </c>
      <c r="L21" s="60">
        <v>25.41</v>
      </c>
      <c r="M21" s="60">
        <v>78.540000000000006</v>
      </c>
      <c r="N21" s="60">
        <v>26.4</v>
      </c>
      <c r="O21" s="60">
        <v>0</v>
      </c>
      <c r="P21" s="60">
        <v>0.22</v>
      </c>
      <c r="Q21" s="60">
        <v>9.4</v>
      </c>
      <c r="R21" s="198"/>
      <c r="S21" s="198"/>
      <c r="T21" s="198"/>
      <c r="U21" s="198"/>
    </row>
    <row r="22" spans="1:21" s="12" customFormat="1" x14ac:dyDescent="0.25">
      <c r="A22" s="63">
        <v>45811.145833333336</v>
      </c>
      <c r="B22" s="60">
        <v>6.5</v>
      </c>
      <c r="C22" s="60">
        <v>14.75</v>
      </c>
      <c r="D22" s="60">
        <v>18.25</v>
      </c>
      <c r="E22" s="60">
        <v>3.89</v>
      </c>
      <c r="F22" s="60">
        <v>8.49</v>
      </c>
      <c r="G22" s="60">
        <v>25.19</v>
      </c>
      <c r="H22" s="60">
        <v>52.19</v>
      </c>
      <c r="I22" s="60">
        <v>3.92</v>
      </c>
      <c r="J22" s="60">
        <v>0.05</v>
      </c>
      <c r="K22" s="60">
        <v>273.08999999999997</v>
      </c>
      <c r="L22" s="60">
        <v>25.43</v>
      </c>
      <c r="M22" s="60">
        <v>78.36</v>
      </c>
      <c r="N22" s="60">
        <v>26.3</v>
      </c>
      <c r="O22" s="60">
        <v>0</v>
      </c>
      <c r="P22" s="60">
        <v>0.21</v>
      </c>
      <c r="Q22" s="60">
        <v>9.41</v>
      </c>
      <c r="R22" s="198"/>
      <c r="S22" s="198"/>
      <c r="T22" s="198"/>
      <c r="U22" s="198"/>
    </row>
    <row r="23" spans="1:21" s="12" customFormat="1" x14ac:dyDescent="0.25">
      <c r="A23" s="63">
        <v>45811.15625</v>
      </c>
      <c r="B23" s="60">
        <v>7.85</v>
      </c>
      <c r="C23" s="60">
        <v>15.89</v>
      </c>
      <c r="D23" s="60">
        <v>18.37</v>
      </c>
      <c r="E23" s="60">
        <v>4.34</v>
      </c>
      <c r="F23" s="60">
        <v>8.1300000000000008</v>
      </c>
      <c r="G23" s="60">
        <v>25.19</v>
      </c>
      <c r="H23" s="60">
        <v>52.19</v>
      </c>
      <c r="I23" s="60">
        <v>3.96</v>
      </c>
      <c r="J23" s="60">
        <v>0.28999999999999998</v>
      </c>
      <c r="K23" s="60">
        <v>320.94</v>
      </c>
      <c r="L23" s="60">
        <v>25.43</v>
      </c>
      <c r="M23" s="60">
        <v>78.819999999999993</v>
      </c>
      <c r="N23" s="60">
        <v>26.3</v>
      </c>
      <c r="O23" s="60">
        <v>0</v>
      </c>
      <c r="P23" s="60">
        <v>0.23</v>
      </c>
      <c r="Q23" s="60">
        <v>9.42</v>
      </c>
      <c r="R23" s="198"/>
      <c r="S23" s="198"/>
      <c r="T23" s="198"/>
      <c r="U23" s="198"/>
    </row>
    <row r="24" spans="1:21" s="12" customFormat="1" x14ac:dyDescent="0.25">
      <c r="A24" s="63">
        <v>45811.166666666664</v>
      </c>
      <c r="B24" s="60">
        <v>9.3000000000000007</v>
      </c>
      <c r="C24" s="60">
        <v>16.87</v>
      </c>
      <c r="D24" s="60">
        <v>18.010000000000002</v>
      </c>
      <c r="E24" s="60">
        <v>4.09</v>
      </c>
      <c r="F24" s="60">
        <v>9.3800000000000008</v>
      </c>
      <c r="G24" s="60">
        <v>24.08</v>
      </c>
      <c r="H24" s="60">
        <v>25.3</v>
      </c>
      <c r="I24" s="60">
        <v>3.97</v>
      </c>
      <c r="J24" s="60">
        <v>0.2</v>
      </c>
      <c r="K24" s="60">
        <v>315.52</v>
      </c>
      <c r="L24" s="60">
        <v>25.25</v>
      </c>
      <c r="M24" s="60">
        <v>80.569999999999993</v>
      </c>
      <c r="N24" s="60">
        <v>26.2</v>
      </c>
      <c r="O24" s="60">
        <v>0</v>
      </c>
      <c r="P24" s="60">
        <v>0.23</v>
      </c>
      <c r="Q24" s="60">
        <v>9.43</v>
      </c>
      <c r="R24" s="198"/>
      <c r="S24" s="198"/>
      <c r="T24" s="198"/>
      <c r="U24" s="198"/>
    </row>
    <row r="25" spans="1:21" s="12" customFormat="1" x14ac:dyDescent="0.25">
      <c r="A25" s="63">
        <v>45811.177083333336</v>
      </c>
      <c r="B25" s="60">
        <v>11.67</v>
      </c>
      <c r="C25" s="60">
        <v>20.41</v>
      </c>
      <c r="D25" s="60">
        <v>21.15</v>
      </c>
      <c r="E25" s="60">
        <v>4.41</v>
      </c>
      <c r="F25" s="60">
        <v>5.25</v>
      </c>
      <c r="G25" s="60">
        <v>23.4</v>
      </c>
      <c r="H25" s="60">
        <v>8.9700000000000006</v>
      </c>
      <c r="I25" s="60">
        <v>3.99</v>
      </c>
      <c r="J25" s="60">
        <v>0.17</v>
      </c>
      <c r="K25" s="60">
        <v>322.97000000000003</v>
      </c>
      <c r="L25" s="60">
        <v>25.14</v>
      </c>
      <c r="M25" s="60">
        <v>81.45</v>
      </c>
      <c r="N25" s="60">
        <v>26.4</v>
      </c>
      <c r="O25" s="60">
        <v>0</v>
      </c>
      <c r="P25" s="60">
        <v>0.27</v>
      </c>
      <c r="Q25" s="60">
        <v>9.43</v>
      </c>
      <c r="R25" s="198"/>
      <c r="S25" s="198"/>
      <c r="T25" s="198"/>
      <c r="U25" s="198"/>
    </row>
    <row r="26" spans="1:21" s="12" customFormat="1" x14ac:dyDescent="0.25">
      <c r="A26" s="63">
        <v>45811.1875</v>
      </c>
      <c r="B26" s="60">
        <v>12.8</v>
      </c>
      <c r="C26" s="60">
        <v>22.99</v>
      </c>
      <c r="D26" s="60">
        <v>24.36</v>
      </c>
      <c r="E26" s="60">
        <v>4.09</v>
      </c>
      <c r="F26" s="60">
        <v>4.5599999999999996</v>
      </c>
      <c r="G26" s="60">
        <v>23.4</v>
      </c>
      <c r="H26" s="60">
        <v>8.9700000000000006</v>
      </c>
      <c r="I26" s="60">
        <v>3.85</v>
      </c>
      <c r="J26" s="60">
        <v>0.15</v>
      </c>
      <c r="K26" s="60">
        <v>292.13</v>
      </c>
      <c r="L26" s="60">
        <v>25.07</v>
      </c>
      <c r="M26" s="60">
        <v>79.95</v>
      </c>
      <c r="N26" s="60">
        <v>26.3</v>
      </c>
      <c r="O26" s="60">
        <v>0</v>
      </c>
      <c r="P26" s="60">
        <v>0.27</v>
      </c>
      <c r="Q26" s="60">
        <v>9.41</v>
      </c>
      <c r="R26" s="198"/>
      <c r="S26" s="198"/>
      <c r="T26" s="198"/>
      <c r="U26" s="198"/>
    </row>
    <row r="27" spans="1:21" s="12" customFormat="1" x14ac:dyDescent="0.25">
      <c r="A27" s="63">
        <v>45811.197916666664</v>
      </c>
      <c r="B27" s="60">
        <v>11.05</v>
      </c>
      <c r="C27" s="60">
        <v>20.059999999999999</v>
      </c>
      <c r="D27" s="60">
        <v>21.43</v>
      </c>
      <c r="E27" s="60">
        <v>4.38</v>
      </c>
      <c r="F27" s="60">
        <v>5.24</v>
      </c>
      <c r="G27" s="60">
        <v>23.4</v>
      </c>
      <c r="H27" s="60">
        <v>8.9700000000000006</v>
      </c>
      <c r="I27" s="60">
        <v>3.98</v>
      </c>
      <c r="J27" s="60">
        <v>0.09</v>
      </c>
      <c r="K27" s="60">
        <v>313.37</v>
      </c>
      <c r="L27" s="60">
        <v>25.33</v>
      </c>
      <c r="M27" s="60">
        <v>77.22</v>
      </c>
      <c r="N27" s="60">
        <v>26.4</v>
      </c>
      <c r="O27" s="60">
        <v>0</v>
      </c>
      <c r="P27" s="60">
        <v>0.27</v>
      </c>
      <c r="Q27" s="60">
        <v>9.41</v>
      </c>
      <c r="R27" s="198"/>
      <c r="S27" s="198"/>
      <c r="T27" s="198"/>
      <c r="U27" s="198"/>
    </row>
    <row r="28" spans="1:21" s="12" customFormat="1" x14ac:dyDescent="0.25">
      <c r="A28" s="63">
        <v>45811.208333333336</v>
      </c>
      <c r="B28" s="60">
        <v>12.4</v>
      </c>
      <c r="C28" s="60">
        <v>21.9</v>
      </c>
      <c r="D28" s="60">
        <v>22.89</v>
      </c>
      <c r="E28" s="60">
        <v>4.43</v>
      </c>
      <c r="F28" s="60">
        <v>5.56</v>
      </c>
      <c r="G28" s="60">
        <v>21.75</v>
      </c>
      <c r="H28" s="60">
        <v>58.9</v>
      </c>
      <c r="I28" s="60">
        <v>4.13</v>
      </c>
      <c r="J28" s="60">
        <v>0.14000000000000001</v>
      </c>
      <c r="K28" s="60">
        <v>287.44</v>
      </c>
      <c r="L28" s="60">
        <v>25.47</v>
      </c>
      <c r="M28" s="60">
        <v>76.12</v>
      </c>
      <c r="N28" s="60">
        <v>26.3</v>
      </c>
      <c r="O28" s="60">
        <v>0</v>
      </c>
      <c r="P28" s="60">
        <v>0.27</v>
      </c>
      <c r="Q28" s="60">
        <v>9.41</v>
      </c>
      <c r="R28" s="198"/>
      <c r="S28" s="198"/>
      <c r="T28" s="198"/>
      <c r="U28" s="198"/>
    </row>
    <row r="29" spans="1:21" s="12" customFormat="1" x14ac:dyDescent="0.25">
      <c r="A29" s="63">
        <v>45811.21875</v>
      </c>
      <c r="B29" s="60">
        <v>11.1</v>
      </c>
      <c r="C29" s="60">
        <v>22.8</v>
      </c>
      <c r="D29" s="60">
        <v>26.6</v>
      </c>
      <c r="E29" s="60">
        <v>4.3899999999999997</v>
      </c>
      <c r="F29" s="60">
        <v>5.37</v>
      </c>
      <c r="G29" s="60">
        <v>20.74</v>
      </c>
      <c r="H29" s="60">
        <v>89.21</v>
      </c>
      <c r="I29" s="60">
        <v>3.92</v>
      </c>
      <c r="J29" s="60">
        <v>0.08</v>
      </c>
      <c r="K29" s="60">
        <v>297.20999999999998</v>
      </c>
      <c r="L29" s="60">
        <v>25.36</v>
      </c>
      <c r="M29" s="60">
        <v>76.62</v>
      </c>
      <c r="N29" s="60">
        <v>28.1</v>
      </c>
      <c r="O29" s="60">
        <v>0</v>
      </c>
      <c r="P29" s="60">
        <v>0.28000000000000003</v>
      </c>
      <c r="Q29" s="60">
        <v>9.43</v>
      </c>
      <c r="R29" s="198"/>
      <c r="S29" s="198"/>
      <c r="T29" s="198"/>
      <c r="U29" s="198"/>
    </row>
    <row r="30" spans="1:21" s="12" customFormat="1" x14ac:dyDescent="0.25">
      <c r="A30" s="63">
        <v>45811.229166666664</v>
      </c>
      <c r="B30" s="60">
        <v>16.21</v>
      </c>
      <c r="C30" s="60">
        <v>25.94</v>
      </c>
      <c r="D30" s="60">
        <v>24.77</v>
      </c>
      <c r="E30" s="60">
        <v>3.74</v>
      </c>
      <c r="F30" s="60">
        <v>4.66</v>
      </c>
      <c r="G30" s="60">
        <v>20.74</v>
      </c>
      <c r="H30" s="60">
        <v>89.21</v>
      </c>
      <c r="I30" s="60">
        <v>4.03</v>
      </c>
      <c r="J30" s="60">
        <v>0.09</v>
      </c>
      <c r="K30" s="60">
        <v>301.95999999999998</v>
      </c>
      <c r="L30" s="60">
        <v>25.25</v>
      </c>
      <c r="M30" s="60">
        <v>77.69</v>
      </c>
      <c r="N30" s="60">
        <v>33.799999999999997</v>
      </c>
      <c r="O30" s="60">
        <v>0</v>
      </c>
      <c r="P30" s="60">
        <v>0.3</v>
      </c>
      <c r="Q30" s="60">
        <v>9.44</v>
      </c>
      <c r="R30" s="198"/>
      <c r="S30" s="198"/>
      <c r="T30" s="198"/>
      <c r="U30" s="198"/>
    </row>
    <row r="31" spans="1:21" s="12" customFormat="1" x14ac:dyDescent="0.25">
      <c r="A31" s="63">
        <v>45811.239583333336</v>
      </c>
      <c r="B31" s="60">
        <v>14.2</v>
      </c>
      <c r="C31" s="60">
        <v>27.96</v>
      </c>
      <c r="D31" s="60">
        <v>31.72</v>
      </c>
      <c r="E31" s="60">
        <v>3.92</v>
      </c>
      <c r="F31" s="60">
        <v>4.9000000000000004</v>
      </c>
      <c r="G31" s="60">
        <v>20.74</v>
      </c>
      <c r="H31" s="60">
        <v>89.21</v>
      </c>
      <c r="I31" s="60">
        <v>4.0199999999999996</v>
      </c>
      <c r="J31" s="60">
        <v>0.06</v>
      </c>
      <c r="K31" s="60">
        <v>254.08</v>
      </c>
      <c r="L31" s="60">
        <v>25.22</v>
      </c>
      <c r="M31" s="60">
        <v>77.959999999999994</v>
      </c>
      <c r="N31" s="60">
        <v>46.7</v>
      </c>
      <c r="O31" s="60">
        <v>0</v>
      </c>
      <c r="P31" s="60">
        <v>0.36</v>
      </c>
      <c r="Q31" s="60">
        <v>9.4600000000000009</v>
      </c>
      <c r="R31" s="198"/>
      <c r="S31" s="198"/>
      <c r="T31" s="198"/>
      <c r="U31" s="198"/>
    </row>
    <row r="32" spans="1:21" s="12" customFormat="1" x14ac:dyDescent="0.25">
      <c r="A32" s="63">
        <v>45811.25</v>
      </c>
      <c r="B32" s="60">
        <v>13.78</v>
      </c>
      <c r="C32" s="60">
        <v>25.64</v>
      </c>
      <c r="D32" s="60">
        <v>27.92</v>
      </c>
      <c r="E32" s="60">
        <v>4.29</v>
      </c>
      <c r="F32" s="60">
        <v>5.38</v>
      </c>
      <c r="G32" s="60">
        <v>25.82</v>
      </c>
      <c r="H32" s="60">
        <v>54.74</v>
      </c>
      <c r="I32" s="60">
        <v>3.87</v>
      </c>
      <c r="J32" s="60">
        <v>0.04</v>
      </c>
      <c r="K32" s="60">
        <v>263.06</v>
      </c>
      <c r="L32" s="60">
        <v>25.6</v>
      </c>
      <c r="M32" s="60">
        <v>76.14</v>
      </c>
      <c r="N32" s="60">
        <v>64.8</v>
      </c>
      <c r="O32" s="60">
        <v>0</v>
      </c>
      <c r="P32" s="60">
        <v>0.31</v>
      </c>
      <c r="Q32" s="60">
        <v>9.48</v>
      </c>
      <c r="R32" s="198"/>
      <c r="S32" s="198"/>
      <c r="T32" s="198"/>
      <c r="U32" s="198"/>
    </row>
    <row r="33" spans="1:21" s="12" customFormat="1" x14ac:dyDescent="0.25">
      <c r="A33" s="63">
        <v>45811.260416666664</v>
      </c>
      <c r="B33" s="60">
        <v>14.96</v>
      </c>
      <c r="C33" s="60">
        <v>28.85</v>
      </c>
      <c r="D33" s="60">
        <v>32.270000000000003</v>
      </c>
      <c r="E33" s="60">
        <v>4.05</v>
      </c>
      <c r="F33" s="60">
        <v>4.8899999999999997</v>
      </c>
      <c r="G33" s="60">
        <v>28.9</v>
      </c>
      <c r="H33" s="60">
        <v>33.81</v>
      </c>
      <c r="I33" s="60">
        <v>3.98</v>
      </c>
      <c r="J33" s="60">
        <v>7.0000000000000007E-2</v>
      </c>
      <c r="K33" s="60">
        <v>301.97000000000003</v>
      </c>
      <c r="L33" s="60">
        <v>26.29</v>
      </c>
      <c r="M33" s="60">
        <v>73.180000000000007</v>
      </c>
      <c r="N33" s="60">
        <v>99.4</v>
      </c>
      <c r="O33" s="60">
        <v>0</v>
      </c>
      <c r="P33" s="60">
        <v>0.37</v>
      </c>
      <c r="Q33" s="60">
        <v>9.49</v>
      </c>
      <c r="R33" s="198"/>
      <c r="S33" s="198"/>
      <c r="T33" s="198"/>
      <c r="U33" s="198"/>
    </row>
    <row r="34" spans="1:21" s="12" customFormat="1" x14ac:dyDescent="0.25">
      <c r="A34" s="63">
        <v>45811.270833333336</v>
      </c>
      <c r="B34" s="60">
        <v>16.18</v>
      </c>
      <c r="C34" s="60">
        <v>27.31</v>
      </c>
      <c r="D34" s="60">
        <v>27.43</v>
      </c>
      <c r="E34" s="60">
        <v>4.04</v>
      </c>
      <c r="F34" s="60">
        <v>3.91</v>
      </c>
      <c r="G34" s="60">
        <v>28.9</v>
      </c>
      <c r="H34" s="60">
        <v>33.81</v>
      </c>
      <c r="I34" s="60">
        <v>4.05</v>
      </c>
      <c r="J34" s="60">
        <v>0.12</v>
      </c>
      <c r="K34" s="60">
        <v>270.35000000000002</v>
      </c>
      <c r="L34" s="60">
        <v>27.24</v>
      </c>
      <c r="M34" s="60">
        <v>68.5</v>
      </c>
      <c r="N34" s="60">
        <v>144</v>
      </c>
      <c r="O34" s="60">
        <v>0</v>
      </c>
      <c r="P34" s="60">
        <v>0.32</v>
      </c>
      <c r="Q34" s="60">
        <v>9.49</v>
      </c>
      <c r="R34" s="198"/>
      <c r="S34" s="198"/>
      <c r="T34" s="198"/>
      <c r="U34" s="198"/>
    </row>
    <row r="35" spans="1:21" s="12" customFormat="1" x14ac:dyDescent="0.25">
      <c r="A35" s="63">
        <v>45811.28125</v>
      </c>
      <c r="B35" s="60">
        <v>14.66</v>
      </c>
      <c r="C35" s="60">
        <v>30.63</v>
      </c>
      <c r="D35" s="60">
        <v>36.130000000000003</v>
      </c>
      <c r="E35" s="60">
        <v>4.1399999999999997</v>
      </c>
      <c r="F35" s="60">
        <v>5.76</v>
      </c>
      <c r="G35" s="60">
        <v>28.9</v>
      </c>
      <c r="H35" s="60">
        <v>33.81</v>
      </c>
      <c r="I35" s="60">
        <v>4.08</v>
      </c>
      <c r="J35" s="60">
        <v>0.12</v>
      </c>
      <c r="K35" s="60">
        <v>257.52999999999997</v>
      </c>
      <c r="L35" s="60">
        <v>28.04</v>
      </c>
      <c r="M35" s="60">
        <v>65.37</v>
      </c>
      <c r="N35" s="60">
        <v>192.9</v>
      </c>
      <c r="O35" s="60">
        <v>0</v>
      </c>
      <c r="P35" s="60">
        <v>0.35</v>
      </c>
      <c r="Q35" s="60">
        <v>9.5299999999999994</v>
      </c>
      <c r="R35" s="198"/>
      <c r="S35" s="198"/>
      <c r="T35" s="198"/>
      <c r="U35" s="198"/>
    </row>
    <row r="36" spans="1:21" s="12" customFormat="1" x14ac:dyDescent="0.25">
      <c r="A36" s="63">
        <v>45811.291666666664</v>
      </c>
      <c r="B36" s="60">
        <v>13.44</v>
      </c>
      <c r="C36" s="60">
        <v>24.87</v>
      </c>
      <c r="D36" s="60">
        <v>26.98</v>
      </c>
      <c r="E36" s="60">
        <v>4.1500000000000004</v>
      </c>
      <c r="F36" s="60">
        <v>6.15</v>
      </c>
      <c r="G36" s="60">
        <v>30.03</v>
      </c>
      <c r="H36" s="60">
        <v>12.77</v>
      </c>
      <c r="I36" s="60">
        <v>3.99</v>
      </c>
      <c r="J36" s="60">
        <v>0.17</v>
      </c>
      <c r="K36" s="60">
        <v>262.43</v>
      </c>
      <c r="L36" s="60">
        <v>27.92</v>
      </c>
      <c r="M36" s="60">
        <v>65.67</v>
      </c>
      <c r="N36" s="60">
        <v>243.7</v>
      </c>
      <c r="O36" s="60">
        <v>0</v>
      </c>
      <c r="P36" s="60">
        <v>0.32</v>
      </c>
      <c r="Q36" s="60">
        <v>9.56</v>
      </c>
      <c r="R36" s="198"/>
      <c r="S36" s="198"/>
      <c r="T36" s="198"/>
      <c r="U36" s="198"/>
    </row>
    <row r="37" spans="1:21" s="12" customFormat="1" x14ac:dyDescent="0.25">
      <c r="A37" s="63">
        <v>45811.302083333336</v>
      </c>
      <c r="B37" s="60">
        <v>12.41</v>
      </c>
      <c r="C37" s="60">
        <v>22.02</v>
      </c>
      <c r="D37" s="60">
        <v>23.09</v>
      </c>
      <c r="E37" s="60">
        <v>4.1500000000000004</v>
      </c>
      <c r="F37" s="60">
        <v>6.41</v>
      </c>
      <c r="G37" s="60">
        <v>30.71</v>
      </c>
      <c r="H37" s="60">
        <v>0</v>
      </c>
      <c r="I37" s="60">
        <v>4.0199999999999996</v>
      </c>
      <c r="J37" s="60">
        <v>0.09</v>
      </c>
      <c r="K37" s="60">
        <v>253.97</v>
      </c>
      <c r="L37" s="60">
        <v>27.84</v>
      </c>
      <c r="M37" s="60">
        <v>68.11</v>
      </c>
      <c r="N37" s="60">
        <v>298.2</v>
      </c>
      <c r="O37" s="60">
        <v>0</v>
      </c>
      <c r="P37" s="60">
        <v>0.28000000000000003</v>
      </c>
      <c r="Q37" s="60">
        <v>9.5500000000000007</v>
      </c>
      <c r="R37" s="198"/>
      <c r="S37" s="198"/>
      <c r="T37" s="198"/>
      <c r="U37" s="198"/>
    </row>
    <row r="38" spans="1:21" s="12" customFormat="1" x14ac:dyDescent="0.25">
      <c r="A38" s="63">
        <v>45811.3125</v>
      </c>
      <c r="B38" s="60">
        <v>12.51</v>
      </c>
      <c r="C38" s="60">
        <v>23.1</v>
      </c>
      <c r="D38" s="60">
        <v>25.01</v>
      </c>
      <c r="E38" s="60">
        <v>3.88</v>
      </c>
      <c r="F38" s="60">
        <v>7.13</v>
      </c>
      <c r="G38" s="60">
        <v>30.71</v>
      </c>
      <c r="H38" s="60">
        <v>0</v>
      </c>
      <c r="I38" s="60">
        <v>4.18</v>
      </c>
      <c r="J38" s="60">
        <v>0.19</v>
      </c>
      <c r="K38" s="60">
        <v>220.38</v>
      </c>
      <c r="L38" s="60">
        <v>28.76</v>
      </c>
      <c r="M38" s="60">
        <v>65.540000000000006</v>
      </c>
      <c r="N38" s="60">
        <v>351.5</v>
      </c>
      <c r="O38" s="60">
        <v>0</v>
      </c>
      <c r="P38" s="60">
        <v>0.32</v>
      </c>
      <c r="Q38" s="60">
        <v>9.5299999999999994</v>
      </c>
      <c r="R38" s="198"/>
      <c r="S38" s="198"/>
      <c r="T38" s="198"/>
      <c r="U38" s="198"/>
    </row>
    <row r="39" spans="1:21" s="12" customFormat="1" x14ac:dyDescent="0.25">
      <c r="A39" s="63">
        <v>45811.322916666664</v>
      </c>
      <c r="B39" s="60">
        <v>13.25</v>
      </c>
      <c r="C39" s="60">
        <v>23.58</v>
      </c>
      <c r="D39" s="60">
        <v>24.79</v>
      </c>
      <c r="E39" s="60">
        <v>3.96</v>
      </c>
      <c r="F39" s="60">
        <v>6.48</v>
      </c>
      <c r="G39" s="60">
        <v>30.71</v>
      </c>
      <c r="H39" s="60">
        <v>0</v>
      </c>
      <c r="I39" s="60">
        <v>3.9</v>
      </c>
      <c r="J39" s="60">
        <v>0.18</v>
      </c>
      <c r="K39" s="60">
        <v>276.56</v>
      </c>
      <c r="L39" s="60">
        <v>29.57</v>
      </c>
      <c r="M39" s="60">
        <v>63.57</v>
      </c>
      <c r="N39" s="60">
        <v>402.1</v>
      </c>
      <c r="O39" s="60">
        <v>0</v>
      </c>
      <c r="P39" s="60">
        <v>0.34</v>
      </c>
      <c r="Q39" s="60">
        <v>9.52</v>
      </c>
      <c r="R39" s="198"/>
      <c r="S39" s="198"/>
      <c r="T39" s="198"/>
      <c r="U39" s="198"/>
    </row>
    <row r="40" spans="1:21" s="12" customFormat="1" x14ac:dyDescent="0.25">
      <c r="A40" s="63">
        <v>45811.333333333336</v>
      </c>
      <c r="B40" s="60">
        <v>12.69</v>
      </c>
      <c r="C40" s="60">
        <v>23.42</v>
      </c>
      <c r="D40" s="60">
        <v>25.34</v>
      </c>
      <c r="E40" s="60">
        <v>5.0999999999999996</v>
      </c>
      <c r="F40" s="60">
        <v>5.29</v>
      </c>
      <c r="G40" s="60">
        <v>31.73</v>
      </c>
      <c r="H40" s="60">
        <v>212.69</v>
      </c>
      <c r="I40" s="60">
        <v>3.85</v>
      </c>
      <c r="J40" s="60">
        <v>0.23</v>
      </c>
      <c r="K40" s="60">
        <v>279.49</v>
      </c>
      <c r="L40" s="60">
        <v>29.87</v>
      </c>
      <c r="M40" s="60">
        <v>61.49</v>
      </c>
      <c r="N40" s="60">
        <v>451.4</v>
      </c>
      <c r="O40" s="60">
        <v>0</v>
      </c>
      <c r="P40" s="60">
        <v>0.33</v>
      </c>
      <c r="Q40" s="60">
        <v>9.51</v>
      </c>
      <c r="R40" s="198"/>
      <c r="S40" s="198"/>
      <c r="T40" s="198"/>
      <c r="U40" s="198"/>
    </row>
    <row r="41" spans="1:21" s="12" customFormat="1" x14ac:dyDescent="0.25">
      <c r="A41" s="63">
        <v>45811.34375</v>
      </c>
      <c r="B41" s="60">
        <v>12.05</v>
      </c>
      <c r="C41" s="60">
        <v>22.77</v>
      </c>
      <c r="D41" s="60">
        <v>25.09</v>
      </c>
      <c r="E41" s="60">
        <v>4.8600000000000003</v>
      </c>
      <c r="F41" s="60">
        <v>4.1500000000000004</v>
      </c>
      <c r="G41" s="60">
        <v>32.340000000000003</v>
      </c>
      <c r="H41" s="60">
        <v>341.83</v>
      </c>
      <c r="I41" s="60">
        <v>3.95</v>
      </c>
      <c r="J41" s="60">
        <v>0.35</v>
      </c>
      <c r="K41" s="60">
        <v>279.67</v>
      </c>
      <c r="L41" s="60">
        <v>30.19</v>
      </c>
      <c r="M41" s="60">
        <v>57.57</v>
      </c>
      <c r="N41" s="60">
        <v>501.2</v>
      </c>
      <c r="O41" s="60">
        <v>0</v>
      </c>
      <c r="P41" s="60">
        <v>0.33</v>
      </c>
      <c r="Q41" s="60">
        <v>9.48</v>
      </c>
      <c r="R41" s="198"/>
      <c r="S41" s="198"/>
      <c r="T41" s="198"/>
      <c r="U41" s="198"/>
    </row>
    <row r="42" spans="1:21" s="12" customFormat="1" x14ac:dyDescent="0.25">
      <c r="A42" s="63">
        <v>45811.354166666664</v>
      </c>
      <c r="B42" s="60">
        <v>10.45</v>
      </c>
      <c r="C42" s="60">
        <v>22.55</v>
      </c>
      <c r="D42" s="60">
        <v>27.13</v>
      </c>
      <c r="E42" s="60">
        <v>4.74</v>
      </c>
      <c r="F42" s="60">
        <v>4.38</v>
      </c>
      <c r="G42" s="60">
        <v>32.340000000000003</v>
      </c>
      <c r="H42" s="60">
        <v>341.83</v>
      </c>
      <c r="I42" s="60">
        <v>3.9</v>
      </c>
      <c r="J42" s="60">
        <v>0.41</v>
      </c>
      <c r="K42" s="60">
        <v>283.24</v>
      </c>
      <c r="L42" s="60">
        <v>30.95</v>
      </c>
      <c r="M42" s="60">
        <v>53.31</v>
      </c>
      <c r="N42" s="60">
        <v>549.5</v>
      </c>
      <c r="O42" s="60">
        <v>0</v>
      </c>
      <c r="P42" s="60">
        <v>0.31</v>
      </c>
      <c r="Q42" s="60">
        <v>9.42</v>
      </c>
      <c r="R42" s="198"/>
      <c r="S42" s="198"/>
      <c r="T42" s="198"/>
      <c r="U42" s="198"/>
    </row>
    <row r="43" spans="1:21" s="12" customFormat="1" x14ac:dyDescent="0.25">
      <c r="A43" s="63">
        <v>45811.364583333336</v>
      </c>
      <c r="B43" s="60">
        <v>8.1</v>
      </c>
      <c r="C43" s="60">
        <v>21.15</v>
      </c>
      <c r="D43" s="60">
        <v>28.06</v>
      </c>
      <c r="E43" s="60">
        <v>4.75</v>
      </c>
      <c r="F43" s="60">
        <v>3.99</v>
      </c>
      <c r="G43" s="60">
        <v>32.340000000000003</v>
      </c>
      <c r="H43" s="60">
        <v>341.83</v>
      </c>
      <c r="I43" s="60">
        <v>3.98</v>
      </c>
      <c r="J43" s="60">
        <v>0.38</v>
      </c>
      <c r="K43" s="60">
        <v>284.06</v>
      </c>
      <c r="L43" s="60">
        <v>31.03</v>
      </c>
      <c r="M43" s="60">
        <v>52.19</v>
      </c>
      <c r="N43" s="60">
        <v>591.9</v>
      </c>
      <c r="O43" s="60">
        <v>0</v>
      </c>
      <c r="P43" s="60">
        <v>0.3</v>
      </c>
      <c r="Q43" s="60">
        <v>9.33</v>
      </c>
      <c r="R43" s="198"/>
      <c r="S43" s="198"/>
      <c r="T43" s="198"/>
      <c r="U43" s="198"/>
    </row>
    <row r="44" spans="1:21" s="12" customFormat="1" x14ac:dyDescent="0.25">
      <c r="A44" s="63">
        <v>45811.375</v>
      </c>
      <c r="B44" s="60">
        <v>6.33</v>
      </c>
      <c r="C44" s="60">
        <v>19.600000000000001</v>
      </c>
      <c r="D44" s="60">
        <v>27.79</v>
      </c>
      <c r="E44" s="60">
        <v>4.74</v>
      </c>
      <c r="F44" s="60">
        <v>5.26</v>
      </c>
      <c r="G44" s="60">
        <v>33.71</v>
      </c>
      <c r="H44" s="60">
        <v>129.13999999999999</v>
      </c>
      <c r="I44" s="60">
        <v>3.89</v>
      </c>
      <c r="J44" s="60">
        <v>0.37</v>
      </c>
      <c r="K44" s="60">
        <v>287.99</v>
      </c>
      <c r="L44" s="60">
        <v>31.64</v>
      </c>
      <c r="M44" s="60">
        <v>49.8</v>
      </c>
      <c r="N44" s="60">
        <v>642.79999999999995</v>
      </c>
      <c r="O44" s="60">
        <v>0</v>
      </c>
      <c r="P44" s="60">
        <v>0.31</v>
      </c>
      <c r="Q44" s="60">
        <v>9.25</v>
      </c>
      <c r="R44" s="198"/>
      <c r="S44" s="198"/>
      <c r="T44" s="198"/>
      <c r="U44" s="198"/>
    </row>
    <row r="45" spans="1:21" s="12" customFormat="1" x14ac:dyDescent="0.25">
      <c r="A45" s="63">
        <v>45811.385416666664</v>
      </c>
      <c r="B45" s="60">
        <v>6.13</v>
      </c>
      <c r="C45" s="60">
        <v>19.75</v>
      </c>
      <c r="D45" s="60">
        <v>28.38</v>
      </c>
      <c r="E45" s="60">
        <v>4.5999999999999996</v>
      </c>
      <c r="F45" s="60">
        <v>4.57</v>
      </c>
      <c r="G45" s="60">
        <v>34.54</v>
      </c>
      <c r="H45" s="60">
        <v>0</v>
      </c>
      <c r="I45" s="60">
        <v>4.21</v>
      </c>
      <c r="J45" s="60">
        <v>0.35</v>
      </c>
      <c r="K45" s="60">
        <v>284.2</v>
      </c>
      <c r="L45" s="60">
        <v>32.47</v>
      </c>
      <c r="M45" s="60">
        <v>47.77</v>
      </c>
      <c r="N45" s="60">
        <v>679.8</v>
      </c>
      <c r="O45" s="60">
        <v>0</v>
      </c>
      <c r="P45" s="60">
        <v>0.35</v>
      </c>
      <c r="Q45" s="60">
        <v>9.1999999999999993</v>
      </c>
      <c r="R45" s="198"/>
      <c r="S45" s="198"/>
      <c r="T45" s="198"/>
      <c r="U45" s="198"/>
    </row>
    <row r="46" spans="1:21" s="12" customFormat="1" x14ac:dyDescent="0.25">
      <c r="A46" s="63">
        <v>45811.395833333336</v>
      </c>
      <c r="B46" s="60">
        <v>5.51</v>
      </c>
      <c r="C46" s="60">
        <v>20</v>
      </c>
      <c r="D46" s="60">
        <v>29.82</v>
      </c>
      <c r="E46" s="60">
        <v>4.43</v>
      </c>
      <c r="F46" s="60">
        <v>4.66</v>
      </c>
      <c r="G46" s="60">
        <v>34.54</v>
      </c>
      <c r="H46" s="60">
        <v>0</v>
      </c>
      <c r="I46" s="60">
        <v>3.88</v>
      </c>
      <c r="J46" s="60">
        <v>0.49</v>
      </c>
      <c r="K46" s="60">
        <v>290.75</v>
      </c>
      <c r="L46" s="60">
        <v>32.700000000000003</v>
      </c>
      <c r="M46" s="60">
        <v>47.53</v>
      </c>
      <c r="N46" s="60">
        <v>708.9</v>
      </c>
      <c r="O46" s="60">
        <v>0</v>
      </c>
      <c r="P46" s="60">
        <v>0.37</v>
      </c>
      <c r="Q46" s="60">
        <v>9.19</v>
      </c>
      <c r="R46" s="198"/>
      <c r="S46" s="198"/>
      <c r="T46" s="198"/>
      <c r="U46" s="198"/>
    </row>
    <row r="47" spans="1:21" s="12" customFormat="1" x14ac:dyDescent="0.25">
      <c r="A47" s="63">
        <v>45811.40625</v>
      </c>
      <c r="B47" s="60">
        <v>5.73</v>
      </c>
      <c r="C47" s="60">
        <v>21.07</v>
      </c>
      <c r="D47" s="60">
        <v>31.54</v>
      </c>
      <c r="E47" s="60">
        <v>4.59</v>
      </c>
      <c r="F47" s="60">
        <v>4.34</v>
      </c>
      <c r="G47" s="60">
        <v>34.54</v>
      </c>
      <c r="H47" s="60">
        <v>0</v>
      </c>
      <c r="I47" s="60">
        <v>4.09</v>
      </c>
      <c r="J47" s="60">
        <v>0.6</v>
      </c>
      <c r="K47" s="60">
        <v>292.64</v>
      </c>
      <c r="L47" s="60">
        <v>33.94</v>
      </c>
      <c r="M47" s="60">
        <v>43.63</v>
      </c>
      <c r="N47" s="60">
        <v>751.2</v>
      </c>
      <c r="O47" s="60">
        <v>0</v>
      </c>
      <c r="P47" s="60">
        <v>0.41</v>
      </c>
      <c r="Q47" s="60">
        <v>9.19</v>
      </c>
      <c r="R47" s="198"/>
      <c r="S47" s="198"/>
      <c r="T47" s="198"/>
      <c r="U47" s="198"/>
    </row>
    <row r="48" spans="1:21" s="12" customFormat="1" x14ac:dyDescent="0.25">
      <c r="A48" s="63">
        <v>45811.416666666664</v>
      </c>
      <c r="B48" s="60">
        <v>5.52</v>
      </c>
      <c r="C48" s="60">
        <v>19.66</v>
      </c>
      <c r="D48" s="60">
        <v>29.16</v>
      </c>
      <c r="E48" s="60">
        <v>4.6399999999999997</v>
      </c>
      <c r="F48" s="60">
        <v>5.14</v>
      </c>
      <c r="G48" s="60">
        <v>37.479999999999997</v>
      </c>
      <c r="H48" s="60">
        <v>98.17</v>
      </c>
      <c r="I48" s="60">
        <v>4</v>
      </c>
      <c r="J48" s="60">
        <v>0.75</v>
      </c>
      <c r="K48" s="60">
        <v>294.27999999999997</v>
      </c>
      <c r="L48" s="60">
        <v>35</v>
      </c>
      <c r="M48" s="60">
        <v>40.619999999999997</v>
      </c>
      <c r="N48" s="60">
        <v>799.1</v>
      </c>
      <c r="O48" s="60">
        <v>0</v>
      </c>
      <c r="P48" s="60">
        <v>0.42</v>
      </c>
      <c r="Q48" s="60">
        <v>9.19</v>
      </c>
      <c r="R48" s="198"/>
      <c r="S48" s="198"/>
      <c r="T48" s="198"/>
      <c r="U48" s="198"/>
    </row>
    <row r="49" spans="1:21" s="12" customFormat="1" x14ac:dyDescent="0.25">
      <c r="A49" s="63">
        <v>45811.427083333336</v>
      </c>
      <c r="B49" s="60">
        <v>5.15</v>
      </c>
      <c r="C49" s="60">
        <v>20.22</v>
      </c>
      <c r="D49" s="60">
        <v>30.79</v>
      </c>
      <c r="E49" s="60">
        <v>4.88</v>
      </c>
      <c r="F49" s="60">
        <v>4.67</v>
      </c>
      <c r="G49" s="60">
        <v>39.270000000000003</v>
      </c>
      <c r="H49" s="60">
        <v>157.76</v>
      </c>
      <c r="I49" s="60">
        <v>3.99</v>
      </c>
      <c r="J49" s="60">
        <v>0.77</v>
      </c>
      <c r="K49" s="60">
        <v>292.83</v>
      </c>
      <c r="L49" s="60">
        <v>35.4</v>
      </c>
      <c r="M49" s="60">
        <v>38.79</v>
      </c>
      <c r="N49" s="60">
        <v>831.5</v>
      </c>
      <c r="O49" s="60">
        <v>0</v>
      </c>
      <c r="P49" s="60">
        <v>0.42</v>
      </c>
      <c r="Q49" s="60">
        <v>9.2100000000000009</v>
      </c>
      <c r="R49" s="198"/>
      <c r="S49" s="198"/>
      <c r="T49" s="198"/>
      <c r="U49" s="198"/>
    </row>
    <row r="50" spans="1:21" s="12" customFormat="1" x14ac:dyDescent="0.25">
      <c r="A50" s="63">
        <v>45811.4375</v>
      </c>
      <c r="B50" s="60">
        <v>4.87</v>
      </c>
      <c r="C50" s="60">
        <v>19.3</v>
      </c>
      <c r="D50" s="60">
        <v>29.48</v>
      </c>
      <c r="E50" s="60">
        <v>4.6100000000000003</v>
      </c>
      <c r="F50" s="60">
        <v>5.46</v>
      </c>
      <c r="G50" s="60">
        <v>39.270000000000003</v>
      </c>
      <c r="H50" s="60">
        <v>157.76</v>
      </c>
      <c r="I50" s="60">
        <v>3.97</v>
      </c>
      <c r="J50" s="60">
        <v>0.74</v>
      </c>
      <c r="K50" s="60">
        <v>292.68</v>
      </c>
      <c r="L50" s="60">
        <v>35.49</v>
      </c>
      <c r="M50" s="60">
        <v>37.97</v>
      </c>
      <c r="N50" s="60">
        <v>859.8</v>
      </c>
      <c r="O50" s="60">
        <v>0</v>
      </c>
      <c r="P50" s="60">
        <v>0.41</v>
      </c>
      <c r="Q50" s="60">
        <v>9.2100000000000009</v>
      </c>
      <c r="R50" s="198"/>
      <c r="S50" s="198"/>
      <c r="T50" s="198"/>
      <c r="U50" s="198"/>
    </row>
    <row r="51" spans="1:21" s="12" customFormat="1" x14ac:dyDescent="0.25">
      <c r="A51" s="63">
        <v>45811.447916666664</v>
      </c>
      <c r="B51" s="60">
        <v>4.5599999999999996</v>
      </c>
      <c r="C51" s="60">
        <v>19.989999999999998</v>
      </c>
      <c r="D51" s="60">
        <v>31.26</v>
      </c>
      <c r="E51" s="60">
        <v>4.96</v>
      </c>
      <c r="F51" s="60">
        <v>4.95</v>
      </c>
      <c r="G51" s="60">
        <v>39.270000000000003</v>
      </c>
      <c r="H51" s="60">
        <v>157.76</v>
      </c>
      <c r="I51" s="60">
        <v>4.01</v>
      </c>
      <c r="J51" s="60">
        <v>0.52</v>
      </c>
      <c r="K51" s="60">
        <v>289.92</v>
      </c>
      <c r="L51" s="60">
        <v>35.58</v>
      </c>
      <c r="M51" s="60">
        <v>37.54</v>
      </c>
      <c r="N51" s="60">
        <v>878.2</v>
      </c>
      <c r="O51" s="60">
        <v>0</v>
      </c>
      <c r="P51" s="60">
        <v>0.42</v>
      </c>
      <c r="Q51" s="60">
        <v>9.1999999999999993</v>
      </c>
      <c r="R51" s="198"/>
      <c r="S51" s="198"/>
      <c r="T51" s="198"/>
      <c r="U51" s="198"/>
    </row>
    <row r="52" spans="1:21" s="12" customFormat="1" x14ac:dyDescent="0.25">
      <c r="A52" s="63">
        <v>45811.458333333336</v>
      </c>
      <c r="B52" s="60">
        <v>4.45</v>
      </c>
      <c r="C52" s="60">
        <v>18.649999999999999</v>
      </c>
      <c r="D52" s="60">
        <v>28.85</v>
      </c>
      <c r="E52" s="60">
        <v>4.7300000000000004</v>
      </c>
      <c r="F52" s="60">
        <v>5.66</v>
      </c>
      <c r="G52" s="60">
        <v>39.89</v>
      </c>
      <c r="H52" s="60">
        <v>59.6</v>
      </c>
      <c r="I52" s="60">
        <v>3.85</v>
      </c>
      <c r="J52" s="60">
        <v>0.61</v>
      </c>
      <c r="K52" s="60">
        <v>290.52</v>
      </c>
      <c r="L52" s="60">
        <v>35.85</v>
      </c>
      <c r="M52" s="60">
        <v>37.24</v>
      </c>
      <c r="N52" s="60">
        <v>891.5</v>
      </c>
      <c r="O52" s="60">
        <v>0</v>
      </c>
      <c r="P52" s="60">
        <v>0.4</v>
      </c>
      <c r="Q52" s="60">
        <v>9.2100000000000009</v>
      </c>
      <c r="R52" s="198"/>
      <c r="S52" s="198"/>
      <c r="T52" s="198"/>
      <c r="U52" s="198"/>
    </row>
    <row r="53" spans="1:21" s="12" customFormat="1" x14ac:dyDescent="0.25">
      <c r="A53" s="63">
        <v>45811.46875</v>
      </c>
      <c r="B53" s="60">
        <v>5.25</v>
      </c>
      <c r="C53" s="60">
        <v>20.77</v>
      </c>
      <c r="D53" s="60">
        <v>31.69</v>
      </c>
      <c r="E53" s="60">
        <v>4.7</v>
      </c>
      <c r="F53" s="60">
        <v>6.6</v>
      </c>
      <c r="G53" s="60">
        <v>40.26</v>
      </c>
      <c r="H53" s="60">
        <v>0</v>
      </c>
      <c r="I53" s="60">
        <v>3.98</v>
      </c>
      <c r="J53" s="60">
        <v>0.71</v>
      </c>
      <c r="K53" s="60">
        <v>299.75</v>
      </c>
      <c r="L53" s="60">
        <v>36.28</v>
      </c>
      <c r="M53" s="60">
        <v>35.25</v>
      </c>
      <c r="N53" s="60">
        <v>905.7</v>
      </c>
      <c r="O53" s="60">
        <v>0</v>
      </c>
      <c r="P53" s="60">
        <v>0.39</v>
      </c>
      <c r="Q53" s="60">
        <v>9.2100000000000009</v>
      </c>
      <c r="R53" s="198"/>
      <c r="S53" s="198"/>
      <c r="T53" s="198"/>
      <c r="U53" s="198"/>
    </row>
    <row r="54" spans="1:21" s="12" customFormat="1" x14ac:dyDescent="0.25">
      <c r="A54" s="63">
        <v>45811.479166666664</v>
      </c>
      <c r="B54" s="60">
        <v>5.26</v>
      </c>
      <c r="C54" s="60">
        <v>18.09</v>
      </c>
      <c r="D54" s="60">
        <v>26.54</v>
      </c>
      <c r="E54" s="60">
        <v>4.58</v>
      </c>
      <c r="F54" s="60">
        <v>5.08</v>
      </c>
      <c r="G54" s="60">
        <v>40.26</v>
      </c>
      <c r="H54" s="60">
        <v>0</v>
      </c>
      <c r="I54" s="60">
        <v>3.96</v>
      </c>
      <c r="J54" s="60">
        <v>0.56999999999999995</v>
      </c>
      <c r="K54" s="60">
        <v>285.94</v>
      </c>
      <c r="L54" s="60">
        <v>36.42</v>
      </c>
      <c r="M54" s="60">
        <v>32.619999999999997</v>
      </c>
      <c r="N54" s="60">
        <v>819.9</v>
      </c>
      <c r="O54" s="60">
        <v>0</v>
      </c>
      <c r="P54" s="60">
        <v>0.39</v>
      </c>
      <c r="Q54" s="60">
        <v>9.2200000000000006</v>
      </c>
      <c r="R54" s="198"/>
      <c r="S54" s="198"/>
      <c r="T54" s="198"/>
      <c r="U54" s="198"/>
    </row>
    <row r="55" spans="1:21" s="12" customFormat="1" x14ac:dyDescent="0.25">
      <c r="A55" s="63">
        <v>45811.489583333336</v>
      </c>
      <c r="B55" s="60">
        <v>5.24</v>
      </c>
      <c r="C55" s="60">
        <v>18.89</v>
      </c>
      <c r="D55" s="60">
        <v>28.11</v>
      </c>
      <c r="E55" s="60">
        <v>4.5</v>
      </c>
      <c r="F55" s="60">
        <v>5.18</v>
      </c>
      <c r="G55" s="60">
        <v>40.26</v>
      </c>
      <c r="H55" s="60">
        <v>0</v>
      </c>
      <c r="I55" s="60">
        <v>4.08</v>
      </c>
      <c r="J55" s="60">
        <v>0.78</v>
      </c>
      <c r="K55" s="60">
        <v>301.18</v>
      </c>
      <c r="L55" s="60">
        <v>36.380000000000003</v>
      </c>
      <c r="M55" s="60">
        <v>33.47</v>
      </c>
      <c r="N55" s="60">
        <v>888.5</v>
      </c>
      <c r="O55" s="60">
        <v>0</v>
      </c>
      <c r="P55" s="60">
        <v>0.36</v>
      </c>
      <c r="Q55" s="60">
        <v>9.24</v>
      </c>
      <c r="R55" s="198"/>
      <c r="S55" s="198"/>
      <c r="T55" s="198"/>
      <c r="U55" s="198"/>
    </row>
    <row r="56" spans="1:21" s="12" customFormat="1" x14ac:dyDescent="0.25">
      <c r="A56" s="63">
        <v>45811.5</v>
      </c>
      <c r="B56" s="60">
        <v>5.53</v>
      </c>
      <c r="C56" s="60">
        <v>19.23</v>
      </c>
      <c r="D56" s="60">
        <v>28.32</v>
      </c>
      <c r="E56" s="60">
        <v>4.33</v>
      </c>
      <c r="F56" s="60">
        <v>6.7</v>
      </c>
      <c r="G56" s="60">
        <v>39.82</v>
      </c>
      <c r="H56" s="60">
        <v>73.13</v>
      </c>
      <c r="I56" s="60">
        <v>4.01</v>
      </c>
      <c r="J56" s="60">
        <v>0.53</v>
      </c>
      <c r="K56" s="60">
        <v>298.02999999999997</v>
      </c>
      <c r="L56" s="60">
        <v>37.01</v>
      </c>
      <c r="M56" s="60">
        <v>32.75</v>
      </c>
      <c r="N56" s="60">
        <v>887.1</v>
      </c>
      <c r="O56" s="60">
        <v>0</v>
      </c>
      <c r="P56" s="60">
        <v>0.36</v>
      </c>
      <c r="Q56" s="60">
        <v>9.24</v>
      </c>
      <c r="R56" s="198"/>
      <c r="S56" s="198"/>
      <c r="T56" s="198"/>
      <c r="U56" s="198"/>
    </row>
    <row r="57" spans="1:21" s="12" customFormat="1" x14ac:dyDescent="0.25">
      <c r="A57" s="63">
        <v>45811.510416666664</v>
      </c>
      <c r="B57" s="60">
        <v>6.6</v>
      </c>
      <c r="C57" s="60">
        <v>19.829999999999998</v>
      </c>
      <c r="D57" s="60">
        <v>27.91</v>
      </c>
      <c r="E57" s="60">
        <v>4.6900000000000004</v>
      </c>
      <c r="F57" s="60">
        <v>6.19</v>
      </c>
      <c r="G57" s="60">
        <v>39.56</v>
      </c>
      <c r="H57" s="60">
        <v>117.53</v>
      </c>
      <c r="I57" s="60">
        <v>3.94</v>
      </c>
      <c r="J57" s="60">
        <v>0.67</v>
      </c>
      <c r="K57" s="60">
        <v>306.27</v>
      </c>
      <c r="L57" s="60">
        <v>36.880000000000003</v>
      </c>
      <c r="M57" s="60">
        <v>32.89</v>
      </c>
      <c r="N57" s="60">
        <v>836.9</v>
      </c>
      <c r="O57" s="60">
        <v>0</v>
      </c>
      <c r="P57" s="60">
        <v>0.37</v>
      </c>
      <c r="Q57" s="60">
        <v>9.24</v>
      </c>
      <c r="R57" s="198"/>
      <c r="S57" s="198"/>
      <c r="T57" s="198"/>
      <c r="U57" s="198"/>
    </row>
    <row r="58" spans="1:21" s="12" customFormat="1" x14ac:dyDescent="0.25">
      <c r="A58" s="63">
        <v>45811.520833333336</v>
      </c>
      <c r="B58" s="60">
        <v>6.37</v>
      </c>
      <c r="C58" s="60">
        <v>19.579999999999998</v>
      </c>
      <c r="D58" s="60">
        <v>27.69</v>
      </c>
      <c r="E58" s="60">
        <v>5.04</v>
      </c>
      <c r="F58" s="60">
        <v>10.66</v>
      </c>
      <c r="G58" s="60">
        <v>39.56</v>
      </c>
      <c r="H58" s="60">
        <v>117.53</v>
      </c>
      <c r="I58" s="60">
        <v>4.0599999999999996</v>
      </c>
      <c r="J58" s="60">
        <v>0.45</v>
      </c>
      <c r="K58" s="60">
        <v>299.05</v>
      </c>
      <c r="L58" s="60">
        <v>36.380000000000003</v>
      </c>
      <c r="M58" s="60">
        <v>34.31</v>
      </c>
      <c r="N58" s="60">
        <v>837.3</v>
      </c>
      <c r="O58" s="60">
        <v>0</v>
      </c>
      <c r="P58" s="60">
        <v>0.38</v>
      </c>
      <c r="Q58" s="60">
        <v>9.25</v>
      </c>
      <c r="R58" s="198"/>
      <c r="S58" s="198"/>
      <c r="T58" s="198"/>
      <c r="U58" s="198"/>
    </row>
    <row r="59" spans="1:21" s="12" customFormat="1" x14ac:dyDescent="0.25">
      <c r="A59" s="63">
        <v>45811.53125</v>
      </c>
      <c r="B59" s="60">
        <v>6.9</v>
      </c>
      <c r="C59" s="60">
        <v>20.57</v>
      </c>
      <c r="D59" s="60">
        <v>28.79</v>
      </c>
      <c r="E59" s="60">
        <v>5.0199999999999996</v>
      </c>
      <c r="F59" s="60">
        <v>8.69</v>
      </c>
      <c r="G59" s="60">
        <v>39.56</v>
      </c>
      <c r="H59" s="60">
        <v>117.53</v>
      </c>
      <c r="I59" s="60">
        <v>4.04</v>
      </c>
      <c r="J59" s="60">
        <v>0.8</v>
      </c>
      <c r="K59" s="60">
        <v>310.8</v>
      </c>
      <c r="L59" s="60">
        <v>37.54</v>
      </c>
      <c r="M59" s="60">
        <v>32.92</v>
      </c>
      <c r="N59" s="60">
        <v>845</v>
      </c>
      <c r="O59" s="60">
        <v>0</v>
      </c>
      <c r="P59" s="60">
        <v>0.36</v>
      </c>
      <c r="Q59" s="60">
        <v>9.25</v>
      </c>
      <c r="R59" s="198"/>
      <c r="S59" s="198"/>
      <c r="T59" s="198"/>
      <c r="U59" s="198"/>
    </row>
    <row r="60" spans="1:21" s="12" customFormat="1" x14ac:dyDescent="0.25">
      <c r="A60" s="63">
        <v>45811.541666666664</v>
      </c>
      <c r="B60" s="60">
        <v>6.33</v>
      </c>
      <c r="C60" s="60">
        <v>20.56</v>
      </c>
      <c r="D60" s="60">
        <v>29.62</v>
      </c>
      <c r="E60" s="60">
        <v>4.72</v>
      </c>
      <c r="F60" s="60">
        <v>5.81</v>
      </c>
      <c r="G60" s="60">
        <v>40.61</v>
      </c>
      <c r="H60" s="60">
        <v>110.89</v>
      </c>
      <c r="I60" s="60">
        <v>3.9</v>
      </c>
      <c r="J60" s="60">
        <v>0.51</v>
      </c>
      <c r="K60" s="60">
        <v>297.89999999999998</v>
      </c>
      <c r="L60" s="60">
        <v>37.11</v>
      </c>
      <c r="M60" s="60">
        <v>32.22</v>
      </c>
      <c r="N60" s="60">
        <v>539.4</v>
      </c>
      <c r="O60" s="60">
        <v>0</v>
      </c>
      <c r="P60" s="60">
        <v>0.36</v>
      </c>
      <c r="Q60" s="60">
        <v>9.25</v>
      </c>
      <c r="R60" s="198"/>
      <c r="S60" s="198"/>
      <c r="T60" s="198"/>
      <c r="U60" s="198"/>
    </row>
    <row r="61" spans="1:21" s="12" customFormat="1" x14ac:dyDescent="0.25">
      <c r="A61" s="63">
        <v>45811.552083333336</v>
      </c>
      <c r="B61" s="60">
        <v>6.39</v>
      </c>
      <c r="C61" s="60">
        <v>21.4</v>
      </c>
      <c r="D61" s="60">
        <v>31.15</v>
      </c>
      <c r="E61" s="60">
        <v>4.92</v>
      </c>
      <c r="F61" s="60">
        <v>4.46</v>
      </c>
      <c r="G61" s="60">
        <v>41.24</v>
      </c>
      <c r="H61" s="60">
        <v>106.86</v>
      </c>
      <c r="I61" s="60">
        <v>4.04</v>
      </c>
      <c r="J61" s="60">
        <v>1.01</v>
      </c>
      <c r="K61" s="60">
        <v>307.02999999999997</v>
      </c>
      <c r="L61" s="60">
        <v>37.130000000000003</v>
      </c>
      <c r="M61" s="60">
        <v>32.07</v>
      </c>
      <c r="N61" s="60">
        <v>756.5</v>
      </c>
      <c r="O61" s="60">
        <v>0</v>
      </c>
      <c r="P61" s="60">
        <v>0.34</v>
      </c>
      <c r="Q61" s="60">
        <v>9.26</v>
      </c>
      <c r="R61" s="198"/>
      <c r="S61" s="198"/>
      <c r="T61" s="198"/>
      <c r="U61" s="198"/>
    </row>
    <row r="62" spans="1:21" s="12" customFormat="1" x14ac:dyDescent="0.25">
      <c r="A62" s="63">
        <v>45811.5625</v>
      </c>
      <c r="B62" s="60">
        <v>6.79</v>
      </c>
      <c r="C62" s="60">
        <v>20.81</v>
      </c>
      <c r="D62" s="60">
        <v>29.4</v>
      </c>
      <c r="E62" s="60">
        <v>4.8099999999999996</v>
      </c>
      <c r="F62" s="60">
        <v>6.2</v>
      </c>
      <c r="G62" s="60">
        <v>41.24</v>
      </c>
      <c r="H62" s="60">
        <v>106.86</v>
      </c>
      <c r="I62" s="60">
        <v>3.93</v>
      </c>
      <c r="J62" s="60">
        <v>0.4</v>
      </c>
      <c r="K62" s="60">
        <v>282.86</v>
      </c>
      <c r="L62" s="60">
        <v>36.83</v>
      </c>
      <c r="M62" s="60">
        <v>31.52</v>
      </c>
      <c r="N62" s="60">
        <v>404.1</v>
      </c>
      <c r="O62" s="60">
        <v>0</v>
      </c>
      <c r="P62" s="60">
        <v>0.34</v>
      </c>
      <c r="Q62" s="60">
        <v>9.25</v>
      </c>
      <c r="R62" s="198"/>
      <c r="S62" s="198"/>
      <c r="T62" s="198"/>
      <c r="U62" s="198"/>
    </row>
    <row r="63" spans="1:21" s="12" customFormat="1" x14ac:dyDescent="0.25">
      <c r="A63" s="63">
        <v>45811.572916666664</v>
      </c>
      <c r="B63" s="60">
        <v>6.65</v>
      </c>
      <c r="C63" s="60">
        <v>20.260000000000002</v>
      </c>
      <c r="D63" s="60">
        <v>28.58</v>
      </c>
      <c r="E63" s="60">
        <v>5.01</v>
      </c>
      <c r="F63" s="60">
        <v>6.22</v>
      </c>
      <c r="G63" s="60">
        <v>41.24</v>
      </c>
      <c r="H63" s="60">
        <v>106.86</v>
      </c>
      <c r="I63" s="60">
        <v>3.95</v>
      </c>
      <c r="J63" s="60">
        <v>0.48</v>
      </c>
      <c r="K63" s="60">
        <v>308.73</v>
      </c>
      <c r="L63" s="60">
        <v>36.54</v>
      </c>
      <c r="M63" s="60">
        <v>32.14</v>
      </c>
      <c r="N63" s="60">
        <v>385.8</v>
      </c>
      <c r="O63" s="60">
        <v>0</v>
      </c>
      <c r="P63" s="60">
        <v>0.34</v>
      </c>
      <c r="Q63" s="60">
        <v>9.2200000000000006</v>
      </c>
      <c r="R63" s="198"/>
      <c r="S63" s="198"/>
      <c r="T63" s="198"/>
      <c r="U63" s="198"/>
    </row>
    <row r="64" spans="1:21" s="12" customFormat="1" x14ac:dyDescent="0.25">
      <c r="A64" s="63">
        <v>45811.583333333336</v>
      </c>
      <c r="B64" s="60">
        <v>6.18</v>
      </c>
      <c r="C64" s="60">
        <v>20.34</v>
      </c>
      <c r="D64" s="60">
        <v>29.45</v>
      </c>
      <c r="E64" s="60">
        <v>4.5199999999999996</v>
      </c>
      <c r="F64" s="60">
        <v>5.7</v>
      </c>
      <c r="G64" s="60">
        <v>41.4</v>
      </c>
      <c r="H64" s="60">
        <v>86.64</v>
      </c>
      <c r="I64" s="60">
        <v>4.1100000000000003</v>
      </c>
      <c r="J64" s="60">
        <v>0.32</v>
      </c>
      <c r="K64" s="60">
        <v>283.23</v>
      </c>
      <c r="L64" s="60">
        <v>35.729999999999997</v>
      </c>
      <c r="M64" s="60">
        <v>33.67</v>
      </c>
      <c r="N64" s="60">
        <v>228.3</v>
      </c>
      <c r="O64" s="60">
        <v>0</v>
      </c>
      <c r="P64" s="60">
        <v>0.35</v>
      </c>
      <c r="Q64" s="60">
        <v>9.1999999999999993</v>
      </c>
      <c r="R64" s="198"/>
      <c r="S64" s="198"/>
      <c r="T64" s="198"/>
      <c r="U64" s="198"/>
    </row>
    <row r="65" spans="1:21" s="12" customFormat="1" x14ac:dyDescent="0.25">
      <c r="A65" s="63">
        <v>45811.59375</v>
      </c>
      <c r="B65" s="60">
        <v>5.35</v>
      </c>
      <c r="C65" s="60">
        <v>20.3</v>
      </c>
      <c r="D65" s="60">
        <v>30.64</v>
      </c>
      <c r="E65" s="60">
        <v>4.6100000000000003</v>
      </c>
      <c r="F65" s="60">
        <v>5.63</v>
      </c>
      <c r="G65" s="60">
        <v>41.49</v>
      </c>
      <c r="H65" s="60">
        <v>74.37</v>
      </c>
      <c r="I65" s="60">
        <v>4.03</v>
      </c>
      <c r="J65" s="60">
        <v>0.25</v>
      </c>
      <c r="K65" s="60">
        <v>276.01</v>
      </c>
      <c r="L65" s="60">
        <v>35.18</v>
      </c>
      <c r="M65" s="60">
        <v>34.56</v>
      </c>
      <c r="N65" s="60">
        <v>400.9</v>
      </c>
      <c r="O65" s="60">
        <v>0</v>
      </c>
      <c r="P65" s="60">
        <v>0.36</v>
      </c>
      <c r="Q65" s="60">
        <v>9.23</v>
      </c>
      <c r="R65" s="198"/>
      <c r="S65" s="198"/>
      <c r="T65" s="198"/>
      <c r="U65" s="198"/>
    </row>
    <row r="66" spans="1:21" s="12" customFormat="1" x14ac:dyDescent="0.25">
      <c r="A66" s="63">
        <v>45811.604166666664</v>
      </c>
      <c r="B66" s="60">
        <v>5.61</v>
      </c>
      <c r="C66" s="60">
        <v>19.510000000000002</v>
      </c>
      <c r="D66" s="60">
        <v>28.73</v>
      </c>
      <c r="E66" s="60">
        <v>5.0999999999999996</v>
      </c>
      <c r="F66" s="60">
        <v>6.45</v>
      </c>
      <c r="G66" s="60">
        <v>41.49</v>
      </c>
      <c r="H66" s="60">
        <v>74.37</v>
      </c>
      <c r="I66" s="60">
        <v>3.93</v>
      </c>
      <c r="J66" s="60">
        <v>0.28000000000000003</v>
      </c>
      <c r="K66" s="60">
        <v>272.05</v>
      </c>
      <c r="L66" s="60">
        <v>35.04</v>
      </c>
      <c r="M66" s="60">
        <v>34.57</v>
      </c>
      <c r="N66" s="60">
        <v>220.4</v>
      </c>
      <c r="O66" s="60">
        <v>0</v>
      </c>
      <c r="P66" s="60">
        <v>0.35</v>
      </c>
      <c r="Q66" s="60">
        <v>9.2200000000000006</v>
      </c>
      <c r="R66" s="198"/>
      <c r="S66" s="198"/>
      <c r="T66" s="198"/>
      <c r="U66" s="198"/>
    </row>
    <row r="67" spans="1:21" s="12" customFormat="1" x14ac:dyDescent="0.25">
      <c r="A67" s="63">
        <v>45811.614583333336</v>
      </c>
      <c r="B67" s="60">
        <v>5.03</v>
      </c>
      <c r="C67" s="60">
        <v>18.559999999999999</v>
      </c>
      <c r="D67" s="60">
        <v>27.81</v>
      </c>
      <c r="E67" s="60">
        <v>4.8600000000000003</v>
      </c>
      <c r="F67" s="60">
        <v>5.05</v>
      </c>
      <c r="G67" s="60">
        <v>41.49</v>
      </c>
      <c r="H67" s="60">
        <v>74.37</v>
      </c>
      <c r="I67" s="60">
        <v>4.09</v>
      </c>
      <c r="J67" s="60">
        <v>0.44</v>
      </c>
      <c r="K67" s="60">
        <v>282.19</v>
      </c>
      <c r="L67" s="60">
        <v>35.21</v>
      </c>
      <c r="M67" s="60">
        <v>33.57</v>
      </c>
      <c r="N67" s="60">
        <v>332.7</v>
      </c>
      <c r="O67" s="60">
        <v>0</v>
      </c>
      <c r="P67" s="60">
        <v>0.36</v>
      </c>
      <c r="Q67" s="60">
        <v>9.2100000000000009</v>
      </c>
      <c r="R67" s="198"/>
      <c r="S67" s="198"/>
      <c r="T67" s="198"/>
      <c r="U67" s="198"/>
    </row>
    <row r="68" spans="1:21" s="12" customFormat="1" x14ac:dyDescent="0.25">
      <c r="A68" s="63">
        <v>45811.625</v>
      </c>
      <c r="B68" s="60">
        <v>4.57</v>
      </c>
      <c r="C68" s="60">
        <v>18.36</v>
      </c>
      <c r="D68" s="60">
        <v>28.12</v>
      </c>
      <c r="E68" s="60">
        <v>4.51</v>
      </c>
      <c r="F68" s="60">
        <v>8.76</v>
      </c>
      <c r="G68" s="60">
        <v>41.35</v>
      </c>
      <c r="H68" s="60">
        <v>28.1</v>
      </c>
      <c r="I68" s="60">
        <v>4.07</v>
      </c>
      <c r="J68" s="60">
        <v>0.42</v>
      </c>
      <c r="K68" s="60">
        <v>291.88</v>
      </c>
      <c r="L68" s="60">
        <v>35.28</v>
      </c>
      <c r="M68" s="60">
        <v>34.11</v>
      </c>
      <c r="N68" s="60">
        <v>195.8</v>
      </c>
      <c r="O68" s="60">
        <v>0</v>
      </c>
      <c r="P68" s="60">
        <v>0.35</v>
      </c>
      <c r="Q68" s="60">
        <v>9.19</v>
      </c>
      <c r="R68" s="198"/>
      <c r="S68" s="198"/>
      <c r="T68" s="198"/>
      <c r="U68" s="198"/>
    </row>
    <row r="69" spans="1:21" s="12" customFormat="1" x14ac:dyDescent="0.25">
      <c r="A69" s="63">
        <v>45811.635416666664</v>
      </c>
      <c r="B69" s="60">
        <v>4.43</v>
      </c>
      <c r="C69" s="60">
        <v>18.5</v>
      </c>
      <c r="D69" s="60">
        <v>28.61</v>
      </c>
      <c r="E69" s="60">
        <v>4.46</v>
      </c>
      <c r="F69" s="60">
        <v>7.64</v>
      </c>
      <c r="G69" s="60">
        <v>41.26</v>
      </c>
      <c r="H69" s="60">
        <v>0</v>
      </c>
      <c r="I69" s="60">
        <v>3.7</v>
      </c>
      <c r="J69" s="60">
        <v>0.33</v>
      </c>
      <c r="K69" s="60">
        <v>284.66000000000003</v>
      </c>
      <c r="L69" s="60">
        <v>35.01</v>
      </c>
      <c r="M69" s="60">
        <v>35.049999999999997</v>
      </c>
      <c r="N69" s="60">
        <v>193.8</v>
      </c>
      <c r="O69" s="60">
        <v>0</v>
      </c>
      <c r="P69" s="60">
        <v>0.38</v>
      </c>
      <c r="Q69" s="60">
        <v>9.18</v>
      </c>
      <c r="R69" s="198"/>
      <c r="S69" s="198"/>
      <c r="T69" s="198"/>
      <c r="U69" s="198"/>
    </row>
    <row r="70" spans="1:21" s="12" customFormat="1" x14ac:dyDescent="0.25">
      <c r="A70" s="63">
        <v>45811.645833333336</v>
      </c>
      <c r="B70" s="60">
        <v>4.96</v>
      </c>
      <c r="C70" s="60">
        <v>21.38</v>
      </c>
      <c r="D70" s="60">
        <v>33.32</v>
      </c>
      <c r="E70" s="60">
        <v>4.59</v>
      </c>
      <c r="F70" s="60">
        <v>7.12</v>
      </c>
      <c r="G70" s="60">
        <v>41.26</v>
      </c>
      <c r="H70" s="60">
        <v>0</v>
      </c>
      <c r="I70" s="60">
        <v>4</v>
      </c>
      <c r="J70" s="60">
        <v>0.49</v>
      </c>
      <c r="K70" s="60">
        <v>293.19</v>
      </c>
      <c r="L70" s="60">
        <v>34.869999999999997</v>
      </c>
      <c r="M70" s="60">
        <v>34.630000000000003</v>
      </c>
      <c r="N70" s="60">
        <v>302.10000000000002</v>
      </c>
      <c r="O70" s="60">
        <v>0</v>
      </c>
      <c r="P70" s="60">
        <v>0.38</v>
      </c>
      <c r="Q70" s="60">
        <v>9.2100000000000009</v>
      </c>
      <c r="R70" s="198"/>
      <c r="S70" s="198"/>
      <c r="T70" s="198"/>
      <c r="U70" s="198"/>
    </row>
    <row r="71" spans="1:21" s="12" customFormat="1" x14ac:dyDescent="0.25">
      <c r="A71" s="63">
        <v>45811.65625</v>
      </c>
      <c r="B71" s="60">
        <v>5.12</v>
      </c>
      <c r="C71" s="60">
        <v>20.45</v>
      </c>
      <c r="D71" s="60">
        <v>31.27</v>
      </c>
      <c r="E71" s="60">
        <v>4.71</v>
      </c>
      <c r="F71" s="60">
        <v>13.37</v>
      </c>
      <c r="G71" s="60">
        <v>41.26</v>
      </c>
      <c r="H71" s="60">
        <v>0</v>
      </c>
      <c r="I71" s="60">
        <v>3.78</v>
      </c>
      <c r="J71" s="60">
        <v>0.25</v>
      </c>
      <c r="K71" s="60">
        <v>273.39</v>
      </c>
      <c r="L71" s="60">
        <v>34.869999999999997</v>
      </c>
      <c r="M71" s="60">
        <v>34.11</v>
      </c>
      <c r="N71" s="60">
        <v>204.6</v>
      </c>
      <c r="O71" s="60">
        <v>0</v>
      </c>
      <c r="P71" s="60">
        <v>0.37</v>
      </c>
      <c r="Q71" s="60">
        <v>9.23</v>
      </c>
      <c r="R71" s="198"/>
      <c r="S71" s="198"/>
      <c r="T71" s="198"/>
      <c r="U71" s="198"/>
    </row>
    <row r="72" spans="1:21" s="12" customFormat="1" x14ac:dyDescent="0.25">
      <c r="A72" s="63">
        <v>45811.666666666664</v>
      </c>
      <c r="B72" s="60">
        <v>6.04</v>
      </c>
      <c r="C72" s="60">
        <v>24.5</v>
      </c>
      <c r="D72" s="60">
        <v>37.619999999999997</v>
      </c>
      <c r="E72" s="60">
        <v>4.78</v>
      </c>
      <c r="F72" s="60">
        <v>14.85</v>
      </c>
      <c r="G72" s="60">
        <v>43.64</v>
      </c>
      <c r="H72" s="60">
        <v>141.69999999999999</v>
      </c>
      <c r="I72" s="60">
        <v>4.13</v>
      </c>
      <c r="J72" s="60">
        <v>0.23</v>
      </c>
      <c r="K72" s="60">
        <v>274.73</v>
      </c>
      <c r="L72" s="60">
        <v>34.44</v>
      </c>
      <c r="M72" s="60">
        <v>34.25</v>
      </c>
      <c r="N72" s="60">
        <v>139.9</v>
      </c>
      <c r="O72" s="60">
        <v>0</v>
      </c>
      <c r="P72" s="60">
        <v>0.36</v>
      </c>
      <c r="Q72" s="60">
        <v>9.23</v>
      </c>
      <c r="R72" s="198"/>
      <c r="S72" s="198"/>
      <c r="T72" s="198"/>
      <c r="U72" s="198"/>
    </row>
    <row r="73" spans="1:21" s="12" customFormat="1" x14ac:dyDescent="0.25">
      <c r="A73" s="63">
        <v>45811.677083333336</v>
      </c>
      <c r="B73" s="60">
        <v>7.87</v>
      </c>
      <c r="C73" s="60">
        <v>24.62</v>
      </c>
      <c r="D73" s="60">
        <v>35.04</v>
      </c>
      <c r="E73" s="60">
        <v>5.31</v>
      </c>
      <c r="F73" s="60">
        <v>11.35</v>
      </c>
      <c r="G73" s="60">
        <v>45.09</v>
      </c>
      <c r="H73" s="60">
        <v>227.74</v>
      </c>
      <c r="I73" s="60">
        <v>4.12</v>
      </c>
      <c r="J73" s="60">
        <v>0.24</v>
      </c>
      <c r="K73" s="60">
        <v>282.11</v>
      </c>
      <c r="L73" s="60">
        <v>34.53</v>
      </c>
      <c r="M73" s="60">
        <v>34.21</v>
      </c>
      <c r="N73" s="60">
        <v>194.8</v>
      </c>
      <c r="O73" s="60">
        <v>0</v>
      </c>
      <c r="P73" s="60">
        <v>0.4</v>
      </c>
      <c r="Q73" s="60">
        <v>9.2200000000000006</v>
      </c>
      <c r="R73" s="198"/>
      <c r="S73" s="198"/>
      <c r="T73" s="198"/>
      <c r="U73" s="198"/>
    </row>
    <row r="74" spans="1:21" s="12" customFormat="1" x14ac:dyDescent="0.25">
      <c r="A74" s="63">
        <v>45811.6875</v>
      </c>
      <c r="B74" s="60">
        <v>8.48</v>
      </c>
      <c r="C74" s="60">
        <v>24.96</v>
      </c>
      <c r="D74" s="60">
        <v>34.76</v>
      </c>
      <c r="E74" s="60">
        <v>5.36</v>
      </c>
      <c r="F74" s="60">
        <v>13.95</v>
      </c>
      <c r="G74" s="60">
        <v>45.09</v>
      </c>
      <c r="H74" s="60">
        <v>227.74</v>
      </c>
      <c r="I74" s="60">
        <v>3.79</v>
      </c>
      <c r="J74" s="60">
        <v>0.25</v>
      </c>
      <c r="K74" s="60">
        <v>282.5</v>
      </c>
      <c r="L74" s="60">
        <v>34.630000000000003</v>
      </c>
      <c r="M74" s="60">
        <v>34.26</v>
      </c>
      <c r="N74" s="60">
        <v>203.2</v>
      </c>
      <c r="O74" s="60">
        <v>0</v>
      </c>
      <c r="P74" s="60">
        <v>0.36</v>
      </c>
      <c r="Q74" s="60">
        <v>9.24</v>
      </c>
      <c r="R74" s="198"/>
      <c r="S74" s="198"/>
      <c r="T74" s="198"/>
      <c r="U74" s="198"/>
    </row>
    <row r="75" spans="1:21" s="12" customFormat="1" x14ac:dyDescent="0.25">
      <c r="A75" s="63">
        <v>45811.697916666664</v>
      </c>
      <c r="B75" s="60">
        <v>6.43</v>
      </c>
      <c r="C75" s="60">
        <v>22.01</v>
      </c>
      <c r="D75" s="60">
        <v>32.25</v>
      </c>
      <c r="E75" s="60">
        <v>5.5</v>
      </c>
      <c r="F75" s="60">
        <v>11.8</v>
      </c>
      <c r="G75" s="60">
        <v>45.09</v>
      </c>
      <c r="H75" s="60">
        <v>227.74</v>
      </c>
      <c r="I75" s="60">
        <v>4.07</v>
      </c>
      <c r="J75" s="60">
        <v>0.23</v>
      </c>
      <c r="K75" s="60">
        <v>293.58</v>
      </c>
      <c r="L75" s="60">
        <v>34.6</v>
      </c>
      <c r="M75" s="60">
        <v>34.049999999999997</v>
      </c>
      <c r="N75" s="60">
        <v>115.7</v>
      </c>
      <c r="O75" s="60">
        <v>0</v>
      </c>
      <c r="P75" s="60">
        <v>0.35</v>
      </c>
      <c r="Q75" s="60">
        <v>9.25</v>
      </c>
      <c r="R75" s="198"/>
      <c r="S75" s="198"/>
      <c r="T75" s="198"/>
      <c r="U75" s="198"/>
    </row>
    <row r="76" spans="1:21" s="12" customFormat="1" x14ac:dyDescent="0.25">
      <c r="A76" s="63">
        <v>45811.708333333336</v>
      </c>
      <c r="B76" s="60">
        <v>5.9</v>
      </c>
      <c r="C76" s="60">
        <v>19.86</v>
      </c>
      <c r="D76" s="60">
        <v>28.94</v>
      </c>
      <c r="E76" s="60">
        <v>5.15</v>
      </c>
      <c r="F76" s="60">
        <v>9.52</v>
      </c>
      <c r="G76" s="60">
        <v>46.29</v>
      </c>
      <c r="H76" s="60">
        <v>120.58</v>
      </c>
      <c r="I76" s="60">
        <v>4.0599999999999996</v>
      </c>
      <c r="J76" s="60">
        <v>0.19</v>
      </c>
      <c r="K76" s="60">
        <v>272.39</v>
      </c>
      <c r="L76" s="60">
        <v>34.049999999999997</v>
      </c>
      <c r="M76" s="60">
        <v>32.39</v>
      </c>
      <c r="N76" s="60">
        <v>97.5</v>
      </c>
      <c r="O76" s="60">
        <v>0</v>
      </c>
      <c r="P76" s="60">
        <v>0.32</v>
      </c>
      <c r="Q76" s="60">
        <v>9.25</v>
      </c>
      <c r="R76" s="198"/>
      <c r="S76" s="198"/>
      <c r="T76" s="198"/>
      <c r="U76" s="198"/>
    </row>
    <row r="77" spans="1:21" s="12" customFormat="1" x14ac:dyDescent="0.25">
      <c r="A77" s="63">
        <v>45811.71875</v>
      </c>
      <c r="B77" s="60">
        <v>7.39</v>
      </c>
      <c r="C77" s="60">
        <v>22.71</v>
      </c>
      <c r="D77" s="60">
        <v>32.130000000000003</v>
      </c>
      <c r="E77" s="60">
        <v>5.28</v>
      </c>
      <c r="F77" s="60">
        <v>11.57</v>
      </c>
      <c r="G77" s="60">
        <v>47.02</v>
      </c>
      <c r="H77" s="60">
        <v>55.52</v>
      </c>
      <c r="I77" s="60">
        <v>3.99</v>
      </c>
      <c r="J77" s="60">
        <v>7.0000000000000007E-2</v>
      </c>
      <c r="K77" s="60">
        <v>288.31</v>
      </c>
      <c r="L77" s="60">
        <v>34.06</v>
      </c>
      <c r="M77" s="60">
        <v>32.71</v>
      </c>
      <c r="N77" s="60">
        <v>92.1</v>
      </c>
      <c r="O77" s="60">
        <v>0</v>
      </c>
      <c r="P77" s="60">
        <v>0.36</v>
      </c>
      <c r="Q77" s="60">
        <v>9.26</v>
      </c>
      <c r="R77" s="198"/>
      <c r="S77" s="198"/>
      <c r="T77" s="198"/>
      <c r="U77" s="198"/>
    </row>
    <row r="78" spans="1:21" s="12" customFormat="1" x14ac:dyDescent="0.25">
      <c r="A78" s="63">
        <v>45811.729166666664</v>
      </c>
      <c r="B78" s="60">
        <v>7.4</v>
      </c>
      <c r="C78" s="60">
        <v>23.06</v>
      </c>
      <c r="D78" s="60">
        <v>32.79</v>
      </c>
      <c r="E78" s="60">
        <v>5.36</v>
      </c>
      <c r="F78" s="60">
        <v>7.8</v>
      </c>
      <c r="G78" s="60">
        <v>47.02</v>
      </c>
      <c r="H78" s="60">
        <v>55.52</v>
      </c>
      <c r="I78" s="60">
        <v>3.99</v>
      </c>
      <c r="J78" s="60">
        <v>0.12</v>
      </c>
      <c r="K78" s="60">
        <v>309.52</v>
      </c>
      <c r="L78" s="60">
        <v>33.94</v>
      </c>
      <c r="M78" s="60">
        <v>32.880000000000003</v>
      </c>
      <c r="N78" s="60">
        <v>77.7</v>
      </c>
      <c r="O78" s="60">
        <v>0</v>
      </c>
      <c r="P78" s="60">
        <v>0.37</v>
      </c>
      <c r="Q78" s="60">
        <v>9.24</v>
      </c>
      <c r="R78" s="198"/>
      <c r="S78" s="198"/>
      <c r="T78" s="198"/>
      <c r="U78" s="198"/>
    </row>
    <row r="79" spans="1:21" s="12" customFormat="1" x14ac:dyDescent="0.25">
      <c r="A79" s="63">
        <v>45811.739583333336</v>
      </c>
      <c r="B79" s="60">
        <v>6.45</v>
      </c>
      <c r="C79" s="60">
        <v>21.87</v>
      </c>
      <c r="D79" s="60">
        <v>31.97</v>
      </c>
      <c r="E79" s="60">
        <v>5.3</v>
      </c>
      <c r="F79" s="60">
        <v>6.07</v>
      </c>
      <c r="G79" s="60">
        <v>47.02</v>
      </c>
      <c r="H79" s="60">
        <v>55.52</v>
      </c>
      <c r="I79" s="60">
        <v>3.99</v>
      </c>
      <c r="J79" s="60">
        <v>0.15</v>
      </c>
      <c r="K79" s="60">
        <v>323.85000000000002</v>
      </c>
      <c r="L79" s="60">
        <v>33.6</v>
      </c>
      <c r="M79" s="60">
        <v>33.159999999999997</v>
      </c>
      <c r="N79" s="60">
        <v>66</v>
      </c>
      <c r="O79" s="60">
        <v>0</v>
      </c>
      <c r="P79" s="60">
        <v>0.36</v>
      </c>
      <c r="Q79" s="60">
        <v>9.24</v>
      </c>
      <c r="R79" s="198"/>
      <c r="S79" s="198"/>
      <c r="T79" s="198"/>
      <c r="U79" s="198"/>
    </row>
    <row r="80" spans="1:21" s="12" customFormat="1" x14ac:dyDescent="0.25">
      <c r="A80" s="63">
        <v>45811.75</v>
      </c>
      <c r="B80" s="60">
        <v>5.67</v>
      </c>
      <c r="C80" s="60">
        <v>20.91</v>
      </c>
      <c r="D80" s="60">
        <v>31.32</v>
      </c>
      <c r="E80" s="60">
        <v>5.17</v>
      </c>
      <c r="F80" s="60">
        <v>8.83</v>
      </c>
      <c r="G80" s="60">
        <v>47.2</v>
      </c>
      <c r="H80" s="60">
        <v>20.97</v>
      </c>
      <c r="I80" s="60">
        <v>3.91</v>
      </c>
      <c r="J80" s="60">
        <v>0.11</v>
      </c>
      <c r="K80" s="60">
        <v>326.44</v>
      </c>
      <c r="L80" s="60">
        <v>33.130000000000003</v>
      </c>
      <c r="M80" s="60">
        <v>34.14</v>
      </c>
      <c r="N80" s="60">
        <v>56.3</v>
      </c>
      <c r="O80" s="60">
        <v>0</v>
      </c>
      <c r="P80" s="60">
        <v>0.37</v>
      </c>
      <c r="Q80" s="60">
        <v>9.23</v>
      </c>
      <c r="R80" s="198"/>
      <c r="S80" s="198"/>
      <c r="T80" s="198"/>
      <c r="U80" s="198"/>
    </row>
    <row r="81" spans="1:26" s="12" customFormat="1" x14ac:dyDescent="0.25">
      <c r="A81" s="63">
        <v>45811.760416666664</v>
      </c>
      <c r="B81" s="60">
        <v>8.69</v>
      </c>
      <c r="C81" s="60">
        <v>30.14</v>
      </c>
      <c r="D81" s="60">
        <v>44.35</v>
      </c>
      <c r="E81" s="60">
        <v>4.95</v>
      </c>
      <c r="F81" s="60">
        <v>9.6</v>
      </c>
      <c r="G81" s="60">
        <v>47.3</v>
      </c>
      <c r="H81" s="60">
        <v>0</v>
      </c>
      <c r="I81" s="60">
        <v>4.03</v>
      </c>
      <c r="J81" s="60">
        <v>0.03</v>
      </c>
      <c r="K81" s="60">
        <v>266.8</v>
      </c>
      <c r="L81" s="60">
        <v>32.799999999999997</v>
      </c>
      <c r="M81" s="60">
        <v>35.32</v>
      </c>
      <c r="N81" s="60">
        <v>43.3</v>
      </c>
      <c r="O81" s="60">
        <v>0</v>
      </c>
      <c r="P81" s="60">
        <v>0.52</v>
      </c>
      <c r="Q81" s="60">
        <v>9.2200000000000006</v>
      </c>
      <c r="R81" s="198"/>
      <c r="S81" s="198"/>
      <c r="T81" s="198"/>
      <c r="U81" s="198"/>
    </row>
    <row r="82" spans="1:26" s="12" customFormat="1" x14ac:dyDescent="0.25">
      <c r="A82" s="63">
        <v>45811.770833333336</v>
      </c>
      <c r="B82" s="60">
        <v>6.14</v>
      </c>
      <c r="C82" s="60">
        <v>25.66</v>
      </c>
      <c r="D82" s="60">
        <v>39.69</v>
      </c>
      <c r="E82" s="60">
        <v>5.28</v>
      </c>
      <c r="F82" s="60">
        <v>11.49</v>
      </c>
      <c r="G82" s="60">
        <v>47.3</v>
      </c>
      <c r="H82" s="60">
        <v>0</v>
      </c>
      <c r="I82" s="60">
        <v>3.88</v>
      </c>
      <c r="J82" s="60">
        <v>0.03</v>
      </c>
      <c r="K82" s="60">
        <v>5.07</v>
      </c>
      <c r="L82" s="60">
        <v>32.270000000000003</v>
      </c>
      <c r="M82" s="60">
        <v>37.950000000000003</v>
      </c>
      <c r="N82" s="60">
        <v>33.700000000000003</v>
      </c>
      <c r="O82" s="60">
        <v>0</v>
      </c>
      <c r="P82" s="60">
        <v>0.43</v>
      </c>
      <c r="Q82" s="60">
        <v>9.24</v>
      </c>
      <c r="R82" s="198"/>
      <c r="S82" s="198"/>
      <c r="T82" s="198"/>
      <c r="U82" s="198"/>
    </row>
    <row r="83" spans="1:26" s="12" customFormat="1" x14ac:dyDescent="0.25">
      <c r="A83" s="63">
        <v>45811.78125</v>
      </c>
      <c r="B83" s="60">
        <v>5.92</v>
      </c>
      <c r="C83" s="60">
        <v>23.86</v>
      </c>
      <c r="D83" s="60">
        <v>36.57</v>
      </c>
      <c r="E83" s="60">
        <v>5.0999999999999996</v>
      </c>
      <c r="F83" s="60">
        <v>9.9499999999999993</v>
      </c>
      <c r="G83" s="60">
        <v>47.3</v>
      </c>
      <c r="H83" s="60">
        <v>0</v>
      </c>
      <c r="I83" s="60">
        <v>3.98</v>
      </c>
      <c r="J83" s="60">
        <v>0.08</v>
      </c>
      <c r="K83" s="60">
        <v>12.07</v>
      </c>
      <c r="L83" s="60">
        <v>31.95</v>
      </c>
      <c r="M83" s="60">
        <v>39.1</v>
      </c>
      <c r="N83" s="60">
        <v>28.5</v>
      </c>
      <c r="O83" s="60">
        <v>0</v>
      </c>
      <c r="P83" s="60">
        <v>0.45</v>
      </c>
      <c r="Q83" s="60">
        <v>9.25</v>
      </c>
      <c r="R83" s="198"/>
      <c r="S83" s="198"/>
      <c r="T83" s="198"/>
      <c r="U83" s="198"/>
    </row>
    <row r="84" spans="1:26" s="12" customFormat="1" x14ac:dyDescent="0.25">
      <c r="A84" s="63">
        <v>45811.791666666664</v>
      </c>
      <c r="B84" s="60">
        <v>5.96</v>
      </c>
      <c r="C84" s="60">
        <v>24.76</v>
      </c>
      <c r="D84" s="60">
        <v>38.26</v>
      </c>
      <c r="E84" s="60">
        <v>5.31</v>
      </c>
      <c r="F84" s="60">
        <v>8.99</v>
      </c>
      <c r="G84" s="60">
        <v>49.79</v>
      </c>
      <c r="H84" s="60">
        <v>205.44</v>
      </c>
      <c r="I84" s="60">
        <v>4.0599999999999996</v>
      </c>
      <c r="J84" s="60">
        <v>0.04</v>
      </c>
      <c r="K84" s="60">
        <v>2.54</v>
      </c>
      <c r="L84" s="60">
        <v>31.62</v>
      </c>
      <c r="M84" s="60">
        <v>40.049999999999997</v>
      </c>
      <c r="N84" s="60">
        <v>26.9</v>
      </c>
      <c r="O84" s="60">
        <v>0</v>
      </c>
      <c r="P84" s="60">
        <v>0.44</v>
      </c>
      <c r="Q84" s="60">
        <v>9.25</v>
      </c>
      <c r="R84" s="198"/>
      <c r="S84" s="198"/>
      <c r="T84" s="198"/>
      <c r="U84" s="198"/>
    </row>
    <row r="85" spans="1:26" s="12" customFormat="1" x14ac:dyDescent="0.25">
      <c r="A85" s="63">
        <v>45811.802083333336</v>
      </c>
      <c r="B85" s="60">
        <v>6.11</v>
      </c>
      <c r="C85" s="60">
        <v>24.04</v>
      </c>
      <c r="D85" s="60">
        <v>36.630000000000003</v>
      </c>
      <c r="E85" s="60">
        <v>5.39</v>
      </c>
      <c r="F85" s="60">
        <v>10.33</v>
      </c>
      <c r="G85" s="60">
        <v>51.29</v>
      </c>
      <c r="H85" s="60">
        <v>330.18</v>
      </c>
      <c r="I85" s="60">
        <v>4.08</v>
      </c>
      <c r="J85" s="60">
        <v>0.05</v>
      </c>
      <c r="K85" s="60">
        <v>201.2</v>
      </c>
      <c r="L85" s="60">
        <v>31.25</v>
      </c>
      <c r="M85" s="60">
        <v>41.39</v>
      </c>
      <c r="N85" s="60">
        <v>26.5</v>
      </c>
      <c r="O85" s="60">
        <v>0</v>
      </c>
      <c r="P85" s="60">
        <v>0.4</v>
      </c>
      <c r="Q85" s="60">
        <v>9.26</v>
      </c>
      <c r="R85" s="198"/>
      <c r="S85" s="198"/>
      <c r="T85" s="198"/>
      <c r="U85" s="198"/>
    </row>
    <row r="86" spans="1:26" s="12" customFormat="1" x14ac:dyDescent="0.25">
      <c r="A86" s="63">
        <v>45811.8125</v>
      </c>
      <c r="B86" s="60">
        <v>5.74</v>
      </c>
      <c r="C86" s="60">
        <v>21.71</v>
      </c>
      <c r="D86" s="60">
        <v>32.74</v>
      </c>
      <c r="E86" s="60">
        <v>5.19</v>
      </c>
      <c r="F86" s="60">
        <v>13.01</v>
      </c>
      <c r="G86" s="60">
        <v>51.29</v>
      </c>
      <c r="H86" s="60">
        <v>330.18</v>
      </c>
      <c r="I86" s="60">
        <v>3.84</v>
      </c>
      <c r="J86" s="60">
        <v>0.01</v>
      </c>
      <c r="K86" s="60">
        <v>348.74</v>
      </c>
      <c r="L86" s="60">
        <v>31.06</v>
      </c>
      <c r="M86" s="60">
        <v>41.86</v>
      </c>
      <c r="N86" s="60">
        <v>26.5</v>
      </c>
      <c r="O86" s="60">
        <v>0</v>
      </c>
      <c r="P86" s="60">
        <v>0.41</v>
      </c>
      <c r="Q86" s="60">
        <v>9.26</v>
      </c>
      <c r="R86" s="198"/>
      <c r="S86" s="198"/>
      <c r="T86" s="198"/>
      <c r="U86" s="198"/>
    </row>
    <row r="87" spans="1:26" s="12" customFormat="1" x14ac:dyDescent="0.25">
      <c r="A87" s="63">
        <v>45811.822916666664</v>
      </c>
      <c r="B87" s="60">
        <v>7.99</v>
      </c>
      <c r="C87" s="60">
        <v>26.25</v>
      </c>
      <c r="D87" s="60">
        <v>37.99</v>
      </c>
      <c r="E87" s="60">
        <v>5.09</v>
      </c>
      <c r="F87" s="60">
        <v>8.15</v>
      </c>
      <c r="G87" s="60">
        <v>51.29</v>
      </c>
      <c r="H87" s="60">
        <v>330.18</v>
      </c>
      <c r="I87" s="60">
        <v>3.95</v>
      </c>
      <c r="J87" s="60">
        <v>0.08</v>
      </c>
      <c r="K87" s="60">
        <v>240.75</v>
      </c>
      <c r="L87" s="60">
        <v>30.73</v>
      </c>
      <c r="M87" s="60">
        <v>42.64</v>
      </c>
      <c r="N87" s="60">
        <v>26.5</v>
      </c>
      <c r="O87" s="60">
        <v>0</v>
      </c>
      <c r="P87" s="60">
        <v>0.45</v>
      </c>
      <c r="Q87" s="60">
        <v>9.24</v>
      </c>
      <c r="R87" s="198"/>
      <c r="S87" s="198"/>
      <c r="T87" s="198"/>
      <c r="U87" s="198"/>
    </row>
    <row r="88" spans="1:26" s="12" customFormat="1" x14ac:dyDescent="0.25">
      <c r="A88" s="63">
        <v>45811.833333333336</v>
      </c>
      <c r="B88" s="60">
        <v>6.12</v>
      </c>
      <c r="C88" s="60">
        <v>29.17</v>
      </c>
      <c r="D88" s="60">
        <v>46.43</v>
      </c>
      <c r="E88" s="60">
        <v>5.55</v>
      </c>
      <c r="F88" s="60">
        <v>14.35</v>
      </c>
      <c r="G88" s="60">
        <v>51.6</v>
      </c>
      <c r="H88" s="60">
        <v>180.05</v>
      </c>
      <c r="I88" s="60">
        <v>3.96</v>
      </c>
      <c r="J88" s="60">
        <v>0.14000000000000001</v>
      </c>
      <c r="K88" s="60">
        <v>209.57</v>
      </c>
      <c r="L88" s="60">
        <v>30.44</v>
      </c>
      <c r="M88" s="60">
        <v>43.78</v>
      </c>
      <c r="N88" s="60">
        <v>26.5</v>
      </c>
      <c r="O88" s="60">
        <v>0</v>
      </c>
      <c r="P88" s="60">
        <v>0.51</v>
      </c>
      <c r="Q88" s="60">
        <v>9.2799999999999994</v>
      </c>
      <c r="R88" s="198"/>
      <c r="S88" s="198"/>
      <c r="T88" s="198"/>
      <c r="U88" s="198"/>
    </row>
    <row r="89" spans="1:26" s="12" customFormat="1" x14ac:dyDescent="0.25">
      <c r="A89" s="63">
        <v>45811.84375</v>
      </c>
      <c r="B89" s="60">
        <v>6.28</v>
      </c>
      <c r="C89" s="60">
        <v>29.39</v>
      </c>
      <c r="D89" s="60">
        <v>46.61</v>
      </c>
      <c r="E89" s="60">
        <v>5.58</v>
      </c>
      <c r="F89" s="60">
        <v>11.52</v>
      </c>
      <c r="G89" s="60">
        <v>51.78</v>
      </c>
      <c r="H89" s="60">
        <v>88.9</v>
      </c>
      <c r="I89" s="60">
        <v>3.87</v>
      </c>
      <c r="J89" s="60">
        <v>7.0000000000000007E-2</v>
      </c>
      <c r="K89" s="60">
        <v>198.11</v>
      </c>
      <c r="L89" s="60">
        <v>30.01</v>
      </c>
      <c r="M89" s="60">
        <v>45.23</v>
      </c>
      <c r="N89" s="60">
        <v>26.6</v>
      </c>
      <c r="O89" s="60">
        <v>0</v>
      </c>
      <c r="P89" s="60">
        <v>0.48</v>
      </c>
      <c r="Q89" s="60">
        <v>9.3000000000000007</v>
      </c>
      <c r="R89" s="198"/>
      <c r="S89" s="198"/>
      <c r="T89" s="198"/>
      <c r="U89" s="198"/>
    </row>
    <row r="90" spans="1:26" s="12" customFormat="1" x14ac:dyDescent="0.25">
      <c r="A90" s="63">
        <v>45811.854166666664</v>
      </c>
      <c r="B90" s="60">
        <v>8.0399999999999991</v>
      </c>
      <c r="C90" s="60">
        <v>32.479999999999997</v>
      </c>
      <c r="D90" s="60">
        <v>49.83</v>
      </c>
      <c r="E90" s="60">
        <v>5.38</v>
      </c>
      <c r="F90" s="60">
        <v>9.68</v>
      </c>
      <c r="G90" s="60">
        <v>51.78</v>
      </c>
      <c r="H90" s="60">
        <v>88.9</v>
      </c>
      <c r="I90" s="60">
        <v>4.0199999999999996</v>
      </c>
      <c r="J90" s="60">
        <v>0.15</v>
      </c>
      <c r="K90" s="60">
        <v>189.61</v>
      </c>
      <c r="L90" s="60">
        <v>29.81</v>
      </c>
      <c r="M90" s="60">
        <v>46.53</v>
      </c>
      <c r="N90" s="60">
        <v>26.5</v>
      </c>
      <c r="O90" s="60">
        <v>0</v>
      </c>
      <c r="P90" s="60">
        <v>0.47</v>
      </c>
      <c r="Q90" s="60">
        <v>9.32</v>
      </c>
      <c r="R90" s="198"/>
      <c r="S90" s="198"/>
      <c r="T90" s="198"/>
      <c r="U90" s="198"/>
    </row>
    <row r="91" spans="1:26" s="12" customFormat="1" x14ac:dyDescent="0.25">
      <c r="A91" s="63">
        <v>45811.864583333336</v>
      </c>
      <c r="B91" s="60">
        <v>11.1</v>
      </c>
      <c r="C91" s="60">
        <v>37.090000000000003</v>
      </c>
      <c r="D91" s="60">
        <v>53.95</v>
      </c>
      <c r="E91" s="60">
        <v>5.78</v>
      </c>
      <c r="F91" s="60">
        <v>8.35</v>
      </c>
      <c r="G91" s="60">
        <v>51.78</v>
      </c>
      <c r="H91" s="60">
        <v>88.9</v>
      </c>
      <c r="I91" s="60">
        <v>3.98</v>
      </c>
      <c r="J91" s="60">
        <v>0.08</v>
      </c>
      <c r="K91" s="60">
        <v>170.94</v>
      </c>
      <c r="L91" s="60">
        <v>29.5</v>
      </c>
      <c r="M91" s="60">
        <v>47.44</v>
      </c>
      <c r="N91" s="60">
        <v>26.5</v>
      </c>
      <c r="O91" s="60">
        <v>0</v>
      </c>
      <c r="P91" s="60">
        <v>0.44</v>
      </c>
      <c r="Q91" s="60">
        <v>9.35</v>
      </c>
      <c r="R91" s="198"/>
      <c r="S91" s="198"/>
      <c r="T91" s="198"/>
      <c r="U91" s="198"/>
    </row>
    <row r="92" spans="1:26" s="12" customFormat="1" x14ac:dyDescent="0.25">
      <c r="A92" s="63">
        <v>45811.875</v>
      </c>
      <c r="B92" s="60">
        <v>8.5500000000000007</v>
      </c>
      <c r="C92" s="60">
        <v>31.76</v>
      </c>
      <c r="D92" s="60">
        <v>47.66</v>
      </c>
      <c r="E92" s="60">
        <v>5.7</v>
      </c>
      <c r="F92" s="60">
        <v>8.42</v>
      </c>
      <c r="G92" s="60">
        <v>52.61</v>
      </c>
      <c r="H92" s="60">
        <v>244.54</v>
      </c>
      <c r="I92" s="60">
        <v>4.0199999999999996</v>
      </c>
      <c r="J92" s="60">
        <v>0.09</v>
      </c>
      <c r="K92" s="60">
        <v>200.28</v>
      </c>
      <c r="L92" s="60">
        <v>29.19</v>
      </c>
      <c r="M92" s="60">
        <v>48.37</v>
      </c>
      <c r="N92" s="60">
        <v>26.5</v>
      </c>
      <c r="O92" s="60">
        <v>0</v>
      </c>
      <c r="P92" s="60">
        <v>0.46</v>
      </c>
      <c r="Q92" s="60">
        <v>9.35</v>
      </c>
      <c r="R92" s="198"/>
      <c r="S92" s="198"/>
      <c r="T92" s="198"/>
      <c r="U92" s="198"/>
    </row>
    <row r="93" spans="1:26" s="12" customFormat="1" x14ac:dyDescent="0.25">
      <c r="A93" s="63">
        <v>45811.885416666664</v>
      </c>
      <c r="B93" s="60">
        <v>9.93</v>
      </c>
      <c r="C93" s="60">
        <v>30.61</v>
      </c>
      <c r="D93" s="60">
        <v>43.36</v>
      </c>
      <c r="E93" s="60">
        <v>5.52</v>
      </c>
      <c r="F93" s="60">
        <v>8.4499999999999993</v>
      </c>
      <c r="G93" s="60">
        <v>53.12</v>
      </c>
      <c r="H93" s="60">
        <v>339.03</v>
      </c>
      <c r="I93" s="60">
        <v>3.94</v>
      </c>
      <c r="J93" s="60">
        <v>0</v>
      </c>
      <c r="K93" s="60">
        <v>204.54</v>
      </c>
      <c r="L93" s="60">
        <v>28.94</v>
      </c>
      <c r="M93" s="60">
        <v>49.37</v>
      </c>
      <c r="N93" s="60">
        <v>26.6</v>
      </c>
      <c r="O93" s="60">
        <v>0</v>
      </c>
      <c r="P93" s="60">
        <v>0.52</v>
      </c>
      <c r="Q93" s="60">
        <v>9.3800000000000008</v>
      </c>
      <c r="R93" s="198"/>
      <c r="S93" s="198"/>
      <c r="T93" s="198"/>
      <c r="U93" s="198"/>
    </row>
    <row r="94" spans="1:26" s="12" customFormat="1" x14ac:dyDescent="0.25">
      <c r="A94" s="63">
        <v>45811.895833333336</v>
      </c>
      <c r="B94" s="60">
        <v>9.7899999999999991</v>
      </c>
      <c r="C94" s="60">
        <v>30.54</v>
      </c>
      <c r="D94" s="60">
        <v>43.43</v>
      </c>
      <c r="E94" s="60">
        <v>5.35</v>
      </c>
      <c r="F94" s="60">
        <v>8.52</v>
      </c>
      <c r="G94" s="60">
        <v>53.12</v>
      </c>
      <c r="H94" s="60">
        <v>339.03</v>
      </c>
      <c r="I94" s="60">
        <v>3.94</v>
      </c>
      <c r="J94" s="60">
        <v>0.08</v>
      </c>
      <c r="K94" s="60">
        <v>213.65</v>
      </c>
      <c r="L94" s="60">
        <v>28.79</v>
      </c>
      <c r="M94" s="60">
        <v>50.22</v>
      </c>
      <c r="N94" s="60">
        <v>26.3</v>
      </c>
      <c r="O94" s="60">
        <v>0</v>
      </c>
      <c r="P94" s="60">
        <v>0.45</v>
      </c>
      <c r="Q94" s="60">
        <v>9.4</v>
      </c>
      <c r="R94" s="198"/>
      <c r="S94" s="198"/>
      <c r="T94" s="198"/>
      <c r="U94" s="198"/>
    </row>
    <row r="95" spans="1:26" s="12" customFormat="1" x14ac:dyDescent="0.25">
      <c r="A95" s="63">
        <v>45811.90625</v>
      </c>
      <c r="B95" s="60">
        <v>9.02</v>
      </c>
      <c r="C95" s="60">
        <v>26.22</v>
      </c>
      <c r="D95" s="60">
        <v>36.33</v>
      </c>
      <c r="E95" s="60">
        <v>5.24</v>
      </c>
      <c r="F95" s="60">
        <v>7.8</v>
      </c>
      <c r="G95" s="60">
        <v>53.12</v>
      </c>
      <c r="H95" s="60">
        <v>339.03</v>
      </c>
      <c r="I95" s="60">
        <v>4.01</v>
      </c>
      <c r="J95" s="60">
        <v>0.04</v>
      </c>
      <c r="K95" s="60">
        <v>285.56</v>
      </c>
      <c r="L95" s="60">
        <v>28.69</v>
      </c>
      <c r="M95" s="60">
        <v>51.12</v>
      </c>
      <c r="N95" s="60">
        <v>26.5</v>
      </c>
      <c r="O95" s="60">
        <v>0</v>
      </c>
      <c r="P95" s="60">
        <v>0.45</v>
      </c>
      <c r="Q95" s="60">
        <v>9.41</v>
      </c>
      <c r="R95" s="198"/>
      <c r="S95" s="198"/>
      <c r="T95" s="198"/>
      <c r="U95" s="198"/>
    </row>
    <row r="96" spans="1:26" s="12" customFormat="1" x14ac:dyDescent="0.25">
      <c r="A96" s="63">
        <v>45811.916666666664</v>
      </c>
      <c r="B96" s="60">
        <v>9.93</v>
      </c>
      <c r="C96" s="60">
        <v>27.43</v>
      </c>
      <c r="D96" s="60">
        <v>37.25</v>
      </c>
      <c r="E96" s="60">
        <v>5.61</v>
      </c>
      <c r="F96" s="60">
        <v>6.65</v>
      </c>
      <c r="G96" s="60">
        <v>54.63</v>
      </c>
      <c r="H96" s="60">
        <v>128.08000000000001</v>
      </c>
      <c r="I96" s="60">
        <v>4.04</v>
      </c>
      <c r="J96" s="60">
        <v>0.04</v>
      </c>
      <c r="K96" s="60">
        <v>261.33</v>
      </c>
      <c r="L96" s="60">
        <v>28.4</v>
      </c>
      <c r="M96" s="60">
        <v>52.34</v>
      </c>
      <c r="N96" s="60">
        <v>26.4</v>
      </c>
      <c r="O96" s="60">
        <v>0</v>
      </c>
      <c r="P96" s="60">
        <v>0.43</v>
      </c>
      <c r="Q96" s="60">
        <v>9.4</v>
      </c>
      <c r="R96" s="198"/>
      <c r="S96" s="198"/>
      <c r="T96" s="198"/>
      <c r="U96" s="198"/>
      <c r="Z96" s="109"/>
    </row>
    <row r="97" spans="1:33" s="12" customFormat="1" x14ac:dyDescent="0.25">
      <c r="A97" s="63">
        <v>45811.927083333336</v>
      </c>
      <c r="B97" s="60">
        <v>9.44</v>
      </c>
      <c r="C97" s="60">
        <v>24.38</v>
      </c>
      <c r="D97" s="60">
        <v>32.17</v>
      </c>
      <c r="E97" s="60">
        <v>5.21</v>
      </c>
      <c r="F97" s="60">
        <v>6.65</v>
      </c>
      <c r="G97" s="60">
        <v>55.55</v>
      </c>
      <c r="H97" s="60">
        <v>0</v>
      </c>
      <c r="I97" s="60">
        <v>3.98</v>
      </c>
      <c r="J97" s="60">
        <v>0.05</v>
      </c>
      <c r="K97" s="60">
        <v>238.6</v>
      </c>
      <c r="L97" s="60">
        <v>28.2</v>
      </c>
      <c r="M97" s="60">
        <v>53.37</v>
      </c>
      <c r="N97" s="60">
        <v>26.5</v>
      </c>
      <c r="O97" s="60">
        <v>0</v>
      </c>
      <c r="P97" s="60">
        <v>0.44</v>
      </c>
      <c r="Q97" s="60">
        <v>9.39</v>
      </c>
      <c r="R97" s="198"/>
      <c r="S97" s="198"/>
      <c r="T97" s="198"/>
      <c r="U97" s="198"/>
    </row>
    <row r="98" spans="1:33" s="12" customFormat="1" x14ac:dyDescent="0.25">
      <c r="A98" s="63">
        <v>45811.9375</v>
      </c>
      <c r="B98" s="60">
        <v>9.85</v>
      </c>
      <c r="C98" s="60">
        <v>25.96</v>
      </c>
      <c r="D98" s="60">
        <v>34.56</v>
      </c>
      <c r="E98" s="60">
        <v>5.12</v>
      </c>
      <c r="F98" s="60">
        <v>5.76</v>
      </c>
      <c r="G98" s="60">
        <v>55.55</v>
      </c>
      <c r="H98" s="60">
        <v>0</v>
      </c>
      <c r="I98" s="60">
        <v>3.87</v>
      </c>
      <c r="J98" s="60">
        <v>7.0000000000000007E-2</v>
      </c>
      <c r="K98" s="60">
        <v>225.48</v>
      </c>
      <c r="L98" s="60">
        <v>28.03</v>
      </c>
      <c r="M98" s="60">
        <v>54.61</v>
      </c>
      <c r="N98" s="60">
        <v>26.4</v>
      </c>
      <c r="O98" s="60">
        <v>0</v>
      </c>
      <c r="P98" s="60">
        <v>0.43</v>
      </c>
      <c r="Q98" s="60">
        <v>9.3800000000000008</v>
      </c>
      <c r="R98" s="198"/>
      <c r="S98" s="198"/>
      <c r="T98" s="198"/>
      <c r="U98" s="198"/>
    </row>
    <row r="99" spans="1:33" s="12" customFormat="1" x14ac:dyDescent="0.25">
      <c r="A99" s="63">
        <v>45811.947916666664</v>
      </c>
      <c r="B99" s="60">
        <v>8.65</v>
      </c>
      <c r="C99" s="60">
        <v>22.97</v>
      </c>
      <c r="D99" s="60">
        <v>30.7</v>
      </c>
      <c r="E99" s="60">
        <v>5.13</v>
      </c>
      <c r="F99" s="60">
        <v>7.91</v>
      </c>
      <c r="G99" s="60">
        <v>55.55</v>
      </c>
      <c r="H99" s="60">
        <v>0</v>
      </c>
      <c r="I99" s="60">
        <v>4.01</v>
      </c>
      <c r="J99" s="60">
        <v>0.05</v>
      </c>
      <c r="K99" s="60">
        <v>239.61</v>
      </c>
      <c r="L99" s="60">
        <v>27.93</v>
      </c>
      <c r="M99" s="60">
        <v>56.45</v>
      </c>
      <c r="N99" s="60">
        <v>26.4</v>
      </c>
      <c r="O99" s="60">
        <v>0</v>
      </c>
      <c r="P99" s="60">
        <v>0.39</v>
      </c>
      <c r="Q99" s="60">
        <v>9.3800000000000008</v>
      </c>
      <c r="R99" s="198"/>
      <c r="S99" s="198"/>
      <c r="T99" s="198"/>
      <c r="U99" s="198"/>
    </row>
    <row r="100" spans="1:33" s="12" customFormat="1" x14ac:dyDescent="0.25">
      <c r="A100" s="63">
        <v>45811.958333333336</v>
      </c>
      <c r="B100" s="60">
        <v>9.2799999999999994</v>
      </c>
      <c r="C100" s="60">
        <v>23.94</v>
      </c>
      <c r="D100" s="60">
        <v>31.57</v>
      </c>
      <c r="E100" s="60">
        <v>5.37</v>
      </c>
      <c r="F100" s="60">
        <v>6.67</v>
      </c>
      <c r="G100" s="60">
        <v>52.94</v>
      </c>
      <c r="H100" s="60">
        <v>71.53</v>
      </c>
      <c r="I100" s="60">
        <v>3.94</v>
      </c>
      <c r="J100" s="60">
        <v>0.12</v>
      </c>
      <c r="K100" s="60">
        <v>318.02999999999997</v>
      </c>
      <c r="L100" s="60">
        <v>27.64</v>
      </c>
      <c r="M100" s="60">
        <v>58.06</v>
      </c>
      <c r="N100" s="60">
        <v>26.5</v>
      </c>
      <c r="O100" s="60">
        <v>0</v>
      </c>
      <c r="P100" s="60">
        <v>0.42</v>
      </c>
      <c r="Q100" s="60">
        <v>9.3800000000000008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3">
        <v>45811.96875</v>
      </c>
      <c r="B101" s="60">
        <v>15.19</v>
      </c>
      <c r="C101" s="60">
        <v>27.99</v>
      </c>
      <c r="D101" s="60">
        <v>30.26</v>
      </c>
      <c r="E101" s="60">
        <v>5.5</v>
      </c>
      <c r="F101" s="60">
        <v>6.32</v>
      </c>
      <c r="G101" s="60">
        <v>51.35</v>
      </c>
      <c r="H101" s="60">
        <v>114.95</v>
      </c>
      <c r="I101" s="60">
        <v>3.98</v>
      </c>
      <c r="J101" s="60">
        <v>0.2</v>
      </c>
      <c r="K101" s="60">
        <v>306.08</v>
      </c>
      <c r="L101" s="60">
        <v>27.53</v>
      </c>
      <c r="M101" s="60">
        <v>59.3</v>
      </c>
      <c r="N101" s="60">
        <v>26.3</v>
      </c>
      <c r="O101" s="60">
        <v>0</v>
      </c>
      <c r="P101" s="60">
        <v>0.43</v>
      </c>
      <c r="Q101" s="60">
        <v>9.39</v>
      </c>
      <c r="R101" s="198"/>
      <c r="S101" s="198"/>
      <c r="T101" s="198"/>
      <c r="U101" s="198"/>
    </row>
    <row r="102" spans="1:33" s="12" customFormat="1" x14ac:dyDescent="0.25">
      <c r="A102" s="63">
        <v>45811.979166666664</v>
      </c>
      <c r="B102" s="60">
        <v>12.69</v>
      </c>
      <c r="C102" s="60">
        <v>25.78</v>
      </c>
      <c r="D102" s="60">
        <v>29.87</v>
      </c>
      <c r="E102" s="60">
        <v>5.34</v>
      </c>
      <c r="F102" s="60">
        <v>5.03</v>
      </c>
      <c r="G102" s="60">
        <v>51.35</v>
      </c>
      <c r="H102" s="60">
        <v>114.95</v>
      </c>
      <c r="I102" s="60">
        <v>4.0599999999999996</v>
      </c>
      <c r="J102" s="60">
        <v>0.46</v>
      </c>
      <c r="K102" s="60">
        <v>317.54000000000002</v>
      </c>
      <c r="L102" s="60">
        <v>27.57</v>
      </c>
      <c r="M102" s="60">
        <v>59.35</v>
      </c>
      <c r="N102" s="60">
        <v>26</v>
      </c>
      <c r="O102" s="60">
        <v>0</v>
      </c>
      <c r="P102" s="60">
        <v>0.46</v>
      </c>
      <c r="Q102" s="60">
        <v>9.4</v>
      </c>
      <c r="R102" s="198"/>
      <c r="S102" s="198"/>
      <c r="T102" s="198"/>
      <c r="U102" s="198"/>
    </row>
    <row r="103" spans="1:33" s="12" customFormat="1" x14ac:dyDescent="0.25">
      <c r="A103" s="63">
        <v>45811.989583333336</v>
      </c>
      <c r="B103" s="60">
        <v>12.01</v>
      </c>
      <c r="C103" s="60">
        <v>24.93</v>
      </c>
      <c r="D103" s="60">
        <v>29.28</v>
      </c>
      <c r="E103" s="60">
        <v>5.55</v>
      </c>
      <c r="F103" s="60">
        <v>6.85</v>
      </c>
      <c r="G103" s="60">
        <v>51.35</v>
      </c>
      <c r="H103" s="60">
        <v>114.95</v>
      </c>
      <c r="I103" s="60">
        <v>4.08</v>
      </c>
      <c r="J103" s="60">
        <v>0.19</v>
      </c>
      <c r="K103" s="60">
        <v>297.10000000000002</v>
      </c>
      <c r="L103" s="60">
        <v>27.69</v>
      </c>
      <c r="M103" s="60">
        <v>58.31</v>
      </c>
      <c r="N103" s="60">
        <v>26.4</v>
      </c>
      <c r="O103" s="60">
        <v>0</v>
      </c>
      <c r="P103" s="60">
        <v>0.42</v>
      </c>
      <c r="Q103" s="60">
        <v>9.41</v>
      </c>
      <c r="R103" s="198"/>
      <c r="S103" s="198"/>
      <c r="T103" s="198"/>
      <c r="U103" s="198"/>
    </row>
    <row r="104" spans="1:33" s="12" customFormat="1" x14ac:dyDescent="0.25">
      <c r="A104" s="60">
        <v>45812</v>
      </c>
      <c r="B104" s="60">
        <v>11.89</v>
      </c>
      <c r="C104" s="60">
        <v>24.6</v>
      </c>
      <c r="D104" s="60">
        <v>28.83</v>
      </c>
      <c r="E104" s="60">
        <v>4.71</v>
      </c>
      <c r="F104" s="60">
        <v>7.99</v>
      </c>
      <c r="G104" s="60">
        <v>52.87</v>
      </c>
      <c r="H104" s="60">
        <v>68.41</v>
      </c>
      <c r="I104" s="60">
        <v>3.98</v>
      </c>
      <c r="J104" s="60">
        <v>0.33</v>
      </c>
      <c r="K104" s="60">
        <v>302.17</v>
      </c>
      <c r="L104" s="60">
        <v>27.67</v>
      </c>
      <c r="M104" s="60">
        <v>59.16</v>
      </c>
      <c r="N104" s="60">
        <v>26.2</v>
      </c>
      <c r="O104" s="60">
        <v>0</v>
      </c>
      <c r="P104" s="60">
        <v>0.41</v>
      </c>
      <c r="Q104" s="60">
        <v>9.42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4.43</v>
      </c>
      <c r="C106" s="67">
        <f>MIN(C9:C104)</f>
        <v>14.59</v>
      </c>
      <c r="D106" s="67">
        <f t="shared" ref="D106:Q106" si="0">MIN(D9:D104)</f>
        <v>18.010000000000002</v>
      </c>
      <c r="E106" s="67">
        <f t="shared" si="0"/>
        <v>3.74</v>
      </c>
      <c r="F106" s="67">
        <f t="shared" si="0"/>
        <v>3.91</v>
      </c>
      <c r="G106" s="67">
        <f t="shared" si="0"/>
        <v>20.74</v>
      </c>
      <c r="H106" s="67">
        <f t="shared" si="0"/>
        <v>0</v>
      </c>
      <c r="I106" s="67">
        <f t="shared" si="0"/>
        <v>3.7</v>
      </c>
      <c r="J106" s="67">
        <f t="shared" si="0"/>
        <v>0</v>
      </c>
      <c r="K106" s="67">
        <f t="shared" si="0"/>
        <v>2.54</v>
      </c>
      <c r="L106" s="67">
        <f t="shared" si="0"/>
        <v>25.07</v>
      </c>
      <c r="M106" s="67">
        <f t="shared" si="0"/>
        <v>31.52</v>
      </c>
      <c r="N106" s="67">
        <f t="shared" si="0"/>
        <v>26</v>
      </c>
      <c r="O106" s="67">
        <f t="shared" si="0"/>
        <v>0</v>
      </c>
      <c r="P106" s="67">
        <f t="shared" si="0"/>
        <v>0.21</v>
      </c>
      <c r="Q106" s="67">
        <f t="shared" si="0"/>
        <v>9.18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16.21</v>
      </c>
      <c r="C107" s="66">
        <f t="shared" ref="C107:Q107" si="1">MAX(C9:C104)</f>
        <v>37.090000000000003</v>
      </c>
      <c r="D107" s="66">
        <f t="shared" si="1"/>
        <v>53.95</v>
      </c>
      <c r="E107" s="66">
        <f t="shared" si="1"/>
        <v>5.78</v>
      </c>
      <c r="F107" s="66">
        <f t="shared" si="1"/>
        <v>14.85</v>
      </c>
      <c r="G107" s="66">
        <f t="shared" si="1"/>
        <v>55.55</v>
      </c>
      <c r="H107" s="66">
        <f t="shared" si="1"/>
        <v>341.83</v>
      </c>
      <c r="I107" s="66">
        <f t="shared" si="1"/>
        <v>4.25</v>
      </c>
      <c r="J107" s="66">
        <f t="shared" si="1"/>
        <v>1.01</v>
      </c>
      <c r="K107" s="66">
        <f t="shared" si="1"/>
        <v>348.74</v>
      </c>
      <c r="L107" s="66">
        <f t="shared" si="1"/>
        <v>37.54</v>
      </c>
      <c r="M107" s="66">
        <f t="shared" si="1"/>
        <v>81.45</v>
      </c>
      <c r="N107" s="66">
        <f t="shared" si="1"/>
        <v>905.7</v>
      </c>
      <c r="O107" s="66">
        <f t="shared" si="1"/>
        <v>0</v>
      </c>
      <c r="P107" s="66">
        <f t="shared" si="1"/>
        <v>0.52</v>
      </c>
      <c r="Q107" s="66">
        <f t="shared" si="1"/>
        <v>9.56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8.3211458333333308</v>
      </c>
      <c r="C108" s="67">
        <f t="shared" ref="C108:Q108" si="2">AVERAGE(C9:C104)</f>
        <v>22.232291666666665</v>
      </c>
      <c r="D108" s="67">
        <f t="shared" si="2"/>
        <v>29.781041666666656</v>
      </c>
      <c r="E108" s="67">
        <f t="shared" si="2"/>
        <v>4.7264583333333317</v>
      </c>
      <c r="F108" s="67">
        <f t="shared" si="2"/>
        <v>7.2596874999999983</v>
      </c>
      <c r="G108" s="67">
        <f t="shared" si="2"/>
        <v>38.97343750000001</v>
      </c>
      <c r="H108" s="67">
        <f t="shared" si="2"/>
        <v>100.20635416666671</v>
      </c>
      <c r="I108" s="67">
        <f t="shared" si="2"/>
        <v>3.981666666666666</v>
      </c>
      <c r="J108" s="67">
        <f t="shared" si="2"/>
        <v>0.24812499999999996</v>
      </c>
      <c r="K108" s="67">
        <f t="shared" si="2"/>
        <v>257.98718750000006</v>
      </c>
      <c r="L108" s="67">
        <f t="shared" si="2"/>
        <v>30.661041666666677</v>
      </c>
      <c r="M108" s="67">
        <f t="shared" si="2"/>
        <v>52.122395833333336</v>
      </c>
      <c r="N108" s="67">
        <f t="shared" si="2"/>
        <v>244.37083333333337</v>
      </c>
      <c r="O108" s="67">
        <f t="shared" si="2"/>
        <v>0</v>
      </c>
      <c r="P108" s="67">
        <f t="shared" si="2"/>
        <v>0.35791666666666666</v>
      </c>
      <c r="Q108" s="67">
        <f t="shared" si="2"/>
        <v>9.3236458333333339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3.0451261730982115</v>
      </c>
      <c r="C109" s="67">
        <f t="shared" ref="C109:Q109" si="3">STDEV(C9:C104)</f>
        <v>4.4114450381435768</v>
      </c>
      <c r="D109" s="67">
        <f t="shared" si="3"/>
        <v>7.3861669397194269</v>
      </c>
      <c r="E109" s="67">
        <f t="shared" si="3"/>
        <v>0.53750295796820813</v>
      </c>
      <c r="F109" s="67">
        <f t="shared" si="3"/>
        <v>2.498890049654682</v>
      </c>
      <c r="G109" s="67">
        <f t="shared" si="3"/>
        <v>10.020670513138979</v>
      </c>
      <c r="H109" s="67">
        <f t="shared" si="3"/>
        <v>102.48259984910183</v>
      </c>
      <c r="I109" s="67">
        <f t="shared" si="3"/>
        <v>9.0293867212232884E-2</v>
      </c>
      <c r="J109" s="67">
        <f t="shared" si="3"/>
        <v>0.22531060432445821</v>
      </c>
      <c r="K109" s="67">
        <f t="shared" si="3"/>
        <v>64.630565030928977</v>
      </c>
      <c r="L109" s="67">
        <f t="shared" si="3"/>
        <v>4.0592629559580526</v>
      </c>
      <c r="M109" s="67">
        <f t="shared" si="3"/>
        <v>17.102837237370359</v>
      </c>
      <c r="N109" s="67">
        <f t="shared" si="3"/>
        <v>300.50196773737616</v>
      </c>
      <c r="O109" s="67">
        <f t="shared" si="3"/>
        <v>0</v>
      </c>
      <c r="P109" s="67">
        <f t="shared" si="3"/>
        <v>7.175861095097974E-2</v>
      </c>
      <c r="Q109" s="67">
        <f t="shared" si="3"/>
        <v>0.10235253620046093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J110" si="4">COUNT(B9:B104)+44</f>
        <v>140</v>
      </c>
      <c r="C110" s="66">
        <f t="shared" si="4"/>
        <v>140</v>
      </c>
      <c r="D110" s="66">
        <f t="shared" si="4"/>
        <v>140</v>
      </c>
      <c r="E110" s="66">
        <f t="shared" si="4"/>
        <v>140</v>
      </c>
      <c r="F110" s="66">
        <f t="shared" si="4"/>
        <v>140</v>
      </c>
      <c r="G110" s="66">
        <f t="shared" si="4"/>
        <v>140</v>
      </c>
      <c r="H110" s="66">
        <f t="shared" si="4"/>
        <v>140</v>
      </c>
      <c r="I110" s="66">
        <f t="shared" si="4"/>
        <v>140</v>
      </c>
      <c r="J110" s="66">
        <f t="shared" si="4"/>
        <v>140</v>
      </c>
      <c r="K110" s="66">
        <f t="shared" ref="K110:P110" si="5">COUNT(K9:K104)+44</f>
        <v>140</v>
      </c>
      <c r="L110" s="66">
        <f t="shared" si="5"/>
        <v>140</v>
      </c>
      <c r="M110" s="66">
        <f t="shared" si="5"/>
        <v>140</v>
      </c>
      <c r="N110" s="66">
        <f t="shared" si="5"/>
        <v>140</v>
      </c>
      <c r="O110" s="66">
        <f t="shared" si="5"/>
        <v>140</v>
      </c>
      <c r="P110" s="66">
        <f t="shared" si="5"/>
        <v>140</v>
      </c>
      <c r="Q110" s="66">
        <f>COUNT(Q9:Q104)+45</f>
        <v>141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21" sqref="F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45812.010416666664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3">
        <v>45812.010416666664</v>
      </c>
      <c r="B9" s="60">
        <v>11.51</v>
      </c>
      <c r="C9" s="60">
        <v>23.92</v>
      </c>
      <c r="D9" s="60">
        <v>28.12</v>
      </c>
      <c r="E9" s="60">
        <v>4.55</v>
      </c>
      <c r="F9" s="60">
        <v>6.86</v>
      </c>
      <c r="G9" s="60">
        <v>53.79</v>
      </c>
      <c r="H9" s="60">
        <v>40.15</v>
      </c>
      <c r="I9" s="60">
        <v>4.05</v>
      </c>
      <c r="J9" s="60">
        <v>0.17</v>
      </c>
      <c r="K9" s="60">
        <v>303.52</v>
      </c>
      <c r="L9" s="60">
        <v>27.7</v>
      </c>
      <c r="M9" s="60">
        <v>58.92</v>
      </c>
      <c r="N9" s="60">
        <v>26.4</v>
      </c>
      <c r="O9" s="60">
        <v>0</v>
      </c>
      <c r="P9" s="60">
        <v>0.44</v>
      </c>
      <c r="Q9" s="60">
        <v>9.42</v>
      </c>
      <c r="R9" s="198"/>
      <c r="S9" s="198"/>
      <c r="T9" s="198"/>
      <c r="U9" s="198"/>
    </row>
    <row r="10" spans="1:21" s="12" customFormat="1" x14ac:dyDescent="0.25">
      <c r="A10" s="63">
        <v>45812.020833333336</v>
      </c>
      <c r="B10" s="60">
        <v>10.79</v>
      </c>
      <c r="C10" s="60">
        <v>32.22</v>
      </c>
      <c r="D10" s="60">
        <v>45.11</v>
      </c>
      <c r="E10" s="60">
        <v>5.14</v>
      </c>
      <c r="F10" s="60">
        <v>7.98</v>
      </c>
      <c r="G10" s="60">
        <v>53.79</v>
      </c>
      <c r="H10" s="60">
        <v>40.15</v>
      </c>
      <c r="I10" s="60">
        <v>3.87</v>
      </c>
      <c r="J10" s="60">
        <v>0.12</v>
      </c>
      <c r="K10" s="60">
        <v>296.07</v>
      </c>
      <c r="L10" s="60">
        <v>27.68</v>
      </c>
      <c r="M10" s="60">
        <v>59.07</v>
      </c>
      <c r="N10" s="60">
        <v>26.5</v>
      </c>
      <c r="O10" s="60">
        <v>0</v>
      </c>
      <c r="P10" s="60">
        <v>0.53</v>
      </c>
      <c r="Q10" s="60">
        <v>9.4499999999999993</v>
      </c>
      <c r="R10" s="198"/>
      <c r="S10" s="198"/>
      <c r="T10" s="198"/>
      <c r="U10" s="198"/>
    </row>
    <row r="11" spans="1:21" s="12" customFormat="1" x14ac:dyDescent="0.25">
      <c r="A11" s="63">
        <v>45812.03125</v>
      </c>
      <c r="B11" s="60">
        <v>9.91</v>
      </c>
      <c r="C11" s="60">
        <v>27.89</v>
      </c>
      <c r="D11" s="60">
        <v>38.17</v>
      </c>
      <c r="E11" s="60">
        <v>5.33</v>
      </c>
      <c r="F11" s="60">
        <v>7.98</v>
      </c>
      <c r="G11" s="60">
        <v>53.79</v>
      </c>
      <c r="H11" s="60">
        <v>40.15</v>
      </c>
      <c r="I11" s="60">
        <v>3.84</v>
      </c>
      <c r="J11" s="60">
        <v>0.16</v>
      </c>
      <c r="K11" s="60">
        <v>301.83</v>
      </c>
      <c r="L11" s="60">
        <v>27.71</v>
      </c>
      <c r="M11" s="60">
        <v>58.42</v>
      </c>
      <c r="N11" s="60">
        <v>26.3</v>
      </c>
      <c r="O11" s="60">
        <v>0</v>
      </c>
      <c r="P11" s="60">
        <v>0.6</v>
      </c>
      <c r="Q11" s="60">
        <v>9.4600000000000009</v>
      </c>
      <c r="R11" s="198"/>
      <c r="S11" s="198"/>
      <c r="T11" s="198"/>
      <c r="U11" s="198"/>
    </row>
    <row r="12" spans="1:21" s="12" customFormat="1" x14ac:dyDescent="0.25">
      <c r="A12" s="63">
        <v>45812.041666666664</v>
      </c>
      <c r="B12" s="60">
        <v>8.7899999999999991</v>
      </c>
      <c r="C12" s="60">
        <v>25.56</v>
      </c>
      <c r="D12" s="60">
        <v>35.44</v>
      </c>
      <c r="E12" s="60">
        <v>5.93</v>
      </c>
      <c r="F12" s="60">
        <v>8.49</v>
      </c>
      <c r="G12" s="60">
        <v>52.91</v>
      </c>
      <c r="H12" s="60">
        <v>8.5</v>
      </c>
      <c r="I12" s="60">
        <v>4.07</v>
      </c>
      <c r="J12" s="60">
        <v>0.08</v>
      </c>
      <c r="K12" s="60">
        <v>298.83999999999997</v>
      </c>
      <c r="L12" s="60">
        <v>27.75</v>
      </c>
      <c r="M12" s="60">
        <v>58.03</v>
      </c>
      <c r="N12" s="60">
        <v>26.5</v>
      </c>
      <c r="O12" s="60">
        <v>0</v>
      </c>
      <c r="P12" s="60">
        <v>0.76</v>
      </c>
      <c r="Q12" s="60">
        <v>9.48</v>
      </c>
      <c r="R12" s="198"/>
      <c r="S12" s="198"/>
      <c r="T12" s="198"/>
      <c r="U12" s="198"/>
    </row>
    <row r="13" spans="1:21" s="12" customFormat="1" x14ac:dyDescent="0.25">
      <c r="A13" s="63">
        <v>45812.052083333336</v>
      </c>
      <c r="B13" s="60">
        <v>7.4</v>
      </c>
      <c r="C13" s="60">
        <v>23.72</v>
      </c>
      <c r="D13" s="60">
        <v>34.04</v>
      </c>
      <c r="E13" s="60">
        <v>5.95</v>
      </c>
      <c r="F13" s="60">
        <v>11.02</v>
      </c>
      <c r="G13" s="60">
        <v>52.38</v>
      </c>
      <c r="H13" s="60">
        <v>-10.72</v>
      </c>
      <c r="I13" s="60">
        <v>4.08</v>
      </c>
      <c r="J13" s="60">
        <v>0.12</v>
      </c>
      <c r="K13" s="60">
        <v>305.76</v>
      </c>
      <c r="L13" s="60">
        <v>27.49</v>
      </c>
      <c r="M13" s="60">
        <v>59.86</v>
      </c>
      <c r="N13" s="60">
        <v>26.7</v>
      </c>
      <c r="O13" s="60">
        <v>0</v>
      </c>
      <c r="P13" s="60">
        <v>0.69</v>
      </c>
      <c r="Q13" s="60">
        <v>9.48</v>
      </c>
      <c r="R13" s="198"/>
      <c r="S13" s="198"/>
      <c r="T13" s="198"/>
      <c r="U13" s="198"/>
    </row>
    <row r="14" spans="1:21" s="12" customFormat="1" x14ac:dyDescent="0.25">
      <c r="A14" s="63">
        <v>45812.0625</v>
      </c>
      <c r="B14" s="60">
        <v>6.81</v>
      </c>
      <c r="C14" s="60">
        <v>22.44</v>
      </c>
      <c r="D14" s="60">
        <v>32.5</v>
      </c>
      <c r="E14" s="60">
        <v>6.06</v>
      </c>
      <c r="F14" s="60">
        <v>11.06</v>
      </c>
      <c r="G14" s="60">
        <v>52.38</v>
      </c>
      <c r="H14" s="60">
        <v>-10.72</v>
      </c>
      <c r="I14" s="60">
        <v>4.12</v>
      </c>
      <c r="J14" s="60">
        <v>0.08</v>
      </c>
      <c r="K14" s="60">
        <v>290.60000000000002</v>
      </c>
      <c r="L14" s="60">
        <v>27.22</v>
      </c>
      <c r="M14" s="60">
        <v>61.34</v>
      </c>
      <c r="N14" s="60">
        <v>26.6</v>
      </c>
      <c r="O14" s="60">
        <v>0</v>
      </c>
      <c r="P14" s="60">
        <v>0.68</v>
      </c>
      <c r="Q14" s="60">
        <v>9.48</v>
      </c>
      <c r="R14" s="198"/>
      <c r="S14" s="198"/>
      <c r="T14" s="198"/>
      <c r="U14" s="198"/>
    </row>
    <row r="15" spans="1:21" s="12" customFormat="1" x14ac:dyDescent="0.25">
      <c r="A15" s="63">
        <v>45812.072916666664</v>
      </c>
      <c r="B15" s="60">
        <v>6.92</v>
      </c>
      <c r="C15" s="60">
        <v>21.54</v>
      </c>
      <c r="D15" s="60">
        <v>30.6</v>
      </c>
      <c r="E15" s="60">
        <v>5.94</v>
      </c>
      <c r="F15" s="60">
        <v>9.6</v>
      </c>
      <c r="G15" s="60">
        <v>52.38</v>
      </c>
      <c r="H15" s="60">
        <v>-10.72</v>
      </c>
      <c r="I15" s="60">
        <v>4.09</v>
      </c>
      <c r="J15" s="60">
        <v>0.44</v>
      </c>
      <c r="K15" s="60">
        <v>154.91</v>
      </c>
      <c r="L15" s="60">
        <v>27.28</v>
      </c>
      <c r="M15" s="60">
        <v>61.74</v>
      </c>
      <c r="N15" s="60">
        <v>26.2</v>
      </c>
      <c r="O15" s="60">
        <v>0</v>
      </c>
      <c r="P15" s="60">
        <v>0.66</v>
      </c>
      <c r="Q15" s="60">
        <v>9.49</v>
      </c>
      <c r="R15" s="198"/>
      <c r="S15" s="198"/>
      <c r="T15" s="198"/>
      <c r="U15" s="198"/>
    </row>
    <row r="16" spans="1:21" s="12" customFormat="1" x14ac:dyDescent="0.25">
      <c r="A16" s="63">
        <v>45812.083333333336</v>
      </c>
      <c r="B16" s="60">
        <v>8.1</v>
      </c>
      <c r="C16" s="60">
        <v>19.62</v>
      </c>
      <c r="D16" s="60">
        <v>25.11</v>
      </c>
      <c r="E16" s="60">
        <v>5.68</v>
      </c>
      <c r="F16" s="60">
        <v>10.83</v>
      </c>
      <c r="G16" s="60">
        <v>53.83</v>
      </c>
      <c r="H16" s="60">
        <v>-16.940000000000001</v>
      </c>
      <c r="I16" s="60">
        <v>4.16</v>
      </c>
      <c r="J16" s="60">
        <v>0.36</v>
      </c>
      <c r="K16" s="60">
        <v>144.69</v>
      </c>
      <c r="L16" s="60">
        <v>26.83</v>
      </c>
      <c r="M16" s="60">
        <v>66.069999999999993</v>
      </c>
      <c r="N16" s="60">
        <v>26.8</v>
      </c>
      <c r="O16" s="60">
        <v>0</v>
      </c>
      <c r="P16" s="60">
        <v>0.54</v>
      </c>
      <c r="Q16" s="60">
        <v>9.49</v>
      </c>
      <c r="R16" s="198"/>
      <c r="S16" s="198"/>
      <c r="T16" s="198"/>
      <c r="U16" s="198"/>
    </row>
    <row r="17" spans="1:21" s="12" customFormat="1" x14ac:dyDescent="0.25">
      <c r="A17" s="63">
        <v>45812.09375</v>
      </c>
      <c r="B17" s="60">
        <v>9.2100000000000009</v>
      </c>
      <c r="C17" s="60">
        <v>18.91</v>
      </c>
      <c r="D17" s="60">
        <v>22.05</v>
      </c>
      <c r="E17" s="60">
        <v>5.18</v>
      </c>
      <c r="F17" s="60">
        <v>6.61</v>
      </c>
      <c r="G17" s="60">
        <v>54.71</v>
      </c>
      <c r="H17" s="60">
        <v>-20.72</v>
      </c>
      <c r="I17" s="60">
        <v>3.88</v>
      </c>
      <c r="J17" s="60">
        <v>0.18</v>
      </c>
      <c r="K17" s="60">
        <v>198.88</v>
      </c>
      <c r="L17" s="60">
        <v>26.47</v>
      </c>
      <c r="M17" s="60">
        <v>67.61</v>
      </c>
      <c r="N17" s="60">
        <v>26.7</v>
      </c>
      <c r="O17" s="60">
        <v>0</v>
      </c>
      <c r="P17" s="60">
        <v>0.48</v>
      </c>
      <c r="Q17" s="60">
        <v>9.49</v>
      </c>
      <c r="R17" s="198"/>
      <c r="S17" s="198"/>
      <c r="T17" s="198"/>
      <c r="U17" s="198"/>
    </row>
    <row r="18" spans="1:21" s="12" customFormat="1" x14ac:dyDescent="0.25">
      <c r="A18" s="63">
        <v>45812.104166666664</v>
      </c>
      <c r="B18" s="60">
        <v>9.56</v>
      </c>
      <c r="C18" s="60">
        <v>19.05</v>
      </c>
      <c r="D18" s="60">
        <v>21.8</v>
      </c>
      <c r="E18" s="60">
        <v>5.3</v>
      </c>
      <c r="F18" s="60">
        <v>8.0399999999999991</v>
      </c>
      <c r="G18" s="60">
        <v>54.71</v>
      </c>
      <c r="H18" s="60">
        <v>-20.72</v>
      </c>
      <c r="I18" s="60">
        <v>3.95</v>
      </c>
      <c r="J18" s="60">
        <v>0.05</v>
      </c>
      <c r="K18" s="60">
        <v>291.83999999999997</v>
      </c>
      <c r="L18" s="60">
        <v>26.22</v>
      </c>
      <c r="M18" s="60">
        <v>68.61</v>
      </c>
      <c r="N18" s="60">
        <v>26.8</v>
      </c>
      <c r="O18" s="60">
        <v>0</v>
      </c>
      <c r="P18" s="60">
        <v>0.4</v>
      </c>
      <c r="Q18" s="60">
        <v>9.4600000000000009</v>
      </c>
      <c r="R18" s="198"/>
      <c r="S18" s="198"/>
      <c r="T18" s="198"/>
      <c r="U18" s="198"/>
    </row>
    <row r="19" spans="1:21" s="12" customFormat="1" x14ac:dyDescent="0.25">
      <c r="A19" s="63">
        <v>45812.114583333336</v>
      </c>
      <c r="B19" s="60">
        <v>10.29</v>
      </c>
      <c r="C19" s="60">
        <v>19.54</v>
      </c>
      <c r="D19" s="60">
        <v>21.61</v>
      </c>
      <c r="E19" s="60">
        <v>5.2</v>
      </c>
      <c r="F19" s="60">
        <v>6</v>
      </c>
      <c r="G19" s="60">
        <v>54.71</v>
      </c>
      <c r="H19" s="60">
        <v>-20.72</v>
      </c>
      <c r="I19" s="60">
        <v>4.03</v>
      </c>
      <c r="J19" s="60">
        <v>0.19</v>
      </c>
      <c r="K19" s="60">
        <v>297.92</v>
      </c>
      <c r="L19" s="60">
        <v>26.09</v>
      </c>
      <c r="M19" s="60">
        <v>69.25</v>
      </c>
      <c r="N19" s="60">
        <v>26.4</v>
      </c>
      <c r="O19" s="60">
        <v>0</v>
      </c>
      <c r="P19" s="60">
        <v>0.45</v>
      </c>
      <c r="Q19" s="60">
        <v>9.43</v>
      </c>
      <c r="R19" s="198"/>
      <c r="S19" s="198"/>
      <c r="T19" s="198"/>
      <c r="U19" s="198"/>
    </row>
    <row r="20" spans="1:21" s="12" customFormat="1" x14ac:dyDescent="0.25">
      <c r="A20" s="63">
        <v>45812.125</v>
      </c>
      <c r="B20" s="60">
        <v>10.09</v>
      </c>
      <c r="C20" s="60">
        <v>19.899999999999999</v>
      </c>
      <c r="D20" s="60">
        <v>22.6</v>
      </c>
      <c r="E20" s="60">
        <v>4.9800000000000004</v>
      </c>
      <c r="F20" s="60">
        <v>6.4</v>
      </c>
      <c r="G20" s="60">
        <v>52.84</v>
      </c>
      <c r="H20" s="60">
        <v>24.43</v>
      </c>
      <c r="I20" s="60">
        <v>3.76</v>
      </c>
      <c r="J20" s="60">
        <v>0.14000000000000001</v>
      </c>
      <c r="K20" s="60">
        <v>303.24</v>
      </c>
      <c r="L20" s="60">
        <v>25.97</v>
      </c>
      <c r="M20" s="60">
        <v>69.319999999999993</v>
      </c>
      <c r="N20" s="60">
        <v>26.5</v>
      </c>
      <c r="O20" s="60">
        <v>0</v>
      </c>
      <c r="P20" s="60">
        <v>0.45</v>
      </c>
      <c r="Q20" s="60">
        <v>9.41</v>
      </c>
      <c r="R20" s="198"/>
      <c r="S20" s="198"/>
      <c r="T20" s="198"/>
      <c r="U20" s="198"/>
    </row>
    <row r="21" spans="1:21" s="12" customFormat="1" x14ac:dyDescent="0.25">
      <c r="A21" s="63">
        <v>45812.135416666664</v>
      </c>
      <c r="B21" s="60">
        <v>11.55</v>
      </c>
      <c r="C21" s="60">
        <v>24.77</v>
      </c>
      <c r="D21" s="60">
        <v>29.68</v>
      </c>
      <c r="E21" s="60">
        <v>5.01</v>
      </c>
      <c r="F21" s="60">
        <v>6.76</v>
      </c>
      <c r="G21" s="60">
        <v>51.71</v>
      </c>
      <c r="H21" s="60">
        <v>51.84</v>
      </c>
      <c r="I21" s="60">
        <v>3.85</v>
      </c>
      <c r="J21" s="60">
        <v>0.05</v>
      </c>
      <c r="K21" s="60">
        <v>291.25</v>
      </c>
      <c r="L21" s="60">
        <v>25.97</v>
      </c>
      <c r="M21" s="60">
        <v>68.28</v>
      </c>
      <c r="N21" s="60">
        <v>26.6</v>
      </c>
      <c r="O21" s="60">
        <v>0</v>
      </c>
      <c r="P21" s="60">
        <v>0.4</v>
      </c>
      <c r="Q21" s="60">
        <v>9.4</v>
      </c>
      <c r="R21" s="198"/>
      <c r="S21" s="198"/>
      <c r="T21" s="198"/>
      <c r="U21" s="198"/>
    </row>
    <row r="22" spans="1:21" s="12" customFormat="1" x14ac:dyDescent="0.25">
      <c r="A22" s="63">
        <v>45812.145833333336</v>
      </c>
      <c r="B22" s="60">
        <v>9.2799999999999994</v>
      </c>
      <c r="C22" s="60">
        <v>21.83</v>
      </c>
      <c r="D22" s="60">
        <v>27.55</v>
      </c>
      <c r="E22" s="60">
        <v>5.49</v>
      </c>
      <c r="F22" s="60">
        <v>5.4</v>
      </c>
      <c r="G22" s="60">
        <v>51.71</v>
      </c>
      <c r="H22" s="60">
        <v>51.84</v>
      </c>
      <c r="I22" s="60">
        <v>3.95</v>
      </c>
      <c r="J22" s="60">
        <v>0.08</v>
      </c>
      <c r="K22" s="60">
        <v>206.53</v>
      </c>
      <c r="L22" s="60">
        <v>26.14</v>
      </c>
      <c r="M22" s="60">
        <v>66.67</v>
      </c>
      <c r="N22" s="60">
        <v>26.2</v>
      </c>
      <c r="O22" s="60">
        <v>0</v>
      </c>
      <c r="P22" s="60">
        <v>0.41</v>
      </c>
      <c r="Q22" s="60">
        <v>9.41</v>
      </c>
      <c r="R22" s="198"/>
      <c r="S22" s="198"/>
      <c r="T22" s="198"/>
      <c r="U22" s="198"/>
    </row>
    <row r="23" spans="1:21" s="12" customFormat="1" x14ac:dyDescent="0.25">
      <c r="A23" s="63">
        <v>45812.15625</v>
      </c>
      <c r="B23" s="60">
        <v>9.15</v>
      </c>
      <c r="C23" s="60">
        <v>20.63</v>
      </c>
      <c r="D23" s="60">
        <v>25.45</v>
      </c>
      <c r="E23" s="60">
        <v>5.16</v>
      </c>
      <c r="F23" s="60">
        <v>5.14</v>
      </c>
      <c r="G23" s="60">
        <v>51.71</v>
      </c>
      <c r="H23" s="60">
        <v>51.84</v>
      </c>
      <c r="I23" s="60">
        <v>3.94</v>
      </c>
      <c r="J23" s="60">
        <v>0.16</v>
      </c>
      <c r="K23" s="60">
        <v>199</v>
      </c>
      <c r="L23" s="60">
        <v>26.13</v>
      </c>
      <c r="M23" s="60">
        <v>68.14</v>
      </c>
      <c r="N23" s="60">
        <v>26.4</v>
      </c>
      <c r="O23" s="60">
        <v>0</v>
      </c>
      <c r="P23" s="60">
        <v>0.4</v>
      </c>
      <c r="Q23" s="60">
        <v>9.4</v>
      </c>
      <c r="R23" s="198"/>
      <c r="S23" s="198"/>
      <c r="T23" s="198"/>
      <c r="U23" s="198"/>
    </row>
    <row r="24" spans="1:21" s="12" customFormat="1" x14ac:dyDescent="0.25">
      <c r="A24" s="63">
        <v>45812.166666666664</v>
      </c>
      <c r="B24" s="60">
        <v>12.25</v>
      </c>
      <c r="C24" s="60">
        <v>24.4</v>
      </c>
      <c r="D24" s="60">
        <v>27.9</v>
      </c>
      <c r="E24" s="60">
        <v>4.96</v>
      </c>
      <c r="F24" s="60">
        <v>4.97</v>
      </c>
      <c r="G24" s="60">
        <v>49.22</v>
      </c>
      <c r="H24" s="60">
        <v>44.49</v>
      </c>
      <c r="I24" s="60">
        <v>4.1900000000000004</v>
      </c>
      <c r="J24" s="60">
        <v>0.13</v>
      </c>
      <c r="K24" s="60">
        <v>186.22</v>
      </c>
      <c r="L24" s="60">
        <v>25.75</v>
      </c>
      <c r="M24" s="60">
        <v>71.849999999999994</v>
      </c>
      <c r="N24" s="60">
        <v>26.6</v>
      </c>
      <c r="O24" s="60">
        <v>0</v>
      </c>
      <c r="P24" s="60">
        <v>0.41</v>
      </c>
      <c r="Q24" s="60">
        <v>9.4</v>
      </c>
      <c r="R24" s="198"/>
      <c r="S24" s="198"/>
      <c r="T24" s="198"/>
      <c r="U24" s="198"/>
    </row>
    <row r="25" spans="1:21" s="12" customFormat="1" x14ac:dyDescent="0.25">
      <c r="A25" s="63">
        <v>45812.177083333336</v>
      </c>
      <c r="B25" s="60">
        <v>11.34</v>
      </c>
      <c r="C25" s="60">
        <v>22.63</v>
      </c>
      <c r="D25" s="60">
        <v>25.9</v>
      </c>
      <c r="E25" s="60">
        <v>5.07</v>
      </c>
      <c r="F25" s="60">
        <v>5.04</v>
      </c>
      <c r="G25" s="60">
        <v>47.7</v>
      </c>
      <c r="H25" s="60">
        <v>40.020000000000003</v>
      </c>
      <c r="I25" s="60">
        <v>3.96</v>
      </c>
      <c r="J25" s="60">
        <v>0.13</v>
      </c>
      <c r="K25" s="60">
        <v>194.86</v>
      </c>
      <c r="L25" s="60">
        <v>25.47</v>
      </c>
      <c r="M25" s="60">
        <v>73.5</v>
      </c>
      <c r="N25" s="60">
        <v>26.7</v>
      </c>
      <c r="O25" s="60">
        <v>0</v>
      </c>
      <c r="P25" s="60">
        <v>0.42</v>
      </c>
      <c r="Q25" s="60">
        <v>9.4</v>
      </c>
      <c r="R25" s="198"/>
      <c r="S25" s="198"/>
      <c r="T25" s="198"/>
      <c r="U25" s="198"/>
    </row>
    <row r="26" spans="1:21" s="12" customFormat="1" x14ac:dyDescent="0.25">
      <c r="A26" s="63">
        <v>45812.1875</v>
      </c>
      <c r="B26" s="60">
        <v>9.59</v>
      </c>
      <c r="C26" s="60">
        <v>19.93</v>
      </c>
      <c r="D26" s="60">
        <v>23.42</v>
      </c>
      <c r="E26" s="60">
        <v>5.12</v>
      </c>
      <c r="F26" s="60">
        <v>5.49</v>
      </c>
      <c r="G26" s="60">
        <v>47.7</v>
      </c>
      <c r="H26" s="60">
        <v>40.020000000000003</v>
      </c>
      <c r="I26" s="60">
        <v>4.0599999999999996</v>
      </c>
      <c r="J26" s="60">
        <v>0.18</v>
      </c>
      <c r="K26" s="60">
        <v>168.45</v>
      </c>
      <c r="L26" s="60">
        <v>25.28</v>
      </c>
      <c r="M26" s="60">
        <v>74.14</v>
      </c>
      <c r="N26" s="60">
        <v>26.6</v>
      </c>
      <c r="O26" s="60">
        <v>0</v>
      </c>
      <c r="P26" s="60">
        <v>0.37</v>
      </c>
      <c r="Q26" s="60">
        <v>9.41</v>
      </c>
      <c r="R26" s="198"/>
      <c r="S26" s="198"/>
      <c r="T26" s="198"/>
      <c r="U26" s="198"/>
    </row>
    <row r="27" spans="1:21" s="12" customFormat="1" x14ac:dyDescent="0.25">
      <c r="A27" s="63">
        <v>45812.197916666664</v>
      </c>
      <c r="B27" s="60">
        <v>11.34</v>
      </c>
      <c r="C27" s="60">
        <v>22.29</v>
      </c>
      <c r="D27" s="60">
        <v>25.27</v>
      </c>
      <c r="E27" s="60">
        <v>4.92</v>
      </c>
      <c r="F27" s="60">
        <v>5.34</v>
      </c>
      <c r="G27" s="60">
        <v>47.7</v>
      </c>
      <c r="H27" s="60">
        <v>40.020000000000003</v>
      </c>
      <c r="I27" s="60">
        <v>3.99</v>
      </c>
      <c r="J27" s="60">
        <v>0.03</v>
      </c>
      <c r="K27" s="60">
        <v>62.22</v>
      </c>
      <c r="L27" s="60">
        <v>25.14</v>
      </c>
      <c r="M27" s="60">
        <v>74.069999999999993</v>
      </c>
      <c r="N27" s="60">
        <v>26.7</v>
      </c>
      <c r="O27" s="60">
        <v>0</v>
      </c>
      <c r="P27" s="60">
        <v>0.4</v>
      </c>
      <c r="Q27" s="60">
        <v>9.42</v>
      </c>
      <c r="R27" s="198"/>
      <c r="S27" s="198"/>
      <c r="T27" s="198"/>
      <c r="U27" s="198"/>
    </row>
    <row r="28" spans="1:21" s="12" customFormat="1" x14ac:dyDescent="0.25">
      <c r="A28" s="63">
        <v>45812.208333333336</v>
      </c>
      <c r="B28" s="60">
        <v>9.09</v>
      </c>
      <c r="C28" s="60">
        <v>26.12</v>
      </c>
      <c r="D28" s="60">
        <v>36.04</v>
      </c>
      <c r="E28" s="60">
        <v>5.07</v>
      </c>
      <c r="F28" s="60">
        <v>6.04</v>
      </c>
      <c r="G28" s="60">
        <v>46.69</v>
      </c>
      <c r="H28" s="60">
        <v>20.2</v>
      </c>
      <c r="I28" s="60">
        <v>4.03</v>
      </c>
      <c r="J28" s="60">
        <v>0.05</v>
      </c>
      <c r="K28" s="60">
        <v>268.01</v>
      </c>
      <c r="L28" s="60">
        <v>25.08</v>
      </c>
      <c r="M28" s="60">
        <v>72.489999999999995</v>
      </c>
      <c r="N28" s="60">
        <v>26.5</v>
      </c>
      <c r="O28" s="60">
        <v>0</v>
      </c>
      <c r="P28" s="60">
        <v>0.41</v>
      </c>
      <c r="Q28" s="60">
        <v>9.44</v>
      </c>
      <c r="R28" s="198"/>
      <c r="S28" s="198"/>
      <c r="T28" s="198"/>
      <c r="U28" s="198"/>
    </row>
    <row r="29" spans="1:21" s="12" customFormat="1" x14ac:dyDescent="0.25">
      <c r="A29" s="63">
        <v>45812.21875</v>
      </c>
      <c r="B29" s="60">
        <v>20.34</v>
      </c>
      <c r="C29" s="60">
        <v>35.65</v>
      </c>
      <c r="D29" s="60">
        <v>37</v>
      </c>
      <c r="E29" s="60">
        <v>4.93</v>
      </c>
      <c r="F29" s="60">
        <v>6.3</v>
      </c>
      <c r="G29" s="60">
        <v>46.08</v>
      </c>
      <c r="H29" s="60">
        <v>8.16</v>
      </c>
      <c r="I29" s="60">
        <v>4.1100000000000003</v>
      </c>
      <c r="J29" s="60">
        <v>0.15</v>
      </c>
      <c r="K29" s="60">
        <v>306.57</v>
      </c>
      <c r="L29" s="60">
        <v>25.28</v>
      </c>
      <c r="M29" s="60">
        <v>70.66</v>
      </c>
      <c r="N29" s="60">
        <v>27.5</v>
      </c>
      <c r="O29" s="60">
        <v>0</v>
      </c>
      <c r="P29" s="60">
        <v>0.42</v>
      </c>
      <c r="Q29" s="60">
        <v>9.4600000000000009</v>
      </c>
      <c r="R29" s="198"/>
      <c r="S29" s="198"/>
      <c r="T29" s="198"/>
      <c r="U29" s="198"/>
    </row>
    <row r="30" spans="1:21" s="12" customFormat="1" x14ac:dyDescent="0.25">
      <c r="A30" s="63">
        <v>45812.229166666664</v>
      </c>
      <c r="B30" s="60">
        <v>11.65</v>
      </c>
      <c r="C30" s="60">
        <v>26.91</v>
      </c>
      <c r="D30" s="60">
        <v>33.619999999999997</v>
      </c>
      <c r="E30" s="60">
        <v>5.12</v>
      </c>
      <c r="F30" s="60">
        <v>6.73</v>
      </c>
      <c r="G30" s="60">
        <v>46.08</v>
      </c>
      <c r="H30" s="60">
        <v>8.16</v>
      </c>
      <c r="I30" s="60">
        <v>3.95</v>
      </c>
      <c r="J30" s="60">
        <v>0.09</v>
      </c>
      <c r="K30" s="60">
        <v>277.39</v>
      </c>
      <c r="L30" s="60">
        <v>25.57</v>
      </c>
      <c r="M30" s="60">
        <v>67.89</v>
      </c>
      <c r="N30" s="60">
        <v>31.3</v>
      </c>
      <c r="O30" s="60">
        <v>0</v>
      </c>
      <c r="P30" s="60">
        <v>0.39</v>
      </c>
      <c r="Q30" s="60">
        <v>9.49</v>
      </c>
      <c r="R30" s="198"/>
      <c r="S30" s="198"/>
      <c r="T30" s="198"/>
      <c r="U30" s="198"/>
    </row>
    <row r="31" spans="1:21" s="12" customFormat="1" x14ac:dyDescent="0.25">
      <c r="A31" s="63">
        <v>45812.239583333336</v>
      </c>
      <c r="B31" s="60">
        <v>10.62</v>
      </c>
      <c r="C31" s="60">
        <v>26.07</v>
      </c>
      <c r="D31" s="60">
        <v>33.590000000000003</v>
      </c>
      <c r="E31" s="60">
        <v>5.44</v>
      </c>
      <c r="F31" s="60">
        <v>6.59</v>
      </c>
      <c r="G31" s="60">
        <v>46.08</v>
      </c>
      <c r="H31" s="60">
        <v>8.16</v>
      </c>
      <c r="I31" s="60">
        <v>3.91</v>
      </c>
      <c r="J31" s="60">
        <v>0.08</v>
      </c>
      <c r="K31" s="60">
        <v>263.7</v>
      </c>
      <c r="L31" s="60">
        <v>25.92</v>
      </c>
      <c r="M31" s="60">
        <v>65.89</v>
      </c>
      <c r="N31" s="60">
        <v>37.6</v>
      </c>
      <c r="O31" s="60">
        <v>0</v>
      </c>
      <c r="P31" s="60">
        <v>0.39</v>
      </c>
      <c r="Q31" s="60">
        <v>9.51</v>
      </c>
      <c r="R31" s="198"/>
      <c r="S31" s="198"/>
      <c r="T31" s="198"/>
      <c r="U31" s="198"/>
    </row>
    <row r="32" spans="1:21" s="12" customFormat="1" x14ac:dyDescent="0.25">
      <c r="A32" s="63">
        <v>45812.25</v>
      </c>
      <c r="B32" s="60">
        <v>9.77</v>
      </c>
      <c r="C32" s="60">
        <v>22.47</v>
      </c>
      <c r="D32" s="60">
        <v>28.02</v>
      </c>
      <c r="E32" s="60">
        <v>5.32</v>
      </c>
      <c r="F32" s="60">
        <v>6.23</v>
      </c>
      <c r="G32" s="60">
        <v>47.74</v>
      </c>
      <c r="H32" s="60">
        <v>13.65</v>
      </c>
      <c r="I32" s="60">
        <v>4</v>
      </c>
      <c r="J32" s="60">
        <v>0.11</v>
      </c>
      <c r="K32" s="60">
        <v>290.27999999999997</v>
      </c>
      <c r="L32" s="60">
        <v>25.98</v>
      </c>
      <c r="M32" s="60">
        <v>65.290000000000006</v>
      </c>
      <c r="N32" s="60">
        <v>41.6</v>
      </c>
      <c r="O32" s="60">
        <v>0</v>
      </c>
      <c r="P32" s="60">
        <v>0.39</v>
      </c>
      <c r="Q32" s="60">
        <v>9.52</v>
      </c>
      <c r="R32" s="198"/>
      <c r="S32" s="198"/>
      <c r="T32" s="198"/>
      <c r="U32" s="198"/>
    </row>
    <row r="33" spans="1:21" s="12" customFormat="1" x14ac:dyDescent="0.25">
      <c r="A33" s="63">
        <v>45812.260416666664</v>
      </c>
      <c r="B33" s="60">
        <v>11.11</v>
      </c>
      <c r="C33" s="60">
        <v>23.78</v>
      </c>
      <c r="D33" s="60">
        <v>28.48</v>
      </c>
      <c r="E33" s="60">
        <v>4.9000000000000004</v>
      </c>
      <c r="F33" s="60">
        <v>5.12</v>
      </c>
      <c r="G33" s="60">
        <v>48.8</v>
      </c>
      <c r="H33" s="60">
        <v>16.98</v>
      </c>
      <c r="I33" s="60">
        <v>4.01</v>
      </c>
      <c r="J33" s="60">
        <v>0.15</v>
      </c>
      <c r="K33" s="60">
        <v>279.3</v>
      </c>
      <c r="L33" s="60">
        <v>26.03</v>
      </c>
      <c r="M33" s="60">
        <v>65.34</v>
      </c>
      <c r="N33" s="60">
        <v>44.2</v>
      </c>
      <c r="O33" s="60">
        <v>0</v>
      </c>
      <c r="P33" s="60">
        <v>0.42</v>
      </c>
      <c r="Q33" s="60">
        <v>9.52</v>
      </c>
      <c r="R33" s="198"/>
      <c r="S33" s="198"/>
      <c r="T33" s="198"/>
      <c r="U33" s="198"/>
    </row>
    <row r="34" spans="1:21" s="12" customFormat="1" x14ac:dyDescent="0.25">
      <c r="A34" s="63">
        <v>45812.270833333336</v>
      </c>
      <c r="B34" s="60">
        <v>12.35</v>
      </c>
      <c r="C34" s="60">
        <v>25.36</v>
      </c>
      <c r="D34" s="60">
        <v>29.58</v>
      </c>
      <c r="E34" s="60">
        <v>4.88</v>
      </c>
      <c r="F34" s="60">
        <v>5.28</v>
      </c>
      <c r="G34" s="60">
        <v>48.8</v>
      </c>
      <c r="H34" s="60">
        <v>16.98</v>
      </c>
      <c r="I34" s="60">
        <v>3.99</v>
      </c>
      <c r="J34" s="60">
        <v>0.16</v>
      </c>
      <c r="K34" s="60">
        <v>280.77999999999997</v>
      </c>
      <c r="L34" s="60">
        <v>26.16</v>
      </c>
      <c r="M34" s="60">
        <v>65.459999999999994</v>
      </c>
      <c r="N34" s="60">
        <v>55.9</v>
      </c>
      <c r="O34" s="60">
        <v>0</v>
      </c>
      <c r="P34" s="60">
        <v>0.45</v>
      </c>
      <c r="Q34" s="60">
        <v>9.52</v>
      </c>
      <c r="R34" s="198"/>
      <c r="S34" s="198"/>
      <c r="T34" s="198"/>
      <c r="U34" s="198"/>
    </row>
    <row r="35" spans="1:21" s="12" customFormat="1" x14ac:dyDescent="0.25">
      <c r="A35" s="63">
        <v>45812.28125</v>
      </c>
      <c r="B35" s="60">
        <v>13.62</v>
      </c>
      <c r="C35" s="60">
        <v>24.24</v>
      </c>
      <c r="D35" s="60">
        <v>25.49</v>
      </c>
      <c r="E35" s="60">
        <v>4.96</v>
      </c>
      <c r="F35" s="60">
        <v>4.6399999999999997</v>
      </c>
      <c r="G35" s="60">
        <v>48.8</v>
      </c>
      <c r="H35" s="60">
        <v>16.98</v>
      </c>
      <c r="I35" s="60">
        <v>3.96</v>
      </c>
      <c r="J35" s="60">
        <v>0.17</v>
      </c>
      <c r="K35" s="60">
        <v>268.87</v>
      </c>
      <c r="L35" s="60">
        <v>26.3</v>
      </c>
      <c r="M35" s="60">
        <v>65.09</v>
      </c>
      <c r="N35" s="60">
        <v>60.6</v>
      </c>
      <c r="O35" s="60">
        <v>0</v>
      </c>
      <c r="P35" s="60">
        <v>0.44</v>
      </c>
      <c r="Q35" s="60">
        <v>9.51</v>
      </c>
      <c r="R35" s="198"/>
      <c r="S35" s="198"/>
      <c r="T35" s="198"/>
      <c r="U35" s="198"/>
    </row>
    <row r="36" spans="1:21" s="12" customFormat="1" x14ac:dyDescent="0.25">
      <c r="A36" s="63">
        <v>45812.291666666664</v>
      </c>
      <c r="B36" s="60">
        <v>13.28</v>
      </c>
      <c r="C36" s="60">
        <v>24.55</v>
      </c>
      <c r="D36" s="60">
        <v>26.62</v>
      </c>
      <c r="E36" s="60">
        <v>5.16</v>
      </c>
      <c r="F36" s="60">
        <v>4.37</v>
      </c>
      <c r="G36" s="60">
        <v>53.25</v>
      </c>
      <c r="H36" s="60">
        <v>26.01</v>
      </c>
      <c r="I36" s="60">
        <v>3.79</v>
      </c>
      <c r="J36" s="60">
        <v>0.15</v>
      </c>
      <c r="K36" s="60">
        <v>285.91000000000003</v>
      </c>
      <c r="L36" s="60">
        <v>26.42</v>
      </c>
      <c r="M36" s="60">
        <v>65.91</v>
      </c>
      <c r="N36" s="60">
        <v>72.5</v>
      </c>
      <c r="O36" s="60">
        <v>0</v>
      </c>
      <c r="P36" s="60">
        <v>0.45</v>
      </c>
      <c r="Q36" s="60">
        <v>9.48</v>
      </c>
      <c r="R36" s="198"/>
      <c r="S36" s="198"/>
      <c r="T36" s="198"/>
      <c r="U36" s="198"/>
    </row>
    <row r="37" spans="1:21" s="12" customFormat="1" x14ac:dyDescent="0.25">
      <c r="A37" s="63">
        <v>45812.302083333336</v>
      </c>
      <c r="B37" s="60">
        <v>14.64</v>
      </c>
      <c r="C37" s="60">
        <v>25.94</v>
      </c>
      <c r="D37" s="60">
        <v>27.18</v>
      </c>
      <c r="E37" s="60">
        <v>4.8899999999999997</v>
      </c>
      <c r="F37" s="60">
        <v>4.67</v>
      </c>
      <c r="G37" s="60">
        <v>55.95</v>
      </c>
      <c r="H37" s="60">
        <v>31.5</v>
      </c>
      <c r="I37" s="60">
        <v>4.05</v>
      </c>
      <c r="J37" s="60">
        <v>0.12</v>
      </c>
      <c r="K37" s="60">
        <v>285.55</v>
      </c>
      <c r="L37" s="60">
        <v>26.59</v>
      </c>
      <c r="M37" s="60">
        <v>67.569999999999993</v>
      </c>
      <c r="N37" s="60">
        <v>93.8</v>
      </c>
      <c r="O37" s="60">
        <v>0</v>
      </c>
      <c r="P37" s="60">
        <v>0.44</v>
      </c>
      <c r="Q37" s="60">
        <v>9.4700000000000006</v>
      </c>
      <c r="R37" s="198"/>
      <c r="S37" s="198"/>
      <c r="T37" s="198"/>
      <c r="U37" s="198"/>
    </row>
    <row r="38" spans="1:21" s="12" customFormat="1" x14ac:dyDescent="0.25">
      <c r="A38" s="63">
        <v>45812.3125</v>
      </c>
      <c r="B38" s="60">
        <v>14.41</v>
      </c>
      <c r="C38" s="60">
        <v>24.52</v>
      </c>
      <c r="D38" s="60">
        <v>24.8</v>
      </c>
      <c r="E38" s="60">
        <v>4.84</v>
      </c>
      <c r="F38" s="60">
        <v>3.79</v>
      </c>
      <c r="G38" s="60">
        <v>55.95</v>
      </c>
      <c r="H38" s="60">
        <v>31.5</v>
      </c>
      <c r="I38" s="60">
        <v>4.17</v>
      </c>
      <c r="J38" s="60">
        <v>0.17</v>
      </c>
      <c r="K38" s="60">
        <v>270.29000000000002</v>
      </c>
      <c r="L38" s="60">
        <v>26.9</v>
      </c>
      <c r="M38" s="60">
        <v>68.069999999999993</v>
      </c>
      <c r="N38" s="60">
        <v>144.19999999999999</v>
      </c>
      <c r="O38" s="60">
        <v>0</v>
      </c>
      <c r="P38" s="60">
        <v>0.45</v>
      </c>
      <c r="Q38" s="60">
        <v>9.48</v>
      </c>
      <c r="R38" s="198"/>
      <c r="S38" s="198"/>
      <c r="T38" s="198"/>
      <c r="U38" s="198"/>
    </row>
    <row r="39" spans="1:21" s="12" customFormat="1" x14ac:dyDescent="0.25">
      <c r="A39" s="63">
        <v>45812.322916666664</v>
      </c>
      <c r="B39" s="60">
        <v>14.3</v>
      </c>
      <c r="C39" s="60">
        <v>24.57</v>
      </c>
      <c r="D39" s="60">
        <v>25.07</v>
      </c>
      <c r="E39" s="60">
        <v>4.55</v>
      </c>
      <c r="F39" s="60">
        <v>3.7</v>
      </c>
      <c r="G39" s="60">
        <v>55.95</v>
      </c>
      <c r="H39" s="60">
        <v>31.5</v>
      </c>
      <c r="I39" s="60">
        <v>3.99</v>
      </c>
      <c r="J39" s="60">
        <v>0.21</v>
      </c>
      <c r="K39" s="60">
        <v>275.79000000000002</v>
      </c>
      <c r="L39" s="60">
        <v>27.62</v>
      </c>
      <c r="M39" s="60">
        <v>65.930000000000007</v>
      </c>
      <c r="N39" s="60">
        <v>276.60000000000002</v>
      </c>
      <c r="O39" s="60">
        <v>0</v>
      </c>
      <c r="P39" s="60">
        <v>0.45</v>
      </c>
      <c r="Q39" s="60">
        <v>9.48</v>
      </c>
      <c r="R39" s="198"/>
      <c r="S39" s="198"/>
      <c r="T39" s="198"/>
      <c r="U39" s="198"/>
    </row>
    <row r="40" spans="1:21" s="12" customFormat="1" x14ac:dyDescent="0.25">
      <c r="A40" s="63">
        <v>45812.333333333336</v>
      </c>
      <c r="B40" s="60">
        <v>13.48</v>
      </c>
      <c r="C40" s="60">
        <v>24.34</v>
      </c>
      <c r="D40" s="60">
        <v>25.9</v>
      </c>
      <c r="E40" s="60">
        <v>5.9</v>
      </c>
      <c r="F40" s="60">
        <v>4.01</v>
      </c>
      <c r="G40" s="60">
        <v>56.08</v>
      </c>
      <c r="H40" s="60">
        <v>22.02</v>
      </c>
      <c r="I40" s="60">
        <v>4.0599999999999996</v>
      </c>
      <c r="J40" s="60">
        <v>0.22</v>
      </c>
      <c r="K40" s="60">
        <v>281.86</v>
      </c>
      <c r="L40" s="60">
        <v>28.34</v>
      </c>
      <c r="M40" s="60">
        <v>63.02</v>
      </c>
      <c r="N40" s="60">
        <v>251.7</v>
      </c>
      <c r="O40" s="60">
        <v>0</v>
      </c>
      <c r="P40" s="60">
        <v>0.45</v>
      </c>
      <c r="Q40" s="60">
        <v>9.4700000000000006</v>
      </c>
      <c r="R40" s="198"/>
      <c r="S40" s="198"/>
      <c r="T40" s="198"/>
      <c r="U40" s="198"/>
    </row>
    <row r="41" spans="1:21" s="12" customFormat="1" x14ac:dyDescent="0.25">
      <c r="A41" s="63">
        <v>45812.34375</v>
      </c>
      <c r="B41" s="60">
        <v>12.4</v>
      </c>
      <c r="C41" s="60">
        <v>23.7</v>
      </c>
      <c r="D41" s="60">
        <v>26.33</v>
      </c>
      <c r="E41" s="60">
        <v>5.15</v>
      </c>
      <c r="F41" s="60">
        <v>4.2699999999999996</v>
      </c>
      <c r="G41" s="60">
        <v>56.16</v>
      </c>
      <c r="H41" s="60">
        <v>16.27</v>
      </c>
      <c r="I41" s="60">
        <v>4.04</v>
      </c>
      <c r="J41" s="60">
        <v>0.2</v>
      </c>
      <c r="K41" s="60">
        <v>267.85000000000002</v>
      </c>
      <c r="L41" s="60">
        <v>28.88</v>
      </c>
      <c r="M41" s="60">
        <v>60.41</v>
      </c>
      <c r="N41" s="60">
        <v>450.8</v>
      </c>
      <c r="O41" s="60">
        <v>0</v>
      </c>
      <c r="P41" s="60">
        <v>0.44</v>
      </c>
      <c r="Q41" s="60">
        <v>9.44</v>
      </c>
      <c r="R41" s="198"/>
      <c r="S41" s="198"/>
      <c r="T41" s="198"/>
      <c r="U41" s="198"/>
    </row>
    <row r="42" spans="1:21" s="12" customFormat="1" x14ac:dyDescent="0.25">
      <c r="A42" s="63">
        <v>45812.354166666664</v>
      </c>
      <c r="B42" s="60">
        <v>11.37</v>
      </c>
      <c r="C42" s="60">
        <v>23.41</v>
      </c>
      <c r="D42" s="60">
        <v>27.35</v>
      </c>
      <c r="E42" s="60">
        <v>5.4</v>
      </c>
      <c r="F42" s="60">
        <v>3.81</v>
      </c>
      <c r="G42" s="60">
        <v>56.16</v>
      </c>
      <c r="H42" s="60">
        <v>16.27</v>
      </c>
      <c r="I42" s="60">
        <v>4.0999999999999996</v>
      </c>
      <c r="J42" s="60">
        <v>0.26</v>
      </c>
      <c r="K42" s="60">
        <v>285.48</v>
      </c>
      <c r="L42" s="60">
        <v>29.86</v>
      </c>
      <c r="M42" s="60">
        <v>57.47</v>
      </c>
      <c r="N42" s="60">
        <v>519.1</v>
      </c>
      <c r="O42" s="60">
        <v>0</v>
      </c>
      <c r="P42" s="60">
        <v>0.45</v>
      </c>
      <c r="Q42" s="60">
        <v>9.41</v>
      </c>
      <c r="R42" s="198"/>
      <c r="S42" s="198"/>
      <c r="T42" s="198"/>
      <c r="U42" s="198"/>
    </row>
    <row r="43" spans="1:21" s="12" customFormat="1" x14ac:dyDescent="0.25">
      <c r="A43" s="63">
        <v>45812.364583333336</v>
      </c>
      <c r="B43" s="60">
        <v>10.59</v>
      </c>
      <c r="C43" s="60">
        <v>22.94</v>
      </c>
      <c r="D43" s="60">
        <v>27.65</v>
      </c>
      <c r="E43" s="60">
        <v>5.49</v>
      </c>
      <c r="F43" s="60">
        <v>4.58</v>
      </c>
      <c r="G43" s="60">
        <v>56.16</v>
      </c>
      <c r="H43" s="60">
        <v>16.27</v>
      </c>
      <c r="I43" s="60">
        <v>4.0199999999999996</v>
      </c>
      <c r="J43" s="60">
        <v>0.16</v>
      </c>
      <c r="K43" s="60">
        <v>279.33999999999997</v>
      </c>
      <c r="L43" s="60">
        <v>31.13</v>
      </c>
      <c r="M43" s="60">
        <v>53.15</v>
      </c>
      <c r="N43" s="60">
        <v>580.5</v>
      </c>
      <c r="O43" s="60">
        <v>0</v>
      </c>
      <c r="P43" s="60">
        <v>0.47</v>
      </c>
      <c r="Q43" s="60">
        <v>9.39</v>
      </c>
      <c r="R43" s="198"/>
      <c r="S43" s="198"/>
      <c r="T43" s="198"/>
      <c r="U43" s="198"/>
    </row>
    <row r="44" spans="1:21" s="12" customFormat="1" x14ac:dyDescent="0.25">
      <c r="A44" s="63">
        <v>45812.375</v>
      </c>
      <c r="B44" s="60">
        <v>9.5</v>
      </c>
      <c r="C44" s="60">
        <v>23.25</v>
      </c>
      <c r="D44" s="60">
        <v>29.92</v>
      </c>
      <c r="E44" s="60">
        <v>5.46</v>
      </c>
      <c r="F44" s="60">
        <v>4.83</v>
      </c>
      <c r="G44" s="60">
        <v>53.9</v>
      </c>
      <c r="H44" s="60">
        <v>17.190000000000001</v>
      </c>
      <c r="I44" s="60">
        <v>3.99</v>
      </c>
      <c r="J44" s="60">
        <v>0.26</v>
      </c>
      <c r="K44" s="60">
        <v>283.64</v>
      </c>
      <c r="L44" s="60">
        <v>32.15</v>
      </c>
      <c r="M44" s="60">
        <v>50.5</v>
      </c>
      <c r="N44" s="60">
        <v>608.4</v>
      </c>
      <c r="O44" s="60">
        <v>0</v>
      </c>
      <c r="P44" s="60">
        <v>0.53</v>
      </c>
      <c r="Q44" s="60">
        <v>9.3800000000000008</v>
      </c>
      <c r="R44" s="198"/>
      <c r="S44" s="198"/>
      <c r="T44" s="198"/>
      <c r="U44" s="198"/>
    </row>
    <row r="45" spans="1:21" s="12" customFormat="1" x14ac:dyDescent="0.25">
      <c r="A45" s="63">
        <v>45812.385416666664</v>
      </c>
      <c r="B45" s="60">
        <v>9.51</v>
      </c>
      <c r="C45" s="60">
        <v>26.39</v>
      </c>
      <c r="D45" s="60">
        <v>35.909999999999997</v>
      </c>
      <c r="E45" s="60">
        <v>6.03</v>
      </c>
      <c r="F45" s="60">
        <v>11.76</v>
      </c>
      <c r="G45" s="60">
        <v>52.54</v>
      </c>
      <c r="H45" s="60">
        <v>17.739999999999998</v>
      </c>
      <c r="I45" s="60">
        <v>4.03</v>
      </c>
      <c r="J45" s="60">
        <v>0.28999999999999998</v>
      </c>
      <c r="K45" s="60">
        <v>282.31</v>
      </c>
      <c r="L45" s="60">
        <v>34.020000000000003</v>
      </c>
      <c r="M45" s="60">
        <v>45.08</v>
      </c>
      <c r="N45" s="60">
        <v>644.29999999999995</v>
      </c>
      <c r="O45" s="60">
        <v>0</v>
      </c>
      <c r="P45" s="60">
        <v>0.77</v>
      </c>
      <c r="Q45" s="60">
        <v>9.35</v>
      </c>
      <c r="R45" s="198"/>
      <c r="S45" s="198"/>
      <c r="T45" s="198"/>
      <c r="U45" s="198"/>
    </row>
    <row r="46" spans="1:21" s="12" customFormat="1" x14ac:dyDescent="0.25">
      <c r="A46" s="63">
        <v>45812.395833333336</v>
      </c>
      <c r="B46" s="60">
        <v>9.19</v>
      </c>
      <c r="C46" s="60">
        <v>26.89</v>
      </c>
      <c r="D46" s="60">
        <v>37.36</v>
      </c>
      <c r="E46" s="60">
        <v>6.37</v>
      </c>
      <c r="F46" s="60">
        <v>8.15</v>
      </c>
      <c r="G46" s="60">
        <v>52.54</v>
      </c>
      <c r="H46" s="60">
        <v>17.739999999999998</v>
      </c>
      <c r="I46" s="60">
        <v>4.04</v>
      </c>
      <c r="J46" s="60">
        <v>0.3</v>
      </c>
      <c r="K46" s="60">
        <v>279.33</v>
      </c>
      <c r="L46" s="60">
        <v>34.1</v>
      </c>
      <c r="M46" s="60">
        <v>43.44</v>
      </c>
      <c r="N46" s="60">
        <v>670.9</v>
      </c>
      <c r="O46" s="60">
        <v>0</v>
      </c>
      <c r="P46" s="60">
        <v>0.72</v>
      </c>
      <c r="Q46" s="60">
        <v>9.35</v>
      </c>
      <c r="R46" s="198"/>
      <c r="S46" s="198"/>
      <c r="T46" s="198"/>
      <c r="U46" s="198"/>
    </row>
    <row r="47" spans="1:21" s="12" customFormat="1" x14ac:dyDescent="0.25">
      <c r="A47" s="63">
        <v>45812.40625</v>
      </c>
      <c r="B47" s="60">
        <v>8.65</v>
      </c>
      <c r="C47" s="60">
        <v>23.92</v>
      </c>
      <c r="D47" s="60">
        <v>32.5</v>
      </c>
      <c r="E47" s="60">
        <v>5.68</v>
      </c>
      <c r="F47" s="60">
        <v>7.45</v>
      </c>
      <c r="G47" s="60">
        <v>52.54</v>
      </c>
      <c r="H47" s="60">
        <v>17.739999999999998</v>
      </c>
      <c r="I47" s="60">
        <v>4.04</v>
      </c>
      <c r="J47" s="60">
        <v>0.45</v>
      </c>
      <c r="K47" s="60">
        <v>292.52999999999997</v>
      </c>
      <c r="L47" s="60">
        <v>35.03</v>
      </c>
      <c r="M47" s="60">
        <v>39.46</v>
      </c>
      <c r="N47" s="60">
        <v>750.2</v>
      </c>
      <c r="O47" s="60">
        <v>0</v>
      </c>
      <c r="P47" s="60">
        <v>0.64</v>
      </c>
      <c r="Q47" s="60">
        <v>9.35</v>
      </c>
      <c r="R47" s="198"/>
      <c r="S47" s="198"/>
      <c r="T47" s="198"/>
      <c r="U47" s="198"/>
    </row>
    <row r="48" spans="1:21" s="12" customFormat="1" x14ac:dyDescent="0.25">
      <c r="A48" s="63">
        <v>45812.416666666664</v>
      </c>
      <c r="B48" s="60">
        <v>6.92</v>
      </c>
      <c r="C48" s="60">
        <v>24.78</v>
      </c>
      <c r="D48" s="60">
        <v>36.82</v>
      </c>
      <c r="E48" s="60">
        <v>5.94</v>
      </c>
      <c r="F48" s="60">
        <v>7.71</v>
      </c>
      <c r="G48" s="60">
        <v>46.32</v>
      </c>
      <c r="H48" s="60">
        <v>17.170000000000002</v>
      </c>
      <c r="I48" s="60">
        <v>4.05</v>
      </c>
      <c r="J48" s="60">
        <v>0.56000000000000005</v>
      </c>
      <c r="K48" s="60">
        <v>295.64999999999998</v>
      </c>
      <c r="L48" s="60">
        <v>35.57</v>
      </c>
      <c r="M48" s="60">
        <v>37.36</v>
      </c>
      <c r="N48" s="60">
        <v>788.4</v>
      </c>
      <c r="O48" s="60">
        <v>0</v>
      </c>
      <c r="P48" s="60">
        <v>0.57999999999999996</v>
      </c>
      <c r="Q48" s="60">
        <v>9.35</v>
      </c>
      <c r="R48" s="198"/>
      <c r="S48" s="198"/>
      <c r="T48" s="198"/>
      <c r="U48" s="198"/>
    </row>
    <row r="49" spans="1:21" s="12" customFormat="1" x14ac:dyDescent="0.25">
      <c r="A49" s="63">
        <v>45812.427083333336</v>
      </c>
      <c r="B49" s="60">
        <v>5.28</v>
      </c>
      <c r="C49" s="60">
        <v>23.83</v>
      </c>
      <c r="D49" s="60">
        <v>37.5</v>
      </c>
      <c r="E49" s="60">
        <v>6.59</v>
      </c>
      <c r="F49" s="60">
        <v>15.08</v>
      </c>
      <c r="G49" s="60">
        <v>42.54</v>
      </c>
      <c r="H49" s="60">
        <v>16.82</v>
      </c>
      <c r="I49" s="60">
        <v>3.98</v>
      </c>
      <c r="J49" s="60">
        <v>0.64</v>
      </c>
      <c r="K49" s="60">
        <v>298.89</v>
      </c>
      <c r="L49" s="60">
        <v>35.67</v>
      </c>
      <c r="M49" s="60">
        <v>37.19</v>
      </c>
      <c r="N49" s="60">
        <v>806.5</v>
      </c>
      <c r="O49" s="60">
        <v>0</v>
      </c>
      <c r="P49" s="60">
        <v>0.5</v>
      </c>
      <c r="Q49" s="60">
        <v>9.32</v>
      </c>
      <c r="R49" s="198"/>
      <c r="S49" s="198"/>
      <c r="T49" s="198"/>
      <c r="U49" s="198"/>
    </row>
    <row r="50" spans="1:21" s="12" customFormat="1" x14ac:dyDescent="0.25">
      <c r="A50" s="63">
        <v>45812.4375</v>
      </c>
      <c r="B50" s="60">
        <v>6.96</v>
      </c>
      <c r="C50" s="60">
        <v>24.8</v>
      </c>
      <c r="D50" s="60">
        <v>36.78</v>
      </c>
      <c r="E50" s="60">
        <v>6.56</v>
      </c>
      <c r="F50" s="60">
        <v>13.56</v>
      </c>
      <c r="G50" s="60">
        <v>42.54</v>
      </c>
      <c r="H50" s="60">
        <v>16.82</v>
      </c>
      <c r="I50" s="60">
        <v>3.99</v>
      </c>
      <c r="J50" s="60">
        <v>1.1100000000000001</v>
      </c>
      <c r="K50" s="60">
        <v>316.08</v>
      </c>
      <c r="L50" s="60">
        <v>36.880000000000003</v>
      </c>
      <c r="M50" s="60">
        <v>35.44</v>
      </c>
      <c r="N50" s="60">
        <v>839.6</v>
      </c>
      <c r="O50" s="60">
        <v>0</v>
      </c>
      <c r="P50" s="60">
        <v>0.44</v>
      </c>
      <c r="Q50" s="60">
        <v>9.2799999999999994</v>
      </c>
      <c r="R50" s="198"/>
      <c r="S50" s="198"/>
      <c r="T50" s="198"/>
      <c r="U50" s="198"/>
    </row>
    <row r="51" spans="1:21" s="12" customFormat="1" x14ac:dyDescent="0.25">
      <c r="A51" s="63">
        <v>45812.447916666664</v>
      </c>
      <c r="B51" s="60">
        <v>5.27</v>
      </c>
      <c r="C51" s="60">
        <v>23.04</v>
      </c>
      <c r="D51" s="60">
        <v>36.020000000000003</v>
      </c>
      <c r="E51" s="60">
        <v>5.95</v>
      </c>
      <c r="F51" s="60">
        <v>9.41</v>
      </c>
      <c r="G51" s="60">
        <v>42.54</v>
      </c>
      <c r="H51" s="60">
        <v>16.82</v>
      </c>
      <c r="I51" s="60">
        <v>4.1399999999999997</v>
      </c>
      <c r="J51" s="60">
        <v>0.62</v>
      </c>
      <c r="K51" s="60">
        <v>299.58999999999997</v>
      </c>
      <c r="L51" s="60">
        <v>36.549999999999997</v>
      </c>
      <c r="M51" s="60">
        <v>34.979999999999997</v>
      </c>
      <c r="N51" s="60">
        <v>879.4</v>
      </c>
      <c r="O51" s="60">
        <v>0</v>
      </c>
      <c r="P51" s="60">
        <v>0.44</v>
      </c>
      <c r="Q51" s="60">
        <v>9.2899999999999991</v>
      </c>
      <c r="R51" s="198"/>
      <c r="S51" s="198"/>
      <c r="T51" s="198"/>
      <c r="U51" s="198"/>
    </row>
    <row r="52" spans="1:21" s="12" customFormat="1" x14ac:dyDescent="0.25">
      <c r="A52" s="63">
        <v>45812.458333333336</v>
      </c>
      <c r="B52" s="60">
        <v>5.04</v>
      </c>
      <c r="C52" s="60">
        <v>21.51</v>
      </c>
      <c r="D52" s="60">
        <v>33.43</v>
      </c>
      <c r="E52" s="60">
        <v>6.2</v>
      </c>
      <c r="F52" s="60">
        <v>8.6300000000000008</v>
      </c>
      <c r="G52" s="60">
        <v>43.69</v>
      </c>
      <c r="H52" s="60">
        <v>20.57</v>
      </c>
      <c r="I52" s="60">
        <v>3.91</v>
      </c>
      <c r="J52" s="60">
        <v>0.44</v>
      </c>
      <c r="K52" s="60">
        <v>297.69</v>
      </c>
      <c r="L52" s="60">
        <v>36.58</v>
      </c>
      <c r="M52" s="60">
        <v>34.520000000000003</v>
      </c>
      <c r="N52" s="60">
        <v>930.3</v>
      </c>
      <c r="O52" s="60">
        <v>0</v>
      </c>
      <c r="P52" s="60">
        <v>0.43</v>
      </c>
      <c r="Q52" s="60">
        <v>9.2799999999999994</v>
      </c>
      <c r="R52" s="198"/>
      <c r="S52" s="198"/>
      <c r="T52" s="198"/>
      <c r="U52" s="198"/>
    </row>
    <row r="53" spans="1:21" s="12" customFormat="1" x14ac:dyDescent="0.25">
      <c r="A53" s="63">
        <v>45812.46875</v>
      </c>
      <c r="B53" s="60">
        <v>4.8600000000000003</v>
      </c>
      <c r="C53" s="60">
        <v>22.94</v>
      </c>
      <c r="D53" s="60">
        <v>36.450000000000003</v>
      </c>
      <c r="E53" s="60">
        <v>5.93</v>
      </c>
      <c r="F53" s="60">
        <v>7.9</v>
      </c>
      <c r="G53" s="60">
        <v>44.39</v>
      </c>
      <c r="H53" s="60">
        <v>22.85</v>
      </c>
      <c r="I53" s="60">
        <v>4.13</v>
      </c>
      <c r="J53" s="60">
        <v>0.44</v>
      </c>
      <c r="K53" s="60">
        <v>289.22000000000003</v>
      </c>
      <c r="L53" s="60">
        <v>36.369999999999997</v>
      </c>
      <c r="M53" s="60">
        <v>35.21</v>
      </c>
      <c r="N53" s="60">
        <v>926.1</v>
      </c>
      <c r="O53" s="60">
        <v>0</v>
      </c>
      <c r="P53" s="60">
        <v>0.41</v>
      </c>
      <c r="Q53" s="60">
        <v>9.27</v>
      </c>
      <c r="R53" s="198"/>
      <c r="S53" s="198"/>
      <c r="T53" s="198"/>
      <c r="U53" s="198"/>
    </row>
    <row r="54" spans="1:21" s="12" customFormat="1" x14ac:dyDescent="0.25">
      <c r="A54" s="63">
        <v>45812.479166666664</v>
      </c>
      <c r="B54" s="60">
        <v>5.1100000000000003</v>
      </c>
      <c r="C54" s="60">
        <v>21.64</v>
      </c>
      <c r="D54" s="60">
        <v>33.56</v>
      </c>
      <c r="E54" s="60">
        <v>5.75</v>
      </c>
      <c r="F54" s="60">
        <v>9.25</v>
      </c>
      <c r="G54" s="60">
        <v>44.39</v>
      </c>
      <c r="H54" s="60">
        <v>22.85</v>
      </c>
      <c r="I54" s="60">
        <v>3.88</v>
      </c>
      <c r="J54" s="60">
        <v>1.18</v>
      </c>
      <c r="K54" s="60">
        <v>313.35000000000002</v>
      </c>
      <c r="L54" s="60">
        <v>36.950000000000003</v>
      </c>
      <c r="M54" s="60">
        <v>33.76</v>
      </c>
      <c r="N54" s="60">
        <v>907.9</v>
      </c>
      <c r="O54" s="60">
        <v>0</v>
      </c>
      <c r="P54" s="60">
        <v>0.4</v>
      </c>
      <c r="Q54" s="60">
        <v>9.26</v>
      </c>
      <c r="R54" s="198"/>
      <c r="S54" s="198"/>
      <c r="T54" s="198"/>
      <c r="U54" s="198"/>
    </row>
    <row r="55" spans="1:21" s="12" customFormat="1" x14ac:dyDescent="0.25">
      <c r="A55" s="63">
        <v>45812.489583333336</v>
      </c>
      <c r="B55" s="60">
        <v>4.8600000000000003</v>
      </c>
      <c r="C55" s="60">
        <v>22.15</v>
      </c>
      <c r="D55" s="60">
        <v>34.93</v>
      </c>
      <c r="E55" s="60">
        <v>5.52</v>
      </c>
      <c r="F55" s="60">
        <v>9.41</v>
      </c>
      <c r="G55" s="60">
        <v>44.39</v>
      </c>
      <c r="H55" s="60">
        <v>22.85</v>
      </c>
      <c r="I55" s="60">
        <v>4</v>
      </c>
      <c r="J55" s="60">
        <v>0.66</v>
      </c>
      <c r="K55" s="60">
        <v>301.77999999999997</v>
      </c>
      <c r="L55" s="60">
        <v>37.130000000000003</v>
      </c>
      <c r="M55" s="60">
        <v>33.630000000000003</v>
      </c>
      <c r="N55" s="60">
        <v>942.6</v>
      </c>
      <c r="O55" s="60">
        <v>0</v>
      </c>
      <c r="P55" s="60">
        <v>0.38</v>
      </c>
      <c r="Q55" s="60">
        <v>9.25</v>
      </c>
      <c r="R55" s="198"/>
      <c r="S55" s="198"/>
      <c r="T55" s="198"/>
      <c r="U55" s="198"/>
    </row>
    <row r="56" spans="1:21" s="12" customFormat="1" x14ac:dyDescent="0.25">
      <c r="A56" s="63">
        <v>45812.5</v>
      </c>
      <c r="B56" s="60">
        <v>4.88</v>
      </c>
      <c r="C56" s="60">
        <v>21.66</v>
      </c>
      <c r="D56" s="60">
        <v>33.979999999999997</v>
      </c>
      <c r="E56" s="60">
        <v>5.4</v>
      </c>
      <c r="F56" s="60">
        <v>8.9700000000000006</v>
      </c>
      <c r="G56" s="60">
        <v>42.38</v>
      </c>
      <c r="H56" s="60">
        <v>23.39</v>
      </c>
      <c r="I56" s="60">
        <v>3.88</v>
      </c>
      <c r="J56" s="60">
        <v>0.81</v>
      </c>
      <c r="K56" s="60">
        <v>305.99</v>
      </c>
      <c r="L56" s="60">
        <v>37.53</v>
      </c>
      <c r="M56" s="60">
        <v>33.75</v>
      </c>
      <c r="N56" s="60">
        <v>904.1</v>
      </c>
      <c r="O56" s="60">
        <v>0</v>
      </c>
      <c r="P56" s="60">
        <v>0.38</v>
      </c>
      <c r="Q56" s="60">
        <v>9.24</v>
      </c>
      <c r="R56" s="198"/>
      <c r="S56" s="198"/>
      <c r="T56" s="198"/>
      <c r="U56" s="198"/>
    </row>
    <row r="57" spans="1:21" s="12" customFormat="1" x14ac:dyDescent="0.25">
      <c r="A57" s="63">
        <v>45812.510416666664</v>
      </c>
      <c r="B57" s="60">
        <v>6.05</v>
      </c>
      <c r="C57" s="60">
        <v>24.38</v>
      </c>
      <c r="D57" s="60">
        <v>37.380000000000003</v>
      </c>
      <c r="E57" s="60">
        <v>5.87</v>
      </c>
      <c r="F57" s="60">
        <v>9.61</v>
      </c>
      <c r="G57" s="60">
        <v>41.17</v>
      </c>
      <c r="H57" s="60">
        <v>23.72</v>
      </c>
      <c r="I57" s="60">
        <v>4.1100000000000003</v>
      </c>
      <c r="J57" s="60">
        <v>0.71</v>
      </c>
      <c r="K57" s="60">
        <v>316.22000000000003</v>
      </c>
      <c r="L57" s="60">
        <v>37.07</v>
      </c>
      <c r="M57" s="60">
        <v>34.15</v>
      </c>
      <c r="N57" s="60">
        <v>925.6</v>
      </c>
      <c r="O57" s="60">
        <v>0</v>
      </c>
      <c r="P57" s="60">
        <v>0.38</v>
      </c>
      <c r="Q57" s="60">
        <v>9.25</v>
      </c>
      <c r="R57" s="198"/>
      <c r="S57" s="198"/>
      <c r="T57" s="198"/>
      <c r="U57" s="198"/>
    </row>
    <row r="58" spans="1:21" s="12" customFormat="1" x14ac:dyDescent="0.25">
      <c r="A58" s="63">
        <v>45812.520833333336</v>
      </c>
      <c r="B58" s="60">
        <v>5.91</v>
      </c>
      <c r="C58" s="60">
        <v>25.35</v>
      </c>
      <c r="D58" s="60">
        <v>39.450000000000003</v>
      </c>
      <c r="E58" s="60">
        <v>5.72</v>
      </c>
      <c r="F58" s="60">
        <v>9.27</v>
      </c>
      <c r="G58" s="60">
        <v>41.17</v>
      </c>
      <c r="H58" s="60">
        <v>23.72</v>
      </c>
      <c r="I58" s="60">
        <v>3.97</v>
      </c>
      <c r="J58" s="60">
        <v>0.67</v>
      </c>
      <c r="K58" s="60">
        <v>304.75</v>
      </c>
      <c r="L58" s="60">
        <v>37.18</v>
      </c>
      <c r="M58" s="60">
        <v>34.01</v>
      </c>
      <c r="N58" s="60">
        <v>902.9</v>
      </c>
      <c r="O58" s="60">
        <v>0</v>
      </c>
      <c r="P58" s="60">
        <v>0.42</v>
      </c>
      <c r="Q58" s="60">
        <v>9.27</v>
      </c>
      <c r="R58" s="198"/>
      <c r="S58" s="198"/>
      <c r="T58" s="198"/>
      <c r="U58" s="198"/>
    </row>
    <row r="59" spans="1:21" s="12" customFormat="1" x14ac:dyDescent="0.25">
      <c r="A59" s="63">
        <v>45812.53125</v>
      </c>
      <c r="B59" s="60">
        <v>4.68</v>
      </c>
      <c r="C59" s="60">
        <v>26.55</v>
      </c>
      <c r="D59" s="60">
        <v>43.63</v>
      </c>
      <c r="E59" s="60">
        <v>6.05</v>
      </c>
      <c r="F59" s="60">
        <v>10.18</v>
      </c>
      <c r="G59" s="60">
        <v>41.17</v>
      </c>
      <c r="H59" s="60">
        <v>23.72</v>
      </c>
      <c r="I59" s="60">
        <v>4</v>
      </c>
      <c r="J59" s="60">
        <v>0.46</v>
      </c>
      <c r="K59" s="60">
        <v>284.54000000000002</v>
      </c>
      <c r="L59" s="60">
        <v>36.92</v>
      </c>
      <c r="M59" s="60">
        <v>33.590000000000003</v>
      </c>
      <c r="N59" s="60">
        <v>762.2</v>
      </c>
      <c r="O59" s="60">
        <v>0</v>
      </c>
      <c r="P59" s="60">
        <v>0.51</v>
      </c>
      <c r="Q59" s="60">
        <v>9.31</v>
      </c>
      <c r="R59" s="198"/>
      <c r="S59" s="198"/>
      <c r="T59" s="198"/>
      <c r="U59" s="198"/>
    </row>
    <row r="60" spans="1:21" s="12" customFormat="1" x14ac:dyDescent="0.25">
      <c r="A60" s="63">
        <v>45812.541666666664</v>
      </c>
      <c r="B60" s="60">
        <v>4.1900000000000004</v>
      </c>
      <c r="C60" s="60">
        <v>25.36</v>
      </c>
      <c r="D60" s="60">
        <v>42.1</v>
      </c>
      <c r="E60" s="60">
        <v>6.53</v>
      </c>
      <c r="F60" s="60">
        <v>12.39</v>
      </c>
      <c r="G60" s="60">
        <v>43.56</v>
      </c>
      <c r="H60" s="60">
        <v>20.27</v>
      </c>
      <c r="I60" s="60">
        <v>4.1100000000000003</v>
      </c>
      <c r="J60" s="60">
        <v>0.5</v>
      </c>
      <c r="K60" s="60">
        <v>296.70999999999998</v>
      </c>
      <c r="L60" s="60">
        <v>36.18</v>
      </c>
      <c r="M60" s="60">
        <v>34.659999999999997</v>
      </c>
      <c r="N60" s="60">
        <v>617.5</v>
      </c>
      <c r="O60" s="60">
        <v>0</v>
      </c>
      <c r="P60" s="60">
        <v>0.53</v>
      </c>
      <c r="Q60" s="60">
        <v>9.32</v>
      </c>
      <c r="R60" s="198"/>
      <c r="S60" s="198"/>
      <c r="T60" s="198"/>
      <c r="U60" s="198"/>
    </row>
    <row r="61" spans="1:21" s="12" customFormat="1" x14ac:dyDescent="0.25">
      <c r="A61" s="63">
        <v>45812.552083333336</v>
      </c>
      <c r="B61" s="60">
        <v>3.78</v>
      </c>
      <c r="C61" s="60">
        <v>24.49</v>
      </c>
      <c r="D61" s="60">
        <v>41.08</v>
      </c>
      <c r="E61" s="60">
        <v>6.29</v>
      </c>
      <c r="F61" s="60">
        <v>11.77</v>
      </c>
      <c r="G61" s="60">
        <v>45.02</v>
      </c>
      <c r="H61" s="60">
        <v>18.18</v>
      </c>
      <c r="I61" s="60">
        <v>4.04</v>
      </c>
      <c r="J61" s="60">
        <v>0.45</v>
      </c>
      <c r="K61" s="60">
        <v>292.77999999999997</v>
      </c>
      <c r="L61" s="60">
        <v>36</v>
      </c>
      <c r="M61" s="60">
        <v>34.51</v>
      </c>
      <c r="N61" s="60">
        <v>727.2</v>
      </c>
      <c r="O61" s="60">
        <v>0</v>
      </c>
      <c r="P61" s="60">
        <v>0.53</v>
      </c>
      <c r="Q61" s="60">
        <v>9.32</v>
      </c>
      <c r="R61" s="198"/>
      <c r="S61" s="198"/>
      <c r="T61" s="198"/>
      <c r="U61" s="198"/>
    </row>
    <row r="62" spans="1:21" s="12" customFormat="1" x14ac:dyDescent="0.25">
      <c r="A62" s="63">
        <v>45812.5625</v>
      </c>
      <c r="B62" s="60">
        <v>4.0599999999999996</v>
      </c>
      <c r="C62" s="60">
        <v>23.07</v>
      </c>
      <c r="D62" s="60">
        <v>37.93</v>
      </c>
      <c r="E62" s="60">
        <v>6.5</v>
      </c>
      <c r="F62" s="60">
        <v>13.58</v>
      </c>
      <c r="G62" s="60">
        <v>45.02</v>
      </c>
      <c r="H62" s="60">
        <v>18.18</v>
      </c>
      <c r="I62" s="60">
        <v>3.93</v>
      </c>
      <c r="J62" s="60">
        <v>0.54</v>
      </c>
      <c r="K62" s="60">
        <v>305.31</v>
      </c>
      <c r="L62" s="60">
        <v>36.28</v>
      </c>
      <c r="M62" s="60">
        <v>34.24</v>
      </c>
      <c r="N62" s="60">
        <v>418.4</v>
      </c>
      <c r="O62" s="60">
        <v>0</v>
      </c>
      <c r="P62" s="60">
        <v>0.55000000000000004</v>
      </c>
      <c r="Q62" s="60">
        <v>9.3000000000000007</v>
      </c>
      <c r="R62" s="198"/>
      <c r="S62" s="198"/>
      <c r="T62" s="198"/>
      <c r="U62" s="198"/>
    </row>
    <row r="63" spans="1:21" s="12" customFormat="1" x14ac:dyDescent="0.25">
      <c r="A63" s="63">
        <v>45812.572916666664</v>
      </c>
      <c r="B63" s="60">
        <v>3.96</v>
      </c>
      <c r="C63" s="60">
        <v>22.77</v>
      </c>
      <c r="D63" s="60">
        <v>37.51</v>
      </c>
      <c r="E63" s="60">
        <v>7.95</v>
      </c>
      <c r="F63" s="60">
        <v>18.88</v>
      </c>
      <c r="G63" s="60">
        <v>45.02</v>
      </c>
      <c r="H63" s="60">
        <v>18.18</v>
      </c>
      <c r="I63" s="60">
        <v>3.89</v>
      </c>
      <c r="J63" s="60">
        <v>0.53</v>
      </c>
      <c r="K63" s="60">
        <v>294.85000000000002</v>
      </c>
      <c r="L63" s="60">
        <v>36.590000000000003</v>
      </c>
      <c r="M63" s="60">
        <v>33.64</v>
      </c>
      <c r="N63" s="60">
        <v>353</v>
      </c>
      <c r="O63" s="60">
        <v>0</v>
      </c>
      <c r="P63" s="60">
        <v>0.49</v>
      </c>
      <c r="Q63" s="60">
        <v>9.3000000000000007</v>
      </c>
      <c r="R63" s="198"/>
      <c r="S63" s="198"/>
      <c r="T63" s="198"/>
      <c r="U63" s="198"/>
    </row>
    <row r="64" spans="1:21" s="12" customFormat="1" x14ac:dyDescent="0.25">
      <c r="A64" s="63">
        <v>45812.583333333336</v>
      </c>
      <c r="B64" s="60">
        <v>4.24</v>
      </c>
      <c r="C64" s="60">
        <v>23.99</v>
      </c>
      <c r="D64" s="60">
        <v>39.409999999999997</v>
      </c>
      <c r="E64" s="60">
        <v>6.79</v>
      </c>
      <c r="F64" s="60">
        <v>13.62</v>
      </c>
      <c r="G64" s="60">
        <v>47.48</v>
      </c>
      <c r="H64" s="60">
        <v>20.93</v>
      </c>
      <c r="I64" s="60">
        <v>3.92</v>
      </c>
      <c r="J64" s="60">
        <v>0.49</v>
      </c>
      <c r="K64" s="60">
        <v>295.33</v>
      </c>
      <c r="L64" s="60">
        <v>36.03</v>
      </c>
      <c r="M64" s="60">
        <v>33.409999999999997</v>
      </c>
      <c r="N64" s="60">
        <v>365.4</v>
      </c>
      <c r="O64" s="60">
        <v>0</v>
      </c>
      <c r="P64" s="60">
        <v>0.49</v>
      </c>
      <c r="Q64" s="60">
        <v>9.3000000000000007</v>
      </c>
      <c r="R64" s="198"/>
      <c r="S64" s="198"/>
      <c r="T64" s="198"/>
      <c r="U64" s="198"/>
    </row>
    <row r="65" spans="1:21" s="12" customFormat="1" x14ac:dyDescent="0.25">
      <c r="A65" s="63">
        <v>45812.59375</v>
      </c>
      <c r="B65" s="60">
        <v>3.97</v>
      </c>
      <c r="C65" s="60">
        <v>21.42</v>
      </c>
      <c r="D65" s="60">
        <v>34.909999999999997</v>
      </c>
      <c r="E65" s="60">
        <v>6.45</v>
      </c>
      <c r="F65" s="60">
        <v>13.92</v>
      </c>
      <c r="G65" s="60">
        <v>48.97</v>
      </c>
      <c r="H65" s="60">
        <v>22.6</v>
      </c>
      <c r="I65" s="60">
        <v>4.0199999999999996</v>
      </c>
      <c r="J65" s="60">
        <v>0.47</v>
      </c>
      <c r="K65" s="60">
        <v>294.92</v>
      </c>
      <c r="L65" s="60">
        <v>35.090000000000003</v>
      </c>
      <c r="M65" s="60">
        <v>33.64</v>
      </c>
      <c r="N65" s="60">
        <v>421.8</v>
      </c>
      <c r="O65" s="60">
        <v>0</v>
      </c>
      <c r="P65" s="60">
        <v>0.45</v>
      </c>
      <c r="Q65" s="60">
        <v>9.2899999999999991</v>
      </c>
      <c r="R65" s="198"/>
      <c r="S65" s="198"/>
      <c r="T65" s="198"/>
      <c r="U65" s="198"/>
    </row>
    <row r="66" spans="1:21" s="12" customFormat="1" x14ac:dyDescent="0.25">
      <c r="A66" s="63">
        <v>45812.604166666664</v>
      </c>
      <c r="B66" s="60">
        <v>4.1399999999999997</v>
      </c>
      <c r="C66" s="60">
        <v>19.7</v>
      </c>
      <c r="D66" s="60">
        <v>31.34</v>
      </c>
      <c r="E66" s="60">
        <v>6.37</v>
      </c>
      <c r="F66" s="60">
        <v>12.39</v>
      </c>
      <c r="G66" s="60">
        <v>48.97</v>
      </c>
      <c r="H66" s="60">
        <v>22.6</v>
      </c>
      <c r="I66" s="60">
        <v>4.1500000000000004</v>
      </c>
      <c r="J66" s="60">
        <v>0.44</v>
      </c>
      <c r="K66" s="60">
        <v>290.24</v>
      </c>
      <c r="L66" s="60">
        <v>35.4</v>
      </c>
      <c r="M66" s="60">
        <v>33.32</v>
      </c>
      <c r="N66" s="60">
        <v>217.5</v>
      </c>
      <c r="O66" s="60">
        <v>0</v>
      </c>
      <c r="P66" s="60">
        <v>0.43</v>
      </c>
      <c r="Q66" s="60">
        <v>9.2899999999999991</v>
      </c>
      <c r="R66" s="198"/>
      <c r="S66" s="198"/>
      <c r="T66" s="198"/>
      <c r="U66" s="198"/>
    </row>
    <row r="67" spans="1:21" s="12" customFormat="1" x14ac:dyDescent="0.25">
      <c r="A67" s="63">
        <v>45812.614583333336</v>
      </c>
      <c r="B67" s="60">
        <v>4.3499999999999996</v>
      </c>
      <c r="C67" s="60">
        <v>19.46</v>
      </c>
      <c r="D67" s="60">
        <v>30.57</v>
      </c>
      <c r="E67" s="60">
        <v>6.4</v>
      </c>
      <c r="F67" s="60">
        <v>7.78</v>
      </c>
      <c r="G67" s="60">
        <v>48.97</v>
      </c>
      <c r="H67" s="60">
        <v>22.6</v>
      </c>
      <c r="I67" s="60">
        <v>4.05</v>
      </c>
      <c r="J67" s="60">
        <v>0.56999999999999995</v>
      </c>
      <c r="K67" s="60">
        <v>297.66000000000003</v>
      </c>
      <c r="L67" s="60">
        <v>35.450000000000003</v>
      </c>
      <c r="M67" s="60">
        <v>33.89</v>
      </c>
      <c r="N67" s="60">
        <v>395.4</v>
      </c>
      <c r="O67" s="60">
        <v>0</v>
      </c>
      <c r="P67" s="60">
        <v>0.41</v>
      </c>
      <c r="Q67" s="60">
        <v>9.2899999999999991</v>
      </c>
      <c r="R67" s="198"/>
      <c r="S67" s="198"/>
      <c r="T67" s="198"/>
      <c r="U67" s="198"/>
    </row>
    <row r="68" spans="1:21" s="12" customFormat="1" x14ac:dyDescent="0.25">
      <c r="A68" s="63">
        <v>45812.625</v>
      </c>
      <c r="B68" s="60">
        <v>5.9</v>
      </c>
      <c r="C68" s="60">
        <v>20.82</v>
      </c>
      <c r="D68" s="60">
        <v>30.79</v>
      </c>
      <c r="E68" s="60">
        <v>6.47</v>
      </c>
      <c r="F68" s="60">
        <v>14.19</v>
      </c>
      <c r="G68" s="60">
        <v>50.66</v>
      </c>
      <c r="H68" s="60">
        <v>15.5</v>
      </c>
      <c r="I68" s="60">
        <v>4.17</v>
      </c>
      <c r="J68" s="60">
        <v>0.54</v>
      </c>
      <c r="K68" s="60">
        <v>304.14999999999998</v>
      </c>
      <c r="L68" s="60">
        <v>35.83</v>
      </c>
      <c r="M68" s="60">
        <v>33.94</v>
      </c>
      <c r="N68" s="60">
        <v>273.89999999999998</v>
      </c>
      <c r="O68" s="60">
        <v>0</v>
      </c>
      <c r="P68" s="60">
        <v>0.37</v>
      </c>
      <c r="Q68" s="60">
        <v>9.2799999999999994</v>
      </c>
      <c r="R68" s="198"/>
      <c r="S68" s="198"/>
      <c r="T68" s="198"/>
      <c r="U68" s="198"/>
    </row>
    <row r="69" spans="1:21" s="12" customFormat="1" x14ac:dyDescent="0.25">
      <c r="A69" s="63">
        <v>45812.635416666664</v>
      </c>
      <c r="B69" s="60">
        <v>4.5199999999999996</v>
      </c>
      <c r="C69" s="60">
        <v>19.850000000000001</v>
      </c>
      <c r="D69" s="60">
        <v>31.05</v>
      </c>
      <c r="E69" s="60">
        <v>6.2</v>
      </c>
      <c r="F69" s="60">
        <v>12.54</v>
      </c>
      <c r="G69" s="60">
        <v>51.68</v>
      </c>
      <c r="H69" s="60">
        <v>11.19</v>
      </c>
      <c r="I69" s="60">
        <v>4.01</v>
      </c>
      <c r="J69" s="60">
        <v>0.48</v>
      </c>
      <c r="K69" s="60">
        <v>297.48</v>
      </c>
      <c r="L69" s="60">
        <v>35.69</v>
      </c>
      <c r="M69" s="60">
        <v>32.090000000000003</v>
      </c>
      <c r="N69" s="60">
        <v>309.89999999999998</v>
      </c>
      <c r="O69" s="60">
        <v>0</v>
      </c>
      <c r="P69" s="60">
        <v>0.35</v>
      </c>
      <c r="Q69" s="60">
        <v>9.27</v>
      </c>
      <c r="R69" s="198"/>
      <c r="S69" s="198"/>
      <c r="T69" s="198"/>
      <c r="U69" s="198"/>
    </row>
    <row r="70" spans="1:21" s="12" customFormat="1" x14ac:dyDescent="0.25">
      <c r="A70" s="63">
        <v>45812.645833333336</v>
      </c>
      <c r="B70" s="60">
        <v>4.49</v>
      </c>
      <c r="C70" s="60">
        <v>20.420000000000002</v>
      </c>
      <c r="D70" s="60">
        <v>32.19</v>
      </c>
      <c r="E70" s="60">
        <v>6.21</v>
      </c>
      <c r="F70" s="60">
        <v>9.6</v>
      </c>
      <c r="G70" s="60">
        <v>51.68</v>
      </c>
      <c r="H70" s="60">
        <v>11.19</v>
      </c>
      <c r="I70" s="60">
        <v>4.2</v>
      </c>
      <c r="J70" s="60">
        <v>0.56000000000000005</v>
      </c>
      <c r="K70" s="60">
        <v>286.38</v>
      </c>
      <c r="L70" s="60">
        <v>35.76</v>
      </c>
      <c r="M70" s="60">
        <v>31.54</v>
      </c>
      <c r="N70" s="60">
        <v>429.8</v>
      </c>
      <c r="O70" s="60">
        <v>0</v>
      </c>
      <c r="P70" s="60">
        <v>0.34</v>
      </c>
      <c r="Q70" s="60">
        <v>9.27</v>
      </c>
      <c r="R70" s="198"/>
      <c r="S70" s="198"/>
      <c r="T70" s="198"/>
      <c r="U70" s="198"/>
    </row>
    <row r="71" spans="1:21" s="12" customFormat="1" x14ac:dyDescent="0.25">
      <c r="A71" s="63">
        <v>45812.65625</v>
      </c>
      <c r="B71" s="60">
        <v>3.96</v>
      </c>
      <c r="C71" s="60">
        <v>20.14</v>
      </c>
      <c r="D71" s="60">
        <v>32.479999999999997</v>
      </c>
      <c r="E71" s="60">
        <v>6.13</v>
      </c>
      <c r="F71" s="60">
        <v>10.92</v>
      </c>
      <c r="G71" s="60">
        <v>51.68</v>
      </c>
      <c r="H71" s="60">
        <v>11.19</v>
      </c>
      <c r="I71" s="60">
        <v>3.93</v>
      </c>
      <c r="J71" s="60">
        <v>0.39</v>
      </c>
      <c r="K71" s="60">
        <v>280.67</v>
      </c>
      <c r="L71" s="60">
        <v>34.83</v>
      </c>
      <c r="M71" s="60">
        <v>32.909999999999997</v>
      </c>
      <c r="N71" s="60">
        <v>262.89999999999998</v>
      </c>
      <c r="O71" s="60">
        <v>0</v>
      </c>
      <c r="P71" s="60">
        <v>0.33</v>
      </c>
      <c r="Q71" s="60">
        <v>9.26</v>
      </c>
      <c r="R71" s="198"/>
      <c r="S71" s="198"/>
      <c r="T71" s="198"/>
      <c r="U71" s="198"/>
    </row>
    <row r="72" spans="1:21" s="12" customFormat="1" x14ac:dyDescent="0.25">
      <c r="A72" s="63">
        <v>45812.666666666664</v>
      </c>
      <c r="B72" s="60">
        <v>3.82</v>
      </c>
      <c r="C72" s="60">
        <v>19.329999999999998</v>
      </c>
      <c r="D72" s="60">
        <v>31.14</v>
      </c>
      <c r="E72" s="60">
        <v>5.23</v>
      </c>
      <c r="F72" s="60">
        <v>11.58</v>
      </c>
      <c r="G72" s="60">
        <v>50.95</v>
      </c>
      <c r="H72" s="60">
        <v>13.36</v>
      </c>
      <c r="I72" s="60">
        <v>3.92</v>
      </c>
      <c r="J72" s="60">
        <v>0.34</v>
      </c>
      <c r="K72" s="60">
        <v>280.02</v>
      </c>
      <c r="L72" s="60">
        <v>34.380000000000003</v>
      </c>
      <c r="M72" s="60">
        <v>34.299999999999997</v>
      </c>
      <c r="N72" s="60">
        <v>171.6</v>
      </c>
      <c r="O72" s="60">
        <v>0</v>
      </c>
      <c r="P72" s="60">
        <v>0.32</v>
      </c>
      <c r="Q72" s="60">
        <v>9.25</v>
      </c>
      <c r="R72" s="198"/>
      <c r="S72" s="198"/>
      <c r="T72" s="198"/>
      <c r="U72" s="198"/>
    </row>
    <row r="73" spans="1:21" s="12" customFormat="1" x14ac:dyDescent="0.25">
      <c r="A73" s="63">
        <v>45812.677083333336</v>
      </c>
      <c r="B73" s="60">
        <v>3.75</v>
      </c>
      <c r="C73" s="60">
        <v>19.11</v>
      </c>
      <c r="D73" s="60">
        <v>30.81</v>
      </c>
      <c r="E73" s="60">
        <v>5.77</v>
      </c>
      <c r="F73" s="60">
        <v>11.26</v>
      </c>
      <c r="G73" s="60">
        <v>50.5</v>
      </c>
      <c r="H73" s="60">
        <v>14.69</v>
      </c>
      <c r="I73" s="60">
        <v>4.01</v>
      </c>
      <c r="J73" s="60">
        <v>0.28999999999999998</v>
      </c>
      <c r="K73" s="60">
        <v>276.43</v>
      </c>
      <c r="L73" s="60">
        <v>33.979999999999997</v>
      </c>
      <c r="M73" s="60">
        <v>34.68</v>
      </c>
      <c r="N73" s="60">
        <v>190.8</v>
      </c>
      <c r="O73" s="60">
        <v>0</v>
      </c>
      <c r="P73" s="60">
        <v>0.33</v>
      </c>
      <c r="Q73" s="60">
        <v>9.24</v>
      </c>
      <c r="R73" s="198"/>
      <c r="S73" s="198"/>
      <c r="T73" s="198"/>
      <c r="U73" s="198"/>
    </row>
    <row r="74" spans="1:21" s="12" customFormat="1" x14ac:dyDescent="0.25">
      <c r="A74" s="63">
        <v>45812.6875</v>
      </c>
      <c r="B74" s="60">
        <v>3.84</v>
      </c>
      <c r="C74" s="60">
        <v>19.54</v>
      </c>
      <c r="D74" s="60">
        <v>31.5</v>
      </c>
      <c r="E74" s="60">
        <v>5.57</v>
      </c>
      <c r="F74" s="60">
        <v>10.45</v>
      </c>
      <c r="G74" s="60">
        <v>50.5</v>
      </c>
      <c r="H74" s="60">
        <v>14.69</v>
      </c>
      <c r="I74" s="60">
        <v>3.97</v>
      </c>
      <c r="J74" s="60">
        <v>0.38</v>
      </c>
      <c r="K74" s="60">
        <v>286.83999999999997</v>
      </c>
      <c r="L74" s="60">
        <v>34.06</v>
      </c>
      <c r="M74" s="60">
        <v>34.229999999999997</v>
      </c>
      <c r="N74" s="60">
        <v>186.2</v>
      </c>
      <c r="O74" s="60">
        <v>0</v>
      </c>
      <c r="P74" s="60">
        <v>0.38</v>
      </c>
      <c r="Q74" s="60">
        <v>9.2200000000000006</v>
      </c>
      <c r="R74" s="198"/>
      <c r="S74" s="198"/>
      <c r="T74" s="198"/>
      <c r="U74" s="198"/>
    </row>
    <row r="75" spans="1:21" s="12" customFormat="1" x14ac:dyDescent="0.25">
      <c r="A75" s="63">
        <v>45812.697916666664</v>
      </c>
      <c r="B75" s="60">
        <v>4.55</v>
      </c>
      <c r="C75" s="60">
        <v>23</v>
      </c>
      <c r="D75" s="60">
        <v>37.03</v>
      </c>
      <c r="E75" s="60">
        <v>5.97</v>
      </c>
      <c r="F75" s="60">
        <v>10.93</v>
      </c>
      <c r="G75" s="60">
        <v>50.5</v>
      </c>
      <c r="H75" s="60">
        <v>14.69</v>
      </c>
      <c r="I75" s="60">
        <v>3.92</v>
      </c>
      <c r="J75" s="60">
        <v>0.45</v>
      </c>
      <c r="K75" s="60">
        <v>293.99</v>
      </c>
      <c r="L75" s="60">
        <v>34.33</v>
      </c>
      <c r="M75" s="60">
        <v>33.61</v>
      </c>
      <c r="N75" s="60">
        <v>120.2</v>
      </c>
      <c r="O75" s="60">
        <v>0</v>
      </c>
      <c r="P75" s="60">
        <v>0.46</v>
      </c>
      <c r="Q75" s="60">
        <v>9.23</v>
      </c>
      <c r="R75" s="198"/>
      <c r="S75" s="198"/>
      <c r="T75" s="198"/>
      <c r="U75" s="198"/>
    </row>
    <row r="76" spans="1:21" s="12" customFormat="1" x14ac:dyDescent="0.25">
      <c r="A76" s="63">
        <v>45812.708333333336</v>
      </c>
      <c r="B76" s="60">
        <v>4.26</v>
      </c>
      <c r="C76" s="60">
        <v>20.86</v>
      </c>
      <c r="D76" s="60">
        <v>33.380000000000003</v>
      </c>
      <c r="E76" s="60">
        <v>5.83</v>
      </c>
      <c r="F76" s="60">
        <v>10.73</v>
      </c>
      <c r="G76" s="60">
        <v>44.17</v>
      </c>
      <c r="H76" s="60">
        <v>13.06</v>
      </c>
      <c r="I76" s="60">
        <v>4.07</v>
      </c>
      <c r="J76" s="60">
        <v>0.31</v>
      </c>
      <c r="K76" s="60">
        <v>295.83</v>
      </c>
      <c r="L76" s="60">
        <v>34.08</v>
      </c>
      <c r="M76" s="60">
        <v>33.340000000000003</v>
      </c>
      <c r="N76" s="60">
        <v>112</v>
      </c>
      <c r="O76" s="60">
        <v>0</v>
      </c>
      <c r="P76" s="60">
        <v>0.49</v>
      </c>
      <c r="Q76" s="60">
        <v>9.24</v>
      </c>
      <c r="R76" s="198"/>
      <c r="S76" s="198"/>
      <c r="T76" s="198"/>
      <c r="U76" s="198"/>
    </row>
    <row r="77" spans="1:21" s="12" customFormat="1" x14ac:dyDescent="0.25">
      <c r="A77" s="63">
        <v>45812.71875</v>
      </c>
      <c r="B77" s="60">
        <v>4.2699999999999996</v>
      </c>
      <c r="C77" s="60">
        <v>21.65</v>
      </c>
      <c r="D77" s="60">
        <v>34.89</v>
      </c>
      <c r="E77" s="60">
        <v>5.37</v>
      </c>
      <c r="F77" s="60">
        <v>9.99</v>
      </c>
      <c r="G77" s="60">
        <v>40.33</v>
      </c>
      <c r="H77" s="60">
        <v>12.08</v>
      </c>
      <c r="I77" s="60">
        <v>4.04</v>
      </c>
      <c r="J77" s="60">
        <v>0.31</v>
      </c>
      <c r="K77" s="60">
        <v>290.83</v>
      </c>
      <c r="L77" s="60">
        <v>34.090000000000003</v>
      </c>
      <c r="M77" s="60">
        <v>32.28</v>
      </c>
      <c r="N77" s="60">
        <v>103</v>
      </c>
      <c r="O77" s="60">
        <v>0</v>
      </c>
      <c r="P77" s="60">
        <v>0.51</v>
      </c>
      <c r="Q77" s="60">
        <v>9.23</v>
      </c>
      <c r="R77" s="198"/>
      <c r="S77" s="198"/>
      <c r="T77" s="198"/>
      <c r="U77" s="198"/>
    </row>
    <row r="78" spans="1:21" s="12" customFormat="1" x14ac:dyDescent="0.25">
      <c r="A78" s="63">
        <v>45812.729166666664</v>
      </c>
      <c r="B78" s="60">
        <v>4.8</v>
      </c>
      <c r="C78" s="60">
        <v>22.89</v>
      </c>
      <c r="D78" s="60">
        <v>36.44</v>
      </c>
      <c r="E78" s="60">
        <v>5.74</v>
      </c>
      <c r="F78" s="60">
        <v>11.03</v>
      </c>
      <c r="G78" s="60">
        <v>40.33</v>
      </c>
      <c r="H78" s="60">
        <v>12.08</v>
      </c>
      <c r="I78" s="60">
        <v>4.08</v>
      </c>
      <c r="J78" s="60">
        <v>0.32</v>
      </c>
      <c r="K78" s="60">
        <v>301.87</v>
      </c>
      <c r="L78" s="60">
        <v>33.82</v>
      </c>
      <c r="M78" s="60">
        <v>32.86</v>
      </c>
      <c r="N78" s="60">
        <v>92.3</v>
      </c>
      <c r="O78" s="60">
        <v>0</v>
      </c>
      <c r="P78" s="60">
        <v>0.48</v>
      </c>
      <c r="Q78" s="60">
        <v>9.24</v>
      </c>
      <c r="R78" s="198"/>
      <c r="S78" s="198"/>
      <c r="T78" s="198"/>
      <c r="U78" s="198"/>
    </row>
    <row r="79" spans="1:21" s="12" customFormat="1" x14ac:dyDescent="0.25">
      <c r="A79" s="63">
        <v>45812.739583333336</v>
      </c>
      <c r="B79" s="60">
        <v>5.15</v>
      </c>
      <c r="C79" s="60">
        <v>25.78</v>
      </c>
      <c r="D79" s="60">
        <v>41.44</v>
      </c>
      <c r="E79" s="60">
        <v>5.57</v>
      </c>
      <c r="F79" s="60">
        <v>8.4499999999999993</v>
      </c>
      <c r="G79" s="60">
        <v>40.33</v>
      </c>
      <c r="H79" s="60">
        <v>12.08</v>
      </c>
      <c r="I79" s="60">
        <v>3.94</v>
      </c>
      <c r="J79" s="60">
        <v>0.26</v>
      </c>
      <c r="K79" s="60">
        <v>305.17</v>
      </c>
      <c r="L79" s="60">
        <v>33.58</v>
      </c>
      <c r="M79" s="60">
        <v>33.69</v>
      </c>
      <c r="N79" s="60">
        <v>81.2</v>
      </c>
      <c r="O79" s="60">
        <v>0</v>
      </c>
      <c r="P79" s="60">
        <v>0.51</v>
      </c>
      <c r="Q79" s="60">
        <v>9.25</v>
      </c>
      <c r="R79" s="198"/>
      <c r="S79" s="198"/>
      <c r="T79" s="198"/>
      <c r="U79" s="198"/>
    </row>
    <row r="80" spans="1:21" s="12" customFormat="1" x14ac:dyDescent="0.25">
      <c r="A80" s="63">
        <v>45812.75</v>
      </c>
      <c r="B80" s="60">
        <v>4.76</v>
      </c>
      <c r="C80" s="60">
        <v>26.79</v>
      </c>
      <c r="D80" s="60">
        <v>43.98</v>
      </c>
      <c r="E80" s="60">
        <v>6.06</v>
      </c>
      <c r="F80" s="60">
        <v>9.41</v>
      </c>
      <c r="G80" s="60">
        <v>47.9</v>
      </c>
      <c r="H80" s="60">
        <v>11.13</v>
      </c>
      <c r="I80" s="60">
        <v>3.83</v>
      </c>
      <c r="J80" s="60">
        <v>0.18</v>
      </c>
      <c r="K80" s="60">
        <v>314.93</v>
      </c>
      <c r="L80" s="60">
        <v>33.35</v>
      </c>
      <c r="M80" s="60">
        <v>34.85</v>
      </c>
      <c r="N80" s="60">
        <v>73.400000000000006</v>
      </c>
      <c r="O80" s="60">
        <v>0</v>
      </c>
      <c r="P80" s="60">
        <v>0.55000000000000004</v>
      </c>
      <c r="Q80" s="60">
        <v>9.2899999999999991</v>
      </c>
      <c r="R80" s="198"/>
      <c r="S80" s="198"/>
      <c r="T80" s="198"/>
      <c r="U80" s="198"/>
    </row>
    <row r="81" spans="1:26" s="12" customFormat="1" x14ac:dyDescent="0.25">
      <c r="A81" s="63">
        <v>45812.760416666664</v>
      </c>
      <c r="B81" s="60">
        <v>5.25</v>
      </c>
      <c r="C81" s="60">
        <v>27.57</v>
      </c>
      <c r="D81" s="60">
        <v>44.71</v>
      </c>
      <c r="E81" s="60">
        <v>6.46</v>
      </c>
      <c r="F81" s="60">
        <v>16.47</v>
      </c>
      <c r="G81" s="60">
        <v>52.51</v>
      </c>
      <c r="H81" s="60">
        <v>10.56</v>
      </c>
      <c r="I81" s="60">
        <v>4.1100000000000003</v>
      </c>
      <c r="J81" s="60">
        <v>0.36</v>
      </c>
      <c r="K81" s="60">
        <v>309.39999999999998</v>
      </c>
      <c r="L81" s="60">
        <v>32.92</v>
      </c>
      <c r="M81" s="60">
        <v>37.090000000000003</v>
      </c>
      <c r="N81" s="60">
        <v>60.7</v>
      </c>
      <c r="O81" s="60">
        <v>0</v>
      </c>
      <c r="P81" s="60">
        <v>0.56000000000000005</v>
      </c>
      <c r="Q81" s="60">
        <v>9.33</v>
      </c>
      <c r="R81" s="198"/>
      <c r="S81" s="198"/>
      <c r="T81" s="198"/>
      <c r="U81" s="198"/>
    </row>
    <row r="82" spans="1:26" s="12" customFormat="1" x14ac:dyDescent="0.25">
      <c r="A82" s="63">
        <v>45812.770833333336</v>
      </c>
      <c r="B82" s="60">
        <v>6.05</v>
      </c>
      <c r="C82" s="60">
        <v>28.46</v>
      </c>
      <c r="D82" s="60">
        <v>45.19</v>
      </c>
      <c r="E82" s="60">
        <v>5.7</v>
      </c>
      <c r="F82" s="60">
        <v>10.97</v>
      </c>
      <c r="G82" s="60">
        <v>52.51</v>
      </c>
      <c r="H82" s="60">
        <v>10.56</v>
      </c>
      <c r="I82" s="60">
        <v>4.0599999999999996</v>
      </c>
      <c r="J82" s="60">
        <v>0.69</v>
      </c>
      <c r="K82" s="60">
        <v>311.22000000000003</v>
      </c>
      <c r="L82" s="60">
        <v>32.46</v>
      </c>
      <c r="M82" s="60">
        <v>39.520000000000003</v>
      </c>
      <c r="N82" s="60">
        <v>49.6</v>
      </c>
      <c r="O82" s="60">
        <v>0</v>
      </c>
      <c r="P82" s="60">
        <v>0.56000000000000005</v>
      </c>
      <c r="Q82" s="60">
        <v>9.36</v>
      </c>
      <c r="R82" s="198"/>
      <c r="S82" s="198"/>
      <c r="T82" s="198"/>
      <c r="U82" s="198"/>
    </row>
    <row r="83" spans="1:26" s="12" customFormat="1" x14ac:dyDescent="0.25">
      <c r="A83" s="63">
        <v>45812.78125</v>
      </c>
      <c r="B83" s="60">
        <v>5.78</v>
      </c>
      <c r="C83" s="60">
        <v>27.89</v>
      </c>
      <c r="D83" s="60">
        <v>44.51</v>
      </c>
      <c r="E83" s="60">
        <v>8.31</v>
      </c>
      <c r="F83" s="60">
        <v>9.84</v>
      </c>
      <c r="G83" s="60">
        <v>52.51</v>
      </c>
      <c r="H83" s="60">
        <v>10.56</v>
      </c>
      <c r="I83" s="60">
        <v>4.12</v>
      </c>
      <c r="J83" s="60">
        <v>0.65</v>
      </c>
      <c r="K83" s="60">
        <v>308.45999999999998</v>
      </c>
      <c r="L83" s="60">
        <v>31.99</v>
      </c>
      <c r="M83" s="60">
        <v>40.57</v>
      </c>
      <c r="N83" s="60">
        <v>44.8</v>
      </c>
      <c r="O83" s="60">
        <v>0</v>
      </c>
      <c r="P83" s="60">
        <v>0.67</v>
      </c>
      <c r="Q83" s="60">
        <v>9.41</v>
      </c>
      <c r="R83" s="198"/>
      <c r="S83" s="198"/>
      <c r="T83" s="198"/>
      <c r="U83" s="198"/>
    </row>
    <row r="84" spans="1:26" s="12" customFormat="1" x14ac:dyDescent="0.25">
      <c r="A84" s="63">
        <v>45812.791666666664</v>
      </c>
      <c r="B84" s="60">
        <v>5.27</v>
      </c>
      <c r="C84" s="60">
        <v>27</v>
      </c>
      <c r="D84" s="60">
        <v>43.6</v>
      </c>
      <c r="E84" s="60">
        <v>6.39</v>
      </c>
      <c r="F84" s="60">
        <v>8.7799999999999994</v>
      </c>
      <c r="G84" s="60">
        <v>54.81</v>
      </c>
      <c r="H84" s="60">
        <v>15.36</v>
      </c>
      <c r="I84" s="60">
        <v>3.87</v>
      </c>
      <c r="J84" s="60">
        <v>0.48</v>
      </c>
      <c r="K84" s="60">
        <v>310.37</v>
      </c>
      <c r="L84" s="60">
        <v>31.64</v>
      </c>
      <c r="M84" s="60">
        <v>41.63</v>
      </c>
      <c r="N84" s="60">
        <v>43.2</v>
      </c>
      <c r="O84" s="60">
        <v>0</v>
      </c>
      <c r="P84" s="60">
        <v>0.66</v>
      </c>
      <c r="Q84" s="60">
        <v>9.42</v>
      </c>
      <c r="R84" s="198"/>
      <c r="S84" s="198"/>
      <c r="T84" s="198"/>
      <c r="U84" s="198"/>
    </row>
    <row r="85" spans="1:26" s="12" customFormat="1" x14ac:dyDescent="0.25">
      <c r="A85" s="63">
        <v>45812.802083333336</v>
      </c>
      <c r="B85" s="60">
        <v>8.1300000000000008</v>
      </c>
      <c r="C85" s="60">
        <v>28.99</v>
      </c>
      <c r="D85" s="60">
        <v>43</v>
      </c>
      <c r="E85" s="60">
        <v>5.9</v>
      </c>
      <c r="F85" s="60">
        <v>12.8</v>
      </c>
      <c r="G85" s="60">
        <v>56.21</v>
      </c>
      <c r="H85" s="60">
        <v>18.28</v>
      </c>
      <c r="I85" s="60">
        <v>3.87</v>
      </c>
      <c r="J85" s="60">
        <v>0.42</v>
      </c>
      <c r="K85" s="60">
        <v>310.63</v>
      </c>
      <c r="L85" s="60">
        <v>31.27</v>
      </c>
      <c r="M85" s="60">
        <v>42.69</v>
      </c>
      <c r="N85" s="60">
        <v>42.9</v>
      </c>
      <c r="O85" s="60">
        <v>0</v>
      </c>
      <c r="P85" s="60">
        <v>0.57999999999999996</v>
      </c>
      <c r="Q85" s="60">
        <v>9.42</v>
      </c>
      <c r="R85" s="198"/>
      <c r="S85" s="198"/>
      <c r="T85" s="198"/>
      <c r="U85" s="198"/>
    </row>
    <row r="86" spans="1:26" s="12" customFormat="1" x14ac:dyDescent="0.25">
      <c r="A86" s="63">
        <v>45812.8125</v>
      </c>
      <c r="B86" s="60">
        <v>7.58</v>
      </c>
      <c r="C86" s="60">
        <v>27.55</v>
      </c>
      <c r="D86" s="60">
        <v>41.09</v>
      </c>
      <c r="E86" s="60">
        <v>6.12</v>
      </c>
      <c r="F86" s="60">
        <v>9.1199999999999992</v>
      </c>
      <c r="G86" s="60">
        <v>56.21</v>
      </c>
      <c r="H86" s="60">
        <v>18.28</v>
      </c>
      <c r="I86" s="60">
        <v>3.87</v>
      </c>
      <c r="J86" s="60">
        <v>0.78</v>
      </c>
      <c r="K86" s="60">
        <v>317.64999999999998</v>
      </c>
      <c r="L86" s="60">
        <v>30.88</v>
      </c>
      <c r="M86" s="60">
        <v>44.22</v>
      </c>
      <c r="N86" s="60">
        <v>42.4</v>
      </c>
      <c r="O86" s="60">
        <v>0</v>
      </c>
      <c r="P86" s="60">
        <v>0.63</v>
      </c>
      <c r="Q86" s="60">
        <v>9.43</v>
      </c>
      <c r="R86" s="198"/>
      <c r="S86" s="198"/>
      <c r="T86" s="198"/>
      <c r="U86" s="198"/>
    </row>
    <row r="87" spans="1:26" s="12" customFormat="1" x14ac:dyDescent="0.25">
      <c r="A87" s="63">
        <v>45812.822916666664</v>
      </c>
      <c r="B87" s="60">
        <v>8.1199999999999992</v>
      </c>
      <c r="C87" s="60">
        <v>26.5</v>
      </c>
      <c r="D87" s="60">
        <v>38.26</v>
      </c>
      <c r="E87" s="60">
        <v>5.88</v>
      </c>
      <c r="F87" s="60">
        <v>9.61</v>
      </c>
      <c r="G87" s="60">
        <v>56.21</v>
      </c>
      <c r="H87" s="60">
        <v>18.28</v>
      </c>
      <c r="I87" s="60">
        <v>4.0199999999999996</v>
      </c>
      <c r="J87" s="60">
        <v>0.67</v>
      </c>
      <c r="K87" s="60">
        <v>309.75</v>
      </c>
      <c r="L87" s="60">
        <v>30.66</v>
      </c>
      <c r="M87" s="60">
        <v>44.16</v>
      </c>
      <c r="N87" s="60">
        <v>42.5</v>
      </c>
      <c r="O87" s="60">
        <v>0</v>
      </c>
      <c r="P87" s="60">
        <v>0.6</v>
      </c>
      <c r="Q87" s="60">
        <v>9.42</v>
      </c>
      <c r="R87" s="198"/>
      <c r="S87" s="198"/>
      <c r="T87" s="198"/>
      <c r="U87" s="198"/>
    </row>
    <row r="88" spans="1:26" s="12" customFormat="1" x14ac:dyDescent="0.25">
      <c r="A88" s="63">
        <v>45812.833333333336</v>
      </c>
      <c r="B88" s="60">
        <v>8.6199999999999992</v>
      </c>
      <c r="C88" s="60">
        <v>26.61</v>
      </c>
      <c r="D88" s="60">
        <v>37.700000000000003</v>
      </c>
      <c r="E88" s="60">
        <v>5.66</v>
      </c>
      <c r="F88" s="60">
        <v>8.15</v>
      </c>
      <c r="G88" s="60">
        <v>47.17</v>
      </c>
      <c r="H88" s="60">
        <v>18.309999999999999</v>
      </c>
      <c r="I88" s="60">
        <v>3.84</v>
      </c>
      <c r="J88" s="60">
        <v>0.48</v>
      </c>
      <c r="K88" s="60">
        <v>322.41000000000003</v>
      </c>
      <c r="L88" s="60">
        <v>30.44</v>
      </c>
      <c r="M88" s="60">
        <v>44.78</v>
      </c>
      <c r="N88" s="60">
        <v>42.8</v>
      </c>
      <c r="O88" s="60">
        <v>0</v>
      </c>
      <c r="P88" s="60">
        <v>0.66</v>
      </c>
      <c r="Q88" s="60">
        <v>9.43</v>
      </c>
      <c r="R88" s="198"/>
      <c r="S88" s="198"/>
      <c r="T88" s="198"/>
      <c r="U88" s="198"/>
    </row>
    <row r="89" spans="1:26" s="12" customFormat="1" x14ac:dyDescent="0.25">
      <c r="A89" s="63">
        <v>45812.84375</v>
      </c>
      <c r="B89" s="60">
        <v>12.98</v>
      </c>
      <c r="C89" s="60">
        <v>37.94</v>
      </c>
      <c r="D89" s="60">
        <v>52.7</v>
      </c>
      <c r="E89" s="60">
        <v>5.9</v>
      </c>
      <c r="F89" s="60">
        <v>8.26</v>
      </c>
      <c r="G89" s="60">
        <v>41.69</v>
      </c>
      <c r="H89" s="60">
        <v>18.32</v>
      </c>
      <c r="I89" s="60">
        <v>4.08</v>
      </c>
      <c r="J89" s="60">
        <v>0.13</v>
      </c>
      <c r="K89" s="60">
        <v>308.97000000000003</v>
      </c>
      <c r="L89" s="60">
        <v>30.2</v>
      </c>
      <c r="M89" s="60">
        <v>44.94</v>
      </c>
      <c r="N89" s="60">
        <v>42.8</v>
      </c>
      <c r="O89" s="60">
        <v>0</v>
      </c>
      <c r="P89" s="60">
        <v>0.84</v>
      </c>
      <c r="Q89" s="60">
        <v>9.44</v>
      </c>
      <c r="R89" s="198"/>
      <c r="S89" s="198"/>
      <c r="T89" s="198"/>
      <c r="U89" s="198"/>
    </row>
    <row r="90" spans="1:26" s="12" customFormat="1" x14ac:dyDescent="0.25">
      <c r="A90" s="63">
        <v>45812.854166666664</v>
      </c>
      <c r="B90" s="60">
        <v>14.7</v>
      </c>
      <c r="C90" s="60">
        <v>37.81</v>
      </c>
      <c r="D90" s="60">
        <v>49.81</v>
      </c>
      <c r="E90" s="60">
        <v>5.76</v>
      </c>
      <c r="F90" s="60">
        <v>7.21</v>
      </c>
      <c r="G90" s="60">
        <v>41.69</v>
      </c>
      <c r="H90" s="60">
        <v>18.32</v>
      </c>
      <c r="I90" s="60">
        <v>4.22</v>
      </c>
      <c r="J90" s="60">
        <v>0.15</v>
      </c>
      <c r="K90" s="60">
        <v>310.02999999999997</v>
      </c>
      <c r="L90" s="60">
        <v>30.1</v>
      </c>
      <c r="M90" s="60">
        <v>45.75</v>
      </c>
      <c r="N90" s="60">
        <v>42.6</v>
      </c>
      <c r="O90" s="60">
        <v>0</v>
      </c>
      <c r="P90" s="60">
        <v>0.78</v>
      </c>
      <c r="Q90" s="60">
        <v>9.4499999999999993</v>
      </c>
      <c r="R90" s="198"/>
      <c r="S90" s="198"/>
      <c r="T90" s="198"/>
      <c r="U90" s="198"/>
    </row>
    <row r="91" spans="1:26" s="12" customFormat="1" x14ac:dyDescent="0.25">
      <c r="A91" s="63">
        <v>45812.864583333336</v>
      </c>
      <c r="B91" s="60">
        <v>11.07</v>
      </c>
      <c r="C91" s="60">
        <v>30.76</v>
      </c>
      <c r="D91" s="60">
        <v>41.88</v>
      </c>
      <c r="E91" s="60">
        <v>5.43</v>
      </c>
      <c r="F91" s="60">
        <v>5.72</v>
      </c>
      <c r="G91" s="60">
        <v>41.69</v>
      </c>
      <c r="H91" s="60">
        <v>18.32</v>
      </c>
      <c r="I91" s="60">
        <v>4.04</v>
      </c>
      <c r="J91" s="60">
        <v>0.19</v>
      </c>
      <c r="K91" s="60">
        <v>297.22000000000003</v>
      </c>
      <c r="L91" s="60">
        <v>29.96</v>
      </c>
      <c r="M91" s="60">
        <v>46.36</v>
      </c>
      <c r="N91" s="60">
        <v>42.6</v>
      </c>
      <c r="O91" s="60">
        <v>0</v>
      </c>
      <c r="P91" s="60">
        <v>0.75</v>
      </c>
      <c r="Q91" s="60">
        <v>9.4499999999999993</v>
      </c>
      <c r="R91" s="198"/>
      <c r="S91" s="198"/>
      <c r="T91" s="198"/>
      <c r="U91" s="198"/>
    </row>
    <row r="92" spans="1:26" s="12" customFormat="1" x14ac:dyDescent="0.25">
      <c r="A92" s="63">
        <v>45812.875</v>
      </c>
      <c r="B92" s="60">
        <v>13.09</v>
      </c>
      <c r="C92" s="60">
        <v>35.729999999999997</v>
      </c>
      <c r="D92" s="60">
        <v>48.29</v>
      </c>
      <c r="E92" s="60">
        <v>5.62</v>
      </c>
      <c r="F92" s="60">
        <v>5.66</v>
      </c>
      <c r="G92" s="60">
        <v>45.19</v>
      </c>
      <c r="H92" s="60">
        <v>15.91</v>
      </c>
      <c r="I92" s="60">
        <v>3.96</v>
      </c>
      <c r="J92" s="60">
        <v>0.2</v>
      </c>
      <c r="K92" s="60">
        <v>296.61</v>
      </c>
      <c r="L92" s="60">
        <v>29.82</v>
      </c>
      <c r="M92" s="60">
        <v>46.92</v>
      </c>
      <c r="N92" s="60">
        <v>42.5</v>
      </c>
      <c r="O92" s="60">
        <v>0</v>
      </c>
      <c r="P92" s="60">
        <v>0.78</v>
      </c>
      <c r="Q92" s="60">
        <v>9.48</v>
      </c>
      <c r="R92" s="198"/>
      <c r="S92" s="198"/>
      <c r="T92" s="198"/>
      <c r="U92" s="198"/>
    </row>
    <row r="93" spans="1:26" s="12" customFormat="1" x14ac:dyDescent="0.25">
      <c r="A93" s="63">
        <v>45812.885416666664</v>
      </c>
      <c r="B93" s="60">
        <v>15.13</v>
      </c>
      <c r="C93" s="60">
        <v>36.26</v>
      </c>
      <c r="D93" s="60">
        <v>46.18</v>
      </c>
      <c r="E93" s="60">
        <v>6</v>
      </c>
      <c r="F93" s="60">
        <v>5.63</v>
      </c>
      <c r="G93" s="60">
        <v>47.32</v>
      </c>
      <c r="H93" s="60">
        <v>14.44</v>
      </c>
      <c r="I93" s="60">
        <v>4.1500000000000004</v>
      </c>
      <c r="J93" s="60">
        <v>0.23</v>
      </c>
      <c r="K93" s="60">
        <v>300.14</v>
      </c>
      <c r="L93" s="60">
        <v>29.92</v>
      </c>
      <c r="M93" s="60">
        <v>46.44</v>
      </c>
      <c r="N93" s="60">
        <v>42.6</v>
      </c>
      <c r="O93" s="60">
        <v>0</v>
      </c>
      <c r="P93" s="60">
        <v>0.75</v>
      </c>
      <c r="Q93" s="60">
        <v>9.52</v>
      </c>
      <c r="R93" s="198"/>
      <c r="S93" s="198"/>
      <c r="T93" s="198"/>
      <c r="U93" s="198"/>
    </row>
    <row r="94" spans="1:26" s="12" customFormat="1" x14ac:dyDescent="0.25">
      <c r="A94" s="63">
        <v>45812.895833333336</v>
      </c>
      <c r="B94" s="60">
        <v>18.03</v>
      </c>
      <c r="C94" s="60">
        <v>35.700000000000003</v>
      </c>
      <c r="D94" s="60">
        <v>40.659999999999997</v>
      </c>
      <c r="E94" s="60">
        <v>5.61</v>
      </c>
      <c r="F94" s="60">
        <v>5.65</v>
      </c>
      <c r="G94" s="60">
        <v>47.32</v>
      </c>
      <c r="H94" s="60">
        <v>14.44</v>
      </c>
      <c r="I94" s="60">
        <v>3.89</v>
      </c>
      <c r="J94" s="60">
        <v>0.7</v>
      </c>
      <c r="K94" s="60">
        <v>320.66000000000003</v>
      </c>
      <c r="L94" s="60">
        <v>29.9</v>
      </c>
      <c r="M94" s="60">
        <v>46.53</v>
      </c>
      <c r="N94" s="60">
        <v>42.4</v>
      </c>
      <c r="O94" s="60">
        <v>0</v>
      </c>
      <c r="P94" s="60">
        <v>0.74</v>
      </c>
      <c r="Q94" s="60">
        <v>9.5299999999999994</v>
      </c>
      <c r="R94" s="198"/>
      <c r="S94" s="198"/>
      <c r="T94" s="198"/>
      <c r="U94" s="198"/>
    </row>
    <row r="95" spans="1:26" s="12" customFormat="1" x14ac:dyDescent="0.25">
      <c r="A95" s="63">
        <v>45812.90625</v>
      </c>
      <c r="B95" s="60">
        <v>12.41</v>
      </c>
      <c r="C95" s="60">
        <v>28.22</v>
      </c>
      <c r="D95" s="60">
        <v>34.96</v>
      </c>
      <c r="E95" s="60">
        <v>5.48</v>
      </c>
      <c r="F95" s="60">
        <v>4</v>
      </c>
      <c r="G95" s="60">
        <v>47.32</v>
      </c>
      <c r="H95" s="60">
        <v>14.44</v>
      </c>
      <c r="I95" s="60">
        <v>3.91</v>
      </c>
      <c r="J95" s="60">
        <v>1.07</v>
      </c>
      <c r="K95" s="60">
        <v>314.76</v>
      </c>
      <c r="L95" s="60">
        <v>29.73</v>
      </c>
      <c r="M95" s="60">
        <v>46.95</v>
      </c>
      <c r="N95" s="60">
        <v>42.5</v>
      </c>
      <c r="O95" s="60">
        <v>0</v>
      </c>
      <c r="P95" s="60">
        <v>0.72</v>
      </c>
      <c r="Q95" s="60">
        <v>9.51</v>
      </c>
      <c r="R95" s="198"/>
      <c r="S95" s="198"/>
      <c r="T95" s="198"/>
      <c r="U95" s="198"/>
    </row>
    <row r="96" spans="1:26" s="12" customFormat="1" x14ac:dyDescent="0.25">
      <c r="A96" s="63">
        <v>45812.916666666664</v>
      </c>
      <c r="B96" s="60">
        <v>12.02</v>
      </c>
      <c r="C96" s="60">
        <v>26.82</v>
      </c>
      <c r="D96" s="60">
        <v>32.880000000000003</v>
      </c>
      <c r="E96" s="60">
        <v>5.41</v>
      </c>
      <c r="F96" s="60">
        <v>4.17</v>
      </c>
      <c r="G96" s="60">
        <v>49.79</v>
      </c>
      <c r="H96" s="60">
        <v>9.18</v>
      </c>
      <c r="I96" s="60">
        <v>4.09</v>
      </c>
      <c r="J96" s="60">
        <v>1.18</v>
      </c>
      <c r="K96" s="60">
        <v>318.5</v>
      </c>
      <c r="L96" s="60">
        <v>29.49</v>
      </c>
      <c r="M96" s="60">
        <v>49.78</v>
      </c>
      <c r="N96" s="60">
        <v>43</v>
      </c>
      <c r="O96" s="60">
        <v>0</v>
      </c>
      <c r="P96" s="60">
        <v>0.7</v>
      </c>
      <c r="Q96" s="60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63">
        <v>45812.927083333336</v>
      </c>
      <c r="B97" s="60">
        <v>12.16</v>
      </c>
      <c r="C97" s="60">
        <v>28.11</v>
      </c>
      <c r="D97" s="60">
        <v>35.14</v>
      </c>
      <c r="E97" s="60">
        <v>5.55</v>
      </c>
      <c r="F97" s="60">
        <v>3.63</v>
      </c>
      <c r="G97" s="60">
        <v>51.28</v>
      </c>
      <c r="H97" s="60">
        <v>5.98</v>
      </c>
      <c r="I97" s="60">
        <v>4.03</v>
      </c>
      <c r="J97" s="60">
        <v>1.25</v>
      </c>
      <c r="K97" s="60">
        <v>321.42</v>
      </c>
      <c r="L97" s="60">
        <v>29.19</v>
      </c>
      <c r="M97" s="60">
        <v>51.47</v>
      </c>
      <c r="N97" s="60">
        <v>43</v>
      </c>
      <c r="O97" s="60">
        <v>0</v>
      </c>
      <c r="P97" s="60">
        <v>0.68</v>
      </c>
      <c r="Q97" s="60">
        <v>9.5299999999999994</v>
      </c>
      <c r="R97" s="198"/>
      <c r="S97" s="198"/>
      <c r="T97" s="198"/>
      <c r="U97" s="198"/>
    </row>
    <row r="98" spans="1:33" s="12" customFormat="1" x14ac:dyDescent="0.25">
      <c r="A98" s="63">
        <v>45812.9375</v>
      </c>
      <c r="B98" s="60">
        <v>15.08</v>
      </c>
      <c r="C98" s="60">
        <v>32.43</v>
      </c>
      <c r="D98" s="60">
        <v>38.92</v>
      </c>
      <c r="E98" s="60">
        <v>5.64</v>
      </c>
      <c r="F98" s="60">
        <v>6.81</v>
      </c>
      <c r="G98" s="60">
        <v>51.28</v>
      </c>
      <c r="H98" s="60">
        <v>5.98</v>
      </c>
      <c r="I98" s="60">
        <v>4.21</v>
      </c>
      <c r="J98" s="60">
        <v>0.83</v>
      </c>
      <c r="K98" s="60">
        <v>323.91000000000003</v>
      </c>
      <c r="L98" s="60">
        <v>29.09</v>
      </c>
      <c r="M98" s="60">
        <v>52.89</v>
      </c>
      <c r="N98" s="60">
        <v>43</v>
      </c>
      <c r="O98" s="60">
        <v>0</v>
      </c>
      <c r="P98" s="60">
        <v>0.61</v>
      </c>
      <c r="Q98" s="60">
        <v>9.5399999999999991</v>
      </c>
      <c r="R98" s="198"/>
      <c r="S98" s="198"/>
      <c r="T98" s="198"/>
      <c r="U98" s="198"/>
    </row>
    <row r="99" spans="1:33" s="12" customFormat="1" x14ac:dyDescent="0.25">
      <c r="A99" s="63">
        <v>45812.947916666664</v>
      </c>
      <c r="B99" s="60">
        <v>12.87</v>
      </c>
      <c r="C99" s="60">
        <v>31.57</v>
      </c>
      <c r="D99" s="60">
        <v>40.67</v>
      </c>
      <c r="E99" s="60">
        <v>6.07</v>
      </c>
      <c r="F99" s="60">
        <v>7.34</v>
      </c>
      <c r="G99" s="60">
        <v>51.28</v>
      </c>
      <c r="H99" s="60">
        <v>5.98</v>
      </c>
      <c r="I99" s="60">
        <v>4.0599999999999996</v>
      </c>
      <c r="J99" s="60">
        <v>0.53</v>
      </c>
      <c r="K99" s="60">
        <v>306.94</v>
      </c>
      <c r="L99" s="60">
        <v>29.02</v>
      </c>
      <c r="M99" s="60">
        <v>53.85</v>
      </c>
      <c r="N99" s="60">
        <v>42.9</v>
      </c>
      <c r="O99" s="60">
        <v>0</v>
      </c>
      <c r="P99" s="60">
        <v>0.59</v>
      </c>
      <c r="Q99" s="60">
        <v>9.5299999999999994</v>
      </c>
      <c r="R99" s="198"/>
      <c r="S99" s="198"/>
      <c r="T99" s="198"/>
      <c r="U99" s="198"/>
    </row>
    <row r="100" spans="1:33" s="12" customFormat="1" x14ac:dyDescent="0.25">
      <c r="A100" s="63">
        <v>45812.958333333336</v>
      </c>
      <c r="B100" s="60">
        <v>12.3</v>
      </c>
      <c r="C100" s="60">
        <v>26.64</v>
      </c>
      <c r="D100" s="60">
        <v>32.119999999999997</v>
      </c>
      <c r="E100" s="60">
        <v>5.68</v>
      </c>
      <c r="F100" s="60">
        <v>6.63</v>
      </c>
      <c r="G100" s="60">
        <v>51.75</v>
      </c>
      <c r="H100" s="60">
        <v>18.03</v>
      </c>
      <c r="I100" s="60">
        <v>4.26</v>
      </c>
      <c r="J100" s="60">
        <v>0.42</v>
      </c>
      <c r="K100" s="60">
        <v>305.55</v>
      </c>
      <c r="L100" s="60">
        <v>28.92</v>
      </c>
      <c r="M100" s="60">
        <v>54.29</v>
      </c>
      <c r="N100" s="60">
        <v>43</v>
      </c>
      <c r="O100" s="60">
        <v>0</v>
      </c>
      <c r="P100" s="60">
        <v>0.6</v>
      </c>
      <c r="Q100" s="60">
        <v>9.5299999999999994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3">
        <v>45812.96875</v>
      </c>
      <c r="B101" s="60">
        <v>9.42</v>
      </c>
      <c r="C101" s="60">
        <v>23.93</v>
      </c>
      <c r="D101" s="60">
        <v>31.33</v>
      </c>
      <c r="E101" s="60">
        <v>5.85</v>
      </c>
      <c r="F101" s="60">
        <v>8.23</v>
      </c>
      <c r="G101" s="60">
        <v>52.04</v>
      </c>
      <c r="H101" s="60">
        <v>25.34</v>
      </c>
      <c r="I101" s="60">
        <v>4</v>
      </c>
      <c r="J101" s="60">
        <v>0.26</v>
      </c>
      <c r="K101" s="60">
        <v>300.45</v>
      </c>
      <c r="L101" s="60">
        <v>28.81</v>
      </c>
      <c r="M101" s="60">
        <v>54.79</v>
      </c>
      <c r="N101" s="60">
        <v>42.8</v>
      </c>
      <c r="O101" s="60">
        <v>0</v>
      </c>
      <c r="P101" s="60">
        <v>0.52</v>
      </c>
      <c r="Q101" s="60">
        <v>9.5299999999999994</v>
      </c>
      <c r="R101" s="198"/>
      <c r="S101" s="198"/>
      <c r="T101" s="198"/>
      <c r="U101" s="198"/>
    </row>
    <row r="102" spans="1:33" s="12" customFormat="1" x14ac:dyDescent="0.25">
      <c r="A102" s="63">
        <v>45812.979166666664</v>
      </c>
      <c r="B102" s="60">
        <v>11.17</v>
      </c>
      <c r="C102" s="60">
        <v>27.73</v>
      </c>
      <c r="D102" s="60">
        <v>35.93</v>
      </c>
      <c r="E102" s="60">
        <v>6.07</v>
      </c>
      <c r="F102" s="60">
        <v>9.17</v>
      </c>
      <c r="G102" s="60">
        <v>52.04</v>
      </c>
      <c r="H102" s="60">
        <v>25.34</v>
      </c>
      <c r="I102" s="60">
        <v>4.05</v>
      </c>
      <c r="J102" s="60">
        <v>0.17</v>
      </c>
      <c r="K102" s="60">
        <v>303.22000000000003</v>
      </c>
      <c r="L102" s="60">
        <v>28.73</v>
      </c>
      <c r="M102" s="60">
        <v>55.77</v>
      </c>
      <c r="N102" s="60">
        <v>43</v>
      </c>
      <c r="O102" s="60">
        <v>0</v>
      </c>
      <c r="P102" s="60">
        <v>0.47</v>
      </c>
      <c r="Q102" s="60">
        <v>9.51</v>
      </c>
      <c r="R102" s="198"/>
      <c r="S102" s="198"/>
      <c r="T102" s="198"/>
      <c r="U102" s="198"/>
    </row>
    <row r="103" spans="1:33" s="12" customFormat="1" x14ac:dyDescent="0.25">
      <c r="A103" s="63">
        <v>45812.989583333336</v>
      </c>
      <c r="B103" s="60">
        <v>11.25</v>
      </c>
      <c r="C103" s="60">
        <v>25.51</v>
      </c>
      <c r="D103" s="60">
        <v>31.55</v>
      </c>
      <c r="E103" s="60">
        <v>5.92</v>
      </c>
      <c r="F103" s="60">
        <v>9.73</v>
      </c>
      <c r="G103" s="60">
        <v>52.04</v>
      </c>
      <c r="H103" s="60">
        <v>25.34</v>
      </c>
      <c r="I103" s="60">
        <v>3.99</v>
      </c>
      <c r="J103" s="60">
        <v>0.67</v>
      </c>
      <c r="K103" s="60">
        <v>329.11</v>
      </c>
      <c r="L103" s="60">
        <v>28.41</v>
      </c>
      <c r="M103" s="60">
        <v>57.57</v>
      </c>
      <c r="N103" s="60">
        <v>42.7</v>
      </c>
      <c r="O103" s="60">
        <v>0</v>
      </c>
      <c r="P103" s="60">
        <v>0.51</v>
      </c>
      <c r="Q103" s="60">
        <v>9.51</v>
      </c>
      <c r="R103" s="198"/>
      <c r="S103" s="198"/>
      <c r="T103" s="198"/>
      <c r="U103" s="198"/>
    </row>
    <row r="104" spans="1:33" s="12" customFormat="1" x14ac:dyDescent="0.25">
      <c r="A104" s="60">
        <v>45813</v>
      </c>
      <c r="B104" s="60">
        <v>9.59</v>
      </c>
      <c r="C104" s="60">
        <v>22.02</v>
      </c>
      <c r="D104" s="60">
        <v>27.43</v>
      </c>
      <c r="E104" s="60">
        <v>5.21</v>
      </c>
      <c r="F104" s="60">
        <v>7.41</v>
      </c>
      <c r="G104" s="60">
        <v>51.51</v>
      </c>
      <c r="H104" s="60">
        <v>20.16</v>
      </c>
      <c r="I104" s="60">
        <v>4.03</v>
      </c>
      <c r="J104" s="60">
        <v>1.29</v>
      </c>
      <c r="K104" s="60">
        <v>339.38</v>
      </c>
      <c r="L104" s="60">
        <v>28.17</v>
      </c>
      <c r="M104" s="60">
        <v>58.13</v>
      </c>
      <c r="N104" s="60">
        <v>42.4</v>
      </c>
      <c r="O104" s="60">
        <v>0</v>
      </c>
      <c r="P104" s="60">
        <v>0.54</v>
      </c>
      <c r="Q104" s="60">
        <v>9.5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3.75</v>
      </c>
      <c r="C106" s="67">
        <f>MIN(C9:C104)</f>
        <v>18.91</v>
      </c>
      <c r="D106" s="67">
        <f t="shared" ref="D106:Q106" si="0">MIN(D9:D104)</f>
        <v>21.61</v>
      </c>
      <c r="E106" s="67">
        <f t="shared" si="0"/>
        <v>4.55</v>
      </c>
      <c r="F106" s="67">
        <f t="shared" si="0"/>
        <v>3.63</v>
      </c>
      <c r="G106" s="67">
        <f t="shared" si="0"/>
        <v>40.33</v>
      </c>
      <c r="H106" s="67">
        <f t="shared" si="0"/>
        <v>-20.72</v>
      </c>
      <c r="I106" s="67">
        <f t="shared" si="0"/>
        <v>3.76</v>
      </c>
      <c r="J106" s="67">
        <f t="shared" si="0"/>
        <v>0.03</v>
      </c>
      <c r="K106" s="67">
        <f t="shared" si="0"/>
        <v>62.22</v>
      </c>
      <c r="L106" s="67">
        <f t="shared" si="0"/>
        <v>25.08</v>
      </c>
      <c r="M106" s="67">
        <f t="shared" si="0"/>
        <v>31.54</v>
      </c>
      <c r="N106" s="67">
        <f t="shared" si="0"/>
        <v>26.2</v>
      </c>
      <c r="O106" s="67">
        <f t="shared" si="0"/>
        <v>0</v>
      </c>
      <c r="P106" s="67">
        <f t="shared" si="0"/>
        <v>0.32</v>
      </c>
      <c r="Q106" s="67">
        <f t="shared" si="0"/>
        <v>9.2200000000000006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20.34</v>
      </c>
      <c r="C107" s="66">
        <f t="shared" ref="C107:Q107" si="1">MAX(C9:C104)</f>
        <v>37.94</v>
      </c>
      <c r="D107" s="66">
        <f t="shared" si="1"/>
        <v>52.7</v>
      </c>
      <c r="E107" s="66">
        <f t="shared" si="1"/>
        <v>8.31</v>
      </c>
      <c r="F107" s="66">
        <f t="shared" si="1"/>
        <v>18.88</v>
      </c>
      <c r="G107" s="66">
        <f t="shared" si="1"/>
        <v>56.21</v>
      </c>
      <c r="H107" s="66">
        <f t="shared" si="1"/>
        <v>51.84</v>
      </c>
      <c r="I107" s="66">
        <f t="shared" si="1"/>
        <v>4.26</v>
      </c>
      <c r="J107" s="66">
        <f t="shared" si="1"/>
        <v>1.29</v>
      </c>
      <c r="K107" s="66">
        <f t="shared" si="1"/>
        <v>339.38</v>
      </c>
      <c r="L107" s="66">
        <f t="shared" si="1"/>
        <v>37.53</v>
      </c>
      <c r="M107" s="66">
        <f t="shared" si="1"/>
        <v>74.14</v>
      </c>
      <c r="N107" s="66">
        <f t="shared" si="1"/>
        <v>942.6</v>
      </c>
      <c r="O107" s="66">
        <f t="shared" si="1"/>
        <v>0</v>
      </c>
      <c r="P107" s="66">
        <f t="shared" si="1"/>
        <v>0.84</v>
      </c>
      <c r="Q107" s="66">
        <f t="shared" si="1"/>
        <v>9.5399999999999991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8.7333333333333325</v>
      </c>
      <c r="C108" s="67">
        <f t="shared" ref="C108:Q108" si="2">AVERAGE(C9:C104)</f>
        <v>24.860729166666669</v>
      </c>
      <c r="D108" s="67">
        <f t="shared" si="2"/>
        <v>34.178541666666668</v>
      </c>
      <c r="E108" s="67">
        <f t="shared" si="2"/>
        <v>5.7188541666666675</v>
      </c>
      <c r="F108" s="67">
        <f t="shared" si="2"/>
        <v>8.4032291666666659</v>
      </c>
      <c r="G108" s="67">
        <f t="shared" si="2"/>
        <v>49.37708333333331</v>
      </c>
      <c r="H108" s="67">
        <f t="shared" si="2"/>
        <v>17.611354166666665</v>
      </c>
      <c r="I108" s="67">
        <f t="shared" si="2"/>
        <v>4.0113541666666661</v>
      </c>
      <c r="J108" s="67">
        <f t="shared" si="2"/>
        <v>0.390625</v>
      </c>
      <c r="K108" s="67">
        <f t="shared" si="2"/>
        <v>285.46156250000001</v>
      </c>
      <c r="L108" s="67">
        <f t="shared" si="2"/>
        <v>30.922604166666662</v>
      </c>
      <c r="M108" s="67">
        <f t="shared" si="2"/>
        <v>49.409583333333352</v>
      </c>
      <c r="N108" s="67">
        <f t="shared" si="2"/>
        <v>243.58437500000011</v>
      </c>
      <c r="O108" s="67">
        <f t="shared" si="2"/>
        <v>0</v>
      </c>
      <c r="P108" s="67">
        <f t="shared" si="2"/>
        <v>0.5117708333333334</v>
      </c>
      <c r="Q108" s="67">
        <f t="shared" si="2"/>
        <v>9.3934374999999957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3.7482747376322321</v>
      </c>
      <c r="C109" s="67">
        <f t="shared" ref="C109:Q109" si="3">STDEV(C9:C104)</f>
        <v>4.2774668462320307</v>
      </c>
      <c r="D109" s="67">
        <f t="shared" si="3"/>
        <v>6.7533486398139395</v>
      </c>
      <c r="E109" s="67">
        <f t="shared" si="3"/>
        <v>0.61610810704078489</v>
      </c>
      <c r="F109" s="67">
        <f t="shared" si="3"/>
        <v>3.1535618942101054</v>
      </c>
      <c r="G109" s="67">
        <f t="shared" si="3"/>
        <v>4.6071191858885587</v>
      </c>
      <c r="H109" s="67">
        <f t="shared" si="3"/>
        <v>13.720796403139419</v>
      </c>
      <c r="I109" s="67">
        <f t="shared" si="3"/>
        <v>0.10149015810896375</v>
      </c>
      <c r="J109" s="67">
        <f t="shared" si="3"/>
        <v>0.28969970840964193</v>
      </c>
      <c r="K109" s="67">
        <f t="shared" si="3"/>
        <v>42.491920181262635</v>
      </c>
      <c r="L109" s="67">
        <f t="shared" si="3"/>
        <v>4.0180076877114672</v>
      </c>
      <c r="M109" s="67">
        <f t="shared" si="3"/>
        <v>14.099743477820772</v>
      </c>
      <c r="N109" s="67">
        <f t="shared" si="3"/>
        <v>303.06645070473093</v>
      </c>
      <c r="O109" s="67">
        <f t="shared" si="3"/>
        <v>0</v>
      </c>
      <c r="P109" s="67">
        <f t="shared" si="3"/>
        <v>0.12504310660237064</v>
      </c>
      <c r="Q109" s="67">
        <f t="shared" si="3"/>
        <v>9.8961216486162101E-2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14" sqref="D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45813.010416666664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3">
        <v>45813.010416666664</v>
      </c>
      <c r="B9" s="60">
        <v>10.77</v>
      </c>
      <c r="C9" s="60">
        <v>22.56</v>
      </c>
      <c r="D9" s="60">
        <v>26.64</v>
      </c>
      <c r="E9" s="60">
        <v>5.59</v>
      </c>
      <c r="F9" s="60">
        <v>6.25</v>
      </c>
      <c r="G9" s="60">
        <v>51.19</v>
      </c>
      <c r="H9" s="60">
        <v>17.02</v>
      </c>
      <c r="I9" s="60">
        <v>4.01</v>
      </c>
      <c r="J9" s="60">
        <v>1.26</v>
      </c>
      <c r="K9" s="60">
        <v>340.12</v>
      </c>
      <c r="L9" s="60">
        <v>28.11</v>
      </c>
      <c r="M9" s="60">
        <v>58.42</v>
      </c>
      <c r="N9" s="60">
        <v>42.7</v>
      </c>
      <c r="O9" s="60">
        <v>0</v>
      </c>
      <c r="P9" s="60">
        <v>0.56000000000000005</v>
      </c>
      <c r="Q9" s="60">
        <v>9.5</v>
      </c>
      <c r="R9" s="198"/>
      <c r="S9" s="198"/>
      <c r="T9" s="198"/>
      <c r="U9" s="198"/>
    </row>
    <row r="10" spans="1:21" s="12" customFormat="1" x14ac:dyDescent="0.25">
      <c r="A10" s="63">
        <v>45813.020833333336</v>
      </c>
      <c r="B10" s="60">
        <v>11.07</v>
      </c>
      <c r="C10" s="60">
        <v>23.05</v>
      </c>
      <c r="D10" s="60">
        <v>27.14</v>
      </c>
      <c r="E10" s="60">
        <v>4.92</v>
      </c>
      <c r="F10" s="60">
        <v>5.15</v>
      </c>
      <c r="G10" s="60">
        <v>51.19</v>
      </c>
      <c r="H10" s="60">
        <v>17.02</v>
      </c>
      <c r="I10" s="60">
        <v>4.01</v>
      </c>
      <c r="J10" s="60">
        <v>0.93</v>
      </c>
      <c r="K10" s="60">
        <v>348.11</v>
      </c>
      <c r="L10" s="60">
        <v>27.86</v>
      </c>
      <c r="M10" s="60">
        <v>59.62</v>
      </c>
      <c r="N10" s="60">
        <v>42.8</v>
      </c>
      <c r="O10" s="60">
        <v>0</v>
      </c>
      <c r="P10" s="60">
        <v>0.57999999999999996</v>
      </c>
      <c r="Q10" s="60">
        <v>9.49</v>
      </c>
      <c r="R10" s="198"/>
      <c r="S10" s="198"/>
      <c r="T10" s="198"/>
      <c r="U10" s="198"/>
    </row>
    <row r="11" spans="1:21" s="12" customFormat="1" x14ac:dyDescent="0.25">
      <c r="A11" s="63">
        <v>45813.03125</v>
      </c>
      <c r="B11" s="60">
        <v>11.55</v>
      </c>
      <c r="C11" s="60">
        <v>25.23</v>
      </c>
      <c r="D11" s="60">
        <v>30.56</v>
      </c>
      <c r="E11" s="60">
        <v>5.53</v>
      </c>
      <c r="F11" s="60">
        <v>8.51</v>
      </c>
      <c r="G11" s="60">
        <v>51.19</v>
      </c>
      <c r="H11" s="60">
        <v>17.02</v>
      </c>
      <c r="I11" s="60">
        <v>4.03</v>
      </c>
      <c r="J11" s="60">
        <v>0.61</v>
      </c>
      <c r="K11" s="60">
        <v>347.3</v>
      </c>
      <c r="L11" s="60">
        <v>27.78</v>
      </c>
      <c r="M11" s="60">
        <v>59.3</v>
      </c>
      <c r="N11" s="60">
        <v>42.8</v>
      </c>
      <c r="O11" s="60">
        <v>0</v>
      </c>
      <c r="P11" s="60">
        <v>0.51</v>
      </c>
      <c r="Q11" s="60">
        <v>9.5</v>
      </c>
      <c r="R11" s="198"/>
      <c r="S11" s="198"/>
      <c r="T11" s="198"/>
      <c r="U11" s="198"/>
    </row>
    <row r="12" spans="1:21" s="12" customFormat="1" x14ac:dyDescent="0.25">
      <c r="A12" s="63">
        <v>45813.041666666664</v>
      </c>
      <c r="B12" s="60">
        <v>9.7899999999999991</v>
      </c>
      <c r="C12" s="60">
        <v>22.23</v>
      </c>
      <c r="D12" s="60">
        <v>27.52</v>
      </c>
      <c r="E12" s="60">
        <v>5.62</v>
      </c>
      <c r="F12" s="60">
        <v>6.78</v>
      </c>
      <c r="G12" s="60">
        <v>51.58</v>
      </c>
      <c r="H12" s="60">
        <v>17.489999999999998</v>
      </c>
      <c r="I12" s="60">
        <v>3.94</v>
      </c>
      <c r="J12" s="60">
        <v>0.18</v>
      </c>
      <c r="K12" s="60">
        <v>318.22000000000003</v>
      </c>
      <c r="L12" s="60">
        <v>27.5</v>
      </c>
      <c r="M12" s="60">
        <v>60.22</v>
      </c>
      <c r="N12" s="60">
        <v>42.9</v>
      </c>
      <c r="O12" s="60">
        <v>0</v>
      </c>
      <c r="P12" s="60">
        <v>0.53</v>
      </c>
      <c r="Q12" s="60">
        <v>9.5</v>
      </c>
      <c r="R12" s="198"/>
      <c r="S12" s="198"/>
      <c r="T12" s="198"/>
      <c r="U12" s="198"/>
    </row>
    <row r="13" spans="1:21" s="12" customFormat="1" x14ac:dyDescent="0.25">
      <c r="A13" s="63">
        <v>45813.052083333336</v>
      </c>
      <c r="B13" s="60">
        <v>8.4600000000000009</v>
      </c>
      <c r="C13" s="60">
        <v>21.99</v>
      </c>
      <c r="D13" s="60">
        <v>29.11</v>
      </c>
      <c r="E13" s="60">
        <v>6.18</v>
      </c>
      <c r="F13" s="60">
        <v>7.88</v>
      </c>
      <c r="G13" s="60">
        <v>51.81</v>
      </c>
      <c r="H13" s="60">
        <v>17.78</v>
      </c>
      <c r="I13" s="60">
        <v>4.16</v>
      </c>
      <c r="J13" s="60">
        <v>0.04</v>
      </c>
      <c r="K13" s="60">
        <v>290.49</v>
      </c>
      <c r="L13" s="60">
        <v>27.16</v>
      </c>
      <c r="M13" s="60">
        <v>61.5</v>
      </c>
      <c r="N13" s="60">
        <v>42.9</v>
      </c>
      <c r="O13" s="60">
        <v>0</v>
      </c>
      <c r="P13" s="60">
        <v>0.43</v>
      </c>
      <c r="Q13" s="60">
        <v>9.49</v>
      </c>
      <c r="R13" s="198"/>
      <c r="S13" s="198"/>
      <c r="T13" s="198"/>
      <c r="U13" s="198"/>
    </row>
    <row r="14" spans="1:21" s="12" customFormat="1" x14ac:dyDescent="0.25">
      <c r="A14" s="63">
        <v>45813.0625</v>
      </c>
      <c r="B14" s="60">
        <v>9.8000000000000007</v>
      </c>
      <c r="C14" s="60">
        <v>23.86</v>
      </c>
      <c r="D14" s="60">
        <v>30.63</v>
      </c>
      <c r="E14" s="60">
        <v>6.92</v>
      </c>
      <c r="F14" s="60">
        <v>6.34</v>
      </c>
      <c r="G14" s="60">
        <v>51.81</v>
      </c>
      <c r="H14" s="60">
        <v>17.78</v>
      </c>
      <c r="I14" s="60">
        <v>4.09</v>
      </c>
      <c r="J14" s="60">
        <v>0.17</v>
      </c>
      <c r="K14" s="60">
        <v>334.22</v>
      </c>
      <c r="L14" s="60">
        <v>26.89</v>
      </c>
      <c r="M14" s="60">
        <v>65.98</v>
      </c>
      <c r="N14" s="60">
        <v>42.8</v>
      </c>
      <c r="O14" s="60">
        <v>0</v>
      </c>
      <c r="P14" s="60">
        <v>0.49</v>
      </c>
      <c r="Q14" s="60">
        <v>9.4700000000000006</v>
      </c>
      <c r="R14" s="198"/>
      <c r="S14" s="198"/>
      <c r="T14" s="198"/>
      <c r="U14" s="198"/>
    </row>
    <row r="15" spans="1:21" s="12" customFormat="1" x14ac:dyDescent="0.25">
      <c r="A15" s="63">
        <v>45813.072916666664</v>
      </c>
      <c r="B15" s="60">
        <v>10.73</v>
      </c>
      <c r="C15" s="60">
        <v>23.28</v>
      </c>
      <c r="D15" s="60">
        <v>28.09</v>
      </c>
      <c r="E15" s="60">
        <v>5.86</v>
      </c>
      <c r="F15" s="60">
        <v>4.99</v>
      </c>
      <c r="G15" s="60">
        <v>51.81</v>
      </c>
      <c r="H15" s="60">
        <v>17.78</v>
      </c>
      <c r="I15" s="60">
        <v>3.91</v>
      </c>
      <c r="J15" s="60">
        <v>0.12</v>
      </c>
      <c r="K15" s="60">
        <v>301.67</v>
      </c>
      <c r="L15" s="60">
        <v>26.81</v>
      </c>
      <c r="M15" s="60">
        <v>66.680000000000007</v>
      </c>
      <c r="N15" s="60">
        <v>42.5</v>
      </c>
      <c r="O15" s="60">
        <v>0</v>
      </c>
      <c r="P15" s="60">
        <v>0.49</v>
      </c>
      <c r="Q15" s="60">
        <v>9.4600000000000009</v>
      </c>
      <c r="R15" s="198"/>
      <c r="S15" s="198"/>
      <c r="T15" s="198"/>
      <c r="U15" s="198"/>
    </row>
    <row r="16" spans="1:21" s="12" customFormat="1" x14ac:dyDescent="0.25">
      <c r="A16" s="63">
        <v>45813.083333333336</v>
      </c>
      <c r="B16" s="60">
        <v>10.7</v>
      </c>
      <c r="C16" s="60">
        <v>22.4</v>
      </c>
      <c r="D16" s="60">
        <v>26.46</v>
      </c>
      <c r="E16" s="60">
        <v>5.38</v>
      </c>
      <c r="F16" s="60">
        <v>4.54</v>
      </c>
      <c r="G16" s="60">
        <v>52.27</v>
      </c>
      <c r="H16" s="60">
        <v>14.43</v>
      </c>
      <c r="I16" s="60">
        <v>3.98</v>
      </c>
      <c r="J16" s="60">
        <v>0.15</v>
      </c>
      <c r="K16" s="60">
        <v>279.76</v>
      </c>
      <c r="L16" s="60">
        <v>27.22</v>
      </c>
      <c r="M16" s="60">
        <v>63.3</v>
      </c>
      <c r="N16" s="60">
        <v>42.4</v>
      </c>
      <c r="O16" s="60">
        <v>0</v>
      </c>
      <c r="P16" s="60">
        <v>0.48</v>
      </c>
      <c r="Q16" s="60">
        <v>9.4600000000000009</v>
      </c>
      <c r="R16" s="198"/>
      <c r="S16" s="198"/>
      <c r="T16" s="198"/>
      <c r="U16" s="198"/>
    </row>
    <row r="17" spans="1:21" s="12" customFormat="1" x14ac:dyDescent="0.25">
      <c r="A17" s="63">
        <v>45813.09375</v>
      </c>
      <c r="B17" s="60">
        <v>11</v>
      </c>
      <c r="C17" s="60">
        <v>21.65</v>
      </c>
      <c r="D17" s="60">
        <v>24.56</v>
      </c>
      <c r="E17" s="60">
        <v>4.6100000000000003</v>
      </c>
      <c r="F17" s="60">
        <v>4.3899999999999997</v>
      </c>
      <c r="G17" s="60">
        <v>52.55</v>
      </c>
      <c r="H17" s="60">
        <v>12.4</v>
      </c>
      <c r="I17" s="60">
        <v>4.09</v>
      </c>
      <c r="J17" s="60">
        <v>0.11</v>
      </c>
      <c r="K17" s="60">
        <v>294.42</v>
      </c>
      <c r="L17" s="60">
        <v>26.92</v>
      </c>
      <c r="M17" s="60">
        <v>65.38</v>
      </c>
      <c r="N17" s="60">
        <v>42.9</v>
      </c>
      <c r="O17" s="60">
        <v>0</v>
      </c>
      <c r="P17" s="60">
        <v>0.5</v>
      </c>
      <c r="Q17" s="60">
        <v>9.43</v>
      </c>
      <c r="R17" s="198"/>
      <c r="S17" s="198"/>
      <c r="T17" s="198"/>
      <c r="U17" s="198"/>
    </row>
    <row r="18" spans="1:21" s="12" customFormat="1" x14ac:dyDescent="0.25">
      <c r="A18" s="63">
        <v>45813.104166666664</v>
      </c>
      <c r="B18" s="60">
        <v>10.15</v>
      </c>
      <c r="C18" s="60">
        <v>21.39</v>
      </c>
      <c r="D18" s="60">
        <v>25.36</v>
      </c>
      <c r="E18" s="60">
        <v>4.7699999999999996</v>
      </c>
      <c r="F18" s="60">
        <v>4.4400000000000004</v>
      </c>
      <c r="G18" s="60">
        <v>52.55</v>
      </c>
      <c r="H18" s="60">
        <v>12.4</v>
      </c>
      <c r="I18" s="60">
        <v>4.03</v>
      </c>
      <c r="J18" s="60">
        <v>0.11</v>
      </c>
      <c r="K18" s="60">
        <v>299.7</v>
      </c>
      <c r="L18" s="60">
        <v>26.83</v>
      </c>
      <c r="M18" s="60">
        <v>64.709999999999994</v>
      </c>
      <c r="N18" s="60">
        <v>42.6</v>
      </c>
      <c r="O18" s="60">
        <v>0</v>
      </c>
      <c r="P18" s="60">
        <v>0.45</v>
      </c>
      <c r="Q18" s="60">
        <v>9.42</v>
      </c>
      <c r="R18" s="198"/>
      <c r="S18" s="198"/>
      <c r="T18" s="198"/>
      <c r="U18" s="198"/>
    </row>
    <row r="19" spans="1:21" s="12" customFormat="1" x14ac:dyDescent="0.25">
      <c r="A19" s="63">
        <v>45813.114583333336</v>
      </c>
      <c r="B19" s="60">
        <v>9.56</v>
      </c>
      <c r="C19" s="60">
        <v>20.29</v>
      </c>
      <c r="D19" s="60">
        <v>24.15</v>
      </c>
      <c r="E19" s="60">
        <v>4.88</v>
      </c>
      <c r="F19" s="60">
        <v>5.48</v>
      </c>
      <c r="G19" s="60">
        <v>52.55</v>
      </c>
      <c r="H19" s="60">
        <v>12.4</v>
      </c>
      <c r="I19" s="60">
        <v>3.91</v>
      </c>
      <c r="J19" s="60">
        <v>0.09</v>
      </c>
      <c r="K19" s="60">
        <v>269.94</v>
      </c>
      <c r="L19" s="60">
        <v>26.8</v>
      </c>
      <c r="M19" s="60">
        <v>63.54</v>
      </c>
      <c r="N19" s="60">
        <v>42.5</v>
      </c>
      <c r="O19" s="60">
        <v>0</v>
      </c>
      <c r="P19" s="60">
        <v>0.43</v>
      </c>
      <c r="Q19" s="60">
        <v>9.4</v>
      </c>
      <c r="R19" s="198"/>
      <c r="S19" s="198"/>
      <c r="T19" s="198"/>
      <c r="U19" s="198"/>
    </row>
    <row r="20" spans="1:21" s="12" customFormat="1" x14ac:dyDescent="0.25">
      <c r="A20" s="63">
        <v>45813.125</v>
      </c>
      <c r="B20" s="60">
        <v>7.11</v>
      </c>
      <c r="C20" s="60">
        <v>17.82</v>
      </c>
      <c r="D20" s="60">
        <v>23.18</v>
      </c>
      <c r="E20" s="60">
        <v>5.27</v>
      </c>
      <c r="F20" s="60">
        <v>10.87</v>
      </c>
      <c r="G20" s="60">
        <v>49.44</v>
      </c>
      <c r="H20" s="60">
        <v>13.13</v>
      </c>
      <c r="I20" s="60">
        <v>3.75</v>
      </c>
      <c r="J20" s="60">
        <v>0.1</v>
      </c>
      <c r="K20" s="60">
        <v>275.94</v>
      </c>
      <c r="L20" s="60">
        <v>26.67</v>
      </c>
      <c r="M20" s="60">
        <v>64.37</v>
      </c>
      <c r="N20" s="60">
        <v>42.7</v>
      </c>
      <c r="O20" s="60">
        <v>0</v>
      </c>
      <c r="P20" s="60">
        <v>0.28000000000000003</v>
      </c>
      <c r="Q20" s="60">
        <v>9.39</v>
      </c>
      <c r="R20" s="198"/>
      <c r="S20" s="198"/>
      <c r="T20" s="198"/>
      <c r="U20" s="198"/>
    </row>
    <row r="21" spans="1:21" s="12" customFormat="1" x14ac:dyDescent="0.25">
      <c r="A21" s="63">
        <v>45813.135416666664</v>
      </c>
      <c r="B21" s="60">
        <v>7.47</v>
      </c>
      <c r="C21" s="60">
        <v>16.98</v>
      </c>
      <c r="D21" s="60">
        <v>21.03</v>
      </c>
      <c r="E21" s="60">
        <v>5.16</v>
      </c>
      <c r="F21" s="60">
        <v>8.8800000000000008</v>
      </c>
      <c r="G21" s="60">
        <v>47.56</v>
      </c>
      <c r="H21" s="60">
        <v>13.58</v>
      </c>
      <c r="I21" s="60">
        <v>3.92</v>
      </c>
      <c r="J21" s="60">
        <v>0.18</v>
      </c>
      <c r="K21" s="60">
        <v>290.91000000000003</v>
      </c>
      <c r="L21" s="60">
        <v>26.59</v>
      </c>
      <c r="M21" s="60">
        <v>65.53</v>
      </c>
      <c r="N21" s="60">
        <v>42.7</v>
      </c>
      <c r="O21" s="60">
        <v>0</v>
      </c>
      <c r="P21" s="60">
        <v>0.33</v>
      </c>
      <c r="Q21" s="60">
        <v>9.3800000000000008</v>
      </c>
      <c r="R21" s="198"/>
      <c r="S21" s="198"/>
      <c r="T21" s="198"/>
      <c r="U21" s="198"/>
    </row>
    <row r="22" spans="1:21" s="12" customFormat="1" x14ac:dyDescent="0.25">
      <c r="A22" s="63">
        <v>45813.145833333336</v>
      </c>
      <c r="B22" s="60">
        <v>7.23</v>
      </c>
      <c r="C22" s="60">
        <v>15.82</v>
      </c>
      <c r="D22" s="60">
        <v>19.18</v>
      </c>
      <c r="E22" s="60">
        <v>4.95</v>
      </c>
      <c r="F22" s="60">
        <v>11.52</v>
      </c>
      <c r="G22" s="60">
        <v>47.56</v>
      </c>
      <c r="H22" s="60">
        <v>13.58</v>
      </c>
      <c r="I22" s="60">
        <v>3.96</v>
      </c>
      <c r="J22" s="60">
        <v>0.08</v>
      </c>
      <c r="K22" s="60">
        <v>294.39999999999998</v>
      </c>
      <c r="L22" s="60">
        <v>26.44</v>
      </c>
      <c r="M22" s="60">
        <v>66.319999999999993</v>
      </c>
      <c r="N22" s="60">
        <v>42.8</v>
      </c>
      <c r="O22" s="60">
        <v>0</v>
      </c>
      <c r="P22" s="60">
        <v>0.25</v>
      </c>
      <c r="Q22" s="60">
        <v>9.3699999999999992</v>
      </c>
      <c r="R22" s="198"/>
      <c r="S22" s="198"/>
      <c r="T22" s="198"/>
      <c r="U22" s="198"/>
    </row>
    <row r="23" spans="1:21" s="12" customFormat="1" x14ac:dyDescent="0.25">
      <c r="A23" s="63">
        <v>45813.15625</v>
      </c>
      <c r="B23" s="60">
        <v>6.57</v>
      </c>
      <c r="C23" s="60">
        <v>15.19</v>
      </c>
      <c r="D23" s="60">
        <v>18.989999999999998</v>
      </c>
      <c r="E23" s="60">
        <v>4.99</v>
      </c>
      <c r="F23" s="60">
        <v>13.3</v>
      </c>
      <c r="G23" s="60">
        <v>47.56</v>
      </c>
      <c r="H23" s="60">
        <v>13.58</v>
      </c>
      <c r="I23" s="60">
        <v>3.99</v>
      </c>
      <c r="J23" s="60">
        <v>0.08</v>
      </c>
      <c r="K23" s="60">
        <v>253.65</v>
      </c>
      <c r="L23" s="60">
        <v>26.35</v>
      </c>
      <c r="M23" s="60">
        <v>67.599999999999994</v>
      </c>
      <c r="N23" s="60">
        <v>42.7</v>
      </c>
      <c r="O23" s="60">
        <v>0</v>
      </c>
      <c r="P23" s="60">
        <v>0.18</v>
      </c>
      <c r="Q23" s="60">
        <v>9.3699999999999992</v>
      </c>
      <c r="R23" s="198"/>
      <c r="S23" s="198"/>
      <c r="T23" s="198"/>
      <c r="U23" s="198"/>
    </row>
    <row r="24" spans="1:21" s="12" customFormat="1" x14ac:dyDescent="0.25">
      <c r="A24" s="63">
        <v>45813.166666666664</v>
      </c>
      <c r="B24" s="60">
        <v>5.89</v>
      </c>
      <c r="C24" s="60">
        <v>14.42</v>
      </c>
      <c r="D24" s="60">
        <v>18.55</v>
      </c>
      <c r="E24" s="60">
        <v>5.03</v>
      </c>
      <c r="F24" s="60">
        <v>14.58</v>
      </c>
      <c r="G24" s="60">
        <v>42.17</v>
      </c>
      <c r="H24" s="60">
        <v>14.37</v>
      </c>
      <c r="I24" s="60">
        <v>3.96</v>
      </c>
      <c r="J24" s="60">
        <v>0.06</v>
      </c>
      <c r="K24" s="60">
        <v>261.91000000000003</v>
      </c>
      <c r="L24" s="60">
        <v>26.28</v>
      </c>
      <c r="M24" s="60">
        <v>68.260000000000005</v>
      </c>
      <c r="N24" s="60">
        <v>42.8</v>
      </c>
      <c r="O24" s="60">
        <v>0</v>
      </c>
      <c r="P24" s="60">
        <v>0.14000000000000001</v>
      </c>
      <c r="Q24" s="60">
        <v>9.35</v>
      </c>
      <c r="R24" s="198"/>
      <c r="S24" s="198"/>
      <c r="T24" s="198"/>
      <c r="U24" s="198"/>
    </row>
    <row r="25" spans="1:21" s="12" customFormat="1" x14ac:dyDescent="0.25">
      <c r="A25" s="63">
        <v>45813.177083333336</v>
      </c>
      <c r="B25" s="60">
        <v>6.56</v>
      </c>
      <c r="C25" s="60">
        <v>15.72</v>
      </c>
      <c r="D25" s="60">
        <v>20.03</v>
      </c>
      <c r="E25" s="60">
        <v>5.15</v>
      </c>
      <c r="F25" s="60">
        <v>10.98</v>
      </c>
      <c r="G25" s="60">
        <v>38.9</v>
      </c>
      <c r="H25" s="60">
        <v>14.86</v>
      </c>
      <c r="I25" s="60">
        <v>4.04</v>
      </c>
      <c r="J25" s="60">
        <v>0.09</v>
      </c>
      <c r="K25" s="60">
        <v>277.04000000000002</v>
      </c>
      <c r="L25" s="60">
        <v>26.23</v>
      </c>
      <c r="M25" s="60">
        <v>68.91</v>
      </c>
      <c r="N25" s="60">
        <v>42.7</v>
      </c>
      <c r="O25" s="60">
        <v>0</v>
      </c>
      <c r="P25" s="60">
        <v>0.21</v>
      </c>
      <c r="Q25" s="60">
        <v>9.35</v>
      </c>
      <c r="R25" s="198"/>
      <c r="S25" s="198"/>
      <c r="T25" s="198"/>
      <c r="U25" s="198"/>
    </row>
    <row r="26" spans="1:21" s="12" customFormat="1" x14ac:dyDescent="0.25">
      <c r="A26" s="63">
        <v>45813.1875</v>
      </c>
      <c r="B26" s="60">
        <v>7.48</v>
      </c>
      <c r="C26" s="60">
        <v>18.579999999999998</v>
      </c>
      <c r="D26" s="60">
        <v>24.09</v>
      </c>
      <c r="E26" s="60">
        <v>4.8899999999999997</v>
      </c>
      <c r="F26" s="60">
        <v>11.77</v>
      </c>
      <c r="G26" s="60">
        <v>38.9</v>
      </c>
      <c r="H26" s="60">
        <v>14.86</v>
      </c>
      <c r="I26" s="60">
        <v>3.94</v>
      </c>
      <c r="J26" s="60">
        <v>0.09</v>
      </c>
      <c r="K26" s="60">
        <v>254.87</v>
      </c>
      <c r="L26" s="60">
        <v>26.17</v>
      </c>
      <c r="M26" s="60">
        <v>69.34</v>
      </c>
      <c r="N26" s="60">
        <v>42.6</v>
      </c>
      <c r="O26" s="60">
        <v>0</v>
      </c>
      <c r="P26" s="60">
        <v>0.2</v>
      </c>
      <c r="Q26" s="60">
        <v>9.34</v>
      </c>
      <c r="R26" s="198"/>
      <c r="S26" s="198"/>
      <c r="T26" s="198"/>
      <c r="U26" s="198"/>
    </row>
    <row r="27" spans="1:21" s="12" customFormat="1" x14ac:dyDescent="0.25">
      <c r="A27" s="63">
        <v>45813.197916666664</v>
      </c>
      <c r="B27" s="60">
        <v>7.32</v>
      </c>
      <c r="C27" s="60">
        <v>16.68</v>
      </c>
      <c r="D27" s="60">
        <v>20.69</v>
      </c>
      <c r="E27" s="60">
        <v>5.04</v>
      </c>
      <c r="F27" s="60">
        <v>7.84</v>
      </c>
      <c r="G27" s="60">
        <v>38.9</v>
      </c>
      <c r="H27" s="60">
        <v>14.86</v>
      </c>
      <c r="I27" s="60">
        <v>3.85</v>
      </c>
      <c r="J27" s="60">
        <v>0.08</v>
      </c>
      <c r="K27" s="60">
        <v>231.17</v>
      </c>
      <c r="L27" s="60">
        <v>26.1</v>
      </c>
      <c r="M27" s="60">
        <v>70.16</v>
      </c>
      <c r="N27" s="60">
        <v>42.8</v>
      </c>
      <c r="O27" s="60">
        <v>0</v>
      </c>
      <c r="P27" s="60">
        <v>0.27</v>
      </c>
      <c r="Q27" s="60">
        <v>9.33</v>
      </c>
      <c r="R27" s="198"/>
      <c r="S27" s="198"/>
      <c r="T27" s="198"/>
      <c r="U27" s="198"/>
    </row>
    <row r="28" spans="1:21" s="12" customFormat="1" x14ac:dyDescent="0.25">
      <c r="A28" s="63">
        <v>45813.208333333336</v>
      </c>
      <c r="B28" s="60">
        <v>8.0399999999999991</v>
      </c>
      <c r="C28" s="60">
        <v>18.2</v>
      </c>
      <c r="D28" s="60">
        <v>22.5</v>
      </c>
      <c r="E28" s="60">
        <v>5.46</v>
      </c>
      <c r="F28" s="60">
        <v>7.34</v>
      </c>
      <c r="G28" s="60">
        <v>35.22</v>
      </c>
      <c r="H28" s="60">
        <v>13.63</v>
      </c>
      <c r="I28" s="60">
        <v>4.1900000000000004</v>
      </c>
      <c r="J28" s="60">
        <v>7.0000000000000007E-2</v>
      </c>
      <c r="K28" s="60">
        <v>283.32</v>
      </c>
      <c r="L28" s="60">
        <v>26.09</v>
      </c>
      <c r="M28" s="60">
        <v>70.39</v>
      </c>
      <c r="N28" s="60">
        <v>42.8</v>
      </c>
      <c r="O28" s="60">
        <v>0</v>
      </c>
      <c r="P28" s="60">
        <v>0.28999999999999998</v>
      </c>
      <c r="Q28" s="60">
        <v>9.32</v>
      </c>
      <c r="R28" s="198"/>
      <c r="S28" s="198"/>
      <c r="T28" s="198"/>
      <c r="U28" s="198"/>
    </row>
    <row r="29" spans="1:21" s="12" customFormat="1" x14ac:dyDescent="0.25">
      <c r="A29" s="63">
        <v>45813.21875</v>
      </c>
      <c r="B29" s="60">
        <v>8.1</v>
      </c>
      <c r="C29" s="60">
        <v>17.96</v>
      </c>
      <c r="D29" s="60">
        <v>21.95</v>
      </c>
      <c r="E29" s="60">
        <v>5.05</v>
      </c>
      <c r="F29" s="60">
        <v>4.58</v>
      </c>
      <c r="G29" s="60">
        <v>32.99</v>
      </c>
      <c r="H29" s="60">
        <v>12.88</v>
      </c>
      <c r="I29" s="60">
        <v>4.03</v>
      </c>
      <c r="J29" s="60">
        <v>0.08</v>
      </c>
      <c r="K29" s="60">
        <v>285.88</v>
      </c>
      <c r="L29" s="60">
        <v>26</v>
      </c>
      <c r="M29" s="60">
        <v>71.680000000000007</v>
      </c>
      <c r="N29" s="60">
        <v>43.6</v>
      </c>
      <c r="O29" s="60">
        <v>0</v>
      </c>
      <c r="P29" s="60">
        <v>0.32</v>
      </c>
      <c r="Q29" s="60">
        <v>9.31</v>
      </c>
      <c r="R29" s="198"/>
      <c r="S29" s="198"/>
      <c r="T29" s="198"/>
      <c r="U29" s="198"/>
    </row>
    <row r="30" spans="1:21" s="12" customFormat="1" x14ac:dyDescent="0.25">
      <c r="A30" s="63">
        <v>45813.229166666664</v>
      </c>
      <c r="B30" s="60">
        <v>9.15</v>
      </c>
      <c r="C30" s="60">
        <v>21.16</v>
      </c>
      <c r="D30" s="60">
        <v>26.47</v>
      </c>
      <c r="E30" s="60">
        <v>5.2</v>
      </c>
      <c r="F30" s="60">
        <v>5.12</v>
      </c>
      <c r="G30" s="60">
        <v>32.99</v>
      </c>
      <c r="H30" s="60">
        <v>12.88</v>
      </c>
      <c r="I30" s="60">
        <v>3.89</v>
      </c>
      <c r="J30" s="60">
        <v>0.09</v>
      </c>
      <c r="K30" s="60">
        <v>284.36</v>
      </c>
      <c r="L30" s="60">
        <v>25.91</v>
      </c>
      <c r="M30" s="60">
        <v>72.56</v>
      </c>
      <c r="N30" s="60">
        <v>47.3</v>
      </c>
      <c r="O30" s="60">
        <v>0</v>
      </c>
      <c r="P30" s="60">
        <v>0.31</v>
      </c>
      <c r="Q30" s="60">
        <v>9.31</v>
      </c>
      <c r="R30" s="198"/>
      <c r="S30" s="198"/>
      <c r="T30" s="198"/>
      <c r="U30" s="198"/>
    </row>
    <row r="31" spans="1:21" s="12" customFormat="1" x14ac:dyDescent="0.25">
      <c r="A31" s="63">
        <v>45813.239583333336</v>
      </c>
      <c r="B31" s="60">
        <v>9.94</v>
      </c>
      <c r="C31" s="60">
        <v>20.92</v>
      </c>
      <c r="D31" s="60">
        <v>24.79</v>
      </c>
      <c r="E31" s="60">
        <v>4.95</v>
      </c>
      <c r="F31" s="60">
        <v>4.62</v>
      </c>
      <c r="G31" s="60">
        <v>32.99</v>
      </c>
      <c r="H31" s="60">
        <v>12.88</v>
      </c>
      <c r="I31" s="60">
        <v>3.96</v>
      </c>
      <c r="J31" s="60">
        <v>0.14000000000000001</v>
      </c>
      <c r="K31" s="60">
        <v>282.89999999999998</v>
      </c>
      <c r="L31" s="60">
        <v>25.97</v>
      </c>
      <c r="M31" s="60">
        <v>73.12</v>
      </c>
      <c r="N31" s="60">
        <v>58.3</v>
      </c>
      <c r="O31" s="60">
        <v>0</v>
      </c>
      <c r="P31" s="60">
        <v>0.32</v>
      </c>
      <c r="Q31" s="60">
        <v>9.32</v>
      </c>
      <c r="R31" s="198"/>
      <c r="S31" s="198"/>
      <c r="T31" s="198"/>
      <c r="U31" s="198"/>
    </row>
    <row r="32" spans="1:21" s="12" customFormat="1" x14ac:dyDescent="0.25">
      <c r="A32" s="63">
        <v>45813.25</v>
      </c>
      <c r="B32" s="60">
        <v>10.91</v>
      </c>
      <c r="C32" s="60">
        <v>22.37</v>
      </c>
      <c r="D32" s="60">
        <v>26.07</v>
      </c>
      <c r="E32" s="60">
        <v>4.7699999999999996</v>
      </c>
      <c r="F32" s="60">
        <v>4.13</v>
      </c>
      <c r="G32" s="60">
        <v>33.200000000000003</v>
      </c>
      <c r="H32" s="60">
        <v>9.2799999999999994</v>
      </c>
      <c r="I32" s="60">
        <v>4.01</v>
      </c>
      <c r="J32" s="60">
        <v>0.31</v>
      </c>
      <c r="K32" s="60">
        <v>299.89999999999998</v>
      </c>
      <c r="L32" s="60">
        <v>26.15</v>
      </c>
      <c r="M32" s="60">
        <v>72.72</v>
      </c>
      <c r="N32" s="60">
        <v>69.400000000000006</v>
      </c>
      <c r="O32" s="60">
        <v>0</v>
      </c>
      <c r="P32" s="60">
        <v>0.32</v>
      </c>
      <c r="Q32" s="60">
        <v>9.33</v>
      </c>
      <c r="R32" s="198"/>
      <c r="S32" s="198"/>
      <c r="T32" s="198"/>
      <c r="U32" s="198"/>
    </row>
    <row r="33" spans="1:21" s="12" customFormat="1" x14ac:dyDescent="0.25">
      <c r="A33" s="63">
        <v>45813.260416666664</v>
      </c>
      <c r="B33" s="60">
        <v>11.58</v>
      </c>
      <c r="C33" s="60">
        <v>22.98</v>
      </c>
      <c r="D33" s="60">
        <v>26.22</v>
      </c>
      <c r="E33" s="60">
        <v>4.6900000000000004</v>
      </c>
      <c r="F33" s="60">
        <v>4.2300000000000004</v>
      </c>
      <c r="G33" s="60">
        <v>33.32</v>
      </c>
      <c r="H33" s="60">
        <v>7.1</v>
      </c>
      <c r="I33" s="60">
        <v>4.05</v>
      </c>
      <c r="J33" s="60">
        <v>0.39</v>
      </c>
      <c r="K33" s="60">
        <v>320.02</v>
      </c>
      <c r="L33" s="60">
        <v>26.36</v>
      </c>
      <c r="M33" s="60">
        <v>71.56</v>
      </c>
      <c r="N33" s="60">
        <v>90.5</v>
      </c>
      <c r="O33" s="60">
        <v>0</v>
      </c>
      <c r="P33" s="60">
        <v>0.33</v>
      </c>
      <c r="Q33" s="60">
        <v>9.35</v>
      </c>
      <c r="R33" s="198"/>
      <c r="S33" s="198"/>
      <c r="T33" s="198"/>
      <c r="U33" s="198"/>
    </row>
    <row r="34" spans="1:21" s="12" customFormat="1" x14ac:dyDescent="0.25">
      <c r="A34" s="63">
        <v>45813.270833333336</v>
      </c>
      <c r="B34" s="60">
        <v>11.59</v>
      </c>
      <c r="C34" s="60">
        <v>23.53</v>
      </c>
      <c r="D34" s="60">
        <v>27.24</v>
      </c>
      <c r="E34" s="60">
        <v>4.83</v>
      </c>
      <c r="F34" s="60">
        <v>3.44</v>
      </c>
      <c r="G34" s="60">
        <v>33.32</v>
      </c>
      <c r="H34" s="60">
        <v>7.1</v>
      </c>
      <c r="I34" s="60">
        <v>4.16</v>
      </c>
      <c r="J34" s="60">
        <v>0.26</v>
      </c>
      <c r="K34" s="60">
        <v>287.99</v>
      </c>
      <c r="L34" s="60">
        <v>26.63</v>
      </c>
      <c r="M34" s="60">
        <v>70.08</v>
      </c>
      <c r="N34" s="60">
        <v>110.9</v>
      </c>
      <c r="O34" s="60">
        <v>0</v>
      </c>
      <c r="P34" s="60">
        <v>0.32</v>
      </c>
      <c r="Q34" s="60">
        <v>9.3800000000000008</v>
      </c>
      <c r="R34" s="198"/>
      <c r="S34" s="198"/>
      <c r="T34" s="198"/>
      <c r="U34" s="198"/>
    </row>
    <row r="35" spans="1:21" s="12" customFormat="1" x14ac:dyDescent="0.25">
      <c r="A35" s="63">
        <v>45813.28125</v>
      </c>
      <c r="B35" s="60">
        <v>11.51</v>
      </c>
      <c r="C35" s="60">
        <v>22.43</v>
      </c>
      <c r="D35" s="60">
        <v>25.25</v>
      </c>
      <c r="E35" s="60">
        <v>4.76</v>
      </c>
      <c r="F35" s="60">
        <v>3.87</v>
      </c>
      <c r="G35" s="60">
        <v>33.32</v>
      </c>
      <c r="H35" s="60">
        <v>7.1</v>
      </c>
      <c r="I35" s="60">
        <v>3.98</v>
      </c>
      <c r="J35" s="60">
        <v>0.22</v>
      </c>
      <c r="K35" s="60">
        <v>299.10000000000002</v>
      </c>
      <c r="L35" s="60">
        <v>27.07</v>
      </c>
      <c r="M35" s="60">
        <v>68.599999999999994</v>
      </c>
      <c r="N35" s="60">
        <v>149.80000000000001</v>
      </c>
      <c r="O35" s="60">
        <v>0</v>
      </c>
      <c r="P35" s="60">
        <v>0.33</v>
      </c>
      <c r="Q35" s="60">
        <v>9.3800000000000008</v>
      </c>
      <c r="R35" s="198"/>
      <c r="S35" s="198"/>
      <c r="T35" s="198"/>
      <c r="U35" s="198"/>
    </row>
    <row r="36" spans="1:21" s="12" customFormat="1" x14ac:dyDescent="0.25">
      <c r="A36" s="63">
        <v>45813.291666666664</v>
      </c>
      <c r="B36" s="60">
        <v>12.03</v>
      </c>
      <c r="C36" s="60">
        <v>23.76</v>
      </c>
      <c r="D36" s="60">
        <v>27.02</v>
      </c>
      <c r="E36" s="60">
        <v>4.93</v>
      </c>
      <c r="F36" s="60">
        <v>3.39</v>
      </c>
      <c r="G36" s="60">
        <v>36.04</v>
      </c>
      <c r="H36" s="60">
        <v>11.2</v>
      </c>
      <c r="I36" s="60">
        <v>4.08</v>
      </c>
      <c r="J36" s="60">
        <v>0.22</v>
      </c>
      <c r="K36" s="60">
        <v>281.13</v>
      </c>
      <c r="L36" s="60">
        <v>27.51</v>
      </c>
      <c r="M36" s="60">
        <v>64.91</v>
      </c>
      <c r="N36" s="60">
        <v>191.2</v>
      </c>
      <c r="O36" s="60">
        <v>0</v>
      </c>
      <c r="P36" s="60">
        <v>0.32</v>
      </c>
      <c r="Q36" s="60">
        <v>9.41</v>
      </c>
      <c r="R36" s="198"/>
      <c r="S36" s="198"/>
      <c r="T36" s="198"/>
      <c r="U36" s="198"/>
    </row>
    <row r="37" spans="1:21" s="12" customFormat="1" x14ac:dyDescent="0.25">
      <c r="A37" s="63">
        <v>45813.302083333336</v>
      </c>
      <c r="B37" s="60">
        <v>11.86</v>
      </c>
      <c r="C37" s="60">
        <v>23.32</v>
      </c>
      <c r="D37" s="60">
        <v>26.43</v>
      </c>
      <c r="E37" s="60">
        <v>4.96</v>
      </c>
      <c r="F37" s="60">
        <v>3.93</v>
      </c>
      <c r="G37" s="60">
        <v>37.68</v>
      </c>
      <c r="H37" s="60">
        <v>13.69</v>
      </c>
      <c r="I37" s="60">
        <v>4.0199999999999996</v>
      </c>
      <c r="J37" s="60">
        <v>0.28999999999999998</v>
      </c>
      <c r="K37" s="60">
        <v>281.54000000000002</v>
      </c>
      <c r="L37" s="60">
        <v>27.6</v>
      </c>
      <c r="M37" s="60">
        <v>64.72</v>
      </c>
      <c r="N37" s="60">
        <v>250.3</v>
      </c>
      <c r="O37" s="60">
        <v>0</v>
      </c>
      <c r="P37" s="60">
        <v>0.37</v>
      </c>
      <c r="Q37" s="60">
        <v>9.42</v>
      </c>
      <c r="R37" s="198"/>
      <c r="S37" s="198"/>
      <c r="T37" s="198"/>
      <c r="U37" s="198"/>
    </row>
    <row r="38" spans="1:21" s="12" customFormat="1" x14ac:dyDescent="0.25">
      <c r="A38" s="63">
        <v>45813.3125</v>
      </c>
      <c r="B38" s="60">
        <v>11.17</v>
      </c>
      <c r="C38" s="60">
        <v>22.26</v>
      </c>
      <c r="D38" s="60">
        <v>25.46</v>
      </c>
      <c r="E38" s="60">
        <v>4.71</v>
      </c>
      <c r="F38" s="60">
        <v>5.56</v>
      </c>
      <c r="G38" s="60">
        <v>37.68</v>
      </c>
      <c r="H38" s="60">
        <v>13.69</v>
      </c>
      <c r="I38" s="60">
        <v>3.97</v>
      </c>
      <c r="J38" s="60">
        <v>0.31</v>
      </c>
      <c r="K38" s="60">
        <v>281.64</v>
      </c>
      <c r="L38" s="60">
        <v>28.8</v>
      </c>
      <c r="M38" s="60">
        <v>60.86</v>
      </c>
      <c r="N38" s="60">
        <v>372.5</v>
      </c>
      <c r="O38" s="60">
        <v>0</v>
      </c>
      <c r="P38" s="60">
        <v>0.38</v>
      </c>
      <c r="Q38" s="60">
        <v>9.42</v>
      </c>
      <c r="R38" s="198"/>
      <c r="S38" s="198"/>
      <c r="T38" s="198"/>
      <c r="U38" s="198"/>
    </row>
    <row r="39" spans="1:21" s="12" customFormat="1" x14ac:dyDescent="0.25">
      <c r="A39" s="63">
        <v>45813.322916666664</v>
      </c>
      <c r="B39" s="60">
        <v>10.3</v>
      </c>
      <c r="C39" s="60">
        <v>21.99</v>
      </c>
      <c r="D39" s="60">
        <v>26.28</v>
      </c>
      <c r="E39" s="60">
        <v>4.8499999999999996</v>
      </c>
      <c r="F39" s="60">
        <v>4.91</v>
      </c>
      <c r="G39" s="60">
        <v>37.68</v>
      </c>
      <c r="H39" s="60">
        <v>13.69</v>
      </c>
      <c r="I39" s="60">
        <v>4</v>
      </c>
      <c r="J39" s="60">
        <v>0.3</v>
      </c>
      <c r="K39" s="60">
        <v>280.35000000000002</v>
      </c>
      <c r="L39" s="60">
        <v>28.84</v>
      </c>
      <c r="M39" s="60">
        <v>60.35</v>
      </c>
      <c r="N39" s="60">
        <v>427.6</v>
      </c>
      <c r="O39" s="60">
        <v>0</v>
      </c>
      <c r="P39" s="60">
        <v>0.43</v>
      </c>
      <c r="Q39" s="60">
        <v>9.41</v>
      </c>
      <c r="R39" s="198"/>
      <c r="S39" s="198"/>
      <c r="T39" s="198"/>
      <c r="U39" s="198"/>
    </row>
    <row r="40" spans="1:21" s="12" customFormat="1" x14ac:dyDescent="0.25">
      <c r="A40" s="63">
        <v>45813.333333333336</v>
      </c>
      <c r="B40" s="60">
        <v>9.84</v>
      </c>
      <c r="C40" s="60">
        <v>23.76</v>
      </c>
      <c r="D40" s="60">
        <v>30.37</v>
      </c>
      <c r="E40" s="60">
        <v>4.95</v>
      </c>
      <c r="F40" s="60">
        <v>6.47</v>
      </c>
      <c r="G40" s="60">
        <v>38.29</v>
      </c>
      <c r="H40" s="60">
        <v>16.03</v>
      </c>
      <c r="I40" s="60">
        <v>3.9</v>
      </c>
      <c r="J40" s="60">
        <v>0.39</v>
      </c>
      <c r="K40" s="60">
        <v>294.73</v>
      </c>
      <c r="L40" s="60">
        <v>30.31</v>
      </c>
      <c r="M40" s="60">
        <v>56.28</v>
      </c>
      <c r="N40" s="60">
        <v>460.1</v>
      </c>
      <c r="O40" s="60">
        <v>0</v>
      </c>
      <c r="P40" s="60">
        <v>0.6</v>
      </c>
      <c r="Q40" s="60">
        <v>9.39</v>
      </c>
      <c r="R40" s="198"/>
      <c r="S40" s="198"/>
      <c r="T40" s="198"/>
      <c r="U40" s="198"/>
    </row>
    <row r="41" spans="1:21" s="12" customFormat="1" x14ac:dyDescent="0.25">
      <c r="A41" s="63">
        <v>45813.34375</v>
      </c>
      <c r="B41" s="60">
        <v>9.51</v>
      </c>
      <c r="C41" s="60">
        <v>24.11</v>
      </c>
      <c r="D41" s="60">
        <v>31.56</v>
      </c>
      <c r="E41" s="60">
        <v>5.81</v>
      </c>
      <c r="F41" s="60">
        <v>4.33</v>
      </c>
      <c r="G41" s="60">
        <v>38.65</v>
      </c>
      <c r="H41" s="60">
        <v>17.45</v>
      </c>
      <c r="I41" s="60">
        <v>4.08</v>
      </c>
      <c r="J41" s="60">
        <v>0.51</v>
      </c>
      <c r="K41" s="60">
        <v>293.51</v>
      </c>
      <c r="L41" s="60">
        <v>32.32</v>
      </c>
      <c r="M41" s="60">
        <v>51.05</v>
      </c>
      <c r="N41" s="60">
        <v>539.4</v>
      </c>
      <c r="O41" s="60">
        <v>0</v>
      </c>
      <c r="P41" s="60">
        <v>0.56999999999999995</v>
      </c>
      <c r="Q41" s="60">
        <v>9.3800000000000008</v>
      </c>
      <c r="R41" s="198"/>
      <c r="S41" s="198"/>
      <c r="T41" s="198"/>
      <c r="U41" s="198"/>
    </row>
    <row r="42" spans="1:21" s="12" customFormat="1" x14ac:dyDescent="0.25">
      <c r="A42" s="63">
        <v>45813.354166666664</v>
      </c>
      <c r="B42" s="60">
        <v>9.91</v>
      </c>
      <c r="C42" s="60">
        <v>24.2</v>
      </c>
      <c r="D42" s="60">
        <v>31.11</v>
      </c>
      <c r="E42" s="60">
        <v>5.62</v>
      </c>
      <c r="F42" s="60">
        <v>4.76</v>
      </c>
      <c r="G42" s="60">
        <v>38.65</v>
      </c>
      <c r="H42" s="60">
        <v>17.45</v>
      </c>
      <c r="I42" s="60">
        <v>4.04</v>
      </c>
      <c r="J42" s="60">
        <v>0.44</v>
      </c>
      <c r="K42" s="60">
        <v>288.44</v>
      </c>
      <c r="L42" s="60">
        <v>33.54</v>
      </c>
      <c r="M42" s="60">
        <v>47.92</v>
      </c>
      <c r="N42" s="60">
        <v>596</v>
      </c>
      <c r="O42" s="60">
        <v>0</v>
      </c>
      <c r="P42" s="60">
        <v>0.6</v>
      </c>
      <c r="Q42" s="60">
        <v>9.3699999999999992</v>
      </c>
      <c r="R42" s="198"/>
      <c r="S42" s="198"/>
      <c r="T42" s="198"/>
      <c r="U42" s="198"/>
    </row>
    <row r="43" spans="1:21" s="12" customFormat="1" x14ac:dyDescent="0.25">
      <c r="A43" s="63">
        <v>45813.364583333336</v>
      </c>
      <c r="B43" s="60">
        <v>10.54</v>
      </c>
      <c r="C43" s="60">
        <v>23.34</v>
      </c>
      <c r="D43" s="60">
        <v>28.5</v>
      </c>
      <c r="E43" s="60">
        <v>5.88</v>
      </c>
      <c r="F43" s="60">
        <v>4.68</v>
      </c>
      <c r="G43" s="60">
        <v>38.65</v>
      </c>
      <c r="H43" s="60">
        <v>17.45</v>
      </c>
      <c r="I43" s="60">
        <v>4.03</v>
      </c>
      <c r="J43" s="60">
        <v>0.73</v>
      </c>
      <c r="K43" s="60">
        <v>307.27999999999997</v>
      </c>
      <c r="L43" s="60">
        <v>34.53</v>
      </c>
      <c r="M43" s="60">
        <v>45.2</v>
      </c>
      <c r="N43" s="60">
        <v>649.6</v>
      </c>
      <c r="O43" s="60">
        <v>0</v>
      </c>
      <c r="P43" s="60">
        <v>0.59</v>
      </c>
      <c r="Q43" s="60">
        <v>9.3699999999999992</v>
      </c>
      <c r="R43" s="198"/>
      <c r="S43" s="198"/>
      <c r="T43" s="198"/>
      <c r="U43" s="198"/>
    </row>
    <row r="44" spans="1:21" s="12" customFormat="1" x14ac:dyDescent="0.25">
      <c r="A44" s="63">
        <v>45813.375</v>
      </c>
      <c r="B44" s="60">
        <v>9.89</v>
      </c>
      <c r="C44" s="60">
        <v>23.11</v>
      </c>
      <c r="D44" s="60">
        <v>29.05</v>
      </c>
      <c r="E44" s="60">
        <v>5.78</v>
      </c>
      <c r="F44" s="60">
        <v>5.61</v>
      </c>
      <c r="G44" s="60">
        <v>38.950000000000003</v>
      </c>
      <c r="H44" s="60">
        <v>16.84</v>
      </c>
      <c r="I44" s="60">
        <v>3.98</v>
      </c>
      <c r="J44" s="60">
        <v>0.82</v>
      </c>
      <c r="K44" s="60">
        <v>313.47000000000003</v>
      </c>
      <c r="L44" s="60">
        <v>35.549999999999997</v>
      </c>
      <c r="M44" s="60">
        <v>42.96</v>
      </c>
      <c r="N44" s="60">
        <v>700.8</v>
      </c>
      <c r="O44" s="60">
        <v>0</v>
      </c>
      <c r="P44" s="60">
        <v>0.56000000000000005</v>
      </c>
      <c r="Q44" s="60">
        <v>9.36</v>
      </c>
      <c r="R44" s="198"/>
      <c r="S44" s="198"/>
      <c r="T44" s="198"/>
      <c r="U44" s="198"/>
    </row>
    <row r="45" spans="1:21" s="12" customFormat="1" x14ac:dyDescent="0.25">
      <c r="A45" s="63">
        <v>45813.385416666664</v>
      </c>
      <c r="B45" s="60">
        <v>9.27</v>
      </c>
      <c r="C45" s="60">
        <v>23.75</v>
      </c>
      <c r="D45" s="60">
        <v>31.23</v>
      </c>
      <c r="E45" s="60">
        <v>5.84</v>
      </c>
      <c r="F45" s="60">
        <v>5.07</v>
      </c>
      <c r="G45" s="60">
        <v>39.130000000000003</v>
      </c>
      <c r="H45" s="60">
        <v>16.47</v>
      </c>
      <c r="I45" s="60">
        <v>3.89</v>
      </c>
      <c r="J45" s="60">
        <v>0.71</v>
      </c>
      <c r="K45" s="60">
        <v>318.57</v>
      </c>
      <c r="L45" s="60">
        <v>36.57</v>
      </c>
      <c r="M45" s="60">
        <v>41.09</v>
      </c>
      <c r="N45" s="60">
        <v>727.2</v>
      </c>
      <c r="O45" s="60">
        <v>0</v>
      </c>
      <c r="P45" s="60">
        <v>0.56000000000000005</v>
      </c>
      <c r="Q45" s="60">
        <v>9.36</v>
      </c>
      <c r="R45" s="198"/>
      <c r="S45" s="198"/>
      <c r="T45" s="198"/>
      <c r="U45" s="198"/>
    </row>
    <row r="46" spans="1:21" s="12" customFormat="1" x14ac:dyDescent="0.25">
      <c r="A46" s="63">
        <v>45813.395833333336</v>
      </c>
      <c r="B46" s="60">
        <v>9.39</v>
      </c>
      <c r="C46" s="60">
        <v>23.99</v>
      </c>
      <c r="D46" s="60">
        <v>31.5</v>
      </c>
      <c r="E46" s="60">
        <v>6.15</v>
      </c>
      <c r="F46" s="60">
        <v>4.66</v>
      </c>
      <c r="G46" s="60">
        <v>39.130000000000003</v>
      </c>
      <c r="H46" s="60">
        <v>16.47</v>
      </c>
      <c r="I46" s="60">
        <v>4.22</v>
      </c>
      <c r="J46" s="60">
        <v>0.5</v>
      </c>
      <c r="K46" s="60">
        <v>308.70999999999998</v>
      </c>
      <c r="L46" s="60">
        <v>36.369999999999997</v>
      </c>
      <c r="M46" s="60">
        <v>40.450000000000003</v>
      </c>
      <c r="N46" s="60">
        <v>559.6</v>
      </c>
      <c r="O46" s="60">
        <v>0</v>
      </c>
      <c r="P46" s="60">
        <v>0.55000000000000004</v>
      </c>
      <c r="Q46" s="60">
        <v>9.35</v>
      </c>
      <c r="R46" s="198"/>
      <c r="S46" s="198"/>
      <c r="T46" s="198"/>
      <c r="U46" s="198"/>
    </row>
    <row r="47" spans="1:21" s="12" customFormat="1" x14ac:dyDescent="0.25">
      <c r="A47" s="63">
        <v>45813.40625</v>
      </c>
      <c r="B47" s="60">
        <v>8.0299999999999994</v>
      </c>
      <c r="C47" s="60">
        <v>22.8</v>
      </c>
      <c r="D47" s="60">
        <v>31.3</v>
      </c>
      <c r="E47" s="60">
        <v>5.89</v>
      </c>
      <c r="F47" s="60">
        <v>4.9800000000000004</v>
      </c>
      <c r="G47" s="60">
        <v>39.130000000000003</v>
      </c>
      <c r="H47" s="60">
        <v>16.47</v>
      </c>
      <c r="I47" s="60">
        <v>4.08</v>
      </c>
      <c r="J47" s="60">
        <v>0.46</v>
      </c>
      <c r="K47" s="60">
        <v>306.89999999999998</v>
      </c>
      <c r="L47" s="60">
        <v>36.299999999999997</v>
      </c>
      <c r="M47" s="60">
        <v>39.56</v>
      </c>
      <c r="N47" s="60">
        <v>683</v>
      </c>
      <c r="O47" s="60">
        <v>0</v>
      </c>
      <c r="P47" s="60">
        <v>0.55000000000000004</v>
      </c>
      <c r="Q47" s="60">
        <v>9.32</v>
      </c>
      <c r="R47" s="198"/>
      <c r="S47" s="198"/>
      <c r="T47" s="198"/>
      <c r="U47" s="198"/>
    </row>
    <row r="48" spans="1:21" s="12" customFormat="1" x14ac:dyDescent="0.25">
      <c r="A48" s="63">
        <v>45813.416666666664</v>
      </c>
      <c r="B48" s="60">
        <v>8.14</v>
      </c>
      <c r="C48" s="60">
        <v>22.66</v>
      </c>
      <c r="D48" s="60">
        <v>30.89</v>
      </c>
      <c r="E48" s="60">
        <v>5.14</v>
      </c>
      <c r="F48" s="60">
        <v>5.58</v>
      </c>
      <c r="G48" s="60">
        <v>39.17</v>
      </c>
      <c r="H48" s="60">
        <v>12.75</v>
      </c>
      <c r="I48" s="60">
        <v>3.99</v>
      </c>
      <c r="J48" s="60">
        <v>0.39</v>
      </c>
      <c r="K48" s="60">
        <v>296.70999999999998</v>
      </c>
      <c r="L48" s="60">
        <v>36.4</v>
      </c>
      <c r="M48" s="60">
        <v>38.99</v>
      </c>
      <c r="N48" s="60">
        <v>858.2</v>
      </c>
      <c r="O48" s="60">
        <v>0</v>
      </c>
      <c r="P48" s="60">
        <v>0.53</v>
      </c>
      <c r="Q48" s="60">
        <v>9.32</v>
      </c>
      <c r="R48" s="198"/>
      <c r="S48" s="198"/>
      <c r="T48" s="198"/>
      <c r="U48" s="198"/>
    </row>
    <row r="49" spans="1:21" s="12" customFormat="1" x14ac:dyDescent="0.25">
      <c r="A49" s="63">
        <v>45813.427083333336</v>
      </c>
      <c r="B49" s="60">
        <v>7.73</v>
      </c>
      <c r="C49" s="60">
        <v>21.67</v>
      </c>
      <c r="D49" s="60">
        <v>29.61</v>
      </c>
      <c r="E49" s="60">
        <v>5.73</v>
      </c>
      <c r="F49" s="60">
        <v>6.52</v>
      </c>
      <c r="G49" s="60">
        <v>39.200000000000003</v>
      </c>
      <c r="H49" s="60">
        <v>10.49</v>
      </c>
      <c r="I49" s="60">
        <v>4.1900000000000004</v>
      </c>
      <c r="J49" s="60">
        <v>0.46</v>
      </c>
      <c r="K49" s="60">
        <v>310.7</v>
      </c>
      <c r="L49" s="60">
        <v>37.409999999999997</v>
      </c>
      <c r="M49" s="60">
        <v>36.97</v>
      </c>
      <c r="N49" s="60">
        <v>856.9</v>
      </c>
      <c r="O49" s="60">
        <v>0</v>
      </c>
      <c r="P49" s="60">
        <v>0.53</v>
      </c>
      <c r="Q49" s="60">
        <v>9.3000000000000007</v>
      </c>
      <c r="R49" s="198"/>
      <c r="S49" s="198"/>
      <c r="T49" s="198"/>
      <c r="U49" s="198"/>
    </row>
    <row r="50" spans="1:21" s="12" customFormat="1" x14ac:dyDescent="0.25">
      <c r="A50" s="63">
        <v>45813.4375</v>
      </c>
      <c r="B50" s="60">
        <v>6.9</v>
      </c>
      <c r="C50" s="60">
        <v>21.62</v>
      </c>
      <c r="D50" s="60">
        <v>30.79</v>
      </c>
      <c r="E50" s="60">
        <v>6.04</v>
      </c>
      <c r="F50" s="60">
        <v>6.25</v>
      </c>
      <c r="G50" s="60">
        <v>39.200000000000003</v>
      </c>
      <c r="H50" s="60">
        <v>10.49</v>
      </c>
      <c r="I50" s="60">
        <v>3.86</v>
      </c>
      <c r="J50" s="60">
        <v>0.43</v>
      </c>
      <c r="K50" s="60">
        <v>324.13</v>
      </c>
      <c r="L50" s="60">
        <v>35.950000000000003</v>
      </c>
      <c r="M50" s="60">
        <v>39.61</v>
      </c>
      <c r="N50" s="60">
        <v>870.3</v>
      </c>
      <c r="O50" s="60">
        <v>0</v>
      </c>
      <c r="P50" s="60">
        <v>0.52</v>
      </c>
      <c r="Q50" s="60">
        <v>9.3000000000000007</v>
      </c>
      <c r="R50" s="198"/>
      <c r="S50" s="198"/>
      <c r="T50" s="198"/>
      <c r="U50" s="198"/>
    </row>
    <row r="51" spans="1:21" s="12" customFormat="1" x14ac:dyDescent="0.25">
      <c r="A51" s="63">
        <v>45813.447916666664</v>
      </c>
      <c r="B51" s="60">
        <v>6.62</v>
      </c>
      <c r="C51" s="60">
        <v>21.56</v>
      </c>
      <c r="D51" s="60">
        <v>31.11</v>
      </c>
      <c r="E51" s="60">
        <v>6.02</v>
      </c>
      <c r="F51" s="60">
        <v>7.65</v>
      </c>
      <c r="G51" s="60">
        <v>39.200000000000003</v>
      </c>
      <c r="H51" s="60">
        <v>10.49</v>
      </c>
      <c r="I51" s="60">
        <v>4.03</v>
      </c>
      <c r="J51" s="60">
        <v>0.43</v>
      </c>
      <c r="K51" s="60">
        <v>315.81</v>
      </c>
      <c r="L51" s="60">
        <v>37.47</v>
      </c>
      <c r="M51" s="60">
        <v>35.799999999999997</v>
      </c>
      <c r="N51" s="60">
        <v>894.8</v>
      </c>
      <c r="O51" s="60">
        <v>0</v>
      </c>
      <c r="P51" s="60">
        <v>0.52</v>
      </c>
      <c r="Q51" s="60">
        <v>9.2799999999999994</v>
      </c>
      <c r="R51" s="198"/>
      <c r="S51" s="198"/>
      <c r="T51" s="198"/>
      <c r="U51" s="198"/>
    </row>
    <row r="52" spans="1:21" s="12" customFormat="1" x14ac:dyDescent="0.25">
      <c r="A52" s="63">
        <v>45813.458333333336</v>
      </c>
      <c r="B52" s="60">
        <v>5.76</v>
      </c>
      <c r="C52" s="60">
        <v>20.2</v>
      </c>
      <c r="D52" s="60">
        <v>29.82</v>
      </c>
      <c r="E52" s="60">
        <v>5.66</v>
      </c>
      <c r="F52" s="60">
        <v>6.71</v>
      </c>
      <c r="G52" s="60">
        <v>38.71</v>
      </c>
      <c r="H52" s="60">
        <v>12.23</v>
      </c>
      <c r="I52" s="60">
        <v>3.86</v>
      </c>
      <c r="J52" s="60">
        <v>0.38</v>
      </c>
      <c r="K52" s="60">
        <v>315.7</v>
      </c>
      <c r="L52" s="60">
        <v>37.229999999999997</v>
      </c>
      <c r="M52" s="60">
        <v>35.29</v>
      </c>
      <c r="N52" s="60">
        <v>925.3</v>
      </c>
      <c r="O52" s="60">
        <v>0</v>
      </c>
      <c r="P52" s="60">
        <v>0.52</v>
      </c>
      <c r="Q52" s="60">
        <v>9.25</v>
      </c>
      <c r="R52" s="198"/>
      <c r="S52" s="198"/>
      <c r="T52" s="198"/>
      <c r="U52" s="198"/>
    </row>
    <row r="53" spans="1:21" s="12" customFormat="1" x14ac:dyDescent="0.25">
      <c r="A53" s="63">
        <v>45813.46875</v>
      </c>
      <c r="B53" s="60">
        <v>6.28</v>
      </c>
      <c r="C53" s="60">
        <v>22.58</v>
      </c>
      <c r="D53" s="60">
        <v>33.58</v>
      </c>
      <c r="E53" s="60">
        <v>5.77</v>
      </c>
      <c r="F53" s="60">
        <v>6.62</v>
      </c>
      <c r="G53" s="60">
        <v>38.409999999999997</v>
      </c>
      <c r="H53" s="60">
        <v>13.28</v>
      </c>
      <c r="I53" s="60">
        <v>4.0199999999999996</v>
      </c>
      <c r="J53" s="60">
        <v>0.79</v>
      </c>
      <c r="K53" s="60">
        <v>336.68</v>
      </c>
      <c r="L53" s="60">
        <v>37.590000000000003</v>
      </c>
      <c r="M53" s="60">
        <v>35.22</v>
      </c>
      <c r="N53" s="60">
        <v>934.6</v>
      </c>
      <c r="O53" s="60">
        <v>0</v>
      </c>
      <c r="P53" s="60">
        <v>0.52</v>
      </c>
      <c r="Q53" s="60">
        <v>9.26</v>
      </c>
      <c r="R53" s="198"/>
      <c r="S53" s="198"/>
      <c r="T53" s="198"/>
      <c r="U53" s="198"/>
    </row>
    <row r="54" spans="1:21" s="12" customFormat="1" x14ac:dyDescent="0.25">
      <c r="A54" s="63">
        <v>45813.479166666664</v>
      </c>
      <c r="B54" s="60">
        <v>6.47</v>
      </c>
      <c r="C54" s="60">
        <v>21.22</v>
      </c>
      <c r="D54" s="60">
        <v>30.68</v>
      </c>
      <c r="E54" s="60">
        <v>5.84</v>
      </c>
      <c r="F54" s="60">
        <v>10.66</v>
      </c>
      <c r="G54" s="60">
        <v>38.409999999999997</v>
      </c>
      <c r="H54" s="60">
        <v>13.28</v>
      </c>
      <c r="I54" s="60">
        <v>4.09</v>
      </c>
      <c r="J54" s="60">
        <v>0.9</v>
      </c>
      <c r="K54" s="60">
        <v>334.27</v>
      </c>
      <c r="L54" s="60">
        <v>38.83</v>
      </c>
      <c r="M54" s="60">
        <v>32.99</v>
      </c>
      <c r="N54" s="60">
        <v>929.6</v>
      </c>
      <c r="O54" s="60">
        <v>0</v>
      </c>
      <c r="P54" s="60">
        <v>0.51</v>
      </c>
      <c r="Q54" s="60">
        <v>9.25</v>
      </c>
      <c r="R54" s="198"/>
      <c r="S54" s="198"/>
      <c r="T54" s="198"/>
      <c r="U54" s="198"/>
    </row>
    <row r="55" spans="1:21" s="12" customFormat="1" x14ac:dyDescent="0.25">
      <c r="A55" s="63">
        <v>45813.489583333336</v>
      </c>
      <c r="B55" s="60">
        <v>7.47</v>
      </c>
      <c r="C55" s="60">
        <v>21.34</v>
      </c>
      <c r="D55" s="60">
        <v>29.38</v>
      </c>
      <c r="E55" s="60">
        <v>6.4</v>
      </c>
      <c r="F55" s="60">
        <v>17.600000000000001</v>
      </c>
      <c r="G55" s="60">
        <v>38.409999999999997</v>
      </c>
      <c r="H55" s="60">
        <v>13.28</v>
      </c>
      <c r="I55" s="60">
        <v>3.97</v>
      </c>
      <c r="J55" s="60">
        <v>0.6</v>
      </c>
      <c r="K55" s="60">
        <v>331.47</v>
      </c>
      <c r="L55" s="60">
        <v>38.549999999999997</v>
      </c>
      <c r="M55" s="60">
        <v>32.729999999999997</v>
      </c>
      <c r="N55" s="60">
        <v>919.2</v>
      </c>
      <c r="O55" s="60">
        <v>0</v>
      </c>
      <c r="P55" s="60">
        <v>0.48</v>
      </c>
      <c r="Q55" s="60">
        <v>9.24</v>
      </c>
      <c r="R55" s="198"/>
      <c r="S55" s="198"/>
      <c r="T55" s="198"/>
      <c r="U55" s="198"/>
    </row>
    <row r="56" spans="1:21" s="12" customFormat="1" x14ac:dyDescent="0.25">
      <c r="A56" s="63">
        <v>45813.5</v>
      </c>
      <c r="B56" s="60">
        <v>6.73</v>
      </c>
      <c r="C56" s="60">
        <v>21.77</v>
      </c>
      <c r="D56" s="60">
        <v>31.33</v>
      </c>
      <c r="E56" s="60">
        <v>7.33</v>
      </c>
      <c r="F56" s="60">
        <v>18.829999999999998</v>
      </c>
      <c r="G56" s="60">
        <v>39.65</v>
      </c>
      <c r="H56" s="60">
        <v>14.92</v>
      </c>
      <c r="I56" s="60">
        <v>4.1399999999999997</v>
      </c>
      <c r="J56" s="60">
        <v>0.38</v>
      </c>
      <c r="K56" s="60">
        <v>332.47</v>
      </c>
      <c r="L56" s="60">
        <v>38.049999999999997</v>
      </c>
      <c r="M56" s="60">
        <v>33.619999999999997</v>
      </c>
      <c r="N56" s="60">
        <v>925.9</v>
      </c>
      <c r="O56" s="60">
        <v>0</v>
      </c>
      <c r="P56" s="60">
        <v>0.48</v>
      </c>
      <c r="Q56" s="60">
        <v>9.25</v>
      </c>
      <c r="R56" s="198"/>
      <c r="S56" s="198"/>
      <c r="T56" s="198"/>
      <c r="U56" s="198"/>
    </row>
    <row r="57" spans="1:21" s="12" customFormat="1" x14ac:dyDescent="0.25">
      <c r="A57" s="63">
        <v>45813.510416666664</v>
      </c>
      <c r="B57" s="60">
        <v>5.53</v>
      </c>
      <c r="C57" s="60">
        <v>19.59</v>
      </c>
      <c r="D57" s="60">
        <v>28.99</v>
      </c>
      <c r="E57" s="60">
        <v>6.49</v>
      </c>
      <c r="F57" s="60">
        <v>13.7</v>
      </c>
      <c r="G57" s="60">
        <v>40.409999999999997</v>
      </c>
      <c r="H57" s="60">
        <v>15.92</v>
      </c>
      <c r="I57" s="60">
        <v>4.18</v>
      </c>
      <c r="J57" s="60">
        <v>0.22</v>
      </c>
      <c r="K57" s="60">
        <v>301.01</v>
      </c>
      <c r="L57" s="60">
        <v>35.6</v>
      </c>
      <c r="M57" s="60">
        <v>37.380000000000003</v>
      </c>
      <c r="N57" s="60">
        <v>888.1</v>
      </c>
      <c r="O57" s="60">
        <v>0</v>
      </c>
      <c r="P57" s="60">
        <v>0.43</v>
      </c>
      <c r="Q57" s="60">
        <v>9.25</v>
      </c>
      <c r="R57" s="198"/>
      <c r="S57" s="198"/>
      <c r="T57" s="198"/>
      <c r="U57" s="198"/>
    </row>
    <row r="58" spans="1:21" s="12" customFormat="1" x14ac:dyDescent="0.25">
      <c r="A58" s="63">
        <v>45813.520833333336</v>
      </c>
      <c r="B58" s="60">
        <v>7.42</v>
      </c>
      <c r="C58" s="60">
        <v>22.06</v>
      </c>
      <c r="D58" s="60">
        <v>30.84</v>
      </c>
      <c r="E58" s="60">
        <v>6.72</v>
      </c>
      <c r="F58" s="60">
        <v>17.989999999999998</v>
      </c>
      <c r="G58" s="60">
        <v>40.409999999999997</v>
      </c>
      <c r="H58" s="60">
        <v>15.92</v>
      </c>
      <c r="I58" s="60">
        <v>3.99</v>
      </c>
      <c r="J58" s="60">
        <v>0.68</v>
      </c>
      <c r="K58" s="60">
        <v>332.68</v>
      </c>
      <c r="L58" s="60">
        <v>37.96</v>
      </c>
      <c r="M58" s="60">
        <v>31.9</v>
      </c>
      <c r="N58" s="60">
        <v>940.5</v>
      </c>
      <c r="O58" s="60">
        <v>0</v>
      </c>
      <c r="P58" s="60">
        <v>0.5</v>
      </c>
      <c r="Q58" s="60">
        <v>9.25</v>
      </c>
      <c r="R58" s="198"/>
      <c r="S58" s="198"/>
      <c r="T58" s="198"/>
      <c r="U58" s="198"/>
    </row>
    <row r="59" spans="1:21" s="12" customFormat="1" x14ac:dyDescent="0.25">
      <c r="A59" s="63">
        <v>45813.53125</v>
      </c>
      <c r="B59" s="60">
        <v>5.94</v>
      </c>
      <c r="C59" s="60">
        <v>19.899999999999999</v>
      </c>
      <c r="D59" s="60">
        <v>28.96</v>
      </c>
      <c r="E59" s="60">
        <v>7.31</v>
      </c>
      <c r="F59" s="60">
        <v>16.350000000000001</v>
      </c>
      <c r="G59" s="60">
        <v>40.409999999999997</v>
      </c>
      <c r="H59" s="60">
        <v>15.92</v>
      </c>
      <c r="I59" s="60">
        <v>4</v>
      </c>
      <c r="J59" s="60">
        <v>0.15</v>
      </c>
      <c r="K59" s="60">
        <v>246.41</v>
      </c>
      <c r="L59" s="60">
        <v>37.5</v>
      </c>
      <c r="M59" s="60">
        <v>32.119999999999997</v>
      </c>
      <c r="N59" s="60">
        <v>805.5</v>
      </c>
      <c r="O59" s="60">
        <v>0</v>
      </c>
      <c r="P59" s="60">
        <v>0.45</v>
      </c>
      <c r="Q59" s="60">
        <v>9.26</v>
      </c>
      <c r="R59" s="198"/>
      <c r="S59" s="198"/>
      <c r="T59" s="198"/>
      <c r="U59" s="198"/>
    </row>
    <row r="60" spans="1:21" s="12" customFormat="1" x14ac:dyDescent="0.25">
      <c r="A60" s="63">
        <v>45813.541666666664</v>
      </c>
      <c r="B60" s="60">
        <v>5.86</v>
      </c>
      <c r="C60" s="60">
        <v>18.8</v>
      </c>
      <c r="D60" s="60">
        <v>26.98</v>
      </c>
      <c r="E60" s="60">
        <v>7.56</v>
      </c>
      <c r="F60" s="60">
        <v>17.75</v>
      </c>
      <c r="G60" s="60">
        <v>38.9</v>
      </c>
      <c r="H60" s="60">
        <v>6.02</v>
      </c>
      <c r="I60" s="60">
        <v>4.01</v>
      </c>
      <c r="J60" s="60">
        <v>0.34</v>
      </c>
      <c r="K60" s="60">
        <v>131.43</v>
      </c>
      <c r="L60" s="60">
        <v>35.53</v>
      </c>
      <c r="M60" s="60">
        <v>34.53</v>
      </c>
      <c r="N60" s="60">
        <v>523.29999999999995</v>
      </c>
      <c r="O60" s="60">
        <v>0</v>
      </c>
      <c r="P60" s="60">
        <v>0.37</v>
      </c>
      <c r="Q60" s="60">
        <v>9.25</v>
      </c>
      <c r="R60" s="198"/>
      <c r="S60" s="198"/>
      <c r="T60" s="198"/>
      <c r="U60" s="198"/>
    </row>
    <row r="61" spans="1:21" s="12" customFormat="1" x14ac:dyDescent="0.25">
      <c r="A61" s="63">
        <v>45813.552083333336</v>
      </c>
      <c r="B61" s="60">
        <v>5.85</v>
      </c>
      <c r="C61" s="60">
        <v>18.100000000000001</v>
      </c>
      <c r="D61" s="60">
        <v>25.65</v>
      </c>
      <c r="E61" s="60">
        <v>6.47</v>
      </c>
      <c r="F61" s="60">
        <v>9.52</v>
      </c>
      <c r="G61" s="60">
        <v>37.979999999999997</v>
      </c>
      <c r="H61" s="60">
        <v>0</v>
      </c>
      <c r="I61" s="60">
        <v>3.98</v>
      </c>
      <c r="J61" s="60">
        <v>0.28000000000000003</v>
      </c>
      <c r="K61" s="60">
        <v>285.05</v>
      </c>
      <c r="L61" s="60">
        <v>37.47</v>
      </c>
      <c r="M61" s="60">
        <v>30.49</v>
      </c>
      <c r="N61" s="60">
        <v>670.3</v>
      </c>
      <c r="O61" s="60">
        <v>0</v>
      </c>
      <c r="P61" s="60">
        <v>0.43</v>
      </c>
      <c r="Q61" s="60">
        <v>9.24</v>
      </c>
      <c r="R61" s="198"/>
      <c r="S61" s="198"/>
      <c r="T61" s="198"/>
      <c r="U61" s="198"/>
    </row>
    <row r="62" spans="1:21" s="12" customFormat="1" x14ac:dyDescent="0.25">
      <c r="A62" s="63">
        <v>45813.5625</v>
      </c>
      <c r="B62" s="60">
        <v>6.38</v>
      </c>
      <c r="C62" s="60">
        <v>19.5</v>
      </c>
      <c r="D62" s="60">
        <v>27.53</v>
      </c>
      <c r="E62" s="60">
        <v>6.37</v>
      </c>
      <c r="F62" s="60">
        <v>11.86</v>
      </c>
      <c r="G62" s="60">
        <v>37.979999999999997</v>
      </c>
      <c r="H62" s="60">
        <v>0</v>
      </c>
      <c r="I62" s="60">
        <v>4.0199999999999996</v>
      </c>
      <c r="J62" s="60">
        <v>0.15</v>
      </c>
      <c r="K62" s="60">
        <v>243.01</v>
      </c>
      <c r="L62" s="60">
        <v>35.96</v>
      </c>
      <c r="M62" s="60">
        <v>32.020000000000003</v>
      </c>
      <c r="N62" s="60">
        <v>497.1</v>
      </c>
      <c r="O62" s="60">
        <v>0</v>
      </c>
      <c r="P62" s="60">
        <v>0.42</v>
      </c>
      <c r="Q62" s="60">
        <v>9.24</v>
      </c>
      <c r="R62" s="198"/>
      <c r="S62" s="198"/>
      <c r="T62" s="198"/>
      <c r="U62" s="198"/>
    </row>
    <row r="63" spans="1:21" s="12" customFormat="1" x14ac:dyDescent="0.25">
      <c r="A63" s="63">
        <v>45813.572916666664</v>
      </c>
      <c r="B63" s="60">
        <v>5.71</v>
      </c>
      <c r="C63" s="60">
        <v>21.17</v>
      </c>
      <c r="D63" s="60">
        <v>31.75</v>
      </c>
      <c r="E63" s="60">
        <v>6.43</v>
      </c>
      <c r="F63" s="60">
        <v>7.03</v>
      </c>
      <c r="G63" s="60">
        <v>37.979999999999997</v>
      </c>
      <c r="H63" s="60">
        <v>0</v>
      </c>
      <c r="I63" s="60">
        <v>3.9</v>
      </c>
      <c r="J63" s="60">
        <v>0.28000000000000003</v>
      </c>
      <c r="K63" s="60">
        <v>267.66000000000003</v>
      </c>
      <c r="L63" s="60">
        <v>36.049999999999997</v>
      </c>
      <c r="M63" s="60">
        <v>32.42</v>
      </c>
      <c r="N63" s="60">
        <v>564.1</v>
      </c>
      <c r="O63" s="60">
        <v>0</v>
      </c>
      <c r="P63" s="60">
        <v>0.44</v>
      </c>
      <c r="Q63" s="60">
        <v>9.2200000000000006</v>
      </c>
      <c r="R63" s="198"/>
      <c r="S63" s="198"/>
      <c r="T63" s="198"/>
      <c r="U63" s="198"/>
    </row>
    <row r="64" spans="1:21" s="12" customFormat="1" x14ac:dyDescent="0.25">
      <c r="A64" s="63">
        <v>45813.583333333336</v>
      </c>
      <c r="B64" s="60">
        <v>4.9800000000000004</v>
      </c>
      <c r="C64" s="60">
        <v>18.54</v>
      </c>
      <c r="D64" s="60">
        <v>27.84</v>
      </c>
      <c r="E64" s="60">
        <v>6.2</v>
      </c>
      <c r="F64" s="60">
        <v>9.31</v>
      </c>
      <c r="G64" s="60">
        <v>35.700000000000003</v>
      </c>
      <c r="H64" s="60">
        <v>587.29999999999995</v>
      </c>
      <c r="I64" s="60">
        <v>3.88</v>
      </c>
      <c r="J64" s="60">
        <v>0.18</v>
      </c>
      <c r="K64" s="60">
        <v>234.81</v>
      </c>
      <c r="L64" s="60">
        <v>35.97</v>
      </c>
      <c r="M64" s="60">
        <v>32.03</v>
      </c>
      <c r="N64" s="60">
        <v>418.8</v>
      </c>
      <c r="O64" s="60">
        <v>0</v>
      </c>
      <c r="P64" s="60">
        <v>0.41</v>
      </c>
      <c r="Q64" s="60">
        <v>9.2200000000000006</v>
      </c>
      <c r="R64" s="198"/>
      <c r="S64" s="198"/>
      <c r="T64" s="198"/>
      <c r="U64" s="198"/>
    </row>
    <row r="65" spans="1:21" s="12" customFormat="1" x14ac:dyDescent="0.25">
      <c r="A65" s="63">
        <v>45813.59375</v>
      </c>
      <c r="B65" s="60">
        <v>4.82</v>
      </c>
      <c r="C65" s="60">
        <v>18.079999999999998</v>
      </c>
      <c r="D65" s="60">
        <v>27.2</v>
      </c>
      <c r="E65" s="60">
        <v>6.02</v>
      </c>
      <c r="F65" s="60">
        <v>11.46</v>
      </c>
      <c r="G65" s="60">
        <v>34.32</v>
      </c>
      <c r="H65" s="60">
        <v>943.87</v>
      </c>
      <c r="I65" s="60">
        <v>3.8</v>
      </c>
      <c r="J65" s="60">
        <v>0.38</v>
      </c>
      <c r="K65" s="60">
        <v>316.35000000000002</v>
      </c>
      <c r="L65" s="60">
        <v>36.69</v>
      </c>
      <c r="M65" s="60">
        <v>32.18</v>
      </c>
      <c r="N65" s="60">
        <v>438.5</v>
      </c>
      <c r="O65" s="60">
        <v>0</v>
      </c>
      <c r="P65" s="60">
        <v>0.4</v>
      </c>
      <c r="Q65" s="60">
        <v>9.19</v>
      </c>
      <c r="R65" s="198"/>
      <c r="S65" s="198"/>
      <c r="T65" s="198"/>
      <c r="U65" s="198"/>
    </row>
    <row r="66" spans="1:21" s="12" customFormat="1" x14ac:dyDescent="0.25">
      <c r="A66" s="63">
        <v>45813.604166666664</v>
      </c>
      <c r="B66" s="60">
        <v>5.13</v>
      </c>
      <c r="C66" s="60">
        <v>20.18</v>
      </c>
      <c r="D66" s="60">
        <v>30.74</v>
      </c>
      <c r="E66" s="60">
        <v>6.27</v>
      </c>
      <c r="F66" s="60">
        <v>8.66</v>
      </c>
      <c r="G66" s="60">
        <v>34.32</v>
      </c>
      <c r="H66" s="60">
        <v>943.87</v>
      </c>
      <c r="I66" s="60">
        <v>4.12</v>
      </c>
      <c r="J66" s="60">
        <v>0.3</v>
      </c>
      <c r="K66" s="60">
        <v>298.64999999999998</v>
      </c>
      <c r="L66" s="60">
        <v>36.69</v>
      </c>
      <c r="M66" s="60">
        <v>32.799999999999997</v>
      </c>
      <c r="N66" s="60">
        <v>356.1</v>
      </c>
      <c r="O66" s="60">
        <v>0</v>
      </c>
      <c r="P66" s="60">
        <v>0.41</v>
      </c>
      <c r="Q66" s="60">
        <v>9.18</v>
      </c>
      <c r="R66" s="198"/>
      <c r="S66" s="198"/>
      <c r="T66" s="198"/>
      <c r="U66" s="198"/>
    </row>
    <row r="67" spans="1:21" s="12" customFormat="1" x14ac:dyDescent="0.25">
      <c r="A67" s="63">
        <v>45813.614583333336</v>
      </c>
      <c r="B67" s="60">
        <v>5.0599999999999996</v>
      </c>
      <c r="C67" s="60">
        <v>19.559999999999999</v>
      </c>
      <c r="D67" s="60">
        <v>29.68</v>
      </c>
      <c r="E67" s="60">
        <v>5.91</v>
      </c>
      <c r="F67" s="60">
        <v>10.7</v>
      </c>
      <c r="G67" s="60">
        <v>34.32</v>
      </c>
      <c r="H67" s="60">
        <v>943.87</v>
      </c>
      <c r="I67" s="60">
        <v>4.03</v>
      </c>
      <c r="J67" s="60">
        <v>0.16</v>
      </c>
      <c r="K67" s="60">
        <v>212.84</v>
      </c>
      <c r="L67" s="60">
        <v>36.43</v>
      </c>
      <c r="M67" s="60">
        <v>33.89</v>
      </c>
      <c r="N67" s="60">
        <v>351.4</v>
      </c>
      <c r="O67" s="60">
        <v>0</v>
      </c>
      <c r="P67" s="60">
        <v>0.4</v>
      </c>
      <c r="Q67" s="60">
        <v>9.17</v>
      </c>
      <c r="R67" s="198"/>
      <c r="S67" s="198"/>
      <c r="T67" s="198"/>
      <c r="U67" s="198"/>
    </row>
    <row r="68" spans="1:21" s="12" customFormat="1" x14ac:dyDescent="0.25">
      <c r="A68" s="63">
        <v>45813.625</v>
      </c>
      <c r="B68" s="60">
        <v>4.8899999999999997</v>
      </c>
      <c r="C68" s="60">
        <v>19.71</v>
      </c>
      <c r="D68" s="60">
        <v>30.22</v>
      </c>
      <c r="E68" s="60">
        <v>5.94</v>
      </c>
      <c r="F68" s="60">
        <v>11.96</v>
      </c>
      <c r="G68" s="60">
        <v>35.32</v>
      </c>
      <c r="H68" s="60">
        <v>380.52</v>
      </c>
      <c r="I68" s="60">
        <v>3.92</v>
      </c>
      <c r="J68" s="60">
        <v>0.88</v>
      </c>
      <c r="K68" s="60">
        <v>154.6</v>
      </c>
      <c r="L68" s="60">
        <v>34.479999999999997</v>
      </c>
      <c r="M68" s="60">
        <v>37.81</v>
      </c>
      <c r="N68" s="60">
        <v>282.60000000000002</v>
      </c>
      <c r="O68" s="60">
        <v>0</v>
      </c>
      <c r="P68" s="60">
        <v>0.39</v>
      </c>
      <c r="Q68" s="60">
        <v>9.18</v>
      </c>
      <c r="R68" s="198"/>
      <c r="S68" s="198"/>
      <c r="T68" s="198"/>
      <c r="U68" s="198"/>
    </row>
    <row r="69" spans="1:21" s="12" customFormat="1" x14ac:dyDescent="0.25">
      <c r="A69" s="63">
        <v>45813.635416666664</v>
      </c>
      <c r="B69" s="60">
        <v>4.51</v>
      </c>
      <c r="C69" s="60">
        <v>18.13</v>
      </c>
      <c r="D69" s="60">
        <v>27.78</v>
      </c>
      <c r="E69" s="60">
        <v>5.83</v>
      </c>
      <c r="F69" s="60">
        <v>9.8000000000000007</v>
      </c>
      <c r="G69" s="60">
        <v>35.92</v>
      </c>
      <c r="H69" s="60">
        <v>38.49</v>
      </c>
      <c r="I69" s="60">
        <v>4.07</v>
      </c>
      <c r="J69" s="60">
        <v>0.41</v>
      </c>
      <c r="K69" s="60">
        <v>182.03</v>
      </c>
      <c r="L69" s="60">
        <v>33.799999999999997</v>
      </c>
      <c r="M69" s="60">
        <v>39.39</v>
      </c>
      <c r="N69" s="60">
        <v>265.7</v>
      </c>
      <c r="O69" s="60">
        <v>0</v>
      </c>
      <c r="P69" s="60">
        <v>0.39</v>
      </c>
      <c r="Q69" s="60">
        <v>9.18</v>
      </c>
      <c r="R69" s="198"/>
      <c r="S69" s="198"/>
      <c r="T69" s="198"/>
      <c r="U69" s="198"/>
    </row>
    <row r="70" spans="1:21" s="12" customFormat="1" x14ac:dyDescent="0.25">
      <c r="A70" s="63">
        <v>45813.645833333336</v>
      </c>
      <c r="B70" s="60">
        <v>4.41</v>
      </c>
      <c r="C70" s="60">
        <v>19.04</v>
      </c>
      <c r="D70" s="60">
        <v>29.68</v>
      </c>
      <c r="E70" s="60">
        <v>5.88</v>
      </c>
      <c r="F70" s="60">
        <v>10.11</v>
      </c>
      <c r="G70" s="60">
        <v>35.92</v>
      </c>
      <c r="H70" s="60">
        <v>38.49</v>
      </c>
      <c r="I70" s="60">
        <v>4.04</v>
      </c>
      <c r="J70" s="60">
        <v>0.44</v>
      </c>
      <c r="K70" s="60">
        <v>177.38</v>
      </c>
      <c r="L70" s="60">
        <v>33.549999999999997</v>
      </c>
      <c r="M70" s="60">
        <v>40.49</v>
      </c>
      <c r="N70" s="60">
        <v>264.89999999999998</v>
      </c>
      <c r="O70" s="60">
        <v>0</v>
      </c>
      <c r="P70" s="60">
        <v>0.39</v>
      </c>
      <c r="Q70" s="60">
        <v>9.1999999999999993</v>
      </c>
      <c r="R70" s="198"/>
      <c r="S70" s="198"/>
      <c r="T70" s="198"/>
      <c r="U70" s="198"/>
    </row>
    <row r="71" spans="1:21" s="12" customFormat="1" x14ac:dyDescent="0.25">
      <c r="A71" s="63">
        <v>45813.65625</v>
      </c>
      <c r="B71" s="60">
        <v>4.47</v>
      </c>
      <c r="C71" s="60">
        <v>18.97</v>
      </c>
      <c r="D71" s="60">
        <v>29.46</v>
      </c>
      <c r="E71" s="60">
        <v>5.76</v>
      </c>
      <c r="F71" s="60">
        <v>9.93</v>
      </c>
      <c r="G71" s="60">
        <v>35.92</v>
      </c>
      <c r="H71" s="60">
        <v>38.49</v>
      </c>
      <c r="I71" s="60">
        <v>4.01</v>
      </c>
      <c r="J71" s="60">
        <v>0.19</v>
      </c>
      <c r="K71" s="60">
        <v>242.52</v>
      </c>
      <c r="L71" s="60">
        <v>33.369999999999997</v>
      </c>
      <c r="M71" s="60">
        <v>40.4</v>
      </c>
      <c r="N71" s="60">
        <v>206.9</v>
      </c>
      <c r="O71" s="60">
        <v>0</v>
      </c>
      <c r="P71" s="60">
        <v>0.4</v>
      </c>
      <c r="Q71" s="60">
        <v>9.2100000000000009</v>
      </c>
      <c r="R71" s="198"/>
      <c r="S71" s="198"/>
      <c r="T71" s="198"/>
      <c r="U71" s="198"/>
    </row>
    <row r="72" spans="1:21" s="12" customFormat="1" x14ac:dyDescent="0.25">
      <c r="A72" s="63">
        <v>45813.666666666664</v>
      </c>
      <c r="B72" s="60">
        <v>5.55</v>
      </c>
      <c r="C72" s="60">
        <v>20.52</v>
      </c>
      <c r="D72" s="60">
        <v>30.76</v>
      </c>
      <c r="E72" s="60">
        <v>4.3499999999999996</v>
      </c>
      <c r="F72" s="60">
        <v>24.57</v>
      </c>
      <c r="G72" s="60">
        <v>39.630000000000003</v>
      </c>
      <c r="H72" s="60">
        <v>26.98</v>
      </c>
      <c r="I72" s="60">
        <v>4</v>
      </c>
      <c r="J72" s="60">
        <v>0.15</v>
      </c>
      <c r="K72" s="60">
        <v>226.46</v>
      </c>
      <c r="L72" s="60">
        <v>33.32</v>
      </c>
      <c r="M72" s="60">
        <v>39.86</v>
      </c>
      <c r="N72" s="60">
        <v>212.6</v>
      </c>
      <c r="O72" s="60">
        <v>0</v>
      </c>
      <c r="P72" s="60">
        <v>0.37</v>
      </c>
      <c r="Q72" s="60">
        <v>9.1999999999999993</v>
      </c>
      <c r="R72" s="198"/>
      <c r="S72" s="198"/>
      <c r="T72" s="198"/>
      <c r="U72" s="198"/>
    </row>
    <row r="73" spans="1:21" s="12" customFormat="1" x14ac:dyDescent="0.25">
      <c r="A73" s="63">
        <v>45813.677083333336</v>
      </c>
      <c r="B73" s="60">
        <v>4.38</v>
      </c>
      <c r="C73" s="60">
        <v>18.82</v>
      </c>
      <c r="D73" s="60">
        <v>29.3</v>
      </c>
      <c r="E73" s="60">
        <v>5.93</v>
      </c>
      <c r="F73" s="60">
        <v>24.16</v>
      </c>
      <c r="G73" s="60">
        <v>41.88</v>
      </c>
      <c r="H73" s="60">
        <v>20</v>
      </c>
      <c r="I73" s="60">
        <v>4.04</v>
      </c>
      <c r="J73" s="60">
        <v>0.13</v>
      </c>
      <c r="K73" s="60">
        <v>208.28</v>
      </c>
      <c r="L73" s="60">
        <v>33.729999999999997</v>
      </c>
      <c r="M73" s="60">
        <v>39.700000000000003</v>
      </c>
      <c r="N73" s="60">
        <v>215.1</v>
      </c>
      <c r="O73" s="60">
        <v>0</v>
      </c>
      <c r="P73" s="60">
        <v>0.38</v>
      </c>
      <c r="Q73" s="60">
        <v>9.1999999999999993</v>
      </c>
      <c r="R73" s="198"/>
      <c r="S73" s="198"/>
      <c r="T73" s="198"/>
      <c r="U73" s="198"/>
    </row>
    <row r="74" spans="1:21" s="12" customFormat="1" x14ac:dyDescent="0.25">
      <c r="A74" s="63">
        <v>45813.6875</v>
      </c>
      <c r="B74" s="60">
        <v>6.86</v>
      </c>
      <c r="C74" s="60">
        <v>26.64</v>
      </c>
      <c r="D74" s="60">
        <v>40.46</v>
      </c>
      <c r="E74" s="60">
        <v>5.8</v>
      </c>
      <c r="F74" s="60">
        <v>17.850000000000001</v>
      </c>
      <c r="G74" s="60">
        <v>41.88</v>
      </c>
      <c r="H74" s="60">
        <v>20</v>
      </c>
      <c r="I74" s="60">
        <v>3.92</v>
      </c>
      <c r="J74" s="60">
        <v>0.93</v>
      </c>
      <c r="K74" s="60">
        <v>105.67</v>
      </c>
      <c r="L74" s="60">
        <v>33.17</v>
      </c>
      <c r="M74" s="60">
        <v>40.85</v>
      </c>
      <c r="N74" s="60">
        <v>147.30000000000001</v>
      </c>
      <c r="O74" s="60">
        <v>0</v>
      </c>
      <c r="P74" s="60">
        <v>0.39</v>
      </c>
      <c r="Q74" s="60">
        <v>9.2200000000000006</v>
      </c>
      <c r="R74" s="198"/>
      <c r="S74" s="198"/>
      <c r="T74" s="198"/>
      <c r="U74" s="198"/>
    </row>
    <row r="75" spans="1:21" s="12" customFormat="1" x14ac:dyDescent="0.25">
      <c r="A75" s="63">
        <v>45813.697916666664</v>
      </c>
      <c r="B75" s="60">
        <v>4.97</v>
      </c>
      <c r="C75" s="60">
        <v>18.45</v>
      </c>
      <c r="D75" s="60">
        <v>27.69</v>
      </c>
      <c r="E75" s="60">
        <v>5.85</v>
      </c>
      <c r="F75" s="60">
        <v>18.079999999999998</v>
      </c>
      <c r="G75" s="60">
        <v>41.88</v>
      </c>
      <c r="H75" s="60">
        <v>20</v>
      </c>
      <c r="I75" s="60">
        <v>3.92</v>
      </c>
      <c r="J75" s="60">
        <v>1.1599999999999999</v>
      </c>
      <c r="K75" s="60">
        <v>110.21</v>
      </c>
      <c r="L75" s="60">
        <v>31.74</v>
      </c>
      <c r="M75" s="60">
        <v>43.85</v>
      </c>
      <c r="N75" s="60">
        <v>121.7</v>
      </c>
      <c r="O75" s="60">
        <v>0</v>
      </c>
      <c r="P75" s="60">
        <v>0.36</v>
      </c>
      <c r="Q75" s="60">
        <v>9.2200000000000006</v>
      </c>
      <c r="R75" s="198"/>
      <c r="S75" s="198"/>
      <c r="T75" s="198"/>
      <c r="U75" s="198"/>
    </row>
    <row r="76" spans="1:21" s="12" customFormat="1" x14ac:dyDescent="0.25">
      <c r="A76" s="63">
        <v>45813.708333333336</v>
      </c>
      <c r="B76" s="60">
        <v>4.54</v>
      </c>
      <c r="C76" s="60">
        <v>22.81</v>
      </c>
      <c r="D76" s="60">
        <v>36.69</v>
      </c>
      <c r="E76" s="60">
        <v>6.56</v>
      </c>
      <c r="F76" s="60">
        <v>27.67</v>
      </c>
      <c r="G76" s="60">
        <v>43.22</v>
      </c>
      <c r="H76" s="60">
        <v>7.56</v>
      </c>
      <c r="I76" s="60">
        <v>3.92</v>
      </c>
      <c r="J76" s="60">
        <v>0.5</v>
      </c>
      <c r="K76" s="60">
        <v>102.64</v>
      </c>
      <c r="L76" s="60">
        <v>31.82</v>
      </c>
      <c r="M76" s="60">
        <v>43.37</v>
      </c>
      <c r="N76" s="60">
        <v>118.6</v>
      </c>
      <c r="O76" s="60">
        <v>0</v>
      </c>
      <c r="P76" s="60">
        <v>0.31</v>
      </c>
      <c r="Q76" s="60">
        <v>9.23</v>
      </c>
      <c r="R76" s="198"/>
      <c r="S76" s="198"/>
      <c r="T76" s="198"/>
      <c r="U76" s="198"/>
    </row>
    <row r="77" spans="1:21" s="12" customFormat="1" x14ac:dyDescent="0.25">
      <c r="A77" s="63">
        <v>45813.71875</v>
      </c>
      <c r="B77" s="60">
        <v>14.14</v>
      </c>
      <c r="C77" s="60">
        <v>44.71</v>
      </c>
      <c r="D77" s="60">
        <v>63.88</v>
      </c>
      <c r="E77" s="60">
        <v>7.34</v>
      </c>
      <c r="F77" s="60">
        <v>21</v>
      </c>
      <c r="G77" s="60">
        <v>44.04</v>
      </c>
      <c r="H77" s="60">
        <v>0</v>
      </c>
      <c r="I77" s="60">
        <v>4.13</v>
      </c>
      <c r="J77" s="60">
        <v>0.28999999999999998</v>
      </c>
      <c r="K77" s="60">
        <v>340.4</v>
      </c>
      <c r="L77" s="60">
        <v>32.42</v>
      </c>
      <c r="M77" s="60">
        <v>44.13</v>
      </c>
      <c r="N77" s="60">
        <v>131.80000000000001</v>
      </c>
      <c r="O77" s="60">
        <v>0</v>
      </c>
      <c r="P77" s="60">
        <v>0.63</v>
      </c>
      <c r="Q77" s="60">
        <v>9.24</v>
      </c>
      <c r="R77" s="198"/>
      <c r="S77" s="198"/>
      <c r="T77" s="198"/>
      <c r="U77" s="198"/>
    </row>
    <row r="78" spans="1:21" s="12" customFormat="1" x14ac:dyDescent="0.25">
      <c r="A78" s="63">
        <v>45813.729166666664</v>
      </c>
      <c r="B78" s="60">
        <v>18.03</v>
      </c>
      <c r="C78" s="60">
        <v>56.14</v>
      </c>
      <c r="D78" s="60">
        <v>79.760000000000005</v>
      </c>
      <c r="E78" s="60">
        <v>7.36</v>
      </c>
      <c r="F78" s="60">
        <v>19.64</v>
      </c>
      <c r="G78" s="60">
        <v>44.04</v>
      </c>
      <c r="H78" s="60">
        <v>0</v>
      </c>
      <c r="I78" s="60">
        <v>3.91</v>
      </c>
      <c r="J78" s="60">
        <v>0.17</v>
      </c>
      <c r="K78" s="60">
        <v>10.18</v>
      </c>
      <c r="L78" s="60">
        <v>32.729999999999997</v>
      </c>
      <c r="M78" s="60">
        <v>43.39</v>
      </c>
      <c r="N78" s="60">
        <v>118.4</v>
      </c>
      <c r="O78" s="60">
        <v>0</v>
      </c>
      <c r="P78" s="60">
        <v>0.94</v>
      </c>
      <c r="Q78" s="60">
        <v>9.25</v>
      </c>
      <c r="R78" s="198"/>
      <c r="S78" s="198"/>
      <c r="T78" s="198"/>
      <c r="U78" s="198"/>
    </row>
    <row r="79" spans="1:21" s="12" customFormat="1" x14ac:dyDescent="0.25">
      <c r="A79" s="63">
        <v>45813.739583333336</v>
      </c>
      <c r="B79" s="60">
        <v>32.24</v>
      </c>
      <c r="C79" s="60">
        <v>71.8</v>
      </c>
      <c r="D79" s="60">
        <v>87.95</v>
      </c>
      <c r="E79" s="60">
        <v>8.11</v>
      </c>
      <c r="F79" s="60">
        <v>16.46</v>
      </c>
      <c r="G79" s="60">
        <v>44.04</v>
      </c>
      <c r="H79" s="60">
        <v>0</v>
      </c>
      <c r="I79" s="60">
        <v>4.0999999999999996</v>
      </c>
      <c r="J79" s="60">
        <v>0.36</v>
      </c>
      <c r="K79" s="60">
        <v>357.43</v>
      </c>
      <c r="L79" s="60">
        <v>32.44</v>
      </c>
      <c r="M79" s="60">
        <v>43.4</v>
      </c>
      <c r="N79" s="60">
        <v>109</v>
      </c>
      <c r="O79" s="60">
        <v>0</v>
      </c>
      <c r="P79" s="60">
        <v>1.01</v>
      </c>
      <c r="Q79" s="60">
        <v>9.2799999999999994</v>
      </c>
      <c r="R79" s="198"/>
      <c r="S79" s="198"/>
      <c r="T79" s="198"/>
      <c r="U79" s="198"/>
    </row>
    <row r="80" spans="1:21" s="12" customFormat="1" x14ac:dyDescent="0.25">
      <c r="A80" s="63">
        <v>45813.75</v>
      </c>
      <c r="B80" s="60">
        <v>13.5</v>
      </c>
      <c r="C80" s="60">
        <v>41.35</v>
      </c>
      <c r="D80" s="60">
        <v>58.42</v>
      </c>
      <c r="E80" s="60">
        <v>7.77</v>
      </c>
      <c r="F80" s="60">
        <v>15.61</v>
      </c>
      <c r="G80" s="60">
        <v>46.58</v>
      </c>
      <c r="H80" s="60">
        <v>40.869999999999997</v>
      </c>
      <c r="I80" s="60">
        <v>3.91</v>
      </c>
      <c r="J80" s="60">
        <v>0.23</v>
      </c>
      <c r="K80" s="60">
        <v>34.89</v>
      </c>
      <c r="L80" s="60">
        <v>32.24</v>
      </c>
      <c r="M80" s="60">
        <v>43.05</v>
      </c>
      <c r="N80" s="60">
        <v>107</v>
      </c>
      <c r="O80" s="60">
        <v>0</v>
      </c>
      <c r="P80" s="60">
        <v>0.73</v>
      </c>
      <c r="Q80" s="60">
        <v>9.33</v>
      </c>
      <c r="R80" s="198"/>
      <c r="S80" s="198"/>
      <c r="T80" s="198"/>
      <c r="U80" s="198"/>
    </row>
    <row r="81" spans="1:26" s="12" customFormat="1" x14ac:dyDescent="0.25">
      <c r="A81" s="63">
        <v>45813.760416666664</v>
      </c>
      <c r="B81" s="60">
        <v>10.6</v>
      </c>
      <c r="C81" s="60">
        <v>32.57</v>
      </c>
      <c r="D81" s="60">
        <v>46.06</v>
      </c>
      <c r="E81" s="60">
        <v>6.14</v>
      </c>
      <c r="F81" s="60">
        <v>14.8</v>
      </c>
      <c r="G81" s="60">
        <v>48.12</v>
      </c>
      <c r="H81" s="60">
        <v>65.69</v>
      </c>
      <c r="I81" s="60">
        <v>3.86</v>
      </c>
      <c r="J81" s="60">
        <v>0.25</v>
      </c>
      <c r="K81" s="60">
        <v>94.94</v>
      </c>
      <c r="L81" s="60">
        <v>31.61</v>
      </c>
      <c r="M81" s="60">
        <v>44.48</v>
      </c>
      <c r="N81" s="60">
        <v>96.3</v>
      </c>
      <c r="O81" s="60">
        <v>0</v>
      </c>
      <c r="P81" s="60">
        <v>0.56999999999999995</v>
      </c>
      <c r="Q81" s="60">
        <v>9.35</v>
      </c>
      <c r="R81" s="198"/>
      <c r="S81" s="198"/>
      <c r="T81" s="198"/>
      <c r="U81" s="198"/>
    </row>
    <row r="82" spans="1:26" s="12" customFormat="1" x14ac:dyDescent="0.25">
      <c r="A82" s="63">
        <v>45813.770833333336</v>
      </c>
      <c r="B82" s="60">
        <v>15.71</v>
      </c>
      <c r="C82" s="60">
        <v>43.09</v>
      </c>
      <c r="D82" s="60">
        <v>58.36</v>
      </c>
      <c r="E82" s="60">
        <v>6.67</v>
      </c>
      <c r="F82" s="60">
        <v>15.09</v>
      </c>
      <c r="G82" s="60">
        <v>48.12</v>
      </c>
      <c r="H82" s="60">
        <v>65.69</v>
      </c>
      <c r="I82" s="60">
        <v>4.01</v>
      </c>
      <c r="J82" s="60">
        <v>0.44</v>
      </c>
      <c r="K82" s="60">
        <v>351.18</v>
      </c>
      <c r="L82" s="60">
        <v>31.64</v>
      </c>
      <c r="M82" s="60">
        <v>43.5</v>
      </c>
      <c r="N82" s="60">
        <v>77.599999999999994</v>
      </c>
      <c r="O82" s="60">
        <v>0</v>
      </c>
      <c r="P82" s="60">
        <v>0.81</v>
      </c>
      <c r="Q82" s="60">
        <v>9.35</v>
      </c>
      <c r="R82" s="198"/>
      <c r="S82" s="198"/>
      <c r="T82" s="198"/>
      <c r="U82" s="198"/>
    </row>
    <row r="83" spans="1:26" s="12" customFormat="1" x14ac:dyDescent="0.25">
      <c r="A83" s="63">
        <v>45813.78125</v>
      </c>
      <c r="B83" s="60">
        <v>10.19</v>
      </c>
      <c r="C83" s="60">
        <v>35.06</v>
      </c>
      <c r="D83" s="60">
        <v>51.47</v>
      </c>
      <c r="E83" s="60">
        <v>8.89</v>
      </c>
      <c r="F83" s="60">
        <v>11.95</v>
      </c>
      <c r="G83" s="60">
        <v>48.12</v>
      </c>
      <c r="H83" s="60">
        <v>65.69</v>
      </c>
      <c r="I83" s="60">
        <v>3.99</v>
      </c>
      <c r="J83" s="60">
        <v>0.2</v>
      </c>
      <c r="K83" s="60">
        <v>49.06</v>
      </c>
      <c r="L83" s="60">
        <v>31.3</v>
      </c>
      <c r="M83" s="60">
        <v>43.88</v>
      </c>
      <c r="N83" s="60">
        <v>69.8</v>
      </c>
      <c r="O83" s="60">
        <v>0</v>
      </c>
      <c r="P83" s="60">
        <v>0.84</v>
      </c>
      <c r="Q83" s="60">
        <v>9.3699999999999992</v>
      </c>
      <c r="R83" s="198"/>
      <c r="S83" s="198"/>
      <c r="T83" s="198"/>
      <c r="U83" s="198"/>
    </row>
    <row r="84" spans="1:26" s="12" customFormat="1" x14ac:dyDescent="0.25">
      <c r="A84" s="63">
        <v>45813.791666666664</v>
      </c>
      <c r="B84" s="60">
        <v>8.59</v>
      </c>
      <c r="C84" s="60">
        <v>31.04</v>
      </c>
      <c r="D84" s="60">
        <v>46.23</v>
      </c>
      <c r="E84" s="60">
        <v>8.16</v>
      </c>
      <c r="F84" s="60">
        <v>18.54</v>
      </c>
      <c r="G84" s="60">
        <v>48.92</v>
      </c>
      <c r="H84" s="60">
        <v>46.32</v>
      </c>
      <c r="I84" s="60">
        <v>4</v>
      </c>
      <c r="J84" s="60">
        <v>0.35</v>
      </c>
      <c r="K84" s="60">
        <v>107.23</v>
      </c>
      <c r="L84" s="60">
        <v>30.92</v>
      </c>
      <c r="M84" s="60">
        <v>44.05</v>
      </c>
      <c r="N84" s="60">
        <v>88.4</v>
      </c>
      <c r="O84" s="60">
        <v>0</v>
      </c>
      <c r="P84" s="60">
        <v>0.56000000000000005</v>
      </c>
      <c r="Q84" s="60">
        <v>9.39</v>
      </c>
      <c r="R84" s="198"/>
      <c r="S84" s="198"/>
      <c r="T84" s="198"/>
      <c r="U84" s="198"/>
    </row>
    <row r="85" spans="1:26" s="12" customFormat="1" x14ac:dyDescent="0.25">
      <c r="A85" s="63">
        <v>45813.802083333336</v>
      </c>
      <c r="B85" s="60">
        <v>8.48</v>
      </c>
      <c r="C85" s="60">
        <v>32.75</v>
      </c>
      <c r="D85" s="60">
        <v>49.66</v>
      </c>
      <c r="E85" s="60">
        <v>7.48</v>
      </c>
      <c r="F85" s="60">
        <v>16.82</v>
      </c>
      <c r="G85" s="60">
        <v>49.41</v>
      </c>
      <c r="H85" s="60">
        <v>34.56</v>
      </c>
      <c r="I85" s="60">
        <v>4.05</v>
      </c>
      <c r="J85" s="60">
        <v>0.23</v>
      </c>
      <c r="K85" s="60">
        <v>99.62</v>
      </c>
      <c r="L85" s="60">
        <v>30.77</v>
      </c>
      <c r="M85" s="60">
        <v>44.5</v>
      </c>
      <c r="N85" s="60">
        <v>94.3</v>
      </c>
      <c r="O85" s="60">
        <v>0</v>
      </c>
      <c r="P85" s="60">
        <v>0.54</v>
      </c>
      <c r="Q85" s="60">
        <v>9.4</v>
      </c>
      <c r="R85" s="198"/>
      <c r="S85" s="198"/>
      <c r="T85" s="198"/>
      <c r="U85" s="198"/>
    </row>
    <row r="86" spans="1:26" s="12" customFormat="1" x14ac:dyDescent="0.25">
      <c r="A86" s="63">
        <v>45813.8125</v>
      </c>
      <c r="B86" s="60">
        <v>9.75</v>
      </c>
      <c r="C86" s="60">
        <v>33.020000000000003</v>
      </c>
      <c r="D86" s="60">
        <v>48.22</v>
      </c>
      <c r="E86" s="60">
        <v>6.64</v>
      </c>
      <c r="F86" s="60">
        <v>10.1</v>
      </c>
      <c r="G86" s="60">
        <v>49.41</v>
      </c>
      <c r="H86" s="60">
        <v>34.56</v>
      </c>
      <c r="I86" s="60">
        <v>4.12</v>
      </c>
      <c r="J86" s="60">
        <v>0.34</v>
      </c>
      <c r="K86" s="60">
        <v>105.29</v>
      </c>
      <c r="L86" s="60">
        <v>30.7</v>
      </c>
      <c r="M86" s="60">
        <v>44.87</v>
      </c>
      <c r="N86" s="60">
        <v>86.9</v>
      </c>
      <c r="O86" s="60">
        <v>0</v>
      </c>
      <c r="P86" s="60">
        <v>0.67</v>
      </c>
      <c r="Q86" s="60">
        <v>9.39</v>
      </c>
      <c r="R86" s="198"/>
      <c r="S86" s="198"/>
      <c r="T86" s="198"/>
      <c r="U86" s="198"/>
    </row>
    <row r="87" spans="1:26" s="12" customFormat="1" x14ac:dyDescent="0.25">
      <c r="A87" s="63">
        <v>45813.822916666664</v>
      </c>
      <c r="B87" s="60">
        <v>6.91</v>
      </c>
      <c r="C87" s="60">
        <v>27.71</v>
      </c>
      <c r="D87" s="60">
        <v>42.43</v>
      </c>
      <c r="E87" s="60">
        <v>5.99</v>
      </c>
      <c r="F87" s="60">
        <v>18.45</v>
      </c>
      <c r="G87" s="60">
        <v>49.41</v>
      </c>
      <c r="H87" s="60">
        <v>34.56</v>
      </c>
      <c r="I87" s="60">
        <v>3.91</v>
      </c>
      <c r="J87" s="60">
        <v>0.59</v>
      </c>
      <c r="K87" s="60">
        <v>103.1</v>
      </c>
      <c r="L87" s="60">
        <v>30.82</v>
      </c>
      <c r="M87" s="60">
        <v>43.93</v>
      </c>
      <c r="N87" s="60">
        <v>85.5</v>
      </c>
      <c r="O87" s="60">
        <v>0</v>
      </c>
      <c r="P87" s="60">
        <v>0.54</v>
      </c>
      <c r="Q87" s="60">
        <v>9.4</v>
      </c>
      <c r="R87" s="198"/>
      <c r="S87" s="198"/>
      <c r="T87" s="198"/>
      <c r="U87" s="198"/>
    </row>
    <row r="88" spans="1:26" s="12" customFormat="1" x14ac:dyDescent="0.25">
      <c r="A88" s="63">
        <v>45813.833333333336</v>
      </c>
      <c r="B88" s="60">
        <v>5.35</v>
      </c>
      <c r="C88" s="60">
        <v>28.19</v>
      </c>
      <c r="D88" s="60">
        <v>45.75</v>
      </c>
      <c r="E88" s="60">
        <v>6.37</v>
      </c>
      <c r="F88" s="60">
        <v>17.8</v>
      </c>
      <c r="G88" s="60">
        <v>48.86</v>
      </c>
      <c r="H88" s="60">
        <v>26.08</v>
      </c>
      <c r="I88" s="60">
        <v>4.13</v>
      </c>
      <c r="J88" s="60">
        <v>0.28000000000000003</v>
      </c>
      <c r="K88" s="60">
        <v>97.6</v>
      </c>
      <c r="L88" s="60">
        <v>30.86</v>
      </c>
      <c r="M88" s="60">
        <v>44.74</v>
      </c>
      <c r="N88" s="60">
        <v>85.6</v>
      </c>
      <c r="O88" s="60">
        <v>0</v>
      </c>
      <c r="P88" s="60">
        <v>0.54</v>
      </c>
      <c r="Q88" s="60">
        <v>9.39</v>
      </c>
      <c r="R88" s="198"/>
      <c r="S88" s="198"/>
      <c r="T88" s="198"/>
      <c r="U88" s="198"/>
    </row>
    <row r="89" spans="1:26" s="12" customFormat="1" x14ac:dyDescent="0.25">
      <c r="A89" s="63">
        <v>45813.84375</v>
      </c>
      <c r="B89" s="60">
        <v>6.06</v>
      </c>
      <c r="C89" s="60">
        <v>27.74</v>
      </c>
      <c r="D89" s="60">
        <v>43.8</v>
      </c>
      <c r="E89" s="60">
        <v>5.85</v>
      </c>
      <c r="F89" s="60">
        <v>10.81</v>
      </c>
      <c r="G89" s="60">
        <v>48.51</v>
      </c>
      <c r="H89" s="60">
        <v>20.93</v>
      </c>
      <c r="I89" s="60">
        <v>3.91</v>
      </c>
      <c r="J89" s="60">
        <v>0.06</v>
      </c>
      <c r="K89" s="60">
        <v>52.26</v>
      </c>
      <c r="L89" s="60">
        <v>30.68</v>
      </c>
      <c r="M89" s="60">
        <v>44.59</v>
      </c>
      <c r="N89" s="60">
        <v>85.4</v>
      </c>
      <c r="O89" s="60">
        <v>0</v>
      </c>
      <c r="P89" s="60">
        <v>0.56000000000000005</v>
      </c>
      <c r="Q89" s="60">
        <v>9.3699999999999992</v>
      </c>
      <c r="R89" s="198"/>
      <c r="S89" s="198"/>
      <c r="T89" s="198"/>
      <c r="U89" s="198"/>
    </row>
    <row r="90" spans="1:26" s="12" customFormat="1" x14ac:dyDescent="0.25">
      <c r="A90" s="63">
        <v>45813.854166666664</v>
      </c>
      <c r="B90" s="60">
        <v>5.15</v>
      </c>
      <c r="C90" s="60">
        <v>33.36</v>
      </c>
      <c r="D90" s="60">
        <v>55.95</v>
      </c>
      <c r="E90" s="60">
        <v>5.74</v>
      </c>
      <c r="F90" s="60">
        <v>15.29</v>
      </c>
      <c r="G90" s="60">
        <v>48.51</v>
      </c>
      <c r="H90" s="60">
        <v>20.93</v>
      </c>
      <c r="I90" s="60">
        <v>3.89</v>
      </c>
      <c r="J90" s="60">
        <v>0.26</v>
      </c>
      <c r="K90" s="60">
        <v>95.69</v>
      </c>
      <c r="L90" s="60">
        <v>30.58</v>
      </c>
      <c r="M90" s="60">
        <v>44.83</v>
      </c>
      <c r="N90" s="60">
        <v>85.1</v>
      </c>
      <c r="O90" s="60">
        <v>0</v>
      </c>
      <c r="P90" s="60">
        <v>0.51</v>
      </c>
      <c r="Q90" s="60">
        <v>9.3800000000000008</v>
      </c>
      <c r="R90" s="198"/>
      <c r="S90" s="198"/>
      <c r="T90" s="198"/>
      <c r="U90" s="198"/>
    </row>
    <row r="91" spans="1:26" s="12" customFormat="1" x14ac:dyDescent="0.25">
      <c r="A91" s="63">
        <v>45813.864583333336</v>
      </c>
      <c r="B91" s="60">
        <v>6.44</v>
      </c>
      <c r="C91" s="60">
        <v>43.19</v>
      </c>
      <c r="D91" s="60">
        <v>72.78</v>
      </c>
      <c r="E91" s="60">
        <v>8.6</v>
      </c>
      <c r="F91" s="60">
        <v>13.36</v>
      </c>
      <c r="G91" s="60">
        <v>48.51</v>
      </c>
      <c r="H91" s="60">
        <v>20.93</v>
      </c>
      <c r="I91" s="60">
        <v>3.88</v>
      </c>
      <c r="J91" s="60">
        <v>0.28000000000000003</v>
      </c>
      <c r="K91" s="60">
        <v>94.66</v>
      </c>
      <c r="L91" s="60">
        <v>30.6</v>
      </c>
      <c r="M91" s="60">
        <v>45.24</v>
      </c>
      <c r="N91" s="60">
        <v>85.3</v>
      </c>
      <c r="O91" s="60">
        <v>0</v>
      </c>
      <c r="P91" s="60">
        <v>0.54</v>
      </c>
      <c r="Q91" s="60">
        <v>9.3800000000000008</v>
      </c>
      <c r="R91" s="198"/>
      <c r="S91" s="198"/>
      <c r="T91" s="198"/>
      <c r="U91" s="198"/>
    </row>
    <row r="92" spans="1:26" s="12" customFormat="1" x14ac:dyDescent="0.25">
      <c r="A92" s="63">
        <v>45813.875</v>
      </c>
      <c r="B92" s="60">
        <v>13.61</v>
      </c>
      <c r="C92" s="60">
        <v>50.66</v>
      </c>
      <c r="D92" s="60">
        <v>76.069999999999993</v>
      </c>
      <c r="E92" s="60">
        <v>13.59</v>
      </c>
      <c r="F92" s="60">
        <v>13.59</v>
      </c>
      <c r="G92" s="60">
        <v>49.94</v>
      </c>
      <c r="H92" s="60">
        <v>12.84</v>
      </c>
      <c r="I92" s="60">
        <v>4.03</v>
      </c>
      <c r="J92" s="60">
        <v>0.08</v>
      </c>
      <c r="K92" s="60">
        <v>109.7</v>
      </c>
      <c r="L92" s="60">
        <v>30.53</v>
      </c>
      <c r="M92" s="60">
        <v>46.04</v>
      </c>
      <c r="N92" s="60">
        <v>88.5</v>
      </c>
      <c r="O92" s="60">
        <v>0</v>
      </c>
      <c r="P92" s="60">
        <v>0.61</v>
      </c>
      <c r="Q92" s="60">
        <v>9.3699999999999992</v>
      </c>
      <c r="R92" s="198"/>
      <c r="S92" s="198"/>
      <c r="T92" s="198"/>
      <c r="U92" s="198"/>
    </row>
    <row r="93" spans="1:26" s="12" customFormat="1" x14ac:dyDescent="0.25">
      <c r="A93" s="63">
        <v>45813.885416666664</v>
      </c>
      <c r="B93" s="60">
        <v>82.68</v>
      </c>
      <c r="C93" s="60">
        <v>127.96</v>
      </c>
      <c r="D93" s="60">
        <v>118.01</v>
      </c>
      <c r="E93" s="60">
        <v>11.06</v>
      </c>
      <c r="F93" s="60">
        <v>5.47</v>
      </c>
      <c r="G93" s="60">
        <v>50.81</v>
      </c>
      <c r="H93" s="60">
        <v>7.92</v>
      </c>
      <c r="I93" s="60">
        <v>4.0599999999999996</v>
      </c>
      <c r="J93" s="60">
        <v>0.2</v>
      </c>
      <c r="K93" s="60">
        <v>348.11</v>
      </c>
      <c r="L93" s="60">
        <v>30.22</v>
      </c>
      <c r="M93" s="60">
        <v>52.3</v>
      </c>
      <c r="N93" s="60">
        <v>94.9</v>
      </c>
      <c r="O93" s="60">
        <v>0</v>
      </c>
      <c r="P93" s="60">
        <v>2.15</v>
      </c>
      <c r="Q93" s="60">
        <v>9.4</v>
      </c>
      <c r="R93" s="198"/>
      <c r="S93" s="198"/>
      <c r="T93" s="198"/>
      <c r="U93" s="198"/>
    </row>
    <row r="94" spans="1:26" s="12" customFormat="1" x14ac:dyDescent="0.25">
      <c r="A94" s="63">
        <v>45813.895833333336</v>
      </c>
      <c r="B94" s="60">
        <v>19.05</v>
      </c>
      <c r="C94" s="60">
        <v>48.19</v>
      </c>
      <c r="D94" s="60">
        <v>63</v>
      </c>
      <c r="E94" s="60">
        <v>9.35</v>
      </c>
      <c r="F94" s="60">
        <v>8.8800000000000008</v>
      </c>
      <c r="G94" s="60">
        <v>50.81</v>
      </c>
      <c r="H94" s="60">
        <v>7.92</v>
      </c>
      <c r="I94" s="60">
        <v>3.91</v>
      </c>
      <c r="J94" s="60">
        <v>0.09</v>
      </c>
      <c r="K94" s="60">
        <v>180.75</v>
      </c>
      <c r="L94" s="60">
        <v>29.87</v>
      </c>
      <c r="M94" s="60">
        <v>50.68</v>
      </c>
      <c r="N94" s="60">
        <v>97.3</v>
      </c>
      <c r="O94" s="60">
        <v>0</v>
      </c>
      <c r="P94" s="60">
        <v>0.95</v>
      </c>
      <c r="Q94" s="60">
        <v>9.48</v>
      </c>
      <c r="R94" s="198"/>
      <c r="S94" s="198"/>
      <c r="T94" s="198"/>
      <c r="U94" s="198"/>
    </row>
    <row r="95" spans="1:26" s="12" customFormat="1" x14ac:dyDescent="0.25">
      <c r="A95" s="63">
        <v>45813.90625</v>
      </c>
      <c r="B95" s="60">
        <v>15.29</v>
      </c>
      <c r="C95" s="60">
        <v>52.14</v>
      </c>
      <c r="D95" s="60">
        <v>76.33</v>
      </c>
      <c r="E95" s="60">
        <v>8.91</v>
      </c>
      <c r="F95" s="60">
        <v>7.67</v>
      </c>
      <c r="G95" s="60">
        <v>50.81</v>
      </c>
      <c r="H95" s="60">
        <v>7.92</v>
      </c>
      <c r="I95" s="60">
        <v>4.03</v>
      </c>
      <c r="J95" s="60">
        <v>0.06</v>
      </c>
      <c r="K95" s="60">
        <v>217.77</v>
      </c>
      <c r="L95" s="60">
        <v>29.6</v>
      </c>
      <c r="M95" s="60">
        <v>50.45</v>
      </c>
      <c r="N95" s="60">
        <v>86.3</v>
      </c>
      <c r="O95" s="60">
        <v>0</v>
      </c>
      <c r="P95" s="60">
        <v>0.72</v>
      </c>
      <c r="Q95" s="60">
        <v>9.5299999999999994</v>
      </c>
      <c r="R95" s="198"/>
      <c r="S95" s="198"/>
      <c r="T95" s="198"/>
      <c r="U95" s="198"/>
    </row>
    <row r="96" spans="1:26" s="12" customFormat="1" x14ac:dyDescent="0.25">
      <c r="A96" s="63">
        <v>45813.916666666664</v>
      </c>
      <c r="B96" s="60">
        <v>34.75</v>
      </c>
      <c r="C96" s="60">
        <v>75.069999999999993</v>
      </c>
      <c r="D96" s="60">
        <v>90.35</v>
      </c>
      <c r="E96" s="60">
        <v>8.3800000000000008</v>
      </c>
      <c r="F96" s="60">
        <v>6.33</v>
      </c>
      <c r="G96" s="60">
        <v>59.74</v>
      </c>
      <c r="H96" s="60">
        <v>19.41</v>
      </c>
      <c r="I96" s="60">
        <v>4.1500000000000004</v>
      </c>
      <c r="J96" s="60">
        <v>7.0000000000000007E-2</v>
      </c>
      <c r="K96" s="60">
        <v>317.85000000000002</v>
      </c>
      <c r="L96" s="60">
        <v>29.42</v>
      </c>
      <c r="M96" s="60">
        <v>51.66</v>
      </c>
      <c r="N96" s="60">
        <v>82.3</v>
      </c>
      <c r="O96" s="60">
        <v>0</v>
      </c>
      <c r="P96" s="60">
        <v>0.83</v>
      </c>
      <c r="Q96" s="60">
        <v>9.5399999999999991</v>
      </c>
      <c r="R96" s="198"/>
      <c r="S96" s="198"/>
      <c r="T96" s="198"/>
      <c r="U96" s="198"/>
      <c r="Z96" s="109"/>
    </row>
    <row r="97" spans="1:33" s="12" customFormat="1" x14ac:dyDescent="0.25">
      <c r="A97" s="63">
        <v>45813.927083333336</v>
      </c>
      <c r="B97" s="60">
        <v>35.700000000000003</v>
      </c>
      <c r="C97" s="60">
        <v>78.67</v>
      </c>
      <c r="D97" s="60">
        <v>95.78</v>
      </c>
      <c r="E97" s="60">
        <v>8.01</v>
      </c>
      <c r="F97" s="60">
        <v>5.2</v>
      </c>
      <c r="G97" s="60">
        <v>65.16</v>
      </c>
      <c r="H97" s="60">
        <v>26.39</v>
      </c>
      <c r="I97" s="60">
        <v>4.08</v>
      </c>
      <c r="J97" s="60">
        <v>7.0000000000000007E-2</v>
      </c>
      <c r="K97" s="60">
        <v>321.7</v>
      </c>
      <c r="L97" s="60">
        <v>29.15</v>
      </c>
      <c r="M97" s="60">
        <v>53.91</v>
      </c>
      <c r="N97" s="60">
        <v>77.7</v>
      </c>
      <c r="O97" s="60">
        <v>0</v>
      </c>
      <c r="P97" s="60">
        <v>0.96</v>
      </c>
      <c r="Q97" s="60">
        <v>9.5399999999999991</v>
      </c>
      <c r="R97" s="198"/>
      <c r="S97" s="198"/>
      <c r="T97" s="198"/>
      <c r="U97" s="198"/>
    </row>
    <row r="98" spans="1:33" s="12" customFormat="1" x14ac:dyDescent="0.25">
      <c r="A98" s="63">
        <v>45813.9375</v>
      </c>
      <c r="B98" s="60">
        <v>62.41</v>
      </c>
      <c r="C98" s="60">
        <v>90.02</v>
      </c>
      <c r="D98" s="60">
        <v>76.5</v>
      </c>
      <c r="E98" s="60">
        <v>7.31</v>
      </c>
      <c r="F98" s="60">
        <v>4.21</v>
      </c>
      <c r="G98" s="60">
        <v>65.16</v>
      </c>
      <c r="H98" s="60">
        <v>26.39</v>
      </c>
      <c r="I98" s="60">
        <v>3.94</v>
      </c>
      <c r="J98" s="60">
        <v>0.13</v>
      </c>
      <c r="K98" s="60">
        <v>339.63</v>
      </c>
      <c r="L98" s="60">
        <v>29.05</v>
      </c>
      <c r="M98" s="60">
        <v>58.42</v>
      </c>
      <c r="N98" s="60">
        <v>81.599999999999994</v>
      </c>
      <c r="O98" s="60">
        <v>0</v>
      </c>
      <c r="P98" s="60">
        <v>1.1299999999999999</v>
      </c>
      <c r="Q98" s="60">
        <v>9.5399999999999991</v>
      </c>
      <c r="R98" s="198"/>
      <c r="S98" s="198"/>
      <c r="T98" s="198"/>
      <c r="U98" s="198"/>
    </row>
    <row r="99" spans="1:33" s="12" customFormat="1" x14ac:dyDescent="0.25">
      <c r="A99" s="63">
        <v>45813.947916666664</v>
      </c>
      <c r="B99" s="60">
        <v>67.400000000000006</v>
      </c>
      <c r="C99" s="60">
        <v>100.5</v>
      </c>
      <c r="D99" s="60">
        <v>88.9</v>
      </c>
      <c r="E99" s="60">
        <v>6.96</v>
      </c>
      <c r="F99" s="60">
        <v>3.63</v>
      </c>
      <c r="G99" s="60">
        <v>65.16</v>
      </c>
      <c r="H99" s="60">
        <v>26.39</v>
      </c>
      <c r="I99" s="60">
        <v>3.98</v>
      </c>
      <c r="J99" s="60">
        <v>0.24</v>
      </c>
      <c r="K99" s="60">
        <v>348.69</v>
      </c>
      <c r="L99" s="60">
        <v>28.98</v>
      </c>
      <c r="M99" s="60">
        <v>60.39</v>
      </c>
      <c r="N99" s="60">
        <v>79.900000000000006</v>
      </c>
      <c r="O99" s="60">
        <v>0</v>
      </c>
      <c r="P99" s="60">
        <v>1.33</v>
      </c>
      <c r="Q99" s="60">
        <v>9.5</v>
      </c>
      <c r="R99" s="198"/>
      <c r="S99" s="198"/>
      <c r="T99" s="198"/>
      <c r="U99" s="198"/>
    </row>
    <row r="100" spans="1:33" s="12" customFormat="1" x14ac:dyDescent="0.25">
      <c r="A100" s="63">
        <v>45813.958333333336</v>
      </c>
      <c r="B100" s="60">
        <v>41.39</v>
      </c>
      <c r="C100" s="60">
        <v>68.36</v>
      </c>
      <c r="D100" s="60">
        <v>67.319999999999993</v>
      </c>
      <c r="E100" s="60">
        <v>6.54</v>
      </c>
      <c r="F100" s="60">
        <v>4.76</v>
      </c>
      <c r="G100" s="60">
        <v>69.02</v>
      </c>
      <c r="H100" s="60">
        <v>20.9</v>
      </c>
      <c r="I100" s="60">
        <v>4.01</v>
      </c>
      <c r="J100" s="60">
        <v>0.1</v>
      </c>
      <c r="K100" s="60">
        <v>350.61</v>
      </c>
      <c r="L100" s="60">
        <v>28.76</v>
      </c>
      <c r="M100" s="60">
        <v>62.54</v>
      </c>
      <c r="N100" s="60">
        <v>93.4</v>
      </c>
      <c r="O100" s="60">
        <v>0</v>
      </c>
      <c r="P100" s="60">
        <v>1.1100000000000001</v>
      </c>
      <c r="Q100" s="60">
        <v>9.5399999999999991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3">
        <v>45813.96875</v>
      </c>
      <c r="B101" s="60">
        <v>37.229999999999997</v>
      </c>
      <c r="C101" s="60">
        <v>69.12</v>
      </c>
      <c r="D101" s="60">
        <v>75.150000000000006</v>
      </c>
      <c r="E101" s="60">
        <v>6.14</v>
      </c>
      <c r="F101" s="60">
        <v>4.09</v>
      </c>
      <c r="G101" s="60">
        <v>71.36</v>
      </c>
      <c r="H101" s="60">
        <v>17.57</v>
      </c>
      <c r="I101" s="60">
        <v>4.12</v>
      </c>
      <c r="J101" s="60">
        <v>0.1</v>
      </c>
      <c r="K101" s="60">
        <v>321.41000000000003</v>
      </c>
      <c r="L101" s="60">
        <v>28.62</v>
      </c>
      <c r="M101" s="60">
        <v>61.02</v>
      </c>
      <c r="N101" s="60">
        <v>87.2</v>
      </c>
      <c r="O101" s="60">
        <v>0</v>
      </c>
      <c r="P101" s="60">
        <v>1</v>
      </c>
      <c r="Q101" s="60">
        <v>9.5399999999999991</v>
      </c>
      <c r="R101" s="198"/>
      <c r="S101" s="198"/>
      <c r="T101" s="198"/>
      <c r="U101" s="198"/>
    </row>
    <row r="102" spans="1:33" s="12" customFormat="1" x14ac:dyDescent="0.25">
      <c r="A102" s="63">
        <v>45813.979166666664</v>
      </c>
      <c r="B102" s="60">
        <v>29.11</v>
      </c>
      <c r="C102" s="60">
        <v>54.97</v>
      </c>
      <c r="D102" s="60">
        <v>60.54</v>
      </c>
      <c r="E102" s="60">
        <v>5.93</v>
      </c>
      <c r="F102" s="60">
        <v>4.67</v>
      </c>
      <c r="G102" s="60">
        <v>71.36</v>
      </c>
      <c r="H102" s="60">
        <v>17.57</v>
      </c>
      <c r="I102" s="60">
        <v>4.05</v>
      </c>
      <c r="J102" s="60">
        <v>0.02</v>
      </c>
      <c r="K102" s="60">
        <v>280.89</v>
      </c>
      <c r="L102" s="60">
        <v>29.06</v>
      </c>
      <c r="M102" s="60">
        <v>55.34</v>
      </c>
      <c r="N102" s="60">
        <v>89.4</v>
      </c>
      <c r="O102" s="60">
        <v>0</v>
      </c>
      <c r="P102" s="60">
        <v>0.87</v>
      </c>
      <c r="Q102" s="60">
        <v>9.59</v>
      </c>
      <c r="R102" s="198"/>
      <c r="S102" s="198"/>
      <c r="T102" s="198"/>
      <c r="U102" s="198"/>
    </row>
    <row r="103" spans="1:33" s="12" customFormat="1" x14ac:dyDescent="0.25">
      <c r="A103" s="63">
        <v>45813.989583333336</v>
      </c>
      <c r="B103" s="60">
        <v>21.93</v>
      </c>
      <c r="C103" s="60">
        <v>48.44</v>
      </c>
      <c r="D103" s="60">
        <v>59.05</v>
      </c>
      <c r="E103" s="60">
        <v>5.74</v>
      </c>
      <c r="F103" s="60">
        <v>6.57</v>
      </c>
      <c r="G103" s="60">
        <v>71.36</v>
      </c>
      <c r="H103" s="60">
        <v>17.57</v>
      </c>
      <c r="I103" s="60">
        <v>4.12</v>
      </c>
      <c r="J103" s="60">
        <v>7.0000000000000007E-2</v>
      </c>
      <c r="K103" s="60">
        <v>317.76</v>
      </c>
      <c r="L103" s="60">
        <v>29.3</v>
      </c>
      <c r="M103" s="60">
        <v>54.34</v>
      </c>
      <c r="N103" s="60">
        <v>84.3</v>
      </c>
      <c r="O103" s="60">
        <v>0</v>
      </c>
      <c r="P103" s="60">
        <v>0.8</v>
      </c>
      <c r="Q103" s="60">
        <v>9.58</v>
      </c>
      <c r="R103" s="198"/>
      <c r="S103" s="198"/>
      <c r="T103" s="198"/>
      <c r="U103" s="198"/>
    </row>
    <row r="104" spans="1:33" s="12" customFormat="1" x14ac:dyDescent="0.25">
      <c r="A104" s="60">
        <v>45814</v>
      </c>
      <c r="B104" s="60">
        <v>15.83</v>
      </c>
      <c r="C104" s="60">
        <v>34.590000000000003</v>
      </c>
      <c r="D104" s="60">
        <v>41.9</v>
      </c>
      <c r="E104" s="60">
        <v>5.41</v>
      </c>
      <c r="F104" s="60">
        <v>10.39</v>
      </c>
      <c r="G104" s="60">
        <v>75.069999999999993</v>
      </c>
      <c r="H104" s="60">
        <v>17.12</v>
      </c>
      <c r="I104" s="60">
        <v>4.04</v>
      </c>
      <c r="J104" s="60">
        <v>0.01</v>
      </c>
      <c r="K104" s="60">
        <v>323.43</v>
      </c>
      <c r="L104" s="60">
        <v>29.26</v>
      </c>
      <c r="M104" s="60">
        <v>53.61</v>
      </c>
      <c r="N104" s="60">
        <v>70.5</v>
      </c>
      <c r="O104" s="60">
        <v>0</v>
      </c>
      <c r="P104" s="60">
        <v>0.62</v>
      </c>
      <c r="Q104" s="60">
        <v>9.6300000000000008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4.38</v>
      </c>
      <c r="C106" s="67">
        <f>MIN(C9:C104)</f>
        <v>14.42</v>
      </c>
      <c r="D106" s="67">
        <f t="shared" ref="D106:Q106" si="0">MIN(D9:D104)</f>
        <v>18.55</v>
      </c>
      <c r="E106" s="67">
        <f t="shared" si="0"/>
        <v>4.3499999999999996</v>
      </c>
      <c r="F106" s="67">
        <f t="shared" si="0"/>
        <v>3.39</v>
      </c>
      <c r="G106" s="67">
        <f t="shared" si="0"/>
        <v>32.99</v>
      </c>
      <c r="H106" s="67">
        <f t="shared" si="0"/>
        <v>0</v>
      </c>
      <c r="I106" s="67">
        <f t="shared" si="0"/>
        <v>3.75</v>
      </c>
      <c r="J106" s="67">
        <f t="shared" si="0"/>
        <v>0.01</v>
      </c>
      <c r="K106" s="67">
        <f t="shared" si="0"/>
        <v>10.18</v>
      </c>
      <c r="L106" s="67">
        <f t="shared" si="0"/>
        <v>25.91</v>
      </c>
      <c r="M106" s="67">
        <f t="shared" si="0"/>
        <v>30.49</v>
      </c>
      <c r="N106" s="67">
        <f t="shared" si="0"/>
        <v>42.4</v>
      </c>
      <c r="O106" s="67">
        <f t="shared" si="0"/>
        <v>0</v>
      </c>
      <c r="P106" s="67">
        <f t="shared" si="0"/>
        <v>0.14000000000000001</v>
      </c>
      <c r="Q106" s="67">
        <f t="shared" si="0"/>
        <v>9.17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82.68</v>
      </c>
      <c r="C107" s="66">
        <f t="shared" ref="C107:Q107" si="1">MAX(C9:C104)</f>
        <v>127.96</v>
      </c>
      <c r="D107" s="66">
        <f t="shared" si="1"/>
        <v>118.01</v>
      </c>
      <c r="E107" s="66">
        <f t="shared" si="1"/>
        <v>13.59</v>
      </c>
      <c r="F107" s="66">
        <f t="shared" si="1"/>
        <v>27.67</v>
      </c>
      <c r="G107" s="66">
        <f t="shared" si="1"/>
        <v>75.069999999999993</v>
      </c>
      <c r="H107" s="66">
        <f t="shared" si="1"/>
        <v>943.87</v>
      </c>
      <c r="I107" s="66">
        <f t="shared" si="1"/>
        <v>4.22</v>
      </c>
      <c r="J107" s="66">
        <f t="shared" si="1"/>
        <v>1.26</v>
      </c>
      <c r="K107" s="66">
        <f t="shared" si="1"/>
        <v>357.43</v>
      </c>
      <c r="L107" s="66">
        <f t="shared" si="1"/>
        <v>38.83</v>
      </c>
      <c r="M107" s="66">
        <f t="shared" si="1"/>
        <v>73.12</v>
      </c>
      <c r="N107" s="66">
        <f t="shared" si="1"/>
        <v>940.5</v>
      </c>
      <c r="O107" s="66">
        <f t="shared" si="1"/>
        <v>0</v>
      </c>
      <c r="P107" s="66">
        <f t="shared" si="1"/>
        <v>2.15</v>
      </c>
      <c r="Q107" s="66">
        <f t="shared" si="1"/>
        <v>9.6300000000000008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12.381770833333333</v>
      </c>
      <c r="C108" s="67">
        <f t="shared" ref="C108:Q108" si="2">AVERAGE(C9:C104)</f>
        <v>30.236250000000002</v>
      </c>
      <c r="D108" s="67">
        <f t="shared" si="2"/>
        <v>38.86739583333334</v>
      </c>
      <c r="E108" s="67">
        <f t="shared" si="2"/>
        <v>6.1858333333333322</v>
      </c>
      <c r="F108" s="67">
        <f t="shared" si="2"/>
        <v>9.8565625000000026</v>
      </c>
      <c r="G108" s="67">
        <f t="shared" si="2"/>
        <v>44.724166666666669</v>
      </c>
      <c r="H108" s="67">
        <f t="shared" si="2"/>
        <v>56.596249999999998</v>
      </c>
      <c r="I108" s="67">
        <f t="shared" si="2"/>
        <v>4.0036458333333353</v>
      </c>
      <c r="J108" s="67">
        <f t="shared" si="2"/>
        <v>0.31260416666666668</v>
      </c>
      <c r="K108" s="67">
        <f t="shared" si="2"/>
        <v>255.3441666666665</v>
      </c>
      <c r="L108" s="67">
        <f t="shared" si="2"/>
        <v>31.245520833333334</v>
      </c>
      <c r="M108" s="67">
        <f t="shared" si="2"/>
        <v>50.387291666666663</v>
      </c>
      <c r="N108" s="67">
        <f t="shared" si="2"/>
        <v>276.09479166666659</v>
      </c>
      <c r="O108" s="67">
        <f t="shared" si="2"/>
        <v>0</v>
      </c>
      <c r="P108" s="67">
        <f t="shared" si="2"/>
        <v>0.53802083333333339</v>
      </c>
      <c r="Q108" s="67">
        <f t="shared" si="2"/>
        <v>9.3548958333333339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12.897564192292213</v>
      </c>
      <c r="C109" s="67">
        <f t="shared" ref="C109:Q109" si="3">STDEV(C9:C104)</f>
        <v>19.746954262153412</v>
      </c>
      <c r="D109" s="67">
        <f t="shared" si="3"/>
        <v>20.33123017712775</v>
      </c>
      <c r="E109" s="67">
        <f t="shared" si="3"/>
        <v>1.4113589320536859</v>
      </c>
      <c r="F109" s="67">
        <f t="shared" si="3"/>
        <v>5.5780309350022517</v>
      </c>
      <c r="G109" s="67">
        <f t="shared" si="3"/>
        <v>9.7318468703927099</v>
      </c>
      <c r="H109" s="67">
        <f t="shared" si="3"/>
        <v>174.67519805416893</v>
      </c>
      <c r="I109" s="67">
        <f t="shared" si="3"/>
        <v>9.2156843326634319E-2</v>
      </c>
      <c r="J109" s="67">
        <f t="shared" si="3"/>
        <v>0.25937270396362744</v>
      </c>
      <c r="K109" s="67">
        <f t="shared" si="3"/>
        <v>88.462836153669571</v>
      </c>
      <c r="L109" s="67">
        <f t="shared" si="3"/>
        <v>3.9675862660450365</v>
      </c>
      <c r="M109" s="67">
        <f t="shared" si="3"/>
        <v>13.006849974991241</v>
      </c>
      <c r="N109" s="67">
        <f t="shared" si="3"/>
        <v>298.49789009914355</v>
      </c>
      <c r="O109" s="67">
        <f t="shared" si="3"/>
        <v>0</v>
      </c>
      <c r="P109" s="67">
        <f t="shared" si="3"/>
        <v>0.27392515224982122</v>
      </c>
      <c r="Q109" s="67">
        <f t="shared" si="3"/>
        <v>0.10810321375686011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16" sqref="D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45814.010416666664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3">
        <v>45814.010416666664</v>
      </c>
      <c r="B9" s="60">
        <v>14.2</v>
      </c>
      <c r="C9" s="60">
        <v>30.73</v>
      </c>
      <c r="D9" s="60">
        <v>37.03</v>
      </c>
      <c r="E9" s="60">
        <v>6.13</v>
      </c>
      <c r="F9" s="60">
        <v>11.55</v>
      </c>
      <c r="G9" s="60">
        <v>77.31</v>
      </c>
      <c r="H9" s="60">
        <v>16.850000000000001</v>
      </c>
      <c r="I9" s="60">
        <v>3.9</v>
      </c>
      <c r="J9" s="60">
        <v>0.01</v>
      </c>
      <c r="K9" s="60">
        <v>239.98</v>
      </c>
      <c r="L9" s="60">
        <v>29.06</v>
      </c>
      <c r="M9" s="60">
        <v>54.94</v>
      </c>
      <c r="N9" s="60">
        <v>71.599999999999994</v>
      </c>
      <c r="O9" s="60">
        <v>0</v>
      </c>
      <c r="P9" s="60">
        <v>0.63</v>
      </c>
      <c r="Q9" s="60">
        <v>9.61</v>
      </c>
      <c r="R9" s="198"/>
      <c r="S9" s="198"/>
      <c r="T9" s="198"/>
      <c r="U9" s="198"/>
    </row>
    <row r="10" spans="1:21" s="12" customFormat="1" x14ac:dyDescent="0.25">
      <c r="A10" s="63">
        <v>45814.020833333336</v>
      </c>
      <c r="B10" s="60">
        <v>15.14</v>
      </c>
      <c r="C10" s="60">
        <v>30.14</v>
      </c>
      <c r="D10" s="60">
        <v>34.450000000000003</v>
      </c>
      <c r="E10" s="60">
        <v>6.25</v>
      </c>
      <c r="F10" s="60">
        <v>11.64</v>
      </c>
      <c r="G10" s="60">
        <v>77.31</v>
      </c>
      <c r="H10" s="60">
        <v>16.850000000000001</v>
      </c>
      <c r="I10" s="60">
        <v>4.09</v>
      </c>
      <c r="J10" s="60">
        <v>0.06</v>
      </c>
      <c r="K10" s="60">
        <v>302.39</v>
      </c>
      <c r="L10" s="60">
        <v>28.82</v>
      </c>
      <c r="M10" s="60">
        <v>58.84</v>
      </c>
      <c r="N10" s="60">
        <v>78.400000000000006</v>
      </c>
      <c r="O10" s="60">
        <v>0</v>
      </c>
      <c r="P10" s="60">
        <v>0.68</v>
      </c>
      <c r="Q10" s="60">
        <v>9.6199999999999992</v>
      </c>
      <c r="R10" s="198"/>
      <c r="S10" s="198"/>
      <c r="T10" s="198"/>
      <c r="U10" s="198"/>
    </row>
    <row r="11" spans="1:21" s="12" customFormat="1" x14ac:dyDescent="0.25">
      <c r="A11" s="63">
        <v>45814.03125</v>
      </c>
      <c r="B11" s="60">
        <v>17.190000000000001</v>
      </c>
      <c r="C11" s="60">
        <v>31.78</v>
      </c>
      <c r="D11" s="60">
        <v>34.44</v>
      </c>
      <c r="E11" s="60">
        <v>5.99</v>
      </c>
      <c r="F11" s="60">
        <v>10.59</v>
      </c>
      <c r="G11" s="60">
        <v>77.31</v>
      </c>
      <c r="H11" s="60">
        <v>16.850000000000001</v>
      </c>
      <c r="I11" s="60">
        <v>4.13</v>
      </c>
      <c r="J11" s="60">
        <v>0.08</v>
      </c>
      <c r="K11" s="60">
        <v>301.85000000000002</v>
      </c>
      <c r="L11" s="60">
        <v>28.53</v>
      </c>
      <c r="M11" s="60">
        <v>61.03</v>
      </c>
      <c r="N11" s="60">
        <v>79.400000000000006</v>
      </c>
      <c r="O11" s="60">
        <v>0</v>
      </c>
      <c r="P11" s="60">
        <v>0.7</v>
      </c>
      <c r="Q11" s="60">
        <v>9.6</v>
      </c>
      <c r="R11" s="198"/>
      <c r="S11" s="198"/>
      <c r="T11" s="198"/>
      <c r="U11" s="198"/>
    </row>
    <row r="12" spans="1:21" s="12" customFormat="1" x14ac:dyDescent="0.25">
      <c r="A12" s="63">
        <v>45814.041666666664</v>
      </c>
      <c r="B12" s="60">
        <v>9.1999999999999993</v>
      </c>
      <c r="C12" s="60">
        <v>23.52</v>
      </c>
      <c r="D12" s="60">
        <v>30.89</v>
      </c>
      <c r="E12" s="60">
        <v>6.06</v>
      </c>
      <c r="F12" s="60">
        <v>17.059999999999999</v>
      </c>
      <c r="G12" s="60">
        <v>72.14</v>
      </c>
      <c r="H12" s="60">
        <v>19.739999999999998</v>
      </c>
      <c r="I12" s="60">
        <v>3.86</v>
      </c>
      <c r="J12" s="60">
        <v>0.05</v>
      </c>
      <c r="K12" s="60">
        <v>287.72000000000003</v>
      </c>
      <c r="L12" s="60">
        <v>28.34</v>
      </c>
      <c r="M12" s="60">
        <v>61.64</v>
      </c>
      <c r="N12" s="60">
        <v>74.400000000000006</v>
      </c>
      <c r="O12" s="60">
        <v>0</v>
      </c>
      <c r="P12" s="60">
        <v>0.56999999999999995</v>
      </c>
      <c r="Q12" s="60">
        <v>9.61</v>
      </c>
      <c r="R12" s="198"/>
      <c r="S12" s="198"/>
      <c r="T12" s="198"/>
      <c r="U12" s="198"/>
    </row>
    <row r="13" spans="1:21" s="12" customFormat="1" x14ac:dyDescent="0.25">
      <c r="A13" s="63">
        <v>45814.052083333336</v>
      </c>
      <c r="B13" s="60">
        <v>9.5</v>
      </c>
      <c r="C13" s="60">
        <v>24.26</v>
      </c>
      <c r="D13" s="60">
        <v>31.86</v>
      </c>
      <c r="E13" s="60">
        <v>5.98</v>
      </c>
      <c r="F13" s="60">
        <v>15.7</v>
      </c>
      <c r="G13" s="60">
        <v>68.989999999999995</v>
      </c>
      <c r="H13" s="60">
        <v>21.5</v>
      </c>
      <c r="I13" s="60">
        <v>4.04</v>
      </c>
      <c r="J13" s="60">
        <v>0.1</v>
      </c>
      <c r="K13" s="60">
        <v>337.78</v>
      </c>
      <c r="L13" s="60">
        <v>28.19</v>
      </c>
      <c r="M13" s="60">
        <v>63.12</v>
      </c>
      <c r="N13" s="60">
        <v>80.3</v>
      </c>
      <c r="O13" s="60">
        <v>0</v>
      </c>
      <c r="P13" s="60">
        <v>0.44</v>
      </c>
      <c r="Q13" s="60">
        <v>9.64</v>
      </c>
      <c r="R13" s="198"/>
      <c r="S13" s="198"/>
      <c r="T13" s="198"/>
      <c r="U13" s="198"/>
    </row>
    <row r="14" spans="1:21" s="12" customFormat="1" x14ac:dyDescent="0.25">
      <c r="A14" s="63">
        <v>45814.0625</v>
      </c>
      <c r="B14" s="60">
        <v>9.9700000000000006</v>
      </c>
      <c r="C14" s="60">
        <v>23.37</v>
      </c>
      <c r="D14" s="60">
        <v>29.44</v>
      </c>
      <c r="E14" s="60">
        <v>5.87</v>
      </c>
      <c r="F14" s="60">
        <v>15.63</v>
      </c>
      <c r="G14" s="60">
        <v>68.989999999999995</v>
      </c>
      <c r="H14" s="60">
        <v>21.5</v>
      </c>
      <c r="I14" s="60">
        <v>3.97</v>
      </c>
      <c r="J14" s="60">
        <v>0.03</v>
      </c>
      <c r="K14" s="60">
        <v>290.68</v>
      </c>
      <c r="L14" s="60">
        <v>27.89</v>
      </c>
      <c r="M14" s="60">
        <v>64.900000000000006</v>
      </c>
      <c r="N14" s="60">
        <v>76.2</v>
      </c>
      <c r="O14" s="60">
        <v>0</v>
      </c>
      <c r="P14" s="60">
        <v>0.47</v>
      </c>
      <c r="Q14" s="60">
        <v>9.6300000000000008</v>
      </c>
      <c r="R14" s="198"/>
      <c r="S14" s="198"/>
      <c r="T14" s="198"/>
      <c r="U14" s="198"/>
    </row>
    <row r="15" spans="1:21" s="12" customFormat="1" x14ac:dyDescent="0.25">
      <c r="A15" s="63">
        <v>45814.072916666664</v>
      </c>
      <c r="B15" s="60">
        <v>10.59</v>
      </c>
      <c r="C15" s="60">
        <v>24.48</v>
      </c>
      <c r="D15" s="60">
        <v>30.62</v>
      </c>
      <c r="E15" s="60">
        <v>5.73</v>
      </c>
      <c r="F15" s="60">
        <v>13.97</v>
      </c>
      <c r="G15" s="60">
        <v>68.989999999999995</v>
      </c>
      <c r="H15" s="60">
        <v>21.5</v>
      </c>
      <c r="I15" s="60">
        <v>4.0199999999999996</v>
      </c>
      <c r="J15" s="60">
        <v>0.08</v>
      </c>
      <c r="K15" s="60">
        <v>59.68</v>
      </c>
      <c r="L15" s="60">
        <v>27.83</v>
      </c>
      <c r="M15" s="60">
        <v>66.099999999999994</v>
      </c>
      <c r="N15" s="60">
        <v>75.2</v>
      </c>
      <c r="O15" s="60">
        <v>0</v>
      </c>
      <c r="P15" s="60">
        <v>0.49</v>
      </c>
      <c r="Q15" s="60">
        <v>9.61</v>
      </c>
      <c r="R15" s="198"/>
      <c r="S15" s="198"/>
      <c r="T15" s="198"/>
      <c r="U15" s="198"/>
    </row>
    <row r="16" spans="1:21" s="12" customFormat="1" x14ac:dyDescent="0.25">
      <c r="A16" s="63">
        <v>45814.083333333336</v>
      </c>
      <c r="B16" s="60">
        <v>9.35</v>
      </c>
      <c r="C16" s="60">
        <v>25.02</v>
      </c>
      <c r="D16" s="60">
        <v>33.549999999999997</v>
      </c>
      <c r="E16" s="60">
        <v>6.07</v>
      </c>
      <c r="F16" s="60">
        <v>13.52</v>
      </c>
      <c r="G16" s="60">
        <v>64.92</v>
      </c>
      <c r="H16" s="60">
        <v>8.1199999999999992</v>
      </c>
      <c r="I16" s="60">
        <v>4.0599999999999996</v>
      </c>
      <c r="J16" s="60">
        <v>0.09</v>
      </c>
      <c r="K16" s="60">
        <v>126.94</v>
      </c>
      <c r="L16" s="60">
        <v>27.62</v>
      </c>
      <c r="M16" s="60">
        <v>67.14</v>
      </c>
      <c r="N16" s="60">
        <v>74.8</v>
      </c>
      <c r="O16" s="60">
        <v>0</v>
      </c>
      <c r="P16" s="60">
        <v>0.47</v>
      </c>
      <c r="Q16" s="60">
        <v>9.6300000000000008</v>
      </c>
      <c r="R16" s="198"/>
      <c r="S16" s="198"/>
      <c r="T16" s="198"/>
      <c r="U16" s="198"/>
    </row>
    <row r="17" spans="1:21" s="12" customFormat="1" x14ac:dyDescent="0.25">
      <c r="A17" s="63">
        <v>45814.09375</v>
      </c>
      <c r="B17" s="60">
        <v>11.32</v>
      </c>
      <c r="C17" s="60">
        <v>34.22</v>
      </c>
      <c r="D17" s="60">
        <v>48.12</v>
      </c>
      <c r="E17" s="60">
        <v>5.91</v>
      </c>
      <c r="F17" s="60">
        <v>10.54</v>
      </c>
      <c r="G17" s="60">
        <v>62.44</v>
      </c>
      <c r="H17" s="60">
        <v>0</v>
      </c>
      <c r="I17" s="60">
        <v>4.07</v>
      </c>
      <c r="J17" s="60">
        <v>0.05</v>
      </c>
      <c r="K17" s="60">
        <v>313.83999999999997</v>
      </c>
      <c r="L17" s="60">
        <v>27.62</v>
      </c>
      <c r="M17" s="60">
        <v>65.7</v>
      </c>
      <c r="N17" s="60">
        <v>74.900000000000006</v>
      </c>
      <c r="O17" s="60">
        <v>0</v>
      </c>
      <c r="P17" s="60">
        <v>0.44</v>
      </c>
      <c r="Q17" s="60">
        <v>9.6199999999999992</v>
      </c>
      <c r="R17" s="198"/>
      <c r="S17" s="198"/>
      <c r="T17" s="198"/>
      <c r="U17" s="198"/>
    </row>
    <row r="18" spans="1:21" s="12" customFormat="1" x14ac:dyDescent="0.25">
      <c r="A18" s="63">
        <v>45814.104166666664</v>
      </c>
      <c r="B18" s="60">
        <v>11.35</v>
      </c>
      <c r="C18" s="60">
        <v>30.49</v>
      </c>
      <c r="D18" s="60">
        <v>40.950000000000003</v>
      </c>
      <c r="E18" s="60">
        <v>5.74</v>
      </c>
      <c r="F18" s="60">
        <v>8.49</v>
      </c>
      <c r="G18" s="60">
        <v>62.44</v>
      </c>
      <c r="H18" s="60">
        <v>0</v>
      </c>
      <c r="I18" s="60">
        <v>4.0599999999999996</v>
      </c>
      <c r="J18" s="60">
        <v>0.13</v>
      </c>
      <c r="K18" s="60">
        <v>330.25</v>
      </c>
      <c r="L18" s="60">
        <v>27.3</v>
      </c>
      <c r="M18" s="60">
        <v>72.81</v>
      </c>
      <c r="N18" s="60">
        <v>75.2</v>
      </c>
      <c r="O18" s="60">
        <v>0</v>
      </c>
      <c r="P18" s="60">
        <v>0.5</v>
      </c>
      <c r="Q18" s="60">
        <v>9.6300000000000008</v>
      </c>
      <c r="R18" s="198"/>
      <c r="S18" s="198"/>
      <c r="T18" s="198"/>
      <c r="U18" s="198"/>
    </row>
    <row r="19" spans="1:21" s="12" customFormat="1" x14ac:dyDescent="0.25">
      <c r="A19" s="63">
        <v>45814.114583333336</v>
      </c>
      <c r="B19" s="60">
        <v>11.66</v>
      </c>
      <c r="C19" s="60">
        <v>33.159999999999997</v>
      </c>
      <c r="D19" s="60">
        <v>45.58</v>
      </c>
      <c r="E19" s="60">
        <v>5.33</v>
      </c>
      <c r="F19" s="60">
        <v>6.66</v>
      </c>
      <c r="G19" s="60">
        <v>62.44</v>
      </c>
      <c r="H19" s="60">
        <v>0</v>
      </c>
      <c r="I19" s="60">
        <v>4.04</v>
      </c>
      <c r="J19" s="60">
        <v>0.13</v>
      </c>
      <c r="K19" s="60">
        <v>292.51</v>
      </c>
      <c r="L19" s="60">
        <v>27.15</v>
      </c>
      <c r="M19" s="60">
        <v>70.45</v>
      </c>
      <c r="N19" s="60">
        <v>74.7</v>
      </c>
      <c r="O19" s="60">
        <v>0</v>
      </c>
      <c r="P19" s="60">
        <v>0.5</v>
      </c>
      <c r="Q19" s="60">
        <v>9.64</v>
      </c>
      <c r="R19" s="198"/>
      <c r="S19" s="198"/>
      <c r="T19" s="198"/>
      <c r="U19" s="198"/>
    </row>
    <row r="20" spans="1:21" s="12" customFormat="1" x14ac:dyDescent="0.25">
      <c r="A20" s="63">
        <v>45814.125</v>
      </c>
      <c r="B20" s="60">
        <v>14.15</v>
      </c>
      <c r="C20" s="60">
        <v>32.57</v>
      </c>
      <c r="D20" s="60">
        <v>40.61</v>
      </c>
      <c r="E20" s="60">
        <v>5.75</v>
      </c>
      <c r="F20" s="60">
        <v>6.13</v>
      </c>
      <c r="G20" s="60">
        <v>62.34</v>
      </c>
      <c r="H20" s="60">
        <v>62.68</v>
      </c>
      <c r="I20" s="60">
        <v>3.89</v>
      </c>
      <c r="J20" s="60">
        <v>0.08</v>
      </c>
      <c r="K20" s="60">
        <v>318.22000000000003</v>
      </c>
      <c r="L20" s="60">
        <v>26.89</v>
      </c>
      <c r="M20" s="60">
        <v>75.510000000000005</v>
      </c>
      <c r="N20" s="60">
        <v>74.900000000000006</v>
      </c>
      <c r="O20" s="60">
        <v>0</v>
      </c>
      <c r="P20" s="60">
        <v>0.56000000000000005</v>
      </c>
      <c r="Q20" s="60">
        <v>9.61</v>
      </c>
      <c r="R20" s="198"/>
      <c r="S20" s="198"/>
      <c r="T20" s="198"/>
      <c r="U20" s="198"/>
    </row>
    <row r="21" spans="1:21" s="12" customFormat="1" x14ac:dyDescent="0.25">
      <c r="A21" s="63">
        <v>45814.135416666664</v>
      </c>
      <c r="B21" s="60">
        <v>15.64</v>
      </c>
      <c r="C21" s="60">
        <v>34.85</v>
      </c>
      <c r="D21" s="60">
        <v>42.69</v>
      </c>
      <c r="E21" s="60">
        <v>5.87</v>
      </c>
      <c r="F21" s="60">
        <v>5.97</v>
      </c>
      <c r="G21" s="60">
        <v>62.28</v>
      </c>
      <c r="H21" s="60">
        <v>100.74</v>
      </c>
      <c r="I21" s="60">
        <v>4.04</v>
      </c>
      <c r="J21" s="60">
        <v>0.08</v>
      </c>
      <c r="K21" s="60">
        <v>271.39</v>
      </c>
      <c r="L21" s="60">
        <v>26.84</v>
      </c>
      <c r="M21" s="60">
        <v>75.19</v>
      </c>
      <c r="N21" s="60">
        <v>74.5</v>
      </c>
      <c r="O21" s="60">
        <v>0</v>
      </c>
      <c r="P21" s="60">
        <v>0.54</v>
      </c>
      <c r="Q21" s="60">
        <v>9.59</v>
      </c>
      <c r="R21" s="198"/>
      <c r="S21" s="198"/>
      <c r="T21" s="198"/>
      <c r="U21" s="198"/>
    </row>
    <row r="22" spans="1:21" s="12" customFormat="1" x14ac:dyDescent="0.25">
      <c r="A22" s="63">
        <v>45814.145833333336</v>
      </c>
      <c r="B22" s="60">
        <v>13.15</v>
      </c>
      <c r="C22" s="60">
        <v>30.03</v>
      </c>
      <c r="D22" s="60">
        <v>37.299999999999997</v>
      </c>
      <c r="E22" s="60">
        <v>5.5</v>
      </c>
      <c r="F22" s="60">
        <v>5.08</v>
      </c>
      <c r="G22" s="60">
        <v>62.28</v>
      </c>
      <c r="H22" s="60">
        <v>100.74</v>
      </c>
      <c r="I22" s="60">
        <v>4.08</v>
      </c>
      <c r="J22" s="60">
        <v>0.1</v>
      </c>
      <c r="K22" s="60">
        <v>313.33999999999997</v>
      </c>
      <c r="L22" s="60">
        <v>26.93</v>
      </c>
      <c r="M22" s="60">
        <v>76.44</v>
      </c>
      <c r="N22" s="60">
        <v>74.8</v>
      </c>
      <c r="O22" s="60">
        <v>0</v>
      </c>
      <c r="P22" s="60">
        <v>0.56000000000000005</v>
      </c>
      <c r="Q22" s="60">
        <v>9.58</v>
      </c>
      <c r="R22" s="198"/>
      <c r="S22" s="198"/>
      <c r="T22" s="198"/>
      <c r="U22" s="198"/>
    </row>
    <row r="23" spans="1:21" s="12" customFormat="1" x14ac:dyDescent="0.25">
      <c r="A23" s="63">
        <v>45814.15625</v>
      </c>
      <c r="B23" s="60">
        <v>17.420000000000002</v>
      </c>
      <c r="C23" s="60">
        <v>34.74</v>
      </c>
      <c r="D23" s="60">
        <v>39.76</v>
      </c>
      <c r="E23" s="60">
        <v>5.52</v>
      </c>
      <c r="F23" s="60">
        <v>5.03</v>
      </c>
      <c r="G23" s="60">
        <v>62.28</v>
      </c>
      <c r="H23" s="60">
        <v>100.74</v>
      </c>
      <c r="I23" s="60">
        <v>3.88</v>
      </c>
      <c r="J23" s="60">
        <v>7.0000000000000007E-2</v>
      </c>
      <c r="K23" s="60">
        <v>313.37</v>
      </c>
      <c r="L23" s="60">
        <v>26.93</v>
      </c>
      <c r="M23" s="60">
        <v>76.010000000000005</v>
      </c>
      <c r="N23" s="60">
        <v>75.2</v>
      </c>
      <c r="O23" s="60">
        <v>0</v>
      </c>
      <c r="P23" s="60">
        <v>0.62</v>
      </c>
      <c r="Q23" s="60">
        <v>9.6</v>
      </c>
      <c r="R23" s="198"/>
      <c r="S23" s="198"/>
      <c r="T23" s="198"/>
      <c r="U23" s="198"/>
    </row>
    <row r="24" spans="1:21" s="12" customFormat="1" x14ac:dyDescent="0.25">
      <c r="A24" s="63">
        <v>45814.166666666664</v>
      </c>
      <c r="B24" s="60">
        <v>26.26</v>
      </c>
      <c r="C24" s="60">
        <v>46.49</v>
      </c>
      <c r="D24" s="60">
        <v>48.67</v>
      </c>
      <c r="E24" s="60">
        <v>5.22</v>
      </c>
      <c r="F24" s="60">
        <v>5.42</v>
      </c>
      <c r="G24" s="60">
        <v>65.39</v>
      </c>
      <c r="H24" s="60">
        <v>93.47</v>
      </c>
      <c r="I24" s="60">
        <v>4.1100000000000003</v>
      </c>
      <c r="J24" s="60">
        <v>0.04</v>
      </c>
      <c r="K24" s="60">
        <v>308.35000000000002</v>
      </c>
      <c r="L24" s="60">
        <v>26.84</v>
      </c>
      <c r="M24" s="60">
        <v>76.41</v>
      </c>
      <c r="N24" s="60">
        <v>76</v>
      </c>
      <c r="O24" s="60">
        <v>0</v>
      </c>
      <c r="P24" s="60">
        <v>0.63</v>
      </c>
      <c r="Q24" s="60">
        <v>9.57</v>
      </c>
      <c r="R24" s="198"/>
      <c r="S24" s="198"/>
      <c r="T24" s="198"/>
      <c r="U24" s="198"/>
    </row>
    <row r="25" spans="1:21" s="12" customFormat="1" x14ac:dyDescent="0.25">
      <c r="A25" s="63">
        <v>45814.177083333336</v>
      </c>
      <c r="B25" s="60">
        <v>20.73</v>
      </c>
      <c r="C25" s="60">
        <v>37.799999999999997</v>
      </c>
      <c r="D25" s="60">
        <v>40.53</v>
      </c>
      <c r="E25" s="60">
        <v>5.28</v>
      </c>
      <c r="F25" s="60">
        <v>5.1100000000000003</v>
      </c>
      <c r="G25" s="60">
        <v>67.290000000000006</v>
      </c>
      <c r="H25" s="60">
        <v>89.06</v>
      </c>
      <c r="I25" s="60">
        <v>3.93</v>
      </c>
      <c r="J25" s="60">
        <v>0.01</v>
      </c>
      <c r="K25" s="60">
        <v>359.82</v>
      </c>
      <c r="L25" s="60">
        <v>26.63</v>
      </c>
      <c r="M25" s="60">
        <v>76.11</v>
      </c>
      <c r="N25" s="60">
        <v>76.2</v>
      </c>
      <c r="O25" s="60">
        <v>0</v>
      </c>
      <c r="P25" s="60">
        <v>0.68</v>
      </c>
      <c r="Q25" s="60">
        <v>9.6</v>
      </c>
      <c r="R25" s="198"/>
      <c r="S25" s="198"/>
      <c r="T25" s="198"/>
      <c r="U25" s="198"/>
    </row>
    <row r="26" spans="1:21" s="12" customFormat="1" x14ac:dyDescent="0.25">
      <c r="A26" s="63">
        <v>45814.1875</v>
      </c>
      <c r="B26" s="60">
        <v>20.47</v>
      </c>
      <c r="C26" s="60">
        <v>43.12</v>
      </c>
      <c r="D26" s="60">
        <v>51.11</v>
      </c>
      <c r="E26" s="60">
        <v>5.51</v>
      </c>
      <c r="F26" s="60">
        <v>4.5</v>
      </c>
      <c r="G26" s="60">
        <v>67.290000000000006</v>
      </c>
      <c r="H26" s="60">
        <v>89.06</v>
      </c>
      <c r="I26" s="60">
        <v>3.96</v>
      </c>
      <c r="J26" s="60">
        <v>0.05</v>
      </c>
      <c r="K26" s="60">
        <v>256.52999999999997</v>
      </c>
      <c r="L26" s="60">
        <v>26.58</v>
      </c>
      <c r="M26" s="60">
        <v>71.760000000000005</v>
      </c>
      <c r="N26" s="60">
        <v>76.5</v>
      </c>
      <c r="O26" s="60">
        <v>0</v>
      </c>
      <c r="P26" s="60">
        <v>0.67</v>
      </c>
      <c r="Q26" s="60">
        <v>9.58</v>
      </c>
      <c r="R26" s="198"/>
      <c r="S26" s="198"/>
      <c r="T26" s="198"/>
      <c r="U26" s="198"/>
    </row>
    <row r="27" spans="1:21" s="12" customFormat="1" x14ac:dyDescent="0.25">
      <c r="A27" s="63">
        <v>45814.197916666664</v>
      </c>
      <c r="B27" s="60">
        <v>20.420000000000002</v>
      </c>
      <c r="C27" s="60">
        <v>37.24</v>
      </c>
      <c r="D27" s="60">
        <v>39.94</v>
      </c>
      <c r="E27" s="60">
        <v>5.85</v>
      </c>
      <c r="F27" s="60">
        <v>4.8899999999999997</v>
      </c>
      <c r="G27" s="60">
        <v>67.290000000000006</v>
      </c>
      <c r="H27" s="60">
        <v>89.06</v>
      </c>
      <c r="I27" s="60">
        <v>3.95</v>
      </c>
      <c r="J27" s="60">
        <v>7.0000000000000007E-2</v>
      </c>
      <c r="K27" s="60">
        <v>237.14</v>
      </c>
      <c r="L27" s="60">
        <v>26.76</v>
      </c>
      <c r="M27" s="60">
        <v>68.22</v>
      </c>
      <c r="N27" s="60">
        <v>76.8</v>
      </c>
      <c r="O27" s="60">
        <v>0</v>
      </c>
      <c r="P27" s="60">
        <v>0.67</v>
      </c>
      <c r="Q27" s="60">
        <v>9.6</v>
      </c>
      <c r="R27" s="198"/>
      <c r="S27" s="198"/>
      <c r="T27" s="198"/>
      <c r="U27" s="198"/>
    </row>
    <row r="28" spans="1:21" s="12" customFormat="1" x14ac:dyDescent="0.25">
      <c r="A28" s="63">
        <v>45814.208333333336</v>
      </c>
      <c r="B28" s="60">
        <v>21.94</v>
      </c>
      <c r="C28" s="60">
        <v>42.26</v>
      </c>
      <c r="D28" s="60">
        <v>47.22</v>
      </c>
      <c r="E28" s="60">
        <v>5.51</v>
      </c>
      <c r="F28" s="60">
        <v>4.59</v>
      </c>
      <c r="G28" s="60">
        <v>73.239999999999995</v>
      </c>
      <c r="H28" s="60">
        <v>59.73</v>
      </c>
      <c r="I28" s="60">
        <v>4.09</v>
      </c>
      <c r="J28" s="60">
        <v>7.0000000000000007E-2</v>
      </c>
      <c r="K28" s="60">
        <v>283.08</v>
      </c>
      <c r="L28" s="60">
        <v>26.88</v>
      </c>
      <c r="M28" s="60">
        <v>70.64</v>
      </c>
      <c r="N28" s="60">
        <v>77.7</v>
      </c>
      <c r="O28" s="60">
        <v>0</v>
      </c>
      <c r="P28" s="60">
        <v>0.72</v>
      </c>
      <c r="Q28" s="60">
        <v>9.58</v>
      </c>
      <c r="R28" s="198"/>
      <c r="S28" s="198"/>
      <c r="T28" s="198"/>
      <c r="U28" s="198"/>
    </row>
    <row r="29" spans="1:21" s="12" customFormat="1" x14ac:dyDescent="0.25">
      <c r="A29" s="63">
        <v>45814.21875</v>
      </c>
      <c r="B29" s="60">
        <v>24.12</v>
      </c>
      <c r="C29" s="60">
        <v>41.11</v>
      </c>
      <c r="D29" s="60">
        <v>41.68</v>
      </c>
      <c r="E29" s="60">
        <v>5.37</v>
      </c>
      <c r="F29" s="60">
        <v>4.82</v>
      </c>
      <c r="G29" s="60">
        <v>76.849999999999994</v>
      </c>
      <c r="H29" s="60">
        <v>41.93</v>
      </c>
      <c r="I29" s="60">
        <v>4.04</v>
      </c>
      <c r="J29" s="60">
        <v>0.06</v>
      </c>
      <c r="K29" s="60">
        <v>313.99</v>
      </c>
      <c r="L29" s="60">
        <v>26.49</v>
      </c>
      <c r="M29" s="60">
        <v>73.09</v>
      </c>
      <c r="N29" s="60">
        <v>80.2</v>
      </c>
      <c r="O29" s="60">
        <v>0</v>
      </c>
      <c r="P29" s="60">
        <v>0.71</v>
      </c>
      <c r="Q29" s="60">
        <v>9.6</v>
      </c>
      <c r="R29" s="198"/>
      <c r="S29" s="198"/>
      <c r="T29" s="198"/>
      <c r="U29" s="198"/>
    </row>
    <row r="30" spans="1:21" s="12" customFormat="1" x14ac:dyDescent="0.25">
      <c r="A30" s="63">
        <v>45814.229166666664</v>
      </c>
      <c r="B30" s="60">
        <v>33.340000000000003</v>
      </c>
      <c r="C30" s="60">
        <v>59.33</v>
      </c>
      <c r="D30" s="60">
        <v>62.37</v>
      </c>
      <c r="E30" s="60">
        <v>6.02</v>
      </c>
      <c r="F30" s="60">
        <v>5.77</v>
      </c>
      <c r="G30" s="60">
        <v>76.849999999999994</v>
      </c>
      <c r="H30" s="60">
        <v>41.93</v>
      </c>
      <c r="I30" s="60">
        <v>3.98</v>
      </c>
      <c r="J30" s="60">
        <v>0.05</v>
      </c>
      <c r="K30" s="60">
        <v>295.26</v>
      </c>
      <c r="L30" s="60">
        <v>26.35</v>
      </c>
      <c r="M30" s="60">
        <v>70.27</v>
      </c>
      <c r="N30" s="60">
        <v>86.7</v>
      </c>
      <c r="O30" s="60">
        <v>0</v>
      </c>
      <c r="P30" s="60">
        <v>0.87</v>
      </c>
      <c r="Q30" s="60">
        <v>9.61</v>
      </c>
      <c r="R30" s="198"/>
      <c r="S30" s="198"/>
      <c r="T30" s="198"/>
      <c r="U30" s="198"/>
    </row>
    <row r="31" spans="1:21" s="12" customFormat="1" x14ac:dyDescent="0.25">
      <c r="A31" s="63">
        <v>45814.239583333336</v>
      </c>
      <c r="B31" s="60">
        <v>26.28</v>
      </c>
      <c r="C31" s="60">
        <v>53.7</v>
      </c>
      <c r="D31" s="60">
        <v>62.44</v>
      </c>
      <c r="E31" s="60">
        <v>5.98</v>
      </c>
      <c r="F31" s="60">
        <v>5.66</v>
      </c>
      <c r="G31" s="60">
        <v>76.849999999999994</v>
      </c>
      <c r="H31" s="60">
        <v>41.93</v>
      </c>
      <c r="I31" s="60">
        <v>4.0199999999999996</v>
      </c>
      <c r="J31" s="60">
        <v>7.0000000000000007E-2</v>
      </c>
      <c r="K31" s="60">
        <v>291.70999999999998</v>
      </c>
      <c r="L31" s="60">
        <v>26.46</v>
      </c>
      <c r="M31" s="60">
        <v>70.400000000000006</v>
      </c>
      <c r="N31" s="60">
        <v>103.5</v>
      </c>
      <c r="O31" s="60">
        <v>0</v>
      </c>
      <c r="P31" s="60">
        <v>0.89</v>
      </c>
      <c r="Q31" s="60">
        <v>9.64</v>
      </c>
      <c r="R31" s="198"/>
      <c r="S31" s="198"/>
      <c r="T31" s="198"/>
      <c r="U31" s="198"/>
    </row>
    <row r="32" spans="1:21" s="12" customFormat="1" x14ac:dyDescent="0.25">
      <c r="A32" s="63">
        <v>45814.25</v>
      </c>
      <c r="B32" s="60">
        <v>18.89</v>
      </c>
      <c r="C32" s="60">
        <v>45.55</v>
      </c>
      <c r="D32" s="60">
        <v>58.18</v>
      </c>
      <c r="E32" s="60">
        <v>6.18</v>
      </c>
      <c r="F32" s="60">
        <v>6.77</v>
      </c>
      <c r="G32" s="60">
        <v>83.49</v>
      </c>
      <c r="H32" s="60">
        <v>29.87</v>
      </c>
      <c r="I32" s="60">
        <v>3.99</v>
      </c>
      <c r="J32" s="60">
        <v>7.0000000000000007E-2</v>
      </c>
      <c r="K32" s="60">
        <v>265.43</v>
      </c>
      <c r="L32" s="60">
        <v>26.91</v>
      </c>
      <c r="M32" s="60">
        <v>70.040000000000006</v>
      </c>
      <c r="N32" s="60">
        <v>114.9</v>
      </c>
      <c r="O32" s="60">
        <v>0</v>
      </c>
      <c r="P32" s="60">
        <v>0.83</v>
      </c>
      <c r="Q32" s="60">
        <v>9.6300000000000008</v>
      </c>
      <c r="R32" s="198"/>
      <c r="S32" s="198"/>
      <c r="T32" s="198"/>
      <c r="U32" s="198"/>
    </row>
    <row r="33" spans="1:21" s="12" customFormat="1" x14ac:dyDescent="0.25">
      <c r="A33" s="63">
        <v>45814.260416666664</v>
      </c>
      <c r="B33" s="60">
        <v>16.64</v>
      </c>
      <c r="C33" s="60">
        <v>39.97</v>
      </c>
      <c r="D33" s="60">
        <v>50.96</v>
      </c>
      <c r="E33" s="60">
        <v>6.22</v>
      </c>
      <c r="F33" s="60">
        <v>9.35</v>
      </c>
      <c r="G33" s="60">
        <v>87.53</v>
      </c>
      <c r="H33" s="60">
        <v>22.54</v>
      </c>
      <c r="I33" s="60">
        <v>3.95</v>
      </c>
      <c r="J33" s="60">
        <v>7.0000000000000007E-2</v>
      </c>
      <c r="K33" s="60">
        <v>288.13</v>
      </c>
      <c r="L33" s="60">
        <v>27.52</v>
      </c>
      <c r="M33" s="60">
        <v>67.38</v>
      </c>
      <c r="N33" s="60">
        <v>145.19999999999999</v>
      </c>
      <c r="O33" s="60">
        <v>0</v>
      </c>
      <c r="P33" s="60">
        <v>0.8</v>
      </c>
      <c r="Q33" s="60">
        <v>9.6199999999999992</v>
      </c>
      <c r="R33" s="198"/>
      <c r="S33" s="198"/>
      <c r="T33" s="198"/>
      <c r="U33" s="198"/>
    </row>
    <row r="34" spans="1:21" s="12" customFormat="1" x14ac:dyDescent="0.25">
      <c r="A34" s="63">
        <v>45814.270833333336</v>
      </c>
      <c r="B34" s="60">
        <v>18.32</v>
      </c>
      <c r="C34" s="60">
        <v>37.57</v>
      </c>
      <c r="D34" s="60">
        <v>43.78</v>
      </c>
      <c r="E34" s="60">
        <v>6.06</v>
      </c>
      <c r="F34" s="60">
        <v>9.99</v>
      </c>
      <c r="G34" s="60">
        <v>87.53</v>
      </c>
      <c r="H34" s="60">
        <v>22.54</v>
      </c>
      <c r="I34" s="60">
        <v>4</v>
      </c>
      <c r="J34" s="60">
        <v>0.09</v>
      </c>
      <c r="K34" s="60">
        <v>258.83</v>
      </c>
      <c r="L34" s="60">
        <v>28.09</v>
      </c>
      <c r="M34" s="60">
        <v>67.260000000000005</v>
      </c>
      <c r="N34" s="60">
        <v>183.8</v>
      </c>
      <c r="O34" s="60">
        <v>0</v>
      </c>
      <c r="P34" s="60">
        <v>0.74</v>
      </c>
      <c r="Q34" s="60">
        <v>9.6300000000000008</v>
      </c>
      <c r="R34" s="198"/>
      <c r="S34" s="198"/>
      <c r="T34" s="198"/>
      <c r="U34" s="198"/>
    </row>
    <row r="35" spans="1:21" s="12" customFormat="1" x14ac:dyDescent="0.25">
      <c r="A35" s="63">
        <v>45814.28125</v>
      </c>
      <c r="B35" s="60">
        <v>19.440000000000001</v>
      </c>
      <c r="C35" s="60">
        <v>37.619999999999997</v>
      </c>
      <c r="D35" s="60">
        <v>42.17</v>
      </c>
      <c r="E35" s="60">
        <v>6.16</v>
      </c>
      <c r="F35" s="60">
        <v>8.92</v>
      </c>
      <c r="G35" s="60">
        <v>87.53</v>
      </c>
      <c r="H35" s="60">
        <v>22.54</v>
      </c>
      <c r="I35" s="60">
        <v>3.97</v>
      </c>
      <c r="J35" s="60">
        <v>0.11</v>
      </c>
      <c r="K35" s="60">
        <v>283.47000000000003</v>
      </c>
      <c r="L35" s="60">
        <v>28.38</v>
      </c>
      <c r="M35" s="60">
        <v>68.290000000000006</v>
      </c>
      <c r="N35" s="60">
        <v>235.6</v>
      </c>
      <c r="O35" s="60">
        <v>0</v>
      </c>
      <c r="P35" s="60">
        <v>0.76</v>
      </c>
      <c r="Q35" s="60">
        <v>9.64</v>
      </c>
      <c r="R35" s="198"/>
      <c r="S35" s="198"/>
      <c r="T35" s="198"/>
      <c r="U35" s="198"/>
    </row>
    <row r="36" spans="1:21" s="12" customFormat="1" x14ac:dyDescent="0.25">
      <c r="A36" s="63">
        <v>45814.291666666664</v>
      </c>
      <c r="B36" s="60">
        <v>17.96</v>
      </c>
      <c r="C36" s="60">
        <v>38.03</v>
      </c>
      <c r="D36" s="60">
        <v>45.24</v>
      </c>
      <c r="E36" s="60">
        <v>6.22</v>
      </c>
      <c r="F36" s="60">
        <v>12.06</v>
      </c>
      <c r="G36" s="60">
        <v>89.08</v>
      </c>
      <c r="H36" s="60">
        <v>13.69</v>
      </c>
      <c r="I36" s="60">
        <v>4.0999999999999996</v>
      </c>
      <c r="J36" s="60">
        <v>0.1</v>
      </c>
      <c r="K36" s="60">
        <v>273.17</v>
      </c>
      <c r="L36" s="60">
        <v>29.65</v>
      </c>
      <c r="M36" s="60">
        <v>63.86</v>
      </c>
      <c r="N36" s="60">
        <v>255.7</v>
      </c>
      <c r="O36" s="60">
        <v>0</v>
      </c>
      <c r="P36" s="60">
        <v>0.73</v>
      </c>
      <c r="Q36" s="60">
        <v>9.6199999999999992</v>
      </c>
      <c r="R36" s="198"/>
      <c r="S36" s="198"/>
      <c r="T36" s="198"/>
      <c r="U36" s="198"/>
    </row>
    <row r="37" spans="1:21" s="12" customFormat="1" x14ac:dyDescent="0.25">
      <c r="A37" s="63">
        <v>45814.302083333336</v>
      </c>
      <c r="B37" s="60">
        <v>20.57</v>
      </c>
      <c r="C37" s="60">
        <v>33.42</v>
      </c>
      <c r="D37" s="60">
        <v>32.39</v>
      </c>
      <c r="E37" s="60">
        <v>6.26</v>
      </c>
      <c r="F37" s="60">
        <v>5.99</v>
      </c>
      <c r="G37" s="60">
        <v>90.03</v>
      </c>
      <c r="H37" s="60">
        <v>8.31</v>
      </c>
      <c r="I37" s="60">
        <v>4.18</v>
      </c>
      <c r="J37" s="60">
        <v>0.15</v>
      </c>
      <c r="K37" s="60">
        <v>277.45999999999998</v>
      </c>
      <c r="L37" s="60">
        <v>30.56</v>
      </c>
      <c r="M37" s="60">
        <v>60.48</v>
      </c>
      <c r="N37" s="60">
        <v>302.5</v>
      </c>
      <c r="O37" s="60">
        <v>0</v>
      </c>
      <c r="P37" s="60">
        <v>0.7</v>
      </c>
      <c r="Q37" s="60">
        <v>9.6199999999999992</v>
      </c>
      <c r="R37" s="198"/>
      <c r="S37" s="198"/>
      <c r="T37" s="198"/>
      <c r="U37" s="198"/>
    </row>
    <row r="38" spans="1:21" s="12" customFormat="1" x14ac:dyDescent="0.25">
      <c r="A38" s="63">
        <v>45814.3125</v>
      </c>
      <c r="B38" s="60">
        <v>20.83</v>
      </c>
      <c r="C38" s="60">
        <v>36.770000000000003</v>
      </c>
      <c r="D38" s="60">
        <v>38.42</v>
      </c>
      <c r="E38" s="60">
        <v>6.18</v>
      </c>
      <c r="F38" s="60">
        <v>5.81</v>
      </c>
      <c r="G38" s="60">
        <v>90.03</v>
      </c>
      <c r="H38" s="60">
        <v>8.31</v>
      </c>
      <c r="I38" s="60">
        <v>3.99</v>
      </c>
      <c r="J38" s="60">
        <v>0.19</v>
      </c>
      <c r="K38" s="60">
        <v>274.74</v>
      </c>
      <c r="L38" s="60">
        <v>31.86</v>
      </c>
      <c r="M38" s="60">
        <v>56.41</v>
      </c>
      <c r="N38" s="60">
        <v>350.2</v>
      </c>
      <c r="O38" s="60">
        <v>0</v>
      </c>
      <c r="P38" s="60">
        <v>0.79</v>
      </c>
      <c r="Q38" s="60">
        <v>9.6199999999999992</v>
      </c>
      <c r="R38" s="198"/>
      <c r="S38" s="198"/>
      <c r="T38" s="198"/>
      <c r="U38" s="198"/>
    </row>
    <row r="39" spans="1:21" s="12" customFormat="1" x14ac:dyDescent="0.25">
      <c r="A39" s="63">
        <v>45814.322916666664</v>
      </c>
      <c r="B39" s="60">
        <v>19.97</v>
      </c>
      <c r="C39" s="60">
        <v>32.49</v>
      </c>
      <c r="D39" s="60">
        <v>31.53</v>
      </c>
      <c r="E39" s="60">
        <v>5.63</v>
      </c>
      <c r="F39" s="60">
        <v>6.44</v>
      </c>
      <c r="G39" s="60">
        <v>90.03</v>
      </c>
      <c r="H39" s="60">
        <v>8.31</v>
      </c>
      <c r="I39" s="60">
        <v>3.98</v>
      </c>
      <c r="J39" s="60">
        <v>0.13</v>
      </c>
      <c r="K39" s="60">
        <v>274.02999999999997</v>
      </c>
      <c r="L39" s="60">
        <v>31.75</v>
      </c>
      <c r="M39" s="60">
        <v>56.17</v>
      </c>
      <c r="N39" s="60">
        <v>415.3</v>
      </c>
      <c r="O39" s="60">
        <v>0</v>
      </c>
      <c r="P39" s="60">
        <v>0.76</v>
      </c>
      <c r="Q39" s="60">
        <v>9.6300000000000008</v>
      </c>
      <c r="R39" s="198"/>
      <c r="S39" s="198"/>
      <c r="T39" s="198"/>
      <c r="U39" s="198"/>
    </row>
    <row r="40" spans="1:21" s="12" customFormat="1" x14ac:dyDescent="0.25">
      <c r="A40" s="63">
        <v>45814.333333333336</v>
      </c>
      <c r="B40" s="60">
        <v>15.86</v>
      </c>
      <c r="C40" s="60">
        <v>29.8</v>
      </c>
      <c r="D40" s="60">
        <v>32.69</v>
      </c>
      <c r="E40" s="60">
        <v>5</v>
      </c>
      <c r="F40" s="60">
        <v>7.36</v>
      </c>
      <c r="G40" s="60">
        <v>84.45</v>
      </c>
      <c r="H40" s="60">
        <v>33.46</v>
      </c>
      <c r="I40" s="60">
        <v>4</v>
      </c>
      <c r="J40" s="60">
        <v>0.14000000000000001</v>
      </c>
      <c r="K40" s="60">
        <v>267.37</v>
      </c>
      <c r="L40" s="60">
        <v>31.04</v>
      </c>
      <c r="M40" s="60">
        <v>57.28</v>
      </c>
      <c r="N40" s="60">
        <v>468.2</v>
      </c>
      <c r="O40" s="60">
        <v>0</v>
      </c>
      <c r="P40" s="60">
        <v>0.72</v>
      </c>
      <c r="Q40" s="60">
        <v>9.61</v>
      </c>
      <c r="R40" s="198"/>
      <c r="S40" s="198"/>
      <c r="T40" s="198"/>
      <c r="U40" s="198"/>
    </row>
    <row r="41" spans="1:21" s="12" customFormat="1" x14ac:dyDescent="0.25">
      <c r="A41" s="63">
        <v>45814.34375</v>
      </c>
      <c r="B41" s="60">
        <v>17.89</v>
      </c>
      <c r="C41" s="60">
        <v>31.32</v>
      </c>
      <c r="D41" s="60">
        <v>32.49</v>
      </c>
      <c r="E41" s="60">
        <v>5.4</v>
      </c>
      <c r="F41" s="60">
        <v>4.72</v>
      </c>
      <c r="G41" s="60">
        <v>80.91</v>
      </c>
      <c r="H41" s="60">
        <v>48.73</v>
      </c>
      <c r="I41" s="60">
        <v>4.17</v>
      </c>
      <c r="J41" s="60">
        <v>0.32</v>
      </c>
      <c r="K41" s="60">
        <v>290.2</v>
      </c>
      <c r="L41" s="60">
        <v>32.909999999999997</v>
      </c>
      <c r="M41" s="60">
        <v>50.62</v>
      </c>
      <c r="N41" s="60">
        <v>528</v>
      </c>
      <c r="O41" s="60">
        <v>0</v>
      </c>
      <c r="P41" s="60">
        <v>0.72</v>
      </c>
      <c r="Q41" s="60">
        <v>9.6199999999999992</v>
      </c>
      <c r="R41" s="198"/>
      <c r="S41" s="198"/>
      <c r="T41" s="198"/>
      <c r="U41" s="198"/>
    </row>
    <row r="42" spans="1:21" s="12" customFormat="1" x14ac:dyDescent="0.25">
      <c r="A42" s="63">
        <v>45814.354166666664</v>
      </c>
      <c r="B42" s="60">
        <v>14.11</v>
      </c>
      <c r="C42" s="60">
        <v>29.15</v>
      </c>
      <c r="D42" s="60">
        <v>34.14</v>
      </c>
      <c r="E42" s="60">
        <v>5.16</v>
      </c>
      <c r="F42" s="60">
        <v>7.45</v>
      </c>
      <c r="G42" s="60">
        <v>80.91</v>
      </c>
      <c r="H42" s="60">
        <v>48.73</v>
      </c>
      <c r="I42" s="60">
        <v>3.9</v>
      </c>
      <c r="J42" s="60">
        <v>0.18</v>
      </c>
      <c r="K42" s="60">
        <v>264.63</v>
      </c>
      <c r="L42" s="60">
        <v>33.78</v>
      </c>
      <c r="M42" s="60">
        <v>48.63</v>
      </c>
      <c r="N42" s="60">
        <v>575.70000000000005</v>
      </c>
      <c r="O42" s="60">
        <v>0</v>
      </c>
      <c r="P42" s="60">
        <v>0.78</v>
      </c>
      <c r="Q42" s="60">
        <v>9.57</v>
      </c>
      <c r="R42" s="198"/>
      <c r="S42" s="198"/>
      <c r="T42" s="198"/>
      <c r="U42" s="198"/>
    </row>
    <row r="43" spans="1:21" s="12" customFormat="1" x14ac:dyDescent="0.25">
      <c r="A43" s="63">
        <v>45814.364583333336</v>
      </c>
      <c r="B43" s="60">
        <v>13.36</v>
      </c>
      <c r="C43" s="60">
        <v>30.03</v>
      </c>
      <c r="D43" s="60">
        <v>36.979999999999997</v>
      </c>
      <c r="E43" s="60">
        <v>5.6</v>
      </c>
      <c r="F43" s="60">
        <v>5.92</v>
      </c>
      <c r="G43" s="60">
        <v>80.91</v>
      </c>
      <c r="H43" s="60">
        <v>48.73</v>
      </c>
      <c r="I43" s="60">
        <v>4.0599999999999996</v>
      </c>
      <c r="J43" s="60">
        <v>0.32</v>
      </c>
      <c r="K43" s="60">
        <v>283.72000000000003</v>
      </c>
      <c r="L43" s="60">
        <v>34.69</v>
      </c>
      <c r="M43" s="60">
        <v>46.71</v>
      </c>
      <c r="N43" s="60">
        <v>611.70000000000005</v>
      </c>
      <c r="O43" s="60">
        <v>0</v>
      </c>
      <c r="P43" s="60">
        <v>0.83</v>
      </c>
      <c r="Q43" s="60">
        <v>9.58</v>
      </c>
      <c r="R43" s="198"/>
      <c r="S43" s="198"/>
      <c r="T43" s="198"/>
      <c r="U43" s="198"/>
    </row>
    <row r="44" spans="1:21" s="12" customFormat="1" x14ac:dyDescent="0.25">
      <c r="A44" s="63">
        <v>45814.375</v>
      </c>
      <c r="B44" s="60">
        <v>11.97</v>
      </c>
      <c r="C44" s="60">
        <v>27.71</v>
      </c>
      <c r="D44" s="60">
        <v>34.659999999999997</v>
      </c>
      <c r="E44" s="60">
        <v>4.96</v>
      </c>
      <c r="F44" s="60">
        <v>8.3000000000000007</v>
      </c>
      <c r="G44" s="60">
        <v>78.12</v>
      </c>
      <c r="H44" s="60">
        <v>86.45</v>
      </c>
      <c r="I44" s="60">
        <v>4.08</v>
      </c>
      <c r="J44" s="60">
        <v>0.17</v>
      </c>
      <c r="K44" s="60">
        <v>263.33</v>
      </c>
      <c r="L44" s="60">
        <v>35.22</v>
      </c>
      <c r="M44" s="60">
        <v>44.86</v>
      </c>
      <c r="N44" s="60">
        <v>637.4</v>
      </c>
      <c r="O44" s="60">
        <v>0</v>
      </c>
      <c r="P44" s="60">
        <v>0.85</v>
      </c>
      <c r="Q44" s="60">
        <v>9.5399999999999991</v>
      </c>
      <c r="R44" s="198"/>
      <c r="S44" s="198"/>
      <c r="T44" s="198"/>
      <c r="U44" s="198"/>
    </row>
    <row r="45" spans="1:21" s="12" customFormat="1" x14ac:dyDescent="0.25">
      <c r="A45" s="63">
        <v>45814.385416666664</v>
      </c>
      <c r="B45" s="60">
        <v>10.77</v>
      </c>
      <c r="C45" s="60">
        <v>29.97</v>
      </c>
      <c r="D45" s="60">
        <v>40.840000000000003</v>
      </c>
      <c r="E45" s="60">
        <v>5.3</v>
      </c>
      <c r="F45" s="60">
        <v>5.86</v>
      </c>
      <c r="G45" s="60">
        <v>76.430000000000007</v>
      </c>
      <c r="H45" s="60">
        <v>109.35</v>
      </c>
      <c r="I45" s="60">
        <v>3.97</v>
      </c>
      <c r="J45" s="60">
        <v>0.21</v>
      </c>
      <c r="K45" s="60">
        <v>272.06</v>
      </c>
      <c r="L45" s="60">
        <v>34.32</v>
      </c>
      <c r="M45" s="60">
        <v>46.69</v>
      </c>
      <c r="N45" s="60">
        <v>674.3</v>
      </c>
      <c r="O45" s="60">
        <v>0</v>
      </c>
      <c r="P45" s="60">
        <v>0.9</v>
      </c>
      <c r="Q45" s="60">
        <v>9.51</v>
      </c>
      <c r="R45" s="198"/>
      <c r="S45" s="198"/>
      <c r="T45" s="198"/>
      <c r="U45" s="198"/>
    </row>
    <row r="46" spans="1:21" s="12" customFormat="1" x14ac:dyDescent="0.25">
      <c r="A46" s="63">
        <v>45814.395833333336</v>
      </c>
      <c r="B46" s="60">
        <v>9.3699999999999992</v>
      </c>
      <c r="C46" s="60">
        <v>26.6</v>
      </c>
      <c r="D46" s="60">
        <v>36.520000000000003</v>
      </c>
      <c r="E46" s="60">
        <v>5.91</v>
      </c>
      <c r="F46" s="60">
        <v>7.92</v>
      </c>
      <c r="G46" s="60">
        <v>76.430000000000007</v>
      </c>
      <c r="H46" s="60">
        <v>109.35</v>
      </c>
      <c r="I46" s="60">
        <v>4.01</v>
      </c>
      <c r="J46" s="60">
        <v>0.22</v>
      </c>
      <c r="K46" s="60">
        <v>252.41</v>
      </c>
      <c r="L46" s="60">
        <v>34.04</v>
      </c>
      <c r="M46" s="60">
        <v>45.86</v>
      </c>
      <c r="N46" s="60">
        <v>709.7</v>
      </c>
      <c r="O46" s="60">
        <v>0</v>
      </c>
      <c r="P46" s="60">
        <v>0.89</v>
      </c>
      <c r="Q46" s="60">
        <v>9.4499999999999993</v>
      </c>
      <c r="R46" s="198"/>
      <c r="S46" s="198"/>
      <c r="T46" s="198"/>
      <c r="U46" s="198"/>
    </row>
    <row r="47" spans="1:21" s="12" customFormat="1" x14ac:dyDescent="0.25">
      <c r="A47" s="63">
        <v>45814.40625</v>
      </c>
      <c r="B47" s="60">
        <v>8.5299999999999994</v>
      </c>
      <c r="C47" s="60">
        <v>28.21</v>
      </c>
      <c r="D47" s="60">
        <v>40.9</v>
      </c>
      <c r="E47" s="60">
        <v>6.1</v>
      </c>
      <c r="F47" s="60">
        <v>15.26</v>
      </c>
      <c r="G47" s="60">
        <v>76.430000000000007</v>
      </c>
      <c r="H47" s="60">
        <v>109.35</v>
      </c>
      <c r="I47" s="60">
        <v>3.88</v>
      </c>
      <c r="J47" s="60">
        <v>0.41</v>
      </c>
      <c r="K47" s="60">
        <v>304.85000000000002</v>
      </c>
      <c r="L47" s="60">
        <v>36.4</v>
      </c>
      <c r="M47" s="60">
        <v>39.409999999999997</v>
      </c>
      <c r="N47" s="60">
        <v>736.6</v>
      </c>
      <c r="O47" s="60">
        <v>0</v>
      </c>
      <c r="P47" s="60">
        <v>1.08</v>
      </c>
      <c r="Q47" s="60">
        <v>9.41</v>
      </c>
      <c r="R47" s="198"/>
      <c r="S47" s="198"/>
      <c r="T47" s="198"/>
      <c r="U47" s="198"/>
    </row>
    <row r="48" spans="1:21" s="12" customFormat="1" x14ac:dyDescent="0.25">
      <c r="A48" s="63">
        <v>45814.416666666664</v>
      </c>
      <c r="B48" s="60">
        <v>7.25</v>
      </c>
      <c r="C48" s="60">
        <v>26.66</v>
      </c>
      <c r="D48" s="60">
        <v>39.880000000000003</v>
      </c>
      <c r="E48" s="60">
        <v>8.6300000000000008</v>
      </c>
      <c r="F48" s="60">
        <v>16.989999999999998</v>
      </c>
      <c r="G48" s="60">
        <v>74.38</v>
      </c>
      <c r="H48" s="60">
        <v>43.88</v>
      </c>
      <c r="I48" s="60">
        <v>3.89</v>
      </c>
      <c r="J48" s="60">
        <v>0.21</v>
      </c>
      <c r="K48" s="60">
        <v>272.16000000000003</v>
      </c>
      <c r="L48" s="60">
        <v>36.25</v>
      </c>
      <c r="M48" s="60">
        <v>38.49</v>
      </c>
      <c r="N48" s="60">
        <v>772.9</v>
      </c>
      <c r="O48" s="60">
        <v>0</v>
      </c>
      <c r="P48" s="60">
        <v>1.08</v>
      </c>
      <c r="Q48" s="60">
        <v>9.39</v>
      </c>
      <c r="R48" s="198"/>
      <c r="S48" s="198"/>
      <c r="T48" s="198"/>
      <c r="U48" s="198"/>
    </row>
    <row r="49" spans="1:21" s="12" customFormat="1" x14ac:dyDescent="0.25">
      <c r="A49" s="63">
        <v>45814.427083333336</v>
      </c>
      <c r="B49" s="60">
        <v>7.25</v>
      </c>
      <c r="C49" s="60">
        <v>26.88</v>
      </c>
      <c r="D49" s="60">
        <v>40.340000000000003</v>
      </c>
      <c r="E49" s="60">
        <v>9.57</v>
      </c>
      <c r="F49" s="60">
        <v>16.93</v>
      </c>
      <c r="G49" s="60">
        <v>73.13</v>
      </c>
      <c r="H49" s="60">
        <v>4.13</v>
      </c>
      <c r="I49" s="60">
        <v>3.86</v>
      </c>
      <c r="J49" s="60">
        <v>0.27</v>
      </c>
      <c r="K49" s="60">
        <v>291.72000000000003</v>
      </c>
      <c r="L49" s="60">
        <v>36.11</v>
      </c>
      <c r="M49" s="60">
        <v>38.229999999999997</v>
      </c>
      <c r="N49" s="60">
        <v>803.9</v>
      </c>
      <c r="O49" s="60">
        <v>0</v>
      </c>
      <c r="P49" s="60">
        <v>1.06</v>
      </c>
      <c r="Q49" s="60">
        <v>9.3699999999999992</v>
      </c>
      <c r="R49" s="198"/>
      <c r="S49" s="198"/>
      <c r="T49" s="198"/>
      <c r="U49" s="198"/>
    </row>
    <row r="50" spans="1:21" s="12" customFormat="1" x14ac:dyDescent="0.25">
      <c r="A50" s="63">
        <v>45814.4375</v>
      </c>
      <c r="B50" s="60">
        <v>6.66</v>
      </c>
      <c r="C50" s="60">
        <v>25.75</v>
      </c>
      <c r="D50" s="60">
        <v>39.07</v>
      </c>
      <c r="E50" s="60">
        <v>9.51</v>
      </c>
      <c r="F50" s="60">
        <v>13.01</v>
      </c>
      <c r="G50" s="60">
        <v>73.13</v>
      </c>
      <c r="H50" s="60">
        <v>4.13</v>
      </c>
      <c r="I50" s="60">
        <v>3.91</v>
      </c>
      <c r="J50" s="60">
        <v>0.56000000000000005</v>
      </c>
      <c r="K50" s="60">
        <v>316.2</v>
      </c>
      <c r="L50" s="60">
        <v>38.270000000000003</v>
      </c>
      <c r="M50" s="60">
        <v>35.200000000000003</v>
      </c>
      <c r="N50" s="60">
        <v>816.1</v>
      </c>
      <c r="O50" s="60">
        <v>0</v>
      </c>
      <c r="P50" s="60">
        <v>1.03</v>
      </c>
      <c r="Q50" s="60">
        <v>9.35</v>
      </c>
      <c r="R50" s="198"/>
      <c r="S50" s="198"/>
      <c r="T50" s="198"/>
      <c r="U50" s="198"/>
    </row>
    <row r="51" spans="1:21" s="12" customFormat="1" x14ac:dyDescent="0.25">
      <c r="A51" s="63">
        <v>45814.447916666664</v>
      </c>
      <c r="B51" s="60">
        <v>5.77</v>
      </c>
      <c r="C51" s="60">
        <v>24.65</v>
      </c>
      <c r="D51" s="60">
        <v>38.33</v>
      </c>
      <c r="E51" s="60">
        <v>9.7100000000000009</v>
      </c>
      <c r="F51" s="60">
        <v>15.11</v>
      </c>
      <c r="G51" s="60">
        <v>73.13</v>
      </c>
      <c r="H51" s="60">
        <v>4.13</v>
      </c>
      <c r="I51" s="60">
        <v>3.93</v>
      </c>
      <c r="J51" s="60">
        <v>0.28999999999999998</v>
      </c>
      <c r="K51" s="60">
        <v>287.07</v>
      </c>
      <c r="L51" s="60">
        <v>36.04</v>
      </c>
      <c r="M51" s="60">
        <v>37.4</v>
      </c>
      <c r="N51" s="60">
        <v>853.1</v>
      </c>
      <c r="O51" s="60">
        <v>0</v>
      </c>
      <c r="P51" s="60">
        <v>0.99</v>
      </c>
      <c r="Q51" s="60">
        <v>9.33</v>
      </c>
      <c r="R51" s="198"/>
      <c r="S51" s="198"/>
      <c r="T51" s="198"/>
      <c r="U51" s="198"/>
    </row>
    <row r="52" spans="1:21" s="12" customFormat="1" x14ac:dyDescent="0.25">
      <c r="A52" s="63">
        <v>45814.458333333336</v>
      </c>
      <c r="B52" s="60">
        <v>5.66</v>
      </c>
      <c r="C52" s="60">
        <v>27.11</v>
      </c>
      <c r="D52" s="60">
        <v>43.21</v>
      </c>
      <c r="E52" s="60">
        <v>11.69</v>
      </c>
      <c r="F52" s="60">
        <v>17.11</v>
      </c>
      <c r="G52" s="60">
        <v>65.900000000000006</v>
      </c>
      <c r="H52" s="60">
        <v>26.55</v>
      </c>
      <c r="I52" s="60">
        <v>3.99</v>
      </c>
      <c r="J52" s="60">
        <v>0.36</v>
      </c>
      <c r="K52" s="60">
        <v>304.49</v>
      </c>
      <c r="L52" s="60">
        <v>38.22</v>
      </c>
      <c r="M52" s="60">
        <v>34.71</v>
      </c>
      <c r="N52" s="60">
        <v>860.2</v>
      </c>
      <c r="O52" s="60">
        <v>0</v>
      </c>
      <c r="P52" s="60">
        <v>1.03</v>
      </c>
      <c r="Q52" s="60">
        <v>9.32</v>
      </c>
      <c r="R52" s="198"/>
      <c r="S52" s="198"/>
      <c r="T52" s="198"/>
      <c r="U52" s="198"/>
    </row>
    <row r="53" spans="1:21" s="12" customFormat="1" x14ac:dyDescent="0.25">
      <c r="A53" s="63">
        <v>45814.46875</v>
      </c>
      <c r="B53" s="60">
        <v>6.33</v>
      </c>
      <c r="C53" s="60">
        <v>29.07</v>
      </c>
      <c r="D53" s="60">
        <v>45.93</v>
      </c>
      <c r="E53" s="60">
        <v>15.5</v>
      </c>
      <c r="F53" s="60">
        <v>27.07</v>
      </c>
      <c r="G53" s="60">
        <v>61.52</v>
      </c>
      <c r="H53" s="60">
        <v>40.17</v>
      </c>
      <c r="I53" s="60">
        <v>3.84</v>
      </c>
      <c r="J53" s="60">
        <v>0.45</v>
      </c>
      <c r="K53" s="60">
        <v>324.23</v>
      </c>
      <c r="L53" s="60">
        <v>39.39</v>
      </c>
      <c r="M53" s="60">
        <v>31.79</v>
      </c>
      <c r="N53" s="60">
        <v>884.5</v>
      </c>
      <c r="O53" s="60">
        <v>0</v>
      </c>
      <c r="P53" s="60">
        <v>1.01</v>
      </c>
      <c r="Q53" s="60">
        <v>9.32</v>
      </c>
      <c r="R53" s="198"/>
      <c r="S53" s="198"/>
      <c r="T53" s="198"/>
      <c r="U53" s="198"/>
    </row>
    <row r="54" spans="1:21" s="12" customFormat="1" x14ac:dyDescent="0.25">
      <c r="A54" s="63">
        <v>45814.479166666664</v>
      </c>
      <c r="B54" s="60">
        <v>6</v>
      </c>
      <c r="C54" s="60">
        <v>28.64</v>
      </c>
      <c r="D54" s="60">
        <v>45.62</v>
      </c>
      <c r="E54" s="60">
        <v>14.48</v>
      </c>
      <c r="F54" s="60">
        <v>18.93</v>
      </c>
      <c r="G54" s="60">
        <v>61.52</v>
      </c>
      <c r="H54" s="60">
        <v>40.17</v>
      </c>
      <c r="I54" s="60">
        <v>3.96</v>
      </c>
      <c r="J54" s="60">
        <v>0.23</v>
      </c>
      <c r="K54" s="60">
        <v>281.89</v>
      </c>
      <c r="L54" s="60">
        <v>38.08</v>
      </c>
      <c r="M54" s="60">
        <v>33.32</v>
      </c>
      <c r="N54" s="60">
        <v>891.6</v>
      </c>
      <c r="O54" s="60">
        <v>0</v>
      </c>
      <c r="P54" s="60">
        <v>0.98</v>
      </c>
      <c r="Q54" s="60">
        <v>9.32</v>
      </c>
      <c r="R54" s="198"/>
      <c r="S54" s="198"/>
      <c r="T54" s="198"/>
      <c r="U54" s="198"/>
    </row>
    <row r="55" spans="1:21" s="12" customFormat="1" x14ac:dyDescent="0.25">
      <c r="A55" s="63">
        <v>45814.489583333336</v>
      </c>
      <c r="B55" s="60">
        <v>4.74</v>
      </c>
      <c r="C55" s="60">
        <v>24.51</v>
      </c>
      <c r="D55" s="60">
        <v>39.64</v>
      </c>
      <c r="E55" s="60">
        <v>10.31</v>
      </c>
      <c r="F55" s="60">
        <v>14.81</v>
      </c>
      <c r="G55" s="60">
        <v>61.52</v>
      </c>
      <c r="H55" s="60">
        <v>40.17</v>
      </c>
      <c r="I55" s="60">
        <v>3.9</v>
      </c>
      <c r="J55" s="60">
        <v>0.56000000000000005</v>
      </c>
      <c r="K55" s="60">
        <v>315.99</v>
      </c>
      <c r="L55" s="60">
        <v>38.57</v>
      </c>
      <c r="M55" s="60">
        <v>33.159999999999997</v>
      </c>
      <c r="N55" s="60">
        <v>891.5</v>
      </c>
      <c r="O55" s="60">
        <v>0</v>
      </c>
      <c r="P55" s="60">
        <v>0.94</v>
      </c>
      <c r="Q55" s="60">
        <v>9.32</v>
      </c>
      <c r="R55" s="198"/>
      <c r="S55" s="198"/>
      <c r="T55" s="198"/>
      <c r="U55" s="198"/>
    </row>
    <row r="56" spans="1:21" s="12" customFormat="1" x14ac:dyDescent="0.25">
      <c r="A56" s="63">
        <v>45814.5</v>
      </c>
      <c r="B56" s="60">
        <v>4.58</v>
      </c>
      <c r="C56" s="60">
        <v>24.38</v>
      </c>
      <c r="D56" s="60">
        <v>39.630000000000003</v>
      </c>
      <c r="E56" s="60">
        <v>11.94</v>
      </c>
      <c r="F56" s="60">
        <v>26.91</v>
      </c>
      <c r="G56" s="60">
        <v>69.680000000000007</v>
      </c>
      <c r="H56" s="60">
        <v>33.049999999999997</v>
      </c>
      <c r="I56" s="60">
        <v>4.04</v>
      </c>
      <c r="J56" s="60">
        <v>0.48</v>
      </c>
      <c r="K56" s="60">
        <v>331.65</v>
      </c>
      <c r="L56" s="60">
        <v>39.520000000000003</v>
      </c>
      <c r="M56" s="60">
        <v>29.98</v>
      </c>
      <c r="N56" s="60">
        <v>918.2</v>
      </c>
      <c r="O56" s="60">
        <v>0</v>
      </c>
      <c r="P56" s="60">
        <v>0.78</v>
      </c>
      <c r="Q56" s="60">
        <v>9.3000000000000007</v>
      </c>
      <c r="R56" s="198"/>
      <c r="S56" s="198"/>
      <c r="T56" s="198"/>
      <c r="U56" s="198"/>
    </row>
    <row r="57" spans="1:21" s="12" customFormat="1" x14ac:dyDescent="0.25">
      <c r="A57" s="63">
        <v>45814.510416666664</v>
      </c>
      <c r="B57" s="60">
        <v>4.75</v>
      </c>
      <c r="C57" s="60">
        <v>23.62</v>
      </c>
      <c r="D57" s="60">
        <v>37.92</v>
      </c>
      <c r="E57" s="60">
        <v>9.4</v>
      </c>
      <c r="F57" s="60">
        <v>19.52</v>
      </c>
      <c r="G57" s="60">
        <v>74.63</v>
      </c>
      <c r="H57" s="60">
        <v>28.73</v>
      </c>
      <c r="I57" s="60">
        <v>4.13</v>
      </c>
      <c r="J57" s="60">
        <v>0.17</v>
      </c>
      <c r="K57" s="60">
        <v>284.89</v>
      </c>
      <c r="L57" s="60">
        <v>39.03</v>
      </c>
      <c r="M57" s="60">
        <v>28.87</v>
      </c>
      <c r="N57" s="60">
        <v>875.7</v>
      </c>
      <c r="O57" s="60">
        <v>0</v>
      </c>
      <c r="P57" s="60">
        <v>0.75</v>
      </c>
      <c r="Q57" s="60">
        <v>9.2899999999999991</v>
      </c>
      <c r="R57" s="198"/>
      <c r="S57" s="198"/>
      <c r="T57" s="198"/>
      <c r="U57" s="198"/>
    </row>
    <row r="58" spans="1:21" s="12" customFormat="1" x14ac:dyDescent="0.25">
      <c r="A58" s="63">
        <v>45814.520833333336</v>
      </c>
      <c r="B58" s="60">
        <v>5.12</v>
      </c>
      <c r="C58" s="60">
        <v>23.89</v>
      </c>
      <c r="D58" s="60">
        <v>37.869999999999997</v>
      </c>
      <c r="E58" s="60">
        <v>9.69</v>
      </c>
      <c r="F58" s="60">
        <v>20.76</v>
      </c>
      <c r="G58" s="60">
        <v>74.63</v>
      </c>
      <c r="H58" s="60">
        <v>28.73</v>
      </c>
      <c r="I58" s="60">
        <v>3.96</v>
      </c>
      <c r="J58" s="60">
        <v>0.34</v>
      </c>
      <c r="K58" s="60">
        <v>321.99</v>
      </c>
      <c r="L58" s="60">
        <v>38.450000000000003</v>
      </c>
      <c r="M58" s="60">
        <v>28.9</v>
      </c>
      <c r="N58" s="60">
        <v>887.8</v>
      </c>
      <c r="O58" s="60">
        <v>0</v>
      </c>
      <c r="P58" s="60">
        <v>0.68</v>
      </c>
      <c r="Q58" s="60">
        <v>9.2799999999999994</v>
      </c>
      <c r="R58" s="198"/>
      <c r="S58" s="198"/>
      <c r="T58" s="198"/>
      <c r="U58" s="198"/>
    </row>
    <row r="59" spans="1:21" s="12" customFormat="1" x14ac:dyDescent="0.25">
      <c r="A59" s="63">
        <v>45814.53125</v>
      </c>
      <c r="B59" s="60">
        <v>4.7300000000000004</v>
      </c>
      <c r="C59" s="60">
        <v>21.72</v>
      </c>
      <c r="D59" s="60">
        <v>34.32</v>
      </c>
      <c r="E59" s="60">
        <v>8.15</v>
      </c>
      <c r="F59" s="60">
        <v>23.41</v>
      </c>
      <c r="G59" s="60">
        <v>74.63</v>
      </c>
      <c r="H59" s="60">
        <v>28.73</v>
      </c>
      <c r="I59" s="60">
        <v>3.99</v>
      </c>
      <c r="J59" s="60">
        <v>0.4</v>
      </c>
      <c r="K59" s="60">
        <v>320.26</v>
      </c>
      <c r="L59" s="60">
        <v>39.229999999999997</v>
      </c>
      <c r="M59" s="60">
        <v>28.25</v>
      </c>
      <c r="N59" s="60">
        <v>849.6</v>
      </c>
      <c r="O59" s="60">
        <v>0</v>
      </c>
      <c r="P59" s="60">
        <v>0.6</v>
      </c>
      <c r="Q59" s="60">
        <v>9.2799999999999994</v>
      </c>
      <c r="R59" s="198"/>
      <c r="S59" s="198"/>
      <c r="T59" s="198"/>
      <c r="U59" s="198"/>
    </row>
    <row r="60" spans="1:21" s="12" customFormat="1" x14ac:dyDescent="0.25">
      <c r="A60" s="63">
        <v>45814.541666666664</v>
      </c>
      <c r="B60" s="60">
        <v>5.54</v>
      </c>
      <c r="C60" s="60">
        <v>23.89</v>
      </c>
      <c r="D60" s="60">
        <v>37.229999999999997</v>
      </c>
      <c r="E60" s="60">
        <v>11.76</v>
      </c>
      <c r="F60" s="60">
        <v>26.14</v>
      </c>
      <c r="G60" s="60">
        <v>55.41</v>
      </c>
      <c r="H60" s="60">
        <v>23.84</v>
      </c>
      <c r="I60" s="60">
        <v>3.92</v>
      </c>
      <c r="J60" s="60">
        <v>0.18</v>
      </c>
      <c r="K60" s="60">
        <v>335.5</v>
      </c>
      <c r="L60" s="60">
        <v>38.479999999999997</v>
      </c>
      <c r="M60" s="60">
        <v>28.35</v>
      </c>
      <c r="N60" s="60">
        <v>571.4</v>
      </c>
      <c r="O60" s="60">
        <v>0</v>
      </c>
      <c r="P60" s="60">
        <v>0.54</v>
      </c>
      <c r="Q60" s="60">
        <v>9.27</v>
      </c>
      <c r="R60" s="198"/>
      <c r="S60" s="198"/>
      <c r="T60" s="198"/>
      <c r="U60" s="198"/>
    </row>
    <row r="61" spans="1:21" s="12" customFormat="1" x14ac:dyDescent="0.25">
      <c r="A61" s="63">
        <v>45814.552083333336</v>
      </c>
      <c r="B61" s="60">
        <v>5.14</v>
      </c>
      <c r="C61" s="60">
        <v>25.17</v>
      </c>
      <c r="D61" s="60">
        <v>40.29</v>
      </c>
      <c r="E61" s="60">
        <v>8.27</v>
      </c>
      <c r="F61" s="60">
        <v>15.9</v>
      </c>
      <c r="G61" s="60">
        <v>43.75</v>
      </c>
      <c r="H61" s="60">
        <v>20.88</v>
      </c>
      <c r="I61" s="60">
        <v>3.96</v>
      </c>
      <c r="J61" s="60">
        <v>0.23</v>
      </c>
      <c r="K61" s="60">
        <v>232.93</v>
      </c>
      <c r="L61" s="60">
        <v>38.65</v>
      </c>
      <c r="M61" s="60">
        <v>26.5</v>
      </c>
      <c r="N61" s="60">
        <v>676.9</v>
      </c>
      <c r="O61" s="60">
        <v>0</v>
      </c>
      <c r="P61" s="60">
        <v>0.53</v>
      </c>
      <c r="Q61" s="60">
        <v>9.27</v>
      </c>
      <c r="R61" s="198"/>
      <c r="S61" s="198"/>
      <c r="T61" s="198"/>
      <c r="U61" s="198"/>
    </row>
    <row r="62" spans="1:21" s="12" customFormat="1" x14ac:dyDescent="0.25">
      <c r="A62" s="63">
        <v>45814.5625</v>
      </c>
      <c r="B62" s="60">
        <v>4.72</v>
      </c>
      <c r="C62" s="60">
        <v>20.88</v>
      </c>
      <c r="D62" s="60">
        <v>32.72</v>
      </c>
      <c r="E62" s="60">
        <v>7.13</v>
      </c>
      <c r="F62" s="60">
        <v>19.309999999999999</v>
      </c>
      <c r="G62" s="60">
        <v>43.75</v>
      </c>
      <c r="H62" s="60">
        <v>20.88</v>
      </c>
      <c r="I62" s="60">
        <v>3.75</v>
      </c>
      <c r="J62" s="60">
        <v>0.1</v>
      </c>
      <c r="K62" s="60">
        <v>293.95</v>
      </c>
      <c r="L62" s="60">
        <v>37.58</v>
      </c>
      <c r="M62" s="60">
        <v>28.16</v>
      </c>
      <c r="N62" s="60">
        <v>412.5</v>
      </c>
      <c r="O62" s="60">
        <v>0</v>
      </c>
      <c r="P62" s="60">
        <v>0.45</v>
      </c>
      <c r="Q62" s="60">
        <v>9.26</v>
      </c>
      <c r="R62" s="198"/>
      <c r="S62" s="198"/>
      <c r="T62" s="198"/>
      <c r="U62" s="198"/>
    </row>
    <row r="63" spans="1:21" s="12" customFormat="1" x14ac:dyDescent="0.25">
      <c r="A63" s="63">
        <v>45814.572916666664</v>
      </c>
      <c r="B63" s="60">
        <v>5.4</v>
      </c>
      <c r="C63" s="60">
        <v>20.81</v>
      </c>
      <c r="D63" s="60">
        <v>31.53</v>
      </c>
      <c r="E63" s="60">
        <v>6.13</v>
      </c>
      <c r="F63" s="60">
        <v>22.56</v>
      </c>
      <c r="G63" s="60">
        <v>43.75</v>
      </c>
      <c r="H63" s="60">
        <v>20.88</v>
      </c>
      <c r="I63" s="60">
        <v>4.08</v>
      </c>
      <c r="J63" s="60">
        <v>7.0000000000000007E-2</v>
      </c>
      <c r="K63" s="60">
        <v>304.27</v>
      </c>
      <c r="L63" s="60">
        <v>38.020000000000003</v>
      </c>
      <c r="M63" s="60">
        <v>26.52</v>
      </c>
      <c r="N63" s="60">
        <v>427.9</v>
      </c>
      <c r="O63" s="60">
        <v>0</v>
      </c>
      <c r="P63" s="60">
        <v>0.37</v>
      </c>
      <c r="Q63" s="60">
        <v>9.25</v>
      </c>
      <c r="R63" s="198"/>
      <c r="S63" s="198"/>
      <c r="T63" s="198"/>
      <c r="U63" s="198"/>
    </row>
    <row r="64" spans="1:21" s="12" customFormat="1" x14ac:dyDescent="0.25">
      <c r="A64" s="63">
        <v>45814.583333333336</v>
      </c>
      <c r="B64" s="60">
        <v>4.5199999999999996</v>
      </c>
      <c r="C64" s="60">
        <v>18.59</v>
      </c>
      <c r="D64" s="60">
        <v>28.63</v>
      </c>
      <c r="E64" s="60">
        <v>7.1</v>
      </c>
      <c r="F64" s="60">
        <v>19.11</v>
      </c>
      <c r="G64" s="60">
        <v>55.76</v>
      </c>
      <c r="H64" s="60">
        <v>0.16</v>
      </c>
      <c r="I64" s="60">
        <v>3.94</v>
      </c>
      <c r="J64" s="60">
        <v>0.15</v>
      </c>
      <c r="K64" s="60">
        <v>287.58999999999997</v>
      </c>
      <c r="L64" s="60">
        <v>37.76</v>
      </c>
      <c r="M64" s="60">
        <v>27.73</v>
      </c>
      <c r="N64" s="60">
        <v>347.4</v>
      </c>
      <c r="O64" s="60">
        <v>0</v>
      </c>
      <c r="P64" s="60">
        <v>0.36</v>
      </c>
      <c r="Q64" s="60">
        <v>9.25</v>
      </c>
      <c r="R64" s="198"/>
      <c r="S64" s="198"/>
      <c r="T64" s="198"/>
      <c r="U64" s="198"/>
    </row>
    <row r="65" spans="1:21" s="12" customFormat="1" x14ac:dyDescent="0.25">
      <c r="A65" s="63">
        <v>45814.59375</v>
      </c>
      <c r="B65" s="60">
        <v>4.1900000000000004</v>
      </c>
      <c r="C65" s="60">
        <v>19.32</v>
      </c>
      <c r="D65" s="60">
        <v>30.55</v>
      </c>
      <c r="E65" s="60">
        <v>6.99</v>
      </c>
      <c r="F65" s="60">
        <v>17.5</v>
      </c>
      <c r="G65" s="60">
        <v>63.06</v>
      </c>
      <c r="H65" s="60">
        <v>-12.42</v>
      </c>
      <c r="I65" s="60">
        <v>4.01</v>
      </c>
      <c r="J65" s="60">
        <v>0.27</v>
      </c>
      <c r="K65" s="60">
        <v>287.87</v>
      </c>
      <c r="L65" s="60">
        <v>37.700000000000003</v>
      </c>
      <c r="M65" s="60">
        <v>27.62</v>
      </c>
      <c r="N65" s="60">
        <v>524.5</v>
      </c>
      <c r="O65" s="60">
        <v>0</v>
      </c>
      <c r="P65" s="60">
        <v>0.4</v>
      </c>
      <c r="Q65" s="60">
        <v>9.25</v>
      </c>
      <c r="R65" s="198"/>
      <c r="S65" s="198"/>
      <c r="T65" s="198"/>
      <c r="U65" s="198"/>
    </row>
    <row r="66" spans="1:21" s="12" customFormat="1" x14ac:dyDescent="0.25">
      <c r="A66" s="63">
        <v>45814.604166666664</v>
      </c>
      <c r="B66" s="60">
        <v>4.08</v>
      </c>
      <c r="C66" s="60">
        <v>18.170000000000002</v>
      </c>
      <c r="D66" s="60">
        <v>28.51</v>
      </c>
      <c r="E66" s="60">
        <v>7.16</v>
      </c>
      <c r="F66" s="60">
        <v>17.97</v>
      </c>
      <c r="G66" s="60">
        <v>63.06</v>
      </c>
      <c r="H66" s="60">
        <v>-12.42</v>
      </c>
      <c r="I66" s="60">
        <v>4.13</v>
      </c>
      <c r="J66" s="60">
        <v>0.3</v>
      </c>
      <c r="K66" s="60">
        <v>305.52</v>
      </c>
      <c r="L66" s="60">
        <v>37.85</v>
      </c>
      <c r="M66" s="60">
        <v>27.47</v>
      </c>
      <c r="N66" s="60">
        <v>296.5</v>
      </c>
      <c r="O66" s="60">
        <v>0</v>
      </c>
      <c r="P66" s="60">
        <v>0.39</v>
      </c>
      <c r="Q66" s="60">
        <v>9.26</v>
      </c>
      <c r="R66" s="198"/>
      <c r="S66" s="198"/>
      <c r="T66" s="198"/>
      <c r="U66" s="198"/>
    </row>
    <row r="67" spans="1:21" s="12" customFormat="1" x14ac:dyDescent="0.25">
      <c r="A67" s="63">
        <v>45814.614583333336</v>
      </c>
      <c r="B67" s="60">
        <v>4.3099999999999996</v>
      </c>
      <c r="C67" s="60">
        <v>18.18</v>
      </c>
      <c r="D67" s="60">
        <v>28.18</v>
      </c>
      <c r="E67" s="60">
        <v>7.52</v>
      </c>
      <c r="F67" s="60">
        <v>14.96</v>
      </c>
      <c r="G67" s="60">
        <v>63.06</v>
      </c>
      <c r="H67" s="60">
        <v>-12.42</v>
      </c>
      <c r="I67" s="60">
        <v>4.04</v>
      </c>
      <c r="J67" s="60">
        <v>0.31</v>
      </c>
      <c r="K67" s="60">
        <v>292.13</v>
      </c>
      <c r="L67" s="60">
        <v>37.659999999999997</v>
      </c>
      <c r="M67" s="60">
        <v>27.39</v>
      </c>
      <c r="N67" s="60">
        <v>343.8</v>
      </c>
      <c r="O67" s="60">
        <v>0</v>
      </c>
      <c r="P67" s="60">
        <v>0.38</v>
      </c>
      <c r="Q67" s="60">
        <v>9.27</v>
      </c>
      <c r="R67" s="198"/>
      <c r="S67" s="198"/>
      <c r="T67" s="198"/>
      <c r="U67" s="198"/>
    </row>
    <row r="68" spans="1:21" s="12" customFormat="1" x14ac:dyDescent="0.25">
      <c r="A68" s="63">
        <v>45814.625</v>
      </c>
      <c r="B68" s="60">
        <v>4.21</v>
      </c>
      <c r="C68" s="60">
        <v>19.73</v>
      </c>
      <c r="D68" s="60">
        <v>31.3</v>
      </c>
      <c r="E68" s="60">
        <v>6.51</v>
      </c>
      <c r="F68" s="60">
        <v>11.06</v>
      </c>
      <c r="G68" s="60">
        <v>60.57</v>
      </c>
      <c r="H68" s="60">
        <v>5.1100000000000003</v>
      </c>
      <c r="I68" s="60">
        <v>3.96</v>
      </c>
      <c r="J68" s="60">
        <v>0.27</v>
      </c>
      <c r="K68" s="60">
        <v>281.82</v>
      </c>
      <c r="L68" s="60">
        <v>37.65</v>
      </c>
      <c r="M68" s="60">
        <v>27.23</v>
      </c>
      <c r="N68" s="60">
        <v>339.9</v>
      </c>
      <c r="O68" s="60">
        <v>0</v>
      </c>
      <c r="P68" s="60">
        <v>0.39</v>
      </c>
      <c r="Q68" s="60">
        <v>9.2799999999999994</v>
      </c>
      <c r="R68" s="198"/>
      <c r="S68" s="198"/>
      <c r="T68" s="198"/>
      <c r="U68" s="198"/>
    </row>
    <row r="69" spans="1:21" s="12" customFormat="1" x14ac:dyDescent="0.25">
      <c r="A69" s="63">
        <v>45814.635416666664</v>
      </c>
      <c r="B69" s="60">
        <v>4.45</v>
      </c>
      <c r="C69" s="60">
        <v>21.69</v>
      </c>
      <c r="D69" s="60">
        <v>34.700000000000003</v>
      </c>
      <c r="E69" s="60">
        <v>7.25</v>
      </c>
      <c r="F69" s="60">
        <v>17.510000000000002</v>
      </c>
      <c r="G69" s="60">
        <v>59.06</v>
      </c>
      <c r="H69" s="60">
        <v>15.76</v>
      </c>
      <c r="I69" s="60">
        <v>3.83</v>
      </c>
      <c r="J69" s="60">
        <v>0.2</v>
      </c>
      <c r="K69" s="60">
        <v>282.74</v>
      </c>
      <c r="L69" s="60">
        <v>37.520000000000003</v>
      </c>
      <c r="M69" s="60">
        <v>27.77</v>
      </c>
      <c r="N69" s="60">
        <v>235.4</v>
      </c>
      <c r="O69" s="60">
        <v>0</v>
      </c>
      <c r="P69" s="60">
        <v>0.39</v>
      </c>
      <c r="Q69" s="60">
        <v>9.2799999999999994</v>
      </c>
      <c r="R69" s="198"/>
      <c r="S69" s="198"/>
      <c r="T69" s="198"/>
      <c r="U69" s="198"/>
    </row>
    <row r="70" spans="1:21" s="12" customFormat="1" x14ac:dyDescent="0.25">
      <c r="A70" s="63">
        <v>45814.645833333336</v>
      </c>
      <c r="B70" s="60">
        <v>4.92</v>
      </c>
      <c r="C70" s="60">
        <v>24.84</v>
      </c>
      <c r="D70" s="60">
        <v>40</v>
      </c>
      <c r="E70" s="60">
        <v>8.6300000000000008</v>
      </c>
      <c r="F70" s="60">
        <v>19.38</v>
      </c>
      <c r="G70" s="60">
        <v>59.06</v>
      </c>
      <c r="H70" s="60">
        <v>15.76</v>
      </c>
      <c r="I70" s="60">
        <v>3.85</v>
      </c>
      <c r="J70" s="60">
        <v>0.23</v>
      </c>
      <c r="K70" s="60">
        <v>289.58</v>
      </c>
      <c r="L70" s="60">
        <v>36.869999999999997</v>
      </c>
      <c r="M70" s="60">
        <v>28.17</v>
      </c>
      <c r="N70" s="60">
        <v>190.9</v>
      </c>
      <c r="O70" s="60">
        <v>0</v>
      </c>
      <c r="P70" s="60">
        <v>0.45</v>
      </c>
      <c r="Q70" s="60">
        <v>9.2899999999999991</v>
      </c>
      <c r="R70" s="198"/>
      <c r="S70" s="198"/>
      <c r="T70" s="198"/>
      <c r="U70" s="198"/>
    </row>
    <row r="71" spans="1:21" s="12" customFormat="1" x14ac:dyDescent="0.25">
      <c r="A71" s="63">
        <v>45814.65625</v>
      </c>
      <c r="B71" s="60">
        <v>4.32</v>
      </c>
      <c r="C71" s="60">
        <v>24.92</v>
      </c>
      <c r="D71" s="60">
        <v>41.06</v>
      </c>
      <c r="E71" s="60">
        <v>7.61</v>
      </c>
      <c r="F71" s="60">
        <v>15.03</v>
      </c>
      <c r="G71" s="60">
        <v>59.06</v>
      </c>
      <c r="H71" s="60">
        <v>15.76</v>
      </c>
      <c r="I71" s="60">
        <v>4.05</v>
      </c>
      <c r="J71" s="60">
        <v>0.19</v>
      </c>
      <c r="K71" s="60">
        <v>273.51</v>
      </c>
      <c r="L71" s="60">
        <v>35.89</v>
      </c>
      <c r="M71" s="60">
        <v>29.48</v>
      </c>
      <c r="N71" s="60">
        <v>213.7</v>
      </c>
      <c r="O71" s="60">
        <v>0</v>
      </c>
      <c r="P71" s="60">
        <v>0.41</v>
      </c>
      <c r="Q71" s="60">
        <v>9.3000000000000007</v>
      </c>
      <c r="R71" s="198"/>
      <c r="S71" s="198"/>
      <c r="T71" s="198"/>
      <c r="U71" s="198"/>
    </row>
    <row r="72" spans="1:21" s="12" customFormat="1" x14ac:dyDescent="0.25">
      <c r="A72" s="63">
        <v>45814.666666666664</v>
      </c>
      <c r="B72" s="60">
        <v>4.22</v>
      </c>
      <c r="C72" s="60">
        <v>26.36</v>
      </c>
      <c r="D72" s="60">
        <v>43.98</v>
      </c>
      <c r="E72" s="60">
        <v>7.26</v>
      </c>
      <c r="F72" s="60">
        <v>18.77</v>
      </c>
      <c r="G72" s="60">
        <v>57.87</v>
      </c>
      <c r="H72" s="60">
        <v>36.31</v>
      </c>
      <c r="I72" s="60">
        <v>3.95</v>
      </c>
      <c r="J72" s="60">
        <v>0.17</v>
      </c>
      <c r="K72" s="60">
        <v>284.14</v>
      </c>
      <c r="L72" s="60">
        <v>35.93</v>
      </c>
      <c r="M72" s="60">
        <v>29.46</v>
      </c>
      <c r="N72" s="60">
        <v>273.2</v>
      </c>
      <c r="O72" s="60">
        <v>0</v>
      </c>
      <c r="P72" s="60">
        <v>0.38</v>
      </c>
      <c r="Q72" s="60">
        <v>9.32</v>
      </c>
      <c r="R72" s="198"/>
      <c r="S72" s="198"/>
      <c r="T72" s="198"/>
      <c r="U72" s="198"/>
    </row>
    <row r="73" spans="1:21" s="12" customFormat="1" x14ac:dyDescent="0.25">
      <c r="A73" s="63">
        <v>45814.677083333336</v>
      </c>
      <c r="B73" s="60">
        <v>3.99</v>
      </c>
      <c r="C73" s="60">
        <v>23.57</v>
      </c>
      <c r="D73" s="60">
        <v>39</v>
      </c>
      <c r="E73" s="60">
        <v>6.97</v>
      </c>
      <c r="F73" s="60">
        <v>18.23</v>
      </c>
      <c r="G73" s="60">
        <v>57.14</v>
      </c>
      <c r="H73" s="60">
        <v>50</v>
      </c>
      <c r="I73" s="60">
        <v>4.0599999999999996</v>
      </c>
      <c r="J73" s="60">
        <v>0.23</v>
      </c>
      <c r="K73" s="60">
        <v>292.39999999999998</v>
      </c>
      <c r="L73" s="60">
        <v>36.22</v>
      </c>
      <c r="M73" s="60">
        <v>28.45</v>
      </c>
      <c r="N73" s="60">
        <v>233.5</v>
      </c>
      <c r="O73" s="60">
        <v>0</v>
      </c>
      <c r="P73" s="60">
        <v>0.35</v>
      </c>
      <c r="Q73" s="60">
        <v>9.31</v>
      </c>
      <c r="R73" s="198"/>
      <c r="S73" s="198"/>
      <c r="T73" s="198"/>
      <c r="U73" s="198"/>
    </row>
    <row r="74" spans="1:21" s="12" customFormat="1" x14ac:dyDescent="0.25">
      <c r="A74" s="63">
        <v>45814.6875</v>
      </c>
      <c r="B74" s="60">
        <v>5.31</v>
      </c>
      <c r="C74" s="60">
        <v>23.74</v>
      </c>
      <c r="D74" s="60">
        <v>37.28</v>
      </c>
      <c r="E74" s="60">
        <v>5.9</v>
      </c>
      <c r="F74" s="60">
        <v>11.34</v>
      </c>
      <c r="G74" s="60">
        <v>57.14</v>
      </c>
      <c r="H74" s="60">
        <v>50</v>
      </c>
      <c r="I74" s="60">
        <v>4.03</v>
      </c>
      <c r="J74" s="60">
        <v>0.22</v>
      </c>
      <c r="K74" s="60">
        <v>286.11</v>
      </c>
      <c r="L74" s="60">
        <v>36.44</v>
      </c>
      <c r="M74" s="60">
        <v>27.59</v>
      </c>
      <c r="N74" s="60">
        <v>227.6</v>
      </c>
      <c r="O74" s="60">
        <v>0</v>
      </c>
      <c r="P74" s="60">
        <v>0.36</v>
      </c>
      <c r="Q74" s="60">
        <v>9.2899999999999991</v>
      </c>
      <c r="R74" s="198"/>
      <c r="S74" s="198"/>
      <c r="T74" s="198"/>
      <c r="U74" s="198"/>
    </row>
    <row r="75" spans="1:21" s="12" customFormat="1" x14ac:dyDescent="0.25">
      <c r="A75" s="63">
        <v>45814.697916666664</v>
      </c>
      <c r="B75" s="60">
        <v>4.2</v>
      </c>
      <c r="C75" s="60">
        <v>20.399999999999999</v>
      </c>
      <c r="D75" s="60">
        <v>32.6</v>
      </c>
      <c r="E75" s="60">
        <v>6.13</v>
      </c>
      <c r="F75" s="60">
        <v>14.53</v>
      </c>
      <c r="G75" s="60">
        <v>57.14</v>
      </c>
      <c r="H75" s="60">
        <v>50</v>
      </c>
      <c r="I75" s="60">
        <v>4.09</v>
      </c>
      <c r="J75" s="60">
        <v>0.16</v>
      </c>
      <c r="K75" s="60">
        <v>291.3</v>
      </c>
      <c r="L75" s="60">
        <v>36.17</v>
      </c>
      <c r="M75" s="60">
        <v>27.8</v>
      </c>
      <c r="N75" s="60">
        <v>165</v>
      </c>
      <c r="O75" s="60">
        <v>0</v>
      </c>
      <c r="P75" s="60">
        <v>0.34</v>
      </c>
      <c r="Q75" s="60">
        <v>9.2799999999999994</v>
      </c>
      <c r="R75" s="198"/>
      <c r="S75" s="198"/>
      <c r="T75" s="198"/>
      <c r="U75" s="198"/>
    </row>
    <row r="76" spans="1:21" s="12" customFormat="1" x14ac:dyDescent="0.25">
      <c r="A76" s="63">
        <v>45814.708333333336</v>
      </c>
      <c r="B76" s="60">
        <v>3.82</v>
      </c>
      <c r="C76" s="60">
        <v>20.170000000000002</v>
      </c>
      <c r="D76" s="60">
        <v>32.75</v>
      </c>
      <c r="E76" s="60">
        <v>8.1</v>
      </c>
      <c r="F76" s="60">
        <v>25.71</v>
      </c>
      <c r="G76" s="60">
        <v>26.77</v>
      </c>
      <c r="H76" s="60">
        <v>96.87</v>
      </c>
      <c r="I76" s="60">
        <v>4.0599999999999996</v>
      </c>
      <c r="J76" s="60">
        <v>0.08</v>
      </c>
      <c r="K76" s="60">
        <v>203.05</v>
      </c>
      <c r="L76" s="60">
        <v>36.08</v>
      </c>
      <c r="M76" s="60">
        <v>27.38</v>
      </c>
      <c r="N76" s="60">
        <v>158.1</v>
      </c>
      <c r="O76" s="60">
        <v>0</v>
      </c>
      <c r="P76" s="60">
        <v>0.38</v>
      </c>
      <c r="Q76" s="60">
        <v>9.27</v>
      </c>
      <c r="R76" s="198"/>
      <c r="S76" s="198"/>
      <c r="T76" s="198"/>
      <c r="U76" s="198"/>
    </row>
    <row r="77" spans="1:21" s="12" customFormat="1" x14ac:dyDescent="0.25">
      <c r="A77" s="63">
        <v>45814.71875</v>
      </c>
      <c r="B77" s="60">
        <v>3.71</v>
      </c>
      <c r="C77" s="60">
        <v>25.04</v>
      </c>
      <c r="D77" s="60">
        <v>42.24</v>
      </c>
      <c r="E77" s="60">
        <v>14.85</v>
      </c>
      <c r="F77" s="60">
        <v>36.44</v>
      </c>
      <c r="G77" s="60">
        <v>0</v>
      </c>
      <c r="H77" s="60">
        <v>0</v>
      </c>
      <c r="I77" s="60">
        <v>4.05</v>
      </c>
      <c r="J77" s="60">
        <v>0.28000000000000003</v>
      </c>
      <c r="K77" s="60">
        <v>173.8</v>
      </c>
      <c r="L77" s="60">
        <v>35.79</v>
      </c>
      <c r="M77" s="60">
        <v>27.56</v>
      </c>
      <c r="N77" s="60">
        <v>151.30000000000001</v>
      </c>
      <c r="O77" s="60">
        <v>0</v>
      </c>
      <c r="P77" s="60">
        <v>0.45</v>
      </c>
      <c r="Q77" s="60">
        <v>9.23</v>
      </c>
      <c r="R77" s="198"/>
      <c r="S77" s="198"/>
      <c r="T77" s="198"/>
      <c r="U77" s="198"/>
    </row>
    <row r="78" spans="1:21" s="12" customFormat="1" x14ac:dyDescent="0.25">
      <c r="A78" s="63">
        <v>45814.729166666664</v>
      </c>
      <c r="B78" s="60">
        <v>3.4</v>
      </c>
      <c r="C78" s="60">
        <v>22.53</v>
      </c>
      <c r="D78" s="60">
        <v>37.909999999999997</v>
      </c>
      <c r="E78" s="60">
        <v>10.62</v>
      </c>
      <c r="F78" s="60">
        <v>26.43</v>
      </c>
      <c r="G78" s="60">
        <v>0</v>
      </c>
      <c r="H78" s="60">
        <v>0</v>
      </c>
      <c r="I78" s="60">
        <v>3.86</v>
      </c>
      <c r="J78" s="60">
        <v>0.23</v>
      </c>
      <c r="K78" s="60">
        <v>167.19</v>
      </c>
      <c r="L78" s="60">
        <v>35.6</v>
      </c>
      <c r="M78" s="60">
        <v>27.83</v>
      </c>
      <c r="N78" s="60">
        <v>138.4</v>
      </c>
      <c r="O78" s="60">
        <v>0</v>
      </c>
      <c r="P78" s="60">
        <v>0.41</v>
      </c>
      <c r="Q78" s="60">
        <v>9.2100000000000009</v>
      </c>
      <c r="R78" s="198"/>
      <c r="S78" s="198"/>
      <c r="T78" s="198"/>
      <c r="U78" s="198"/>
    </row>
    <row r="79" spans="1:21" s="12" customFormat="1" x14ac:dyDescent="0.25">
      <c r="A79" s="63">
        <v>45814.739583333336</v>
      </c>
      <c r="B79" s="60">
        <v>3.82</v>
      </c>
      <c r="C79" s="60">
        <v>26.56</v>
      </c>
      <c r="D79" s="60">
        <v>44.97</v>
      </c>
      <c r="E79" s="60">
        <v>10.95</v>
      </c>
      <c r="F79" s="60">
        <v>28.68</v>
      </c>
      <c r="G79" s="60">
        <v>0</v>
      </c>
      <c r="H79" s="60">
        <v>0</v>
      </c>
      <c r="I79" s="60">
        <v>4.2</v>
      </c>
      <c r="J79" s="60">
        <v>0.12</v>
      </c>
      <c r="K79" s="60">
        <v>176.47</v>
      </c>
      <c r="L79" s="60">
        <v>35.450000000000003</v>
      </c>
      <c r="M79" s="60">
        <v>28.57</v>
      </c>
      <c r="N79" s="60">
        <v>124.1</v>
      </c>
      <c r="O79" s="60">
        <v>0</v>
      </c>
      <c r="P79" s="60">
        <v>0.42</v>
      </c>
      <c r="Q79" s="60">
        <v>9.1999999999999993</v>
      </c>
      <c r="R79" s="198"/>
      <c r="S79" s="198"/>
      <c r="T79" s="198"/>
      <c r="U79" s="198"/>
    </row>
    <row r="80" spans="1:21" s="12" customFormat="1" x14ac:dyDescent="0.25">
      <c r="A80" s="63">
        <v>45814.75</v>
      </c>
      <c r="B80" s="60">
        <v>3.48</v>
      </c>
      <c r="C80" s="60">
        <v>21.56</v>
      </c>
      <c r="D80" s="60">
        <v>35.92</v>
      </c>
      <c r="E80" s="60">
        <v>11.38</v>
      </c>
      <c r="F80" s="60">
        <v>32.909999999999997</v>
      </c>
      <c r="G80" s="60">
        <v>42.79</v>
      </c>
      <c r="H80" s="60">
        <v>262.37</v>
      </c>
      <c r="I80" s="60">
        <v>3.98</v>
      </c>
      <c r="J80" s="60">
        <v>0.16</v>
      </c>
      <c r="K80" s="60">
        <v>146.78</v>
      </c>
      <c r="L80" s="60">
        <v>35.19</v>
      </c>
      <c r="M80" s="60">
        <v>28.75</v>
      </c>
      <c r="N80" s="60">
        <v>113.3</v>
      </c>
      <c r="O80" s="60">
        <v>0</v>
      </c>
      <c r="P80" s="60">
        <v>0.37</v>
      </c>
      <c r="Q80" s="60">
        <v>9.2100000000000009</v>
      </c>
      <c r="R80" s="198"/>
      <c r="S80" s="198"/>
      <c r="T80" s="198"/>
      <c r="U80" s="198"/>
    </row>
    <row r="81" spans="1:26" s="12" customFormat="1" x14ac:dyDescent="0.25">
      <c r="A81" s="63">
        <v>45814.760416666664</v>
      </c>
      <c r="B81" s="60">
        <v>4.22</v>
      </c>
      <c r="C81" s="60">
        <v>33.72</v>
      </c>
      <c r="D81" s="60">
        <v>58.07</v>
      </c>
      <c r="E81" s="60">
        <v>10.199999999999999</v>
      </c>
      <c r="F81" s="60">
        <v>25.41</v>
      </c>
      <c r="G81" s="60">
        <v>91.7</v>
      </c>
      <c r="H81" s="60">
        <v>562.22</v>
      </c>
      <c r="I81" s="60">
        <v>4.08</v>
      </c>
      <c r="J81" s="60">
        <v>0.54</v>
      </c>
      <c r="K81" s="60">
        <v>145.93</v>
      </c>
      <c r="L81" s="60">
        <v>34.950000000000003</v>
      </c>
      <c r="M81" s="60">
        <v>29.56</v>
      </c>
      <c r="N81" s="60">
        <v>100.8</v>
      </c>
      <c r="O81" s="60">
        <v>0</v>
      </c>
      <c r="P81" s="60">
        <v>0.46</v>
      </c>
      <c r="Q81" s="60">
        <v>9.23</v>
      </c>
      <c r="R81" s="198"/>
      <c r="S81" s="198"/>
      <c r="T81" s="198"/>
      <c r="U81" s="198"/>
    </row>
    <row r="82" spans="1:26" s="12" customFormat="1" x14ac:dyDescent="0.25">
      <c r="A82" s="63">
        <v>45814.770833333336</v>
      </c>
      <c r="B82" s="60">
        <v>9.42</v>
      </c>
      <c r="C82" s="60">
        <v>49.81</v>
      </c>
      <c r="D82" s="60">
        <v>80.87</v>
      </c>
      <c r="E82" s="60">
        <v>9.1300000000000008</v>
      </c>
      <c r="F82" s="60">
        <v>21.81</v>
      </c>
      <c r="G82" s="60">
        <v>91.7</v>
      </c>
      <c r="H82" s="60">
        <v>562.22</v>
      </c>
      <c r="I82" s="60">
        <v>3.94</v>
      </c>
      <c r="J82" s="60">
        <v>0.17</v>
      </c>
      <c r="K82" s="60">
        <v>165.53</v>
      </c>
      <c r="L82" s="60">
        <v>34.6</v>
      </c>
      <c r="M82" s="60">
        <v>31.18</v>
      </c>
      <c r="N82" s="60">
        <v>90.4</v>
      </c>
      <c r="O82" s="60">
        <v>0</v>
      </c>
      <c r="P82" s="60">
        <v>0.53</v>
      </c>
      <c r="Q82" s="60">
        <v>9.25</v>
      </c>
      <c r="R82" s="198"/>
      <c r="S82" s="198"/>
      <c r="T82" s="198"/>
      <c r="U82" s="198"/>
    </row>
    <row r="83" spans="1:26" s="12" customFormat="1" x14ac:dyDescent="0.25">
      <c r="A83" s="63">
        <v>45814.78125</v>
      </c>
      <c r="B83" s="60">
        <v>24.93</v>
      </c>
      <c r="C83" s="60">
        <v>84.55</v>
      </c>
      <c r="D83" s="60">
        <v>123.58</v>
      </c>
      <c r="E83" s="60">
        <v>10.02</v>
      </c>
      <c r="F83" s="60">
        <v>11.61</v>
      </c>
      <c r="G83" s="60">
        <v>91.7</v>
      </c>
      <c r="H83" s="60">
        <v>562.22</v>
      </c>
      <c r="I83" s="60">
        <v>3.95</v>
      </c>
      <c r="J83" s="60">
        <v>0.04</v>
      </c>
      <c r="K83" s="60">
        <v>241.77</v>
      </c>
      <c r="L83" s="60">
        <v>34.020000000000003</v>
      </c>
      <c r="M83" s="60">
        <v>35.15</v>
      </c>
      <c r="N83" s="60">
        <v>83.2</v>
      </c>
      <c r="O83" s="60">
        <v>0</v>
      </c>
      <c r="P83" s="60">
        <v>1.47</v>
      </c>
      <c r="Q83" s="60">
        <v>9.2899999999999991</v>
      </c>
      <c r="R83" s="198"/>
      <c r="S83" s="198"/>
      <c r="T83" s="198"/>
      <c r="U83" s="198"/>
    </row>
    <row r="84" spans="1:26" s="12" customFormat="1" x14ac:dyDescent="0.25">
      <c r="A84" s="63">
        <v>45814.791666666664</v>
      </c>
      <c r="B84" s="60">
        <v>14.48</v>
      </c>
      <c r="C84" s="60">
        <v>61.88</v>
      </c>
      <c r="D84" s="60">
        <v>96.22</v>
      </c>
      <c r="E84" s="60">
        <v>9.17</v>
      </c>
      <c r="F84" s="60">
        <v>12.24</v>
      </c>
      <c r="G84" s="60">
        <v>86.98</v>
      </c>
      <c r="H84" s="60">
        <v>324.83999999999997</v>
      </c>
      <c r="I84" s="60">
        <v>4.1500000000000004</v>
      </c>
      <c r="J84" s="60">
        <v>0.3</v>
      </c>
      <c r="K84" s="60">
        <v>153.77000000000001</v>
      </c>
      <c r="L84" s="60">
        <v>33.5</v>
      </c>
      <c r="M84" s="60">
        <v>36.340000000000003</v>
      </c>
      <c r="N84" s="60">
        <v>79.3</v>
      </c>
      <c r="O84" s="60">
        <v>0</v>
      </c>
      <c r="P84" s="60">
        <v>0.73</v>
      </c>
      <c r="Q84" s="60">
        <v>9.34</v>
      </c>
      <c r="R84" s="198"/>
      <c r="S84" s="198"/>
      <c r="T84" s="198"/>
      <c r="U84" s="198"/>
    </row>
    <row r="85" spans="1:26" s="12" customFormat="1" x14ac:dyDescent="0.25">
      <c r="A85" s="63">
        <v>45814.802083333336</v>
      </c>
      <c r="B85" s="60">
        <v>6.61</v>
      </c>
      <c r="C85" s="60">
        <v>27.05</v>
      </c>
      <c r="D85" s="60">
        <v>41.62</v>
      </c>
      <c r="E85" s="60">
        <v>6.7</v>
      </c>
      <c r="F85" s="60">
        <v>17.649999999999999</v>
      </c>
      <c r="G85" s="60">
        <v>81.819999999999993</v>
      </c>
      <c r="H85" s="60">
        <v>0</v>
      </c>
      <c r="I85" s="60">
        <v>3.94</v>
      </c>
      <c r="J85" s="60">
        <v>0.28999999999999998</v>
      </c>
      <c r="K85" s="60">
        <v>152.19999999999999</v>
      </c>
      <c r="L85" s="60">
        <v>32.409999999999997</v>
      </c>
      <c r="M85" s="60">
        <v>39.58</v>
      </c>
      <c r="N85" s="60">
        <v>80.099999999999994</v>
      </c>
      <c r="O85" s="60">
        <v>0</v>
      </c>
      <c r="P85" s="60">
        <v>0.4</v>
      </c>
      <c r="Q85" s="60">
        <v>9.3800000000000008</v>
      </c>
      <c r="R85" s="198"/>
      <c r="S85" s="198"/>
      <c r="T85" s="198"/>
      <c r="U85" s="198"/>
    </row>
    <row r="86" spans="1:26" s="12" customFormat="1" x14ac:dyDescent="0.25">
      <c r="A86" s="63">
        <v>45814.8125</v>
      </c>
      <c r="B86" s="60">
        <v>6.06</v>
      </c>
      <c r="C86" s="60">
        <v>24.66</v>
      </c>
      <c r="D86" s="60">
        <v>37.9</v>
      </c>
      <c r="E86" s="60">
        <v>6.45</v>
      </c>
      <c r="F86" s="60">
        <v>19.29</v>
      </c>
      <c r="G86" s="60">
        <v>81.819999999999993</v>
      </c>
      <c r="H86" s="60">
        <v>0</v>
      </c>
      <c r="I86" s="60">
        <v>4.05</v>
      </c>
      <c r="J86" s="60">
        <v>0.25</v>
      </c>
      <c r="K86" s="60">
        <v>171.07</v>
      </c>
      <c r="L86" s="60">
        <v>31.24</v>
      </c>
      <c r="M86" s="60">
        <v>42.24</v>
      </c>
      <c r="N86" s="60">
        <v>79.7</v>
      </c>
      <c r="O86" s="60">
        <v>0</v>
      </c>
      <c r="P86" s="60">
        <v>0.37</v>
      </c>
      <c r="Q86" s="60">
        <v>9.4</v>
      </c>
      <c r="R86" s="198"/>
      <c r="S86" s="198"/>
      <c r="T86" s="198"/>
      <c r="U86" s="198"/>
    </row>
    <row r="87" spans="1:26" s="12" customFormat="1" x14ac:dyDescent="0.25">
      <c r="A87" s="63">
        <v>45814.822916666664</v>
      </c>
      <c r="B87" s="60">
        <v>5.69</v>
      </c>
      <c r="C87" s="60">
        <v>26.4</v>
      </c>
      <c r="D87" s="60">
        <v>41.8</v>
      </c>
      <c r="E87" s="60">
        <v>6.58</v>
      </c>
      <c r="F87" s="60">
        <v>18.91</v>
      </c>
      <c r="G87" s="60">
        <v>81.819999999999993</v>
      </c>
      <c r="H87" s="60">
        <v>0</v>
      </c>
      <c r="I87" s="60">
        <v>3.99</v>
      </c>
      <c r="J87" s="60">
        <v>0.15</v>
      </c>
      <c r="K87" s="60">
        <v>200.95</v>
      </c>
      <c r="L87" s="60">
        <v>30.57</v>
      </c>
      <c r="M87" s="60">
        <v>44.44</v>
      </c>
      <c r="N87" s="60">
        <v>79.099999999999994</v>
      </c>
      <c r="O87" s="60">
        <v>0</v>
      </c>
      <c r="P87" s="60">
        <v>0.37</v>
      </c>
      <c r="Q87" s="60">
        <v>9.4</v>
      </c>
      <c r="R87" s="198"/>
      <c r="S87" s="198"/>
      <c r="T87" s="198"/>
      <c r="U87" s="198"/>
    </row>
    <row r="88" spans="1:26" s="12" customFormat="1" x14ac:dyDescent="0.25">
      <c r="A88" s="63">
        <v>45814.833333333336</v>
      </c>
      <c r="B88" s="60">
        <v>5.44</v>
      </c>
      <c r="C88" s="60">
        <v>25.76</v>
      </c>
      <c r="D88" s="60">
        <v>40.96</v>
      </c>
      <c r="E88" s="60">
        <v>6.25</v>
      </c>
      <c r="F88" s="60">
        <v>18.46</v>
      </c>
      <c r="G88" s="60">
        <v>76.53</v>
      </c>
      <c r="H88" s="60">
        <v>0</v>
      </c>
      <c r="I88" s="60">
        <v>4</v>
      </c>
      <c r="J88" s="60">
        <v>0.16</v>
      </c>
      <c r="K88" s="60">
        <v>189.94</v>
      </c>
      <c r="L88" s="60">
        <v>29.97</v>
      </c>
      <c r="M88" s="60">
        <v>46.07</v>
      </c>
      <c r="N88" s="60">
        <v>79</v>
      </c>
      <c r="O88" s="60">
        <v>0</v>
      </c>
      <c r="P88" s="60">
        <v>0.37</v>
      </c>
      <c r="Q88" s="60">
        <v>9.39</v>
      </c>
      <c r="R88" s="198"/>
      <c r="S88" s="198"/>
      <c r="T88" s="198"/>
      <c r="U88" s="198"/>
    </row>
    <row r="89" spans="1:26" s="12" customFormat="1" x14ac:dyDescent="0.25">
      <c r="A89" s="63">
        <v>45814.84375</v>
      </c>
      <c r="B89" s="60">
        <v>6.08</v>
      </c>
      <c r="C89" s="60">
        <v>25.44</v>
      </c>
      <c r="D89" s="60">
        <v>39.36</v>
      </c>
      <c r="E89" s="60">
        <v>6.13</v>
      </c>
      <c r="F89" s="60">
        <v>17.25</v>
      </c>
      <c r="G89" s="60">
        <v>70.760000000000005</v>
      </c>
      <c r="H89" s="60">
        <v>0</v>
      </c>
      <c r="I89" s="60">
        <v>3.94</v>
      </c>
      <c r="J89" s="60">
        <v>0.27</v>
      </c>
      <c r="K89" s="60">
        <v>171.89</v>
      </c>
      <c r="L89" s="60">
        <v>29.54</v>
      </c>
      <c r="M89" s="60">
        <v>47.93</v>
      </c>
      <c r="N89" s="60">
        <v>78.900000000000006</v>
      </c>
      <c r="O89" s="60">
        <v>0</v>
      </c>
      <c r="P89" s="60">
        <v>0.39</v>
      </c>
      <c r="Q89" s="60">
        <v>9.39</v>
      </c>
      <c r="R89" s="198"/>
      <c r="S89" s="198"/>
      <c r="T89" s="198"/>
      <c r="U89" s="198"/>
    </row>
    <row r="90" spans="1:26" s="12" customFormat="1" x14ac:dyDescent="0.25">
      <c r="A90" s="63">
        <v>45814.854166666664</v>
      </c>
      <c r="B90" s="60">
        <v>6.21</v>
      </c>
      <c r="C90" s="60">
        <v>27.36</v>
      </c>
      <c r="D90" s="60">
        <v>42.84</v>
      </c>
      <c r="E90" s="60">
        <v>5.9</v>
      </c>
      <c r="F90" s="60">
        <v>12.56</v>
      </c>
      <c r="G90" s="60">
        <v>70.760000000000005</v>
      </c>
      <c r="H90" s="60">
        <v>0</v>
      </c>
      <c r="I90" s="60">
        <v>3.75</v>
      </c>
      <c r="J90" s="60">
        <v>0.26</v>
      </c>
      <c r="K90" s="60">
        <v>144.88</v>
      </c>
      <c r="L90" s="60">
        <v>29.45</v>
      </c>
      <c r="M90" s="60">
        <v>49.36</v>
      </c>
      <c r="N90" s="60">
        <v>78.900000000000006</v>
      </c>
      <c r="O90" s="60">
        <v>0</v>
      </c>
      <c r="P90" s="60">
        <v>0.39</v>
      </c>
      <c r="Q90" s="60">
        <v>9.39</v>
      </c>
      <c r="R90" s="198"/>
      <c r="S90" s="198"/>
      <c r="T90" s="198"/>
      <c r="U90" s="198"/>
    </row>
    <row r="91" spans="1:26" s="12" customFormat="1" x14ac:dyDescent="0.25">
      <c r="A91" s="63">
        <v>45814.864583333336</v>
      </c>
      <c r="B91" s="60">
        <v>6.62</v>
      </c>
      <c r="C91" s="60">
        <v>27.45</v>
      </c>
      <c r="D91" s="60">
        <v>42.37</v>
      </c>
      <c r="E91" s="60">
        <v>6.11</v>
      </c>
      <c r="F91" s="60">
        <v>15.31</v>
      </c>
      <c r="G91" s="60">
        <v>70.760000000000005</v>
      </c>
      <c r="H91" s="60">
        <v>0</v>
      </c>
      <c r="I91" s="60">
        <v>3.96</v>
      </c>
      <c r="J91" s="60">
        <v>0.06</v>
      </c>
      <c r="K91" s="60">
        <v>170.1</v>
      </c>
      <c r="L91" s="60">
        <v>29.16</v>
      </c>
      <c r="M91" s="60">
        <v>50.05</v>
      </c>
      <c r="N91" s="60">
        <v>79</v>
      </c>
      <c r="O91" s="60">
        <v>0</v>
      </c>
      <c r="P91" s="60">
        <v>0.39</v>
      </c>
      <c r="Q91" s="60">
        <v>9.35</v>
      </c>
      <c r="R91" s="198"/>
      <c r="S91" s="198"/>
      <c r="T91" s="198"/>
      <c r="U91" s="198"/>
    </row>
    <row r="92" spans="1:26" s="12" customFormat="1" x14ac:dyDescent="0.25">
      <c r="A92" s="63">
        <v>45814.875</v>
      </c>
      <c r="B92" s="60">
        <v>5.81</v>
      </c>
      <c r="C92" s="60">
        <v>28.76</v>
      </c>
      <c r="D92" s="60">
        <v>46.13</v>
      </c>
      <c r="E92" s="60">
        <v>6.18</v>
      </c>
      <c r="F92" s="60">
        <v>13.88</v>
      </c>
      <c r="G92" s="60">
        <v>64.33</v>
      </c>
      <c r="H92" s="60">
        <v>0</v>
      </c>
      <c r="I92" s="60">
        <v>3.97</v>
      </c>
      <c r="J92" s="60">
        <v>0.2</v>
      </c>
      <c r="K92" s="60">
        <v>139.97</v>
      </c>
      <c r="L92" s="60">
        <v>29.09</v>
      </c>
      <c r="M92" s="60">
        <v>50.48</v>
      </c>
      <c r="N92" s="60">
        <v>78.8</v>
      </c>
      <c r="O92" s="60">
        <v>0</v>
      </c>
      <c r="P92" s="60">
        <v>0.39</v>
      </c>
      <c r="Q92" s="60">
        <v>9.34</v>
      </c>
      <c r="R92" s="198"/>
      <c r="S92" s="198"/>
      <c r="T92" s="198"/>
      <c r="U92" s="198"/>
    </row>
    <row r="93" spans="1:26" s="12" customFormat="1" x14ac:dyDescent="0.25">
      <c r="A93" s="63">
        <v>45814.885416666664</v>
      </c>
      <c r="B93" s="60">
        <v>5.63</v>
      </c>
      <c r="C93" s="60">
        <v>27.37</v>
      </c>
      <c r="D93" s="60">
        <v>43.74</v>
      </c>
      <c r="E93" s="60">
        <v>6.08</v>
      </c>
      <c r="F93" s="60">
        <v>13.99</v>
      </c>
      <c r="G93" s="60">
        <v>57.31</v>
      </c>
      <c r="H93" s="60">
        <v>0</v>
      </c>
      <c r="I93" s="60">
        <v>4.1100000000000003</v>
      </c>
      <c r="J93" s="60">
        <v>0.1</v>
      </c>
      <c r="K93" s="60">
        <v>148.24</v>
      </c>
      <c r="L93" s="60">
        <v>29.17</v>
      </c>
      <c r="M93" s="60">
        <v>50.3</v>
      </c>
      <c r="N93" s="60">
        <v>78.900000000000006</v>
      </c>
      <c r="O93" s="60">
        <v>0</v>
      </c>
      <c r="P93" s="60">
        <v>0.4</v>
      </c>
      <c r="Q93" s="60">
        <v>9.34</v>
      </c>
      <c r="R93" s="198"/>
      <c r="S93" s="198"/>
      <c r="T93" s="198"/>
      <c r="U93" s="198"/>
    </row>
    <row r="94" spans="1:26" s="12" customFormat="1" x14ac:dyDescent="0.25">
      <c r="A94" s="63">
        <v>45814.895833333336</v>
      </c>
      <c r="B94" s="60">
        <v>5.25</v>
      </c>
      <c r="C94" s="60">
        <v>31.67</v>
      </c>
      <c r="D94" s="60">
        <v>52.56</v>
      </c>
      <c r="E94" s="60">
        <v>5.82</v>
      </c>
      <c r="F94" s="60">
        <v>11.71</v>
      </c>
      <c r="G94" s="60">
        <v>57.31</v>
      </c>
      <c r="H94" s="60">
        <v>0</v>
      </c>
      <c r="I94" s="60">
        <v>3.84</v>
      </c>
      <c r="J94" s="60">
        <v>0.08</v>
      </c>
      <c r="K94" s="60">
        <v>177.19</v>
      </c>
      <c r="L94" s="60">
        <v>29.3</v>
      </c>
      <c r="M94" s="60">
        <v>50.21</v>
      </c>
      <c r="N94" s="60">
        <v>79</v>
      </c>
      <c r="O94" s="60">
        <v>0</v>
      </c>
      <c r="P94" s="60">
        <v>0.42</v>
      </c>
      <c r="Q94" s="60">
        <v>9.34</v>
      </c>
      <c r="R94" s="198"/>
      <c r="S94" s="198"/>
      <c r="T94" s="198"/>
      <c r="U94" s="198"/>
    </row>
    <row r="95" spans="1:26" s="12" customFormat="1" x14ac:dyDescent="0.25">
      <c r="A95" s="63">
        <v>45814.90625</v>
      </c>
      <c r="B95" s="60">
        <v>5.78</v>
      </c>
      <c r="C95" s="60">
        <v>37.21</v>
      </c>
      <c r="D95" s="60">
        <v>62.35</v>
      </c>
      <c r="E95" s="60">
        <v>6.27</v>
      </c>
      <c r="F95" s="60">
        <v>11.88</v>
      </c>
      <c r="G95" s="60">
        <v>57.31</v>
      </c>
      <c r="H95" s="60">
        <v>0</v>
      </c>
      <c r="I95" s="60">
        <v>4.09</v>
      </c>
      <c r="J95" s="60">
        <v>0.11</v>
      </c>
      <c r="K95" s="60">
        <v>209.35</v>
      </c>
      <c r="L95" s="60">
        <v>29.29</v>
      </c>
      <c r="M95" s="60">
        <v>50.01</v>
      </c>
      <c r="N95" s="60">
        <v>79.099999999999994</v>
      </c>
      <c r="O95" s="60">
        <v>0</v>
      </c>
      <c r="P95" s="60">
        <v>0.42</v>
      </c>
      <c r="Q95" s="60">
        <v>9.34</v>
      </c>
      <c r="R95" s="198"/>
      <c r="S95" s="198"/>
      <c r="T95" s="198"/>
      <c r="U95" s="198"/>
    </row>
    <row r="96" spans="1:26" s="12" customFormat="1" x14ac:dyDescent="0.25">
      <c r="A96" s="63">
        <v>45814.916666666664</v>
      </c>
      <c r="B96" s="60">
        <v>5.72</v>
      </c>
      <c r="C96" s="60">
        <v>27.73</v>
      </c>
      <c r="D96" s="60">
        <v>44.3</v>
      </c>
      <c r="E96" s="60">
        <v>6.32</v>
      </c>
      <c r="F96" s="60">
        <v>13.46</v>
      </c>
      <c r="G96" s="60">
        <v>56.08</v>
      </c>
      <c r="H96" s="60">
        <v>0</v>
      </c>
      <c r="I96" s="60">
        <v>3.94</v>
      </c>
      <c r="J96" s="60">
        <v>0.03</v>
      </c>
      <c r="K96" s="60">
        <v>258.39999999999998</v>
      </c>
      <c r="L96" s="60">
        <v>29.47</v>
      </c>
      <c r="M96" s="60">
        <v>49.54</v>
      </c>
      <c r="N96" s="60">
        <v>79.3</v>
      </c>
      <c r="O96" s="60">
        <v>0</v>
      </c>
      <c r="P96" s="60">
        <v>0.4</v>
      </c>
      <c r="Q96" s="60">
        <v>9.36</v>
      </c>
      <c r="R96" s="198"/>
      <c r="S96" s="198"/>
      <c r="T96" s="198"/>
      <c r="U96" s="198"/>
      <c r="Z96" s="109"/>
    </row>
    <row r="97" spans="1:33" s="12" customFormat="1" x14ac:dyDescent="0.25">
      <c r="A97" s="63">
        <v>45814.927083333336</v>
      </c>
      <c r="B97" s="60">
        <v>6.4</v>
      </c>
      <c r="C97" s="60">
        <v>32.1</v>
      </c>
      <c r="D97" s="60">
        <v>51.61</v>
      </c>
      <c r="E97" s="60">
        <v>6.31</v>
      </c>
      <c r="F97" s="60">
        <v>11.57</v>
      </c>
      <c r="G97" s="60">
        <v>54.74</v>
      </c>
      <c r="H97" s="60">
        <v>0</v>
      </c>
      <c r="I97" s="60">
        <v>3.98</v>
      </c>
      <c r="J97" s="60">
        <v>0.16</v>
      </c>
      <c r="K97" s="60">
        <v>132.97</v>
      </c>
      <c r="L97" s="60">
        <v>29.49</v>
      </c>
      <c r="M97" s="60">
        <v>49.75</v>
      </c>
      <c r="N97" s="60">
        <v>79.400000000000006</v>
      </c>
      <c r="O97" s="60">
        <v>0</v>
      </c>
      <c r="P97" s="60">
        <v>0.36</v>
      </c>
      <c r="Q97" s="60">
        <v>9.3699999999999992</v>
      </c>
      <c r="R97" s="198"/>
      <c r="S97" s="198"/>
      <c r="T97" s="198"/>
      <c r="U97" s="198"/>
    </row>
    <row r="98" spans="1:33" s="12" customFormat="1" x14ac:dyDescent="0.25">
      <c r="A98" s="63">
        <v>45814.9375</v>
      </c>
      <c r="B98" s="60">
        <v>5.89</v>
      </c>
      <c r="C98" s="60">
        <v>29.86</v>
      </c>
      <c r="D98" s="60">
        <v>48.11</v>
      </c>
      <c r="E98" s="60">
        <v>6.05</v>
      </c>
      <c r="F98" s="60">
        <v>11.85</v>
      </c>
      <c r="G98" s="60">
        <v>54.74</v>
      </c>
      <c r="H98" s="60">
        <v>0</v>
      </c>
      <c r="I98" s="60">
        <v>3.98</v>
      </c>
      <c r="J98" s="60">
        <v>0.2</v>
      </c>
      <c r="K98" s="60">
        <v>172.48</v>
      </c>
      <c r="L98" s="60">
        <v>29.44</v>
      </c>
      <c r="M98" s="60">
        <v>50.33</v>
      </c>
      <c r="N98" s="60">
        <v>79.7</v>
      </c>
      <c r="O98" s="60">
        <v>0</v>
      </c>
      <c r="P98" s="60">
        <v>0.34</v>
      </c>
      <c r="Q98" s="60">
        <v>9.3699999999999992</v>
      </c>
      <c r="R98" s="198"/>
      <c r="S98" s="198"/>
      <c r="T98" s="198"/>
      <c r="U98" s="198"/>
    </row>
    <row r="99" spans="1:33" s="12" customFormat="1" x14ac:dyDescent="0.25">
      <c r="A99" s="63">
        <v>45814.947916666664</v>
      </c>
      <c r="B99" s="60">
        <v>5.65</v>
      </c>
      <c r="C99" s="60">
        <v>27.38</v>
      </c>
      <c r="D99" s="60">
        <v>43.73</v>
      </c>
      <c r="E99" s="60">
        <v>6.14</v>
      </c>
      <c r="F99" s="60">
        <v>12.88</v>
      </c>
      <c r="G99" s="60">
        <v>54.74</v>
      </c>
      <c r="H99" s="60">
        <v>0</v>
      </c>
      <c r="I99" s="60">
        <v>4.07</v>
      </c>
      <c r="J99" s="60">
        <v>0.13</v>
      </c>
      <c r="K99" s="60">
        <v>167.89</v>
      </c>
      <c r="L99" s="60">
        <v>29.06</v>
      </c>
      <c r="M99" s="60">
        <v>50.56</v>
      </c>
      <c r="N99" s="60">
        <v>80.2</v>
      </c>
      <c r="O99" s="60">
        <v>0</v>
      </c>
      <c r="P99" s="60">
        <v>0.3</v>
      </c>
      <c r="Q99" s="60">
        <v>9.3800000000000008</v>
      </c>
      <c r="R99" s="198"/>
      <c r="S99" s="198"/>
      <c r="T99" s="198"/>
      <c r="U99" s="198"/>
    </row>
    <row r="100" spans="1:33" s="12" customFormat="1" x14ac:dyDescent="0.25">
      <c r="A100" s="63">
        <v>45814.958333333336</v>
      </c>
      <c r="B100" s="60">
        <v>5.63</v>
      </c>
      <c r="C100" s="60">
        <v>26.83</v>
      </c>
      <c r="D100" s="60">
        <v>42.71</v>
      </c>
      <c r="E100" s="60">
        <v>6.08</v>
      </c>
      <c r="F100" s="60">
        <v>13.57</v>
      </c>
      <c r="G100" s="60">
        <v>52.67</v>
      </c>
      <c r="H100" s="60">
        <v>0</v>
      </c>
      <c r="I100" s="60">
        <v>4.13</v>
      </c>
      <c r="J100" s="60">
        <v>0.05</v>
      </c>
      <c r="K100" s="60">
        <v>281.02</v>
      </c>
      <c r="L100" s="60">
        <v>28.81</v>
      </c>
      <c r="M100" s="60">
        <v>51.19</v>
      </c>
      <c r="N100" s="60">
        <v>80.5</v>
      </c>
      <c r="O100" s="60">
        <v>0</v>
      </c>
      <c r="P100" s="60">
        <v>0.28999999999999998</v>
      </c>
      <c r="Q100" s="60">
        <v>9.3699999999999992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3">
        <v>45814.96875</v>
      </c>
      <c r="B101" s="60">
        <v>5.39</v>
      </c>
      <c r="C101" s="60">
        <v>29.42</v>
      </c>
      <c r="D101" s="60">
        <v>48.05</v>
      </c>
      <c r="E101" s="60">
        <v>6.56</v>
      </c>
      <c r="F101" s="60">
        <v>15.09</v>
      </c>
      <c r="G101" s="60">
        <v>50.4</v>
      </c>
      <c r="H101" s="60">
        <v>0</v>
      </c>
      <c r="I101" s="60">
        <v>4.13</v>
      </c>
      <c r="J101" s="60">
        <v>0.12</v>
      </c>
      <c r="K101" s="60">
        <v>175.03</v>
      </c>
      <c r="L101" s="60">
        <v>28.71</v>
      </c>
      <c r="M101" s="60">
        <v>51.68</v>
      </c>
      <c r="N101" s="60">
        <v>80.3</v>
      </c>
      <c r="O101" s="60">
        <v>0</v>
      </c>
      <c r="P101" s="60">
        <v>0.25</v>
      </c>
      <c r="Q101" s="60">
        <v>9.39</v>
      </c>
      <c r="R101" s="198"/>
      <c r="S101" s="198"/>
      <c r="T101" s="198"/>
      <c r="U101" s="198"/>
    </row>
    <row r="102" spans="1:33" s="12" customFormat="1" x14ac:dyDescent="0.25">
      <c r="A102" s="63">
        <v>45814.979166666664</v>
      </c>
      <c r="B102" s="60">
        <v>5.88</v>
      </c>
      <c r="C102" s="60">
        <v>22.59</v>
      </c>
      <c r="D102" s="60">
        <v>34.21</v>
      </c>
      <c r="E102" s="60">
        <v>6.02</v>
      </c>
      <c r="F102" s="60">
        <v>12.47</v>
      </c>
      <c r="G102" s="60">
        <v>50.4</v>
      </c>
      <c r="H102" s="60">
        <v>0</v>
      </c>
      <c r="I102" s="60">
        <v>3.82</v>
      </c>
      <c r="J102" s="60">
        <v>0.96</v>
      </c>
      <c r="K102" s="60">
        <v>151.74</v>
      </c>
      <c r="L102" s="60">
        <v>28.78</v>
      </c>
      <c r="M102" s="60">
        <v>52.13</v>
      </c>
      <c r="N102" s="60">
        <v>80</v>
      </c>
      <c r="O102" s="60">
        <v>0</v>
      </c>
      <c r="P102" s="60">
        <v>0.31</v>
      </c>
      <c r="Q102" s="60">
        <v>9.4</v>
      </c>
      <c r="R102" s="198"/>
      <c r="S102" s="198"/>
      <c r="T102" s="198"/>
      <c r="U102" s="198"/>
    </row>
    <row r="103" spans="1:33" s="12" customFormat="1" x14ac:dyDescent="0.25">
      <c r="A103" s="63">
        <v>45814.989583333336</v>
      </c>
      <c r="B103" s="60">
        <v>6.52</v>
      </c>
      <c r="C103" s="60">
        <v>22.65</v>
      </c>
      <c r="D103" s="60">
        <v>33.35</v>
      </c>
      <c r="E103" s="60">
        <v>5.75</v>
      </c>
      <c r="F103" s="60">
        <v>12.17</v>
      </c>
      <c r="G103" s="60">
        <v>50.4</v>
      </c>
      <c r="H103" s="60">
        <v>0</v>
      </c>
      <c r="I103" s="60">
        <v>4.26</v>
      </c>
      <c r="J103" s="60">
        <v>0.93</v>
      </c>
      <c r="K103" s="60">
        <v>146.32</v>
      </c>
      <c r="L103" s="60">
        <v>28.59</v>
      </c>
      <c r="M103" s="60">
        <v>52.05</v>
      </c>
      <c r="N103" s="60">
        <v>80.400000000000006</v>
      </c>
      <c r="O103" s="60">
        <v>0</v>
      </c>
      <c r="P103" s="60">
        <v>0.3</v>
      </c>
      <c r="Q103" s="60">
        <v>9.4</v>
      </c>
      <c r="R103" s="198"/>
      <c r="S103" s="198"/>
      <c r="T103" s="198"/>
      <c r="U103" s="198"/>
    </row>
    <row r="104" spans="1:33" s="12" customFormat="1" x14ac:dyDescent="0.25">
      <c r="A104" s="60">
        <v>45815</v>
      </c>
      <c r="B104" s="60">
        <v>6.18</v>
      </c>
      <c r="C104" s="60">
        <v>20.53</v>
      </c>
      <c r="D104" s="60">
        <v>29.8</v>
      </c>
      <c r="E104" s="60">
        <v>5.7</v>
      </c>
      <c r="F104" s="60">
        <v>16.190000000000001</v>
      </c>
      <c r="G104" s="60">
        <v>46.09</v>
      </c>
      <c r="H104" s="60">
        <v>202.65</v>
      </c>
      <c r="I104" s="60">
        <v>4.05</v>
      </c>
      <c r="J104" s="60">
        <v>0.53</v>
      </c>
      <c r="K104" s="60">
        <v>155.16</v>
      </c>
      <c r="L104" s="60">
        <v>28.52</v>
      </c>
      <c r="M104" s="60">
        <v>52.32</v>
      </c>
      <c r="N104" s="60">
        <v>80.8</v>
      </c>
      <c r="O104" s="60">
        <v>0</v>
      </c>
      <c r="P104" s="60">
        <v>0.26</v>
      </c>
      <c r="Q104" s="60">
        <v>9.39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3.4</v>
      </c>
      <c r="C106" s="67">
        <f>MIN(C9:C104)</f>
        <v>18.170000000000002</v>
      </c>
      <c r="D106" s="67">
        <f t="shared" ref="D106:Q106" si="0">MIN(D9:D104)</f>
        <v>28.18</v>
      </c>
      <c r="E106" s="67">
        <f t="shared" si="0"/>
        <v>4.96</v>
      </c>
      <c r="F106" s="67">
        <f t="shared" si="0"/>
        <v>4.5</v>
      </c>
      <c r="G106" s="67">
        <f t="shared" si="0"/>
        <v>0</v>
      </c>
      <c r="H106" s="67">
        <f t="shared" si="0"/>
        <v>-12.42</v>
      </c>
      <c r="I106" s="67">
        <f t="shared" si="0"/>
        <v>3.75</v>
      </c>
      <c r="J106" s="67">
        <f t="shared" si="0"/>
        <v>0.01</v>
      </c>
      <c r="K106" s="67">
        <f t="shared" si="0"/>
        <v>59.68</v>
      </c>
      <c r="L106" s="67">
        <f t="shared" si="0"/>
        <v>26.35</v>
      </c>
      <c r="M106" s="67">
        <f t="shared" si="0"/>
        <v>26.5</v>
      </c>
      <c r="N106" s="67">
        <f t="shared" si="0"/>
        <v>71.599999999999994</v>
      </c>
      <c r="O106" s="67">
        <f t="shared" si="0"/>
        <v>0</v>
      </c>
      <c r="P106" s="67">
        <f t="shared" si="0"/>
        <v>0.25</v>
      </c>
      <c r="Q106" s="67">
        <f t="shared" si="0"/>
        <v>9.1999999999999993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33.340000000000003</v>
      </c>
      <c r="C107" s="66">
        <f t="shared" ref="C107:Q107" si="1">MAX(C9:C104)</f>
        <v>84.55</v>
      </c>
      <c r="D107" s="66">
        <f t="shared" si="1"/>
        <v>123.58</v>
      </c>
      <c r="E107" s="66">
        <f t="shared" si="1"/>
        <v>15.5</v>
      </c>
      <c r="F107" s="66">
        <f t="shared" si="1"/>
        <v>36.44</v>
      </c>
      <c r="G107" s="66">
        <f t="shared" si="1"/>
        <v>91.7</v>
      </c>
      <c r="H107" s="66">
        <f t="shared" si="1"/>
        <v>562.22</v>
      </c>
      <c r="I107" s="66">
        <f t="shared" si="1"/>
        <v>4.26</v>
      </c>
      <c r="J107" s="66">
        <f t="shared" si="1"/>
        <v>0.96</v>
      </c>
      <c r="K107" s="66">
        <f t="shared" si="1"/>
        <v>359.82</v>
      </c>
      <c r="L107" s="66">
        <f t="shared" si="1"/>
        <v>39.520000000000003</v>
      </c>
      <c r="M107" s="66">
        <f t="shared" si="1"/>
        <v>76.44</v>
      </c>
      <c r="N107" s="66">
        <f t="shared" si="1"/>
        <v>918.2</v>
      </c>
      <c r="O107" s="66">
        <f t="shared" si="1"/>
        <v>0</v>
      </c>
      <c r="P107" s="66">
        <f t="shared" si="1"/>
        <v>1.47</v>
      </c>
      <c r="Q107" s="66">
        <f t="shared" si="1"/>
        <v>9.64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10.103645833333335</v>
      </c>
      <c r="C108" s="67">
        <f t="shared" ref="C108:Q108" si="2">AVERAGE(C9:C104)</f>
        <v>30.102083333333354</v>
      </c>
      <c r="D108" s="67">
        <f t="shared" si="2"/>
        <v>42.109270833333348</v>
      </c>
      <c r="E108" s="67">
        <f t="shared" si="2"/>
        <v>7.1822916666666679</v>
      </c>
      <c r="F108" s="67">
        <f t="shared" si="2"/>
        <v>14.038333333333334</v>
      </c>
      <c r="G108" s="67">
        <f t="shared" si="2"/>
        <v>65.960625000000007</v>
      </c>
      <c r="H108" s="67">
        <f t="shared" si="2"/>
        <v>51.752916666666671</v>
      </c>
      <c r="I108" s="67">
        <f t="shared" si="2"/>
        <v>3.9974999999999992</v>
      </c>
      <c r="J108" s="67">
        <f t="shared" si="2"/>
        <v>0.19791666666666666</v>
      </c>
      <c r="K108" s="67">
        <f t="shared" si="2"/>
        <v>252.1315625</v>
      </c>
      <c r="L108" s="67">
        <f t="shared" si="2"/>
        <v>32.237916666666649</v>
      </c>
      <c r="M108" s="67">
        <f t="shared" si="2"/>
        <v>47.63750000000001</v>
      </c>
      <c r="N108" s="67">
        <f t="shared" si="2"/>
        <v>282.79270833333345</v>
      </c>
      <c r="O108" s="67">
        <f t="shared" si="2"/>
        <v>0</v>
      </c>
      <c r="P108" s="67">
        <f t="shared" si="2"/>
        <v>0.59010416666666654</v>
      </c>
      <c r="Q108" s="67">
        <f t="shared" si="2"/>
        <v>9.4304166666666642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6.7165306081404568</v>
      </c>
      <c r="C109" s="67">
        <f t="shared" ref="C109:Q109" si="3">STDEV(C9:C104)</f>
        <v>10.062632690636462</v>
      </c>
      <c r="D109" s="67">
        <f t="shared" si="3"/>
        <v>13.229013588145939</v>
      </c>
      <c r="E109" s="67">
        <f t="shared" si="3"/>
        <v>2.2236681308460415</v>
      </c>
      <c r="F109" s="67">
        <f t="shared" si="3"/>
        <v>6.8095553091792924</v>
      </c>
      <c r="G109" s="67">
        <f t="shared" si="3"/>
        <v>17.659999750402264</v>
      </c>
      <c r="H109" s="67">
        <f t="shared" si="3"/>
        <v>106.21839798925377</v>
      </c>
      <c r="I109" s="67">
        <f t="shared" si="3"/>
        <v>9.6605546315661192E-2</v>
      </c>
      <c r="J109" s="67">
        <f t="shared" si="3"/>
        <v>0.16798443954671682</v>
      </c>
      <c r="K109" s="67">
        <f t="shared" si="3"/>
        <v>64.511089284639766</v>
      </c>
      <c r="L109" s="67">
        <f t="shared" si="3"/>
        <v>4.3421018234969342</v>
      </c>
      <c r="M109" s="67">
        <f t="shared" si="3"/>
        <v>16.470605523652999</v>
      </c>
      <c r="N109" s="67">
        <f t="shared" si="3"/>
        <v>280.46759761992644</v>
      </c>
      <c r="O109" s="67">
        <f t="shared" si="3"/>
        <v>0</v>
      </c>
      <c r="P109" s="67">
        <f t="shared" si="3"/>
        <v>0.24030022796785566</v>
      </c>
      <c r="Q109" s="67">
        <f t="shared" si="3"/>
        <v>0.14874858100458371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</f>
        <v>97</v>
      </c>
      <c r="C110" s="66">
        <f>COUNT(C9:C104)+1</f>
        <v>97</v>
      </c>
      <c r="D110" s="66">
        <f>COUNT(D9:D104)+1</f>
        <v>97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COUNT(H9:H104)+4</f>
        <v>100</v>
      </c>
      <c r="I110" s="66">
        <f>COUNT(I9:I104)+1</f>
        <v>97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21" sqref="B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45815.010416666664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3">
        <v>45815.010416666664</v>
      </c>
      <c r="B9" s="60">
        <v>5.6</v>
      </c>
      <c r="C9" s="60">
        <v>19.760000000000002</v>
      </c>
      <c r="D9" s="60">
        <v>29.23</v>
      </c>
      <c r="E9" s="60">
        <v>6.43</v>
      </c>
      <c r="F9" s="60">
        <v>15.83</v>
      </c>
      <c r="G9" s="60">
        <v>41.37</v>
      </c>
      <c r="H9" s="60">
        <v>424.16</v>
      </c>
      <c r="I9" s="60">
        <v>4.07</v>
      </c>
      <c r="J9" s="60">
        <v>0.47</v>
      </c>
      <c r="K9" s="60">
        <v>144.47</v>
      </c>
      <c r="L9" s="60">
        <v>28.44</v>
      </c>
      <c r="M9" s="60">
        <v>53.57</v>
      </c>
      <c r="N9" s="60">
        <v>80.900000000000006</v>
      </c>
      <c r="O9" s="60">
        <v>0</v>
      </c>
      <c r="P9" s="60">
        <v>0.27</v>
      </c>
      <c r="Q9" s="60">
        <v>9.4</v>
      </c>
      <c r="R9" s="198"/>
      <c r="S9" s="198"/>
      <c r="T9" s="198"/>
      <c r="U9" s="198"/>
    </row>
    <row r="10" spans="1:21" s="12" customFormat="1" x14ac:dyDescent="0.25">
      <c r="A10" s="63">
        <v>45815.020833333336</v>
      </c>
      <c r="B10" s="60">
        <v>6.11</v>
      </c>
      <c r="C10" s="60">
        <v>18.420000000000002</v>
      </c>
      <c r="D10" s="60">
        <v>25.88</v>
      </c>
      <c r="E10" s="60">
        <v>6.64</v>
      </c>
      <c r="F10" s="60">
        <v>13.12</v>
      </c>
      <c r="G10" s="60">
        <v>41.37</v>
      </c>
      <c r="H10" s="60">
        <v>424.16</v>
      </c>
      <c r="I10" s="60">
        <v>4.2</v>
      </c>
      <c r="J10" s="60">
        <v>0.52</v>
      </c>
      <c r="K10" s="60">
        <v>152.43</v>
      </c>
      <c r="L10" s="60">
        <v>28.3</v>
      </c>
      <c r="M10" s="60">
        <v>55.21</v>
      </c>
      <c r="N10" s="60">
        <v>81.2</v>
      </c>
      <c r="O10" s="60">
        <v>0</v>
      </c>
      <c r="P10" s="60">
        <v>0.27</v>
      </c>
      <c r="Q10" s="60">
        <v>9.4</v>
      </c>
      <c r="R10" s="198"/>
      <c r="S10" s="198"/>
      <c r="T10" s="198"/>
      <c r="U10" s="198"/>
    </row>
    <row r="11" spans="1:21" s="12" customFormat="1" x14ac:dyDescent="0.25">
      <c r="A11" s="63">
        <v>45815.03125</v>
      </c>
      <c r="B11" s="60">
        <v>5.67</v>
      </c>
      <c r="C11" s="60">
        <v>17.88</v>
      </c>
      <c r="D11" s="60">
        <v>25.52</v>
      </c>
      <c r="E11" s="60">
        <v>6.62</v>
      </c>
      <c r="F11" s="60">
        <v>14.42</v>
      </c>
      <c r="G11" s="60">
        <v>41.37</v>
      </c>
      <c r="H11" s="60">
        <v>424.16</v>
      </c>
      <c r="I11" s="60">
        <v>4.12</v>
      </c>
      <c r="J11" s="60">
        <v>0.38</v>
      </c>
      <c r="K11" s="60">
        <v>152.43</v>
      </c>
      <c r="L11" s="60">
        <v>28.18</v>
      </c>
      <c r="M11" s="60">
        <v>55.35</v>
      </c>
      <c r="N11" s="60">
        <v>81.400000000000006</v>
      </c>
      <c r="O11" s="60">
        <v>0</v>
      </c>
      <c r="P11" s="60">
        <v>0.26</v>
      </c>
      <c r="Q11" s="60">
        <v>9.4</v>
      </c>
      <c r="R11" s="198"/>
      <c r="S11" s="198"/>
      <c r="T11" s="198"/>
      <c r="U11" s="198"/>
    </row>
    <row r="12" spans="1:21" s="12" customFormat="1" x14ac:dyDescent="0.25">
      <c r="A12" s="63">
        <v>45815.041666666664</v>
      </c>
      <c r="B12" s="60">
        <v>6.04</v>
      </c>
      <c r="C12" s="60">
        <v>18.149999999999999</v>
      </c>
      <c r="D12" s="60">
        <v>25.46</v>
      </c>
      <c r="E12" s="60">
        <v>6.08</v>
      </c>
      <c r="F12" s="60">
        <v>11.08</v>
      </c>
      <c r="G12" s="60">
        <v>41.68</v>
      </c>
      <c r="H12" s="60">
        <v>221.5</v>
      </c>
      <c r="I12" s="60">
        <v>3.89</v>
      </c>
      <c r="J12" s="60">
        <v>0.2</v>
      </c>
      <c r="K12" s="60">
        <v>141.53</v>
      </c>
      <c r="L12" s="60">
        <v>27.99</v>
      </c>
      <c r="M12" s="60">
        <v>56.53</v>
      </c>
      <c r="N12" s="60">
        <v>81.599999999999994</v>
      </c>
      <c r="O12" s="60">
        <v>0</v>
      </c>
      <c r="P12" s="60">
        <v>0.28999999999999998</v>
      </c>
      <c r="Q12" s="60">
        <v>9.3800000000000008</v>
      </c>
      <c r="R12" s="198"/>
      <c r="S12" s="198"/>
      <c r="T12" s="198"/>
      <c r="U12" s="198"/>
    </row>
    <row r="13" spans="1:21" s="12" customFormat="1" x14ac:dyDescent="0.25">
      <c r="A13" s="63">
        <v>45815.052083333336</v>
      </c>
      <c r="B13" s="60">
        <v>6.15</v>
      </c>
      <c r="C13" s="60">
        <v>18.190000000000001</v>
      </c>
      <c r="D13" s="60">
        <v>25.38</v>
      </c>
      <c r="E13" s="60">
        <v>6.53</v>
      </c>
      <c r="F13" s="60">
        <v>9.1199999999999992</v>
      </c>
      <c r="G13" s="60">
        <v>42</v>
      </c>
      <c r="H13" s="60">
        <v>0</v>
      </c>
      <c r="I13" s="60">
        <v>4.07</v>
      </c>
      <c r="J13" s="60">
        <v>0.09</v>
      </c>
      <c r="K13" s="60">
        <v>229.68</v>
      </c>
      <c r="L13" s="60">
        <v>27.8</v>
      </c>
      <c r="M13" s="60">
        <v>56.76</v>
      </c>
      <c r="N13" s="60">
        <v>81.7</v>
      </c>
      <c r="O13" s="60">
        <v>0</v>
      </c>
      <c r="P13" s="60">
        <v>0.32</v>
      </c>
      <c r="Q13" s="60">
        <v>9.34</v>
      </c>
      <c r="R13" s="198"/>
      <c r="S13" s="198"/>
      <c r="T13" s="198"/>
      <c r="U13" s="198"/>
    </row>
    <row r="14" spans="1:21" s="12" customFormat="1" x14ac:dyDescent="0.25">
      <c r="A14" s="63">
        <v>45815.0625</v>
      </c>
      <c r="B14" s="60">
        <v>6.5</v>
      </c>
      <c r="C14" s="60">
        <v>18.27</v>
      </c>
      <c r="D14" s="60">
        <v>24.99</v>
      </c>
      <c r="E14" s="60">
        <v>6.17</v>
      </c>
      <c r="F14" s="60">
        <v>7.8</v>
      </c>
      <c r="G14" s="60">
        <v>42</v>
      </c>
      <c r="H14" s="60">
        <v>0</v>
      </c>
      <c r="I14" s="60">
        <v>3.93</v>
      </c>
      <c r="J14" s="60">
        <v>0.04</v>
      </c>
      <c r="K14" s="60">
        <v>274.77999999999997</v>
      </c>
      <c r="L14" s="60">
        <v>27.59</v>
      </c>
      <c r="M14" s="60">
        <v>56.57</v>
      </c>
      <c r="N14" s="60">
        <v>82</v>
      </c>
      <c r="O14" s="60">
        <v>0</v>
      </c>
      <c r="P14" s="60">
        <v>0.35</v>
      </c>
      <c r="Q14" s="60">
        <v>9.31</v>
      </c>
      <c r="R14" s="198"/>
      <c r="S14" s="198"/>
      <c r="T14" s="198"/>
      <c r="U14" s="198"/>
    </row>
    <row r="15" spans="1:21" s="12" customFormat="1" x14ac:dyDescent="0.25">
      <c r="A15" s="63">
        <v>45815.072916666664</v>
      </c>
      <c r="B15" s="60">
        <v>6.45</v>
      </c>
      <c r="C15" s="60">
        <v>18.12</v>
      </c>
      <c r="D15" s="60">
        <v>24.78</v>
      </c>
      <c r="E15" s="60">
        <v>6.06</v>
      </c>
      <c r="F15" s="60">
        <v>8.14</v>
      </c>
      <c r="G15" s="60">
        <v>42</v>
      </c>
      <c r="H15" s="60">
        <v>0</v>
      </c>
      <c r="I15" s="60">
        <v>3.83</v>
      </c>
      <c r="J15" s="60">
        <v>0.11</v>
      </c>
      <c r="K15" s="60">
        <v>181.35</v>
      </c>
      <c r="L15" s="60">
        <v>27.31</v>
      </c>
      <c r="M15" s="60">
        <v>59.18</v>
      </c>
      <c r="N15" s="60">
        <v>82.1</v>
      </c>
      <c r="O15" s="60">
        <v>0</v>
      </c>
      <c r="P15" s="60">
        <v>0.35</v>
      </c>
      <c r="Q15" s="60">
        <v>9.3000000000000007</v>
      </c>
      <c r="R15" s="198"/>
      <c r="S15" s="198"/>
      <c r="T15" s="198"/>
      <c r="U15" s="198"/>
    </row>
    <row r="16" spans="1:21" s="12" customFormat="1" x14ac:dyDescent="0.25">
      <c r="A16" s="63">
        <v>45815.083333333336</v>
      </c>
      <c r="B16" s="60">
        <v>6.16</v>
      </c>
      <c r="C16" s="60">
        <v>17.52</v>
      </c>
      <c r="D16" s="60">
        <v>24.07</v>
      </c>
      <c r="E16" s="60">
        <v>6.09</v>
      </c>
      <c r="F16" s="60">
        <v>10.58</v>
      </c>
      <c r="G16" s="60">
        <v>40.659999999999997</v>
      </c>
      <c r="H16" s="60">
        <v>0</v>
      </c>
      <c r="I16" s="60">
        <v>4.05</v>
      </c>
      <c r="J16" s="60">
        <v>0.19</v>
      </c>
      <c r="K16" s="60">
        <v>179.85</v>
      </c>
      <c r="L16" s="60">
        <v>27.08</v>
      </c>
      <c r="M16" s="60">
        <v>62.82</v>
      </c>
      <c r="N16" s="60">
        <v>82.5</v>
      </c>
      <c r="O16" s="60">
        <v>0</v>
      </c>
      <c r="P16" s="60">
        <v>0.34</v>
      </c>
      <c r="Q16" s="60">
        <v>9.3000000000000007</v>
      </c>
      <c r="R16" s="198"/>
      <c r="S16" s="198"/>
      <c r="T16" s="198"/>
      <c r="U16" s="198"/>
    </row>
    <row r="17" spans="1:21" s="12" customFormat="1" x14ac:dyDescent="0.25">
      <c r="A17" s="63">
        <v>45815.09375</v>
      </c>
      <c r="B17" s="60">
        <v>6.17</v>
      </c>
      <c r="C17" s="60">
        <v>18.010000000000002</v>
      </c>
      <c r="D17" s="60">
        <v>25.01</v>
      </c>
      <c r="E17" s="60">
        <v>5.68</v>
      </c>
      <c r="F17" s="60">
        <v>9.42</v>
      </c>
      <c r="G17" s="60">
        <v>39.130000000000003</v>
      </c>
      <c r="H17" s="60">
        <v>0</v>
      </c>
      <c r="I17" s="60">
        <v>4.0599999999999996</v>
      </c>
      <c r="J17" s="60">
        <v>0.18</v>
      </c>
      <c r="K17" s="60">
        <v>169.49</v>
      </c>
      <c r="L17" s="60">
        <v>26.98</v>
      </c>
      <c r="M17" s="60">
        <v>64.64</v>
      </c>
      <c r="N17" s="60">
        <v>82.4</v>
      </c>
      <c r="O17" s="60">
        <v>0</v>
      </c>
      <c r="P17" s="60">
        <v>0.34</v>
      </c>
      <c r="Q17" s="60">
        <v>9.3000000000000007</v>
      </c>
      <c r="R17" s="198"/>
      <c r="S17" s="198"/>
      <c r="T17" s="198"/>
      <c r="U17" s="198"/>
    </row>
    <row r="18" spans="1:21" s="12" customFormat="1" x14ac:dyDescent="0.25">
      <c r="A18" s="63">
        <v>45815.104166666664</v>
      </c>
      <c r="B18" s="60">
        <v>6.46</v>
      </c>
      <c r="C18" s="60">
        <v>18.11</v>
      </c>
      <c r="D18" s="60">
        <v>24.74</v>
      </c>
      <c r="E18" s="60">
        <v>6.1</v>
      </c>
      <c r="F18" s="60">
        <v>7.28</v>
      </c>
      <c r="G18" s="60">
        <v>39.130000000000003</v>
      </c>
      <c r="H18" s="60">
        <v>0</v>
      </c>
      <c r="I18" s="60">
        <v>3.9</v>
      </c>
      <c r="J18" s="60">
        <v>0.31</v>
      </c>
      <c r="K18" s="60">
        <v>159.75</v>
      </c>
      <c r="L18" s="60">
        <v>26.87</v>
      </c>
      <c r="M18" s="60">
        <v>65.7</v>
      </c>
      <c r="N18" s="60">
        <v>83.2</v>
      </c>
      <c r="O18" s="60">
        <v>0</v>
      </c>
      <c r="P18" s="60">
        <v>0.35</v>
      </c>
      <c r="Q18" s="60">
        <v>9.3000000000000007</v>
      </c>
      <c r="R18" s="198"/>
      <c r="S18" s="198"/>
      <c r="T18" s="198"/>
      <c r="U18" s="198"/>
    </row>
    <row r="19" spans="1:21" s="12" customFormat="1" x14ac:dyDescent="0.25">
      <c r="A19" s="63">
        <v>45815.114583333336</v>
      </c>
      <c r="B19" s="60">
        <v>6.54</v>
      </c>
      <c r="C19" s="60">
        <v>17.850000000000001</v>
      </c>
      <c r="D19" s="60">
        <v>24.13</v>
      </c>
      <c r="E19" s="60">
        <v>5.61</v>
      </c>
      <c r="F19" s="60">
        <v>7.3</v>
      </c>
      <c r="G19" s="60">
        <v>39.130000000000003</v>
      </c>
      <c r="H19" s="60">
        <v>0</v>
      </c>
      <c r="I19" s="60">
        <v>3.87</v>
      </c>
      <c r="J19" s="60">
        <v>0.24</v>
      </c>
      <c r="K19" s="60">
        <v>164.43</v>
      </c>
      <c r="L19" s="60">
        <v>26.67</v>
      </c>
      <c r="M19" s="60">
        <v>66.680000000000007</v>
      </c>
      <c r="N19" s="60">
        <v>83.8</v>
      </c>
      <c r="O19" s="60">
        <v>0</v>
      </c>
      <c r="P19" s="60">
        <v>0.36</v>
      </c>
      <c r="Q19" s="60">
        <v>9.2899999999999991</v>
      </c>
      <c r="R19" s="198"/>
      <c r="S19" s="198"/>
      <c r="T19" s="198"/>
      <c r="U19" s="198"/>
    </row>
    <row r="20" spans="1:21" s="12" customFormat="1" x14ac:dyDescent="0.25">
      <c r="A20" s="63">
        <v>45815.125</v>
      </c>
      <c r="B20" s="60">
        <v>6.4</v>
      </c>
      <c r="C20" s="60">
        <v>17.489999999999998</v>
      </c>
      <c r="D20" s="60">
        <v>23.66</v>
      </c>
      <c r="E20" s="60">
        <v>5.98</v>
      </c>
      <c r="F20" s="60">
        <v>7.99</v>
      </c>
      <c r="G20" s="60">
        <v>38.159999999999997</v>
      </c>
      <c r="H20" s="60">
        <v>915.08</v>
      </c>
      <c r="I20" s="60">
        <v>4.1500000000000004</v>
      </c>
      <c r="J20" s="60">
        <v>0.12</v>
      </c>
      <c r="K20" s="60">
        <v>225.35</v>
      </c>
      <c r="L20" s="60">
        <v>26.56</v>
      </c>
      <c r="M20" s="60">
        <v>66.86</v>
      </c>
      <c r="N20" s="60">
        <v>84.3</v>
      </c>
      <c r="O20" s="60">
        <v>0</v>
      </c>
      <c r="P20" s="60">
        <v>0.35</v>
      </c>
      <c r="Q20" s="60">
        <v>9.2799999999999994</v>
      </c>
      <c r="R20" s="198"/>
      <c r="S20" s="198"/>
      <c r="T20" s="198"/>
      <c r="U20" s="198"/>
    </row>
    <row r="21" spans="1:21" s="12" customFormat="1" x14ac:dyDescent="0.25">
      <c r="A21" s="63">
        <v>45815.135416666664</v>
      </c>
      <c r="B21" s="60">
        <v>6.06</v>
      </c>
      <c r="C21" s="60">
        <v>17.350000000000001</v>
      </c>
      <c r="D21" s="60">
        <v>23.9</v>
      </c>
      <c r="E21" s="60">
        <v>6.42</v>
      </c>
      <c r="F21" s="60">
        <v>10.15</v>
      </c>
      <c r="G21" s="60">
        <v>37.06</v>
      </c>
      <c r="H21" s="60">
        <v>1960.88</v>
      </c>
      <c r="I21" s="60">
        <v>3.94</v>
      </c>
      <c r="J21" s="60">
        <v>0.13</v>
      </c>
      <c r="K21" s="60">
        <v>171.86</v>
      </c>
      <c r="L21" s="60">
        <v>26.55</v>
      </c>
      <c r="M21" s="60">
        <v>66.75</v>
      </c>
      <c r="N21" s="60">
        <v>84.9</v>
      </c>
      <c r="O21" s="60">
        <v>0</v>
      </c>
      <c r="P21" s="60">
        <v>0.34</v>
      </c>
      <c r="Q21" s="60">
        <v>9.2899999999999991</v>
      </c>
      <c r="R21" s="198"/>
      <c r="S21" s="198"/>
      <c r="T21" s="198"/>
      <c r="U21" s="198"/>
    </row>
    <row r="22" spans="1:21" s="12" customFormat="1" x14ac:dyDescent="0.25">
      <c r="A22" s="63">
        <v>45815.145833333336</v>
      </c>
      <c r="B22" s="60">
        <v>5.25</v>
      </c>
      <c r="C22" s="60">
        <v>16.95</v>
      </c>
      <c r="D22" s="60">
        <v>24.37</v>
      </c>
      <c r="E22" s="60">
        <v>6.31</v>
      </c>
      <c r="F22" s="60">
        <v>14.44</v>
      </c>
      <c r="G22" s="60">
        <v>37.06</v>
      </c>
      <c r="H22" s="60">
        <v>1960.88</v>
      </c>
      <c r="I22" s="60">
        <v>3.98</v>
      </c>
      <c r="J22" s="60">
        <v>0.22</v>
      </c>
      <c r="K22" s="60">
        <v>180.93</v>
      </c>
      <c r="L22" s="60">
        <v>26.46</v>
      </c>
      <c r="M22" s="60">
        <v>66.59</v>
      </c>
      <c r="N22" s="60">
        <v>85.8</v>
      </c>
      <c r="O22" s="60">
        <v>0</v>
      </c>
      <c r="P22" s="60">
        <v>0.36</v>
      </c>
      <c r="Q22" s="60">
        <v>9.2899999999999991</v>
      </c>
      <c r="R22" s="198"/>
      <c r="S22" s="198"/>
      <c r="T22" s="198"/>
      <c r="U22" s="198"/>
    </row>
    <row r="23" spans="1:21" s="12" customFormat="1" x14ac:dyDescent="0.25">
      <c r="A23" s="63">
        <v>45815.15625</v>
      </c>
      <c r="B23" s="60">
        <v>4.99</v>
      </c>
      <c r="C23" s="60">
        <v>16.68</v>
      </c>
      <c r="D23" s="60">
        <v>24.27</v>
      </c>
      <c r="E23" s="60">
        <v>6.16</v>
      </c>
      <c r="F23" s="60">
        <v>15.64</v>
      </c>
      <c r="G23" s="60">
        <v>37.06</v>
      </c>
      <c r="H23" s="60">
        <v>1960.88</v>
      </c>
      <c r="I23" s="60">
        <v>3.91</v>
      </c>
      <c r="J23" s="60">
        <v>0.15</v>
      </c>
      <c r="K23" s="60">
        <v>206.14</v>
      </c>
      <c r="L23" s="60">
        <v>26.41</v>
      </c>
      <c r="M23" s="60">
        <v>66.319999999999993</v>
      </c>
      <c r="N23" s="60">
        <v>87.1</v>
      </c>
      <c r="O23" s="60">
        <v>0</v>
      </c>
      <c r="P23" s="60">
        <v>0.39</v>
      </c>
      <c r="Q23" s="60">
        <v>9.3000000000000007</v>
      </c>
      <c r="R23" s="198"/>
      <c r="S23" s="198"/>
      <c r="T23" s="198"/>
      <c r="U23" s="198"/>
    </row>
    <row r="24" spans="1:21" s="12" customFormat="1" x14ac:dyDescent="0.25">
      <c r="A24" s="63">
        <v>45815.166666666664</v>
      </c>
      <c r="B24" s="60">
        <v>5.08</v>
      </c>
      <c r="C24" s="60">
        <v>16.809999999999999</v>
      </c>
      <c r="D24" s="60">
        <v>24.38</v>
      </c>
      <c r="E24" s="60">
        <v>6.29</v>
      </c>
      <c r="F24" s="60">
        <v>12.89</v>
      </c>
      <c r="G24" s="60">
        <v>38.15</v>
      </c>
      <c r="H24" s="60">
        <v>1024.01</v>
      </c>
      <c r="I24" s="60">
        <v>3.94</v>
      </c>
      <c r="J24" s="60">
        <v>0.18</v>
      </c>
      <c r="K24" s="60">
        <v>178.8</v>
      </c>
      <c r="L24" s="60">
        <v>26.39</v>
      </c>
      <c r="M24" s="60">
        <v>66.52</v>
      </c>
      <c r="N24" s="60">
        <v>102</v>
      </c>
      <c r="O24" s="60">
        <v>0</v>
      </c>
      <c r="P24" s="60">
        <v>0.36</v>
      </c>
      <c r="Q24" s="60">
        <v>9.31</v>
      </c>
      <c r="R24" s="198"/>
      <c r="S24" s="198"/>
      <c r="T24" s="198"/>
      <c r="U24" s="198"/>
    </row>
    <row r="25" spans="1:21" s="12" customFormat="1" x14ac:dyDescent="0.25">
      <c r="A25" s="63">
        <v>45815.177083333336</v>
      </c>
      <c r="B25" s="60">
        <v>5.48</v>
      </c>
      <c r="C25" s="60">
        <v>20.3</v>
      </c>
      <c r="D25" s="60">
        <v>30.44</v>
      </c>
      <c r="E25" s="60">
        <v>6.35</v>
      </c>
      <c r="F25" s="60">
        <v>11.38</v>
      </c>
      <c r="G25" s="60">
        <v>39.4</v>
      </c>
      <c r="H25" s="60">
        <v>0</v>
      </c>
      <c r="I25" s="60">
        <v>4.07</v>
      </c>
      <c r="J25" s="60">
        <v>0.17</v>
      </c>
      <c r="K25" s="60">
        <v>183.38</v>
      </c>
      <c r="L25" s="60">
        <v>26.35</v>
      </c>
      <c r="M25" s="60">
        <v>67.03</v>
      </c>
      <c r="N25" s="60">
        <v>105.8</v>
      </c>
      <c r="O25" s="60">
        <v>0</v>
      </c>
      <c r="P25" s="60">
        <v>0.34</v>
      </c>
      <c r="Q25" s="60">
        <v>9.32</v>
      </c>
      <c r="R25" s="198"/>
      <c r="S25" s="198"/>
      <c r="T25" s="198"/>
      <c r="U25" s="198"/>
    </row>
    <row r="26" spans="1:21" s="12" customFormat="1" x14ac:dyDescent="0.25">
      <c r="A26" s="63">
        <v>45815.1875</v>
      </c>
      <c r="B26" s="60">
        <v>5.39</v>
      </c>
      <c r="C26" s="60">
        <v>18.32</v>
      </c>
      <c r="D26" s="60">
        <v>26.79</v>
      </c>
      <c r="E26" s="60">
        <v>6.52</v>
      </c>
      <c r="F26" s="60">
        <v>11.83</v>
      </c>
      <c r="G26" s="60">
        <v>39.4</v>
      </c>
      <c r="H26" s="60">
        <v>0</v>
      </c>
      <c r="I26" s="60">
        <v>3.93</v>
      </c>
      <c r="J26" s="60">
        <v>0.22</v>
      </c>
      <c r="K26" s="60">
        <v>194.58</v>
      </c>
      <c r="L26" s="60">
        <v>26.23</v>
      </c>
      <c r="M26" s="60">
        <v>67.42</v>
      </c>
      <c r="N26" s="60">
        <v>103.2</v>
      </c>
      <c r="O26" s="60">
        <v>0</v>
      </c>
      <c r="P26" s="60">
        <v>0.34</v>
      </c>
      <c r="Q26" s="60">
        <v>9.33</v>
      </c>
      <c r="R26" s="198"/>
      <c r="S26" s="198"/>
      <c r="T26" s="198"/>
      <c r="U26" s="198"/>
    </row>
    <row r="27" spans="1:21" s="12" customFormat="1" x14ac:dyDescent="0.25">
      <c r="A27" s="63">
        <v>45815.197916666664</v>
      </c>
      <c r="B27" s="60">
        <v>5.58</v>
      </c>
      <c r="C27" s="60">
        <v>17.16</v>
      </c>
      <c r="D27" s="60">
        <v>24.28</v>
      </c>
      <c r="E27" s="60">
        <v>6.55</v>
      </c>
      <c r="F27" s="60">
        <v>12.46</v>
      </c>
      <c r="G27" s="60">
        <v>39.4</v>
      </c>
      <c r="H27" s="60">
        <v>0</v>
      </c>
      <c r="I27" s="60">
        <v>4.1500000000000004</v>
      </c>
      <c r="J27" s="60">
        <v>0.11</v>
      </c>
      <c r="K27" s="60">
        <v>231.08</v>
      </c>
      <c r="L27" s="60">
        <v>26.15</v>
      </c>
      <c r="M27" s="60">
        <v>67.680000000000007</v>
      </c>
      <c r="N27" s="60">
        <v>108.7</v>
      </c>
      <c r="O27" s="60">
        <v>0</v>
      </c>
      <c r="P27" s="60">
        <v>0.34</v>
      </c>
      <c r="Q27" s="60">
        <v>9.34</v>
      </c>
      <c r="R27" s="198"/>
      <c r="S27" s="198"/>
      <c r="T27" s="198"/>
      <c r="U27" s="198"/>
    </row>
    <row r="28" spans="1:21" s="12" customFormat="1" x14ac:dyDescent="0.25">
      <c r="A28" s="63">
        <v>45815.208333333336</v>
      </c>
      <c r="B28" s="60">
        <v>5.76</v>
      </c>
      <c r="C28" s="60">
        <v>18.93</v>
      </c>
      <c r="D28" s="60">
        <v>27.4</v>
      </c>
      <c r="E28" s="60">
        <v>6.33</v>
      </c>
      <c r="F28" s="60">
        <v>12.11</v>
      </c>
      <c r="G28" s="60">
        <v>38.659999999999997</v>
      </c>
      <c r="H28" s="60">
        <v>128.63</v>
      </c>
      <c r="I28" s="60">
        <v>3.94</v>
      </c>
      <c r="J28" s="60">
        <v>0.08</v>
      </c>
      <c r="K28" s="60">
        <v>211.77</v>
      </c>
      <c r="L28" s="60">
        <v>26.07</v>
      </c>
      <c r="M28" s="60">
        <v>68.83</v>
      </c>
      <c r="N28" s="60">
        <v>98.6</v>
      </c>
      <c r="O28" s="60">
        <v>0</v>
      </c>
      <c r="P28" s="60">
        <v>0.36</v>
      </c>
      <c r="Q28" s="60">
        <v>9.35</v>
      </c>
      <c r="R28" s="198"/>
      <c r="S28" s="198"/>
      <c r="T28" s="198"/>
      <c r="U28" s="198"/>
    </row>
    <row r="29" spans="1:21" s="12" customFormat="1" x14ac:dyDescent="0.25">
      <c r="A29" s="63">
        <v>45815.21875</v>
      </c>
      <c r="B29" s="60">
        <v>7.16</v>
      </c>
      <c r="C29" s="60">
        <v>25.9</v>
      </c>
      <c r="D29" s="60">
        <v>38.6</v>
      </c>
      <c r="E29" s="60">
        <v>5.76</v>
      </c>
      <c r="F29" s="60">
        <v>9.15</v>
      </c>
      <c r="G29" s="60">
        <v>37.82</v>
      </c>
      <c r="H29" s="60">
        <v>275.64</v>
      </c>
      <c r="I29" s="60">
        <v>4.01</v>
      </c>
      <c r="J29" s="60">
        <v>0.14000000000000001</v>
      </c>
      <c r="K29" s="60">
        <v>173.25</v>
      </c>
      <c r="L29" s="60">
        <v>25.91</v>
      </c>
      <c r="M29" s="60">
        <v>69.94</v>
      </c>
      <c r="N29" s="60">
        <v>98.8</v>
      </c>
      <c r="O29" s="60">
        <v>0</v>
      </c>
      <c r="P29" s="60">
        <v>0.37</v>
      </c>
      <c r="Q29" s="60">
        <v>9.3699999999999992</v>
      </c>
      <c r="R29" s="198"/>
      <c r="S29" s="198"/>
      <c r="T29" s="198"/>
      <c r="U29" s="198"/>
    </row>
    <row r="30" spans="1:21" s="12" customFormat="1" x14ac:dyDescent="0.25">
      <c r="A30" s="63">
        <v>45815.229166666664</v>
      </c>
      <c r="B30" s="60">
        <v>8.84</v>
      </c>
      <c r="C30" s="60">
        <v>22.07</v>
      </c>
      <c r="D30" s="60">
        <v>28.67</v>
      </c>
      <c r="E30" s="60">
        <v>6.03</v>
      </c>
      <c r="F30" s="60">
        <v>5.91</v>
      </c>
      <c r="G30" s="60">
        <v>37.82</v>
      </c>
      <c r="H30" s="60">
        <v>275.64</v>
      </c>
      <c r="I30" s="60">
        <v>3.93</v>
      </c>
      <c r="J30" s="60">
        <v>0.27</v>
      </c>
      <c r="K30" s="60">
        <v>192.7</v>
      </c>
      <c r="L30" s="60">
        <v>25.9</v>
      </c>
      <c r="M30" s="60">
        <v>69.87</v>
      </c>
      <c r="N30" s="60">
        <v>108.4</v>
      </c>
      <c r="O30" s="60">
        <v>0</v>
      </c>
      <c r="P30" s="60">
        <v>0.37</v>
      </c>
      <c r="Q30" s="60">
        <v>9.3800000000000008</v>
      </c>
      <c r="R30" s="198"/>
      <c r="S30" s="198"/>
      <c r="T30" s="198"/>
      <c r="U30" s="198"/>
    </row>
    <row r="31" spans="1:21" s="12" customFormat="1" x14ac:dyDescent="0.25">
      <c r="A31" s="63">
        <v>45815.239583333336</v>
      </c>
      <c r="B31" s="60">
        <v>8.74</v>
      </c>
      <c r="C31" s="60">
        <v>20.02</v>
      </c>
      <c r="D31" s="60">
        <v>24.9</v>
      </c>
      <c r="E31" s="60">
        <v>6.31</v>
      </c>
      <c r="F31" s="60">
        <v>5.67</v>
      </c>
      <c r="G31" s="60">
        <v>37.82</v>
      </c>
      <c r="H31" s="60">
        <v>275.64</v>
      </c>
      <c r="I31" s="60">
        <v>4.01</v>
      </c>
      <c r="J31" s="60">
        <v>0.14000000000000001</v>
      </c>
      <c r="K31" s="60">
        <v>163.9</v>
      </c>
      <c r="L31" s="60">
        <v>25.89</v>
      </c>
      <c r="M31" s="60">
        <v>70.77</v>
      </c>
      <c r="N31" s="60">
        <v>141.6</v>
      </c>
      <c r="O31" s="60">
        <v>0</v>
      </c>
      <c r="P31" s="60">
        <v>0.37</v>
      </c>
      <c r="Q31" s="60">
        <v>9.39</v>
      </c>
      <c r="R31" s="198"/>
      <c r="S31" s="198"/>
      <c r="T31" s="198"/>
      <c r="U31" s="198"/>
    </row>
    <row r="32" spans="1:21" s="12" customFormat="1" x14ac:dyDescent="0.25">
      <c r="A32" s="63">
        <v>45815.25</v>
      </c>
      <c r="B32" s="60">
        <v>8.5399999999999991</v>
      </c>
      <c r="C32" s="60">
        <v>20.57</v>
      </c>
      <c r="D32" s="60">
        <v>26.27</v>
      </c>
      <c r="E32" s="60">
        <v>6.2</v>
      </c>
      <c r="F32" s="60">
        <v>7.19</v>
      </c>
      <c r="G32" s="60">
        <v>37.979999999999997</v>
      </c>
      <c r="H32" s="60">
        <v>155.83000000000001</v>
      </c>
      <c r="I32" s="60">
        <v>3.9</v>
      </c>
      <c r="J32" s="60">
        <v>0.12</v>
      </c>
      <c r="K32" s="60">
        <v>150.22999999999999</v>
      </c>
      <c r="L32" s="60">
        <v>26.08</v>
      </c>
      <c r="M32" s="60">
        <v>70.64</v>
      </c>
      <c r="N32" s="60">
        <v>173</v>
      </c>
      <c r="O32" s="60">
        <v>0</v>
      </c>
      <c r="P32" s="60">
        <v>0.38</v>
      </c>
      <c r="Q32" s="60">
        <v>9.39</v>
      </c>
      <c r="R32" s="198"/>
      <c r="S32" s="198"/>
      <c r="T32" s="198"/>
      <c r="U32" s="198"/>
    </row>
    <row r="33" spans="1:21" s="12" customFormat="1" x14ac:dyDescent="0.25">
      <c r="A33" s="63">
        <v>45815.260416666664</v>
      </c>
      <c r="B33" s="60">
        <v>9.32</v>
      </c>
      <c r="C33" s="60">
        <v>21.52</v>
      </c>
      <c r="D33" s="60">
        <v>26.89</v>
      </c>
      <c r="E33" s="60">
        <v>6.35</v>
      </c>
      <c r="F33" s="60">
        <v>5.58</v>
      </c>
      <c r="G33" s="60">
        <v>38.159999999999997</v>
      </c>
      <c r="H33" s="60">
        <v>18.899999999999999</v>
      </c>
      <c r="I33" s="60">
        <v>3.95</v>
      </c>
      <c r="J33" s="60">
        <v>0.27</v>
      </c>
      <c r="K33" s="60">
        <v>162.38999999999999</v>
      </c>
      <c r="L33" s="60">
        <v>26.37</v>
      </c>
      <c r="M33" s="60">
        <v>69.67</v>
      </c>
      <c r="N33" s="60">
        <v>195.3</v>
      </c>
      <c r="O33" s="60">
        <v>0</v>
      </c>
      <c r="P33" s="60">
        <v>0.38</v>
      </c>
      <c r="Q33" s="60">
        <v>9.4</v>
      </c>
      <c r="R33" s="198"/>
      <c r="S33" s="198"/>
      <c r="T33" s="198"/>
      <c r="U33" s="198"/>
    </row>
    <row r="34" spans="1:21" s="12" customFormat="1" x14ac:dyDescent="0.25">
      <c r="A34" s="63">
        <v>45815.270833333336</v>
      </c>
      <c r="B34" s="60">
        <v>10.08</v>
      </c>
      <c r="C34" s="60">
        <v>22.25</v>
      </c>
      <c r="D34" s="60">
        <v>27.1</v>
      </c>
      <c r="E34" s="60">
        <v>6.34</v>
      </c>
      <c r="F34" s="60">
        <v>4.63</v>
      </c>
      <c r="G34" s="60">
        <v>38.159999999999997</v>
      </c>
      <c r="H34" s="60">
        <v>18.899999999999999</v>
      </c>
      <c r="I34" s="60">
        <v>4.09</v>
      </c>
      <c r="J34" s="60">
        <v>0.39</v>
      </c>
      <c r="K34" s="60">
        <v>153.22999999999999</v>
      </c>
      <c r="L34" s="60">
        <v>26.88</v>
      </c>
      <c r="M34" s="60">
        <v>67.62</v>
      </c>
      <c r="N34" s="60">
        <v>236.5</v>
      </c>
      <c r="O34" s="60">
        <v>0</v>
      </c>
      <c r="P34" s="60">
        <v>0.38</v>
      </c>
      <c r="Q34" s="60">
        <v>9.42</v>
      </c>
      <c r="R34" s="198"/>
      <c r="S34" s="198"/>
      <c r="T34" s="198"/>
      <c r="U34" s="198"/>
    </row>
    <row r="35" spans="1:21" s="12" customFormat="1" x14ac:dyDescent="0.25">
      <c r="A35" s="63">
        <v>45815.28125</v>
      </c>
      <c r="B35" s="60">
        <v>11.03</v>
      </c>
      <c r="C35" s="60">
        <v>25.27</v>
      </c>
      <c r="D35" s="60">
        <v>31.43</v>
      </c>
      <c r="E35" s="60">
        <v>6.02</v>
      </c>
      <c r="F35" s="60">
        <v>5.96</v>
      </c>
      <c r="G35" s="60">
        <v>38.159999999999997</v>
      </c>
      <c r="H35" s="60">
        <v>18.899999999999999</v>
      </c>
      <c r="I35" s="60">
        <v>4.0199999999999996</v>
      </c>
      <c r="J35" s="60">
        <v>0.21</v>
      </c>
      <c r="K35" s="60">
        <v>166.39</v>
      </c>
      <c r="L35" s="60">
        <v>27.67</v>
      </c>
      <c r="M35" s="60">
        <v>65.06</v>
      </c>
      <c r="N35" s="60">
        <v>272.7</v>
      </c>
      <c r="O35" s="60">
        <v>0</v>
      </c>
      <c r="P35" s="60">
        <v>0.4</v>
      </c>
      <c r="Q35" s="60">
        <v>9.43</v>
      </c>
      <c r="R35" s="198"/>
      <c r="S35" s="198"/>
      <c r="T35" s="198"/>
      <c r="U35" s="198"/>
    </row>
    <row r="36" spans="1:21" s="12" customFormat="1" x14ac:dyDescent="0.25">
      <c r="A36" s="63">
        <v>45815.291666666664</v>
      </c>
      <c r="B36" s="60">
        <v>10.64</v>
      </c>
      <c r="C36" s="60">
        <v>23.98</v>
      </c>
      <c r="D36" s="60">
        <v>29.57</v>
      </c>
      <c r="E36" s="60">
        <v>5.84</v>
      </c>
      <c r="F36" s="60">
        <v>6.83</v>
      </c>
      <c r="G36" s="60">
        <v>39.71</v>
      </c>
      <c r="H36" s="60">
        <v>18.07</v>
      </c>
      <c r="I36" s="60">
        <v>4.09</v>
      </c>
      <c r="J36" s="60">
        <v>0.22</v>
      </c>
      <c r="K36" s="60">
        <v>142.51</v>
      </c>
      <c r="L36" s="60">
        <v>28.53</v>
      </c>
      <c r="M36" s="60">
        <v>61.81</v>
      </c>
      <c r="N36" s="60">
        <v>323.2</v>
      </c>
      <c r="O36" s="60">
        <v>0</v>
      </c>
      <c r="P36" s="60">
        <v>0.4</v>
      </c>
      <c r="Q36" s="60">
        <v>9.4499999999999993</v>
      </c>
      <c r="R36" s="198"/>
      <c r="S36" s="198"/>
      <c r="T36" s="198"/>
      <c r="U36" s="198"/>
    </row>
    <row r="37" spans="1:21" s="12" customFormat="1" x14ac:dyDescent="0.25">
      <c r="A37" s="63">
        <v>45815.302083333336</v>
      </c>
      <c r="B37" s="60">
        <v>9.51</v>
      </c>
      <c r="C37" s="60">
        <v>22.49</v>
      </c>
      <c r="D37" s="60">
        <v>28.44</v>
      </c>
      <c r="E37" s="60">
        <v>5.95</v>
      </c>
      <c r="F37" s="60">
        <v>7.69</v>
      </c>
      <c r="G37" s="60">
        <v>41.49</v>
      </c>
      <c r="H37" s="60">
        <v>17.12</v>
      </c>
      <c r="I37" s="60">
        <v>4.07</v>
      </c>
      <c r="J37" s="60">
        <v>0.09</v>
      </c>
      <c r="K37" s="60">
        <v>243.49</v>
      </c>
      <c r="L37" s="60">
        <v>29.2</v>
      </c>
      <c r="M37" s="60">
        <v>59</v>
      </c>
      <c r="N37" s="60">
        <v>360.7</v>
      </c>
      <c r="O37" s="60">
        <v>0</v>
      </c>
      <c r="P37" s="60">
        <v>0.43</v>
      </c>
      <c r="Q37" s="60">
        <v>9.44</v>
      </c>
      <c r="R37" s="198"/>
      <c r="S37" s="198"/>
      <c r="T37" s="198"/>
      <c r="U37" s="198"/>
    </row>
    <row r="38" spans="1:21" s="12" customFormat="1" x14ac:dyDescent="0.25">
      <c r="A38" s="63">
        <v>45815.3125</v>
      </c>
      <c r="B38" s="60">
        <v>10.210000000000001</v>
      </c>
      <c r="C38" s="60">
        <v>23.42</v>
      </c>
      <c r="D38" s="60">
        <v>29.14</v>
      </c>
      <c r="E38" s="60">
        <v>5.75</v>
      </c>
      <c r="F38" s="60">
        <v>5.61</v>
      </c>
      <c r="G38" s="60">
        <v>41.49</v>
      </c>
      <c r="H38" s="60">
        <v>17.12</v>
      </c>
      <c r="I38" s="60">
        <v>4.01</v>
      </c>
      <c r="J38" s="60">
        <v>0.1</v>
      </c>
      <c r="K38" s="60">
        <v>278.67</v>
      </c>
      <c r="L38" s="60">
        <v>29.82</v>
      </c>
      <c r="M38" s="60">
        <v>56.86</v>
      </c>
      <c r="N38" s="60">
        <v>399.1</v>
      </c>
      <c r="O38" s="60">
        <v>0</v>
      </c>
      <c r="P38" s="60">
        <v>0.49</v>
      </c>
      <c r="Q38" s="60">
        <v>9.43</v>
      </c>
      <c r="R38" s="198"/>
      <c r="S38" s="198"/>
      <c r="T38" s="198"/>
      <c r="U38" s="198"/>
    </row>
    <row r="39" spans="1:21" s="12" customFormat="1" x14ac:dyDescent="0.25">
      <c r="A39" s="63">
        <v>45815.322916666664</v>
      </c>
      <c r="B39" s="60">
        <v>10.41</v>
      </c>
      <c r="C39" s="60">
        <v>25.59</v>
      </c>
      <c r="D39" s="60">
        <v>33</v>
      </c>
      <c r="E39" s="60">
        <v>5.82</v>
      </c>
      <c r="F39" s="60">
        <v>6.71</v>
      </c>
      <c r="G39" s="60">
        <v>41.49</v>
      </c>
      <c r="H39" s="60">
        <v>17.12</v>
      </c>
      <c r="I39" s="60">
        <v>3.85</v>
      </c>
      <c r="J39" s="60">
        <v>0.1</v>
      </c>
      <c r="K39" s="60">
        <v>278.89</v>
      </c>
      <c r="L39" s="60">
        <v>30.6</v>
      </c>
      <c r="M39" s="60">
        <v>55.36</v>
      </c>
      <c r="N39" s="60">
        <v>451.4</v>
      </c>
      <c r="O39" s="60">
        <v>0</v>
      </c>
      <c r="P39" s="60">
        <v>0.5</v>
      </c>
      <c r="Q39" s="60">
        <v>9.43</v>
      </c>
      <c r="R39" s="198"/>
      <c r="S39" s="198"/>
      <c r="T39" s="198"/>
      <c r="U39" s="198"/>
    </row>
    <row r="40" spans="1:21" s="12" customFormat="1" x14ac:dyDescent="0.25">
      <c r="A40" s="63">
        <v>45815.333333333336</v>
      </c>
      <c r="B40" s="60">
        <v>8.77</v>
      </c>
      <c r="C40" s="60">
        <v>23.52</v>
      </c>
      <c r="D40" s="60">
        <v>31.56</v>
      </c>
      <c r="E40" s="60">
        <v>5.08</v>
      </c>
      <c r="F40" s="60">
        <v>12.79</v>
      </c>
      <c r="G40" s="60">
        <v>43.94</v>
      </c>
      <c r="H40" s="60">
        <v>9.1300000000000008</v>
      </c>
      <c r="I40" s="60">
        <v>4.17</v>
      </c>
      <c r="J40" s="60">
        <v>0.14000000000000001</v>
      </c>
      <c r="K40" s="60">
        <v>266.69</v>
      </c>
      <c r="L40" s="60">
        <v>30.77</v>
      </c>
      <c r="M40" s="60">
        <v>54.74</v>
      </c>
      <c r="N40" s="60">
        <v>499.9</v>
      </c>
      <c r="O40" s="60">
        <v>0</v>
      </c>
      <c r="P40" s="60">
        <v>0.56999999999999995</v>
      </c>
      <c r="Q40" s="60">
        <v>9.42</v>
      </c>
      <c r="R40" s="198"/>
      <c r="S40" s="198"/>
      <c r="T40" s="198"/>
      <c r="U40" s="198"/>
    </row>
    <row r="41" spans="1:21" s="12" customFormat="1" x14ac:dyDescent="0.25">
      <c r="A41" s="63">
        <v>45815.34375</v>
      </c>
      <c r="B41" s="60">
        <v>7.56</v>
      </c>
      <c r="C41" s="60">
        <v>21.96</v>
      </c>
      <c r="D41" s="60">
        <v>30.43</v>
      </c>
      <c r="E41" s="60">
        <v>5.91</v>
      </c>
      <c r="F41" s="60">
        <v>15.24</v>
      </c>
      <c r="G41" s="60">
        <v>46.74</v>
      </c>
      <c r="H41" s="60">
        <v>0</v>
      </c>
      <c r="I41" s="60">
        <v>4.1100000000000003</v>
      </c>
      <c r="J41" s="60">
        <v>7.0000000000000007E-2</v>
      </c>
      <c r="K41" s="60">
        <v>252.03</v>
      </c>
      <c r="L41" s="60">
        <v>30.91</v>
      </c>
      <c r="M41" s="60">
        <v>55.67</v>
      </c>
      <c r="N41" s="60">
        <v>532</v>
      </c>
      <c r="O41" s="60">
        <v>0</v>
      </c>
      <c r="P41" s="60">
        <v>0.56000000000000005</v>
      </c>
      <c r="Q41" s="60">
        <v>9.41</v>
      </c>
      <c r="R41" s="198"/>
      <c r="S41" s="198"/>
      <c r="T41" s="198"/>
      <c r="U41" s="198"/>
    </row>
    <row r="42" spans="1:21" s="12" customFormat="1" x14ac:dyDescent="0.25">
      <c r="A42" s="63">
        <v>45815.354166666664</v>
      </c>
      <c r="B42" s="60">
        <v>10.89</v>
      </c>
      <c r="C42" s="60">
        <v>27.95</v>
      </c>
      <c r="D42" s="60">
        <v>36.770000000000003</v>
      </c>
      <c r="E42" s="60">
        <v>6.16</v>
      </c>
      <c r="F42" s="60">
        <v>16.18</v>
      </c>
      <c r="G42" s="60">
        <v>46.74</v>
      </c>
      <c r="H42" s="60">
        <v>0</v>
      </c>
      <c r="I42" s="60">
        <v>4</v>
      </c>
      <c r="J42" s="60">
        <v>0.14000000000000001</v>
      </c>
      <c r="K42" s="60">
        <v>251.88</v>
      </c>
      <c r="L42" s="60">
        <v>32.29</v>
      </c>
      <c r="M42" s="60">
        <v>53.01</v>
      </c>
      <c r="N42" s="60">
        <v>569</v>
      </c>
      <c r="O42" s="60">
        <v>0</v>
      </c>
      <c r="P42" s="60">
        <v>0.65</v>
      </c>
      <c r="Q42" s="60">
        <v>9.39</v>
      </c>
      <c r="R42" s="198"/>
      <c r="S42" s="198"/>
      <c r="T42" s="198"/>
      <c r="U42" s="198"/>
    </row>
    <row r="43" spans="1:21" s="12" customFormat="1" x14ac:dyDescent="0.25">
      <c r="A43" s="63">
        <v>45815.364583333336</v>
      </c>
      <c r="B43" s="60">
        <v>8.2100000000000009</v>
      </c>
      <c r="C43" s="60">
        <v>23.99</v>
      </c>
      <c r="D43" s="60">
        <v>33.32</v>
      </c>
      <c r="E43" s="60">
        <v>5.89</v>
      </c>
      <c r="F43" s="60">
        <v>12.26</v>
      </c>
      <c r="G43" s="60">
        <v>46.74</v>
      </c>
      <c r="H43" s="60">
        <v>0</v>
      </c>
      <c r="I43" s="60">
        <v>3.93</v>
      </c>
      <c r="J43" s="60">
        <v>0.19</v>
      </c>
      <c r="K43" s="60">
        <v>269.39999999999998</v>
      </c>
      <c r="L43" s="60">
        <v>32.71</v>
      </c>
      <c r="M43" s="60">
        <v>49.28</v>
      </c>
      <c r="N43" s="60">
        <v>618.9</v>
      </c>
      <c r="O43" s="60">
        <v>0</v>
      </c>
      <c r="P43" s="60">
        <v>0.56999999999999995</v>
      </c>
      <c r="Q43" s="60">
        <v>9.3800000000000008</v>
      </c>
      <c r="R43" s="198"/>
      <c r="S43" s="198"/>
      <c r="T43" s="198"/>
      <c r="U43" s="198"/>
    </row>
    <row r="44" spans="1:21" s="12" customFormat="1" x14ac:dyDescent="0.25">
      <c r="A44" s="63">
        <v>45815.375</v>
      </c>
      <c r="B44" s="60">
        <v>7.04</v>
      </c>
      <c r="C44" s="60">
        <v>21.28</v>
      </c>
      <c r="D44" s="60">
        <v>29.92</v>
      </c>
      <c r="E44" s="60">
        <v>5.84</v>
      </c>
      <c r="F44" s="60">
        <v>10.46</v>
      </c>
      <c r="G44" s="60">
        <v>47.39</v>
      </c>
      <c r="H44" s="60">
        <v>72.28</v>
      </c>
      <c r="I44" s="60">
        <v>3.99</v>
      </c>
      <c r="J44" s="60">
        <v>0.23</v>
      </c>
      <c r="K44" s="60">
        <v>282.18</v>
      </c>
      <c r="L44" s="60">
        <v>33.42</v>
      </c>
      <c r="M44" s="60">
        <v>45.87</v>
      </c>
      <c r="N44" s="60">
        <v>664.8</v>
      </c>
      <c r="O44" s="60">
        <v>0</v>
      </c>
      <c r="P44" s="60">
        <v>0.52</v>
      </c>
      <c r="Q44" s="60">
        <v>9.35</v>
      </c>
      <c r="R44" s="198"/>
      <c r="S44" s="198"/>
      <c r="T44" s="198"/>
      <c r="U44" s="198"/>
    </row>
    <row r="45" spans="1:21" s="12" customFormat="1" x14ac:dyDescent="0.25">
      <c r="A45" s="63">
        <v>45815.385416666664</v>
      </c>
      <c r="B45" s="60">
        <v>6.34</v>
      </c>
      <c r="C45" s="60">
        <v>22.05</v>
      </c>
      <c r="D45" s="60">
        <v>32.479999999999997</v>
      </c>
      <c r="E45" s="60">
        <v>5.88</v>
      </c>
      <c r="F45" s="60">
        <v>13.35</v>
      </c>
      <c r="G45" s="60">
        <v>48.14</v>
      </c>
      <c r="H45" s="60">
        <v>154.88</v>
      </c>
      <c r="I45" s="60">
        <v>3.99</v>
      </c>
      <c r="J45" s="60">
        <v>0.25</v>
      </c>
      <c r="K45" s="60">
        <v>284.63</v>
      </c>
      <c r="L45" s="60">
        <v>34.4</v>
      </c>
      <c r="M45" s="60">
        <v>43.75</v>
      </c>
      <c r="N45" s="60">
        <v>705.2</v>
      </c>
      <c r="O45" s="60">
        <v>0</v>
      </c>
      <c r="P45" s="60">
        <v>0.53</v>
      </c>
      <c r="Q45" s="60">
        <v>9.32</v>
      </c>
      <c r="R45" s="198"/>
      <c r="S45" s="198"/>
      <c r="T45" s="198"/>
      <c r="U45" s="198"/>
    </row>
    <row r="46" spans="1:21" s="12" customFormat="1" x14ac:dyDescent="0.25">
      <c r="A46" s="63">
        <v>45815.395833333336</v>
      </c>
      <c r="B46" s="60">
        <v>5.71</v>
      </c>
      <c r="C46" s="60">
        <v>20.93</v>
      </c>
      <c r="D46" s="60">
        <v>31.3</v>
      </c>
      <c r="E46" s="60">
        <v>5.57</v>
      </c>
      <c r="F46" s="60">
        <v>11.38</v>
      </c>
      <c r="G46" s="60">
        <v>48.14</v>
      </c>
      <c r="H46" s="60">
        <v>154.88</v>
      </c>
      <c r="I46" s="60">
        <v>4</v>
      </c>
      <c r="J46" s="60">
        <v>0.44</v>
      </c>
      <c r="K46" s="60">
        <v>294.95</v>
      </c>
      <c r="L46" s="60">
        <v>35.64</v>
      </c>
      <c r="M46" s="60">
        <v>39.86</v>
      </c>
      <c r="N46" s="60">
        <v>742.8</v>
      </c>
      <c r="O46" s="60">
        <v>0</v>
      </c>
      <c r="P46" s="60">
        <v>0.53</v>
      </c>
      <c r="Q46" s="60">
        <v>9.2899999999999991</v>
      </c>
      <c r="R46" s="198"/>
      <c r="S46" s="198"/>
      <c r="T46" s="198"/>
      <c r="U46" s="198"/>
    </row>
    <row r="47" spans="1:21" s="12" customFormat="1" x14ac:dyDescent="0.25">
      <c r="A47" s="63">
        <v>45815.40625</v>
      </c>
      <c r="B47" s="60">
        <v>4.92</v>
      </c>
      <c r="C47" s="60">
        <v>19.62</v>
      </c>
      <c r="D47" s="60">
        <v>30</v>
      </c>
      <c r="E47" s="60">
        <v>5.42</v>
      </c>
      <c r="F47" s="60">
        <v>6.19</v>
      </c>
      <c r="G47" s="60">
        <v>48.14</v>
      </c>
      <c r="H47" s="60">
        <v>154.88</v>
      </c>
      <c r="I47" s="60">
        <v>4</v>
      </c>
      <c r="J47" s="60">
        <v>0.49</v>
      </c>
      <c r="K47" s="60">
        <v>292.2</v>
      </c>
      <c r="L47" s="60">
        <v>36.479999999999997</v>
      </c>
      <c r="M47" s="60">
        <v>37.29</v>
      </c>
      <c r="N47" s="60">
        <v>770.9</v>
      </c>
      <c r="O47" s="60">
        <v>0</v>
      </c>
      <c r="P47" s="60">
        <v>0.52</v>
      </c>
      <c r="Q47" s="60">
        <v>9.2899999999999991</v>
      </c>
      <c r="R47" s="198"/>
      <c r="S47" s="198"/>
      <c r="T47" s="198"/>
      <c r="U47" s="198"/>
    </row>
    <row r="48" spans="1:21" s="12" customFormat="1" x14ac:dyDescent="0.25">
      <c r="A48" s="63">
        <v>45815.416666666664</v>
      </c>
      <c r="B48" s="60">
        <v>4.67</v>
      </c>
      <c r="C48" s="60">
        <v>21.18</v>
      </c>
      <c r="D48" s="60">
        <v>33.380000000000003</v>
      </c>
      <c r="E48" s="60">
        <v>6.12</v>
      </c>
      <c r="F48" s="60">
        <v>7.88</v>
      </c>
      <c r="G48" s="60">
        <v>47.64</v>
      </c>
      <c r="H48" s="60">
        <v>89.57</v>
      </c>
      <c r="I48" s="60">
        <v>4.0999999999999996</v>
      </c>
      <c r="J48" s="60">
        <v>0.39</v>
      </c>
      <c r="K48" s="60">
        <v>288.45999999999998</v>
      </c>
      <c r="L48" s="60">
        <v>36.14</v>
      </c>
      <c r="M48" s="60">
        <v>37.51</v>
      </c>
      <c r="N48" s="60">
        <v>789.3</v>
      </c>
      <c r="O48" s="60">
        <v>0</v>
      </c>
      <c r="P48" s="60">
        <v>0.61</v>
      </c>
      <c r="Q48" s="60">
        <v>9.27</v>
      </c>
      <c r="R48" s="198"/>
      <c r="S48" s="198"/>
      <c r="T48" s="198"/>
      <c r="U48" s="198"/>
    </row>
    <row r="49" spans="1:21" s="12" customFormat="1" x14ac:dyDescent="0.25">
      <c r="A49" s="63">
        <v>45815.427083333336</v>
      </c>
      <c r="B49" s="60">
        <v>4.37</v>
      </c>
      <c r="C49" s="60">
        <v>22.75</v>
      </c>
      <c r="D49" s="60">
        <v>36.83</v>
      </c>
      <c r="E49" s="60">
        <v>5.87</v>
      </c>
      <c r="F49" s="60">
        <v>6.65</v>
      </c>
      <c r="G49" s="60">
        <v>47.07</v>
      </c>
      <c r="H49" s="60">
        <v>0</v>
      </c>
      <c r="I49" s="60">
        <v>3.94</v>
      </c>
      <c r="J49" s="60">
        <v>0.41</v>
      </c>
      <c r="K49" s="60">
        <v>288.47000000000003</v>
      </c>
      <c r="L49" s="60">
        <v>36.840000000000003</v>
      </c>
      <c r="M49" s="60">
        <v>36.04</v>
      </c>
      <c r="N49" s="60">
        <v>824.3</v>
      </c>
      <c r="O49" s="60">
        <v>0</v>
      </c>
      <c r="P49" s="60">
        <v>0.78</v>
      </c>
      <c r="Q49" s="60">
        <v>9.26</v>
      </c>
      <c r="R49" s="198"/>
      <c r="S49" s="198"/>
      <c r="T49" s="198"/>
      <c r="U49" s="198"/>
    </row>
    <row r="50" spans="1:21" s="12" customFormat="1" x14ac:dyDescent="0.25">
      <c r="A50" s="63">
        <v>45815.4375</v>
      </c>
      <c r="B50" s="60">
        <v>4.3499999999999996</v>
      </c>
      <c r="C50" s="60">
        <v>22.09</v>
      </c>
      <c r="D50" s="60">
        <v>35.61</v>
      </c>
      <c r="E50" s="60">
        <v>6.31</v>
      </c>
      <c r="F50" s="60">
        <v>8.06</v>
      </c>
      <c r="G50" s="60">
        <v>47.07</v>
      </c>
      <c r="H50" s="60">
        <v>0</v>
      </c>
      <c r="I50" s="60">
        <v>3.98</v>
      </c>
      <c r="J50" s="60">
        <v>0.5</v>
      </c>
      <c r="K50" s="60">
        <v>301.91000000000003</v>
      </c>
      <c r="L50" s="60">
        <v>37.799999999999997</v>
      </c>
      <c r="M50" s="60">
        <v>34.94</v>
      </c>
      <c r="N50" s="60">
        <v>844.2</v>
      </c>
      <c r="O50" s="60">
        <v>0</v>
      </c>
      <c r="P50" s="60">
        <v>0.86</v>
      </c>
      <c r="Q50" s="60">
        <v>9.24</v>
      </c>
      <c r="R50" s="198"/>
      <c r="S50" s="198"/>
      <c r="T50" s="198"/>
      <c r="U50" s="198"/>
    </row>
    <row r="51" spans="1:21" s="12" customFormat="1" x14ac:dyDescent="0.25">
      <c r="A51" s="63">
        <v>45815.447916666664</v>
      </c>
      <c r="B51" s="60">
        <v>4.1399999999999997</v>
      </c>
      <c r="C51" s="60">
        <v>21.52</v>
      </c>
      <c r="D51" s="60">
        <v>34.840000000000003</v>
      </c>
      <c r="E51" s="60">
        <v>5.84</v>
      </c>
      <c r="F51" s="60">
        <v>8.19</v>
      </c>
      <c r="G51" s="60">
        <v>47.07</v>
      </c>
      <c r="H51" s="60">
        <v>0</v>
      </c>
      <c r="I51" s="60">
        <v>3.84</v>
      </c>
      <c r="J51" s="60">
        <v>0.61</v>
      </c>
      <c r="K51" s="60">
        <v>302.82</v>
      </c>
      <c r="L51" s="60">
        <v>39.21</v>
      </c>
      <c r="M51" s="60">
        <v>32.97</v>
      </c>
      <c r="N51" s="60">
        <v>856.8</v>
      </c>
      <c r="O51" s="60">
        <v>0</v>
      </c>
      <c r="P51" s="60">
        <v>0.87</v>
      </c>
      <c r="Q51" s="60">
        <v>9.25</v>
      </c>
      <c r="R51" s="198"/>
      <c r="S51" s="198"/>
      <c r="T51" s="198"/>
      <c r="U51" s="198"/>
    </row>
    <row r="52" spans="1:21" s="12" customFormat="1" x14ac:dyDescent="0.25">
      <c r="A52" s="63">
        <v>45815.458333333336</v>
      </c>
      <c r="B52" s="60">
        <v>4.16</v>
      </c>
      <c r="C52" s="60">
        <v>22.47</v>
      </c>
      <c r="D52" s="60">
        <v>36.61</v>
      </c>
      <c r="E52" s="60">
        <v>5.98</v>
      </c>
      <c r="F52" s="60">
        <v>8.02</v>
      </c>
      <c r="G52" s="60">
        <v>51.29</v>
      </c>
      <c r="H52" s="60">
        <v>0</v>
      </c>
      <c r="I52" s="60">
        <v>3.98</v>
      </c>
      <c r="J52" s="60">
        <v>0.51</v>
      </c>
      <c r="K52" s="60">
        <v>294.77999999999997</v>
      </c>
      <c r="L52" s="60">
        <v>38.93</v>
      </c>
      <c r="M52" s="60">
        <v>32.270000000000003</v>
      </c>
      <c r="N52" s="60">
        <v>880.6</v>
      </c>
      <c r="O52" s="60">
        <v>0</v>
      </c>
      <c r="P52" s="60">
        <v>0.88</v>
      </c>
      <c r="Q52" s="60">
        <v>9.27</v>
      </c>
      <c r="R52" s="198"/>
      <c r="S52" s="198"/>
      <c r="T52" s="198"/>
      <c r="U52" s="198"/>
    </row>
    <row r="53" spans="1:21" s="12" customFormat="1" x14ac:dyDescent="0.25">
      <c r="A53" s="63">
        <v>45815.46875</v>
      </c>
      <c r="B53" s="60">
        <v>4.21</v>
      </c>
      <c r="C53" s="60">
        <v>22.5</v>
      </c>
      <c r="D53" s="60">
        <v>36.61</v>
      </c>
      <c r="E53" s="60">
        <v>5.96</v>
      </c>
      <c r="F53" s="60">
        <v>7.92</v>
      </c>
      <c r="G53" s="60">
        <v>56.11</v>
      </c>
      <c r="H53" s="60">
        <v>0</v>
      </c>
      <c r="I53" s="60">
        <v>4.0599999999999996</v>
      </c>
      <c r="J53" s="60">
        <v>0.54</v>
      </c>
      <c r="K53" s="60">
        <v>301.27</v>
      </c>
      <c r="L53" s="60">
        <v>39.32</v>
      </c>
      <c r="M53" s="60">
        <v>31.86</v>
      </c>
      <c r="N53" s="60">
        <v>904.1</v>
      </c>
      <c r="O53" s="60">
        <v>0</v>
      </c>
      <c r="P53" s="60">
        <v>0.89</v>
      </c>
      <c r="Q53" s="60">
        <v>9.27</v>
      </c>
      <c r="R53" s="198"/>
      <c r="S53" s="198"/>
      <c r="T53" s="198"/>
      <c r="U53" s="198"/>
    </row>
    <row r="54" spans="1:21" s="12" customFormat="1" x14ac:dyDescent="0.25">
      <c r="A54" s="63">
        <v>45815.479166666664</v>
      </c>
      <c r="B54" s="60">
        <v>4.21</v>
      </c>
      <c r="C54" s="60">
        <v>22.08</v>
      </c>
      <c r="D54" s="60">
        <v>35.799999999999997</v>
      </c>
      <c r="E54" s="60">
        <v>5.97</v>
      </c>
      <c r="F54" s="60">
        <v>10.56</v>
      </c>
      <c r="G54" s="60">
        <v>56.11</v>
      </c>
      <c r="H54" s="60">
        <v>0</v>
      </c>
      <c r="I54" s="60">
        <v>4.0199999999999996</v>
      </c>
      <c r="J54" s="60">
        <v>0.56999999999999995</v>
      </c>
      <c r="K54" s="60">
        <v>316.22000000000003</v>
      </c>
      <c r="L54" s="60">
        <v>40.03</v>
      </c>
      <c r="M54" s="60">
        <v>30.48</v>
      </c>
      <c r="N54" s="60">
        <v>908.8</v>
      </c>
      <c r="O54" s="60">
        <v>0</v>
      </c>
      <c r="P54" s="60">
        <v>0.89</v>
      </c>
      <c r="Q54" s="60">
        <v>9.27</v>
      </c>
      <c r="R54" s="198"/>
      <c r="S54" s="198"/>
      <c r="T54" s="198"/>
      <c r="U54" s="198"/>
    </row>
    <row r="55" spans="1:21" s="12" customFormat="1" x14ac:dyDescent="0.25">
      <c r="A55" s="63">
        <v>45815.489583333336</v>
      </c>
      <c r="B55" s="60">
        <v>4.57</v>
      </c>
      <c r="C55" s="60">
        <v>23.4</v>
      </c>
      <c r="D55" s="60">
        <v>37.770000000000003</v>
      </c>
      <c r="E55" s="60">
        <v>6.55</v>
      </c>
      <c r="F55" s="60">
        <v>8.3000000000000007</v>
      </c>
      <c r="G55" s="60">
        <v>56.11</v>
      </c>
      <c r="H55" s="60">
        <v>0</v>
      </c>
      <c r="I55" s="60">
        <v>4.01</v>
      </c>
      <c r="J55" s="60">
        <v>0.73</v>
      </c>
      <c r="K55" s="60">
        <v>308.87</v>
      </c>
      <c r="L55" s="60">
        <v>40.35</v>
      </c>
      <c r="M55" s="60">
        <v>29.44</v>
      </c>
      <c r="N55" s="60">
        <v>892.7</v>
      </c>
      <c r="O55" s="60">
        <v>0</v>
      </c>
      <c r="P55" s="60">
        <v>0.92</v>
      </c>
      <c r="Q55" s="60">
        <v>9.2899999999999991</v>
      </c>
      <c r="R55" s="198"/>
      <c r="S55" s="198"/>
      <c r="T55" s="198"/>
      <c r="U55" s="198"/>
    </row>
    <row r="56" spans="1:21" s="12" customFormat="1" x14ac:dyDescent="0.25">
      <c r="A56" s="63">
        <v>45815.5</v>
      </c>
      <c r="B56" s="60">
        <v>4.8</v>
      </c>
      <c r="C56" s="60">
        <v>21.16</v>
      </c>
      <c r="D56" s="60">
        <v>33.14</v>
      </c>
      <c r="E56" s="60">
        <v>6.07</v>
      </c>
      <c r="F56" s="60">
        <v>10.32</v>
      </c>
      <c r="G56" s="60">
        <v>60.35</v>
      </c>
      <c r="H56" s="60">
        <v>521.44000000000005</v>
      </c>
      <c r="I56" s="60">
        <v>4.1100000000000003</v>
      </c>
      <c r="J56" s="60">
        <v>0.76</v>
      </c>
      <c r="K56" s="60">
        <v>313.06</v>
      </c>
      <c r="L56" s="60">
        <v>39.64</v>
      </c>
      <c r="M56" s="60">
        <v>29.06</v>
      </c>
      <c r="N56" s="60">
        <v>904.2</v>
      </c>
      <c r="O56" s="60">
        <v>0</v>
      </c>
      <c r="P56" s="60">
        <v>0.89</v>
      </c>
      <c r="Q56" s="60">
        <v>9.2799999999999994</v>
      </c>
      <c r="R56" s="198"/>
      <c r="S56" s="198"/>
      <c r="T56" s="198"/>
      <c r="U56" s="198"/>
    </row>
    <row r="57" spans="1:21" s="12" customFormat="1" x14ac:dyDescent="0.25">
      <c r="A57" s="63">
        <v>45815.510416666664</v>
      </c>
      <c r="B57" s="60">
        <v>4.4400000000000004</v>
      </c>
      <c r="C57" s="60">
        <v>20.04</v>
      </c>
      <c r="D57" s="60">
        <v>31.55</v>
      </c>
      <c r="E57" s="60">
        <v>6.36</v>
      </c>
      <c r="F57" s="60">
        <v>11.53</v>
      </c>
      <c r="G57" s="60">
        <v>65.19</v>
      </c>
      <c r="H57" s="60">
        <v>1117.3800000000001</v>
      </c>
      <c r="I57" s="60">
        <v>3.95</v>
      </c>
      <c r="J57" s="60">
        <v>0.68</v>
      </c>
      <c r="K57" s="60">
        <v>310.25</v>
      </c>
      <c r="L57" s="60">
        <v>40.380000000000003</v>
      </c>
      <c r="M57" s="60">
        <v>26.97</v>
      </c>
      <c r="N57" s="60">
        <v>898.6</v>
      </c>
      <c r="O57" s="60">
        <v>0</v>
      </c>
      <c r="P57" s="60">
        <v>0.82</v>
      </c>
      <c r="Q57" s="60">
        <v>9.26</v>
      </c>
      <c r="R57" s="198"/>
      <c r="S57" s="198"/>
      <c r="T57" s="198"/>
      <c r="U57" s="198"/>
    </row>
    <row r="58" spans="1:21" s="12" customFormat="1" x14ac:dyDescent="0.25">
      <c r="A58" s="63">
        <v>45815.520833333336</v>
      </c>
      <c r="B58" s="60">
        <v>5.9</v>
      </c>
      <c r="C58" s="60">
        <v>22.89</v>
      </c>
      <c r="D58" s="60">
        <v>34.76</v>
      </c>
      <c r="E58" s="60">
        <v>7.23</v>
      </c>
      <c r="F58" s="60">
        <v>14.16</v>
      </c>
      <c r="G58" s="60">
        <v>65.19</v>
      </c>
      <c r="H58" s="60">
        <v>1117.3800000000001</v>
      </c>
      <c r="I58" s="60">
        <v>4.04</v>
      </c>
      <c r="J58" s="60">
        <v>0.34</v>
      </c>
      <c r="K58" s="60">
        <v>300.23</v>
      </c>
      <c r="L58" s="60">
        <v>40.01</v>
      </c>
      <c r="M58" s="60">
        <v>25.31</v>
      </c>
      <c r="N58" s="60">
        <v>904.4</v>
      </c>
      <c r="O58" s="60">
        <v>0</v>
      </c>
      <c r="P58" s="60">
        <v>0.74</v>
      </c>
      <c r="Q58" s="60">
        <v>9.26</v>
      </c>
      <c r="R58" s="198"/>
      <c r="S58" s="198"/>
      <c r="T58" s="198"/>
      <c r="U58" s="198"/>
    </row>
    <row r="59" spans="1:21" s="12" customFormat="1" x14ac:dyDescent="0.25">
      <c r="A59" s="63">
        <v>45815.53125</v>
      </c>
      <c r="B59" s="60">
        <v>5.27</v>
      </c>
      <c r="C59" s="60">
        <v>19.89</v>
      </c>
      <c r="D59" s="60">
        <v>29.98</v>
      </c>
      <c r="E59" s="60">
        <v>8.3699999999999992</v>
      </c>
      <c r="F59" s="60">
        <v>18.489999999999998</v>
      </c>
      <c r="G59" s="60">
        <v>65.19</v>
      </c>
      <c r="H59" s="60">
        <v>1117.3800000000001</v>
      </c>
      <c r="I59" s="60">
        <v>3.96</v>
      </c>
      <c r="J59" s="60">
        <v>0.56999999999999995</v>
      </c>
      <c r="K59" s="60">
        <v>325.69</v>
      </c>
      <c r="L59" s="60">
        <v>39.409999999999997</v>
      </c>
      <c r="M59" s="60">
        <v>26.31</v>
      </c>
      <c r="N59" s="60">
        <v>852.4</v>
      </c>
      <c r="O59" s="60">
        <v>0</v>
      </c>
      <c r="P59" s="60">
        <v>0.69</v>
      </c>
      <c r="Q59" s="60">
        <v>9.26</v>
      </c>
      <c r="R59" s="198"/>
      <c r="S59" s="198"/>
      <c r="T59" s="198"/>
      <c r="U59" s="198"/>
    </row>
    <row r="60" spans="1:21" s="12" customFormat="1" x14ac:dyDescent="0.25">
      <c r="A60" s="63">
        <v>45815.541666666664</v>
      </c>
      <c r="B60" s="60">
        <v>5.59</v>
      </c>
      <c r="C60" s="60">
        <v>20.56</v>
      </c>
      <c r="D60" s="60">
        <v>30.78</v>
      </c>
      <c r="E60" s="60">
        <v>6.6</v>
      </c>
      <c r="F60" s="60">
        <v>12.97</v>
      </c>
      <c r="G60" s="60">
        <v>61.87</v>
      </c>
      <c r="H60" s="60">
        <v>587.76</v>
      </c>
      <c r="I60" s="60">
        <v>4.05</v>
      </c>
      <c r="J60" s="60">
        <v>0.79</v>
      </c>
      <c r="K60" s="60">
        <v>312.61</v>
      </c>
      <c r="L60" s="60">
        <v>40.619999999999997</v>
      </c>
      <c r="M60" s="60">
        <v>24.59</v>
      </c>
      <c r="N60" s="60">
        <v>727.5</v>
      </c>
      <c r="O60" s="60">
        <v>0</v>
      </c>
      <c r="P60" s="60">
        <v>0.74</v>
      </c>
      <c r="Q60" s="60">
        <v>9.26</v>
      </c>
      <c r="R60" s="198"/>
      <c r="S60" s="198"/>
      <c r="T60" s="198"/>
      <c r="U60" s="198"/>
    </row>
    <row r="61" spans="1:21" s="12" customFormat="1" x14ac:dyDescent="0.25">
      <c r="A61" s="63">
        <v>45815.552083333336</v>
      </c>
      <c r="B61" s="60">
        <v>5.66</v>
      </c>
      <c r="C61" s="60">
        <v>20.62</v>
      </c>
      <c r="D61" s="60">
        <v>30.78</v>
      </c>
      <c r="E61" s="60">
        <v>6.47</v>
      </c>
      <c r="F61" s="60">
        <v>14.71</v>
      </c>
      <c r="G61" s="60">
        <v>58.25</v>
      </c>
      <c r="H61" s="60">
        <v>8.8699999999999992</v>
      </c>
      <c r="I61" s="60">
        <v>3.95</v>
      </c>
      <c r="J61" s="60">
        <v>0.49</v>
      </c>
      <c r="K61" s="60">
        <v>307.68</v>
      </c>
      <c r="L61" s="60">
        <v>41.26</v>
      </c>
      <c r="M61" s="60">
        <v>22.26</v>
      </c>
      <c r="N61" s="60">
        <v>783.9</v>
      </c>
      <c r="O61" s="60">
        <v>0</v>
      </c>
      <c r="P61" s="60">
        <v>0.56000000000000005</v>
      </c>
      <c r="Q61" s="60">
        <v>9.27</v>
      </c>
      <c r="R61" s="198"/>
      <c r="S61" s="198"/>
      <c r="T61" s="198"/>
      <c r="U61" s="198"/>
    </row>
    <row r="62" spans="1:21" s="12" customFormat="1" x14ac:dyDescent="0.25">
      <c r="A62" s="63">
        <v>45815.5625</v>
      </c>
      <c r="B62" s="60">
        <v>6.81</v>
      </c>
      <c r="C62" s="60">
        <v>22.74</v>
      </c>
      <c r="D62" s="60">
        <v>33.07</v>
      </c>
      <c r="E62" s="60">
        <v>6.41</v>
      </c>
      <c r="F62" s="60">
        <v>19.36</v>
      </c>
      <c r="G62" s="60">
        <v>58.25</v>
      </c>
      <c r="H62" s="60">
        <v>8.8699999999999992</v>
      </c>
      <c r="I62" s="60">
        <v>4.0199999999999996</v>
      </c>
      <c r="J62" s="60">
        <v>0.36</v>
      </c>
      <c r="K62" s="60">
        <v>328.44</v>
      </c>
      <c r="L62" s="60">
        <v>40.130000000000003</v>
      </c>
      <c r="M62" s="60">
        <v>22.14</v>
      </c>
      <c r="N62" s="60">
        <v>398.2</v>
      </c>
      <c r="O62" s="60">
        <v>0</v>
      </c>
      <c r="P62" s="60">
        <v>0.5</v>
      </c>
      <c r="Q62" s="60">
        <v>9.2899999999999991</v>
      </c>
      <c r="R62" s="198"/>
      <c r="S62" s="198"/>
      <c r="T62" s="198"/>
      <c r="U62" s="198"/>
    </row>
    <row r="63" spans="1:21" s="12" customFormat="1" x14ac:dyDescent="0.25">
      <c r="A63" s="63">
        <v>45815.572916666664</v>
      </c>
      <c r="B63" s="60">
        <v>6.73</v>
      </c>
      <c r="C63" s="60">
        <v>21.86</v>
      </c>
      <c r="D63" s="60">
        <v>31.51</v>
      </c>
      <c r="E63" s="60">
        <v>6.44</v>
      </c>
      <c r="F63" s="60">
        <v>16.149999999999999</v>
      </c>
      <c r="G63" s="60">
        <v>58.25</v>
      </c>
      <c r="H63" s="60">
        <v>8.8699999999999992</v>
      </c>
      <c r="I63" s="60">
        <v>3.96</v>
      </c>
      <c r="J63" s="60">
        <v>0.47</v>
      </c>
      <c r="K63" s="60">
        <v>315.36</v>
      </c>
      <c r="L63" s="60">
        <v>40.54</v>
      </c>
      <c r="M63" s="60">
        <v>21.87</v>
      </c>
      <c r="N63" s="60">
        <v>467.4</v>
      </c>
      <c r="O63" s="60">
        <v>0</v>
      </c>
      <c r="P63" s="60">
        <v>0.54</v>
      </c>
      <c r="Q63" s="60">
        <v>9.2899999999999991</v>
      </c>
      <c r="R63" s="198"/>
      <c r="S63" s="198"/>
      <c r="T63" s="198"/>
      <c r="U63" s="198"/>
    </row>
    <row r="64" spans="1:21" s="12" customFormat="1" x14ac:dyDescent="0.25">
      <c r="A64" s="63">
        <v>45815.583333333336</v>
      </c>
      <c r="B64" s="60">
        <v>6.8</v>
      </c>
      <c r="C64" s="60">
        <v>20.47</v>
      </c>
      <c r="D64" s="60">
        <v>28.74</v>
      </c>
      <c r="E64" s="60">
        <v>6.96</v>
      </c>
      <c r="F64" s="60">
        <v>18.66</v>
      </c>
      <c r="G64" s="60">
        <v>55.99</v>
      </c>
      <c r="H64" s="60">
        <v>4.87</v>
      </c>
      <c r="I64" s="60">
        <v>3.96</v>
      </c>
      <c r="J64" s="60">
        <v>0.67</v>
      </c>
      <c r="K64" s="60">
        <v>326.37</v>
      </c>
      <c r="L64" s="60">
        <v>40.81</v>
      </c>
      <c r="M64" s="60">
        <v>21.1</v>
      </c>
      <c r="N64" s="60">
        <v>399.3</v>
      </c>
      <c r="O64" s="60">
        <v>0</v>
      </c>
      <c r="P64" s="60">
        <v>0.49</v>
      </c>
      <c r="Q64" s="60">
        <v>9.2899999999999991</v>
      </c>
      <c r="R64" s="198"/>
      <c r="S64" s="198"/>
      <c r="T64" s="198"/>
      <c r="U64" s="198"/>
    </row>
    <row r="65" spans="1:21" s="12" customFormat="1" x14ac:dyDescent="0.25">
      <c r="A65" s="63">
        <v>45815.59375</v>
      </c>
      <c r="B65" s="60">
        <v>5.22</v>
      </c>
      <c r="C65" s="60">
        <v>19.18</v>
      </c>
      <c r="D65" s="60">
        <v>28.7</v>
      </c>
      <c r="E65" s="60">
        <v>6.35</v>
      </c>
      <c r="F65" s="60">
        <v>13.6</v>
      </c>
      <c r="G65" s="60">
        <v>53.41</v>
      </c>
      <c r="H65" s="60">
        <v>0.49</v>
      </c>
      <c r="I65" s="60">
        <v>4.07</v>
      </c>
      <c r="J65" s="60">
        <v>0.2</v>
      </c>
      <c r="K65" s="60">
        <v>298.63</v>
      </c>
      <c r="L65" s="60">
        <v>39.770000000000003</v>
      </c>
      <c r="M65" s="60">
        <v>21.48</v>
      </c>
      <c r="N65" s="60">
        <v>476.8</v>
      </c>
      <c r="O65" s="60">
        <v>0</v>
      </c>
      <c r="P65" s="60">
        <v>0.53</v>
      </c>
      <c r="Q65" s="60">
        <v>9.3000000000000007</v>
      </c>
      <c r="R65" s="198"/>
      <c r="S65" s="198"/>
      <c r="T65" s="198"/>
      <c r="U65" s="198"/>
    </row>
    <row r="66" spans="1:21" s="12" customFormat="1" x14ac:dyDescent="0.25">
      <c r="A66" s="63">
        <v>45815.604166666664</v>
      </c>
      <c r="B66" s="60">
        <v>5.76</v>
      </c>
      <c r="C66" s="60">
        <v>20.11</v>
      </c>
      <c r="D66" s="60">
        <v>29.64</v>
      </c>
      <c r="E66" s="60">
        <v>6.02</v>
      </c>
      <c r="F66" s="60">
        <v>10.34</v>
      </c>
      <c r="G66" s="60">
        <v>53.41</v>
      </c>
      <c r="H66" s="60">
        <v>0.49</v>
      </c>
      <c r="I66" s="60">
        <v>4.03</v>
      </c>
      <c r="J66" s="60">
        <v>0.37</v>
      </c>
      <c r="K66" s="60">
        <v>301.92</v>
      </c>
      <c r="L66" s="60">
        <v>39.44</v>
      </c>
      <c r="M66" s="60">
        <v>22.52</v>
      </c>
      <c r="N66" s="60">
        <v>315.2</v>
      </c>
      <c r="O66" s="60">
        <v>0</v>
      </c>
      <c r="P66" s="60">
        <v>0.55000000000000004</v>
      </c>
      <c r="Q66" s="60">
        <v>9.2799999999999994</v>
      </c>
      <c r="R66" s="198"/>
      <c r="S66" s="198"/>
      <c r="T66" s="198"/>
      <c r="U66" s="198"/>
    </row>
    <row r="67" spans="1:21" s="12" customFormat="1" x14ac:dyDescent="0.25">
      <c r="A67" s="63">
        <v>45815.614583333336</v>
      </c>
      <c r="B67" s="60">
        <v>5.55</v>
      </c>
      <c r="C67" s="60">
        <v>20.49</v>
      </c>
      <c r="D67" s="60">
        <v>30.69</v>
      </c>
      <c r="E67" s="60">
        <v>6.11</v>
      </c>
      <c r="F67" s="60">
        <v>12.43</v>
      </c>
      <c r="G67" s="60">
        <v>53.41</v>
      </c>
      <c r="H67" s="60">
        <v>0.49</v>
      </c>
      <c r="I67" s="60">
        <v>3.89</v>
      </c>
      <c r="J67" s="60">
        <v>0.48</v>
      </c>
      <c r="K67" s="60">
        <v>307.14</v>
      </c>
      <c r="L67" s="60">
        <v>39.56</v>
      </c>
      <c r="M67" s="60">
        <v>24.02</v>
      </c>
      <c r="N67" s="60">
        <v>437.8</v>
      </c>
      <c r="O67" s="60">
        <v>0</v>
      </c>
      <c r="P67" s="60">
        <v>0.53</v>
      </c>
      <c r="Q67" s="60">
        <v>9.25</v>
      </c>
      <c r="R67" s="198"/>
      <c r="S67" s="198"/>
      <c r="T67" s="198"/>
      <c r="U67" s="198"/>
    </row>
    <row r="68" spans="1:21" s="12" customFormat="1" x14ac:dyDescent="0.25">
      <c r="A68" s="63">
        <v>45815.625</v>
      </c>
      <c r="B68" s="60">
        <v>5.23</v>
      </c>
      <c r="C68" s="60">
        <v>20.11</v>
      </c>
      <c r="D68" s="60">
        <v>30.48</v>
      </c>
      <c r="E68" s="60">
        <v>6.13</v>
      </c>
      <c r="F68" s="60">
        <v>13.14</v>
      </c>
      <c r="G68" s="60">
        <v>54.87</v>
      </c>
      <c r="H68" s="60">
        <v>15.33</v>
      </c>
      <c r="I68" s="60">
        <v>4.1100000000000003</v>
      </c>
      <c r="J68" s="60">
        <v>0.2</v>
      </c>
      <c r="K68" s="60">
        <v>265.36</v>
      </c>
      <c r="L68" s="60">
        <v>39.119999999999997</v>
      </c>
      <c r="M68" s="60">
        <v>23.58</v>
      </c>
      <c r="N68" s="60">
        <v>320.8</v>
      </c>
      <c r="O68" s="60">
        <v>0</v>
      </c>
      <c r="P68" s="60">
        <v>0.48</v>
      </c>
      <c r="Q68" s="60">
        <v>9.24</v>
      </c>
      <c r="R68" s="198"/>
      <c r="S68" s="198"/>
      <c r="T68" s="198"/>
      <c r="U68" s="198"/>
    </row>
    <row r="69" spans="1:21" s="12" customFormat="1" x14ac:dyDescent="0.25">
      <c r="A69" s="63">
        <v>45815.635416666664</v>
      </c>
      <c r="B69" s="60">
        <v>5.63</v>
      </c>
      <c r="C69" s="60">
        <v>20.53</v>
      </c>
      <c r="D69" s="60">
        <v>30.65</v>
      </c>
      <c r="E69" s="60">
        <v>5.9</v>
      </c>
      <c r="F69" s="60">
        <v>10.27</v>
      </c>
      <c r="G69" s="60">
        <v>56.47</v>
      </c>
      <c r="H69" s="60">
        <v>32.28</v>
      </c>
      <c r="I69" s="60">
        <v>4.04</v>
      </c>
      <c r="J69" s="60">
        <v>0.2</v>
      </c>
      <c r="K69" s="60">
        <v>264.5</v>
      </c>
      <c r="L69" s="60">
        <v>37.799999999999997</v>
      </c>
      <c r="M69" s="60">
        <v>24.49</v>
      </c>
      <c r="N69" s="60">
        <v>243.1</v>
      </c>
      <c r="O69" s="60">
        <v>0</v>
      </c>
      <c r="P69" s="60">
        <v>0.48</v>
      </c>
      <c r="Q69" s="60">
        <v>9.24</v>
      </c>
      <c r="R69" s="198"/>
      <c r="S69" s="198"/>
      <c r="T69" s="198"/>
      <c r="U69" s="198"/>
    </row>
    <row r="70" spans="1:21" s="12" customFormat="1" x14ac:dyDescent="0.25">
      <c r="A70" s="63">
        <v>45815.645833333336</v>
      </c>
      <c r="B70" s="60">
        <v>4.55</v>
      </c>
      <c r="C70" s="60">
        <v>21.39</v>
      </c>
      <c r="D70" s="60">
        <v>33.96</v>
      </c>
      <c r="E70" s="60">
        <v>5.66</v>
      </c>
      <c r="F70" s="60">
        <v>9.9</v>
      </c>
      <c r="G70" s="60">
        <v>56.47</v>
      </c>
      <c r="H70" s="60">
        <v>32.28</v>
      </c>
      <c r="I70" s="60">
        <v>3.91</v>
      </c>
      <c r="J70" s="60">
        <v>0.33</v>
      </c>
      <c r="K70" s="60">
        <v>282.27</v>
      </c>
      <c r="L70" s="60">
        <v>38.020000000000003</v>
      </c>
      <c r="M70" s="60">
        <v>24.48</v>
      </c>
      <c r="N70" s="60">
        <v>478</v>
      </c>
      <c r="O70" s="60">
        <v>0</v>
      </c>
      <c r="P70" s="60">
        <v>0.47</v>
      </c>
      <c r="Q70" s="60">
        <v>9.24</v>
      </c>
      <c r="R70" s="198"/>
      <c r="S70" s="198"/>
      <c r="T70" s="198"/>
      <c r="U70" s="198"/>
    </row>
    <row r="71" spans="1:21" s="12" customFormat="1" x14ac:dyDescent="0.25">
      <c r="A71" s="63">
        <v>45815.65625</v>
      </c>
      <c r="B71" s="60">
        <v>4.2</v>
      </c>
      <c r="C71" s="60">
        <v>19.420000000000002</v>
      </c>
      <c r="D71" s="60">
        <v>30.72</v>
      </c>
      <c r="E71" s="60">
        <v>5.68</v>
      </c>
      <c r="F71" s="60">
        <v>6.13</v>
      </c>
      <c r="G71" s="60">
        <v>56.47</v>
      </c>
      <c r="H71" s="60">
        <v>32.28</v>
      </c>
      <c r="I71" s="60">
        <v>3.9</v>
      </c>
      <c r="J71" s="60">
        <v>0.49</v>
      </c>
      <c r="K71" s="60">
        <v>290.02999999999997</v>
      </c>
      <c r="L71" s="60">
        <v>38.090000000000003</v>
      </c>
      <c r="M71" s="60">
        <v>25.14</v>
      </c>
      <c r="N71" s="60">
        <v>324.2</v>
      </c>
      <c r="O71" s="60">
        <v>0</v>
      </c>
      <c r="P71" s="60">
        <v>0.46</v>
      </c>
      <c r="Q71" s="60">
        <v>9.2200000000000006</v>
      </c>
      <c r="R71" s="198"/>
      <c r="S71" s="198"/>
      <c r="T71" s="198"/>
      <c r="U71" s="198"/>
    </row>
    <row r="72" spans="1:21" s="12" customFormat="1" x14ac:dyDescent="0.25">
      <c r="A72" s="63">
        <v>45815.666666666664</v>
      </c>
      <c r="B72" s="60">
        <v>4.87</v>
      </c>
      <c r="C72" s="60">
        <v>19.649999999999999</v>
      </c>
      <c r="D72" s="60">
        <v>30.15</v>
      </c>
      <c r="E72" s="60">
        <v>5.8</v>
      </c>
      <c r="F72" s="60">
        <v>11.13</v>
      </c>
      <c r="G72" s="60">
        <v>55.44</v>
      </c>
      <c r="H72" s="60">
        <v>16.86</v>
      </c>
      <c r="I72" s="60">
        <v>3.99</v>
      </c>
      <c r="J72" s="60">
        <v>0.34</v>
      </c>
      <c r="K72" s="60">
        <v>293.02999999999997</v>
      </c>
      <c r="L72" s="60">
        <v>37.840000000000003</v>
      </c>
      <c r="M72" s="60">
        <v>25.02</v>
      </c>
      <c r="N72" s="60">
        <v>203.9</v>
      </c>
      <c r="O72" s="60">
        <v>0</v>
      </c>
      <c r="P72" s="60">
        <v>0.42</v>
      </c>
      <c r="Q72" s="60">
        <v>9.2200000000000006</v>
      </c>
      <c r="R72" s="198"/>
      <c r="S72" s="198"/>
      <c r="T72" s="198"/>
      <c r="U72" s="198"/>
    </row>
    <row r="73" spans="1:21" s="12" customFormat="1" x14ac:dyDescent="0.25">
      <c r="A73" s="63">
        <v>45815.677083333336</v>
      </c>
      <c r="B73" s="60">
        <v>11.55</v>
      </c>
      <c r="C73" s="60">
        <v>35.33</v>
      </c>
      <c r="D73" s="60">
        <v>49.9</v>
      </c>
      <c r="E73" s="60">
        <v>6.78</v>
      </c>
      <c r="F73" s="60">
        <v>17.309999999999999</v>
      </c>
      <c r="G73" s="60">
        <v>54.26</v>
      </c>
      <c r="H73" s="60">
        <v>0</v>
      </c>
      <c r="I73" s="60">
        <v>4.09</v>
      </c>
      <c r="J73" s="60">
        <v>0.18</v>
      </c>
      <c r="K73" s="60">
        <v>295.25</v>
      </c>
      <c r="L73" s="60">
        <v>37.07</v>
      </c>
      <c r="M73" s="60">
        <v>26.53</v>
      </c>
      <c r="N73" s="60">
        <v>173</v>
      </c>
      <c r="O73" s="60">
        <v>0</v>
      </c>
      <c r="P73" s="60">
        <v>0.51</v>
      </c>
      <c r="Q73" s="60">
        <v>9.2200000000000006</v>
      </c>
      <c r="R73" s="198"/>
      <c r="S73" s="198"/>
      <c r="T73" s="198"/>
      <c r="U73" s="198"/>
    </row>
    <row r="74" spans="1:21" s="12" customFormat="1" x14ac:dyDescent="0.25">
      <c r="A74" s="63">
        <v>45815.6875</v>
      </c>
      <c r="B74" s="60">
        <v>14.92</v>
      </c>
      <c r="C74" s="60">
        <v>36.03</v>
      </c>
      <c r="D74" s="60">
        <v>46.29</v>
      </c>
      <c r="E74" s="60">
        <v>7.15</v>
      </c>
      <c r="F74" s="60">
        <v>14.4</v>
      </c>
      <c r="G74" s="60">
        <v>54.26</v>
      </c>
      <c r="H74" s="60">
        <v>0</v>
      </c>
      <c r="I74" s="60">
        <v>4.0599999999999996</v>
      </c>
      <c r="J74" s="60">
        <v>0.19</v>
      </c>
      <c r="K74" s="60">
        <v>290.17</v>
      </c>
      <c r="L74" s="60">
        <v>36.61</v>
      </c>
      <c r="M74" s="60">
        <v>27.44</v>
      </c>
      <c r="N74" s="60">
        <v>176.6</v>
      </c>
      <c r="O74" s="60">
        <v>0</v>
      </c>
      <c r="P74" s="60">
        <v>0.47</v>
      </c>
      <c r="Q74" s="60">
        <v>9.24</v>
      </c>
      <c r="R74" s="198"/>
      <c r="S74" s="198"/>
      <c r="T74" s="198"/>
      <c r="U74" s="198"/>
    </row>
    <row r="75" spans="1:21" s="12" customFormat="1" x14ac:dyDescent="0.25">
      <c r="A75" s="63">
        <v>45815.697916666664</v>
      </c>
      <c r="B75" s="60">
        <v>7.24</v>
      </c>
      <c r="C75" s="60">
        <v>29.61</v>
      </c>
      <c r="D75" s="60">
        <v>45.57</v>
      </c>
      <c r="E75" s="60">
        <v>7.7</v>
      </c>
      <c r="F75" s="60">
        <v>22.47</v>
      </c>
      <c r="G75" s="60">
        <v>54.26</v>
      </c>
      <c r="H75" s="60">
        <v>0</v>
      </c>
      <c r="I75" s="60">
        <v>4.0199999999999996</v>
      </c>
      <c r="J75" s="60">
        <v>0.16</v>
      </c>
      <c r="K75" s="60">
        <v>298.69</v>
      </c>
      <c r="L75" s="60">
        <v>36.4</v>
      </c>
      <c r="M75" s="60">
        <v>27.85</v>
      </c>
      <c r="N75" s="60">
        <v>148.30000000000001</v>
      </c>
      <c r="O75" s="60">
        <v>0</v>
      </c>
      <c r="P75" s="60">
        <v>0.49</v>
      </c>
      <c r="Q75" s="60">
        <v>9.3000000000000007</v>
      </c>
      <c r="R75" s="198"/>
      <c r="S75" s="198"/>
      <c r="T75" s="198"/>
      <c r="U75" s="198"/>
    </row>
    <row r="76" spans="1:21" s="12" customFormat="1" x14ac:dyDescent="0.25">
      <c r="A76" s="63">
        <v>45815.708333333336</v>
      </c>
      <c r="B76" s="60">
        <v>6.01</v>
      </c>
      <c r="C76" s="60">
        <v>34.22</v>
      </c>
      <c r="D76" s="60">
        <v>56.27</v>
      </c>
      <c r="E76" s="60">
        <v>10.28</v>
      </c>
      <c r="F76" s="60">
        <v>26.65</v>
      </c>
      <c r="G76" s="60">
        <v>53.95</v>
      </c>
      <c r="H76" s="60">
        <v>78.28</v>
      </c>
      <c r="I76" s="60">
        <v>3.84</v>
      </c>
      <c r="J76" s="60">
        <v>0.09</v>
      </c>
      <c r="K76" s="60">
        <v>265.07</v>
      </c>
      <c r="L76" s="60">
        <v>35.86</v>
      </c>
      <c r="M76" s="60">
        <v>28.21</v>
      </c>
      <c r="N76" s="60">
        <v>133.6</v>
      </c>
      <c r="O76" s="60">
        <v>0</v>
      </c>
      <c r="P76" s="60">
        <v>0.49</v>
      </c>
      <c r="Q76" s="60">
        <v>9.31</v>
      </c>
      <c r="R76" s="198"/>
      <c r="S76" s="198"/>
      <c r="T76" s="198"/>
      <c r="U76" s="198"/>
    </row>
    <row r="77" spans="1:21" s="12" customFormat="1" x14ac:dyDescent="0.25">
      <c r="A77" s="63">
        <v>45815.71875</v>
      </c>
      <c r="B77" s="60">
        <v>10.98</v>
      </c>
      <c r="C77" s="60">
        <v>43.23</v>
      </c>
      <c r="D77" s="60">
        <v>65.88</v>
      </c>
      <c r="E77" s="60">
        <v>12.25</v>
      </c>
      <c r="F77" s="60">
        <v>23.81</v>
      </c>
      <c r="G77" s="60">
        <v>53.62</v>
      </c>
      <c r="H77" s="60">
        <v>163.84</v>
      </c>
      <c r="I77" s="60">
        <v>3.99</v>
      </c>
      <c r="J77" s="60">
        <v>7.0000000000000007E-2</v>
      </c>
      <c r="K77" s="60">
        <v>306.16000000000003</v>
      </c>
      <c r="L77" s="60">
        <v>35.72</v>
      </c>
      <c r="M77" s="60">
        <v>28.3</v>
      </c>
      <c r="N77" s="60">
        <v>127.3</v>
      </c>
      <c r="O77" s="60">
        <v>0</v>
      </c>
      <c r="P77" s="60">
        <v>0.75</v>
      </c>
      <c r="Q77" s="60">
        <v>9.35</v>
      </c>
      <c r="R77" s="198"/>
      <c r="S77" s="198"/>
      <c r="T77" s="198"/>
      <c r="U77" s="198"/>
    </row>
    <row r="78" spans="1:21" s="12" customFormat="1" x14ac:dyDescent="0.25">
      <c r="A78" s="63">
        <v>45815.729166666664</v>
      </c>
      <c r="B78" s="60">
        <v>5.63</v>
      </c>
      <c r="C78" s="60">
        <v>28.98</v>
      </c>
      <c r="D78" s="60">
        <v>46.82</v>
      </c>
      <c r="E78" s="60">
        <v>13.78</v>
      </c>
      <c r="F78" s="60">
        <v>26.63</v>
      </c>
      <c r="G78" s="60">
        <v>53.62</v>
      </c>
      <c r="H78" s="60">
        <v>163.84</v>
      </c>
      <c r="I78" s="60">
        <v>4.04</v>
      </c>
      <c r="J78" s="60">
        <v>0.04</v>
      </c>
      <c r="K78" s="60">
        <v>252.46</v>
      </c>
      <c r="L78" s="60">
        <v>35.619999999999997</v>
      </c>
      <c r="M78" s="60">
        <v>28.39</v>
      </c>
      <c r="N78" s="60">
        <v>116.6</v>
      </c>
      <c r="O78" s="60">
        <v>0</v>
      </c>
      <c r="P78" s="60">
        <v>0.67</v>
      </c>
      <c r="Q78" s="60">
        <v>9.3800000000000008</v>
      </c>
      <c r="R78" s="198"/>
      <c r="S78" s="198"/>
      <c r="T78" s="198"/>
      <c r="U78" s="198"/>
    </row>
    <row r="79" spans="1:21" s="12" customFormat="1" x14ac:dyDescent="0.25">
      <c r="A79" s="63">
        <v>45815.739583333336</v>
      </c>
      <c r="B79" s="60">
        <v>6.53</v>
      </c>
      <c r="C79" s="60">
        <v>39.450000000000003</v>
      </c>
      <c r="D79" s="60">
        <v>65.489999999999995</v>
      </c>
      <c r="E79" s="60">
        <v>12.22</v>
      </c>
      <c r="F79" s="60">
        <v>22.28</v>
      </c>
      <c r="G79" s="60">
        <v>53.62</v>
      </c>
      <c r="H79" s="60">
        <v>163.84</v>
      </c>
      <c r="I79" s="60">
        <v>3.94</v>
      </c>
      <c r="J79" s="60">
        <v>0.06</v>
      </c>
      <c r="K79" s="60">
        <v>296.93</v>
      </c>
      <c r="L79" s="60">
        <v>35.51</v>
      </c>
      <c r="M79" s="60">
        <v>28.66</v>
      </c>
      <c r="N79" s="60">
        <v>112.1</v>
      </c>
      <c r="O79" s="60">
        <v>0</v>
      </c>
      <c r="P79" s="60">
        <v>0.72</v>
      </c>
      <c r="Q79" s="60">
        <v>9.4</v>
      </c>
      <c r="R79" s="198"/>
      <c r="S79" s="198"/>
      <c r="T79" s="198"/>
      <c r="U79" s="198"/>
    </row>
    <row r="80" spans="1:21" s="12" customFormat="1" x14ac:dyDescent="0.25">
      <c r="A80" s="63">
        <v>45815.75</v>
      </c>
      <c r="B80" s="60">
        <v>4.7300000000000004</v>
      </c>
      <c r="C80" s="60">
        <v>29.87</v>
      </c>
      <c r="D80" s="60">
        <v>49.91</v>
      </c>
      <c r="E80" s="60">
        <v>11.1</v>
      </c>
      <c r="F80" s="60">
        <v>25.03</v>
      </c>
      <c r="G80" s="60">
        <v>55.5</v>
      </c>
      <c r="H80" s="60">
        <v>98.24</v>
      </c>
      <c r="I80" s="60">
        <v>4.17</v>
      </c>
      <c r="J80" s="60">
        <v>0.09</v>
      </c>
      <c r="K80" s="60">
        <v>196.05</v>
      </c>
      <c r="L80" s="60">
        <v>35.31</v>
      </c>
      <c r="M80" s="60">
        <v>29.69</v>
      </c>
      <c r="N80" s="60">
        <v>110.1</v>
      </c>
      <c r="O80" s="60">
        <v>0</v>
      </c>
      <c r="P80" s="60">
        <v>0.61</v>
      </c>
      <c r="Q80" s="60">
        <v>9.4</v>
      </c>
      <c r="R80" s="198"/>
      <c r="S80" s="198"/>
      <c r="T80" s="198"/>
      <c r="U80" s="198"/>
    </row>
    <row r="81" spans="1:26" s="12" customFormat="1" x14ac:dyDescent="0.25">
      <c r="A81" s="63">
        <v>45815.760416666664</v>
      </c>
      <c r="B81" s="60">
        <v>4.74</v>
      </c>
      <c r="C81" s="60">
        <v>35.450000000000003</v>
      </c>
      <c r="D81" s="60">
        <v>60.58</v>
      </c>
      <c r="E81" s="60">
        <v>10.5</v>
      </c>
      <c r="F81" s="60">
        <v>21.61</v>
      </c>
      <c r="G81" s="60">
        <v>57.65</v>
      </c>
      <c r="H81" s="60">
        <v>26.54</v>
      </c>
      <c r="I81" s="60">
        <v>4.17</v>
      </c>
      <c r="J81" s="60">
        <v>0.01</v>
      </c>
      <c r="K81" s="60">
        <v>291.14</v>
      </c>
      <c r="L81" s="60">
        <v>35.090000000000003</v>
      </c>
      <c r="M81" s="60">
        <v>30.19</v>
      </c>
      <c r="N81" s="60">
        <v>111.6</v>
      </c>
      <c r="O81" s="60">
        <v>0</v>
      </c>
      <c r="P81" s="60">
        <v>0.72</v>
      </c>
      <c r="Q81" s="60">
        <v>9.4</v>
      </c>
      <c r="R81" s="198"/>
      <c r="S81" s="198"/>
      <c r="T81" s="198"/>
      <c r="U81" s="198"/>
    </row>
    <row r="82" spans="1:26" s="12" customFormat="1" x14ac:dyDescent="0.25">
      <c r="A82" s="63">
        <v>45815.770833333336</v>
      </c>
      <c r="B82" s="60">
        <v>6.63</v>
      </c>
      <c r="C82" s="60">
        <v>33.130000000000003</v>
      </c>
      <c r="D82" s="60">
        <v>53.23</v>
      </c>
      <c r="E82" s="60">
        <v>8.9</v>
      </c>
      <c r="F82" s="60">
        <v>17.18</v>
      </c>
      <c r="G82" s="60">
        <v>57.65</v>
      </c>
      <c r="H82" s="60">
        <v>26.54</v>
      </c>
      <c r="I82" s="60">
        <v>4.12</v>
      </c>
      <c r="J82" s="60">
        <v>0.14000000000000001</v>
      </c>
      <c r="K82" s="60">
        <v>347.24</v>
      </c>
      <c r="L82" s="60">
        <v>35.130000000000003</v>
      </c>
      <c r="M82" s="60">
        <v>29.43</v>
      </c>
      <c r="N82" s="60">
        <v>102.6</v>
      </c>
      <c r="O82" s="60">
        <v>0</v>
      </c>
      <c r="P82" s="60">
        <v>0.72</v>
      </c>
      <c r="Q82" s="60">
        <v>9.41</v>
      </c>
      <c r="R82" s="198"/>
      <c r="S82" s="198"/>
      <c r="T82" s="198"/>
      <c r="U82" s="198"/>
    </row>
    <row r="83" spans="1:26" s="12" customFormat="1" x14ac:dyDescent="0.25">
      <c r="A83" s="63">
        <v>45815.78125</v>
      </c>
      <c r="B83" s="60">
        <v>9.86</v>
      </c>
      <c r="C83" s="60">
        <v>29.85</v>
      </c>
      <c r="D83" s="60">
        <v>42</v>
      </c>
      <c r="E83" s="60">
        <v>6.89</v>
      </c>
      <c r="F83" s="60">
        <v>6.91</v>
      </c>
      <c r="G83" s="60">
        <v>57.65</v>
      </c>
      <c r="H83" s="60">
        <v>26.54</v>
      </c>
      <c r="I83" s="60">
        <v>4.12</v>
      </c>
      <c r="J83" s="60">
        <v>0.25</v>
      </c>
      <c r="K83" s="60">
        <v>308.77</v>
      </c>
      <c r="L83" s="60">
        <v>35.07</v>
      </c>
      <c r="M83" s="60">
        <v>29.19</v>
      </c>
      <c r="N83" s="60">
        <v>95.3</v>
      </c>
      <c r="O83" s="60">
        <v>0</v>
      </c>
      <c r="P83" s="60">
        <v>0.59</v>
      </c>
      <c r="Q83" s="60">
        <v>9.41</v>
      </c>
      <c r="R83" s="198"/>
      <c r="S83" s="198"/>
      <c r="T83" s="198"/>
      <c r="U83" s="198"/>
    </row>
    <row r="84" spans="1:26" s="12" customFormat="1" x14ac:dyDescent="0.25">
      <c r="A84" s="63">
        <v>45815.791666666664</v>
      </c>
      <c r="B84" s="60">
        <v>10.41</v>
      </c>
      <c r="C84" s="60">
        <v>27.64</v>
      </c>
      <c r="D84" s="60">
        <v>36.92</v>
      </c>
      <c r="E84" s="60">
        <v>6.23</v>
      </c>
      <c r="F84" s="60">
        <v>7.35</v>
      </c>
      <c r="G84" s="60">
        <v>60.11</v>
      </c>
      <c r="H84" s="60">
        <v>25.29</v>
      </c>
      <c r="I84" s="60">
        <v>4.0199999999999996</v>
      </c>
      <c r="J84" s="60">
        <v>0.33</v>
      </c>
      <c r="K84" s="60">
        <v>301.54000000000002</v>
      </c>
      <c r="L84" s="60">
        <v>34.69</v>
      </c>
      <c r="M84" s="60">
        <v>29.82</v>
      </c>
      <c r="N84" s="60">
        <v>94.2</v>
      </c>
      <c r="O84" s="60">
        <v>0</v>
      </c>
      <c r="P84" s="60">
        <v>0.56000000000000005</v>
      </c>
      <c r="Q84" s="60">
        <v>9.42</v>
      </c>
      <c r="R84" s="198"/>
      <c r="S84" s="198"/>
      <c r="T84" s="198"/>
      <c r="U84" s="198"/>
    </row>
    <row r="85" spans="1:26" s="12" customFormat="1" x14ac:dyDescent="0.25">
      <c r="A85" s="63">
        <v>45815.802083333336</v>
      </c>
      <c r="B85" s="60">
        <v>13.02</v>
      </c>
      <c r="C85" s="60">
        <v>35.130000000000003</v>
      </c>
      <c r="D85" s="60">
        <v>47.26</v>
      </c>
      <c r="E85" s="60">
        <v>6.94</v>
      </c>
      <c r="F85" s="60">
        <v>12.03</v>
      </c>
      <c r="G85" s="60">
        <v>62.92</v>
      </c>
      <c r="H85" s="60">
        <v>23.86</v>
      </c>
      <c r="I85" s="60">
        <v>3.93</v>
      </c>
      <c r="J85" s="60">
        <v>0.21</v>
      </c>
      <c r="K85" s="60">
        <v>302.52999999999997</v>
      </c>
      <c r="L85" s="60">
        <v>34.18</v>
      </c>
      <c r="M85" s="60">
        <v>30.56</v>
      </c>
      <c r="N85" s="60">
        <v>94</v>
      </c>
      <c r="O85" s="60">
        <v>0</v>
      </c>
      <c r="P85" s="60">
        <v>0.66</v>
      </c>
      <c r="Q85" s="60">
        <v>9.42</v>
      </c>
      <c r="R85" s="198"/>
      <c r="S85" s="198"/>
      <c r="T85" s="198"/>
      <c r="U85" s="198"/>
    </row>
    <row r="86" spans="1:26" s="12" customFormat="1" x14ac:dyDescent="0.25">
      <c r="A86" s="63">
        <v>45815.8125</v>
      </c>
      <c r="B86" s="60">
        <v>15.96</v>
      </c>
      <c r="C86" s="60">
        <v>39.28</v>
      </c>
      <c r="D86" s="60">
        <v>50.7</v>
      </c>
      <c r="E86" s="60">
        <v>6.56</v>
      </c>
      <c r="F86" s="60">
        <v>9.6300000000000008</v>
      </c>
      <c r="G86" s="60">
        <v>62.92</v>
      </c>
      <c r="H86" s="60">
        <v>23.86</v>
      </c>
      <c r="I86" s="60">
        <v>4.01</v>
      </c>
      <c r="J86" s="60">
        <v>0.25</v>
      </c>
      <c r="K86" s="60">
        <v>305.18</v>
      </c>
      <c r="L86" s="60">
        <v>33.72</v>
      </c>
      <c r="M86" s="60">
        <v>31.13</v>
      </c>
      <c r="N86" s="60">
        <v>94</v>
      </c>
      <c r="O86" s="60">
        <v>0</v>
      </c>
      <c r="P86" s="60">
        <v>0.68</v>
      </c>
      <c r="Q86" s="60">
        <v>9.43</v>
      </c>
      <c r="R86" s="198"/>
      <c r="S86" s="198"/>
      <c r="T86" s="198"/>
      <c r="U86" s="198"/>
    </row>
    <row r="87" spans="1:26" s="12" customFormat="1" x14ac:dyDescent="0.25">
      <c r="A87" s="63">
        <v>45815.822916666664</v>
      </c>
      <c r="B87" s="60">
        <v>17.649999999999999</v>
      </c>
      <c r="C87" s="60">
        <v>43.34</v>
      </c>
      <c r="D87" s="60">
        <v>55.86</v>
      </c>
      <c r="E87" s="60">
        <v>6.85</v>
      </c>
      <c r="F87" s="60">
        <v>8.3699999999999992</v>
      </c>
      <c r="G87" s="60">
        <v>62.92</v>
      </c>
      <c r="H87" s="60">
        <v>23.86</v>
      </c>
      <c r="I87" s="60">
        <v>3.96</v>
      </c>
      <c r="J87" s="60">
        <v>0.15</v>
      </c>
      <c r="K87" s="60">
        <v>304.06</v>
      </c>
      <c r="L87" s="60">
        <v>33.46</v>
      </c>
      <c r="M87" s="60">
        <v>31.94</v>
      </c>
      <c r="N87" s="60">
        <v>94</v>
      </c>
      <c r="O87" s="60">
        <v>0</v>
      </c>
      <c r="P87" s="60">
        <v>0.8</v>
      </c>
      <c r="Q87" s="60">
        <v>9.4600000000000009</v>
      </c>
      <c r="R87" s="198"/>
      <c r="S87" s="198"/>
      <c r="T87" s="198"/>
      <c r="U87" s="198"/>
    </row>
    <row r="88" spans="1:26" s="12" customFormat="1" x14ac:dyDescent="0.25">
      <c r="A88" s="63">
        <v>45815.833333333336</v>
      </c>
      <c r="B88" s="60">
        <v>15.8</v>
      </c>
      <c r="C88" s="60">
        <v>41.15</v>
      </c>
      <c r="D88" s="60">
        <v>54.51</v>
      </c>
      <c r="E88" s="60">
        <v>6.33</v>
      </c>
      <c r="F88" s="60">
        <v>9.75</v>
      </c>
      <c r="G88" s="60">
        <v>61.75</v>
      </c>
      <c r="H88" s="60">
        <v>20.239999999999998</v>
      </c>
      <c r="I88" s="60">
        <v>4.1100000000000003</v>
      </c>
      <c r="J88" s="60">
        <v>0.2</v>
      </c>
      <c r="K88" s="60">
        <v>301.82</v>
      </c>
      <c r="L88" s="60">
        <v>33.04</v>
      </c>
      <c r="M88" s="60">
        <v>32.79</v>
      </c>
      <c r="N88" s="60">
        <v>93.9</v>
      </c>
      <c r="O88" s="60">
        <v>0</v>
      </c>
      <c r="P88" s="60">
        <v>0.72</v>
      </c>
      <c r="Q88" s="60">
        <v>9.49</v>
      </c>
      <c r="R88" s="198"/>
      <c r="S88" s="198"/>
      <c r="T88" s="198"/>
      <c r="U88" s="198"/>
    </row>
    <row r="89" spans="1:26" s="12" customFormat="1" x14ac:dyDescent="0.25">
      <c r="A89" s="63">
        <v>45815.84375</v>
      </c>
      <c r="B89" s="60">
        <v>14.33</v>
      </c>
      <c r="C89" s="60">
        <v>37.69</v>
      </c>
      <c r="D89" s="60">
        <v>50.15</v>
      </c>
      <c r="E89" s="60">
        <v>6.39</v>
      </c>
      <c r="F89" s="60">
        <v>10.41</v>
      </c>
      <c r="G89" s="60">
        <v>60.48</v>
      </c>
      <c r="H89" s="60">
        <v>16.29</v>
      </c>
      <c r="I89" s="60">
        <v>4.07</v>
      </c>
      <c r="J89" s="60">
        <v>0.16</v>
      </c>
      <c r="K89" s="60">
        <v>305.2</v>
      </c>
      <c r="L89" s="60">
        <v>32.869999999999997</v>
      </c>
      <c r="M89" s="60">
        <v>33.020000000000003</v>
      </c>
      <c r="N89" s="60">
        <v>94</v>
      </c>
      <c r="O89" s="60">
        <v>0</v>
      </c>
      <c r="P89" s="60">
        <v>0.84</v>
      </c>
      <c r="Q89" s="60">
        <v>9.51</v>
      </c>
      <c r="R89" s="198"/>
      <c r="S89" s="198"/>
      <c r="T89" s="198"/>
      <c r="U89" s="198"/>
    </row>
    <row r="90" spans="1:26" s="12" customFormat="1" x14ac:dyDescent="0.25">
      <c r="A90" s="63">
        <v>45815.854166666664</v>
      </c>
      <c r="B90" s="60">
        <v>16.350000000000001</v>
      </c>
      <c r="C90" s="60">
        <v>42.72</v>
      </c>
      <c r="D90" s="60">
        <v>56.68</v>
      </c>
      <c r="E90" s="60">
        <v>6.6</v>
      </c>
      <c r="F90" s="60">
        <v>8.7899999999999991</v>
      </c>
      <c r="G90" s="60">
        <v>60.48</v>
      </c>
      <c r="H90" s="60">
        <v>16.29</v>
      </c>
      <c r="I90" s="60">
        <v>3.98</v>
      </c>
      <c r="J90" s="60">
        <v>0.16</v>
      </c>
      <c r="K90" s="60">
        <v>305.5</v>
      </c>
      <c r="L90" s="60">
        <v>32.549999999999997</v>
      </c>
      <c r="M90" s="60">
        <v>33.799999999999997</v>
      </c>
      <c r="N90" s="60">
        <v>94.1</v>
      </c>
      <c r="O90" s="60">
        <v>0</v>
      </c>
      <c r="P90" s="60">
        <v>0.92</v>
      </c>
      <c r="Q90" s="60">
        <v>9.5399999999999991</v>
      </c>
      <c r="R90" s="198"/>
      <c r="S90" s="198"/>
      <c r="T90" s="198"/>
      <c r="U90" s="198"/>
    </row>
    <row r="91" spans="1:26" s="12" customFormat="1" x14ac:dyDescent="0.25">
      <c r="A91" s="63">
        <v>45815.864583333336</v>
      </c>
      <c r="B91" s="60">
        <v>27.38</v>
      </c>
      <c r="C91" s="60">
        <v>56.03</v>
      </c>
      <c r="D91" s="60">
        <v>65.23</v>
      </c>
      <c r="E91" s="60">
        <v>7.72</v>
      </c>
      <c r="F91" s="60">
        <v>7.58</v>
      </c>
      <c r="G91" s="60">
        <v>60.48</v>
      </c>
      <c r="H91" s="60">
        <v>16.29</v>
      </c>
      <c r="I91" s="60">
        <v>4.08</v>
      </c>
      <c r="J91" s="60">
        <v>0.14000000000000001</v>
      </c>
      <c r="K91" s="60">
        <v>312.57</v>
      </c>
      <c r="L91" s="60">
        <v>32.28</v>
      </c>
      <c r="M91" s="60">
        <v>34.700000000000003</v>
      </c>
      <c r="N91" s="60">
        <v>95.3</v>
      </c>
      <c r="O91" s="60">
        <v>0</v>
      </c>
      <c r="P91" s="60">
        <v>0.93</v>
      </c>
      <c r="Q91" s="60">
        <v>9.5</v>
      </c>
      <c r="R91" s="198"/>
      <c r="S91" s="198"/>
      <c r="T91" s="198"/>
      <c r="U91" s="198"/>
    </row>
    <row r="92" spans="1:26" s="12" customFormat="1" x14ac:dyDescent="0.25">
      <c r="A92" s="63">
        <v>45815.875</v>
      </c>
      <c r="B92" s="60">
        <v>19.510000000000002</v>
      </c>
      <c r="C92" s="60">
        <v>45.45</v>
      </c>
      <c r="D92" s="60">
        <v>57.05</v>
      </c>
      <c r="E92" s="60">
        <v>9.93</v>
      </c>
      <c r="F92" s="60">
        <v>7.2</v>
      </c>
      <c r="G92" s="60">
        <v>62.1</v>
      </c>
      <c r="H92" s="60">
        <v>17.02</v>
      </c>
      <c r="I92" s="60">
        <v>3.93</v>
      </c>
      <c r="J92" s="60">
        <v>0.19</v>
      </c>
      <c r="K92" s="60">
        <v>305.66000000000003</v>
      </c>
      <c r="L92" s="60">
        <v>32.14</v>
      </c>
      <c r="M92" s="60">
        <v>35.03</v>
      </c>
      <c r="N92" s="60">
        <v>100.2</v>
      </c>
      <c r="O92" s="60">
        <v>0</v>
      </c>
      <c r="P92" s="60">
        <v>0.87</v>
      </c>
      <c r="Q92" s="60">
        <v>9.5299999999999994</v>
      </c>
      <c r="R92" s="198"/>
      <c r="S92" s="198"/>
      <c r="T92" s="198"/>
      <c r="U92" s="198"/>
    </row>
    <row r="93" spans="1:26" s="12" customFormat="1" x14ac:dyDescent="0.25">
      <c r="A93" s="63">
        <v>45815.885416666664</v>
      </c>
      <c r="B93" s="60">
        <v>24.61</v>
      </c>
      <c r="C93" s="60">
        <v>50.66</v>
      </c>
      <c r="D93" s="60">
        <v>59.19</v>
      </c>
      <c r="E93" s="60">
        <v>11.8</v>
      </c>
      <c r="F93" s="60">
        <v>8.4499999999999993</v>
      </c>
      <c r="G93" s="60">
        <v>63.87</v>
      </c>
      <c r="H93" s="60">
        <v>17.850000000000001</v>
      </c>
      <c r="I93" s="60">
        <v>4.0199999999999996</v>
      </c>
      <c r="J93" s="60">
        <v>0.18</v>
      </c>
      <c r="K93" s="60">
        <v>307.88</v>
      </c>
      <c r="L93" s="60">
        <v>32.03</v>
      </c>
      <c r="M93" s="60">
        <v>35.03</v>
      </c>
      <c r="N93" s="60">
        <v>98.4</v>
      </c>
      <c r="O93" s="60">
        <v>0</v>
      </c>
      <c r="P93" s="60">
        <v>0.84</v>
      </c>
      <c r="Q93" s="60">
        <v>9.56</v>
      </c>
      <c r="R93" s="198"/>
      <c r="S93" s="198"/>
      <c r="T93" s="198"/>
      <c r="U93" s="198"/>
    </row>
    <row r="94" spans="1:26" s="12" customFormat="1" x14ac:dyDescent="0.25">
      <c r="A94" s="63">
        <v>45815.895833333336</v>
      </c>
      <c r="B94" s="60">
        <v>18.45</v>
      </c>
      <c r="C94" s="60">
        <v>46.3</v>
      </c>
      <c r="D94" s="60">
        <v>60.31</v>
      </c>
      <c r="E94" s="60">
        <v>10.95</v>
      </c>
      <c r="F94" s="60">
        <v>10.75</v>
      </c>
      <c r="G94" s="60">
        <v>63.87</v>
      </c>
      <c r="H94" s="60">
        <v>17.850000000000001</v>
      </c>
      <c r="I94" s="60">
        <v>4.08</v>
      </c>
      <c r="J94" s="60">
        <v>0.11</v>
      </c>
      <c r="K94" s="60">
        <v>327.3</v>
      </c>
      <c r="L94" s="60">
        <v>31.85</v>
      </c>
      <c r="M94" s="60">
        <v>35.9</v>
      </c>
      <c r="N94" s="60">
        <v>97.9</v>
      </c>
      <c r="O94" s="60">
        <v>0</v>
      </c>
      <c r="P94" s="60">
        <v>0.94</v>
      </c>
      <c r="Q94" s="60">
        <v>9.57</v>
      </c>
      <c r="R94" s="198"/>
      <c r="S94" s="198"/>
      <c r="T94" s="198"/>
      <c r="U94" s="198"/>
    </row>
    <row r="95" spans="1:26" s="12" customFormat="1" x14ac:dyDescent="0.25">
      <c r="A95" s="63">
        <v>45815.90625</v>
      </c>
      <c r="B95" s="60">
        <v>22.26</v>
      </c>
      <c r="C95" s="60">
        <v>49.24</v>
      </c>
      <c r="D95" s="60">
        <v>60.09</v>
      </c>
      <c r="E95" s="60">
        <v>9.69</v>
      </c>
      <c r="F95" s="60">
        <v>11.24</v>
      </c>
      <c r="G95" s="60">
        <v>63.87</v>
      </c>
      <c r="H95" s="60">
        <v>17.850000000000001</v>
      </c>
      <c r="I95" s="60">
        <v>4.17</v>
      </c>
      <c r="J95" s="60">
        <v>0.16</v>
      </c>
      <c r="K95" s="60">
        <v>304.64999999999998</v>
      </c>
      <c r="L95" s="60">
        <v>31.63</v>
      </c>
      <c r="M95" s="60">
        <v>36.51</v>
      </c>
      <c r="N95" s="60">
        <v>97.4</v>
      </c>
      <c r="O95" s="60">
        <v>0</v>
      </c>
      <c r="P95" s="60">
        <v>0.97</v>
      </c>
      <c r="Q95" s="60">
        <v>9.57</v>
      </c>
      <c r="R95" s="198"/>
      <c r="S95" s="198"/>
      <c r="T95" s="198"/>
      <c r="U95" s="198"/>
    </row>
    <row r="96" spans="1:26" s="12" customFormat="1" x14ac:dyDescent="0.25">
      <c r="A96" s="63">
        <v>45815.916666666664</v>
      </c>
      <c r="B96" s="60">
        <v>19.940000000000001</v>
      </c>
      <c r="C96" s="60">
        <v>46.35</v>
      </c>
      <c r="D96" s="60">
        <v>58.11</v>
      </c>
      <c r="E96" s="60">
        <v>8.57</v>
      </c>
      <c r="F96" s="60">
        <v>10.7</v>
      </c>
      <c r="G96" s="60">
        <v>64.53</v>
      </c>
      <c r="H96" s="60">
        <v>17.2</v>
      </c>
      <c r="I96" s="60">
        <v>3.8</v>
      </c>
      <c r="J96" s="60">
        <v>0.13</v>
      </c>
      <c r="K96" s="60">
        <v>311.10000000000002</v>
      </c>
      <c r="L96" s="60">
        <v>31.59</v>
      </c>
      <c r="M96" s="60">
        <v>37.020000000000003</v>
      </c>
      <c r="N96" s="60">
        <v>96.8</v>
      </c>
      <c r="O96" s="60">
        <v>0</v>
      </c>
      <c r="P96" s="60">
        <v>0.87</v>
      </c>
      <c r="Q96" s="60">
        <v>9.56</v>
      </c>
      <c r="R96" s="198"/>
      <c r="S96" s="198"/>
      <c r="T96" s="198"/>
      <c r="U96" s="198"/>
      <c r="Z96" s="109"/>
    </row>
    <row r="97" spans="1:33" s="12" customFormat="1" x14ac:dyDescent="0.25">
      <c r="A97" s="63">
        <v>45815.927083333336</v>
      </c>
      <c r="B97" s="60">
        <v>19.600000000000001</v>
      </c>
      <c r="C97" s="60">
        <v>51.14</v>
      </c>
      <c r="D97" s="60">
        <v>67.790000000000006</v>
      </c>
      <c r="E97" s="60">
        <v>8.15</v>
      </c>
      <c r="F97" s="60">
        <v>9.73</v>
      </c>
      <c r="G97" s="60">
        <v>65.239999999999995</v>
      </c>
      <c r="H97" s="60">
        <v>16.5</v>
      </c>
      <c r="I97" s="60">
        <v>3.91</v>
      </c>
      <c r="J97" s="60">
        <v>0.1</v>
      </c>
      <c r="K97" s="60">
        <v>302.48</v>
      </c>
      <c r="L97" s="60">
        <v>31.63</v>
      </c>
      <c r="M97" s="60">
        <v>37.25</v>
      </c>
      <c r="N97" s="60">
        <v>96.7</v>
      </c>
      <c r="O97" s="60">
        <v>0</v>
      </c>
      <c r="P97" s="60">
        <v>0.93</v>
      </c>
      <c r="Q97" s="60">
        <v>9.56</v>
      </c>
      <c r="R97" s="198"/>
      <c r="S97" s="198"/>
      <c r="T97" s="198"/>
      <c r="U97" s="198"/>
    </row>
    <row r="98" spans="1:33" s="12" customFormat="1" x14ac:dyDescent="0.25">
      <c r="A98" s="63">
        <v>45815.9375</v>
      </c>
      <c r="B98" s="60">
        <v>27.38</v>
      </c>
      <c r="C98" s="60">
        <v>56.85</v>
      </c>
      <c r="D98" s="60">
        <v>66.790000000000006</v>
      </c>
      <c r="E98" s="60">
        <v>10.62</v>
      </c>
      <c r="F98" s="60">
        <v>9.01</v>
      </c>
      <c r="G98" s="60">
        <v>65.239999999999995</v>
      </c>
      <c r="H98" s="60">
        <v>16.5</v>
      </c>
      <c r="I98" s="60">
        <v>4.2</v>
      </c>
      <c r="J98" s="60">
        <v>0.12</v>
      </c>
      <c r="K98" s="60">
        <v>304.43</v>
      </c>
      <c r="L98" s="60">
        <v>31.48</v>
      </c>
      <c r="M98" s="60">
        <v>38.090000000000003</v>
      </c>
      <c r="N98" s="60">
        <v>96.8</v>
      </c>
      <c r="O98" s="60">
        <v>0</v>
      </c>
      <c r="P98" s="60">
        <v>1.62</v>
      </c>
      <c r="Q98" s="60">
        <v>9.58</v>
      </c>
      <c r="R98" s="198"/>
      <c r="S98" s="198"/>
      <c r="T98" s="198"/>
      <c r="U98" s="198"/>
    </row>
    <row r="99" spans="1:33" s="12" customFormat="1" x14ac:dyDescent="0.25">
      <c r="A99" s="63">
        <v>45815.947916666664</v>
      </c>
      <c r="B99" s="60">
        <v>14.17</v>
      </c>
      <c r="C99" s="60">
        <v>43.88</v>
      </c>
      <c r="D99" s="60">
        <v>62.23</v>
      </c>
      <c r="E99" s="60">
        <v>15.01</v>
      </c>
      <c r="F99" s="60">
        <v>8.69</v>
      </c>
      <c r="G99" s="60">
        <v>65.239999999999995</v>
      </c>
      <c r="H99" s="60">
        <v>16.5</v>
      </c>
      <c r="I99" s="60">
        <v>3.95</v>
      </c>
      <c r="J99" s="60">
        <v>0.05</v>
      </c>
      <c r="K99" s="60">
        <v>305.18</v>
      </c>
      <c r="L99" s="60">
        <v>31.3</v>
      </c>
      <c r="M99" s="60">
        <v>39.18</v>
      </c>
      <c r="N99" s="60">
        <v>96.8</v>
      </c>
      <c r="O99" s="60">
        <v>0</v>
      </c>
      <c r="P99" s="60">
        <v>1.72</v>
      </c>
      <c r="Q99" s="60">
        <v>9.59</v>
      </c>
      <c r="R99" s="198"/>
      <c r="S99" s="198"/>
      <c r="T99" s="198"/>
      <c r="U99" s="198"/>
    </row>
    <row r="100" spans="1:33" s="12" customFormat="1" x14ac:dyDescent="0.25">
      <c r="A100" s="63">
        <v>45815.958333333336</v>
      </c>
      <c r="B100" s="60">
        <v>12.95</v>
      </c>
      <c r="C100" s="60">
        <v>34.68</v>
      </c>
      <c r="D100" s="60">
        <v>46.51</v>
      </c>
      <c r="E100" s="60">
        <v>12.11</v>
      </c>
      <c r="F100" s="60">
        <v>10.67</v>
      </c>
      <c r="G100" s="60">
        <v>67.930000000000007</v>
      </c>
      <c r="H100" s="60">
        <v>16.62</v>
      </c>
      <c r="I100" s="60">
        <v>4.0599999999999996</v>
      </c>
      <c r="J100" s="60">
        <v>7.0000000000000007E-2</v>
      </c>
      <c r="K100" s="60">
        <v>296.83999999999997</v>
      </c>
      <c r="L100" s="60">
        <v>31.21</v>
      </c>
      <c r="M100" s="60">
        <v>39.130000000000003</v>
      </c>
      <c r="N100" s="60">
        <v>96.7</v>
      </c>
      <c r="O100" s="60">
        <v>0</v>
      </c>
      <c r="P100" s="60">
        <v>0.98</v>
      </c>
      <c r="Q100" s="60">
        <v>9.59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3">
        <v>45815.96875</v>
      </c>
      <c r="B101" s="60">
        <v>14.16</v>
      </c>
      <c r="C101" s="60">
        <v>31.03</v>
      </c>
      <c r="D101" s="60">
        <v>37.67</v>
      </c>
      <c r="E101" s="60">
        <v>7.85</v>
      </c>
      <c r="F101" s="60">
        <v>7.95</v>
      </c>
      <c r="G101" s="60">
        <v>70.86</v>
      </c>
      <c r="H101" s="60">
        <v>16.75</v>
      </c>
      <c r="I101" s="60">
        <v>3.9</v>
      </c>
      <c r="J101" s="60">
        <v>0.95</v>
      </c>
      <c r="K101" s="60">
        <v>148.61000000000001</v>
      </c>
      <c r="L101" s="60">
        <v>30.84</v>
      </c>
      <c r="M101" s="60">
        <v>40.229999999999997</v>
      </c>
      <c r="N101" s="60">
        <v>97.2</v>
      </c>
      <c r="O101" s="60">
        <v>0</v>
      </c>
      <c r="P101" s="60">
        <v>0.81</v>
      </c>
      <c r="Q101" s="60">
        <v>9.56</v>
      </c>
      <c r="R101" s="198"/>
      <c r="S101" s="198"/>
      <c r="T101" s="198"/>
      <c r="U101" s="198"/>
    </row>
    <row r="102" spans="1:33" s="12" customFormat="1" x14ac:dyDescent="0.25">
      <c r="A102" s="63">
        <v>45815.979166666664</v>
      </c>
      <c r="B102" s="60">
        <v>13.84</v>
      </c>
      <c r="C102" s="60">
        <v>30.55</v>
      </c>
      <c r="D102" s="60">
        <v>37.229999999999997</v>
      </c>
      <c r="E102" s="60">
        <v>6.89</v>
      </c>
      <c r="F102" s="60">
        <v>8.85</v>
      </c>
      <c r="G102" s="60">
        <v>70.86</v>
      </c>
      <c r="H102" s="60">
        <v>16.75</v>
      </c>
      <c r="I102" s="60">
        <v>3.84</v>
      </c>
      <c r="J102" s="60">
        <v>0.17</v>
      </c>
      <c r="K102" s="60">
        <v>88.98</v>
      </c>
      <c r="L102" s="60">
        <v>30.52</v>
      </c>
      <c r="M102" s="60">
        <v>41.07</v>
      </c>
      <c r="N102" s="60">
        <v>97.3</v>
      </c>
      <c r="O102" s="60">
        <v>0</v>
      </c>
      <c r="P102" s="60">
        <v>0.69</v>
      </c>
      <c r="Q102" s="60">
        <v>9.56</v>
      </c>
      <c r="R102" s="198"/>
      <c r="S102" s="198"/>
      <c r="T102" s="198"/>
      <c r="U102" s="198"/>
    </row>
    <row r="103" spans="1:33" s="12" customFormat="1" x14ac:dyDescent="0.25">
      <c r="A103" s="63">
        <v>45815.989583333336</v>
      </c>
      <c r="B103" s="60">
        <v>12.34</v>
      </c>
      <c r="C103" s="60">
        <v>31.73</v>
      </c>
      <c r="D103" s="60">
        <v>41.8</v>
      </c>
      <c r="E103" s="60">
        <v>7.09</v>
      </c>
      <c r="F103" s="60">
        <v>7.39</v>
      </c>
      <c r="G103" s="60">
        <v>70.86</v>
      </c>
      <c r="H103" s="60">
        <v>16.75</v>
      </c>
      <c r="I103" s="60">
        <v>4.21</v>
      </c>
      <c r="J103" s="60">
        <v>0.42</v>
      </c>
      <c r="K103" s="60">
        <v>155.11000000000001</v>
      </c>
      <c r="L103" s="60">
        <v>30.43</v>
      </c>
      <c r="M103" s="60">
        <v>40.31</v>
      </c>
      <c r="N103" s="60">
        <v>97</v>
      </c>
      <c r="O103" s="60">
        <v>0</v>
      </c>
      <c r="P103" s="60">
        <v>0.66</v>
      </c>
      <c r="Q103" s="60">
        <v>9.56</v>
      </c>
      <c r="R103" s="198"/>
      <c r="S103" s="198"/>
      <c r="T103" s="198"/>
      <c r="U103" s="198"/>
    </row>
    <row r="104" spans="1:33" s="12" customFormat="1" x14ac:dyDescent="0.25">
      <c r="A104" s="60">
        <v>45816</v>
      </c>
      <c r="B104" s="60">
        <v>14.49</v>
      </c>
      <c r="C104" s="60">
        <v>28.36</v>
      </c>
      <c r="D104" s="60">
        <v>32.04</v>
      </c>
      <c r="E104" s="60">
        <v>3.88</v>
      </c>
      <c r="F104" s="60">
        <v>5.94</v>
      </c>
      <c r="G104" s="60">
        <v>69.11</v>
      </c>
      <c r="H104" s="60">
        <v>15.59</v>
      </c>
      <c r="I104" s="60">
        <v>4.0599999999999996</v>
      </c>
      <c r="J104" s="60">
        <v>0.98</v>
      </c>
      <c r="K104" s="60">
        <v>152.32</v>
      </c>
      <c r="L104" s="60">
        <v>30.35</v>
      </c>
      <c r="M104" s="60">
        <v>40.24</v>
      </c>
      <c r="N104" s="60">
        <v>96.6</v>
      </c>
      <c r="O104" s="60">
        <v>0</v>
      </c>
      <c r="P104" s="60">
        <v>0.79</v>
      </c>
      <c r="Q104" s="60">
        <v>9.58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4.1399999999999997</v>
      </c>
      <c r="C106" s="67">
        <f>MIN(C9:C104)</f>
        <v>16.68</v>
      </c>
      <c r="D106" s="67">
        <f t="shared" ref="D106:Q106" si="0">MIN(D9:D104)</f>
        <v>23.66</v>
      </c>
      <c r="E106" s="67">
        <f t="shared" si="0"/>
        <v>3.88</v>
      </c>
      <c r="F106" s="67">
        <f t="shared" si="0"/>
        <v>4.63</v>
      </c>
      <c r="G106" s="67">
        <f t="shared" si="0"/>
        <v>37.06</v>
      </c>
      <c r="H106" s="67">
        <f t="shared" si="0"/>
        <v>0</v>
      </c>
      <c r="I106" s="67">
        <f t="shared" si="0"/>
        <v>3.8</v>
      </c>
      <c r="J106" s="67">
        <f t="shared" si="0"/>
        <v>0.01</v>
      </c>
      <c r="K106" s="67">
        <f t="shared" si="0"/>
        <v>88.98</v>
      </c>
      <c r="L106" s="67">
        <f t="shared" si="0"/>
        <v>25.89</v>
      </c>
      <c r="M106" s="67">
        <f t="shared" si="0"/>
        <v>21.1</v>
      </c>
      <c r="N106" s="67">
        <f t="shared" si="0"/>
        <v>80.900000000000006</v>
      </c>
      <c r="O106" s="67">
        <f t="shared" si="0"/>
        <v>0</v>
      </c>
      <c r="P106" s="67">
        <f t="shared" si="0"/>
        <v>0.26</v>
      </c>
      <c r="Q106" s="67">
        <f t="shared" si="0"/>
        <v>9.2200000000000006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27.38</v>
      </c>
      <c r="C107" s="66">
        <f t="shared" ref="C107:Q107" si="1">MAX(C9:C104)</f>
        <v>56.85</v>
      </c>
      <c r="D107" s="66">
        <f t="shared" si="1"/>
        <v>67.790000000000006</v>
      </c>
      <c r="E107" s="66">
        <f t="shared" si="1"/>
        <v>15.01</v>
      </c>
      <c r="F107" s="66">
        <f t="shared" si="1"/>
        <v>26.65</v>
      </c>
      <c r="G107" s="66">
        <f t="shared" si="1"/>
        <v>70.86</v>
      </c>
      <c r="H107" s="66">
        <f t="shared" si="1"/>
        <v>1960.88</v>
      </c>
      <c r="I107" s="66">
        <f t="shared" si="1"/>
        <v>4.21</v>
      </c>
      <c r="J107" s="66">
        <f t="shared" si="1"/>
        <v>0.98</v>
      </c>
      <c r="K107" s="66">
        <f t="shared" si="1"/>
        <v>347.24</v>
      </c>
      <c r="L107" s="66">
        <f t="shared" si="1"/>
        <v>41.26</v>
      </c>
      <c r="M107" s="66">
        <f t="shared" si="1"/>
        <v>70.77</v>
      </c>
      <c r="N107" s="66">
        <f t="shared" si="1"/>
        <v>908.8</v>
      </c>
      <c r="O107" s="66">
        <f t="shared" si="1"/>
        <v>0</v>
      </c>
      <c r="P107" s="66">
        <f t="shared" si="1"/>
        <v>1.72</v>
      </c>
      <c r="Q107" s="66">
        <f t="shared" si="1"/>
        <v>9.59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8.9882291666666703</v>
      </c>
      <c r="C108" s="67">
        <f t="shared" ref="C108:Q108" si="2">AVERAGE(C9:C104)</f>
        <v>26.751041666666666</v>
      </c>
      <c r="D108" s="67">
        <f t="shared" si="2"/>
        <v>37.409166666666678</v>
      </c>
      <c r="E108" s="67">
        <f t="shared" si="2"/>
        <v>7.0615625000000017</v>
      </c>
      <c r="F108" s="67">
        <f t="shared" si="2"/>
        <v>11.410312499999998</v>
      </c>
      <c r="G108" s="67">
        <f t="shared" si="2"/>
        <v>51.655104166666639</v>
      </c>
      <c r="H108" s="67">
        <f t="shared" si="2"/>
        <v>176.51593750000009</v>
      </c>
      <c r="I108" s="67">
        <f t="shared" si="2"/>
        <v>4.00875</v>
      </c>
      <c r="J108" s="67">
        <f t="shared" si="2"/>
        <v>0.27729166666666666</v>
      </c>
      <c r="K108" s="67">
        <f t="shared" si="2"/>
        <v>254.9576041666667</v>
      </c>
      <c r="L108" s="67">
        <f t="shared" si="2"/>
        <v>32.896770833333349</v>
      </c>
      <c r="M108" s="67">
        <f t="shared" si="2"/>
        <v>42.662083333333342</v>
      </c>
      <c r="N108" s="67">
        <f t="shared" si="2"/>
        <v>303.02395833333327</v>
      </c>
      <c r="O108" s="67">
        <f t="shared" si="2"/>
        <v>0</v>
      </c>
      <c r="P108" s="67">
        <f t="shared" si="2"/>
        <v>0.60135416666666652</v>
      </c>
      <c r="Q108" s="67">
        <f t="shared" si="2"/>
        <v>9.3691666666666613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5.3335046234143624</v>
      </c>
      <c r="C109" s="67">
        <f t="shared" ref="C109:Q109" si="3">STDEV(C9:C104)</f>
        <v>10.042847518106095</v>
      </c>
      <c r="D109" s="67">
        <f t="shared" si="3"/>
        <v>12.637962416271343</v>
      </c>
      <c r="E109" s="67">
        <f t="shared" si="3"/>
        <v>1.9926392591498454</v>
      </c>
      <c r="F109" s="67">
        <f t="shared" si="3"/>
        <v>4.8695309302091134</v>
      </c>
      <c r="G109" s="67">
        <f t="shared" si="3"/>
        <v>10.197697985308471</v>
      </c>
      <c r="H109" s="67">
        <f t="shared" si="3"/>
        <v>408.43306392931851</v>
      </c>
      <c r="I109" s="67">
        <f t="shared" si="3"/>
        <v>9.2704964949649762E-2</v>
      </c>
      <c r="J109" s="67">
        <f t="shared" si="3"/>
        <v>0.20754950793874227</v>
      </c>
      <c r="K109" s="67">
        <f t="shared" si="3"/>
        <v>63.426470329114451</v>
      </c>
      <c r="L109" s="67">
        <f t="shared" si="3"/>
        <v>4.8836784011517569</v>
      </c>
      <c r="M109" s="67">
        <f t="shared" si="3"/>
        <v>16.287192573608984</v>
      </c>
      <c r="N109" s="67">
        <f t="shared" si="3"/>
        <v>285.74316909265588</v>
      </c>
      <c r="O109" s="67">
        <f t="shared" si="3"/>
        <v>0</v>
      </c>
      <c r="P109" s="67">
        <f t="shared" si="3"/>
        <v>0.25733705029812631</v>
      </c>
      <c r="Q109" s="67">
        <f t="shared" si="3"/>
        <v>0.10619412875698994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</f>
        <v>97</v>
      </c>
      <c r="G110" s="66">
        <f t="shared" si="4"/>
        <v>96</v>
      </c>
      <c r="H110" s="66">
        <f>COUNT(H9:H104)</f>
        <v>96</v>
      </c>
      <c r="I110" s="66">
        <f>COUNT(I9:I104)+7+25</f>
        <v>128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7" sqref="C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45816.010416666664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3">
        <v>45816.010416666664</v>
      </c>
      <c r="B9" s="60">
        <v>10.25</v>
      </c>
      <c r="C9" s="60">
        <v>24.14</v>
      </c>
      <c r="D9" s="60">
        <v>30.47</v>
      </c>
      <c r="E9" s="60">
        <v>4.49</v>
      </c>
      <c r="F9" s="60">
        <v>10.34</v>
      </c>
      <c r="G9" s="60">
        <v>67.2</v>
      </c>
      <c r="H9" s="60">
        <v>14.32</v>
      </c>
      <c r="I9" s="60">
        <v>3.85</v>
      </c>
      <c r="J9" s="60">
        <v>0.6</v>
      </c>
      <c r="K9" s="60">
        <v>139.47</v>
      </c>
      <c r="L9" s="60">
        <v>30.16</v>
      </c>
      <c r="M9" s="60">
        <v>42.51</v>
      </c>
      <c r="N9" s="60">
        <v>96.8</v>
      </c>
      <c r="O9" s="60">
        <v>0</v>
      </c>
      <c r="P9" s="60">
        <v>0.59</v>
      </c>
      <c r="Q9" s="60">
        <v>9.57</v>
      </c>
      <c r="R9" s="198"/>
      <c r="S9" s="198"/>
      <c r="T9" s="198"/>
      <c r="U9" s="198"/>
    </row>
    <row r="10" spans="1:21" s="12" customFormat="1" x14ac:dyDescent="0.25">
      <c r="A10" s="63">
        <v>45816.020833333336</v>
      </c>
      <c r="B10" s="60">
        <v>11.11</v>
      </c>
      <c r="C10" s="60">
        <v>24.34</v>
      </c>
      <c r="D10" s="60">
        <v>29.53</v>
      </c>
      <c r="E10" s="60">
        <v>4.38</v>
      </c>
      <c r="F10" s="60">
        <v>8.92</v>
      </c>
      <c r="G10" s="60">
        <v>67.2</v>
      </c>
      <c r="H10" s="60">
        <v>14.32</v>
      </c>
      <c r="I10" s="60">
        <v>3.94</v>
      </c>
      <c r="J10" s="60">
        <v>0.68</v>
      </c>
      <c r="K10" s="60">
        <v>132.69999999999999</v>
      </c>
      <c r="L10" s="60">
        <v>29.84</v>
      </c>
      <c r="M10" s="60">
        <v>44.6</v>
      </c>
      <c r="N10" s="60">
        <v>96.9</v>
      </c>
      <c r="O10" s="60">
        <v>0</v>
      </c>
      <c r="P10" s="60">
        <v>0.64</v>
      </c>
      <c r="Q10" s="60">
        <v>9.56</v>
      </c>
      <c r="R10" s="198"/>
      <c r="S10" s="198"/>
      <c r="T10" s="198"/>
      <c r="U10" s="198"/>
    </row>
    <row r="11" spans="1:21" s="12" customFormat="1" x14ac:dyDescent="0.25">
      <c r="A11" s="63">
        <v>45816.03125</v>
      </c>
      <c r="B11" s="60">
        <v>9.42</v>
      </c>
      <c r="C11" s="60">
        <v>23.13</v>
      </c>
      <c r="D11" s="60">
        <v>29.8</v>
      </c>
      <c r="E11" s="60">
        <v>4.8899999999999997</v>
      </c>
      <c r="F11" s="60">
        <v>13.62</v>
      </c>
      <c r="G11" s="60">
        <v>67.2</v>
      </c>
      <c r="H11" s="60">
        <v>14.32</v>
      </c>
      <c r="I11" s="60">
        <v>3.94</v>
      </c>
      <c r="J11" s="60">
        <v>0.13</v>
      </c>
      <c r="K11" s="60">
        <v>177.91</v>
      </c>
      <c r="L11" s="60">
        <v>29.52</v>
      </c>
      <c r="M11" s="60">
        <v>47.38</v>
      </c>
      <c r="N11" s="60">
        <v>97.9</v>
      </c>
      <c r="O11" s="60">
        <v>0</v>
      </c>
      <c r="P11" s="60">
        <v>0.48</v>
      </c>
      <c r="Q11" s="60">
        <v>9.5500000000000007</v>
      </c>
      <c r="R11" s="198"/>
      <c r="S11" s="198"/>
      <c r="T11" s="198"/>
      <c r="U11" s="198"/>
    </row>
    <row r="12" spans="1:21" s="12" customFormat="1" x14ac:dyDescent="0.25">
      <c r="A12" s="63">
        <v>45816.041666666664</v>
      </c>
      <c r="B12" s="60">
        <v>8.02</v>
      </c>
      <c r="C12" s="60">
        <v>21.38</v>
      </c>
      <c r="D12" s="60">
        <v>28.61</v>
      </c>
      <c r="E12" s="60">
        <v>4.88</v>
      </c>
      <c r="F12" s="60">
        <v>12.64</v>
      </c>
      <c r="G12" s="60">
        <v>63.31</v>
      </c>
      <c r="H12" s="60">
        <v>19.75</v>
      </c>
      <c r="I12" s="60">
        <v>3.89</v>
      </c>
      <c r="J12" s="60">
        <v>0.09</v>
      </c>
      <c r="K12" s="60">
        <v>224.64</v>
      </c>
      <c r="L12" s="60">
        <v>29.25</v>
      </c>
      <c r="M12" s="60">
        <v>49.48</v>
      </c>
      <c r="N12" s="60">
        <v>99.7</v>
      </c>
      <c r="O12" s="60">
        <v>0</v>
      </c>
      <c r="P12" s="60">
        <v>0.48</v>
      </c>
      <c r="Q12" s="60">
        <v>9.58</v>
      </c>
      <c r="R12" s="198"/>
      <c r="S12" s="198"/>
      <c r="T12" s="198"/>
      <c r="U12" s="198"/>
    </row>
    <row r="13" spans="1:21" s="12" customFormat="1" x14ac:dyDescent="0.25">
      <c r="A13" s="63">
        <v>45816.052083333336</v>
      </c>
      <c r="B13" s="60">
        <v>8.11</v>
      </c>
      <c r="C13" s="60">
        <v>22.39</v>
      </c>
      <c r="D13" s="60">
        <v>30.4</v>
      </c>
      <c r="E13" s="60">
        <v>4.7</v>
      </c>
      <c r="F13" s="60">
        <v>13.24</v>
      </c>
      <c r="G13" s="60">
        <v>59.05</v>
      </c>
      <c r="H13" s="60">
        <v>25.69</v>
      </c>
      <c r="I13" s="60">
        <v>4.07</v>
      </c>
      <c r="J13" s="60">
        <v>0.03</v>
      </c>
      <c r="K13" s="60">
        <v>247.55</v>
      </c>
      <c r="L13" s="60">
        <v>28.96</v>
      </c>
      <c r="M13" s="60">
        <v>51.94</v>
      </c>
      <c r="N13" s="60">
        <v>99.4</v>
      </c>
      <c r="O13" s="60">
        <v>0</v>
      </c>
      <c r="P13" s="60">
        <v>0.43</v>
      </c>
      <c r="Q13" s="60">
        <v>9.56</v>
      </c>
      <c r="R13" s="198"/>
      <c r="S13" s="198"/>
      <c r="T13" s="198"/>
      <c r="U13" s="198"/>
    </row>
    <row r="14" spans="1:21" s="12" customFormat="1" x14ac:dyDescent="0.25">
      <c r="A14" s="63">
        <v>45816.0625</v>
      </c>
      <c r="B14" s="60">
        <v>7.3</v>
      </c>
      <c r="C14" s="60">
        <v>20.77</v>
      </c>
      <c r="D14" s="60">
        <v>28.55</v>
      </c>
      <c r="E14" s="60">
        <v>5</v>
      </c>
      <c r="F14" s="60">
        <v>13.41</v>
      </c>
      <c r="G14" s="60">
        <v>59.05</v>
      </c>
      <c r="H14" s="60">
        <v>25.69</v>
      </c>
      <c r="I14" s="60">
        <v>4.03</v>
      </c>
      <c r="J14" s="60">
        <v>0.06</v>
      </c>
      <c r="K14" s="60">
        <v>188.31</v>
      </c>
      <c r="L14" s="60">
        <v>28.69</v>
      </c>
      <c r="M14" s="60">
        <v>53.92</v>
      </c>
      <c r="N14" s="60">
        <v>99</v>
      </c>
      <c r="O14" s="60">
        <v>0</v>
      </c>
      <c r="P14" s="60">
        <v>0.44</v>
      </c>
      <c r="Q14" s="60">
        <v>9.5500000000000007</v>
      </c>
      <c r="R14" s="198"/>
      <c r="S14" s="198"/>
      <c r="T14" s="198"/>
      <c r="U14" s="198"/>
    </row>
    <row r="15" spans="1:21" s="12" customFormat="1" x14ac:dyDescent="0.25">
      <c r="A15" s="63">
        <v>45816.072916666664</v>
      </c>
      <c r="B15" s="60">
        <v>5.97</v>
      </c>
      <c r="C15" s="60">
        <v>18.64</v>
      </c>
      <c r="D15" s="60">
        <v>26.51</v>
      </c>
      <c r="E15" s="60">
        <v>5.07</v>
      </c>
      <c r="F15" s="60">
        <v>17.02</v>
      </c>
      <c r="G15" s="60">
        <v>59.05</v>
      </c>
      <c r="H15" s="60">
        <v>25.69</v>
      </c>
      <c r="I15" s="60">
        <v>3.69</v>
      </c>
      <c r="J15" s="60">
        <v>0.11</v>
      </c>
      <c r="K15" s="60">
        <v>134.35</v>
      </c>
      <c r="L15" s="60">
        <v>28.48</v>
      </c>
      <c r="M15" s="60">
        <v>55.39</v>
      </c>
      <c r="N15" s="60">
        <v>99</v>
      </c>
      <c r="O15" s="60">
        <v>0</v>
      </c>
      <c r="P15" s="60">
        <v>0.39</v>
      </c>
      <c r="Q15" s="60">
        <v>9.5399999999999991</v>
      </c>
      <c r="R15" s="198"/>
      <c r="S15" s="198"/>
      <c r="T15" s="198"/>
      <c r="U15" s="198"/>
    </row>
    <row r="16" spans="1:21" s="12" customFormat="1" x14ac:dyDescent="0.25">
      <c r="A16" s="63">
        <v>45816.083333333336</v>
      </c>
      <c r="B16" s="60">
        <v>5.77</v>
      </c>
      <c r="C16" s="60">
        <v>18.91</v>
      </c>
      <c r="D16" s="60">
        <v>27.34</v>
      </c>
      <c r="E16" s="60">
        <v>5.0999999999999996</v>
      </c>
      <c r="F16" s="60">
        <v>17.53</v>
      </c>
      <c r="G16" s="60">
        <v>56.08</v>
      </c>
      <c r="H16" s="60">
        <v>19.89</v>
      </c>
      <c r="I16" s="60">
        <v>4.0999999999999996</v>
      </c>
      <c r="J16" s="60">
        <v>0.04</v>
      </c>
      <c r="K16" s="60">
        <v>195.23</v>
      </c>
      <c r="L16" s="60">
        <v>28.38</v>
      </c>
      <c r="M16" s="60">
        <v>56.42</v>
      </c>
      <c r="N16" s="60">
        <v>98.7</v>
      </c>
      <c r="O16" s="60">
        <v>0</v>
      </c>
      <c r="P16" s="60">
        <v>0.38</v>
      </c>
      <c r="Q16" s="60">
        <v>9.52</v>
      </c>
      <c r="R16" s="198"/>
      <c r="S16" s="198"/>
      <c r="T16" s="198"/>
      <c r="U16" s="198"/>
    </row>
    <row r="17" spans="1:21" s="12" customFormat="1" x14ac:dyDescent="0.25">
      <c r="A17" s="63">
        <v>45816.09375</v>
      </c>
      <c r="B17" s="60">
        <v>5.8</v>
      </c>
      <c r="C17" s="60">
        <v>18.29</v>
      </c>
      <c r="D17" s="60">
        <v>26.09</v>
      </c>
      <c r="E17" s="60">
        <v>5.27</v>
      </c>
      <c r="F17" s="60">
        <v>16.829999999999998</v>
      </c>
      <c r="G17" s="60">
        <v>52.68</v>
      </c>
      <c r="H17" s="60">
        <v>13.26</v>
      </c>
      <c r="I17" s="60">
        <v>4.1100000000000003</v>
      </c>
      <c r="J17" s="60">
        <v>0.04</v>
      </c>
      <c r="K17" s="60">
        <v>284.39999999999998</v>
      </c>
      <c r="L17" s="60">
        <v>28.33</v>
      </c>
      <c r="M17" s="60">
        <v>56.89</v>
      </c>
      <c r="N17" s="60">
        <v>98.5</v>
      </c>
      <c r="O17" s="60">
        <v>0</v>
      </c>
      <c r="P17" s="60">
        <v>0.38</v>
      </c>
      <c r="Q17" s="60">
        <v>9.51</v>
      </c>
      <c r="R17" s="198"/>
      <c r="S17" s="198"/>
      <c r="T17" s="198"/>
      <c r="U17" s="198"/>
    </row>
    <row r="18" spans="1:21" s="12" customFormat="1" x14ac:dyDescent="0.25">
      <c r="A18" s="63">
        <v>45816.104166666664</v>
      </c>
      <c r="B18" s="60">
        <v>6.41</v>
      </c>
      <c r="C18" s="60">
        <v>18.73</v>
      </c>
      <c r="D18" s="60">
        <v>26.01</v>
      </c>
      <c r="E18" s="60">
        <v>5.37</v>
      </c>
      <c r="F18" s="60">
        <v>16.11</v>
      </c>
      <c r="G18" s="60">
        <v>52.68</v>
      </c>
      <c r="H18" s="60">
        <v>13.26</v>
      </c>
      <c r="I18" s="60">
        <v>4.04</v>
      </c>
      <c r="J18" s="60">
        <v>0.06</v>
      </c>
      <c r="K18" s="60">
        <v>296.89999999999998</v>
      </c>
      <c r="L18" s="60">
        <v>28.41</v>
      </c>
      <c r="M18" s="60">
        <v>56.9</v>
      </c>
      <c r="N18" s="60">
        <v>98.3</v>
      </c>
      <c r="O18" s="60">
        <v>0</v>
      </c>
      <c r="P18" s="60">
        <v>0.42</v>
      </c>
      <c r="Q18" s="60">
        <v>9.49</v>
      </c>
      <c r="R18" s="198"/>
      <c r="S18" s="198"/>
      <c r="T18" s="198"/>
      <c r="U18" s="198"/>
    </row>
    <row r="19" spans="1:21" s="12" customFormat="1" x14ac:dyDescent="0.25">
      <c r="A19" s="63">
        <v>45816.114583333336</v>
      </c>
      <c r="B19" s="60">
        <v>6.01</v>
      </c>
      <c r="C19" s="60">
        <v>17.79</v>
      </c>
      <c r="D19" s="60">
        <v>24.83</v>
      </c>
      <c r="E19" s="60">
        <v>5</v>
      </c>
      <c r="F19" s="60">
        <v>17.59</v>
      </c>
      <c r="G19" s="60">
        <v>52.68</v>
      </c>
      <c r="H19" s="60">
        <v>13.26</v>
      </c>
      <c r="I19" s="60">
        <v>3.92</v>
      </c>
      <c r="J19" s="60">
        <v>0.08</v>
      </c>
      <c r="K19" s="60">
        <v>287.91000000000003</v>
      </c>
      <c r="L19" s="60">
        <v>28.34</v>
      </c>
      <c r="M19" s="60">
        <v>57.48</v>
      </c>
      <c r="N19" s="60">
        <v>99</v>
      </c>
      <c r="O19" s="60">
        <v>0</v>
      </c>
      <c r="P19" s="60">
        <v>0.39</v>
      </c>
      <c r="Q19" s="60">
        <v>9.49</v>
      </c>
      <c r="R19" s="198"/>
      <c r="S19" s="198"/>
      <c r="T19" s="198"/>
      <c r="U19" s="198"/>
    </row>
    <row r="20" spans="1:21" s="12" customFormat="1" x14ac:dyDescent="0.25">
      <c r="A20" s="63">
        <v>45816.125</v>
      </c>
      <c r="B20" s="60">
        <v>5.57</v>
      </c>
      <c r="C20" s="60">
        <v>16.55</v>
      </c>
      <c r="D20" s="60">
        <v>23.14</v>
      </c>
      <c r="E20" s="60">
        <v>5.44</v>
      </c>
      <c r="F20" s="60">
        <v>17.260000000000002</v>
      </c>
      <c r="G20" s="60">
        <v>51.1</v>
      </c>
      <c r="H20" s="60">
        <v>14.91</v>
      </c>
      <c r="I20" s="60">
        <v>3.92</v>
      </c>
      <c r="J20" s="60">
        <v>0.08</v>
      </c>
      <c r="K20" s="60">
        <v>281.11</v>
      </c>
      <c r="L20" s="60">
        <v>28.21</v>
      </c>
      <c r="M20" s="60">
        <v>57.88</v>
      </c>
      <c r="N20" s="60">
        <v>98.5</v>
      </c>
      <c r="O20" s="60">
        <v>0</v>
      </c>
      <c r="P20" s="60">
        <v>0.39</v>
      </c>
      <c r="Q20" s="60">
        <v>9.48</v>
      </c>
      <c r="R20" s="198"/>
      <c r="S20" s="198"/>
      <c r="T20" s="198"/>
      <c r="U20" s="198"/>
    </row>
    <row r="21" spans="1:21" s="12" customFormat="1" x14ac:dyDescent="0.25">
      <c r="A21" s="63">
        <v>45816.135416666664</v>
      </c>
      <c r="B21" s="60">
        <v>5.24</v>
      </c>
      <c r="C21" s="60">
        <v>16.05</v>
      </c>
      <c r="D21" s="60">
        <v>22.69</v>
      </c>
      <c r="E21" s="60">
        <v>4.9000000000000004</v>
      </c>
      <c r="F21" s="60">
        <v>17.93</v>
      </c>
      <c r="G21" s="60">
        <v>49.29</v>
      </c>
      <c r="H21" s="60">
        <v>16.78</v>
      </c>
      <c r="I21" s="60">
        <v>4.12</v>
      </c>
      <c r="J21" s="60">
        <v>0.05</v>
      </c>
      <c r="K21" s="60">
        <v>227.93</v>
      </c>
      <c r="L21" s="60">
        <v>28.12</v>
      </c>
      <c r="M21" s="60">
        <v>58.17</v>
      </c>
      <c r="N21" s="60">
        <v>98.4</v>
      </c>
      <c r="O21" s="60">
        <v>0</v>
      </c>
      <c r="P21" s="60">
        <v>0.36</v>
      </c>
      <c r="Q21" s="60">
        <v>9.4700000000000006</v>
      </c>
      <c r="R21" s="198"/>
      <c r="S21" s="198"/>
      <c r="T21" s="198"/>
      <c r="U21" s="198"/>
    </row>
    <row r="22" spans="1:21" s="12" customFormat="1" x14ac:dyDescent="0.25">
      <c r="A22" s="63">
        <v>45816.145833333336</v>
      </c>
      <c r="B22" s="60">
        <v>6.6</v>
      </c>
      <c r="C22" s="60">
        <v>18.16</v>
      </c>
      <c r="D22" s="60">
        <v>24.63</v>
      </c>
      <c r="E22" s="60">
        <v>4.78</v>
      </c>
      <c r="F22" s="60">
        <v>10.6</v>
      </c>
      <c r="G22" s="60">
        <v>49.29</v>
      </c>
      <c r="H22" s="60">
        <v>16.78</v>
      </c>
      <c r="I22" s="60">
        <v>4.1100000000000003</v>
      </c>
      <c r="J22" s="60">
        <v>7.0000000000000007E-2</v>
      </c>
      <c r="K22" s="60">
        <v>188.17</v>
      </c>
      <c r="L22" s="60">
        <v>27.99</v>
      </c>
      <c r="M22" s="60">
        <v>59.48</v>
      </c>
      <c r="N22" s="60">
        <v>98.6</v>
      </c>
      <c r="O22" s="60">
        <v>0</v>
      </c>
      <c r="P22" s="60">
        <v>0.46</v>
      </c>
      <c r="Q22" s="60">
        <v>9.4499999999999993</v>
      </c>
      <c r="R22" s="198"/>
      <c r="S22" s="198"/>
      <c r="T22" s="198"/>
      <c r="U22" s="198"/>
    </row>
    <row r="23" spans="1:21" s="12" customFormat="1" x14ac:dyDescent="0.25">
      <c r="A23" s="63">
        <v>45816.15625</v>
      </c>
      <c r="B23" s="60">
        <v>6.64</v>
      </c>
      <c r="C23" s="60">
        <v>18.52</v>
      </c>
      <c r="D23" s="60">
        <v>25.25</v>
      </c>
      <c r="E23" s="60">
        <v>5.33</v>
      </c>
      <c r="F23" s="60">
        <v>11.99</v>
      </c>
      <c r="G23" s="60">
        <v>49.29</v>
      </c>
      <c r="H23" s="60">
        <v>16.78</v>
      </c>
      <c r="I23" s="60">
        <v>4.04</v>
      </c>
      <c r="J23" s="60">
        <v>0.09</v>
      </c>
      <c r="K23" s="60">
        <v>172.2</v>
      </c>
      <c r="L23" s="60">
        <v>27.74</v>
      </c>
      <c r="M23" s="60">
        <v>61.45</v>
      </c>
      <c r="N23" s="60">
        <v>99</v>
      </c>
      <c r="O23" s="60">
        <v>0</v>
      </c>
      <c r="P23" s="60">
        <v>0.42</v>
      </c>
      <c r="Q23" s="60">
        <v>9.43</v>
      </c>
      <c r="R23" s="198"/>
      <c r="S23" s="198"/>
      <c r="T23" s="198"/>
      <c r="U23" s="198"/>
    </row>
    <row r="24" spans="1:21" s="12" customFormat="1" x14ac:dyDescent="0.25">
      <c r="A24" s="63">
        <v>45816.166666666664</v>
      </c>
      <c r="B24" s="60">
        <v>6.31</v>
      </c>
      <c r="C24" s="60">
        <v>18.96</v>
      </c>
      <c r="D24" s="60">
        <v>26.6</v>
      </c>
      <c r="E24" s="60">
        <v>4.87</v>
      </c>
      <c r="F24" s="60">
        <v>12.97</v>
      </c>
      <c r="G24" s="60">
        <v>48.43</v>
      </c>
      <c r="H24" s="60">
        <v>15.07</v>
      </c>
      <c r="I24" s="60">
        <v>3.88</v>
      </c>
      <c r="J24" s="60">
        <v>0.06</v>
      </c>
      <c r="K24" s="60">
        <v>154.1</v>
      </c>
      <c r="L24" s="60">
        <v>27.51</v>
      </c>
      <c r="M24" s="60">
        <v>63.73</v>
      </c>
      <c r="N24" s="60">
        <v>98.6</v>
      </c>
      <c r="O24" s="60">
        <v>0</v>
      </c>
      <c r="P24" s="60">
        <v>0.41</v>
      </c>
      <c r="Q24" s="60">
        <v>9.4</v>
      </c>
      <c r="R24" s="198"/>
      <c r="S24" s="198"/>
      <c r="T24" s="198"/>
      <c r="U24" s="198"/>
    </row>
    <row r="25" spans="1:21" s="12" customFormat="1" x14ac:dyDescent="0.25">
      <c r="A25" s="63">
        <v>45816.177083333336</v>
      </c>
      <c r="B25" s="60">
        <v>5.95</v>
      </c>
      <c r="C25" s="60">
        <v>18.510000000000002</v>
      </c>
      <c r="D25" s="60">
        <v>26.28</v>
      </c>
      <c r="E25" s="60">
        <v>4.79</v>
      </c>
      <c r="F25" s="60">
        <v>14.01</v>
      </c>
      <c r="G25" s="60">
        <v>47.45</v>
      </c>
      <c r="H25" s="60">
        <v>13.2</v>
      </c>
      <c r="I25" s="60">
        <v>3.76</v>
      </c>
      <c r="J25" s="60">
        <v>0.06</v>
      </c>
      <c r="K25" s="60">
        <v>181.57</v>
      </c>
      <c r="L25" s="60">
        <v>27.4</v>
      </c>
      <c r="M25" s="60">
        <v>65.13</v>
      </c>
      <c r="N25" s="60">
        <v>97.8</v>
      </c>
      <c r="O25" s="60">
        <v>0</v>
      </c>
      <c r="P25" s="60">
        <v>0.39</v>
      </c>
      <c r="Q25" s="60">
        <v>9.39</v>
      </c>
      <c r="R25" s="198"/>
      <c r="S25" s="198"/>
      <c r="T25" s="198"/>
      <c r="U25" s="198"/>
    </row>
    <row r="26" spans="1:21" s="12" customFormat="1" x14ac:dyDescent="0.25">
      <c r="A26" s="63">
        <v>45816.1875</v>
      </c>
      <c r="B26" s="60">
        <v>5.86</v>
      </c>
      <c r="C26" s="60">
        <v>17.829999999999998</v>
      </c>
      <c r="D26" s="60">
        <v>25.14</v>
      </c>
      <c r="E26" s="60">
        <v>4.38</v>
      </c>
      <c r="F26" s="60">
        <v>12.04</v>
      </c>
      <c r="G26" s="60">
        <v>47.45</v>
      </c>
      <c r="H26" s="60">
        <v>13.2</v>
      </c>
      <c r="I26" s="60">
        <v>4.0999999999999996</v>
      </c>
      <c r="J26" s="60">
        <v>7.0000000000000007E-2</v>
      </c>
      <c r="K26" s="60">
        <v>196.31</v>
      </c>
      <c r="L26" s="60">
        <v>27.22</v>
      </c>
      <c r="M26" s="60">
        <v>67.13</v>
      </c>
      <c r="N26" s="60">
        <v>97.2</v>
      </c>
      <c r="O26" s="60">
        <v>0</v>
      </c>
      <c r="P26" s="60">
        <v>0.39</v>
      </c>
      <c r="Q26" s="60">
        <v>9.36</v>
      </c>
      <c r="R26" s="198"/>
      <c r="S26" s="198"/>
      <c r="T26" s="198"/>
      <c r="U26" s="198"/>
    </row>
    <row r="27" spans="1:21" s="12" customFormat="1" x14ac:dyDescent="0.25">
      <c r="A27" s="63">
        <v>45816.197916666664</v>
      </c>
      <c r="B27" s="60">
        <v>10.19</v>
      </c>
      <c r="C27" s="60">
        <v>28.38</v>
      </c>
      <c r="D27" s="60">
        <v>38.68</v>
      </c>
      <c r="E27" s="60">
        <v>4.59</v>
      </c>
      <c r="F27" s="60">
        <v>9.61</v>
      </c>
      <c r="G27" s="60">
        <v>47.45</v>
      </c>
      <c r="H27" s="60">
        <v>13.2</v>
      </c>
      <c r="I27" s="60">
        <v>3.96</v>
      </c>
      <c r="J27" s="60">
        <v>0.09</v>
      </c>
      <c r="K27" s="60">
        <v>346.44</v>
      </c>
      <c r="L27" s="60">
        <v>27.02</v>
      </c>
      <c r="M27" s="60">
        <v>70.16</v>
      </c>
      <c r="N27" s="60">
        <v>97.2</v>
      </c>
      <c r="O27" s="60">
        <v>0</v>
      </c>
      <c r="P27" s="60">
        <v>0.42</v>
      </c>
      <c r="Q27" s="60">
        <v>9.3699999999999992</v>
      </c>
      <c r="R27" s="198"/>
      <c r="S27" s="198"/>
      <c r="T27" s="198"/>
      <c r="U27" s="198"/>
    </row>
    <row r="28" spans="1:21" s="12" customFormat="1" x14ac:dyDescent="0.25">
      <c r="A28" s="63">
        <v>45816.208333333336</v>
      </c>
      <c r="B28" s="60">
        <v>10.15</v>
      </c>
      <c r="C28" s="60">
        <v>33.29</v>
      </c>
      <c r="D28" s="60">
        <v>48.14</v>
      </c>
      <c r="E28" s="60">
        <v>4.37</v>
      </c>
      <c r="F28" s="60">
        <v>8.7799999999999994</v>
      </c>
      <c r="G28" s="60">
        <v>48.48</v>
      </c>
      <c r="H28" s="60">
        <v>16.47</v>
      </c>
      <c r="I28" s="60">
        <v>3.92</v>
      </c>
      <c r="J28" s="60">
        <v>7.0000000000000007E-2</v>
      </c>
      <c r="K28" s="60">
        <v>324.08999999999997</v>
      </c>
      <c r="L28" s="60">
        <v>26.98</v>
      </c>
      <c r="M28" s="60">
        <v>71.900000000000006</v>
      </c>
      <c r="N28" s="60">
        <v>96.8</v>
      </c>
      <c r="O28" s="60">
        <v>0</v>
      </c>
      <c r="P28" s="60">
        <v>0.51</v>
      </c>
      <c r="Q28" s="60">
        <v>9.3800000000000008</v>
      </c>
      <c r="R28" s="198"/>
      <c r="S28" s="198"/>
      <c r="T28" s="198"/>
      <c r="U28" s="198"/>
    </row>
    <row r="29" spans="1:21" s="12" customFormat="1" x14ac:dyDescent="0.25">
      <c r="A29" s="63">
        <v>45816.21875</v>
      </c>
      <c r="B29" s="60">
        <v>12.09</v>
      </c>
      <c r="C29" s="60">
        <v>29.98</v>
      </c>
      <c r="D29" s="60">
        <v>38.82</v>
      </c>
      <c r="E29" s="60">
        <v>4.72</v>
      </c>
      <c r="F29" s="60">
        <v>8.59</v>
      </c>
      <c r="G29" s="60">
        <v>49.65</v>
      </c>
      <c r="H29" s="60">
        <v>20.22</v>
      </c>
      <c r="I29" s="60">
        <v>3.98</v>
      </c>
      <c r="J29" s="60">
        <v>0.08</v>
      </c>
      <c r="K29" s="60">
        <v>327.57</v>
      </c>
      <c r="L29" s="60">
        <v>27.29</v>
      </c>
      <c r="M29" s="60">
        <v>70.88</v>
      </c>
      <c r="N29" s="60">
        <v>97.1</v>
      </c>
      <c r="O29" s="60">
        <v>0</v>
      </c>
      <c r="P29" s="60">
        <v>0.45</v>
      </c>
      <c r="Q29" s="60">
        <v>9.4</v>
      </c>
      <c r="R29" s="198"/>
      <c r="S29" s="198"/>
      <c r="T29" s="198"/>
      <c r="U29" s="198"/>
    </row>
    <row r="30" spans="1:21" s="12" customFormat="1" x14ac:dyDescent="0.25">
      <c r="A30" s="63">
        <v>45816.229166666664</v>
      </c>
      <c r="B30" s="60">
        <v>9.68</v>
      </c>
      <c r="C30" s="60">
        <v>29.3</v>
      </c>
      <c r="D30" s="60">
        <v>41.22</v>
      </c>
      <c r="E30" s="60">
        <v>3.97</v>
      </c>
      <c r="F30" s="60">
        <v>8.1</v>
      </c>
      <c r="G30" s="60">
        <v>49.65</v>
      </c>
      <c r="H30" s="60">
        <v>20.22</v>
      </c>
      <c r="I30" s="60">
        <v>4.0599999999999996</v>
      </c>
      <c r="J30" s="60">
        <v>0.01</v>
      </c>
      <c r="K30" s="60">
        <v>245.04</v>
      </c>
      <c r="L30" s="60">
        <v>26.99</v>
      </c>
      <c r="M30" s="60">
        <v>71.930000000000007</v>
      </c>
      <c r="N30" s="60">
        <v>101.9</v>
      </c>
      <c r="O30" s="60">
        <v>0</v>
      </c>
      <c r="P30" s="60">
        <v>0.41</v>
      </c>
      <c r="Q30" s="60">
        <v>9.44</v>
      </c>
      <c r="R30" s="198"/>
      <c r="S30" s="198"/>
      <c r="T30" s="198"/>
      <c r="U30" s="198"/>
    </row>
    <row r="31" spans="1:21" s="12" customFormat="1" x14ac:dyDescent="0.25">
      <c r="A31" s="63">
        <v>45816.239583333336</v>
      </c>
      <c r="B31" s="60">
        <v>14.33</v>
      </c>
      <c r="C31" s="60">
        <v>34.57</v>
      </c>
      <c r="D31" s="60">
        <v>44.18</v>
      </c>
      <c r="E31" s="60">
        <v>4.55</v>
      </c>
      <c r="F31" s="60">
        <v>8.15</v>
      </c>
      <c r="G31" s="60">
        <v>49.65</v>
      </c>
      <c r="H31" s="60">
        <v>20.22</v>
      </c>
      <c r="I31" s="60">
        <v>4.0599999999999996</v>
      </c>
      <c r="J31" s="60">
        <v>0.09</v>
      </c>
      <c r="K31" s="60">
        <v>298.99</v>
      </c>
      <c r="L31" s="60">
        <v>27.24</v>
      </c>
      <c r="M31" s="60">
        <v>69.819999999999993</v>
      </c>
      <c r="N31" s="60">
        <v>113.2</v>
      </c>
      <c r="O31" s="60">
        <v>0</v>
      </c>
      <c r="P31" s="60">
        <v>0.46</v>
      </c>
      <c r="Q31" s="60">
        <v>9.4499999999999993</v>
      </c>
      <c r="R31" s="198"/>
      <c r="S31" s="198"/>
      <c r="T31" s="198"/>
      <c r="U31" s="198"/>
    </row>
    <row r="32" spans="1:21" s="12" customFormat="1" x14ac:dyDescent="0.25">
      <c r="A32" s="63">
        <v>45816.25</v>
      </c>
      <c r="B32" s="60">
        <v>9.06</v>
      </c>
      <c r="C32" s="60">
        <v>27.65</v>
      </c>
      <c r="D32" s="60">
        <v>39.01</v>
      </c>
      <c r="E32" s="60">
        <v>4.66</v>
      </c>
      <c r="F32" s="60">
        <v>13.82</v>
      </c>
      <c r="G32" s="60">
        <v>50.68</v>
      </c>
      <c r="H32" s="60">
        <v>16.39</v>
      </c>
      <c r="I32" s="60">
        <v>4.0199999999999996</v>
      </c>
      <c r="J32" s="60">
        <v>0.08</v>
      </c>
      <c r="K32" s="60">
        <v>268.23</v>
      </c>
      <c r="L32" s="60">
        <v>27.57</v>
      </c>
      <c r="M32" s="60">
        <v>68.319999999999993</v>
      </c>
      <c r="N32" s="60">
        <v>135.1</v>
      </c>
      <c r="O32" s="60">
        <v>0</v>
      </c>
      <c r="P32" s="60">
        <v>0.46</v>
      </c>
      <c r="Q32" s="60">
        <v>9.4700000000000006</v>
      </c>
      <c r="R32" s="198"/>
      <c r="S32" s="198"/>
      <c r="T32" s="198"/>
      <c r="U32" s="198"/>
    </row>
    <row r="33" spans="1:21" s="12" customFormat="1" x14ac:dyDescent="0.25">
      <c r="A33" s="63">
        <v>45816.260416666664</v>
      </c>
      <c r="B33" s="60">
        <v>7.61</v>
      </c>
      <c r="C33" s="60">
        <v>23.87</v>
      </c>
      <c r="D33" s="60">
        <v>34.01</v>
      </c>
      <c r="E33" s="60">
        <v>4.5</v>
      </c>
      <c r="F33" s="60">
        <v>14.92</v>
      </c>
      <c r="G33" s="60">
        <v>51.86</v>
      </c>
      <c r="H33" s="60">
        <v>12.02</v>
      </c>
      <c r="I33" s="60">
        <v>3.99</v>
      </c>
      <c r="J33" s="60">
        <v>0.09</v>
      </c>
      <c r="K33" s="60">
        <v>217.46</v>
      </c>
      <c r="L33" s="60">
        <v>28.15</v>
      </c>
      <c r="M33" s="60">
        <v>65.75</v>
      </c>
      <c r="N33" s="60">
        <v>172</v>
      </c>
      <c r="O33" s="60">
        <v>0</v>
      </c>
      <c r="P33" s="60">
        <v>0.37</v>
      </c>
      <c r="Q33" s="60">
        <v>9.5</v>
      </c>
      <c r="R33" s="198"/>
      <c r="S33" s="198"/>
      <c r="T33" s="198"/>
      <c r="U33" s="198"/>
    </row>
    <row r="34" spans="1:21" s="12" customFormat="1" x14ac:dyDescent="0.25">
      <c r="A34" s="63">
        <v>45816.270833333336</v>
      </c>
      <c r="B34" s="60">
        <v>6.6</v>
      </c>
      <c r="C34" s="60">
        <v>25.63</v>
      </c>
      <c r="D34" s="60">
        <v>38.92</v>
      </c>
      <c r="E34" s="60">
        <v>4.2</v>
      </c>
      <c r="F34" s="60">
        <v>14.69</v>
      </c>
      <c r="G34" s="60">
        <v>51.86</v>
      </c>
      <c r="H34" s="60">
        <v>12.02</v>
      </c>
      <c r="I34" s="60">
        <v>4.0599999999999996</v>
      </c>
      <c r="J34" s="60">
        <v>0.13</v>
      </c>
      <c r="K34" s="60">
        <v>162.44</v>
      </c>
      <c r="L34" s="60">
        <v>28.55</v>
      </c>
      <c r="M34" s="60">
        <v>65</v>
      </c>
      <c r="N34" s="60">
        <v>219</v>
      </c>
      <c r="O34" s="60">
        <v>0</v>
      </c>
      <c r="P34" s="60">
        <v>0.38</v>
      </c>
      <c r="Q34" s="60">
        <v>9.51</v>
      </c>
      <c r="R34" s="198"/>
      <c r="S34" s="198"/>
      <c r="T34" s="198"/>
      <c r="U34" s="198"/>
    </row>
    <row r="35" spans="1:21" s="12" customFormat="1" x14ac:dyDescent="0.25">
      <c r="A35" s="63">
        <v>45816.28125</v>
      </c>
      <c r="B35" s="60">
        <v>7.89</v>
      </c>
      <c r="C35" s="60">
        <v>23.6</v>
      </c>
      <c r="D35" s="60">
        <v>33.07</v>
      </c>
      <c r="E35" s="60">
        <v>4.92</v>
      </c>
      <c r="F35" s="60">
        <v>12.82</v>
      </c>
      <c r="G35" s="60">
        <v>51.86</v>
      </c>
      <c r="H35" s="60">
        <v>12.02</v>
      </c>
      <c r="I35" s="60">
        <v>3.81</v>
      </c>
      <c r="J35" s="60">
        <v>0.97</v>
      </c>
      <c r="K35" s="60">
        <v>142.94999999999999</v>
      </c>
      <c r="L35" s="60">
        <v>28.97</v>
      </c>
      <c r="M35" s="60">
        <v>64.37</v>
      </c>
      <c r="N35" s="60">
        <v>269.3</v>
      </c>
      <c r="O35" s="60">
        <v>0</v>
      </c>
      <c r="P35" s="60">
        <v>0.41</v>
      </c>
      <c r="Q35" s="60">
        <v>9.51</v>
      </c>
      <c r="R35" s="198"/>
      <c r="S35" s="198"/>
      <c r="T35" s="198"/>
      <c r="U35" s="198"/>
    </row>
    <row r="36" spans="1:21" s="12" customFormat="1" x14ac:dyDescent="0.25">
      <c r="A36" s="63">
        <v>45816.291666666664</v>
      </c>
      <c r="B36" s="60">
        <v>9.23</v>
      </c>
      <c r="C36" s="60">
        <v>23.91</v>
      </c>
      <c r="D36" s="60">
        <v>31.59</v>
      </c>
      <c r="E36" s="60">
        <v>4.96</v>
      </c>
      <c r="F36" s="60">
        <v>12.83</v>
      </c>
      <c r="G36" s="60">
        <v>50.04</v>
      </c>
      <c r="H36" s="60">
        <v>14.8</v>
      </c>
      <c r="I36" s="60">
        <v>4.0199999999999996</v>
      </c>
      <c r="J36" s="60">
        <v>0.77</v>
      </c>
      <c r="K36" s="60">
        <v>147.56</v>
      </c>
      <c r="L36" s="60">
        <v>29.2</v>
      </c>
      <c r="M36" s="60">
        <v>63.71</v>
      </c>
      <c r="N36" s="60">
        <v>315.7</v>
      </c>
      <c r="O36" s="60">
        <v>0</v>
      </c>
      <c r="P36" s="60">
        <v>0.4</v>
      </c>
      <c r="Q36" s="60">
        <v>9.51</v>
      </c>
      <c r="R36" s="198"/>
      <c r="S36" s="198"/>
      <c r="T36" s="198"/>
      <c r="U36" s="198"/>
    </row>
    <row r="37" spans="1:21" s="12" customFormat="1" x14ac:dyDescent="0.25">
      <c r="A37" s="63">
        <v>45816.302083333336</v>
      </c>
      <c r="B37" s="60">
        <v>8.34</v>
      </c>
      <c r="C37" s="60">
        <v>24.35</v>
      </c>
      <c r="D37" s="60">
        <v>33.799999999999997</v>
      </c>
      <c r="E37" s="60">
        <v>4.7</v>
      </c>
      <c r="F37" s="60">
        <v>14.83</v>
      </c>
      <c r="G37" s="60">
        <v>47.96</v>
      </c>
      <c r="H37" s="60">
        <v>17.97</v>
      </c>
      <c r="I37" s="60">
        <v>3.97</v>
      </c>
      <c r="J37" s="60">
        <v>0.43</v>
      </c>
      <c r="K37" s="60">
        <v>141.27000000000001</v>
      </c>
      <c r="L37" s="60">
        <v>29.78</v>
      </c>
      <c r="M37" s="60">
        <v>61.97</v>
      </c>
      <c r="N37" s="60">
        <v>344.8</v>
      </c>
      <c r="O37" s="60">
        <v>0</v>
      </c>
      <c r="P37" s="60">
        <v>0.43</v>
      </c>
      <c r="Q37" s="60">
        <v>9.51</v>
      </c>
      <c r="R37" s="198"/>
      <c r="S37" s="198"/>
      <c r="T37" s="198"/>
      <c r="U37" s="198"/>
    </row>
    <row r="38" spans="1:21" s="12" customFormat="1" x14ac:dyDescent="0.25">
      <c r="A38" s="63">
        <v>45816.3125</v>
      </c>
      <c r="B38" s="60">
        <v>7.33</v>
      </c>
      <c r="C38" s="60">
        <v>20.58</v>
      </c>
      <c r="D38" s="60">
        <v>28.15</v>
      </c>
      <c r="E38" s="60">
        <v>4.78</v>
      </c>
      <c r="F38" s="60">
        <v>14.61</v>
      </c>
      <c r="G38" s="60">
        <v>47.96</v>
      </c>
      <c r="H38" s="60">
        <v>17.97</v>
      </c>
      <c r="I38" s="60">
        <v>3.86</v>
      </c>
      <c r="J38" s="60">
        <v>0.14000000000000001</v>
      </c>
      <c r="K38" s="60">
        <v>245.66</v>
      </c>
      <c r="L38" s="60">
        <v>29.93</v>
      </c>
      <c r="M38" s="60">
        <v>60.19</v>
      </c>
      <c r="N38" s="60">
        <v>387.6</v>
      </c>
      <c r="O38" s="60">
        <v>0</v>
      </c>
      <c r="P38" s="60">
        <v>0.47</v>
      </c>
      <c r="Q38" s="60">
        <v>9.51</v>
      </c>
      <c r="R38" s="198"/>
      <c r="S38" s="198"/>
      <c r="T38" s="198"/>
      <c r="U38" s="198"/>
    </row>
    <row r="39" spans="1:21" s="12" customFormat="1" x14ac:dyDescent="0.25">
      <c r="A39" s="63">
        <v>45816.322916666664</v>
      </c>
      <c r="B39" s="60">
        <v>9.0500000000000007</v>
      </c>
      <c r="C39" s="60">
        <v>22.43</v>
      </c>
      <c r="D39" s="60">
        <v>29.04</v>
      </c>
      <c r="E39" s="60">
        <v>4.74</v>
      </c>
      <c r="F39" s="60">
        <v>11.83</v>
      </c>
      <c r="G39" s="60">
        <v>47.96</v>
      </c>
      <c r="H39" s="60">
        <v>17.97</v>
      </c>
      <c r="I39" s="60">
        <v>3.99</v>
      </c>
      <c r="J39" s="60">
        <v>0.11</v>
      </c>
      <c r="K39" s="60">
        <v>254.36</v>
      </c>
      <c r="L39" s="60">
        <v>30.88</v>
      </c>
      <c r="M39" s="60">
        <v>58</v>
      </c>
      <c r="N39" s="60">
        <v>432.6</v>
      </c>
      <c r="O39" s="60">
        <v>0</v>
      </c>
      <c r="P39" s="60">
        <v>0.51</v>
      </c>
      <c r="Q39" s="60">
        <v>9.49</v>
      </c>
      <c r="R39" s="198"/>
      <c r="S39" s="198"/>
      <c r="T39" s="198"/>
      <c r="U39" s="198"/>
    </row>
    <row r="40" spans="1:21" s="12" customFormat="1" x14ac:dyDescent="0.25">
      <c r="A40" s="63">
        <v>45816.333333333336</v>
      </c>
      <c r="B40" s="60">
        <v>10.54</v>
      </c>
      <c r="C40" s="60">
        <v>24.32</v>
      </c>
      <c r="D40" s="60">
        <v>30.38</v>
      </c>
      <c r="E40" s="60">
        <v>5.62</v>
      </c>
      <c r="F40" s="60">
        <v>5.38</v>
      </c>
      <c r="G40" s="60">
        <v>47</v>
      </c>
      <c r="H40" s="60">
        <v>18</v>
      </c>
      <c r="I40" s="60">
        <v>4.12</v>
      </c>
      <c r="J40" s="60">
        <v>0.21</v>
      </c>
      <c r="K40" s="60">
        <v>280.23</v>
      </c>
      <c r="L40" s="60">
        <v>31.34</v>
      </c>
      <c r="M40" s="60">
        <v>54.75</v>
      </c>
      <c r="N40" s="60">
        <v>516.4</v>
      </c>
      <c r="O40" s="60">
        <v>0</v>
      </c>
      <c r="P40" s="60">
        <v>0.51</v>
      </c>
      <c r="Q40" s="60">
        <v>9.48</v>
      </c>
      <c r="R40" s="198"/>
      <c r="S40" s="198"/>
      <c r="T40" s="198"/>
      <c r="U40" s="198"/>
    </row>
    <row r="41" spans="1:21" s="12" customFormat="1" x14ac:dyDescent="0.25">
      <c r="A41" s="63">
        <v>45816.34375</v>
      </c>
      <c r="B41" s="60">
        <v>9.34</v>
      </c>
      <c r="C41" s="60">
        <v>23.87</v>
      </c>
      <c r="D41" s="60">
        <v>31.36</v>
      </c>
      <c r="E41" s="60">
        <v>5.51</v>
      </c>
      <c r="F41" s="60">
        <v>6.22</v>
      </c>
      <c r="G41" s="60">
        <v>45.9</v>
      </c>
      <c r="H41" s="60">
        <v>18.03</v>
      </c>
      <c r="I41" s="60">
        <v>3.92</v>
      </c>
      <c r="J41" s="60">
        <v>0.3</v>
      </c>
      <c r="K41" s="60">
        <v>292.72000000000003</v>
      </c>
      <c r="L41" s="60">
        <v>32.68</v>
      </c>
      <c r="M41" s="60">
        <v>49.59</v>
      </c>
      <c r="N41" s="60">
        <v>538.9</v>
      </c>
      <c r="O41" s="60">
        <v>0</v>
      </c>
      <c r="P41" s="60">
        <v>0.5</v>
      </c>
      <c r="Q41" s="60">
        <v>9.44</v>
      </c>
      <c r="R41" s="198"/>
      <c r="S41" s="198"/>
      <c r="T41" s="198"/>
      <c r="U41" s="198"/>
    </row>
    <row r="42" spans="1:21" s="12" customFormat="1" x14ac:dyDescent="0.25">
      <c r="A42" s="63">
        <v>45816.354166666664</v>
      </c>
      <c r="B42" s="60">
        <v>7.99</v>
      </c>
      <c r="C42" s="60">
        <v>23.27</v>
      </c>
      <c r="D42" s="60">
        <v>32.270000000000003</v>
      </c>
      <c r="E42" s="60">
        <v>5.18</v>
      </c>
      <c r="F42" s="60">
        <v>5.3</v>
      </c>
      <c r="G42" s="60">
        <v>45.9</v>
      </c>
      <c r="H42" s="60">
        <v>18.03</v>
      </c>
      <c r="I42" s="60">
        <v>3.92</v>
      </c>
      <c r="J42" s="60">
        <v>0.28999999999999998</v>
      </c>
      <c r="K42" s="60">
        <v>290.04000000000002</v>
      </c>
      <c r="L42" s="60">
        <v>34</v>
      </c>
      <c r="M42" s="60">
        <v>44.79</v>
      </c>
      <c r="N42" s="60">
        <v>558.4</v>
      </c>
      <c r="O42" s="60">
        <v>0</v>
      </c>
      <c r="P42" s="60">
        <v>0.49</v>
      </c>
      <c r="Q42" s="60">
        <v>9.4</v>
      </c>
      <c r="R42" s="198"/>
      <c r="S42" s="198"/>
      <c r="T42" s="198"/>
      <c r="U42" s="198"/>
    </row>
    <row r="43" spans="1:21" s="12" customFormat="1" x14ac:dyDescent="0.25">
      <c r="A43" s="63">
        <v>45816.364583333336</v>
      </c>
      <c r="B43" s="60">
        <v>7.08</v>
      </c>
      <c r="C43" s="60">
        <v>21.89</v>
      </c>
      <c r="D43" s="60">
        <v>31.03</v>
      </c>
      <c r="E43" s="60">
        <v>5.27</v>
      </c>
      <c r="F43" s="60">
        <v>6.45</v>
      </c>
      <c r="G43" s="60">
        <v>45.9</v>
      </c>
      <c r="H43" s="60">
        <v>18.03</v>
      </c>
      <c r="I43" s="60">
        <v>3.92</v>
      </c>
      <c r="J43" s="60">
        <v>0.27</v>
      </c>
      <c r="K43" s="60">
        <v>282.08999999999997</v>
      </c>
      <c r="L43" s="60">
        <v>34.6</v>
      </c>
      <c r="M43" s="60">
        <v>43.15</v>
      </c>
      <c r="N43" s="60">
        <v>587.29999999999995</v>
      </c>
      <c r="O43" s="60">
        <v>0</v>
      </c>
      <c r="P43" s="60">
        <v>0.49</v>
      </c>
      <c r="Q43" s="60">
        <v>9.36</v>
      </c>
      <c r="R43" s="198"/>
      <c r="S43" s="198"/>
      <c r="T43" s="198"/>
      <c r="U43" s="198"/>
    </row>
    <row r="44" spans="1:21" s="12" customFormat="1" x14ac:dyDescent="0.25">
      <c r="A44" s="63">
        <v>45816.375</v>
      </c>
      <c r="B44" s="60">
        <v>7.7</v>
      </c>
      <c r="C44" s="60">
        <v>26.62</v>
      </c>
      <c r="D44" s="60">
        <v>39.14</v>
      </c>
      <c r="E44" s="60">
        <v>5.22</v>
      </c>
      <c r="F44" s="60">
        <v>6.36</v>
      </c>
      <c r="G44" s="60">
        <v>45.92</v>
      </c>
      <c r="H44" s="60">
        <v>16.98</v>
      </c>
      <c r="I44" s="60">
        <v>4.07</v>
      </c>
      <c r="J44" s="60">
        <v>0.42</v>
      </c>
      <c r="K44" s="60">
        <v>296.35000000000002</v>
      </c>
      <c r="L44" s="60">
        <v>34.950000000000003</v>
      </c>
      <c r="M44" s="60">
        <v>42.47</v>
      </c>
      <c r="N44" s="60">
        <v>677.4</v>
      </c>
      <c r="O44" s="60">
        <v>0</v>
      </c>
      <c r="P44" s="60">
        <v>0.56000000000000005</v>
      </c>
      <c r="Q44" s="60">
        <v>9.35</v>
      </c>
      <c r="R44" s="198"/>
      <c r="S44" s="198"/>
      <c r="T44" s="198"/>
      <c r="U44" s="198"/>
    </row>
    <row r="45" spans="1:21" s="12" customFormat="1" x14ac:dyDescent="0.25">
      <c r="A45" s="63">
        <v>45816.385416666664</v>
      </c>
      <c r="B45" s="60">
        <v>8.19</v>
      </c>
      <c r="C45" s="60">
        <v>24.62</v>
      </c>
      <c r="D45" s="60">
        <v>34.54</v>
      </c>
      <c r="E45" s="60">
        <v>5.43</v>
      </c>
      <c r="F45" s="60">
        <v>8.4600000000000009</v>
      </c>
      <c r="G45" s="60">
        <v>45.93</v>
      </c>
      <c r="H45" s="60">
        <v>15.8</v>
      </c>
      <c r="I45" s="60">
        <v>4.0199999999999996</v>
      </c>
      <c r="J45" s="60">
        <v>0.33</v>
      </c>
      <c r="K45" s="60">
        <v>301.24</v>
      </c>
      <c r="L45" s="60">
        <v>37.229999999999997</v>
      </c>
      <c r="M45" s="60">
        <v>37.97</v>
      </c>
      <c r="N45" s="60">
        <v>714</v>
      </c>
      <c r="O45" s="60">
        <v>0</v>
      </c>
      <c r="P45" s="60">
        <v>0.6</v>
      </c>
      <c r="Q45" s="60">
        <v>9.33</v>
      </c>
      <c r="R45" s="198"/>
      <c r="S45" s="198"/>
      <c r="T45" s="198"/>
      <c r="U45" s="198"/>
    </row>
    <row r="46" spans="1:21" s="12" customFormat="1" x14ac:dyDescent="0.25">
      <c r="A46" s="63">
        <v>45816.395833333336</v>
      </c>
      <c r="B46" s="60">
        <v>7.39</v>
      </c>
      <c r="C46" s="60">
        <v>25.31</v>
      </c>
      <c r="D46" s="60">
        <v>37.119999999999997</v>
      </c>
      <c r="E46" s="60">
        <v>5.12</v>
      </c>
      <c r="F46" s="60">
        <v>6.3</v>
      </c>
      <c r="G46" s="60">
        <v>45.93</v>
      </c>
      <c r="H46" s="60">
        <v>15.8</v>
      </c>
      <c r="I46" s="60">
        <v>4.03</v>
      </c>
      <c r="J46" s="60">
        <v>0.47</v>
      </c>
      <c r="K46" s="60">
        <v>297.24</v>
      </c>
      <c r="L46" s="60">
        <v>37.86</v>
      </c>
      <c r="M46" s="60">
        <v>35.26</v>
      </c>
      <c r="N46" s="60">
        <v>764.9</v>
      </c>
      <c r="O46" s="60">
        <v>0</v>
      </c>
      <c r="P46" s="60">
        <v>0.61</v>
      </c>
      <c r="Q46" s="60">
        <v>9.34</v>
      </c>
      <c r="R46" s="198"/>
      <c r="S46" s="198"/>
      <c r="T46" s="198"/>
      <c r="U46" s="198"/>
    </row>
    <row r="47" spans="1:21" s="12" customFormat="1" x14ac:dyDescent="0.25">
      <c r="A47" s="63">
        <v>45816.40625</v>
      </c>
      <c r="B47" s="60">
        <v>6.05</v>
      </c>
      <c r="C47" s="60">
        <v>21.82</v>
      </c>
      <c r="D47" s="60">
        <v>32.49</v>
      </c>
      <c r="E47" s="60">
        <v>5.25</v>
      </c>
      <c r="F47" s="60">
        <v>7.64</v>
      </c>
      <c r="G47" s="60">
        <v>45.93</v>
      </c>
      <c r="H47" s="60">
        <v>15.8</v>
      </c>
      <c r="I47" s="60">
        <v>4.05</v>
      </c>
      <c r="J47" s="60">
        <v>0.35</v>
      </c>
      <c r="K47" s="60">
        <v>287.45</v>
      </c>
      <c r="L47" s="60">
        <v>37.92</v>
      </c>
      <c r="M47" s="60">
        <v>34.979999999999997</v>
      </c>
      <c r="N47" s="60">
        <v>797.2</v>
      </c>
      <c r="O47" s="60">
        <v>0</v>
      </c>
      <c r="P47" s="60">
        <v>0.57999999999999996</v>
      </c>
      <c r="Q47" s="60">
        <v>9.34</v>
      </c>
      <c r="R47" s="198"/>
      <c r="S47" s="198"/>
      <c r="T47" s="198"/>
      <c r="U47" s="198"/>
    </row>
    <row r="48" spans="1:21" s="12" customFormat="1" x14ac:dyDescent="0.25">
      <c r="A48" s="63">
        <v>45816.416666666664</v>
      </c>
      <c r="B48" s="60">
        <v>4.8899999999999997</v>
      </c>
      <c r="C48" s="60">
        <v>20.64</v>
      </c>
      <c r="D48" s="60">
        <v>32</v>
      </c>
      <c r="E48" s="60">
        <v>4.8899999999999997</v>
      </c>
      <c r="F48" s="60">
        <v>8.44</v>
      </c>
      <c r="G48" s="60">
        <v>47.15</v>
      </c>
      <c r="H48" s="60">
        <v>12.76</v>
      </c>
      <c r="I48" s="60">
        <v>4.07</v>
      </c>
      <c r="J48" s="60">
        <v>0.42</v>
      </c>
      <c r="K48" s="60">
        <v>300.99</v>
      </c>
      <c r="L48" s="60">
        <v>37.65</v>
      </c>
      <c r="M48" s="60">
        <v>35.880000000000003</v>
      </c>
      <c r="N48" s="60">
        <v>819.1</v>
      </c>
      <c r="O48" s="60">
        <v>0</v>
      </c>
      <c r="P48" s="60">
        <v>0.56999999999999995</v>
      </c>
      <c r="Q48" s="60">
        <v>9.3000000000000007</v>
      </c>
      <c r="R48" s="198"/>
      <c r="S48" s="198"/>
      <c r="T48" s="198"/>
      <c r="U48" s="198"/>
    </row>
    <row r="49" spans="1:21" s="12" customFormat="1" x14ac:dyDescent="0.25">
      <c r="A49" s="63">
        <v>45816.427083333336</v>
      </c>
      <c r="B49" s="60">
        <v>4.8899999999999997</v>
      </c>
      <c r="C49" s="60">
        <v>23.59</v>
      </c>
      <c r="D49" s="60">
        <v>37.65</v>
      </c>
      <c r="E49" s="60">
        <v>5.1100000000000003</v>
      </c>
      <c r="F49" s="60">
        <v>7.95</v>
      </c>
      <c r="G49" s="60">
        <v>48.48</v>
      </c>
      <c r="H49" s="60">
        <v>9.44</v>
      </c>
      <c r="I49" s="60">
        <v>3.91</v>
      </c>
      <c r="J49" s="60">
        <v>1</v>
      </c>
      <c r="K49" s="60">
        <v>325</v>
      </c>
      <c r="L49" s="60">
        <v>39.229999999999997</v>
      </c>
      <c r="M49" s="60">
        <v>32.72</v>
      </c>
      <c r="N49" s="60">
        <v>845.3</v>
      </c>
      <c r="O49" s="60">
        <v>0</v>
      </c>
      <c r="P49" s="60">
        <v>0.59</v>
      </c>
      <c r="Q49" s="60">
        <v>9.2899999999999991</v>
      </c>
      <c r="R49" s="198"/>
      <c r="S49" s="198"/>
      <c r="T49" s="198"/>
      <c r="U49" s="198"/>
    </row>
    <row r="50" spans="1:21" s="12" customFormat="1" x14ac:dyDescent="0.25">
      <c r="A50" s="63">
        <v>45816.4375</v>
      </c>
      <c r="B50" s="60">
        <v>5.38</v>
      </c>
      <c r="C50" s="60">
        <v>23.16</v>
      </c>
      <c r="D50" s="60">
        <v>36.08</v>
      </c>
      <c r="E50" s="60">
        <v>6.16</v>
      </c>
      <c r="F50" s="60">
        <v>15.81</v>
      </c>
      <c r="G50" s="60">
        <v>48.48</v>
      </c>
      <c r="H50" s="60">
        <v>9.44</v>
      </c>
      <c r="I50" s="60">
        <v>4.05</v>
      </c>
      <c r="J50" s="60">
        <v>0.66</v>
      </c>
      <c r="K50" s="60">
        <v>310.43</v>
      </c>
      <c r="L50" s="60">
        <v>40.22</v>
      </c>
      <c r="M50" s="60">
        <v>31.04</v>
      </c>
      <c r="N50" s="60">
        <v>878.4</v>
      </c>
      <c r="O50" s="60">
        <v>0</v>
      </c>
      <c r="P50" s="60">
        <v>0.55000000000000004</v>
      </c>
      <c r="Q50" s="60">
        <v>9.31</v>
      </c>
      <c r="R50" s="198"/>
      <c r="S50" s="198"/>
      <c r="T50" s="198"/>
      <c r="U50" s="198"/>
    </row>
    <row r="51" spans="1:21" s="12" customFormat="1" x14ac:dyDescent="0.25">
      <c r="A51" s="63">
        <v>45816.447916666664</v>
      </c>
      <c r="B51" s="60">
        <v>6.13</v>
      </c>
      <c r="C51" s="60">
        <v>23.43</v>
      </c>
      <c r="D51" s="60">
        <v>35.44</v>
      </c>
      <c r="E51" s="60">
        <v>6.4</v>
      </c>
      <c r="F51" s="60">
        <v>14.77</v>
      </c>
      <c r="G51" s="60">
        <v>48.48</v>
      </c>
      <c r="H51" s="60">
        <v>9.44</v>
      </c>
      <c r="I51" s="60">
        <v>4.1500000000000004</v>
      </c>
      <c r="J51" s="60">
        <v>0.5</v>
      </c>
      <c r="K51" s="60">
        <v>312.45999999999998</v>
      </c>
      <c r="L51" s="60">
        <v>40.5</v>
      </c>
      <c r="M51" s="60">
        <v>30.45</v>
      </c>
      <c r="N51" s="60">
        <v>890.3</v>
      </c>
      <c r="O51" s="60">
        <v>0</v>
      </c>
      <c r="P51" s="60">
        <v>0.56000000000000005</v>
      </c>
      <c r="Q51" s="60">
        <v>9.2899999999999991</v>
      </c>
      <c r="R51" s="198"/>
      <c r="S51" s="198"/>
      <c r="T51" s="198"/>
      <c r="U51" s="198"/>
    </row>
    <row r="52" spans="1:21" s="12" customFormat="1" x14ac:dyDescent="0.25">
      <c r="A52" s="63">
        <v>45816.458333333336</v>
      </c>
      <c r="B52" s="60">
        <v>6.59</v>
      </c>
      <c r="C52" s="60">
        <v>23.82</v>
      </c>
      <c r="D52" s="60">
        <v>35.47</v>
      </c>
      <c r="E52" s="60">
        <v>7.05</v>
      </c>
      <c r="F52" s="60">
        <v>20.53</v>
      </c>
      <c r="G52" s="60">
        <v>50.09</v>
      </c>
      <c r="H52" s="60">
        <v>11.54</v>
      </c>
      <c r="I52" s="60">
        <v>3.98</v>
      </c>
      <c r="J52" s="60">
        <v>0.65</v>
      </c>
      <c r="K52" s="60">
        <v>327.64999999999998</v>
      </c>
      <c r="L52" s="60">
        <v>40.39</v>
      </c>
      <c r="M52" s="60">
        <v>30.38</v>
      </c>
      <c r="N52" s="60">
        <v>913</v>
      </c>
      <c r="O52" s="60">
        <v>0</v>
      </c>
      <c r="P52" s="60">
        <v>0.56000000000000005</v>
      </c>
      <c r="Q52" s="60">
        <v>9.2899999999999991</v>
      </c>
      <c r="R52" s="198"/>
      <c r="S52" s="198"/>
      <c r="T52" s="198"/>
      <c r="U52" s="198"/>
    </row>
    <row r="53" spans="1:21" s="12" customFormat="1" x14ac:dyDescent="0.25">
      <c r="A53" s="63">
        <v>45816.46875</v>
      </c>
      <c r="B53" s="60">
        <v>6.4</v>
      </c>
      <c r="C53" s="60">
        <v>24.08</v>
      </c>
      <c r="D53" s="60">
        <v>36.270000000000003</v>
      </c>
      <c r="E53" s="60">
        <v>6.98</v>
      </c>
      <c r="F53" s="60">
        <v>19.43</v>
      </c>
      <c r="G53" s="60">
        <v>51.94</v>
      </c>
      <c r="H53" s="60">
        <v>13.94</v>
      </c>
      <c r="I53" s="60">
        <v>3.98</v>
      </c>
      <c r="J53" s="60">
        <v>0.34</v>
      </c>
      <c r="K53" s="60">
        <v>322.06</v>
      </c>
      <c r="L53" s="60">
        <v>39.51</v>
      </c>
      <c r="M53" s="60">
        <v>31.43</v>
      </c>
      <c r="N53" s="60">
        <v>926.5</v>
      </c>
      <c r="O53" s="60">
        <v>0</v>
      </c>
      <c r="P53" s="60">
        <v>0.56000000000000005</v>
      </c>
      <c r="Q53" s="60">
        <v>9.2899999999999991</v>
      </c>
      <c r="R53" s="198"/>
      <c r="S53" s="198"/>
      <c r="T53" s="198"/>
      <c r="U53" s="198"/>
    </row>
    <row r="54" spans="1:21" s="12" customFormat="1" x14ac:dyDescent="0.25">
      <c r="A54" s="63">
        <v>45816.479166666664</v>
      </c>
      <c r="B54" s="60">
        <v>5.39</v>
      </c>
      <c r="C54" s="60">
        <v>21.81</v>
      </c>
      <c r="D54" s="60">
        <v>33.479999999999997</v>
      </c>
      <c r="E54" s="60">
        <v>7.13</v>
      </c>
      <c r="F54" s="60">
        <v>19.649999999999999</v>
      </c>
      <c r="G54" s="60">
        <v>51.94</v>
      </c>
      <c r="H54" s="60">
        <v>13.94</v>
      </c>
      <c r="I54" s="60">
        <v>3.94</v>
      </c>
      <c r="J54" s="60">
        <v>0.22</v>
      </c>
      <c r="K54" s="60">
        <v>303.73</v>
      </c>
      <c r="L54" s="60">
        <v>40.229999999999997</v>
      </c>
      <c r="M54" s="60">
        <v>29.49</v>
      </c>
      <c r="N54" s="60">
        <v>920.2</v>
      </c>
      <c r="O54" s="60">
        <v>0</v>
      </c>
      <c r="P54" s="60">
        <v>0.54</v>
      </c>
      <c r="Q54" s="60">
        <v>9.3000000000000007</v>
      </c>
      <c r="R54" s="198"/>
      <c r="S54" s="198"/>
      <c r="T54" s="198"/>
      <c r="U54" s="198"/>
    </row>
    <row r="55" spans="1:21" s="12" customFormat="1" x14ac:dyDescent="0.25">
      <c r="A55" s="63">
        <v>45816.489583333336</v>
      </c>
      <c r="B55" s="60">
        <v>4.97</v>
      </c>
      <c r="C55" s="60">
        <v>19.61</v>
      </c>
      <c r="D55" s="60">
        <v>29.91</v>
      </c>
      <c r="E55" s="60">
        <v>6.95</v>
      </c>
      <c r="F55" s="60">
        <v>15</v>
      </c>
      <c r="G55" s="60">
        <v>51.94</v>
      </c>
      <c r="H55" s="60">
        <v>13.94</v>
      </c>
      <c r="I55" s="60">
        <v>3.91</v>
      </c>
      <c r="J55" s="60">
        <v>0.24</v>
      </c>
      <c r="K55" s="60">
        <v>278.62</v>
      </c>
      <c r="L55" s="60">
        <v>40.08</v>
      </c>
      <c r="M55" s="60">
        <v>29.13</v>
      </c>
      <c r="N55" s="60">
        <v>919.5</v>
      </c>
      <c r="O55" s="60">
        <v>0</v>
      </c>
      <c r="P55" s="60">
        <v>0.52</v>
      </c>
      <c r="Q55" s="60">
        <v>9.2899999999999991</v>
      </c>
      <c r="R55" s="198"/>
      <c r="S55" s="198"/>
      <c r="T55" s="198"/>
      <c r="U55" s="198"/>
    </row>
    <row r="56" spans="1:21" s="12" customFormat="1" x14ac:dyDescent="0.25">
      <c r="A56" s="63">
        <v>45816.5</v>
      </c>
      <c r="B56" s="60">
        <v>4.87</v>
      </c>
      <c r="C56" s="60">
        <v>20.11</v>
      </c>
      <c r="D56" s="60">
        <v>31.01</v>
      </c>
      <c r="E56" s="60">
        <v>6.59</v>
      </c>
      <c r="F56" s="60">
        <v>14.97</v>
      </c>
      <c r="G56" s="60">
        <v>53.56</v>
      </c>
      <c r="H56" s="60">
        <v>2.64</v>
      </c>
      <c r="I56" s="60">
        <v>4</v>
      </c>
      <c r="J56" s="60">
        <v>0.22</v>
      </c>
      <c r="K56" s="60">
        <v>283.18</v>
      </c>
      <c r="L56" s="60">
        <v>38.840000000000003</v>
      </c>
      <c r="M56" s="60">
        <v>30.55</v>
      </c>
      <c r="N56" s="60">
        <v>923.6</v>
      </c>
      <c r="O56" s="60">
        <v>0</v>
      </c>
      <c r="P56" s="60">
        <v>0.53</v>
      </c>
      <c r="Q56" s="60">
        <v>9.2899999999999991</v>
      </c>
      <c r="R56" s="198"/>
      <c r="S56" s="198"/>
      <c r="T56" s="198"/>
      <c r="U56" s="198"/>
    </row>
    <row r="57" spans="1:21" s="12" customFormat="1" x14ac:dyDescent="0.25">
      <c r="A57" s="63">
        <v>45816.510416666664</v>
      </c>
      <c r="B57" s="60">
        <v>6.45</v>
      </c>
      <c r="C57" s="60">
        <v>23.34</v>
      </c>
      <c r="D57" s="60">
        <v>34.78</v>
      </c>
      <c r="E57" s="60">
        <v>6.04</v>
      </c>
      <c r="F57" s="60">
        <v>11.6</v>
      </c>
      <c r="G57" s="60">
        <v>55.34</v>
      </c>
      <c r="H57" s="60">
        <v>-9.7200000000000006</v>
      </c>
      <c r="I57" s="60">
        <v>4.1100000000000003</v>
      </c>
      <c r="J57" s="60">
        <v>0.4</v>
      </c>
      <c r="K57" s="60">
        <v>317.18</v>
      </c>
      <c r="L57" s="60">
        <v>40.020000000000003</v>
      </c>
      <c r="M57" s="60">
        <v>28.83</v>
      </c>
      <c r="N57" s="60">
        <v>929.6</v>
      </c>
      <c r="O57" s="60">
        <v>0</v>
      </c>
      <c r="P57" s="60">
        <v>0.54</v>
      </c>
      <c r="Q57" s="60">
        <v>9.2799999999999994</v>
      </c>
      <c r="R57" s="198"/>
      <c r="S57" s="198"/>
      <c r="T57" s="198"/>
      <c r="U57" s="198"/>
    </row>
    <row r="58" spans="1:21" s="12" customFormat="1" x14ac:dyDescent="0.25">
      <c r="A58" s="63">
        <v>45816.520833333336</v>
      </c>
      <c r="B58" s="60">
        <v>6.15</v>
      </c>
      <c r="C58" s="60">
        <v>21</v>
      </c>
      <c r="D58" s="60">
        <v>30.76</v>
      </c>
      <c r="E58" s="60">
        <v>5.59</v>
      </c>
      <c r="F58" s="60">
        <v>11.19</v>
      </c>
      <c r="G58" s="60">
        <v>55.34</v>
      </c>
      <c r="H58" s="60">
        <v>-9.7200000000000006</v>
      </c>
      <c r="I58" s="60">
        <v>4</v>
      </c>
      <c r="J58" s="60">
        <v>0.17</v>
      </c>
      <c r="K58" s="60">
        <v>285.25</v>
      </c>
      <c r="L58" s="60">
        <v>39.82</v>
      </c>
      <c r="M58" s="60">
        <v>28.67</v>
      </c>
      <c r="N58" s="60">
        <v>927.4</v>
      </c>
      <c r="O58" s="60">
        <v>0</v>
      </c>
      <c r="P58" s="60">
        <v>0.52</v>
      </c>
      <c r="Q58" s="60">
        <v>9.2899999999999991</v>
      </c>
      <c r="R58" s="198"/>
      <c r="S58" s="198"/>
      <c r="T58" s="198"/>
      <c r="U58" s="198"/>
    </row>
    <row r="59" spans="1:21" s="12" customFormat="1" x14ac:dyDescent="0.25">
      <c r="A59" s="63">
        <v>45816.53125</v>
      </c>
      <c r="B59" s="60">
        <v>4.6900000000000004</v>
      </c>
      <c r="C59" s="60">
        <v>19.399999999999999</v>
      </c>
      <c r="D59" s="60">
        <v>29.92</v>
      </c>
      <c r="E59" s="60">
        <v>5.76</v>
      </c>
      <c r="F59" s="60">
        <v>9.42</v>
      </c>
      <c r="G59" s="60">
        <v>55.34</v>
      </c>
      <c r="H59" s="60">
        <v>-9.7200000000000006</v>
      </c>
      <c r="I59" s="60">
        <v>3.82</v>
      </c>
      <c r="J59" s="60">
        <v>0.18</v>
      </c>
      <c r="K59" s="60">
        <v>229.62</v>
      </c>
      <c r="L59" s="60">
        <v>38.86</v>
      </c>
      <c r="M59" s="60">
        <v>29.34</v>
      </c>
      <c r="N59" s="60">
        <v>786.3</v>
      </c>
      <c r="O59" s="60">
        <v>0</v>
      </c>
      <c r="P59" s="60">
        <v>0.51</v>
      </c>
      <c r="Q59" s="60">
        <v>9.2899999999999991</v>
      </c>
      <c r="R59" s="198"/>
      <c r="S59" s="198"/>
      <c r="T59" s="198"/>
      <c r="U59" s="198"/>
    </row>
    <row r="60" spans="1:21" s="12" customFormat="1" x14ac:dyDescent="0.25">
      <c r="A60" s="63">
        <v>45816.541666666664</v>
      </c>
      <c r="B60" s="60">
        <v>4.3099999999999996</v>
      </c>
      <c r="C60" s="60">
        <v>19.260000000000002</v>
      </c>
      <c r="D60" s="60">
        <v>30.25</v>
      </c>
      <c r="E60" s="60">
        <v>5.3</v>
      </c>
      <c r="F60" s="60">
        <v>16.309999999999999</v>
      </c>
      <c r="G60" s="60">
        <v>53.6</v>
      </c>
      <c r="H60" s="60">
        <v>26.83</v>
      </c>
      <c r="I60" s="60">
        <v>4</v>
      </c>
      <c r="J60" s="60">
        <v>0.2</v>
      </c>
      <c r="K60" s="60">
        <v>283.5</v>
      </c>
      <c r="L60" s="60">
        <v>38.799999999999997</v>
      </c>
      <c r="M60" s="60">
        <v>28.92</v>
      </c>
      <c r="N60" s="60">
        <v>491.4</v>
      </c>
      <c r="O60" s="60">
        <v>0</v>
      </c>
      <c r="P60" s="60">
        <v>0.49</v>
      </c>
      <c r="Q60" s="60">
        <v>9.27</v>
      </c>
      <c r="R60" s="198"/>
      <c r="S60" s="198"/>
      <c r="T60" s="198"/>
      <c r="U60" s="198"/>
    </row>
    <row r="61" spans="1:21" s="12" customFormat="1" x14ac:dyDescent="0.25">
      <c r="A61" s="63">
        <v>45816.552083333336</v>
      </c>
      <c r="B61" s="60">
        <v>4.2300000000000004</v>
      </c>
      <c r="C61" s="60">
        <v>18.57</v>
      </c>
      <c r="D61" s="60">
        <v>29.06</v>
      </c>
      <c r="E61" s="60">
        <v>5.59</v>
      </c>
      <c r="F61" s="60">
        <v>16.05</v>
      </c>
      <c r="G61" s="60">
        <v>51.61</v>
      </c>
      <c r="H61" s="60">
        <v>66.78</v>
      </c>
      <c r="I61" s="60">
        <v>3.99</v>
      </c>
      <c r="J61" s="60">
        <v>0.2</v>
      </c>
      <c r="K61" s="60">
        <v>189.39</v>
      </c>
      <c r="L61" s="60">
        <v>38.32</v>
      </c>
      <c r="M61" s="60">
        <v>29.59</v>
      </c>
      <c r="N61" s="60">
        <v>718.5</v>
      </c>
      <c r="O61" s="60">
        <v>0</v>
      </c>
      <c r="P61" s="60">
        <v>0.45</v>
      </c>
      <c r="Q61" s="60">
        <v>9.25</v>
      </c>
      <c r="R61" s="198"/>
      <c r="S61" s="198"/>
      <c r="T61" s="198"/>
      <c r="U61" s="198"/>
    </row>
    <row r="62" spans="1:21" s="12" customFormat="1" x14ac:dyDescent="0.25">
      <c r="A62" s="63">
        <v>45816.5625</v>
      </c>
      <c r="B62" s="60">
        <v>4.12</v>
      </c>
      <c r="C62" s="60">
        <v>18.3</v>
      </c>
      <c r="D62" s="60">
        <v>28.7</v>
      </c>
      <c r="E62" s="60">
        <v>6.19</v>
      </c>
      <c r="F62" s="60">
        <v>10.63</v>
      </c>
      <c r="G62" s="60">
        <v>51.61</v>
      </c>
      <c r="H62" s="60">
        <v>66.78</v>
      </c>
      <c r="I62" s="60">
        <v>3.79</v>
      </c>
      <c r="J62" s="60">
        <v>0.22</v>
      </c>
      <c r="K62" s="60">
        <v>285.8</v>
      </c>
      <c r="L62" s="60">
        <v>38.61</v>
      </c>
      <c r="M62" s="60">
        <v>28.34</v>
      </c>
      <c r="N62" s="60">
        <v>466.8</v>
      </c>
      <c r="O62" s="60">
        <v>0</v>
      </c>
      <c r="P62" s="60">
        <v>0.47</v>
      </c>
      <c r="Q62" s="60">
        <v>9.25</v>
      </c>
      <c r="R62" s="198"/>
      <c r="S62" s="198"/>
      <c r="T62" s="198"/>
      <c r="U62" s="198"/>
    </row>
    <row r="63" spans="1:21" s="12" customFormat="1" x14ac:dyDescent="0.25">
      <c r="A63" s="63">
        <v>45816.572916666664</v>
      </c>
      <c r="B63" s="60">
        <v>4.83</v>
      </c>
      <c r="C63" s="60">
        <v>21.14</v>
      </c>
      <c r="D63" s="60">
        <v>33.049999999999997</v>
      </c>
      <c r="E63" s="60">
        <v>5.62</v>
      </c>
      <c r="F63" s="60">
        <v>15.28</v>
      </c>
      <c r="G63" s="60">
        <v>51.61</v>
      </c>
      <c r="H63" s="60">
        <v>66.78</v>
      </c>
      <c r="I63" s="60">
        <v>3.99</v>
      </c>
      <c r="J63" s="60">
        <v>0.06</v>
      </c>
      <c r="K63" s="60">
        <v>270.72000000000003</v>
      </c>
      <c r="L63" s="60">
        <v>39.020000000000003</v>
      </c>
      <c r="M63" s="60">
        <v>27.7</v>
      </c>
      <c r="N63" s="60">
        <v>448</v>
      </c>
      <c r="O63" s="60">
        <v>0</v>
      </c>
      <c r="P63" s="60">
        <v>0.47</v>
      </c>
      <c r="Q63" s="60">
        <v>9.23</v>
      </c>
      <c r="R63" s="198"/>
      <c r="S63" s="198"/>
      <c r="T63" s="198"/>
      <c r="U63" s="198"/>
    </row>
    <row r="64" spans="1:21" s="12" customFormat="1" x14ac:dyDescent="0.25">
      <c r="A64" s="63">
        <v>45816.583333333336</v>
      </c>
      <c r="B64" s="60">
        <v>4.6399999999999997</v>
      </c>
      <c r="C64" s="60">
        <v>22.43</v>
      </c>
      <c r="D64" s="60">
        <v>35.82</v>
      </c>
      <c r="E64" s="60">
        <v>6.11</v>
      </c>
      <c r="F64" s="60">
        <v>20.45</v>
      </c>
      <c r="G64" s="60">
        <v>51.95</v>
      </c>
      <c r="H64" s="60">
        <v>40.46</v>
      </c>
      <c r="I64" s="60">
        <v>3.92</v>
      </c>
      <c r="J64" s="60">
        <v>0.13</v>
      </c>
      <c r="K64" s="60">
        <v>286.36</v>
      </c>
      <c r="L64" s="60">
        <v>39.369999999999997</v>
      </c>
      <c r="M64" s="60">
        <v>27.66</v>
      </c>
      <c r="N64" s="60">
        <v>347.7</v>
      </c>
      <c r="O64" s="60">
        <v>0</v>
      </c>
      <c r="P64" s="60">
        <v>0.46</v>
      </c>
      <c r="Q64" s="60">
        <v>9.23</v>
      </c>
      <c r="R64" s="198"/>
      <c r="S64" s="198"/>
      <c r="T64" s="198"/>
      <c r="U64" s="198"/>
    </row>
    <row r="65" spans="1:21" s="12" customFormat="1" x14ac:dyDescent="0.25">
      <c r="A65" s="63">
        <v>45816.59375</v>
      </c>
      <c r="B65" s="60">
        <v>5.05</v>
      </c>
      <c r="C65" s="60">
        <v>21.44</v>
      </c>
      <c r="D65" s="60">
        <v>33.28</v>
      </c>
      <c r="E65" s="60">
        <v>6.07</v>
      </c>
      <c r="F65" s="60">
        <v>13.6</v>
      </c>
      <c r="G65" s="60">
        <v>52.32</v>
      </c>
      <c r="H65" s="60">
        <v>11.69</v>
      </c>
      <c r="I65" s="60">
        <v>4.17</v>
      </c>
      <c r="J65" s="60">
        <v>0.2</v>
      </c>
      <c r="K65" s="60">
        <v>276.89</v>
      </c>
      <c r="L65" s="60">
        <v>39.270000000000003</v>
      </c>
      <c r="M65" s="60">
        <v>26.85</v>
      </c>
      <c r="N65" s="60">
        <v>476</v>
      </c>
      <c r="O65" s="60">
        <v>0</v>
      </c>
      <c r="P65" s="60">
        <v>0.47</v>
      </c>
      <c r="Q65" s="60">
        <v>9.23</v>
      </c>
      <c r="R65" s="198"/>
      <c r="S65" s="198"/>
      <c r="T65" s="198"/>
      <c r="U65" s="198"/>
    </row>
    <row r="66" spans="1:21" s="12" customFormat="1" x14ac:dyDescent="0.25">
      <c r="A66" s="63">
        <v>45816.604166666664</v>
      </c>
      <c r="B66" s="60">
        <v>5.27</v>
      </c>
      <c r="C66" s="60">
        <v>22.58</v>
      </c>
      <c r="D66" s="60">
        <v>35.119999999999997</v>
      </c>
      <c r="E66" s="60">
        <v>5.99</v>
      </c>
      <c r="F66" s="60">
        <v>15.22</v>
      </c>
      <c r="G66" s="60">
        <v>52.32</v>
      </c>
      <c r="H66" s="60">
        <v>11.69</v>
      </c>
      <c r="I66" s="60">
        <v>3.96</v>
      </c>
      <c r="J66" s="60">
        <v>0.38</v>
      </c>
      <c r="K66" s="60">
        <v>319.56</v>
      </c>
      <c r="L66" s="60">
        <v>39.08</v>
      </c>
      <c r="M66" s="60">
        <v>26.43</v>
      </c>
      <c r="N66" s="60">
        <v>255.7</v>
      </c>
      <c r="O66" s="60">
        <v>0</v>
      </c>
      <c r="P66" s="60">
        <v>0.45</v>
      </c>
      <c r="Q66" s="60">
        <v>9.23</v>
      </c>
      <c r="R66" s="198"/>
      <c r="S66" s="198"/>
      <c r="T66" s="198"/>
      <c r="U66" s="198"/>
    </row>
    <row r="67" spans="1:21" s="12" customFormat="1" x14ac:dyDescent="0.25">
      <c r="A67" s="63">
        <v>45816.614583333336</v>
      </c>
      <c r="B67" s="60">
        <v>4.3600000000000003</v>
      </c>
      <c r="C67" s="60">
        <v>21.99</v>
      </c>
      <c r="D67" s="60">
        <v>35.4</v>
      </c>
      <c r="E67" s="60">
        <v>6.33</v>
      </c>
      <c r="F67" s="60">
        <v>22.5</v>
      </c>
      <c r="G67" s="60">
        <v>52.32</v>
      </c>
      <c r="H67" s="60">
        <v>11.69</v>
      </c>
      <c r="I67" s="60">
        <v>4.09</v>
      </c>
      <c r="J67" s="60">
        <v>0.1</v>
      </c>
      <c r="K67" s="60">
        <v>192.7</v>
      </c>
      <c r="L67" s="60">
        <v>38.82</v>
      </c>
      <c r="M67" s="60">
        <v>26.81</v>
      </c>
      <c r="N67" s="60">
        <v>358.4</v>
      </c>
      <c r="O67" s="60">
        <v>0</v>
      </c>
      <c r="P67" s="60">
        <v>0.42</v>
      </c>
      <c r="Q67" s="60">
        <v>9.24</v>
      </c>
      <c r="R67" s="198"/>
      <c r="S67" s="198"/>
      <c r="T67" s="198"/>
      <c r="U67" s="198"/>
    </row>
    <row r="68" spans="1:21" s="12" customFormat="1" x14ac:dyDescent="0.25">
      <c r="A68" s="63">
        <v>45816.625</v>
      </c>
      <c r="B68" s="60">
        <v>4.25</v>
      </c>
      <c r="C68" s="60">
        <v>19.78</v>
      </c>
      <c r="D68" s="60">
        <v>31.34</v>
      </c>
      <c r="E68" s="60">
        <v>6.6</v>
      </c>
      <c r="F68" s="60">
        <v>21.44</v>
      </c>
      <c r="G68" s="60">
        <v>52.18</v>
      </c>
      <c r="H68" s="60">
        <v>6.45</v>
      </c>
      <c r="I68" s="60">
        <v>4.0199999999999996</v>
      </c>
      <c r="J68" s="60">
        <v>0.5</v>
      </c>
      <c r="K68" s="60">
        <v>151.65</v>
      </c>
      <c r="L68" s="60">
        <v>38.46</v>
      </c>
      <c r="M68" s="60">
        <v>26.81</v>
      </c>
      <c r="N68" s="60">
        <v>254.1</v>
      </c>
      <c r="O68" s="60">
        <v>0</v>
      </c>
      <c r="P68" s="60">
        <v>0.41</v>
      </c>
      <c r="Q68" s="60">
        <v>9.26</v>
      </c>
      <c r="R68" s="198"/>
      <c r="S68" s="198"/>
      <c r="T68" s="198"/>
      <c r="U68" s="198"/>
    </row>
    <row r="69" spans="1:21" s="12" customFormat="1" x14ac:dyDescent="0.25">
      <c r="A69" s="63">
        <v>45816.635416666664</v>
      </c>
      <c r="B69" s="60">
        <v>4.25</v>
      </c>
      <c r="C69" s="60">
        <v>19.54</v>
      </c>
      <c r="D69" s="60">
        <v>30.88</v>
      </c>
      <c r="E69" s="60">
        <v>6.42</v>
      </c>
      <c r="F69" s="60">
        <v>19.7</v>
      </c>
      <c r="G69" s="60">
        <v>52.03</v>
      </c>
      <c r="H69" s="60">
        <v>0.72</v>
      </c>
      <c r="I69" s="60">
        <v>3.95</v>
      </c>
      <c r="J69" s="60">
        <v>0.4</v>
      </c>
      <c r="K69" s="60">
        <v>162.68</v>
      </c>
      <c r="L69" s="60">
        <v>38.03</v>
      </c>
      <c r="M69" s="60">
        <v>27.35</v>
      </c>
      <c r="N69" s="60">
        <v>161.5</v>
      </c>
      <c r="O69" s="60">
        <v>0</v>
      </c>
      <c r="P69" s="60">
        <v>0.41</v>
      </c>
      <c r="Q69" s="60">
        <v>9.2799999999999994</v>
      </c>
      <c r="R69" s="198"/>
      <c r="S69" s="198"/>
      <c r="T69" s="198"/>
      <c r="U69" s="198"/>
    </row>
    <row r="70" spans="1:21" s="12" customFormat="1" x14ac:dyDescent="0.25">
      <c r="A70" s="63">
        <v>45816.645833333336</v>
      </c>
      <c r="B70" s="60">
        <v>4.71</v>
      </c>
      <c r="C70" s="60">
        <v>23.15</v>
      </c>
      <c r="D70" s="60">
        <v>37.08</v>
      </c>
      <c r="E70" s="60">
        <v>6.91</v>
      </c>
      <c r="F70" s="60">
        <v>22.68</v>
      </c>
      <c r="G70" s="60">
        <v>52.03</v>
      </c>
      <c r="H70" s="60">
        <v>0.72</v>
      </c>
      <c r="I70" s="60">
        <v>3.97</v>
      </c>
      <c r="J70" s="60">
        <v>0.19</v>
      </c>
      <c r="K70" s="60">
        <v>282.43</v>
      </c>
      <c r="L70" s="60">
        <v>37.83</v>
      </c>
      <c r="M70" s="60">
        <v>27.94</v>
      </c>
      <c r="N70" s="60">
        <v>132.9</v>
      </c>
      <c r="O70" s="60">
        <v>0</v>
      </c>
      <c r="P70" s="60">
        <v>0.45</v>
      </c>
      <c r="Q70" s="60">
        <v>9.2899999999999991</v>
      </c>
      <c r="R70" s="198"/>
      <c r="S70" s="198"/>
      <c r="T70" s="198"/>
      <c r="U70" s="198"/>
    </row>
    <row r="71" spans="1:21" s="12" customFormat="1" x14ac:dyDescent="0.25">
      <c r="A71" s="63">
        <v>45816.65625</v>
      </c>
      <c r="B71" s="60">
        <v>6.15</v>
      </c>
      <c r="C71" s="60">
        <v>22.22</v>
      </c>
      <c r="D71" s="60">
        <v>33.08</v>
      </c>
      <c r="E71" s="60">
        <v>6.47</v>
      </c>
      <c r="F71" s="60">
        <v>5.87</v>
      </c>
      <c r="G71" s="60">
        <v>52.03</v>
      </c>
      <c r="H71" s="60">
        <v>0.72</v>
      </c>
      <c r="I71" s="60">
        <v>4.09</v>
      </c>
      <c r="J71" s="60">
        <v>1.68</v>
      </c>
      <c r="K71" s="60">
        <v>320.89999999999998</v>
      </c>
      <c r="L71" s="60">
        <v>37.06</v>
      </c>
      <c r="M71" s="60">
        <v>31.26</v>
      </c>
      <c r="N71" s="60">
        <v>159.19999999999999</v>
      </c>
      <c r="O71" s="60">
        <v>0</v>
      </c>
      <c r="P71" s="60">
        <v>0.45</v>
      </c>
      <c r="Q71" s="60">
        <v>9.2899999999999991</v>
      </c>
      <c r="R71" s="198"/>
      <c r="S71" s="198"/>
      <c r="T71" s="198"/>
      <c r="U71" s="198"/>
    </row>
    <row r="72" spans="1:21" s="12" customFormat="1" x14ac:dyDescent="0.25">
      <c r="A72" s="63">
        <v>45816.666666666664</v>
      </c>
      <c r="B72" s="60">
        <v>5.65</v>
      </c>
      <c r="C72" s="60">
        <v>21.94</v>
      </c>
      <c r="D72" s="60">
        <v>33.33</v>
      </c>
      <c r="E72" s="60">
        <v>5.39</v>
      </c>
      <c r="F72" s="60">
        <v>11.22</v>
      </c>
      <c r="G72" s="60">
        <v>52.91</v>
      </c>
      <c r="H72" s="60">
        <v>-13.82</v>
      </c>
      <c r="I72" s="60">
        <v>4.05</v>
      </c>
      <c r="J72" s="60">
        <v>0.78</v>
      </c>
      <c r="K72" s="60">
        <v>316.51</v>
      </c>
      <c r="L72" s="60">
        <v>36.21</v>
      </c>
      <c r="M72" s="60">
        <v>33.76</v>
      </c>
      <c r="N72" s="60">
        <v>163.6</v>
      </c>
      <c r="O72" s="60">
        <v>0</v>
      </c>
      <c r="P72" s="60">
        <v>0.43</v>
      </c>
      <c r="Q72" s="60">
        <v>9.2899999999999991</v>
      </c>
      <c r="R72" s="198"/>
      <c r="S72" s="198"/>
      <c r="T72" s="198"/>
      <c r="U72" s="198"/>
    </row>
    <row r="73" spans="1:21" s="12" customFormat="1" x14ac:dyDescent="0.25">
      <c r="A73" s="63">
        <v>45816.677083333336</v>
      </c>
      <c r="B73" s="60">
        <v>6.66</v>
      </c>
      <c r="C73" s="60">
        <v>26.1</v>
      </c>
      <c r="D73" s="60">
        <v>39.74</v>
      </c>
      <c r="E73" s="60">
        <v>5.36</v>
      </c>
      <c r="F73" s="60">
        <v>10.29</v>
      </c>
      <c r="G73" s="60">
        <v>53.92</v>
      </c>
      <c r="H73" s="60">
        <v>-29.72</v>
      </c>
      <c r="I73" s="60">
        <v>3.93</v>
      </c>
      <c r="J73" s="60">
        <v>0.35</v>
      </c>
      <c r="K73" s="60">
        <v>296.08</v>
      </c>
      <c r="L73" s="60">
        <v>35.909999999999997</v>
      </c>
      <c r="M73" s="60">
        <v>34.89</v>
      </c>
      <c r="N73" s="60">
        <v>183</v>
      </c>
      <c r="O73" s="60">
        <v>0</v>
      </c>
      <c r="P73" s="60">
        <v>0.44</v>
      </c>
      <c r="Q73" s="60">
        <v>9.2899999999999991</v>
      </c>
      <c r="R73" s="198"/>
      <c r="S73" s="198"/>
      <c r="T73" s="198"/>
      <c r="U73" s="198"/>
    </row>
    <row r="74" spans="1:21" s="12" customFormat="1" x14ac:dyDescent="0.25">
      <c r="A74" s="63">
        <v>45816.6875</v>
      </c>
      <c r="B74" s="60">
        <v>6.87</v>
      </c>
      <c r="C74" s="60">
        <v>29.41</v>
      </c>
      <c r="D74" s="60">
        <v>45.74</v>
      </c>
      <c r="E74" s="60">
        <v>5.49</v>
      </c>
      <c r="F74" s="60">
        <v>8.68</v>
      </c>
      <c r="G74" s="60">
        <v>53.92</v>
      </c>
      <c r="H74" s="60">
        <v>-29.72</v>
      </c>
      <c r="I74" s="60">
        <v>3.96</v>
      </c>
      <c r="J74" s="60">
        <v>0.41</v>
      </c>
      <c r="K74" s="60">
        <v>291.12</v>
      </c>
      <c r="L74" s="60">
        <v>36.06</v>
      </c>
      <c r="M74" s="60">
        <v>32.950000000000003</v>
      </c>
      <c r="N74" s="60">
        <v>194.6</v>
      </c>
      <c r="O74" s="60">
        <v>0</v>
      </c>
      <c r="P74" s="60">
        <v>0.44</v>
      </c>
      <c r="Q74" s="60">
        <v>9.3000000000000007</v>
      </c>
      <c r="R74" s="198"/>
      <c r="S74" s="198"/>
      <c r="T74" s="198"/>
      <c r="U74" s="198"/>
    </row>
    <row r="75" spans="1:21" s="12" customFormat="1" x14ac:dyDescent="0.25">
      <c r="A75" s="63">
        <v>45816.697916666664</v>
      </c>
      <c r="B75" s="60">
        <v>6.07</v>
      </c>
      <c r="C75" s="60">
        <v>25.94</v>
      </c>
      <c r="D75" s="60">
        <v>40.33</v>
      </c>
      <c r="E75" s="60">
        <v>5.14</v>
      </c>
      <c r="F75" s="60">
        <v>6.21</v>
      </c>
      <c r="G75" s="60">
        <v>53.92</v>
      </c>
      <c r="H75" s="60">
        <v>-29.72</v>
      </c>
      <c r="I75" s="60">
        <v>4.12</v>
      </c>
      <c r="J75" s="60">
        <v>0.35</v>
      </c>
      <c r="K75" s="60">
        <v>291.33999999999997</v>
      </c>
      <c r="L75" s="60">
        <v>35.65</v>
      </c>
      <c r="M75" s="60">
        <v>31.63</v>
      </c>
      <c r="N75" s="60">
        <v>139.6</v>
      </c>
      <c r="O75" s="60">
        <v>0</v>
      </c>
      <c r="P75" s="60">
        <v>0.49</v>
      </c>
      <c r="Q75" s="60">
        <v>9.34</v>
      </c>
      <c r="R75" s="198"/>
      <c r="S75" s="198"/>
      <c r="T75" s="198"/>
      <c r="U75" s="198"/>
    </row>
    <row r="76" spans="1:21" s="12" customFormat="1" x14ac:dyDescent="0.25">
      <c r="A76" s="63">
        <v>45816.708333333336</v>
      </c>
      <c r="B76" s="60">
        <v>5.1100000000000003</v>
      </c>
      <c r="C76" s="60">
        <v>24.35</v>
      </c>
      <c r="D76" s="60">
        <v>38.75</v>
      </c>
      <c r="E76" s="60">
        <v>6.21</v>
      </c>
      <c r="F76" s="60">
        <v>5.94</v>
      </c>
      <c r="G76" s="60">
        <v>54.13</v>
      </c>
      <c r="H76" s="60">
        <v>22.15</v>
      </c>
      <c r="I76" s="60">
        <v>4.16</v>
      </c>
      <c r="J76" s="60">
        <v>0.35</v>
      </c>
      <c r="K76" s="60">
        <v>293.27</v>
      </c>
      <c r="L76" s="60">
        <v>35</v>
      </c>
      <c r="M76" s="60">
        <v>31.96</v>
      </c>
      <c r="N76" s="60">
        <v>136</v>
      </c>
      <c r="O76" s="60">
        <v>0</v>
      </c>
      <c r="P76" s="60">
        <v>0.57999999999999996</v>
      </c>
      <c r="Q76" s="60">
        <v>9.34</v>
      </c>
      <c r="R76" s="198"/>
      <c r="S76" s="198"/>
      <c r="T76" s="198"/>
      <c r="U76" s="198"/>
    </row>
    <row r="77" spans="1:21" s="12" customFormat="1" x14ac:dyDescent="0.25">
      <c r="A77" s="63">
        <v>45816.71875</v>
      </c>
      <c r="B77" s="60">
        <v>4.9400000000000004</v>
      </c>
      <c r="C77" s="60">
        <v>24.91</v>
      </c>
      <c r="D77" s="60">
        <v>40.1</v>
      </c>
      <c r="E77" s="60">
        <v>5.35</v>
      </c>
      <c r="F77" s="60">
        <v>9</v>
      </c>
      <c r="G77" s="60">
        <v>54.36</v>
      </c>
      <c r="H77" s="60">
        <v>78.84</v>
      </c>
      <c r="I77" s="60">
        <v>3.96</v>
      </c>
      <c r="J77" s="60">
        <v>0.21</v>
      </c>
      <c r="K77" s="60">
        <v>302.58999999999997</v>
      </c>
      <c r="L77" s="60">
        <v>34.42</v>
      </c>
      <c r="M77" s="60">
        <v>33.619999999999997</v>
      </c>
      <c r="N77" s="60">
        <v>119.2</v>
      </c>
      <c r="O77" s="60">
        <v>0</v>
      </c>
      <c r="P77" s="60">
        <v>0.56999999999999995</v>
      </c>
      <c r="Q77" s="60">
        <v>9.32</v>
      </c>
      <c r="R77" s="198"/>
      <c r="S77" s="198"/>
      <c r="T77" s="198"/>
      <c r="U77" s="198"/>
    </row>
    <row r="78" spans="1:21" s="12" customFormat="1" x14ac:dyDescent="0.25">
      <c r="A78" s="63">
        <v>45816.729166666664</v>
      </c>
      <c r="B78" s="60">
        <v>5.05</v>
      </c>
      <c r="C78" s="60">
        <v>25.07</v>
      </c>
      <c r="D78" s="60">
        <v>40.24</v>
      </c>
      <c r="E78" s="60">
        <v>5.26</v>
      </c>
      <c r="F78" s="60">
        <v>11.21</v>
      </c>
      <c r="G78" s="60">
        <v>54.36</v>
      </c>
      <c r="H78" s="60">
        <v>78.84</v>
      </c>
      <c r="I78" s="60">
        <v>3.83</v>
      </c>
      <c r="J78" s="60">
        <v>0.19</v>
      </c>
      <c r="K78" s="60">
        <v>305.95999999999998</v>
      </c>
      <c r="L78" s="60">
        <v>34.07</v>
      </c>
      <c r="M78" s="60">
        <v>35.29</v>
      </c>
      <c r="N78" s="60">
        <v>96.3</v>
      </c>
      <c r="O78" s="60">
        <v>0</v>
      </c>
      <c r="P78" s="60">
        <v>0.56000000000000005</v>
      </c>
      <c r="Q78" s="60">
        <v>9.31</v>
      </c>
      <c r="R78" s="198"/>
      <c r="S78" s="198"/>
      <c r="T78" s="198"/>
      <c r="U78" s="198"/>
    </row>
    <row r="79" spans="1:21" s="12" customFormat="1" x14ac:dyDescent="0.25">
      <c r="A79" s="63">
        <v>45816.739583333336</v>
      </c>
      <c r="B79" s="60">
        <v>8.08</v>
      </c>
      <c r="C79" s="60">
        <v>31.46</v>
      </c>
      <c r="D79" s="60">
        <v>47.8</v>
      </c>
      <c r="E79" s="60">
        <v>4.9800000000000004</v>
      </c>
      <c r="F79" s="60">
        <v>13.39</v>
      </c>
      <c r="G79" s="60">
        <v>54.36</v>
      </c>
      <c r="H79" s="60">
        <v>78.84</v>
      </c>
      <c r="I79" s="60">
        <v>4.12</v>
      </c>
      <c r="J79" s="60">
        <v>0.28999999999999998</v>
      </c>
      <c r="K79" s="60">
        <v>332.18</v>
      </c>
      <c r="L79" s="60">
        <v>33.869999999999997</v>
      </c>
      <c r="M79" s="60">
        <v>36.01</v>
      </c>
      <c r="N79" s="60">
        <v>75.599999999999994</v>
      </c>
      <c r="O79" s="60">
        <v>0</v>
      </c>
      <c r="P79" s="60">
        <v>0.62</v>
      </c>
      <c r="Q79" s="60">
        <v>9.2899999999999991</v>
      </c>
      <c r="R79" s="198"/>
      <c r="S79" s="198"/>
      <c r="T79" s="198"/>
      <c r="U79" s="198"/>
    </row>
    <row r="80" spans="1:21" s="12" customFormat="1" x14ac:dyDescent="0.25">
      <c r="A80" s="63">
        <v>45816.75</v>
      </c>
      <c r="B80" s="60">
        <v>8.43</v>
      </c>
      <c r="C80" s="60">
        <v>26.07</v>
      </c>
      <c r="D80" s="60">
        <v>36.96</v>
      </c>
      <c r="E80" s="60">
        <v>6.14</v>
      </c>
      <c r="F80" s="60">
        <v>12.16</v>
      </c>
      <c r="G80" s="60">
        <v>55.06</v>
      </c>
      <c r="H80" s="60">
        <v>45.02</v>
      </c>
      <c r="I80" s="60">
        <v>3.81</v>
      </c>
      <c r="J80" s="60">
        <v>1.59</v>
      </c>
      <c r="K80" s="60">
        <v>350.12</v>
      </c>
      <c r="L80" s="60">
        <v>33.450000000000003</v>
      </c>
      <c r="M80" s="60">
        <v>37.53</v>
      </c>
      <c r="N80" s="60">
        <v>77</v>
      </c>
      <c r="O80" s="60">
        <v>0</v>
      </c>
      <c r="P80" s="60">
        <v>0.63</v>
      </c>
      <c r="Q80" s="60">
        <v>9.3000000000000007</v>
      </c>
      <c r="R80" s="198"/>
      <c r="S80" s="198"/>
      <c r="T80" s="198"/>
      <c r="U80" s="198"/>
    </row>
    <row r="81" spans="1:26" s="12" customFormat="1" x14ac:dyDescent="0.25">
      <c r="A81" s="63">
        <v>45816.760416666664</v>
      </c>
      <c r="B81" s="60">
        <v>7.52</v>
      </c>
      <c r="C81" s="60">
        <v>28.81</v>
      </c>
      <c r="D81" s="60">
        <v>43.6</v>
      </c>
      <c r="E81" s="60">
        <v>5.87</v>
      </c>
      <c r="F81" s="60">
        <v>11.3</v>
      </c>
      <c r="G81" s="60">
        <v>55.82</v>
      </c>
      <c r="H81" s="60">
        <v>8.0500000000000007</v>
      </c>
      <c r="I81" s="60">
        <v>3.82</v>
      </c>
      <c r="J81" s="60">
        <v>0.88</v>
      </c>
      <c r="K81" s="60">
        <v>348.63</v>
      </c>
      <c r="L81" s="60">
        <v>32.71</v>
      </c>
      <c r="M81" s="60">
        <v>40.729999999999997</v>
      </c>
      <c r="N81" s="60">
        <v>110.7</v>
      </c>
      <c r="O81" s="60">
        <v>0</v>
      </c>
      <c r="P81" s="60">
        <v>0.66</v>
      </c>
      <c r="Q81" s="60">
        <v>9.32</v>
      </c>
      <c r="R81" s="198"/>
      <c r="S81" s="198"/>
      <c r="T81" s="198"/>
      <c r="U81" s="198"/>
    </row>
    <row r="82" spans="1:26" s="12" customFormat="1" x14ac:dyDescent="0.25">
      <c r="A82" s="63">
        <v>45816.770833333336</v>
      </c>
      <c r="B82" s="60">
        <v>11.5</v>
      </c>
      <c r="C82" s="60">
        <v>33.43</v>
      </c>
      <c r="D82" s="60">
        <v>46.33</v>
      </c>
      <c r="E82" s="60">
        <v>6.38</v>
      </c>
      <c r="F82" s="60">
        <v>20.95</v>
      </c>
      <c r="G82" s="60">
        <v>55.82</v>
      </c>
      <c r="H82" s="60">
        <v>8.0500000000000007</v>
      </c>
      <c r="I82" s="60">
        <v>4.2699999999999996</v>
      </c>
      <c r="J82" s="60">
        <v>0.63</v>
      </c>
      <c r="K82" s="60">
        <v>350.26</v>
      </c>
      <c r="L82" s="60">
        <v>32.6</v>
      </c>
      <c r="M82" s="60">
        <v>41.44</v>
      </c>
      <c r="N82" s="60">
        <v>145.19999999999999</v>
      </c>
      <c r="O82" s="60">
        <v>0</v>
      </c>
      <c r="P82" s="60">
        <v>0.78</v>
      </c>
      <c r="Q82" s="60">
        <v>9.3699999999999992</v>
      </c>
      <c r="R82" s="198"/>
      <c r="S82" s="198"/>
      <c r="T82" s="198"/>
      <c r="U82" s="198"/>
    </row>
    <row r="83" spans="1:26" s="12" customFormat="1" x14ac:dyDescent="0.25">
      <c r="A83" s="63">
        <v>45816.78125</v>
      </c>
      <c r="B83" s="60">
        <v>12.2</v>
      </c>
      <c r="C83" s="60">
        <v>42.78</v>
      </c>
      <c r="D83" s="60">
        <v>63.15</v>
      </c>
      <c r="E83" s="60">
        <v>6.85</v>
      </c>
      <c r="F83" s="60">
        <v>15.91</v>
      </c>
      <c r="G83" s="60">
        <v>55.82</v>
      </c>
      <c r="H83" s="60">
        <v>8.0500000000000007</v>
      </c>
      <c r="I83" s="60">
        <v>3.92</v>
      </c>
      <c r="J83" s="60">
        <v>0.84</v>
      </c>
      <c r="K83" s="60">
        <v>344.36</v>
      </c>
      <c r="L83" s="60">
        <v>32.75</v>
      </c>
      <c r="M83" s="60">
        <v>40.020000000000003</v>
      </c>
      <c r="N83" s="60">
        <v>135.6</v>
      </c>
      <c r="O83" s="60">
        <v>0</v>
      </c>
      <c r="P83" s="60">
        <v>0.93</v>
      </c>
      <c r="Q83" s="60">
        <v>9.3800000000000008</v>
      </c>
      <c r="R83" s="198"/>
      <c r="S83" s="198"/>
      <c r="T83" s="198"/>
      <c r="U83" s="198"/>
    </row>
    <row r="84" spans="1:26" s="12" customFormat="1" x14ac:dyDescent="0.25">
      <c r="A84" s="63">
        <v>45816.791666666664</v>
      </c>
      <c r="B84" s="60">
        <v>9.75</v>
      </c>
      <c r="C84" s="60">
        <v>30.18</v>
      </c>
      <c r="D84" s="60">
        <v>42.8</v>
      </c>
      <c r="E84" s="60">
        <v>7.66</v>
      </c>
      <c r="F84" s="60">
        <v>8.92</v>
      </c>
      <c r="G84" s="60">
        <v>60.03</v>
      </c>
      <c r="H84" s="60">
        <v>14.33</v>
      </c>
      <c r="I84" s="60">
        <v>4.08</v>
      </c>
      <c r="J84" s="60">
        <v>1.83</v>
      </c>
      <c r="K84" s="60">
        <v>347.01</v>
      </c>
      <c r="L84" s="60">
        <v>32.869999999999997</v>
      </c>
      <c r="M84" s="60">
        <v>39.880000000000003</v>
      </c>
      <c r="N84" s="60">
        <v>110.5</v>
      </c>
      <c r="O84" s="60">
        <v>0</v>
      </c>
      <c r="P84" s="60">
        <v>0.73</v>
      </c>
      <c r="Q84" s="60">
        <v>9.3800000000000008</v>
      </c>
      <c r="R84" s="198"/>
      <c r="S84" s="198"/>
      <c r="T84" s="198"/>
      <c r="U84" s="198"/>
    </row>
    <row r="85" spans="1:26" s="12" customFormat="1" x14ac:dyDescent="0.25">
      <c r="A85" s="63">
        <v>45816.802083333336</v>
      </c>
      <c r="B85" s="60">
        <v>9.2200000000000006</v>
      </c>
      <c r="C85" s="60">
        <v>31.39</v>
      </c>
      <c r="D85" s="60">
        <v>45.93</v>
      </c>
      <c r="E85" s="60">
        <v>11.4</v>
      </c>
      <c r="F85" s="60">
        <v>17.27</v>
      </c>
      <c r="G85" s="60">
        <v>64.64</v>
      </c>
      <c r="H85" s="60">
        <v>21.18</v>
      </c>
      <c r="I85" s="60">
        <v>4.08</v>
      </c>
      <c r="J85" s="60">
        <v>0.91</v>
      </c>
      <c r="K85" s="60">
        <v>341.09</v>
      </c>
      <c r="L85" s="60">
        <v>32.78</v>
      </c>
      <c r="M85" s="60">
        <v>38.71</v>
      </c>
      <c r="N85" s="60">
        <v>136.1</v>
      </c>
      <c r="O85" s="60">
        <v>0</v>
      </c>
      <c r="P85" s="60">
        <v>0.76</v>
      </c>
      <c r="Q85" s="60">
        <v>9.4499999999999993</v>
      </c>
      <c r="R85" s="198"/>
      <c r="S85" s="198"/>
      <c r="T85" s="198"/>
      <c r="U85" s="198"/>
    </row>
    <row r="86" spans="1:26" s="12" customFormat="1" x14ac:dyDescent="0.25">
      <c r="A86" s="63">
        <v>45816.8125</v>
      </c>
      <c r="B86" s="60">
        <v>7.04</v>
      </c>
      <c r="C86" s="60">
        <v>25.84</v>
      </c>
      <c r="D86" s="60">
        <v>38.659999999999997</v>
      </c>
      <c r="E86" s="60">
        <v>10.029999999999999</v>
      </c>
      <c r="F86" s="60">
        <v>17.59</v>
      </c>
      <c r="G86" s="60">
        <v>64.64</v>
      </c>
      <c r="H86" s="60">
        <v>21.18</v>
      </c>
      <c r="I86" s="60">
        <v>3.78</v>
      </c>
      <c r="J86" s="60">
        <v>0.28000000000000003</v>
      </c>
      <c r="K86" s="60">
        <v>193.56</v>
      </c>
      <c r="L86" s="60">
        <v>32.619999999999997</v>
      </c>
      <c r="M86" s="60">
        <v>38.090000000000003</v>
      </c>
      <c r="N86" s="60">
        <v>83.9</v>
      </c>
      <c r="O86" s="60">
        <v>0</v>
      </c>
      <c r="P86" s="60">
        <v>0.64</v>
      </c>
      <c r="Q86" s="60">
        <v>9.4700000000000006</v>
      </c>
      <c r="R86" s="198"/>
      <c r="S86" s="198"/>
      <c r="T86" s="198"/>
      <c r="U86" s="198"/>
    </row>
    <row r="87" spans="1:26" s="12" customFormat="1" x14ac:dyDescent="0.25">
      <c r="A87" s="63">
        <v>45816.822916666664</v>
      </c>
      <c r="B87" s="60">
        <v>5.88</v>
      </c>
      <c r="C87" s="60">
        <v>23.64</v>
      </c>
      <c r="D87" s="60">
        <v>36.22</v>
      </c>
      <c r="E87" s="60">
        <v>7.65</v>
      </c>
      <c r="F87" s="60">
        <v>17.23</v>
      </c>
      <c r="G87" s="60">
        <v>64.64</v>
      </c>
      <c r="H87" s="60">
        <v>21.18</v>
      </c>
      <c r="I87" s="60">
        <v>4</v>
      </c>
      <c r="J87" s="60">
        <v>0.13</v>
      </c>
      <c r="K87" s="60">
        <v>328.52</v>
      </c>
      <c r="L87" s="60">
        <v>32.299999999999997</v>
      </c>
      <c r="M87" s="60">
        <v>39.69</v>
      </c>
      <c r="N87" s="60">
        <v>75</v>
      </c>
      <c r="O87" s="60">
        <v>0</v>
      </c>
      <c r="P87" s="60">
        <v>0.62</v>
      </c>
      <c r="Q87" s="60">
        <v>9.4499999999999993</v>
      </c>
      <c r="R87" s="198"/>
      <c r="S87" s="198"/>
      <c r="T87" s="198"/>
      <c r="U87" s="198"/>
    </row>
    <row r="88" spans="1:26" s="12" customFormat="1" x14ac:dyDescent="0.25">
      <c r="A88" s="63">
        <v>45816.833333333336</v>
      </c>
      <c r="B88" s="60">
        <v>5.78</v>
      </c>
      <c r="C88" s="60">
        <v>24.19</v>
      </c>
      <c r="D88" s="60">
        <v>37.44</v>
      </c>
      <c r="E88" s="60">
        <v>7.2</v>
      </c>
      <c r="F88" s="60">
        <v>21.22</v>
      </c>
      <c r="G88" s="60">
        <v>64.709999999999994</v>
      </c>
      <c r="H88" s="60">
        <v>20.8</v>
      </c>
      <c r="I88" s="60">
        <v>4.07</v>
      </c>
      <c r="J88" s="60">
        <v>0.16</v>
      </c>
      <c r="K88" s="60">
        <v>160.1</v>
      </c>
      <c r="L88" s="60">
        <v>31.89</v>
      </c>
      <c r="M88" s="60">
        <v>41.69</v>
      </c>
      <c r="N88" s="60">
        <v>77.900000000000006</v>
      </c>
      <c r="O88" s="60">
        <v>0</v>
      </c>
      <c r="P88" s="60">
        <v>0.56000000000000005</v>
      </c>
      <c r="Q88" s="60">
        <v>9.42</v>
      </c>
      <c r="R88" s="198"/>
      <c r="S88" s="198"/>
      <c r="T88" s="198"/>
      <c r="U88" s="198"/>
    </row>
    <row r="89" spans="1:26" s="12" customFormat="1" x14ac:dyDescent="0.25">
      <c r="A89" s="63">
        <v>45816.84375</v>
      </c>
      <c r="B89" s="60">
        <v>5.45</v>
      </c>
      <c r="C89" s="60">
        <v>25.48</v>
      </c>
      <c r="D89" s="60">
        <v>40.4</v>
      </c>
      <c r="E89" s="60">
        <v>6.75</v>
      </c>
      <c r="F89" s="60">
        <v>18.34</v>
      </c>
      <c r="G89" s="60">
        <v>64.790000000000006</v>
      </c>
      <c r="H89" s="60">
        <v>20.38</v>
      </c>
      <c r="I89" s="60">
        <v>4.04</v>
      </c>
      <c r="J89" s="60">
        <v>0.99</v>
      </c>
      <c r="K89" s="60">
        <v>144.93</v>
      </c>
      <c r="L89" s="60">
        <v>31.59</v>
      </c>
      <c r="M89" s="60">
        <v>43.19</v>
      </c>
      <c r="N89" s="60">
        <v>140.30000000000001</v>
      </c>
      <c r="O89" s="60">
        <v>0</v>
      </c>
      <c r="P89" s="60">
        <v>0.52</v>
      </c>
      <c r="Q89" s="60">
        <v>9.39</v>
      </c>
      <c r="R89" s="198"/>
      <c r="S89" s="198"/>
      <c r="T89" s="198"/>
      <c r="U89" s="198"/>
    </row>
    <row r="90" spans="1:26" s="12" customFormat="1" x14ac:dyDescent="0.25">
      <c r="A90" s="63">
        <v>45816.854166666664</v>
      </c>
      <c r="B90" s="60">
        <v>5.69</v>
      </c>
      <c r="C90" s="60">
        <v>25.79</v>
      </c>
      <c r="D90" s="60">
        <v>40.64</v>
      </c>
      <c r="E90" s="60">
        <v>7.69</v>
      </c>
      <c r="F90" s="60">
        <v>20.51</v>
      </c>
      <c r="G90" s="60">
        <v>64.790000000000006</v>
      </c>
      <c r="H90" s="60">
        <v>20.38</v>
      </c>
      <c r="I90" s="60">
        <v>3.93</v>
      </c>
      <c r="J90" s="60">
        <v>0.53</v>
      </c>
      <c r="K90" s="60">
        <v>147.6</v>
      </c>
      <c r="L90" s="60">
        <v>31.42</v>
      </c>
      <c r="M90" s="60">
        <v>43.58</v>
      </c>
      <c r="N90" s="60">
        <v>141</v>
      </c>
      <c r="O90" s="60">
        <v>0</v>
      </c>
      <c r="P90" s="60">
        <v>0.5</v>
      </c>
      <c r="Q90" s="60">
        <v>9.3699999999999992</v>
      </c>
      <c r="R90" s="198"/>
      <c r="S90" s="198"/>
      <c r="T90" s="198"/>
      <c r="U90" s="198"/>
    </row>
    <row r="91" spans="1:26" s="12" customFormat="1" x14ac:dyDescent="0.25">
      <c r="A91" s="63">
        <v>45816.864583333336</v>
      </c>
      <c r="B91" s="60">
        <v>6.97</v>
      </c>
      <c r="C91" s="60">
        <v>25.97</v>
      </c>
      <c r="D91" s="60">
        <v>39.020000000000003</v>
      </c>
      <c r="E91" s="60">
        <v>6.61</v>
      </c>
      <c r="F91" s="60">
        <v>12.34</v>
      </c>
      <c r="G91" s="60">
        <v>64.790000000000006</v>
      </c>
      <c r="H91" s="60">
        <v>20.38</v>
      </c>
      <c r="I91" s="60">
        <v>3.99</v>
      </c>
      <c r="J91" s="60">
        <v>0.69</v>
      </c>
      <c r="K91" s="60">
        <v>154.59</v>
      </c>
      <c r="L91" s="60">
        <v>31.46</v>
      </c>
      <c r="M91" s="60">
        <v>44.5</v>
      </c>
      <c r="N91" s="60">
        <v>127.4</v>
      </c>
      <c r="O91" s="60">
        <v>0</v>
      </c>
      <c r="P91" s="60">
        <v>0.54</v>
      </c>
      <c r="Q91" s="60">
        <v>9.3800000000000008</v>
      </c>
      <c r="R91" s="198"/>
      <c r="S91" s="198"/>
      <c r="T91" s="198"/>
      <c r="U91" s="198"/>
    </row>
    <row r="92" spans="1:26" s="12" customFormat="1" x14ac:dyDescent="0.25">
      <c r="A92" s="63">
        <v>45816.875</v>
      </c>
      <c r="B92" s="60">
        <v>6.58</v>
      </c>
      <c r="C92" s="60">
        <v>22.43</v>
      </c>
      <c r="D92" s="60">
        <v>32.840000000000003</v>
      </c>
      <c r="E92" s="60">
        <v>6.33</v>
      </c>
      <c r="F92" s="60">
        <v>12.78</v>
      </c>
      <c r="G92" s="60">
        <v>62.01</v>
      </c>
      <c r="H92" s="60">
        <v>17.98</v>
      </c>
      <c r="I92" s="60">
        <v>4.04</v>
      </c>
      <c r="J92" s="60">
        <v>0.08</v>
      </c>
      <c r="K92" s="60">
        <v>231.28</v>
      </c>
      <c r="L92" s="60">
        <v>31.32</v>
      </c>
      <c r="M92" s="60">
        <v>45.36</v>
      </c>
      <c r="N92" s="60">
        <v>118.6</v>
      </c>
      <c r="O92" s="60">
        <v>0</v>
      </c>
      <c r="P92" s="60">
        <v>0.56000000000000005</v>
      </c>
      <c r="Q92" s="60">
        <v>9.39</v>
      </c>
      <c r="R92" s="198"/>
      <c r="S92" s="198"/>
      <c r="T92" s="198"/>
      <c r="U92" s="198"/>
    </row>
    <row r="93" spans="1:26" s="12" customFormat="1" x14ac:dyDescent="0.25">
      <c r="A93" s="63">
        <v>45816.885416666664</v>
      </c>
      <c r="B93" s="60">
        <v>6.97</v>
      </c>
      <c r="C93" s="60">
        <v>27.92</v>
      </c>
      <c r="D93" s="60">
        <v>42.74</v>
      </c>
      <c r="E93" s="60">
        <v>5.9</v>
      </c>
      <c r="F93" s="60">
        <v>8.93</v>
      </c>
      <c r="G93" s="60">
        <v>58.85</v>
      </c>
      <c r="H93" s="60">
        <v>15.36</v>
      </c>
      <c r="I93" s="60">
        <v>3.94</v>
      </c>
      <c r="J93" s="60">
        <v>0.11</v>
      </c>
      <c r="K93" s="60">
        <v>162.91</v>
      </c>
      <c r="L93" s="60">
        <v>31.02</v>
      </c>
      <c r="M93" s="60">
        <v>46.93</v>
      </c>
      <c r="N93" s="60">
        <v>122.2</v>
      </c>
      <c r="O93" s="60">
        <v>0</v>
      </c>
      <c r="P93" s="60">
        <v>0.61</v>
      </c>
      <c r="Q93" s="60">
        <v>9.39</v>
      </c>
      <c r="R93" s="198"/>
      <c r="S93" s="198"/>
      <c r="T93" s="198"/>
      <c r="U93" s="198"/>
    </row>
    <row r="94" spans="1:26" s="12" customFormat="1" x14ac:dyDescent="0.25">
      <c r="A94" s="63">
        <v>45816.895833333336</v>
      </c>
      <c r="B94" s="60">
        <v>5.78</v>
      </c>
      <c r="C94" s="60">
        <v>24.49</v>
      </c>
      <c r="D94" s="60">
        <v>37.99</v>
      </c>
      <c r="E94" s="60">
        <v>5.62</v>
      </c>
      <c r="F94" s="60">
        <v>13.26</v>
      </c>
      <c r="G94" s="60">
        <v>58.85</v>
      </c>
      <c r="H94" s="60">
        <v>15.36</v>
      </c>
      <c r="I94" s="60">
        <v>3.99</v>
      </c>
      <c r="J94" s="60">
        <v>0.17</v>
      </c>
      <c r="K94" s="60">
        <v>179.05</v>
      </c>
      <c r="L94" s="60">
        <v>30.43</v>
      </c>
      <c r="M94" s="60">
        <v>49.69</v>
      </c>
      <c r="N94" s="60">
        <v>134.30000000000001</v>
      </c>
      <c r="O94" s="60">
        <v>0</v>
      </c>
      <c r="P94" s="60">
        <v>0.53</v>
      </c>
      <c r="Q94" s="60">
        <v>9.3800000000000008</v>
      </c>
      <c r="R94" s="198"/>
      <c r="S94" s="198"/>
      <c r="T94" s="198"/>
      <c r="U94" s="198"/>
    </row>
    <row r="95" spans="1:26" s="12" customFormat="1" x14ac:dyDescent="0.25">
      <c r="A95" s="63">
        <v>45816.90625</v>
      </c>
      <c r="B95" s="60">
        <v>5.1100000000000003</v>
      </c>
      <c r="C95" s="60">
        <v>24.91</v>
      </c>
      <c r="D95" s="60">
        <v>39.83</v>
      </c>
      <c r="E95" s="60">
        <v>5.26</v>
      </c>
      <c r="F95" s="60">
        <v>13.31</v>
      </c>
      <c r="G95" s="60">
        <v>58.85</v>
      </c>
      <c r="H95" s="60">
        <v>15.36</v>
      </c>
      <c r="I95" s="60">
        <v>4.09</v>
      </c>
      <c r="J95" s="60">
        <v>0.31</v>
      </c>
      <c r="K95" s="60">
        <v>159.69</v>
      </c>
      <c r="L95" s="60">
        <v>29.91</v>
      </c>
      <c r="M95" s="60">
        <v>52.38</v>
      </c>
      <c r="N95" s="60">
        <v>131.4</v>
      </c>
      <c r="O95" s="60">
        <v>0</v>
      </c>
      <c r="P95" s="60">
        <v>0.49</v>
      </c>
      <c r="Q95" s="60">
        <v>9.36</v>
      </c>
      <c r="R95" s="198"/>
      <c r="S95" s="198"/>
      <c r="T95" s="198"/>
      <c r="U95" s="198"/>
    </row>
    <row r="96" spans="1:26" s="12" customFormat="1" x14ac:dyDescent="0.25">
      <c r="A96" s="63">
        <v>45816.916666666664</v>
      </c>
      <c r="B96" s="60">
        <v>4.53</v>
      </c>
      <c r="C96" s="60">
        <v>27.91</v>
      </c>
      <c r="D96" s="60">
        <v>46.47</v>
      </c>
      <c r="E96" s="60">
        <v>5.4</v>
      </c>
      <c r="F96" s="60">
        <v>17.809999999999999</v>
      </c>
      <c r="G96" s="60">
        <v>56.41</v>
      </c>
      <c r="H96" s="60">
        <v>12.01</v>
      </c>
      <c r="I96" s="60">
        <v>3.89</v>
      </c>
      <c r="J96" s="60">
        <v>0.21</v>
      </c>
      <c r="K96" s="60">
        <v>134.51</v>
      </c>
      <c r="L96" s="60">
        <v>29.76</v>
      </c>
      <c r="M96" s="60">
        <v>53.14</v>
      </c>
      <c r="N96" s="60">
        <v>115.5</v>
      </c>
      <c r="O96" s="60">
        <v>0</v>
      </c>
      <c r="P96" s="60">
        <v>0.4</v>
      </c>
      <c r="Q96" s="60">
        <v>9.35</v>
      </c>
      <c r="R96" s="198"/>
      <c r="S96" s="198"/>
      <c r="T96" s="198"/>
      <c r="U96" s="198"/>
      <c r="Z96" s="109"/>
    </row>
    <row r="97" spans="1:33" s="12" customFormat="1" x14ac:dyDescent="0.25">
      <c r="A97" s="63">
        <v>45816.927083333336</v>
      </c>
      <c r="B97" s="60">
        <v>8.0399999999999991</v>
      </c>
      <c r="C97" s="60">
        <v>33.619999999999997</v>
      </c>
      <c r="D97" s="60">
        <v>52</v>
      </c>
      <c r="E97" s="60">
        <v>5.55</v>
      </c>
      <c r="F97" s="60">
        <v>10.32</v>
      </c>
      <c r="G97" s="60">
        <v>53.74</v>
      </c>
      <c r="H97" s="60">
        <v>8.34</v>
      </c>
      <c r="I97" s="60">
        <v>3.89</v>
      </c>
      <c r="J97" s="60">
        <v>0.05</v>
      </c>
      <c r="K97" s="60">
        <v>325.85000000000002</v>
      </c>
      <c r="L97" s="60">
        <v>30.22</v>
      </c>
      <c r="M97" s="60">
        <v>49.03</v>
      </c>
      <c r="N97" s="60">
        <v>113.8</v>
      </c>
      <c r="O97" s="60">
        <v>0</v>
      </c>
      <c r="P97" s="60">
        <v>0.67</v>
      </c>
      <c r="Q97" s="60">
        <v>9.34</v>
      </c>
      <c r="R97" s="198"/>
      <c r="S97" s="198"/>
      <c r="T97" s="198"/>
      <c r="U97" s="198"/>
    </row>
    <row r="98" spans="1:33" s="12" customFormat="1" x14ac:dyDescent="0.25">
      <c r="A98" s="63">
        <v>45816.9375</v>
      </c>
      <c r="B98" s="60">
        <v>5.93</v>
      </c>
      <c r="C98" s="60">
        <v>23.03</v>
      </c>
      <c r="D98" s="60">
        <v>34.96</v>
      </c>
      <c r="E98" s="60">
        <v>5.22</v>
      </c>
      <c r="F98" s="60">
        <v>7.14</v>
      </c>
      <c r="G98" s="60">
        <v>53.74</v>
      </c>
      <c r="H98" s="60">
        <v>8.34</v>
      </c>
      <c r="I98" s="60">
        <v>4.16</v>
      </c>
      <c r="J98" s="60">
        <v>0.18</v>
      </c>
      <c r="K98" s="60">
        <v>335.48</v>
      </c>
      <c r="L98" s="60">
        <v>30.48</v>
      </c>
      <c r="M98" s="60">
        <v>48.1</v>
      </c>
      <c r="N98" s="60">
        <v>113.7</v>
      </c>
      <c r="O98" s="60">
        <v>0</v>
      </c>
      <c r="P98" s="60">
        <v>0.54</v>
      </c>
      <c r="Q98" s="60">
        <v>9.36</v>
      </c>
      <c r="R98" s="198"/>
      <c r="S98" s="198"/>
      <c r="T98" s="198"/>
      <c r="U98" s="198"/>
    </row>
    <row r="99" spans="1:33" s="12" customFormat="1" x14ac:dyDescent="0.25">
      <c r="A99" s="63">
        <v>45816.947916666664</v>
      </c>
      <c r="B99" s="60">
        <v>5.38</v>
      </c>
      <c r="C99" s="60">
        <v>22.4</v>
      </c>
      <c r="D99" s="60">
        <v>34.619999999999997</v>
      </c>
      <c r="E99" s="60">
        <v>4.95</v>
      </c>
      <c r="F99" s="60">
        <v>6.46</v>
      </c>
      <c r="G99" s="60">
        <v>53.74</v>
      </c>
      <c r="H99" s="60">
        <v>8.34</v>
      </c>
      <c r="I99" s="60">
        <v>3.88</v>
      </c>
      <c r="J99" s="60">
        <v>0.14000000000000001</v>
      </c>
      <c r="K99" s="60">
        <v>328.9</v>
      </c>
      <c r="L99" s="60">
        <v>29.67</v>
      </c>
      <c r="M99" s="60">
        <v>54.49</v>
      </c>
      <c r="N99" s="60">
        <v>114.5</v>
      </c>
      <c r="O99" s="60">
        <v>0</v>
      </c>
      <c r="P99" s="60">
        <v>0.54</v>
      </c>
      <c r="Q99" s="60">
        <v>9.36</v>
      </c>
      <c r="R99" s="198"/>
      <c r="S99" s="198"/>
      <c r="T99" s="198"/>
      <c r="U99" s="198"/>
    </row>
    <row r="100" spans="1:33" s="12" customFormat="1" x14ac:dyDescent="0.25">
      <c r="A100" s="63">
        <v>45816.958333333336</v>
      </c>
      <c r="B100" s="60">
        <v>4.99</v>
      </c>
      <c r="C100" s="60">
        <v>21.84</v>
      </c>
      <c r="D100" s="60">
        <v>34.14</v>
      </c>
      <c r="E100" s="60">
        <v>4.58</v>
      </c>
      <c r="F100" s="60">
        <v>9</v>
      </c>
      <c r="G100" s="60">
        <v>51.04</v>
      </c>
      <c r="H100" s="60">
        <v>11.51</v>
      </c>
      <c r="I100" s="60">
        <v>4.08</v>
      </c>
      <c r="J100" s="60">
        <v>0.13</v>
      </c>
      <c r="K100" s="60">
        <v>325.31</v>
      </c>
      <c r="L100" s="60">
        <v>29.3</v>
      </c>
      <c r="M100" s="60">
        <v>56.06</v>
      </c>
      <c r="N100" s="60">
        <v>114.1</v>
      </c>
      <c r="O100" s="60">
        <v>0</v>
      </c>
      <c r="P100" s="60">
        <v>0.5</v>
      </c>
      <c r="Q100" s="60">
        <v>9.34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3">
        <v>45816.96875</v>
      </c>
      <c r="B101" s="60">
        <v>5.39</v>
      </c>
      <c r="C101" s="60">
        <v>22.38</v>
      </c>
      <c r="D101" s="60">
        <v>34.57</v>
      </c>
      <c r="E101" s="60">
        <v>4.68</v>
      </c>
      <c r="F101" s="60">
        <v>5.54</v>
      </c>
      <c r="G101" s="60">
        <v>48.08</v>
      </c>
      <c r="H101" s="60">
        <v>14.98</v>
      </c>
      <c r="I101" s="60">
        <v>4.12</v>
      </c>
      <c r="J101" s="60">
        <v>0.17</v>
      </c>
      <c r="K101" s="60">
        <v>304.29000000000002</v>
      </c>
      <c r="L101" s="60">
        <v>29.23</v>
      </c>
      <c r="M101" s="60">
        <v>56.42</v>
      </c>
      <c r="N101" s="60">
        <v>114.6</v>
      </c>
      <c r="O101" s="60">
        <v>0</v>
      </c>
      <c r="P101" s="60">
        <v>0.51</v>
      </c>
      <c r="Q101" s="60">
        <v>9.32</v>
      </c>
      <c r="R101" s="198"/>
      <c r="S101" s="198"/>
      <c r="T101" s="198"/>
      <c r="U101" s="198"/>
    </row>
    <row r="102" spans="1:33" s="12" customFormat="1" x14ac:dyDescent="0.25">
      <c r="A102" s="63">
        <v>45816.979166666664</v>
      </c>
      <c r="B102" s="60">
        <v>7.41</v>
      </c>
      <c r="C102" s="60">
        <v>27.62</v>
      </c>
      <c r="D102" s="60">
        <v>41.48</v>
      </c>
      <c r="E102" s="60">
        <v>4.83</v>
      </c>
      <c r="F102" s="60">
        <v>8.14</v>
      </c>
      <c r="G102" s="60">
        <v>48.08</v>
      </c>
      <c r="H102" s="60">
        <v>14.98</v>
      </c>
      <c r="I102" s="60">
        <v>3.98</v>
      </c>
      <c r="J102" s="60">
        <v>0.13</v>
      </c>
      <c r="K102" s="60">
        <v>323.27999999999997</v>
      </c>
      <c r="L102" s="60">
        <v>29.25</v>
      </c>
      <c r="M102" s="60">
        <v>55.52</v>
      </c>
      <c r="N102" s="60">
        <v>115</v>
      </c>
      <c r="O102" s="60">
        <v>0</v>
      </c>
      <c r="P102" s="60">
        <v>0.46</v>
      </c>
      <c r="Q102" s="60">
        <v>9.32</v>
      </c>
      <c r="R102" s="198"/>
      <c r="S102" s="198"/>
      <c r="T102" s="198"/>
      <c r="U102" s="198"/>
    </row>
    <row r="103" spans="1:33" s="12" customFormat="1" x14ac:dyDescent="0.25">
      <c r="A103" s="63">
        <v>45816.989583333336</v>
      </c>
      <c r="B103" s="60">
        <v>4.79</v>
      </c>
      <c r="C103" s="60">
        <v>21.09</v>
      </c>
      <c r="D103" s="60">
        <v>33.01</v>
      </c>
      <c r="E103" s="60">
        <v>5.01</v>
      </c>
      <c r="F103" s="60">
        <v>20.14</v>
      </c>
      <c r="G103" s="60">
        <v>48.08</v>
      </c>
      <c r="H103" s="60">
        <v>14.98</v>
      </c>
      <c r="I103" s="60">
        <v>4.03</v>
      </c>
      <c r="J103" s="60">
        <v>0.28999999999999998</v>
      </c>
      <c r="K103" s="60">
        <v>155.44999999999999</v>
      </c>
      <c r="L103" s="60">
        <v>29.28</v>
      </c>
      <c r="M103" s="60">
        <v>53.74</v>
      </c>
      <c r="N103" s="60">
        <v>115.9</v>
      </c>
      <c r="O103" s="60">
        <v>0</v>
      </c>
      <c r="P103" s="60">
        <v>0.31</v>
      </c>
      <c r="Q103" s="60">
        <v>9.32</v>
      </c>
      <c r="R103" s="198"/>
      <c r="S103" s="198"/>
      <c r="T103" s="198"/>
      <c r="U103" s="198"/>
    </row>
    <row r="104" spans="1:33" s="12" customFormat="1" x14ac:dyDescent="0.25">
      <c r="A104" s="60">
        <v>45817</v>
      </c>
      <c r="B104" s="60">
        <v>4.6900000000000004</v>
      </c>
      <c r="C104" s="60">
        <v>19.88</v>
      </c>
      <c r="D104" s="60">
        <v>30.84</v>
      </c>
      <c r="E104" s="60">
        <v>5.17</v>
      </c>
      <c r="F104" s="60">
        <v>16.91</v>
      </c>
      <c r="G104" s="60">
        <v>45.24</v>
      </c>
      <c r="H104" s="60">
        <v>10.94</v>
      </c>
      <c r="I104" s="60">
        <v>4.08</v>
      </c>
      <c r="J104" s="60">
        <v>0.75</v>
      </c>
      <c r="K104" s="60">
        <v>143.61000000000001</v>
      </c>
      <c r="L104" s="60">
        <v>28.82</v>
      </c>
      <c r="M104" s="60">
        <v>57.49</v>
      </c>
      <c r="N104" s="60">
        <v>120.1</v>
      </c>
      <c r="O104" s="60">
        <v>0</v>
      </c>
      <c r="P104" s="60">
        <v>0.34</v>
      </c>
      <c r="Q104" s="60">
        <v>9.33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4.12</v>
      </c>
      <c r="C106" s="67">
        <f>MIN(C9:C104)</f>
        <v>16.05</v>
      </c>
      <c r="D106" s="67">
        <f t="shared" ref="D106:Q106" si="0">MIN(D9:D104)</f>
        <v>22.69</v>
      </c>
      <c r="E106" s="67">
        <f t="shared" si="0"/>
        <v>3.97</v>
      </c>
      <c r="F106" s="67">
        <f t="shared" si="0"/>
        <v>5.3</v>
      </c>
      <c r="G106" s="67">
        <f t="shared" si="0"/>
        <v>45.24</v>
      </c>
      <c r="H106" s="67">
        <f t="shared" si="0"/>
        <v>-29.72</v>
      </c>
      <c r="I106" s="67">
        <f t="shared" si="0"/>
        <v>3.69</v>
      </c>
      <c r="J106" s="67">
        <f t="shared" si="0"/>
        <v>0.01</v>
      </c>
      <c r="K106" s="67">
        <f t="shared" si="0"/>
        <v>132.69999999999999</v>
      </c>
      <c r="L106" s="67">
        <f t="shared" si="0"/>
        <v>26.98</v>
      </c>
      <c r="M106" s="67">
        <f t="shared" si="0"/>
        <v>26.43</v>
      </c>
      <c r="N106" s="67">
        <f t="shared" si="0"/>
        <v>75</v>
      </c>
      <c r="O106" s="67">
        <f t="shared" si="0"/>
        <v>0</v>
      </c>
      <c r="P106" s="67">
        <f t="shared" si="0"/>
        <v>0.31</v>
      </c>
      <c r="Q106" s="67">
        <f t="shared" si="0"/>
        <v>9.23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14.33</v>
      </c>
      <c r="C107" s="66">
        <f t="shared" ref="C107:Q107" si="1">MAX(C9:C104)</f>
        <v>42.78</v>
      </c>
      <c r="D107" s="66">
        <f t="shared" si="1"/>
        <v>63.15</v>
      </c>
      <c r="E107" s="66">
        <f t="shared" si="1"/>
        <v>11.4</v>
      </c>
      <c r="F107" s="66">
        <f t="shared" si="1"/>
        <v>22.68</v>
      </c>
      <c r="G107" s="66">
        <f t="shared" si="1"/>
        <v>67.2</v>
      </c>
      <c r="H107" s="66">
        <f t="shared" si="1"/>
        <v>78.84</v>
      </c>
      <c r="I107" s="66">
        <f t="shared" si="1"/>
        <v>4.2699999999999996</v>
      </c>
      <c r="J107" s="66">
        <f t="shared" si="1"/>
        <v>1.83</v>
      </c>
      <c r="K107" s="66">
        <f t="shared" si="1"/>
        <v>350.26</v>
      </c>
      <c r="L107" s="66">
        <f t="shared" si="1"/>
        <v>40.5</v>
      </c>
      <c r="M107" s="66">
        <f t="shared" si="1"/>
        <v>71.930000000000007</v>
      </c>
      <c r="N107" s="66">
        <f t="shared" si="1"/>
        <v>929.6</v>
      </c>
      <c r="O107" s="66">
        <f t="shared" si="1"/>
        <v>0</v>
      </c>
      <c r="P107" s="66">
        <f t="shared" si="1"/>
        <v>0.93</v>
      </c>
      <c r="Q107" s="66">
        <f t="shared" si="1"/>
        <v>9.58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6.8186458333333313</v>
      </c>
      <c r="C108" s="67">
        <f t="shared" ref="C108:Q108" si="2">AVERAGE(C9:C104)</f>
        <v>23.739687500000006</v>
      </c>
      <c r="D108" s="67">
        <f t="shared" si="2"/>
        <v>34.972187499999983</v>
      </c>
      <c r="E108" s="67">
        <f t="shared" si="2"/>
        <v>5.6360416666666673</v>
      </c>
      <c r="F108" s="67">
        <f t="shared" si="2"/>
        <v>12.996354166666665</v>
      </c>
      <c r="G108" s="67">
        <f t="shared" si="2"/>
        <v>53.3310416666667</v>
      </c>
      <c r="H108" s="67">
        <f t="shared" si="2"/>
        <v>16.526145833333327</v>
      </c>
      <c r="I108" s="67">
        <f t="shared" si="2"/>
        <v>3.9917708333333319</v>
      </c>
      <c r="J108" s="67">
        <f t="shared" si="2"/>
        <v>0.3382291666666668</v>
      </c>
      <c r="K108" s="67">
        <f t="shared" si="2"/>
        <v>255.50374999999994</v>
      </c>
      <c r="L108" s="67">
        <f t="shared" si="2"/>
        <v>32.896041666666669</v>
      </c>
      <c r="M108" s="67">
        <f t="shared" si="2"/>
        <v>45.33250000000001</v>
      </c>
      <c r="N108" s="67">
        <f t="shared" si="2"/>
        <v>298.6427083333333</v>
      </c>
      <c r="O108" s="67">
        <f t="shared" si="2"/>
        <v>0</v>
      </c>
      <c r="P108" s="67">
        <f t="shared" si="2"/>
        <v>0.5028125</v>
      </c>
      <c r="Q108" s="67">
        <f t="shared" si="2"/>
        <v>9.3778125000000028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2.072949396285745</v>
      </c>
      <c r="C109" s="67">
        <f t="shared" ref="C109:Q109" si="3">STDEV(C9:C104)</f>
        <v>4.4205487759171751</v>
      </c>
      <c r="D109" s="67">
        <f t="shared" si="3"/>
        <v>6.7785052230717628</v>
      </c>
      <c r="E109" s="67">
        <f t="shared" si="3"/>
        <v>1.1274997763254981</v>
      </c>
      <c r="F109" s="67">
        <f t="shared" si="3"/>
        <v>4.6039964606945301</v>
      </c>
      <c r="G109" s="67">
        <f t="shared" si="3"/>
        <v>5.6491069586104263</v>
      </c>
      <c r="H109" s="67">
        <f t="shared" si="3"/>
        <v>18.523047684313486</v>
      </c>
      <c r="I109" s="67">
        <f t="shared" si="3"/>
        <v>0.10359836202390023</v>
      </c>
      <c r="J109" s="67">
        <f t="shared" si="3"/>
        <v>0.35161879714937289</v>
      </c>
      <c r="K109" s="67">
        <f t="shared" si="3"/>
        <v>69.347463191184119</v>
      </c>
      <c r="L109" s="67">
        <f t="shared" si="3"/>
        <v>4.4110739781090347</v>
      </c>
      <c r="M109" s="67">
        <f t="shared" si="3"/>
        <v>13.605940188794444</v>
      </c>
      <c r="N109" s="67">
        <f t="shared" si="3"/>
        <v>284.39947136851896</v>
      </c>
      <c r="O109" s="67">
        <f t="shared" si="3"/>
        <v>0</v>
      </c>
      <c r="P109" s="67">
        <f t="shared" si="3"/>
        <v>0.10123139855119852</v>
      </c>
      <c r="Q109" s="67">
        <f t="shared" si="3"/>
        <v>9.4012352211935796E-2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7" sqref="C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45817.010416666664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3">
        <v>45817.010416666664</v>
      </c>
      <c r="B9" s="60">
        <v>4.42</v>
      </c>
      <c r="C9" s="60">
        <v>16.68</v>
      </c>
      <c r="D9" s="60">
        <v>25.14</v>
      </c>
      <c r="E9" s="60">
        <v>5.04</v>
      </c>
      <c r="F9" s="60">
        <v>21.5</v>
      </c>
      <c r="G9" s="60">
        <v>42.14</v>
      </c>
      <c r="H9" s="60">
        <v>6.53</v>
      </c>
      <c r="I9" s="60">
        <v>3.97</v>
      </c>
      <c r="J9" s="60">
        <v>0.24</v>
      </c>
      <c r="K9" s="60">
        <v>134.6</v>
      </c>
      <c r="L9" s="60">
        <v>28.52</v>
      </c>
      <c r="M9" s="60">
        <v>59.02</v>
      </c>
      <c r="N9" s="60">
        <v>129.19999999999999</v>
      </c>
      <c r="O9" s="60">
        <v>0</v>
      </c>
      <c r="P9" s="60">
        <v>0.25</v>
      </c>
      <c r="Q9" s="60">
        <v>9.32</v>
      </c>
      <c r="R9" s="198"/>
      <c r="S9" s="198"/>
      <c r="T9" s="198"/>
      <c r="U9" s="198"/>
    </row>
    <row r="10" spans="1:21" s="12" customFormat="1" x14ac:dyDescent="0.25">
      <c r="A10" s="63">
        <v>45817.020833333336</v>
      </c>
      <c r="B10" s="60">
        <v>4.3600000000000003</v>
      </c>
      <c r="C10" s="60">
        <v>16.579999999999998</v>
      </c>
      <c r="D10" s="60">
        <v>25.04</v>
      </c>
      <c r="E10" s="60">
        <v>5.4</v>
      </c>
      <c r="F10" s="60">
        <v>19.149999999999999</v>
      </c>
      <c r="G10" s="60">
        <v>42.14</v>
      </c>
      <c r="H10" s="60">
        <v>6.53</v>
      </c>
      <c r="I10" s="60">
        <v>3.99</v>
      </c>
      <c r="J10" s="60">
        <v>0.06</v>
      </c>
      <c r="K10" s="60">
        <v>337.21</v>
      </c>
      <c r="L10" s="60">
        <v>28.59</v>
      </c>
      <c r="M10" s="60">
        <v>58.75</v>
      </c>
      <c r="N10" s="60">
        <v>127.2</v>
      </c>
      <c r="O10" s="60">
        <v>0</v>
      </c>
      <c r="P10" s="60">
        <v>0.27</v>
      </c>
      <c r="Q10" s="60">
        <v>9.33</v>
      </c>
      <c r="R10" s="198"/>
      <c r="S10" s="198"/>
      <c r="T10" s="198"/>
      <c r="U10" s="198"/>
    </row>
    <row r="11" spans="1:21" s="12" customFormat="1" x14ac:dyDescent="0.25">
      <c r="A11" s="63">
        <v>45817.03125</v>
      </c>
      <c r="B11" s="60">
        <v>4.38</v>
      </c>
      <c r="C11" s="60">
        <v>17.829999999999998</v>
      </c>
      <c r="D11" s="60">
        <v>27.4</v>
      </c>
      <c r="E11" s="60">
        <v>5.7</v>
      </c>
      <c r="F11" s="60">
        <v>18.440000000000001</v>
      </c>
      <c r="G11" s="60">
        <v>42.14</v>
      </c>
      <c r="H11" s="60">
        <v>6.53</v>
      </c>
      <c r="I11" s="60">
        <v>3.95</v>
      </c>
      <c r="J11" s="60">
        <v>0.22</v>
      </c>
      <c r="K11" s="60">
        <v>135.35</v>
      </c>
      <c r="L11" s="60">
        <v>28.62</v>
      </c>
      <c r="M11" s="60">
        <v>57.66</v>
      </c>
      <c r="N11" s="60">
        <v>120.4</v>
      </c>
      <c r="O11" s="60">
        <v>0</v>
      </c>
      <c r="P11" s="60">
        <v>0.25</v>
      </c>
      <c r="Q11" s="60">
        <v>9.34</v>
      </c>
      <c r="R11" s="198"/>
      <c r="S11" s="198"/>
      <c r="T11" s="198"/>
      <c r="U11" s="198"/>
    </row>
    <row r="12" spans="1:21" s="12" customFormat="1" x14ac:dyDescent="0.25">
      <c r="A12" s="63">
        <v>45817.041666666664</v>
      </c>
      <c r="B12" s="60">
        <v>4.2699999999999996</v>
      </c>
      <c r="C12" s="60">
        <v>15.86</v>
      </c>
      <c r="D12" s="60">
        <v>23.8</v>
      </c>
      <c r="E12" s="60">
        <v>5.7</v>
      </c>
      <c r="F12" s="60">
        <v>21.39</v>
      </c>
      <c r="G12" s="60">
        <v>40.01</v>
      </c>
      <c r="H12" s="60">
        <v>-4.18</v>
      </c>
      <c r="I12" s="60">
        <v>4.03</v>
      </c>
      <c r="J12" s="60">
        <v>0.09</v>
      </c>
      <c r="K12" s="60">
        <v>219.98</v>
      </c>
      <c r="L12" s="60">
        <v>28.66</v>
      </c>
      <c r="M12" s="60">
        <v>56.51</v>
      </c>
      <c r="N12" s="60">
        <v>115.3</v>
      </c>
      <c r="O12" s="60">
        <v>0</v>
      </c>
      <c r="P12" s="60">
        <v>0.24</v>
      </c>
      <c r="Q12" s="60">
        <v>9.34</v>
      </c>
      <c r="R12" s="198"/>
      <c r="S12" s="198"/>
      <c r="T12" s="198"/>
      <c r="U12" s="198"/>
    </row>
    <row r="13" spans="1:21" s="12" customFormat="1" x14ac:dyDescent="0.25">
      <c r="A13" s="63">
        <v>45817.052083333336</v>
      </c>
      <c r="B13" s="60">
        <v>4.76</v>
      </c>
      <c r="C13" s="60">
        <v>15.71</v>
      </c>
      <c r="D13" s="60">
        <v>22.75</v>
      </c>
      <c r="E13" s="60">
        <v>5.58</v>
      </c>
      <c r="F13" s="60">
        <v>18.27</v>
      </c>
      <c r="G13" s="60">
        <v>37.69</v>
      </c>
      <c r="H13" s="60">
        <v>-15.89</v>
      </c>
      <c r="I13" s="60">
        <v>3.99</v>
      </c>
      <c r="J13" s="60">
        <v>0.52</v>
      </c>
      <c r="K13" s="60">
        <v>148.91</v>
      </c>
      <c r="L13" s="60">
        <v>28.66</v>
      </c>
      <c r="M13" s="60">
        <v>56.24</v>
      </c>
      <c r="N13" s="60">
        <v>114.4</v>
      </c>
      <c r="O13" s="60">
        <v>0</v>
      </c>
      <c r="P13" s="60">
        <v>0.28000000000000003</v>
      </c>
      <c r="Q13" s="60">
        <v>9.34</v>
      </c>
      <c r="R13" s="198"/>
      <c r="S13" s="198"/>
      <c r="T13" s="198"/>
      <c r="U13" s="198"/>
    </row>
    <row r="14" spans="1:21" s="12" customFormat="1" x14ac:dyDescent="0.25">
      <c r="A14" s="63">
        <v>45817.0625</v>
      </c>
      <c r="B14" s="60">
        <v>4.84</v>
      </c>
      <c r="C14" s="60">
        <v>15.05</v>
      </c>
      <c r="D14" s="60">
        <v>21.38</v>
      </c>
      <c r="E14" s="60">
        <v>5.49</v>
      </c>
      <c r="F14" s="60">
        <v>14.84</v>
      </c>
      <c r="G14" s="60">
        <v>37.69</v>
      </c>
      <c r="H14" s="60">
        <v>-15.89</v>
      </c>
      <c r="I14" s="60">
        <v>4.0599999999999996</v>
      </c>
      <c r="J14" s="60">
        <v>0.12</v>
      </c>
      <c r="K14" s="60">
        <v>201.23</v>
      </c>
      <c r="L14" s="60">
        <v>28.43</v>
      </c>
      <c r="M14" s="60">
        <v>56.44</v>
      </c>
      <c r="N14" s="60">
        <v>96.8</v>
      </c>
      <c r="O14" s="60">
        <v>0</v>
      </c>
      <c r="P14" s="60">
        <v>0.3</v>
      </c>
      <c r="Q14" s="60">
        <v>9.34</v>
      </c>
      <c r="R14" s="198"/>
      <c r="S14" s="198"/>
      <c r="T14" s="198"/>
      <c r="U14" s="198"/>
    </row>
    <row r="15" spans="1:21" s="12" customFormat="1" x14ac:dyDescent="0.25">
      <c r="A15" s="63">
        <v>45817.072916666664</v>
      </c>
      <c r="B15" s="60">
        <v>5.37</v>
      </c>
      <c r="C15" s="60">
        <v>18.02</v>
      </c>
      <c r="D15" s="60">
        <v>26.24</v>
      </c>
      <c r="E15" s="60">
        <v>5.22</v>
      </c>
      <c r="F15" s="60">
        <v>11.55</v>
      </c>
      <c r="G15" s="60">
        <v>37.69</v>
      </c>
      <c r="H15" s="60">
        <v>-15.89</v>
      </c>
      <c r="I15" s="60">
        <v>4.04</v>
      </c>
      <c r="J15" s="60">
        <v>0.28000000000000003</v>
      </c>
      <c r="K15" s="60">
        <v>155.04</v>
      </c>
      <c r="L15" s="60">
        <v>28.25</v>
      </c>
      <c r="M15" s="60">
        <v>57.62</v>
      </c>
      <c r="N15" s="60">
        <v>125</v>
      </c>
      <c r="O15" s="60">
        <v>0</v>
      </c>
      <c r="P15" s="60">
        <v>0.34</v>
      </c>
      <c r="Q15" s="60">
        <v>9.33</v>
      </c>
      <c r="R15" s="198"/>
      <c r="S15" s="198"/>
      <c r="T15" s="198"/>
      <c r="U15" s="198"/>
    </row>
    <row r="16" spans="1:21" s="12" customFormat="1" x14ac:dyDescent="0.25">
      <c r="A16" s="63">
        <v>45817.083333333336</v>
      </c>
      <c r="B16" s="60">
        <v>4.8</v>
      </c>
      <c r="C16" s="60">
        <v>16.399999999999999</v>
      </c>
      <c r="D16" s="60">
        <v>24.02</v>
      </c>
      <c r="E16" s="60">
        <v>5.09</v>
      </c>
      <c r="F16" s="60">
        <v>15.3</v>
      </c>
      <c r="G16" s="60">
        <v>35.71</v>
      </c>
      <c r="H16" s="60">
        <v>-6.9</v>
      </c>
      <c r="I16" s="60">
        <v>3.99</v>
      </c>
      <c r="J16" s="60">
        <v>0.22</v>
      </c>
      <c r="K16" s="60">
        <v>147.4</v>
      </c>
      <c r="L16" s="60">
        <v>28.16</v>
      </c>
      <c r="M16" s="60">
        <v>58.64</v>
      </c>
      <c r="N16" s="60">
        <v>99.7</v>
      </c>
      <c r="O16" s="60">
        <v>0</v>
      </c>
      <c r="P16" s="60">
        <v>0.3</v>
      </c>
      <c r="Q16" s="60">
        <v>9.32</v>
      </c>
      <c r="R16" s="198"/>
      <c r="S16" s="198"/>
      <c r="T16" s="198"/>
      <c r="U16" s="198"/>
    </row>
    <row r="17" spans="1:21" s="12" customFormat="1" x14ac:dyDescent="0.25">
      <c r="A17" s="63">
        <v>45817.09375</v>
      </c>
      <c r="B17" s="60">
        <v>5.16</v>
      </c>
      <c r="C17" s="60">
        <v>17.93</v>
      </c>
      <c r="D17" s="60">
        <v>26.4</v>
      </c>
      <c r="E17" s="60">
        <v>5.08</v>
      </c>
      <c r="F17" s="60">
        <v>12.83</v>
      </c>
      <c r="G17" s="60">
        <v>33.450000000000003</v>
      </c>
      <c r="H17" s="60">
        <v>3.37</v>
      </c>
      <c r="I17" s="60">
        <v>4.1900000000000004</v>
      </c>
      <c r="J17" s="60">
        <v>0.59</v>
      </c>
      <c r="K17" s="60">
        <v>144.21</v>
      </c>
      <c r="L17" s="60">
        <v>28.1</v>
      </c>
      <c r="M17" s="60">
        <v>59.08</v>
      </c>
      <c r="N17" s="60">
        <v>81</v>
      </c>
      <c r="O17" s="60">
        <v>0</v>
      </c>
      <c r="P17" s="60">
        <v>0.34</v>
      </c>
      <c r="Q17" s="60">
        <v>9.3000000000000007</v>
      </c>
      <c r="R17" s="198"/>
      <c r="S17" s="198"/>
      <c r="T17" s="198"/>
      <c r="U17" s="198"/>
    </row>
    <row r="18" spans="1:21" s="12" customFormat="1" x14ac:dyDescent="0.25">
      <c r="A18" s="63">
        <v>45817.104166666664</v>
      </c>
      <c r="B18" s="60">
        <v>4.87</v>
      </c>
      <c r="C18" s="60">
        <v>16.84</v>
      </c>
      <c r="D18" s="60">
        <v>24.75</v>
      </c>
      <c r="E18" s="60">
        <v>5.59</v>
      </c>
      <c r="F18" s="60">
        <v>13.21</v>
      </c>
      <c r="G18" s="60">
        <v>33.450000000000003</v>
      </c>
      <c r="H18" s="60">
        <v>3.37</v>
      </c>
      <c r="I18" s="60">
        <v>4.0999999999999996</v>
      </c>
      <c r="J18" s="60">
        <v>0.25</v>
      </c>
      <c r="K18" s="60">
        <v>143.29</v>
      </c>
      <c r="L18" s="60">
        <v>27.94</v>
      </c>
      <c r="M18" s="60">
        <v>60.07</v>
      </c>
      <c r="N18" s="60">
        <v>62.2</v>
      </c>
      <c r="O18" s="60">
        <v>0</v>
      </c>
      <c r="P18" s="60">
        <v>0.3</v>
      </c>
      <c r="Q18" s="60">
        <v>9.3000000000000007</v>
      </c>
      <c r="R18" s="198"/>
      <c r="S18" s="198"/>
      <c r="T18" s="198"/>
      <c r="U18" s="198"/>
    </row>
    <row r="19" spans="1:21" s="12" customFormat="1" x14ac:dyDescent="0.25">
      <c r="A19" s="63">
        <v>45817.114583333336</v>
      </c>
      <c r="B19" s="60">
        <v>5.0199999999999996</v>
      </c>
      <c r="C19" s="60">
        <v>17.670000000000002</v>
      </c>
      <c r="D19" s="60">
        <v>26.12</v>
      </c>
      <c r="E19" s="60">
        <v>5.4</v>
      </c>
      <c r="F19" s="60">
        <v>11.25</v>
      </c>
      <c r="G19" s="60">
        <v>33.450000000000003</v>
      </c>
      <c r="H19" s="60">
        <v>3.37</v>
      </c>
      <c r="I19" s="60">
        <v>4.07</v>
      </c>
      <c r="J19" s="60">
        <v>0.39</v>
      </c>
      <c r="K19" s="60">
        <v>152.61000000000001</v>
      </c>
      <c r="L19" s="60">
        <v>27.83</v>
      </c>
      <c r="M19" s="60">
        <v>60.82</v>
      </c>
      <c r="N19" s="60">
        <v>62.4</v>
      </c>
      <c r="O19" s="60">
        <v>0</v>
      </c>
      <c r="P19" s="60">
        <v>0.32</v>
      </c>
      <c r="Q19" s="60">
        <v>9.2899999999999991</v>
      </c>
      <c r="R19" s="198"/>
      <c r="S19" s="198"/>
      <c r="T19" s="198"/>
      <c r="U19" s="198"/>
    </row>
    <row r="20" spans="1:21" s="12" customFormat="1" x14ac:dyDescent="0.25">
      <c r="A20" s="63">
        <v>45817.125</v>
      </c>
      <c r="B20" s="60">
        <v>4.88</v>
      </c>
      <c r="C20" s="60">
        <v>16.420000000000002</v>
      </c>
      <c r="D20" s="60">
        <v>23.93</v>
      </c>
      <c r="E20" s="60">
        <v>4.91</v>
      </c>
      <c r="F20" s="60">
        <v>10.28</v>
      </c>
      <c r="G20" s="60">
        <v>32.04</v>
      </c>
      <c r="H20" s="60">
        <v>5.01</v>
      </c>
      <c r="I20" s="60">
        <v>4.01</v>
      </c>
      <c r="J20" s="60">
        <v>0.02</v>
      </c>
      <c r="K20" s="60">
        <v>187.42</v>
      </c>
      <c r="L20" s="60">
        <v>27.67</v>
      </c>
      <c r="M20" s="60">
        <v>61.35</v>
      </c>
      <c r="N20" s="60">
        <v>63.4</v>
      </c>
      <c r="O20" s="60">
        <v>0</v>
      </c>
      <c r="P20" s="60">
        <v>0.31</v>
      </c>
      <c r="Q20" s="60">
        <v>9.2799999999999994</v>
      </c>
      <c r="R20" s="198"/>
      <c r="S20" s="198"/>
      <c r="T20" s="198"/>
      <c r="U20" s="198"/>
    </row>
    <row r="21" spans="1:21" s="12" customFormat="1" x14ac:dyDescent="0.25">
      <c r="A21" s="63">
        <v>45817.135416666664</v>
      </c>
      <c r="B21" s="60">
        <v>4.8</v>
      </c>
      <c r="C21" s="60">
        <v>16.68</v>
      </c>
      <c r="D21" s="60">
        <v>24.55</v>
      </c>
      <c r="E21" s="60">
        <v>5.42</v>
      </c>
      <c r="F21" s="60">
        <v>13.64</v>
      </c>
      <c r="G21" s="60">
        <v>30.44</v>
      </c>
      <c r="H21" s="60">
        <v>6.87</v>
      </c>
      <c r="I21" s="60">
        <v>3.98</v>
      </c>
      <c r="J21" s="60">
        <v>7.0000000000000007E-2</v>
      </c>
      <c r="K21" s="60">
        <v>205.97</v>
      </c>
      <c r="L21" s="60">
        <v>27.49</v>
      </c>
      <c r="M21" s="60">
        <v>62.31</v>
      </c>
      <c r="N21" s="60">
        <v>88.5</v>
      </c>
      <c r="O21" s="60">
        <v>0</v>
      </c>
      <c r="P21" s="60">
        <v>0.28000000000000003</v>
      </c>
      <c r="Q21" s="60">
        <v>9.2899999999999991</v>
      </c>
      <c r="R21" s="198"/>
      <c r="S21" s="198"/>
      <c r="T21" s="198"/>
      <c r="U21" s="198"/>
    </row>
    <row r="22" spans="1:21" s="12" customFormat="1" x14ac:dyDescent="0.25">
      <c r="A22" s="63">
        <v>45817.145833333336</v>
      </c>
      <c r="B22" s="60">
        <v>4.79</v>
      </c>
      <c r="C22" s="60">
        <v>15.99</v>
      </c>
      <c r="D22" s="60">
        <v>23.26</v>
      </c>
      <c r="E22" s="60">
        <v>4.99</v>
      </c>
      <c r="F22" s="60">
        <v>9.6300000000000008</v>
      </c>
      <c r="G22" s="60">
        <v>30.44</v>
      </c>
      <c r="H22" s="60">
        <v>6.87</v>
      </c>
      <c r="I22" s="60">
        <v>3.98</v>
      </c>
      <c r="J22" s="60">
        <v>0.22</v>
      </c>
      <c r="K22" s="60">
        <v>167.21</v>
      </c>
      <c r="L22" s="60">
        <v>27.27</v>
      </c>
      <c r="M22" s="60">
        <v>63.95</v>
      </c>
      <c r="N22" s="60">
        <v>95.7</v>
      </c>
      <c r="O22" s="60">
        <v>0</v>
      </c>
      <c r="P22" s="60">
        <v>0.31</v>
      </c>
      <c r="Q22" s="60">
        <v>9.26</v>
      </c>
      <c r="R22" s="198"/>
      <c r="S22" s="198"/>
      <c r="T22" s="198"/>
      <c r="U22" s="198"/>
    </row>
    <row r="23" spans="1:21" s="12" customFormat="1" x14ac:dyDescent="0.25">
      <c r="A23" s="63">
        <v>45817.15625</v>
      </c>
      <c r="B23" s="60">
        <v>4.8</v>
      </c>
      <c r="C23" s="60">
        <v>17.45</v>
      </c>
      <c r="D23" s="60">
        <v>26.04</v>
      </c>
      <c r="E23" s="60">
        <v>5.04</v>
      </c>
      <c r="F23" s="60">
        <v>12.22</v>
      </c>
      <c r="G23" s="60">
        <v>30.44</v>
      </c>
      <c r="H23" s="60">
        <v>6.87</v>
      </c>
      <c r="I23" s="60">
        <v>3.93</v>
      </c>
      <c r="J23" s="60">
        <v>0.1</v>
      </c>
      <c r="K23" s="60">
        <v>180.47</v>
      </c>
      <c r="L23" s="60">
        <v>27.07</v>
      </c>
      <c r="M23" s="60">
        <v>65.650000000000006</v>
      </c>
      <c r="N23" s="60">
        <v>91.9</v>
      </c>
      <c r="O23" s="60">
        <v>0</v>
      </c>
      <c r="P23" s="60">
        <v>0.28000000000000003</v>
      </c>
      <c r="Q23" s="60">
        <v>9.27</v>
      </c>
      <c r="R23" s="198"/>
      <c r="S23" s="198"/>
      <c r="T23" s="198"/>
      <c r="U23" s="198"/>
    </row>
    <row r="24" spans="1:21" s="12" customFormat="1" x14ac:dyDescent="0.25">
      <c r="A24" s="63">
        <v>45817.166666666664</v>
      </c>
      <c r="B24" s="60">
        <v>5.05</v>
      </c>
      <c r="C24" s="60">
        <v>19.96</v>
      </c>
      <c r="D24" s="60">
        <v>30.44</v>
      </c>
      <c r="E24" s="60">
        <v>5.27</v>
      </c>
      <c r="F24" s="60">
        <v>10.64</v>
      </c>
      <c r="G24" s="60">
        <v>29.77</v>
      </c>
      <c r="H24" s="60">
        <v>10.91</v>
      </c>
      <c r="I24" s="60">
        <v>3.93</v>
      </c>
      <c r="J24" s="60">
        <v>0.19</v>
      </c>
      <c r="K24" s="60">
        <v>155.4</v>
      </c>
      <c r="L24" s="60">
        <v>26.89</v>
      </c>
      <c r="M24" s="60">
        <v>67.09</v>
      </c>
      <c r="N24" s="60">
        <v>90.6</v>
      </c>
      <c r="O24" s="60">
        <v>0</v>
      </c>
      <c r="P24" s="60">
        <v>0.3</v>
      </c>
      <c r="Q24" s="60">
        <v>9.27</v>
      </c>
      <c r="R24" s="198"/>
      <c r="S24" s="198"/>
      <c r="T24" s="198"/>
      <c r="U24" s="198"/>
    </row>
    <row r="25" spans="1:21" s="12" customFormat="1" x14ac:dyDescent="0.25">
      <c r="A25" s="63">
        <v>45817.177083333336</v>
      </c>
      <c r="B25" s="60">
        <v>4.97</v>
      </c>
      <c r="C25" s="60">
        <v>23.06</v>
      </c>
      <c r="D25" s="60">
        <v>36.5</v>
      </c>
      <c r="E25" s="60">
        <v>5.16</v>
      </c>
      <c r="F25" s="60">
        <v>14.61</v>
      </c>
      <c r="G25" s="60">
        <v>29.01</v>
      </c>
      <c r="H25" s="60">
        <v>15.54</v>
      </c>
      <c r="I25" s="60">
        <v>3.97</v>
      </c>
      <c r="J25" s="60">
        <v>0.13</v>
      </c>
      <c r="K25" s="60">
        <v>184.78</v>
      </c>
      <c r="L25" s="60">
        <v>26.79</v>
      </c>
      <c r="M25" s="60">
        <v>67.88</v>
      </c>
      <c r="N25" s="60">
        <v>90.3</v>
      </c>
      <c r="O25" s="60">
        <v>0</v>
      </c>
      <c r="P25" s="60">
        <v>0.28000000000000003</v>
      </c>
      <c r="Q25" s="60">
        <v>9.2899999999999991</v>
      </c>
      <c r="R25" s="198"/>
      <c r="S25" s="198"/>
      <c r="T25" s="198"/>
      <c r="U25" s="198"/>
    </row>
    <row r="26" spans="1:21" s="12" customFormat="1" x14ac:dyDescent="0.25">
      <c r="A26" s="63">
        <v>45817.1875</v>
      </c>
      <c r="B26" s="60">
        <v>4.57</v>
      </c>
      <c r="C26" s="60">
        <v>19.97</v>
      </c>
      <c r="D26" s="60">
        <v>31.2</v>
      </c>
      <c r="E26" s="60">
        <v>5.33</v>
      </c>
      <c r="F26" s="60">
        <v>15.2</v>
      </c>
      <c r="G26" s="60">
        <v>29.01</v>
      </c>
      <c r="H26" s="60">
        <v>15.54</v>
      </c>
      <c r="I26" s="60">
        <v>4.05</v>
      </c>
      <c r="J26" s="60">
        <v>0.28000000000000003</v>
      </c>
      <c r="K26" s="60">
        <v>145.41999999999999</v>
      </c>
      <c r="L26" s="60">
        <v>26.66</v>
      </c>
      <c r="M26" s="60">
        <v>69.72</v>
      </c>
      <c r="N26" s="60">
        <v>90</v>
      </c>
      <c r="O26" s="60">
        <v>0</v>
      </c>
      <c r="P26" s="60">
        <v>0.28000000000000003</v>
      </c>
      <c r="Q26" s="60">
        <v>9.3000000000000007</v>
      </c>
      <c r="R26" s="198"/>
      <c r="S26" s="198"/>
      <c r="T26" s="198"/>
      <c r="U26" s="198"/>
    </row>
    <row r="27" spans="1:21" s="12" customFormat="1" x14ac:dyDescent="0.25">
      <c r="A27" s="63">
        <v>45817.197916666664</v>
      </c>
      <c r="B27" s="60">
        <v>4.6500000000000004</v>
      </c>
      <c r="C27" s="60">
        <v>19.98</v>
      </c>
      <c r="D27" s="60">
        <v>31.11</v>
      </c>
      <c r="E27" s="60">
        <v>5.07</v>
      </c>
      <c r="F27" s="60">
        <v>14.22</v>
      </c>
      <c r="G27" s="60">
        <v>29.01</v>
      </c>
      <c r="H27" s="60">
        <v>15.54</v>
      </c>
      <c r="I27" s="60">
        <v>3.97</v>
      </c>
      <c r="J27" s="60">
        <v>0.08</v>
      </c>
      <c r="K27" s="60">
        <v>192.07</v>
      </c>
      <c r="L27" s="60">
        <v>26.6</v>
      </c>
      <c r="M27" s="60">
        <v>71.23</v>
      </c>
      <c r="N27" s="60">
        <v>90.2</v>
      </c>
      <c r="O27" s="60">
        <v>0</v>
      </c>
      <c r="P27" s="60">
        <v>0.28999999999999998</v>
      </c>
      <c r="Q27" s="60">
        <v>9.31</v>
      </c>
      <c r="R27" s="198"/>
      <c r="S27" s="198"/>
      <c r="T27" s="198"/>
      <c r="U27" s="198"/>
    </row>
    <row r="28" spans="1:21" s="12" customFormat="1" x14ac:dyDescent="0.25">
      <c r="A28" s="63">
        <v>45817.208333333336</v>
      </c>
      <c r="B28" s="60">
        <v>5.13</v>
      </c>
      <c r="C28" s="60">
        <v>21.03</v>
      </c>
      <c r="D28" s="60">
        <v>32.380000000000003</v>
      </c>
      <c r="E28" s="60">
        <v>5.4</v>
      </c>
      <c r="F28" s="60">
        <v>12.47</v>
      </c>
      <c r="G28" s="60">
        <v>27.65</v>
      </c>
      <c r="H28" s="60">
        <v>12.84</v>
      </c>
      <c r="I28" s="60">
        <v>3.86</v>
      </c>
      <c r="J28" s="60">
        <v>0.57999999999999996</v>
      </c>
      <c r="K28" s="60">
        <v>151.19</v>
      </c>
      <c r="L28" s="60">
        <v>26.65</v>
      </c>
      <c r="M28" s="60">
        <v>71.010000000000005</v>
      </c>
      <c r="N28" s="60">
        <v>89.6</v>
      </c>
      <c r="O28" s="60">
        <v>0</v>
      </c>
      <c r="P28" s="60">
        <v>0.28999999999999998</v>
      </c>
      <c r="Q28" s="60">
        <v>9.31</v>
      </c>
      <c r="R28" s="198"/>
      <c r="S28" s="198"/>
      <c r="T28" s="198"/>
      <c r="U28" s="198"/>
    </row>
    <row r="29" spans="1:21" s="12" customFormat="1" x14ac:dyDescent="0.25">
      <c r="A29" s="63">
        <v>45817.21875</v>
      </c>
      <c r="B29" s="60">
        <v>5.61</v>
      </c>
      <c r="C29" s="60">
        <v>20.3</v>
      </c>
      <c r="D29" s="60">
        <v>30.25</v>
      </c>
      <c r="E29" s="60">
        <v>5.38</v>
      </c>
      <c r="F29" s="60">
        <v>14.36</v>
      </c>
      <c r="G29" s="60">
        <v>26.11</v>
      </c>
      <c r="H29" s="60">
        <v>9.75</v>
      </c>
      <c r="I29" s="60">
        <v>4.05</v>
      </c>
      <c r="J29" s="60">
        <v>0.34</v>
      </c>
      <c r="K29" s="60">
        <v>156.87</v>
      </c>
      <c r="L29" s="60">
        <v>26.63</v>
      </c>
      <c r="M29" s="60">
        <v>71.739999999999995</v>
      </c>
      <c r="N29" s="60">
        <v>91</v>
      </c>
      <c r="O29" s="60">
        <v>0</v>
      </c>
      <c r="P29" s="60">
        <v>0.28000000000000003</v>
      </c>
      <c r="Q29" s="60">
        <v>9.33</v>
      </c>
      <c r="R29" s="198"/>
      <c r="S29" s="198"/>
      <c r="T29" s="198"/>
      <c r="U29" s="198"/>
    </row>
    <row r="30" spans="1:21" s="12" customFormat="1" x14ac:dyDescent="0.25">
      <c r="A30" s="63">
        <v>45817.229166666664</v>
      </c>
      <c r="B30" s="60">
        <v>5.61</v>
      </c>
      <c r="C30" s="60">
        <v>21.09</v>
      </c>
      <c r="D30" s="60">
        <v>31.75</v>
      </c>
      <c r="E30" s="60">
        <v>5.65</v>
      </c>
      <c r="F30" s="60">
        <v>11.72</v>
      </c>
      <c r="G30" s="60">
        <v>26.11</v>
      </c>
      <c r="H30" s="60">
        <v>9.75</v>
      </c>
      <c r="I30" s="60">
        <v>3.92</v>
      </c>
      <c r="J30" s="60">
        <v>0.31</v>
      </c>
      <c r="K30" s="60">
        <v>157.22999999999999</v>
      </c>
      <c r="L30" s="60">
        <v>26.62</v>
      </c>
      <c r="M30" s="60">
        <v>72.28</v>
      </c>
      <c r="N30" s="60">
        <v>96</v>
      </c>
      <c r="O30" s="60">
        <v>0</v>
      </c>
      <c r="P30" s="60">
        <v>0.28999999999999998</v>
      </c>
      <c r="Q30" s="60">
        <v>9.35</v>
      </c>
      <c r="R30" s="198"/>
      <c r="S30" s="198"/>
      <c r="T30" s="198"/>
      <c r="U30" s="198"/>
    </row>
    <row r="31" spans="1:21" s="12" customFormat="1" x14ac:dyDescent="0.25">
      <c r="A31" s="63">
        <v>45817.239583333336</v>
      </c>
      <c r="B31" s="60">
        <v>5.76</v>
      </c>
      <c r="C31" s="60">
        <v>19.29</v>
      </c>
      <c r="D31" s="60">
        <v>28.08</v>
      </c>
      <c r="E31" s="60">
        <v>5.28</v>
      </c>
      <c r="F31" s="60">
        <v>13.69</v>
      </c>
      <c r="G31" s="60">
        <v>26.11</v>
      </c>
      <c r="H31" s="60">
        <v>9.75</v>
      </c>
      <c r="I31" s="60">
        <v>4</v>
      </c>
      <c r="J31" s="60">
        <v>0.59</v>
      </c>
      <c r="K31" s="60">
        <v>145.33000000000001</v>
      </c>
      <c r="L31" s="60">
        <v>26.61</v>
      </c>
      <c r="M31" s="60">
        <v>72.81</v>
      </c>
      <c r="N31" s="60">
        <v>105.4</v>
      </c>
      <c r="O31" s="60">
        <v>0</v>
      </c>
      <c r="P31" s="60">
        <v>0.28999999999999998</v>
      </c>
      <c r="Q31" s="60">
        <v>9.36</v>
      </c>
      <c r="R31" s="198"/>
      <c r="S31" s="198"/>
      <c r="T31" s="198"/>
      <c r="U31" s="198"/>
    </row>
    <row r="32" spans="1:21" s="12" customFormat="1" x14ac:dyDescent="0.25">
      <c r="A32" s="63">
        <v>45817.25</v>
      </c>
      <c r="B32" s="60">
        <v>6.47</v>
      </c>
      <c r="C32" s="60">
        <v>19.29</v>
      </c>
      <c r="D32" s="60">
        <v>26.98</v>
      </c>
      <c r="E32" s="60">
        <v>5.41</v>
      </c>
      <c r="F32" s="60">
        <v>7.19</v>
      </c>
      <c r="G32" s="60">
        <v>25.37</v>
      </c>
      <c r="H32" s="60">
        <v>9.4</v>
      </c>
      <c r="I32" s="60">
        <v>4.0599999999999996</v>
      </c>
      <c r="J32" s="60">
        <v>0.61</v>
      </c>
      <c r="K32" s="60">
        <v>155.75</v>
      </c>
      <c r="L32" s="60">
        <v>26.64</v>
      </c>
      <c r="M32" s="60">
        <v>72.98</v>
      </c>
      <c r="N32" s="60">
        <v>119.7</v>
      </c>
      <c r="O32" s="60">
        <v>0</v>
      </c>
      <c r="P32" s="60">
        <v>0.31</v>
      </c>
      <c r="Q32" s="60">
        <v>9.36</v>
      </c>
      <c r="R32" s="198"/>
      <c r="S32" s="198"/>
      <c r="T32" s="198"/>
      <c r="U32" s="198"/>
    </row>
    <row r="33" spans="1:21" s="12" customFormat="1" x14ac:dyDescent="0.25">
      <c r="A33" s="63">
        <v>45817.260416666664</v>
      </c>
      <c r="B33" s="60">
        <v>7.45</v>
      </c>
      <c r="C33" s="60">
        <v>20.89</v>
      </c>
      <c r="D33" s="60">
        <v>28.54</v>
      </c>
      <c r="E33" s="60">
        <v>5.31</v>
      </c>
      <c r="F33" s="60">
        <v>7.96</v>
      </c>
      <c r="G33" s="60">
        <v>24.53</v>
      </c>
      <c r="H33" s="60">
        <v>8.99</v>
      </c>
      <c r="I33" s="60">
        <v>4.2300000000000004</v>
      </c>
      <c r="J33" s="60">
        <v>0.76</v>
      </c>
      <c r="K33" s="60">
        <v>145.43</v>
      </c>
      <c r="L33" s="60">
        <v>26.78</v>
      </c>
      <c r="M33" s="60">
        <v>72.69</v>
      </c>
      <c r="N33" s="60">
        <v>146.6</v>
      </c>
      <c r="O33" s="60">
        <v>0</v>
      </c>
      <c r="P33" s="60">
        <v>0.31</v>
      </c>
      <c r="Q33" s="60">
        <v>9.33</v>
      </c>
      <c r="R33" s="198"/>
      <c r="S33" s="198"/>
      <c r="T33" s="198"/>
      <c r="U33" s="198"/>
    </row>
    <row r="34" spans="1:21" s="12" customFormat="1" x14ac:dyDescent="0.25">
      <c r="A34" s="63">
        <v>45817.270833333336</v>
      </c>
      <c r="B34" s="60">
        <v>7.78</v>
      </c>
      <c r="C34" s="60">
        <v>21.08</v>
      </c>
      <c r="D34" s="60">
        <v>28.4</v>
      </c>
      <c r="E34" s="60">
        <v>5.43</v>
      </c>
      <c r="F34" s="60">
        <v>5.49</v>
      </c>
      <c r="G34" s="60">
        <v>24.53</v>
      </c>
      <c r="H34" s="60">
        <v>8.99</v>
      </c>
      <c r="I34" s="60">
        <v>4.16</v>
      </c>
      <c r="J34" s="60">
        <v>1.02</v>
      </c>
      <c r="K34" s="60">
        <v>140.76</v>
      </c>
      <c r="L34" s="60">
        <v>26.99</v>
      </c>
      <c r="M34" s="60">
        <v>72.81</v>
      </c>
      <c r="N34" s="60">
        <v>191.4</v>
      </c>
      <c r="O34" s="60">
        <v>0</v>
      </c>
      <c r="P34" s="60">
        <v>0.32</v>
      </c>
      <c r="Q34" s="60">
        <v>9.32</v>
      </c>
      <c r="R34" s="198"/>
      <c r="S34" s="198"/>
      <c r="T34" s="198"/>
      <c r="U34" s="198"/>
    </row>
    <row r="35" spans="1:21" s="12" customFormat="1" x14ac:dyDescent="0.25">
      <c r="A35" s="63">
        <v>45817.28125</v>
      </c>
      <c r="B35" s="60">
        <v>7.82</v>
      </c>
      <c r="C35" s="60">
        <v>21.24</v>
      </c>
      <c r="D35" s="60">
        <v>28.64</v>
      </c>
      <c r="E35" s="60">
        <v>5.12</v>
      </c>
      <c r="F35" s="60">
        <v>4.93</v>
      </c>
      <c r="G35" s="60">
        <v>24.53</v>
      </c>
      <c r="H35" s="60">
        <v>8.99</v>
      </c>
      <c r="I35" s="60">
        <v>4.0599999999999996</v>
      </c>
      <c r="J35" s="60">
        <v>0.33</v>
      </c>
      <c r="K35" s="60">
        <v>157.99</v>
      </c>
      <c r="L35" s="60">
        <v>27.35</v>
      </c>
      <c r="M35" s="60">
        <v>71.819999999999993</v>
      </c>
      <c r="N35" s="60">
        <v>235.1</v>
      </c>
      <c r="O35" s="60">
        <v>0</v>
      </c>
      <c r="P35" s="60">
        <v>0.3</v>
      </c>
      <c r="Q35" s="60">
        <v>9.32</v>
      </c>
      <c r="R35" s="198"/>
      <c r="S35" s="198"/>
      <c r="T35" s="198"/>
      <c r="U35" s="198"/>
    </row>
    <row r="36" spans="1:21" s="12" customFormat="1" x14ac:dyDescent="0.25">
      <c r="A36" s="63">
        <v>45817.291666666664</v>
      </c>
      <c r="B36" s="60">
        <v>7.8</v>
      </c>
      <c r="C36" s="60">
        <v>22.95</v>
      </c>
      <c r="D36" s="60">
        <v>31.95</v>
      </c>
      <c r="E36" s="60">
        <v>5.23</v>
      </c>
      <c r="F36" s="60">
        <v>6.57</v>
      </c>
      <c r="G36" s="60">
        <v>27.11</v>
      </c>
      <c r="H36" s="60">
        <v>10.78</v>
      </c>
      <c r="I36" s="60">
        <v>3.9</v>
      </c>
      <c r="J36" s="60">
        <v>0.32</v>
      </c>
      <c r="K36" s="60">
        <v>170.76</v>
      </c>
      <c r="L36" s="60">
        <v>27.69</v>
      </c>
      <c r="M36" s="60">
        <v>71.430000000000007</v>
      </c>
      <c r="N36" s="60">
        <v>277.39999999999998</v>
      </c>
      <c r="O36" s="60">
        <v>0</v>
      </c>
      <c r="P36" s="60">
        <v>0.31</v>
      </c>
      <c r="Q36" s="60">
        <v>9.33</v>
      </c>
      <c r="R36" s="198"/>
      <c r="S36" s="198"/>
      <c r="T36" s="198"/>
      <c r="U36" s="198"/>
    </row>
    <row r="37" spans="1:21" s="12" customFormat="1" x14ac:dyDescent="0.25">
      <c r="A37" s="63">
        <v>45817.302083333336</v>
      </c>
      <c r="B37" s="60">
        <v>7.74</v>
      </c>
      <c r="C37" s="60">
        <v>22.12</v>
      </c>
      <c r="D37" s="60">
        <v>30.44</v>
      </c>
      <c r="E37" s="60">
        <v>5.32</v>
      </c>
      <c r="F37" s="60">
        <v>6.05</v>
      </c>
      <c r="G37" s="60">
        <v>29.93</v>
      </c>
      <c r="H37" s="60">
        <v>12.82</v>
      </c>
      <c r="I37" s="60">
        <v>4.04</v>
      </c>
      <c r="J37" s="60">
        <v>0.6</v>
      </c>
      <c r="K37" s="60">
        <v>153.41</v>
      </c>
      <c r="L37" s="60">
        <v>28.12</v>
      </c>
      <c r="M37" s="60">
        <v>70.53</v>
      </c>
      <c r="N37" s="60">
        <v>326.60000000000002</v>
      </c>
      <c r="O37" s="60">
        <v>0</v>
      </c>
      <c r="P37" s="60">
        <v>0.28999999999999998</v>
      </c>
      <c r="Q37" s="60">
        <v>9.33</v>
      </c>
      <c r="R37" s="198"/>
      <c r="S37" s="198"/>
      <c r="T37" s="198"/>
      <c r="U37" s="198"/>
    </row>
    <row r="38" spans="1:21" s="12" customFormat="1" x14ac:dyDescent="0.25">
      <c r="A38" s="63">
        <v>45817.3125</v>
      </c>
      <c r="B38" s="60">
        <v>7.35</v>
      </c>
      <c r="C38" s="60">
        <v>21.17</v>
      </c>
      <c r="D38" s="60">
        <v>29.24</v>
      </c>
      <c r="E38" s="60">
        <v>5.29</v>
      </c>
      <c r="F38" s="60">
        <v>6.47</v>
      </c>
      <c r="G38" s="60">
        <v>29.93</v>
      </c>
      <c r="H38" s="60">
        <v>12.82</v>
      </c>
      <c r="I38" s="60">
        <v>3.96</v>
      </c>
      <c r="J38" s="60">
        <v>0.66</v>
      </c>
      <c r="K38" s="60">
        <v>150.76</v>
      </c>
      <c r="L38" s="60">
        <v>28.74</v>
      </c>
      <c r="M38" s="60">
        <v>69.55</v>
      </c>
      <c r="N38" s="60">
        <v>370.1</v>
      </c>
      <c r="O38" s="60">
        <v>0</v>
      </c>
      <c r="P38" s="60">
        <v>0.3</v>
      </c>
      <c r="Q38" s="60">
        <v>9.33</v>
      </c>
      <c r="R38" s="198"/>
      <c r="S38" s="198"/>
      <c r="T38" s="198"/>
      <c r="U38" s="198"/>
    </row>
    <row r="39" spans="1:21" s="12" customFormat="1" x14ac:dyDescent="0.25">
      <c r="A39" s="63">
        <v>45817.322916666664</v>
      </c>
      <c r="B39" s="60">
        <v>7.32</v>
      </c>
      <c r="C39" s="60">
        <v>22.47</v>
      </c>
      <c r="D39" s="60">
        <v>31.78</v>
      </c>
      <c r="E39" s="60">
        <v>5.26</v>
      </c>
      <c r="F39" s="60">
        <v>6.03</v>
      </c>
      <c r="G39" s="60">
        <v>29.93</v>
      </c>
      <c r="H39" s="60">
        <v>12.82</v>
      </c>
      <c r="I39" s="60">
        <v>4.1399999999999997</v>
      </c>
      <c r="J39" s="60">
        <v>0.16</v>
      </c>
      <c r="K39" s="60">
        <v>190.73</v>
      </c>
      <c r="L39" s="60">
        <v>29.32</v>
      </c>
      <c r="M39" s="60">
        <v>67</v>
      </c>
      <c r="N39" s="60">
        <v>417.7</v>
      </c>
      <c r="O39" s="60">
        <v>0</v>
      </c>
      <c r="P39" s="60">
        <v>0.32</v>
      </c>
      <c r="Q39" s="60">
        <v>9.33</v>
      </c>
      <c r="R39" s="198"/>
      <c r="S39" s="198"/>
      <c r="T39" s="198"/>
      <c r="U39" s="198"/>
    </row>
    <row r="40" spans="1:21" s="12" customFormat="1" x14ac:dyDescent="0.25">
      <c r="A40" s="63">
        <v>45817.333333333336</v>
      </c>
      <c r="B40" s="60">
        <v>6.87</v>
      </c>
      <c r="C40" s="60">
        <v>20.94</v>
      </c>
      <c r="D40" s="60">
        <v>29.54</v>
      </c>
      <c r="E40" s="60">
        <v>5.64</v>
      </c>
      <c r="F40" s="60">
        <v>6.22</v>
      </c>
      <c r="G40" s="60">
        <v>30.65</v>
      </c>
      <c r="H40" s="60">
        <v>13.39</v>
      </c>
      <c r="I40" s="60">
        <v>3.99</v>
      </c>
      <c r="J40" s="60">
        <v>0.12</v>
      </c>
      <c r="K40" s="60">
        <v>279.66000000000003</v>
      </c>
      <c r="L40" s="60">
        <v>29.72</v>
      </c>
      <c r="M40" s="60">
        <v>64.37</v>
      </c>
      <c r="N40" s="60">
        <v>458.3</v>
      </c>
      <c r="O40" s="60">
        <v>0</v>
      </c>
      <c r="P40" s="60">
        <v>0.32</v>
      </c>
      <c r="Q40" s="60">
        <v>9.33</v>
      </c>
      <c r="R40" s="198"/>
      <c r="S40" s="198"/>
      <c r="T40" s="198"/>
      <c r="U40" s="198"/>
    </row>
    <row r="41" spans="1:21" s="12" customFormat="1" x14ac:dyDescent="0.25">
      <c r="A41" s="63">
        <v>45817.34375</v>
      </c>
      <c r="B41" s="60">
        <v>6.47</v>
      </c>
      <c r="C41" s="60">
        <v>21.83</v>
      </c>
      <c r="D41" s="60">
        <v>31.86</v>
      </c>
      <c r="E41" s="60">
        <v>5.38</v>
      </c>
      <c r="F41" s="60">
        <v>4.1100000000000003</v>
      </c>
      <c r="G41" s="60">
        <v>31.47</v>
      </c>
      <c r="H41" s="60">
        <v>14.02</v>
      </c>
      <c r="I41" s="60">
        <v>3.98</v>
      </c>
      <c r="J41" s="60">
        <v>0.2</v>
      </c>
      <c r="K41" s="60">
        <v>274.02999999999997</v>
      </c>
      <c r="L41" s="60">
        <v>31.15</v>
      </c>
      <c r="M41" s="60">
        <v>59.04</v>
      </c>
      <c r="N41" s="60">
        <v>479.1</v>
      </c>
      <c r="O41" s="60">
        <v>0</v>
      </c>
      <c r="P41" s="60">
        <v>0.32</v>
      </c>
      <c r="Q41" s="60">
        <v>9.31</v>
      </c>
      <c r="R41" s="198"/>
      <c r="S41" s="198"/>
      <c r="T41" s="198"/>
      <c r="U41" s="198"/>
    </row>
    <row r="42" spans="1:21" s="12" customFormat="1" x14ac:dyDescent="0.25">
      <c r="A42" s="63">
        <v>45817.354166666664</v>
      </c>
      <c r="B42" s="60">
        <v>6.15</v>
      </c>
      <c r="C42" s="60">
        <v>21.13</v>
      </c>
      <c r="D42" s="60">
        <v>31</v>
      </c>
      <c r="E42" s="60">
        <v>5.21</v>
      </c>
      <c r="F42" s="60">
        <v>5.55</v>
      </c>
      <c r="G42" s="60">
        <v>31.47</v>
      </c>
      <c r="H42" s="60">
        <v>14.02</v>
      </c>
      <c r="I42" s="60">
        <v>4.0599999999999996</v>
      </c>
      <c r="J42" s="60">
        <v>0.21</v>
      </c>
      <c r="K42" s="60">
        <v>275.86</v>
      </c>
      <c r="L42" s="60">
        <v>31.41</v>
      </c>
      <c r="M42" s="60">
        <v>57.89</v>
      </c>
      <c r="N42" s="60">
        <v>523</v>
      </c>
      <c r="O42" s="60">
        <v>0</v>
      </c>
      <c r="P42" s="60">
        <v>0.32</v>
      </c>
      <c r="Q42" s="60">
        <v>9.31</v>
      </c>
      <c r="R42" s="198"/>
      <c r="S42" s="198"/>
      <c r="T42" s="198"/>
      <c r="U42" s="198"/>
    </row>
    <row r="43" spans="1:21" s="12" customFormat="1" x14ac:dyDescent="0.25">
      <c r="A43" s="63">
        <v>45817.364583333336</v>
      </c>
      <c r="B43" s="60">
        <v>5.47</v>
      </c>
      <c r="C43" s="60">
        <v>20.02</v>
      </c>
      <c r="D43" s="60">
        <v>29.92</v>
      </c>
      <c r="E43" s="60">
        <v>5</v>
      </c>
      <c r="F43" s="60">
        <v>7.52</v>
      </c>
      <c r="G43" s="60">
        <v>31.47</v>
      </c>
      <c r="H43" s="60">
        <v>14.02</v>
      </c>
      <c r="I43" s="60">
        <v>4.1500000000000004</v>
      </c>
      <c r="J43" s="60">
        <v>0.21</v>
      </c>
      <c r="K43" s="60">
        <v>285.75</v>
      </c>
      <c r="L43" s="60">
        <v>30.98</v>
      </c>
      <c r="M43" s="60">
        <v>59.12</v>
      </c>
      <c r="N43" s="60">
        <v>599.9</v>
      </c>
      <c r="O43" s="60">
        <v>0</v>
      </c>
      <c r="P43" s="60">
        <v>0.32</v>
      </c>
      <c r="Q43" s="60">
        <v>9.2899999999999991</v>
      </c>
      <c r="R43" s="198"/>
      <c r="S43" s="198"/>
      <c r="T43" s="198"/>
      <c r="U43" s="198"/>
    </row>
    <row r="44" spans="1:21" s="12" customFormat="1" x14ac:dyDescent="0.25">
      <c r="A44" s="63">
        <v>45817.375</v>
      </c>
      <c r="B44" s="60">
        <v>5.07</v>
      </c>
      <c r="C44" s="60">
        <v>19.670000000000002</v>
      </c>
      <c r="D44" s="60">
        <v>29.87</v>
      </c>
      <c r="E44" s="60">
        <v>5.18</v>
      </c>
      <c r="F44" s="60">
        <v>7.46</v>
      </c>
      <c r="G44" s="60">
        <v>31.67</v>
      </c>
      <c r="H44" s="60">
        <v>13.3</v>
      </c>
      <c r="I44" s="60">
        <v>4.03</v>
      </c>
      <c r="J44" s="60">
        <v>0.35</v>
      </c>
      <c r="K44" s="60">
        <v>294.58999999999997</v>
      </c>
      <c r="L44" s="60">
        <v>31.53</v>
      </c>
      <c r="M44" s="60">
        <v>56.15</v>
      </c>
      <c r="N44" s="60">
        <v>646.29999999999995</v>
      </c>
      <c r="O44" s="60">
        <v>0</v>
      </c>
      <c r="P44" s="60">
        <v>0.34</v>
      </c>
      <c r="Q44" s="60">
        <v>9.27</v>
      </c>
      <c r="R44" s="198"/>
      <c r="S44" s="198"/>
      <c r="T44" s="198"/>
      <c r="U44" s="198"/>
    </row>
    <row r="45" spans="1:21" s="12" customFormat="1" x14ac:dyDescent="0.25">
      <c r="A45" s="63">
        <v>45817.385416666664</v>
      </c>
      <c r="B45" s="60">
        <v>4.78</v>
      </c>
      <c r="C45" s="60">
        <v>19.37</v>
      </c>
      <c r="D45" s="60">
        <v>29.73</v>
      </c>
      <c r="E45" s="60">
        <v>5.26</v>
      </c>
      <c r="F45" s="60">
        <v>11.27</v>
      </c>
      <c r="G45" s="60">
        <v>31.9</v>
      </c>
      <c r="H45" s="60">
        <v>12.52</v>
      </c>
      <c r="I45" s="60">
        <v>4.25</v>
      </c>
      <c r="J45" s="60">
        <v>0.17</v>
      </c>
      <c r="K45" s="60">
        <v>287.11</v>
      </c>
      <c r="L45" s="60">
        <v>31.78</v>
      </c>
      <c r="M45" s="60">
        <v>55.29</v>
      </c>
      <c r="N45" s="60">
        <v>684.4</v>
      </c>
      <c r="O45" s="60">
        <v>0</v>
      </c>
      <c r="P45" s="60">
        <v>0.33</v>
      </c>
      <c r="Q45" s="60">
        <v>9.27</v>
      </c>
      <c r="R45" s="198"/>
      <c r="S45" s="198"/>
      <c r="T45" s="198"/>
      <c r="U45" s="198"/>
    </row>
    <row r="46" spans="1:21" s="12" customFormat="1" x14ac:dyDescent="0.25">
      <c r="A46" s="63">
        <v>45817.395833333336</v>
      </c>
      <c r="B46" s="60">
        <v>4.9400000000000004</v>
      </c>
      <c r="C46" s="60">
        <v>20.34</v>
      </c>
      <c r="D46" s="60">
        <v>31.36</v>
      </c>
      <c r="E46" s="60">
        <v>5.84</v>
      </c>
      <c r="F46" s="60">
        <v>7.92</v>
      </c>
      <c r="G46" s="60">
        <v>31.9</v>
      </c>
      <c r="H46" s="60">
        <v>12.52</v>
      </c>
      <c r="I46" s="60">
        <v>4.16</v>
      </c>
      <c r="J46" s="60">
        <v>0.25</v>
      </c>
      <c r="K46" s="60">
        <v>293.44</v>
      </c>
      <c r="L46" s="60">
        <v>32.6</v>
      </c>
      <c r="M46" s="60">
        <v>51.74</v>
      </c>
      <c r="N46" s="60">
        <v>700.3</v>
      </c>
      <c r="O46" s="60">
        <v>0</v>
      </c>
      <c r="P46" s="60">
        <v>0.36</v>
      </c>
      <c r="Q46" s="60">
        <v>9.27</v>
      </c>
      <c r="R46" s="198"/>
      <c r="S46" s="198"/>
      <c r="T46" s="198"/>
      <c r="U46" s="198"/>
    </row>
    <row r="47" spans="1:21" s="12" customFormat="1" x14ac:dyDescent="0.25">
      <c r="A47" s="63">
        <v>45817.40625</v>
      </c>
      <c r="B47" s="60">
        <v>4.54</v>
      </c>
      <c r="C47" s="60">
        <v>19.11</v>
      </c>
      <c r="D47" s="60">
        <v>29.61</v>
      </c>
      <c r="E47" s="60">
        <v>5.81</v>
      </c>
      <c r="F47" s="60">
        <v>7.14</v>
      </c>
      <c r="G47" s="60">
        <v>31.9</v>
      </c>
      <c r="H47" s="60">
        <v>12.52</v>
      </c>
      <c r="I47" s="60">
        <v>4.1100000000000003</v>
      </c>
      <c r="J47" s="60">
        <v>0.24</v>
      </c>
      <c r="K47" s="60">
        <v>275.83</v>
      </c>
      <c r="L47" s="60">
        <v>32.14</v>
      </c>
      <c r="M47" s="60">
        <v>52.79</v>
      </c>
      <c r="N47" s="60">
        <v>723.4</v>
      </c>
      <c r="O47" s="60">
        <v>0</v>
      </c>
      <c r="P47" s="60">
        <v>0.35</v>
      </c>
      <c r="Q47" s="60">
        <v>9.27</v>
      </c>
      <c r="R47" s="198"/>
      <c r="S47" s="198"/>
      <c r="T47" s="198"/>
      <c r="U47" s="198"/>
    </row>
    <row r="48" spans="1:21" s="12" customFormat="1" x14ac:dyDescent="0.25">
      <c r="A48" s="63">
        <v>45817.416666666664</v>
      </c>
      <c r="B48" s="60">
        <v>4.53</v>
      </c>
      <c r="C48" s="60">
        <v>19.46</v>
      </c>
      <c r="D48" s="60">
        <v>30.3</v>
      </c>
      <c r="E48" s="60">
        <v>5.84</v>
      </c>
      <c r="F48" s="60">
        <v>9.56</v>
      </c>
      <c r="G48" s="60">
        <v>32.549999999999997</v>
      </c>
      <c r="H48" s="60">
        <v>10.07</v>
      </c>
      <c r="I48" s="60">
        <v>3.91</v>
      </c>
      <c r="J48" s="60">
        <v>0.24</v>
      </c>
      <c r="K48" s="60">
        <v>275.77</v>
      </c>
      <c r="L48" s="60">
        <v>33.020000000000003</v>
      </c>
      <c r="M48" s="60">
        <v>50.97</v>
      </c>
      <c r="N48" s="60">
        <v>749.1</v>
      </c>
      <c r="O48" s="60">
        <v>0</v>
      </c>
      <c r="P48" s="60">
        <v>0.36</v>
      </c>
      <c r="Q48" s="60">
        <v>9.27</v>
      </c>
      <c r="R48" s="198"/>
      <c r="S48" s="198"/>
      <c r="T48" s="198"/>
      <c r="U48" s="198"/>
    </row>
    <row r="49" spans="1:21" s="12" customFormat="1" x14ac:dyDescent="0.25">
      <c r="A49" s="63">
        <v>45817.427083333336</v>
      </c>
      <c r="B49" s="60">
        <v>4.6500000000000004</v>
      </c>
      <c r="C49" s="60">
        <v>20.05</v>
      </c>
      <c r="D49" s="60">
        <v>31.24</v>
      </c>
      <c r="E49" s="60">
        <v>5.83</v>
      </c>
      <c r="F49" s="60">
        <v>7.46</v>
      </c>
      <c r="G49" s="60">
        <v>33.26</v>
      </c>
      <c r="H49" s="60">
        <v>7.39</v>
      </c>
      <c r="I49" s="60">
        <v>3.92</v>
      </c>
      <c r="J49" s="60">
        <v>0.28999999999999998</v>
      </c>
      <c r="K49" s="60">
        <v>288.45999999999998</v>
      </c>
      <c r="L49" s="60">
        <v>34.26</v>
      </c>
      <c r="M49" s="60">
        <v>47.51</v>
      </c>
      <c r="N49" s="60">
        <v>779</v>
      </c>
      <c r="O49" s="60">
        <v>0</v>
      </c>
      <c r="P49" s="60">
        <v>0.38</v>
      </c>
      <c r="Q49" s="60">
        <v>9.2799999999999994</v>
      </c>
      <c r="R49" s="198"/>
      <c r="S49" s="198"/>
      <c r="T49" s="198"/>
      <c r="U49" s="198"/>
    </row>
    <row r="50" spans="1:21" s="12" customFormat="1" x14ac:dyDescent="0.25">
      <c r="A50" s="63">
        <v>45817.4375</v>
      </c>
      <c r="B50" s="60">
        <v>4.45</v>
      </c>
      <c r="C50" s="60">
        <v>21.11</v>
      </c>
      <c r="D50" s="60">
        <v>33.58</v>
      </c>
      <c r="E50" s="60">
        <v>5.7</v>
      </c>
      <c r="F50" s="60">
        <v>5.43</v>
      </c>
      <c r="G50" s="60">
        <v>33.26</v>
      </c>
      <c r="H50" s="60">
        <v>7.39</v>
      </c>
      <c r="I50" s="60">
        <v>4.03</v>
      </c>
      <c r="J50" s="60">
        <v>0.24</v>
      </c>
      <c r="K50" s="60">
        <v>285.04000000000002</v>
      </c>
      <c r="L50" s="60">
        <v>34.56</v>
      </c>
      <c r="M50" s="60">
        <v>46.79</v>
      </c>
      <c r="N50" s="60">
        <v>796.8</v>
      </c>
      <c r="O50" s="60">
        <v>0</v>
      </c>
      <c r="P50" s="60">
        <v>0.39</v>
      </c>
      <c r="Q50" s="60">
        <v>9.2799999999999994</v>
      </c>
      <c r="R50" s="198"/>
      <c r="S50" s="198"/>
      <c r="T50" s="198"/>
      <c r="U50" s="198"/>
    </row>
    <row r="51" spans="1:21" s="12" customFormat="1" x14ac:dyDescent="0.25">
      <c r="A51" s="63">
        <v>45817.447916666664</v>
      </c>
      <c r="B51" s="60">
        <v>4.45</v>
      </c>
      <c r="C51" s="60">
        <v>20.65</v>
      </c>
      <c r="D51" s="60">
        <v>32.69</v>
      </c>
      <c r="E51" s="60">
        <v>5.94</v>
      </c>
      <c r="F51" s="60">
        <v>6.82</v>
      </c>
      <c r="G51" s="60">
        <v>33.26</v>
      </c>
      <c r="H51" s="60">
        <v>7.39</v>
      </c>
      <c r="I51" s="60">
        <v>3.97</v>
      </c>
      <c r="J51" s="60">
        <v>0.28999999999999998</v>
      </c>
      <c r="K51" s="60">
        <v>293.63</v>
      </c>
      <c r="L51" s="60">
        <v>34</v>
      </c>
      <c r="M51" s="60">
        <v>48.17</v>
      </c>
      <c r="N51" s="60">
        <v>820.7</v>
      </c>
      <c r="O51" s="60">
        <v>0</v>
      </c>
      <c r="P51" s="60">
        <v>0.4</v>
      </c>
      <c r="Q51" s="60">
        <v>9.2899999999999991</v>
      </c>
      <c r="R51" s="198"/>
      <c r="S51" s="198"/>
      <c r="T51" s="198"/>
      <c r="U51" s="198"/>
    </row>
    <row r="52" spans="1:21" s="12" customFormat="1" x14ac:dyDescent="0.25">
      <c r="A52" s="63">
        <v>45817.458333333336</v>
      </c>
      <c r="B52" s="60">
        <v>4.1900000000000004</v>
      </c>
      <c r="C52" s="60">
        <v>19.18</v>
      </c>
      <c r="D52" s="60">
        <v>30.28</v>
      </c>
      <c r="E52" s="60">
        <v>5.95</v>
      </c>
      <c r="F52" s="60">
        <v>9.94</v>
      </c>
      <c r="G52" s="60">
        <v>34.75</v>
      </c>
      <c r="H52" s="60">
        <v>10.95</v>
      </c>
      <c r="I52" s="60">
        <v>4</v>
      </c>
      <c r="J52" s="60">
        <v>0.2</v>
      </c>
      <c r="K52" s="60">
        <v>286.75</v>
      </c>
      <c r="L52" s="60">
        <v>35</v>
      </c>
      <c r="M52" s="60">
        <v>46.32</v>
      </c>
      <c r="N52" s="60">
        <v>838.8</v>
      </c>
      <c r="O52" s="60">
        <v>0</v>
      </c>
      <c r="P52" s="60">
        <v>0.41</v>
      </c>
      <c r="Q52" s="60">
        <v>9.2799999999999994</v>
      </c>
      <c r="R52" s="198"/>
      <c r="S52" s="198"/>
      <c r="T52" s="198"/>
      <c r="U52" s="198"/>
    </row>
    <row r="53" spans="1:21" s="12" customFormat="1" x14ac:dyDescent="0.25">
      <c r="A53" s="63">
        <v>45817.46875</v>
      </c>
      <c r="B53" s="60">
        <v>4.25</v>
      </c>
      <c r="C53" s="60">
        <v>21.23</v>
      </c>
      <c r="D53" s="60">
        <v>34.119999999999997</v>
      </c>
      <c r="E53" s="60">
        <v>5.93</v>
      </c>
      <c r="F53" s="60">
        <v>5.47</v>
      </c>
      <c r="G53" s="60">
        <v>36.450000000000003</v>
      </c>
      <c r="H53" s="60">
        <v>14.85</v>
      </c>
      <c r="I53" s="60">
        <v>3.92</v>
      </c>
      <c r="J53" s="60">
        <v>0.22</v>
      </c>
      <c r="K53" s="60">
        <v>279.89</v>
      </c>
      <c r="L53" s="60">
        <v>35.159999999999997</v>
      </c>
      <c r="M53" s="60">
        <v>45.07</v>
      </c>
      <c r="N53" s="60">
        <v>850.1</v>
      </c>
      <c r="O53" s="60">
        <v>0</v>
      </c>
      <c r="P53" s="60">
        <v>0.42</v>
      </c>
      <c r="Q53" s="60">
        <v>9.26</v>
      </c>
      <c r="R53" s="198"/>
      <c r="S53" s="198"/>
      <c r="T53" s="198"/>
      <c r="U53" s="198"/>
    </row>
    <row r="54" spans="1:21" s="12" customFormat="1" x14ac:dyDescent="0.25">
      <c r="A54" s="63">
        <v>45817.479166666664</v>
      </c>
      <c r="B54" s="60">
        <v>3.96</v>
      </c>
      <c r="C54" s="60">
        <v>20.37</v>
      </c>
      <c r="D54" s="60">
        <v>32.9</v>
      </c>
      <c r="E54" s="60">
        <v>5.58</v>
      </c>
      <c r="F54" s="60">
        <v>7.39</v>
      </c>
      <c r="G54" s="60">
        <v>36.450000000000003</v>
      </c>
      <c r="H54" s="60">
        <v>14.85</v>
      </c>
      <c r="I54" s="60">
        <v>3.83</v>
      </c>
      <c r="J54" s="60">
        <v>0.32</v>
      </c>
      <c r="K54" s="60">
        <v>286.41000000000003</v>
      </c>
      <c r="L54" s="60">
        <v>35.590000000000003</v>
      </c>
      <c r="M54" s="60">
        <v>45.35</v>
      </c>
      <c r="N54" s="60">
        <v>849.7</v>
      </c>
      <c r="O54" s="60">
        <v>0</v>
      </c>
      <c r="P54" s="60">
        <v>0.42</v>
      </c>
      <c r="Q54" s="60">
        <v>9.27</v>
      </c>
      <c r="R54" s="198"/>
      <c r="S54" s="198"/>
      <c r="T54" s="198"/>
      <c r="U54" s="198"/>
    </row>
    <row r="55" spans="1:21" s="12" customFormat="1" x14ac:dyDescent="0.25">
      <c r="A55" s="63">
        <v>45817.489583333336</v>
      </c>
      <c r="B55" s="60">
        <v>4.17</v>
      </c>
      <c r="C55" s="60">
        <v>19.2</v>
      </c>
      <c r="D55" s="60">
        <v>30.35</v>
      </c>
      <c r="E55" s="60">
        <v>5.76</v>
      </c>
      <c r="F55" s="60">
        <v>6.79</v>
      </c>
      <c r="G55" s="60">
        <v>36.450000000000003</v>
      </c>
      <c r="H55" s="60">
        <v>14.85</v>
      </c>
      <c r="I55" s="60">
        <v>3.89</v>
      </c>
      <c r="J55" s="60">
        <v>0.27</v>
      </c>
      <c r="K55" s="60">
        <v>283.48</v>
      </c>
      <c r="L55" s="60">
        <v>36.18</v>
      </c>
      <c r="M55" s="60">
        <v>42.04</v>
      </c>
      <c r="N55" s="60">
        <v>830.1</v>
      </c>
      <c r="O55" s="60">
        <v>0</v>
      </c>
      <c r="P55" s="60">
        <v>0.43</v>
      </c>
      <c r="Q55" s="60">
        <v>9.26</v>
      </c>
      <c r="R55" s="198"/>
      <c r="S55" s="198"/>
      <c r="T55" s="198"/>
      <c r="U55" s="198"/>
    </row>
    <row r="56" spans="1:21" s="12" customFormat="1" x14ac:dyDescent="0.25">
      <c r="A56" s="63">
        <v>45817.5</v>
      </c>
      <c r="B56" s="60">
        <v>4.5999999999999996</v>
      </c>
      <c r="C56" s="60">
        <v>19.3</v>
      </c>
      <c r="D56" s="60">
        <v>29.89</v>
      </c>
      <c r="E56" s="60">
        <v>5.75</v>
      </c>
      <c r="F56" s="60">
        <v>7.89</v>
      </c>
      <c r="G56" s="60">
        <v>38.47</v>
      </c>
      <c r="H56" s="60">
        <v>15.77</v>
      </c>
      <c r="I56" s="60">
        <v>4.0199999999999996</v>
      </c>
      <c r="J56" s="60">
        <v>0.42</v>
      </c>
      <c r="K56" s="60">
        <v>295.72000000000003</v>
      </c>
      <c r="L56" s="60">
        <v>36.71</v>
      </c>
      <c r="M56" s="60">
        <v>41.17</v>
      </c>
      <c r="N56" s="60">
        <v>791</v>
      </c>
      <c r="O56" s="60">
        <v>0</v>
      </c>
      <c r="P56" s="60">
        <v>0.43</v>
      </c>
      <c r="Q56" s="60">
        <v>9.24</v>
      </c>
      <c r="R56" s="198"/>
      <c r="S56" s="198"/>
      <c r="T56" s="198"/>
      <c r="U56" s="198"/>
    </row>
    <row r="57" spans="1:21" s="12" customFormat="1" x14ac:dyDescent="0.25">
      <c r="A57" s="63">
        <v>45817.510416666664</v>
      </c>
      <c r="B57" s="60">
        <v>3.96</v>
      </c>
      <c r="C57" s="60">
        <v>18.079999999999998</v>
      </c>
      <c r="D57" s="60">
        <v>28.53</v>
      </c>
      <c r="E57" s="60">
        <v>6.34</v>
      </c>
      <c r="F57" s="60">
        <v>12.19</v>
      </c>
      <c r="G57" s="60">
        <v>40.78</v>
      </c>
      <c r="H57" s="60">
        <v>16.77</v>
      </c>
      <c r="I57" s="60">
        <v>3.99</v>
      </c>
      <c r="J57" s="60">
        <v>0.18</v>
      </c>
      <c r="K57" s="60">
        <v>207.25</v>
      </c>
      <c r="L57" s="60">
        <v>35.47</v>
      </c>
      <c r="M57" s="60">
        <v>42.5</v>
      </c>
      <c r="N57" s="60">
        <v>675</v>
      </c>
      <c r="O57" s="60">
        <v>0</v>
      </c>
      <c r="P57" s="60">
        <v>0.42</v>
      </c>
      <c r="Q57" s="60">
        <v>9.23</v>
      </c>
      <c r="R57" s="198"/>
      <c r="S57" s="198"/>
      <c r="T57" s="198"/>
      <c r="U57" s="198"/>
    </row>
    <row r="58" spans="1:21" s="12" customFormat="1" x14ac:dyDescent="0.25">
      <c r="A58" s="63">
        <v>45817.520833333336</v>
      </c>
      <c r="B58" s="60">
        <v>4.04</v>
      </c>
      <c r="C58" s="60">
        <v>18.670000000000002</v>
      </c>
      <c r="D58" s="60">
        <v>29.54</v>
      </c>
      <c r="E58" s="60">
        <v>6.5</v>
      </c>
      <c r="F58" s="60">
        <v>14.69</v>
      </c>
      <c r="G58" s="60">
        <v>40.78</v>
      </c>
      <c r="H58" s="60">
        <v>16.77</v>
      </c>
      <c r="I58" s="60">
        <v>3.95</v>
      </c>
      <c r="J58" s="60">
        <v>0.24</v>
      </c>
      <c r="K58" s="60">
        <v>312.47000000000003</v>
      </c>
      <c r="L58" s="60">
        <v>36.270000000000003</v>
      </c>
      <c r="M58" s="60">
        <v>41.32</v>
      </c>
      <c r="N58" s="60">
        <v>717</v>
      </c>
      <c r="O58" s="60">
        <v>0</v>
      </c>
      <c r="P58" s="60">
        <v>0.42</v>
      </c>
      <c r="Q58" s="60">
        <v>9.2100000000000009</v>
      </c>
      <c r="R58" s="198"/>
      <c r="S58" s="198"/>
      <c r="T58" s="198"/>
      <c r="U58" s="198"/>
    </row>
    <row r="59" spans="1:21" s="12" customFormat="1" x14ac:dyDescent="0.25">
      <c r="A59" s="63">
        <v>45817.53125</v>
      </c>
      <c r="B59" s="60">
        <v>4.2300000000000004</v>
      </c>
      <c r="C59" s="60">
        <v>21.19</v>
      </c>
      <c r="D59" s="60">
        <v>34.08</v>
      </c>
      <c r="E59" s="60">
        <v>6.35</v>
      </c>
      <c r="F59" s="60">
        <v>10.78</v>
      </c>
      <c r="G59" s="60">
        <v>40.78</v>
      </c>
      <c r="H59" s="60">
        <v>16.77</v>
      </c>
      <c r="I59" s="60">
        <v>3.93</v>
      </c>
      <c r="J59" s="60">
        <v>0.17</v>
      </c>
      <c r="K59" s="60">
        <v>288.04000000000002</v>
      </c>
      <c r="L59" s="60">
        <v>36.64</v>
      </c>
      <c r="M59" s="60">
        <v>40.72</v>
      </c>
      <c r="N59" s="60">
        <v>601.29999999999995</v>
      </c>
      <c r="O59" s="60">
        <v>0</v>
      </c>
      <c r="P59" s="60">
        <v>0.45</v>
      </c>
      <c r="Q59" s="60">
        <v>9.2200000000000006</v>
      </c>
      <c r="R59" s="198"/>
      <c r="S59" s="198"/>
      <c r="T59" s="198"/>
      <c r="U59" s="198"/>
    </row>
    <row r="60" spans="1:21" s="12" customFormat="1" x14ac:dyDescent="0.25">
      <c r="A60" s="63">
        <v>45817.541666666664</v>
      </c>
      <c r="B60" s="60">
        <v>4.47</v>
      </c>
      <c r="C60" s="60">
        <v>23.8</v>
      </c>
      <c r="D60" s="60">
        <v>38.700000000000003</v>
      </c>
      <c r="E60" s="60">
        <v>7.7</v>
      </c>
      <c r="F60" s="60">
        <v>18.54</v>
      </c>
      <c r="G60" s="60">
        <v>41.7</v>
      </c>
      <c r="H60" s="60">
        <v>16.440000000000001</v>
      </c>
      <c r="I60" s="60">
        <v>4.04</v>
      </c>
      <c r="J60" s="60">
        <v>0.32</v>
      </c>
      <c r="K60" s="60">
        <v>295.2</v>
      </c>
      <c r="L60" s="60">
        <v>37.659999999999997</v>
      </c>
      <c r="M60" s="60">
        <v>38.72</v>
      </c>
      <c r="N60" s="60">
        <v>635.6</v>
      </c>
      <c r="O60" s="60">
        <v>0</v>
      </c>
      <c r="P60" s="60">
        <v>0.5</v>
      </c>
      <c r="Q60" s="60">
        <v>9.26</v>
      </c>
      <c r="R60" s="198"/>
      <c r="S60" s="198"/>
      <c r="T60" s="198"/>
      <c r="U60" s="198"/>
    </row>
    <row r="61" spans="1:21" s="12" customFormat="1" x14ac:dyDescent="0.25">
      <c r="A61" s="63">
        <v>45817.552083333336</v>
      </c>
      <c r="B61" s="60">
        <v>4.87</v>
      </c>
      <c r="C61" s="60">
        <v>19.71</v>
      </c>
      <c r="D61" s="60">
        <v>30.26</v>
      </c>
      <c r="E61" s="60">
        <v>7.86</v>
      </c>
      <c r="F61" s="60">
        <v>16.149999999999999</v>
      </c>
      <c r="G61" s="60">
        <v>42.71</v>
      </c>
      <c r="H61" s="60">
        <v>16.07</v>
      </c>
      <c r="I61" s="60">
        <v>4.01</v>
      </c>
      <c r="J61" s="60">
        <v>0.28999999999999998</v>
      </c>
      <c r="K61" s="60">
        <v>299.70999999999998</v>
      </c>
      <c r="L61" s="60">
        <v>38.450000000000003</v>
      </c>
      <c r="M61" s="60">
        <v>36.119999999999997</v>
      </c>
      <c r="N61" s="60">
        <v>689.4</v>
      </c>
      <c r="O61" s="60">
        <v>0</v>
      </c>
      <c r="P61" s="60">
        <v>0.46</v>
      </c>
      <c r="Q61" s="60">
        <v>9.27</v>
      </c>
      <c r="R61" s="198"/>
      <c r="S61" s="198"/>
      <c r="T61" s="198"/>
      <c r="U61" s="198"/>
    </row>
    <row r="62" spans="1:21" s="12" customFormat="1" x14ac:dyDescent="0.25">
      <c r="A62" s="63">
        <v>45817.5625</v>
      </c>
      <c r="B62" s="60">
        <v>4.59</v>
      </c>
      <c r="C62" s="60">
        <v>21.12</v>
      </c>
      <c r="D62" s="60">
        <v>33.369999999999997</v>
      </c>
      <c r="E62" s="60">
        <v>7.84</v>
      </c>
      <c r="F62" s="60">
        <v>20.16</v>
      </c>
      <c r="G62" s="60">
        <v>42.71</v>
      </c>
      <c r="H62" s="60">
        <v>16.07</v>
      </c>
      <c r="I62" s="60">
        <v>4.13</v>
      </c>
      <c r="J62" s="60">
        <v>0.2</v>
      </c>
      <c r="K62" s="60">
        <v>274.61</v>
      </c>
      <c r="L62" s="60">
        <v>37.49</v>
      </c>
      <c r="M62" s="60">
        <v>37.869999999999997</v>
      </c>
      <c r="N62" s="60">
        <v>446.7</v>
      </c>
      <c r="O62" s="60">
        <v>0</v>
      </c>
      <c r="P62" s="60">
        <v>0.51</v>
      </c>
      <c r="Q62" s="60">
        <v>9.2799999999999994</v>
      </c>
      <c r="R62" s="198"/>
      <c r="S62" s="198"/>
      <c r="T62" s="198"/>
      <c r="U62" s="198"/>
    </row>
    <row r="63" spans="1:21" s="12" customFormat="1" x14ac:dyDescent="0.25">
      <c r="A63" s="63">
        <v>45817.572916666664</v>
      </c>
      <c r="B63" s="60">
        <v>4.18</v>
      </c>
      <c r="C63" s="60">
        <v>19.28</v>
      </c>
      <c r="D63" s="60">
        <v>30.49</v>
      </c>
      <c r="E63" s="60">
        <v>6.41</v>
      </c>
      <c r="F63" s="60">
        <v>23.95</v>
      </c>
      <c r="G63" s="60">
        <v>42.71</v>
      </c>
      <c r="H63" s="60">
        <v>16.07</v>
      </c>
      <c r="I63" s="60">
        <v>3.96</v>
      </c>
      <c r="J63" s="60">
        <v>0.49</v>
      </c>
      <c r="K63" s="60">
        <v>154.54</v>
      </c>
      <c r="L63" s="60">
        <v>36.6</v>
      </c>
      <c r="M63" s="60">
        <v>40.72</v>
      </c>
      <c r="N63" s="60">
        <v>416.6</v>
      </c>
      <c r="O63" s="60">
        <v>0</v>
      </c>
      <c r="P63" s="60">
        <v>0.44</v>
      </c>
      <c r="Q63" s="60">
        <v>9.27</v>
      </c>
      <c r="R63" s="198"/>
      <c r="S63" s="198"/>
      <c r="T63" s="198"/>
      <c r="U63" s="198"/>
    </row>
    <row r="64" spans="1:21" s="12" customFormat="1" x14ac:dyDescent="0.25">
      <c r="A64" s="63">
        <v>45817.583333333336</v>
      </c>
      <c r="B64" s="60">
        <v>4.08</v>
      </c>
      <c r="C64" s="60">
        <v>17.84</v>
      </c>
      <c r="D64" s="60">
        <v>27.89</v>
      </c>
      <c r="E64" s="60">
        <v>7.09</v>
      </c>
      <c r="F64" s="60">
        <v>15.39</v>
      </c>
      <c r="G64" s="60">
        <v>44.84</v>
      </c>
      <c r="H64" s="60">
        <v>17.649999999999999</v>
      </c>
      <c r="I64" s="60">
        <v>4.1100000000000003</v>
      </c>
      <c r="J64" s="60">
        <v>1.54</v>
      </c>
      <c r="K64" s="60">
        <v>143.16999999999999</v>
      </c>
      <c r="L64" s="60">
        <v>35.270000000000003</v>
      </c>
      <c r="M64" s="60">
        <v>42.67</v>
      </c>
      <c r="N64" s="60">
        <v>352</v>
      </c>
      <c r="O64" s="60">
        <v>0</v>
      </c>
      <c r="P64" s="60">
        <v>0.44</v>
      </c>
      <c r="Q64" s="60">
        <v>9.26</v>
      </c>
      <c r="R64" s="198"/>
      <c r="S64" s="198"/>
      <c r="T64" s="198"/>
      <c r="U64" s="198"/>
    </row>
    <row r="65" spans="1:21" s="12" customFormat="1" x14ac:dyDescent="0.25">
      <c r="A65" s="63">
        <v>45817.59375</v>
      </c>
      <c r="B65" s="60">
        <v>4.1399999999999997</v>
      </c>
      <c r="C65" s="60">
        <v>17.27</v>
      </c>
      <c r="D65" s="60">
        <v>26.7</v>
      </c>
      <c r="E65" s="60">
        <v>7.96</v>
      </c>
      <c r="F65" s="60">
        <v>23.92</v>
      </c>
      <c r="G65" s="60">
        <v>47.27</v>
      </c>
      <c r="H65" s="60">
        <v>19.38</v>
      </c>
      <c r="I65" s="60">
        <v>3.9</v>
      </c>
      <c r="J65" s="60">
        <v>0.69</v>
      </c>
      <c r="K65" s="60">
        <v>156.09</v>
      </c>
      <c r="L65" s="60">
        <v>36.11</v>
      </c>
      <c r="M65" s="60">
        <v>37.56</v>
      </c>
      <c r="N65" s="60">
        <v>430.5</v>
      </c>
      <c r="O65" s="60">
        <v>0</v>
      </c>
      <c r="P65" s="60">
        <v>0.41</v>
      </c>
      <c r="Q65" s="60">
        <v>9.25</v>
      </c>
      <c r="R65" s="198"/>
      <c r="S65" s="198"/>
      <c r="T65" s="198"/>
      <c r="U65" s="198"/>
    </row>
    <row r="66" spans="1:21" s="12" customFormat="1" x14ac:dyDescent="0.25">
      <c r="A66" s="63">
        <v>45817.604166666664</v>
      </c>
      <c r="B66" s="60">
        <v>4.96</v>
      </c>
      <c r="C66" s="60">
        <v>20.8</v>
      </c>
      <c r="D66" s="60">
        <v>32.21</v>
      </c>
      <c r="E66" s="60">
        <v>7.73</v>
      </c>
      <c r="F66" s="60">
        <v>20.65</v>
      </c>
      <c r="G66" s="60">
        <v>47.27</v>
      </c>
      <c r="H66" s="60">
        <v>19.38</v>
      </c>
      <c r="I66" s="60">
        <v>3.97</v>
      </c>
      <c r="J66" s="60">
        <v>0.52</v>
      </c>
      <c r="K66" s="60">
        <v>149.72</v>
      </c>
      <c r="L66" s="60">
        <v>36.82</v>
      </c>
      <c r="M66" s="60">
        <v>36.31</v>
      </c>
      <c r="N66" s="60">
        <v>294.60000000000002</v>
      </c>
      <c r="O66" s="60">
        <v>0</v>
      </c>
      <c r="P66" s="60">
        <v>0.47</v>
      </c>
      <c r="Q66" s="60">
        <v>9.24</v>
      </c>
      <c r="R66" s="198"/>
      <c r="S66" s="198"/>
      <c r="T66" s="198"/>
      <c r="U66" s="198"/>
    </row>
    <row r="67" spans="1:21" s="12" customFormat="1" x14ac:dyDescent="0.25">
      <c r="A67" s="63">
        <v>45817.614583333336</v>
      </c>
      <c r="B67" s="60">
        <v>4.41</v>
      </c>
      <c r="C67" s="60">
        <v>19.46</v>
      </c>
      <c r="D67" s="60">
        <v>30.48</v>
      </c>
      <c r="E67" s="60">
        <v>7.9</v>
      </c>
      <c r="F67" s="60">
        <v>19.36</v>
      </c>
      <c r="G67" s="60">
        <v>47.27</v>
      </c>
      <c r="H67" s="60">
        <v>19.38</v>
      </c>
      <c r="I67" s="60">
        <v>3.96</v>
      </c>
      <c r="J67" s="60">
        <v>0.44</v>
      </c>
      <c r="K67" s="60">
        <v>157.75</v>
      </c>
      <c r="L67" s="60">
        <v>37.130000000000003</v>
      </c>
      <c r="M67" s="60">
        <v>35.630000000000003</v>
      </c>
      <c r="N67" s="60">
        <v>264.39999999999998</v>
      </c>
      <c r="O67" s="60">
        <v>0</v>
      </c>
      <c r="P67" s="60">
        <v>0.42</v>
      </c>
      <c r="Q67" s="60">
        <v>9.25</v>
      </c>
      <c r="R67" s="198"/>
      <c r="S67" s="198"/>
      <c r="T67" s="198"/>
      <c r="U67" s="198"/>
    </row>
    <row r="68" spans="1:21" s="12" customFormat="1" x14ac:dyDescent="0.25">
      <c r="A68" s="63">
        <v>45817.625</v>
      </c>
      <c r="B68" s="60">
        <v>4.1399999999999997</v>
      </c>
      <c r="C68" s="60">
        <v>20.440000000000001</v>
      </c>
      <c r="D68" s="60">
        <v>32.76</v>
      </c>
      <c r="E68" s="60">
        <v>7.76</v>
      </c>
      <c r="F68" s="60">
        <v>20.69</v>
      </c>
      <c r="G68" s="60">
        <v>47.27</v>
      </c>
      <c r="H68" s="60">
        <v>18.989999999999998</v>
      </c>
      <c r="I68" s="60">
        <v>3.96</v>
      </c>
      <c r="J68" s="60">
        <v>0.18</v>
      </c>
      <c r="K68" s="60">
        <v>199.45</v>
      </c>
      <c r="L68" s="60">
        <v>37.31</v>
      </c>
      <c r="M68" s="60">
        <v>35.43</v>
      </c>
      <c r="N68" s="60">
        <v>223.1</v>
      </c>
      <c r="O68" s="60">
        <v>0</v>
      </c>
      <c r="P68" s="60">
        <v>0.42</v>
      </c>
      <c r="Q68" s="60">
        <v>9.25</v>
      </c>
      <c r="R68" s="198"/>
      <c r="S68" s="198"/>
      <c r="T68" s="198"/>
      <c r="U68" s="198"/>
    </row>
    <row r="69" spans="1:21" s="12" customFormat="1" x14ac:dyDescent="0.25">
      <c r="A69" s="63">
        <v>45817.635416666664</v>
      </c>
      <c r="B69" s="60">
        <v>4.01</v>
      </c>
      <c r="C69" s="60">
        <v>20.68</v>
      </c>
      <c r="D69" s="60">
        <v>33.42</v>
      </c>
      <c r="E69" s="60">
        <v>7.44</v>
      </c>
      <c r="F69" s="60">
        <v>21.21</v>
      </c>
      <c r="G69" s="60">
        <v>47.28</v>
      </c>
      <c r="H69" s="60">
        <v>18.54</v>
      </c>
      <c r="I69" s="60">
        <v>3.93</v>
      </c>
      <c r="J69" s="60">
        <v>0.51</v>
      </c>
      <c r="K69" s="60">
        <v>149.05000000000001</v>
      </c>
      <c r="L69" s="60">
        <v>36.93</v>
      </c>
      <c r="M69" s="60">
        <v>35.590000000000003</v>
      </c>
      <c r="N69" s="60">
        <v>190.2</v>
      </c>
      <c r="O69" s="60">
        <v>0</v>
      </c>
      <c r="P69" s="60">
        <v>0.44</v>
      </c>
      <c r="Q69" s="60">
        <v>9.23</v>
      </c>
      <c r="R69" s="198"/>
      <c r="S69" s="198"/>
      <c r="T69" s="198"/>
      <c r="U69" s="198"/>
    </row>
    <row r="70" spans="1:21" s="12" customFormat="1" x14ac:dyDescent="0.25">
      <c r="A70" s="63">
        <v>45817.645833333336</v>
      </c>
      <c r="B70" s="60">
        <v>3.98</v>
      </c>
      <c r="C70" s="60">
        <v>23.48</v>
      </c>
      <c r="D70" s="60">
        <v>38.83</v>
      </c>
      <c r="E70" s="60">
        <v>7.85</v>
      </c>
      <c r="F70" s="60">
        <v>18.05</v>
      </c>
      <c r="G70" s="60">
        <v>47.28</v>
      </c>
      <c r="H70" s="60">
        <v>18.54</v>
      </c>
      <c r="I70" s="60">
        <v>4.0599999999999996</v>
      </c>
      <c r="J70" s="60">
        <v>0.2</v>
      </c>
      <c r="K70" s="60">
        <v>243.74</v>
      </c>
      <c r="L70" s="60">
        <v>36.64</v>
      </c>
      <c r="M70" s="60">
        <v>36.39</v>
      </c>
      <c r="N70" s="60">
        <v>193.7</v>
      </c>
      <c r="O70" s="60">
        <v>0</v>
      </c>
      <c r="P70" s="60">
        <v>0.43</v>
      </c>
      <c r="Q70" s="60">
        <v>9.23</v>
      </c>
      <c r="R70" s="198"/>
      <c r="S70" s="198"/>
      <c r="T70" s="198"/>
      <c r="U70" s="198"/>
    </row>
    <row r="71" spans="1:21" s="12" customFormat="1" x14ac:dyDescent="0.25">
      <c r="A71" s="63">
        <v>45817.65625</v>
      </c>
      <c r="B71" s="60">
        <v>4.07</v>
      </c>
      <c r="C71" s="60">
        <v>20.23</v>
      </c>
      <c r="D71" s="60">
        <v>32.49</v>
      </c>
      <c r="E71" s="60">
        <v>6.89</v>
      </c>
      <c r="F71" s="60">
        <v>8.5299999999999994</v>
      </c>
      <c r="G71" s="60">
        <v>47.28</v>
      </c>
      <c r="H71" s="60">
        <v>18.54</v>
      </c>
      <c r="I71" s="60">
        <v>3.91</v>
      </c>
      <c r="J71" s="60">
        <v>0.45</v>
      </c>
      <c r="K71" s="60">
        <v>289.35000000000002</v>
      </c>
      <c r="L71" s="60">
        <v>35.51</v>
      </c>
      <c r="M71" s="60">
        <v>38.15</v>
      </c>
      <c r="N71" s="60">
        <v>249.1</v>
      </c>
      <c r="O71" s="60">
        <v>0</v>
      </c>
      <c r="P71" s="60">
        <v>0.57999999999999996</v>
      </c>
      <c r="Q71" s="60">
        <v>9.23</v>
      </c>
      <c r="R71" s="198"/>
      <c r="S71" s="198"/>
      <c r="T71" s="198"/>
      <c r="U71" s="198"/>
    </row>
    <row r="72" spans="1:21" s="12" customFormat="1" x14ac:dyDescent="0.25">
      <c r="A72" s="63">
        <v>45817.666666666664</v>
      </c>
      <c r="B72" s="60">
        <v>3.95</v>
      </c>
      <c r="C72" s="60">
        <v>21.21</v>
      </c>
      <c r="D72" s="60">
        <v>34.54</v>
      </c>
      <c r="E72" s="60">
        <v>6.65</v>
      </c>
      <c r="F72" s="60">
        <v>8.25</v>
      </c>
      <c r="G72" s="60">
        <v>50.79</v>
      </c>
      <c r="H72" s="60">
        <v>19.79</v>
      </c>
      <c r="I72" s="60">
        <v>4.03</v>
      </c>
      <c r="J72" s="60">
        <v>0.36</v>
      </c>
      <c r="K72" s="60">
        <v>293.19</v>
      </c>
      <c r="L72" s="60">
        <v>33.700000000000003</v>
      </c>
      <c r="M72" s="60">
        <v>42.07</v>
      </c>
      <c r="N72" s="60">
        <v>212.2</v>
      </c>
      <c r="O72" s="60">
        <v>0</v>
      </c>
      <c r="P72" s="60">
        <v>0.65</v>
      </c>
      <c r="Q72" s="60">
        <v>9.23</v>
      </c>
      <c r="R72" s="198"/>
      <c r="S72" s="198"/>
      <c r="T72" s="198"/>
      <c r="U72" s="198"/>
    </row>
    <row r="73" spans="1:21" s="12" customFormat="1" x14ac:dyDescent="0.25">
      <c r="A73" s="63">
        <v>45817.677083333336</v>
      </c>
      <c r="B73" s="60">
        <v>4.07</v>
      </c>
      <c r="C73" s="60">
        <v>22.37</v>
      </c>
      <c r="D73" s="60">
        <v>36.56</v>
      </c>
      <c r="E73" s="60">
        <v>6.48</v>
      </c>
      <c r="F73" s="60">
        <v>15.54</v>
      </c>
      <c r="G73" s="60">
        <v>54.81</v>
      </c>
      <c r="H73" s="60">
        <v>21.15</v>
      </c>
      <c r="I73" s="60">
        <v>3.94</v>
      </c>
      <c r="J73" s="60">
        <v>0.11</v>
      </c>
      <c r="K73" s="60">
        <v>273.69</v>
      </c>
      <c r="L73" s="60">
        <v>33</v>
      </c>
      <c r="M73" s="60">
        <v>43.56</v>
      </c>
      <c r="N73" s="60">
        <v>135.69999999999999</v>
      </c>
      <c r="O73" s="60">
        <v>0</v>
      </c>
      <c r="P73" s="60">
        <v>0.54</v>
      </c>
      <c r="Q73" s="60">
        <v>9.24</v>
      </c>
      <c r="R73" s="198"/>
      <c r="S73" s="198"/>
      <c r="T73" s="198"/>
      <c r="U73" s="198"/>
    </row>
    <row r="74" spans="1:21" s="12" customFormat="1" x14ac:dyDescent="0.25">
      <c r="A74" s="63">
        <v>45817.6875</v>
      </c>
      <c r="B74" s="60">
        <v>4.01</v>
      </c>
      <c r="C74" s="60">
        <v>20.88</v>
      </c>
      <c r="D74" s="60">
        <v>33.81</v>
      </c>
      <c r="E74" s="60">
        <v>6.28</v>
      </c>
      <c r="F74" s="60">
        <v>18.7</v>
      </c>
      <c r="G74" s="60">
        <v>54.81</v>
      </c>
      <c r="H74" s="60">
        <v>21.15</v>
      </c>
      <c r="I74" s="60">
        <v>4.17</v>
      </c>
      <c r="J74" s="60">
        <v>0.19</v>
      </c>
      <c r="K74" s="60">
        <v>193.91</v>
      </c>
      <c r="L74" s="60">
        <v>32.729999999999997</v>
      </c>
      <c r="M74" s="60">
        <v>43.4</v>
      </c>
      <c r="N74" s="60">
        <v>119.6</v>
      </c>
      <c r="O74" s="60">
        <v>0</v>
      </c>
      <c r="P74" s="60">
        <v>0.5</v>
      </c>
      <c r="Q74" s="60">
        <v>9.23</v>
      </c>
      <c r="R74" s="198"/>
      <c r="S74" s="198"/>
      <c r="T74" s="198"/>
      <c r="U74" s="198"/>
    </row>
    <row r="75" spans="1:21" s="12" customFormat="1" x14ac:dyDescent="0.25">
      <c r="A75" s="63">
        <v>45817.697916666664</v>
      </c>
      <c r="B75" s="60">
        <v>3.9</v>
      </c>
      <c r="C75" s="60">
        <v>21.11</v>
      </c>
      <c r="D75" s="60">
        <v>34.42</v>
      </c>
      <c r="E75" s="60">
        <v>6.38</v>
      </c>
      <c r="F75" s="60">
        <v>16.989999999999998</v>
      </c>
      <c r="G75" s="60">
        <v>54.81</v>
      </c>
      <c r="H75" s="60">
        <v>21.15</v>
      </c>
      <c r="I75" s="60">
        <v>4.0599999999999996</v>
      </c>
      <c r="J75" s="60">
        <v>0.33</v>
      </c>
      <c r="K75" s="60">
        <v>188.88</v>
      </c>
      <c r="L75" s="60">
        <v>32.53</v>
      </c>
      <c r="M75" s="60">
        <v>43.63</v>
      </c>
      <c r="N75" s="60">
        <v>121.5</v>
      </c>
      <c r="O75" s="60">
        <v>0</v>
      </c>
      <c r="P75" s="60">
        <v>0.5</v>
      </c>
      <c r="Q75" s="60">
        <v>9.23</v>
      </c>
      <c r="R75" s="198"/>
      <c r="S75" s="198"/>
      <c r="T75" s="198"/>
      <c r="U75" s="198"/>
    </row>
    <row r="76" spans="1:21" s="12" customFormat="1" x14ac:dyDescent="0.25">
      <c r="A76" s="63">
        <v>45817.708333333336</v>
      </c>
      <c r="B76" s="60">
        <v>3.94</v>
      </c>
      <c r="C76" s="60">
        <v>21</v>
      </c>
      <c r="D76" s="60">
        <v>34.15</v>
      </c>
      <c r="E76" s="60">
        <v>6.32</v>
      </c>
      <c r="F76" s="60">
        <v>15.37</v>
      </c>
      <c r="G76" s="60">
        <v>50.45</v>
      </c>
      <c r="H76" s="60">
        <v>16.21</v>
      </c>
      <c r="I76" s="60">
        <v>3.92</v>
      </c>
      <c r="J76" s="60">
        <v>0.06</v>
      </c>
      <c r="K76" s="60">
        <v>239.11</v>
      </c>
      <c r="L76" s="60">
        <v>32.659999999999997</v>
      </c>
      <c r="M76" s="60">
        <v>44.43</v>
      </c>
      <c r="N76" s="60">
        <v>126.7</v>
      </c>
      <c r="O76" s="60">
        <v>0</v>
      </c>
      <c r="P76" s="60">
        <v>0.51</v>
      </c>
      <c r="Q76" s="60">
        <v>9.24</v>
      </c>
      <c r="R76" s="198"/>
      <c r="S76" s="198"/>
      <c r="T76" s="198"/>
      <c r="U76" s="198"/>
    </row>
    <row r="77" spans="1:21" s="12" customFormat="1" x14ac:dyDescent="0.25">
      <c r="A77" s="63">
        <v>45817.71875</v>
      </c>
      <c r="B77" s="60">
        <v>4.08</v>
      </c>
      <c r="C77" s="60">
        <v>20.71</v>
      </c>
      <c r="D77" s="60">
        <v>33.39</v>
      </c>
      <c r="E77" s="60">
        <v>6.18</v>
      </c>
      <c r="F77" s="60">
        <v>14.32</v>
      </c>
      <c r="G77" s="60">
        <v>45.69</v>
      </c>
      <c r="H77" s="60">
        <v>10.81</v>
      </c>
      <c r="I77" s="60">
        <v>3.95</v>
      </c>
      <c r="J77" s="60">
        <v>0.11</v>
      </c>
      <c r="K77" s="60">
        <v>311.39999999999998</v>
      </c>
      <c r="L77" s="60">
        <v>32.97</v>
      </c>
      <c r="M77" s="60">
        <v>42.22</v>
      </c>
      <c r="N77" s="60">
        <v>106.8</v>
      </c>
      <c r="O77" s="60">
        <v>0</v>
      </c>
      <c r="P77" s="60">
        <v>0.56000000000000005</v>
      </c>
      <c r="Q77" s="60">
        <v>9.26</v>
      </c>
      <c r="R77" s="198"/>
      <c r="S77" s="198"/>
      <c r="T77" s="198"/>
      <c r="U77" s="198"/>
    </row>
    <row r="78" spans="1:21" s="12" customFormat="1" x14ac:dyDescent="0.25">
      <c r="A78" s="63">
        <v>45817.729166666664</v>
      </c>
      <c r="B78" s="60">
        <v>4.88</v>
      </c>
      <c r="C78" s="60">
        <v>23.02</v>
      </c>
      <c r="D78" s="60">
        <v>36.57</v>
      </c>
      <c r="E78" s="60">
        <v>6.81</v>
      </c>
      <c r="F78" s="60">
        <v>14.96</v>
      </c>
      <c r="G78" s="60">
        <v>45.69</v>
      </c>
      <c r="H78" s="60">
        <v>10.81</v>
      </c>
      <c r="I78" s="60">
        <v>4.0199999999999996</v>
      </c>
      <c r="J78" s="60">
        <v>0.18</v>
      </c>
      <c r="K78" s="60">
        <v>320.57</v>
      </c>
      <c r="L78" s="60">
        <v>33.020000000000003</v>
      </c>
      <c r="M78" s="60">
        <v>41.26</v>
      </c>
      <c r="N78" s="60">
        <v>72.599999999999994</v>
      </c>
      <c r="O78" s="60">
        <v>0</v>
      </c>
      <c r="P78" s="60">
        <v>0.57999999999999996</v>
      </c>
      <c r="Q78" s="60">
        <v>9.2899999999999991</v>
      </c>
      <c r="R78" s="198"/>
      <c r="S78" s="198"/>
      <c r="T78" s="198"/>
      <c r="U78" s="198"/>
    </row>
    <row r="79" spans="1:21" s="12" customFormat="1" x14ac:dyDescent="0.25">
      <c r="A79" s="63">
        <v>45817.739583333336</v>
      </c>
      <c r="B79" s="60">
        <v>4.91</v>
      </c>
      <c r="C79" s="60">
        <v>24.62</v>
      </c>
      <c r="D79" s="60">
        <v>39.58</v>
      </c>
      <c r="E79" s="60">
        <v>7.41</v>
      </c>
      <c r="F79" s="60">
        <v>11.28</v>
      </c>
      <c r="G79" s="60">
        <v>45.69</v>
      </c>
      <c r="H79" s="60">
        <v>10.81</v>
      </c>
      <c r="I79" s="60">
        <v>3.86</v>
      </c>
      <c r="J79" s="60">
        <v>0.21</v>
      </c>
      <c r="K79" s="60">
        <v>312.35000000000002</v>
      </c>
      <c r="L79" s="60">
        <v>32.69</v>
      </c>
      <c r="M79" s="60">
        <v>42.57</v>
      </c>
      <c r="N79" s="60">
        <v>69.099999999999994</v>
      </c>
      <c r="O79" s="60">
        <v>0</v>
      </c>
      <c r="P79" s="60">
        <v>0.64</v>
      </c>
      <c r="Q79" s="60">
        <v>9.3000000000000007</v>
      </c>
      <c r="R79" s="198"/>
      <c r="S79" s="198"/>
      <c r="T79" s="198"/>
      <c r="U79" s="198"/>
    </row>
    <row r="80" spans="1:21" s="12" customFormat="1" x14ac:dyDescent="0.25">
      <c r="A80" s="63">
        <v>45817.75</v>
      </c>
      <c r="B80" s="60">
        <v>4.95</v>
      </c>
      <c r="C80" s="60">
        <v>25.25</v>
      </c>
      <c r="D80" s="60">
        <v>40.72</v>
      </c>
      <c r="E80" s="60">
        <v>7.16</v>
      </c>
      <c r="F80" s="60">
        <v>14.34</v>
      </c>
      <c r="G80" s="60">
        <v>46.66</v>
      </c>
      <c r="H80" s="60">
        <v>10.34</v>
      </c>
      <c r="I80" s="60">
        <v>3.82</v>
      </c>
      <c r="J80" s="60">
        <v>0.18</v>
      </c>
      <c r="K80" s="60">
        <v>327.23</v>
      </c>
      <c r="L80" s="60">
        <v>32.229999999999997</v>
      </c>
      <c r="M80" s="60">
        <v>44.07</v>
      </c>
      <c r="N80" s="60">
        <v>75.7</v>
      </c>
      <c r="O80" s="60">
        <v>0</v>
      </c>
      <c r="P80" s="60">
        <v>0.61</v>
      </c>
      <c r="Q80" s="60">
        <v>9.3000000000000007</v>
      </c>
      <c r="R80" s="198"/>
      <c r="S80" s="198"/>
      <c r="T80" s="198"/>
      <c r="U80" s="198"/>
    </row>
    <row r="81" spans="1:26" s="12" customFormat="1" x14ac:dyDescent="0.25">
      <c r="A81" s="63">
        <v>45817.760416666664</v>
      </c>
      <c r="B81" s="60">
        <v>6.39</v>
      </c>
      <c r="C81" s="60">
        <v>29.61</v>
      </c>
      <c r="D81" s="60">
        <v>46.87</v>
      </c>
      <c r="E81" s="60">
        <v>7</v>
      </c>
      <c r="F81" s="60">
        <v>18.079999999999998</v>
      </c>
      <c r="G81" s="60">
        <v>47.72</v>
      </c>
      <c r="H81" s="60">
        <v>9.83</v>
      </c>
      <c r="I81" s="60">
        <v>3.96</v>
      </c>
      <c r="J81" s="60">
        <v>0.21</v>
      </c>
      <c r="K81" s="60">
        <v>322.25</v>
      </c>
      <c r="L81" s="60">
        <v>31.97</v>
      </c>
      <c r="M81" s="60">
        <v>45.38</v>
      </c>
      <c r="N81" s="60">
        <v>71.2</v>
      </c>
      <c r="O81" s="60">
        <v>0</v>
      </c>
      <c r="P81" s="60">
        <v>0.64</v>
      </c>
      <c r="Q81" s="60">
        <v>9.3000000000000007</v>
      </c>
      <c r="R81" s="198"/>
      <c r="S81" s="198"/>
      <c r="T81" s="198"/>
      <c r="U81" s="198"/>
    </row>
    <row r="82" spans="1:26" s="12" customFormat="1" x14ac:dyDescent="0.25">
      <c r="A82" s="63">
        <v>45817.770833333336</v>
      </c>
      <c r="B82" s="60">
        <v>8.01</v>
      </c>
      <c r="C82" s="60">
        <v>33.25</v>
      </c>
      <c r="D82" s="60">
        <v>51.34</v>
      </c>
      <c r="E82" s="60">
        <v>7.34</v>
      </c>
      <c r="F82" s="60">
        <v>22.09</v>
      </c>
      <c r="G82" s="60">
        <v>47.72</v>
      </c>
      <c r="H82" s="60">
        <v>9.83</v>
      </c>
      <c r="I82" s="60">
        <v>3.93</v>
      </c>
      <c r="J82" s="60">
        <v>0.08</v>
      </c>
      <c r="K82" s="60">
        <v>288.97000000000003</v>
      </c>
      <c r="L82" s="60">
        <v>31.61</v>
      </c>
      <c r="M82" s="60">
        <v>47.01</v>
      </c>
      <c r="N82" s="60">
        <v>61.9</v>
      </c>
      <c r="O82" s="60">
        <v>0</v>
      </c>
      <c r="P82" s="60">
        <v>0.57999999999999996</v>
      </c>
      <c r="Q82" s="60">
        <v>9.32</v>
      </c>
      <c r="R82" s="198"/>
      <c r="S82" s="198"/>
      <c r="T82" s="198"/>
      <c r="U82" s="198"/>
    </row>
    <row r="83" spans="1:26" s="12" customFormat="1" x14ac:dyDescent="0.25">
      <c r="A83" s="63">
        <v>45817.78125</v>
      </c>
      <c r="B83" s="60">
        <v>5.0999999999999996</v>
      </c>
      <c r="C83" s="60">
        <v>25.91</v>
      </c>
      <c r="D83" s="60">
        <v>41.78</v>
      </c>
      <c r="E83" s="60">
        <v>7.4</v>
      </c>
      <c r="F83" s="60">
        <v>18.260000000000002</v>
      </c>
      <c r="G83" s="60">
        <v>47.72</v>
      </c>
      <c r="H83" s="60">
        <v>9.83</v>
      </c>
      <c r="I83" s="60">
        <v>4.09</v>
      </c>
      <c r="J83" s="60">
        <v>0.03</v>
      </c>
      <c r="K83" s="60">
        <v>306.89999999999998</v>
      </c>
      <c r="L83" s="60">
        <v>31.09</v>
      </c>
      <c r="M83" s="60">
        <v>49.69</v>
      </c>
      <c r="N83" s="60">
        <v>55.2</v>
      </c>
      <c r="O83" s="60">
        <v>0</v>
      </c>
      <c r="P83" s="60">
        <v>0.62</v>
      </c>
      <c r="Q83" s="60">
        <v>9.33</v>
      </c>
      <c r="R83" s="198"/>
      <c r="S83" s="198"/>
      <c r="T83" s="198"/>
      <c r="U83" s="198"/>
    </row>
    <row r="84" spans="1:26" s="12" customFormat="1" x14ac:dyDescent="0.25">
      <c r="A84" s="63">
        <v>45817.791666666664</v>
      </c>
      <c r="B84" s="60">
        <v>6.33</v>
      </c>
      <c r="C84" s="60">
        <v>25.86</v>
      </c>
      <c r="D84" s="60">
        <v>39.78</v>
      </c>
      <c r="E84" s="60">
        <v>7.07</v>
      </c>
      <c r="F84" s="60">
        <v>18.12</v>
      </c>
      <c r="G84" s="60">
        <v>49.37</v>
      </c>
      <c r="H84" s="60">
        <v>13.56</v>
      </c>
      <c r="I84" s="60">
        <v>3.91</v>
      </c>
      <c r="J84" s="60">
        <v>0.12</v>
      </c>
      <c r="K84" s="60">
        <v>332.81</v>
      </c>
      <c r="L84" s="60">
        <v>31.05</v>
      </c>
      <c r="M84" s="60">
        <v>49.89</v>
      </c>
      <c r="N84" s="60">
        <v>51.4</v>
      </c>
      <c r="O84" s="60">
        <v>0</v>
      </c>
      <c r="P84" s="60">
        <v>0.66</v>
      </c>
      <c r="Q84" s="60">
        <v>9.34</v>
      </c>
      <c r="R84" s="198"/>
      <c r="S84" s="198"/>
      <c r="T84" s="198"/>
      <c r="U84" s="198"/>
    </row>
    <row r="85" spans="1:26" s="12" customFormat="1" x14ac:dyDescent="0.25">
      <c r="A85" s="63">
        <v>45817.802083333336</v>
      </c>
      <c r="B85" s="60">
        <v>5.14</v>
      </c>
      <c r="C85" s="60">
        <v>24.05</v>
      </c>
      <c r="D85" s="60">
        <v>38.15</v>
      </c>
      <c r="E85" s="60">
        <v>6.74</v>
      </c>
      <c r="F85" s="60">
        <v>9.26</v>
      </c>
      <c r="G85" s="60">
        <v>51.18</v>
      </c>
      <c r="H85" s="60">
        <v>17.82</v>
      </c>
      <c r="I85" s="60">
        <v>4.01</v>
      </c>
      <c r="J85" s="60">
        <v>0.03</v>
      </c>
      <c r="K85" s="60">
        <v>68.34</v>
      </c>
      <c r="L85" s="60">
        <v>30.65</v>
      </c>
      <c r="M85" s="60">
        <v>50.58</v>
      </c>
      <c r="N85" s="60">
        <v>51.2</v>
      </c>
      <c r="O85" s="60">
        <v>0</v>
      </c>
      <c r="P85" s="60">
        <v>0.55000000000000004</v>
      </c>
      <c r="Q85" s="60">
        <v>9.33</v>
      </c>
      <c r="R85" s="198"/>
      <c r="S85" s="198"/>
      <c r="T85" s="198"/>
      <c r="U85" s="198"/>
    </row>
    <row r="86" spans="1:26" s="12" customFormat="1" x14ac:dyDescent="0.25">
      <c r="A86" s="63">
        <v>45817.8125</v>
      </c>
      <c r="B86" s="60">
        <v>5.04</v>
      </c>
      <c r="C86" s="60">
        <v>25.5</v>
      </c>
      <c r="D86" s="60">
        <v>41.08</v>
      </c>
      <c r="E86" s="60">
        <v>6.46</v>
      </c>
      <c r="F86" s="60">
        <v>10.95</v>
      </c>
      <c r="G86" s="60">
        <v>51.18</v>
      </c>
      <c r="H86" s="60">
        <v>17.82</v>
      </c>
      <c r="I86" s="60">
        <v>3.88</v>
      </c>
      <c r="J86" s="60">
        <v>0.57999999999999996</v>
      </c>
      <c r="K86" s="60">
        <v>150.79</v>
      </c>
      <c r="L86" s="60">
        <v>29.44</v>
      </c>
      <c r="M86" s="60">
        <v>60.03</v>
      </c>
      <c r="N86" s="60">
        <v>52.5</v>
      </c>
      <c r="O86" s="60">
        <v>0</v>
      </c>
      <c r="P86" s="60">
        <v>0.51</v>
      </c>
      <c r="Q86" s="60">
        <v>9.34</v>
      </c>
      <c r="R86" s="198"/>
      <c r="S86" s="198"/>
      <c r="T86" s="198"/>
      <c r="U86" s="198"/>
    </row>
    <row r="87" spans="1:26" s="12" customFormat="1" x14ac:dyDescent="0.25">
      <c r="A87" s="63">
        <v>45817.822916666664</v>
      </c>
      <c r="B87" s="60">
        <v>5.19</v>
      </c>
      <c r="C87" s="60">
        <v>26.47</v>
      </c>
      <c r="D87" s="60">
        <v>42.7</v>
      </c>
      <c r="E87" s="60">
        <v>6.22</v>
      </c>
      <c r="F87" s="60">
        <v>10.6</v>
      </c>
      <c r="G87" s="60">
        <v>51.18</v>
      </c>
      <c r="H87" s="60">
        <v>17.82</v>
      </c>
      <c r="I87" s="60">
        <v>4.0999999999999996</v>
      </c>
      <c r="J87" s="60">
        <v>0.24</v>
      </c>
      <c r="K87" s="60">
        <v>172.34</v>
      </c>
      <c r="L87" s="60">
        <v>29.56</v>
      </c>
      <c r="M87" s="60">
        <v>55.89</v>
      </c>
      <c r="N87" s="60">
        <v>49.6</v>
      </c>
      <c r="O87" s="60">
        <v>0</v>
      </c>
      <c r="P87" s="60">
        <v>0.53</v>
      </c>
      <c r="Q87" s="60">
        <v>9.34</v>
      </c>
      <c r="R87" s="198"/>
      <c r="S87" s="198"/>
      <c r="T87" s="198"/>
      <c r="U87" s="198"/>
    </row>
    <row r="88" spans="1:26" s="12" customFormat="1" x14ac:dyDescent="0.25">
      <c r="A88" s="63">
        <v>45817.833333333336</v>
      </c>
      <c r="B88" s="60">
        <v>5.3</v>
      </c>
      <c r="C88" s="60">
        <v>27.52</v>
      </c>
      <c r="D88" s="60">
        <v>44.53</v>
      </c>
      <c r="E88" s="60">
        <v>6.56</v>
      </c>
      <c r="F88" s="60">
        <v>12.29</v>
      </c>
      <c r="G88" s="60">
        <v>48.59</v>
      </c>
      <c r="H88" s="60">
        <v>16.989999999999998</v>
      </c>
      <c r="I88" s="60">
        <v>3.95</v>
      </c>
      <c r="J88" s="60">
        <v>0.23</v>
      </c>
      <c r="K88" s="60">
        <v>170.15</v>
      </c>
      <c r="L88" s="60">
        <v>29.93</v>
      </c>
      <c r="M88" s="60">
        <v>53.58</v>
      </c>
      <c r="N88" s="60">
        <v>51.4</v>
      </c>
      <c r="O88" s="60">
        <v>0</v>
      </c>
      <c r="P88" s="60">
        <v>0.52</v>
      </c>
      <c r="Q88" s="60">
        <v>9.35</v>
      </c>
      <c r="R88" s="198"/>
      <c r="S88" s="198"/>
      <c r="T88" s="198"/>
      <c r="U88" s="198"/>
    </row>
    <row r="89" spans="1:26" s="12" customFormat="1" x14ac:dyDescent="0.25">
      <c r="A89" s="63">
        <v>45817.84375</v>
      </c>
      <c r="B89" s="60">
        <v>5.47</v>
      </c>
      <c r="C89" s="60">
        <v>25.96</v>
      </c>
      <c r="D89" s="60">
        <v>41.29</v>
      </c>
      <c r="E89" s="60">
        <v>5.99</v>
      </c>
      <c r="F89" s="60">
        <v>9.2100000000000009</v>
      </c>
      <c r="G89" s="60">
        <v>45.63</v>
      </c>
      <c r="H89" s="60">
        <v>16.05</v>
      </c>
      <c r="I89" s="60">
        <v>3.81</v>
      </c>
      <c r="J89" s="60">
        <v>0.1</v>
      </c>
      <c r="K89" s="60">
        <v>194.61</v>
      </c>
      <c r="L89" s="60">
        <v>29.69</v>
      </c>
      <c r="M89" s="60">
        <v>51.2</v>
      </c>
      <c r="N89" s="60">
        <v>52.2</v>
      </c>
      <c r="O89" s="60">
        <v>0</v>
      </c>
      <c r="P89" s="60">
        <v>0.52</v>
      </c>
      <c r="Q89" s="60">
        <v>9.34</v>
      </c>
      <c r="R89" s="198"/>
      <c r="S89" s="198"/>
      <c r="T89" s="198"/>
      <c r="U89" s="198"/>
    </row>
    <row r="90" spans="1:26" s="12" customFormat="1" x14ac:dyDescent="0.25">
      <c r="A90" s="63">
        <v>45817.854166666664</v>
      </c>
      <c r="B90" s="60">
        <v>5.48</v>
      </c>
      <c r="C90" s="60">
        <v>25.29</v>
      </c>
      <c r="D90" s="60">
        <v>40</v>
      </c>
      <c r="E90" s="60">
        <v>6.14</v>
      </c>
      <c r="F90" s="60">
        <v>10.42</v>
      </c>
      <c r="G90" s="60">
        <v>45.63</v>
      </c>
      <c r="H90" s="60">
        <v>16.05</v>
      </c>
      <c r="I90" s="60">
        <v>3.96</v>
      </c>
      <c r="J90" s="60">
        <v>0.18</v>
      </c>
      <c r="K90" s="60">
        <v>166.22</v>
      </c>
      <c r="L90" s="60">
        <v>29.65</v>
      </c>
      <c r="M90" s="60">
        <v>49</v>
      </c>
      <c r="N90" s="60">
        <v>52.3</v>
      </c>
      <c r="O90" s="60">
        <v>0</v>
      </c>
      <c r="P90" s="60">
        <v>0.48</v>
      </c>
      <c r="Q90" s="60">
        <v>9.36</v>
      </c>
      <c r="R90" s="198"/>
      <c r="S90" s="198"/>
      <c r="T90" s="198"/>
      <c r="U90" s="198"/>
    </row>
    <row r="91" spans="1:26" s="12" customFormat="1" x14ac:dyDescent="0.25">
      <c r="A91" s="63">
        <v>45817.864583333336</v>
      </c>
      <c r="B91" s="60">
        <v>5.9</v>
      </c>
      <c r="C91" s="60">
        <v>24.11</v>
      </c>
      <c r="D91" s="60">
        <v>37.090000000000003</v>
      </c>
      <c r="E91" s="60">
        <v>5.75</v>
      </c>
      <c r="F91" s="60">
        <v>6.5</v>
      </c>
      <c r="G91" s="60">
        <v>45.63</v>
      </c>
      <c r="H91" s="60">
        <v>16.05</v>
      </c>
      <c r="I91" s="60">
        <v>3.85</v>
      </c>
      <c r="J91" s="60">
        <v>0.14000000000000001</v>
      </c>
      <c r="K91" s="60">
        <v>184.54</v>
      </c>
      <c r="L91" s="60">
        <v>29.47</v>
      </c>
      <c r="M91" s="60">
        <v>48.47</v>
      </c>
      <c r="N91" s="60">
        <v>52.5</v>
      </c>
      <c r="O91" s="60">
        <v>0</v>
      </c>
      <c r="P91" s="60">
        <v>0.5</v>
      </c>
      <c r="Q91" s="60">
        <v>9.35</v>
      </c>
      <c r="R91" s="198"/>
      <c r="S91" s="198"/>
      <c r="T91" s="198"/>
      <c r="U91" s="198"/>
    </row>
    <row r="92" spans="1:26" s="12" customFormat="1" x14ac:dyDescent="0.25">
      <c r="A92" s="63">
        <v>45817.875</v>
      </c>
      <c r="B92" s="60">
        <v>5.41</v>
      </c>
      <c r="C92" s="60">
        <v>25.44</v>
      </c>
      <c r="D92" s="60">
        <v>40.4</v>
      </c>
      <c r="E92" s="60">
        <v>5.69</v>
      </c>
      <c r="F92" s="60">
        <v>11.55</v>
      </c>
      <c r="G92" s="60">
        <v>44.58</v>
      </c>
      <c r="H92" s="60">
        <v>13.98</v>
      </c>
      <c r="I92" s="60">
        <v>4.05</v>
      </c>
      <c r="J92" s="60">
        <v>0.16</v>
      </c>
      <c r="K92" s="60">
        <v>154.68</v>
      </c>
      <c r="L92" s="60">
        <v>29.32</v>
      </c>
      <c r="M92" s="60">
        <v>49.5</v>
      </c>
      <c r="N92" s="60">
        <v>52.5</v>
      </c>
      <c r="O92" s="60">
        <v>0</v>
      </c>
      <c r="P92" s="60">
        <v>0.46</v>
      </c>
      <c r="Q92" s="60">
        <v>9.36</v>
      </c>
      <c r="R92" s="198"/>
      <c r="S92" s="198"/>
      <c r="T92" s="198"/>
      <c r="U92" s="198"/>
    </row>
    <row r="93" spans="1:26" s="12" customFormat="1" x14ac:dyDescent="0.25">
      <c r="A93" s="63">
        <v>45817.885416666664</v>
      </c>
      <c r="B93" s="60">
        <v>5.87</v>
      </c>
      <c r="C93" s="60">
        <v>25.75</v>
      </c>
      <c r="D93" s="60">
        <v>40.28</v>
      </c>
      <c r="E93" s="60">
        <v>5.79</v>
      </c>
      <c r="F93" s="60">
        <v>8.56</v>
      </c>
      <c r="G93" s="60">
        <v>43.37</v>
      </c>
      <c r="H93" s="60">
        <v>11.62</v>
      </c>
      <c r="I93" s="60">
        <v>4.04</v>
      </c>
      <c r="J93" s="60">
        <v>0.11</v>
      </c>
      <c r="K93" s="60">
        <v>229.8</v>
      </c>
      <c r="L93" s="60">
        <v>29.06</v>
      </c>
      <c r="M93" s="60">
        <v>50.09</v>
      </c>
      <c r="N93" s="60">
        <v>52.4</v>
      </c>
      <c r="O93" s="60">
        <v>0</v>
      </c>
      <c r="P93" s="60">
        <v>0.49</v>
      </c>
      <c r="Q93" s="60">
        <v>9.35</v>
      </c>
      <c r="R93" s="198"/>
      <c r="S93" s="198"/>
      <c r="T93" s="198"/>
      <c r="U93" s="198"/>
    </row>
    <row r="94" spans="1:26" s="12" customFormat="1" x14ac:dyDescent="0.25">
      <c r="A94" s="63">
        <v>45817.895833333336</v>
      </c>
      <c r="B94" s="60">
        <v>6.29</v>
      </c>
      <c r="C94" s="60">
        <v>25.47</v>
      </c>
      <c r="D94" s="60">
        <v>39.08</v>
      </c>
      <c r="E94" s="60">
        <v>5.77</v>
      </c>
      <c r="F94" s="60">
        <v>9.8800000000000008</v>
      </c>
      <c r="G94" s="60">
        <v>43.37</v>
      </c>
      <c r="H94" s="60">
        <v>11.62</v>
      </c>
      <c r="I94" s="60">
        <v>3.9</v>
      </c>
      <c r="J94" s="60">
        <v>0.03</v>
      </c>
      <c r="K94" s="60">
        <v>221.47</v>
      </c>
      <c r="L94" s="60">
        <v>28.97</v>
      </c>
      <c r="M94" s="60">
        <v>50.85</v>
      </c>
      <c r="N94" s="60">
        <v>52.3</v>
      </c>
      <c r="O94" s="60">
        <v>0</v>
      </c>
      <c r="P94" s="60">
        <v>0.47</v>
      </c>
      <c r="Q94" s="60">
        <v>9.3699999999999992</v>
      </c>
      <c r="R94" s="198"/>
      <c r="S94" s="198"/>
      <c r="T94" s="198"/>
      <c r="U94" s="198"/>
    </row>
    <row r="95" spans="1:26" s="12" customFormat="1" x14ac:dyDescent="0.25">
      <c r="A95" s="63">
        <v>45817.90625</v>
      </c>
      <c r="B95" s="60">
        <v>5.86</v>
      </c>
      <c r="C95" s="60">
        <v>24.8</v>
      </c>
      <c r="D95" s="60">
        <v>38.479999999999997</v>
      </c>
      <c r="E95" s="60">
        <v>6.08</v>
      </c>
      <c r="F95" s="60">
        <v>14.28</v>
      </c>
      <c r="G95" s="60">
        <v>43.37</v>
      </c>
      <c r="H95" s="60">
        <v>11.62</v>
      </c>
      <c r="I95" s="60">
        <v>3.92</v>
      </c>
      <c r="J95" s="60">
        <v>0.13</v>
      </c>
      <c r="K95" s="60">
        <v>180.45</v>
      </c>
      <c r="L95" s="60">
        <v>28.82</v>
      </c>
      <c r="M95" s="60">
        <v>52.25</v>
      </c>
      <c r="N95" s="60">
        <v>52.4</v>
      </c>
      <c r="O95" s="60">
        <v>0</v>
      </c>
      <c r="P95" s="60">
        <v>0.43</v>
      </c>
      <c r="Q95" s="60">
        <v>9.35</v>
      </c>
      <c r="R95" s="198"/>
      <c r="S95" s="198"/>
      <c r="T95" s="198"/>
      <c r="U95" s="198"/>
    </row>
    <row r="96" spans="1:26" s="12" customFormat="1" x14ac:dyDescent="0.25">
      <c r="A96" s="63">
        <v>45817.916666666664</v>
      </c>
      <c r="B96" s="60">
        <v>4.95</v>
      </c>
      <c r="C96" s="60">
        <v>27.6</v>
      </c>
      <c r="D96" s="60">
        <v>45.23</v>
      </c>
      <c r="E96" s="60">
        <v>6.12</v>
      </c>
      <c r="F96" s="60">
        <v>14.86</v>
      </c>
      <c r="G96" s="60">
        <v>43.06</v>
      </c>
      <c r="H96" s="60">
        <v>12.28</v>
      </c>
      <c r="I96" s="60">
        <v>4.04</v>
      </c>
      <c r="J96" s="60">
        <v>0.25</v>
      </c>
      <c r="K96" s="60">
        <v>150.94999999999999</v>
      </c>
      <c r="L96" s="60">
        <v>28.62</v>
      </c>
      <c r="M96" s="60">
        <v>54.09</v>
      </c>
      <c r="N96" s="60">
        <v>52.4</v>
      </c>
      <c r="O96" s="60">
        <v>0</v>
      </c>
      <c r="P96" s="60">
        <v>0.41</v>
      </c>
      <c r="Q96" s="60">
        <v>9.35</v>
      </c>
      <c r="R96" s="198"/>
      <c r="S96" s="198"/>
      <c r="T96" s="198"/>
      <c r="U96" s="198"/>
      <c r="Z96" s="109"/>
    </row>
    <row r="97" spans="1:33" s="12" customFormat="1" x14ac:dyDescent="0.25">
      <c r="A97" s="63">
        <v>45817.927083333336</v>
      </c>
      <c r="B97" s="60">
        <v>4.74</v>
      </c>
      <c r="C97" s="60">
        <v>24.42</v>
      </c>
      <c r="D97" s="60">
        <v>39.47</v>
      </c>
      <c r="E97" s="60">
        <v>6.33</v>
      </c>
      <c r="F97" s="60">
        <v>15.49</v>
      </c>
      <c r="G97" s="60">
        <v>42.71</v>
      </c>
      <c r="H97" s="60">
        <v>13.01</v>
      </c>
      <c r="I97" s="60">
        <v>3.94</v>
      </c>
      <c r="J97" s="60">
        <v>0.11</v>
      </c>
      <c r="K97" s="60">
        <v>148.09</v>
      </c>
      <c r="L97" s="60">
        <v>28.53</v>
      </c>
      <c r="M97" s="60">
        <v>54.61</v>
      </c>
      <c r="N97" s="60">
        <v>52.3</v>
      </c>
      <c r="O97" s="60">
        <v>0</v>
      </c>
      <c r="P97" s="60">
        <v>0.41</v>
      </c>
      <c r="Q97" s="60">
        <v>9.36</v>
      </c>
      <c r="R97" s="198"/>
      <c r="S97" s="198"/>
      <c r="T97" s="198"/>
      <c r="U97" s="198"/>
    </row>
    <row r="98" spans="1:33" s="12" customFormat="1" x14ac:dyDescent="0.25">
      <c r="A98" s="63">
        <v>45817.9375</v>
      </c>
      <c r="B98" s="60">
        <v>5.16</v>
      </c>
      <c r="C98" s="60">
        <v>25.36</v>
      </c>
      <c r="D98" s="60">
        <v>40.619999999999997</v>
      </c>
      <c r="E98" s="60">
        <v>6.32</v>
      </c>
      <c r="F98" s="60">
        <v>15.74</v>
      </c>
      <c r="G98" s="60">
        <v>42.71</v>
      </c>
      <c r="H98" s="60">
        <v>13.01</v>
      </c>
      <c r="I98" s="60">
        <v>4.0599999999999996</v>
      </c>
      <c r="J98" s="60">
        <v>7.0000000000000007E-2</v>
      </c>
      <c r="K98" s="60">
        <v>182.71</v>
      </c>
      <c r="L98" s="60">
        <v>28.44</v>
      </c>
      <c r="M98" s="60">
        <v>54.89</v>
      </c>
      <c r="N98" s="60">
        <v>52.2</v>
      </c>
      <c r="O98" s="60">
        <v>0</v>
      </c>
      <c r="P98" s="60">
        <v>0.39</v>
      </c>
      <c r="Q98" s="60">
        <v>9.3699999999999992</v>
      </c>
      <c r="R98" s="198"/>
      <c r="S98" s="198"/>
      <c r="T98" s="198"/>
      <c r="U98" s="198"/>
    </row>
    <row r="99" spans="1:33" s="12" customFormat="1" x14ac:dyDescent="0.25">
      <c r="A99" s="63">
        <v>45817.947916666664</v>
      </c>
      <c r="B99" s="60">
        <v>5.01</v>
      </c>
      <c r="C99" s="60">
        <v>22.19</v>
      </c>
      <c r="D99" s="60">
        <v>34.78</v>
      </c>
      <c r="E99" s="60">
        <v>6.41</v>
      </c>
      <c r="F99" s="60">
        <v>16.55</v>
      </c>
      <c r="G99" s="60">
        <v>42.71</v>
      </c>
      <c r="H99" s="60">
        <v>13.01</v>
      </c>
      <c r="I99" s="60">
        <v>4.0199999999999996</v>
      </c>
      <c r="J99" s="60">
        <v>0.08</v>
      </c>
      <c r="K99" s="60">
        <v>175.19</v>
      </c>
      <c r="L99" s="60">
        <v>28.39</v>
      </c>
      <c r="M99" s="60">
        <v>55.71</v>
      </c>
      <c r="N99" s="60">
        <v>52.2</v>
      </c>
      <c r="O99" s="60">
        <v>0</v>
      </c>
      <c r="P99" s="60">
        <v>0.37</v>
      </c>
      <c r="Q99" s="60">
        <v>9.3699999999999992</v>
      </c>
      <c r="R99" s="198"/>
      <c r="S99" s="198"/>
      <c r="T99" s="198"/>
      <c r="U99" s="198"/>
    </row>
    <row r="100" spans="1:33" s="12" customFormat="1" x14ac:dyDescent="0.25">
      <c r="A100" s="63">
        <v>45817.958333333336</v>
      </c>
      <c r="B100" s="60">
        <v>5.76</v>
      </c>
      <c r="C100" s="60">
        <v>23.53</v>
      </c>
      <c r="D100" s="60">
        <v>36.19</v>
      </c>
      <c r="E100" s="60">
        <v>6.57</v>
      </c>
      <c r="F100" s="60">
        <v>15.96</v>
      </c>
      <c r="G100" s="60">
        <v>41.44</v>
      </c>
      <c r="H100" s="60">
        <v>12.41</v>
      </c>
      <c r="I100" s="60">
        <v>4.07</v>
      </c>
      <c r="J100" s="60">
        <v>0.04</v>
      </c>
      <c r="K100" s="60">
        <v>300.64999999999998</v>
      </c>
      <c r="L100" s="60">
        <v>28.33</v>
      </c>
      <c r="M100" s="60">
        <v>56.67</v>
      </c>
      <c r="N100" s="60">
        <v>52.1</v>
      </c>
      <c r="O100" s="60">
        <v>0</v>
      </c>
      <c r="P100" s="60">
        <v>0.38</v>
      </c>
      <c r="Q100" s="60">
        <v>9.36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3">
        <v>45817.96875</v>
      </c>
      <c r="B101" s="60">
        <v>5.73</v>
      </c>
      <c r="C101" s="60">
        <v>21.7</v>
      </c>
      <c r="D101" s="60">
        <v>32.75</v>
      </c>
      <c r="E101" s="60">
        <v>6.42</v>
      </c>
      <c r="F101" s="60">
        <v>14.17</v>
      </c>
      <c r="G101" s="60">
        <v>40.06</v>
      </c>
      <c r="H101" s="60">
        <v>11.76</v>
      </c>
      <c r="I101" s="60">
        <v>4.09</v>
      </c>
      <c r="J101" s="60">
        <v>0.02</v>
      </c>
      <c r="K101" s="60">
        <v>212.18</v>
      </c>
      <c r="L101" s="60">
        <v>28.41</v>
      </c>
      <c r="M101" s="60">
        <v>57.3</v>
      </c>
      <c r="N101" s="60">
        <v>52</v>
      </c>
      <c r="O101" s="60">
        <v>0</v>
      </c>
      <c r="P101" s="60">
        <v>0.38</v>
      </c>
      <c r="Q101" s="60">
        <v>9.36</v>
      </c>
      <c r="R101" s="198"/>
      <c r="S101" s="198"/>
      <c r="T101" s="198"/>
      <c r="U101" s="198"/>
    </row>
    <row r="102" spans="1:33" s="12" customFormat="1" x14ac:dyDescent="0.25">
      <c r="A102" s="63">
        <v>45817.979166666664</v>
      </c>
      <c r="B102" s="60">
        <v>5.08</v>
      </c>
      <c r="C102" s="60">
        <v>20.58</v>
      </c>
      <c r="D102" s="60">
        <v>31.59</v>
      </c>
      <c r="E102" s="60">
        <v>6.18</v>
      </c>
      <c r="F102" s="60">
        <v>13.61</v>
      </c>
      <c r="G102" s="60">
        <v>40.06</v>
      </c>
      <c r="H102" s="60">
        <v>11.76</v>
      </c>
      <c r="I102" s="60">
        <v>4</v>
      </c>
      <c r="J102" s="60">
        <v>0.26</v>
      </c>
      <c r="K102" s="60">
        <v>171.77</v>
      </c>
      <c r="L102" s="60">
        <v>28.26</v>
      </c>
      <c r="M102" s="60">
        <v>59.19</v>
      </c>
      <c r="N102" s="60">
        <v>52.1</v>
      </c>
      <c r="O102" s="60">
        <v>0</v>
      </c>
      <c r="P102" s="60">
        <v>0.35</v>
      </c>
      <c r="Q102" s="60">
        <v>9.3699999999999992</v>
      </c>
      <c r="R102" s="198"/>
      <c r="S102" s="198"/>
      <c r="T102" s="198"/>
      <c r="U102" s="198"/>
    </row>
    <row r="103" spans="1:33" s="12" customFormat="1" x14ac:dyDescent="0.25">
      <c r="A103" s="63">
        <v>45817.989583333336</v>
      </c>
      <c r="B103" s="60">
        <v>5.93</v>
      </c>
      <c r="C103" s="60">
        <v>20.95</v>
      </c>
      <c r="D103" s="60">
        <v>31</v>
      </c>
      <c r="E103" s="60">
        <v>5.92</v>
      </c>
      <c r="F103" s="60">
        <v>8.01</v>
      </c>
      <c r="G103" s="60">
        <v>40.06</v>
      </c>
      <c r="H103" s="60">
        <v>11.76</v>
      </c>
      <c r="I103" s="60">
        <v>3.93</v>
      </c>
      <c r="J103" s="60">
        <v>0.54</v>
      </c>
      <c r="K103" s="60">
        <v>141.55000000000001</v>
      </c>
      <c r="L103" s="60">
        <v>27.95</v>
      </c>
      <c r="M103" s="60">
        <v>62.28</v>
      </c>
      <c r="N103" s="60">
        <v>52.4</v>
      </c>
      <c r="O103" s="60">
        <v>0</v>
      </c>
      <c r="P103" s="60">
        <v>0.41</v>
      </c>
      <c r="Q103" s="60">
        <v>9.35</v>
      </c>
      <c r="R103" s="198"/>
      <c r="S103" s="198"/>
      <c r="T103" s="198"/>
      <c r="U103" s="198"/>
    </row>
    <row r="104" spans="1:33" s="12" customFormat="1" x14ac:dyDescent="0.25">
      <c r="A104" s="60">
        <v>45818</v>
      </c>
      <c r="B104" s="60">
        <v>5.79</v>
      </c>
      <c r="C104" s="60">
        <v>19.73</v>
      </c>
      <c r="D104" s="60">
        <v>28.88</v>
      </c>
      <c r="E104" s="60">
        <v>6.13</v>
      </c>
      <c r="F104" s="60">
        <v>11.6</v>
      </c>
      <c r="G104" s="60">
        <v>39.729999999999997</v>
      </c>
      <c r="H104" s="60">
        <v>12.46</v>
      </c>
      <c r="I104" s="60">
        <v>3.89</v>
      </c>
      <c r="J104" s="60">
        <v>0.11</v>
      </c>
      <c r="K104" s="60">
        <v>179.39</v>
      </c>
      <c r="L104" s="60">
        <v>27.8</v>
      </c>
      <c r="M104" s="60">
        <v>63.52</v>
      </c>
      <c r="N104" s="60">
        <v>52.5</v>
      </c>
      <c r="O104" s="60">
        <v>0</v>
      </c>
      <c r="P104" s="60">
        <v>0.36</v>
      </c>
      <c r="Q104" s="60">
        <v>9.35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</v>
      </c>
      <c r="C106" s="67">
        <f>MIN(C9:C104)</f>
        <v>15.05</v>
      </c>
      <c r="D106" s="67">
        <f t="shared" ref="D106:Q106" si="0">MIN(D9:D104)</f>
        <v>21.38</v>
      </c>
      <c r="E106" s="67">
        <f t="shared" si="0"/>
        <v>4.91</v>
      </c>
      <c r="F106" s="67">
        <f t="shared" si="0"/>
        <v>4.1100000000000003</v>
      </c>
      <c r="G106" s="67">
        <f t="shared" si="0"/>
        <v>24.53</v>
      </c>
      <c r="H106" s="67">
        <f t="shared" si="0"/>
        <v>-15.89</v>
      </c>
      <c r="I106" s="67">
        <f t="shared" si="0"/>
        <v>3.81</v>
      </c>
      <c r="J106" s="67">
        <f t="shared" si="0"/>
        <v>0.02</v>
      </c>
      <c r="K106" s="67">
        <f t="shared" si="0"/>
        <v>68.34</v>
      </c>
      <c r="L106" s="67">
        <f t="shared" si="0"/>
        <v>26.6</v>
      </c>
      <c r="M106" s="67">
        <f t="shared" si="0"/>
        <v>35.43</v>
      </c>
      <c r="N106" s="67">
        <f t="shared" si="0"/>
        <v>49.6</v>
      </c>
      <c r="O106" s="67">
        <f t="shared" si="0"/>
        <v>0</v>
      </c>
      <c r="P106" s="67">
        <f t="shared" si="0"/>
        <v>0.24</v>
      </c>
      <c r="Q106" s="67">
        <f t="shared" si="0"/>
        <v>9.2100000000000009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8.01</v>
      </c>
      <c r="C107" s="66">
        <f t="shared" ref="C107:Q107" si="1">MAX(C9:C104)</f>
        <v>33.25</v>
      </c>
      <c r="D107" s="66">
        <f t="shared" si="1"/>
        <v>51.34</v>
      </c>
      <c r="E107" s="66">
        <f t="shared" si="1"/>
        <v>7.96</v>
      </c>
      <c r="F107" s="66">
        <f t="shared" si="1"/>
        <v>23.95</v>
      </c>
      <c r="G107" s="66">
        <f t="shared" si="1"/>
        <v>54.81</v>
      </c>
      <c r="H107" s="66">
        <f t="shared" si="1"/>
        <v>21.15</v>
      </c>
      <c r="I107" s="66">
        <f t="shared" si="1"/>
        <v>4.25</v>
      </c>
      <c r="J107" s="66">
        <f t="shared" si="1"/>
        <v>1.54</v>
      </c>
      <c r="K107" s="66">
        <f t="shared" si="1"/>
        <v>337.21</v>
      </c>
      <c r="L107" s="66">
        <f t="shared" si="1"/>
        <v>38.450000000000003</v>
      </c>
      <c r="M107" s="66">
        <f t="shared" si="1"/>
        <v>72.98</v>
      </c>
      <c r="N107" s="66">
        <f t="shared" si="1"/>
        <v>850.1</v>
      </c>
      <c r="O107" s="66">
        <f t="shared" si="1"/>
        <v>0</v>
      </c>
      <c r="P107" s="66">
        <f t="shared" si="1"/>
        <v>0.66</v>
      </c>
      <c r="Q107" s="66">
        <f t="shared" si="1"/>
        <v>9.3699999999999992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5.1446875000000007</v>
      </c>
      <c r="C108" s="67">
        <f t="shared" ref="C108:Q108" si="2">AVERAGE(C9:C104)</f>
        <v>21.179479166666663</v>
      </c>
      <c r="D108" s="67">
        <f t="shared" si="2"/>
        <v>32.641562500000006</v>
      </c>
      <c r="E108" s="67">
        <f t="shared" si="2"/>
        <v>6.0609374999999988</v>
      </c>
      <c r="F108" s="67">
        <f t="shared" si="2"/>
        <v>12.657187500000001</v>
      </c>
      <c r="G108" s="67">
        <f t="shared" si="2"/>
        <v>38.968749999999993</v>
      </c>
      <c r="H108" s="67">
        <f t="shared" si="2"/>
        <v>11.678645833333333</v>
      </c>
      <c r="I108" s="67">
        <f t="shared" si="2"/>
        <v>3.9977083333333332</v>
      </c>
      <c r="J108" s="67">
        <f t="shared" si="2"/>
        <v>0.27697916666666661</v>
      </c>
      <c r="K108" s="67">
        <f t="shared" si="2"/>
        <v>215.03614583333342</v>
      </c>
      <c r="L108" s="67">
        <f t="shared" si="2"/>
        <v>30.968437500000004</v>
      </c>
      <c r="M108" s="67">
        <f t="shared" si="2"/>
        <v>53.552500000000009</v>
      </c>
      <c r="N108" s="67">
        <f t="shared" si="2"/>
        <v>261.67812500000008</v>
      </c>
      <c r="O108" s="67">
        <f t="shared" si="2"/>
        <v>0</v>
      </c>
      <c r="P108" s="67">
        <f t="shared" si="2"/>
        <v>0.40364583333333331</v>
      </c>
      <c r="Q108" s="67">
        <f t="shared" si="2"/>
        <v>9.3014583333333363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1.0211767753816916</v>
      </c>
      <c r="C109" s="67">
        <f t="shared" ref="C109:Q109" si="3">STDEV(C9:C104)</f>
        <v>3.259844481208714</v>
      </c>
      <c r="D109" s="67">
        <f t="shared" si="3"/>
        <v>5.8174301304243006</v>
      </c>
      <c r="E109" s="67">
        <f t="shared" si="3"/>
        <v>0.82285136871735265</v>
      </c>
      <c r="F109" s="67">
        <f t="shared" si="3"/>
        <v>4.9258084462029403</v>
      </c>
      <c r="G109" s="67">
        <f t="shared" si="3"/>
        <v>8.0714919054006753</v>
      </c>
      <c r="H109" s="67">
        <f t="shared" si="3"/>
        <v>6.993739097791865</v>
      </c>
      <c r="I109" s="67">
        <f t="shared" si="3"/>
        <v>8.9000049280490989E-2</v>
      </c>
      <c r="J109" s="67">
        <f t="shared" si="3"/>
        <v>0.22754580703288232</v>
      </c>
      <c r="K109" s="67">
        <f t="shared" si="3"/>
        <v>66.235315725068517</v>
      </c>
      <c r="L109" s="67">
        <f t="shared" si="3"/>
        <v>3.4834209828013667</v>
      </c>
      <c r="M109" s="67">
        <f t="shared" si="3"/>
        <v>10.931463137009118</v>
      </c>
      <c r="N109" s="67">
        <f t="shared" si="3"/>
        <v>264.0325279813772</v>
      </c>
      <c r="O109" s="67">
        <f t="shared" si="3"/>
        <v>0</v>
      </c>
      <c r="P109" s="67">
        <f t="shared" si="3"/>
        <v>0.10643624028315739</v>
      </c>
      <c r="Q109" s="67">
        <f t="shared" si="3"/>
        <v>4.3721105746759019E-2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5" sqref="C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45818.010416666664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3">
        <v>45818.010416666664</v>
      </c>
      <c r="B9" s="60">
        <v>5.76</v>
      </c>
      <c r="C9" s="60">
        <v>19.350000000000001</v>
      </c>
      <c r="D9" s="60">
        <v>28.2</v>
      </c>
      <c r="E9" s="60">
        <v>5.89</v>
      </c>
      <c r="F9" s="60">
        <v>11.42</v>
      </c>
      <c r="G9" s="60">
        <v>39.369999999999997</v>
      </c>
      <c r="H9" s="60">
        <v>13.23</v>
      </c>
      <c r="I9" s="60">
        <v>3.96</v>
      </c>
      <c r="J9" s="60">
        <v>0.24</v>
      </c>
      <c r="K9" s="60">
        <v>148.41999999999999</v>
      </c>
      <c r="L9" s="60">
        <v>27.67</v>
      </c>
      <c r="M9" s="60">
        <v>65.42</v>
      </c>
      <c r="N9" s="60">
        <v>52.4</v>
      </c>
      <c r="O9" s="60">
        <v>0</v>
      </c>
      <c r="P9" s="60">
        <v>0.35</v>
      </c>
      <c r="Q9" s="60">
        <v>9.34</v>
      </c>
      <c r="R9" s="198"/>
      <c r="S9" s="198"/>
      <c r="T9" s="198"/>
      <c r="U9" s="198"/>
    </row>
    <row r="10" spans="1:21" s="12" customFormat="1" x14ac:dyDescent="0.25">
      <c r="A10" s="63">
        <v>45818.020833333336</v>
      </c>
      <c r="B10" s="60">
        <v>5.72</v>
      </c>
      <c r="C10" s="60">
        <v>18.39</v>
      </c>
      <c r="D10" s="60">
        <v>26.43</v>
      </c>
      <c r="E10" s="60">
        <v>5.89</v>
      </c>
      <c r="F10" s="60">
        <v>8.7799999999999994</v>
      </c>
      <c r="G10" s="60">
        <v>39.369999999999997</v>
      </c>
      <c r="H10" s="60">
        <v>13.23</v>
      </c>
      <c r="I10" s="60">
        <v>3.94</v>
      </c>
      <c r="J10" s="60">
        <v>0.13</v>
      </c>
      <c r="K10" s="60">
        <v>197.16</v>
      </c>
      <c r="L10" s="60">
        <v>27.6</v>
      </c>
      <c r="M10" s="60">
        <v>66.88</v>
      </c>
      <c r="N10" s="60">
        <v>52.4</v>
      </c>
      <c r="O10" s="60">
        <v>0</v>
      </c>
      <c r="P10" s="60">
        <v>0.37</v>
      </c>
      <c r="Q10" s="60">
        <v>9.33</v>
      </c>
      <c r="R10" s="198"/>
      <c r="S10" s="198"/>
      <c r="T10" s="198"/>
      <c r="U10" s="198"/>
    </row>
    <row r="11" spans="1:21" s="12" customFormat="1" x14ac:dyDescent="0.25">
      <c r="A11" s="63">
        <v>45818.03125</v>
      </c>
      <c r="B11" s="60">
        <v>5.55</v>
      </c>
      <c r="C11" s="60">
        <v>17.77</v>
      </c>
      <c r="D11" s="60">
        <v>25.5</v>
      </c>
      <c r="E11" s="60">
        <v>6.01</v>
      </c>
      <c r="F11" s="60">
        <v>11.7</v>
      </c>
      <c r="G11" s="60">
        <v>39.369999999999997</v>
      </c>
      <c r="H11" s="60">
        <v>13.23</v>
      </c>
      <c r="I11" s="60">
        <v>4.09</v>
      </c>
      <c r="J11" s="60">
        <v>0.13</v>
      </c>
      <c r="K11" s="60">
        <v>196.04</v>
      </c>
      <c r="L11" s="60">
        <v>27.53</v>
      </c>
      <c r="M11" s="60">
        <v>67.989999999999995</v>
      </c>
      <c r="N11" s="60">
        <v>52.4</v>
      </c>
      <c r="O11" s="60">
        <v>0</v>
      </c>
      <c r="P11" s="60">
        <v>0.32</v>
      </c>
      <c r="Q11" s="60">
        <v>9.32</v>
      </c>
      <c r="R11" s="198"/>
      <c r="S11" s="198"/>
      <c r="T11" s="198"/>
      <c r="U11" s="198"/>
    </row>
    <row r="12" spans="1:21" s="12" customFormat="1" x14ac:dyDescent="0.25">
      <c r="A12" s="63">
        <v>45818.041666666664</v>
      </c>
      <c r="B12" s="60">
        <v>5.6</v>
      </c>
      <c r="C12" s="60">
        <v>17.079999999999998</v>
      </c>
      <c r="D12" s="60">
        <v>24.11</v>
      </c>
      <c r="E12" s="60">
        <v>5.72</v>
      </c>
      <c r="F12" s="60">
        <v>10.02</v>
      </c>
      <c r="G12" s="60">
        <v>37.57</v>
      </c>
      <c r="H12" s="60">
        <v>11.84</v>
      </c>
      <c r="I12" s="60">
        <v>3.91</v>
      </c>
      <c r="J12" s="60">
        <v>0.11</v>
      </c>
      <c r="K12" s="60">
        <v>170.61</v>
      </c>
      <c r="L12" s="60">
        <v>27.45</v>
      </c>
      <c r="M12" s="60">
        <v>69.599999999999994</v>
      </c>
      <c r="N12" s="60">
        <v>52.4</v>
      </c>
      <c r="O12" s="60">
        <v>0</v>
      </c>
      <c r="P12" s="60">
        <v>0.34</v>
      </c>
      <c r="Q12" s="60">
        <v>9.3000000000000007</v>
      </c>
      <c r="R12" s="198"/>
      <c r="S12" s="198"/>
      <c r="T12" s="198"/>
      <c r="U12" s="198"/>
    </row>
    <row r="13" spans="1:21" s="12" customFormat="1" x14ac:dyDescent="0.25">
      <c r="A13" s="63">
        <v>45818.052083333336</v>
      </c>
      <c r="B13" s="60">
        <v>5.45</v>
      </c>
      <c r="C13" s="60">
        <v>17.41</v>
      </c>
      <c r="D13" s="60">
        <v>24.96</v>
      </c>
      <c r="E13" s="60">
        <v>5.83</v>
      </c>
      <c r="F13" s="60">
        <v>12.66</v>
      </c>
      <c r="G13" s="60">
        <v>35.61</v>
      </c>
      <c r="H13" s="60">
        <v>10.31</v>
      </c>
      <c r="I13" s="60">
        <v>3.86</v>
      </c>
      <c r="J13" s="60">
        <v>0.1</v>
      </c>
      <c r="K13" s="60">
        <v>203.39</v>
      </c>
      <c r="L13" s="60">
        <v>27.37</v>
      </c>
      <c r="M13" s="60">
        <v>70.650000000000006</v>
      </c>
      <c r="N13" s="60">
        <v>52.3</v>
      </c>
      <c r="O13" s="60">
        <v>0</v>
      </c>
      <c r="P13" s="60">
        <v>0.35</v>
      </c>
      <c r="Q13" s="60">
        <v>9.3000000000000007</v>
      </c>
      <c r="R13" s="198"/>
      <c r="S13" s="198"/>
      <c r="T13" s="198"/>
      <c r="U13" s="198"/>
    </row>
    <row r="14" spans="1:21" s="12" customFormat="1" x14ac:dyDescent="0.25">
      <c r="A14" s="63">
        <v>45818.0625</v>
      </c>
      <c r="B14" s="60">
        <v>5.59</v>
      </c>
      <c r="C14" s="60">
        <v>17.03</v>
      </c>
      <c r="D14" s="60">
        <v>24.01</v>
      </c>
      <c r="E14" s="60">
        <v>5.87</v>
      </c>
      <c r="F14" s="60">
        <v>7.98</v>
      </c>
      <c r="G14" s="60">
        <v>35.61</v>
      </c>
      <c r="H14" s="60">
        <v>10.31</v>
      </c>
      <c r="I14" s="60">
        <v>3.99</v>
      </c>
      <c r="J14" s="60">
        <v>0.13</v>
      </c>
      <c r="K14" s="60">
        <v>200.1</v>
      </c>
      <c r="L14" s="60">
        <v>27.26</v>
      </c>
      <c r="M14" s="60">
        <v>71.81</v>
      </c>
      <c r="N14" s="60">
        <v>52.3</v>
      </c>
      <c r="O14" s="60">
        <v>0</v>
      </c>
      <c r="P14" s="60">
        <v>0.4</v>
      </c>
      <c r="Q14" s="60">
        <v>9.2899999999999991</v>
      </c>
      <c r="R14" s="198"/>
      <c r="S14" s="198"/>
      <c r="T14" s="198"/>
      <c r="U14" s="198"/>
    </row>
    <row r="15" spans="1:21" s="12" customFormat="1" x14ac:dyDescent="0.25">
      <c r="A15" s="63">
        <v>45818.072916666664</v>
      </c>
      <c r="B15" s="60">
        <v>5.42</v>
      </c>
      <c r="C15" s="60">
        <v>17.489999999999998</v>
      </c>
      <c r="D15" s="60">
        <v>25.15</v>
      </c>
      <c r="E15" s="60">
        <v>6.05</v>
      </c>
      <c r="F15" s="60">
        <v>10.029999999999999</v>
      </c>
      <c r="G15" s="60">
        <v>35.61</v>
      </c>
      <c r="H15" s="60">
        <v>10.31</v>
      </c>
      <c r="I15" s="60">
        <v>4.17</v>
      </c>
      <c r="J15" s="60">
        <v>7.0000000000000007E-2</v>
      </c>
      <c r="K15" s="60">
        <v>185.87</v>
      </c>
      <c r="L15" s="60">
        <v>27.17</v>
      </c>
      <c r="M15" s="60">
        <v>73.27</v>
      </c>
      <c r="N15" s="60">
        <v>52.4</v>
      </c>
      <c r="O15" s="60">
        <v>0</v>
      </c>
      <c r="P15" s="60">
        <v>0.36</v>
      </c>
      <c r="Q15" s="60">
        <v>9.3000000000000007</v>
      </c>
      <c r="R15" s="198"/>
      <c r="S15" s="198"/>
      <c r="T15" s="198"/>
      <c r="U15" s="198"/>
    </row>
    <row r="16" spans="1:21" s="12" customFormat="1" x14ac:dyDescent="0.25">
      <c r="A16" s="63">
        <v>45818.083333333336</v>
      </c>
      <c r="B16" s="60">
        <v>5.15</v>
      </c>
      <c r="C16" s="60">
        <v>16</v>
      </c>
      <c r="D16" s="60">
        <v>22.72</v>
      </c>
      <c r="E16" s="60">
        <v>5.87</v>
      </c>
      <c r="F16" s="60">
        <v>9.23</v>
      </c>
      <c r="G16" s="60">
        <v>33.42</v>
      </c>
      <c r="H16" s="60">
        <v>8.7100000000000009</v>
      </c>
      <c r="I16" s="60">
        <v>3.9</v>
      </c>
      <c r="J16" s="60">
        <v>0.05</v>
      </c>
      <c r="K16" s="60">
        <v>248.18</v>
      </c>
      <c r="L16" s="60">
        <v>27.06</v>
      </c>
      <c r="M16" s="60">
        <v>74.239999999999995</v>
      </c>
      <c r="N16" s="60">
        <v>52.4</v>
      </c>
      <c r="O16" s="60">
        <v>0</v>
      </c>
      <c r="P16" s="60">
        <v>0.35</v>
      </c>
      <c r="Q16" s="60">
        <v>9.2899999999999991</v>
      </c>
      <c r="R16" s="198"/>
      <c r="S16" s="198"/>
      <c r="T16" s="198"/>
      <c r="U16" s="198"/>
    </row>
    <row r="17" spans="1:21" s="12" customFormat="1" x14ac:dyDescent="0.25">
      <c r="A17" s="63">
        <v>45818.09375</v>
      </c>
      <c r="B17" s="60">
        <v>4.99</v>
      </c>
      <c r="C17" s="60">
        <v>15.27</v>
      </c>
      <c r="D17" s="60">
        <v>21.57</v>
      </c>
      <c r="E17" s="60">
        <v>5.81</v>
      </c>
      <c r="F17" s="60">
        <v>12.8</v>
      </c>
      <c r="G17" s="60">
        <v>30.91</v>
      </c>
      <c r="H17" s="60">
        <v>6.88</v>
      </c>
      <c r="I17" s="60">
        <v>3.93</v>
      </c>
      <c r="J17" s="60">
        <v>0.03</v>
      </c>
      <c r="K17" s="60">
        <v>226.61</v>
      </c>
      <c r="L17" s="60">
        <v>26.98</v>
      </c>
      <c r="M17" s="60">
        <v>75.64</v>
      </c>
      <c r="N17" s="60">
        <v>52.2</v>
      </c>
      <c r="O17" s="60">
        <v>0</v>
      </c>
      <c r="P17" s="60">
        <v>0.34</v>
      </c>
      <c r="Q17" s="60">
        <v>9.2799999999999994</v>
      </c>
      <c r="R17" s="198"/>
      <c r="S17" s="198"/>
      <c r="T17" s="198"/>
      <c r="U17" s="198"/>
    </row>
    <row r="18" spans="1:21" s="12" customFormat="1" x14ac:dyDescent="0.25">
      <c r="A18" s="63">
        <v>45818.104166666664</v>
      </c>
      <c r="B18" s="60">
        <v>4.78</v>
      </c>
      <c r="C18" s="60">
        <v>14.63</v>
      </c>
      <c r="D18" s="60">
        <v>20.66</v>
      </c>
      <c r="E18" s="60">
        <v>5.73</v>
      </c>
      <c r="F18" s="60">
        <v>13.97</v>
      </c>
      <c r="G18" s="60">
        <v>30.91</v>
      </c>
      <c r="H18" s="60">
        <v>6.88</v>
      </c>
      <c r="I18" s="60">
        <v>3.92</v>
      </c>
      <c r="J18" s="60">
        <v>0.17</v>
      </c>
      <c r="K18" s="60">
        <v>173.31</v>
      </c>
      <c r="L18" s="60">
        <v>26.86</v>
      </c>
      <c r="M18" s="60">
        <v>78.040000000000006</v>
      </c>
      <c r="N18" s="60">
        <v>52.2</v>
      </c>
      <c r="O18" s="60">
        <v>0</v>
      </c>
      <c r="P18" s="60">
        <v>0.32</v>
      </c>
      <c r="Q18" s="60">
        <v>9.3000000000000007</v>
      </c>
      <c r="R18" s="198"/>
      <c r="S18" s="198"/>
      <c r="T18" s="198"/>
      <c r="U18" s="198"/>
    </row>
    <row r="19" spans="1:21" s="12" customFormat="1" x14ac:dyDescent="0.25">
      <c r="A19" s="63">
        <v>45818.114583333336</v>
      </c>
      <c r="B19" s="60">
        <v>4.91</v>
      </c>
      <c r="C19" s="60">
        <v>14.13</v>
      </c>
      <c r="D19" s="60">
        <v>19.510000000000002</v>
      </c>
      <c r="E19" s="60">
        <v>5.52</v>
      </c>
      <c r="F19" s="60">
        <v>13.15</v>
      </c>
      <c r="G19" s="60">
        <v>30.91</v>
      </c>
      <c r="H19" s="60">
        <v>6.88</v>
      </c>
      <c r="I19" s="60">
        <v>4.0199999999999996</v>
      </c>
      <c r="J19" s="60">
        <v>0.16</v>
      </c>
      <c r="K19" s="60">
        <v>194.39</v>
      </c>
      <c r="L19" s="60">
        <v>26.74</v>
      </c>
      <c r="M19" s="60">
        <v>79.59</v>
      </c>
      <c r="N19" s="60">
        <v>52.1</v>
      </c>
      <c r="O19" s="60">
        <v>0</v>
      </c>
      <c r="P19" s="60">
        <v>0.32</v>
      </c>
      <c r="Q19" s="60">
        <v>9.2899999999999991</v>
      </c>
      <c r="R19" s="198"/>
      <c r="S19" s="198"/>
      <c r="T19" s="198"/>
      <c r="U19" s="198"/>
    </row>
    <row r="20" spans="1:21" s="12" customFormat="1" x14ac:dyDescent="0.25">
      <c r="A20" s="63">
        <v>45818.125</v>
      </c>
      <c r="B20" s="60">
        <v>4.97</v>
      </c>
      <c r="C20" s="60">
        <v>14.13</v>
      </c>
      <c r="D20" s="60">
        <v>19.41</v>
      </c>
      <c r="E20" s="60">
        <v>6.03</v>
      </c>
      <c r="F20" s="60">
        <v>11.98</v>
      </c>
      <c r="G20" s="60">
        <v>31.2</v>
      </c>
      <c r="H20" s="60">
        <v>6.72</v>
      </c>
      <c r="I20" s="60">
        <v>3.98</v>
      </c>
      <c r="J20" s="60">
        <v>0.08</v>
      </c>
      <c r="K20" s="60">
        <v>238.19</v>
      </c>
      <c r="L20" s="60">
        <v>26.7</v>
      </c>
      <c r="M20" s="60">
        <v>80.34</v>
      </c>
      <c r="N20" s="60">
        <v>52.1</v>
      </c>
      <c r="O20" s="60">
        <v>0</v>
      </c>
      <c r="P20" s="60">
        <v>0.33</v>
      </c>
      <c r="Q20" s="60">
        <v>9.2899999999999991</v>
      </c>
      <c r="R20" s="198"/>
      <c r="S20" s="198"/>
      <c r="T20" s="198"/>
      <c r="U20" s="198"/>
    </row>
    <row r="21" spans="1:21" s="12" customFormat="1" x14ac:dyDescent="0.25">
      <c r="A21" s="63">
        <v>45818.135416666664</v>
      </c>
      <c r="B21" s="60">
        <v>5.42</v>
      </c>
      <c r="C21" s="60">
        <v>15.11</v>
      </c>
      <c r="D21" s="60">
        <v>20.59</v>
      </c>
      <c r="E21" s="60">
        <v>6.23</v>
      </c>
      <c r="F21" s="60">
        <v>10.69</v>
      </c>
      <c r="G21" s="60">
        <v>31.53</v>
      </c>
      <c r="H21" s="60">
        <v>6.54</v>
      </c>
      <c r="I21" s="60">
        <v>3.95</v>
      </c>
      <c r="J21" s="60">
        <v>0.09</v>
      </c>
      <c r="K21" s="60">
        <v>274.08</v>
      </c>
      <c r="L21" s="60">
        <v>26.71</v>
      </c>
      <c r="M21" s="60">
        <v>79.569999999999993</v>
      </c>
      <c r="N21" s="60">
        <v>52</v>
      </c>
      <c r="O21" s="60">
        <v>0</v>
      </c>
      <c r="P21" s="60">
        <v>0.32</v>
      </c>
      <c r="Q21" s="60">
        <v>9.31</v>
      </c>
      <c r="R21" s="198"/>
      <c r="S21" s="198"/>
      <c r="T21" s="198"/>
      <c r="U21" s="198"/>
    </row>
    <row r="22" spans="1:21" s="12" customFormat="1" x14ac:dyDescent="0.25">
      <c r="A22" s="63">
        <v>45818.145833333336</v>
      </c>
      <c r="B22" s="60">
        <v>5.49</v>
      </c>
      <c r="C22" s="60">
        <v>15.11</v>
      </c>
      <c r="D22" s="60">
        <v>20.49</v>
      </c>
      <c r="E22" s="60">
        <v>5.97</v>
      </c>
      <c r="F22" s="60">
        <v>11.25</v>
      </c>
      <c r="G22" s="60">
        <v>31.53</v>
      </c>
      <c r="H22" s="60">
        <v>6.54</v>
      </c>
      <c r="I22" s="60">
        <v>4.1100000000000003</v>
      </c>
      <c r="J22" s="60">
        <v>0.1</v>
      </c>
      <c r="K22" s="60">
        <v>197.29</v>
      </c>
      <c r="L22" s="60">
        <v>26.64</v>
      </c>
      <c r="M22" s="60">
        <v>80.41</v>
      </c>
      <c r="N22" s="60">
        <v>52</v>
      </c>
      <c r="O22" s="60">
        <v>0</v>
      </c>
      <c r="P22" s="60">
        <v>0.33</v>
      </c>
      <c r="Q22" s="60">
        <v>9.31</v>
      </c>
      <c r="R22" s="198"/>
      <c r="S22" s="198"/>
      <c r="T22" s="198"/>
      <c r="U22" s="198"/>
    </row>
    <row r="23" spans="1:21" s="12" customFormat="1" x14ac:dyDescent="0.25">
      <c r="A23" s="63">
        <v>45818.15625</v>
      </c>
      <c r="B23" s="60">
        <v>5.37</v>
      </c>
      <c r="C23" s="60">
        <v>14.86</v>
      </c>
      <c r="D23" s="60">
        <v>20.190000000000001</v>
      </c>
      <c r="E23" s="60">
        <v>6</v>
      </c>
      <c r="F23" s="60">
        <v>11.67</v>
      </c>
      <c r="G23" s="60">
        <v>31.53</v>
      </c>
      <c r="H23" s="60">
        <v>6.54</v>
      </c>
      <c r="I23" s="60">
        <v>4.05</v>
      </c>
      <c r="J23" s="60">
        <v>0.15</v>
      </c>
      <c r="K23" s="60">
        <v>176.57</v>
      </c>
      <c r="L23" s="60">
        <v>26.46</v>
      </c>
      <c r="M23" s="60">
        <v>82.2</v>
      </c>
      <c r="N23" s="60">
        <v>52.2</v>
      </c>
      <c r="O23" s="60">
        <v>0</v>
      </c>
      <c r="P23" s="60">
        <v>0.32</v>
      </c>
      <c r="Q23" s="60">
        <v>9.3000000000000007</v>
      </c>
      <c r="R23" s="198"/>
      <c r="S23" s="198"/>
      <c r="T23" s="198"/>
      <c r="U23" s="198"/>
    </row>
    <row r="24" spans="1:21" s="12" customFormat="1" x14ac:dyDescent="0.25">
      <c r="A24" s="63">
        <v>45818.166666666664</v>
      </c>
      <c r="B24" s="60">
        <v>5.51</v>
      </c>
      <c r="C24" s="60">
        <v>16.170000000000002</v>
      </c>
      <c r="D24" s="60">
        <v>22.49</v>
      </c>
      <c r="E24" s="60">
        <v>5.92</v>
      </c>
      <c r="F24" s="60">
        <v>9.11</v>
      </c>
      <c r="G24" s="60">
        <v>31.19</v>
      </c>
      <c r="H24" s="60">
        <v>6.75</v>
      </c>
      <c r="I24" s="60">
        <v>4.04</v>
      </c>
      <c r="J24" s="60">
        <v>0.25</v>
      </c>
      <c r="K24" s="60">
        <v>163.36000000000001</v>
      </c>
      <c r="L24" s="60">
        <v>26.19</v>
      </c>
      <c r="M24" s="60">
        <v>84.44</v>
      </c>
      <c r="N24" s="60">
        <v>52.3</v>
      </c>
      <c r="O24" s="60">
        <v>0</v>
      </c>
      <c r="P24" s="60">
        <v>0.32</v>
      </c>
      <c r="Q24" s="60">
        <v>9.31</v>
      </c>
      <c r="R24" s="198"/>
      <c r="S24" s="198"/>
      <c r="T24" s="198"/>
      <c r="U24" s="198"/>
    </row>
    <row r="25" spans="1:21" s="12" customFormat="1" x14ac:dyDescent="0.25">
      <c r="A25" s="63">
        <v>45818.177083333336</v>
      </c>
      <c r="B25" s="60">
        <v>6.58</v>
      </c>
      <c r="C25" s="60">
        <v>17.420000000000002</v>
      </c>
      <c r="D25" s="60">
        <v>23.25</v>
      </c>
      <c r="E25" s="60">
        <v>6.04</v>
      </c>
      <c r="F25" s="60">
        <v>6.73</v>
      </c>
      <c r="G25" s="60">
        <v>30.81</v>
      </c>
      <c r="H25" s="60">
        <v>6.97</v>
      </c>
      <c r="I25" s="60">
        <v>3.96</v>
      </c>
      <c r="J25" s="60">
        <v>0.11</v>
      </c>
      <c r="K25" s="60">
        <v>236.44</v>
      </c>
      <c r="L25" s="60">
        <v>26.06</v>
      </c>
      <c r="M25" s="60">
        <v>85.04</v>
      </c>
      <c r="N25" s="60">
        <v>52.3</v>
      </c>
      <c r="O25" s="60">
        <v>0</v>
      </c>
      <c r="P25" s="60">
        <v>0.34</v>
      </c>
      <c r="Q25" s="60">
        <v>9.31</v>
      </c>
      <c r="R25" s="198"/>
      <c r="S25" s="198"/>
      <c r="T25" s="198"/>
      <c r="U25" s="198"/>
    </row>
    <row r="26" spans="1:21" s="12" customFormat="1" x14ac:dyDescent="0.25">
      <c r="A26" s="63">
        <v>45818.1875</v>
      </c>
      <c r="B26" s="60">
        <v>6.84</v>
      </c>
      <c r="C26" s="60">
        <v>17.59</v>
      </c>
      <c r="D26" s="60">
        <v>23.17</v>
      </c>
      <c r="E26" s="60">
        <v>5.98</v>
      </c>
      <c r="F26" s="60">
        <v>5.26</v>
      </c>
      <c r="G26" s="60">
        <v>30.81</v>
      </c>
      <c r="H26" s="60">
        <v>6.97</v>
      </c>
      <c r="I26" s="60">
        <v>3.93</v>
      </c>
      <c r="J26" s="60">
        <v>0.09</v>
      </c>
      <c r="K26" s="60">
        <v>282.83</v>
      </c>
      <c r="L26" s="60">
        <v>26.11</v>
      </c>
      <c r="M26" s="60">
        <v>82.86</v>
      </c>
      <c r="N26" s="60">
        <v>52.1</v>
      </c>
      <c r="O26" s="60">
        <v>0</v>
      </c>
      <c r="P26" s="60">
        <v>0.35</v>
      </c>
      <c r="Q26" s="60">
        <v>9.31</v>
      </c>
      <c r="R26" s="198"/>
      <c r="S26" s="198"/>
      <c r="T26" s="198"/>
      <c r="U26" s="198"/>
    </row>
    <row r="27" spans="1:21" s="12" customFormat="1" x14ac:dyDescent="0.25">
      <c r="A27" s="63">
        <v>45818.197916666664</v>
      </c>
      <c r="B27" s="60">
        <v>7.02</v>
      </c>
      <c r="C27" s="60">
        <v>18.260000000000002</v>
      </c>
      <c r="D27" s="60">
        <v>24.17</v>
      </c>
      <c r="E27" s="60">
        <v>5.9</v>
      </c>
      <c r="F27" s="60">
        <v>5.08</v>
      </c>
      <c r="G27" s="60">
        <v>30.81</v>
      </c>
      <c r="H27" s="60">
        <v>6.97</v>
      </c>
      <c r="I27" s="60">
        <v>3.97</v>
      </c>
      <c r="J27" s="60">
        <v>0.1</v>
      </c>
      <c r="K27" s="60">
        <v>301.95999999999998</v>
      </c>
      <c r="L27" s="60">
        <v>26.26</v>
      </c>
      <c r="M27" s="60">
        <v>78.319999999999993</v>
      </c>
      <c r="N27" s="60">
        <v>52</v>
      </c>
      <c r="O27" s="60">
        <v>0</v>
      </c>
      <c r="P27" s="60">
        <v>0.34</v>
      </c>
      <c r="Q27" s="60">
        <v>9.2899999999999991</v>
      </c>
      <c r="R27" s="198"/>
      <c r="S27" s="198"/>
      <c r="T27" s="198"/>
      <c r="U27" s="198"/>
    </row>
    <row r="28" spans="1:21" s="12" customFormat="1" x14ac:dyDescent="0.25">
      <c r="A28" s="63">
        <v>45818.208333333336</v>
      </c>
      <c r="B28" s="60">
        <v>7</v>
      </c>
      <c r="C28" s="60">
        <v>18.059999999999999</v>
      </c>
      <c r="D28" s="60">
        <v>23.83</v>
      </c>
      <c r="E28" s="60">
        <v>5.68</v>
      </c>
      <c r="F28" s="60">
        <v>5.2</v>
      </c>
      <c r="G28" s="60">
        <v>29.56</v>
      </c>
      <c r="H28" s="60">
        <v>11.77</v>
      </c>
      <c r="I28" s="60">
        <v>4.01</v>
      </c>
      <c r="J28" s="60">
        <v>0.16</v>
      </c>
      <c r="K28" s="60">
        <v>293.57</v>
      </c>
      <c r="L28" s="60">
        <v>26.35</v>
      </c>
      <c r="M28" s="60">
        <v>73.989999999999995</v>
      </c>
      <c r="N28" s="60">
        <v>52.1</v>
      </c>
      <c r="O28" s="60">
        <v>0</v>
      </c>
      <c r="P28" s="60">
        <v>0.35</v>
      </c>
      <c r="Q28" s="60">
        <v>9.2799999999999994</v>
      </c>
      <c r="R28" s="198"/>
      <c r="S28" s="198"/>
      <c r="T28" s="198"/>
      <c r="U28" s="198"/>
    </row>
    <row r="29" spans="1:21" s="12" customFormat="1" x14ac:dyDescent="0.25">
      <c r="A29" s="63">
        <v>45818.21875</v>
      </c>
      <c r="B29" s="60">
        <v>6.67</v>
      </c>
      <c r="C29" s="60">
        <v>19.04</v>
      </c>
      <c r="D29" s="60">
        <v>26.2</v>
      </c>
      <c r="E29" s="60">
        <v>5.82</v>
      </c>
      <c r="F29" s="60">
        <v>5</v>
      </c>
      <c r="G29" s="60">
        <v>28.13</v>
      </c>
      <c r="H29" s="60">
        <v>17.260000000000002</v>
      </c>
      <c r="I29" s="60">
        <v>4.1100000000000003</v>
      </c>
      <c r="J29" s="60">
        <v>0.19</v>
      </c>
      <c r="K29" s="60">
        <v>283.43</v>
      </c>
      <c r="L29" s="60">
        <v>26.33</v>
      </c>
      <c r="M29" s="60">
        <v>71.89</v>
      </c>
      <c r="N29" s="60">
        <v>53</v>
      </c>
      <c r="O29" s="60">
        <v>0</v>
      </c>
      <c r="P29" s="60">
        <v>0.33</v>
      </c>
      <c r="Q29" s="60">
        <v>9.2799999999999994</v>
      </c>
      <c r="R29" s="198"/>
      <c r="S29" s="198"/>
      <c r="T29" s="198"/>
      <c r="U29" s="198"/>
    </row>
    <row r="30" spans="1:21" s="12" customFormat="1" x14ac:dyDescent="0.25">
      <c r="A30" s="63">
        <v>45818.229166666664</v>
      </c>
      <c r="B30" s="60">
        <v>6.41</v>
      </c>
      <c r="C30" s="60">
        <v>19.420000000000002</v>
      </c>
      <c r="D30" s="60">
        <v>27.31</v>
      </c>
      <c r="E30" s="60">
        <v>5.49</v>
      </c>
      <c r="F30" s="60">
        <v>4.75</v>
      </c>
      <c r="G30" s="60">
        <v>28.13</v>
      </c>
      <c r="H30" s="60">
        <v>17.260000000000002</v>
      </c>
      <c r="I30" s="60">
        <v>4.05</v>
      </c>
      <c r="J30" s="60">
        <v>0.15</v>
      </c>
      <c r="K30" s="60">
        <v>295.20999999999998</v>
      </c>
      <c r="L30" s="60">
        <v>26.27</v>
      </c>
      <c r="M30" s="60">
        <v>71.260000000000005</v>
      </c>
      <c r="N30" s="60">
        <v>56</v>
      </c>
      <c r="O30" s="60">
        <v>0</v>
      </c>
      <c r="P30" s="60">
        <v>0.34</v>
      </c>
      <c r="Q30" s="60">
        <v>9.2799999999999994</v>
      </c>
      <c r="R30" s="198"/>
      <c r="S30" s="198"/>
      <c r="T30" s="198"/>
      <c r="U30" s="198"/>
    </row>
    <row r="31" spans="1:21" s="12" customFormat="1" x14ac:dyDescent="0.25">
      <c r="A31" s="63">
        <v>45818.239583333336</v>
      </c>
      <c r="B31" s="60">
        <v>6.12</v>
      </c>
      <c r="C31" s="60">
        <v>19.43</v>
      </c>
      <c r="D31" s="60">
        <v>27.79</v>
      </c>
      <c r="E31" s="60">
        <v>5.96</v>
      </c>
      <c r="F31" s="60">
        <v>4.58</v>
      </c>
      <c r="G31" s="60">
        <v>28.13</v>
      </c>
      <c r="H31" s="60">
        <v>17.260000000000002</v>
      </c>
      <c r="I31" s="60">
        <v>4.1399999999999997</v>
      </c>
      <c r="J31" s="60">
        <v>0.1</v>
      </c>
      <c r="K31" s="60">
        <v>281.64</v>
      </c>
      <c r="L31" s="60">
        <v>26.24</v>
      </c>
      <c r="M31" s="60">
        <v>71.42</v>
      </c>
      <c r="N31" s="60">
        <v>61.4</v>
      </c>
      <c r="O31" s="60">
        <v>0</v>
      </c>
      <c r="P31" s="60">
        <v>0.33</v>
      </c>
      <c r="Q31" s="60">
        <v>9.2799999999999994</v>
      </c>
      <c r="R31" s="198"/>
      <c r="S31" s="198"/>
      <c r="T31" s="198"/>
      <c r="U31" s="198"/>
    </row>
    <row r="32" spans="1:21" s="12" customFormat="1" x14ac:dyDescent="0.25">
      <c r="A32" s="63">
        <v>45818.25</v>
      </c>
      <c r="B32" s="60">
        <v>5.85</v>
      </c>
      <c r="C32" s="60">
        <v>19.64</v>
      </c>
      <c r="D32" s="60">
        <v>28.62</v>
      </c>
      <c r="E32" s="60">
        <v>5.44</v>
      </c>
      <c r="F32" s="60">
        <v>4.25</v>
      </c>
      <c r="G32" s="60">
        <v>28.05</v>
      </c>
      <c r="H32" s="60">
        <v>16.399999999999999</v>
      </c>
      <c r="I32" s="60">
        <v>3.93</v>
      </c>
      <c r="J32" s="60">
        <v>0.14000000000000001</v>
      </c>
      <c r="K32" s="60">
        <v>287.18</v>
      </c>
      <c r="L32" s="60">
        <v>26.18</v>
      </c>
      <c r="M32" s="60">
        <v>71.89</v>
      </c>
      <c r="N32" s="60">
        <v>70.8</v>
      </c>
      <c r="O32" s="60">
        <v>0</v>
      </c>
      <c r="P32" s="60">
        <v>0.35</v>
      </c>
      <c r="Q32" s="60">
        <v>9.27</v>
      </c>
      <c r="R32" s="198"/>
      <c r="S32" s="198"/>
      <c r="T32" s="198"/>
      <c r="U32" s="198"/>
    </row>
    <row r="33" spans="1:21" s="12" customFormat="1" x14ac:dyDescent="0.25">
      <c r="A33" s="63">
        <v>45818.260416666664</v>
      </c>
      <c r="B33" s="60">
        <v>6.01</v>
      </c>
      <c r="C33" s="60">
        <v>19.600000000000001</v>
      </c>
      <c r="D33" s="60">
        <v>28.28</v>
      </c>
      <c r="E33" s="60">
        <v>5.59</v>
      </c>
      <c r="F33" s="60">
        <v>4.1500000000000004</v>
      </c>
      <c r="G33" s="60">
        <v>27.96</v>
      </c>
      <c r="H33" s="60">
        <v>15.42</v>
      </c>
      <c r="I33" s="60">
        <v>3.95</v>
      </c>
      <c r="J33" s="60">
        <v>0.13</v>
      </c>
      <c r="K33" s="60">
        <v>291.81</v>
      </c>
      <c r="L33" s="60">
        <v>26.16</v>
      </c>
      <c r="M33" s="60">
        <v>72.37</v>
      </c>
      <c r="N33" s="60">
        <v>85.2</v>
      </c>
      <c r="O33" s="60">
        <v>0</v>
      </c>
      <c r="P33" s="60">
        <v>0.34</v>
      </c>
      <c r="Q33" s="60">
        <v>9.27</v>
      </c>
      <c r="R33" s="198"/>
      <c r="S33" s="198"/>
      <c r="T33" s="198"/>
      <c r="U33" s="198"/>
    </row>
    <row r="34" spans="1:21" s="12" customFormat="1" x14ac:dyDescent="0.25">
      <c r="A34" s="63">
        <v>45818.270833333336</v>
      </c>
      <c r="B34" s="60">
        <v>7.95</v>
      </c>
      <c r="C34" s="60">
        <v>22.36</v>
      </c>
      <c r="D34" s="60">
        <v>30.58</v>
      </c>
      <c r="E34" s="60">
        <v>5.79</v>
      </c>
      <c r="F34" s="60">
        <v>5.35</v>
      </c>
      <c r="G34" s="60">
        <v>27.96</v>
      </c>
      <c r="H34" s="60">
        <v>15.42</v>
      </c>
      <c r="I34" s="60">
        <v>3.93</v>
      </c>
      <c r="J34" s="60">
        <v>0.14000000000000001</v>
      </c>
      <c r="K34" s="60">
        <v>282.18</v>
      </c>
      <c r="L34" s="60">
        <v>26.3</v>
      </c>
      <c r="M34" s="60">
        <v>72.42</v>
      </c>
      <c r="N34" s="60">
        <v>108.4</v>
      </c>
      <c r="O34" s="60">
        <v>0</v>
      </c>
      <c r="P34" s="60">
        <v>0.35</v>
      </c>
      <c r="Q34" s="60">
        <v>9.2799999999999994</v>
      </c>
      <c r="R34" s="198"/>
      <c r="S34" s="198"/>
      <c r="T34" s="198"/>
      <c r="U34" s="198"/>
    </row>
    <row r="35" spans="1:21" s="12" customFormat="1" x14ac:dyDescent="0.25">
      <c r="A35" s="63">
        <v>45818.28125</v>
      </c>
      <c r="B35" s="60">
        <v>9.75</v>
      </c>
      <c r="C35" s="60">
        <v>26.05</v>
      </c>
      <c r="D35" s="60">
        <v>34.89</v>
      </c>
      <c r="E35" s="60">
        <v>5.97</v>
      </c>
      <c r="F35" s="60">
        <v>7.82</v>
      </c>
      <c r="G35" s="60">
        <v>27.96</v>
      </c>
      <c r="H35" s="60">
        <v>15.42</v>
      </c>
      <c r="I35" s="60">
        <v>4.0999999999999996</v>
      </c>
      <c r="J35" s="60">
        <v>0.17</v>
      </c>
      <c r="K35" s="60">
        <v>284.25</v>
      </c>
      <c r="L35" s="60">
        <v>26.54</v>
      </c>
      <c r="M35" s="60">
        <v>71.84</v>
      </c>
      <c r="N35" s="60">
        <v>138.19999999999999</v>
      </c>
      <c r="O35" s="60">
        <v>0</v>
      </c>
      <c r="P35" s="60">
        <v>0.36</v>
      </c>
      <c r="Q35" s="60">
        <v>9.2899999999999991</v>
      </c>
      <c r="R35" s="198"/>
      <c r="S35" s="198"/>
      <c r="T35" s="198"/>
      <c r="U35" s="198"/>
    </row>
    <row r="36" spans="1:21" s="12" customFormat="1" x14ac:dyDescent="0.25">
      <c r="A36" s="63">
        <v>45818.291666666664</v>
      </c>
      <c r="B36" s="60">
        <v>7.5</v>
      </c>
      <c r="C36" s="60">
        <v>23.22</v>
      </c>
      <c r="D36" s="60">
        <v>32.93</v>
      </c>
      <c r="E36" s="60">
        <v>5.44</v>
      </c>
      <c r="F36" s="60">
        <v>8.31</v>
      </c>
      <c r="G36" s="60">
        <v>29.01</v>
      </c>
      <c r="H36" s="60">
        <v>14.31</v>
      </c>
      <c r="I36" s="60">
        <v>3.95</v>
      </c>
      <c r="J36" s="60">
        <v>0.15</v>
      </c>
      <c r="K36" s="60">
        <v>280.20999999999998</v>
      </c>
      <c r="L36" s="60">
        <v>26.9</v>
      </c>
      <c r="M36" s="60">
        <v>70.47</v>
      </c>
      <c r="N36" s="60">
        <v>169.8</v>
      </c>
      <c r="O36" s="60">
        <v>0</v>
      </c>
      <c r="P36" s="60">
        <v>0.36</v>
      </c>
      <c r="Q36" s="60">
        <v>9.3000000000000007</v>
      </c>
      <c r="R36" s="198"/>
      <c r="S36" s="198"/>
      <c r="T36" s="198"/>
      <c r="U36" s="198"/>
    </row>
    <row r="37" spans="1:21" s="12" customFormat="1" x14ac:dyDescent="0.25">
      <c r="A37" s="63">
        <v>45818.302083333336</v>
      </c>
      <c r="B37" s="60">
        <v>6.91</v>
      </c>
      <c r="C37" s="60">
        <v>21.06</v>
      </c>
      <c r="D37" s="60">
        <v>29.71</v>
      </c>
      <c r="E37" s="60">
        <v>5.4</v>
      </c>
      <c r="F37" s="60">
        <v>8.2100000000000009</v>
      </c>
      <c r="G37" s="60">
        <v>30.22</v>
      </c>
      <c r="H37" s="60">
        <v>13.04</v>
      </c>
      <c r="I37" s="60">
        <v>4.17</v>
      </c>
      <c r="J37" s="60">
        <v>0.14000000000000001</v>
      </c>
      <c r="K37" s="60">
        <v>285.27</v>
      </c>
      <c r="L37" s="60">
        <v>27.08</v>
      </c>
      <c r="M37" s="60">
        <v>70.430000000000007</v>
      </c>
      <c r="N37" s="60">
        <v>206.3</v>
      </c>
      <c r="O37" s="60">
        <v>0</v>
      </c>
      <c r="P37" s="60">
        <v>0.35</v>
      </c>
      <c r="Q37" s="60">
        <v>9.3000000000000007</v>
      </c>
      <c r="R37" s="198"/>
      <c r="S37" s="198"/>
      <c r="T37" s="198"/>
      <c r="U37" s="198"/>
    </row>
    <row r="38" spans="1:21" s="12" customFormat="1" x14ac:dyDescent="0.25">
      <c r="A38" s="63">
        <v>45818.3125</v>
      </c>
      <c r="B38" s="60">
        <v>8.07</v>
      </c>
      <c r="C38" s="60">
        <v>20.47</v>
      </c>
      <c r="D38" s="60">
        <v>26.79</v>
      </c>
      <c r="E38" s="60">
        <v>5.5</v>
      </c>
      <c r="F38" s="60">
        <v>6.83</v>
      </c>
      <c r="G38" s="60">
        <v>30.22</v>
      </c>
      <c r="H38" s="60">
        <v>13.04</v>
      </c>
      <c r="I38" s="60">
        <v>3.88</v>
      </c>
      <c r="J38" s="60">
        <v>0.17</v>
      </c>
      <c r="K38" s="60">
        <v>278.22000000000003</v>
      </c>
      <c r="L38" s="60">
        <v>27.56</v>
      </c>
      <c r="M38" s="60">
        <v>68.099999999999994</v>
      </c>
      <c r="N38" s="60">
        <v>228.8</v>
      </c>
      <c r="O38" s="60">
        <v>0</v>
      </c>
      <c r="P38" s="60">
        <v>0.39</v>
      </c>
      <c r="Q38" s="60">
        <v>9.32</v>
      </c>
      <c r="R38" s="198"/>
      <c r="S38" s="198"/>
      <c r="T38" s="198"/>
      <c r="U38" s="198"/>
    </row>
    <row r="39" spans="1:21" s="12" customFormat="1" x14ac:dyDescent="0.25">
      <c r="A39" s="63">
        <v>45818.322916666664</v>
      </c>
      <c r="B39" s="60">
        <v>6.87</v>
      </c>
      <c r="C39" s="60">
        <v>20.22</v>
      </c>
      <c r="D39" s="60">
        <v>28.17</v>
      </c>
      <c r="E39" s="60">
        <v>5.86</v>
      </c>
      <c r="F39" s="60">
        <v>6.79</v>
      </c>
      <c r="G39" s="60">
        <v>30.22</v>
      </c>
      <c r="H39" s="60">
        <v>13.04</v>
      </c>
      <c r="I39" s="60">
        <v>4.1900000000000004</v>
      </c>
      <c r="J39" s="60">
        <v>0.22</v>
      </c>
      <c r="K39" s="60">
        <v>280.08999999999997</v>
      </c>
      <c r="L39" s="60">
        <v>27.73</v>
      </c>
      <c r="M39" s="60">
        <v>67.33</v>
      </c>
      <c r="N39" s="60">
        <v>228.5</v>
      </c>
      <c r="O39" s="60">
        <v>0</v>
      </c>
      <c r="P39" s="60">
        <v>0.41</v>
      </c>
      <c r="Q39" s="60">
        <v>9.34</v>
      </c>
      <c r="R39" s="198"/>
      <c r="S39" s="198"/>
      <c r="T39" s="198"/>
      <c r="U39" s="198"/>
    </row>
    <row r="40" spans="1:21" s="12" customFormat="1" x14ac:dyDescent="0.25">
      <c r="A40" s="63">
        <v>45818.333333333336</v>
      </c>
      <c r="B40" s="60">
        <v>7.22</v>
      </c>
      <c r="C40" s="60">
        <v>22.14</v>
      </c>
      <c r="D40" s="60">
        <v>31.29</v>
      </c>
      <c r="E40" s="60">
        <v>4.67</v>
      </c>
      <c r="F40" s="60">
        <v>7.02</v>
      </c>
      <c r="G40" s="60">
        <v>31.87</v>
      </c>
      <c r="H40" s="60">
        <v>14.79</v>
      </c>
      <c r="I40" s="60">
        <v>3.89</v>
      </c>
      <c r="J40" s="60">
        <v>0.21</v>
      </c>
      <c r="K40" s="60">
        <v>276.25</v>
      </c>
      <c r="L40" s="60">
        <v>28.17</v>
      </c>
      <c r="M40" s="60">
        <v>65.599999999999994</v>
      </c>
      <c r="N40" s="60">
        <v>239.6</v>
      </c>
      <c r="O40" s="60">
        <v>0</v>
      </c>
      <c r="P40" s="60">
        <v>0.44</v>
      </c>
      <c r="Q40" s="60">
        <v>9.32</v>
      </c>
      <c r="R40" s="198"/>
      <c r="S40" s="198"/>
      <c r="T40" s="198"/>
      <c r="U40" s="198"/>
    </row>
    <row r="41" spans="1:21" s="12" customFormat="1" x14ac:dyDescent="0.25">
      <c r="A41" s="63">
        <v>45818.34375</v>
      </c>
      <c r="B41" s="60">
        <v>8.02</v>
      </c>
      <c r="C41" s="60">
        <v>24.38</v>
      </c>
      <c r="D41" s="60">
        <v>34.36</v>
      </c>
      <c r="E41" s="60">
        <v>5.31</v>
      </c>
      <c r="F41" s="60">
        <v>6.6</v>
      </c>
      <c r="G41" s="60">
        <v>33.75</v>
      </c>
      <c r="H41" s="60">
        <v>16.7</v>
      </c>
      <c r="I41" s="60">
        <v>4.04</v>
      </c>
      <c r="J41" s="60">
        <v>0.23</v>
      </c>
      <c r="K41" s="60">
        <v>277.58999999999997</v>
      </c>
      <c r="L41" s="60">
        <v>28.91</v>
      </c>
      <c r="M41" s="60">
        <v>62.89</v>
      </c>
      <c r="N41" s="60">
        <v>307.3</v>
      </c>
      <c r="O41" s="60">
        <v>0</v>
      </c>
      <c r="P41" s="60">
        <v>0.52</v>
      </c>
      <c r="Q41" s="60">
        <v>9.32</v>
      </c>
      <c r="R41" s="198"/>
      <c r="S41" s="198"/>
      <c r="T41" s="198"/>
      <c r="U41" s="198"/>
    </row>
    <row r="42" spans="1:21" s="12" customFormat="1" x14ac:dyDescent="0.25">
      <c r="A42" s="63">
        <v>45818.354166666664</v>
      </c>
      <c r="B42" s="60">
        <v>7.77</v>
      </c>
      <c r="C42" s="60">
        <v>23.11</v>
      </c>
      <c r="D42" s="60">
        <v>32.31</v>
      </c>
      <c r="E42" s="60">
        <v>5.76</v>
      </c>
      <c r="F42" s="60">
        <v>4.75</v>
      </c>
      <c r="G42" s="60">
        <v>33.75</v>
      </c>
      <c r="H42" s="60">
        <v>16.7</v>
      </c>
      <c r="I42" s="60">
        <v>3.89</v>
      </c>
      <c r="J42" s="60">
        <v>0.14000000000000001</v>
      </c>
      <c r="K42" s="60">
        <v>276.45999999999998</v>
      </c>
      <c r="L42" s="60">
        <v>28.87</v>
      </c>
      <c r="M42" s="60">
        <v>63.33</v>
      </c>
      <c r="N42" s="60">
        <v>312</v>
      </c>
      <c r="O42" s="60">
        <v>0</v>
      </c>
      <c r="P42" s="60">
        <v>0.49</v>
      </c>
      <c r="Q42" s="60">
        <v>9.34</v>
      </c>
      <c r="R42" s="198"/>
      <c r="S42" s="198"/>
      <c r="T42" s="198"/>
      <c r="U42" s="198"/>
    </row>
    <row r="43" spans="1:21" s="12" customFormat="1" x14ac:dyDescent="0.25">
      <c r="A43" s="63">
        <v>45818.364583333336</v>
      </c>
      <c r="B43" s="60">
        <v>7.19</v>
      </c>
      <c r="C43" s="60">
        <v>23.11</v>
      </c>
      <c r="D43" s="60">
        <v>33.200000000000003</v>
      </c>
      <c r="E43" s="60">
        <v>5.1100000000000003</v>
      </c>
      <c r="F43" s="60">
        <v>4.49</v>
      </c>
      <c r="G43" s="60">
        <v>33.75</v>
      </c>
      <c r="H43" s="60">
        <v>16.7</v>
      </c>
      <c r="I43" s="60">
        <v>4.0199999999999996</v>
      </c>
      <c r="J43" s="60">
        <v>0.19</v>
      </c>
      <c r="K43" s="60">
        <v>283.8</v>
      </c>
      <c r="L43" s="60">
        <v>29.81</v>
      </c>
      <c r="M43" s="60">
        <v>60.96</v>
      </c>
      <c r="N43" s="60">
        <v>353.9</v>
      </c>
      <c r="O43" s="60">
        <v>0</v>
      </c>
      <c r="P43" s="60">
        <v>0.56000000000000005</v>
      </c>
      <c r="Q43" s="60">
        <v>9.35</v>
      </c>
      <c r="R43" s="198"/>
      <c r="S43" s="198"/>
      <c r="T43" s="198"/>
      <c r="U43" s="198"/>
    </row>
    <row r="44" spans="1:21" s="12" customFormat="1" x14ac:dyDescent="0.25">
      <c r="A44" s="63">
        <v>45818.375</v>
      </c>
      <c r="B44" s="60">
        <v>8.6999999999999993</v>
      </c>
      <c r="C44" s="60">
        <v>25.61</v>
      </c>
      <c r="D44" s="60">
        <v>35.659999999999997</v>
      </c>
      <c r="E44" s="60">
        <v>5.66</v>
      </c>
      <c r="F44" s="60">
        <v>7.01</v>
      </c>
      <c r="G44" s="60">
        <v>37.42</v>
      </c>
      <c r="H44" s="60">
        <v>16.239999999999998</v>
      </c>
      <c r="I44" s="60">
        <v>3.89</v>
      </c>
      <c r="J44" s="60">
        <v>0.21</v>
      </c>
      <c r="K44" s="60">
        <v>302.85000000000002</v>
      </c>
      <c r="L44" s="60">
        <v>30.62</v>
      </c>
      <c r="M44" s="60">
        <v>58.59</v>
      </c>
      <c r="N44" s="60">
        <v>383</v>
      </c>
      <c r="O44" s="60">
        <v>0</v>
      </c>
      <c r="P44" s="60">
        <v>0.83</v>
      </c>
      <c r="Q44" s="60">
        <v>9.35</v>
      </c>
      <c r="R44" s="198"/>
      <c r="S44" s="198"/>
      <c r="T44" s="198"/>
      <c r="U44" s="198"/>
    </row>
    <row r="45" spans="1:21" s="12" customFormat="1" x14ac:dyDescent="0.25">
      <c r="A45" s="63">
        <v>45818.385416666664</v>
      </c>
      <c r="B45" s="60">
        <v>7.58</v>
      </c>
      <c r="C45" s="60">
        <v>24.35</v>
      </c>
      <c r="D45" s="60">
        <v>34.96</v>
      </c>
      <c r="E45" s="60">
        <v>5.39</v>
      </c>
      <c r="F45" s="60">
        <v>6.53</v>
      </c>
      <c r="G45" s="60">
        <v>41.62</v>
      </c>
      <c r="H45" s="60">
        <v>15.73</v>
      </c>
      <c r="I45" s="60">
        <v>3.89</v>
      </c>
      <c r="J45" s="60">
        <v>0.08</v>
      </c>
      <c r="K45" s="60">
        <v>176.91</v>
      </c>
      <c r="L45" s="60">
        <v>30.89</v>
      </c>
      <c r="M45" s="60">
        <v>57.11</v>
      </c>
      <c r="N45" s="60">
        <v>363.2</v>
      </c>
      <c r="O45" s="60">
        <v>0</v>
      </c>
      <c r="P45" s="60">
        <v>0.91</v>
      </c>
      <c r="Q45" s="60">
        <v>9.36</v>
      </c>
      <c r="R45" s="198"/>
      <c r="S45" s="198"/>
      <c r="T45" s="198"/>
      <c r="U45" s="198"/>
    </row>
    <row r="46" spans="1:21" s="12" customFormat="1" x14ac:dyDescent="0.25">
      <c r="A46" s="63">
        <v>45818.395833333336</v>
      </c>
      <c r="B46" s="60">
        <v>8.0399999999999991</v>
      </c>
      <c r="C46" s="60">
        <v>26.28</v>
      </c>
      <c r="D46" s="60">
        <v>37.97</v>
      </c>
      <c r="E46" s="60">
        <v>6.04</v>
      </c>
      <c r="F46" s="60">
        <v>7.99</v>
      </c>
      <c r="G46" s="60">
        <v>41.62</v>
      </c>
      <c r="H46" s="60">
        <v>15.73</v>
      </c>
      <c r="I46" s="60">
        <v>4.03</v>
      </c>
      <c r="J46" s="60">
        <v>0.2</v>
      </c>
      <c r="K46" s="60">
        <v>185.06</v>
      </c>
      <c r="L46" s="60">
        <v>30.16</v>
      </c>
      <c r="M46" s="60">
        <v>60.05</v>
      </c>
      <c r="N46" s="60">
        <v>362.5</v>
      </c>
      <c r="O46" s="60">
        <v>0</v>
      </c>
      <c r="P46" s="60">
        <v>0.93</v>
      </c>
      <c r="Q46" s="60">
        <v>9.3800000000000008</v>
      </c>
      <c r="R46" s="198"/>
      <c r="S46" s="198"/>
      <c r="T46" s="198"/>
      <c r="U46" s="198"/>
    </row>
    <row r="47" spans="1:21" s="12" customFormat="1" x14ac:dyDescent="0.25">
      <c r="A47" s="63">
        <v>45818.40625</v>
      </c>
      <c r="B47" s="60">
        <v>8.15</v>
      </c>
      <c r="C47" s="60">
        <v>26.63</v>
      </c>
      <c r="D47" s="60">
        <v>38.450000000000003</v>
      </c>
      <c r="E47" s="60">
        <v>5.63</v>
      </c>
      <c r="F47" s="60">
        <v>6.27</v>
      </c>
      <c r="G47" s="60">
        <v>41.62</v>
      </c>
      <c r="H47" s="60">
        <v>15.73</v>
      </c>
      <c r="I47" s="60">
        <v>3.99</v>
      </c>
      <c r="J47" s="60">
        <v>0.11</v>
      </c>
      <c r="K47" s="60">
        <v>219.92</v>
      </c>
      <c r="L47" s="60">
        <v>30.04</v>
      </c>
      <c r="M47" s="60">
        <v>60.76</v>
      </c>
      <c r="N47" s="60">
        <v>353.3</v>
      </c>
      <c r="O47" s="60">
        <v>0</v>
      </c>
      <c r="P47" s="60">
        <v>0.87</v>
      </c>
      <c r="Q47" s="60">
        <v>9.3800000000000008</v>
      </c>
      <c r="R47" s="198"/>
      <c r="S47" s="198"/>
      <c r="T47" s="198"/>
      <c r="U47" s="198"/>
    </row>
    <row r="48" spans="1:21" s="12" customFormat="1" x14ac:dyDescent="0.25">
      <c r="A48" s="63">
        <v>45818.416666666664</v>
      </c>
      <c r="B48" s="60">
        <v>7.31</v>
      </c>
      <c r="C48" s="60">
        <v>24.54</v>
      </c>
      <c r="D48" s="60">
        <v>35.76</v>
      </c>
      <c r="E48" s="60">
        <v>5.69</v>
      </c>
      <c r="F48" s="60">
        <v>8.67</v>
      </c>
      <c r="G48" s="60">
        <v>43.71</v>
      </c>
      <c r="H48" s="60">
        <v>17.329999999999998</v>
      </c>
      <c r="I48" s="60">
        <v>3.96</v>
      </c>
      <c r="J48" s="60">
        <v>0.2</v>
      </c>
      <c r="K48" s="60">
        <v>158.72</v>
      </c>
      <c r="L48" s="60">
        <v>29.78</v>
      </c>
      <c r="M48" s="60">
        <v>62.03</v>
      </c>
      <c r="N48" s="60">
        <v>341.6</v>
      </c>
      <c r="O48" s="60">
        <v>0</v>
      </c>
      <c r="P48" s="60">
        <v>0.83</v>
      </c>
      <c r="Q48" s="60">
        <v>9.3699999999999992</v>
      </c>
      <c r="R48" s="198"/>
      <c r="S48" s="198"/>
      <c r="T48" s="198"/>
      <c r="U48" s="198"/>
    </row>
    <row r="49" spans="1:21" s="12" customFormat="1" x14ac:dyDescent="0.25">
      <c r="A49" s="63">
        <v>45818.427083333336</v>
      </c>
      <c r="B49" s="60">
        <v>6.81</v>
      </c>
      <c r="C49" s="60">
        <v>22.83</v>
      </c>
      <c r="D49" s="60">
        <v>33.25</v>
      </c>
      <c r="E49" s="60">
        <v>5.8</v>
      </c>
      <c r="F49" s="60">
        <v>6.26</v>
      </c>
      <c r="G49" s="60">
        <v>45.99</v>
      </c>
      <c r="H49" s="60">
        <v>19.170000000000002</v>
      </c>
      <c r="I49" s="60">
        <v>4.1100000000000003</v>
      </c>
      <c r="J49" s="60">
        <v>0.22</v>
      </c>
      <c r="K49" s="60">
        <v>160.36000000000001</v>
      </c>
      <c r="L49" s="60">
        <v>30.04</v>
      </c>
      <c r="M49" s="60">
        <v>61.72</v>
      </c>
      <c r="N49" s="60">
        <v>416.7</v>
      </c>
      <c r="O49" s="60">
        <v>0</v>
      </c>
      <c r="P49" s="60">
        <v>0.83</v>
      </c>
      <c r="Q49" s="60">
        <v>9.36</v>
      </c>
      <c r="R49" s="198"/>
      <c r="S49" s="198"/>
      <c r="T49" s="198"/>
      <c r="U49" s="198"/>
    </row>
    <row r="50" spans="1:21" s="12" customFormat="1" x14ac:dyDescent="0.25">
      <c r="A50" s="63">
        <v>45818.4375</v>
      </c>
      <c r="B50" s="60">
        <v>6.56</v>
      </c>
      <c r="C50" s="60">
        <v>23.69</v>
      </c>
      <c r="D50" s="60">
        <v>35.28</v>
      </c>
      <c r="E50" s="60">
        <v>5.79</v>
      </c>
      <c r="F50" s="60">
        <v>8.41</v>
      </c>
      <c r="G50" s="60">
        <v>45.99</v>
      </c>
      <c r="H50" s="60">
        <v>19.170000000000002</v>
      </c>
      <c r="I50" s="60">
        <v>4</v>
      </c>
      <c r="J50" s="60">
        <v>0.26</v>
      </c>
      <c r="K50" s="60">
        <v>163.19</v>
      </c>
      <c r="L50" s="60">
        <v>30.23</v>
      </c>
      <c r="M50" s="60">
        <v>61.14</v>
      </c>
      <c r="N50" s="60">
        <v>374.8</v>
      </c>
      <c r="O50" s="60">
        <v>0</v>
      </c>
      <c r="P50" s="60">
        <v>0.83</v>
      </c>
      <c r="Q50" s="60">
        <v>9.3699999999999992</v>
      </c>
      <c r="R50" s="198"/>
      <c r="S50" s="198"/>
      <c r="T50" s="198"/>
      <c r="U50" s="198"/>
    </row>
    <row r="51" spans="1:21" s="12" customFormat="1" x14ac:dyDescent="0.25">
      <c r="A51" s="63">
        <v>45818.447916666664</v>
      </c>
      <c r="B51" s="60">
        <v>6.39</v>
      </c>
      <c r="C51" s="60">
        <v>21.82</v>
      </c>
      <c r="D51" s="60">
        <v>31.97</v>
      </c>
      <c r="E51" s="60">
        <v>5.87</v>
      </c>
      <c r="F51" s="60">
        <v>5.9</v>
      </c>
      <c r="G51" s="60">
        <v>45.99</v>
      </c>
      <c r="H51" s="60">
        <v>19.170000000000002</v>
      </c>
      <c r="I51" s="60">
        <v>3.98</v>
      </c>
      <c r="J51" s="60">
        <v>0.4</v>
      </c>
      <c r="K51" s="60">
        <v>161.25</v>
      </c>
      <c r="L51" s="60">
        <v>29.82</v>
      </c>
      <c r="M51" s="60">
        <v>63.07</v>
      </c>
      <c r="N51" s="60">
        <v>442.6</v>
      </c>
      <c r="O51" s="60">
        <v>0</v>
      </c>
      <c r="P51" s="60">
        <v>0.82</v>
      </c>
      <c r="Q51" s="60">
        <v>9.34</v>
      </c>
      <c r="R51" s="198"/>
      <c r="S51" s="198"/>
      <c r="T51" s="198"/>
      <c r="U51" s="198"/>
    </row>
    <row r="52" spans="1:21" s="12" customFormat="1" x14ac:dyDescent="0.25">
      <c r="A52" s="63">
        <v>45818.458333333336</v>
      </c>
      <c r="B52" s="60">
        <v>6.44</v>
      </c>
      <c r="C52" s="60">
        <v>27.32</v>
      </c>
      <c r="D52" s="60">
        <v>42.42</v>
      </c>
      <c r="E52" s="60">
        <v>6.25</v>
      </c>
      <c r="F52" s="60">
        <v>17.75</v>
      </c>
      <c r="G52" s="60">
        <v>47.36</v>
      </c>
      <c r="H52" s="60">
        <v>17.86</v>
      </c>
      <c r="I52" s="60">
        <v>4.0199999999999996</v>
      </c>
      <c r="J52" s="60">
        <v>0.14000000000000001</v>
      </c>
      <c r="K52" s="60">
        <v>162.37</v>
      </c>
      <c r="L52" s="60">
        <v>31.25</v>
      </c>
      <c r="M52" s="60">
        <v>57.67</v>
      </c>
      <c r="N52" s="60">
        <v>413.4</v>
      </c>
      <c r="O52" s="60">
        <v>0</v>
      </c>
      <c r="P52" s="60">
        <v>0.85</v>
      </c>
      <c r="Q52" s="60">
        <v>9.34</v>
      </c>
      <c r="R52" s="198"/>
      <c r="S52" s="198"/>
      <c r="T52" s="198"/>
      <c r="U52" s="198"/>
    </row>
    <row r="53" spans="1:21" s="12" customFormat="1" x14ac:dyDescent="0.25">
      <c r="A53" s="63">
        <v>45818.46875</v>
      </c>
      <c r="B53" s="60">
        <v>5.26</v>
      </c>
      <c r="C53" s="60">
        <v>24.15</v>
      </c>
      <c r="D53" s="60">
        <v>38.14</v>
      </c>
      <c r="E53" s="60">
        <v>8.74</v>
      </c>
      <c r="F53" s="60">
        <v>18.14</v>
      </c>
      <c r="G53" s="60">
        <v>48.93</v>
      </c>
      <c r="H53" s="60">
        <v>16.43</v>
      </c>
      <c r="I53" s="60">
        <v>4.0199999999999996</v>
      </c>
      <c r="J53" s="60">
        <v>0.47</v>
      </c>
      <c r="K53" s="60">
        <v>150.19</v>
      </c>
      <c r="L53" s="60">
        <v>31.14</v>
      </c>
      <c r="M53" s="60">
        <v>56.57</v>
      </c>
      <c r="N53" s="60">
        <v>336.8</v>
      </c>
      <c r="O53" s="60">
        <v>0</v>
      </c>
      <c r="P53" s="60">
        <v>0.81</v>
      </c>
      <c r="Q53" s="60">
        <v>9.34</v>
      </c>
      <c r="R53" s="198"/>
      <c r="S53" s="198"/>
      <c r="T53" s="198"/>
      <c r="U53" s="198"/>
    </row>
    <row r="54" spans="1:21" s="12" customFormat="1" x14ac:dyDescent="0.25">
      <c r="A54" s="63">
        <v>45818.479166666664</v>
      </c>
      <c r="B54" s="60">
        <v>6.43</v>
      </c>
      <c r="C54" s="60">
        <v>25.9</v>
      </c>
      <c r="D54" s="60">
        <v>39.700000000000003</v>
      </c>
      <c r="E54" s="60">
        <v>10.11</v>
      </c>
      <c r="F54" s="60">
        <v>23.49</v>
      </c>
      <c r="G54" s="60">
        <v>48.93</v>
      </c>
      <c r="H54" s="60">
        <v>16.43</v>
      </c>
      <c r="I54" s="60">
        <v>3.98</v>
      </c>
      <c r="J54" s="60">
        <v>0.15</v>
      </c>
      <c r="K54" s="60">
        <v>176.44</v>
      </c>
      <c r="L54" s="60">
        <v>30.96</v>
      </c>
      <c r="M54" s="60">
        <v>57.01</v>
      </c>
      <c r="N54" s="60">
        <v>419</v>
      </c>
      <c r="O54" s="60">
        <v>0</v>
      </c>
      <c r="P54" s="60">
        <v>0.84</v>
      </c>
      <c r="Q54" s="60">
        <v>9.33</v>
      </c>
      <c r="R54" s="198"/>
      <c r="S54" s="198"/>
      <c r="T54" s="198"/>
      <c r="U54" s="198"/>
    </row>
    <row r="55" spans="1:21" s="12" customFormat="1" x14ac:dyDescent="0.25">
      <c r="A55" s="63">
        <v>45818.489583333336</v>
      </c>
      <c r="B55" s="60">
        <v>5.79</v>
      </c>
      <c r="C55" s="60">
        <v>24.57</v>
      </c>
      <c r="D55" s="60">
        <v>38.14</v>
      </c>
      <c r="E55" s="60">
        <v>12.83</v>
      </c>
      <c r="F55" s="60">
        <v>26.01</v>
      </c>
      <c r="G55" s="60">
        <v>48.93</v>
      </c>
      <c r="H55" s="60">
        <v>16.43</v>
      </c>
      <c r="I55" s="60">
        <v>3.88</v>
      </c>
      <c r="J55" s="60">
        <v>0.28999999999999998</v>
      </c>
      <c r="K55" s="60">
        <v>120.87</v>
      </c>
      <c r="L55" s="60">
        <v>31.57</v>
      </c>
      <c r="M55" s="60">
        <v>55.04</v>
      </c>
      <c r="N55" s="60">
        <v>452.8</v>
      </c>
      <c r="O55" s="60">
        <v>0</v>
      </c>
      <c r="P55" s="60">
        <v>0.82</v>
      </c>
      <c r="Q55" s="60">
        <v>9.32</v>
      </c>
      <c r="R55" s="198"/>
      <c r="S55" s="198"/>
      <c r="T55" s="198"/>
      <c r="U55" s="198"/>
    </row>
    <row r="56" spans="1:21" s="12" customFormat="1" x14ac:dyDescent="0.25">
      <c r="A56" s="63">
        <v>45818.5</v>
      </c>
      <c r="B56" s="60">
        <v>5.33</v>
      </c>
      <c r="C56" s="60">
        <v>22.82</v>
      </c>
      <c r="D56" s="60">
        <v>35.5</v>
      </c>
      <c r="E56" s="60">
        <v>12.62</v>
      </c>
      <c r="F56" s="60">
        <v>27.84</v>
      </c>
      <c r="G56" s="60">
        <v>50.15</v>
      </c>
      <c r="H56" s="60">
        <v>17.829999999999998</v>
      </c>
      <c r="I56" s="60">
        <v>3.97</v>
      </c>
      <c r="J56" s="60">
        <v>0.69</v>
      </c>
      <c r="K56" s="60">
        <v>144.66999999999999</v>
      </c>
      <c r="L56" s="60">
        <v>31.65</v>
      </c>
      <c r="M56" s="60">
        <v>53.31</v>
      </c>
      <c r="N56" s="60">
        <v>459.8</v>
      </c>
      <c r="O56" s="60">
        <v>0</v>
      </c>
      <c r="P56" s="60">
        <v>0.81</v>
      </c>
      <c r="Q56" s="60">
        <v>9.3000000000000007</v>
      </c>
      <c r="R56" s="198"/>
      <c r="S56" s="198"/>
      <c r="T56" s="198"/>
      <c r="U56" s="198"/>
    </row>
    <row r="57" spans="1:21" s="12" customFormat="1" x14ac:dyDescent="0.25">
      <c r="A57" s="63">
        <v>45818.510416666664</v>
      </c>
      <c r="B57" s="60">
        <v>4.9800000000000004</v>
      </c>
      <c r="C57" s="60">
        <v>21.05</v>
      </c>
      <c r="D57" s="60">
        <v>32.65</v>
      </c>
      <c r="E57" s="60">
        <v>13.18</v>
      </c>
      <c r="F57" s="60">
        <v>27.32</v>
      </c>
      <c r="G57" s="60">
        <v>51.55</v>
      </c>
      <c r="H57" s="60">
        <v>19.36</v>
      </c>
      <c r="I57" s="60">
        <v>3.88</v>
      </c>
      <c r="J57" s="60">
        <v>0.33</v>
      </c>
      <c r="K57" s="60">
        <v>164.06</v>
      </c>
      <c r="L57" s="60">
        <v>31.99</v>
      </c>
      <c r="M57" s="60">
        <v>52.38</v>
      </c>
      <c r="N57" s="60">
        <v>368.4</v>
      </c>
      <c r="O57" s="60">
        <v>0</v>
      </c>
      <c r="P57" s="60">
        <v>0.81</v>
      </c>
      <c r="Q57" s="60">
        <v>9.31</v>
      </c>
      <c r="R57" s="198"/>
      <c r="S57" s="198"/>
      <c r="T57" s="198"/>
      <c r="U57" s="198"/>
    </row>
    <row r="58" spans="1:21" s="12" customFormat="1" x14ac:dyDescent="0.25">
      <c r="A58" s="63">
        <v>45818.520833333336</v>
      </c>
      <c r="B58" s="60">
        <v>5.07</v>
      </c>
      <c r="C58" s="60">
        <v>23.5</v>
      </c>
      <c r="D58" s="60">
        <v>37.200000000000003</v>
      </c>
      <c r="E58" s="60">
        <v>13.63</v>
      </c>
      <c r="F58" s="60">
        <v>32.700000000000003</v>
      </c>
      <c r="G58" s="60">
        <v>51.55</v>
      </c>
      <c r="H58" s="60">
        <v>19.36</v>
      </c>
      <c r="I58" s="60">
        <v>4.0199999999999996</v>
      </c>
      <c r="J58" s="60">
        <v>0.5</v>
      </c>
      <c r="K58" s="60">
        <v>112.31</v>
      </c>
      <c r="L58" s="60">
        <v>32.21</v>
      </c>
      <c r="M58" s="60">
        <v>51.03</v>
      </c>
      <c r="N58" s="60">
        <v>419.8</v>
      </c>
      <c r="O58" s="60">
        <v>0</v>
      </c>
      <c r="P58" s="60">
        <v>0.79</v>
      </c>
      <c r="Q58" s="60">
        <v>9.3000000000000007</v>
      </c>
      <c r="R58" s="198"/>
      <c r="S58" s="198"/>
      <c r="T58" s="198"/>
      <c r="U58" s="198"/>
    </row>
    <row r="59" spans="1:21" s="12" customFormat="1" x14ac:dyDescent="0.25">
      <c r="A59" s="63">
        <v>45818.53125</v>
      </c>
      <c r="B59" s="60">
        <v>4.8899999999999997</v>
      </c>
      <c r="C59" s="60">
        <v>23.09</v>
      </c>
      <c r="D59" s="60">
        <v>36.700000000000003</v>
      </c>
      <c r="E59" s="60">
        <v>17.36</v>
      </c>
      <c r="F59" s="60">
        <v>32.14</v>
      </c>
      <c r="G59" s="60">
        <v>51.55</v>
      </c>
      <c r="H59" s="60">
        <v>19.36</v>
      </c>
      <c r="I59" s="60">
        <v>4.05</v>
      </c>
      <c r="J59" s="60">
        <v>0.54</v>
      </c>
      <c r="K59" s="60">
        <v>91.71</v>
      </c>
      <c r="L59" s="60">
        <v>32.11</v>
      </c>
      <c r="M59" s="60">
        <v>50.54</v>
      </c>
      <c r="N59" s="60">
        <v>342.9</v>
      </c>
      <c r="O59" s="60">
        <v>0</v>
      </c>
      <c r="P59" s="60">
        <v>0.76</v>
      </c>
      <c r="Q59" s="60">
        <v>9.3000000000000007</v>
      </c>
      <c r="R59" s="198"/>
      <c r="S59" s="198"/>
      <c r="T59" s="198"/>
      <c r="U59" s="198"/>
    </row>
    <row r="60" spans="1:21" s="12" customFormat="1" x14ac:dyDescent="0.25">
      <c r="A60" s="63">
        <v>45818.541666666664</v>
      </c>
      <c r="B60" s="60">
        <v>4.83</v>
      </c>
      <c r="C60" s="60">
        <v>22.12</v>
      </c>
      <c r="D60" s="60">
        <v>34.92</v>
      </c>
      <c r="E60" s="60">
        <v>15.87</v>
      </c>
      <c r="F60" s="60">
        <v>26.55</v>
      </c>
      <c r="G60" s="60">
        <v>55.98</v>
      </c>
      <c r="H60" s="60">
        <v>21.46</v>
      </c>
      <c r="I60" s="60">
        <v>4</v>
      </c>
      <c r="J60" s="60">
        <v>0.38</v>
      </c>
      <c r="K60" s="60">
        <v>98.14</v>
      </c>
      <c r="L60" s="60">
        <v>32.549999999999997</v>
      </c>
      <c r="M60" s="60">
        <v>49.84</v>
      </c>
      <c r="N60" s="60">
        <v>401.5</v>
      </c>
      <c r="O60" s="60">
        <v>0</v>
      </c>
      <c r="P60" s="60">
        <v>0.73</v>
      </c>
      <c r="Q60" s="60">
        <v>9.2799999999999994</v>
      </c>
      <c r="R60" s="198"/>
      <c r="S60" s="198"/>
      <c r="T60" s="198"/>
      <c r="U60" s="198"/>
    </row>
    <row r="61" spans="1:21" s="12" customFormat="1" x14ac:dyDescent="0.25">
      <c r="A61" s="63">
        <v>45818.552083333336</v>
      </c>
      <c r="B61" s="60">
        <v>5.13</v>
      </c>
      <c r="C61" s="60">
        <v>22.52</v>
      </c>
      <c r="D61" s="60">
        <v>35.24</v>
      </c>
      <c r="E61" s="60">
        <v>17.329999999999998</v>
      </c>
      <c r="F61" s="60">
        <v>30.36</v>
      </c>
      <c r="G61" s="60">
        <v>60.83</v>
      </c>
      <c r="H61" s="60">
        <v>23.85</v>
      </c>
      <c r="I61" s="60">
        <v>4.01</v>
      </c>
      <c r="J61" s="60">
        <v>0.38</v>
      </c>
      <c r="K61" s="60">
        <v>83.7</v>
      </c>
      <c r="L61" s="60">
        <v>33.15</v>
      </c>
      <c r="M61" s="60">
        <v>48.9</v>
      </c>
      <c r="N61" s="60">
        <v>487.7</v>
      </c>
      <c r="O61" s="60">
        <v>0</v>
      </c>
      <c r="P61" s="60">
        <v>0.69</v>
      </c>
      <c r="Q61" s="60">
        <v>9.26</v>
      </c>
      <c r="R61" s="198"/>
      <c r="S61" s="198"/>
      <c r="T61" s="198"/>
      <c r="U61" s="198"/>
    </row>
    <row r="62" spans="1:21" s="12" customFormat="1" x14ac:dyDescent="0.25">
      <c r="A62" s="63">
        <v>45818.5625</v>
      </c>
      <c r="B62" s="60">
        <v>4.5999999999999996</v>
      </c>
      <c r="C62" s="60">
        <v>24.08</v>
      </c>
      <c r="D62" s="60">
        <v>39.03</v>
      </c>
      <c r="E62" s="60">
        <v>15.96</v>
      </c>
      <c r="F62" s="60">
        <v>40.369999999999997</v>
      </c>
      <c r="G62" s="60">
        <v>60.83</v>
      </c>
      <c r="H62" s="60">
        <v>23.85</v>
      </c>
      <c r="I62" s="60">
        <v>3.94</v>
      </c>
      <c r="J62" s="60">
        <v>0.2</v>
      </c>
      <c r="K62" s="60">
        <v>124.12</v>
      </c>
      <c r="L62" s="60">
        <v>33.51</v>
      </c>
      <c r="M62" s="60">
        <v>47.91</v>
      </c>
      <c r="N62" s="60">
        <v>515.70000000000005</v>
      </c>
      <c r="O62" s="60">
        <v>0</v>
      </c>
      <c r="P62" s="60">
        <v>0.56000000000000005</v>
      </c>
      <c r="Q62" s="60">
        <v>9.25</v>
      </c>
      <c r="R62" s="198"/>
      <c r="S62" s="198"/>
      <c r="T62" s="198"/>
      <c r="U62" s="198"/>
    </row>
    <row r="63" spans="1:21" s="12" customFormat="1" x14ac:dyDescent="0.25">
      <c r="A63" s="63">
        <v>45818.572916666664</v>
      </c>
      <c r="B63" s="60">
        <v>3.64</v>
      </c>
      <c r="C63" s="60">
        <v>21.57</v>
      </c>
      <c r="D63" s="60">
        <v>35.71</v>
      </c>
      <c r="E63" s="60">
        <v>18.53</v>
      </c>
      <c r="F63" s="60">
        <v>44.58</v>
      </c>
      <c r="G63" s="60">
        <v>60.83</v>
      </c>
      <c r="H63" s="60">
        <v>23.85</v>
      </c>
      <c r="I63" s="60">
        <v>4.01</v>
      </c>
      <c r="J63" s="60">
        <v>0.43</v>
      </c>
      <c r="K63" s="60">
        <v>149.41</v>
      </c>
      <c r="L63" s="60">
        <v>33.89</v>
      </c>
      <c r="M63" s="60">
        <v>45.84</v>
      </c>
      <c r="N63" s="60">
        <v>501.1</v>
      </c>
      <c r="O63" s="60">
        <v>0</v>
      </c>
      <c r="P63" s="60">
        <v>0.48</v>
      </c>
      <c r="Q63" s="60">
        <v>9.2799999999999994</v>
      </c>
      <c r="R63" s="198"/>
      <c r="S63" s="198"/>
      <c r="T63" s="198"/>
      <c r="U63" s="198"/>
    </row>
    <row r="64" spans="1:21" s="12" customFormat="1" x14ac:dyDescent="0.25">
      <c r="A64" s="63">
        <v>45818.583333333336</v>
      </c>
      <c r="B64" s="60">
        <v>4.2300000000000004</v>
      </c>
      <c r="C64" s="60">
        <v>23.29</v>
      </c>
      <c r="D64" s="60">
        <v>38.08</v>
      </c>
      <c r="E64" s="60">
        <v>22.52</v>
      </c>
      <c r="F64" s="60">
        <v>46.38</v>
      </c>
      <c r="G64" s="60">
        <v>55.9</v>
      </c>
      <c r="H64" s="60">
        <v>15.01</v>
      </c>
      <c r="I64" s="60">
        <v>3.92</v>
      </c>
      <c r="J64" s="60">
        <v>0.42</v>
      </c>
      <c r="K64" s="60">
        <v>104.9</v>
      </c>
      <c r="L64" s="60">
        <v>33.78</v>
      </c>
      <c r="M64" s="60">
        <v>45.52</v>
      </c>
      <c r="N64" s="60">
        <v>361.2</v>
      </c>
      <c r="O64" s="60">
        <v>0</v>
      </c>
      <c r="P64" s="60">
        <v>0.46</v>
      </c>
      <c r="Q64" s="60">
        <v>9.2899999999999991</v>
      </c>
      <c r="R64" s="198"/>
      <c r="S64" s="198"/>
      <c r="T64" s="198"/>
      <c r="U64" s="198"/>
    </row>
    <row r="65" spans="1:21" s="12" customFormat="1" x14ac:dyDescent="0.25">
      <c r="A65" s="63">
        <v>45818.59375</v>
      </c>
      <c r="B65" s="60">
        <v>4.4400000000000004</v>
      </c>
      <c r="C65" s="60">
        <v>20.66</v>
      </c>
      <c r="D65" s="60">
        <v>32.729999999999997</v>
      </c>
      <c r="E65" s="60">
        <v>22.38</v>
      </c>
      <c r="F65" s="60">
        <v>47.24</v>
      </c>
      <c r="G65" s="60">
        <v>50.27</v>
      </c>
      <c r="H65" s="60">
        <v>5.35</v>
      </c>
      <c r="I65" s="60">
        <v>4.07</v>
      </c>
      <c r="J65" s="60">
        <v>0.45</v>
      </c>
      <c r="K65" s="60">
        <v>144.12</v>
      </c>
      <c r="L65" s="60">
        <v>34.1</v>
      </c>
      <c r="M65" s="60">
        <v>44.5</v>
      </c>
      <c r="N65" s="60">
        <v>365.1</v>
      </c>
      <c r="O65" s="60">
        <v>0</v>
      </c>
      <c r="P65" s="60">
        <v>0.44</v>
      </c>
      <c r="Q65" s="60">
        <v>9.2899999999999991</v>
      </c>
      <c r="R65" s="198"/>
      <c r="S65" s="198"/>
      <c r="T65" s="198"/>
      <c r="U65" s="198"/>
    </row>
    <row r="66" spans="1:21" s="12" customFormat="1" x14ac:dyDescent="0.25">
      <c r="A66" s="63">
        <v>45818.604166666664</v>
      </c>
      <c r="B66" s="60">
        <v>3.26</v>
      </c>
      <c r="C66" s="60">
        <v>15.6</v>
      </c>
      <c r="D66" s="60">
        <v>24.84</v>
      </c>
      <c r="E66" s="60">
        <v>20.6</v>
      </c>
      <c r="F66" s="60">
        <v>41.43</v>
      </c>
      <c r="G66" s="60">
        <v>50.27</v>
      </c>
      <c r="H66" s="60">
        <v>5.35</v>
      </c>
      <c r="I66" s="60">
        <v>4.1100000000000003</v>
      </c>
      <c r="J66" s="60">
        <v>0.74</v>
      </c>
      <c r="K66" s="60">
        <v>143.47</v>
      </c>
      <c r="L66" s="60">
        <v>34.619999999999997</v>
      </c>
      <c r="M66" s="60">
        <v>43.7</v>
      </c>
      <c r="N66" s="60">
        <v>316.8</v>
      </c>
      <c r="O66" s="60">
        <v>0</v>
      </c>
      <c r="P66" s="60">
        <v>0.41</v>
      </c>
      <c r="Q66" s="60">
        <v>9.2899999999999991</v>
      </c>
      <c r="R66" s="198"/>
      <c r="S66" s="198"/>
      <c r="T66" s="198"/>
      <c r="U66" s="198"/>
    </row>
    <row r="67" spans="1:21" s="12" customFormat="1" x14ac:dyDescent="0.25">
      <c r="A67" s="63">
        <v>45818.614583333336</v>
      </c>
      <c r="B67" s="60">
        <v>3.16</v>
      </c>
      <c r="C67" s="60">
        <v>17.27</v>
      </c>
      <c r="D67" s="60">
        <v>28.21</v>
      </c>
      <c r="E67" s="60">
        <v>12.27</v>
      </c>
      <c r="F67" s="60">
        <v>26.32</v>
      </c>
      <c r="G67" s="60">
        <v>50.27</v>
      </c>
      <c r="H67" s="60">
        <v>5.35</v>
      </c>
      <c r="I67" s="60">
        <v>4.12</v>
      </c>
      <c r="J67" s="60">
        <v>0.61</v>
      </c>
      <c r="K67" s="60">
        <v>122.9</v>
      </c>
      <c r="L67" s="60">
        <v>34.67</v>
      </c>
      <c r="M67" s="60">
        <v>43.48</v>
      </c>
      <c r="N67" s="60">
        <v>281.3</v>
      </c>
      <c r="O67" s="60">
        <v>0</v>
      </c>
      <c r="P67" s="60">
        <v>0.4</v>
      </c>
      <c r="Q67" s="60">
        <v>9.2799999999999994</v>
      </c>
      <c r="R67" s="198"/>
      <c r="S67" s="198"/>
      <c r="T67" s="198"/>
      <c r="U67" s="198"/>
    </row>
    <row r="68" spans="1:21" s="12" customFormat="1" x14ac:dyDescent="0.25">
      <c r="A68" s="63">
        <v>45818.625</v>
      </c>
      <c r="B68" s="60">
        <v>3.16</v>
      </c>
      <c r="C68" s="60">
        <v>17.25</v>
      </c>
      <c r="D68" s="60">
        <v>28.17</v>
      </c>
      <c r="E68" s="60">
        <v>10.98</v>
      </c>
      <c r="F68" s="60">
        <v>20.48</v>
      </c>
      <c r="G68" s="60">
        <v>56.33</v>
      </c>
      <c r="H68" s="60">
        <v>43.39</v>
      </c>
      <c r="I68" s="60">
        <v>4.13</v>
      </c>
      <c r="J68" s="60">
        <v>0.44</v>
      </c>
      <c r="K68" s="60">
        <v>168.99</v>
      </c>
      <c r="L68" s="60">
        <v>34.93</v>
      </c>
      <c r="M68" s="60">
        <v>42.42</v>
      </c>
      <c r="N68" s="60">
        <v>316.3</v>
      </c>
      <c r="O68" s="60">
        <v>0</v>
      </c>
      <c r="P68" s="60">
        <v>0.38</v>
      </c>
      <c r="Q68" s="60">
        <v>9.25</v>
      </c>
      <c r="R68" s="198"/>
      <c r="S68" s="198"/>
      <c r="T68" s="198"/>
      <c r="U68" s="198"/>
    </row>
    <row r="69" spans="1:21" s="12" customFormat="1" x14ac:dyDescent="0.25">
      <c r="A69" s="63">
        <v>45818.635416666664</v>
      </c>
      <c r="B69" s="60">
        <v>3.27</v>
      </c>
      <c r="C69" s="60">
        <v>17.09</v>
      </c>
      <c r="D69" s="60">
        <v>27.69</v>
      </c>
      <c r="E69" s="60">
        <v>8.74</v>
      </c>
      <c r="F69" s="60">
        <v>11.81</v>
      </c>
      <c r="G69" s="60">
        <v>62.96</v>
      </c>
      <c r="H69" s="60">
        <v>84.96</v>
      </c>
      <c r="I69" s="60">
        <v>4</v>
      </c>
      <c r="J69" s="60">
        <v>0.94</v>
      </c>
      <c r="K69" s="60">
        <v>153.74</v>
      </c>
      <c r="L69" s="60">
        <v>35.24</v>
      </c>
      <c r="M69" s="60">
        <v>40.93</v>
      </c>
      <c r="N69" s="60">
        <v>309.3</v>
      </c>
      <c r="O69" s="60">
        <v>0</v>
      </c>
      <c r="P69" s="60">
        <v>0.38</v>
      </c>
      <c r="Q69" s="60">
        <v>9.2100000000000009</v>
      </c>
      <c r="R69" s="198"/>
      <c r="S69" s="198"/>
      <c r="T69" s="198"/>
      <c r="U69" s="198"/>
    </row>
    <row r="70" spans="1:21" s="12" customFormat="1" x14ac:dyDescent="0.25">
      <c r="A70" s="63">
        <v>45818.645833333336</v>
      </c>
      <c r="B70" s="60">
        <v>3.45</v>
      </c>
      <c r="C70" s="60">
        <v>17.23</v>
      </c>
      <c r="D70" s="60">
        <v>27.69</v>
      </c>
      <c r="E70" s="60">
        <v>7.89</v>
      </c>
      <c r="F70" s="60">
        <v>15.97</v>
      </c>
      <c r="G70" s="60">
        <v>62.96</v>
      </c>
      <c r="H70" s="60">
        <v>84.96</v>
      </c>
      <c r="I70" s="60">
        <v>4.05</v>
      </c>
      <c r="J70" s="60">
        <v>0.65</v>
      </c>
      <c r="K70" s="60">
        <v>142.71</v>
      </c>
      <c r="L70" s="60">
        <v>35.479999999999997</v>
      </c>
      <c r="M70" s="60">
        <v>40.700000000000003</v>
      </c>
      <c r="N70" s="60">
        <v>462.7</v>
      </c>
      <c r="O70" s="60">
        <v>0</v>
      </c>
      <c r="P70" s="60">
        <v>0.37</v>
      </c>
      <c r="Q70" s="60">
        <v>9.1999999999999993</v>
      </c>
      <c r="R70" s="198"/>
      <c r="S70" s="198"/>
      <c r="T70" s="198"/>
      <c r="U70" s="198"/>
    </row>
    <row r="71" spans="1:21" s="12" customFormat="1" x14ac:dyDescent="0.25">
      <c r="A71" s="63">
        <v>45818.65625</v>
      </c>
      <c r="B71" s="60">
        <v>3.61</v>
      </c>
      <c r="C71" s="60">
        <v>17.61</v>
      </c>
      <c r="D71" s="60">
        <v>28.18</v>
      </c>
      <c r="E71" s="60">
        <v>8.42</v>
      </c>
      <c r="F71" s="60">
        <v>19.3</v>
      </c>
      <c r="G71" s="60">
        <v>62.96</v>
      </c>
      <c r="H71" s="60">
        <v>84.96</v>
      </c>
      <c r="I71" s="60">
        <v>3.98</v>
      </c>
      <c r="J71" s="60">
        <v>0.67</v>
      </c>
      <c r="K71" s="60">
        <v>132.06</v>
      </c>
      <c r="L71" s="60">
        <v>35.229999999999997</v>
      </c>
      <c r="M71" s="60">
        <v>42.19</v>
      </c>
      <c r="N71" s="60">
        <v>248.1</v>
      </c>
      <c r="O71" s="60">
        <v>0</v>
      </c>
      <c r="P71" s="60">
        <v>0.36</v>
      </c>
      <c r="Q71" s="60">
        <v>9.19</v>
      </c>
      <c r="R71" s="198"/>
      <c r="S71" s="198"/>
      <c r="T71" s="198"/>
      <c r="U71" s="198"/>
    </row>
    <row r="72" spans="1:21" s="12" customFormat="1" x14ac:dyDescent="0.25">
      <c r="A72" s="63">
        <v>45818.666666666664</v>
      </c>
      <c r="B72" s="60">
        <v>3.64</v>
      </c>
      <c r="C72" s="60">
        <v>17.100000000000001</v>
      </c>
      <c r="D72" s="60">
        <v>27.14</v>
      </c>
      <c r="E72" s="60">
        <v>7.29</v>
      </c>
      <c r="F72" s="60">
        <v>22.04</v>
      </c>
      <c r="G72" s="60">
        <v>59.65</v>
      </c>
      <c r="H72" s="60">
        <v>55.76</v>
      </c>
      <c r="I72" s="60">
        <v>3.89</v>
      </c>
      <c r="J72" s="60">
        <v>0.68</v>
      </c>
      <c r="K72" s="60">
        <v>158.43</v>
      </c>
      <c r="L72" s="60">
        <v>34.22</v>
      </c>
      <c r="M72" s="60">
        <v>44.79</v>
      </c>
      <c r="N72" s="60">
        <v>185.1</v>
      </c>
      <c r="O72" s="60">
        <v>0</v>
      </c>
      <c r="P72" s="60">
        <v>0.37</v>
      </c>
      <c r="Q72" s="60">
        <v>9.18</v>
      </c>
      <c r="R72" s="198"/>
      <c r="S72" s="198"/>
      <c r="T72" s="198"/>
      <c r="U72" s="198"/>
    </row>
    <row r="73" spans="1:21" s="12" customFormat="1" x14ac:dyDescent="0.25">
      <c r="A73" s="63">
        <v>45818.677083333336</v>
      </c>
      <c r="B73" s="60">
        <v>3.71</v>
      </c>
      <c r="C73" s="60">
        <v>17.68</v>
      </c>
      <c r="D73" s="60">
        <v>28.15</v>
      </c>
      <c r="E73" s="60">
        <v>7.02</v>
      </c>
      <c r="F73" s="60">
        <v>15.34</v>
      </c>
      <c r="G73" s="60">
        <v>56.02</v>
      </c>
      <c r="H73" s="60">
        <v>23.84</v>
      </c>
      <c r="I73" s="60">
        <v>4.13</v>
      </c>
      <c r="J73" s="60">
        <v>0.51</v>
      </c>
      <c r="K73" s="60">
        <v>170.26</v>
      </c>
      <c r="L73" s="60">
        <v>33.67</v>
      </c>
      <c r="M73" s="60">
        <v>46.29</v>
      </c>
      <c r="N73" s="60">
        <v>186.6</v>
      </c>
      <c r="O73" s="60">
        <v>0</v>
      </c>
      <c r="P73" s="60">
        <v>0.38</v>
      </c>
      <c r="Q73" s="60">
        <v>9.15</v>
      </c>
      <c r="R73" s="198"/>
      <c r="S73" s="198"/>
      <c r="T73" s="198"/>
      <c r="U73" s="198"/>
    </row>
    <row r="74" spans="1:21" s="12" customFormat="1" x14ac:dyDescent="0.25">
      <c r="A74" s="63">
        <v>45818.6875</v>
      </c>
      <c r="B74" s="60">
        <v>3.62</v>
      </c>
      <c r="C74" s="60">
        <v>18.690000000000001</v>
      </c>
      <c r="D74" s="60">
        <v>30.23</v>
      </c>
      <c r="E74" s="60">
        <v>6.58</v>
      </c>
      <c r="F74" s="60">
        <v>9.92</v>
      </c>
      <c r="G74" s="60">
        <v>56.02</v>
      </c>
      <c r="H74" s="60">
        <v>23.84</v>
      </c>
      <c r="I74" s="60">
        <v>3.94</v>
      </c>
      <c r="J74" s="60">
        <v>1.1299999999999999</v>
      </c>
      <c r="K74" s="60">
        <v>151.77000000000001</v>
      </c>
      <c r="L74" s="60">
        <v>33.47</v>
      </c>
      <c r="M74" s="60">
        <v>46.75</v>
      </c>
      <c r="N74" s="60">
        <v>189.7</v>
      </c>
      <c r="O74" s="60">
        <v>0</v>
      </c>
      <c r="P74" s="60">
        <v>0.38</v>
      </c>
      <c r="Q74" s="60">
        <v>9.1199999999999992</v>
      </c>
      <c r="R74" s="198"/>
      <c r="S74" s="198"/>
      <c r="T74" s="198"/>
      <c r="U74" s="198"/>
    </row>
    <row r="75" spans="1:21" s="12" customFormat="1" x14ac:dyDescent="0.25">
      <c r="A75" s="63">
        <v>45818.697916666664</v>
      </c>
      <c r="B75" s="60">
        <v>3.51</v>
      </c>
      <c r="C75" s="60">
        <v>18.8</v>
      </c>
      <c r="D75" s="60">
        <v>30.59</v>
      </c>
      <c r="E75" s="60">
        <v>6.45</v>
      </c>
      <c r="F75" s="60">
        <v>7.95</v>
      </c>
      <c r="G75" s="60">
        <v>56.02</v>
      </c>
      <c r="H75" s="60">
        <v>23.84</v>
      </c>
      <c r="I75" s="60">
        <v>3.94</v>
      </c>
      <c r="J75" s="60">
        <v>0.86</v>
      </c>
      <c r="K75" s="60">
        <v>164.41</v>
      </c>
      <c r="L75" s="60">
        <v>33.24</v>
      </c>
      <c r="M75" s="60">
        <v>49.13</v>
      </c>
      <c r="N75" s="60">
        <v>183</v>
      </c>
      <c r="O75" s="60">
        <v>0</v>
      </c>
      <c r="P75" s="60">
        <v>0.41</v>
      </c>
      <c r="Q75" s="60">
        <v>9.11</v>
      </c>
      <c r="R75" s="198"/>
      <c r="S75" s="198"/>
      <c r="T75" s="198"/>
      <c r="U75" s="198"/>
    </row>
    <row r="76" spans="1:21" s="12" customFormat="1" x14ac:dyDescent="0.25">
      <c r="A76" s="63">
        <v>45818.708333333336</v>
      </c>
      <c r="B76" s="60">
        <v>3.47</v>
      </c>
      <c r="C76" s="60">
        <v>18.399999999999999</v>
      </c>
      <c r="D76" s="60">
        <v>29.9</v>
      </c>
      <c r="E76" s="60">
        <v>6.16</v>
      </c>
      <c r="F76" s="60">
        <v>9.31</v>
      </c>
      <c r="G76" s="60">
        <v>56.05</v>
      </c>
      <c r="H76" s="60">
        <v>17.68</v>
      </c>
      <c r="I76" s="60">
        <v>3.94</v>
      </c>
      <c r="J76" s="60">
        <v>1.1100000000000001</v>
      </c>
      <c r="K76" s="60">
        <v>148.22</v>
      </c>
      <c r="L76" s="60">
        <v>33.07</v>
      </c>
      <c r="M76" s="60">
        <v>50.66</v>
      </c>
      <c r="N76" s="60">
        <v>177.6</v>
      </c>
      <c r="O76" s="60">
        <v>0</v>
      </c>
      <c r="P76" s="60">
        <v>0.42</v>
      </c>
      <c r="Q76" s="60">
        <v>9.1300000000000008</v>
      </c>
      <c r="R76" s="198"/>
      <c r="S76" s="198"/>
      <c r="T76" s="198"/>
      <c r="U76" s="198"/>
    </row>
    <row r="77" spans="1:21" s="12" customFormat="1" x14ac:dyDescent="0.25">
      <c r="A77" s="63">
        <v>45818.71875</v>
      </c>
      <c r="B77" s="60">
        <v>3.74</v>
      </c>
      <c r="C77" s="60">
        <v>17.940000000000001</v>
      </c>
      <c r="D77" s="60">
        <v>28.59</v>
      </c>
      <c r="E77" s="60">
        <v>5.64</v>
      </c>
      <c r="F77" s="60">
        <v>6.6</v>
      </c>
      <c r="G77" s="60">
        <v>56.07</v>
      </c>
      <c r="H77" s="60">
        <v>10.63</v>
      </c>
      <c r="I77" s="60">
        <v>3.96</v>
      </c>
      <c r="J77" s="60">
        <v>1.34</v>
      </c>
      <c r="K77" s="60">
        <v>153.46</v>
      </c>
      <c r="L77" s="60">
        <v>32.97</v>
      </c>
      <c r="M77" s="60">
        <v>50.92</v>
      </c>
      <c r="N77" s="60">
        <v>168.6</v>
      </c>
      <c r="O77" s="60">
        <v>0</v>
      </c>
      <c r="P77" s="60">
        <v>0.41</v>
      </c>
      <c r="Q77" s="60">
        <v>9.16</v>
      </c>
      <c r="R77" s="198"/>
      <c r="S77" s="198"/>
      <c r="T77" s="198"/>
      <c r="U77" s="198"/>
    </row>
    <row r="78" spans="1:21" s="12" customFormat="1" x14ac:dyDescent="0.25">
      <c r="A78" s="63">
        <v>45818.729166666664</v>
      </c>
      <c r="B78" s="60">
        <v>3.95</v>
      </c>
      <c r="C78" s="60">
        <v>17.86</v>
      </c>
      <c r="D78" s="60">
        <v>28.12</v>
      </c>
      <c r="E78" s="60">
        <v>5.39</v>
      </c>
      <c r="F78" s="60">
        <v>6.26</v>
      </c>
      <c r="G78" s="60">
        <v>56.07</v>
      </c>
      <c r="H78" s="60">
        <v>10.63</v>
      </c>
      <c r="I78" s="60">
        <v>4.1399999999999997</v>
      </c>
      <c r="J78" s="60">
        <v>1.47</v>
      </c>
      <c r="K78" s="60">
        <v>149.37</v>
      </c>
      <c r="L78" s="60">
        <v>32.35</v>
      </c>
      <c r="M78" s="60">
        <v>54.12</v>
      </c>
      <c r="N78" s="60">
        <v>155</v>
      </c>
      <c r="O78" s="60">
        <v>0</v>
      </c>
      <c r="P78" s="60">
        <v>0.4</v>
      </c>
      <c r="Q78" s="60">
        <v>9.16</v>
      </c>
      <c r="R78" s="198"/>
      <c r="S78" s="198"/>
      <c r="T78" s="198"/>
      <c r="U78" s="198"/>
    </row>
    <row r="79" spans="1:21" s="12" customFormat="1" x14ac:dyDescent="0.25">
      <c r="A79" s="63">
        <v>45818.739583333336</v>
      </c>
      <c r="B79" s="60">
        <v>4.04</v>
      </c>
      <c r="C79" s="60">
        <v>17.87</v>
      </c>
      <c r="D79" s="60">
        <v>27.99</v>
      </c>
      <c r="E79" s="60">
        <v>4.95</v>
      </c>
      <c r="F79" s="60">
        <v>9.9600000000000009</v>
      </c>
      <c r="G79" s="60">
        <v>56.07</v>
      </c>
      <c r="H79" s="60">
        <v>10.63</v>
      </c>
      <c r="I79" s="60">
        <v>3.97</v>
      </c>
      <c r="J79" s="60">
        <v>1.43</v>
      </c>
      <c r="K79" s="60">
        <v>144.77000000000001</v>
      </c>
      <c r="L79" s="60">
        <v>30.5</v>
      </c>
      <c r="M79" s="60">
        <v>62.18</v>
      </c>
      <c r="N79" s="60">
        <v>138.1</v>
      </c>
      <c r="O79" s="60">
        <v>0</v>
      </c>
      <c r="P79" s="60">
        <v>0.39</v>
      </c>
      <c r="Q79" s="60">
        <v>9.17</v>
      </c>
      <c r="R79" s="198"/>
      <c r="S79" s="198"/>
      <c r="T79" s="198"/>
      <c r="U79" s="198"/>
    </row>
    <row r="80" spans="1:21" s="12" customFormat="1" x14ac:dyDescent="0.25">
      <c r="A80" s="63">
        <v>45818.75</v>
      </c>
      <c r="B80" s="60">
        <v>4.13</v>
      </c>
      <c r="C80" s="60">
        <v>18.66</v>
      </c>
      <c r="D80" s="60">
        <v>29.38</v>
      </c>
      <c r="E80" s="60">
        <v>5.3</v>
      </c>
      <c r="F80" s="60">
        <v>13.65</v>
      </c>
      <c r="G80" s="60">
        <v>53.92</v>
      </c>
      <c r="H80" s="60">
        <v>10.89</v>
      </c>
      <c r="I80" s="60">
        <v>3.97</v>
      </c>
      <c r="J80" s="60">
        <v>1.31</v>
      </c>
      <c r="K80" s="60">
        <v>144.12</v>
      </c>
      <c r="L80" s="60">
        <v>30.56</v>
      </c>
      <c r="M80" s="60">
        <v>61.56</v>
      </c>
      <c r="N80" s="60">
        <v>110.3</v>
      </c>
      <c r="O80" s="60">
        <v>0</v>
      </c>
      <c r="P80" s="60">
        <v>0.39</v>
      </c>
      <c r="Q80" s="60">
        <v>9.16</v>
      </c>
      <c r="R80" s="198"/>
      <c r="S80" s="198"/>
      <c r="T80" s="198"/>
      <c r="U80" s="198"/>
    </row>
    <row r="81" spans="1:26" s="12" customFormat="1" x14ac:dyDescent="0.25">
      <c r="A81" s="63">
        <v>45818.760416666664</v>
      </c>
      <c r="B81" s="60">
        <v>4.38</v>
      </c>
      <c r="C81" s="60">
        <v>19.02</v>
      </c>
      <c r="D81" s="60">
        <v>29.68</v>
      </c>
      <c r="E81" s="60">
        <v>5.21</v>
      </c>
      <c r="F81" s="60">
        <v>10</v>
      </c>
      <c r="G81" s="60">
        <v>51.56</v>
      </c>
      <c r="H81" s="60">
        <v>11.17</v>
      </c>
      <c r="I81" s="60">
        <v>4.09</v>
      </c>
      <c r="J81" s="60">
        <v>1.05</v>
      </c>
      <c r="K81" s="60">
        <v>144.24</v>
      </c>
      <c r="L81" s="60">
        <v>30.13</v>
      </c>
      <c r="M81" s="60">
        <v>64.11</v>
      </c>
      <c r="N81" s="60">
        <v>89</v>
      </c>
      <c r="O81" s="60">
        <v>0</v>
      </c>
      <c r="P81" s="60">
        <v>0.38</v>
      </c>
      <c r="Q81" s="60">
        <v>9.15</v>
      </c>
      <c r="R81" s="198"/>
      <c r="S81" s="198"/>
      <c r="T81" s="198"/>
      <c r="U81" s="198"/>
    </row>
    <row r="82" spans="1:26" s="12" customFormat="1" x14ac:dyDescent="0.25">
      <c r="A82" s="63">
        <v>45818.770833333336</v>
      </c>
      <c r="B82" s="60">
        <v>6.6</v>
      </c>
      <c r="C82" s="60">
        <v>27.07</v>
      </c>
      <c r="D82" s="60">
        <v>41.69</v>
      </c>
      <c r="E82" s="60">
        <v>5.39</v>
      </c>
      <c r="F82" s="60">
        <v>14.85</v>
      </c>
      <c r="G82" s="60">
        <v>51.56</v>
      </c>
      <c r="H82" s="60">
        <v>11.17</v>
      </c>
      <c r="I82" s="60">
        <v>4.0199999999999996</v>
      </c>
      <c r="J82" s="60">
        <v>0.03</v>
      </c>
      <c r="K82" s="60">
        <v>111.08</v>
      </c>
      <c r="L82" s="60">
        <v>30.48</v>
      </c>
      <c r="M82" s="60">
        <v>60.87</v>
      </c>
      <c r="N82" s="60">
        <v>78.099999999999994</v>
      </c>
      <c r="O82" s="60">
        <v>0</v>
      </c>
      <c r="P82" s="60">
        <v>0.56000000000000005</v>
      </c>
      <c r="Q82" s="60">
        <v>9.19</v>
      </c>
      <c r="R82" s="198"/>
      <c r="S82" s="198"/>
      <c r="T82" s="198"/>
      <c r="U82" s="198"/>
    </row>
    <row r="83" spans="1:26" s="12" customFormat="1" x14ac:dyDescent="0.25">
      <c r="A83" s="63">
        <v>45818.78125</v>
      </c>
      <c r="B83" s="60">
        <v>5.93</v>
      </c>
      <c r="C83" s="60">
        <v>22.48</v>
      </c>
      <c r="D83" s="60">
        <v>33.94</v>
      </c>
      <c r="E83" s="60">
        <v>5.97</v>
      </c>
      <c r="F83" s="60">
        <v>10.47</v>
      </c>
      <c r="G83" s="60">
        <v>51.56</v>
      </c>
      <c r="H83" s="60">
        <v>11.17</v>
      </c>
      <c r="I83" s="60">
        <v>3.87</v>
      </c>
      <c r="J83" s="60">
        <v>0.82</v>
      </c>
      <c r="K83" s="60">
        <v>331.3</v>
      </c>
      <c r="L83" s="60">
        <v>30.9</v>
      </c>
      <c r="M83" s="60">
        <v>55.2</v>
      </c>
      <c r="N83" s="60">
        <v>75.900000000000006</v>
      </c>
      <c r="O83" s="60">
        <v>0</v>
      </c>
      <c r="P83" s="60">
        <v>0.49</v>
      </c>
      <c r="Q83" s="60">
        <v>9.24</v>
      </c>
      <c r="R83" s="198"/>
      <c r="S83" s="198"/>
      <c r="T83" s="198"/>
      <c r="U83" s="198"/>
    </row>
    <row r="84" spans="1:26" s="12" customFormat="1" x14ac:dyDescent="0.25">
      <c r="A84" s="63">
        <v>45818.791666666664</v>
      </c>
      <c r="B84" s="60">
        <v>6.32</v>
      </c>
      <c r="C84" s="60">
        <v>24.74</v>
      </c>
      <c r="D84" s="60">
        <v>37.64</v>
      </c>
      <c r="E84" s="60">
        <v>5.74</v>
      </c>
      <c r="F84" s="60">
        <v>10.37</v>
      </c>
      <c r="G84" s="60">
        <v>54.37</v>
      </c>
      <c r="H84" s="60">
        <v>12.87</v>
      </c>
      <c r="I84" s="60">
        <v>3.94</v>
      </c>
      <c r="J84" s="60">
        <v>1.61</v>
      </c>
      <c r="K84" s="60">
        <v>339.51</v>
      </c>
      <c r="L84" s="60">
        <v>30.24</v>
      </c>
      <c r="M84" s="60">
        <v>53.99</v>
      </c>
      <c r="N84" s="60">
        <v>77.5</v>
      </c>
      <c r="O84" s="60">
        <v>0</v>
      </c>
      <c r="P84" s="60">
        <v>0.59</v>
      </c>
      <c r="Q84" s="60">
        <v>9.25</v>
      </c>
      <c r="R84" s="198"/>
      <c r="S84" s="198"/>
      <c r="T84" s="198"/>
      <c r="U84" s="198"/>
    </row>
    <row r="85" spans="1:26" s="12" customFormat="1" x14ac:dyDescent="0.25">
      <c r="A85" s="63">
        <v>45818.802083333336</v>
      </c>
      <c r="B85" s="60">
        <v>5.49</v>
      </c>
      <c r="C85" s="60">
        <v>21.27</v>
      </c>
      <c r="D85" s="60">
        <v>32.28</v>
      </c>
      <c r="E85" s="60">
        <v>5.73</v>
      </c>
      <c r="F85" s="60">
        <v>8.09</v>
      </c>
      <c r="G85" s="60">
        <v>57.59</v>
      </c>
      <c r="H85" s="60">
        <v>14.73</v>
      </c>
      <c r="I85" s="60">
        <v>4.1100000000000003</v>
      </c>
      <c r="J85" s="60">
        <v>2.78</v>
      </c>
      <c r="K85" s="60">
        <v>358.4</v>
      </c>
      <c r="L85" s="60">
        <v>25.32</v>
      </c>
      <c r="M85" s="60">
        <v>82.59</v>
      </c>
      <c r="N85" s="60">
        <v>93.9</v>
      </c>
      <c r="O85" s="60">
        <v>5.8</v>
      </c>
      <c r="P85" s="60">
        <v>0.49</v>
      </c>
      <c r="Q85" s="60">
        <v>9.25</v>
      </c>
      <c r="R85" s="198"/>
      <c r="S85" s="198"/>
      <c r="T85" s="198"/>
      <c r="U85" s="198"/>
    </row>
    <row r="86" spans="1:26" s="12" customFormat="1" x14ac:dyDescent="0.25">
      <c r="A86" s="63">
        <v>45818.8125</v>
      </c>
      <c r="B86" s="60">
        <v>4.92</v>
      </c>
      <c r="C86" s="60">
        <v>20.9</v>
      </c>
      <c r="D86" s="60">
        <v>32.44</v>
      </c>
      <c r="E86" s="60">
        <v>5.77</v>
      </c>
      <c r="F86" s="60">
        <v>5.83</v>
      </c>
      <c r="G86" s="60">
        <v>57.59</v>
      </c>
      <c r="H86" s="60">
        <v>14.73</v>
      </c>
      <c r="I86" s="60">
        <v>4.05</v>
      </c>
      <c r="J86" s="60">
        <v>1.07</v>
      </c>
      <c r="K86" s="60">
        <v>343.13</v>
      </c>
      <c r="L86" s="60">
        <v>20.92</v>
      </c>
      <c r="M86" s="60">
        <v>102.82</v>
      </c>
      <c r="N86" s="60">
        <v>78.2</v>
      </c>
      <c r="O86" s="60">
        <v>16.2</v>
      </c>
      <c r="P86" s="60">
        <v>0.48</v>
      </c>
      <c r="Q86" s="60">
        <v>9.2899999999999991</v>
      </c>
      <c r="R86" s="198"/>
      <c r="S86" s="198"/>
      <c r="T86" s="198"/>
      <c r="U86" s="198"/>
    </row>
    <row r="87" spans="1:26" s="12" customFormat="1" x14ac:dyDescent="0.25">
      <c r="A87" s="63">
        <v>45818.822916666664</v>
      </c>
      <c r="B87" s="60">
        <v>4.37</v>
      </c>
      <c r="C87" s="60">
        <v>19</v>
      </c>
      <c r="D87" s="60">
        <v>29.65</v>
      </c>
      <c r="E87" s="60">
        <v>5.16</v>
      </c>
      <c r="F87" s="60">
        <v>6.03</v>
      </c>
      <c r="G87" s="60">
        <v>57.59</v>
      </c>
      <c r="H87" s="60">
        <v>14.73</v>
      </c>
      <c r="I87" s="60">
        <v>3.89</v>
      </c>
      <c r="J87" s="60">
        <v>0.21</v>
      </c>
      <c r="K87" s="60">
        <v>281.74</v>
      </c>
      <c r="L87" s="60">
        <v>20.69</v>
      </c>
      <c r="M87" s="60">
        <v>102.72</v>
      </c>
      <c r="N87" s="60">
        <v>74.900000000000006</v>
      </c>
      <c r="O87" s="60">
        <v>1.8</v>
      </c>
      <c r="P87" s="60">
        <v>0.48</v>
      </c>
      <c r="Q87" s="60">
        <v>9.3000000000000007</v>
      </c>
      <c r="R87" s="198"/>
      <c r="S87" s="198"/>
      <c r="T87" s="198"/>
      <c r="U87" s="198"/>
    </row>
    <row r="88" spans="1:26" s="12" customFormat="1" x14ac:dyDescent="0.25">
      <c r="A88" s="63">
        <v>45818.833333333336</v>
      </c>
      <c r="B88" s="60">
        <v>4.0999999999999996</v>
      </c>
      <c r="C88" s="60">
        <v>18.11</v>
      </c>
      <c r="D88" s="60">
        <v>28.39</v>
      </c>
      <c r="E88" s="60">
        <v>5.35</v>
      </c>
      <c r="F88" s="60">
        <v>5.41</v>
      </c>
      <c r="G88" s="60">
        <v>63.93</v>
      </c>
      <c r="H88" s="60">
        <v>14.19</v>
      </c>
      <c r="I88" s="60">
        <v>4.04</v>
      </c>
      <c r="J88" s="60">
        <v>0.22</v>
      </c>
      <c r="K88" s="60">
        <v>8.5500000000000007</v>
      </c>
      <c r="L88" s="60">
        <v>20.77</v>
      </c>
      <c r="M88" s="60">
        <v>102.9</v>
      </c>
      <c r="N88" s="60">
        <v>74.7</v>
      </c>
      <c r="O88" s="60">
        <v>0.2</v>
      </c>
      <c r="P88" s="60">
        <v>0.44</v>
      </c>
      <c r="Q88" s="60">
        <v>9.2899999999999991</v>
      </c>
      <c r="R88" s="198"/>
      <c r="S88" s="198"/>
      <c r="T88" s="198"/>
      <c r="U88" s="198"/>
    </row>
    <row r="89" spans="1:26" s="12" customFormat="1" x14ac:dyDescent="0.25">
      <c r="A89" s="63">
        <v>45818.84375</v>
      </c>
      <c r="B89" s="60">
        <v>4.04</v>
      </c>
      <c r="C89" s="60">
        <v>16.93</v>
      </c>
      <c r="D89" s="60">
        <v>26.19</v>
      </c>
      <c r="E89" s="60">
        <v>5.14</v>
      </c>
      <c r="F89" s="60">
        <v>6.14</v>
      </c>
      <c r="G89" s="60">
        <v>70.87</v>
      </c>
      <c r="H89" s="60">
        <v>13.6</v>
      </c>
      <c r="I89" s="60">
        <v>4.09</v>
      </c>
      <c r="J89" s="60">
        <v>0.23</v>
      </c>
      <c r="K89" s="60">
        <v>314.98</v>
      </c>
      <c r="L89" s="60">
        <v>21.21</v>
      </c>
      <c r="M89" s="60">
        <v>103.23</v>
      </c>
      <c r="N89" s="60">
        <v>74.599999999999994</v>
      </c>
      <c r="O89" s="60">
        <v>0</v>
      </c>
      <c r="P89" s="60">
        <v>0.48</v>
      </c>
      <c r="Q89" s="60">
        <v>9.2799999999999994</v>
      </c>
      <c r="R89" s="198"/>
      <c r="S89" s="198"/>
      <c r="T89" s="198"/>
      <c r="U89" s="198"/>
    </row>
    <row r="90" spans="1:26" s="12" customFormat="1" x14ac:dyDescent="0.25">
      <c r="A90" s="63">
        <v>45818.854166666664</v>
      </c>
      <c r="B90" s="60">
        <v>4.29</v>
      </c>
      <c r="C90" s="60">
        <v>17.14</v>
      </c>
      <c r="D90" s="60">
        <v>26.23</v>
      </c>
      <c r="E90" s="60">
        <v>5.04</v>
      </c>
      <c r="F90" s="60">
        <v>3.44</v>
      </c>
      <c r="G90" s="60">
        <v>70.87</v>
      </c>
      <c r="H90" s="60">
        <v>13.6</v>
      </c>
      <c r="I90" s="60">
        <v>4.08</v>
      </c>
      <c r="J90" s="60">
        <v>0.09</v>
      </c>
      <c r="K90" s="60">
        <v>351.68</v>
      </c>
      <c r="L90" s="60">
        <v>21.07</v>
      </c>
      <c r="M90" s="60">
        <v>104.1</v>
      </c>
      <c r="N90" s="60">
        <v>74.900000000000006</v>
      </c>
      <c r="O90" s="60">
        <v>0</v>
      </c>
      <c r="P90" s="60">
        <v>0.46</v>
      </c>
      <c r="Q90" s="60">
        <v>9.3000000000000007</v>
      </c>
      <c r="R90" s="198"/>
      <c r="S90" s="198"/>
      <c r="T90" s="198"/>
      <c r="U90" s="198"/>
    </row>
    <row r="91" spans="1:26" s="12" customFormat="1" x14ac:dyDescent="0.25">
      <c r="A91" s="63">
        <v>45818.864583333336</v>
      </c>
      <c r="B91" s="60">
        <v>4.66</v>
      </c>
      <c r="C91" s="60">
        <v>16.93</v>
      </c>
      <c r="D91" s="60">
        <v>25.25</v>
      </c>
      <c r="E91" s="60">
        <v>4.99</v>
      </c>
      <c r="F91" s="60">
        <v>4.0999999999999996</v>
      </c>
      <c r="G91" s="60">
        <v>70.87</v>
      </c>
      <c r="H91" s="60">
        <v>13.6</v>
      </c>
      <c r="I91" s="60">
        <v>4.05</v>
      </c>
      <c r="J91" s="60">
        <v>0.11</v>
      </c>
      <c r="K91" s="60">
        <v>321.3</v>
      </c>
      <c r="L91" s="60">
        <v>21.15</v>
      </c>
      <c r="M91" s="60">
        <v>102.72</v>
      </c>
      <c r="N91" s="60">
        <v>74.900000000000006</v>
      </c>
      <c r="O91" s="60">
        <v>0</v>
      </c>
      <c r="P91" s="60">
        <v>0.49</v>
      </c>
      <c r="Q91" s="60">
        <v>9.3000000000000007</v>
      </c>
      <c r="R91" s="198"/>
      <c r="S91" s="198"/>
      <c r="T91" s="198"/>
      <c r="U91" s="198"/>
    </row>
    <row r="92" spans="1:26" s="12" customFormat="1" x14ac:dyDescent="0.25">
      <c r="A92" s="63">
        <v>45818.875</v>
      </c>
      <c r="B92" s="60">
        <v>5.19</v>
      </c>
      <c r="C92" s="60">
        <v>17.75</v>
      </c>
      <c r="D92" s="60">
        <v>26</v>
      </c>
      <c r="E92" s="60">
        <v>5.16</v>
      </c>
      <c r="F92" s="60">
        <v>3.85</v>
      </c>
      <c r="G92" s="60">
        <v>58.52</v>
      </c>
      <c r="H92" s="60">
        <v>12.5</v>
      </c>
      <c r="I92" s="60">
        <v>4</v>
      </c>
      <c r="J92" s="60">
        <v>0.11</v>
      </c>
      <c r="K92" s="60">
        <v>333.48</v>
      </c>
      <c r="L92" s="60">
        <v>21.35</v>
      </c>
      <c r="M92" s="60">
        <v>102.78</v>
      </c>
      <c r="N92" s="60">
        <v>75.5</v>
      </c>
      <c r="O92" s="60">
        <v>0</v>
      </c>
      <c r="P92" s="60">
        <v>0.5</v>
      </c>
      <c r="Q92" s="60">
        <v>9.31</v>
      </c>
      <c r="R92" s="198"/>
      <c r="S92" s="198"/>
      <c r="T92" s="198"/>
      <c r="U92" s="198"/>
    </row>
    <row r="93" spans="1:26" s="12" customFormat="1" x14ac:dyDescent="0.25">
      <c r="A93" s="63">
        <v>45818.885416666664</v>
      </c>
      <c r="B93" s="60">
        <v>5.44</v>
      </c>
      <c r="C93" s="60">
        <v>17.16</v>
      </c>
      <c r="D93" s="60">
        <v>24.5</v>
      </c>
      <c r="E93" s="60">
        <v>4.42</v>
      </c>
      <c r="F93" s="60">
        <v>4.34</v>
      </c>
      <c r="G93" s="60">
        <v>45.04</v>
      </c>
      <c r="H93" s="60">
        <v>11.29</v>
      </c>
      <c r="I93" s="60">
        <v>4.1100000000000003</v>
      </c>
      <c r="J93" s="60">
        <v>0.03</v>
      </c>
      <c r="K93" s="60">
        <v>261.95</v>
      </c>
      <c r="L93" s="60">
        <v>21.41</v>
      </c>
      <c r="M93" s="60">
        <v>102.96</v>
      </c>
      <c r="N93" s="60">
        <v>75.900000000000006</v>
      </c>
      <c r="O93" s="60">
        <v>0</v>
      </c>
      <c r="P93" s="60">
        <v>0.51</v>
      </c>
      <c r="Q93" s="60">
        <v>9.31</v>
      </c>
      <c r="R93" s="198"/>
      <c r="S93" s="198"/>
      <c r="T93" s="198"/>
      <c r="U93" s="198"/>
    </row>
    <row r="94" spans="1:26" s="12" customFormat="1" x14ac:dyDescent="0.25">
      <c r="A94" s="63">
        <v>45818.895833333336</v>
      </c>
      <c r="B94" s="60">
        <v>5.69</v>
      </c>
      <c r="C94" s="60">
        <v>17.46</v>
      </c>
      <c r="D94" s="60">
        <v>24.68</v>
      </c>
      <c r="E94" s="60">
        <v>5.18</v>
      </c>
      <c r="F94" s="60">
        <v>2.87</v>
      </c>
      <c r="G94" s="60">
        <v>45.04</v>
      </c>
      <c r="H94" s="60">
        <v>11.29</v>
      </c>
      <c r="I94" s="60">
        <v>3.93</v>
      </c>
      <c r="J94" s="60">
        <v>0.2</v>
      </c>
      <c r="K94" s="60">
        <v>314.58999999999997</v>
      </c>
      <c r="L94" s="60">
        <v>21.54</v>
      </c>
      <c r="M94" s="60">
        <v>103.47</v>
      </c>
      <c r="N94" s="60">
        <v>76</v>
      </c>
      <c r="O94" s="60">
        <v>0</v>
      </c>
      <c r="P94" s="60">
        <v>0.51</v>
      </c>
      <c r="Q94" s="60">
        <v>9.31</v>
      </c>
      <c r="R94" s="198"/>
      <c r="S94" s="198"/>
      <c r="T94" s="198"/>
      <c r="U94" s="198"/>
    </row>
    <row r="95" spans="1:26" s="12" customFormat="1" x14ac:dyDescent="0.25">
      <c r="A95" s="63">
        <v>45818.90625</v>
      </c>
      <c r="B95" s="60">
        <v>6.02</v>
      </c>
      <c r="C95" s="60">
        <v>17.489999999999998</v>
      </c>
      <c r="D95" s="60">
        <v>24.25</v>
      </c>
      <c r="E95" s="60">
        <v>4.8899999999999997</v>
      </c>
      <c r="F95" s="60">
        <v>4.63</v>
      </c>
      <c r="G95" s="60">
        <v>45.04</v>
      </c>
      <c r="H95" s="60">
        <v>11.29</v>
      </c>
      <c r="I95" s="60">
        <v>3.96</v>
      </c>
      <c r="J95" s="60">
        <v>0.23</v>
      </c>
      <c r="K95" s="60">
        <v>318.11</v>
      </c>
      <c r="L95" s="60">
        <v>21.67</v>
      </c>
      <c r="M95" s="60">
        <v>103.28</v>
      </c>
      <c r="N95" s="60">
        <v>76.400000000000006</v>
      </c>
      <c r="O95" s="60">
        <v>0</v>
      </c>
      <c r="P95" s="60">
        <v>0.52</v>
      </c>
      <c r="Q95" s="60">
        <v>9.31</v>
      </c>
      <c r="R95" s="198"/>
      <c r="S95" s="198"/>
      <c r="T95" s="198"/>
      <c r="U95" s="198"/>
    </row>
    <row r="96" spans="1:26" s="12" customFormat="1" x14ac:dyDescent="0.25">
      <c r="A96" s="63">
        <v>45818.916666666664</v>
      </c>
      <c r="B96" s="60">
        <v>8.09</v>
      </c>
      <c r="C96" s="60">
        <v>22.45</v>
      </c>
      <c r="D96" s="60">
        <v>30.55</v>
      </c>
      <c r="E96" s="60">
        <v>4.62</v>
      </c>
      <c r="F96" s="60">
        <v>6.42</v>
      </c>
      <c r="G96" s="60">
        <v>37.799999999999997</v>
      </c>
      <c r="H96" s="60">
        <v>8.33</v>
      </c>
      <c r="I96" s="60">
        <v>4.12</v>
      </c>
      <c r="J96" s="60">
        <v>0.26</v>
      </c>
      <c r="K96" s="60">
        <v>318.37</v>
      </c>
      <c r="L96" s="60">
        <v>21.58</v>
      </c>
      <c r="M96" s="60">
        <v>103.3</v>
      </c>
      <c r="N96" s="60">
        <v>76.3</v>
      </c>
      <c r="O96" s="60">
        <v>0</v>
      </c>
      <c r="P96" s="60">
        <v>0.55000000000000004</v>
      </c>
      <c r="Q96" s="60">
        <v>9.31</v>
      </c>
      <c r="R96" s="198"/>
      <c r="S96" s="198"/>
      <c r="T96" s="198"/>
      <c r="U96" s="198"/>
      <c r="Z96" s="109"/>
    </row>
    <row r="97" spans="1:33" s="12" customFormat="1" x14ac:dyDescent="0.25">
      <c r="A97" s="63">
        <v>45818.927083333336</v>
      </c>
      <c r="B97" s="60">
        <v>10.95</v>
      </c>
      <c r="C97" s="60">
        <v>26.61</v>
      </c>
      <c r="D97" s="60">
        <v>34.119999999999997</v>
      </c>
      <c r="E97" s="60">
        <v>5</v>
      </c>
      <c r="F97" s="60">
        <v>8.98</v>
      </c>
      <c r="G97" s="60">
        <v>29.89</v>
      </c>
      <c r="H97" s="60">
        <v>5.0999999999999996</v>
      </c>
      <c r="I97" s="60">
        <v>3.95</v>
      </c>
      <c r="J97" s="60">
        <v>0.11</v>
      </c>
      <c r="K97" s="60">
        <v>307.3</v>
      </c>
      <c r="L97" s="60">
        <v>21.52</v>
      </c>
      <c r="M97" s="60">
        <v>103.45</v>
      </c>
      <c r="N97" s="60">
        <v>76.3</v>
      </c>
      <c r="O97" s="60">
        <v>0</v>
      </c>
      <c r="P97" s="60">
        <v>0.64</v>
      </c>
      <c r="Q97" s="60">
        <v>9.32</v>
      </c>
      <c r="R97" s="198"/>
      <c r="S97" s="198"/>
      <c r="T97" s="198"/>
      <c r="U97" s="198"/>
    </row>
    <row r="98" spans="1:33" s="12" customFormat="1" x14ac:dyDescent="0.25">
      <c r="A98" s="63">
        <v>45818.9375</v>
      </c>
      <c r="B98" s="60">
        <v>9.5</v>
      </c>
      <c r="C98" s="60">
        <v>24.61</v>
      </c>
      <c r="D98" s="60">
        <v>32.51</v>
      </c>
      <c r="E98" s="60">
        <v>4.83</v>
      </c>
      <c r="F98" s="60">
        <v>8.32</v>
      </c>
      <c r="G98" s="60">
        <v>29.89</v>
      </c>
      <c r="H98" s="60">
        <v>5.0999999999999996</v>
      </c>
      <c r="I98" s="60">
        <v>3.92</v>
      </c>
      <c r="J98" s="60">
        <v>0.09</v>
      </c>
      <c r="K98" s="60">
        <v>292.83</v>
      </c>
      <c r="L98" s="60">
        <v>21.55</v>
      </c>
      <c r="M98" s="60">
        <v>103.46</v>
      </c>
      <c r="N98" s="60">
        <v>76.3</v>
      </c>
      <c r="O98" s="60">
        <v>0</v>
      </c>
      <c r="P98" s="60">
        <v>0.6</v>
      </c>
      <c r="Q98" s="60">
        <v>9.34</v>
      </c>
      <c r="R98" s="198"/>
      <c r="S98" s="198"/>
      <c r="T98" s="198"/>
      <c r="U98" s="198"/>
    </row>
    <row r="99" spans="1:33" s="12" customFormat="1" x14ac:dyDescent="0.25">
      <c r="A99" s="63">
        <v>45818.947916666664</v>
      </c>
      <c r="B99" s="60">
        <v>7.9</v>
      </c>
      <c r="C99" s="60">
        <v>24.5</v>
      </c>
      <c r="D99" s="60">
        <v>34.76</v>
      </c>
      <c r="E99" s="60">
        <v>5.23</v>
      </c>
      <c r="F99" s="60">
        <v>7.24</v>
      </c>
      <c r="G99" s="60">
        <v>29.89</v>
      </c>
      <c r="H99" s="60">
        <v>5.0999999999999996</v>
      </c>
      <c r="I99" s="60">
        <v>4.05</v>
      </c>
      <c r="J99" s="60">
        <v>0.05</v>
      </c>
      <c r="K99" s="60">
        <v>279.83</v>
      </c>
      <c r="L99" s="60">
        <v>21.64</v>
      </c>
      <c r="M99" s="60">
        <v>103.43</v>
      </c>
      <c r="N99" s="60">
        <v>76.099999999999994</v>
      </c>
      <c r="O99" s="60">
        <v>0</v>
      </c>
      <c r="P99" s="60">
        <v>0.56999999999999995</v>
      </c>
      <c r="Q99" s="60">
        <v>9.35</v>
      </c>
      <c r="R99" s="198"/>
      <c r="S99" s="198"/>
      <c r="T99" s="198"/>
      <c r="U99" s="198"/>
    </row>
    <row r="100" spans="1:33" s="12" customFormat="1" x14ac:dyDescent="0.25">
      <c r="A100" s="63">
        <v>45818.958333333336</v>
      </c>
      <c r="B100" s="60">
        <v>6.85</v>
      </c>
      <c r="C100" s="60">
        <v>19.32</v>
      </c>
      <c r="D100" s="60">
        <v>26.46</v>
      </c>
      <c r="E100" s="60">
        <v>4.8600000000000003</v>
      </c>
      <c r="F100" s="60">
        <v>11.39</v>
      </c>
      <c r="G100" s="60">
        <v>29.31</v>
      </c>
      <c r="H100" s="60">
        <v>7.61</v>
      </c>
      <c r="I100" s="60">
        <v>3.94</v>
      </c>
      <c r="J100" s="60">
        <v>0.06</v>
      </c>
      <c r="K100" s="60">
        <v>271.17</v>
      </c>
      <c r="L100" s="60">
        <v>21.61</v>
      </c>
      <c r="M100" s="60">
        <v>103.48</v>
      </c>
      <c r="N100" s="60">
        <v>76.099999999999994</v>
      </c>
      <c r="O100" s="60">
        <v>0</v>
      </c>
      <c r="P100" s="60">
        <v>0.56000000000000005</v>
      </c>
      <c r="Q100" s="60">
        <v>9.36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3">
        <v>45818.96875</v>
      </c>
      <c r="B101" s="60">
        <v>6.65</v>
      </c>
      <c r="C101" s="60">
        <v>18.350000000000001</v>
      </c>
      <c r="D101" s="60">
        <v>24.91</v>
      </c>
      <c r="E101" s="60">
        <v>5.01</v>
      </c>
      <c r="F101" s="60">
        <v>9.01</v>
      </c>
      <c r="G101" s="60">
        <v>28.67</v>
      </c>
      <c r="H101" s="60">
        <v>10.37</v>
      </c>
      <c r="I101" s="60">
        <v>4.0599999999999996</v>
      </c>
      <c r="J101" s="60">
        <v>0.2</v>
      </c>
      <c r="K101" s="60">
        <v>157.72999999999999</v>
      </c>
      <c r="L101" s="60">
        <v>21.7</v>
      </c>
      <c r="M101" s="60">
        <v>103.53</v>
      </c>
      <c r="N101" s="60">
        <v>75.7</v>
      </c>
      <c r="O101" s="60">
        <v>0</v>
      </c>
      <c r="P101" s="60">
        <v>0.55000000000000004</v>
      </c>
      <c r="Q101" s="60">
        <v>9.3699999999999992</v>
      </c>
      <c r="R101" s="198"/>
      <c r="S101" s="198"/>
      <c r="T101" s="198"/>
      <c r="U101" s="198"/>
    </row>
    <row r="102" spans="1:33" s="12" customFormat="1" x14ac:dyDescent="0.25">
      <c r="A102" s="63">
        <v>45818.979166666664</v>
      </c>
      <c r="B102" s="60">
        <v>7.01</v>
      </c>
      <c r="C102" s="60">
        <v>18.190000000000001</v>
      </c>
      <c r="D102" s="60">
        <v>24.05</v>
      </c>
      <c r="E102" s="60">
        <v>5.46</v>
      </c>
      <c r="F102" s="60">
        <v>8.31</v>
      </c>
      <c r="G102" s="60">
        <v>28.67</v>
      </c>
      <c r="H102" s="60">
        <v>10.37</v>
      </c>
      <c r="I102" s="60">
        <v>4.01</v>
      </c>
      <c r="J102" s="60">
        <v>0.38</v>
      </c>
      <c r="K102" s="60">
        <v>149.63999999999999</v>
      </c>
      <c r="L102" s="60">
        <v>21.81</v>
      </c>
      <c r="M102" s="60">
        <v>103.6</v>
      </c>
      <c r="N102" s="60">
        <v>75.8</v>
      </c>
      <c r="O102" s="60">
        <v>0</v>
      </c>
      <c r="P102" s="60">
        <v>0.54</v>
      </c>
      <c r="Q102" s="60">
        <v>9.3800000000000008</v>
      </c>
      <c r="R102" s="198"/>
      <c r="S102" s="198"/>
      <c r="T102" s="198"/>
      <c r="U102" s="198"/>
    </row>
    <row r="103" spans="1:33" s="12" customFormat="1" x14ac:dyDescent="0.25">
      <c r="A103" s="63">
        <v>45818.989583333336</v>
      </c>
      <c r="B103" s="60">
        <v>7.91</v>
      </c>
      <c r="C103" s="60">
        <v>18.920000000000002</v>
      </c>
      <c r="D103" s="60">
        <v>24.07</v>
      </c>
      <c r="E103" s="60">
        <v>5.0199999999999996</v>
      </c>
      <c r="F103" s="60">
        <v>5.24</v>
      </c>
      <c r="G103" s="60">
        <v>28.67</v>
      </c>
      <c r="H103" s="60">
        <v>10.37</v>
      </c>
      <c r="I103" s="60">
        <v>3.98</v>
      </c>
      <c r="J103" s="60">
        <v>0.23</v>
      </c>
      <c r="K103" s="60">
        <v>185.75</v>
      </c>
      <c r="L103" s="60">
        <v>21.91</v>
      </c>
      <c r="M103" s="60">
        <v>103.65</v>
      </c>
      <c r="N103" s="60">
        <v>75.900000000000006</v>
      </c>
      <c r="O103" s="60">
        <v>0</v>
      </c>
      <c r="P103" s="60">
        <v>0.53</v>
      </c>
      <c r="Q103" s="60">
        <v>9.39</v>
      </c>
      <c r="R103" s="198"/>
      <c r="S103" s="198"/>
      <c r="T103" s="198"/>
      <c r="U103" s="198"/>
    </row>
    <row r="104" spans="1:33" s="12" customFormat="1" x14ac:dyDescent="0.25">
      <c r="A104" s="60">
        <v>45819</v>
      </c>
      <c r="B104" s="60">
        <v>9.0399999999999991</v>
      </c>
      <c r="C104" s="60">
        <v>19.98</v>
      </c>
      <c r="D104" s="60">
        <v>24.37</v>
      </c>
      <c r="E104" s="60">
        <v>5.16</v>
      </c>
      <c r="F104" s="60">
        <v>3.57</v>
      </c>
      <c r="G104" s="60">
        <v>27.7</v>
      </c>
      <c r="H104" s="60">
        <v>11.62</v>
      </c>
      <c r="I104" s="60">
        <v>4.05</v>
      </c>
      <c r="J104" s="60">
        <v>0.04</v>
      </c>
      <c r="K104" s="60">
        <v>18.59</v>
      </c>
      <c r="L104" s="60">
        <v>22.11</v>
      </c>
      <c r="M104" s="60">
        <v>103.82</v>
      </c>
      <c r="N104" s="60">
        <v>75.099999999999994</v>
      </c>
      <c r="O104" s="60">
        <v>0</v>
      </c>
      <c r="P104" s="60">
        <v>0.54</v>
      </c>
      <c r="Q104" s="60">
        <v>9.3800000000000008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3.16</v>
      </c>
      <c r="C106" s="67">
        <f>MIN(C9:C104)</f>
        <v>14.13</v>
      </c>
      <c r="D106" s="67">
        <f t="shared" ref="D106:Q106" si="0">MIN(D9:D104)</f>
        <v>19.41</v>
      </c>
      <c r="E106" s="67">
        <f t="shared" si="0"/>
        <v>4.42</v>
      </c>
      <c r="F106" s="67">
        <f t="shared" si="0"/>
        <v>2.87</v>
      </c>
      <c r="G106" s="67">
        <f t="shared" si="0"/>
        <v>27.7</v>
      </c>
      <c r="H106" s="67">
        <f t="shared" si="0"/>
        <v>5.0999999999999996</v>
      </c>
      <c r="I106" s="67">
        <f t="shared" si="0"/>
        <v>3.86</v>
      </c>
      <c r="J106" s="67">
        <f t="shared" si="0"/>
        <v>0.03</v>
      </c>
      <c r="K106" s="67">
        <f t="shared" si="0"/>
        <v>8.5500000000000007</v>
      </c>
      <c r="L106" s="67">
        <f t="shared" si="0"/>
        <v>20.69</v>
      </c>
      <c r="M106" s="67">
        <f t="shared" si="0"/>
        <v>40.700000000000003</v>
      </c>
      <c r="N106" s="67">
        <f t="shared" si="0"/>
        <v>52</v>
      </c>
      <c r="O106" s="67">
        <f t="shared" si="0"/>
        <v>0</v>
      </c>
      <c r="P106" s="67">
        <f t="shared" si="0"/>
        <v>0.32</v>
      </c>
      <c r="Q106" s="67">
        <f t="shared" si="0"/>
        <v>9.11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10.95</v>
      </c>
      <c r="C107" s="66">
        <f t="shared" ref="C107:Q107" si="1">MAX(C9:C104)</f>
        <v>27.32</v>
      </c>
      <c r="D107" s="66">
        <f t="shared" si="1"/>
        <v>42.42</v>
      </c>
      <c r="E107" s="66">
        <f t="shared" si="1"/>
        <v>22.52</v>
      </c>
      <c r="F107" s="66">
        <f t="shared" si="1"/>
        <v>47.24</v>
      </c>
      <c r="G107" s="66">
        <f t="shared" si="1"/>
        <v>70.87</v>
      </c>
      <c r="H107" s="66">
        <f t="shared" si="1"/>
        <v>84.96</v>
      </c>
      <c r="I107" s="66">
        <f t="shared" si="1"/>
        <v>4.1900000000000004</v>
      </c>
      <c r="J107" s="66">
        <f t="shared" si="1"/>
        <v>2.78</v>
      </c>
      <c r="K107" s="66">
        <f t="shared" si="1"/>
        <v>358.4</v>
      </c>
      <c r="L107" s="66">
        <f t="shared" si="1"/>
        <v>35.479999999999997</v>
      </c>
      <c r="M107" s="66">
        <f t="shared" si="1"/>
        <v>104.1</v>
      </c>
      <c r="N107" s="66">
        <f t="shared" si="1"/>
        <v>515.70000000000005</v>
      </c>
      <c r="O107" s="66">
        <f t="shared" si="1"/>
        <v>16.2</v>
      </c>
      <c r="P107" s="66">
        <f t="shared" si="1"/>
        <v>0.93</v>
      </c>
      <c r="Q107" s="66">
        <f t="shared" si="1"/>
        <v>9.39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5.803020833333334</v>
      </c>
      <c r="C108" s="67">
        <f t="shared" ref="C108:Q108" si="2">AVERAGE(C9:C104)</f>
        <v>20.086770833333333</v>
      </c>
      <c r="D108" s="67">
        <f t="shared" si="2"/>
        <v>29.53937500000001</v>
      </c>
      <c r="E108" s="67">
        <f t="shared" si="2"/>
        <v>7.3149999999999977</v>
      </c>
      <c r="F108" s="67">
        <f t="shared" si="2"/>
        <v>12.403749999999995</v>
      </c>
      <c r="G108" s="67">
        <f t="shared" si="2"/>
        <v>43.525208333333332</v>
      </c>
      <c r="H108" s="67">
        <f t="shared" si="2"/>
        <v>16.329687499999995</v>
      </c>
      <c r="I108" s="67">
        <f t="shared" si="2"/>
        <v>4.0013541666666663</v>
      </c>
      <c r="J108" s="67">
        <f t="shared" si="2"/>
        <v>0.37572916666666667</v>
      </c>
      <c r="K108" s="67">
        <f t="shared" si="2"/>
        <v>211.15791666666667</v>
      </c>
      <c r="L108" s="67">
        <f t="shared" si="2"/>
        <v>28.126666666666665</v>
      </c>
      <c r="M108" s="67">
        <f t="shared" si="2"/>
        <v>70.336562499999999</v>
      </c>
      <c r="N108" s="67">
        <f t="shared" si="2"/>
        <v>185.72083333333339</v>
      </c>
      <c r="O108" s="67">
        <f t="shared" si="2"/>
        <v>0.25</v>
      </c>
      <c r="P108" s="67">
        <f t="shared" si="2"/>
        <v>0.49739583333333326</v>
      </c>
      <c r="Q108" s="67">
        <f t="shared" si="2"/>
        <v>9.2888541666666598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1.6369163048351276</v>
      </c>
      <c r="C109" s="67">
        <f t="shared" ref="C109:Q109" si="3">STDEV(C9:C104)</f>
        <v>3.3840469372107793</v>
      </c>
      <c r="D109" s="67">
        <f t="shared" si="3"/>
        <v>5.4665965188588386</v>
      </c>
      <c r="E109" s="67">
        <f t="shared" si="3"/>
        <v>4.0211273622154691</v>
      </c>
      <c r="F109" s="67">
        <f t="shared" si="3"/>
        <v>10.141672471851773</v>
      </c>
      <c r="G109" s="67">
        <f t="shared" si="3"/>
        <v>12.617751487001085</v>
      </c>
      <c r="H109" s="67">
        <f t="shared" si="3"/>
        <v>14.320018189721255</v>
      </c>
      <c r="I109" s="67">
        <f t="shared" si="3"/>
        <v>8.0060763656069261E-2</v>
      </c>
      <c r="J109" s="67">
        <f t="shared" si="3"/>
        <v>0.44032223796398712</v>
      </c>
      <c r="K109" s="67">
        <f t="shared" si="3"/>
        <v>78.890929288702594</v>
      </c>
      <c r="L109" s="67">
        <f t="shared" si="3"/>
        <v>4.2878373070733717</v>
      </c>
      <c r="M109" s="67">
        <f t="shared" si="3"/>
        <v>19.824484904870108</v>
      </c>
      <c r="N109" s="67">
        <f t="shared" si="3"/>
        <v>146.615159635993</v>
      </c>
      <c r="O109" s="67">
        <f t="shared" si="3"/>
        <v>1.7572706109191036</v>
      </c>
      <c r="P109" s="67">
        <f t="shared" si="3"/>
        <v>0.17560868454526793</v>
      </c>
      <c r="Q109" s="67">
        <f t="shared" si="3"/>
        <v>6.2253637250181605E-2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98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>
        <f>$A$9</f>
        <v>45819.010416666664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63">
        <v>45819.010416666664</v>
      </c>
      <c r="B9" s="60">
        <v>8.49</v>
      </c>
      <c r="C9" s="60">
        <v>20.079999999999998</v>
      </c>
      <c r="D9" s="60">
        <v>25.4</v>
      </c>
      <c r="E9" s="60">
        <v>5.05</v>
      </c>
      <c r="F9" s="60">
        <v>5.28</v>
      </c>
      <c r="G9" s="60">
        <v>26.65</v>
      </c>
      <c r="H9" s="60">
        <v>12.99</v>
      </c>
      <c r="I9" s="60">
        <v>4.09</v>
      </c>
      <c r="J9" s="60">
        <v>0.19</v>
      </c>
      <c r="K9" s="60">
        <v>143.41</v>
      </c>
      <c r="L9" s="60">
        <v>22.27</v>
      </c>
      <c r="M9" s="60">
        <v>105.23</v>
      </c>
      <c r="N9" s="60">
        <v>74.8</v>
      </c>
      <c r="O9" s="60">
        <v>0</v>
      </c>
      <c r="P9" s="60">
        <v>0.54</v>
      </c>
      <c r="Q9" s="60">
        <v>9.3800000000000008</v>
      </c>
      <c r="R9" s="198"/>
      <c r="S9" s="198"/>
      <c r="T9" s="198"/>
      <c r="U9" s="198"/>
    </row>
    <row r="10" spans="1:21" s="12" customFormat="1" x14ac:dyDescent="0.25">
      <c r="A10" s="63">
        <v>45819.020833333336</v>
      </c>
      <c r="B10" s="60">
        <v>8.83</v>
      </c>
      <c r="C10" s="60">
        <v>19.97</v>
      </c>
      <c r="D10" s="60">
        <v>24.68</v>
      </c>
      <c r="E10" s="60">
        <v>5.1100000000000003</v>
      </c>
      <c r="F10" s="60">
        <v>4.28</v>
      </c>
      <c r="G10" s="60">
        <v>26.65</v>
      </c>
      <c r="H10" s="60">
        <v>12.99</v>
      </c>
      <c r="I10" s="60">
        <v>4.0999999999999996</v>
      </c>
      <c r="J10" s="60">
        <v>0.37</v>
      </c>
      <c r="K10" s="60">
        <v>150.66999999999999</v>
      </c>
      <c r="L10" s="60">
        <v>22.36</v>
      </c>
      <c r="M10" s="60">
        <v>103.24</v>
      </c>
      <c r="N10" s="60">
        <v>74.7</v>
      </c>
      <c r="O10" s="60">
        <v>0</v>
      </c>
      <c r="P10" s="60">
        <v>0.55000000000000004</v>
      </c>
      <c r="Q10" s="60">
        <v>9.3800000000000008</v>
      </c>
      <c r="R10" s="198"/>
      <c r="S10" s="198"/>
      <c r="T10" s="198"/>
      <c r="U10" s="198"/>
    </row>
    <row r="11" spans="1:21" s="12" customFormat="1" x14ac:dyDescent="0.25">
      <c r="A11" s="63">
        <v>45819.03125</v>
      </c>
      <c r="B11" s="60">
        <v>8.92</v>
      </c>
      <c r="C11" s="60">
        <v>20.32</v>
      </c>
      <c r="D11" s="60">
        <v>25.21</v>
      </c>
      <c r="E11" s="60">
        <v>4.58</v>
      </c>
      <c r="F11" s="60">
        <v>3.97</v>
      </c>
      <c r="G11" s="60">
        <v>26.65</v>
      </c>
      <c r="H11" s="60">
        <v>12.99</v>
      </c>
      <c r="I11" s="60">
        <v>4</v>
      </c>
      <c r="J11" s="60">
        <v>0.08</v>
      </c>
      <c r="K11" s="60">
        <v>198.51</v>
      </c>
      <c r="L11" s="60">
        <v>22.41</v>
      </c>
      <c r="M11" s="60">
        <v>102.21</v>
      </c>
      <c r="N11" s="60">
        <v>71.2</v>
      </c>
      <c r="O11" s="60">
        <v>0</v>
      </c>
      <c r="P11" s="60">
        <v>0.55000000000000004</v>
      </c>
      <c r="Q11" s="60">
        <v>9.39</v>
      </c>
      <c r="R11" s="198"/>
      <c r="S11" s="198"/>
      <c r="T11" s="198"/>
      <c r="U11" s="198"/>
    </row>
    <row r="12" spans="1:21" s="12" customFormat="1" x14ac:dyDescent="0.25">
      <c r="A12" s="63">
        <v>45819.041666666664</v>
      </c>
      <c r="B12" s="60">
        <v>8.64</v>
      </c>
      <c r="C12" s="60">
        <v>19.77</v>
      </c>
      <c r="D12" s="60">
        <v>24.57</v>
      </c>
      <c r="E12" s="60">
        <v>4.32</v>
      </c>
      <c r="F12" s="60">
        <v>5.44</v>
      </c>
      <c r="G12" s="60">
        <v>29.14</v>
      </c>
      <c r="H12" s="60">
        <v>10.67</v>
      </c>
      <c r="I12" s="60">
        <v>3.89</v>
      </c>
      <c r="J12" s="60">
        <v>0.37</v>
      </c>
      <c r="K12" s="60">
        <v>333.65</v>
      </c>
      <c r="L12" s="60">
        <v>22.74</v>
      </c>
      <c r="M12" s="60">
        <v>102.18</v>
      </c>
      <c r="N12" s="60">
        <v>69.7</v>
      </c>
      <c r="O12" s="60">
        <v>0</v>
      </c>
      <c r="P12" s="60">
        <v>0.54</v>
      </c>
      <c r="Q12" s="60">
        <v>9.39</v>
      </c>
      <c r="R12" s="198"/>
      <c r="S12" s="198"/>
      <c r="T12" s="198"/>
      <c r="U12" s="198"/>
    </row>
    <row r="13" spans="1:21" s="12" customFormat="1" x14ac:dyDescent="0.25">
      <c r="A13" s="63">
        <v>45819.052083333336</v>
      </c>
      <c r="B13" s="60">
        <v>8.9</v>
      </c>
      <c r="C13" s="60">
        <v>19.36</v>
      </c>
      <c r="D13" s="60">
        <v>23.4</v>
      </c>
      <c r="E13" s="60">
        <v>4.5199999999999996</v>
      </c>
      <c r="F13" s="60">
        <v>5.0999999999999996</v>
      </c>
      <c r="G13" s="60">
        <v>31.86</v>
      </c>
      <c r="H13" s="60">
        <v>8.14</v>
      </c>
      <c r="I13" s="60">
        <v>4.12</v>
      </c>
      <c r="J13" s="60">
        <v>0.03</v>
      </c>
      <c r="K13" s="60">
        <v>68.47</v>
      </c>
      <c r="L13" s="60">
        <v>22.77</v>
      </c>
      <c r="M13" s="60">
        <v>102.07</v>
      </c>
      <c r="N13" s="60">
        <v>69</v>
      </c>
      <c r="O13" s="60">
        <v>0</v>
      </c>
      <c r="P13" s="60">
        <v>0.48</v>
      </c>
      <c r="Q13" s="60">
        <v>9.3800000000000008</v>
      </c>
      <c r="R13" s="198"/>
      <c r="S13" s="198"/>
      <c r="T13" s="198"/>
      <c r="U13" s="198"/>
    </row>
    <row r="14" spans="1:21" s="12" customFormat="1" x14ac:dyDescent="0.25">
      <c r="A14" s="63">
        <v>45819.0625</v>
      </c>
      <c r="B14" s="60">
        <v>8.09</v>
      </c>
      <c r="C14" s="60">
        <v>19.48</v>
      </c>
      <c r="D14" s="60">
        <v>24.86</v>
      </c>
      <c r="E14" s="60">
        <v>4.79</v>
      </c>
      <c r="F14" s="60">
        <v>5.39</v>
      </c>
      <c r="G14" s="60">
        <v>31.86</v>
      </c>
      <c r="H14" s="60">
        <v>8.14</v>
      </c>
      <c r="I14" s="60">
        <v>3.95</v>
      </c>
      <c r="J14" s="60">
        <v>0.06</v>
      </c>
      <c r="K14" s="60">
        <v>254.4</v>
      </c>
      <c r="L14" s="60">
        <v>22.97</v>
      </c>
      <c r="M14" s="60">
        <v>102.01</v>
      </c>
      <c r="N14" s="60">
        <v>68.599999999999994</v>
      </c>
      <c r="O14" s="60">
        <v>0</v>
      </c>
      <c r="P14" s="60">
        <v>0.5</v>
      </c>
      <c r="Q14" s="60">
        <v>9.39</v>
      </c>
      <c r="R14" s="198"/>
      <c r="S14" s="198"/>
      <c r="T14" s="198"/>
      <c r="U14" s="198"/>
    </row>
    <row r="15" spans="1:21" s="12" customFormat="1" x14ac:dyDescent="0.25">
      <c r="A15" s="63">
        <v>45819.072916666664</v>
      </c>
      <c r="B15" s="60">
        <v>8.93</v>
      </c>
      <c r="C15" s="60">
        <v>19.23</v>
      </c>
      <c r="D15" s="60">
        <v>23.11</v>
      </c>
      <c r="E15" s="60">
        <v>4.5599999999999996</v>
      </c>
      <c r="F15" s="60">
        <v>4.49</v>
      </c>
      <c r="G15" s="60">
        <v>31.86</v>
      </c>
      <c r="H15" s="60">
        <v>8.14</v>
      </c>
      <c r="I15" s="60">
        <v>3.94</v>
      </c>
      <c r="J15" s="60">
        <v>0.22</v>
      </c>
      <c r="K15" s="60">
        <v>193.1</v>
      </c>
      <c r="L15" s="60">
        <v>23.01</v>
      </c>
      <c r="M15" s="60">
        <v>102.02</v>
      </c>
      <c r="N15" s="60">
        <v>69.099999999999994</v>
      </c>
      <c r="O15" s="60">
        <v>0</v>
      </c>
      <c r="P15" s="60">
        <v>0.51</v>
      </c>
      <c r="Q15" s="60">
        <v>9.3800000000000008</v>
      </c>
      <c r="R15" s="198"/>
      <c r="S15" s="198"/>
      <c r="T15" s="198"/>
      <c r="U15" s="198"/>
    </row>
    <row r="16" spans="1:21" s="12" customFormat="1" x14ac:dyDescent="0.25">
      <c r="A16" s="63">
        <v>45819.083333333336</v>
      </c>
      <c r="B16" s="60">
        <v>9.07</v>
      </c>
      <c r="C16" s="60">
        <v>19.39</v>
      </c>
      <c r="D16" s="60">
        <v>23.19</v>
      </c>
      <c r="E16" s="60">
        <v>4.83</v>
      </c>
      <c r="F16" s="60">
        <v>5.27</v>
      </c>
      <c r="G16" s="60">
        <v>31.43</v>
      </c>
      <c r="H16" s="60">
        <v>8.14</v>
      </c>
      <c r="I16" s="60">
        <v>4.24</v>
      </c>
      <c r="J16" s="60">
        <v>0.26</v>
      </c>
      <c r="K16" s="60">
        <v>148.63</v>
      </c>
      <c r="L16" s="60">
        <v>22.79</v>
      </c>
      <c r="M16" s="60">
        <v>102.01</v>
      </c>
      <c r="N16" s="60">
        <v>68.599999999999994</v>
      </c>
      <c r="O16" s="60">
        <v>0</v>
      </c>
      <c r="P16" s="60">
        <v>0.48</v>
      </c>
      <c r="Q16" s="60">
        <v>9.3800000000000008</v>
      </c>
      <c r="R16" s="198"/>
      <c r="S16" s="198"/>
      <c r="T16" s="198"/>
      <c r="U16" s="198"/>
    </row>
    <row r="17" spans="1:21" s="12" customFormat="1" x14ac:dyDescent="0.25">
      <c r="A17" s="63">
        <v>45819.09375</v>
      </c>
      <c r="B17" s="60">
        <v>8.75</v>
      </c>
      <c r="C17" s="60">
        <v>18.559999999999999</v>
      </c>
      <c r="D17" s="60">
        <v>22.11</v>
      </c>
      <c r="E17" s="60">
        <v>4.4800000000000004</v>
      </c>
      <c r="F17" s="60">
        <v>7.35</v>
      </c>
      <c r="G17" s="60">
        <v>30.94</v>
      </c>
      <c r="H17" s="60">
        <v>8.14</v>
      </c>
      <c r="I17" s="60">
        <v>4.13</v>
      </c>
      <c r="J17" s="60">
        <v>0.15</v>
      </c>
      <c r="K17" s="60">
        <v>152.19</v>
      </c>
      <c r="L17" s="60">
        <v>22.71</v>
      </c>
      <c r="M17" s="60">
        <v>102</v>
      </c>
      <c r="N17" s="60">
        <v>68.2</v>
      </c>
      <c r="O17" s="60">
        <v>0</v>
      </c>
      <c r="P17" s="60">
        <v>0.44</v>
      </c>
      <c r="Q17" s="60">
        <v>9.3699999999999992</v>
      </c>
      <c r="R17" s="198"/>
      <c r="S17" s="198"/>
      <c r="T17" s="198"/>
      <c r="U17" s="198"/>
    </row>
    <row r="18" spans="1:21" s="12" customFormat="1" x14ac:dyDescent="0.25">
      <c r="A18" s="63">
        <v>45819.104166666664</v>
      </c>
      <c r="B18" s="60">
        <v>8.01</v>
      </c>
      <c r="C18" s="60">
        <v>18.3</v>
      </c>
      <c r="D18" s="60">
        <v>22.72</v>
      </c>
      <c r="E18" s="60">
        <v>5.23</v>
      </c>
      <c r="F18" s="60">
        <v>10.02</v>
      </c>
      <c r="G18" s="60">
        <v>30.94</v>
      </c>
      <c r="H18" s="60">
        <v>8.14</v>
      </c>
      <c r="I18" s="60">
        <v>4.01</v>
      </c>
      <c r="J18" s="60">
        <v>0.17</v>
      </c>
      <c r="K18" s="60">
        <v>322.61</v>
      </c>
      <c r="L18" s="60">
        <v>22.83</v>
      </c>
      <c r="M18" s="60">
        <v>102.03</v>
      </c>
      <c r="N18" s="60">
        <v>68</v>
      </c>
      <c r="O18" s="60">
        <v>0</v>
      </c>
      <c r="P18" s="60">
        <v>0.4</v>
      </c>
      <c r="Q18" s="60">
        <v>9.3800000000000008</v>
      </c>
      <c r="R18" s="198"/>
      <c r="S18" s="198"/>
      <c r="T18" s="198"/>
      <c r="U18" s="198"/>
    </row>
    <row r="19" spans="1:21" s="12" customFormat="1" x14ac:dyDescent="0.25">
      <c r="A19" s="63">
        <v>45819.114583333336</v>
      </c>
      <c r="B19" s="60">
        <v>7.6</v>
      </c>
      <c r="C19" s="60">
        <v>20.12</v>
      </c>
      <c r="D19" s="60">
        <v>26.84</v>
      </c>
      <c r="E19" s="60">
        <v>4.5</v>
      </c>
      <c r="F19" s="60">
        <v>10.15</v>
      </c>
      <c r="G19" s="60">
        <v>30.94</v>
      </c>
      <c r="H19" s="60">
        <v>8.14</v>
      </c>
      <c r="I19" s="60">
        <v>4.07</v>
      </c>
      <c r="J19" s="60">
        <v>0.03</v>
      </c>
      <c r="K19" s="60">
        <v>223.65</v>
      </c>
      <c r="L19" s="60">
        <v>22.84</v>
      </c>
      <c r="M19" s="60">
        <v>102.05</v>
      </c>
      <c r="N19" s="60">
        <v>67.900000000000006</v>
      </c>
      <c r="O19" s="60">
        <v>0</v>
      </c>
      <c r="P19" s="60">
        <v>0.38</v>
      </c>
      <c r="Q19" s="60">
        <v>9.3699999999999992</v>
      </c>
      <c r="R19" s="198"/>
      <c r="S19" s="198"/>
      <c r="T19" s="198"/>
      <c r="U19" s="198"/>
    </row>
    <row r="20" spans="1:21" s="12" customFormat="1" x14ac:dyDescent="0.25">
      <c r="A20" s="63">
        <v>45819.125</v>
      </c>
      <c r="B20" s="60">
        <v>6.34</v>
      </c>
      <c r="C20" s="60">
        <v>15.85</v>
      </c>
      <c r="D20" s="60">
        <v>20.6</v>
      </c>
      <c r="E20" s="60">
        <v>4.95</v>
      </c>
      <c r="F20" s="60">
        <v>10.88</v>
      </c>
      <c r="G20" s="60">
        <v>27.38</v>
      </c>
      <c r="H20" s="60">
        <v>8.14</v>
      </c>
      <c r="I20" s="60">
        <v>4.0199999999999996</v>
      </c>
      <c r="J20" s="60">
        <v>0.08</v>
      </c>
      <c r="K20" s="60">
        <v>118.95</v>
      </c>
      <c r="L20" s="60">
        <v>23.01</v>
      </c>
      <c r="M20" s="60">
        <v>102.03</v>
      </c>
      <c r="N20" s="60">
        <v>67.7</v>
      </c>
      <c r="O20" s="60">
        <v>0</v>
      </c>
      <c r="P20" s="60">
        <v>0.35</v>
      </c>
      <c r="Q20" s="60">
        <v>9.3699999999999992</v>
      </c>
      <c r="R20" s="198"/>
      <c r="S20" s="198"/>
      <c r="T20" s="198"/>
      <c r="U20" s="198"/>
    </row>
    <row r="21" spans="1:21" s="12" customFormat="1" x14ac:dyDescent="0.25">
      <c r="A21" s="63">
        <v>45819.135416666664</v>
      </c>
      <c r="B21" s="60">
        <v>6.26</v>
      </c>
      <c r="C21" s="60">
        <v>16.55</v>
      </c>
      <c r="D21" s="60">
        <v>22.08</v>
      </c>
      <c r="E21" s="60">
        <v>4.83</v>
      </c>
      <c r="F21" s="60">
        <v>9.8000000000000007</v>
      </c>
      <c r="G21" s="60">
        <v>23.31</v>
      </c>
      <c r="H21" s="60">
        <v>12.23</v>
      </c>
      <c r="I21" s="60">
        <v>3.95</v>
      </c>
      <c r="J21" s="60">
        <v>0.05</v>
      </c>
      <c r="K21" s="60">
        <v>158.68</v>
      </c>
      <c r="L21" s="60">
        <v>23.1</v>
      </c>
      <c r="M21" s="60">
        <v>102.03</v>
      </c>
      <c r="N21" s="60">
        <v>67.400000000000006</v>
      </c>
      <c r="O21" s="60">
        <v>0</v>
      </c>
      <c r="P21" s="60">
        <v>0.37</v>
      </c>
      <c r="Q21" s="60">
        <v>9.3800000000000008</v>
      </c>
      <c r="R21" s="198"/>
      <c r="S21" s="198"/>
      <c r="T21" s="198"/>
      <c r="U21" s="198"/>
    </row>
    <row r="22" spans="1:21" s="12" customFormat="1" x14ac:dyDescent="0.25">
      <c r="A22" s="63">
        <v>45819.145833333336</v>
      </c>
      <c r="B22" s="60">
        <v>6.17</v>
      </c>
      <c r="C22" s="60">
        <v>17.79</v>
      </c>
      <c r="D22" s="60">
        <v>24.57</v>
      </c>
      <c r="E22" s="60">
        <v>4.84</v>
      </c>
      <c r="F22" s="60">
        <v>9.0500000000000007</v>
      </c>
      <c r="G22" s="60">
        <v>23.31</v>
      </c>
      <c r="H22" s="60">
        <v>12.23</v>
      </c>
      <c r="I22" s="60">
        <v>4.1100000000000003</v>
      </c>
      <c r="J22" s="60">
        <v>0.06</v>
      </c>
      <c r="K22" s="60">
        <v>154.6</v>
      </c>
      <c r="L22" s="60">
        <v>23.21</v>
      </c>
      <c r="M22" s="60">
        <v>102.05</v>
      </c>
      <c r="N22" s="60">
        <v>67.2</v>
      </c>
      <c r="O22" s="60">
        <v>0</v>
      </c>
      <c r="P22" s="60">
        <v>0.37</v>
      </c>
      <c r="Q22" s="60">
        <v>9.39</v>
      </c>
      <c r="R22" s="198"/>
      <c r="S22" s="198"/>
      <c r="T22" s="198"/>
      <c r="U22" s="198"/>
    </row>
    <row r="23" spans="1:21" s="12" customFormat="1" x14ac:dyDescent="0.25">
      <c r="A23" s="63">
        <v>45819.15625</v>
      </c>
      <c r="B23" s="60">
        <v>6.6</v>
      </c>
      <c r="C23" s="60">
        <v>17.73</v>
      </c>
      <c r="D23" s="60">
        <v>23.79</v>
      </c>
      <c r="E23" s="60">
        <v>4.58</v>
      </c>
      <c r="F23" s="60">
        <v>9.9600000000000009</v>
      </c>
      <c r="G23" s="60">
        <v>23.31</v>
      </c>
      <c r="H23" s="60">
        <v>12.23</v>
      </c>
      <c r="I23" s="60">
        <v>3.89</v>
      </c>
      <c r="J23" s="60">
        <v>0.37</v>
      </c>
      <c r="K23" s="60">
        <v>121.64</v>
      </c>
      <c r="L23" s="60">
        <v>23.25</v>
      </c>
      <c r="M23" s="60">
        <v>102.06</v>
      </c>
      <c r="N23" s="60">
        <v>66.8</v>
      </c>
      <c r="O23" s="60">
        <v>0</v>
      </c>
      <c r="P23" s="60">
        <v>0.38</v>
      </c>
      <c r="Q23" s="60">
        <v>9.39</v>
      </c>
      <c r="R23" s="198"/>
      <c r="S23" s="198"/>
      <c r="T23" s="198"/>
      <c r="U23" s="198"/>
    </row>
    <row r="24" spans="1:21" s="12" customFormat="1" x14ac:dyDescent="0.25">
      <c r="A24" s="63">
        <v>45819.166666666664</v>
      </c>
      <c r="B24" s="60">
        <v>6.9</v>
      </c>
      <c r="C24" s="60">
        <v>18.48</v>
      </c>
      <c r="D24" s="60">
        <v>24.77</v>
      </c>
      <c r="E24" s="60">
        <v>5.04</v>
      </c>
      <c r="F24" s="60">
        <v>8.76</v>
      </c>
      <c r="G24" s="60">
        <v>25.72</v>
      </c>
      <c r="H24" s="60">
        <v>13.26</v>
      </c>
      <c r="I24" s="60">
        <v>4.01</v>
      </c>
      <c r="J24" s="60">
        <v>0.26</v>
      </c>
      <c r="K24" s="60">
        <v>106.21</v>
      </c>
      <c r="L24" s="60">
        <v>23.41</v>
      </c>
      <c r="M24" s="60">
        <v>102.06</v>
      </c>
      <c r="N24" s="60">
        <v>66.7</v>
      </c>
      <c r="O24" s="60">
        <v>0</v>
      </c>
      <c r="P24" s="60">
        <v>0.46</v>
      </c>
      <c r="Q24" s="60">
        <v>9.4</v>
      </c>
      <c r="R24" s="198"/>
      <c r="S24" s="198"/>
      <c r="T24" s="198"/>
      <c r="U24" s="198"/>
    </row>
    <row r="25" spans="1:21" s="12" customFormat="1" x14ac:dyDescent="0.25">
      <c r="A25" s="63">
        <v>45819.177083333336</v>
      </c>
      <c r="B25" s="60">
        <v>9.16</v>
      </c>
      <c r="C25" s="60">
        <v>20.04</v>
      </c>
      <c r="D25" s="60">
        <v>24.3</v>
      </c>
      <c r="E25" s="60">
        <v>4.8099999999999996</v>
      </c>
      <c r="F25" s="60">
        <v>4.33</v>
      </c>
      <c r="G25" s="60">
        <v>28.47</v>
      </c>
      <c r="H25" s="60">
        <v>14.42</v>
      </c>
      <c r="I25" s="60">
        <v>3.99</v>
      </c>
      <c r="J25" s="60">
        <v>0.48</v>
      </c>
      <c r="K25" s="60">
        <v>110.67</v>
      </c>
      <c r="L25" s="60">
        <v>23.32</v>
      </c>
      <c r="M25" s="60">
        <v>102.09</v>
      </c>
      <c r="N25" s="60">
        <v>66.599999999999994</v>
      </c>
      <c r="O25" s="60">
        <v>0</v>
      </c>
      <c r="P25" s="60">
        <v>0.46</v>
      </c>
      <c r="Q25" s="60">
        <v>9.4</v>
      </c>
      <c r="R25" s="198"/>
      <c r="S25" s="198"/>
      <c r="T25" s="198"/>
      <c r="U25" s="198"/>
    </row>
    <row r="26" spans="1:21" s="12" customFormat="1" x14ac:dyDescent="0.25">
      <c r="A26" s="63">
        <v>45819.1875</v>
      </c>
      <c r="B26" s="60">
        <v>11.16</v>
      </c>
      <c r="C26" s="60">
        <v>24.13</v>
      </c>
      <c r="D26" s="60">
        <v>29.06</v>
      </c>
      <c r="E26" s="60">
        <v>4.9000000000000004</v>
      </c>
      <c r="F26" s="60">
        <v>5.52</v>
      </c>
      <c r="G26" s="60">
        <v>28.47</v>
      </c>
      <c r="H26" s="60">
        <v>14.42</v>
      </c>
      <c r="I26" s="60">
        <v>4.08</v>
      </c>
      <c r="J26" s="60">
        <v>0.04</v>
      </c>
      <c r="K26" s="60">
        <v>2.1800000000000002</v>
      </c>
      <c r="L26" s="60">
        <v>23.32</v>
      </c>
      <c r="M26" s="60">
        <v>102.12</v>
      </c>
      <c r="N26" s="60">
        <v>66.7</v>
      </c>
      <c r="O26" s="60">
        <v>0</v>
      </c>
      <c r="P26" s="60">
        <v>0.51</v>
      </c>
      <c r="Q26" s="60">
        <v>9.4</v>
      </c>
      <c r="R26" s="198"/>
      <c r="S26" s="198"/>
      <c r="T26" s="198"/>
      <c r="U26" s="198"/>
    </row>
    <row r="27" spans="1:21" s="12" customFormat="1" x14ac:dyDescent="0.25">
      <c r="A27" s="63">
        <v>45819.197916666664</v>
      </c>
      <c r="B27" s="60">
        <v>11.15</v>
      </c>
      <c r="C27" s="60">
        <v>23.81</v>
      </c>
      <c r="D27" s="60">
        <v>28.46</v>
      </c>
      <c r="E27" s="60">
        <v>5.07</v>
      </c>
      <c r="F27" s="60">
        <v>4.8600000000000003</v>
      </c>
      <c r="G27" s="60">
        <v>28.47</v>
      </c>
      <c r="H27" s="60">
        <v>14.42</v>
      </c>
      <c r="I27" s="60">
        <v>3.93</v>
      </c>
      <c r="J27" s="60">
        <v>7.0000000000000007E-2</v>
      </c>
      <c r="K27" s="60">
        <v>69.05</v>
      </c>
      <c r="L27" s="60">
        <v>23.13</v>
      </c>
      <c r="M27" s="60">
        <v>102.11</v>
      </c>
      <c r="N27" s="60">
        <v>66.7</v>
      </c>
      <c r="O27" s="60">
        <v>0</v>
      </c>
      <c r="P27" s="60">
        <v>0.56000000000000005</v>
      </c>
      <c r="Q27" s="60">
        <v>9.41</v>
      </c>
      <c r="R27" s="198"/>
      <c r="S27" s="198"/>
      <c r="T27" s="198"/>
      <c r="U27" s="198"/>
    </row>
    <row r="28" spans="1:21" s="12" customFormat="1" x14ac:dyDescent="0.25">
      <c r="A28" s="63">
        <v>45819.208333333336</v>
      </c>
      <c r="B28" s="60">
        <v>11.11</v>
      </c>
      <c r="C28" s="60">
        <v>23.76</v>
      </c>
      <c r="D28" s="60">
        <v>28.42</v>
      </c>
      <c r="E28" s="60">
        <v>4.88</v>
      </c>
      <c r="F28" s="60">
        <v>4.68</v>
      </c>
      <c r="G28" s="60">
        <v>32</v>
      </c>
      <c r="H28" s="60">
        <v>14.02</v>
      </c>
      <c r="I28" s="60">
        <v>4.01</v>
      </c>
      <c r="J28" s="60">
        <v>0.09</v>
      </c>
      <c r="K28" s="60">
        <v>83</v>
      </c>
      <c r="L28" s="60">
        <v>23.11</v>
      </c>
      <c r="M28" s="60">
        <v>102.14</v>
      </c>
      <c r="N28" s="60">
        <v>66.7</v>
      </c>
      <c r="O28" s="60">
        <v>0</v>
      </c>
      <c r="P28" s="60">
        <v>0.6</v>
      </c>
      <c r="Q28" s="60">
        <v>9.42</v>
      </c>
      <c r="R28" s="198"/>
      <c r="S28" s="198"/>
      <c r="T28" s="198"/>
      <c r="U28" s="198"/>
    </row>
    <row r="29" spans="1:21" s="12" customFormat="1" x14ac:dyDescent="0.25">
      <c r="A29" s="63">
        <v>45819.21875</v>
      </c>
      <c r="B29" s="60">
        <v>10.63</v>
      </c>
      <c r="C29" s="60">
        <v>23.17</v>
      </c>
      <c r="D29" s="60">
        <v>28.02</v>
      </c>
      <c r="E29" s="60">
        <v>4.88</v>
      </c>
      <c r="F29" s="60">
        <v>4.8099999999999996</v>
      </c>
      <c r="G29" s="60">
        <v>36.03</v>
      </c>
      <c r="H29" s="60">
        <v>13.56</v>
      </c>
      <c r="I29" s="60">
        <v>4.0999999999999996</v>
      </c>
      <c r="J29" s="60">
        <v>0.13</v>
      </c>
      <c r="K29" s="60">
        <v>90.38</v>
      </c>
      <c r="L29" s="60">
        <v>23.11</v>
      </c>
      <c r="M29" s="60">
        <v>102.17</v>
      </c>
      <c r="N29" s="60">
        <v>69.099999999999994</v>
      </c>
      <c r="O29" s="60">
        <v>0</v>
      </c>
      <c r="P29" s="60">
        <v>0.63</v>
      </c>
      <c r="Q29" s="60">
        <v>9.43</v>
      </c>
      <c r="R29" s="198"/>
      <c r="S29" s="198"/>
      <c r="T29" s="198"/>
      <c r="U29" s="198"/>
    </row>
    <row r="30" spans="1:21" s="12" customFormat="1" x14ac:dyDescent="0.25">
      <c r="A30" s="63">
        <v>45819.229166666664</v>
      </c>
      <c r="B30" s="60">
        <v>11.74</v>
      </c>
      <c r="C30" s="60">
        <v>23.7</v>
      </c>
      <c r="D30" s="60">
        <v>27.34</v>
      </c>
      <c r="E30" s="60">
        <v>5.1100000000000003</v>
      </c>
      <c r="F30" s="60">
        <v>4.3899999999999997</v>
      </c>
      <c r="G30" s="60">
        <v>36.03</v>
      </c>
      <c r="H30" s="60">
        <v>13.56</v>
      </c>
      <c r="I30" s="60">
        <v>3.94</v>
      </c>
      <c r="J30" s="60">
        <v>0.1</v>
      </c>
      <c r="K30" s="60">
        <v>104.81</v>
      </c>
      <c r="L30" s="60">
        <v>23.2</v>
      </c>
      <c r="M30" s="60">
        <v>102.18</v>
      </c>
      <c r="N30" s="60">
        <v>75</v>
      </c>
      <c r="O30" s="60">
        <v>0</v>
      </c>
      <c r="P30" s="60">
        <v>0.62</v>
      </c>
      <c r="Q30" s="60">
        <v>9.4499999999999993</v>
      </c>
      <c r="R30" s="198"/>
      <c r="S30" s="198"/>
      <c r="T30" s="198"/>
      <c r="U30" s="198"/>
    </row>
    <row r="31" spans="1:21" s="12" customFormat="1" x14ac:dyDescent="0.25">
      <c r="A31" s="63">
        <v>45819.239583333336</v>
      </c>
      <c r="B31" s="60">
        <v>12.32</v>
      </c>
      <c r="C31" s="60">
        <v>24.25</v>
      </c>
      <c r="D31" s="60">
        <v>27.5</v>
      </c>
      <c r="E31" s="60">
        <v>4.78</v>
      </c>
      <c r="F31" s="60">
        <v>4.49</v>
      </c>
      <c r="G31" s="60">
        <v>36.03</v>
      </c>
      <c r="H31" s="60">
        <v>13.56</v>
      </c>
      <c r="I31" s="60">
        <v>3.83</v>
      </c>
      <c r="J31" s="60">
        <v>0.21</v>
      </c>
      <c r="K31" s="60">
        <v>99.96</v>
      </c>
      <c r="L31" s="60">
        <v>23.4</v>
      </c>
      <c r="M31" s="60">
        <v>102.16</v>
      </c>
      <c r="N31" s="60">
        <v>90.5</v>
      </c>
      <c r="O31" s="60">
        <v>0</v>
      </c>
      <c r="P31" s="60">
        <v>0.61</v>
      </c>
      <c r="Q31" s="60">
        <v>9.48</v>
      </c>
      <c r="R31" s="198"/>
      <c r="S31" s="198"/>
      <c r="T31" s="198"/>
      <c r="U31" s="198"/>
    </row>
    <row r="32" spans="1:21" s="12" customFormat="1" x14ac:dyDescent="0.25">
      <c r="A32" s="63">
        <v>45819.25</v>
      </c>
      <c r="B32" s="60">
        <v>12.26</v>
      </c>
      <c r="C32" s="60">
        <v>25.39</v>
      </c>
      <c r="D32" s="60">
        <v>29.78</v>
      </c>
      <c r="E32" s="60">
        <v>4.5599999999999996</v>
      </c>
      <c r="F32" s="60">
        <v>5.44</v>
      </c>
      <c r="G32" s="60">
        <v>44.64</v>
      </c>
      <c r="H32" s="60">
        <v>17.34</v>
      </c>
      <c r="I32" s="60">
        <v>4.0999999999999996</v>
      </c>
      <c r="J32" s="60">
        <v>0.09</v>
      </c>
      <c r="K32" s="60">
        <v>27.88</v>
      </c>
      <c r="L32" s="60">
        <v>23.66</v>
      </c>
      <c r="M32" s="60">
        <v>102.01</v>
      </c>
      <c r="N32" s="60">
        <v>107.3</v>
      </c>
      <c r="O32" s="60">
        <v>0</v>
      </c>
      <c r="P32" s="60">
        <v>0.65</v>
      </c>
      <c r="Q32" s="60">
        <v>9.5</v>
      </c>
      <c r="R32" s="198"/>
      <c r="S32" s="198"/>
      <c r="T32" s="198"/>
      <c r="U32" s="198"/>
    </row>
    <row r="33" spans="1:21" s="12" customFormat="1" x14ac:dyDescent="0.25">
      <c r="A33" s="63">
        <v>45819.260416666664</v>
      </c>
      <c r="B33" s="60">
        <v>12.5</v>
      </c>
      <c r="C33" s="60">
        <v>24.71</v>
      </c>
      <c r="D33" s="60">
        <v>28.1</v>
      </c>
      <c r="E33" s="60">
        <v>4.8099999999999996</v>
      </c>
      <c r="F33" s="60">
        <v>6.1</v>
      </c>
      <c r="G33" s="60">
        <v>54.48</v>
      </c>
      <c r="H33" s="60">
        <v>21.66</v>
      </c>
      <c r="I33" s="60">
        <v>3.89</v>
      </c>
      <c r="J33" s="60">
        <v>0.17</v>
      </c>
      <c r="K33" s="60">
        <v>114.38</v>
      </c>
      <c r="L33" s="60">
        <v>24</v>
      </c>
      <c r="M33" s="60">
        <v>101.98</v>
      </c>
      <c r="N33" s="60">
        <v>132.30000000000001</v>
      </c>
      <c r="O33" s="60">
        <v>0</v>
      </c>
      <c r="P33" s="60">
        <v>0.63</v>
      </c>
      <c r="Q33" s="60">
        <v>9.51</v>
      </c>
      <c r="R33" s="198"/>
      <c r="S33" s="198"/>
      <c r="T33" s="198"/>
      <c r="U33" s="198"/>
    </row>
    <row r="34" spans="1:21" s="12" customFormat="1" x14ac:dyDescent="0.25">
      <c r="A34" s="63">
        <v>45819.270833333336</v>
      </c>
      <c r="B34" s="60">
        <v>13.4</v>
      </c>
      <c r="C34" s="60">
        <v>24.64</v>
      </c>
      <c r="D34" s="60">
        <v>26.59</v>
      </c>
      <c r="E34" s="60">
        <v>4.43</v>
      </c>
      <c r="F34" s="60">
        <v>3.93</v>
      </c>
      <c r="G34" s="60">
        <v>54.48</v>
      </c>
      <c r="H34" s="60">
        <v>21.66</v>
      </c>
      <c r="I34" s="60">
        <v>3.97</v>
      </c>
      <c r="J34" s="60">
        <v>0.04</v>
      </c>
      <c r="K34" s="60">
        <v>78.05</v>
      </c>
      <c r="L34" s="60">
        <v>24.58</v>
      </c>
      <c r="M34" s="60">
        <v>101.66</v>
      </c>
      <c r="N34" s="60">
        <v>168.2</v>
      </c>
      <c r="O34" s="60">
        <v>0</v>
      </c>
      <c r="P34" s="60">
        <v>0.62</v>
      </c>
      <c r="Q34" s="60">
        <v>9.52</v>
      </c>
      <c r="R34" s="198"/>
      <c r="S34" s="198"/>
      <c r="T34" s="198"/>
      <c r="U34" s="198"/>
    </row>
    <row r="35" spans="1:21" s="12" customFormat="1" x14ac:dyDescent="0.25">
      <c r="A35" s="63">
        <v>45819.28125</v>
      </c>
      <c r="B35" s="60">
        <v>17.88</v>
      </c>
      <c r="C35" s="60">
        <v>33.44</v>
      </c>
      <c r="D35" s="60">
        <v>36.54</v>
      </c>
      <c r="E35" s="60">
        <v>4.95</v>
      </c>
      <c r="F35" s="60">
        <v>7.45</v>
      </c>
      <c r="G35" s="60">
        <v>54.48</v>
      </c>
      <c r="H35" s="60">
        <v>21.66</v>
      </c>
      <c r="I35" s="60">
        <v>4.0599999999999996</v>
      </c>
      <c r="J35" s="60">
        <v>0.36</v>
      </c>
      <c r="K35" s="60">
        <v>338.55</v>
      </c>
      <c r="L35" s="60">
        <v>25.71</v>
      </c>
      <c r="M35" s="60">
        <v>97.22</v>
      </c>
      <c r="N35" s="60">
        <v>198</v>
      </c>
      <c r="O35" s="60">
        <v>0</v>
      </c>
      <c r="P35" s="60">
        <v>0.67</v>
      </c>
      <c r="Q35" s="60">
        <v>9.5500000000000007</v>
      </c>
      <c r="R35" s="198"/>
      <c r="S35" s="198"/>
      <c r="T35" s="198"/>
      <c r="U35" s="198"/>
    </row>
    <row r="36" spans="1:21" s="12" customFormat="1" x14ac:dyDescent="0.25">
      <c r="A36" s="63">
        <v>45819.291666666664</v>
      </c>
      <c r="B36" s="60">
        <v>14.6</v>
      </c>
      <c r="C36" s="60">
        <v>31.19</v>
      </c>
      <c r="D36" s="60">
        <v>37.29</v>
      </c>
      <c r="E36" s="60">
        <v>4.97</v>
      </c>
      <c r="F36" s="60">
        <v>11.36</v>
      </c>
      <c r="G36" s="60">
        <v>56.45</v>
      </c>
      <c r="H36" s="60">
        <v>18.82</v>
      </c>
      <c r="I36" s="60">
        <v>3.99</v>
      </c>
      <c r="J36" s="60">
        <v>0.49</v>
      </c>
      <c r="K36" s="60">
        <v>345.19</v>
      </c>
      <c r="L36" s="60">
        <v>26.67</v>
      </c>
      <c r="M36" s="60">
        <v>91.05</v>
      </c>
      <c r="N36" s="60">
        <v>230.8</v>
      </c>
      <c r="O36" s="60">
        <v>0</v>
      </c>
      <c r="P36" s="60">
        <v>0.69</v>
      </c>
      <c r="Q36" s="60">
        <v>9.58</v>
      </c>
      <c r="R36" s="198"/>
      <c r="S36" s="198"/>
      <c r="T36" s="198"/>
      <c r="U36" s="198"/>
    </row>
    <row r="37" spans="1:21" s="12" customFormat="1" x14ac:dyDescent="0.25">
      <c r="A37" s="63">
        <v>45819.302083333336</v>
      </c>
      <c r="B37" s="60">
        <v>19.649999999999999</v>
      </c>
      <c r="C37" s="60">
        <v>36.01</v>
      </c>
      <c r="D37" s="60">
        <v>38.76</v>
      </c>
      <c r="E37" s="60">
        <v>5.09</v>
      </c>
      <c r="F37" s="60">
        <v>11.06</v>
      </c>
      <c r="G37" s="60">
        <v>58.71</v>
      </c>
      <c r="H37" s="60">
        <v>15.57</v>
      </c>
      <c r="I37" s="60">
        <v>4.03</v>
      </c>
      <c r="J37" s="60">
        <v>0.5</v>
      </c>
      <c r="K37" s="60">
        <v>345.12</v>
      </c>
      <c r="L37" s="60">
        <v>27.69</v>
      </c>
      <c r="M37" s="60">
        <v>86.28</v>
      </c>
      <c r="N37" s="60">
        <v>284.2</v>
      </c>
      <c r="O37" s="60">
        <v>0</v>
      </c>
      <c r="P37" s="60">
        <v>0.56999999999999995</v>
      </c>
      <c r="Q37" s="60">
        <v>9.6</v>
      </c>
      <c r="R37" s="198"/>
      <c r="S37" s="198"/>
      <c r="T37" s="198"/>
      <c r="U37" s="198"/>
    </row>
    <row r="38" spans="1:21" s="12" customFormat="1" x14ac:dyDescent="0.25">
      <c r="A38" s="63">
        <v>45819.3125</v>
      </c>
      <c r="B38" s="60">
        <v>17.149999999999999</v>
      </c>
      <c r="C38" s="60">
        <v>33.54</v>
      </c>
      <c r="D38" s="60">
        <v>37.869999999999997</v>
      </c>
      <c r="E38" s="60">
        <v>4.9400000000000004</v>
      </c>
      <c r="F38" s="60">
        <v>11.38</v>
      </c>
      <c r="G38" s="60">
        <v>58.71</v>
      </c>
      <c r="H38" s="60">
        <v>15.57</v>
      </c>
      <c r="I38" s="60">
        <v>4.13</v>
      </c>
      <c r="J38" s="60">
        <v>0.47</v>
      </c>
      <c r="K38" s="60">
        <v>114.9</v>
      </c>
      <c r="L38" s="60">
        <v>27.36</v>
      </c>
      <c r="M38" s="60">
        <v>87.42</v>
      </c>
      <c r="N38" s="60">
        <v>331.7</v>
      </c>
      <c r="O38" s="60">
        <v>0</v>
      </c>
      <c r="P38" s="60">
        <v>0.56000000000000005</v>
      </c>
      <c r="Q38" s="60">
        <v>9.6</v>
      </c>
      <c r="R38" s="198"/>
      <c r="S38" s="198"/>
      <c r="T38" s="198"/>
      <c r="U38" s="198"/>
    </row>
    <row r="39" spans="1:21" s="12" customFormat="1" x14ac:dyDescent="0.25">
      <c r="A39" s="63">
        <v>45819.322916666664</v>
      </c>
      <c r="B39" s="60">
        <v>16.22</v>
      </c>
      <c r="C39" s="60">
        <v>31.79</v>
      </c>
      <c r="D39" s="60">
        <v>35.950000000000003</v>
      </c>
      <c r="E39" s="60">
        <v>5.2</v>
      </c>
      <c r="F39" s="60">
        <v>13.39</v>
      </c>
      <c r="G39" s="60">
        <v>58.71</v>
      </c>
      <c r="H39" s="60">
        <v>15.57</v>
      </c>
      <c r="I39" s="60">
        <v>3.91</v>
      </c>
      <c r="J39" s="60">
        <v>0.23</v>
      </c>
      <c r="K39" s="60">
        <v>13.12</v>
      </c>
      <c r="L39" s="60">
        <v>27.65</v>
      </c>
      <c r="M39" s="60">
        <v>87.56</v>
      </c>
      <c r="N39" s="60">
        <v>370.5</v>
      </c>
      <c r="O39" s="60">
        <v>0</v>
      </c>
      <c r="P39" s="60">
        <v>0.6</v>
      </c>
      <c r="Q39" s="60">
        <v>9.61</v>
      </c>
      <c r="R39" s="198"/>
      <c r="S39" s="198"/>
      <c r="T39" s="198"/>
      <c r="U39" s="198"/>
    </row>
    <row r="40" spans="1:21" s="12" customFormat="1" x14ac:dyDescent="0.25">
      <c r="A40" s="63">
        <v>45819.333333333336</v>
      </c>
      <c r="B40" s="60">
        <v>13.94</v>
      </c>
      <c r="C40" s="60">
        <v>27.85</v>
      </c>
      <c r="D40" s="60">
        <v>31.9</v>
      </c>
      <c r="E40" s="60">
        <v>5.19</v>
      </c>
      <c r="F40" s="60">
        <v>11.28</v>
      </c>
      <c r="G40" s="60">
        <v>60.18</v>
      </c>
      <c r="H40" s="60">
        <v>19.98</v>
      </c>
      <c r="I40" s="60">
        <v>4.16</v>
      </c>
      <c r="J40" s="60">
        <v>0.51</v>
      </c>
      <c r="K40" s="60">
        <v>106.66</v>
      </c>
      <c r="L40" s="60">
        <v>27.73</v>
      </c>
      <c r="M40" s="60">
        <v>87.53</v>
      </c>
      <c r="N40" s="60">
        <v>397.3</v>
      </c>
      <c r="O40" s="60">
        <v>0</v>
      </c>
      <c r="P40" s="60">
        <v>0.52</v>
      </c>
      <c r="Q40" s="60">
        <v>9.6</v>
      </c>
      <c r="R40" s="198"/>
      <c r="S40" s="198"/>
      <c r="T40" s="198"/>
      <c r="U40" s="198"/>
    </row>
    <row r="41" spans="1:21" s="12" customFormat="1" x14ac:dyDescent="0.25">
      <c r="A41" s="63">
        <v>45819.34375</v>
      </c>
      <c r="B41" s="60">
        <v>12.27</v>
      </c>
      <c r="C41" s="60">
        <v>25.79</v>
      </c>
      <c r="D41" s="60">
        <v>30.53</v>
      </c>
      <c r="E41" s="60">
        <v>4.12</v>
      </c>
      <c r="F41" s="60">
        <v>11.26</v>
      </c>
      <c r="G41" s="60">
        <v>61.86</v>
      </c>
      <c r="H41" s="60">
        <v>25.02</v>
      </c>
      <c r="I41" s="60">
        <v>3.9</v>
      </c>
      <c r="J41" s="60">
        <v>0.97</v>
      </c>
      <c r="K41" s="60">
        <v>116.04</v>
      </c>
      <c r="L41" s="60">
        <v>27.19</v>
      </c>
      <c r="M41" s="60">
        <v>89.72</v>
      </c>
      <c r="N41" s="60">
        <v>490.8</v>
      </c>
      <c r="O41" s="60">
        <v>0</v>
      </c>
      <c r="P41" s="60">
        <v>0.52</v>
      </c>
      <c r="Q41" s="60">
        <v>9.61</v>
      </c>
      <c r="R41" s="198"/>
      <c r="S41" s="198"/>
      <c r="T41" s="198"/>
      <c r="U41" s="198"/>
    </row>
    <row r="42" spans="1:21" s="12" customFormat="1" x14ac:dyDescent="0.25">
      <c r="A42" s="63">
        <v>45819.354166666664</v>
      </c>
      <c r="B42" s="60">
        <v>14.73</v>
      </c>
      <c r="C42" s="60">
        <v>26.49</v>
      </c>
      <c r="D42" s="60">
        <v>28.24</v>
      </c>
      <c r="E42" s="60">
        <v>4.51</v>
      </c>
      <c r="F42" s="60">
        <v>11.58</v>
      </c>
      <c r="G42" s="60">
        <v>61.86</v>
      </c>
      <c r="H42" s="60">
        <v>25.02</v>
      </c>
      <c r="I42" s="60">
        <v>4.0999999999999996</v>
      </c>
      <c r="J42" s="60">
        <v>0.61</v>
      </c>
      <c r="K42" s="60">
        <v>108.57</v>
      </c>
      <c r="L42" s="60">
        <v>27.6</v>
      </c>
      <c r="M42" s="60">
        <v>89.03</v>
      </c>
      <c r="N42" s="60">
        <v>551.9</v>
      </c>
      <c r="O42" s="60">
        <v>0</v>
      </c>
      <c r="P42" s="60">
        <v>0.55000000000000004</v>
      </c>
      <c r="Q42" s="60">
        <v>9.6199999999999992</v>
      </c>
      <c r="R42" s="198"/>
      <c r="S42" s="198"/>
      <c r="T42" s="198"/>
      <c r="U42" s="198"/>
    </row>
    <row r="43" spans="1:21" s="12" customFormat="1" x14ac:dyDescent="0.25">
      <c r="A43" s="63">
        <v>45819.364583333336</v>
      </c>
      <c r="B43" s="60">
        <v>14.52</v>
      </c>
      <c r="C43" s="60">
        <v>26.58</v>
      </c>
      <c r="D43" s="60">
        <v>28.59</v>
      </c>
      <c r="E43" s="60">
        <v>4.62</v>
      </c>
      <c r="F43" s="60">
        <v>9.25</v>
      </c>
      <c r="G43" s="60">
        <v>61.86</v>
      </c>
      <c r="H43" s="60">
        <v>25.02</v>
      </c>
      <c r="I43" s="60">
        <v>4.01</v>
      </c>
      <c r="J43" s="60">
        <v>0.73</v>
      </c>
      <c r="K43" s="60">
        <v>110.37</v>
      </c>
      <c r="L43" s="60">
        <v>28.54</v>
      </c>
      <c r="M43" s="60">
        <v>85.79</v>
      </c>
      <c r="N43" s="60">
        <v>626.1</v>
      </c>
      <c r="O43" s="60">
        <v>0</v>
      </c>
      <c r="P43" s="60">
        <v>0.55000000000000004</v>
      </c>
      <c r="Q43" s="60">
        <v>9.6</v>
      </c>
      <c r="R43" s="198"/>
      <c r="S43" s="198"/>
      <c r="T43" s="198"/>
      <c r="U43" s="198"/>
    </row>
    <row r="44" spans="1:21" s="12" customFormat="1" x14ac:dyDescent="0.25">
      <c r="A44" s="63">
        <v>45819.375</v>
      </c>
      <c r="B44" s="60">
        <v>13.49</v>
      </c>
      <c r="C44" s="60">
        <v>25.09</v>
      </c>
      <c r="D44" s="60">
        <v>27.31</v>
      </c>
      <c r="E44" s="60">
        <v>4.59</v>
      </c>
      <c r="F44" s="60">
        <v>8.5</v>
      </c>
      <c r="G44" s="60">
        <v>57.3</v>
      </c>
      <c r="H44" s="60">
        <v>21.96</v>
      </c>
      <c r="I44" s="60">
        <v>4.04</v>
      </c>
      <c r="J44" s="60">
        <v>1.52</v>
      </c>
      <c r="K44" s="60">
        <v>114.35</v>
      </c>
      <c r="L44" s="60">
        <v>28.15</v>
      </c>
      <c r="M44" s="60">
        <v>86.69</v>
      </c>
      <c r="N44" s="60">
        <v>687.8</v>
      </c>
      <c r="O44" s="60">
        <v>0</v>
      </c>
      <c r="P44" s="60">
        <v>0.53</v>
      </c>
      <c r="Q44" s="60">
        <v>9.56</v>
      </c>
      <c r="R44" s="198"/>
      <c r="S44" s="198"/>
      <c r="T44" s="198"/>
      <c r="U44" s="198"/>
    </row>
    <row r="45" spans="1:21" s="12" customFormat="1" x14ac:dyDescent="0.25">
      <c r="A45" s="63">
        <v>45819.385416666664</v>
      </c>
      <c r="B45" s="60">
        <v>12.42</v>
      </c>
      <c r="C45" s="60">
        <v>24.54</v>
      </c>
      <c r="D45" s="60">
        <v>27.91</v>
      </c>
      <c r="E45" s="60">
        <v>4.5999999999999996</v>
      </c>
      <c r="F45" s="60">
        <v>11.22</v>
      </c>
      <c r="G45" s="60">
        <v>52.08</v>
      </c>
      <c r="H45" s="60">
        <v>18.46</v>
      </c>
      <c r="I45" s="60">
        <v>4.09</v>
      </c>
      <c r="J45" s="60">
        <v>0.83</v>
      </c>
      <c r="K45" s="60">
        <v>108.06</v>
      </c>
      <c r="L45" s="60">
        <v>28.91</v>
      </c>
      <c r="M45" s="60">
        <v>83.03</v>
      </c>
      <c r="N45" s="60">
        <v>720.4</v>
      </c>
      <c r="O45" s="60">
        <v>0</v>
      </c>
      <c r="P45" s="60">
        <v>0.48</v>
      </c>
      <c r="Q45" s="60">
        <v>9.5399999999999991</v>
      </c>
      <c r="R45" s="198"/>
      <c r="S45" s="198"/>
      <c r="T45" s="198"/>
      <c r="U45" s="198"/>
    </row>
    <row r="46" spans="1:21" s="12" customFormat="1" x14ac:dyDescent="0.25">
      <c r="A46" s="63">
        <v>45819.395833333336</v>
      </c>
      <c r="B46" s="60">
        <v>10.220000000000001</v>
      </c>
      <c r="C46" s="60">
        <v>22.35</v>
      </c>
      <c r="D46" s="60">
        <v>27.1</v>
      </c>
      <c r="E46" s="60">
        <v>4.8099999999999996</v>
      </c>
      <c r="F46" s="60">
        <v>12.37</v>
      </c>
      <c r="G46" s="60">
        <v>52.08</v>
      </c>
      <c r="H46" s="60">
        <v>18.46</v>
      </c>
      <c r="I46" s="60">
        <v>4.0199999999999996</v>
      </c>
      <c r="J46" s="60">
        <v>0.78</v>
      </c>
      <c r="K46" s="60">
        <v>112.24</v>
      </c>
      <c r="L46" s="60">
        <v>29.49</v>
      </c>
      <c r="M46" s="60">
        <v>79.739999999999995</v>
      </c>
      <c r="N46" s="60">
        <v>768.2</v>
      </c>
      <c r="O46" s="60">
        <v>0</v>
      </c>
      <c r="P46" s="60">
        <v>0.45</v>
      </c>
      <c r="Q46" s="60">
        <v>9.5</v>
      </c>
      <c r="R46" s="198"/>
      <c r="S46" s="198"/>
      <c r="T46" s="198"/>
      <c r="U46" s="198"/>
    </row>
    <row r="47" spans="1:21" s="12" customFormat="1" x14ac:dyDescent="0.25">
      <c r="A47" s="63">
        <v>45819.40625</v>
      </c>
      <c r="B47" s="60">
        <v>9.74</v>
      </c>
      <c r="C47" s="60">
        <v>21.57</v>
      </c>
      <c r="D47" s="60">
        <v>26.34</v>
      </c>
      <c r="E47" s="60">
        <v>4.3600000000000003</v>
      </c>
      <c r="F47" s="60">
        <v>8.76</v>
      </c>
      <c r="G47" s="60">
        <v>52.08</v>
      </c>
      <c r="H47" s="60">
        <v>18.46</v>
      </c>
      <c r="I47" s="60">
        <v>4.1500000000000004</v>
      </c>
      <c r="J47" s="60">
        <v>1</v>
      </c>
      <c r="K47" s="60">
        <v>106.05</v>
      </c>
      <c r="L47" s="60">
        <v>29.48</v>
      </c>
      <c r="M47" s="60">
        <v>79</v>
      </c>
      <c r="N47" s="60">
        <v>597.1</v>
      </c>
      <c r="O47" s="60">
        <v>0</v>
      </c>
      <c r="P47" s="60">
        <v>0.47</v>
      </c>
      <c r="Q47" s="60">
        <v>9.4600000000000009</v>
      </c>
      <c r="R47" s="198"/>
      <c r="S47" s="198"/>
      <c r="T47" s="198"/>
      <c r="U47" s="198"/>
    </row>
    <row r="48" spans="1:21" s="12" customFormat="1" x14ac:dyDescent="0.25">
      <c r="A48" s="63">
        <v>45819.416666666664</v>
      </c>
      <c r="B48" s="60">
        <v>9.08</v>
      </c>
      <c r="C48" s="60">
        <v>24.3</v>
      </c>
      <c r="D48" s="60">
        <v>32.58</v>
      </c>
      <c r="E48" s="60">
        <v>4.4400000000000004</v>
      </c>
      <c r="F48" s="60">
        <v>14.56</v>
      </c>
      <c r="G48" s="60">
        <v>49.44</v>
      </c>
      <c r="H48" s="60">
        <v>16.57</v>
      </c>
      <c r="I48" s="60">
        <v>4.1500000000000004</v>
      </c>
      <c r="J48" s="60">
        <v>0.47</v>
      </c>
      <c r="K48" s="60">
        <v>114.74</v>
      </c>
      <c r="L48" s="60">
        <v>29.79</v>
      </c>
      <c r="M48" s="60">
        <v>77.88</v>
      </c>
      <c r="N48" s="60">
        <v>719</v>
      </c>
      <c r="O48" s="60">
        <v>0</v>
      </c>
      <c r="P48" s="60">
        <v>0.41</v>
      </c>
      <c r="Q48" s="60">
        <v>9.42</v>
      </c>
      <c r="R48" s="198"/>
      <c r="S48" s="198"/>
      <c r="T48" s="198"/>
      <c r="U48" s="198"/>
    </row>
    <row r="49" spans="1:21" s="12" customFormat="1" x14ac:dyDescent="0.25">
      <c r="A49" s="63">
        <v>45819.427083333336</v>
      </c>
      <c r="B49" s="60">
        <v>9.27</v>
      </c>
      <c r="C49" s="60">
        <v>24.28</v>
      </c>
      <c r="D49" s="60">
        <v>32.229999999999997</v>
      </c>
      <c r="E49" s="60">
        <v>4.5199999999999996</v>
      </c>
      <c r="F49" s="60">
        <v>9.6199999999999992</v>
      </c>
      <c r="G49" s="60">
        <v>46.41</v>
      </c>
      <c r="H49" s="60">
        <v>14.41</v>
      </c>
      <c r="I49" s="60">
        <v>3.92</v>
      </c>
      <c r="J49" s="60">
        <v>0.66</v>
      </c>
      <c r="K49" s="60">
        <v>111.25</v>
      </c>
      <c r="L49" s="60">
        <v>30.55</v>
      </c>
      <c r="M49" s="60">
        <v>74.58</v>
      </c>
      <c r="N49" s="60">
        <v>798.3</v>
      </c>
      <c r="O49" s="60">
        <v>0</v>
      </c>
      <c r="P49" s="60">
        <v>0.46</v>
      </c>
      <c r="Q49" s="60">
        <v>9.3800000000000008</v>
      </c>
      <c r="R49" s="198"/>
      <c r="S49" s="198"/>
      <c r="T49" s="198"/>
      <c r="U49" s="198"/>
    </row>
    <row r="50" spans="1:21" s="12" customFormat="1" x14ac:dyDescent="0.25">
      <c r="A50" s="63">
        <v>45819.4375</v>
      </c>
      <c r="B50" s="60">
        <v>7.38</v>
      </c>
      <c r="C50" s="60">
        <v>20.43</v>
      </c>
      <c r="D50" s="60">
        <v>27.77</v>
      </c>
      <c r="E50" s="60">
        <v>4.22</v>
      </c>
      <c r="F50" s="60">
        <v>14.23</v>
      </c>
      <c r="G50" s="60">
        <v>46.41</v>
      </c>
      <c r="H50" s="60">
        <v>14.41</v>
      </c>
      <c r="I50" s="60">
        <v>4.18</v>
      </c>
      <c r="J50" s="60">
        <v>0.73</v>
      </c>
      <c r="K50" s="60">
        <v>109.11</v>
      </c>
      <c r="L50" s="60">
        <v>30.57</v>
      </c>
      <c r="M50" s="60">
        <v>71.83</v>
      </c>
      <c r="N50" s="60">
        <v>791.2</v>
      </c>
      <c r="O50" s="60">
        <v>0</v>
      </c>
      <c r="P50" s="60">
        <v>0.38</v>
      </c>
      <c r="Q50" s="60">
        <v>9.36</v>
      </c>
      <c r="R50" s="198"/>
      <c r="S50" s="198"/>
      <c r="T50" s="198"/>
      <c r="U50" s="198"/>
    </row>
    <row r="51" spans="1:21" s="12" customFormat="1" x14ac:dyDescent="0.25">
      <c r="A51" s="63">
        <v>45819.447916666664</v>
      </c>
      <c r="B51" s="60">
        <v>7.56</v>
      </c>
      <c r="C51" s="60">
        <v>20.82</v>
      </c>
      <c r="D51" s="60">
        <v>28.25</v>
      </c>
      <c r="E51" s="60">
        <v>4.78</v>
      </c>
      <c r="F51" s="60">
        <v>12.33</v>
      </c>
      <c r="G51" s="60">
        <v>46.41</v>
      </c>
      <c r="H51" s="60">
        <v>14.41</v>
      </c>
      <c r="I51" s="60">
        <v>3.97</v>
      </c>
      <c r="J51" s="60">
        <v>0.56000000000000005</v>
      </c>
      <c r="K51" s="60">
        <v>110.67</v>
      </c>
      <c r="L51" s="60">
        <v>31.43</v>
      </c>
      <c r="M51" s="60">
        <v>70.25</v>
      </c>
      <c r="N51" s="60">
        <v>928.1</v>
      </c>
      <c r="O51" s="60">
        <v>0</v>
      </c>
      <c r="P51" s="60">
        <v>0.43</v>
      </c>
      <c r="Q51" s="60">
        <v>9.34</v>
      </c>
      <c r="R51" s="198"/>
      <c r="S51" s="198"/>
      <c r="T51" s="198"/>
      <c r="U51" s="198"/>
    </row>
    <row r="52" spans="1:21" s="12" customFormat="1" x14ac:dyDescent="0.25">
      <c r="A52" s="63">
        <v>45819.458333333336</v>
      </c>
      <c r="B52" s="60">
        <v>7.63</v>
      </c>
      <c r="C52" s="60">
        <v>23.24</v>
      </c>
      <c r="D52" s="60">
        <v>32.78</v>
      </c>
      <c r="E52" s="60">
        <v>4.25</v>
      </c>
      <c r="F52" s="60">
        <v>13.95</v>
      </c>
      <c r="G52" s="60">
        <v>42.62</v>
      </c>
      <c r="H52" s="60">
        <v>14.24</v>
      </c>
      <c r="I52" s="60">
        <v>4.05</v>
      </c>
      <c r="J52" s="60">
        <v>0.49</v>
      </c>
      <c r="K52" s="60">
        <v>96.21</v>
      </c>
      <c r="L52" s="60">
        <v>31.51</v>
      </c>
      <c r="M52" s="60">
        <v>67.87</v>
      </c>
      <c r="N52" s="60">
        <v>960.7</v>
      </c>
      <c r="O52" s="60">
        <v>0</v>
      </c>
      <c r="P52" s="60">
        <v>0.39</v>
      </c>
      <c r="Q52" s="60">
        <v>9.31</v>
      </c>
      <c r="R52" s="198"/>
      <c r="S52" s="198"/>
      <c r="T52" s="198"/>
      <c r="U52" s="198"/>
    </row>
    <row r="53" spans="1:21" s="12" customFormat="1" x14ac:dyDescent="0.25">
      <c r="A53" s="63">
        <v>45819.46875</v>
      </c>
      <c r="B53" s="60">
        <v>6.88</v>
      </c>
      <c r="C53" s="60">
        <v>22.01</v>
      </c>
      <c r="D53" s="60">
        <v>31.57</v>
      </c>
      <c r="E53" s="60">
        <v>4.55</v>
      </c>
      <c r="F53" s="60">
        <v>14.42</v>
      </c>
      <c r="G53" s="60">
        <v>38.29</v>
      </c>
      <c r="H53" s="60">
        <v>14.06</v>
      </c>
      <c r="I53" s="60">
        <v>4.0999999999999996</v>
      </c>
      <c r="J53" s="60">
        <v>0.22</v>
      </c>
      <c r="K53" s="60">
        <v>84.32</v>
      </c>
      <c r="L53" s="60">
        <v>32.81</v>
      </c>
      <c r="M53" s="60">
        <v>64.03</v>
      </c>
      <c r="N53" s="60">
        <v>952.9</v>
      </c>
      <c r="O53" s="60">
        <v>0</v>
      </c>
      <c r="P53" s="60">
        <v>0.42</v>
      </c>
      <c r="Q53" s="60">
        <v>9.2899999999999991</v>
      </c>
      <c r="R53" s="198"/>
      <c r="S53" s="198"/>
      <c r="T53" s="198"/>
      <c r="U53" s="198"/>
    </row>
    <row r="54" spans="1:21" s="12" customFormat="1" x14ac:dyDescent="0.25">
      <c r="A54" s="63">
        <v>45819.479166666664</v>
      </c>
      <c r="B54" s="60">
        <v>10.6</v>
      </c>
      <c r="C54" s="60">
        <v>29.08</v>
      </c>
      <c r="D54" s="60">
        <v>39.39</v>
      </c>
      <c r="E54" s="60">
        <v>4.46</v>
      </c>
      <c r="F54" s="60">
        <v>18.510000000000002</v>
      </c>
      <c r="G54" s="60">
        <v>38.29</v>
      </c>
      <c r="H54" s="60">
        <v>14.06</v>
      </c>
      <c r="I54" s="60">
        <v>3.9</v>
      </c>
      <c r="J54" s="60">
        <v>0.79</v>
      </c>
      <c r="K54" s="60">
        <v>348.95</v>
      </c>
      <c r="L54" s="60">
        <v>33.729999999999997</v>
      </c>
      <c r="M54" s="60">
        <v>61</v>
      </c>
      <c r="N54" s="60">
        <v>787.7</v>
      </c>
      <c r="O54" s="60">
        <v>0</v>
      </c>
      <c r="P54" s="60">
        <v>0.53</v>
      </c>
      <c r="Q54" s="60">
        <v>9.27</v>
      </c>
      <c r="R54" s="198"/>
      <c r="S54" s="198"/>
      <c r="T54" s="198"/>
      <c r="U54" s="198"/>
    </row>
    <row r="55" spans="1:21" s="12" customFormat="1" x14ac:dyDescent="0.25">
      <c r="A55" s="63">
        <v>45819.489583333336</v>
      </c>
      <c r="B55" s="60">
        <v>8.1300000000000008</v>
      </c>
      <c r="C55" s="60">
        <v>22.84</v>
      </c>
      <c r="D55" s="60">
        <v>31.23</v>
      </c>
      <c r="E55" s="60">
        <v>4.78</v>
      </c>
      <c r="F55" s="60">
        <v>18.34</v>
      </c>
      <c r="G55" s="60">
        <v>38.29</v>
      </c>
      <c r="H55" s="60">
        <v>14.06</v>
      </c>
      <c r="I55" s="60">
        <v>3.97</v>
      </c>
      <c r="J55" s="60">
        <v>0.62</v>
      </c>
      <c r="K55" s="60">
        <v>354.43</v>
      </c>
      <c r="L55" s="60">
        <v>35.06</v>
      </c>
      <c r="M55" s="60">
        <v>56.06</v>
      </c>
      <c r="N55" s="60">
        <v>948.1</v>
      </c>
      <c r="O55" s="60">
        <v>0</v>
      </c>
      <c r="P55" s="60">
        <v>0.43</v>
      </c>
      <c r="Q55" s="60">
        <v>9.2899999999999991</v>
      </c>
      <c r="R55" s="198"/>
      <c r="S55" s="198"/>
      <c r="T55" s="198"/>
      <c r="U55" s="198"/>
    </row>
    <row r="56" spans="1:21" s="12" customFormat="1" x14ac:dyDescent="0.25">
      <c r="A56" s="63">
        <v>45819.5</v>
      </c>
      <c r="B56" s="60">
        <v>7.91</v>
      </c>
      <c r="C56" s="60">
        <v>25.07</v>
      </c>
      <c r="D56" s="60">
        <v>35.85</v>
      </c>
      <c r="E56" s="60">
        <v>4.71</v>
      </c>
      <c r="F56" s="60">
        <v>19.52</v>
      </c>
      <c r="G56" s="60">
        <v>38.340000000000003</v>
      </c>
      <c r="H56" s="60">
        <v>16.79</v>
      </c>
      <c r="I56" s="60">
        <v>3.93</v>
      </c>
      <c r="J56" s="60">
        <v>0.17</v>
      </c>
      <c r="K56" s="60">
        <v>11.1</v>
      </c>
      <c r="L56" s="60">
        <v>33.29</v>
      </c>
      <c r="M56" s="60">
        <v>59.94</v>
      </c>
      <c r="N56" s="60">
        <v>658.2</v>
      </c>
      <c r="O56" s="60">
        <v>0</v>
      </c>
      <c r="P56" s="60">
        <v>0.43</v>
      </c>
      <c r="Q56" s="60">
        <v>9.27</v>
      </c>
      <c r="R56" s="198"/>
      <c r="S56" s="198"/>
      <c r="T56" s="198"/>
      <c r="U56" s="198"/>
    </row>
    <row r="57" spans="1:21" s="12" customFormat="1" x14ac:dyDescent="0.25">
      <c r="A57" s="63">
        <v>45819.510416666664</v>
      </c>
      <c r="B57" s="60">
        <v>6.11</v>
      </c>
      <c r="C57" s="60">
        <v>18.73</v>
      </c>
      <c r="D57" s="60">
        <v>26.47</v>
      </c>
      <c r="E57" s="60">
        <v>5.18</v>
      </c>
      <c r="F57" s="60">
        <v>21.84</v>
      </c>
      <c r="G57" s="60">
        <v>38.409999999999997</v>
      </c>
      <c r="H57" s="60">
        <v>19.77</v>
      </c>
      <c r="I57" s="60">
        <v>4.09</v>
      </c>
      <c r="J57" s="60">
        <v>0.32</v>
      </c>
      <c r="K57" s="60">
        <v>46.86</v>
      </c>
      <c r="L57" s="60">
        <v>32.81</v>
      </c>
      <c r="M57" s="60">
        <v>60.04</v>
      </c>
      <c r="N57" s="60">
        <v>901.5</v>
      </c>
      <c r="O57" s="60">
        <v>0</v>
      </c>
      <c r="P57" s="60">
        <v>0.36</v>
      </c>
      <c r="Q57" s="60">
        <v>9.2799999999999994</v>
      </c>
      <c r="R57" s="198"/>
      <c r="S57" s="198"/>
      <c r="T57" s="198"/>
      <c r="U57" s="198"/>
    </row>
    <row r="58" spans="1:21" s="12" customFormat="1" x14ac:dyDescent="0.25">
      <c r="A58" s="63">
        <v>45819.520833333336</v>
      </c>
      <c r="B58" s="60">
        <v>8.25</v>
      </c>
      <c r="C58" s="60">
        <v>22.61</v>
      </c>
      <c r="D58" s="60">
        <v>30.61</v>
      </c>
      <c r="E58" s="60">
        <v>5.09</v>
      </c>
      <c r="F58" s="60">
        <v>18.18</v>
      </c>
      <c r="G58" s="60">
        <v>38.409999999999997</v>
      </c>
      <c r="H58" s="60">
        <v>19.77</v>
      </c>
      <c r="I58" s="60">
        <v>4.1399999999999997</v>
      </c>
      <c r="J58" s="60">
        <v>0.69</v>
      </c>
      <c r="K58" s="60">
        <v>348.55</v>
      </c>
      <c r="L58" s="60">
        <v>33.97</v>
      </c>
      <c r="M58" s="60">
        <v>55.73</v>
      </c>
      <c r="N58" s="60">
        <v>917.9</v>
      </c>
      <c r="O58" s="60">
        <v>0</v>
      </c>
      <c r="P58" s="60">
        <v>0.43</v>
      </c>
      <c r="Q58" s="60">
        <v>9.2799999999999994</v>
      </c>
      <c r="R58" s="198"/>
      <c r="S58" s="198"/>
      <c r="T58" s="198"/>
      <c r="U58" s="198"/>
    </row>
    <row r="59" spans="1:21" s="12" customFormat="1" x14ac:dyDescent="0.25">
      <c r="A59" s="63">
        <v>45819.53125</v>
      </c>
      <c r="B59" s="60">
        <v>6.36</v>
      </c>
      <c r="C59" s="60">
        <v>20.45</v>
      </c>
      <c r="D59" s="60">
        <v>29.38</v>
      </c>
      <c r="E59" s="60">
        <v>5.48</v>
      </c>
      <c r="F59" s="60">
        <v>18.32</v>
      </c>
      <c r="G59" s="60">
        <v>38.409999999999997</v>
      </c>
      <c r="H59" s="60">
        <v>19.77</v>
      </c>
      <c r="I59" s="60">
        <v>3.95</v>
      </c>
      <c r="J59" s="60">
        <v>0.37</v>
      </c>
      <c r="K59" s="60">
        <v>72.34</v>
      </c>
      <c r="L59" s="60">
        <v>33.72</v>
      </c>
      <c r="M59" s="60">
        <v>53.86</v>
      </c>
      <c r="N59" s="60">
        <v>595.70000000000005</v>
      </c>
      <c r="O59" s="60">
        <v>0</v>
      </c>
      <c r="P59" s="60">
        <v>0.38</v>
      </c>
      <c r="Q59" s="60">
        <v>9.27</v>
      </c>
      <c r="R59" s="198"/>
      <c r="S59" s="198"/>
      <c r="T59" s="198"/>
      <c r="U59" s="198"/>
    </row>
    <row r="60" spans="1:21" s="12" customFormat="1" x14ac:dyDescent="0.25">
      <c r="A60" s="63">
        <v>45819.541666666664</v>
      </c>
      <c r="B60" s="60">
        <v>10.36</v>
      </c>
      <c r="C60" s="60">
        <v>28.91</v>
      </c>
      <c r="D60" s="60">
        <v>39.42</v>
      </c>
      <c r="E60" s="60">
        <v>5.28</v>
      </c>
      <c r="F60" s="60">
        <v>23.19</v>
      </c>
      <c r="G60" s="60">
        <v>39.22</v>
      </c>
      <c r="H60" s="60">
        <v>17.260000000000002</v>
      </c>
      <c r="I60" s="60">
        <v>4.04</v>
      </c>
      <c r="J60" s="60">
        <v>0.57999999999999996</v>
      </c>
      <c r="K60" s="60">
        <v>347.39</v>
      </c>
      <c r="L60" s="60">
        <v>34.03</v>
      </c>
      <c r="M60" s="60">
        <v>54.71</v>
      </c>
      <c r="N60" s="60">
        <v>614.20000000000005</v>
      </c>
      <c r="O60" s="60">
        <v>0</v>
      </c>
      <c r="P60" s="60">
        <v>0.48</v>
      </c>
      <c r="Q60" s="60">
        <v>9.27</v>
      </c>
      <c r="R60" s="198"/>
      <c r="S60" s="198"/>
      <c r="T60" s="198"/>
      <c r="U60" s="198"/>
    </row>
    <row r="61" spans="1:21" s="12" customFormat="1" x14ac:dyDescent="0.25">
      <c r="A61" s="63">
        <v>45819.552083333336</v>
      </c>
      <c r="B61" s="60">
        <v>9.1999999999999993</v>
      </c>
      <c r="C61" s="60">
        <v>24.07</v>
      </c>
      <c r="D61" s="60">
        <v>31.95</v>
      </c>
      <c r="E61" s="60">
        <v>4.71</v>
      </c>
      <c r="F61" s="60">
        <v>18.72</v>
      </c>
      <c r="G61" s="60">
        <v>40.15</v>
      </c>
      <c r="H61" s="60">
        <v>14.38</v>
      </c>
      <c r="I61" s="60">
        <v>4.04</v>
      </c>
      <c r="J61" s="60">
        <v>0.96</v>
      </c>
      <c r="K61" s="60">
        <v>344.39</v>
      </c>
      <c r="L61" s="60">
        <v>34.71</v>
      </c>
      <c r="M61" s="60">
        <v>52.36</v>
      </c>
      <c r="N61" s="60">
        <v>684.6</v>
      </c>
      <c r="O61" s="60">
        <v>0</v>
      </c>
      <c r="P61" s="60">
        <v>0.44</v>
      </c>
      <c r="Q61" s="60">
        <v>9.2799999999999994</v>
      </c>
      <c r="R61" s="198"/>
      <c r="S61" s="198"/>
      <c r="T61" s="198"/>
      <c r="U61" s="198"/>
    </row>
    <row r="62" spans="1:21" s="12" customFormat="1" x14ac:dyDescent="0.25">
      <c r="A62" s="63">
        <v>45819.5625</v>
      </c>
      <c r="B62" s="60">
        <v>7.23</v>
      </c>
      <c r="C62" s="60">
        <v>24.97</v>
      </c>
      <c r="D62" s="60">
        <v>36.69</v>
      </c>
      <c r="E62" s="60">
        <v>4.83</v>
      </c>
      <c r="F62" s="60">
        <v>16.239999999999998</v>
      </c>
      <c r="G62" s="60">
        <v>40.15</v>
      </c>
      <c r="H62" s="60">
        <v>14.38</v>
      </c>
      <c r="I62" s="60">
        <v>4</v>
      </c>
      <c r="J62" s="60">
        <v>0.33</v>
      </c>
      <c r="K62" s="60">
        <v>65.489999999999995</v>
      </c>
      <c r="L62" s="60">
        <v>34.340000000000003</v>
      </c>
      <c r="M62" s="60">
        <v>54.28</v>
      </c>
      <c r="N62" s="60">
        <v>543.5</v>
      </c>
      <c r="O62" s="60">
        <v>0</v>
      </c>
      <c r="P62" s="60">
        <v>0.49</v>
      </c>
      <c r="Q62" s="60">
        <v>9.2799999999999994</v>
      </c>
      <c r="R62" s="198"/>
      <c r="S62" s="198"/>
      <c r="T62" s="198"/>
      <c r="U62" s="198"/>
    </row>
    <row r="63" spans="1:21" s="12" customFormat="1" x14ac:dyDescent="0.25">
      <c r="A63" s="63">
        <v>45819.572916666664</v>
      </c>
      <c r="B63" s="60">
        <v>5.75</v>
      </c>
      <c r="C63" s="60">
        <v>19.93</v>
      </c>
      <c r="D63" s="60">
        <v>29.32</v>
      </c>
      <c r="E63" s="60">
        <v>4.79</v>
      </c>
      <c r="F63" s="60">
        <v>21.48</v>
      </c>
      <c r="G63" s="60">
        <v>40.15</v>
      </c>
      <c r="H63" s="60">
        <v>14.38</v>
      </c>
      <c r="I63" s="60">
        <v>4.0199999999999996</v>
      </c>
      <c r="J63" s="60">
        <v>0.32</v>
      </c>
      <c r="K63" s="60">
        <v>113.14</v>
      </c>
      <c r="L63" s="60">
        <v>33.340000000000003</v>
      </c>
      <c r="M63" s="60">
        <v>55.71</v>
      </c>
      <c r="N63" s="60">
        <v>605.29999999999995</v>
      </c>
      <c r="O63" s="60">
        <v>0</v>
      </c>
      <c r="P63" s="60">
        <v>0.4</v>
      </c>
      <c r="Q63" s="60">
        <v>9.3000000000000007</v>
      </c>
      <c r="R63" s="198"/>
      <c r="S63" s="198"/>
      <c r="T63" s="198"/>
      <c r="U63" s="198"/>
    </row>
    <row r="64" spans="1:21" s="12" customFormat="1" x14ac:dyDescent="0.25">
      <c r="A64" s="63">
        <v>45819.583333333336</v>
      </c>
      <c r="B64" s="60">
        <v>6.52</v>
      </c>
      <c r="C64" s="60">
        <v>20.21</v>
      </c>
      <c r="D64" s="60">
        <v>28.66</v>
      </c>
      <c r="E64" s="60">
        <v>4.83</v>
      </c>
      <c r="F64" s="60">
        <v>17.38</v>
      </c>
      <c r="G64" s="60">
        <v>40.090000000000003</v>
      </c>
      <c r="H64" s="60">
        <v>14.3</v>
      </c>
      <c r="I64" s="60">
        <v>3.96</v>
      </c>
      <c r="J64" s="60">
        <v>0.37</v>
      </c>
      <c r="K64" s="60">
        <v>353.22</v>
      </c>
      <c r="L64" s="60">
        <v>33.58</v>
      </c>
      <c r="M64" s="60">
        <v>55.33</v>
      </c>
      <c r="N64" s="60">
        <v>424.3</v>
      </c>
      <c r="O64" s="60">
        <v>0</v>
      </c>
      <c r="P64" s="60">
        <v>0.44</v>
      </c>
      <c r="Q64" s="60">
        <v>9.27</v>
      </c>
      <c r="R64" s="198"/>
      <c r="S64" s="198"/>
      <c r="T64" s="198"/>
      <c r="U64" s="198"/>
    </row>
    <row r="65" spans="1:21" s="12" customFormat="1" x14ac:dyDescent="0.25">
      <c r="A65" s="63">
        <v>45819.59375</v>
      </c>
      <c r="B65" s="60">
        <v>6.93</v>
      </c>
      <c r="C65" s="60">
        <v>22.25</v>
      </c>
      <c r="D65" s="60">
        <v>31.95</v>
      </c>
      <c r="E65" s="60">
        <v>4.28</v>
      </c>
      <c r="F65" s="60">
        <v>15.33</v>
      </c>
      <c r="G65" s="60">
        <v>40.020000000000003</v>
      </c>
      <c r="H65" s="60">
        <v>14.21</v>
      </c>
      <c r="I65" s="60">
        <v>4.0999999999999996</v>
      </c>
      <c r="J65" s="60">
        <v>0.59</v>
      </c>
      <c r="K65" s="60">
        <v>107.4</v>
      </c>
      <c r="L65" s="60">
        <v>33.26</v>
      </c>
      <c r="M65" s="60">
        <v>54.62</v>
      </c>
      <c r="N65" s="60">
        <v>456.1</v>
      </c>
      <c r="O65" s="60">
        <v>0</v>
      </c>
      <c r="P65" s="60">
        <v>0.45</v>
      </c>
      <c r="Q65" s="60">
        <v>9.27</v>
      </c>
      <c r="R65" s="198"/>
      <c r="S65" s="198"/>
      <c r="T65" s="198"/>
      <c r="U65" s="198"/>
    </row>
    <row r="66" spans="1:21" s="12" customFormat="1" x14ac:dyDescent="0.25">
      <c r="A66" s="63">
        <v>45819.604166666664</v>
      </c>
      <c r="B66" s="60">
        <v>13.1</v>
      </c>
      <c r="C66" s="60">
        <v>26.51</v>
      </c>
      <c r="D66" s="60">
        <v>32.58</v>
      </c>
      <c r="E66" s="60">
        <v>5.04</v>
      </c>
      <c r="F66" s="60">
        <v>17.91</v>
      </c>
      <c r="G66" s="60">
        <v>40.020000000000003</v>
      </c>
      <c r="H66" s="60">
        <v>14.21</v>
      </c>
      <c r="I66" s="60">
        <v>4.05</v>
      </c>
      <c r="J66" s="60">
        <v>0.43</v>
      </c>
      <c r="K66" s="60">
        <v>74.459999999999994</v>
      </c>
      <c r="L66" s="60">
        <v>33.409999999999997</v>
      </c>
      <c r="M66" s="60">
        <v>54.58</v>
      </c>
      <c r="N66" s="60">
        <v>363.2</v>
      </c>
      <c r="O66" s="60">
        <v>0</v>
      </c>
      <c r="P66" s="60">
        <v>0.44</v>
      </c>
      <c r="Q66" s="60">
        <v>9.2799999999999994</v>
      </c>
      <c r="R66" s="198"/>
      <c r="S66" s="198"/>
      <c r="T66" s="198"/>
      <c r="U66" s="198"/>
    </row>
    <row r="67" spans="1:21" s="12" customFormat="1" x14ac:dyDescent="0.25">
      <c r="A67" s="63">
        <v>45819.614583333336</v>
      </c>
      <c r="B67" s="60">
        <v>6.65</v>
      </c>
      <c r="C67" s="60">
        <v>20.94</v>
      </c>
      <c r="D67" s="60">
        <v>29.89</v>
      </c>
      <c r="E67" s="60">
        <v>4.5599999999999996</v>
      </c>
      <c r="F67" s="60">
        <v>15.8</v>
      </c>
      <c r="G67" s="60">
        <v>40.020000000000003</v>
      </c>
      <c r="H67" s="60">
        <v>14.21</v>
      </c>
      <c r="I67" s="60">
        <v>3.94</v>
      </c>
      <c r="J67" s="60">
        <v>0.32</v>
      </c>
      <c r="K67" s="60">
        <v>40.06</v>
      </c>
      <c r="L67" s="60">
        <v>33.24</v>
      </c>
      <c r="M67" s="60">
        <v>53.74</v>
      </c>
      <c r="N67" s="60">
        <v>317.60000000000002</v>
      </c>
      <c r="O67" s="60">
        <v>0</v>
      </c>
      <c r="P67" s="60">
        <v>0.43</v>
      </c>
      <c r="Q67" s="60">
        <v>9.26</v>
      </c>
      <c r="R67" s="198"/>
      <c r="S67" s="198"/>
      <c r="T67" s="198"/>
      <c r="U67" s="198"/>
    </row>
    <row r="68" spans="1:21" s="12" customFormat="1" x14ac:dyDescent="0.25">
      <c r="A68" s="63">
        <v>45819.625</v>
      </c>
      <c r="B68" s="60">
        <v>18.64</v>
      </c>
      <c r="C68" s="60">
        <v>46.84</v>
      </c>
      <c r="D68" s="60">
        <v>61.03</v>
      </c>
      <c r="E68" s="60">
        <v>4.67</v>
      </c>
      <c r="F68" s="60">
        <v>20.62</v>
      </c>
      <c r="G68" s="60">
        <v>34.24</v>
      </c>
      <c r="H68" s="60">
        <v>11.9</v>
      </c>
      <c r="I68" s="60">
        <v>3.98</v>
      </c>
      <c r="J68" s="60">
        <v>0.23</v>
      </c>
      <c r="K68" s="60">
        <v>44.52</v>
      </c>
      <c r="L68" s="60">
        <v>33.619999999999997</v>
      </c>
      <c r="M68" s="60">
        <v>52.68</v>
      </c>
      <c r="N68" s="60">
        <v>281.8</v>
      </c>
      <c r="O68" s="60">
        <v>0</v>
      </c>
      <c r="P68" s="60">
        <v>0.49</v>
      </c>
      <c r="Q68" s="60">
        <v>9.27</v>
      </c>
      <c r="R68" s="198"/>
      <c r="S68" s="198"/>
      <c r="T68" s="198"/>
      <c r="U68" s="198"/>
    </row>
    <row r="69" spans="1:21" s="12" customFormat="1" x14ac:dyDescent="0.25">
      <c r="A69" s="63">
        <v>45819.635416666664</v>
      </c>
      <c r="B69" s="60">
        <v>4.26</v>
      </c>
      <c r="C69" s="60">
        <v>17.559999999999999</v>
      </c>
      <c r="D69" s="60">
        <v>27.06</v>
      </c>
      <c r="E69" s="60">
        <v>4.62</v>
      </c>
      <c r="F69" s="60">
        <v>22.46</v>
      </c>
      <c r="G69" s="60">
        <v>27.64</v>
      </c>
      <c r="H69" s="60">
        <v>9.25</v>
      </c>
      <c r="I69" s="60">
        <v>4</v>
      </c>
      <c r="J69" s="60">
        <v>0.83</v>
      </c>
      <c r="K69" s="60">
        <v>112.94</v>
      </c>
      <c r="L69" s="60">
        <v>32.950000000000003</v>
      </c>
      <c r="M69" s="60">
        <v>52.72</v>
      </c>
      <c r="N69" s="60">
        <v>298</v>
      </c>
      <c r="O69" s="60">
        <v>0</v>
      </c>
      <c r="P69" s="60">
        <v>0.3</v>
      </c>
      <c r="Q69" s="60">
        <v>9.31</v>
      </c>
      <c r="R69" s="198"/>
      <c r="S69" s="198"/>
      <c r="T69" s="198"/>
      <c r="U69" s="198"/>
    </row>
    <row r="70" spans="1:21" s="12" customFormat="1" x14ac:dyDescent="0.25">
      <c r="A70" s="63">
        <v>45819.645833333336</v>
      </c>
      <c r="B70" s="60">
        <v>3.93</v>
      </c>
      <c r="C70" s="60">
        <v>18.440000000000001</v>
      </c>
      <c r="D70" s="60">
        <v>29.26</v>
      </c>
      <c r="E70" s="60">
        <v>4.8899999999999997</v>
      </c>
      <c r="F70" s="60">
        <v>17.5</v>
      </c>
      <c r="G70" s="60">
        <v>27.64</v>
      </c>
      <c r="H70" s="60">
        <v>9.25</v>
      </c>
      <c r="I70" s="60">
        <v>3.93</v>
      </c>
      <c r="J70" s="60">
        <v>0.97</v>
      </c>
      <c r="K70" s="60">
        <v>105.06</v>
      </c>
      <c r="L70" s="60">
        <v>32.619999999999997</v>
      </c>
      <c r="M70" s="60">
        <v>50.97</v>
      </c>
      <c r="N70" s="60">
        <v>287.8</v>
      </c>
      <c r="O70" s="60">
        <v>0</v>
      </c>
      <c r="P70" s="60">
        <v>0.36</v>
      </c>
      <c r="Q70" s="60">
        <v>9.2799999999999994</v>
      </c>
      <c r="R70" s="198"/>
      <c r="S70" s="198"/>
      <c r="T70" s="198"/>
      <c r="U70" s="198"/>
    </row>
    <row r="71" spans="1:21" s="12" customFormat="1" x14ac:dyDescent="0.25">
      <c r="A71" s="63">
        <v>45819.65625</v>
      </c>
      <c r="B71" s="60">
        <v>3.59</v>
      </c>
      <c r="C71" s="60">
        <v>16.97</v>
      </c>
      <c r="D71" s="60">
        <v>26.98</v>
      </c>
      <c r="E71" s="60">
        <v>5.0599999999999996</v>
      </c>
      <c r="F71" s="60">
        <v>21.21</v>
      </c>
      <c r="G71" s="60">
        <v>27.64</v>
      </c>
      <c r="H71" s="60">
        <v>9.25</v>
      </c>
      <c r="I71" s="60">
        <v>3.93</v>
      </c>
      <c r="J71" s="60">
        <v>1.1399999999999999</v>
      </c>
      <c r="K71" s="60">
        <v>113.16</v>
      </c>
      <c r="L71" s="60">
        <v>32.549999999999997</v>
      </c>
      <c r="M71" s="60">
        <v>49.29</v>
      </c>
      <c r="N71" s="60">
        <v>290.60000000000002</v>
      </c>
      <c r="O71" s="60">
        <v>0</v>
      </c>
      <c r="P71" s="60">
        <v>0.3</v>
      </c>
      <c r="Q71" s="60">
        <v>9.26</v>
      </c>
      <c r="R71" s="198"/>
      <c r="S71" s="198"/>
      <c r="T71" s="198"/>
      <c r="U71" s="198"/>
    </row>
    <row r="72" spans="1:21" s="12" customFormat="1" x14ac:dyDescent="0.25">
      <c r="A72" s="63">
        <v>45819.666666666664</v>
      </c>
      <c r="B72" s="60">
        <v>3.74</v>
      </c>
      <c r="C72" s="60">
        <v>18.3</v>
      </c>
      <c r="D72" s="60">
        <v>29.27</v>
      </c>
      <c r="E72" s="60">
        <v>5.6</v>
      </c>
      <c r="F72" s="60">
        <v>21.2</v>
      </c>
      <c r="G72" s="60">
        <v>28.23</v>
      </c>
      <c r="H72" s="60">
        <v>8.7200000000000006</v>
      </c>
      <c r="I72" s="60">
        <v>4.1100000000000003</v>
      </c>
      <c r="J72" s="60">
        <v>1.26</v>
      </c>
      <c r="K72" s="60">
        <v>101.61</v>
      </c>
      <c r="L72" s="60">
        <v>32.5</v>
      </c>
      <c r="M72" s="60">
        <v>50.11</v>
      </c>
      <c r="N72" s="60">
        <v>270.10000000000002</v>
      </c>
      <c r="O72" s="60">
        <v>0</v>
      </c>
      <c r="P72" s="60">
        <v>0.3</v>
      </c>
      <c r="Q72" s="60">
        <v>9.23</v>
      </c>
      <c r="R72" s="198"/>
      <c r="S72" s="198"/>
      <c r="T72" s="198"/>
      <c r="U72" s="198"/>
    </row>
    <row r="73" spans="1:21" s="12" customFormat="1" x14ac:dyDescent="0.25">
      <c r="A73" s="63">
        <v>45819.677083333336</v>
      </c>
      <c r="B73" s="60">
        <v>3.65</v>
      </c>
      <c r="C73" s="60">
        <v>18.5</v>
      </c>
      <c r="D73" s="60">
        <v>29.81</v>
      </c>
      <c r="E73" s="60">
        <v>5.83</v>
      </c>
      <c r="F73" s="60">
        <v>14.73</v>
      </c>
      <c r="G73" s="60">
        <v>28.88</v>
      </c>
      <c r="H73" s="60">
        <v>8.1199999999999992</v>
      </c>
      <c r="I73" s="60">
        <v>4.04</v>
      </c>
      <c r="J73" s="60">
        <v>1.39</v>
      </c>
      <c r="K73" s="60">
        <v>110.98</v>
      </c>
      <c r="L73" s="60">
        <v>32.4</v>
      </c>
      <c r="M73" s="60">
        <v>50.15</v>
      </c>
      <c r="N73" s="60">
        <v>201.6</v>
      </c>
      <c r="O73" s="60">
        <v>0</v>
      </c>
      <c r="P73" s="60">
        <v>0.3</v>
      </c>
      <c r="Q73" s="60">
        <v>9.2100000000000009</v>
      </c>
      <c r="R73" s="198"/>
      <c r="S73" s="198"/>
      <c r="T73" s="198"/>
      <c r="U73" s="198"/>
    </row>
    <row r="74" spans="1:21" s="12" customFormat="1" x14ac:dyDescent="0.25">
      <c r="A74" s="63">
        <v>45819.6875</v>
      </c>
      <c r="B74" s="60">
        <v>4.63</v>
      </c>
      <c r="C74" s="60">
        <v>19.670000000000002</v>
      </c>
      <c r="D74" s="60">
        <v>30.55</v>
      </c>
      <c r="E74" s="60">
        <v>6.07</v>
      </c>
      <c r="F74" s="60">
        <v>23.45</v>
      </c>
      <c r="G74" s="60">
        <v>28.88</v>
      </c>
      <c r="H74" s="60">
        <v>8.1199999999999992</v>
      </c>
      <c r="I74" s="60">
        <v>3.96</v>
      </c>
      <c r="J74" s="60">
        <v>0.89</v>
      </c>
      <c r="K74" s="60">
        <v>108.36</v>
      </c>
      <c r="L74" s="60">
        <v>32.270000000000003</v>
      </c>
      <c r="M74" s="60">
        <v>50.35</v>
      </c>
      <c r="N74" s="60">
        <v>167.6</v>
      </c>
      <c r="O74" s="60">
        <v>0</v>
      </c>
      <c r="P74" s="60">
        <v>0.32</v>
      </c>
      <c r="Q74" s="60">
        <v>9.19</v>
      </c>
      <c r="R74" s="198"/>
      <c r="S74" s="198"/>
      <c r="T74" s="198"/>
      <c r="U74" s="198"/>
    </row>
    <row r="75" spans="1:21" s="12" customFormat="1" x14ac:dyDescent="0.25">
      <c r="A75" s="63">
        <v>45819.697916666664</v>
      </c>
      <c r="B75" s="60">
        <v>3.45</v>
      </c>
      <c r="C75" s="60">
        <v>15.85</v>
      </c>
      <c r="D75" s="60">
        <v>25.05</v>
      </c>
      <c r="E75" s="60">
        <v>6.15</v>
      </c>
      <c r="F75" s="60">
        <v>22.92</v>
      </c>
      <c r="G75" s="60">
        <v>28.88</v>
      </c>
      <c r="H75" s="60">
        <v>8.1199999999999992</v>
      </c>
      <c r="I75" s="60">
        <v>3.92</v>
      </c>
      <c r="J75" s="60">
        <v>0.63</v>
      </c>
      <c r="K75" s="60">
        <v>103.69</v>
      </c>
      <c r="L75" s="60">
        <v>32.17</v>
      </c>
      <c r="M75" s="60">
        <v>49.94</v>
      </c>
      <c r="N75" s="60">
        <v>158.80000000000001</v>
      </c>
      <c r="O75" s="60">
        <v>0</v>
      </c>
      <c r="P75" s="60">
        <v>0.3</v>
      </c>
      <c r="Q75" s="60">
        <v>9.17</v>
      </c>
      <c r="R75" s="198"/>
      <c r="S75" s="198"/>
      <c r="T75" s="198"/>
      <c r="U75" s="198"/>
    </row>
    <row r="76" spans="1:21" s="12" customFormat="1" x14ac:dyDescent="0.25">
      <c r="A76" s="63">
        <v>45819.708333333336</v>
      </c>
      <c r="B76" s="60">
        <v>3.81</v>
      </c>
      <c r="C76" s="60">
        <v>16.149999999999999</v>
      </c>
      <c r="D76" s="60">
        <v>25.06</v>
      </c>
      <c r="E76" s="60">
        <v>6.39</v>
      </c>
      <c r="F76" s="60">
        <v>22.26</v>
      </c>
      <c r="G76" s="60">
        <v>33.450000000000003</v>
      </c>
      <c r="H76" s="60">
        <v>10.26</v>
      </c>
      <c r="I76" s="60">
        <v>3.76</v>
      </c>
      <c r="J76" s="60">
        <v>1.1000000000000001</v>
      </c>
      <c r="K76" s="60">
        <v>112.19</v>
      </c>
      <c r="L76" s="60">
        <v>32.130000000000003</v>
      </c>
      <c r="M76" s="60">
        <v>47.8</v>
      </c>
      <c r="N76" s="60">
        <v>156.69999999999999</v>
      </c>
      <c r="O76" s="60">
        <v>0</v>
      </c>
      <c r="P76" s="60">
        <v>0.28999999999999998</v>
      </c>
      <c r="Q76" s="60">
        <v>9.16</v>
      </c>
      <c r="R76" s="198"/>
      <c r="S76" s="198"/>
      <c r="T76" s="198"/>
      <c r="U76" s="198"/>
    </row>
    <row r="77" spans="1:21" s="12" customFormat="1" x14ac:dyDescent="0.25">
      <c r="A77" s="63">
        <v>45819.71875</v>
      </c>
      <c r="B77" s="60">
        <v>3.85</v>
      </c>
      <c r="C77" s="60">
        <v>16.47</v>
      </c>
      <c r="D77" s="60">
        <v>25.61</v>
      </c>
      <c r="E77" s="60">
        <v>6.06</v>
      </c>
      <c r="F77" s="60">
        <v>19.55</v>
      </c>
      <c r="G77" s="60">
        <v>38.450000000000003</v>
      </c>
      <c r="H77" s="60">
        <v>12.59</v>
      </c>
      <c r="I77" s="60">
        <v>3.97</v>
      </c>
      <c r="J77" s="60">
        <v>0.81</v>
      </c>
      <c r="K77" s="60">
        <v>107.25</v>
      </c>
      <c r="L77" s="60">
        <v>32.03</v>
      </c>
      <c r="M77" s="60">
        <v>47.81</v>
      </c>
      <c r="N77" s="60">
        <v>144.69999999999999</v>
      </c>
      <c r="O77" s="60">
        <v>0</v>
      </c>
      <c r="P77" s="60">
        <v>0.28999999999999998</v>
      </c>
      <c r="Q77" s="60">
        <v>9.17</v>
      </c>
      <c r="R77" s="198"/>
      <c r="S77" s="198"/>
      <c r="T77" s="198"/>
      <c r="U77" s="198"/>
    </row>
    <row r="78" spans="1:21" s="12" customFormat="1" x14ac:dyDescent="0.25">
      <c r="A78" s="63">
        <v>45819.729166666664</v>
      </c>
      <c r="B78" s="60">
        <v>5.44</v>
      </c>
      <c r="C78" s="60">
        <v>20.6</v>
      </c>
      <c r="D78" s="60">
        <v>31.07</v>
      </c>
      <c r="E78" s="60">
        <v>6.23</v>
      </c>
      <c r="F78" s="60">
        <v>17.37</v>
      </c>
      <c r="G78" s="60">
        <v>38.450000000000003</v>
      </c>
      <c r="H78" s="60">
        <v>12.59</v>
      </c>
      <c r="I78" s="60">
        <v>3.98</v>
      </c>
      <c r="J78" s="60">
        <v>0.33</v>
      </c>
      <c r="K78" s="60">
        <v>110.01</v>
      </c>
      <c r="L78" s="60">
        <v>31.9</v>
      </c>
      <c r="M78" s="60">
        <v>49.23</v>
      </c>
      <c r="N78" s="60">
        <v>127.7</v>
      </c>
      <c r="O78" s="60">
        <v>0</v>
      </c>
      <c r="P78" s="60">
        <v>0.37</v>
      </c>
      <c r="Q78" s="60">
        <v>9.18</v>
      </c>
      <c r="R78" s="198"/>
      <c r="S78" s="198"/>
      <c r="T78" s="198"/>
      <c r="U78" s="198"/>
    </row>
    <row r="79" spans="1:21" s="12" customFormat="1" x14ac:dyDescent="0.25">
      <c r="A79" s="63">
        <v>45819.739583333336</v>
      </c>
      <c r="B79" s="60">
        <v>4.95</v>
      </c>
      <c r="C79" s="60">
        <v>21.48</v>
      </c>
      <c r="D79" s="60">
        <v>33.5</v>
      </c>
      <c r="E79" s="60">
        <v>6.37</v>
      </c>
      <c r="F79" s="60">
        <v>20.56</v>
      </c>
      <c r="G79" s="60">
        <v>38.450000000000003</v>
      </c>
      <c r="H79" s="60">
        <v>12.59</v>
      </c>
      <c r="I79" s="60">
        <v>4.13</v>
      </c>
      <c r="J79" s="60">
        <v>0.61</v>
      </c>
      <c r="K79" s="60">
        <v>104.59</v>
      </c>
      <c r="L79" s="60">
        <v>31.8</v>
      </c>
      <c r="M79" s="60">
        <v>50.27</v>
      </c>
      <c r="N79" s="60">
        <v>112</v>
      </c>
      <c r="O79" s="60">
        <v>0</v>
      </c>
      <c r="P79" s="60">
        <v>0.38</v>
      </c>
      <c r="Q79" s="60">
        <v>9.2200000000000006</v>
      </c>
      <c r="R79" s="198"/>
      <c r="S79" s="198"/>
      <c r="T79" s="198"/>
      <c r="U79" s="198"/>
    </row>
    <row r="80" spans="1:21" s="12" customFormat="1" x14ac:dyDescent="0.25">
      <c r="A80" s="63">
        <v>45819.75</v>
      </c>
      <c r="B80" s="60">
        <v>5.92</v>
      </c>
      <c r="C80" s="60">
        <v>22.52</v>
      </c>
      <c r="D80" s="60">
        <v>34.01</v>
      </c>
      <c r="E80" s="60">
        <v>6.48</v>
      </c>
      <c r="F80" s="60">
        <v>20.81</v>
      </c>
      <c r="G80" s="60">
        <v>31.19</v>
      </c>
      <c r="H80" s="60">
        <v>10.65</v>
      </c>
      <c r="I80" s="60">
        <v>3.8</v>
      </c>
      <c r="J80" s="60">
        <v>0.52</v>
      </c>
      <c r="K80" s="60">
        <v>106.39</v>
      </c>
      <c r="L80" s="60">
        <v>31.69</v>
      </c>
      <c r="M80" s="60">
        <v>51.39</v>
      </c>
      <c r="N80" s="60">
        <v>104.8</v>
      </c>
      <c r="O80" s="60">
        <v>0</v>
      </c>
      <c r="P80" s="60">
        <v>0.38</v>
      </c>
      <c r="Q80" s="60">
        <v>9.2100000000000009</v>
      </c>
      <c r="R80" s="198"/>
      <c r="S80" s="198"/>
      <c r="T80" s="198"/>
      <c r="U80" s="198"/>
    </row>
    <row r="81" spans="1:26" s="12" customFormat="1" x14ac:dyDescent="0.25">
      <c r="A81" s="63">
        <v>45819.760416666664</v>
      </c>
      <c r="B81" s="60">
        <v>7.85</v>
      </c>
      <c r="C81" s="60">
        <v>27.98</v>
      </c>
      <c r="D81" s="60">
        <v>41.51</v>
      </c>
      <c r="E81" s="60">
        <v>6.29</v>
      </c>
      <c r="F81" s="60">
        <v>18.36</v>
      </c>
      <c r="G81" s="60">
        <v>23.25</v>
      </c>
      <c r="H81" s="60">
        <v>8.44</v>
      </c>
      <c r="I81" s="60">
        <v>3.91</v>
      </c>
      <c r="J81" s="60">
        <v>0.28000000000000003</v>
      </c>
      <c r="K81" s="60">
        <v>96.76</v>
      </c>
      <c r="L81" s="60">
        <v>31.48</v>
      </c>
      <c r="M81" s="60">
        <v>52.94</v>
      </c>
      <c r="N81" s="60">
        <v>95.6</v>
      </c>
      <c r="O81" s="60">
        <v>0</v>
      </c>
      <c r="P81" s="60">
        <v>0.46</v>
      </c>
      <c r="Q81" s="60">
        <v>9.2100000000000009</v>
      </c>
      <c r="R81" s="198"/>
      <c r="S81" s="198"/>
      <c r="T81" s="198"/>
      <c r="U81" s="198"/>
    </row>
    <row r="82" spans="1:26" s="12" customFormat="1" x14ac:dyDescent="0.25">
      <c r="A82" s="63">
        <v>45819.770833333336</v>
      </c>
      <c r="B82" s="60">
        <v>5.39</v>
      </c>
      <c r="C82" s="60">
        <v>30.44</v>
      </c>
      <c r="D82" s="60">
        <v>49.99</v>
      </c>
      <c r="E82" s="60">
        <v>6.39</v>
      </c>
      <c r="F82" s="60">
        <v>17.46</v>
      </c>
      <c r="G82" s="60">
        <v>23.25</v>
      </c>
      <c r="H82" s="60">
        <v>8.44</v>
      </c>
      <c r="I82" s="60">
        <v>3.84</v>
      </c>
      <c r="J82" s="60">
        <v>0.17</v>
      </c>
      <c r="K82" s="60">
        <v>98.23</v>
      </c>
      <c r="L82" s="60">
        <v>31.16</v>
      </c>
      <c r="M82" s="60">
        <v>54.55</v>
      </c>
      <c r="N82" s="60">
        <v>85.2</v>
      </c>
      <c r="O82" s="60">
        <v>0</v>
      </c>
      <c r="P82" s="60">
        <v>0.68</v>
      </c>
      <c r="Q82" s="60">
        <v>9.1999999999999993</v>
      </c>
      <c r="R82" s="198"/>
      <c r="S82" s="198"/>
      <c r="T82" s="198"/>
      <c r="U82" s="198"/>
    </row>
    <row r="83" spans="1:26" s="12" customFormat="1" x14ac:dyDescent="0.25">
      <c r="A83" s="63">
        <v>45819.78125</v>
      </c>
      <c r="B83" s="60">
        <v>4.2300000000000004</v>
      </c>
      <c r="C83" s="60">
        <v>27.53</v>
      </c>
      <c r="D83" s="60">
        <v>46.21</v>
      </c>
      <c r="E83" s="60">
        <v>6.26</v>
      </c>
      <c r="F83" s="60">
        <v>14.4</v>
      </c>
      <c r="G83" s="60">
        <v>23.25</v>
      </c>
      <c r="H83" s="60">
        <v>8.44</v>
      </c>
      <c r="I83" s="60">
        <v>4.03</v>
      </c>
      <c r="J83" s="60">
        <v>0.17</v>
      </c>
      <c r="K83" s="60">
        <v>102.94</v>
      </c>
      <c r="L83" s="60">
        <v>30.86</v>
      </c>
      <c r="M83" s="60">
        <v>56.09</v>
      </c>
      <c r="N83" s="60">
        <v>75.5</v>
      </c>
      <c r="O83" s="60">
        <v>0</v>
      </c>
      <c r="P83" s="60">
        <v>0.64</v>
      </c>
      <c r="Q83" s="60">
        <v>9.1999999999999993</v>
      </c>
      <c r="R83" s="198"/>
      <c r="S83" s="198"/>
      <c r="T83" s="198"/>
      <c r="U83" s="198"/>
    </row>
    <row r="84" spans="1:26" s="12" customFormat="1" x14ac:dyDescent="0.25">
      <c r="A84" s="63">
        <v>45819.791666666664</v>
      </c>
      <c r="B84" s="60">
        <v>5.72</v>
      </c>
      <c r="C84" s="60">
        <v>29.69</v>
      </c>
      <c r="D84" s="60">
        <v>48.05</v>
      </c>
      <c r="E84" s="60">
        <v>6.17</v>
      </c>
      <c r="F84" s="60">
        <v>16.739999999999998</v>
      </c>
      <c r="G84" s="60">
        <v>33.47</v>
      </c>
      <c r="H84" s="60">
        <v>10.96</v>
      </c>
      <c r="I84" s="60">
        <v>4.12</v>
      </c>
      <c r="J84" s="60">
        <v>0.17</v>
      </c>
      <c r="K84" s="60">
        <v>101.75</v>
      </c>
      <c r="L84" s="60">
        <v>30.76</v>
      </c>
      <c r="M84" s="60">
        <v>55.59</v>
      </c>
      <c r="N84" s="60">
        <v>72.400000000000006</v>
      </c>
      <c r="O84" s="60">
        <v>0</v>
      </c>
      <c r="P84" s="60">
        <v>0.7</v>
      </c>
      <c r="Q84" s="60">
        <v>9.24</v>
      </c>
      <c r="R84" s="198"/>
      <c r="S84" s="198"/>
      <c r="T84" s="198"/>
      <c r="U84" s="198"/>
    </row>
    <row r="85" spans="1:26" s="12" customFormat="1" x14ac:dyDescent="0.25">
      <c r="A85" s="63">
        <v>45819.802083333336</v>
      </c>
      <c r="B85" s="60">
        <v>4.5999999999999996</v>
      </c>
      <c r="C85" s="60">
        <v>29.97</v>
      </c>
      <c r="D85" s="60">
        <v>50.31</v>
      </c>
      <c r="E85" s="60">
        <v>6.51</v>
      </c>
      <c r="F85" s="60">
        <v>14.13</v>
      </c>
      <c r="G85" s="60">
        <v>45.16</v>
      </c>
      <c r="H85" s="60">
        <v>13.72</v>
      </c>
      <c r="I85" s="60">
        <v>4.0199999999999996</v>
      </c>
      <c r="J85" s="60">
        <v>0.49</v>
      </c>
      <c r="K85" s="60">
        <v>109.03</v>
      </c>
      <c r="L85" s="60">
        <v>30.72</v>
      </c>
      <c r="M85" s="60">
        <v>55.78</v>
      </c>
      <c r="N85" s="60">
        <v>71.599999999999994</v>
      </c>
      <c r="O85" s="60">
        <v>0</v>
      </c>
      <c r="P85" s="60">
        <v>0.56000000000000005</v>
      </c>
      <c r="Q85" s="60">
        <v>9.27</v>
      </c>
      <c r="R85" s="198"/>
      <c r="S85" s="198"/>
      <c r="T85" s="198"/>
      <c r="U85" s="198"/>
    </row>
    <row r="86" spans="1:26" s="12" customFormat="1" x14ac:dyDescent="0.25">
      <c r="A86" s="63">
        <v>45819.8125</v>
      </c>
      <c r="B86" s="60">
        <v>6.02</v>
      </c>
      <c r="C86" s="60">
        <v>28.15</v>
      </c>
      <c r="D86" s="60">
        <v>44.63</v>
      </c>
      <c r="E86" s="60">
        <v>5.8</v>
      </c>
      <c r="F86" s="60">
        <v>9.4700000000000006</v>
      </c>
      <c r="G86" s="60">
        <v>45.16</v>
      </c>
      <c r="H86" s="60">
        <v>13.72</v>
      </c>
      <c r="I86" s="60">
        <v>4.07</v>
      </c>
      <c r="J86" s="60">
        <v>0.37</v>
      </c>
      <c r="K86" s="60">
        <v>111.95</v>
      </c>
      <c r="L86" s="60">
        <v>30.82</v>
      </c>
      <c r="M86" s="60">
        <v>55.83</v>
      </c>
      <c r="N86" s="60">
        <v>71.7</v>
      </c>
      <c r="O86" s="60">
        <v>0</v>
      </c>
      <c r="P86" s="60">
        <v>0.52</v>
      </c>
      <c r="Q86" s="60">
        <v>9.25</v>
      </c>
      <c r="R86" s="198"/>
      <c r="S86" s="198"/>
      <c r="T86" s="198"/>
      <c r="U86" s="198"/>
    </row>
    <row r="87" spans="1:26" s="12" customFormat="1" x14ac:dyDescent="0.25">
      <c r="A87" s="63">
        <v>45819.822916666664</v>
      </c>
      <c r="B87" s="60">
        <v>5.0599999999999996</v>
      </c>
      <c r="C87" s="60">
        <v>27.71</v>
      </c>
      <c r="D87" s="60">
        <v>45.27</v>
      </c>
      <c r="E87" s="60">
        <v>6.05</v>
      </c>
      <c r="F87" s="60">
        <v>10.64</v>
      </c>
      <c r="G87" s="60">
        <v>45.16</v>
      </c>
      <c r="H87" s="60">
        <v>13.72</v>
      </c>
      <c r="I87" s="60">
        <v>4.1100000000000003</v>
      </c>
      <c r="J87" s="60">
        <v>0.03</v>
      </c>
      <c r="K87" s="60">
        <v>219.51</v>
      </c>
      <c r="L87" s="60">
        <v>30.37</v>
      </c>
      <c r="M87" s="60">
        <v>58.39</v>
      </c>
      <c r="N87" s="60">
        <v>72.3</v>
      </c>
      <c r="O87" s="60">
        <v>0</v>
      </c>
      <c r="P87" s="60">
        <v>0.56999999999999995</v>
      </c>
      <c r="Q87" s="60">
        <v>9.2799999999999994</v>
      </c>
      <c r="R87" s="198"/>
      <c r="S87" s="198"/>
      <c r="T87" s="198"/>
      <c r="U87" s="198"/>
    </row>
    <row r="88" spans="1:26" s="12" customFormat="1" x14ac:dyDescent="0.25">
      <c r="A88" s="63">
        <v>45819.833333333336</v>
      </c>
      <c r="B88" s="60">
        <v>6.33</v>
      </c>
      <c r="C88" s="60">
        <v>37.31</v>
      </c>
      <c r="D88" s="60">
        <v>61.69</v>
      </c>
      <c r="E88" s="60">
        <v>6.08</v>
      </c>
      <c r="F88" s="60">
        <v>11.77</v>
      </c>
      <c r="G88" s="60">
        <v>46.19</v>
      </c>
      <c r="H88" s="60">
        <v>14.03</v>
      </c>
      <c r="I88" s="60">
        <v>3.99</v>
      </c>
      <c r="J88" s="60">
        <v>7.0000000000000007E-2</v>
      </c>
      <c r="K88" s="60">
        <v>180.34</v>
      </c>
      <c r="L88" s="60">
        <v>30.06</v>
      </c>
      <c r="M88" s="60">
        <v>59.8</v>
      </c>
      <c r="N88" s="60">
        <v>72.099999999999994</v>
      </c>
      <c r="O88" s="60">
        <v>0</v>
      </c>
      <c r="P88" s="60">
        <v>0.68</v>
      </c>
      <c r="Q88" s="60">
        <v>9.31</v>
      </c>
      <c r="R88" s="198"/>
      <c r="S88" s="198"/>
      <c r="T88" s="198"/>
      <c r="U88" s="198"/>
    </row>
    <row r="89" spans="1:26" s="12" customFormat="1" x14ac:dyDescent="0.25">
      <c r="A89" s="63">
        <v>45819.84375</v>
      </c>
      <c r="B89" s="60">
        <v>5.22</v>
      </c>
      <c r="C89" s="60">
        <v>31.95</v>
      </c>
      <c r="D89" s="60">
        <v>53.13</v>
      </c>
      <c r="E89" s="60">
        <v>6.37</v>
      </c>
      <c r="F89" s="60">
        <v>13.46</v>
      </c>
      <c r="G89" s="60">
        <v>47.37</v>
      </c>
      <c r="H89" s="60">
        <v>14.38</v>
      </c>
      <c r="I89" s="60">
        <v>3.88</v>
      </c>
      <c r="J89" s="60">
        <v>0.13</v>
      </c>
      <c r="K89" s="60">
        <v>106.84</v>
      </c>
      <c r="L89" s="60">
        <v>29.97</v>
      </c>
      <c r="M89" s="60">
        <v>60.59</v>
      </c>
      <c r="N89" s="60">
        <v>71.900000000000006</v>
      </c>
      <c r="O89" s="60">
        <v>0</v>
      </c>
      <c r="P89" s="60">
        <v>0.62</v>
      </c>
      <c r="Q89" s="60">
        <v>9.3000000000000007</v>
      </c>
      <c r="R89" s="198"/>
      <c r="S89" s="198"/>
      <c r="T89" s="198"/>
      <c r="U89" s="198"/>
    </row>
    <row r="90" spans="1:26" s="12" customFormat="1" x14ac:dyDescent="0.25">
      <c r="A90" s="63">
        <v>45819.854166666664</v>
      </c>
      <c r="B90" s="60">
        <v>12.41</v>
      </c>
      <c r="C90" s="60">
        <v>48.34</v>
      </c>
      <c r="D90" s="60">
        <v>73.47</v>
      </c>
      <c r="E90" s="60">
        <v>6.11</v>
      </c>
      <c r="F90" s="60">
        <v>10.37</v>
      </c>
      <c r="G90" s="60">
        <v>47.37</v>
      </c>
      <c r="H90" s="60">
        <v>14.38</v>
      </c>
      <c r="I90" s="60">
        <v>3.95</v>
      </c>
      <c r="J90" s="60">
        <v>0.05</v>
      </c>
      <c r="K90" s="60">
        <v>144.88</v>
      </c>
      <c r="L90" s="60">
        <v>29.75</v>
      </c>
      <c r="M90" s="60">
        <v>61.48</v>
      </c>
      <c r="N90" s="60">
        <v>71.900000000000006</v>
      </c>
      <c r="O90" s="60">
        <v>0</v>
      </c>
      <c r="P90" s="60">
        <v>0.69</v>
      </c>
      <c r="Q90" s="60">
        <v>9.31</v>
      </c>
      <c r="R90" s="198"/>
      <c r="S90" s="198"/>
      <c r="T90" s="198"/>
      <c r="U90" s="198"/>
    </row>
    <row r="91" spans="1:26" s="12" customFormat="1" x14ac:dyDescent="0.25">
      <c r="A91" s="63">
        <v>45819.864583333336</v>
      </c>
      <c r="B91" s="60">
        <v>10.32</v>
      </c>
      <c r="C91" s="60">
        <v>44.92</v>
      </c>
      <c r="D91" s="60">
        <v>70.14</v>
      </c>
      <c r="E91" s="60">
        <v>6.37</v>
      </c>
      <c r="F91" s="60">
        <v>9.48</v>
      </c>
      <c r="G91" s="60">
        <v>47.37</v>
      </c>
      <c r="H91" s="60">
        <v>14.38</v>
      </c>
      <c r="I91" s="60">
        <v>3.86</v>
      </c>
      <c r="J91" s="60">
        <v>0.33</v>
      </c>
      <c r="K91" s="60">
        <v>96.47</v>
      </c>
      <c r="L91" s="60">
        <v>29.92</v>
      </c>
      <c r="M91" s="60">
        <v>60.46</v>
      </c>
      <c r="N91" s="60">
        <v>71.5</v>
      </c>
      <c r="O91" s="60">
        <v>0</v>
      </c>
      <c r="P91" s="60">
        <v>0.74</v>
      </c>
      <c r="Q91" s="60">
        <v>9.35</v>
      </c>
      <c r="R91" s="198"/>
      <c r="S91" s="198"/>
      <c r="T91" s="198"/>
      <c r="U91" s="198"/>
    </row>
    <row r="92" spans="1:26" s="12" customFormat="1" x14ac:dyDescent="0.25">
      <c r="A92" s="63">
        <v>45819.875</v>
      </c>
      <c r="B92" s="60">
        <v>10.63</v>
      </c>
      <c r="C92" s="60">
        <v>44.19</v>
      </c>
      <c r="D92" s="60">
        <v>68.25</v>
      </c>
      <c r="E92" s="60">
        <v>6.2</v>
      </c>
      <c r="F92" s="60">
        <v>10.199999999999999</v>
      </c>
      <c r="G92" s="60">
        <v>49.01</v>
      </c>
      <c r="H92" s="60">
        <v>14.24</v>
      </c>
      <c r="I92" s="60">
        <v>3.96</v>
      </c>
      <c r="J92" s="60">
        <v>0.42</v>
      </c>
      <c r="K92" s="60">
        <v>101.07</v>
      </c>
      <c r="L92" s="60">
        <v>30.13</v>
      </c>
      <c r="M92" s="60">
        <v>59.11</v>
      </c>
      <c r="N92" s="60">
        <v>71.5</v>
      </c>
      <c r="O92" s="60">
        <v>0</v>
      </c>
      <c r="P92" s="60">
        <v>0.73</v>
      </c>
      <c r="Q92" s="60">
        <v>9.3699999999999992</v>
      </c>
      <c r="R92" s="198"/>
      <c r="S92" s="198"/>
      <c r="T92" s="198"/>
      <c r="U92" s="198"/>
    </row>
    <row r="93" spans="1:26" s="12" customFormat="1" x14ac:dyDescent="0.25">
      <c r="A93" s="63">
        <v>45819.885416666664</v>
      </c>
      <c r="B93" s="60">
        <v>11.82</v>
      </c>
      <c r="C93" s="60">
        <v>42.81</v>
      </c>
      <c r="D93" s="60">
        <v>63.8</v>
      </c>
      <c r="E93" s="60">
        <v>6.17</v>
      </c>
      <c r="F93" s="60">
        <v>9.98</v>
      </c>
      <c r="G93" s="60">
        <v>50.89</v>
      </c>
      <c r="H93" s="60">
        <v>14.09</v>
      </c>
      <c r="I93" s="60">
        <v>4</v>
      </c>
      <c r="J93" s="60">
        <v>0.53</v>
      </c>
      <c r="K93" s="60">
        <v>103.35</v>
      </c>
      <c r="L93" s="60">
        <v>30.15</v>
      </c>
      <c r="M93" s="60">
        <v>58.6</v>
      </c>
      <c r="N93" s="60">
        <v>71.599999999999994</v>
      </c>
      <c r="O93" s="60">
        <v>0</v>
      </c>
      <c r="P93" s="60">
        <v>0.69</v>
      </c>
      <c r="Q93" s="60">
        <v>9.39</v>
      </c>
      <c r="R93" s="198"/>
      <c r="S93" s="198"/>
      <c r="T93" s="198"/>
      <c r="U93" s="198"/>
    </row>
    <row r="94" spans="1:26" s="12" customFormat="1" x14ac:dyDescent="0.25">
      <c r="A94" s="63">
        <v>45819.895833333336</v>
      </c>
      <c r="B94" s="60">
        <v>10.23</v>
      </c>
      <c r="C94" s="60">
        <v>34.81</v>
      </c>
      <c r="D94" s="60">
        <v>50.92</v>
      </c>
      <c r="E94" s="60">
        <v>6.1</v>
      </c>
      <c r="F94" s="60">
        <v>9.57</v>
      </c>
      <c r="G94" s="60">
        <v>50.89</v>
      </c>
      <c r="H94" s="60">
        <v>14.09</v>
      </c>
      <c r="I94" s="60">
        <v>4.0999999999999996</v>
      </c>
      <c r="J94" s="60">
        <v>0.9</v>
      </c>
      <c r="K94" s="60">
        <v>105.79</v>
      </c>
      <c r="L94" s="60">
        <v>30.09</v>
      </c>
      <c r="M94" s="60">
        <v>58.49</v>
      </c>
      <c r="N94" s="60">
        <v>71.7</v>
      </c>
      <c r="O94" s="60">
        <v>0</v>
      </c>
      <c r="P94" s="60">
        <v>0.59</v>
      </c>
      <c r="Q94" s="60">
        <v>9.42</v>
      </c>
      <c r="R94" s="198"/>
      <c r="S94" s="198"/>
      <c r="T94" s="198"/>
      <c r="U94" s="198"/>
    </row>
    <row r="95" spans="1:26" s="12" customFormat="1" x14ac:dyDescent="0.25">
      <c r="A95" s="63">
        <v>45819.90625</v>
      </c>
      <c r="B95" s="60">
        <v>8.3699999999999992</v>
      </c>
      <c r="C95" s="60">
        <v>29.21</v>
      </c>
      <c r="D95" s="60">
        <v>43.05</v>
      </c>
      <c r="E95" s="60">
        <v>6.28</v>
      </c>
      <c r="F95" s="60">
        <v>12.39</v>
      </c>
      <c r="G95" s="60">
        <v>50.89</v>
      </c>
      <c r="H95" s="60">
        <v>14.09</v>
      </c>
      <c r="I95" s="60">
        <v>4.0999999999999996</v>
      </c>
      <c r="J95" s="60">
        <v>0.94</v>
      </c>
      <c r="K95" s="60">
        <v>105.76</v>
      </c>
      <c r="L95" s="60">
        <v>30.04</v>
      </c>
      <c r="M95" s="60">
        <v>58.29</v>
      </c>
      <c r="N95" s="60">
        <v>71.900000000000006</v>
      </c>
      <c r="O95" s="60">
        <v>0</v>
      </c>
      <c r="P95" s="60">
        <v>0.54</v>
      </c>
      <c r="Q95" s="60">
        <v>9.4499999999999993</v>
      </c>
      <c r="R95" s="198"/>
      <c r="S95" s="198"/>
      <c r="T95" s="198"/>
      <c r="U95" s="198"/>
    </row>
    <row r="96" spans="1:26" s="12" customFormat="1" x14ac:dyDescent="0.25">
      <c r="A96" s="63">
        <v>45819.916666666664</v>
      </c>
      <c r="B96" s="60">
        <v>9.86</v>
      </c>
      <c r="C96" s="60">
        <v>28.51</v>
      </c>
      <c r="D96" s="60">
        <v>39.43</v>
      </c>
      <c r="E96" s="60">
        <v>6.77</v>
      </c>
      <c r="F96" s="60">
        <v>7.8</v>
      </c>
      <c r="G96" s="60">
        <v>51.79</v>
      </c>
      <c r="H96" s="60">
        <v>12.74</v>
      </c>
      <c r="I96" s="60">
        <v>4.08</v>
      </c>
      <c r="J96" s="60">
        <v>0.9</v>
      </c>
      <c r="K96" s="60">
        <v>102.75</v>
      </c>
      <c r="L96" s="60">
        <v>29.92</v>
      </c>
      <c r="M96" s="60">
        <v>58.7</v>
      </c>
      <c r="N96" s="60">
        <v>72.099999999999994</v>
      </c>
      <c r="O96" s="60">
        <v>0</v>
      </c>
      <c r="P96" s="60">
        <v>0.53</v>
      </c>
      <c r="Q96" s="60">
        <v>9.4499999999999993</v>
      </c>
      <c r="R96" s="198"/>
      <c r="S96" s="198"/>
      <c r="T96" s="198"/>
      <c r="U96" s="198"/>
      <c r="Z96" s="109"/>
    </row>
    <row r="97" spans="1:33" s="12" customFormat="1" x14ac:dyDescent="0.25">
      <c r="A97" s="63">
        <v>45819.927083333336</v>
      </c>
      <c r="B97" s="60">
        <v>9.52</v>
      </c>
      <c r="C97" s="60">
        <v>26.09</v>
      </c>
      <c r="D97" s="60">
        <v>35.340000000000003</v>
      </c>
      <c r="E97" s="60">
        <v>5.78</v>
      </c>
      <c r="F97" s="60">
        <v>6.8</v>
      </c>
      <c r="G97" s="60">
        <v>52.77</v>
      </c>
      <c r="H97" s="60">
        <v>11.19</v>
      </c>
      <c r="I97" s="60">
        <v>3.95</v>
      </c>
      <c r="J97" s="60">
        <v>0.87</v>
      </c>
      <c r="K97" s="60">
        <v>106.2</v>
      </c>
      <c r="L97" s="60">
        <v>29.78</v>
      </c>
      <c r="M97" s="60">
        <v>59.34</v>
      </c>
      <c r="N97" s="60">
        <v>72.2</v>
      </c>
      <c r="O97" s="60">
        <v>0</v>
      </c>
      <c r="P97" s="60">
        <v>0.56000000000000005</v>
      </c>
      <c r="Q97" s="60">
        <v>9.4600000000000009</v>
      </c>
      <c r="R97" s="198"/>
      <c r="S97" s="198"/>
      <c r="T97" s="198"/>
      <c r="U97" s="198"/>
    </row>
    <row r="98" spans="1:33" s="12" customFormat="1" x14ac:dyDescent="0.25">
      <c r="A98" s="63">
        <v>45819.9375</v>
      </c>
      <c r="B98" s="60">
        <v>8.6999999999999993</v>
      </c>
      <c r="C98" s="60">
        <v>27.52</v>
      </c>
      <c r="D98" s="60">
        <v>39.32</v>
      </c>
      <c r="E98" s="60">
        <v>6.24</v>
      </c>
      <c r="F98" s="60">
        <v>7</v>
      </c>
      <c r="G98" s="60">
        <v>52.77</v>
      </c>
      <c r="H98" s="60">
        <v>11.19</v>
      </c>
      <c r="I98" s="60">
        <v>4.01</v>
      </c>
      <c r="J98" s="60">
        <v>0.56000000000000005</v>
      </c>
      <c r="K98" s="60">
        <v>108.72</v>
      </c>
      <c r="L98" s="60">
        <v>29.69</v>
      </c>
      <c r="M98" s="60">
        <v>59.47</v>
      </c>
      <c r="N98" s="60">
        <v>72.2</v>
      </c>
      <c r="O98" s="60">
        <v>0</v>
      </c>
      <c r="P98" s="60">
        <v>0.53</v>
      </c>
      <c r="Q98" s="60">
        <v>9.4700000000000006</v>
      </c>
      <c r="R98" s="198"/>
      <c r="S98" s="198"/>
      <c r="T98" s="198"/>
      <c r="U98" s="198"/>
    </row>
    <row r="99" spans="1:33" s="12" customFormat="1" x14ac:dyDescent="0.25">
      <c r="A99" s="63">
        <v>45819.947916666664</v>
      </c>
      <c r="B99" s="60">
        <v>8.1199999999999992</v>
      </c>
      <c r="C99" s="60">
        <v>28.37</v>
      </c>
      <c r="D99" s="60">
        <v>41.84</v>
      </c>
      <c r="E99" s="60">
        <v>6.01</v>
      </c>
      <c r="F99" s="60">
        <v>8.66</v>
      </c>
      <c r="G99" s="60">
        <v>52.77</v>
      </c>
      <c r="H99" s="60">
        <v>11.19</v>
      </c>
      <c r="I99" s="60">
        <v>4.04</v>
      </c>
      <c r="J99" s="60">
        <v>0.36</v>
      </c>
      <c r="K99" s="60">
        <v>101.46</v>
      </c>
      <c r="L99" s="60">
        <v>29.53</v>
      </c>
      <c r="M99" s="60">
        <v>60.44</v>
      </c>
      <c r="N99" s="60">
        <v>72.3</v>
      </c>
      <c r="O99" s="60">
        <v>0</v>
      </c>
      <c r="P99" s="60">
        <v>0.53</v>
      </c>
      <c r="Q99" s="60">
        <v>9.4600000000000009</v>
      </c>
      <c r="R99" s="198"/>
      <c r="S99" s="198"/>
      <c r="T99" s="198"/>
      <c r="U99" s="198"/>
    </row>
    <row r="100" spans="1:33" s="12" customFormat="1" x14ac:dyDescent="0.25">
      <c r="A100" s="63">
        <v>45819.958333333336</v>
      </c>
      <c r="B100" s="60">
        <v>7.91</v>
      </c>
      <c r="C100" s="60">
        <v>27.54</v>
      </c>
      <c r="D100" s="60">
        <v>40.57</v>
      </c>
      <c r="E100" s="60">
        <v>6</v>
      </c>
      <c r="F100" s="60">
        <v>7.43</v>
      </c>
      <c r="G100" s="60">
        <v>52.94</v>
      </c>
      <c r="H100" s="60">
        <v>10.79</v>
      </c>
      <c r="I100" s="60">
        <v>3.9</v>
      </c>
      <c r="J100" s="60">
        <v>0.15</v>
      </c>
      <c r="K100" s="60">
        <v>147.08000000000001</v>
      </c>
      <c r="L100" s="60">
        <v>29.29</v>
      </c>
      <c r="M100" s="60">
        <v>61.91</v>
      </c>
      <c r="N100" s="60">
        <v>72.3</v>
      </c>
      <c r="O100" s="60">
        <v>0</v>
      </c>
      <c r="P100" s="60">
        <v>0.53</v>
      </c>
      <c r="Q100" s="60">
        <v>9.44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63">
        <v>45819.96875</v>
      </c>
      <c r="B101" s="60">
        <v>6.97</v>
      </c>
      <c r="C101" s="60">
        <v>28.02</v>
      </c>
      <c r="D101" s="60">
        <v>42.94</v>
      </c>
      <c r="E101" s="60">
        <v>5.99</v>
      </c>
      <c r="F101" s="60">
        <v>10.64</v>
      </c>
      <c r="G101" s="60">
        <v>53.13</v>
      </c>
      <c r="H101" s="60">
        <v>10.34</v>
      </c>
      <c r="I101" s="60">
        <v>4.03</v>
      </c>
      <c r="J101" s="60">
        <v>0.14000000000000001</v>
      </c>
      <c r="K101" s="60">
        <v>135.33000000000001</v>
      </c>
      <c r="L101" s="60">
        <v>29.01</v>
      </c>
      <c r="M101" s="60">
        <v>63.47</v>
      </c>
      <c r="N101" s="60">
        <v>72.2</v>
      </c>
      <c r="O101" s="60">
        <v>0</v>
      </c>
      <c r="P101" s="60">
        <v>0.48</v>
      </c>
      <c r="Q101" s="60">
        <v>9.4499999999999993</v>
      </c>
      <c r="R101" s="198"/>
      <c r="S101" s="198"/>
      <c r="T101" s="198"/>
      <c r="U101" s="198"/>
    </row>
    <row r="102" spans="1:33" s="12" customFormat="1" x14ac:dyDescent="0.25">
      <c r="A102" s="63">
        <v>45819.979166666664</v>
      </c>
      <c r="B102" s="60">
        <v>7.03</v>
      </c>
      <c r="C102" s="60">
        <v>24.87</v>
      </c>
      <c r="D102" s="60">
        <v>36.81</v>
      </c>
      <c r="E102" s="60">
        <v>5.8</v>
      </c>
      <c r="F102" s="60">
        <v>8.5399999999999991</v>
      </c>
      <c r="G102" s="60">
        <v>53.13</v>
      </c>
      <c r="H102" s="60">
        <v>10.34</v>
      </c>
      <c r="I102" s="60">
        <v>3.85</v>
      </c>
      <c r="J102" s="60">
        <v>0.12</v>
      </c>
      <c r="K102" s="60">
        <v>107.58</v>
      </c>
      <c r="L102" s="60">
        <v>28.92</v>
      </c>
      <c r="M102" s="60">
        <v>63.38</v>
      </c>
      <c r="N102" s="60">
        <v>72</v>
      </c>
      <c r="O102" s="60">
        <v>0</v>
      </c>
      <c r="P102" s="60">
        <v>0.49</v>
      </c>
      <c r="Q102" s="60">
        <v>9.44</v>
      </c>
      <c r="R102" s="198"/>
      <c r="S102" s="198"/>
      <c r="T102" s="198"/>
      <c r="U102" s="198"/>
    </row>
    <row r="103" spans="1:33" s="12" customFormat="1" x14ac:dyDescent="0.25">
      <c r="A103" s="63">
        <v>45819.989583333336</v>
      </c>
      <c r="B103" s="60">
        <v>6.84</v>
      </c>
      <c r="C103" s="60">
        <v>22.47</v>
      </c>
      <c r="D103" s="60">
        <v>32.51</v>
      </c>
      <c r="E103" s="60">
        <v>5.87</v>
      </c>
      <c r="F103" s="60">
        <v>8.94</v>
      </c>
      <c r="G103" s="60">
        <v>53.13</v>
      </c>
      <c r="H103" s="60">
        <v>10.34</v>
      </c>
      <c r="I103" s="60">
        <v>3.91</v>
      </c>
      <c r="J103" s="60">
        <v>0.27</v>
      </c>
      <c r="K103" s="60">
        <v>101.07</v>
      </c>
      <c r="L103" s="60">
        <v>28.97</v>
      </c>
      <c r="M103" s="60">
        <v>62.64</v>
      </c>
      <c r="N103" s="60">
        <v>71.7</v>
      </c>
      <c r="O103" s="60">
        <v>0</v>
      </c>
      <c r="P103" s="60">
        <v>0.46</v>
      </c>
      <c r="Q103" s="60">
        <v>9.43</v>
      </c>
      <c r="R103" s="198"/>
      <c r="S103" s="198"/>
      <c r="T103" s="198"/>
      <c r="U103" s="198"/>
    </row>
    <row r="104" spans="1:33" s="12" customFormat="1" x14ac:dyDescent="0.25">
      <c r="A104" s="60">
        <v>45820</v>
      </c>
      <c r="B104" s="60">
        <v>7.27</v>
      </c>
      <c r="C104" s="60">
        <v>20.55</v>
      </c>
      <c r="D104" s="60">
        <v>28.17</v>
      </c>
      <c r="E104" s="60">
        <v>4.91</v>
      </c>
      <c r="F104" s="60">
        <v>7.13</v>
      </c>
      <c r="G104" s="60">
        <v>50.99</v>
      </c>
      <c r="H104" s="60">
        <v>12.48</v>
      </c>
      <c r="I104" s="60">
        <v>3.99</v>
      </c>
      <c r="J104" s="60">
        <v>0.38</v>
      </c>
      <c r="K104" s="60">
        <v>96.23</v>
      </c>
      <c r="L104" s="60">
        <v>29.02</v>
      </c>
      <c r="M104" s="60">
        <v>62.1</v>
      </c>
      <c r="N104" s="60">
        <v>71.7</v>
      </c>
      <c r="O104" s="60">
        <v>0</v>
      </c>
      <c r="P104" s="60">
        <v>0.47</v>
      </c>
      <c r="Q104" s="60">
        <v>9.42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3.45</v>
      </c>
      <c r="C106" s="67">
        <f>MIN(C9:C104)</f>
        <v>15.85</v>
      </c>
      <c r="D106" s="67">
        <f t="shared" ref="D106:Q106" si="0">MIN(D9:D104)</f>
        <v>20.6</v>
      </c>
      <c r="E106" s="67">
        <f t="shared" si="0"/>
        <v>4.12</v>
      </c>
      <c r="F106" s="67">
        <f t="shared" si="0"/>
        <v>3.93</v>
      </c>
      <c r="G106" s="67">
        <f t="shared" si="0"/>
        <v>23.25</v>
      </c>
      <c r="H106" s="67">
        <f t="shared" si="0"/>
        <v>8.1199999999999992</v>
      </c>
      <c r="I106" s="67">
        <f t="shared" si="0"/>
        <v>3.76</v>
      </c>
      <c r="J106" s="67">
        <f t="shared" si="0"/>
        <v>0.03</v>
      </c>
      <c r="K106" s="67">
        <f t="shared" si="0"/>
        <v>2.1800000000000002</v>
      </c>
      <c r="L106" s="67">
        <f t="shared" si="0"/>
        <v>22.27</v>
      </c>
      <c r="M106" s="67">
        <f t="shared" si="0"/>
        <v>47.8</v>
      </c>
      <c r="N106" s="67">
        <f t="shared" si="0"/>
        <v>66.599999999999994</v>
      </c>
      <c r="O106" s="67">
        <f t="shared" si="0"/>
        <v>0</v>
      </c>
      <c r="P106" s="67">
        <f t="shared" si="0"/>
        <v>0.28999999999999998</v>
      </c>
      <c r="Q106" s="67">
        <f t="shared" si="0"/>
        <v>9.16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19.649999999999999</v>
      </c>
      <c r="C107" s="66">
        <f t="shared" ref="C107:Q107" si="1">MAX(C9:C104)</f>
        <v>48.34</v>
      </c>
      <c r="D107" s="66">
        <f t="shared" si="1"/>
        <v>73.47</v>
      </c>
      <c r="E107" s="66">
        <f t="shared" si="1"/>
        <v>6.77</v>
      </c>
      <c r="F107" s="66">
        <f t="shared" si="1"/>
        <v>23.45</v>
      </c>
      <c r="G107" s="66">
        <f t="shared" si="1"/>
        <v>61.86</v>
      </c>
      <c r="H107" s="66">
        <f t="shared" si="1"/>
        <v>25.02</v>
      </c>
      <c r="I107" s="66">
        <f t="shared" si="1"/>
        <v>4.24</v>
      </c>
      <c r="J107" s="66">
        <f t="shared" si="1"/>
        <v>1.52</v>
      </c>
      <c r="K107" s="66">
        <f t="shared" si="1"/>
        <v>354.43</v>
      </c>
      <c r="L107" s="66">
        <f t="shared" si="1"/>
        <v>35.06</v>
      </c>
      <c r="M107" s="66">
        <f t="shared" si="1"/>
        <v>105.23</v>
      </c>
      <c r="N107" s="66">
        <f t="shared" si="1"/>
        <v>960.7</v>
      </c>
      <c r="O107" s="66">
        <f t="shared" si="1"/>
        <v>0</v>
      </c>
      <c r="P107" s="66">
        <f t="shared" si="1"/>
        <v>0.74</v>
      </c>
      <c r="Q107" s="66">
        <f t="shared" si="1"/>
        <v>9.6199999999999992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8.8118750000000041</v>
      </c>
      <c r="C108" s="67">
        <f t="shared" ref="C108:Q108" si="2">AVERAGE(C9:C104)</f>
        <v>24.841250000000002</v>
      </c>
      <c r="D108" s="67">
        <f t="shared" si="2"/>
        <v>34.041458333333345</v>
      </c>
      <c r="E108" s="67">
        <f t="shared" si="2"/>
        <v>5.230312500000001</v>
      </c>
      <c r="F108" s="67">
        <f t="shared" si="2"/>
        <v>12.171562500000002</v>
      </c>
      <c r="G108" s="67">
        <f t="shared" si="2"/>
        <v>40.740416666666647</v>
      </c>
      <c r="H108" s="67">
        <f t="shared" si="2"/>
        <v>13.705</v>
      </c>
      <c r="I108" s="67">
        <f t="shared" si="2"/>
        <v>4.006875</v>
      </c>
      <c r="J108" s="67">
        <f t="shared" si="2"/>
        <v>0.44447916666666676</v>
      </c>
      <c r="K108" s="67">
        <f t="shared" si="2"/>
        <v>135.98822916666666</v>
      </c>
      <c r="L108" s="67">
        <f t="shared" si="2"/>
        <v>28.779895833333338</v>
      </c>
      <c r="M108" s="67">
        <f t="shared" si="2"/>
        <v>73.609479166666659</v>
      </c>
      <c r="N108" s="67">
        <f t="shared" si="2"/>
        <v>277.15520833333329</v>
      </c>
      <c r="O108" s="67">
        <f t="shared" si="2"/>
        <v>0</v>
      </c>
      <c r="P108" s="67">
        <f t="shared" si="2"/>
        <v>0.4931250000000002</v>
      </c>
      <c r="Q108" s="67">
        <f t="shared" si="2"/>
        <v>9.3694791666666664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3.5413964871145538</v>
      </c>
      <c r="C109" s="67">
        <f t="shared" ref="C109:Q109" si="3">STDEV(C9:C104)</f>
        <v>6.8309968834023538</v>
      </c>
      <c r="D109" s="67">
        <f t="shared" si="3"/>
        <v>11.127441468745179</v>
      </c>
      <c r="E109" s="67">
        <f t="shared" si="3"/>
        <v>0.70870000055698124</v>
      </c>
      <c r="F109" s="67">
        <f t="shared" si="3"/>
        <v>5.6271855783237301</v>
      </c>
      <c r="G109" s="67">
        <f t="shared" si="3"/>
        <v>11.13573630176546</v>
      </c>
      <c r="H109" s="67">
        <f t="shared" si="3"/>
        <v>4.0708250812464613</v>
      </c>
      <c r="I109" s="67">
        <f t="shared" si="3"/>
        <v>9.2010439911086067E-2</v>
      </c>
      <c r="J109" s="67">
        <f t="shared" si="3"/>
        <v>0.33884282893297019</v>
      </c>
      <c r="K109" s="67">
        <f t="shared" si="3"/>
        <v>84.616782048241248</v>
      </c>
      <c r="L109" s="67">
        <f t="shared" si="3"/>
        <v>3.9431228593300895</v>
      </c>
      <c r="M109" s="67">
        <f t="shared" si="3"/>
        <v>20.761243922259602</v>
      </c>
      <c r="N109" s="67">
        <f t="shared" si="3"/>
        <v>281.58985099451655</v>
      </c>
      <c r="O109" s="67">
        <f t="shared" si="3"/>
        <v>0</v>
      </c>
      <c r="P109" s="67">
        <f t="shared" si="3"/>
        <v>0.11121636096981499</v>
      </c>
      <c r="Q109" s="67">
        <f t="shared" si="3"/>
        <v>0.11756628402884423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97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9" sqref="H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245</v>
      </c>
      <c r="B9" s="64">
        <v>7.89</v>
      </c>
      <c r="C9" s="64">
        <v>18.97</v>
      </c>
      <c r="D9" s="64">
        <v>24.19</v>
      </c>
      <c r="E9" s="64">
        <v>4.8099999999999996</v>
      </c>
      <c r="F9" s="64">
        <v>7.74</v>
      </c>
      <c r="G9" s="64">
        <v>48.65</v>
      </c>
      <c r="H9" s="64">
        <v>14.81</v>
      </c>
      <c r="I9" s="64">
        <v>3.88</v>
      </c>
      <c r="J9" s="64">
        <v>0.39</v>
      </c>
      <c r="K9" s="64">
        <v>167.54</v>
      </c>
      <c r="L9" s="64">
        <v>28.58</v>
      </c>
      <c r="M9" s="64">
        <v>65.89</v>
      </c>
      <c r="N9" s="64">
        <v>72.3</v>
      </c>
      <c r="O9" s="64">
        <v>0</v>
      </c>
      <c r="P9" s="64">
        <v>0.47</v>
      </c>
      <c r="Q9" s="64">
        <v>9.4</v>
      </c>
      <c r="R9" s="198"/>
      <c r="S9" s="198"/>
      <c r="T9" s="198"/>
      <c r="U9" s="198"/>
    </row>
    <row r="10" spans="1:21" s="12" customFormat="1" x14ac:dyDescent="0.25">
      <c r="A10" s="211" t="s">
        <v>246</v>
      </c>
      <c r="B10" s="64">
        <v>6.4</v>
      </c>
      <c r="C10" s="64">
        <v>17</v>
      </c>
      <c r="D10" s="64">
        <v>22.71</v>
      </c>
      <c r="E10" s="64">
        <v>4.99</v>
      </c>
      <c r="F10" s="64">
        <v>10.18</v>
      </c>
      <c r="G10" s="64">
        <v>48.65</v>
      </c>
      <c r="H10" s="64">
        <v>14.81</v>
      </c>
      <c r="I10" s="64">
        <v>4.1100000000000003</v>
      </c>
      <c r="J10" s="64">
        <v>0.36</v>
      </c>
      <c r="K10" s="64">
        <v>167.31</v>
      </c>
      <c r="L10" s="64">
        <v>28.16</v>
      </c>
      <c r="M10" s="64">
        <v>69.680000000000007</v>
      </c>
      <c r="N10" s="64">
        <v>72.2</v>
      </c>
      <c r="O10" s="64">
        <v>0</v>
      </c>
      <c r="P10" s="64">
        <v>0.39</v>
      </c>
      <c r="Q10" s="64">
        <v>9.39</v>
      </c>
      <c r="R10" s="198"/>
      <c r="S10" s="198"/>
      <c r="T10" s="198"/>
      <c r="U10" s="198"/>
    </row>
    <row r="11" spans="1:21" s="12" customFormat="1" x14ac:dyDescent="0.25">
      <c r="A11" s="211" t="s">
        <v>247</v>
      </c>
      <c r="B11" s="64">
        <v>6.04</v>
      </c>
      <c r="C11" s="64">
        <v>16.010000000000002</v>
      </c>
      <c r="D11" s="64">
        <v>21.38</v>
      </c>
      <c r="E11" s="64">
        <v>4.59</v>
      </c>
      <c r="F11" s="64">
        <v>11.18</v>
      </c>
      <c r="G11" s="64">
        <v>48.65</v>
      </c>
      <c r="H11" s="64">
        <v>14.81</v>
      </c>
      <c r="I11" s="64">
        <v>3.94</v>
      </c>
      <c r="J11" s="64">
        <v>0.52</v>
      </c>
      <c r="K11" s="64">
        <v>172.63</v>
      </c>
      <c r="L11" s="64">
        <v>27.91</v>
      </c>
      <c r="M11" s="64">
        <v>72.34</v>
      </c>
      <c r="N11" s="64">
        <v>72</v>
      </c>
      <c r="O11" s="64">
        <v>0</v>
      </c>
      <c r="P11" s="64">
        <v>0.37</v>
      </c>
      <c r="Q11" s="64">
        <v>9.3800000000000008</v>
      </c>
      <c r="R11" s="198"/>
      <c r="S11" s="198"/>
      <c r="T11" s="198"/>
      <c r="U11" s="198"/>
    </row>
    <row r="12" spans="1:21" s="12" customFormat="1" x14ac:dyDescent="0.25">
      <c r="A12" s="211" t="s">
        <v>248</v>
      </c>
      <c r="B12" s="64">
        <v>6.71</v>
      </c>
      <c r="C12" s="64">
        <v>16.649999999999999</v>
      </c>
      <c r="D12" s="64">
        <v>21.57</v>
      </c>
      <c r="E12" s="64">
        <v>4.8499999999999996</v>
      </c>
      <c r="F12" s="64">
        <v>9.8000000000000007</v>
      </c>
      <c r="G12" s="64">
        <v>48.44</v>
      </c>
      <c r="H12" s="64">
        <v>13.35</v>
      </c>
      <c r="I12" s="64">
        <v>4</v>
      </c>
      <c r="J12" s="64">
        <v>0.47</v>
      </c>
      <c r="K12" s="64">
        <v>165.18</v>
      </c>
      <c r="L12" s="64">
        <v>27.7</v>
      </c>
      <c r="M12" s="64">
        <v>74.89</v>
      </c>
      <c r="N12" s="64">
        <v>72</v>
      </c>
      <c r="O12" s="64">
        <v>0</v>
      </c>
      <c r="P12" s="64">
        <v>0.36</v>
      </c>
      <c r="Q12" s="64">
        <v>9.36</v>
      </c>
      <c r="R12" s="198"/>
      <c r="S12" s="198"/>
      <c r="T12" s="198"/>
      <c r="U12" s="198"/>
    </row>
    <row r="13" spans="1:21" s="12" customFormat="1" x14ac:dyDescent="0.25">
      <c r="A13" s="211" t="s">
        <v>249</v>
      </c>
      <c r="B13" s="64">
        <v>6.7</v>
      </c>
      <c r="C13" s="64">
        <v>16.13</v>
      </c>
      <c r="D13" s="64">
        <v>20.6</v>
      </c>
      <c r="E13" s="64">
        <v>4.84</v>
      </c>
      <c r="F13" s="64">
        <v>7.04</v>
      </c>
      <c r="G13" s="64">
        <v>48.2</v>
      </c>
      <c r="H13" s="64">
        <v>11.68</v>
      </c>
      <c r="I13" s="64">
        <v>3.96</v>
      </c>
      <c r="J13" s="64">
        <v>0.53</v>
      </c>
      <c r="K13" s="64">
        <v>148.30000000000001</v>
      </c>
      <c r="L13" s="64">
        <v>27.5</v>
      </c>
      <c r="M13" s="64">
        <v>77.13</v>
      </c>
      <c r="N13" s="64">
        <v>71.900000000000006</v>
      </c>
      <c r="O13" s="64">
        <v>0</v>
      </c>
      <c r="P13" s="64">
        <v>0.34</v>
      </c>
      <c r="Q13" s="64">
        <v>9.36</v>
      </c>
      <c r="R13" s="198"/>
      <c r="S13" s="198"/>
      <c r="T13" s="198"/>
      <c r="U13" s="198"/>
    </row>
    <row r="14" spans="1:21" s="12" customFormat="1" x14ac:dyDescent="0.25">
      <c r="A14" s="211" t="s">
        <v>250</v>
      </c>
      <c r="B14" s="64">
        <v>6.52</v>
      </c>
      <c r="C14" s="64">
        <v>15.84</v>
      </c>
      <c r="D14" s="64">
        <v>20.32</v>
      </c>
      <c r="E14" s="64">
        <v>4.92</v>
      </c>
      <c r="F14" s="64">
        <v>9.76</v>
      </c>
      <c r="G14" s="64">
        <v>48.2</v>
      </c>
      <c r="H14" s="64">
        <v>11.68</v>
      </c>
      <c r="I14" s="64">
        <v>4.17</v>
      </c>
      <c r="J14" s="64">
        <v>0.35</v>
      </c>
      <c r="K14" s="64">
        <v>166.04</v>
      </c>
      <c r="L14" s="64">
        <v>27.32</v>
      </c>
      <c r="M14" s="64">
        <v>79.28</v>
      </c>
      <c r="N14" s="64">
        <v>71.8</v>
      </c>
      <c r="O14" s="64">
        <v>0</v>
      </c>
      <c r="P14" s="64">
        <v>0.32</v>
      </c>
      <c r="Q14" s="64">
        <v>9.36</v>
      </c>
      <c r="R14" s="198"/>
      <c r="S14" s="198"/>
      <c r="T14" s="198"/>
      <c r="U14" s="198"/>
    </row>
    <row r="15" spans="1:21" s="12" customFormat="1" x14ac:dyDescent="0.25">
      <c r="A15" s="211" t="s">
        <v>251</v>
      </c>
      <c r="B15" s="64">
        <v>6.96</v>
      </c>
      <c r="C15" s="64">
        <v>16.16</v>
      </c>
      <c r="D15" s="64">
        <v>20.239999999999998</v>
      </c>
      <c r="E15" s="64">
        <v>4.6100000000000003</v>
      </c>
      <c r="F15" s="64">
        <v>7</v>
      </c>
      <c r="G15" s="64">
        <v>48.2</v>
      </c>
      <c r="H15" s="64">
        <v>11.68</v>
      </c>
      <c r="I15" s="64">
        <v>4.0199999999999996</v>
      </c>
      <c r="J15" s="64">
        <v>0.72</v>
      </c>
      <c r="K15" s="64">
        <v>157.57</v>
      </c>
      <c r="L15" s="64">
        <v>27.25</v>
      </c>
      <c r="M15" s="64">
        <v>78.09</v>
      </c>
      <c r="N15" s="64">
        <v>71.5</v>
      </c>
      <c r="O15" s="64">
        <v>0</v>
      </c>
      <c r="P15" s="64">
        <v>0.38</v>
      </c>
      <c r="Q15" s="64">
        <v>9.3699999999999992</v>
      </c>
      <c r="R15" s="198"/>
      <c r="S15" s="198"/>
      <c r="T15" s="198"/>
      <c r="U15" s="198"/>
    </row>
    <row r="16" spans="1:21" s="12" customFormat="1" x14ac:dyDescent="0.25">
      <c r="A16" s="211" t="s">
        <v>252</v>
      </c>
      <c r="B16" s="64">
        <v>6.96</v>
      </c>
      <c r="C16" s="64">
        <v>15.92</v>
      </c>
      <c r="D16" s="64">
        <v>19.79</v>
      </c>
      <c r="E16" s="64">
        <v>4.67</v>
      </c>
      <c r="F16" s="64">
        <v>9.82</v>
      </c>
      <c r="G16" s="64">
        <v>44.48</v>
      </c>
      <c r="H16" s="64">
        <v>10.24</v>
      </c>
      <c r="I16" s="64">
        <v>3.93</v>
      </c>
      <c r="J16" s="64">
        <v>0.46</v>
      </c>
      <c r="K16" s="64">
        <v>158.4</v>
      </c>
      <c r="L16" s="64">
        <v>27.13</v>
      </c>
      <c r="M16" s="64">
        <v>78.760000000000005</v>
      </c>
      <c r="N16" s="64">
        <v>71.7</v>
      </c>
      <c r="O16" s="64">
        <v>0</v>
      </c>
      <c r="P16" s="64">
        <v>0.31</v>
      </c>
      <c r="Q16" s="64">
        <v>9.36</v>
      </c>
      <c r="R16" s="198"/>
      <c r="S16" s="198"/>
      <c r="T16" s="198"/>
      <c r="U16" s="198"/>
    </row>
    <row r="17" spans="1:21" s="12" customFormat="1" x14ac:dyDescent="0.25">
      <c r="A17" s="211" t="s">
        <v>253</v>
      </c>
      <c r="B17" s="64">
        <v>7.02</v>
      </c>
      <c r="C17" s="64">
        <v>16.11</v>
      </c>
      <c r="D17" s="64">
        <v>20.07</v>
      </c>
      <c r="E17" s="64">
        <v>4.51</v>
      </c>
      <c r="F17" s="64">
        <v>9.1</v>
      </c>
      <c r="G17" s="64">
        <v>40.21</v>
      </c>
      <c r="H17" s="64">
        <v>8.59</v>
      </c>
      <c r="I17" s="64">
        <v>4.01</v>
      </c>
      <c r="J17" s="64">
        <v>0.6</v>
      </c>
      <c r="K17" s="64">
        <v>148.01</v>
      </c>
      <c r="L17" s="64">
        <v>27.02</v>
      </c>
      <c r="M17" s="64">
        <v>78.8</v>
      </c>
      <c r="N17" s="64">
        <v>71.5</v>
      </c>
      <c r="O17" s="64">
        <v>0</v>
      </c>
      <c r="P17" s="64">
        <v>0.34</v>
      </c>
      <c r="Q17" s="64">
        <v>9.3699999999999992</v>
      </c>
      <c r="R17" s="198"/>
      <c r="S17" s="198"/>
      <c r="T17" s="198"/>
      <c r="U17" s="198"/>
    </row>
    <row r="18" spans="1:21" s="12" customFormat="1" x14ac:dyDescent="0.25">
      <c r="A18" s="211" t="s">
        <v>254</v>
      </c>
      <c r="B18" s="64">
        <v>7.65</v>
      </c>
      <c r="C18" s="64">
        <v>16.579999999999998</v>
      </c>
      <c r="D18" s="64">
        <v>20</v>
      </c>
      <c r="E18" s="64">
        <v>4.74</v>
      </c>
      <c r="F18" s="64">
        <v>6.17</v>
      </c>
      <c r="G18" s="64">
        <v>40.21</v>
      </c>
      <c r="H18" s="64">
        <v>8.59</v>
      </c>
      <c r="I18" s="64">
        <v>4.03</v>
      </c>
      <c r="J18" s="64">
        <v>0.37</v>
      </c>
      <c r="K18" s="64">
        <v>160.27000000000001</v>
      </c>
      <c r="L18" s="64">
        <v>26.94</v>
      </c>
      <c r="M18" s="64">
        <v>79.400000000000006</v>
      </c>
      <c r="N18" s="64">
        <v>71.5</v>
      </c>
      <c r="O18" s="64">
        <v>0</v>
      </c>
      <c r="P18" s="64">
        <v>0.36</v>
      </c>
      <c r="Q18" s="64">
        <v>9.3699999999999992</v>
      </c>
      <c r="R18" s="198"/>
      <c r="S18" s="198"/>
      <c r="T18" s="198"/>
      <c r="U18" s="198"/>
    </row>
    <row r="19" spans="1:21" s="12" customFormat="1" x14ac:dyDescent="0.25">
      <c r="A19" s="211" t="s">
        <v>255</v>
      </c>
      <c r="B19" s="64">
        <v>7.53</v>
      </c>
      <c r="C19" s="64">
        <v>17.03</v>
      </c>
      <c r="D19" s="64">
        <v>21.04</v>
      </c>
      <c r="E19" s="64">
        <v>4.66</v>
      </c>
      <c r="F19" s="64">
        <v>7.27</v>
      </c>
      <c r="G19" s="64">
        <v>40.21</v>
      </c>
      <c r="H19" s="64">
        <v>8.59</v>
      </c>
      <c r="I19" s="64">
        <v>3.88</v>
      </c>
      <c r="J19" s="64">
        <v>0.08</v>
      </c>
      <c r="K19" s="64">
        <v>127.61</v>
      </c>
      <c r="L19" s="64">
        <v>26.89</v>
      </c>
      <c r="M19" s="64">
        <v>81.22</v>
      </c>
      <c r="N19" s="64">
        <v>71.900000000000006</v>
      </c>
      <c r="O19" s="64">
        <v>0</v>
      </c>
      <c r="P19" s="64">
        <v>0.31</v>
      </c>
      <c r="Q19" s="64">
        <v>9.3699999999999992</v>
      </c>
      <c r="R19" s="198"/>
      <c r="S19" s="198"/>
      <c r="T19" s="198"/>
      <c r="U19" s="198"/>
    </row>
    <row r="20" spans="1:21" s="12" customFormat="1" x14ac:dyDescent="0.25">
      <c r="A20" s="211" t="s">
        <v>256</v>
      </c>
      <c r="B20" s="64">
        <v>6.78</v>
      </c>
      <c r="C20" s="64">
        <v>15.55</v>
      </c>
      <c r="D20" s="64">
        <v>19.37</v>
      </c>
      <c r="E20" s="64">
        <v>4.75</v>
      </c>
      <c r="F20" s="64">
        <v>7.15</v>
      </c>
      <c r="G20" s="64">
        <v>37.950000000000003</v>
      </c>
      <c r="H20" s="64">
        <v>11.29</v>
      </c>
      <c r="I20" s="64">
        <v>4.16</v>
      </c>
      <c r="J20" s="64">
        <v>0.24</v>
      </c>
      <c r="K20" s="64">
        <v>156.85</v>
      </c>
      <c r="L20" s="64">
        <v>26.78</v>
      </c>
      <c r="M20" s="64">
        <v>80.87</v>
      </c>
      <c r="N20" s="64">
        <v>71.400000000000006</v>
      </c>
      <c r="O20" s="64">
        <v>0</v>
      </c>
      <c r="P20" s="64">
        <v>0.32</v>
      </c>
      <c r="Q20" s="64">
        <v>9.3699999999999992</v>
      </c>
      <c r="R20" s="198"/>
      <c r="S20" s="198"/>
      <c r="T20" s="198"/>
      <c r="U20" s="198"/>
    </row>
    <row r="21" spans="1:21" s="12" customFormat="1" x14ac:dyDescent="0.25">
      <c r="A21" s="211" t="s">
        <v>257</v>
      </c>
      <c r="B21" s="64">
        <v>7.01</v>
      </c>
      <c r="C21" s="64">
        <v>16</v>
      </c>
      <c r="D21" s="64">
        <v>19.86</v>
      </c>
      <c r="E21" s="64">
        <v>4.6100000000000003</v>
      </c>
      <c r="F21" s="64">
        <v>7.56</v>
      </c>
      <c r="G21" s="64">
        <v>35.36</v>
      </c>
      <c r="H21" s="64">
        <v>14.37</v>
      </c>
      <c r="I21" s="64">
        <v>3.92</v>
      </c>
      <c r="J21" s="64">
        <v>7.0000000000000007E-2</v>
      </c>
      <c r="K21" s="64">
        <v>157.59</v>
      </c>
      <c r="L21" s="64">
        <v>26.67</v>
      </c>
      <c r="M21" s="64">
        <v>81.16</v>
      </c>
      <c r="N21" s="64">
        <v>71.5</v>
      </c>
      <c r="O21" s="64">
        <v>0</v>
      </c>
      <c r="P21" s="64">
        <v>0.28999999999999998</v>
      </c>
      <c r="Q21" s="64">
        <v>9.3699999999999992</v>
      </c>
      <c r="R21" s="198"/>
      <c r="S21" s="198"/>
      <c r="T21" s="198"/>
      <c r="U21" s="198"/>
    </row>
    <row r="22" spans="1:21" s="12" customFormat="1" x14ac:dyDescent="0.25">
      <c r="A22" s="211" t="s">
        <v>258</v>
      </c>
      <c r="B22" s="64">
        <v>7.63</v>
      </c>
      <c r="C22" s="64">
        <v>16.3</v>
      </c>
      <c r="D22" s="64">
        <v>19.489999999999998</v>
      </c>
      <c r="E22" s="64">
        <v>4.6399999999999997</v>
      </c>
      <c r="F22" s="64">
        <v>6</v>
      </c>
      <c r="G22" s="64">
        <v>35.36</v>
      </c>
      <c r="H22" s="64">
        <v>14.37</v>
      </c>
      <c r="I22" s="64">
        <v>4.0599999999999996</v>
      </c>
      <c r="J22" s="64">
        <v>0.23</v>
      </c>
      <c r="K22" s="64">
        <v>94.93</v>
      </c>
      <c r="L22" s="64">
        <v>26.76</v>
      </c>
      <c r="M22" s="64">
        <v>80.59</v>
      </c>
      <c r="N22" s="64">
        <v>71.2</v>
      </c>
      <c r="O22" s="64">
        <v>0</v>
      </c>
      <c r="P22" s="64">
        <v>0.34</v>
      </c>
      <c r="Q22" s="64">
        <v>9.36</v>
      </c>
      <c r="R22" s="198"/>
      <c r="S22" s="198"/>
      <c r="T22" s="198"/>
      <c r="U22" s="198"/>
    </row>
    <row r="23" spans="1:21" s="12" customFormat="1" x14ac:dyDescent="0.25">
      <c r="A23" s="211" t="s">
        <v>259</v>
      </c>
      <c r="B23" s="64">
        <v>7.92</v>
      </c>
      <c r="C23" s="64">
        <v>16.57</v>
      </c>
      <c r="D23" s="64">
        <v>19.559999999999999</v>
      </c>
      <c r="E23" s="64">
        <v>4.6900000000000004</v>
      </c>
      <c r="F23" s="64">
        <v>6.36</v>
      </c>
      <c r="G23" s="64">
        <v>35.36</v>
      </c>
      <c r="H23" s="64">
        <v>14.37</v>
      </c>
      <c r="I23" s="64">
        <v>3.86</v>
      </c>
      <c r="J23" s="64">
        <v>0.55000000000000004</v>
      </c>
      <c r="K23" s="64">
        <v>88.97</v>
      </c>
      <c r="L23" s="64">
        <v>26.92</v>
      </c>
      <c r="M23" s="64">
        <v>78.069999999999993</v>
      </c>
      <c r="N23" s="64">
        <v>71.099999999999994</v>
      </c>
      <c r="O23" s="64">
        <v>0</v>
      </c>
      <c r="P23" s="64">
        <v>0.31</v>
      </c>
      <c r="Q23" s="64">
        <v>9.36</v>
      </c>
      <c r="R23" s="198"/>
      <c r="S23" s="198"/>
      <c r="T23" s="198"/>
      <c r="U23" s="198"/>
    </row>
    <row r="24" spans="1:21" s="12" customFormat="1" x14ac:dyDescent="0.25">
      <c r="A24" s="211" t="s">
        <v>260</v>
      </c>
      <c r="B24" s="64">
        <v>8.14</v>
      </c>
      <c r="C24" s="64">
        <v>16.440000000000001</v>
      </c>
      <c r="D24" s="64">
        <v>18.989999999999998</v>
      </c>
      <c r="E24" s="64">
        <v>4.7300000000000004</v>
      </c>
      <c r="F24" s="64">
        <v>5.9</v>
      </c>
      <c r="G24" s="64">
        <v>31.05</v>
      </c>
      <c r="H24" s="64">
        <v>14.54</v>
      </c>
      <c r="I24" s="64">
        <v>3.82</v>
      </c>
      <c r="J24" s="64">
        <v>0.56999999999999995</v>
      </c>
      <c r="K24" s="64">
        <v>103.83</v>
      </c>
      <c r="L24" s="64">
        <v>26.94</v>
      </c>
      <c r="M24" s="64">
        <v>77.400000000000006</v>
      </c>
      <c r="N24" s="64">
        <v>71.099999999999994</v>
      </c>
      <c r="O24" s="64">
        <v>0</v>
      </c>
      <c r="P24" s="64">
        <v>0.32</v>
      </c>
      <c r="Q24" s="64">
        <v>9.35</v>
      </c>
      <c r="R24" s="198"/>
      <c r="S24" s="198"/>
      <c r="T24" s="198"/>
      <c r="U24" s="198"/>
    </row>
    <row r="25" spans="1:21" s="12" customFormat="1" x14ac:dyDescent="0.25">
      <c r="A25" s="211" t="s">
        <v>261</v>
      </c>
      <c r="B25" s="64">
        <v>8.1300000000000008</v>
      </c>
      <c r="C25" s="64">
        <v>17.510000000000002</v>
      </c>
      <c r="D25" s="64">
        <v>21.03</v>
      </c>
      <c r="E25" s="64">
        <v>4.67</v>
      </c>
      <c r="F25" s="64">
        <v>7.58</v>
      </c>
      <c r="G25" s="64">
        <v>26.13</v>
      </c>
      <c r="H25" s="64">
        <v>14.74</v>
      </c>
      <c r="I25" s="64">
        <v>4.13</v>
      </c>
      <c r="J25" s="64">
        <v>0.45</v>
      </c>
      <c r="K25" s="64">
        <v>108.88</v>
      </c>
      <c r="L25" s="64">
        <v>26.83</v>
      </c>
      <c r="M25" s="64">
        <v>79.05</v>
      </c>
      <c r="N25" s="64">
        <v>71.3</v>
      </c>
      <c r="O25" s="64">
        <v>0</v>
      </c>
      <c r="P25" s="64">
        <v>0.26</v>
      </c>
      <c r="Q25" s="64">
        <v>9.34</v>
      </c>
      <c r="R25" s="198"/>
      <c r="S25" s="198"/>
      <c r="T25" s="198"/>
      <c r="U25" s="198"/>
    </row>
    <row r="26" spans="1:21" s="12" customFormat="1" x14ac:dyDescent="0.25">
      <c r="A26" s="211" t="s">
        <v>262</v>
      </c>
      <c r="B26" s="64">
        <v>6.7</v>
      </c>
      <c r="C26" s="64">
        <v>15.44</v>
      </c>
      <c r="D26" s="64">
        <v>19.28</v>
      </c>
      <c r="E26" s="64">
        <v>4.1900000000000004</v>
      </c>
      <c r="F26" s="64">
        <v>7.25</v>
      </c>
      <c r="G26" s="64">
        <v>26.13</v>
      </c>
      <c r="H26" s="64">
        <v>14.74</v>
      </c>
      <c r="I26" s="64">
        <v>3.89</v>
      </c>
      <c r="J26" s="64">
        <v>0.4</v>
      </c>
      <c r="K26" s="64">
        <v>113.89</v>
      </c>
      <c r="L26" s="64">
        <v>26.75</v>
      </c>
      <c r="M26" s="64">
        <v>80.91</v>
      </c>
      <c r="N26" s="64">
        <v>71.5</v>
      </c>
      <c r="O26" s="64">
        <v>0</v>
      </c>
      <c r="P26" s="64">
        <v>0.27</v>
      </c>
      <c r="Q26" s="64">
        <v>9.34</v>
      </c>
      <c r="R26" s="198"/>
      <c r="S26" s="198"/>
      <c r="T26" s="198"/>
      <c r="U26" s="198"/>
    </row>
    <row r="27" spans="1:21" s="12" customFormat="1" x14ac:dyDescent="0.25">
      <c r="A27" s="211" t="s">
        <v>263</v>
      </c>
      <c r="B27" s="64">
        <v>6.44</v>
      </c>
      <c r="C27" s="64">
        <v>14.6</v>
      </c>
      <c r="D27" s="64">
        <v>18.05</v>
      </c>
      <c r="E27" s="64">
        <v>4.68</v>
      </c>
      <c r="F27" s="64">
        <v>9.68</v>
      </c>
      <c r="G27" s="64">
        <v>26.13</v>
      </c>
      <c r="H27" s="64">
        <v>14.74</v>
      </c>
      <c r="I27" s="64">
        <v>4.1500000000000004</v>
      </c>
      <c r="J27" s="64">
        <v>0.56000000000000005</v>
      </c>
      <c r="K27" s="64">
        <v>112.87</v>
      </c>
      <c r="L27" s="64">
        <v>26.66</v>
      </c>
      <c r="M27" s="64">
        <v>79.959999999999994</v>
      </c>
      <c r="N27" s="64">
        <v>71.3</v>
      </c>
      <c r="O27" s="64">
        <v>0</v>
      </c>
      <c r="P27" s="64">
        <v>0.23</v>
      </c>
      <c r="Q27" s="64">
        <v>9.33</v>
      </c>
      <c r="R27" s="198"/>
      <c r="S27" s="198"/>
      <c r="T27" s="198"/>
      <c r="U27" s="198"/>
    </row>
    <row r="28" spans="1:21" s="12" customFormat="1" x14ac:dyDescent="0.25">
      <c r="A28" s="211" t="s">
        <v>264</v>
      </c>
      <c r="B28" s="64">
        <v>8.7100000000000009</v>
      </c>
      <c r="C28" s="64">
        <v>18.600000000000001</v>
      </c>
      <c r="D28" s="64">
        <v>22.23</v>
      </c>
      <c r="E28" s="64">
        <v>4.6500000000000004</v>
      </c>
      <c r="F28" s="64">
        <v>10.41</v>
      </c>
      <c r="G28" s="64">
        <v>26.2</v>
      </c>
      <c r="H28" s="64">
        <v>13.69</v>
      </c>
      <c r="I28" s="64">
        <v>4.0199999999999996</v>
      </c>
      <c r="J28" s="64">
        <v>0.24</v>
      </c>
      <c r="K28" s="64">
        <v>108.22</v>
      </c>
      <c r="L28" s="64">
        <v>26.38</v>
      </c>
      <c r="M28" s="64">
        <v>81.040000000000006</v>
      </c>
      <c r="N28" s="64">
        <v>71.599999999999994</v>
      </c>
      <c r="O28" s="64">
        <v>0</v>
      </c>
      <c r="P28" s="64">
        <v>0.23</v>
      </c>
      <c r="Q28" s="64">
        <v>9.32</v>
      </c>
      <c r="R28" s="198"/>
      <c r="S28" s="198"/>
      <c r="T28" s="198"/>
      <c r="U28" s="198"/>
    </row>
    <row r="29" spans="1:21" s="12" customFormat="1" x14ac:dyDescent="0.25">
      <c r="A29" s="211" t="s">
        <v>265</v>
      </c>
      <c r="B29" s="64">
        <v>6.18</v>
      </c>
      <c r="C29" s="64">
        <v>14.98</v>
      </c>
      <c r="D29" s="64">
        <v>19.18</v>
      </c>
      <c r="E29" s="64">
        <v>4.83</v>
      </c>
      <c r="F29" s="64">
        <v>10.58</v>
      </c>
      <c r="G29" s="64">
        <v>26.27</v>
      </c>
      <c r="H29" s="64">
        <v>12.48</v>
      </c>
      <c r="I29" s="64">
        <v>3.91</v>
      </c>
      <c r="J29" s="64">
        <v>0.51</v>
      </c>
      <c r="K29" s="64">
        <v>111.53</v>
      </c>
      <c r="L29" s="64">
        <v>26.23</v>
      </c>
      <c r="M29" s="64">
        <v>80.569999999999993</v>
      </c>
      <c r="N29" s="64">
        <v>73.8</v>
      </c>
      <c r="O29" s="64">
        <v>0</v>
      </c>
      <c r="P29" s="64">
        <v>0.2</v>
      </c>
      <c r="Q29" s="64">
        <v>9.32</v>
      </c>
      <c r="R29" s="198"/>
      <c r="S29" s="198"/>
      <c r="T29" s="198"/>
      <c r="U29" s="198"/>
    </row>
    <row r="30" spans="1:21" s="12" customFormat="1" x14ac:dyDescent="0.25">
      <c r="A30" s="211" t="s">
        <v>266</v>
      </c>
      <c r="B30" s="64">
        <v>5.35</v>
      </c>
      <c r="C30" s="64">
        <v>14.52</v>
      </c>
      <c r="D30" s="64">
        <v>19.57</v>
      </c>
      <c r="E30" s="64">
        <v>4.46</v>
      </c>
      <c r="F30" s="64">
        <v>8.86</v>
      </c>
      <c r="G30" s="64">
        <v>26.27</v>
      </c>
      <c r="H30" s="64">
        <v>12.48</v>
      </c>
      <c r="I30" s="64">
        <v>4.12</v>
      </c>
      <c r="J30" s="64">
        <v>0.17</v>
      </c>
      <c r="K30" s="64">
        <v>110.42</v>
      </c>
      <c r="L30" s="64">
        <v>26.13</v>
      </c>
      <c r="M30" s="64">
        <v>80.69</v>
      </c>
      <c r="N30" s="64">
        <v>81</v>
      </c>
      <c r="O30" s="64">
        <v>0</v>
      </c>
      <c r="P30" s="64">
        <v>0.2</v>
      </c>
      <c r="Q30" s="64">
        <v>9.33</v>
      </c>
      <c r="R30" s="198"/>
      <c r="S30" s="198"/>
      <c r="T30" s="198"/>
      <c r="U30" s="198"/>
    </row>
    <row r="31" spans="1:21" s="12" customFormat="1" x14ac:dyDescent="0.25">
      <c r="A31" s="211" t="s">
        <v>267</v>
      </c>
      <c r="B31" s="64">
        <v>9.48</v>
      </c>
      <c r="C31" s="64">
        <v>22.04</v>
      </c>
      <c r="D31" s="64">
        <v>27.63</v>
      </c>
      <c r="E31" s="64">
        <v>4.57</v>
      </c>
      <c r="F31" s="64">
        <v>7.89</v>
      </c>
      <c r="G31" s="64">
        <v>26.27</v>
      </c>
      <c r="H31" s="64">
        <v>12.48</v>
      </c>
      <c r="I31" s="64">
        <v>3.91</v>
      </c>
      <c r="J31" s="64">
        <v>0.18</v>
      </c>
      <c r="K31" s="64">
        <v>111.19</v>
      </c>
      <c r="L31" s="64">
        <v>26.13</v>
      </c>
      <c r="M31" s="64">
        <v>81.2</v>
      </c>
      <c r="N31" s="64">
        <v>97.3</v>
      </c>
      <c r="O31" s="64">
        <v>0</v>
      </c>
      <c r="P31" s="64">
        <v>0.28000000000000003</v>
      </c>
      <c r="Q31" s="64">
        <v>9.34</v>
      </c>
      <c r="R31" s="198"/>
      <c r="S31" s="198"/>
      <c r="T31" s="198"/>
      <c r="U31" s="198"/>
    </row>
    <row r="32" spans="1:21" s="12" customFormat="1" x14ac:dyDescent="0.25">
      <c r="A32" s="211" t="s">
        <v>268</v>
      </c>
      <c r="B32" s="64">
        <v>7.1</v>
      </c>
      <c r="C32" s="64">
        <v>18.399999999999999</v>
      </c>
      <c r="D32" s="64">
        <v>24.33</v>
      </c>
      <c r="E32" s="64">
        <v>4.63</v>
      </c>
      <c r="F32" s="64">
        <v>10.32</v>
      </c>
      <c r="G32" s="64">
        <v>25.3</v>
      </c>
      <c r="H32" s="64">
        <v>6.66</v>
      </c>
      <c r="I32" s="64">
        <v>3.81</v>
      </c>
      <c r="J32" s="64">
        <v>0.44</v>
      </c>
      <c r="K32" s="64">
        <v>109.7</v>
      </c>
      <c r="L32" s="64">
        <v>26.34</v>
      </c>
      <c r="M32" s="64">
        <v>80.59</v>
      </c>
      <c r="N32" s="64">
        <v>130.1</v>
      </c>
      <c r="O32" s="64">
        <v>0</v>
      </c>
      <c r="P32" s="64">
        <v>0.22</v>
      </c>
      <c r="Q32" s="64">
        <v>9.36</v>
      </c>
      <c r="R32" s="198"/>
      <c r="S32" s="198"/>
      <c r="T32" s="198"/>
      <c r="U32" s="198"/>
    </row>
    <row r="33" spans="1:21" s="12" customFormat="1" x14ac:dyDescent="0.25">
      <c r="A33" s="211" t="s">
        <v>269</v>
      </c>
      <c r="B33" s="64">
        <v>17.399999999999999</v>
      </c>
      <c r="C33" s="64">
        <v>29.64</v>
      </c>
      <c r="D33" s="64">
        <v>30.03</v>
      </c>
      <c r="E33" s="64">
        <v>4.75</v>
      </c>
      <c r="F33" s="64">
        <v>8.77</v>
      </c>
      <c r="G33" s="64">
        <v>24.19</v>
      </c>
      <c r="H33" s="64">
        <v>0</v>
      </c>
      <c r="I33" s="64">
        <v>3.86</v>
      </c>
      <c r="J33" s="64">
        <v>0.23</v>
      </c>
      <c r="K33" s="64">
        <v>94</v>
      </c>
      <c r="L33" s="64">
        <v>26.65</v>
      </c>
      <c r="M33" s="64">
        <v>79.34</v>
      </c>
      <c r="N33" s="64">
        <v>153.6</v>
      </c>
      <c r="O33" s="64">
        <v>0</v>
      </c>
      <c r="P33" s="64">
        <v>0.32</v>
      </c>
      <c r="Q33" s="64">
        <v>9.3699999999999992</v>
      </c>
      <c r="R33" s="198"/>
      <c r="S33" s="198"/>
      <c r="T33" s="198"/>
      <c r="U33" s="198"/>
    </row>
    <row r="34" spans="1:21" s="12" customFormat="1" x14ac:dyDescent="0.25">
      <c r="A34" s="211" t="s">
        <v>270</v>
      </c>
      <c r="B34" s="64">
        <v>10.06</v>
      </c>
      <c r="C34" s="64">
        <v>20.61</v>
      </c>
      <c r="D34" s="64">
        <v>24.01</v>
      </c>
      <c r="E34" s="64">
        <v>4.91</v>
      </c>
      <c r="F34" s="64">
        <v>7.84</v>
      </c>
      <c r="G34" s="64">
        <v>24.19</v>
      </c>
      <c r="H34" s="64">
        <v>0</v>
      </c>
      <c r="I34" s="64">
        <v>4.1100000000000003</v>
      </c>
      <c r="J34" s="64">
        <v>0.56999999999999995</v>
      </c>
      <c r="K34" s="64">
        <v>114.08</v>
      </c>
      <c r="L34" s="64">
        <v>26.71</v>
      </c>
      <c r="M34" s="64">
        <v>78.88</v>
      </c>
      <c r="N34" s="64">
        <v>187.3</v>
      </c>
      <c r="O34" s="64">
        <v>0</v>
      </c>
      <c r="P34" s="64">
        <v>0.27</v>
      </c>
      <c r="Q34" s="64">
        <v>9.39</v>
      </c>
      <c r="R34" s="198"/>
      <c r="S34" s="198"/>
      <c r="T34" s="198"/>
      <c r="U34" s="198"/>
    </row>
    <row r="35" spans="1:21" s="12" customFormat="1" x14ac:dyDescent="0.25">
      <c r="A35" s="211" t="s">
        <v>271</v>
      </c>
      <c r="B35" s="64">
        <v>12.59</v>
      </c>
      <c r="C35" s="64">
        <v>24.22</v>
      </c>
      <c r="D35" s="64">
        <v>27.04</v>
      </c>
      <c r="E35" s="64">
        <v>5.14</v>
      </c>
      <c r="F35" s="64">
        <v>5.89</v>
      </c>
      <c r="G35" s="64">
        <v>24.19</v>
      </c>
      <c r="H35" s="64">
        <v>0</v>
      </c>
      <c r="I35" s="64">
        <v>4.0199999999999996</v>
      </c>
      <c r="J35" s="64">
        <v>0.73</v>
      </c>
      <c r="K35" s="64">
        <v>112.21</v>
      </c>
      <c r="L35" s="64">
        <v>27.29</v>
      </c>
      <c r="M35" s="64">
        <v>76.11</v>
      </c>
      <c r="N35" s="64">
        <v>283.39999999999998</v>
      </c>
      <c r="O35" s="64">
        <v>0</v>
      </c>
      <c r="P35" s="64">
        <v>0.3</v>
      </c>
      <c r="Q35" s="64">
        <v>9.4</v>
      </c>
      <c r="R35" s="198"/>
      <c r="S35" s="198"/>
      <c r="T35" s="198"/>
      <c r="U35" s="198"/>
    </row>
    <row r="36" spans="1:21" s="12" customFormat="1" x14ac:dyDescent="0.25">
      <c r="A36" s="211" t="s">
        <v>272</v>
      </c>
      <c r="B36" s="64">
        <v>11.39</v>
      </c>
      <c r="C36" s="64">
        <v>20.32</v>
      </c>
      <c r="D36" s="64">
        <v>21.41</v>
      </c>
      <c r="E36" s="64">
        <v>5.03</v>
      </c>
      <c r="F36" s="64">
        <v>4.4400000000000004</v>
      </c>
      <c r="G36" s="64">
        <v>25.35</v>
      </c>
      <c r="H36" s="64">
        <v>65.540000000000006</v>
      </c>
      <c r="I36" s="64">
        <v>4.01</v>
      </c>
      <c r="J36" s="64">
        <v>0.76</v>
      </c>
      <c r="K36" s="64">
        <v>112.67</v>
      </c>
      <c r="L36" s="64">
        <v>27.66</v>
      </c>
      <c r="M36" s="64">
        <v>74.19</v>
      </c>
      <c r="N36" s="64">
        <v>320.2</v>
      </c>
      <c r="O36" s="64">
        <v>0</v>
      </c>
      <c r="P36" s="64">
        <v>0.3</v>
      </c>
      <c r="Q36" s="64">
        <v>9.41</v>
      </c>
      <c r="R36" s="198"/>
      <c r="S36" s="198"/>
      <c r="T36" s="198"/>
      <c r="U36" s="198"/>
    </row>
    <row r="37" spans="1:21" s="12" customFormat="1" x14ac:dyDescent="0.25">
      <c r="A37" s="211" t="s">
        <v>273</v>
      </c>
      <c r="B37" s="64">
        <v>12.08</v>
      </c>
      <c r="C37" s="64">
        <v>20.92</v>
      </c>
      <c r="D37" s="64">
        <v>21.51</v>
      </c>
      <c r="E37" s="64">
        <v>4.68</v>
      </c>
      <c r="F37" s="64">
        <v>4.6399999999999997</v>
      </c>
      <c r="G37" s="64">
        <v>26.66</v>
      </c>
      <c r="H37" s="64">
        <v>140.44</v>
      </c>
      <c r="I37" s="64">
        <v>4.05</v>
      </c>
      <c r="J37" s="64">
        <v>1.1200000000000001</v>
      </c>
      <c r="K37" s="64">
        <v>112.81</v>
      </c>
      <c r="L37" s="64">
        <v>27.91</v>
      </c>
      <c r="M37" s="64">
        <v>73.790000000000006</v>
      </c>
      <c r="N37" s="64">
        <v>368.1</v>
      </c>
      <c r="O37" s="64">
        <v>0</v>
      </c>
      <c r="P37" s="64">
        <v>0.26</v>
      </c>
      <c r="Q37" s="64">
        <v>9.42</v>
      </c>
      <c r="R37" s="198"/>
      <c r="S37" s="198"/>
      <c r="T37" s="198"/>
      <c r="U37" s="198"/>
    </row>
    <row r="38" spans="1:21" s="12" customFormat="1" x14ac:dyDescent="0.25">
      <c r="A38" s="211" t="s">
        <v>274</v>
      </c>
      <c r="B38" s="64">
        <v>12</v>
      </c>
      <c r="C38" s="64">
        <v>20.64</v>
      </c>
      <c r="D38" s="64">
        <v>21.08</v>
      </c>
      <c r="E38" s="64">
        <v>4.92</v>
      </c>
      <c r="F38" s="64">
        <v>6.27</v>
      </c>
      <c r="G38" s="64">
        <v>26.66</v>
      </c>
      <c r="H38" s="64">
        <v>140.44</v>
      </c>
      <c r="I38" s="64">
        <v>3.95</v>
      </c>
      <c r="J38" s="64">
        <v>0.44</v>
      </c>
      <c r="K38" s="64">
        <v>111.71</v>
      </c>
      <c r="L38" s="64">
        <v>28.51</v>
      </c>
      <c r="M38" s="64">
        <v>71.23</v>
      </c>
      <c r="N38" s="64">
        <v>391.7</v>
      </c>
      <c r="O38" s="64">
        <v>0</v>
      </c>
      <c r="P38" s="64">
        <v>0.28999999999999998</v>
      </c>
      <c r="Q38" s="64">
        <v>9.43</v>
      </c>
      <c r="R38" s="198"/>
      <c r="S38" s="198"/>
      <c r="T38" s="198"/>
      <c r="U38" s="198"/>
    </row>
    <row r="39" spans="1:21" s="12" customFormat="1" x14ac:dyDescent="0.25">
      <c r="A39" s="211" t="s">
        <v>275</v>
      </c>
      <c r="B39" s="64">
        <v>13.8</v>
      </c>
      <c r="C39" s="64">
        <v>25.71</v>
      </c>
      <c r="D39" s="64">
        <v>28.02</v>
      </c>
      <c r="E39" s="64">
        <v>4.92</v>
      </c>
      <c r="F39" s="64">
        <v>7</v>
      </c>
      <c r="G39" s="64">
        <v>26.66</v>
      </c>
      <c r="H39" s="64">
        <v>140.44</v>
      </c>
      <c r="I39" s="64">
        <v>3.95</v>
      </c>
      <c r="J39" s="64">
        <v>0.12</v>
      </c>
      <c r="K39" s="64">
        <v>93.55</v>
      </c>
      <c r="L39" s="64">
        <v>29.23</v>
      </c>
      <c r="M39" s="64">
        <v>69.05</v>
      </c>
      <c r="N39" s="64">
        <v>388.7</v>
      </c>
      <c r="O39" s="64">
        <v>0</v>
      </c>
      <c r="P39" s="64">
        <v>0.33</v>
      </c>
      <c r="Q39" s="64">
        <v>9.43</v>
      </c>
      <c r="R39" s="198"/>
      <c r="S39" s="198"/>
      <c r="T39" s="198"/>
      <c r="U39" s="198"/>
    </row>
    <row r="40" spans="1:21" s="12" customFormat="1" x14ac:dyDescent="0.25">
      <c r="A40" s="211" t="s">
        <v>276</v>
      </c>
      <c r="B40" s="64">
        <v>12.74</v>
      </c>
      <c r="C40" s="64">
        <v>21.96</v>
      </c>
      <c r="D40" s="64">
        <v>22.48</v>
      </c>
      <c r="E40" s="64">
        <v>5.75</v>
      </c>
      <c r="F40" s="64">
        <v>7.56</v>
      </c>
      <c r="G40" s="64">
        <v>27.75</v>
      </c>
      <c r="H40" s="64">
        <v>81.84</v>
      </c>
      <c r="I40" s="64">
        <v>4.08</v>
      </c>
      <c r="J40" s="64">
        <v>0.2</v>
      </c>
      <c r="K40" s="64">
        <v>71.92</v>
      </c>
      <c r="L40" s="64">
        <v>29.67</v>
      </c>
      <c r="M40" s="64">
        <v>67.650000000000006</v>
      </c>
      <c r="N40" s="64">
        <v>529.79999999999995</v>
      </c>
      <c r="O40" s="64">
        <v>0</v>
      </c>
      <c r="P40" s="64">
        <v>0.3</v>
      </c>
      <c r="Q40" s="64">
        <v>9.43</v>
      </c>
      <c r="R40" s="198"/>
      <c r="S40" s="198"/>
      <c r="T40" s="198"/>
      <c r="U40" s="198"/>
    </row>
    <row r="41" spans="1:21" s="12" customFormat="1" x14ac:dyDescent="0.25">
      <c r="A41" s="211" t="s">
        <v>277</v>
      </c>
      <c r="B41" s="64">
        <v>12.1</v>
      </c>
      <c r="C41" s="64">
        <v>23.12</v>
      </c>
      <c r="D41" s="64">
        <v>25.68</v>
      </c>
      <c r="E41" s="64">
        <v>5.56</v>
      </c>
      <c r="F41" s="64">
        <v>8.35</v>
      </c>
      <c r="G41" s="64">
        <v>28.94</v>
      </c>
      <c r="H41" s="64">
        <v>17.79</v>
      </c>
      <c r="I41" s="64">
        <v>3.93</v>
      </c>
      <c r="J41" s="64">
        <v>0.49</v>
      </c>
      <c r="K41" s="64">
        <v>104.45</v>
      </c>
      <c r="L41" s="64">
        <v>30.54</v>
      </c>
      <c r="M41" s="64">
        <v>65.180000000000007</v>
      </c>
      <c r="N41" s="64">
        <v>585.79999999999995</v>
      </c>
      <c r="O41" s="64">
        <v>0</v>
      </c>
      <c r="P41" s="64">
        <v>0.3</v>
      </c>
      <c r="Q41" s="64">
        <v>9.44</v>
      </c>
      <c r="R41" s="198"/>
      <c r="S41" s="198"/>
      <c r="T41" s="198"/>
      <c r="U41" s="198"/>
    </row>
    <row r="42" spans="1:21" s="12" customFormat="1" x14ac:dyDescent="0.25">
      <c r="A42" s="211" t="s">
        <v>278</v>
      </c>
      <c r="B42" s="64">
        <v>11.13</v>
      </c>
      <c r="C42" s="64">
        <v>22.38</v>
      </c>
      <c r="D42" s="64">
        <v>25.75</v>
      </c>
      <c r="E42" s="64">
        <v>5.78</v>
      </c>
      <c r="F42" s="64">
        <v>10.199999999999999</v>
      </c>
      <c r="G42" s="64">
        <v>28.94</v>
      </c>
      <c r="H42" s="64">
        <v>17.79</v>
      </c>
      <c r="I42" s="64">
        <v>4.16</v>
      </c>
      <c r="J42" s="64">
        <v>0.32</v>
      </c>
      <c r="K42" s="64">
        <v>94.29</v>
      </c>
      <c r="L42" s="64">
        <v>30.9</v>
      </c>
      <c r="M42" s="64">
        <v>64.209999999999994</v>
      </c>
      <c r="N42" s="64">
        <v>639.5</v>
      </c>
      <c r="O42" s="64">
        <v>0</v>
      </c>
      <c r="P42" s="64">
        <v>0.31</v>
      </c>
      <c r="Q42" s="64">
        <v>9.44</v>
      </c>
      <c r="R42" s="198"/>
      <c r="S42" s="198"/>
      <c r="T42" s="198"/>
      <c r="U42" s="198"/>
    </row>
    <row r="43" spans="1:21" s="12" customFormat="1" x14ac:dyDescent="0.25">
      <c r="A43" s="211" t="s">
        <v>279</v>
      </c>
      <c r="B43" s="64">
        <v>11.25</v>
      </c>
      <c r="C43" s="64">
        <v>21.3</v>
      </c>
      <c r="D43" s="64">
        <v>23.5</v>
      </c>
      <c r="E43" s="64">
        <v>5.69</v>
      </c>
      <c r="F43" s="64">
        <v>8.25</v>
      </c>
      <c r="G43" s="64">
        <v>28.94</v>
      </c>
      <c r="H43" s="64">
        <v>17.79</v>
      </c>
      <c r="I43" s="64">
        <v>3.95</v>
      </c>
      <c r="J43" s="64">
        <v>0.52</v>
      </c>
      <c r="K43" s="64">
        <v>110.76</v>
      </c>
      <c r="L43" s="64">
        <v>31.44</v>
      </c>
      <c r="M43" s="64">
        <v>60.83</v>
      </c>
      <c r="N43" s="64">
        <v>702.6</v>
      </c>
      <c r="O43" s="64">
        <v>0</v>
      </c>
      <c r="P43" s="64">
        <v>0.32</v>
      </c>
      <c r="Q43" s="64">
        <v>9.42</v>
      </c>
      <c r="R43" s="198"/>
      <c r="S43" s="198"/>
      <c r="T43" s="198"/>
      <c r="U43" s="198"/>
    </row>
    <row r="44" spans="1:21" s="12" customFormat="1" x14ac:dyDescent="0.25">
      <c r="A44" s="211" t="s">
        <v>280</v>
      </c>
      <c r="B44" s="64">
        <v>12.73</v>
      </c>
      <c r="C44" s="64">
        <v>25.45</v>
      </c>
      <c r="D44" s="64">
        <v>29.16</v>
      </c>
      <c r="E44" s="64">
        <v>5.71</v>
      </c>
      <c r="F44" s="64">
        <v>9.69</v>
      </c>
      <c r="G44" s="64">
        <v>29.41</v>
      </c>
      <c r="H44" s="64">
        <v>17.22</v>
      </c>
      <c r="I44" s="64">
        <v>4.16</v>
      </c>
      <c r="J44" s="64">
        <v>0.59</v>
      </c>
      <c r="K44" s="64">
        <v>111.25</v>
      </c>
      <c r="L44" s="64">
        <v>31.29</v>
      </c>
      <c r="M44" s="64">
        <v>61.29</v>
      </c>
      <c r="N44" s="64">
        <v>740.3</v>
      </c>
      <c r="O44" s="64">
        <v>0</v>
      </c>
      <c r="P44" s="64">
        <v>0.34</v>
      </c>
      <c r="Q44" s="64">
        <v>9.43</v>
      </c>
      <c r="R44" s="198"/>
      <c r="S44" s="198"/>
      <c r="T44" s="198"/>
      <c r="U44" s="198"/>
    </row>
    <row r="45" spans="1:21" s="12" customFormat="1" x14ac:dyDescent="0.25">
      <c r="A45" s="211" t="s">
        <v>281</v>
      </c>
      <c r="B45" s="64">
        <v>9.7100000000000009</v>
      </c>
      <c r="C45" s="64">
        <v>20.52</v>
      </c>
      <c r="D45" s="64">
        <v>24.37</v>
      </c>
      <c r="E45" s="64">
        <v>5.77</v>
      </c>
      <c r="F45" s="64">
        <v>7.87</v>
      </c>
      <c r="G45" s="64">
        <v>29.94</v>
      </c>
      <c r="H45" s="64">
        <v>16.57</v>
      </c>
      <c r="I45" s="64">
        <v>4.0599999999999996</v>
      </c>
      <c r="J45" s="64">
        <v>0.6</v>
      </c>
      <c r="K45" s="64">
        <v>120.35</v>
      </c>
      <c r="L45" s="64">
        <v>31.71</v>
      </c>
      <c r="M45" s="64">
        <v>59.54</v>
      </c>
      <c r="N45" s="64">
        <v>795.6</v>
      </c>
      <c r="O45" s="64">
        <v>0</v>
      </c>
      <c r="P45" s="64">
        <v>0.3</v>
      </c>
      <c r="Q45" s="64">
        <v>9.41</v>
      </c>
      <c r="R45" s="198"/>
      <c r="S45" s="198"/>
      <c r="T45" s="198"/>
      <c r="U45" s="198"/>
    </row>
    <row r="46" spans="1:21" s="12" customFormat="1" x14ac:dyDescent="0.25">
      <c r="A46" s="211" t="s">
        <v>282</v>
      </c>
      <c r="B46" s="64">
        <v>11.79</v>
      </c>
      <c r="C46" s="64">
        <v>23.96</v>
      </c>
      <c r="D46" s="64">
        <v>27.76</v>
      </c>
      <c r="E46" s="64">
        <v>5.96</v>
      </c>
      <c r="F46" s="64">
        <v>13.8</v>
      </c>
      <c r="G46" s="64">
        <v>29.94</v>
      </c>
      <c r="H46" s="64">
        <v>16.57</v>
      </c>
      <c r="I46" s="64">
        <v>4</v>
      </c>
      <c r="J46" s="64">
        <v>0.46</v>
      </c>
      <c r="K46" s="64">
        <v>98.89</v>
      </c>
      <c r="L46" s="64">
        <v>32.46</v>
      </c>
      <c r="M46" s="64">
        <v>56.62</v>
      </c>
      <c r="N46" s="64">
        <v>828.6</v>
      </c>
      <c r="O46" s="64">
        <v>0</v>
      </c>
      <c r="P46" s="64">
        <v>0.34</v>
      </c>
      <c r="Q46" s="64">
        <v>9.41</v>
      </c>
      <c r="R46" s="198"/>
      <c r="S46" s="198"/>
      <c r="T46" s="198"/>
      <c r="U46" s="198"/>
    </row>
    <row r="47" spans="1:21" s="12" customFormat="1" x14ac:dyDescent="0.25">
      <c r="A47" s="211" t="s">
        <v>283</v>
      </c>
      <c r="B47" s="64">
        <v>8.3699999999999992</v>
      </c>
      <c r="C47" s="64">
        <v>18.88</v>
      </c>
      <c r="D47" s="64">
        <v>23.3</v>
      </c>
      <c r="E47" s="64">
        <v>5.69</v>
      </c>
      <c r="F47" s="64">
        <v>13.67</v>
      </c>
      <c r="G47" s="64">
        <v>29.94</v>
      </c>
      <c r="H47" s="64">
        <v>16.57</v>
      </c>
      <c r="I47" s="64">
        <v>3.95</v>
      </c>
      <c r="J47" s="64">
        <v>0.8</v>
      </c>
      <c r="K47" s="64">
        <v>112.26</v>
      </c>
      <c r="L47" s="64">
        <v>32.07</v>
      </c>
      <c r="M47" s="64">
        <v>56.04</v>
      </c>
      <c r="N47" s="64">
        <v>858.1</v>
      </c>
      <c r="O47" s="64">
        <v>0</v>
      </c>
      <c r="P47" s="64">
        <v>0.26</v>
      </c>
      <c r="Q47" s="64">
        <v>9.42</v>
      </c>
      <c r="R47" s="198"/>
      <c r="S47" s="198"/>
      <c r="T47" s="198"/>
      <c r="U47" s="198"/>
    </row>
    <row r="48" spans="1:21" s="12" customFormat="1" x14ac:dyDescent="0.25">
      <c r="A48" s="211" t="s">
        <v>284</v>
      </c>
      <c r="B48" s="64">
        <v>9.01</v>
      </c>
      <c r="C48" s="64">
        <v>17.850000000000001</v>
      </c>
      <c r="D48" s="64">
        <v>21</v>
      </c>
      <c r="E48" s="64">
        <v>6.29</v>
      </c>
      <c r="F48" s="64">
        <v>15.39</v>
      </c>
      <c r="G48" s="64">
        <v>29.28</v>
      </c>
      <c r="H48" s="64">
        <v>8.84</v>
      </c>
      <c r="I48" s="64">
        <v>3.98</v>
      </c>
      <c r="J48" s="64">
        <v>0.45</v>
      </c>
      <c r="K48" s="64">
        <v>104.36</v>
      </c>
      <c r="L48" s="64">
        <v>32.39</v>
      </c>
      <c r="M48" s="64">
        <v>54.05</v>
      </c>
      <c r="N48" s="64">
        <v>892</v>
      </c>
      <c r="O48" s="64">
        <v>0</v>
      </c>
      <c r="P48" s="64">
        <v>0.26</v>
      </c>
      <c r="Q48" s="64">
        <v>9.4</v>
      </c>
      <c r="R48" s="198"/>
      <c r="S48" s="198"/>
      <c r="T48" s="198"/>
      <c r="U48" s="198"/>
    </row>
    <row r="49" spans="1:21" s="12" customFormat="1" x14ac:dyDescent="0.25">
      <c r="A49" s="211" t="s">
        <v>285</v>
      </c>
      <c r="B49" s="64">
        <v>9.7100000000000009</v>
      </c>
      <c r="C49" s="64">
        <v>18.2</v>
      </c>
      <c r="D49" s="64">
        <v>19.93</v>
      </c>
      <c r="E49" s="64">
        <v>6.03</v>
      </c>
      <c r="F49" s="64">
        <v>16.72</v>
      </c>
      <c r="G49" s="64">
        <v>28.56</v>
      </c>
      <c r="H49" s="64">
        <v>0</v>
      </c>
      <c r="I49" s="64">
        <v>4.05</v>
      </c>
      <c r="J49" s="64">
        <v>0.84</v>
      </c>
      <c r="K49" s="64">
        <v>110.92</v>
      </c>
      <c r="L49" s="64">
        <v>32.369999999999997</v>
      </c>
      <c r="M49" s="64">
        <v>52.29</v>
      </c>
      <c r="N49" s="64">
        <v>969.5</v>
      </c>
      <c r="O49" s="64">
        <v>0</v>
      </c>
      <c r="P49" s="64">
        <v>0.24</v>
      </c>
      <c r="Q49" s="64">
        <v>9.39</v>
      </c>
      <c r="R49" s="198"/>
      <c r="S49" s="198"/>
      <c r="T49" s="198"/>
      <c r="U49" s="198"/>
    </row>
    <row r="50" spans="1:21" s="12" customFormat="1" x14ac:dyDescent="0.25">
      <c r="A50" s="211" t="s">
        <v>286</v>
      </c>
      <c r="B50" s="64">
        <v>5.97</v>
      </c>
      <c r="C50" s="64">
        <v>16</v>
      </c>
      <c r="D50" s="64">
        <v>21.46</v>
      </c>
      <c r="E50" s="64">
        <v>6.21</v>
      </c>
      <c r="F50" s="64">
        <v>17.14</v>
      </c>
      <c r="G50" s="64">
        <v>28.56</v>
      </c>
      <c r="H50" s="64">
        <v>0</v>
      </c>
      <c r="I50" s="64">
        <v>4.32</v>
      </c>
      <c r="J50" s="64">
        <v>1.1599999999999999</v>
      </c>
      <c r="K50" s="64">
        <v>109.56</v>
      </c>
      <c r="L50" s="64">
        <v>32.299999999999997</v>
      </c>
      <c r="M50" s="64">
        <v>52.44</v>
      </c>
      <c r="N50" s="64">
        <v>1001.2</v>
      </c>
      <c r="O50" s="64">
        <v>0</v>
      </c>
      <c r="P50" s="64">
        <v>0.21</v>
      </c>
      <c r="Q50" s="64">
        <v>9.34</v>
      </c>
      <c r="R50" s="198"/>
      <c r="S50" s="198"/>
      <c r="T50" s="198"/>
      <c r="U50" s="198"/>
    </row>
    <row r="51" spans="1:21" s="12" customFormat="1" x14ac:dyDescent="0.25">
      <c r="A51" s="211" t="s">
        <v>287</v>
      </c>
      <c r="B51" s="64">
        <v>4.95</v>
      </c>
      <c r="C51" s="64">
        <v>15.01</v>
      </c>
      <c r="D51" s="64">
        <v>21.13</v>
      </c>
      <c r="E51" s="64">
        <v>6.67</v>
      </c>
      <c r="F51" s="64">
        <v>17.64</v>
      </c>
      <c r="G51" s="64">
        <v>28.56</v>
      </c>
      <c r="H51" s="64">
        <v>0</v>
      </c>
      <c r="I51" s="64">
        <v>3.97</v>
      </c>
      <c r="J51" s="64">
        <v>1.0900000000000001</v>
      </c>
      <c r="K51" s="64">
        <v>113.93</v>
      </c>
      <c r="L51" s="64">
        <v>32.04</v>
      </c>
      <c r="M51" s="64">
        <v>52.81</v>
      </c>
      <c r="N51" s="64">
        <v>930.5</v>
      </c>
      <c r="O51" s="64">
        <v>0</v>
      </c>
      <c r="P51" s="64">
        <v>0.2</v>
      </c>
      <c r="Q51" s="64">
        <v>9.23</v>
      </c>
      <c r="R51" s="198"/>
      <c r="S51" s="198"/>
      <c r="T51" s="198"/>
      <c r="U51" s="198"/>
    </row>
    <row r="52" spans="1:21" s="12" customFormat="1" x14ac:dyDescent="0.25">
      <c r="A52" s="211" t="s">
        <v>288</v>
      </c>
      <c r="B52" s="64">
        <v>5.19</v>
      </c>
      <c r="C52" s="64">
        <v>17.61</v>
      </c>
      <c r="D52" s="64">
        <v>25.75</v>
      </c>
      <c r="E52" s="64">
        <v>6.68</v>
      </c>
      <c r="F52" s="64">
        <v>17.95</v>
      </c>
      <c r="G52" s="64">
        <v>28.56</v>
      </c>
      <c r="H52" s="64">
        <v>0</v>
      </c>
      <c r="I52" s="64">
        <v>4.0199999999999996</v>
      </c>
      <c r="J52" s="64">
        <v>0.71</v>
      </c>
      <c r="K52" s="64">
        <v>107.05</v>
      </c>
      <c r="L52" s="64">
        <v>32.380000000000003</v>
      </c>
      <c r="M52" s="64">
        <v>52.69</v>
      </c>
      <c r="N52" s="64">
        <v>689</v>
      </c>
      <c r="O52" s="64">
        <v>0</v>
      </c>
      <c r="P52" s="64">
        <v>0.21</v>
      </c>
      <c r="Q52" s="64">
        <v>9.16</v>
      </c>
      <c r="R52" s="198"/>
      <c r="S52" s="198"/>
      <c r="T52" s="198"/>
      <c r="U52" s="198"/>
    </row>
    <row r="53" spans="1:21" s="12" customFormat="1" x14ac:dyDescent="0.25">
      <c r="A53" s="211" t="s">
        <v>289</v>
      </c>
      <c r="B53" s="64">
        <v>3.85</v>
      </c>
      <c r="C53" s="64">
        <v>14.93</v>
      </c>
      <c r="D53" s="64">
        <v>22.67</v>
      </c>
      <c r="E53" s="64">
        <v>6.58</v>
      </c>
      <c r="F53" s="64">
        <v>10.8</v>
      </c>
      <c r="G53" s="64">
        <v>28.56</v>
      </c>
      <c r="H53" s="64">
        <v>0</v>
      </c>
      <c r="I53" s="64">
        <v>4.03</v>
      </c>
      <c r="J53" s="64">
        <v>0.73</v>
      </c>
      <c r="K53" s="64">
        <v>106.24</v>
      </c>
      <c r="L53" s="64">
        <v>31.96</v>
      </c>
      <c r="M53" s="64">
        <v>52.66</v>
      </c>
      <c r="N53" s="64">
        <v>708.9</v>
      </c>
      <c r="O53" s="64">
        <v>0</v>
      </c>
      <c r="P53" s="64">
        <v>0.23</v>
      </c>
      <c r="Q53" s="64">
        <v>9.15</v>
      </c>
      <c r="R53" s="198"/>
      <c r="S53" s="198"/>
      <c r="T53" s="198"/>
      <c r="U53" s="198"/>
    </row>
    <row r="54" spans="1:21" s="12" customFormat="1" x14ac:dyDescent="0.25">
      <c r="A54" s="211" t="s">
        <v>290</v>
      </c>
      <c r="B54" s="64">
        <v>5.56</v>
      </c>
      <c r="C54" s="64">
        <v>18.8</v>
      </c>
      <c r="D54" s="64">
        <v>27.46</v>
      </c>
      <c r="E54" s="64">
        <v>5.91</v>
      </c>
      <c r="F54" s="64">
        <v>13.81</v>
      </c>
      <c r="G54" s="64">
        <v>28.56</v>
      </c>
      <c r="H54" s="64">
        <v>0</v>
      </c>
      <c r="I54" s="64">
        <v>3.87</v>
      </c>
      <c r="J54" s="64">
        <v>0.75</v>
      </c>
      <c r="K54" s="64">
        <v>116.46</v>
      </c>
      <c r="L54" s="64">
        <v>32.49</v>
      </c>
      <c r="M54" s="64">
        <v>52.49</v>
      </c>
      <c r="N54" s="64">
        <v>781.8</v>
      </c>
      <c r="O54" s="64">
        <v>0</v>
      </c>
      <c r="P54" s="64">
        <v>0.26</v>
      </c>
      <c r="Q54" s="64">
        <v>9.1300000000000008</v>
      </c>
      <c r="R54" s="198"/>
      <c r="S54" s="198"/>
      <c r="T54" s="198"/>
      <c r="U54" s="198"/>
    </row>
    <row r="55" spans="1:21" s="12" customFormat="1" x14ac:dyDescent="0.25">
      <c r="A55" s="211" t="s">
        <v>291</v>
      </c>
      <c r="B55" s="64">
        <v>4.5199999999999996</v>
      </c>
      <c r="C55" s="64">
        <v>17.43</v>
      </c>
      <c r="D55" s="64">
        <v>26.43</v>
      </c>
      <c r="E55" s="64">
        <v>6.49</v>
      </c>
      <c r="F55" s="64">
        <v>14.71</v>
      </c>
      <c r="G55" s="64">
        <v>28.56</v>
      </c>
      <c r="H55" s="64">
        <v>0</v>
      </c>
      <c r="I55" s="64">
        <v>4.0999999999999996</v>
      </c>
      <c r="J55" s="64">
        <v>0.98</v>
      </c>
      <c r="K55" s="64">
        <v>112.78</v>
      </c>
      <c r="L55" s="64">
        <v>32.630000000000003</v>
      </c>
      <c r="M55" s="64">
        <v>52.27</v>
      </c>
      <c r="N55" s="64">
        <v>1028.7</v>
      </c>
      <c r="O55" s="64">
        <v>0</v>
      </c>
      <c r="P55" s="64">
        <v>0.22</v>
      </c>
      <c r="Q55" s="64">
        <v>9.14</v>
      </c>
      <c r="R55" s="198"/>
      <c r="S55" s="198"/>
      <c r="T55" s="198"/>
      <c r="U55" s="198"/>
    </row>
    <row r="56" spans="1:21" s="12" customFormat="1" x14ac:dyDescent="0.25">
      <c r="A56" s="211" t="s">
        <v>292</v>
      </c>
      <c r="B56" s="64">
        <v>3.93</v>
      </c>
      <c r="C56" s="64">
        <v>15.51</v>
      </c>
      <c r="D56" s="64">
        <v>23.66</v>
      </c>
      <c r="E56" s="64">
        <v>6.11</v>
      </c>
      <c r="F56" s="64">
        <v>15.18</v>
      </c>
      <c r="G56" s="64">
        <v>28.56</v>
      </c>
      <c r="H56" s="64">
        <v>0</v>
      </c>
      <c r="I56" s="64">
        <v>3.98</v>
      </c>
      <c r="J56" s="64">
        <v>1.56</v>
      </c>
      <c r="K56" s="64">
        <v>113.35</v>
      </c>
      <c r="L56" s="64">
        <v>32.33</v>
      </c>
      <c r="M56" s="64">
        <v>52.78</v>
      </c>
      <c r="N56" s="64">
        <v>979.7</v>
      </c>
      <c r="O56" s="64">
        <v>0</v>
      </c>
      <c r="P56" s="64">
        <v>0.22</v>
      </c>
      <c r="Q56" s="64">
        <v>9.1300000000000008</v>
      </c>
      <c r="R56" s="198"/>
      <c r="S56" s="198"/>
      <c r="T56" s="198"/>
      <c r="U56" s="198"/>
    </row>
    <row r="57" spans="1:21" s="12" customFormat="1" x14ac:dyDescent="0.25">
      <c r="A57" s="211" t="s">
        <v>293</v>
      </c>
      <c r="B57" s="64">
        <v>4.67</v>
      </c>
      <c r="C57" s="64">
        <v>16.559999999999999</v>
      </c>
      <c r="D57" s="64">
        <v>24.52</v>
      </c>
      <c r="E57" s="64">
        <v>6.1</v>
      </c>
      <c r="F57" s="64">
        <v>14.4</v>
      </c>
      <c r="G57" s="64">
        <v>0</v>
      </c>
      <c r="H57" s="64">
        <v>0</v>
      </c>
      <c r="I57" s="64">
        <v>3.89</v>
      </c>
      <c r="J57" s="64">
        <v>1.07</v>
      </c>
      <c r="K57" s="64">
        <v>108.98</v>
      </c>
      <c r="L57" s="64">
        <v>32.479999999999997</v>
      </c>
      <c r="M57" s="64">
        <v>52.74</v>
      </c>
      <c r="N57" s="64">
        <v>943.9</v>
      </c>
      <c r="O57" s="64">
        <v>0</v>
      </c>
      <c r="P57" s="64">
        <v>0.23</v>
      </c>
      <c r="Q57" s="64">
        <v>9.15</v>
      </c>
      <c r="R57" s="198"/>
      <c r="S57" s="198"/>
      <c r="T57" s="198"/>
      <c r="U57" s="198"/>
    </row>
    <row r="58" spans="1:21" s="12" customFormat="1" x14ac:dyDescent="0.25">
      <c r="A58" s="211" t="s">
        <v>294</v>
      </c>
      <c r="B58" s="64">
        <v>6.08</v>
      </c>
      <c r="C58" s="64">
        <v>17.010000000000002</v>
      </c>
      <c r="D58" s="64">
        <v>23.21</v>
      </c>
      <c r="E58" s="64">
        <v>5.81</v>
      </c>
      <c r="F58" s="64">
        <v>16.5</v>
      </c>
      <c r="G58" s="64">
        <v>0</v>
      </c>
      <c r="H58" s="64">
        <v>0</v>
      </c>
      <c r="I58" s="64">
        <v>4</v>
      </c>
      <c r="J58" s="64">
        <v>0.89</v>
      </c>
      <c r="K58" s="64">
        <v>108.89</v>
      </c>
      <c r="L58" s="64">
        <v>33.06</v>
      </c>
      <c r="M58" s="64">
        <v>51.54</v>
      </c>
      <c r="N58" s="64">
        <v>931.8</v>
      </c>
      <c r="O58" s="64">
        <v>0</v>
      </c>
      <c r="P58" s="64">
        <v>0.25</v>
      </c>
      <c r="Q58" s="64">
        <v>9.16</v>
      </c>
      <c r="R58" s="198"/>
      <c r="S58" s="198"/>
      <c r="T58" s="198"/>
      <c r="U58" s="198"/>
    </row>
    <row r="59" spans="1:21" s="12" customFormat="1" x14ac:dyDescent="0.25">
      <c r="A59" s="211" t="s">
        <v>295</v>
      </c>
      <c r="B59" s="64">
        <v>3.87</v>
      </c>
      <c r="C59" s="64">
        <v>14.61</v>
      </c>
      <c r="D59" s="64">
        <v>22.02</v>
      </c>
      <c r="E59" s="64">
        <v>5.98</v>
      </c>
      <c r="F59" s="64">
        <v>14.83</v>
      </c>
      <c r="G59" s="64">
        <v>0</v>
      </c>
      <c r="H59" s="64">
        <v>0</v>
      </c>
      <c r="I59" s="64">
        <v>4.05</v>
      </c>
      <c r="J59" s="64">
        <v>1.31</v>
      </c>
      <c r="K59" s="64">
        <v>111.01</v>
      </c>
      <c r="L59" s="64">
        <v>32.32</v>
      </c>
      <c r="M59" s="64">
        <v>52.8</v>
      </c>
      <c r="N59" s="64">
        <v>413.2</v>
      </c>
      <c r="O59" s="64">
        <v>0</v>
      </c>
      <c r="P59" s="64">
        <v>0.2</v>
      </c>
      <c r="Q59" s="64">
        <v>9.15</v>
      </c>
      <c r="R59" s="198"/>
      <c r="S59" s="198"/>
      <c r="T59" s="198"/>
      <c r="U59" s="198"/>
    </row>
    <row r="60" spans="1:21" s="12" customFormat="1" x14ac:dyDescent="0.25">
      <c r="A60" s="211" t="s">
        <v>296</v>
      </c>
      <c r="B60" s="64">
        <v>5.27</v>
      </c>
      <c r="C60" s="64">
        <v>18.989999999999998</v>
      </c>
      <c r="D60" s="64">
        <v>28.27</v>
      </c>
      <c r="E60" s="64">
        <v>6.18</v>
      </c>
      <c r="F60" s="64">
        <v>16.579999999999998</v>
      </c>
      <c r="G60" s="64">
        <v>0</v>
      </c>
      <c r="H60" s="64">
        <v>0</v>
      </c>
      <c r="I60" s="64">
        <v>3.99</v>
      </c>
      <c r="J60" s="64">
        <v>0.76</v>
      </c>
      <c r="K60" s="64">
        <v>102.49</v>
      </c>
      <c r="L60" s="64">
        <v>32.36</v>
      </c>
      <c r="M60" s="64">
        <v>53.07</v>
      </c>
      <c r="N60" s="64">
        <v>419.3</v>
      </c>
      <c r="O60" s="64">
        <v>0</v>
      </c>
      <c r="P60" s="64">
        <v>0.24</v>
      </c>
      <c r="Q60" s="64">
        <v>9.14</v>
      </c>
      <c r="R60" s="198"/>
      <c r="S60" s="198"/>
      <c r="T60" s="198"/>
      <c r="U60" s="198"/>
    </row>
    <row r="61" spans="1:21" s="12" customFormat="1" x14ac:dyDescent="0.25">
      <c r="A61" s="211" t="s">
        <v>297</v>
      </c>
      <c r="B61" s="64">
        <v>3.79</v>
      </c>
      <c r="C61" s="64">
        <v>15.58</v>
      </c>
      <c r="D61" s="64">
        <v>23.99</v>
      </c>
      <c r="E61" s="64">
        <v>6.18</v>
      </c>
      <c r="F61" s="64">
        <v>14.21</v>
      </c>
      <c r="G61" s="64">
        <v>38.79</v>
      </c>
      <c r="H61" s="64">
        <v>4.6399999999999997</v>
      </c>
      <c r="I61" s="64">
        <v>4.08</v>
      </c>
      <c r="J61" s="64">
        <v>1.56</v>
      </c>
      <c r="K61" s="64">
        <v>115.14</v>
      </c>
      <c r="L61" s="64">
        <v>31.98</v>
      </c>
      <c r="M61" s="64">
        <v>53.08</v>
      </c>
      <c r="N61" s="64">
        <v>341</v>
      </c>
      <c r="O61" s="64">
        <v>0</v>
      </c>
      <c r="P61" s="64">
        <v>0.27</v>
      </c>
      <c r="Q61" s="64">
        <v>9.15</v>
      </c>
      <c r="R61" s="198"/>
      <c r="S61" s="198"/>
      <c r="T61" s="198"/>
      <c r="U61" s="198"/>
    </row>
    <row r="62" spans="1:21" s="12" customFormat="1" x14ac:dyDescent="0.25">
      <c r="A62" s="211" t="s">
        <v>298</v>
      </c>
      <c r="B62" s="64">
        <v>3.4</v>
      </c>
      <c r="C62" s="64">
        <v>14.22</v>
      </c>
      <c r="D62" s="64">
        <v>21.99</v>
      </c>
      <c r="E62" s="64">
        <v>6.02</v>
      </c>
      <c r="F62" s="64">
        <v>15.68</v>
      </c>
      <c r="G62" s="64">
        <v>45.94</v>
      </c>
      <c r="H62" s="64">
        <v>14.44</v>
      </c>
      <c r="I62" s="64">
        <v>4.03</v>
      </c>
      <c r="J62" s="64">
        <v>1.68</v>
      </c>
      <c r="K62" s="64">
        <v>112.29</v>
      </c>
      <c r="L62" s="64">
        <v>32</v>
      </c>
      <c r="M62" s="64">
        <v>52.67</v>
      </c>
      <c r="N62" s="64">
        <v>579.6</v>
      </c>
      <c r="O62" s="64">
        <v>0</v>
      </c>
      <c r="P62" s="64">
        <v>0.28999999999999998</v>
      </c>
      <c r="Q62" s="64">
        <v>9.15</v>
      </c>
      <c r="R62" s="198"/>
      <c r="S62" s="198"/>
      <c r="T62" s="198"/>
      <c r="U62" s="198"/>
    </row>
    <row r="63" spans="1:21" s="12" customFormat="1" x14ac:dyDescent="0.25">
      <c r="A63" s="211" t="s">
        <v>299</v>
      </c>
      <c r="B63" s="64">
        <v>3.78</v>
      </c>
      <c r="C63" s="64">
        <v>14.23</v>
      </c>
      <c r="D63" s="64">
        <v>21.44</v>
      </c>
      <c r="E63" s="64">
        <v>6.53</v>
      </c>
      <c r="F63" s="64">
        <v>16.37</v>
      </c>
      <c r="G63" s="64">
        <v>45.94</v>
      </c>
      <c r="H63" s="64">
        <v>14.44</v>
      </c>
      <c r="I63" s="64">
        <v>4.01</v>
      </c>
      <c r="J63" s="64">
        <v>1.82</v>
      </c>
      <c r="K63" s="64">
        <v>108.63</v>
      </c>
      <c r="L63" s="64">
        <v>32.229999999999997</v>
      </c>
      <c r="M63" s="64">
        <v>51.13</v>
      </c>
      <c r="N63" s="64">
        <v>493.8</v>
      </c>
      <c r="O63" s="64">
        <v>0</v>
      </c>
      <c r="P63" s="64">
        <v>0.3</v>
      </c>
      <c r="Q63" s="64">
        <v>9.15</v>
      </c>
      <c r="R63" s="198"/>
      <c r="S63" s="198"/>
      <c r="T63" s="198"/>
      <c r="U63" s="198"/>
    </row>
    <row r="64" spans="1:21" s="12" customFormat="1" x14ac:dyDescent="0.25">
      <c r="A64" s="211" t="s">
        <v>300</v>
      </c>
      <c r="B64" s="64">
        <v>3.92</v>
      </c>
      <c r="C64" s="64">
        <v>15.18</v>
      </c>
      <c r="D64" s="64">
        <v>23.04</v>
      </c>
      <c r="E64" s="64">
        <v>6.25</v>
      </c>
      <c r="F64" s="64">
        <v>19.45</v>
      </c>
      <c r="G64" s="64">
        <v>45.94</v>
      </c>
      <c r="H64" s="64">
        <v>14.44</v>
      </c>
      <c r="I64" s="64">
        <v>4.1100000000000003</v>
      </c>
      <c r="J64" s="64">
        <v>1.1200000000000001</v>
      </c>
      <c r="K64" s="64">
        <v>109.24</v>
      </c>
      <c r="L64" s="64">
        <v>32.450000000000003</v>
      </c>
      <c r="M64" s="64">
        <v>50.45</v>
      </c>
      <c r="N64" s="64">
        <v>333.4</v>
      </c>
      <c r="O64" s="64">
        <v>0</v>
      </c>
      <c r="P64" s="64">
        <v>0.3</v>
      </c>
      <c r="Q64" s="64">
        <v>9.15</v>
      </c>
      <c r="R64" s="198"/>
      <c r="S64" s="198"/>
      <c r="T64" s="198"/>
      <c r="U64" s="198"/>
    </row>
    <row r="65" spans="1:21" s="12" customFormat="1" x14ac:dyDescent="0.25">
      <c r="A65" s="211" t="s">
        <v>301</v>
      </c>
      <c r="B65" s="64">
        <v>4.67</v>
      </c>
      <c r="C65" s="64">
        <v>15.31</v>
      </c>
      <c r="D65" s="64">
        <v>22.13</v>
      </c>
      <c r="E65" s="64">
        <v>5.99</v>
      </c>
      <c r="F65" s="64">
        <v>20.3</v>
      </c>
      <c r="G65" s="64">
        <v>35.54</v>
      </c>
      <c r="H65" s="64">
        <v>2.73</v>
      </c>
      <c r="I65" s="64">
        <v>4.1500000000000004</v>
      </c>
      <c r="J65" s="64">
        <v>1.23</v>
      </c>
      <c r="K65" s="64">
        <v>116.68</v>
      </c>
      <c r="L65" s="64">
        <v>32.340000000000003</v>
      </c>
      <c r="M65" s="64">
        <v>49.69</v>
      </c>
      <c r="N65" s="64">
        <v>255</v>
      </c>
      <c r="O65" s="64">
        <v>0</v>
      </c>
      <c r="P65" s="64">
        <v>0.31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11" t="s">
        <v>302</v>
      </c>
      <c r="B66" s="64">
        <v>5.28</v>
      </c>
      <c r="C66" s="64">
        <v>17.98</v>
      </c>
      <c r="D66" s="64">
        <v>26.3</v>
      </c>
      <c r="E66" s="64">
        <v>6.45</v>
      </c>
      <c r="F66" s="64">
        <v>22.53</v>
      </c>
      <c r="G66" s="64">
        <v>33.619999999999997</v>
      </c>
      <c r="H66" s="64">
        <v>0</v>
      </c>
      <c r="I66" s="64">
        <v>4.1100000000000003</v>
      </c>
      <c r="J66" s="64">
        <v>0.56999999999999995</v>
      </c>
      <c r="K66" s="64">
        <v>109.25</v>
      </c>
      <c r="L66" s="64">
        <v>32.97</v>
      </c>
      <c r="M66" s="64">
        <v>48.31</v>
      </c>
      <c r="N66" s="64">
        <v>374.5</v>
      </c>
      <c r="O66" s="64">
        <v>0</v>
      </c>
      <c r="P66" s="64">
        <v>0.35</v>
      </c>
      <c r="Q66" s="64">
        <v>9.14</v>
      </c>
      <c r="R66" s="198"/>
      <c r="S66" s="198"/>
      <c r="T66" s="198"/>
      <c r="U66" s="198"/>
    </row>
    <row r="67" spans="1:21" s="12" customFormat="1" x14ac:dyDescent="0.25">
      <c r="A67" s="211" t="s">
        <v>303</v>
      </c>
      <c r="B67" s="64">
        <v>4.0199999999999996</v>
      </c>
      <c r="C67" s="64">
        <v>15.6</v>
      </c>
      <c r="D67" s="64">
        <v>23.69</v>
      </c>
      <c r="E67" s="64">
        <v>6.35</v>
      </c>
      <c r="F67" s="64">
        <v>21.63</v>
      </c>
      <c r="G67" s="64">
        <v>33.619999999999997</v>
      </c>
      <c r="H67" s="64">
        <v>0</v>
      </c>
      <c r="I67" s="64">
        <v>3.93</v>
      </c>
      <c r="J67" s="64">
        <v>1.52</v>
      </c>
      <c r="K67" s="64">
        <v>112.55</v>
      </c>
      <c r="L67" s="64">
        <v>33.11</v>
      </c>
      <c r="M67" s="64">
        <v>46.89</v>
      </c>
      <c r="N67" s="64">
        <v>250.5</v>
      </c>
      <c r="O67" s="64">
        <v>0</v>
      </c>
      <c r="P67" s="64">
        <v>0.32</v>
      </c>
      <c r="Q67" s="64">
        <v>9.14</v>
      </c>
      <c r="R67" s="198"/>
      <c r="S67" s="198"/>
      <c r="T67" s="198"/>
      <c r="U67" s="198"/>
    </row>
    <row r="68" spans="1:21" s="12" customFormat="1" x14ac:dyDescent="0.25">
      <c r="A68" s="211" t="s">
        <v>304</v>
      </c>
      <c r="B68" s="64">
        <v>4.33</v>
      </c>
      <c r="C68" s="64">
        <v>15.21</v>
      </c>
      <c r="D68" s="64">
        <v>22.47</v>
      </c>
      <c r="E68" s="64">
        <v>6.41</v>
      </c>
      <c r="F68" s="64">
        <v>23.74</v>
      </c>
      <c r="G68" s="64">
        <v>33.619999999999997</v>
      </c>
      <c r="H68" s="64">
        <v>0</v>
      </c>
      <c r="I68" s="64">
        <v>4.12</v>
      </c>
      <c r="J68" s="64">
        <v>1.56</v>
      </c>
      <c r="K68" s="64">
        <v>114.55</v>
      </c>
      <c r="L68" s="64">
        <v>32.93</v>
      </c>
      <c r="M68" s="64">
        <v>46.98</v>
      </c>
      <c r="N68" s="64">
        <v>230.2</v>
      </c>
      <c r="O68" s="64">
        <v>0</v>
      </c>
      <c r="P68" s="64">
        <v>0.34</v>
      </c>
      <c r="Q68" s="64">
        <v>9.1300000000000008</v>
      </c>
      <c r="R68" s="198"/>
      <c r="S68" s="198"/>
      <c r="T68" s="198"/>
      <c r="U68" s="198"/>
    </row>
    <row r="69" spans="1:21" s="12" customFormat="1" x14ac:dyDescent="0.25">
      <c r="A69" s="211" t="s">
        <v>305</v>
      </c>
      <c r="B69" s="64">
        <v>6.86</v>
      </c>
      <c r="C69" s="64">
        <v>23.16</v>
      </c>
      <c r="D69" s="64">
        <v>33.81</v>
      </c>
      <c r="E69" s="64">
        <v>6.67</v>
      </c>
      <c r="F69" s="64">
        <v>22.16</v>
      </c>
      <c r="G69" s="64">
        <v>35.54</v>
      </c>
      <c r="H69" s="64">
        <v>0</v>
      </c>
      <c r="I69" s="64">
        <v>4.0199999999999996</v>
      </c>
      <c r="J69" s="64">
        <v>1.26</v>
      </c>
      <c r="K69" s="64">
        <v>103.89</v>
      </c>
      <c r="L69" s="64">
        <v>33.32</v>
      </c>
      <c r="M69" s="64">
        <v>44.53</v>
      </c>
      <c r="N69" s="64">
        <v>199.4</v>
      </c>
      <c r="O69" s="64">
        <v>0</v>
      </c>
      <c r="P69" s="64">
        <v>0.39</v>
      </c>
      <c r="Q69" s="64">
        <v>9.15</v>
      </c>
      <c r="R69" s="198"/>
      <c r="S69" s="198"/>
      <c r="T69" s="198"/>
      <c r="U69" s="198"/>
    </row>
    <row r="70" spans="1:21" s="12" customFormat="1" x14ac:dyDescent="0.25">
      <c r="A70" s="211" t="s">
        <v>306</v>
      </c>
      <c r="B70" s="64">
        <v>4.49</v>
      </c>
      <c r="C70" s="64">
        <v>18.350000000000001</v>
      </c>
      <c r="D70" s="64">
        <v>28.23</v>
      </c>
      <c r="E70" s="64">
        <v>6.79</v>
      </c>
      <c r="F70" s="64">
        <v>24.87</v>
      </c>
      <c r="G70" s="64">
        <v>35.869999999999997</v>
      </c>
      <c r="H70" s="64">
        <v>0</v>
      </c>
      <c r="I70" s="64">
        <v>3.81</v>
      </c>
      <c r="J70" s="64">
        <v>0.43</v>
      </c>
      <c r="K70" s="64">
        <v>95.55</v>
      </c>
      <c r="L70" s="64">
        <v>33.380000000000003</v>
      </c>
      <c r="M70" s="64">
        <v>44.31</v>
      </c>
      <c r="N70" s="64">
        <v>383.4</v>
      </c>
      <c r="O70" s="64">
        <v>0</v>
      </c>
      <c r="P70" s="64">
        <v>0.38</v>
      </c>
      <c r="Q70" s="64">
        <v>9.16</v>
      </c>
      <c r="R70" s="198"/>
      <c r="S70" s="198"/>
      <c r="T70" s="198"/>
      <c r="U70" s="198"/>
    </row>
    <row r="71" spans="1:21" s="12" customFormat="1" x14ac:dyDescent="0.25">
      <c r="A71" s="211" t="s">
        <v>307</v>
      </c>
      <c r="B71" s="64">
        <v>3.54</v>
      </c>
      <c r="C71" s="64">
        <v>16.760000000000002</v>
      </c>
      <c r="D71" s="64">
        <v>26.65</v>
      </c>
      <c r="E71" s="64">
        <v>6.95</v>
      </c>
      <c r="F71" s="64">
        <v>19.03</v>
      </c>
      <c r="G71" s="64">
        <v>35.869999999999997</v>
      </c>
      <c r="H71" s="64">
        <v>0</v>
      </c>
      <c r="I71" s="64">
        <v>3.75</v>
      </c>
      <c r="J71" s="64">
        <v>1.57</v>
      </c>
      <c r="K71" s="64">
        <v>111.94</v>
      </c>
      <c r="L71" s="64">
        <v>33.33</v>
      </c>
      <c r="M71" s="64">
        <v>43.75</v>
      </c>
      <c r="N71" s="64">
        <v>317.8</v>
      </c>
      <c r="O71" s="64">
        <v>0</v>
      </c>
      <c r="P71" s="64">
        <v>0.36</v>
      </c>
      <c r="Q71" s="64">
        <v>9.15</v>
      </c>
      <c r="R71" s="198"/>
      <c r="S71" s="198"/>
      <c r="T71" s="198"/>
      <c r="U71" s="198"/>
    </row>
    <row r="72" spans="1:21" s="12" customFormat="1" x14ac:dyDescent="0.25">
      <c r="A72" s="211" t="s">
        <v>308</v>
      </c>
      <c r="B72" s="64">
        <v>5.31</v>
      </c>
      <c r="C72" s="64">
        <v>22.29</v>
      </c>
      <c r="D72" s="64">
        <v>34.51</v>
      </c>
      <c r="E72" s="64">
        <v>5.96</v>
      </c>
      <c r="F72" s="64">
        <v>19.98</v>
      </c>
      <c r="G72" s="64">
        <v>34.67</v>
      </c>
      <c r="H72" s="64">
        <v>20</v>
      </c>
      <c r="I72" s="64">
        <v>4.0599999999999996</v>
      </c>
      <c r="J72" s="64">
        <v>0.55000000000000004</v>
      </c>
      <c r="K72" s="64">
        <v>111.29</v>
      </c>
      <c r="L72" s="64">
        <v>33.46</v>
      </c>
      <c r="M72" s="64">
        <v>44.19</v>
      </c>
      <c r="N72" s="64">
        <v>430.2</v>
      </c>
      <c r="O72" s="64">
        <v>0</v>
      </c>
      <c r="P72" s="64">
        <v>0.41</v>
      </c>
      <c r="Q72" s="64">
        <v>9.17</v>
      </c>
      <c r="R72" s="198"/>
      <c r="S72" s="198"/>
      <c r="T72" s="198"/>
      <c r="U72" s="198"/>
    </row>
    <row r="73" spans="1:21" s="12" customFormat="1" x14ac:dyDescent="0.25">
      <c r="A73" s="211" t="s">
        <v>309</v>
      </c>
      <c r="B73" s="64">
        <v>3.85</v>
      </c>
      <c r="C73" s="64">
        <v>17.43</v>
      </c>
      <c r="D73" s="64">
        <v>27.45</v>
      </c>
      <c r="E73" s="64">
        <v>5.0999999999999996</v>
      </c>
      <c r="F73" s="64">
        <v>18.64</v>
      </c>
      <c r="G73" s="64">
        <v>0</v>
      </c>
      <c r="H73" s="64">
        <v>20</v>
      </c>
      <c r="I73" s="64">
        <v>3.96</v>
      </c>
      <c r="J73" s="64">
        <v>1.29</v>
      </c>
      <c r="K73" s="64">
        <v>111.25</v>
      </c>
      <c r="L73" s="64">
        <v>33.43</v>
      </c>
      <c r="M73" s="64">
        <v>43.29</v>
      </c>
      <c r="N73" s="64">
        <v>180.4</v>
      </c>
      <c r="O73" s="64">
        <v>0</v>
      </c>
      <c r="P73" s="64">
        <v>0.37</v>
      </c>
      <c r="Q73" s="64">
        <v>9.18</v>
      </c>
      <c r="R73" s="198"/>
      <c r="S73" s="198"/>
      <c r="T73" s="198"/>
      <c r="U73" s="198"/>
    </row>
    <row r="74" spans="1:21" s="12" customFormat="1" x14ac:dyDescent="0.25">
      <c r="A74" s="211" t="s">
        <v>310</v>
      </c>
      <c r="B74" s="64">
        <v>4.4400000000000004</v>
      </c>
      <c r="C74" s="64">
        <v>19.52</v>
      </c>
      <c r="D74" s="64">
        <v>30.56</v>
      </c>
      <c r="E74" s="64">
        <v>5.03</v>
      </c>
      <c r="F74" s="64">
        <v>19.79</v>
      </c>
      <c r="G74" s="64">
        <v>0</v>
      </c>
      <c r="H74" s="64">
        <v>20</v>
      </c>
      <c r="I74" s="64">
        <v>3.78</v>
      </c>
      <c r="J74" s="64">
        <v>0.54</v>
      </c>
      <c r="K74" s="64">
        <v>102.02</v>
      </c>
      <c r="L74" s="64">
        <v>33.46</v>
      </c>
      <c r="M74" s="64">
        <v>43.78</v>
      </c>
      <c r="N74" s="64">
        <v>184.9</v>
      </c>
      <c r="O74" s="64">
        <v>0</v>
      </c>
      <c r="P74" s="64">
        <v>0.39</v>
      </c>
      <c r="Q74" s="64">
        <v>9.17</v>
      </c>
      <c r="R74" s="198"/>
      <c r="S74" s="198"/>
      <c r="T74" s="198"/>
      <c r="U74" s="198"/>
    </row>
    <row r="75" spans="1:21" s="12" customFormat="1" x14ac:dyDescent="0.25">
      <c r="A75" s="211" t="s">
        <v>311</v>
      </c>
      <c r="B75" s="64">
        <v>4.13</v>
      </c>
      <c r="C75" s="64">
        <v>19.16</v>
      </c>
      <c r="D75" s="64">
        <v>30.34</v>
      </c>
      <c r="E75" s="64">
        <v>5.13</v>
      </c>
      <c r="F75" s="64">
        <v>18.489999999999998</v>
      </c>
      <c r="G75" s="64">
        <v>0</v>
      </c>
      <c r="H75" s="64">
        <v>20</v>
      </c>
      <c r="I75" s="64">
        <v>3.95</v>
      </c>
      <c r="J75" s="64">
        <v>1.1200000000000001</v>
      </c>
      <c r="K75" s="64">
        <v>114.19</v>
      </c>
      <c r="L75" s="64">
        <v>33.4</v>
      </c>
      <c r="M75" s="64">
        <v>43.41</v>
      </c>
      <c r="N75" s="64">
        <v>143.1</v>
      </c>
      <c r="O75" s="64">
        <v>0</v>
      </c>
      <c r="P75" s="64">
        <v>0.37</v>
      </c>
      <c r="Q75" s="64">
        <v>9.17</v>
      </c>
      <c r="R75" s="198"/>
      <c r="S75" s="198"/>
      <c r="T75" s="198"/>
      <c r="U75" s="198"/>
    </row>
    <row r="76" spans="1:21" s="12" customFormat="1" x14ac:dyDescent="0.25">
      <c r="A76" s="211" t="s">
        <v>312</v>
      </c>
      <c r="B76" s="64">
        <v>4.33</v>
      </c>
      <c r="C76" s="64">
        <v>19.059999999999999</v>
      </c>
      <c r="D76" s="64">
        <v>29.85</v>
      </c>
      <c r="E76" s="64">
        <v>5.1100000000000003</v>
      </c>
      <c r="F76" s="64">
        <v>19.53</v>
      </c>
      <c r="G76" s="64">
        <v>2.64</v>
      </c>
      <c r="H76" s="64">
        <v>18.920000000000002</v>
      </c>
      <c r="I76" s="64">
        <v>4.04</v>
      </c>
      <c r="J76" s="64">
        <v>1.29</v>
      </c>
      <c r="K76" s="64">
        <v>112.41</v>
      </c>
      <c r="L76" s="64">
        <v>33.33</v>
      </c>
      <c r="M76" s="64">
        <v>44.57</v>
      </c>
      <c r="N76" s="64">
        <v>154.30000000000001</v>
      </c>
      <c r="O76" s="64">
        <v>0</v>
      </c>
      <c r="P76" s="64">
        <v>0.37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1" t="s">
        <v>313</v>
      </c>
      <c r="B77" s="64">
        <v>4.03</v>
      </c>
      <c r="C77" s="64">
        <v>16.829999999999998</v>
      </c>
      <c r="D77" s="64">
        <v>26.02</v>
      </c>
      <c r="E77" s="64">
        <v>5.39</v>
      </c>
      <c r="F77" s="64">
        <v>24.19</v>
      </c>
      <c r="G77" s="64">
        <v>59.36</v>
      </c>
      <c r="H77" s="64">
        <v>1.24</v>
      </c>
      <c r="I77" s="64">
        <v>4.04</v>
      </c>
      <c r="J77" s="64">
        <v>1.51</v>
      </c>
      <c r="K77" s="64">
        <v>112.3</v>
      </c>
      <c r="L77" s="64">
        <v>33.200000000000003</v>
      </c>
      <c r="M77" s="64">
        <v>44.67</v>
      </c>
      <c r="N77" s="64">
        <v>162.19999999999999</v>
      </c>
      <c r="O77" s="64">
        <v>0</v>
      </c>
      <c r="P77" s="64">
        <v>0.34</v>
      </c>
      <c r="Q77" s="64">
        <v>9.16</v>
      </c>
      <c r="R77" s="198"/>
      <c r="S77" s="198"/>
      <c r="T77" s="198"/>
      <c r="U77" s="198"/>
    </row>
    <row r="78" spans="1:21" s="12" customFormat="1" x14ac:dyDescent="0.25">
      <c r="A78" s="211" t="s">
        <v>314</v>
      </c>
      <c r="B78" s="64">
        <v>3.22</v>
      </c>
      <c r="C78" s="64">
        <v>16.12</v>
      </c>
      <c r="D78" s="64">
        <v>25.9</v>
      </c>
      <c r="E78" s="64">
        <v>4.8499999999999996</v>
      </c>
      <c r="F78" s="64">
        <v>17.22</v>
      </c>
      <c r="G78" s="64">
        <v>59.36</v>
      </c>
      <c r="H78" s="64">
        <v>10.74</v>
      </c>
      <c r="I78" s="64">
        <v>3.98</v>
      </c>
      <c r="J78" s="64">
        <v>1.78</v>
      </c>
      <c r="K78" s="64">
        <v>111.13</v>
      </c>
      <c r="L78" s="64">
        <v>33.130000000000003</v>
      </c>
      <c r="M78" s="64">
        <v>45.17</v>
      </c>
      <c r="N78" s="64">
        <v>154.9</v>
      </c>
      <c r="O78" s="64">
        <v>0</v>
      </c>
      <c r="P78" s="64">
        <v>0.33</v>
      </c>
      <c r="Q78" s="64">
        <v>9.16</v>
      </c>
      <c r="R78" s="198"/>
      <c r="S78" s="198"/>
      <c r="T78" s="198"/>
      <c r="U78" s="198"/>
    </row>
    <row r="79" spans="1:21" s="12" customFormat="1" x14ac:dyDescent="0.25">
      <c r="A79" s="211" t="s">
        <v>315</v>
      </c>
      <c r="B79" s="64">
        <v>3.23</v>
      </c>
      <c r="C79" s="64">
        <v>15.54</v>
      </c>
      <c r="D79" s="64">
        <v>24.78</v>
      </c>
      <c r="E79" s="64">
        <v>5.15</v>
      </c>
      <c r="F79" s="64">
        <v>21.74</v>
      </c>
      <c r="G79" s="64">
        <v>59.36</v>
      </c>
      <c r="H79" s="64">
        <v>10.74</v>
      </c>
      <c r="I79" s="64">
        <v>3.86</v>
      </c>
      <c r="J79" s="64">
        <v>1.1499999999999999</v>
      </c>
      <c r="K79" s="64">
        <v>113.47</v>
      </c>
      <c r="L79" s="64">
        <v>32.92</v>
      </c>
      <c r="M79" s="64">
        <v>46.84</v>
      </c>
      <c r="N79" s="64">
        <v>126.4</v>
      </c>
      <c r="O79" s="64">
        <v>0</v>
      </c>
      <c r="P79" s="64">
        <v>0.36</v>
      </c>
      <c r="Q79" s="64">
        <v>9.14</v>
      </c>
      <c r="R79" s="198"/>
      <c r="S79" s="198"/>
      <c r="T79" s="198"/>
      <c r="U79" s="198"/>
    </row>
    <row r="80" spans="1:21" s="12" customFormat="1" x14ac:dyDescent="0.25">
      <c r="A80" s="211" t="s">
        <v>316</v>
      </c>
      <c r="B80" s="64">
        <v>3.08</v>
      </c>
      <c r="C80" s="64">
        <v>14.5</v>
      </c>
      <c r="D80" s="64">
        <v>23.03</v>
      </c>
      <c r="E80" s="64">
        <v>5.19</v>
      </c>
      <c r="F80" s="64">
        <v>16.36</v>
      </c>
      <c r="G80" s="64">
        <v>58.49</v>
      </c>
      <c r="H80" s="64">
        <v>11.51</v>
      </c>
      <c r="I80" s="64">
        <v>4.09</v>
      </c>
      <c r="J80" s="64">
        <v>2.2599999999999998</v>
      </c>
      <c r="K80" s="64">
        <v>108.96</v>
      </c>
      <c r="L80" s="64">
        <v>32.76</v>
      </c>
      <c r="M80" s="64">
        <v>47.31</v>
      </c>
      <c r="N80" s="64">
        <v>123.9</v>
      </c>
      <c r="O80" s="64">
        <v>0</v>
      </c>
      <c r="P80" s="64">
        <v>0.34</v>
      </c>
      <c r="Q80" s="64">
        <v>9.1300000000000008</v>
      </c>
      <c r="R80" s="198"/>
      <c r="S80" s="198"/>
      <c r="T80" s="198"/>
      <c r="U80" s="198"/>
    </row>
    <row r="81" spans="1:26" s="12" customFormat="1" x14ac:dyDescent="0.25">
      <c r="A81" s="211" t="s">
        <v>317</v>
      </c>
      <c r="B81" s="64">
        <v>3.15</v>
      </c>
      <c r="C81" s="64">
        <v>14.52</v>
      </c>
      <c r="D81" s="64">
        <v>22.97</v>
      </c>
      <c r="E81" s="64">
        <v>4.6900000000000004</v>
      </c>
      <c r="F81" s="64">
        <v>12.32</v>
      </c>
      <c r="G81" s="64">
        <v>39.76</v>
      </c>
      <c r="H81" s="64">
        <v>27.92</v>
      </c>
      <c r="I81" s="64">
        <v>4.05</v>
      </c>
      <c r="J81" s="64">
        <v>0.98</v>
      </c>
      <c r="K81" s="64">
        <v>108</v>
      </c>
      <c r="L81" s="64">
        <v>32.11</v>
      </c>
      <c r="M81" s="64">
        <v>53.58</v>
      </c>
      <c r="N81" s="64">
        <v>109</v>
      </c>
      <c r="O81" s="64">
        <v>0</v>
      </c>
      <c r="P81" s="64">
        <v>0.33</v>
      </c>
      <c r="Q81" s="64">
        <v>9.1300000000000008</v>
      </c>
      <c r="R81" s="198"/>
      <c r="S81" s="198"/>
      <c r="T81" s="198"/>
      <c r="U81" s="198"/>
    </row>
    <row r="82" spans="1:26" s="12" customFormat="1" x14ac:dyDescent="0.25">
      <c r="A82" s="211" t="s">
        <v>318</v>
      </c>
      <c r="B82" s="64">
        <v>3.45</v>
      </c>
      <c r="C82" s="64">
        <v>14.66</v>
      </c>
      <c r="D82" s="64">
        <v>22.76</v>
      </c>
      <c r="E82" s="64">
        <v>4.55</v>
      </c>
      <c r="F82" s="64">
        <v>17.260000000000002</v>
      </c>
      <c r="G82" s="64">
        <v>39.76</v>
      </c>
      <c r="H82" s="64">
        <v>27.92</v>
      </c>
      <c r="I82" s="64">
        <v>4.0199999999999996</v>
      </c>
      <c r="J82" s="64">
        <v>1.02</v>
      </c>
      <c r="K82" s="64">
        <v>103.69</v>
      </c>
      <c r="L82" s="64">
        <v>31.54</v>
      </c>
      <c r="M82" s="64">
        <v>56.42</v>
      </c>
      <c r="N82" s="64">
        <v>99.2</v>
      </c>
      <c r="O82" s="64">
        <v>0</v>
      </c>
      <c r="P82" s="64">
        <v>0.33</v>
      </c>
      <c r="Q82" s="64">
        <v>9.15</v>
      </c>
      <c r="R82" s="198"/>
      <c r="S82" s="198"/>
      <c r="T82" s="198"/>
      <c r="U82" s="198"/>
    </row>
    <row r="83" spans="1:26" s="12" customFormat="1" x14ac:dyDescent="0.25">
      <c r="A83" s="211" t="s">
        <v>319</v>
      </c>
      <c r="B83" s="64">
        <v>3.64</v>
      </c>
      <c r="C83" s="64">
        <v>14.63</v>
      </c>
      <c r="D83" s="64">
        <v>22.42</v>
      </c>
      <c r="E83" s="64">
        <v>4.4400000000000004</v>
      </c>
      <c r="F83" s="64">
        <v>14.58</v>
      </c>
      <c r="G83" s="64">
        <v>39.76</v>
      </c>
      <c r="H83" s="64">
        <v>27.92</v>
      </c>
      <c r="I83" s="64">
        <v>4.0599999999999996</v>
      </c>
      <c r="J83" s="64">
        <v>0.89</v>
      </c>
      <c r="K83" s="64">
        <v>100.02</v>
      </c>
      <c r="L83" s="64">
        <v>31.4</v>
      </c>
      <c r="M83" s="64">
        <v>56.82</v>
      </c>
      <c r="N83" s="64">
        <v>89.8</v>
      </c>
      <c r="O83" s="64">
        <v>0</v>
      </c>
      <c r="P83" s="64">
        <v>0.34</v>
      </c>
      <c r="Q83" s="64">
        <v>9.16</v>
      </c>
      <c r="R83" s="198"/>
      <c r="S83" s="198"/>
      <c r="T83" s="198"/>
      <c r="U83" s="198"/>
    </row>
    <row r="84" spans="1:26" s="12" customFormat="1" x14ac:dyDescent="0.25">
      <c r="A84" s="211" t="s">
        <v>320</v>
      </c>
      <c r="B84" s="64">
        <v>3.72</v>
      </c>
      <c r="C84" s="64">
        <v>15.44</v>
      </c>
      <c r="D84" s="64">
        <v>23.84</v>
      </c>
      <c r="E84" s="64">
        <v>4.8600000000000003</v>
      </c>
      <c r="F84" s="64">
        <v>16.34</v>
      </c>
      <c r="G84" s="64">
        <v>39.93</v>
      </c>
      <c r="H84" s="64">
        <v>29.02</v>
      </c>
      <c r="I84" s="64">
        <v>4.03</v>
      </c>
      <c r="J84" s="64">
        <v>0.45</v>
      </c>
      <c r="K84" s="64">
        <v>151.79</v>
      </c>
      <c r="L84" s="64">
        <v>31.17</v>
      </c>
      <c r="M84" s="64">
        <v>58.74</v>
      </c>
      <c r="N84" s="64">
        <v>79.599999999999994</v>
      </c>
      <c r="O84" s="64">
        <v>0</v>
      </c>
      <c r="P84" s="64">
        <v>0.35</v>
      </c>
      <c r="Q84" s="64">
        <v>9.17</v>
      </c>
      <c r="R84" s="198"/>
      <c r="S84" s="198"/>
      <c r="T84" s="198"/>
      <c r="U84" s="198"/>
    </row>
    <row r="85" spans="1:26" s="12" customFormat="1" x14ac:dyDescent="0.25">
      <c r="A85" s="211" t="s">
        <v>321</v>
      </c>
      <c r="B85" s="64">
        <v>4.26</v>
      </c>
      <c r="C85" s="64">
        <v>17.100000000000001</v>
      </c>
      <c r="D85" s="64">
        <v>26.18</v>
      </c>
      <c r="E85" s="64">
        <v>5.21</v>
      </c>
      <c r="F85" s="64">
        <v>15.22</v>
      </c>
      <c r="G85" s="64">
        <v>43.62</v>
      </c>
      <c r="H85" s="64">
        <v>52.52</v>
      </c>
      <c r="I85" s="64">
        <v>3.98</v>
      </c>
      <c r="J85" s="64">
        <v>0.38</v>
      </c>
      <c r="K85" s="64">
        <v>160.4</v>
      </c>
      <c r="L85" s="64">
        <v>30.85</v>
      </c>
      <c r="M85" s="64">
        <v>61.12</v>
      </c>
      <c r="N85" s="64">
        <v>85.8</v>
      </c>
      <c r="O85" s="64">
        <v>0</v>
      </c>
      <c r="P85" s="64">
        <v>0.33</v>
      </c>
      <c r="Q85" s="64">
        <v>9.17</v>
      </c>
      <c r="R85" s="198"/>
      <c r="S85" s="198"/>
      <c r="T85" s="198"/>
      <c r="U85" s="198"/>
    </row>
    <row r="86" spans="1:26" s="12" customFormat="1" x14ac:dyDescent="0.25">
      <c r="A86" s="211" t="s">
        <v>322</v>
      </c>
      <c r="B86" s="64">
        <v>5.09</v>
      </c>
      <c r="C86" s="64">
        <v>19.45</v>
      </c>
      <c r="D86" s="64">
        <v>29.41</v>
      </c>
      <c r="E86" s="64">
        <v>4.9000000000000004</v>
      </c>
      <c r="F86" s="64">
        <v>12.35</v>
      </c>
      <c r="G86" s="64">
        <v>43.62</v>
      </c>
      <c r="H86" s="64">
        <v>52.52</v>
      </c>
      <c r="I86" s="64">
        <v>4.0199999999999996</v>
      </c>
      <c r="J86" s="64">
        <v>0.56000000000000005</v>
      </c>
      <c r="K86" s="64">
        <v>102.36</v>
      </c>
      <c r="L86" s="64">
        <v>30.66</v>
      </c>
      <c r="M86" s="64">
        <v>60.77</v>
      </c>
      <c r="N86" s="64">
        <v>84.7</v>
      </c>
      <c r="O86" s="64">
        <v>0</v>
      </c>
      <c r="P86" s="64">
        <v>0.36</v>
      </c>
      <c r="Q86" s="64">
        <v>9.18</v>
      </c>
      <c r="R86" s="198"/>
      <c r="S86" s="198"/>
      <c r="T86" s="198"/>
      <c r="U86" s="198"/>
    </row>
    <row r="87" spans="1:26" s="12" customFormat="1" x14ac:dyDescent="0.25">
      <c r="A87" s="211" t="s">
        <v>323</v>
      </c>
      <c r="B87" s="64">
        <v>4.7300000000000004</v>
      </c>
      <c r="C87" s="64">
        <v>16.93</v>
      </c>
      <c r="D87" s="64">
        <v>25.14</v>
      </c>
      <c r="E87" s="64">
        <v>4.5599999999999996</v>
      </c>
      <c r="F87" s="64">
        <v>15.19</v>
      </c>
      <c r="G87" s="64">
        <v>43.62</v>
      </c>
      <c r="H87" s="64">
        <v>52.52</v>
      </c>
      <c r="I87" s="64">
        <v>3.91</v>
      </c>
      <c r="J87" s="64">
        <v>0.59</v>
      </c>
      <c r="K87" s="64">
        <v>131.80000000000001</v>
      </c>
      <c r="L87" s="64">
        <v>30.54</v>
      </c>
      <c r="M87" s="64">
        <v>60.1</v>
      </c>
      <c r="N87" s="64">
        <v>84.7</v>
      </c>
      <c r="O87" s="64">
        <v>0</v>
      </c>
      <c r="P87" s="64">
        <v>0.35</v>
      </c>
      <c r="Q87" s="64">
        <v>9.2100000000000009</v>
      </c>
      <c r="R87" s="198"/>
      <c r="S87" s="198"/>
      <c r="T87" s="198"/>
      <c r="U87" s="198"/>
    </row>
    <row r="88" spans="1:26" s="12" customFormat="1" x14ac:dyDescent="0.25">
      <c r="A88" s="211" t="s">
        <v>324</v>
      </c>
      <c r="B88" s="64">
        <v>4.6399999999999997</v>
      </c>
      <c r="C88" s="64">
        <v>16.899999999999999</v>
      </c>
      <c r="D88" s="64">
        <v>25.21</v>
      </c>
      <c r="E88" s="64">
        <v>4.6900000000000004</v>
      </c>
      <c r="F88" s="64">
        <v>14.97</v>
      </c>
      <c r="G88" s="64">
        <v>43.28</v>
      </c>
      <c r="H88" s="64">
        <v>52.85</v>
      </c>
      <c r="I88" s="64">
        <v>3.87</v>
      </c>
      <c r="J88" s="64">
        <v>0.61</v>
      </c>
      <c r="K88" s="64">
        <v>106.83</v>
      </c>
      <c r="L88" s="64">
        <v>30.21</v>
      </c>
      <c r="M88" s="64">
        <v>61.86</v>
      </c>
      <c r="N88" s="64">
        <v>85.1</v>
      </c>
      <c r="O88" s="64">
        <v>0</v>
      </c>
      <c r="P88" s="64">
        <v>0.35</v>
      </c>
      <c r="Q88" s="64">
        <v>9.2200000000000006</v>
      </c>
      <c r="R88" s="198"/>
      <c r="S88" s="198"/>
      <c r="T88" s="198"/>
      <c r="U88" s="198"/>
    </row>
    <row r="89" spans="1:26" s="12" customFormat="1" x14ac:dyDescent="0.25">
      <c r="A89" s="211" t="s">
        <v>325</v>
      </c>
      <c r="B89" s="64">
        <v>4.6500000000000004</v>
      </c>
      <c r="C89" s="64">
        <v>16.68</v>
      </c>
      <c r="D89" s="64">
        <v>24.79</v>
      </c>
      <c r="E89" s="64">
        <v>5</v>
      </c>
      <c r="F89" s="64">
        <v>10.98</v>
      </c>
      <c r="G89" s="64">
        <v>35.950000000000003</v>
      </c>
      <c r="H89" s="64">
        <v>59.84</v>
      </c>
      <c r="I89" s="64">
        <v>3.91</v>
      </c>
      <c r="J89" s="64">
        <v>0.4</v>
      </c>
      <c r="K89" s="64">
        <v>157.83000000000001</v>
      </c>
      <c r="L89" s="64">
        <v>29.98</v>
      </c>
      <c r="M89" s="64">
        <v>60.89</v>
      </c>
      <c r="N89" s="64">
        <v>84.9</v>
      </c>
      <c r="O89" s="64">
        <v>0</v>
      </c>
      <c r="P89" s="64">
        <v>0.36</v>
      </c>
      <c r="Q89" s="64">
        <v>9.2100000000000009</v>
      </c>
      <c r="R89" s="198"/>
      <c r="S89" s="198"/>
      <c r="T89" s="198"/>
      <c r="U89" s="198"/>
    </row>
    <row r="90" spans="1:26" s="12" customFormat="1" x14ac:dyDescent="0.25">
      <c r="A90" s="211" t="s">
        <v>326</v>
      </c>
      <c r="B90" s="64">
        <v>5.12</v>
      </c>
      <c r="C90" s="64">
        <v>17.75</v>
      </c>
      <c r="D90" s="64">
        <v>26.12</v>
      </c>
      <c r="E90" s="64">
        <v>4.82</v>
      </c>
      <c r="F90" s="64">
        <v>11.23</v>
      </c>
      <c r="G90" s="64">
        <v>35.950000000000003</v>
      </c>
      <c r="H90" s="64">
        <v>59.84</v>
      </c>
      <c r="I90" s="64">
        <v>4.13</v>
      </c>
      <c r="J90" s="64">
        <v>0.6</v>
      </c>
      <c r="K90" s="64">
        <v>158.87</v>
      </c>
      <c r="L90" s="64">
        <v>29.71</v>
      </c>
      <c r="M90" s="64">
        <v>60.45</v>
      </c>
      <c r="N90" s="64">
        <v>83.8</v>
      </c>
      <c r="O90" s="64">
        <v>0</v>
      </c>
      <c r="P90" s="64">
        <v>0.36</v>
      </c>
      <c r="Q90" s="64">
        <v>9.24</v>
      </c>
      <c r="R90" s="198"/>
      <c r="S90" s="198"/>
      <c r="T90" s="198"/>
      <c r="U90" s="198"/>
    </row>
    <row r="91" spans="1:26" s="12" customFormat="1" x14ac:dyDescent="0.25">
      <c r="A91" s="211" t="s">
        <v>327</v>
      </c>
      <c r="B91" s="64">
        <v>4.8499999999999996</v>
      </c>
      <c r="C91" s="64">
        <v>17.07</v>
      </c>
      <c r="D91" s="64">
        <v>25.23</v>
      </c>
      <c r="E91" s="64">
        <v>4.6100000000000003</v>
      </c>
      <c r="F91" s="64">
        <v>14.08</v>
      </c>
      <c r="G91" s="64">
        <v>35.950000000000003</v>
      </c>
      <c r="H91" s="64">
        <v>59.84</v>
      </c>
      <c r="I91" s="64">
        <v>4.04</v>
      </c>
      <c r="J91" s="64">
        <v>0.34</v>
      </c>
      <c r="K91" s="64">
        <v>165.7</v>
      </c>
      <c r="L91" s="64">
        <v>29.47</v>
      </c>
      <c r="M91" s="64">
        <v>61.01</v>
      </c>
      <c r="N91" s="64">
        <v>83.3</v>
      </c>
      <c r="O91" s="64">
        <v>0</v>
      </c>
      <c r="P91" s="64">
        <v>0.34</v>
      </c>
      <c r="Q91" s="64">
        <v>9.25</v>
      </c>
      <c r="R91" s="198"/>
      <c r="S91" s="198"/>
      <c r="T91" s="198"/>
      <c r="U91" s="198"/>
    </row>
    <row r="92" spans="1:26" s="12" customFormat="1" x14ac:dyDescent="0.25">
      <c r="A92" s="211" t="s">
        <v>328</v>
      </c>
      <c r="B92" s="64">
        <v>4.9000000000000004</v>
      </c>
      <c r="C92" s="64">
        <v>17.690000000000001</v>
      </c>
      <c r="D92" s="64">
        <v>26.34</v>
      </c>
      <c r="E92" s="64">
        <v>4.34</v>
      </c>
      <c r="F92" s="64">
        <v>8.2200000000000006</v>
      </c>
      <c r="G92" s="64">
        <v>35.700000000000003</v>
      </c>
      <c r="H92" s="64">
        <v>59.72</v>
      </c>
      <c r="I92" s="64">
        <v>4.01</v>
      </c>
      <c r="J92" s="64">
        <v>0.46</v>
      </c>
      <c r="K92" s="64">
        <v>132.6</v>
      </c>
      <c r="L92" s="64">
        <v>29.29</v>
      </c>
      <c r="M92" s="64">
        <v>60.88</v>
      </c>
      <c r="N92" s="64">
        <v>82.9</v>
      </c>
      <c r="O92" s="64">
        <v>0</v>
      </c>
      <c r="P92" s="64">
        <v>0.34</v>
      </c>
      <c r="Q92" s="64">
        <v>9.24</v>
      </c>
      <c r="R92" s="198"/>
      <c r="S92" s="198"/>
      <c r="T92" s="198"/>
      <c r="U92" s="198"/>
    </row>
    <row r="93" spans="1:26" s="12" customFormat="1" x14ac:dyDescent="0.25">
      <c r="A93" s="211" t="s">
        <v>329</v>
      </c>
      <c r="B93" s="64">
        <v>5</v>
      </c>
      <c r="C93" s="64">
        <v>19.09</v>
      </c>
      <c r="D93" s="64">
        <v>28.85</v>
      </c>
      <c r="E93" s="64">
        <v>4.99</v>
      </c>
      <c r="F93" s="64">
        <v>10.02</v>
      </c>
      <c r="G93" s="64">
        <v>30.26</v>
      </c>
      <c r="H93" s="64">
        <v>57.03</v>
      </c>
      <c r="I93" s="64">
        <v>3.95</v>
      </c>
      <c r="J93" s="64">
        <v>0.24</v>
      </c>
      <c r="K93" s="64">
        <v>120.31</v>
      </c>
      <c r="L93" s="64">
        <v>29.18</v>
      </c>
      <c r="M93" s="64">
        <v>61.24</v>
      </c>
      <c r="N93" s="64">
        <v>82.7</v>
      </c>
      <c r="O93" s="64">
        <v>0</v>
      </c>
      <c r="P93" s="64">
        <v>0.34</v>
      </c>
      <c r="Q93" s="64">
        <v>9.24</v>
      </c>
      <c r="R93" s="198"/>
      <c r="S93" s="198"/>
      <c r="T93" s="198"/>
      <c r="U93" s="198"/>
    </row>
    <row r="94" spans="1:26" s="12" customFormat="1" x14ac:dyDescent="0.25">
      <c r="A94" s="211" t="s">
        <v>330</v>
      </c>
      <c r="B94" s="64">
        <v>5.0199999999999996</v>
      </c>
      <c r="C94" s="64">
        <v>20.010000000000002</v>
      </c>
      <c r="D94" s="64">
        <v>30.6</v>
      </c>
      <c r="E94" s="64">
        <v>4.92</v>
      </c>
      <c r="F94" s="64">
        <v>11.56</v>
      </c>
      <c r="G94" s="64">
        <v>30.26</v>
      </c>
      <c r="H94" s="64">
        <v>57.03</v>
      </c>
      <c r="I94" s="64">
        <v>4.1500000000000004</v>
      </c>
      <c r="J94" s="64">
        <v>0.46</v>
      </c>
      <c r="K94" s="64">
        <v>102.86</v>
      </c>
      <c r="L94" s="64">
        <v>29.18</v>
      </c>
      <c r="M94" s="64">
        <v>60.92</v>
      </c>
      <c r="N94" s="64">
        <v>82.5</v>
      </c>
      <c r="O94" s="64">
        <v>0</v>
      </c>
      <c r="P94" s="64">
        <v>0.32</v>
      </c>
      <c r="Q94" s="64">
        <v>9.26</v>
      </c>
      <c r="R94" s="198"/>
      <c r="S94" s="198"/>
      <c r="T94" s="198"/>
      <c r="U94" s="198"/>
    </row>
    <row r="95" spans="1:26" s="12" customFormat="1" x14ac:dyDescent="0.25">
      <c r="A95" s="211" t="s">
        <v>331</v>
      </c>
      <c r="B95" s="64">
        <v>4.9800000000000004</v>
      </c>
      <c r="C95" s="64">
        <v>17.850000000000001</v>
      </c>
      <c r="D95" s="64">
        <v>26.51</v>
      </c>
      <c r="E95" s="64">
        <v>4.8099999999999996</v>
      </c>
      <c r="F95" s="64">
        <v>9.99</v>
      </c>
      <c r="G95" s="64">
        <v>30.26</v>
      </c>
      <c r="H95" s="64">
        <v>57.03</v>
      </c>
      <c r="I95" s="64">
        <v>4.0599999999999996</v>
      </c>
      <c r="J95" s="64">
        <v>0.25</v>
      </c>
      <c r="K95" s="64">
        <v>143.97</v>
      </c>
      <c r="L95" s="64">
        <v>29.07</v>
      </c>
      <c r="M95" s="64">
        <v>61.42</v>
      </c>
      <c r="N95" s="64">
        <v>83.3</v>
      </c>
      <c r="O95" s="64">
        <v>0</v>
      </c>
      <c r="P95" s="64">
        <v>0.33</v>
      </c>
      <c r="Q95" s="64">
        <v>9.25</v>
      </c>
      <c r="R95" s="198"/>
      <c r="S95" s="198"/>
      <c r="T95" s="198"/>
      <c r="U95" s="198"/>
    </row>
    <row r="96" spans="1:26" s="12" customFormat="1" x14ac:dyDescent="0.25">
      <c r="A96" s="211" t="s">
        <v>332</v>
      </c>
      <c r="B96" s="64">
        <v>4.72</v>
      </c>
      <c r="C96" s="64">
        <v>17.690000000000001</v>
      </c>
      <c r="D96" s="64">
        <v>26.62</v>
      </c>
      <c r="E96" s="64">
        <v>4.6399999999999997</v>
      </c>
      <c r="F96" s="64">
        <v>13.25</v>
      </c>
      <c r="G96" s="64">
        <v>29.83</v>
      </c>
      <c r="H96" s="64">
        <v>56.96</v>
      </c>
      <c r="I96" s="64">
        <v>3.97</v>
      </c>
      <c r="J96" s="64">
        <v>0.43</v>
      </c>
      <c r="K96" s="64">
        <v>136.52000000000001</v>
      </c>
      <c r="L96" s="64">
        <v>28.93</v>
      </c>
      <c r="M96" s="64">
        <v>61.88</v>
      </c>
      <c r="N96" s="64">
        <v>82.7</v>
      </c>
      <c r="O96" s="64">
        <v>0</v>
      </c>
      <c r="P96" s="64">
        <v>0.28999999999999998</v>
      </c>
      <c r="Q96" s="64">
        <v>9.25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333</v>
      </c>
      <c r="B97" s="64">
        <v>5.03</v>
      </c>
      <c r="C97" s="64">
        <v>17.190000000000001</v>
      </c>
      <c r="D97" s="64">
        <v>25.18</v>
      </c>
      <c r="E97" s="64">
        <v>4.59</v>
      </c>
      <c r="F97" s="64">
        <v>9.67</v>
      </c>
      <c r="G97" s="64">
        <v>20.63</v>
      </c>
      <c r="H97" s="64">
        <v>55.59</v>
      </c>
      <c r="I97" s="64">
        <v>4.1500000000000004</v>
      </c>
      <c r="J97" s="64">
        <v>0.3</v>
      </c>
      <c r="K97" s="64">
        <v>147.13999999999999</v>
      </c>
      <c r="L97" s="64">
        <v>28.79</v>
      </c>
      <c r="M97" s="64">
        <v>63.63</v>
      </c>
      <c r="N97" s="64">
        <v>84.5</v>
      </c>
      <c r="O97" s="64">
        <v>0</v>
      </c>
      <c r="P97" s="64">
        <v>0.32</v>
      </c>
      <c r="Q97" s="64">
        <v>9.24</v>
      </c>
      <c r="R97" s="198"/>
      <c r="S97" s="198"/>
      <c r="T97" s="198"/>
      <c r="U97" s="198"/>
    </row>
    <row r="98" spans="1:33" s="12" customFormat="1" x14ac:dyDescent="0.25">
      <c r="A98" s="211" t="s">
        <v>334</v>
      </c>
      <c r="B98" s="64">
        <v>5.05</v>
      </c>
      <c r="C98" s="64">
        <v>17.059999999999999</v>
      </c>
      <c r="D98" s="64">
        <v>24.91</v>
      </c>
      <c r="E98" s="64">
        <v>4.8600000000000003</v>
      </c>
      <c r="F98" s="64">
        <v>11.14</v>
      </c>
      <c r="G98" s="64">
        <v>20.63</v>
      </c>
      <c r="H98" s="64">
        <v>55.59</v>
      </c>
      <c r="I98" s="64">
        <v>4.03</v>
      </c>
      <c r="J98" s="64">
        <v>0.56999999999999995</v>
      </c>
      <c r="K98" s="64">
        <v>148.07</v>
      </c>
      <c r="L98" s="64">
        <v>28.68</v>
      </c>
      <c r="M98" s="64">
        <v>64.599999999999994</v>
      </c>
      <c r="N98" s="64">
        <v>87.9</v>
      </c>
      <c r="O98" s="64">
        <v>0</v>
      </c>
      <c r="P98" s="64">
        <v>0.28999999999999998</v>
      </c>
      <c r="Q98" s="64">
        <v>9.25</v>
      </c>
      <c r="R98" s="198"/>
      <c r="S98" s="198"/>
      <c r="T98" s="198"/>
      <c r="U98" s="198"/>
    </row>
    <row r="99" spans="1:33" s="12" customFormat="1" x14ac:dyDescent="0.25">
      <c r="A99" s="211" t="s">
        <v>335</v>
      </c>
      <c r="B99" s="64">
        <v>4.6500000000000004</v>
      </c>
      <c r="C99" s="64">
        <v>16.079999999999998</v>
      </c>
      <c r="D99" s="64">
        <v>23.63</v>
      </c>
      <c r="E99" s="64">
        <v>4.71</v>
      </c>
      <c r="F99" s="64">
        <v>14.63</v>
      </c>
      <c r="G99" s="64">
        <v>20.63</v>
      </c>
      <c r="H99" s="64">
        <v>55.59</v>
      </c>
      <c r="I99" s="64">
        <v>3.78</v>
      </c>
      <c r="J99" s="64">
        <v>0.51</v>
      </c>
      <c r="K99" s="64">
        <v>149.19</v>
      </c>
      <c r="L99" s="64">
        <v>28.64</v>
      </c>
      <c r="M99" s="64">
        <v>65.150000000000006</v>
      </c>
      <c r="N99" s="64">
        <v>94.6</v>
      </c>
      <c r="O99" s="64">
        <v>0</v>
      </c>
      <c r="P99" s="64">
        <v>0.27</v>
      </c>
      <c r="Q99" s="64">
        <v>9.25</v>
      </c>
      <c r="R99" s="198"/>
      <c r="S99" s="198"/>
      <c r="T99" s="198"/>
      <c r="U99" s="198"/>
    </row>
    <row r="100" spans="1:33" s="12" customFormat="1" x14ac:dyDescent="0.25">
      <c r="A100" s="211" t="s">
        <v>336</v>
      </c>
      <c r="B100" s="64">
        <v>4.07</v>
      </c>
      <c r="C100" s="64">
        <v>15.03</v>
      </c>
      <c r="D100" s="64">
        <v>22.52</v>
      </c>
      <c r="E100" s="64">
        <v>4.75</v>
      </c>
      <c r="F100" s="64">
        <v>14.4</v>
      </c>
      <c r="G100" s="64">
        <v>20.57</v>
      </c>
      <c r="H100" s="64">
        <v>55.65</v>
      </c>
      <c r="I100" s="64">
        <v>3.91</v>
      </c>
      <c r="J100" s="64">
        <v>0.31</v>
      </c>
      <c r="K100" s="64">
        <v>176.31</v>
      </c>
      <c r="L100" s="64">
        <v>28.43</v>
      </c>
      <c r="M100" s="64">
        <v>66.680000000000007</v>
      </c>
      <c r="N100" s="64">
        <v>112</v>
      </c>
      <c r="O100" s="64">
        <v>0</v>
      </c>
      <c r="P100" s="64">
        <v>0.26</v>
      </c>
      <c r="Q100" s="64">
        <v>9.25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337</v>
      </c>
      <c r="B101" s="64">
        <v>4.51</v>
      </c>
      <c r="C101" s="64">
        <v>16.82</v>
      </c>
      <c r="D101" s="64">
        <v>25.27</v>
      </c>
      <c r="E101" s="64">
        <v>4.71</v>
      </c>
      <c r="F101" s="64">
        <v>13.19</v>
      </c>
      <c r="G101" s="64">
        <v>19.39</v>
      </c>
      <c r="H101" s="64">
        <v>56.91</v>
      </c>
      <c r="I101" s="64">
        <v>3.98</v>
      </c>
      <c r="J101" s="64">
        <v>0.4</v>
      </c>
      <c r="K101" s="64">
        <v>131.13999999999999</v>
      </c>
      <c r="L101" s="64">
        <v>28.28</v>
      </c>
      <c r="M101" s="64">
        <v>68.23</v>
      </c>
      <c r="N101" s="64">
        <v>99.6</v>
      </c>
      <c r="O101" s="64">
        <v>0</v>
      </c>
      <c r="P101" s="64">
        <v>0.27</v>
      </c>
      <c r="Q101" s="64">
        <v>9.24</v>
      </c>
      <c r="R101" s="198"/>
      <c r="S101" s="198"/>
      <c r="T101" s="198"/>
      <c r="U101" s="198"/>
    </row>
    <row r="102" spans="1:33" s="12" customFormat="1" x14ac:dyDescent="0.25">
      <c r="A102" s="211" t="s">
        <v>338</v>
      </c>
      <c r="B102" s="64">
        <v>4.33</v>
      </c>
      <c r="C102" s="64">
        <v>14.82</v>
      </c>
      <c r="D102" s="64">
        <v>21.72</v>
      </c>
      <c r="E102" s="64">
        <v>5.19</v>
      </c>
      <c r="F102" s="64">
        <v>14.23</v>
      </c>
      <c r="G102" s="64">
        <v>19.39</v>
      </c>
      <c r="H102" s="64">
        <v>56.91</v>
      </c>
      <c r="I102" s="64">
        <v>4.1100000000000003</v>
      </c>
      <c r="J102" s="64">
        <v>0.28999999999999998</v>
      </c>
      <c r="K102" s="64">
        <v>132.85</v>
      </c>
      <c r="L102" s="64">
        <v>28.11</v>
      </c>
      <c r="M102" s="64">
        <v>69.87</v>
      </c>
      <c r="N102" s="64">
        <v>104.3</v>
      </c>
      <c r="O102" s="64">
        <v>0</v>
      </c>
      <c r="P102" s="64">
        <v>0.26</v>
      </c>
      <c r="Q102" s="64">
        <v>9.23</v>
      </c>
      <c r="R102" s="198"/>
      <c r="S102" s="198"/>
      <c r="T102" s="198"/>
      <c r="U102" s="198"/>
    </row>
    <row r="103" spans="1:33" s="12" customFormat="1" x14ac:dyDescent="0.25">
      <c r="A103" s="211" t="s">
        <v>339</v>
      </c>
      <c r="B103" s="64">
        <v>4.62</v>
      </c>
      <c r="C103" s="64">
        <v>14.13</v>
      </c>
      <c r="D103" s="64">
        <v>19.96</v>
      </c>
      <c r="E103" s="64">
        <v>5.12</v>
      </c>
      <c r="F103" s="64">
        <v>10.72</v>
      </c>
      <c r="G103" s="64">
        <v>19.39</v>
      </c>
      <c r="H103" s="64">
        <v>56.91</v>
      </c>
      <c r="I103" s="64">
        <v>3.89</v>
      </c>
      <c r="J103" s="64">
        <v>0.75</v>
      </c>
      <c r="K103" s="64">
        <v>166.5</v>
      </c>
      <c r="L103" s="64">
        <v>27.94</v>
      </c>
      <c r="M103" s="64">
        <v>71.31</v>
      </c>
      <c r="N103" s="64">
        <v>100.4</v>
      </c>
      <c r="O103" s="64">
        <v>0</v>
      </c>
      <c r="P103" s="64">
        <v>0.27</v>
      </c>
      <c r="Q103" s="64">
        <v>9.24</v>
      </c>
      <c r="R103" s="198"/>
      <c r="S103" s="198"/>
      <c r="T103" s="198"/>
      <c r="U103" s="198"/>
    </row>
    <row r="104" spans="1:33" s="12" customFormat="1" x14ac:dyDescent="0.25">
      <c r="A104" s="211" t="s">
        <v>340</v>
      </c>
      <c r="B104" s="64">
        <v>4.8</v>
      </c>
      <c r="C104" s="64">
        <v>13.35</v>
      </c>
      <c r="D104" s="64">
        <v>18.170000000000002</v>
      </c>
      <c r="E104" s="64">
        <v>3.79</v>
      </c>
      <c r="F104" s="64">
        <v>14.89</v>
      </c>
      <c r="G104" s="64">
        <v>19.34</v>
      </c>
      <c r="H104" s="64">
        <v>56.62</v>
      </c>
      <c r="I104" s="64">
        <v>4.04</v>
      </c>
      <c r="J104" s="64">
        <v>0.44</v>
      </c>
      <c r="K104" s="64">
        <v>145.29</v>
      </c>
      <c r="L104" s="64">
        <v>27.76</v>
      </c>
      <c r="M104" s="64">
        <v>72.52</v>
      </c>
      <c r="N104" s="64">
        <v>109</v>
      </c>
      <c r="O104" s="64">
        <v>0</v>
      </c>
      <c r="P104" s="64">
        <v>0.26</v>
      </c>
      <c r="Q104" s="64">
        <v>9.24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3.08</v>
      </c>
      <c r="C106" s="67">
        <f>MIN(C9:C104)</f>
        <v>13.35</v>
      </c>
      <c r="D106" s="67">
        <f t="shared" ref="D106:Q106" si="0">MIN(D9:D104)</f>
        <v>18.05</v>
      </c>
      <c r="E106" s="67">
        <f t="shared" si="0"/>
        <v>3.79</v>
      </c>
      <c r="F106" s="67">
        <f t="shared" si="0"/>
        <v>4.4400000000000004</v>
      </c>
      <c r="G106" s="67">
        <f t="shared" si="0"/>
        <v>0</v>
      </c>
      <c r="H106" s="67">
        <f t="shared" si="0"/>
        <v>0</v>
      </c>
      <c r="I106" s="67">
        <f t="shared" si="0"/>
        <v>3.75</v>
      </c>
      <c r="J106" s="67">
        <f t="shared" si="0"/>
        <v>7.0000000000000007E-2</v>
      </c>
      <c r="K106" s="67">
        <f t="shared" si="0"/>
        <v>71.92</v>
      </c>
      <c r="L106" s="67">
        <f t="shared" si="0"/>
        <v>26.13</v>
      </c>
      <c r="M106" s="67">
        <f t="shared" si="0"/>
        <v>43.29</v>
      </c>
      <c r="N106" s="67">
        <f t="shared" si="0"/>
        <v>71.099999999999994</v>
      </c>
      <c r="O106" s="67">
        <f t="shared" si="0"/>
        <v>0</v>
      </c>
      <c r="P106" s="67">
        <f t="shared" si="0"/>
        <v>0.2</v>
      </c>
      <c r="Q106" s="67">
        <f t="shared" si="0"/>
        <v>9.1300000000000008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17.399999999999999</v>
      </c>
      <c r="C107" s="66">
        <f t="shared" ref="C107:Q107" si="1">MAX(C9:C104)</f>
        <v>29.64</v>
      </c>
      <c r="D107" s="66">
        <f t="shared" si="1"/>
        <v>34.51</v>
      </c>
      <c r="E107" s="66">
        <f t="shared" si="1"/>
        <v>6.95</v>
      </c>
      <c r="F107" s="66">
        <f t="shared" si="1"/>
        <v>24.87</v>
      </c>
      <c r="G107" s="66">
        <f t="shared" si="1"/>
        <v>59.36</v>
      </c>
      <c r="H107" s="66">
        <f t="shared" si="1"/>
        <v>140.44</v>
      </c>
      <c r="I107" s="66">
        <f t="shared" si="1"/>
        <v>4.32</v>
      </c>
      <c r="J107" s="66">
        <f t="shared" si="1"/>
        <v>2.2599999999999998</v>
      </c>
      <c r="K107" s="66">
        <f t="shared" si="1"/>
        <v>176.31</v>
      </c>
      <c r="L107" s="66">
        <f t="shared" si="1"/>
        <v>33.46</v>
      </c>
      <c r="M107" s="66">
        <f t="shared" si="1"/>
        <v>81.22</v>
      </c>
      <c r="N107" s="66">
        <f t="shared" si="1"/>
        <v>1028.7</v>
      </c>
      <c r="O107" s="66">
        <f t="shared" si="1"/>
        <v>0</v>
      </c>
      <c r="P107" s="66">
        <f t="shared" si="1"/>
        <v>0.47</v>
      </c>
      <c r="Q107" s="66">
        <f t="shared" si="1"/>
        <v>9.44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6.4203125000000005</v>
      </c>
      <c r="C108" s="67">
        <f t="shared" ref="C108:Q108" si="2">AVERAGE(C9:C104)</f>
        <v>17.681874999999998</v>
      </c>
      <c r="D108" s="67">
        <f t="shared" si="2"/>
        <v>23.996041666666667</v>
      </c>
      <c r="E108" s="67">
        <f t="shared" si="2"/>
        <v>5.25875</v>
      </c>
      <c r="F108" s="67">
        <f t="shared" si="2"/>
        <v>12.841979166666674</v>
      </c>
      <c r="G108" s="67">
        <f t="shared" si="2"/>
        <v>31.343645833333337</v>
      </c>
      <c r="H108" s="67">
        <f t="shared" si="2"/>
        <v>25.226145833333334</v>
      </c>
      <c r="I108" s="67">
        <f t="shared" si="2"/>
        <v>4.0011458333333332</v>
      </c>
      <c r="J108" s="67">
        <f t="shared" si="2"/>
        <v>0.70572916666666685</v>
      </c>
      <c r="K108" s="67">
        <f t="shared" si="2"/>
        <v>122.03875000000004</v>
      </c>
      <c r="L108" s="67">
        <f t="shared" si="2"/>
        <v>30.022083333333331</v>
      </c>
      <c r="M108" s="67">
        <f t="shared" si="2"/>
        <v>62.61739583333334</v>
      </c>
      <c r="N108" s="67">
        <f t="shared" si="2"/>
        <v>290.3385416666668</v>
      </c>
      <c r="O108" s="67">
        <f t="shared" si="2"/>
        <v>0</v>
      </c>
      <c r="P108" s="67">
        <f t="shared" si="2"/>
        <v>0.3066666666666667</v>
      </c>
      <c r="Q108" s="67">
        <f t="shared" si="2"/>
        <v>9.2690624999999951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2.9088968620333326</v>
      </c>
      <c r="C109" s="67">
        <f t="shared" ref="C109:Q109" si="3">STDEV(C9:C104)</f>
        <v>2.9481645717471885</v>
      </c>
      <c r="D109" s="67">
        <f t="shared" si="3"/>
        <v>3.4780174265374479</v>
      </c>
      <c r="E109" s="67">
        <f t="shared" si="3"/>
        <v>0.72576094367801958</v>
      </c>
      <c r="F109" s="67">
        <f t="shared" si="3"/>
        <v>4.9810720933912673</v>
      </c>
      <c r="G109" s="67">
        <f t="shared" si="3"/>
        <v>13.266227649247783</v>
      </c>
      <c r="H109" s="67">
        <f t="shared" si="3"/>
        <v>29.899532169189591</v>
      </c>
      <c r="I109" s="67">
        <f t="shared" si="3"/>
        <v>0.10275028279296897</v>
      </c>
      <c r="J109" s="67">
        <f t="shared" si="3"/>
        <v>0.45216844740048051</v>
      </c>
      <c r="K109" s="67">
        <f t="shared" si="3"/>
        <v>23.164874464312593</v>
      </c>
      <c r="L109" s="67">
        <f t="shared" si="3"/>
        <v>2.4701599848749054</v>
      </c>
      <c r="M109" s="67">
        <f t="shared" si="3"/>
        <v>12.326449716792521</v>
      </c>
      <c r="N109" s="67">
        <f t="shared" si="3"/>
        <v>293.25544617181413</v>
      </c>
      <c r="O109" s="67">
        <f t="shared" si="3"/>
        <v>0</v>
      </c>
      <c r="P109" s="67">
        <f t="shared" si="3"/>
        <v>5.4360718531842933E-2</v>
      </c>
      <c r="Q109" s="67">
        <f t="shared" si="3"/>
        <v>0.10618829477568789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98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5" sqref="G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341</v>
      </c>
      <c r="B9" s="64">
        <v>4.55</v>
      </c>
      <c r="C9" s="64">
        <v>11.95</v>
      </c>
      <c r="D9" s="64">
        <v>15.88</v>
      </c>
      <c r="E9" s="64">
        <v>4.45</v>
      </c>
      <c r="F9" s="64">
        <v>15.45</v>
      </c>
      <c r="G9" s="64">
        <v>18.27</v>
      </c>
      <c r="H9" s="64">
        <v>50.46</v>
      </c>
      <c r="I9" s="64">
        <v>3.93</v>
      </c>
      <c r="J9" s="64">
        <v>0.32</v>
      </c>
      <c r="K9" s="64">
        <v>139.27000000000001</v>
      </c>
      <c r="L9" s="64">
        <v>27.57</v>
      </c>
      <c r="M9" s="64">
        <v>72.86</v>
      </c>
      <c r="N9" s="64">
        <v>93.9</v>
      </c>
      <c r="O9" s="64">
        <v>0</v>
      </c>
      <c r="P9" s="64">
        <v>0.25</v>
      </c>
      <c r="Q9" s="64">
        <v>9.24</v>
      </c>
      <c r="R9" s="198"/>
      <c r="S9" s="198"/>
      <c r="T9" s="198"/>
      <c r="U9" s="198"/>
    </row>
    <row r="10" spans="1:21" s="12" customFormat="1" x14ac:dyDescent="0.25">
      <c r="A10" s="211" t="s">
        <v>342</v>
      </c>
      <c r="B10" s="64">
        <v>5.0599999999999996</v>
      </c>
      <c r="C10" s="64">
        <v>12.39</v>
      </c>
      <c r="D10" s="64">
        <v>15.95</v>
      </c>
      <c r="E10" s="64">
        <v>4.4800000000000004</v>
      </c>
      <c r="F10" s="64">
        <v>8.9600000000000009</v>
      </c>
      <c r="G10" s="64">
        <v>18.27</v>
      </c>
      <c r="H10" s="64">
        <v>50.46</v>
      </c>
      <c r="I10" s="64">
        <v>3.92</v>
      </c>
      <c r="J10" s="64">
        <v>0.75</v>
      </c>
      <c r="K10" s="64">
        <v>163.22</v>
      </c>
      <c r="L10" s="64">
        <v>27.57</v>
      </c>
      <c r="M10" s="64">
        <v>73.569999999999993</v>
      </c>
      <c r="N10" s="64">
        <v>86.9</v>
      </c>
      <c r="O10" s="64">
        <v>0</v>
      </c>
      <c r="P10" s="64">
        <v>0.27</v>
      </c>
      <c r="Q10" s="64">
        <v>9.25</v>
      </c>
      <c r="R10" s="198"/>
      <c r="S10" s="198"/>
      <c r="T10" s="198"/>
      <c r="U10" s="198"/>
    </row>
    <row r="11" spans="1:21" s="12" customFormat="1" x14ac:dyDescent="0.25">
      <c r="A11" s="211" t="s">
        <v>343</v>
      </c>
      <c r="B11" s="64">
        <v>5.84</v>
      </c>
      <c r="C11" s="64">
        <v>14.73</v>
      </c>
      <c r="D11" s="64">
        <v>19.23</v>
      </c>
      <c r="E11" s="64">
        <v>4.5199999999999996</v>
      </c>
      <c r="F11" s="64">
        <v>5.05</v>
      </c>
      <c r="G11" s="64">
        <v>18.27</v>
      </c>
      <c r="H11" s="64">
        <v>50.46</v>
      </c>
      <c r="I11" s="64">
        <v>3.98</v>
      </c>
      <c r="J11" s="64">
        <v>0.63</v>
      </c>
      <c r="K11" s="64">
        <v>181.65</v>
      </c>
      <c r="L11" s="64">
        <v>27.38</v>
      </c>
      <c r="M11" s="64">
        <v>75.05</v>
      </c>
      <c r="N11" s="64">
        <v>87.9</v>
      </c>
      <c r="O11" s="64">
        <v>0</v>
      </c>
      <c r="P11" s="64">
        <v>0.28000000000000003</v>
      </c>
      <c r="Q11" s="64">
        <v>9.24</v>
      </c>
      <c r="R11" s="198"/>
      <c r="S11" s="198"/>
      <c r="T11" s="198"/>
      <c r="U11" s="198"/>
    </row>
    <row r="12" spans="1:21" s="12" customFormat="1" x14ac:dyDescent="0.25">
      <c r="A12" s="211" t="s">
        <v>344</v>
      </c>
      <c r="B12" s="64">
        <v>5.77</v>
      </c>
      <c r="C12" s="64">
        <v>14.84</v>
      </c>
      <c r="D12" s="64">
        <v>19.559999999999999</v>
      </c>
      <c r="E12" s="64">
        <v>4.58</v>
      </c>
      <c r="F12" s="64">
        <v>6.08</v>
      </c>
      <c r="G12" s="64">
        <v>18.13</v>
      </c>
      <c r="H12" s="64">
        <v>50.3</v>
      </c>
      <c r="I12" s="64">
        <v>4</v>
      </c>
      <c r="J12" s="64">
        <v>0.8</v>
      </c>
      <c r="K12" s="64">
        <v>164.44</v>
      </c>
      <c r="L12" s="64">
        <v>27.26</v>
      </c>
      <c r="M12" s="64">
        <v>75.61</v>
      </c>
      <c r="N12" s="64">
        <v>75.3</v>
      </c>
      <c r="O12" s="64">
        <v>0</v>
      </c>
      <c r="P12" s="64">
        <v>0.26</v>
      </c>
      <c r="Q12" s="64">
        <v>9.24</v>
      </c>
      <c r="R12" s="198"/>
      <c r="S12" s="198"/>
      <c r="T12" s="198"/>
      <c r="U12" s="198"/>
    </row>
    <row r="13" spans="1:21" s="12" customFormat="1" x14ac:dyDescent="0.25">
      <c r="A13" s="211" t="s">
        <v>345</v>
      </c>
      <c r="B13" s="64">
        <v>5.75</v>
      </c>
      <c r="C13" s="64">
        <v>14.98</v>
      </c>
      <c r="D13" s="64">
        <v>19.850000000000001</v>
      </c>
      <c r="E13" s="64">
        <v>4.1500000000000004</v>
      </c>
      <c r="F13" s="64">
        <v>5.37</v>
      </c>
      <c r="G13" s="64">
        <v>15.18</v>
      </c>
      <c r="H13" s="64">
        <v>46.87</v>
      </c>
      <c r="I13" s="64">
        <v>3.9</v>
      </c>
      <c r="J13" s="64">
        <v>0.9</v>
      </c>
      <c r="K13" s="64">
        <v>165.93</v>
      </c>
      <c r="L13" s="64">
        <v>27.19</v>
      </c>
      <c r="M13" s="64">
        <v>76.83</v>
      </c>
      <c r="N13" s="64">
        <v>60.8</v>
      </c>
      <c r="O13" s="64">
        <v>0</v>
      </c>
      <c r="P13" s="64">
        <v>0.27</v>
      </c>
      <c r="Q13" s="64">
        <v>9.2200000000000006</v>
      </c>
      <c r="R13" s="198"/>
      <c r="S13" s="198"/>
      <c r="T13" s="198"/>
      <c r="U13" s="198"/>
    </row>
    <row r="14" spans="1:21" s="12" customFormat="1" x14ac:dyDescent="0.25">
      <c r="A14" s="211" t="s">
        <v>346</v>
      </c>
      <c r="B14" s="64">
        <v>5.4</v>
      </c>
      <c r="C14" s="64">
        <v>15.02</v>
      </c>
      <c r="D14" s="64">
        <v>20.46</v>
      </c>
      <c r="E14" s="64">
        <v>4.45</v>
      </c>
      <c r="F14" s="64">
        <v>6.83</v>
      </c>
      <c r="G14" s="64">
        <v>15.18</v>
      </c>
      <c r="H14" s="64">
        <v>46.87</v>
      </c>
      <c r="I14" s="64">
        <v>3.81</v>
      </c>
      <c r="J14" s="64">
        <v>0.9</v>
      </c>
      <c r="K14" s="64">
        <v>154.86000000000001</v>
      </c>
      <c r="L14" s="64">
        <v>27.19</v>
      </c>
      <c r="M14" s="64">
        <v>78.489999999999995</v>
      </c>
      <c r="N14" s="64">
        <v>60.5</v>
      </c>
      <c r="O14" s="64">
        <v>0</v>
      </c>
      <c r="P14" s="64">
        <v>0.25</v>
      </c>
      <c r="Q14" s="64">
        <v>9.2200000000000006</v>
      </c>
      <c r="R14" s="198"/>
      <c r="S14" s="198"/>
      <c r="T14" s="198"/>
      <c r="U14" s="198"/>
    </row>
    <row r="15" spans="1:21" s="12" customFormat="1" x14ac:dyDescent="0.25">
      <c r="A15" s="211" t="s">
        <v>347</v>
      </c>
      <c r="B15" s="64">
        <v>5.25</v>
      </c>
      <c r="C15" s="64">
        <v>14.61</v>
      </c>
      <c r="D15" s="64">
        <v>19.899999999999999</v>
      </c>
      <c r="E15" s="64">
        <v>4.17</v>
      </c>
      <c r="F15" s="64">
        <v>5.22</v>
      </c>
      <c r="G15" s="64">
        <v>15.18</v>
      </c>
      <c r="H15" s="64">
        <v>46.87</v>
      </c>
      <c r="I15" s="64">
        <v>3.85</v>
      </c>
      <c r="J15" s="64">
        <v>0.81</v>
      </c>
      <c r="K15" s="64">
        <v>162.96</v>
      </c>
      <c r="L15" s="64">
        <v>27</v>
      </c>
      <c r="M15" s="64">
        <v>80.400000000000006</v>
      </c>
      <c r="N15" s="64">
        <v>61.3</v>
      </c>
      <c r="O15" s="64">
        <v>0</v>
      </c>
      <c r="P15" s="64">
        <v>0.26</v>
      </c>
      <c r="Q15" s="64">
        <v>9.2200000000000006</v>
      </c>
      <c r="R15" s="198"/>
      <c r="S15" s="198"/>
      <c r="T15" s="198"/>
      <c r="U15" s="198"/>
    </row>
    <row r="16" spans="1:21" s="12" customFormat="1" x14ac:dyDescent="0.25">
      <c r="A16" s="211" t="s">
        <v>348</v>
      </c>
      <c r="B16" s="64">
        <v>5.1100000000000003</v>
      </c>
      <c r="C16" s="64">
        <v>14.49</v>
      </c>
      <c r="D16" s="64">
        <v>19.88</v>
      </c>
      <c r="E16" s="64">
        <v>4.29</v>
      </c>
      <c r="F16" s="64">
        <v>6.74</v>
      </c>
      <c r="G16" s="64">
        <v>15.08</v>
      </c>
      <c r="H16" s="64">
        <v>46.79</v>
      </c>
      <c r="I16" s="64">
        <v>4.04</v>
      </c>
      <c r="J16" s="64">
        <v>0.75</v>
      </c>
      <c r="K16" s="64">
        <v>157.15</v>
      </c>
      <c r="L16" s="64">
        <v>26.85</v>
      </c>
      <c r="M16" s="64">
        <v>81.84</v>
      </c>
      <c r="N16" s="64">
        <v>63</v>
      </c>
      <c r="O16" s="64">
        <v>0</v>
      </c>
      <c r="P16" s="64">
        <v>0.25</v>
      </c>
      <c r="Q16" s="64">
        <v>9.2100000000000009</v>
      </c>
      <c r="R16" s="198"/>
      <c r="S16" s="198"/>
      <c r="T16" s="198"/>
      <c r="U16" s="198"/>
    </row>
    <row r="17" spans="1:21" s="12" customFormat="1" x14ac:dyDescent="0.25">
      <c r="A17" s="211" t="s">
        <v>349</v>
      </c>
      <c r="B17" s="64">
        <v>4.93</v>
      </c>
      <c r="C17" s="64">
        <v>13.52</v>
      </c>
      <c r="D17" s="64">
        <v>18.309999999999999</v>
      </c>
      <c r="E17" s="64">
        <v>4.07</v>
      </c>
      <c r="F17" s="64">
        <v>6.64</v>
      </c>
      <c r="G17" s="64">
        <v>13.02</v>
      </c>
      <c r="H17" s="64">
        <v>45.21</v>
      </c>
      <c r="I17" s="64">
        <v>4.1100000000000003</v>
      </c>
      <c r="J17" s="64">
        <v>0.52</v>
      </c>
      <c r="K17" s="64">
        <v>157.97999999999999</v>
      </c>
      <c r="L17" s="64">
        <v>26.75</v>
      </c>
      <c r="M17" s="64">
        <v>83.23</v>
      </c>
      <c r="N17" s="64">
        <v>64.7</v>
      </c>
      <c r="O17" s="64">
        <v>0</v>
      </c>
      <c r="P17" s="64">
        <v>0.25</v>
      </c>
      <c r="Q17" s="64">
        <v>9.19</v>
      </c>
      <c r="R17" s="198"/>
      <c r="S17" s="198"/>
      <c r="T17" s="198"/>
      <c r="U17" s="198"/>
    </row>
    <row r="18" spans="1:21" s="12" customFormat="1" x14ac:dyDescent="0.25">
      <c r="A18" s="211" t="s">
        <v>350</v>
      </c>
      <c r="B18" s="64">
        <v>4.87</v>
      </c>
      <c r="C18" s="64">
        <v>13.66</v>
      </c>
      <c r="D18" s="64">
        <v>18.66</v>
      </c>
      <c r="E18" s="64">
        <v>4.3499999999999996</v>
      </c>
      <c r="F18" s="64">
        <v>7.38</v>
      </c>
      <c r="G18" s="64">
        <v>13.02</v>
      </c>
      <c r="H18" s="64">
        <v>45.21</v>
      </c>
      <c r="I18" s="64">
        <v>4.01</v>
      </c>
      <c r="J18" s="64">
        <v>0.65</v>
      </c>
      <c r="K18" s="64">
        <v>169.7</v>
      </c>
      <c r="L18" s="64">
        <v>26.81</v>
      </c>
      <c r="M18" s="64">
        <v>84.29</v>
      </c>
      <c r="N18" s="64">
        <v>80.7</v>
      </c>
      <c r="O18" s="64">
        <v>0</v>
      </c>
      <c r="P18" s="64">
        <v>0.23</v>
      </c>
      <c r="Q18" s="64">
        <v>9.19</v>
      </c>
      <c r="R18" s="198"/>
      <c r="S18" s="198"/>
      <c r="T18" s="198"/>
      <c r="U18" s="198"/>
    </row>
    <row r="19" spans="1:21" s="12" customFormat="1" x14ac:dyDescent="0.25">
      <c r="A19" s="211" t="s">
        <v>351</v>
      </c>
      <c r="B19" s="64">
        <v>4.7699999999999996</v>
      </c>
      <c r="C19" s="64">
        <v>12.86</v>
      </c>
      <c r="D19" s="64">
        <v>17.3</v>
      </c>
      <c r="E19" s="64">
        <v>4.13</v>
      </c>
      <c r="F19" s="64">
        <v>6.57</v>
      </c>
      <c r="G19" s="64">
        <v>13.02</v>
      </c>
      <c r="H19" s="64">
        <v>45.21</v>
      </c>
      <c r="I19" s="64">
        <v>3.94</v>
      </c>
      <c r="J19" s="64">
        <v>0.72</v>
      </c>
      <c r="K19" s="64">
        <v>169.78</v>
      </c>
      <c r="L19" s="64">
        <v>26.6</v>
      </c>
      <c r="M19" s="64">
        <v>85.39</v>
      </c>
      <c r="N19" s="64">
        <v>75.400000000000006</v>
      </c>
      <c r="O19" s="64">
        <v>0</v>
      </c>
      <c r="P19" s="64">
        <v>0.23</v>
      </c>
      <c r="Q19" s="64">
        <v>9.18</v>
      </c>
      <c r="R19" s="198"/>
      <c r="S19" s="198"/>
      <c r="T19" s="198"/>
      <c r="U19" s="198"/>
    </row>
    <row r="20" spans="1:21" s="12" customFormat="1" x14ac:dyDescent="0.25">
      <c r="A20" s="211" t="s">
        <v>352</v>
      </c>
      <c r="B20" s="64">
        <v>5.0199999999999996</v>
      </c>
      <c r="C20" s="64">
        <v>13.54</v>
      </c>
      <c r="D20" s="64">
        <v>18.21</v>
      </c>
      <c r="E20" s="64">
        <v>4.33</v>
      </c>
      <c r="F20" s="64">
        <v>5.13</v>
      </c>
      <c r="G20" s="64">
        <v>13.03</v>
      </c>
      <c r="H20" s="64">
        <v>45.08</v>
      </c>
      <c r="I20" s="64">
        <v>3.91</v>
      </c>
      <c r="J20" s="64">
        <v>0.74</v>
      </c>
      <c r="K20" s="64">
        <v>159.96</v>
      </c>
      <c r="L20" s="64">
        <v>26.6</v>
      </c>
      <c r="M20" s="64">
        <v>85.01</v>
      </c>
      <c r="N20" s="64">
        <v>83.7</v>
      </c>
      <c r="O20" s="64">
        <v>0</v>
      </c>
      <c r="P20" s="64">
        <v>0.25</v>
      </c>
      <c r="Q20" s="64">
        <v>9.18</v>
      </c>
      <c r="R20" s="198"/>
      <c r="S20" s="198"/>
      <c r="T20" s="198"/>
      <c r="U20" s="198"/>
    </row>
    <row r="21" spans="1:21" s="12" customFormat="1" x14ac:dyDescent="0.25">
      <c r="A21" s="211" t="s">
        <v>353</v>
      </c>
      <c r="B21" s="64">
        <v>4.51</v>
      </c>
      <c r="C21" s="64">
        <v>12.06</v>
      </c>
      <c r="D21" s="64">
        <v>16.16</v>
      </c>
      <c r="E21" s="64">
        <v>4.1500000000000004</v>
      </c>
      <c r="F21" s="64">
        <v>12.1</v>
      </c>
      <c r="G21" s="64">
        <v>13.16</v>
      </c>
      <c r="H21" s="64">
        <v>42.38</v>
      </c>
      <c r="I21" s="64">
        <v>4.0599999999999996</v>
      </c>
      <c r="J21" s="64">
        <v>0.4</v>
      </c>
      <c r="K21" s="64">
        <v>168.36</v>
      </c>
      <c r="L21" s="64">
        <v>26.56</v>
      </c>
      <c r="M21" s="64">
        <v>85.53</v>
      </c>
      <c r="N21" s="64">
        <v>66.599999999999994</v>
      </c>
      <c r="O21" s="64">
        <v>0</v>
      </c>
      <c r="P21" s="64">
        <v>0.21</v>
      </c>
      <c r="Q21" s="64">
        <v>9.19</v>
      </c>
      <c r="R21" s="198"/>
      <c r="S21" s="198"/>
      <c r="T21" s="198"/>
      <c r="U21" s="198"/>
    </row>
    <row r="22" spans="1:21" s="12" customFormat="1" x14ac:dyDescent="0.25">
      <c r="A22" s="211" t="s">
        <v>354</v>
      </c>
      <c r="B22" s="64">
        <v>4.22</v>
      </c>
      <c r="C22" s="64">
        <v>11.14</v>
      </c>
      <c r="D22" s="64">
        <v>14.85</v>
      </c>
      <c r="E22" s="64">
        <v>3.93</v>
      </c>
      <c r="F22" s="64">
        <v>12.3</v>
      </c>
      <c r="G22" s="64">
        <v>13.16</v>
      </c>
      <c r="H22" s="64">
        <v>42.38</v>
      </c>
      <c r="I22" s="64">
        <v>3.94</v>
      </c>
      <c r="J22" s="64">
        <v>0.47</v>
      </c>
      <c r="K22" s="64">
        <v>183.55</v>
      </c>
      <c r="L22" s="64">
        <v>26.53</v>
      </c>
      <c r="M22" s="64">
        <v>87.26</v>
      </c>
      <c r="N22" s="64">
        <v>61.6</v>
      </c>
      <c r="O22" s="64">
        <v>0</v>
      </c>
      <c r="P22" s="64">
        <v>0.22</v>
      </c>
      <c r="Q22" s="64">
        <v>9.19</v>
      </c>
      <c r="R22" s="198"/>
      <c r="S22" s="198"/>
      <c r="T22" s="198"/>
      <c r="U22" s="198"/>
    </row>
    <row r="23" spans="1:21" s="12" customFormat="1" x14ac:dyDescent="0.25">
      <c r="A23" s="211" t="s">
        <v>355</v>
      </c>
      <c r="B23" s="64">
        <v>4.55</v>
      </c>
      <c r="C23" s="64">
        <v>11.35</v>
      </c>
      <c r="D23" s="64">
        <v>14.74</v>
      </c>
      <c r="E23" s="64">
        <v>4.43</v>
      </c>
      <c r="F23" s="64">
        <v>12.91</v>
      </c>
      <c r="G23" s="64">
        <v>13.16</v>
      </c>
      <c r="H23" s="64">
        <v>42.38</v>
      </c>
      <c r="I23" s="64">
        <v>3.98</v>
      </c>
      <c r="J23" s="64">
        <v>0.31</v>
      </c>
      <c r="K23" s="64">
        <v>181.38</v>
      </c>
      <c r="L23" s="64">
        <v>26.3</v>
      </c>
      <c r="M23" s="64">
        <v>89</v>
      </c>
      <c r="N23" s="64">
        <v>61.4</v>
      </c>
      <c r="O23" s="64">
        <v>0</v>
      </c>
      <c r="P23" s="64">
        <v>0.21</v>
      </c>
      <c r="Q23" s="64">
        <v>9.17</v>
      </c>
      <c r="R23" s="198"/>
      <c r="S23" s="198"/>
      <c r="T23" s="198"/>
      <c r="U23" s="198"/>
    </row>
    <row r="24" spans="1:21" s="12" customFormat="1" x14ac:dyDescent="0.25">
      <c r="A24" s="211" t="s">
        <v>356</v>
      </c>
      <c r="B24" s="64">
        <v>4.7699999999999996</v>
      </c>
      <c r="C24" s="64">
        <v>11.78</v>
      </c>
      <c r="D24" s="64">
        <v>15.22</v>
      </c>
      <c r="E24" s="64">
        <v>4.1500000000000004</v>
      </c>
      <c r="F24" s="64">
        <v>9.81</v>
      </c>
      <c r="G24" s="64">
        <v>13.02</v>
      </c>
      <c r="H24" s="64">
        <v>42.47</v>
      </c>
      <c r="I24" s="64">
        <v>4.18</v>
      </c>
      <c r="J24" s="64">
        <v>0.62</v>
      </c>
      <c r="K24" s="64">
        <v>170.42</v>
      </c>
      <c r="L24" s="64">
        <v>26.21</v>
      </c>
      <c r="M24" s="64">
        <v>89.96</v>
      </c>
      <c r="N24" s="64">
        <v>61.6</v>
      </c>
      <c r="O24" s="64">
        <v>0</v>
      </c>
      <c r="P24" s="64">
        <v>0.22</v>
      </c>
      <c r="Q24" s="64">
        <v>9.18</v>
      </c>
      <c r="R24" s="198"/>
      <c r="S24" s="198"/>
      <c r="T24" s="198"/>
      <c r="U24" s="198"/>
    </row>
    <row r="25" spans="1:21" s="12" customFormat="1" x14ac:dyDescent="0.25">
      <c r="A25" s="211" t="s">
        <v>357</v>
      </c>
      <c r="B25" s="64">
        <v>4.4800000000000004</v>
      </c>
      <c r="C25" s="64">
        <v>11.37</v>
      </c>
      <c r="D25" s="64">
        <v>14.88</v>
      </c>
      <c r="E25" s="64">
        <v>4.3499999999999996</v>
      </c>
      <c r="F25" s="64">
        <v>10.3</v>
      </c>
      <c r="G25" s="64">
        <v>9.9700000000000006</v>
      </c>
      <c r="H25" s="64">
        <v>44.28</v>
      </c>
      <c r="I25" s="64">
        <v>4.16</v>
      </c>
      <c r="J25" s="64">
        <v>0.42</v>
      </c>
      <c r="K25" s="64">
        <v>161.57</v>
      </c>
      <c r="L25" s="64">
        <v>26.09</v>
      </c>
      <c r="M25" s="64">
        <v>91.12</v>
      </c>
      <c r="N25" s="64">
        <v>62.7</v>
      </c>
      <c r="O25" s="64">
        <v>0</v>
      </c>
      <c r="P25" s="64">
        <v>0.21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11" t="s">
        <v>358</v>
      </c>
      <c r="B26" s="64">
        <v>4.9400000000000004</v>
      </c>
      <c r="C26" s="64">
        <v>11.94</v>
      </c>
      <c r="D26" s="64">
        <v>15.27</v>
      </c>
      <c r="E26" s="64">
        <v>4.2</v>
      </c>
      <c r="F26" s="64">
        <v>9.58</v>
      </c>
      <c r="G26" s="64">
        <v>9.9700000000000006</v>
      </c>
      <c r="H26" s="64">
        <v>44.28</v>
      </c>
      <c r="I26" s="64">
        <v>4.07</v>
      </c>
      <c r="J26" s="64">
        <v>0.62</v>
      </c>
      <c r="K26" s="64">
        <v>161.41999999999999</v>
      </c>
      <c r="L26" s="64">
        <v>26.15</v>
      </c>
      <c r="M26" s="64">
        <v>92.13</v>
      </c>
      <c r="N26" s="64">
        <v>63.9</v>
      </c>
      <c r="O26" s="64">
        <v>0</v>
      </c>
      <c r="P26" s="64">
        <v>0.22</v>
      </c>
      <c r="Q26" s="64">
        <v>9.19</v>
      </c>
      <c r="R26" s="198"/>
      <c r="S26" s="198"/>
      <c r="T26" s="198"/>
      <c r="U26" s="198"/>
    </row>
    <row r="27" spans="1:21" s="12" customFormat="1" x14ac:dyDescent="0.25">
      <c r="A27" s="211" t="s">
        <v>359</v>
      </c>
      <c r="B27" s="64">
        <v>4.8</v>
      </c>
      <c r="C27" s="64">
        <v>12.27</v>
      </c>
      <c r="D27" s="64">
        <v>16.11</v>
      </c>
      <c r="E27" s="64">
        <v>4.17</v>
      </c>
      <c r="F27" s="64">
        <v>10.5</v>
      </c>
      <c r="G27" s="64">
        <v>9.9700000000000006</v>
      </c>
      <c r="H27" s="64">
        <v>44.28</v>
      </c>
      <c r="I27" s="64">
        <v>4.0199999999999996</v>
      </c>
      <c r="J27" s="64">
        <v>0.46</v>
      </c>
      <c r="K27" s="64">
        <v>165.28</v>
      </c>
      <c r="L27" s="64">
        <v>26.09</v>
      </c>
      <c r="M27" s="64">
        <v>93.06</v>
      </c>
      <c r="N27" s="64">
        <v>68.3</v>
      </c>
      <c r="O27" s="64">
        <v>0</v>
      </c>
      <c r="P27" s="64">
        <v>0.22</v>
      </c>
      <c r="Q27" s="64">
        <v>9.1999999999999993</v>
      </c>
      <c r="R27" s="198"/>
      <c r="S27" s="198"/>
      <c r="T27" s="198"/>
      <c r="U27" s="198"/>
    </row>
    <row r="28" spans="1:21" s="12" customFormat="1" x14ac:dyDescent="0.25">
      <c r="A28" s="211" t="s">
        <v>360</v>
      </c>
      <c r="B28" s="64">
        <v>4.67</v>
      </c>
      <c r="C28" s="64">
        <v>13.46</v>
      </c>
      <c r="D28" s="64">
        <v>18.600000000000001</v>
      </c>
      <c r="E28" s="64">
        <v>4.59</v>
      </c>
      <c r="F28" s="64">
        <v>9.6199999999999992</v>
      </c>
      <c r="G28" s="64">
        <v>10.09</v>
      </c>
      <c r="H28" s="64">
        <v>44.2</v>
      </c>
      <c r="I28" s="64">
        <v>4.01</v>
      </c>
      <c r="J28" s="64">
        <v>0.15</v>
      </c>
      <c r="K28" s="64">
        <v>165.44</v>
      </c>
      <c r="L28" s="64">
        <v>25.99</v>
      </c>
      <c r="M28" s="64">
        <v>93.86</v>
      </c>
      <c r="N28" s="64">
        <v>80.2</v>
      </c>
      <c r="O28" s="64">
        <v>0</v>
      </c>
      <c r="P28" s="64">
        <v>0.22</v>
      </c>
      <c r="Q28" s="64">
        <v>9.2100000000000009</v>
      </c>
      <c r="R28" s="198"/>
      <c r="S28" s="198"/>
      <c r="T28" s="198"/>
      <c r="U28" s="198"/>
    </row>
    <row r="29" spans="1:21" s="12" customFormat="1" x14ac:dyDescent="0.25">
      <c r="A29" s="211" t="s">
        <v>361</v>
      </c>
      <c r="B29" s="64">
        <v>5.18</v>
      </c>
      <c r="C29" s="64">
        <v>14.43</v>
      </c>
      <c r="D29" s="64">
        <v>19.670000000000002</v>
      </c>
      <c r="E29" s="64">
        <v>4.78</v>
      </c>
      <c r="F29" s="64">
        <v>9.4</v>
      </c>
      <c r="G29" s="64">
        <v>12.7</v>
      </c>
      <c r="H29" s="64">
        <v>42.33</v>
      </c>
      <c r="I29" s="64">
        <v>4</v>
      </c>
      <c r="J29" s="64">
        <v>0.27</v>
      </c>
      <c r="K29" s="64">
        <v>167.49</v>
      </c>
      <c r="L29" s="64">
        <v>25.92</v>
      </c>
      <c r="M29" s="64">
        <v>94.01</v>
      </c>
      <c r="N29" s="64">
        <v>83.8</v>
      </c>
      <c r="O29" s="64">
        <v>0</v>
      </c>
      <c r="P29" s="64">
        <v>0.22</v>
      </c>
      <c r="Q29" s="64">
        <v>9.1999999999999993</v>
      </c>
      <c r="R29" s="198"/>
      <c r="S29" s="198"/>
      <c r="T29" s="198"/>
      <c r="U29" s="198"/>
    </row>
    <row r="30" spans="1:21" s="12" customFormat="1" x14ac:dyDescent="0.25">
      <c r="A30" s="211" t="s">
        <v>362</v>
      </c>
      <c r="B30" s="64">
        <v>5.07</v>
      </c>
      <c r="C30" s="64">
        <v>13.98</v>
      </c>
      <c r="D30" s="64">
        <v>18.97</v>
      </c>
      <c r="E30" s="64">
        <v>4.45</v>
      </c>
      <c r="F30" s="64">
        <v>9.3800000000000008</v>
      </c>
      <c r="G30" s="64">
        <v>12.7</v>
      </c>
      <c r="H30" s="64">
        <v>42.33</v>
      </c>
      <c r="I30" s="64">
        <v>4.03</v>
      </c>
      <c r="J30" s="64">
        <v>0.17</v>
      </c>
      <c r="K30" s="64">
        <v>155.71</v>
      </c>
      <c r="L30" s="64">
        <v>25.89</v>
      </c>
      <c r="M30" s="64">
        <v>94.5</v>
      </c>
      <c r="N30" s="64">
        <v>87.7</v>
      </c>
      <c r="O30" s="64">
        <v>0</v>
      </c>
      <c r="P30" s="64">
        <v>0.23</v>
      </c>
      <c r="Q30" s="64">
        <v>9.2200000000000006</v>
      </c>
      <c r="R30" s="198"/>
      <c r="S30" s="198"/>
      <c r="T30" s="198"/>
      <c r="U30" s="198"/>
    </row>
    <row r="31" spans="1:21" s="12" customFormat="1" x14ac:dyDescent="0.25">
      <c r="A31" s="211" t="s">
        <v>363</v>
      </c>
      <c r="B31" s="64">
        <v>4.51</v>
      </c>
      <c r="C31" s="64">
        <v>13.56</v>
      </c>
      <c r="D31" s="64">
        <v>19.04</v>
      </c>
      <c r="E31" s="64">
        <v>4.3</v>
      </c>
      <c r="F31" s="64">
        <v>10.78</v>
      </c>
      <c r="G31" s="64">
        <v>12.7</v>
      </c>
      <c r="H31" s="64">
        <v>42.33</v>
      </c>
      <c r="I31" s="64">
        <v>3.95</v>
      </c>
      <c r="J31" s="64">
        <v>0.17</v>
      </c>
      <c r="K31" s="64">
        <v>162</v>
      </c>
      <c r="L31" s="64">
        <v>25.91</v>
      </c>
      <c r="M31" s="64">
        <v>94.53</v>
      </c>
      <c r="N31" s="64">
        <v>88</v>
      </c>
      <c r="O31" s="64">
        <v>0</v>
      </c>
      <c r="P31" s="64">
        <v>0.24</v>
      </c>
      <c r="Q31" s="64">
        <v>9.2200000000000006</v>
      </c>
      <c r="R31" s="198"/>
      <c r="S31" s="198"/>
      <c r="T31" s="198"/>
      <c r="U31" s="198"/>
    </row>
    <row r="32" spans="1:21" s="12" customFormat="1" x14ac:dyDescent="0.25">
      <c r="A32" s="211" t="s">
        <v>364</v>
      </c>
      <c r="B32" s="64">
        <v>5.05</v>
      </c>
      <c r="C32" s="64">
        <v>14.44</v>
      </c>
      <c r="D32" s="64">
        <v>19.88</v>
      </c>
      <c r="E32" s="64">
        <v>4.38</v>
      </c>
      <c r="F32" s="64">
        <v>8.31</v>
      </c>
      <c r="G32" s="64">
        <v>12.58</v>
      </c>
      <c r="H32" s="64">
        <v>42.26</v>
      </c>
      <c r="I32" s="64">
        <v>4.18</v>
      </c>
      <c r="J32" s="64">
        <v>0.21</v>
      </c>
      <c r="K32" s="64">
        <v>151.61000000000001</v>
      </c>
      <c r="L32" s="64">
        <v>26.17</v>
      </c>
      <c r="M32" s="64">
        <v>93.48</v>
      </c>
      <c r="N32" s="64">
        <v>119.4</v>
      </c>
      <c r="O32" s="64">
        <v>0</v>
      </c>
      <c r="P32" s="64">
        <v>0.25</v>
      </c>
      <c r="Q32" s="64">
        <v>9.2200000000000006</v>
      </c>
      <c r="R32" s="198"/>
      <c r="S32" s="198"/>
      <c r="T32" s="198"/>
      <c r="U32" s="198"/>
    </row>
    <row r="33" spans="1:21" s="12" customFormat="1" x14ac:dyDescent="0.25">
      <c r="A33" s="211" t="s">
        <v>365</v>
      </c>
      <c r="B33" s="64">
        <v>6.25</v>
      </c>
      <c r="C33" s="64">
        <v>19.16</v>
      </c>
      <c r="D33" s="64">
        <v>27.08</v>
      </c>
      <c r="E33" s="64">
        <v>4.1900000000000004</v>
      </c>
      <c r="F33" s="64">
        <v>9.9700000000000006</v>
      </c>
      <c r="G33" s="64">
        <v>9.92</v>
      </c>
      <c r="H33" s="64">
        <v>40.799999999999997</v>
      </c>
      <c r="I33" s="64">
        <v>4.05</v>
      </c>
      <c r="J33" s="64">
        <v>0.11</v>
      </c>
      <c r="K33" s="64">
        <v>118.36</v>
      </c>
      <c r="L33" s="64">
        <v>26.79</v>
      </c>
      <c r="M33" s="64">
        <v>91.34</v>
      </c>
      <c r="N33" s="64">
        <v>179.4</v>
      </c>
      <c r="O33" s="64">
        <v>0</v>
      </c>
      <c r="P33" s="64">
        <v>0.26</v>
      </c>
      <c r="Q33" s="64">
        <v>9.23</v>
      </c>
      <c r="R33" s="198"/>
      <c r="S33" s="198"/>
      <c r="T33" s="198"/>
      <c r="U33" s="198"/>
    </row>
    <row r="34" spans="1:21" s="12" customFormat="1" x14ac:dyDescent="0.25">
      <c r="A34" s="211" t="s">
        <v>366</v>
      </c>
      <c r="B34" s="64">
        <v>6.72</v>
      </c>
      <c r="C34" s="64">
        <v>17.73</v>
      </c>
      <c r="D34" s="64">
        <v>23.63</v>
      </c>
      <c r="E34" s="64">
        <v>4.34</v>
      </c>
      <c r="F34" s="64">
        <v>8.6300000000000008</v>
      </c>
      <c r="G34" s="64">
        <v>9.92</v>
      </c>
      <c r="H34" s="64">
        <v>40.799999999999997</v>
      </c>
      <c r="I34" s="64">
        <v>4.2</v>
      </c>
      <c r="J34" s="64">
        <v>0.27</v>
      </c>
      <c r="K34" s="64">
        <v>109.02</v>
      </c>
      <c r="L34" s="64">
        <v>27.54</v>
      </c>
      <c r="M34" s="64">
        <v>87.39</v>
      </c>
      <c r="N34" s="64">
        <v>228.7</v>
      </c>
      <c r="O34" s="64">
        <v>0</v>
      </c>
      <c r="P34" s="64">
        <v>0.25</v>
      </c>
      <c r="Q34" s="64">
        <v>9.23</v>
      </c>
      <c r="R34" s="198"/>
      <c r="S34" s="198"/>
      <c r="T34" s="198"/>
      <c r="U34" s="198"/>
    </row>
    <row r="35" spans="1:21" s="12" customFormat="1" x14ac:dyDescent="0.25">
      <c r="A35" s="211" t="s">
        <v>367</v>
      </c>
      <c r="B35" s="64">
        <v>6.04</v>
      </c>
      <c r="C35" s="64">
        <v>17.350000000000001</v>
      </c>
      <c r="D35" s="64">
        <v>23.95</v>
      </c>
      <c r="E35" s="64">
        <v>4.82</v>
      </c>
      <c r="F35" s="64">
        <v>10.32</v>
      </c>
      <c r="G35" s="64">
        <v>9.92</v>
      </c>
      <c r="H35" s="64">
        <v>40.799999999999997</v>
      </c>
      <c r="I35" s="64">
        <v>4.1100000000000003</v>
      </c>
      <c r="J35" s="64">
        <v>0.45</v>
      </c>
      <c r="K35" s="64">
        <v>111.28</v>
      </c>
      <c r="L35" s="64">
        <v>27.94</v>
      </c>
      <c r="M35" s="64">
        <v>85.32</v>
      </c>
      <c r="N35" s="64">
        <v>266.5</v>
      </c>
      <c r="O35" s="64">
        <v>0</v>
      </c>
      <c r="P35" s="64">
        <v>0.24</v>
      </c>
      <c r="Q35" s="64">
        <v>9.25</v>
      </c>
      <c r="R35" s="198"/>
      <c r="S35" s="198"/>
      <c r="T35" s="198"/>
      <c r="U35" s="198"/>
    </row>
    <row r="36" spans="1:21" s="12" customFormat="1" x14ac:dyDescent="0.25">
      <c r="A36" s="211" t="s">
        <v>368</v>
      </c>
      <c r="B36" s="64">
        <v>6.88</v>
      </c>
      <c r="C36" s="64">
        <v>17.73</v>
      </c>
      <c r="D36" s="64">
        <v>23.36</v>
      </c>
      <c r="E36" s="64">
        <v>4.3600000000000003</v>
      </c>
      <c r="F36" s="64">
        <v>8.9600000000000009</v>
      </c>
      <c r="G36" s="64">
        <v>10.02</v>
      </c>
      <c r="H36" s="64">
        <v>41.11</v>
      </c>
      <c r="I36" s="64">
        <v>3.89</v>
      </c>
      <c r="J36" s="64">
        <v>0.28000000000000003</v>
      </c>
      <c r="K36" s="64">
        <v>149.65</v>
      </c>
      <c r="L36" s="64">
        <v>28.63</v>
      </c>
      <c r="M36" s="64">
        <v>82.54</v>
      </c>
      <c r="N36" s="64">
        <v>326.60000000000002</v>
      </c>
      <c r="O36" s="64">
        <v>0</v>
      </c>
      <c r="P36" s="64">
        <v>0.25</v>
      </c>
      <c r="Q36" s="64">
        <v>9.24</v>
      </c>
      <c r="R36" s="198"/>
      <c r="S36" s="198"/>
      <c r="T36" s="198"/>
      <c r="U36" s="198"/>
    </row>
    <row r="37" spans="1:21" s="12" customFormat="1" x14ac:dyDescent="0.25">
      <c r="A37" s="211" t="s">
        <v>369</v>
      </c>
      <c r="B37" s="64">
        <v>6.42</v>
      </c>
      <c r="C37" s="64">
        <v>17.34</v>
      </c>
      <c r="D37" s="64">
        <v>23.33</v>
      </c>
      <c r="E37" s="64">
        <v>4.7</v>
      </c>
      <c r="F37" s="64">
        <v>11.9</v>
      </c>
      <c r="G37" s="64">
        <v>12.19</v>
      </c>
      <c r="H37" s="64">
        <v>47.68</v>
      </c>
      <c r="I37" s="64">
        <v>3.88</v>
      </c>
      <c r="J37" s="64">
        <v>0.67</v>
      </c>
      <c r="K37" s="64">
        <v>95.16</v>
      </c>
      <c r="L37" s="64">
        <v>28.68</v>
      </c>
      <c r="M37" s="64">
        <v>82.19</v>
      </c>
      <c r="N37" s="64">
        <v>385.9</v>
      </c>
      <c r="O37" s="64">
        <v>0</v>
      </c>
      <c r="P37" s="64">
        <v>0.2</v>
      </c>
      <c r="Q37" s="64">
        <v>9.26</v>
      </c>
      <c r="R37" s="198"/>
      <c r="S37" s="198"/>
      <c r="T37" s="198"/>
      <c r="U37" s="198"/>
    </row>
    <row r="38" spans="1:21" s="12" customFormat="1" x14ac:dyDescent="0.25">
      <c r="A38" s="211" t="s">
        <v>370</v>
      </c>
      <c r="B38" s="64">
        <v>5.66</v>
      </c>
      <c r="C38" s="64">
        <v>14.6</v>
      </c>
      <c r="D38" s="64">
        <v>19.260000000000002</v>
      </c>
      <c r="E38" s="64">
        <v>4.6399999999999997</v>
      </c>
      <c r="F38" s="64">
        <v>13.53</v>
      </c>
      <c r="G38" s="64">
        <v>12.19</v>
      </c>
      <c r="H38" s="64">
        <v>47.68</v>
      </c>
      <c r="I38" s="64">
        <v>3.88</v>
      </c>
      <c r="J38" s="64">
        <v>0.57999999999999996</v>
      </c>
      <c r="K38" s="64">
        <v>99.74</v>
      </c>
      <c r="L38" s="64">
        <v>28.9</v>
      </c>
      <c r="M38" s="64">
        <v>80.540000000000006</v>
      </c>
      <c r="N38" s="64">
        <v>429.8</v>
      </c>
      <c r="O38" s="64">
        <v>0</v>
      </c>
      <c r="P38" s="64">
        <v>0.21</v>
      </c>
      <c r="Q38" s="64">
        <v>9.26</v>
      </c>
      <c r="R38" s="198"/>
      <c r="S38" s="198"/>
      <c r="T38" s="198"/>
      <c r="U38" s="198"/>
    </row>
    <row r="39" spans="1:21" s="12" customFormat="1" x14ac:dyDescent="0.25">
      <c r="A39" s="211" t="s">
        <v>371</v>
      </c>
      <c r="B39" s="64">
        <v>5.09</v>
      </c>
      <c r="C39" s="64">
        <v>14.04</v>
      </c>
      <c r="D39" s="64">
        <v>19.05</v>
      </c>
      <c r="E39" s="64">
        <v>4.32</v>
      </c>
      <c r="F39" s="64">
        <v>13.28</v>
      </c>
      <c r="G39" s="64">
        <v>12.19</v>
      </c>
      <c r="H39" s="64">
        <v>47.68</v>
      </c>
      <c r="I39" s="64">
        <v>4.05</v>
      </c>
      <c r="J39" s="64">
        <v>0.35</v>
      </c>
      <c r="K39" s="64">
        <v>130.97</v>
      </c>
      <c r="L39" s="64">
        <v>30.14</v>
      </c>
      <c r="M39" s="64">
        <v>74.95</v>
      </c>
      <c r="N39" s="64">
        <v>471.6</v>
      </c>
      <c r="O39" s="64">
        <v>0</v>
      </c>
      <c r="P39" s="64">
        <v>0.21</v>
      </c>
      <c r="Q39" s="64">
        <v>9.26</v>
      </c>
      <c r="R39" s="198"/>
      <c r="S39" s="198"/>
      <c r="T39" s="198"/>
      <c r="U39" s="198"/>
    </row>
    <row r="40" spans="1:21" s="12" customFormat="1" x14ac:dyDescent="0.25">
      <c r="A40" s="211" t="s">
        <v>372</v>
      </c>
      <c r="B40" s="64">
        <v>5.4</v>
      </c>
      <c r="C40" s="64">
        <v>14.13</v>
      </c>
      <c r="D40" s="64">
        <v>18.760000000000002</v>
      </c>
      <c r="E40" s="64">
        <v>5.91</v>
      </c>
      <c r="F40" s="64">
        <v>15.43</v>
      </c>
      <c r="G40" s="64">
        <v>12.12</v>
      </c>
      <c r="H40" s="64">
        <v>47.8</v>
      </c>
      <c r="I40" s="64">
        <v>4.08</v>
      </c>
      <c r="J40" s="64">
        <v>0.42</v>
      </c>
      <c r="K40" s="64">
        <v>129.27000000000001</v>
      </c>
      <c r="L40" s="64">
        <v>30.21</v>
      </c>
      <c r="M40" s="64">
        <v>74.95</v>
      </c>
      <c r="N40" s="64">
        <v>528.9</v>
      </c>
      <c r="O40" s="64">
        <v>0</v>
      </c>
      <c r="P40" s="64">
        <v>0.21</v>
      </c>
      <c r="Q40" s="64">
        <v>9.26</v>
      </c>
      <c r="R40" s="198"/>
      <c r="S40" s="198"/>
      <c r="T40" s="198"/>
      <c r="U40" s="198"/>
    </row>
    <row r="41" spans="1:21" s="12" customFormat="1" x14ac:dyDescent="0.25">
      <c r="A41" s="211" t="s">
        <v>373</v>
      </c>
      <c r="B41" s="64">
        <v>5.12</v>
      </c>
      <c r="C41" s="64">
        <v>13.66</v>
      </c>
      <c r="D41" s="64">
        <v>18.29</v>
      </c>
      <c r="E41" s="64">
        <v>4.9000000000000004</v>
      </c>
      <c r="F41" s="64">
        <v>13.91</v>
      </c>
      <c r="G41" s="64">
        <v>10.55</v>
      </c>
      <c r="H41" s="64">
        <v>50.38</v>
      </c>
      <c r="I41" s="64">
        <v>3.98</v>
      </c>
      <c r="J41" s="64">
        <v>0.34</v>
      </c>
      <c r="K41" s="64">
        <v>153.88</v>
      </c>
      <c r="L41" s="64">
        <v>30.37</v>
      </c>
      <c r="M41" s="64">
        <v>74.12</v>
      </c>
      <c r="N41" s="64">
        <v>590.70000000000005</v>
      </c>
      <c r="O41" s="64">
        <v>0</v>
      </c>
      <c r="P41" s="64">
        <v>0.21</v>
      </c>
      <c r="Q41" s="64">
        <v>9.24</v>
      </c>
      <c r="R41" s="198"/>
      <c r="S41" s="198"/>
      <c r="T41" s="198"/>
      <c r="U41" s="198"/>
    </row>
    <row r="42" spans="1:21" s="12" customFormat="1" x14ac:dyDescent="0.25">
      <c r="A42" s="211" t="s">
        <v>374</v>
      </c>
      <c r="B42" s="64">
        <v>6.14</v>
      </c>
      <c r="C42" s="64">
        <v>15.78</v>
      </c>
      <c r="D42" s="64">
        <v>20.77</v>
      </c>
      <c r="E42" s="64">
        <v>4.88</v>
      </c>
      <c r="F42" s="64">
        <v>17.03</v>
      </c>
      <c r="G42" s="64">
        <v>10.55</v>
      </c>
      <c r="H42" s="64">
        <v>50.38</v>
      </c>
      <c r="I42" s="64">
        <v>3.89</v>
      </c>
      <c r="J42" s="64">
        <v>0.25</v>
      </c>
      <c r="K42" s="64">
        <v>95.27</v>
      </c>
      <c r="L42" s="64">
        <v>30.86</v>
      </c>
      <c r="M42" s="64">
        <v>72.64</v>
      </c>
      <c r="N42" s="64">
        <v>652.29999999999995</v>
      </c>
      <c r="O42" s="64">
        <v>0</v>
      </c>
      <c r="P42" s="64">
        <v>0.23</v>
      </c>
      <c r="Q42" s="64">
        <v>9.25</v>
      </c>
      <c r="R42" s="198"/>
      <c r="S42" s="198"/>
      <c r="T42" s="198"/>
      <c r="U42" s="198"/>
    </row>
    <row r="43" spans="1:21" s="12" customFormat="1" x14ac:dyDescent="0.25">
      <c r="A43" s="211" t="s">
        <v>375</v>
      </c>
      <c r="B43" s="64">
        <v>5.79</v>
      </c>
      <c r="C43" s="64">
        <v>16.66</v>
      </c>
      <c r="D43" s="64">
        <v>23</v>
      </c>
      <c r="E43" s="64">
        <v>4.74</v>
      </c>
      <c r="F43" s="64">
        <v>14.18</v>
      </c>
      <c r="G43" s="64">
        <v>10.55</v>
      </c>
      <c r="H43" s="64">
        <v>50.38</v>
      </c>
      <c r="I43" s="64">
        <v>4.03</v>
      </c>
      <c r="J43" s="64">
        <v>0.4</v>
      </c>
      <c r="K43" s="64">
        <v>147.88</v>
      </c>
      <c r="L43" s="64">
        <v>31.14</v>
      </c>
      <c r="M43" s="64">
        <v>71.25</v>
      </c>
      <c r="N43" s="64">
        <v>676.1</v>
      </c>
      <c r="O43" s="64">
        <v>0</v>
      </c>
      <c r="P43" s="64">
        <v>0.24</v>
      </c>
      <c r="Q43" s="64">
        <v>9.25</v>
      </c>
      <c r="R43" s="198"/>
      <c r="S43" s="198"/>
      <c r="T43" s="198"/>
      <c r="U43" s="198"/>
    </row>
    <row r="44" spans="1:21" s="12" customFormat="1" x14ac:dyDescent="0.25">
      <c r="A44" s="211" t="s">
        <v>376</v>
      </c>
      <c r="B44" s="64">
        <v>6.32</v>
      </c>
      <c r="C44" s="64">
        <v>15.72</v>
      </c>
      <c r="D44" s="64">
        <v>20.39</v>
      </c>
      <c r="E44" s="64">
        <v>4.87</v>
      </c>
      <c r="F44" s="64">
        <v>18.62</v>
      </c>
      <c r="G44" s="64">
        <v>10.51</v>
      </c>
      <c r="H44" s="64">
        <v>50.19</v>
      </c>
      <c r="I44" s="64">
        <v>3.9</v>
      </c>
      <c r="J44" s="64">
        <v>0.76</v>
      </c>
      <c r="K44" s="64">
        <v>144.76</v>
      </c>
      <c r="L44" s="64">
        <v>31.31</v>
      </c>
      <c r="M44" s="64">
        <v>69.77</v>
      </c>
      <c r="N44" s="64">
        <v>748</v>
      </c>
      <c r="O44" s="64">
        <v>0</v>
      </c>
      <c r="P44" s="64">
        <v>0.2</v>
      </c>
      <c r="Q44" s="64">
        <v>9.24</v>
      </c>
      <c r="R44" s="198"/>
      <c r="S44" s="198"/>
      <c r="T44" s="198"/>
      <c r="U44" s="198"/>
    </row>
    <row r="45" spans="1:21" s="12" customFormat="1" x14ac:dyDescent="0.25">
      <c r="A45" s="211" t="s">
        <v>377</v>
      </c>
      <c r="B45" s="64">
        <v>6.52</v>
      </c>
      <c r="C45" s="64">
        <v>15.3</v>
      </c>
      <c r="D45" s="64">
        <v>19.27</v>
      </c>
      <c r="E45" s="64">
        <v>4.59</v>
      </c>
      <c r="F45" s="64">
        <v>19.39</v>
      </c>
      <c r="G45" s="64">
        <v>9.56</v>
      </c>
      <c r="H45" s="64">
        <v>46.11</v>
      </c>
      <c r="I45" s="64">
        <v>4.01</v>
      </c>
      <c r="J45" s="64">
        <v>0.2</v>
      </c>
      <c r="K45" s="64">
        <v>103.67</v>
      </c>
      <c r="L45" s="64">
        <v>31.82</v>
      </c>
      <c r="M45" s="64">
        <v>68.83</v>
      </c>
      <c r="N45" s="64">
        <v>741</v>
      </c>
      <c r="O45" s="64">
        <v>0</v>
      </c>
      <c r="P45" s="64">
        <v>0.26</v>
      </c>
      <c r="Q45" s="64">
        <v>9.25</v>
      </c>
      <c r="R45" s="198"/>
      <c r="S45" s="198"/>
      <c r="T45" s="198"/>
      <c r="U45" s="198"/>
    </row>
    <row r="46" spans="1:21" s="12" customFormat="1" x14ac:dyDescent="0.25">
      <c r="A46" s="211" t="s">
        <v>378</v>
      </c>
      <c r="B46" s="64">
        <v>5.73</v>
      </c>
      <c r="C46" s="64">
        <v>14.64</v>
      </c>
      <c r="D46" s="64">
        <v>19.22</v>
      </c>
      <c r="E46" s="64">
        <v>4.99</v>
      </c>
      <c r="F46" s="64">
        <v>13.09</v>
      </c>
      <c r="G46" s="64">
        <v>9.56</v>
      </c>
      <c r="H46" s="64">
        <v>46.11</v>
      </c>
      <c r="I46" s="64">
        <v>3.91</v>
      </c>
      <c r="J46" s="64">
        <v>0.53</v>
      </c>
      <c r="K46" s="64">
        <v>142.13</v>
      </c>
      <c r="L46" s="64">
        <v>32.21</v>
      </c>
      <c r="M46" s="64">
        <v>66.66</v>
      </c>
      <c r="N46" s="64">
        <v>817.1</v>
      </c>
      <c r="O46" s="64">
        <v>0</v>
      </c>
      <c r="P46" s="64">
        <v>0.22</v>
      </c>
      <c r="Q46" s="64">
        <v>9.23</v>
      </c>
      <c r="R46" s="198"/>
      <c r="S46" s="198"/>
      <c r="T46" s="198"/>
      <c r="U46" s="198"/>
    </row>
    <row r="47" spans="1:21" s="12" customFormat="1" x14ac:dyDescent="0.25">
      <c r="A47" s="211" t="s">
        <v>379</v>
      </c>
      <c r="B47" s="64">
        <v>9.85</v>
      </c>
      <c r="C47" s="64">
        <v>21.79</v>
      </c>
      <c r="D47" s="64">
        <v>26.58</v>
      </c>
      <c r="E47" s="64">
        <v>5.17</v>
      </c>
      <c r="F47" s="64">
        <v>15.92</v>
      </c>
      <c r="G47" s="64">
        <v>9.56</v>
      </c>
      <c r="H47" s="64">
        <v>46.11</v>
      </c>
      <c r="I47" s="64">
        <v>4.1399999999999997</v>
      </c>
      <c r="J47" s="64">
        <v>0.16</v>
      </c>
      <c r="K47" s="64">
        <v>260.48</v>
      </c>
      <c r="L47" s="64">
        <v>33.11</v>
      </c>
      <c r="M47" s="64">
        <v>62.25</v>
      </c>
      <c r="N47" s="64">
        <v>360.2</v>
      </c>
      <c r="O47" s="64">
        <v>0</v>
      </c>
      <c r="P47" s="64">
        <v>0.31</v>
      </c>
      <c r="Q47" s="64">
        <v>9.1999999999999993</v>
      </c>
      <c r="R47" s="198"/>
      <c r="S47" s="198"/>
      <c r="T47" s="198"/>
      <c r="U47" s="198"/>
    </row>
    <row r="48" spans="1:21" s="12" customFormat="1" x14ac:dyDescent="0.25">
      <c r="A48" s="211" t="s">
        <v>380</v>
      </c>
      <c r="B48" s="64">
        <v>6.54</v>
      </c>
      <c r="C48" s="64">
        <v>17.52</v>
      </c>
      <c r="D48" s="64">
        <v>23.5</v>
      </c>
      <c r="E48" s="64">
        <v>5.25</v>
      </c>
      <c r="F48" s="64">
        <v>15.44</v>
      </c>
      <c r="G48" s="64">
        <v>9.65</v>
      </c>
      <c r="H48" s="64">
        <v>45.99</v>
      </c>
      <c r="I48" s="64">
        <v>3.94</v>
      </c>
      <c r="J48" s="64">
        <v>0.04</v>
      </c>
      <c r="K48" s="64">
        <v>225.59</v>
      </c>
      <c r="L48" s="64">
        <v>32.46</v>
      </c>
      <c r="M48" s="64">
        <v>65.23</v>
      </c>
      <c r="N48" s="64">
        <v>951.2</v>
      </c>
      <c r="O48" s="64">
        <v>0</v>
      </c>
      <c r="P48" s="64">
        <v>0.25</v>
      </c>
      <c r="Q48" s="64">
        <v>9.1999999999999993</v>
      </c>
      <c r="R48" s="198"/>
      <c r="S48" s="198"/>
      <c r="T48" s="198"/>
      <c r="U48" s="198"/>
    </row>
    <row r="49" spans="1:21" s="12" customFormat="1" x14ac:dyDescent="0.25">
      <c r="A49" s="211" t="s">
        <v>381</v>
      </c>
      <c r="B49" s="64">
        <v>10.11</v>
      </c>
      <c r="C49" s="64">
        <v>24.91</v>
      </c>
      <c r="D49" s="64">
        <v>32.17</v>
      </c>
      <c r="E49" s="64">
        <v>5.46</v>
      </c>
      <c r="F49" s="64">
        <v>14.76</v>
      </c>
      <c r="G49" s="64">
        <v>11.41</v>
      </c>
      <c r="H49" s="64">
        <v>43.34</v>
      </c>
      <c r="I49" s="64">
        <v>3.9</v>
      </c>
      <c r="J49" s="64">
        <v>0.43</v>
      </c>
      <c r="K49" s="64">
        <v>338.55</v>
      </c>
      <c r="L49" s="64">
        <v>34.61</v>
      </c>
      <c r="M49" s="64">
        <v>57.48</v>
      </c>
      <c r="N49" s="64">
        <v>563.1</v>
      </c>
      <c r="O49" s="64">
        <v>0</v>
      </c>
      <c r="P49" s="64">
        <v>0.48</v>
      </c>
      <c r="Q49" s="64">
        <v>9.19</v>
      </c>
      <c r="R49" s="198"/>
      <c r="S49" s="198"/>
      <c r="T49" s="198"/>
      <c r="U49" s="198"/>
    </row>
    <row r="50" spans="1:21" s="12" customFormat="1" x14ac:dyDescent="0.25">
      <c r="A50" s="211" t="s">
        <v>382</v>
      </c>
      <c r="B50" s="64">
        <v>8.59</v>
      </c>
      <c r="C50" s="64">
        <v>21.41</v>
      </c>
      <c r="D50" s="64">
        <v>27.78</v>
      </c>
      <c r="E50" s="64">
        <v>4.9400000000000004</v>
      </c>
      <c r="F50" s="64">
        <v>15.89</v>
      </c>
      <c r="G50" s="64">
        <v>11.41</v>
      </c>
      <c r="H50" s="64">
        <v>43.34</v>
      </c>
      <c r="I50" s="64">
        <v>3.96</v>
      </c>
      <c r="J50" s="64">
        <v>0.26</v>
      </c>
      <c r="K50" s="64">
        <v>352.42</v>
      </c>
      <c r="L50" s="64">
        <v>34.47</v>
      </c>
      <c r="M50" s="64">
        <v>57.12</v>
      </c>
      <c r="N50" s="64">
        <v>826.5</v>
      </c>
      <c r="O50" s="64">
        <v>0</v>
      </c>
      <c r="P50" s="64">
        <v>0.39</v>
      </c>
      <c r="Q50" s="64">
        <v>9.1999999999999993</v>
      </c>
      <c r="R50" s="198"/>
      <c r="S50" s="198"/>
      <c r="T50" s="198"/>
      <c r="U50" s="198"/>
    </row>
    <row r="51" spans="1:21" s="12" customFormat="1" x14ac:dyDescent="0.25">
      <c r="A51" s="211" t="s">
        <v>383</v>
      </c>
      <c r="B51" s="64">
        <v>8.52</v>
      </c>
      <c r="C51" s="64">
        <v>22.11</v>
      </c>
      <c r="D51" s="64">
        <v>29.24</v>
      </c>
      <c r="E51" s="64">
        <v>5.21</v>
      </c>
      <c r="F51" s="64">
        <v>16.100000000000001</v>
      </c>
      <c r="G51" s="64">
        <v>11.41</v>
      </c>
      <c r="H51" s="64">
        <v>43.34</v>
      </c>
      <c r="I51" s="64">
        <v>3.94</v>
      </c>
      <c r="J51" s="64">
        <v>0.47</v>
      </c>
      <c r="K51" s="64">
        <v>336.51</v>
      </c>
      <c r="L51" s="64">
        <v>35.78</v>
      </c>
      <c r="M51" s="64">
        <v>52.78</v>
      </c>
      <c r="N51" s="64">
        <v>990.5</v>
      </c>
      <c r="O51" s="64">
        <v>0</v>
      </c>
      <c r="P51" s="64">
        <v>0.45</v>
      </c>
      <c r="Q51" s="64">
        <v>9.2100000000000009</v>
      </c>
      <c r="R51" s="198"/>
      <c r="S51" s="198"/>
      <c r="T51" s="198"/>
      <c r="U51" s="198"/>
    </row>
    <row r="52" spans="1:21" s="12" customFormat="1" x14ac:dyDescent="0.25">
      <c r="A52" s="211" t="s">
        <v>384</v>
      </c>
      <c r="B52" s="64">
        <v>6.02</v>
      </c>
      <c r="C52" s="64">
        <v>17.87</v>
      </c>
      <c r="D52" s="64">
        <v>24.98</v>
      </c>
      <c r="E52" s="64">
        <v>5.34</v>
      </c>
      <c r="F52" s="64">
        <v>7.85</v>
      </c>
      <c r="G52" s="64">
        <v>11.5</v>
      </c>
      <c r="H52" s="64">
        <v>43.28</v>
      </c>
      <c r="I52" s="64">
        <v>3.99</v>
      </c>
      <c r="J52" s="64">
        <v>0.49</v>
      </c>
      <c r="K52" s="64">
        <v>313.33999999999997</v>
      </c>
      <c r="L52" s="64">
        <v>35.03</v>
      </c>
      <c r="M52" s="64">
        <v>52.79</v>
      </c>
      <c r="N52" s="64">
        <v>987.2</v>
      </c>
      <c r="O52" s="64">
        <v>0</v>
      </c>
      <c r="P52" s="64">
        <v>0.33</v>
      </c>
      <c r="Q52" s="64">
        <v>9.2100000000000009</v>
      </c>
      <c r="R52" s="198"/>
      <c r="S52" s="198"/>
      <c r="T52" s="198"/>
      <c r="U52" s="198"/>
    </row>
    <row r="53" spans="1:21" s="12" customFormat="1" x14ac:dyDescent="0.25">
      <c r="A53" s="211" t="s">
        <v>385</v>
      </c>
      <c r="B53" s="64">
        <v>9.69</v>
      </c>
      <c r="C53" s="64">
        <v>23.07</v>
      </c>
      <c r="D53" s="64">
        <v>30.12</v>
      </c>
      <c r="E53" s="64">
        <v>5.24</v>
      </c>
      <c r="F53" s="64">
        <v>12.92</v>
      </c>
      <c r="G53" s="64">
        <v>13.36</v>
      </c>
      <c r="H53" s="64">
        <v>41.99</v>
      </c>
      <c r="I53" s="64">
        <v>4.05</v>
      </c>
      <c r="J53" s="64">
        <v>0.34</v>
      </c>
      <c r="K53" s="64">
        <v>323.05</v>
      </c>
      <c r="L53" s="64">
        <v>36.28</v>
      </c>
      <c r="M53" s="64">
        <v>49.13</v>
      </c>
      <c r="N53" s="64">
        <v>660.3</v>
      </c>
      <c r="O53" s="64">
        <v>0</v>
      </c>
      <c r="P53" s="64">
        <v>0.37</v>
      </c>
      <c r="Q53" s="64">
        <v>9.2200000000000006</v>
      </c>
      <c r="R53" s="198"/>
      <c r="S53" s="198"/>
      <c r="T53" s="198"/>
      <c r="U53" s="198"/>
    </row>
    <row r="54" spans="1:21" s="12" customFormat="1" x14ac:dyDescent="0.25">
      <c r="A54" s="211" t="s">
        <v>386</v>
      </c>
      <c r="B54" s="64">
        <v>9.2100000000000009</v>
      </c>
      <c r="C54" s="64">
        <v>23.61</v>
      </c>
      <c r="D54" s="64">
        <v>31.04</v>
      </c>
      <c r="E54" s="64">
        <v>5.17</v>
      </c>
      <c r="F54" s="64">
        <v>16.649999999999999</v>
      </c>
      <c r="G54" s="64">
        <v>13.36</v>
      </c>
      <c r="H54" s="64">
        <v>41.99</v>
      </c>
      <c r="I54" s="64">
        <v>4.07</v>
      </c>
      <c r="J54" s="64">
        <v>0.38</v>
      </c>
      <c r="K54" s="64">
        <v>331.92</v>
      </c>
      <c r="L54" s="64">
        <v>36.01</v>
      </c>
      <c r="M54" s="64">
        <v>50.25</v>
      </c>
      <c r="N54" s="64">
        <v>1012.6</v>
      </c>
      <c r="O54" s="64">
        <v>0</v>
      </c>
      <c r="P54" s="64">
        <v>0.46</v>
      </c>
      <c r="Q54" s="64">
        <v>9.2200000000000006</v>
      </c>
      <c r="R54" s="198"/>
      <c r="S54" s="198"/>
      <c r="T54" s="198"/>
      <c r="U54" s="198"/>
    </row>
    <row r="55" spans="1:21" s="12" customFormat="1" x14ac:dyDescent="0.25">
      <c r="A55" s="211" t="s">
        <v>387</v>
      </c>
      <c r="B55" s="64">
        <v>5.21</v>
      </c>
      <c r="C55" s="64">
        <v>17.77</v>
      </c>
      <c r="D55" s="64">
        <v>26.03</v>
      </c>
      <c r="E55" s="64">
        <v>4.99</v>
      </c>
      <c r="F55" s="64">
        <v>11.17</v>
      </c>
      <c r="G55" s="64">
        <v>13.36</v>
      </c>
      <c r="H55" s="64">
        <v>41.99</v>
      </c>
      <c r="I55" s="64">
        <v>4.13</v>
      </c>
      <c r="J55" s="64">
        <v>1.07</v>
      </c>
      <c r="K55" s="64">
        <v>150.38</v>
      </c>
      <c r="L55" s="64">
        <v>34.159999999999997</v>
      </c>
      <c r="M55" s="64">
        <v>52.3</v>
      </c>
      <c r="N55" s="64">
        <v>1056.8</v>
      </c>
      <c r="O55" s="64">
        <v>0</v>
      </c>
      <c r="P55" s="64">
        <v>0.37</v>
      </c>
      <c r="Q55" s="64">
        <v>9.2200000000000006</v>
      </c>
      <c r="R55" s="198"/>
      <c r="S55" s="198"/>
      <c r="T55" s="198"/>
      <c r="U55" s="198"/>
    </row>
    <row r="56" spans="1:21" s="12" customFormat="1" x14ac:dyDescent="0.25">
      <c r="A56" s="211" t="s">
        <v>388</v>
      </c>
      <c r="B56" s="64">
        <v>4.49</v>
      </c>
      <c r="C56" s="64">
        <v>15.49</v>
      </c>
      <c r="D56" s="64">
        <v>22.75</v>
      </c>
      <c r="E56" s="64">
        <v>4.93</v>
      </c>
      <c r="F56" s="64">
        <v>15.35</v>
      </c>
      <c r="G56" s="64">
        <v>13.5</v>
      </c>
      <c r="H56" s="64">
        <v>42.87</v>
      </c>
      <c r="I56" s="64">
        <v>4.1500000000000004</v>
      </c>
      <c r="J56" s="64">
        <v>0.74</v>
      </c>
      <c r="K56" s="64">
        <v>148.79</v>
      </c>
      <c r="L56" s="64">
        <v>33.07</v>
      </c>
      <c r="M56" s="64">
        <v>55.34</v>
      </c>
      <c r="N56" s="64">
        <v>976.5</v>
      </c>
      <c r="O56" s="64">
        <v>0</v>
      </c>
      <c r="P56" s="64">
        <v>0.32</v>
      </c>
      <c r="Q56" s="64">
        <v>9.2200000000000006</v>
      </c>
      <c r="R56" s="198"/>
      <c r="S56" s="198"/>
      <c r="T56" s="198"/>
      <c r="U56" s="198"/>
    </row>
    <row r="57" spans="1:21" s="12" customFormat="1" x14ac:dyDescent="0.25">
      <c r="A57" s="211" t="s">
        <v>389</v>
      </c>
      <c r="B57" s="64">
        <v>9.31</v>
      </c>
      <c r="C57" s="64">
        <v>26.27</v>
      </c>
      <c r="D57" s="64">
        <v>35.979999999999997</v>
      </c>
      <c r="E57" s="64">
        <v>4.8899999999999997</v>
      </c>
      <c r="F57" s="64">
        <v>23.97</v>
      </c>
      <c r="G57" s="64">
        <v>16.48</v>
      </c>
      <c r="H57" s="64">
        <v>61.78</v>
      </c>
      <c r="I57" s="64">
        <v>4</v>
      </c>
      <c r="J57" s="64">
        <v>0.38</v>
      </c>
      <c r="K57" s="64">
        <v>350.96</v>
      </c>
      <c r="L57" s="64">
        <v>34.61</v>
      </c>
      <c r="M57" s="64">
        <v>52.07</v>
      </c>
      <c r="N57" s="64">
        <v>980.2</v>
      </c>
      <c r="O57" s="64">
        <v>0</v>
      </c>
      <c r="P57" s="64">
        <v>0.52</v>
      </c>
      <c r="Q57" s="64">
        <v>9.19</v>
      </c>
      <c r="R57" s="198"/>
      <c r="S57" s="198"/>
      <c r="T57" s="198"/>
      <c r="U57" s="198"/>
    </row>
    <row r="58" spans="1:21" s="12" customFormat="1" x14ac:dyDescent="0.25">
      <c r="A58" s="211" t="s">
        <v>390</v>
      </c>
      <c r="B58" s="64">
        <v>6.15</v>
      </c>
      <c r="C58" s="64">
        <v>18.54</v>
      </c>
      <c r="D58" s="64">
        <v>26.04</v>
      </c>
      <c r="E58" s="64">
        <v>5.28</v>
      </c>
      <c r="F58" s="64">
        <v>26.39</v>
      </c>
      <c r="G58" s="64">
        <v>16.48</v>
      </c>
      <c r="H58" s="64">
        <v>61.78</v>
      </c>
      <c r="I58" s="64">
        <v>4.04</v>
      </c>
      <c r="J58" s="64">
        <v>0.31</v>
      </c>
      <c r="K58" s="64">
        <v>72.739999999999995</v>
      </c>
      <c r="L58" s="64">
        <v>35.299999999999997</v>
      </c>
      <c r="M58" s="64">
        <v>49.62</v>
      </c>
      <c r="N58" s="64">
        <v>947.3</v>
      </c>
      <c r="O58" s="64">
        <v>0</v>
      </c>
      <c r="P58" s="64">
        <v>0.38</v>
      </c>
      <c r="Q58" s="64">
        <v>9.19</v>
      </c>
      <c r="R58" s="198"/>
      <c r="S58" s="198"/>
      <c r="T58" s="198"/>
      <c r="U58" s="198"/>
    </row>
    <row r="59" spans="1:21" s="12" customFormat="1" x14ac:dyDescent="0.25">
      <c r="A59" s="211" t="s">
        <v>391</v>
      </c>
      <c r="B59" s="64">
        <v>5.27</v>
      </c>
      <c r="C59" s="64">
        <v>18.09</v>
      </c>
      <c r="D59" s="64">
        <v>26.52</v>
      </c>
      <c r="E59" s="64">
        <v>5.05</v>
      </c>
      <c r="F59" s="64">
        <v>20.07</v>
      </c>
      <c r="G59" s="64">
        <v>16.48</v>
      </c>
      <c r="H59" s="64">
        <v>61.78</v>
      </c>
      <c r="I59" s="64">
        <v>3.99</v>
      </c>
      <c r="J59" s="64">
        <v>0.23</v>
      </c>
      <c r="K59" s="64">
        <v>318.87</v>
      </c>
      <c r="L59" s="64">
        <v>35.83</v>
      </c>
      <c r="M59" s="64">
        <v>48.59</v>
      </c>
      <c r="N59" s="64">
        <v>957.2</v>
      </c>
      <c r="O59" s="64">
        <v>0</v>
      </c>
      <c r="P59" s="64">
        <v>0.4</v>
      </c>
      <c r="Q59" s="64">
        <v>9.19</v>
      </c>
      <c r="R59" s="198"/>
      <c r="S59" s="198"/>
      <c r="T59" s="198"/>
      <c r="U59" s="198"/>
    </row>
    <row r="60" spans="1:21" s="12" customFormat="1" x14ac:dyDescent="0.25">
      <c r="A60" s="211" t="s">
        <v>392</v>
      </c>
      <c r="B60" s="64">
        <v>6.71</v>
      </c>
      <c r="C60" s="64">
        <v>20.76</v>
      </c>
      <c r="D60" s="64">
        <v>29.45</v>
      </c>
      <c r="E60" s="64">
        <v>5.3</v>
      </c>
      <c r="F60" s="64">
        <v>22.55</v>
      </c>
      <c r="G60" s="64">
        <v>16.41</v>
      </c>
      <c r="H60" s="64">
        <v>61.42</v>
      </c>
      <c r="I60" s="64">
        <v>4.1100000000000003</v>
      </c>
      <c r="J60" s="64">
        <v>0.41</v>
      </c>
      <c r="K60" s="64">
        <v>101.09</v>
      </c>
      <c r="L60" s="64">
        <v>35.39</v>
      </c>
      <c r="M60" s="64">
        <v>47.49</v>
      </c>
      <c r="N60" s="64">
        <v>854.2</v>
      </c>
      <c r="O60" s="64">
        <v>0</v>
      </c>
      <c r="P60" s="64">
        <v>0.42</v>
      </c>
      <c r="Q60" s="64">
        <v>9.18</v>
      </c>
      <c r="R60" s="198"/>
      <c r="S60" s="198"/>
      <c r="T60" s="198"/>
      <c r="U60" s="198"/>
    </row>
    <row r="61" spans="1:21" s="12" customFormat="1" x14ac:dyDescent="0.25">
      <c r="A61" s="211" t="s">
        <v>393</v>
      </c>
      <c r="B61" s="64">
        <v>6.33</v>
      </c>
      <c r="C61" s="64">
        <v>19.07</v>
      </c>
      <c r="D61" s="64">
        <v>26.79</v>
      </c>
      <c r="E61" s="64">
        <v>5.52</v>
      </c>
      <c r="F61" s="64">
        <v>22.55</v>
      </c>
      <c r="G61" s="64">
        <v>14.84</v>
      </c>
      <c r="H61" s="64">
        <v>53.7</v>
      </c>
      <c r="I61" s="64">
        <v>3.98</v>
      </c>
      <c r="J61" s="64">
        <v>0.2</v>
      </c>
      <c r="K61" s="64">
        <v>55.3</v>
      </c>
      <c r="L61" s="64">
        <v>35.39</v>
      </c>
      <c r="M61" s="64">
        <v>47.57</v>
      </c>
      <c r="N61" s="64">
        <v>867.6</v>
      </c>
      <c r="O61" s="64">
        <v>0</v>
      </c>
      <c r="P61" s="64">
        <v>0.4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1" t="s">
        <v>394</v>
      </c>
      <c r="B62" s="64">
        <v>4.1100000000000003</v>
      </c>
      <c r="C62" s="64">
        <v>14.67</v>
      </c>
      <c r="D62" s="64">
        <v>21.77</v>
      </c>
      <c r="E62" s="64">
        <v>5.98</v>
      </c>
      <c r="F62" s="64">
        <v>23.56</v>
      </c>
      <c r="G62" s="64">
        <v>14.84</v>
      </c>
      <c r="H62" s="64">
        <v>53.7</v>
      </c>
      <c r="I62" s="64">
        <v>4.1100000000000003</v>
      </c>
      <c r="J62" s="64">
        <v>0.61</v>
      </c>
      <c r="K62" s="64">
        <v>121.96</v>
      </c>
      <c r="L62" s="64">
        <v>34.43</v>
      </c>
      <c r="M62" s="64">
        <v>48.27</v>
      </c>
      <c r="N62" s="64">
        <v>550.6</v>
      </c>
      <c r="O62" s="64">
        <v>0</v>
      </c>
      <c r="P62" s="64">
        <v>0.34</v>
      </c>
      <c r="Q62" s="64">
        <v>9.19</v>
      </c>
      <c r="R62" s="198"/>
      <c r="S62" s="198"/>
      <c r="T62" s="198"/>
      <c r="U62" s="198"/>
    </row>
    <row r="63" spans="1:21" s="12" customFormat="1" x14ac:dyDescent="0.25">
      <c r="A63" s="211" t="s">
        <v>395</v>
      </c>
      <c r="B63" s="64">
        <v>5.08</v>
      </c>
      <c r="C63" s="64">
        <v>16.16</v>
      </c>
      <c r="D63" s="64">
        <v>23.13</v>
      </c>
      <c r="E63" s="64">
        <v>5.57</v>
      </c>
      <c r="F63" s="64">
        <v>21.25</v>
      </c>
      <c r="G63" s="64">
        <v>14.84</v>
      </c>
      <c r="H63" s="64">
        <v>53.7</v>
      </c>
      <c r="I63" s="64">
        <v>3.91</v>
      </c>
      <c r="J63" s="64">
        <v>0.75</v>
      </c>
      <c r="K63" s="64">
        <v>111.93</v>
      </c>
      <c r="L63" s="64">
        <v>34.35</v>
      </c>
      <c r="M63" s="64">
        <v>48.78</v>
      </c>
      <c r="N63" s="64">
        <v>401.2</v>
      </c>
      <c r="O63" s="64">
        <v>0</v>
      </c>
      <c r="P63" s="64">
        <v>0.3</v>
      </c>
      <c r="Q63" s="64">
        <v>9.19</v>
      </c>
      <c r="R63" s="198"/>
      <c r="S63" s="198"/>
      <c r="T63" s="198"/>
      <c r="U63" s="198"/>
    </row>
    <row r="64" spans="1:21" s="12" customFormat="1" x14ac:dyDescent="0.25">
      <c r="A64" s="211" t="s">
        <v>396</v>
      </c>
      <c r="B64" s="64">
        <v>4.63</v>
      </c>
      <c r="C64" s="64">
        <v>17.29</v>
      </c>
      <c r="D64" s="64">
        <v>26</v>
      </c>
      <c r="E64" s="64">
        <v>5.99</v>
      </c>
      <c r="F64" s="64">
        <v>22.44</v>
      </c>
      <c r="G64" s="64">
        <v>15.03</v>
      </c>
      <c r="H64" s="64">
        <v>51.31</v>
      </c>
      <c r="I64" s="64">
        <v>3.98</v>
      </c>
      <c r="J64" s="64">
        <v>0.54</v>
      </c>
      <c r="K64" s="64">
        <v>97.36</v>
      </c>
      <c r="L64" s="64">
        <v>34.4</v>
      </c>
      <c r="M64" s="64">
        <v>47.66</v>
      </c>
      <c r="N64" s="64">
        <v>425.1</v>
      </c>
      <c r="O64" s="64">
        <v>0</v>
      </c>
      <c r="P64" s="64">
        <v>0.31</v>
      </c>
      <c r="Q64" s="64">
        <v>9.18</v>
      </c>
      <c r="R64" s="198"/>
      <c r="S64" s="198"/>
      <c r="T64" s="198"/>
      <c r="U64" s="198"/>
    </row>
    <row r="65" spans="1:21" s="12" customFormat="1" x14ac:dyDescent="0.25">
      <c r="A65" s="211" t="s">
        <v>397</v>
      </c>
      <c r="B65" s="64">
        <v>4.75</v>
      </c>
      <c r="C65" s="64">
        <v>17.46</v>
      </c>
      <c r="D65" s="64">
        <v>26.13</v>
      </c>
      <c r="E65" s="64">
        <v>5.35</v>
      </c>
      <c r="F65" s="64">
        <v>17.34</v>
      </c>
      <c r="G65" s="64">
        <v>18.96</v>
      </c>
      <c r="H65" s="64">
        <v>0</v>
      </c>
      <c r="I65" s="64">
        <v>4.07</v>
      </c>
      <c r="J65" s="64">
        <v>0.47</v>
      </c>
      <c r="K65" s="64">
        <v>96.31</v>
      </c>
      <c r="L65" s="64">
        <v>35.11</v>
      </c>
      <c r="M65" s="64">
        <v>45.37</v>
      </c>
      <c r="N65" s="64">
        <v>567.6</v>
      </c>
      <c r="O65" s="64">
        <v>0</v>
      </c>
      <c r="P65" s="64">
        <v>0.38</v>
      </c>
      <c r="Q65" s="64">
        <v>9.17</v>
      </c>
      <c r="R65" s="198"/>
      <c r="S65" s="198"/>
      <c r="T65" s="198"/>
      <c r="U65" s="198"/>
    </row>
    <row r="66" spans="1:21" s="12" customFormat="1" x14ac:dyDescent="0.25">
      <c r="A66" s="211" t="s">
        <v>398</v>
      </c>
      <c r="B66" s="64">
        <v>6.32</v>
      </c>
      <c r="C66" s="64">
        <v>18.940000000000001</v>
      </c>
      <c r="D66" s="64">
        <v>26.56</v>
      </c>
      <c r="E66" s="64">
        <v>5.53</v>
      </c>
      <c r="F66" s="64">
        <v>24.05</v>
      </c>
      <c r="G66" s="64">
        <v>18.96</v>
      </c>
      <c r="H66" s="64">
        <v>0</v>
      </c>
      <c r="I66" s="64">
        <v>4.07</v>
      </c>
      <c r="J66" s="64">
        <v>0.76</v>
      </c>
      <c r="K66" s="64">
        <v>126.15</v>
      </c>
      <c r="L66" s="64">
        <v>34.44</v>
      </c>
      <c r="M66" s="64">
        <v>46.66</v>
      </c>
      <c r="N66" s="64">
        <v>215.6</v>
      </c>
      <c r="O66" s="64">
        <v>0</v>
      </c>
      <c r="P66" s="64">
        <v>0.28999999999999998</v>
      </c>
      <c r="Q66" s="64">
        <v>9.16</v>
      </c>
      <c r="R66" s="198"/>
      <c r="S66" s="198"/>
      <c r="T66" s="198"/>
      <c r="U66" s="198"/>
    </row>
    <row r="67" spans="1:21" s="12" customFormat="1" x14ac:dyDescent="0.25">
      <c r="A67" s="211" t="s">
        <v>399</v>
      </c>
      <c r="B67" s="64">
        <v>8.64</v>
      </c>
      <c r="C67" s="64">
        <v>25.45</v>
      </c>
      <c r="D67" s="64">
        <v>35.450000000000003</v>
      </c>
      <c r="E67" s="64">
        <v>5.45</v>
      </c>
      <c r="F67" s="64">
        <v>21.94</v>
      </c>
      <c r="G67" s="64">
        <v>18.96</v>
      </c>
      <c r="H67" s="64">
        <v>0</v>
      </c>
      <c r="I67" s="64">
        <v>4.12</v>
      </c>
      <c r="J67" s="64">
        <v>0.2</v>
      </c>
      <c r="K67" s="64">
        <v>77.260000000000005</v>
      </c>
      <c r="L67" s="64">
        <v>34.79</v>
      </c>
      <c r="M67" s="64">
        <v>45.15</v>
      </c>
      <c r="N67" s="64">
        <v>194.9</v>
      </c>
      <c r="O67" s="64">
        <v>0</v>
      </c>
      <c r="P67" s="64">
        <v>0.4</v>
      </c>
      <c r="Q67" s="64">
        <v>9.15</v>
      </c>
      <c r="R67" s="198"/>
      <c r="S67" s="198"/>
      <c r="T67" s="198"/>
      <c r="U67" s="198"/>
    </row>
    <row r="68" spans="1:21" s="12" customFormat="1" x14ac:dyDescent="0.25">
      <c r="A68" s="211" t="s">
        <v>400</v>
      </c>
      <c r="B68" s="64">
        <v>3.73</v>
      </c>
      <c r="C68" s="64">
        <v>14.07</v>
      </c>
      <c r="D68" s="64">
        <v>21.21</v>
      </c>
      <c r="E68" s="64">
        <v>5.72</v>
      </c>
      <c r="F68" s="64">
        <v>22.18</v>
      </c>
      <c r="G68" s="64">
        <v>18.96</v>
      </c>
      <c r="H68" s="64">
        <v>13.43</v>
      </c>
      <c r="I68" s="64">
        <v>3.91</v>
      </c>
      <c r="J68" s="64">
        <v>0.5</v>
      </c>
      <c r="K68" s="64">
        <v>103.86</v>
      </c>
      <c r="L68" s="64">
        <v>34.93</v>
      </c>
      <c r="M68" s="64">
        <v>43.82</v>
      </c>
      <c r="N68" s="64">
        <v>159.9</v>
      </c>
      <c r="O68" s="64">
        <v>0</v>
      </c>
      <c r="P68" s="64">
        <v>0.3</v>
      </c>
      <c r="Q68" s="64">
        <v>9.15</v>
      </c>
      <c r="R68" s="198"/>
      <c r="S68" s="198"/>
      <c r="T68" s="198"/>
      <c r="U68" s="198"/>
    </row>
    <row r="69" spans="1:21" s="12" customFormat="1" x14ac:dyDescent="0.25">
      <c r="A69" s="211" t="s">
        <v>401</v>
      </c>
      <c r="B69" s="64">
        <v>5.61</v>
      </c>
      <c r="C69" s="64">
        <v>20.3</v>
      </c>
      <c r="D69" s="64">
        <v>30.24</v>
      </c>
      <c r="E69" s="64">
        <v>5.55</v>
      </c>
      <c r="F69" s="64">
        <v>22.24</v>
      </c>
      <c r="G69" s="64">
        <v>19.010000000000002</v>
      </c>
      <c r="H69" s="64">
        <v>302.14999999999998</v>
      </c>
      <c r="I69" s="64">
        <v>4.04</v>
      </c>
      <c r="J69" s="64">
        <v>0.34</v>
      </c>
      <c r="K69" s="64">
        <v>99.14</v>
      </c>
      <c r="L69" s="64">
        <v>35</v>
      </c>
      <c r="M69" s="64">
        <v>43.11</v>
      </c>
      <c r="N69" s="64">
        <v>166.4</v>
      </c>
      <c r="O69" s="64">
        <v>0</v>
      </c>
      <c r="P69" s="64">
        <v>0.37</v>
      </c>
      <c r="Q69" s="64">
        <v>9.17</v>
      </c>
      <c r="R69" s="198"/>
      <c r="S69" s="198"/>
      <c r="T69" s="198"/>
      <c r="U69" s="198"/>
    </row>
    <row r="70" spans="1:21" s="12" customFormat="1" x14ac:dyDescent="0.25">
      <c r="A70" s="211" t="s">
        <v>402</v>
      </c>
      <c r="B70" s="64">
        <v>3.29</v>
      </c>
      <c r="C70" s="64">
        <v>14.12</v>
      </c>
      <c r="D70" s="64">
        <v>21.97</v>
      </c>
      <c r="E70" s="64">
        <v>5.97</v>
      </c>
      <c r="F70" s="64">
        <v>22.39</v>
      </c>
      <c r="G70" s="64">
        <v>19.010000000000002</v>
      </c>
      <c r="H70" s="64">
        <v>302.14999999999998</v>
      </c>
      <c r="I70" s="64">
        <v>3.87</v>
      </c>
      <c r="J70" s="64">
        <v>0.68</v>
      </c>
      <c r="K70" s="64">
        <v>112.54</v>
      </c>
      <c r="L70" s="64">
        <v>35.1</v>
      </c>
      <c r="M70" s="64">
        <v>43.02</v>
      </c>
      <c r="N70" s="64">
        <v>423</v>
      </c>
      <c r="O70" s="64">
        <v>0</v>
      </c>
      <c r="P70" s="64">
        <v>0.28999999999999998</v>
      </c>
      <c r="Q70" s="64">
        <v>9.18</v>
      </c>
      <c r="R70" s="198"/>
      <c r="S70" s="198"/>
      <c r="T70" s="198"/>
      <c r="U70" s="198"/>
    </row>
    <row r="71" spans="1:21" s="12" customFormat="1" x14ac:dyDescent="0.25">
      <c r="A71" s="211" t="s">
        <v>403</v>
      </c>
      <c r="B71" s="64">
        <v>8.86</v>
      </c>
      <c r="C71" s="64">
        <v>25.44</v>
      </c>
      <c r="D71" s="64">
        <v>35.090000000000003</v>
      </c>
      <c r="E71" s="64">
        <v>5.81</v>
      </c>
      <c r="F71" s="64">
        <v>21.47</v>
      </c>
      <c r="G71" s="64">
        <v>19.010000000000002</v>
      </c>
      <c r="H71" s="64">
        <v>302.14999999999998</v>
      </c>
      <c r="I71" s="64">
        <v>3.99</v>
      </c>
      <c r="J71" s="64">
        <v>0.28000000000000003</v>
      </c>
      <c r="K71" s="64">
        <v>31.4</v>
      </c>
      <c r="L71" s="64">
        <v>35.369999999999997</v>
      </c>
      <c r="M71" s="64">
        <v>42.85</v>
      </c>
      <c r="N71" s="64">
        <v>422.7</v>
      </c>
      <c r="O71" s="64">
        <v>0</v>
      </c>
      <c r="P71" s="64">
        <v>0.42</v>
      </c>
      <c r="Q71" s="64">
        <v>9.17</v>
      </c>
      <c r="R71" s="198"/>
      <c r="S71" s="198"/>
      <c r="T71" s="198"/>
      <c r="U71" s="198"/>
    </row>
    <row r="72" spans="1:21" s="12" customFormat="1" x14ac:dyDescent="0.25">
      <c r="A72" s="211" t="s">
        <v>404</v>
      </c>
      <c r="B72" s="64">
        <v>5.24</v>
      </c>
      <c r="C72" s="64">
        <v>16.73</v>
      </c>
      <c r="D72" s="64">
        <v>23.97</v>
      </c>
      <c r="E72" s="64">
        <v>4.09</v>
      </c>
      <c r="F72" s="64">
        <v>24.35</v>
      </c>
      <c r="G72" s="64">
        <v>18.96</v>
      </c>
      <c r="H72" s="64">
        <v>292.14</v>
      </c>
      <c r="I72" s="64">
        <v>3.93</v>
      </c>
      <c r="J72" s="64">
        <v>0.49</v>
      </c>
      <c r="K72" s="64">
        <v>101.21</v>
      </c>
      <c r="L72" s="64">
        <v>35.31</v>
      </c>
      <c r="M72" s="64">
        <v>41.68</v>
      </c>
      <c r="N72" s="64">
        <v>463.1</v>
      </c>
      <c r="O72" s="64">
        <v>0</v>
      </c>
      <c r="P72" s="64">
        <v>0.34</v>
      </c>
      <c r="Q72" s="64">
        <v>9.18</v>
      </c>
      <c r="R72" s="198"/>
      <c r="S72" s="198"/>
      <c r="T72" s="198"/>
      <c r="U72" s="198"/>
    </row>
    <row r="73" spans="1:21" s="12" customFormat="1" x14ac:dyDescent="0.25">
      <c r="A73" s="211" t="s">
        <v>405</v>
      </c>
      <c r="B73" s="64">
        <v>4.66</v>
      </c>
      <c r="C73" s="64">
        <v>16.89</v>
      </c>
      <c r="D73" s="64">
        <v>25.18</v>
      </c>
      <c r="E73" s="64">
        <v>5.62</v>
      </c>
      <c r="F73" s="64">
        <v>23.03</v>
      </c>
      <c r="G73" s="64">
        <v>17.87</v>
      </c>
      <c r="H73" s="64">
        <v>76.760000000000005</v>
      </c>
      <c r="I73" s="64">
        <v>3.96</v>
      </c>
      <c r="J73" s="64">
        <v>0.26</v>
      </c>
      <c r="K73" s="64">
        <v>105.41</v>
      </c>
      <c r="L73" s="64">
        <v>35.44</v>
      </c>
      <c r="M73" s="64">
        <v>40.450000000000003</v>
      </c>
      <c r="N73" s="64">
        <v>232.8</v>
      </c>
      <c r="O73" s="64">
        <v>0</v>
      </c>
      <c r="P73" s="64">
        <v>0.28999999999999998</v>
      </c>
      <c r="Q73" s="64">
        <v>9.17</v>
      </c>
      <c r="R73" s="198"/>
      <c r="S73" s="198"/>
      <c r="T73" s="198"/>
      <c r="U73" s="198"/>
    </row>
    <row r="74" spans="1:21" s="12" customFormat="1" x14ac:dyDescent="0.25">
      <c r="A74" s="211" t="s">
        <v>406</v>
      </c>
      <c r="B74" s="64">
        <v>6.29</v>
      </c>
      <c r="C74" s="64">
        <v>22.52</v>
      </c>
      <c r="D74" s="64">
        <v>33.44</v>
      </c>
      <c r="E74" s="64">
        <v>5.13</v>
      </c>
      <c r="F74" s="64">
        <v>23.59</v>
      </c>
      <c r="G74" s="64">
        <v>17.87</v>
      </c>
      <c r="H74" s="64">
        <v>76.760000000000005</v>
      </c>
      <c r="I74" s="64">
        <v>4.05</v>
      </c>
      <c r="J74" s="64">
        <v>0.44</v>
      </c>
      <c r="K74" s="64">
        <v>122.81</v>
      </c>
      <c r="L74" s="64">
        <v>35.380000000000003</v>
      </c>
      <c r="M74" s="64">
        <v>40.880000000000003</v>
      </c>
      <c r="N74" s="64">
        <v>203.7</v>
      </c>
      <c r="O74" s="64">
        <v>0</v>
      </c>
      <c r="P74" s="64">
        <v>0.32</v>
      </c>
      <c r="Q74" s="64">
        <v>9.18</v>
      </c>
      <c r="R74" s="198"/>
      <c r="S74" s="198"/>
      <c r="T74" s="198"/>
      <c r="U74" s="198"/>
    </row>
    <row r="75" spans="1:21" s="12" customFormat="1" x14ac:dyDescent="0.25">
      <c r="A75" s="211" t="s">
        <v>407</v>
      </c>
      <c r="B75" s="64">
        <v>3.81</v>
      </c>
      <c r="C75" s="64">
        <v>16.61</v>
      </c>
      <c r="D75" s="64">
        <v>25.94</v>
      </c>
      <c r="E75" s="64">
        <v>5.42</v>
      </c>
      <c r="F75" s="64">
        <v>23.16</v>
      </c>
      <c r="G75" s="64">
        <v>17.87</v>
      </c>
      <c r="H75" s="64">
        <v>76.760000000000005</v>
      </c>
      <c r="I75" s="64">
        <v>3.99</v>
      </c>
      <c r="J75" s="64">
        <v>0.53</v>
      </c>
      <c r="K75" s="64">
        <v>107.92</v>
      </c>
      <c r="L75" s="64">
        <v>35.35</v>
      </c>
      <c r="M75" s="64">
        <v>39.619999999999997</v>
      </c>
      <c r="N75" s="64">
        <v>164.1</v>
      </c>
      <c r="O75" s="64">
        <v>0</v>
      </c>
      <c r="P75" s="64">
        <v>0.26</v>
      </c>
      <c r="Q75" s="64">
        <v>9.18</v>
      </c>
      <c r="R75" s="198"/>
      <c r="S75" s="198"/>
      <c r="T75" s="198"/>
      <c r="U75" s="198"/>
    </row>
    <row r="76" spans="1:21" s="12" customFormat="1" x14ac:dyDescent="0.25">
      <c r="A76" s="211" t="s">
        <v>408</v>
      </c>
      <c r="B76" s="64">
        <v>4.09</v>
      </c>
      <c r="C76" s="64">
        <v>17.47</v>
      </c>
      <c r="D76" s="64">
        <v>27.15</v>
      </c>
      <c r="E76" s="64">
        <v>5.3</v>
      </c>
      <c r="F76" s="64">
        <v>23.77</v>
      </c>
      <c r="G76" s="64">
        <v>17.91</v>
      </c>
      <c r="H76" s="64">
        <v>74.95</v>
      </c>
      <c r="I76" s="64">
        <v>3.92</v>
      </c>
      <c r="J76" s="64">
        <v>0.79</v>
      </c>
      <c r="K76" s="64">
        <v>129.19</v>
      </c>
      <c r="L76" s="64">
        <v>34.74</v>
      </c>
      <c r="M76" s="64">
        <v>43.71</v>
      </c>
      <c r="N76" s="64">
        <v>110.8</v>
      </c>
      <c r="O76" s="64">
        <v>0</v>
      </c>
      <c r="P76" s="64">
        <v>0.27</v>
      </c>
      <c r="Q76" s="64">
        <v>9.18</v>
      </c>
      <c r="R76" s="198"/>
      <c r="S76" s="198"/>
      <c r="T76" s="198"/>
      <c r="U76" s="198"/>
    </row>
    <row r="77" spans="1:21" s="12" customFormat="1" x14ac:dyDescent="0.25">
      <c r="A77" s="211" t="s">
        <v>409</v>
      </c>
      <c r="B77" s="64">
        <v>7.94</v>
      </c>
      <c r="C77" s="64">
        <v>28.21</v>
      </c>
      <c r="D77" s="64">
        <v>41.81</v>
      </c>
      <c r="E77" s="64">
        <v>5.26</v>
      </c>
      <c r="F77" s="64">
        <v>19.75</v>
      </c>
      <c r="G77" s="64">
        <v>18.8</v>
      </c>
      <c r="H77" s="64">
        <v>36.07</v>
      </c>
      <c r="I77" s="64">
        <v>3.95</v>
      </c>
      <c r="J77" s="64">
        <v>0.17</v>
      </c>
      <c r="K77" s="64">
        <v>42.77</v>
      </c>
      <c r="L77" s="64">
        <v>33.71</v>
      </c>
      <c r="M77" s="64">
        <v>52.71</v>
      </c>
      <c r="N77" s="64">
        <v>78.400000000000006</v>
      </c>
      <c r="O77" s="64">
        <v>0</v>
      </c>
      <c r="P77" s="64">
        <v>0.46</v>
      </c>
      <c r="Q77" s="64">
        <v>9.18</v>
      </c>
      <c r="R77" s="198"/>
      <c r="S77" s="198"/>
      <c r="T77" s="198"/>
      <c r="U77" s="198"/>
    </row>
    <row r="78" spans="1:21" s="12" customFormat="1" x14ac:dyDescent="0.25">
      <c r="A78" s="211" t="s">
        <v>410</v>
      </c>
      <c r="B78" s="64">
        <v>4.3600000000000003</v>
      </c>
      <c r="C78" s="64">
        <v>20.21</v>
      </c>
      <c r="D78" s="64">
        <v>31.99</v>
      </c>
      <c r="E78" s="64">
        <v>5.21</v>
      </c>
      <c r="F78" s="64">
        <v>21.75</v>
      </c>
      <c r="G78" s="64">
        <v>18.8</v>
      </c>
      <c r="H78" s="64">
        <v>36.07</v>
      </c>
      <c r="I78" s="64">
        <v>3.97</v>
      </c>
      <c r="J78" s="64">
        <v>0.4</v>
      </c>
      <c r="K78" s="64">
        <v>160.19999999999999</v>
      </c>
      <c r="L78" s="64">
        <v>33.17</v>
      </c>
      <c r="M78" s="64">
        <v>53.39</v>
      </c>
      <c r="N78" s="64">
        <v>65.8</v>
      </c>
      <c r="O78" s="64">
        <v>0</v>
      </c>
      <c r="P78" s="64">
        <v>0.32</v>
      </c>
      <c r="Q78" s="64">
        <v>9.19</v>
      </c>
      <c r="R78" s="198"/>
      <c r="S78" s="198"/>
      <c r="T78" s="198"/>
      <c r="U78" s="198"/>
    </row>
    <row r="79" spans="1:21" s="12" customFormat="1" x14ac:dyDescent="0.25">
      <c r="A79" s="211" t="s">
        <v>411</v>
      </c>
      <c r="B79" s="64">
        <v>4.4000000000000004</v>
      </c>
      <c r="C79" s="64">
        <v>17.690000000000001</v>
      </c>
      <c r="D79" s="64">
        <v>27.09</v>
      </c>
      <c r="E79" s="64">
        <v>5.08</v>
      </c>
      <c r="F79" s="64">
        <v>9.1</v>
      </c>
      <c r="G79" s="64">
        <v>18.8</v>
      </c>
      <c r="H79" s="64">
        <v>36.07</v>
      </c>
      <c r="I79" s="64">
        <v>3.96</v>
      </c>
      <c r="J79" s="64">
        <v>0.56999999999999995</v>
      </c>
      <c r="K79" s="64">
        <v>176.51</v>
      </c>
      <c r="L79" s="64">
        <v>30.47</v>
      </c>
      <c r="M79" s="64">
        <v>70.040000000000006</v>
      </c>
      <c r="N79" s="64">
        <v>85.3</v>
      </c>
      <c r="O79" s="64">
        <v>1.8</v>
      </c>
      <c r="P79" s="64">
        <v>0.32</v>
      </c>
      <c r="Q79" s="64">
        <v>9.19</v>
      </c>
      <c r="R79" s="198"/>
      <c r="S79" s="198"/>
      <c r="T79" s="198"/>
      <c r="U79" s="198"/>
    </row>
    <row r="80" spans="1:21" s="12" customFormat="1" x14ac:dyDescent="0.25">
      <c r="A80" s="211" t="s">
        <v>412</v>
      </c>
      <c r="B80" s="64">
        <v>4</v>
      </c>
      <c r="C80" s="64">
        <v>18.55</v>
      </c>
      <c r="D80" s="64">
        <v>29.38</v>
      </c>
      <c r="E80" s="64">
        <v>5.13</v>
      </c>
      <c r="F80" s="64">
        <v>16.670000000000002</v>
      </c>
      <c r="G80" s="64">
        <v>19.04</v>
      </c>
      <c r="H80" s="64">
        <v>35.89</v>
      </c>
      <c r="I80" s="64">
        <v>4.09</v>
      </c>
      <c r="J80" s="64">
        <v>0.08</v>
      </c>
      <c r="K80" s="64">
        <v>188.31</v>
      </c>
      <c r="L80" s="64">
        <v>28.02</v>
      </c>
      <c r="M80" s="64">
        <v>90.16</v>
      </c>
      <c r="N80" s="64">
        <v>76.599999999999994</v>
      </c>
      <c r="O80" s="64">
        <v>0</v>
      </c>
      <c r="P80" s="64">
        <v>0.33</v>
      </c>
      <c r="Q80" s="64">
        <v>9.18</v>
      </c>
      <c r="R80" s="198"/>
      <c r="S80" s="198"/>
      <c r="T80" s="198"/>
      <c r="U80" s="198"/>
    </row>
    <row r="81" spans="1:26" s="12" customFormat="1" x14ac:dyDescent="0.25">
      <c r="A81" s="211" t="s">
        <v>413</v>
      </c>
      <c r="B81" s="64">
        <v>3.68</v>
      </c>
      <c r="C81" s="64">
        <v>17.399999999999999</v>
      </c>
      <c r="D81" s="64">
        <v>27.65</v>
      </c>
      <c r="E81" s="64">
        <v>4.79</v>
      </c>
      <c r="F81" s="64">
        <v>11.2</v>
      </c>
      <c r="G81" s="64">
        <v>24.11</v>
      </c>
      <c r="H81" s="64">
        <v>32.08</v>
      </c>
      <c r="I81" s="64">
        <v>4.0999999999999996</v>
      </c>
      <c r="J81" s="64">
        <v>0.16</v>
      </c>
      <c r="K81" s="64">
        <v>155.91</v>
      </c>
      <c r="L81" s="64">
        <v>28.17</v>
      </c>
      <c r="M81" s="64">
        <v>85.18</v>
      </c>
      <c r="N81" s="64">
        <v>70.900000000000006</v>
      </c>
      <c r="O81" s="64">
        <v>0</v>
      </c>
      <c r="P81" s="64">
        <v>0.36</v>
      </c>
      <c r="Q81" s="64">
        <v>9.17</v>
      </c>
      <c r="R81" s="198"/>
      <c r="S81" s="198"/>
      <c r="T81" s="198"/>
      <c r="U81" s="198"/>
    </row>
    <row r="82" spans="1:26" s="12" customFormat="1" x14ac:dyDescent="0.25">
      <c r="A82" s="211" t="s">
        <v>414</v>
      </c>
      <c r="B82" s="64">
        <v>3.83</v>
      </c>
      <c r="C82" s="64">
        <v>19.329999999999998</v>
      </c>
      <c r="D82" s="64">
        <v>31.12</v>
      </c>
      <c r="E82" s="64">
        <v>4.58</v>
      </c>
      <c r="F82" s="64">
        <v>14.56</v>
      </c>
      <c r="G82" s="64">
        <v>24.11</v>
      </c>
      <c r="H82" s="64">
        <v>32.08</v>
      </c>
      <c r="I82" s="64">
        <v>4.2699999999999996</v>
      </c>
      <c r="J82" s="64">
        <v>0.47</v>
      </c>
      <c r="K82" s="64">
        <v>148.22</v>
      </c>
      <c r="L82" s="64">
        <v>28.24</v>
      </c>
      <c r="M82" s="64">
        <v>84.89</v>
      </c>
      <c r="N82" s="64">
        <v>54.9</v>
      </c>
      <c r="O82" s="64">
        <v>0</v>
      </c>
      <c r="P82" s="64">
        <v>0.35</v>
      </c>
      <c r="Q82" s="64">
        <v>9.17</v>
      </c>
      <c r="R82" s="198"/>
      <c r="S82" s="198"/>
      <c r="T82" s="198"/>
      <c r="U82" s="198"/>
    </row>
    <row r="83" spans="1:26" s="12" customFormat="1" x14ac:dyDescent="0.25">
      <c r="A83" s="211" t="s">
        <v>415</v>
      </c>
      <c r="B83" s="64">
        <v>4.59</v>
      </c>
      <c r="C83" s="64">
        <v>22.72</v>
      </c>
      <c r="D83" s="64">
        <v>36.44</v>
      </c>
      <c r="E83" s="64">
        <v>5.1100000000000003</v>
      </c>
      <c r="F83" s="64">
        <v>13.04</v>
      </c>
      <c r="G83" s="64">
        <v>24.11</v>
      </c>
      <c r="H83" s="64">
        <v>32.08</v>
      </c>
      <c r="I83" s="64">
        <v>3.94</v>
      </c>
      <c r="J83" s="64">
        <v>0.47</v>
      </c>
      <c r="K83" s="64">
        <v>136.63999999999999</v>
      </c>
      <c r="L83" s="64">
        <v>28.38</v>
      </c>
      <c r="M83" s="64">
        <v>85.64</v>
      </c>
      <c r="N83" s="64">
        <v>45.9</v>
      </c>
      <c r="O83" s="64">
        <v>0</v>
      </c>
      <c r="P83" s="64">
        <v>0.39</v>
      </c>
      <c r="Q83" s="64">
        <v>9.18</v>
      </c>
      <c r="R83" s="198"/>
      <c r="S83" s="198"/>
      <c r="T83" s="198"/>
      <c r="U83" s="198"/>
    </row>
    <row r="84" spans="1:26" s="12" customFormat="1" x14ac:dyDescent="0.25">
      <c r="A84" s="211" t="s">
        <v>416</v>
      </c>
      <c r="B84" s="64">
        <v>6.34</v>
      </c>
      <c r="C84" s="64">
        <v>27.24</v>
      </c>
      <c r="D84" s="64">
        <v>42.41</v>
      </c>
      <c r="E84" s="64">
        <v>5</v>
      </c>
      <c r="F84" s="64">
        <v>11.88</v>
      </c>
      <c r="G84" s="64">
        <v>24.11</v>
      </c>
      <c r="H84" s="64">
        <v>32.619999999999997</v>
      </c>
      <c r="I84" s="64">
        <v>3.81</v>
      </c>
      <c r="J84" s="64">
        <v>0.37</v>
      </c>
      <c r="K84" s="64">
        <v>144.94999999999999</v>
      </c>
      <c r="L84" s="64">
        <v>28.63</v>
      </c>
      <c r="M84" s="64">
        <v>83.13</v>
      </c>
      <c r="N84" s="64">
        <v>43.9</v>
      </c>
      <c r="O84" s="64">
        <v>0</v>
      </c>
      <c r="P84" s="64">
        <v>0.45</v>
      </c>
      <c r="Q84" s="64">
        <v>9.1999999999999993</v>
      </c>
      <c r="R84" s="198"/>
      <c r="S84" s="198"/>
      <c r="T84" s="198"/>
      <c r="U84" s="198"/>
    </row>
    <row r="85" spans="1:26" s="12" customFormat="1" x14ac:dyDescent="0.25">
      <c r="A85" s="211" t="s">
        <v>417</v>
      </c>
      <c r="B85" s="64">
        <v>4.9400000000000004</v>
      </c>
      <c r="C85" s="64">
        <v>24.58</v>
      </c>
      <c r="D85" s="64">
        <v>39.479999999999997</v>
      </c>
      <c r="E85" s="64">
        <v>4.78</v>
      </c>
      <c r="F85" s="64">
        <v>11.79</v>
      </c>
      <c r="G85" s="64">
        <v>24.15</v>
      </c>
      <c r="H85" s="64">
        <v>44.14</v>
      </c>
      <c r="I85" s="64">
        <v>4.08</v>
      </c>
      <c r="J85" s="64">
        <v>0.03</v>
      </c>
      <c r="K85" s="64">
        <v>189.18</v>
      </c>
      <c r="L85" s="64">
        <v>28.6</v>
      </c>
      <c r="M85" s="64">
        <v>84.01</v>
      </c>
      <c r="N85" s="64">
        <v>42.6</v>
      </c>
      <c r="O85" s="64">
        <v>0</v>
      </c>
      <c r="P85" s="64">
        <v>0.43</v>
      </c>
      <c r="Q85" s="64">
        <v>9.2200000000000006</v>
      </c>
      <c r="R85" s="198"/>
      <c r="S85" s="198"/>
      <c r="T85" s="198"/>
      <c r="U85" s="198"/>
    </row>
    <row r="86" spans="1:26" s="12" customFormat="1" x14ac:dyDescent="0.25">
      <c r="A86" s="211" t="s">
        <v>418</v>
      </c>
      <c r="B86" s="64">
        <v>4.1500000000000004</v>
      </c>
      <c r="C86" s="64">
        <v>22.36</v>
      </c>
      <c r="D86" s="64">
        <v>36.43</v>
      </c>
      <c r="E86" s="64">
        <v>4.88</v>
      </c>
      <c r="F86" s="64">
        <v>12.66</v>
      </c>
      <c r="G86" s="64">
        <v>24.15</v>
      </c>
      <c r="H86" s="64">
        <v>44.14</v>
      </c>
      <c r="I86" s="64">
        <v>3.99</v>
      </c>
      <c r="J86" s="64">
        <v>0.09</v>
      </c>
      <c r="K86" s="64">
        <v>209.05</v>
      </c>
      <c r="L86" s="64">
        <v>28.64</v>
      </c>
      <c r="M86" s="64">
        <v>83.78</v>
      </c>
      <c r="N86" s="64">
        <v>42.3</v>
      </c>
      <c r="O86" s="64">
        <v>0</v>
      </c>
      <c r="P86" s="64">
        <v>0.48</v>
      </c>
      <c r="Q86" s="64">
        <v>9.2200000000000006</v>
      </c>
      <c r="R86" s="198"/>
      <c r="S86" s="198"/>
      <c r="T86" s="198"/>
      <c r="U86" s="198"/>
    </row>
    <row r="87" spans="1:26" s="12" customFormat="1" x14ac:dyDescent="0.25">
      <c r="A87" s="211" t="s">
        <v>419</v>
      </c>
      <c r="B87" s="64">
        <v>4.66</v>
      </c>
      <c r="C87" s="64">
        <v>24.3</v>
      </c>
      <c r="D87" s="64">
        <v>39.369999999999997</v>
      </c>
      <c r="E87" s="64">
        <v>4.8499999999999996</v>
      </c>
      <c r="F87" s="64">
        <v>10.81</v>
      </c>
      <c r="G87" s="64">
        <v>24.15</v>
      </c>
      <c r="H87" s="64">
        <v>44.14</v>
      </c>
      <c r="I87" s="64">
        <v>4.0199999999999996</v>
      </c>
      <c r="J87" s="64">
        <v>0.16</v>
      </c>
      <c r="K87" s="64">
        <v>152.65</v>
      </c>
      <c r="L87" s="64">
        <v>28.67</v>
      </c>
      <c r="M87" s="64">
        <v>84.09</v>
      </c>
      <c r="N87" s="64">
        <v>42.3</v>
      </c>
      <c r="O87" s="64">
        <v>0</v>
      </c>
      <c r="P87" s="64">
        <v>0.52</v>
      </c>
      <c r="Q87" s="64">
        <v>9.23</v>
      </c>
      <c r="R87" s="198"/>
      <c r="S87" s="198"/>
      <c r="T87" s="198"/>
      <c r="U87" s="198"/>
    </row>
    <row r="88" spans="1:26" s="12" customFormat="1" x14ac:dyDescent="0.25">
      <c r="A88" s="211" t="s">
        <v>420</v>
      </c>
      <c r="B88" s="64">
        <v>4.42</v>
      </c>
      <c r="C88" s="64">
        <v>24.95</v>
      </c>
      <c r="D88" s="64">
        <v>40.97</v>
      </c>
      <c r="E88" s="64">
        <v>4.82</v>
      </c>
      <c r="F88" s="64">
        <v>11.61</v>
      </c>
      <c r="G88" s="64">
        <v>24.11</v>
      </c>
      <c r="H88" s="64">
        <v>45.03</v>
      </c>
      <c r="I88" s="64">
        <v>3.87</v>
      </c>
      <c r="J88" s="64">
        <v>0.39</v>
      </c>
      <c r="K88" s="64">
        <v>139.21</v>
      </c>
      <c r="L88" s="64">
        <v>28.54</v>
      </c>
      <c r="M88" s="64">
        <v>84.75</v>
      </c>
      <c r="N88" s="64">
        <v>41.9</v>
      </c>
      <c r="O88" s="64">
        <v>0</v>
      </c>
      <c r="P88" s="64">
        <v>0.49</v>
      </c>
      <c r="Q88" s="64">
        <v>9.25</v>
      </c>
      <c r="R88" s="198"/>
      <c r="S88" s="198"/>
      <c r="T88" s="198"/>
      <c r="U88" s="198"/>
    </row>
    <row r="89" spans="1:26" s="12" customFormat="1" x14ac:dyDescent="0.25">
      <c r="A89" s="211" t="s">
        <v>421</v>
      </c>
      <c r="B89" s="64">
        <v>5.68</v>
      </c>
      <c r="C89" s="64">
        <v>23.99</v>
      </c>
      <c r="D89" s="64">
        <v>37.21</v>
      </c>
      <c r="E89" s="64">
        <v>4.93</v>
      </c>
      <c r="F89" s="64">
        <v>11.73</v>
      </c>
      <c r="G89" s="64">
        <v>23.25</v>
      </c>
      <c r="H89" s="64">
        <v>64.260000000000005</v>
      </c>
      <c r="I89" s="64">
        <v>3.91</v>
      </c>
      <c r="J89" s="64">
        <v>0.53</v>
      </c>
      <c r="K89" s="64">
        <v>139.32</v>
      </c>
      <c r="L89" s="64">
        <v>28.52</v>
      </c>
      <c r="M89" s="64">
        <v>83.14</v>
      </c>
      <c r="N89" s="64">
        <v>41</v>
      </c>
      <c r="O89" s="64">
        <v>0</v>
      </c>
      <c r="P89" s="64">
        <v>0.48</v>
      </c>
      <c r="Q89" s="64">
        <v>9.26</v>
      </c>
      <c r="R89" s="198"/>
      <c r="S89" s="198"/>
      <c r="T89" s="198"/>
      <c r="U89" s="198"/>
    </row>
    <row r="90" spans="1:26" s="12" customFormat="1" x14ac:dyDescent="0.25">
      <c r="A90" s="211" t="s">
        <v>422</v>
      </c>
      <c r="B90" s="64">
        <v>6.56</v>
      </c>
      <c r="C90" s="64">
        <v>26.95</v>
      </c>
      <c r="D90" s="64">
        <v>41.51</v>
      </c>
      <c r="E90" s="64">
        <v>4.6500000000000004</v>
      </c>
      <c r="F90" s="64">
        <v>9.4700000000000006</v>
      </c>
      <c r="G90" s="64">
        <v>23.25</v>
      </c>
      <c r="H90" s="64">
        <v>64.260000000000005</v>
      </c>
      <c r="I90" s="64">
        <v>4.08</v>
      </c>
      <c r="J90" s="64">
        <v>0.05</v>
      </c>
      <c r="K90" s="64">
        <v>150.29</v>
      </c>
      <c r="L90" s="64">
        <v>28.56</v>
      </c>
      <c r="M90" s="64">
        <v>83.21</v>
      </c>
      <c r="N90" s="64">
        <v>41.4</v>
      </c>
      <c r="O90" s="64">
        <v>0</v>
      </c>
      <c r="P90" s="64">
        <v>0.56000000000000005</v>
      </c>
      <c r="Q90" s="64">
        <v>9.27</v>
      </c>
      <c r="R90" s="198"/>
      <c r="S90" s="198"/>
      <c r="T90" s="198"/>
      <c r="U90" s="198"/>
    </row>
    <row r="91" spans="1:26" s="12" customFormat="1" x14ac:dyDescent="0.25">
      <c r="A91" s="211" t="s">
        <v>423</v>
      </c>
      <c r="B91" s="64">
        <v>6.73</v>
      </c>
      <c r="C91" s="64">
        <v>28.83</v>
      </c>
      <c r="D91" s="64">
        <v>44.85</v>
      </c>
      <c r="E91" s="64">
        <v>4.7699999999999996</v>
      </c>
      <c r="F91" s="64">
        <v>10.89</v>
      </c>
      <c r="G91" s="64">
        <v>23.25</v>
      </c>
      <c r="H91" s="64">
        <v>64.260000000000005</v>
      </c>
      <c r="I91" s="64">
        <v>3.92</v>
      </c>
      <c r="J91" s="64">
        <v>0.38</v>
      </c>
      <c r="K91" s="64">
        <v>143.56</v>
      </c>
      <c r="L91" s="64">
        <v>28.52</v>
      </c>
      <c r="M91" s="64">
        <v>82.42</v>
      </c>
      <c r="N91" s="64">
        <v>40.5</v>
      </c>
      <c r="O91" s="64">
        <v>0</v>
      </c>
      <c r="P91" s="64">
        <v>0.55000000000000004</v>
      </c>
      <c r="Q91" s="64">
        <v>9.2799999999999994</v>
      </c>
      <c r="R91" s="198"/>
      <c r="S91" s="198"/>
      <c r="T91" s="198"/>
      <c r="U91" s="198"/>
    </row>
    <row r="92" spans="1:26" s="12" customFormat="1" x14ac:dyDescent="0.25">
      <c r="A92" s="211" t="s">
        <v>424</v>
      </c>
      <c r="B92" s="64">
        <v>8.52</v>
      </c>
      <c r="C92" s="64">
        <v>30.15</v>
      </c>
      <c r="D92" s="64">
        <v>44.64</v>
      </c>
      <c r="E92" s="64">
        <v>4.97</v>
      </c>
      <c r="F92" s="64">
        <v>10.09</v>
      </c>
      <c r="G92" s="64">
        <v>23.2</v>
      </c>
      <c r="H92" s="64">
        <v>63.14</v>
      </c>
      <c r="I92" s="64">
        <v>3.99</v>
      </c>
      <c r="J92" s="64">
        <v>0.16</v>
      </c>
      <c r="K92" s="64">
        <v>168.91</v>
      </c>
      <c r="L92" s="64">
        <v>28.62</v>
      </c>
      <c r="M92" s="64">
        <v>81.12</v>
      </c>
      <c r="N92" s="64">
        <v>41</v>
      </c>
      <c r="O92" s="64">
        <v>0</v>
      </c>
      <c r="P92" s="64">
        <v>0.5</v>
      </c>
      <c r="Q92" s="64">
        <v>9.2899999999999991</v>
      </c>
      <c r="R92" s="198"/>
      <c r="S92" s="198"/>
      <c r="T92" s="198"/>
      <c r="U92" s="198"/>
    </row>
    <row r="93" spans="1:26" s="12" customFormat="1" x14ac:dyDescent="0.25">
      <c r="A93" s="211" t="s">
        <v>425</v>
      </c>
      <c r="B93" s="64">
        <v>9.35</v>
      </c>
      <c r="C93" s="64">
        <v>31.29</v>
      </c>
      <c r="D93" s="64">
        <v>45.55</v>
      </c>
      <c r="E93" s="64">
        <v>4.34</v>
      </c>
      <c r="F93" s="64">
        <v>10.33</v>
      </c>
      <c r="G93" s="64">
        <v>22.02</v>
      </c>
      <c r="H93" s="64">
        <v>39.1</v>
      </c>
      <c r="I93" s="64">
        <v>4.13</v>
      </c>
      <c r="J93" s="64">
        <v>0.08</v>
      </c>
      <c r="K93" s="64">
        <v>187</v>
      </c>
      <c r="L93" s="64">
        <v>28.45</v>
      </c>
      <c r="M93" s="64">
        <v>82.15</v>
      </c>
      <c r="N93" s="64">
        <v>41.2</v>
      </c>
      <c r="O93" s="64">
        <v>0</v>
      </c>
      <c r="P93" s="64">
        <v>0.48</v>
      </c>
      <c r="Q93" s="64">
        <v>9.3000000000000007</v>
      </c>
      <c r="R93" s="198"/>
      <c r="S93" s="198"/>
      <c r="T93" s="198"/>
      <c r="U93" s="198"/>
    </row>
    <row r="94" spans="1:26" s="12" customFormat="1" x14ac:dyDescent="0.25">
      <c r="A94" s="211" t="s">
        <v>426</v>
      </c>
      <c r="B94" s="64">
        <v>8.51</v>
      </c>
      <c r="C94" s="64">
        <v>26.64</v>
      </c>
      <c r="D94" s="64">
        <v>37.92</v>
      </c>
      <c r="E94" s="64">
        <v>4.71</v>
      </c>
      <c r="F94" s="64">
        <v>11.53</v>
      </c>
      <c r="G94" s="64">
        <v>22.02</v>
      </c>
      <c r="H94" s="64">
        <v>39.1</v>
      </c>
      <c r="I94" s="64">
        <v>4.12</v>
      </c>
      <c r="J94" s="64">
        <v>0.31</v>
      </c>
      <c r="K94" s="64">
        <v>147.65</v>
      </c>
      <c r="L94" s="64">
        <v>28.26</v>
      </c>
      <c r="M94" s="64">
        <v>83.49</v>
      </c>
      <c r="N94" s="64">
        <v>41.5</v>
      </c>
      <c r="O94" s="64">
        <v>0</v>
      </c>
      <c r="P94" s="64">
        <v>0.44</v>
      </c>
      <c r="Q94" s="64">
        <v>9.33</v>
      </c>
      <c r="R94" s="198"/>
      <c r="S94" s="198"/>
      <c r="T94" s="198"/>
      <c r="U94" s="198"/>
    </row>
    <row r="95" spans="1:26" s="12" customFormat="1" x14ac:dyDescent="0.25">
      <c r="A95" s="211" t="s">
        <v>427</v>
      </c>
      <c r="B95" s="64">
        <v>6.35</v>
      </c>
      <c r="C95" s="64">
        <v>22.18</v>
      </c>
      <c r="D95" s="64">
        <v>32.69</v>
      </c>
      <c r="E95" s="64">
        <v>4.43</v>
      </c>
      <c r="F95" s="64">
        <v>13.64</v>
      </c>
      <c r="G95" s="64">
        <v>22.02</v>
      </c>
      <c r="H95" s="64">
        <v>39.1</v>
      </c>
      <c r="I95" s="64">
        <v>4.0599999999999996</v>
      </c>
      <c r="J95" s="64">
        <v>0.41</v>
      </c>
      <c r="K95" s="64">
        <v>141.35</v>
      </c>
      <c r="L95" s="64">
        <v>28.01</v>
      </c>
      <c r="M95" s="64">
        <v>84.44</v>
      </c>
      <c r="N95" s="64">
        <v>41.4</v>
      </c>
      <c r="O95" s="64">
        <v>0</v>
      </c>
      <c r="P95" s="64">
        <v>0.4</v>
      </c>
      <c r="Q95" s="64">
        <v>9.34</v>
      </c>
      <c r="R95" s="198"/>
      <c r="S95" s="198"/>
      <c r="T95" s="198"/>
      <c r="U95" s="198"/>
    </row>
    <row r="96" spans="1:26" s="12" customFormat="1" x14ac:dyDescent="0.25">
      <c r="A96" s="211" t="s">
        <v>428</v>
      </c>
      <c r="B96" s="64">
        <v>5.4</v>
      </c>
      <c r="C96" s="64">
        <v>20.75</v>
      </c>
      <c r="D96" s="64">
        <v>31.42</v>
      </c>
      <c r="E96" s="64">
        <v>4.42</v>
      </c>
      <c r="F96" s="64">
        <v>12.57</v>
      </c>
      <c r="G96" s="64">
        <v>22.12</v>
      </c>
      <c r="H96" s="64">
        <v>40.11</v>
      </c>
      <c r="I96" s="64">
        <v>3.96</v>
      </c>
      <c r="J96" s="64">
        <v>0.2</v>
      </c>
      <c r="K96" s="64">
        <v>144.62</v>
      </c>
      <c r="L96" s="64">
        <v>27.93</v>
      </c>
      <c r="M96" s="64">
        <v>84.92</v>
      </c>
      <c r="N96" s="64">
        <v>41.4</v>
      </c>
      <c r="O96" s="64">
        <v>0</v>
      </c>
      <c r="P96" s="64">
        <v>0.42</v>
      </c>
      <c r="Q96" s="64">
        <v>9.34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429</v>
      </c>
      <c r="B97" s="64">
        <v>5.89</v>
      </c>
      <c r="C97" s="64">
        <v>23.07</v>
      </c>
      <c r="D97" s="64">
        <v>35.11</v>
      </c>
      <c r="E97" s="64">
        <v>4.6100000000000003</v>
      </c>
      <c r="F97" s="64">
        <v>12.97</v>
      </c>
      <c r="G97" s="64">
        <v>24.36</v>
      </c>
      <c r="H97" s="64">
        <v>61.85</v>
      </c>
      <c r="I97" s="64">
        <v>3.9</v>
      </c>
      <c r="J97" s="64">
        <v>0.19</v>
      </c>
      <c r="K97" s="64">
        <v>144.59</v>
      </c>
      <c r="L97" s="64">
        <v>27.71</v>
      </c>
      <c r="M97" s="64">
        <v>85.9</v>
      </c>
      <c r="N97" s="64">
        <v>41.3</v>
      </c>
      <c r="O97" s="64">
        <v>0</v>
      </c>
      <c r="P97" s="64">
        <v>0.41</v>
      </c>
      <c r="Q97" s="64">
        <v>9.35</v>
      </c>
      <c r="R97" s="198"/>
      <c r="S97" s="198"/>
      <c r="T97" s="198"/>
      <c r="U97" s="198"/>
    </row>
    <row r="98" spans="1:33" s="12" customFormat="1" x14ac:dyDescent="0.25">
      <c r="A98" s="211" t="s">
        <v>430</v>
      </c>
      <c r="B98" s="64">
        <v>7.96</v>
      </c>
      <c r="C98" s="64">
        <v>27.78</v>
      </c>
      <c r="D98" s="64">
        <v>40.97</v>
      </c>
      <c r="E98" s="64">
        <v>4.59</v>
      </c>
      <c r="F98" s="64">
        <v>13.06</v>
      </c>
      <c r="G98" s="64">
        <v>24.36</v>
      </c>
      <c r="H98" s="64">
        <v>61.85</v>
      </c>
      <c r="I98" s="64">
        <v>3.94</v>
      </c>
      <c r="J98" s="64">
        <v>0.75</v>
      </c>
      <c r="K98" s="64">
        <v>133.96</v>
      </c>
      <c r="L98" s="64">
        <v>27.67</v>
      </c>
      <c r="M98" s="64">
        <v>86.22</v>
      </c>
      <c r="N98" s="64">
        <v>41.1</v>
      </c>
      <c r="O98" s="64">
        <v>0</v>
      </c>
      <c r="P98" s="64">
        <v>0.38</v>
      </c>
      <c r="Q98" s="64">
        <v>9.35</v>
      </c>
      <c r="R98" s="198"/>
      <c r="S98" s="198"/>
      <c r="T98" s="198"/>
      <c r="U98" s="198"/>
    </row>
    <row r="99" spans="1:33" s="12" customFormat="1" x14ac:dyDescent="0.25">
      <c r="A99" s="211" t="s">
        <v>431</v>
      </c>
      <c r="B99" s="64">
        <v>7.15</v>
      </c>
      <c r="C99" s="64">
        <v>23.23</v>
      </c>
      <c r="D99" s="64">
        <v>33.49</v>
      </c>
      <c r="E99" s="64">
        <v>4.7300000000000004</v>
      </c>
      <c r="F99" s="64">
        <v>8.5299999999999994</v>
      </c>
      <c r="G99" s="64">
        <v>24.36</v>
      </c>
      <c r="H99" s="64">
        <v>61.85</v>
      </c>
      <c r="I99" s="64">
        <v>3.96</v>
      </c>
      <c r="J99" s="64">
        <v>0.37</v>
      </c>
      <c r="K99" s="64">
        <v>156.57</v>
      </c>
      <c r="L99" s="64">
        <v>27.57</v>
      </c>
      <c r="M99" s="64">
        <v>86.87</v>
      </c>
      <c r="N99" s="64">
        <v>41.3</v>
      </c>
      <c r="O99" s="64">
        <v>0</v>
      </c>
      <c r="P99" s="64">
        <v>0.4</v>
      </c>
      <c r="Q99" s="64">
        <v>9.35</v>
      </c>
      <c r="R99" s="198"/>
      <c r="S99" s="198"/>
      <c r="T99" s="198"/>
      <c r="U99" s="198"/>
    </row>
    <row r="100" spans="1:33" s="12" customFormat="1" x14ac:dyDescent="0.25">
      <c r="A100" s="211" t="s">
        <v>432</v>
      </c>
      <c r="B100" s="64">
        <v>6.18</v>
      </c>
      <c r="C100" s="64">
        <v>18.79</v>
      </c>
      <c r="D100" s="64">
        <v>26.48</v>
      </c>
      <c r="E100" s="64">
        <v>4.9000000000000004</v>
      </c>
      <c r="F100" s="64">
        <v>11.64</v>
      </c>
      <c r="G100" s="64">
        <v>24.3</v>
      </c>
      <c r="H100" s="64">
        <v>55.19</v>
      </c>
      <c r="I100" s="64">
        <v>4.04</v>
      </c>
      <c r="J100" s="64">
        <v>0.52</v>
      </c>
      <c r="K100" s="64">
        <v>146.71</v>
      </c>
      <c r="L100" s="64">
        <v>27.48</v>
      </c>
      <c r="M100" s="64">
        <v>87.23</v>
      </c>
      <c r="N100" s="64">
        <v>41.3</v>
      </c>
      <c r="O100" s="64">
        <v>0</v>
      </c>
      <c r="P100" s="64">
        <v>0.38</v>
      </c>
      <c r="Q100" s="64">
        <v>9.35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433</v>
      </c>
      <c r="B101" s="64">
        <v>5.83</v>
      </c>
      <c r="C101" s="64">
        <v>17.010000000000002</v>
      </c>
      <c r="D101" s="64">
        <v>23.61</v>
      </c>
      <c r="E101" s="64">
        <v>4.93</v>
      </c>
      <c r="F101" s="64">
        <v>8.2899999999999991</v>
      </c>
      <c r="G101" s="64">
        <v>22.93</v>
      </c>
      <c r="H101" s="64">
        <v>-88.16</v>
      </c>
      <c r="I101" s="64">
        <v>4.22</v>
      </c>
      <c r="J101" s="64">
        <v>0.67</v>
      </c>
      <c r="K101" s="64">
        <v>147.22999999999999</v>
      </c>
      <c r="L101" s="64">
        <v>27.44</v>
      </c>
      <c r="M101" s="64">
        <v>87.26</v>
      </c>
      <c r="N101" s="64">
        <v>41.1</v>
      </c>
      <c r="O101" s="64">
        <v>0</v>
      </c>
      <c r="P101" s="64">
        <v>0.39</v>
      </c>
      <c r="Q101" s="64">
        <v>9.34</v>
      </c>
      <c r="R101" s="198"/>
      <c r="S101" s="198"/>
      <c r="T101" s="198"/>
      <c r="U101" s="198"/>
    </row>
    <row r="102" spans="1:33" s="12" customFormat="1" x14ac:dyDescent="0.25">
      <c r="A102" s="211" t="s">
        <v>434</v>
      </c>
      <c r="B102" s="64">
        <v>5.81</v>
      </c>
      <c r="C102" s="64">
        <v>17.96</v>
      </c>
      <c r="D102" s="64">
        <v>25.46</v>
      </c>
      <c r="E102" s="64">
        <v>4.26</v>
      </c>
      <c r="F102" s="64">
        <v>11.35</v>
      </c>
      <c r="G102" s="64">
        <v>22.93</v>
      </c>
      <c r="H102" s="64">
        <v>-88.16</v>
      </c>
      <c r="I102" s="64">
        <v>3.92</v>
      </c>
      <c r="J102" s="64">
        <v>0.51</v>
      </c>
      <c r="K102" s="64">
        <v>154.72999999999999</v>
      </c>
      <c r="L102" s="64">
        <v>27.45</v>
      </c>
      <c r="M102" s="64">
        <v>86.96</v>
      </c>
      <c r="N102" s="64">
        <v>41.3</v>
      </c>
      <c r="O102" s="64">
        <v>0</v>
      </c>
      <c r="P102" s="64">
        <v>0.37</v>
      </c>
      <c r="Q102" s="64">
        <v>9.34</v>
      </c>
      <c r="R102" s="198"/>
      <c r="S102" s="198"/>
      <c r="T102" s="198"/>
      <c r="U102" s="198"/>
    </row>
    <row r="103" spans="1:33" s="12" customFormat="1" x14ac:dyDescent="0.25">
      <c r="A103" s="211" t="s">
        <v>435</v>
      </c>
      <c r="B103" s="64">
        <v>4.68</v>
      </c>
      <c r="C103" s="64">
        <v>18.16</v>
      </c>
      <c r="D103" s="64">
        <v>27.58</v>
      </c>
      <c r="E103" s="64">
        <v>4.8099999999999996</v>
      </c>
      <c r="F103" s="64">
        <v>10.79</v>
      </c>
      <c r="G103" s="64">
        <v>22.93</v>
      </c>
      <c r="H103" s="64">
        <v>-88.16</v>
      </c>
      <c r="I103" s="64">
        <v>4.2</v>
      </c>
      <c r="J103" s="64">
        <v>0.42</v>
      </c>
      <c r="K103" s="64">
        <v>151.66999999999999</v>
      </c>
      <c r="L103" s="64">
        <v>27.35</v>
      </c>
      <c r="M103" s="64">
        <v>87.55</v>
      </c>
      <c r="N103" s="64">
        <v>41.4</v>
      </c>
      <c r="O103" s="64">
        <v>0</v>
      </c>
      <c r="P103" s="64">
        <v>0.37</v>
      </c>
      <c r="Q103" s="64">
        <v>9.32</v>
      </c>
      <c r="R103" s="198"/>
      <c r="S103" s="198"/>
      <c r="T103" s="198"/>
      <c r="U103" s="198"/>
    </row>
    <row r="104" spans="1:33" s="12" customFormat="1" x14ac:dyDescent="0.25">
      <c r="A104" s="211" t="s">
        <v>436</v>
      </c>
      <c r="B104" s="64">
        <v>5.15</v>
      </c>
      <c r="C104" s="64">
        <v>17.34</v>
      </c>
      <c r="D104" s="64">
        <v>25.28</v>
      </c>
      <c r="E104" s="64">
        <v>5.14</v>
      </c>
      <c r="F104" s="64">
        <v>9.2799999999999994</v>
      </c>
      <c r="G104" s="64">
        <v>22.89</v>
      </c>
      <c r="H104" s="64">
        <v>-78.67</v>
      </c>
      <c r="I104" s="64">
        <v>3.92</v>
      </c>
      <c r="J104" s="64">
        <v>0.83</v>
      </c>
      <c r="K104" s="64">
        <v>143.31</v>
      </c>
      <c r="L104" s="64">
        <v>27.31</v>
      </c>
      <c r="M104" s="64">
        <v>87.96</v>
      </c>
      <c r="N104" s="64">
        <v>41.1</v>
      </c>
      <c r="O104" s="64">
        <v>0</v>
      </c>
      <c r="P104" s="64">
        <v>0.38</v>
      </c>
      <c r="Q104" s="64">
        <v>9.31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3.29</v>
      </c>
      <c r="C106" s="67">
        <f>MIN(C9:C104)</f>
        <v>11.14</v>
      </c>
      <c r="D106" s="67">
        <f t="shared" ref="D106:Q106" si="0">MIN(D9:D104)</f>
        <v>14.74</v>
      </c>
      <c r="E106" s="67">
        <f t="shared" si="0"/>
        <v>3.93</v>
      </c>
      <c r="F106" s="67">
        <f t="shared" si="0"/>
        <v>5.05</v>
      </c>
      <c r="G106" s="67">
        <f t="shared" si="0"/>
        <v>9.56</v>
      </c>
      <c r="H106" s="67">
        <f t="shared" si="0"/>
        <v>-88.16</v>
      </c>
      <c r="I106" s="67">
        <f t="shared" si="0"/>
        <v>3.81</v>
      </c>
      <c r="J106" s="67">
        <f t="shared" si="0"/>
        <v>0.03</v>
      </c>
      <c r="K106" s="67">
        <f t="shared" si="0"/>
        <v>31.4</v>
      </c>
      <c r="L106" s="67">
        <f t="shared" si="0"/>
        <v>25.89</v>
      </c>
      <c r="M106" s="67">
        <f t="shared" si="0"/>
        <v>39.619999999999997</v>
      </c>
      <c r="N106" s="67">
        <f t="shared" si="0"/>
        <v>40.5</v>
      </c>
      <c r="O106" s="67">
        <f t="shared" si="0"/>
        <v>0</v>
      </c>
      <c r="P106" s="67">
        <f t="shared" si="0"/>
        <v>0.2</v>
      </c>
      <c r="Q106" s="67">
        <f t="shared" si="0"/>
        <v>9.15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10.11</v>
      </c>
      <c r="C107" s="66">
        <f t="shared" ref="C107:Q107" si="1">MAX(C9:C104)</f>
        <v>31.29</v>
      </c>
      <c r="D107" s="66">
        <f t="shared" si="1"/>
        <v>45.55</v>
      </c>
      <c r="E107" s="66">
        <f t="shared" si="1"/>
        <v>5.99</v>
      </c>
      <c r="F107" s="66">
        <f t="shared" si="1"/>
        <v>26.39</v>
      </c>
      <c r="G107" s="66">
        <f t="shared" si="1"/>
        <v>24.36</v>
      </c>
      <c r="H107" s="66">
        <f t="shared" si="1"/>
        <v>302.14999999999998</v>
      </c>
      <c r="I107" s="66">
        <f t="shared" si="1"/>
        <v>4.2699999999999996</v>
      </c>
      <c r="J107" s="66">
        <f t="shared" si="1"/>
        <v>1.07</v>
      </c>
      <c r="K107" s="66">
        <f t="shared" si="1"/>
        <v>352.42</v>
      </c>
      <c r="L107" s="66">
        <f t="shared" si="1"/>
        <v>36.28</v>
      </c>
      <c r="M107" s="66">
        <f t="shared" si="1"/>
        <v>94.53</v>
      </c>
      <c r="N107" s="66">
        <f t="shared" si="1"/>
        <v>1056.8</v>
      </c>
      <c r="O107" s="66">
        <f t="shared" si="1"/>
        <v>1.8</v>
      </c>
      <c r="P107" s="66">
        <f t="shared" si="1"/>
        <v>0.56000000000000005</v>
      </c>
      <c r="Q107" s="66">
        <f t="shared" si="1"/>
        <v>9.35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5.8054166666666651</v>
      </c>
      <c r="C108" s="67">
        <f t="shared" ref="C108:Q108" si="2">AVERAGE(C9:C104)</f>
        <v>18.398645833333337</v>
      </c>
      <c r="D108" s="67">
        <f t="shared" si="2"/>
        <v>26.31302083333334</v>
      </c>
      <c r="E108" s="67">
        <f t="shared" si="2"/>
        <v>4.84375</v>
      </c>
      <c r="F108" s="67">
        <f t="shared" si="2"/>
        <v>13.895520833333331</v>
      </c>
      <c r="G108" s="67">
        <f t="shared" si="2"/>
        <v>16.504999999999999</v>
      </c>
      <c r="H108" s="67">
        <f t="shared" si="2"/>
        <v>51.099791666666697</v>
      </c>
      <c r="I108" s="67">
        <f t="shared" si="2"/>
        <v>4.0048958333333333</v>
      </c>
      <c r="J108" s="67">
        <f t="shared" si="2"/>
        <v>0.43395833333333306</v>
      </c>
      <c r="K108" s="67">
        <f t="shared" si="2"/>
        <v>157.72583333333333</v>
      </c>
      <c r="L108" s="67">
        <f t="shared" si="2"/>
        <v>30.217187499999991</v>
      </c>
      <c r="M108" s="67">
        <f t="shared" si="2"/>
        <v>71.845312500000006</v>
      </c>
      <c r="N108" s="67">
        <f t="shared" si="2"/>
        <v>290.46770833333335</v>
      </c>
      <c r="O108" s="67">
        <f t="shared" si="2"/>
        <v>1.8749999999999999E-2</v>
      </c>
      <c r="P108" s="67">
        <f t="shared" si="2"/>
        <v>0.3276041666666667</v>
      </c>
      <c r="Q108" s="67">
        <f t="shared" si="2"/>
        <v>9.2240624999999952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1.5501877079323589</v>
      </c>
      <c r="C109" s="67">
        <f t="shared" ref="C109:Q109" si="3">STDEV(C9:C104)</f>
        <v>4.8697160016168803</v>
      </c>
      <c r="D109" s="67">
        <f t="shared" si="3"/>
        <v>7.9968018765124285</v>
      </c>
      <c r="E109" s="67">
        <f t="shared" si="3"/>
        <v>0.49611808865907819</v>
      </c>
      <c r="F109" s="67">
        <f t="shared" si="3"/>
        <v>5.5664333983717897</v>
      </c>
      <c r="G109" s="67">
        <f t="shared" si="3"/>
        <v>4.9554032179663752</v>
      </c>
      <c r="H109" s="67">
        <f t="shared" si="3"/>
        <v>59.886052518695251</v>
      </c>
      <c r="I109" s="67">
        <f t="shared" si="3"/>
        <v>9.5575759882895947E-2</v>
      </c>
      <c r="J109" s="67">
        <f t="shared" si="3"/>
        <v>0.22863199189811229</v>
      </c>
      <c r="K109" s="67">
        <f t="shared" si="3"/>
        <v>63.664474166344831</v>
      </c>
      <c r="L109" s="67">
        <f t="shared" si="3"/>
        <v>3.4989970602491827</v>
      </c>
      <c r="M109" s="67">
        <f t="shared" si="3"/>
        <v>17.541340460879027</v>
      </c>
      <c r="N109" s="67">
        <f t="shared" si="3"/>
        <v>321.2888241523807</v>
      </c>
      <c r="O109" s="67">
        <f t="shared" si="3"/>
        <v>0.18371173070873836</v>
      </c>
      <c r="P109" s="67">
        <f t="shared" si="3"/>
        <v>9.607831007395283E-2</v>
      </c>
      <c r="Q109" s="67">
        <f t="shared" si="3"/>
        <v>5.2084508758666263E-2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COUNT(H9:H104)+9</f>
        <v>105</v>
      </c>
      <c r="I110" s="66">
        <f>COUNT(I9:I104)+7</f>
        <v>103</v>
      </c>
      <c r="J110" s="66">
        <f>COUNT(J9:J104)+7</f>
        <v>103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1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7" sqref="I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437</v>
      </c>
      <c r="B9" s="64">
        <v>4.9000000000000004</v>
      </c>
      <c r="C9" s="64">
        <v>15.58</v>
      </c>
      <c r="D9" s="64">
        <v>22.3</v>
      </c>
      <c r="E9" s="64">
        <v>3.81</v>
      </c>
      <c r="F9" s="64">
        <v>11.12</v>
      </c>
      <c r="G9" s="64">
        <v>22.07</v>
      </c>
      <c r="H9" s="64">
        <v>125.37</v>
      </c>
      <c r="I9" s="64">
        <v>3.92</v>
      </c>
      <c r="J9" s="64">
        <v>0.66</v>
      </c>
      <c r="K9" s="64">
        <v>148.41</v>
      </c>
      <c r="L9" s="64">
        <v>27.34</v>
      </c>
      <c r="M9" s="64">
        <v>87.75</v>
      </c>
      <c r="N9" s="64">
        <v>41.4</v>
      </c>
      <c r="O9" s="64">
        <v>0</v>
      </c>
      <c r="P9" s="64">
        <v>0.37</v>
      </c>
      <c r="Q9" s="64">
        <v>9.3000000000000007</v>
      </c>
      <c r="R9" s="198"/>
      <c r="S9" s="198"/>
      <c r="T9" s="198"/>
      <c r="U9" s="198"/>
    </row>
    <row r="10" spans="1:21" s="12" customFormat="1" x14ac:dyDescent="0.25">
      <c r="A10" s="211" t="s">
        <v>438</v>
      </c>
      <c r="B10" s="64">
        <v>5.74</v>
      </c>
      <c r="C10" s="64">
        <v>15.81</v>
      </c>
      <c r="D10" s="64">
        <v>21.45</v>
      </c>
      <c r="E10" s="64">
        <v>3.96</v>
      </c>
      <c r="F10" s="64">
        <v>7.62</v>
      </c>
      <c r="G10" s="64">
        <v>22.07</v>
      </c>
      <c r="H10" s="64">
        <v>125.37</v>
      </c>
      <c r="I10" s="64">
        <v>3.88</v>
      </c>
      <c r="J10" s="64">
        <v>0.69</v>
      </c>
      <c r="K10" s="64">
        <v>153.28</v>
      </c>
      <c r="L10" s="64">
        <v>27.37</v>
      </c>
      <c r="M10" s="64">
        <v>87.24</v>
      </c>
      <c r="N10" s="64">
        <v>41.5</v>
      </c>
      <c r="O10" s="64">
        <v>0</v>
      </c>
      <c r="P10" s="64">
        <v>0.39</v>
      </c>
      <c r="Q10" s="64">
        <v>9.2899999999999991</v>
      </c>
      <c r="R10" s="198"/>
      <c r="S10" s="198"/>
      <c r="T10" s="198"/>
      <c r="U10" s="198"/>
    </row>
    <row r="11" spans="1:21" s="12" customFormat="1" x14ac:dyDescent="0.25">
      <c r="A11" s="211" t="s">
        <v>439</v>
      </c>
      <c r="B11" s="64">
        <v>5.01</v>
      </c>
      <c r="C11" s="64">
        <v>15.18</v>
      </c>
      <c r="D11" s="64">
        <v>21.37</v>
      </c>
      <c r="E11" s="64">
        <v>4.12</v>
      </c>
      <c r="F11" s="64">
        <v>9.84</v>
      </c>
      <c r="G11" s="64">
        <v>22.07</v>
      </c>
      <c r="H11" s="64">
        <v>125.37</v>
      </c>
      <c r="I11" s="64">
        <v>3.91</v>
      </c>
      <c r="J11" s="64">
        <v>0.93</v>
      </c>
      <c r="K11" s="64">
        <v>144.22999999999999</v>
      </c>
      <c r="L11" s="64">
        <v>27.39</v>
      </c>
      <c r="M11" s="64">
        <v>87.7</v>
      </c>
      <c r="N11" s="64">
        <v>41.6</v>
      </c>
      <c r="O11" s="64">
        <v>0</v>
      </c>
      <c r="P11" s="64">
        <v>0.36</v>
      </c>
      <c r="Q11" s="64">
        <v>9.2799999999999994</v>
      </c>
      <c r="R11" s="198"/>
      <c r="S11" s="198"/>
      <c r="T11" s="198"/>
      <c r="U11" s="198"/>
    </row>
    <row r="12" spans="1:21" s="12" customFormat="1" x14ac:dyDescent="0.25">
      <c r="A12" s="211" t="s">
        <v>440</v>
      </c>
      <c r="B12" s="64">
        <v>5.56</v>
      </c>
      <c r="C12" s="64">
        <v>15.05</v>
      </c>
      <c r="D12" s="64">
        <v>20.27</v>
      </c>
      <c r="E12" s="64">
        <v>4.3899999999999997</v>
      </c>
      <c r="F12" s="64">
        <v>8.1199999999999992</v>
      </c>
      <c r="G12" s="64">
        <v>22.05</v>
      </c>
      <c r="H12" s="64">
        <v>122.11</v>
      </c>
      <c r="I12" s="64">
        <v>3.96</v>
      </c>
      <c r="J12" s="64">
        <v>0.63</v>
      </c>
      <c r="K12" s="64">
        <v>143</v>
      </c>
      <c r="L12" s="64">
        <v>27.34</v>
      </c>
      <c r="M12" s="64">
        <v>87.97</v>
      </c>
      <c r="N12" s="64">
        <v>41.7</v>
      </c>
      <c r="O12" s="64">
        <v>0</v>
      </c>
      <c r="P12" s="64">
        <v>0.37</v>
      </c>
      <c r="Q12" s="64">
        <v>9.25</v>
      </c>
      <c r="R12" s="198"/>
      <c r="S12" s="198"/>
      <c r="T12" s="198"/>
      <c r="U12" s="198"/>
    </row>
    <row r="13" spans="1:21" s="12" customFormat="1" x14ac:dyDescent="0.25">
      <c r="A13" s="211" t="s">
        <v>441</v>
      </c>
      <c r="B13" s="64">
        <v>4.41</v>
      </c>
      <c r="C13" s="64">
        <v>14.14</v>
      </c>
      <c r="D13" s="64">
        <v>20.29</v>
      </c>
      <c r="E13" s="64">
        <v>4.1399999999999997</v>
      </c>
      <c r="F13" s="64">
        <v>12.84</v>
      </c>
      <c r="G13" s="64">
        <v>21.7</v>
      </c>
      <c r="H13" s="64">
        <v>52.09</v>
      </c>
      <c r="I13" s="64">
        <v>4.1500000000000004</v>
      </c>
      <c r="J13" s="64">
        <v>0.4</v>
      </c>
      <c r="K13" s="64">
        <v>134.22999999999999</v>
      </c>
      <c r="L13" s="64">
        <v>27.19</v>
      </c>
      <c r="M13" s="64">
        <v>89.29</v>
      </c>
      <c r="N13" s="64">
        <v>41.7</v>
      </c>
      <c r="O13" s="64">
        <v>0</v>
      </c>
      <c r="P13" s="64">
        <v>0.34</v>
      </c>
      <c r="Q13" s="64">
        <v>9.25</v>
      </c>
      <c r="R13" s="198"/>
      <c r="S13" s="198"/>
      <c r="T13" s="198"/>
      <c r="U13" s="198"/>
    </row>
    <row r="14" spans="1:21" s="12" customFormat="1" x14ac:dyDescent="0.25">
      <c r="A14" s="211" t="s">
        <v>442</v>
      </c>
      <c r="B14" s="64">
        <v>3.68</v>
      </c>
      <c r="C14" s="64">
        <v>13.9</v>
      </c>
      <c r="D14" s="64">
        <v>20.96</v>
      </c>
      <c r="E14" s="64">
        <v>4</v>
      </c>
      <c r="F14" s="64">
        <v>12.25</v>
      </c>
      <c r="G14" s="64">
        <v>21.7</v>
      </c>
      <c r="H14" s="64">
        <v>52.09</v>
      </c>
      <c r="I14" s="64">
        <v>4.08</v>
      </c>
      <c r="J14" s="64">
        <v>0.17</v>
      </c>
      <c r="K14" s="64">
        <v>161.13999999999999</v>
      </c>
      <c r="L14" s="64">
        <v>26.95</v>
      </c>
      <c r="M14" s="64">
        <v>91.38</v>
      </c>
      <c r="N14" s="64">
        <v>41.6</v>
      </c>
      <c r="O14" s="64">
        <v>0</v>
      </c>
      <c r="P14" s="64">
        <v>0.35</v>
      </c>
      <c r="Q14" s="64">
        <v>9.26</v>
      </c>
      <c r="R14" s="198"/>
      <c r="S14" s="198"/>
      <c r="T14" s="198"/>
      <c r="U14" s="198"/>
    </row>
    <row r="15" spans="1:21" s="12" customFormat="1" x14ac:dyDescent="0.25">
      <c r="A15" s="211" t="s">
        <v>443</v>
      </c>
      <c r="B15" s="64">
        <v>3.81</v>
      </c>
      <c r="C15" s="64">
        <v>13.98</v>
      </c>
      <c r="D15" s="64">
        <v>20.9</v>
      </c>
      <c r="E15" s="64">
        <v>4.07</v>
      </c>
      <c r="F15" s="64">
        <v>13</v>
      </c>
      <c r="G15" s="64">
        <v>21.7</v>
      </c>
      <c r="H15" s="64">
        <v>52.09</v>
      </c>
      <c r="I15" s="64">
        <v>4.0999999999999996</v>
      </c>
      <c r="J15" s="64">
        <v>0.47</v>
      </c>
      <c r="K15" s="64">
        <v>143.16</v>
      </c>
      <c r="L15" s="64">
        <v>26.86</v>
      </c>
      <c r="M15" s="64">
        <v>92.27</v>
      </c>
      <c r="N15" s="64">
        <v>41.4</v>
      </c>
      <c r="O15" s="64">
        <v>0</v>
      </c>
      <c r="P15" s="64">
        <v>0.33</v>
      </c>
      <c r="Q15" s="64">
        <v>9.27</v>
      </c>
      <c r="R15" s="198"/>
      <c r="S15" s="198"/>
      <c r="T15" s="198"/>
      <c r="U15" s="198"/>
    </row>
    <row r="16" spans="1:21" s="12" customFormat="1" x14ac:dyDescent="0.25">
      <c r="A16" s="211" t="s">
        <v>444</v>
      </c>
      <c r="B16" s="64">
        <v>3.54</v>
      </c>
      <c r="C16" s="64">
        <v>13.7</v>
      </c>
      <c r="D16" s="64">
        <v>20.78</v>
      </c>
      <c r="E16" s="64">
        <v>3.85</v>
      </c>
      <c r="F16" s="64">
        <v>11.85</v>
      </c>
      <c r="G16" s="64">
        <v>21.53</v>
      </c>
      <c r="H16" s="64">
        <v>49.78</v>
      </c>
      <c r="I16" s="64">
        <v>4.03</v>
      </c>
      <c r="J16" s="64">
        <v>0.4</v>
      </c>
      <c r="K16" s="64">
        <v>139.94999999999999</v>
      </c>
      <c r="L16" s="64">
        <v>26.84</v>
      </c>
      <c r="M16" s="64">
        <v>92.72</v>
      </c>
      <c r="N16" s="64">
        <v>41.5</v>
      </c>
      <c r="O16" s="64">
        <v>0</v>
      </c>
      <c r="P16" s="64">
        <v>0.32</v>
      </c>
      <c r="Q16" s="64">
        <v>9.25</v>
      </c>
      <c r="R16" s="198"/>
      <c r="S16" s="198"/>
      <c r="T16" s="198"/>
      <c r="U16" s="198"/>
    </row>
    <row r="17" spans="1:21" s="12" customFormat="1" x14ac:dyDescent="0.25">
      <c r="A17" s="211" t="s">
        <v>445</v>
      </c>
      <c r="B17" s="64">
        <v>3.41</v>
      </c>
      <c r="C17" s="64">
        <v>13.51</v>
      </c>
      <c r="D17" s="64">
        <v>20.62</v>
      </c>
      <c r="E17" s="64">
        <v>3.91</v>
      </c>
      <c r="F17" s="64">
        <v>11.68</v>
      </c>
      <c r="G17" s="64">
        <v>17.97</v>
      </c>
      <c r="H17" s="64">
        <v>0</v>
      </c>
      <c r="I17" s="64">
        <v>3.92</v>
      </c>
      <c r="J17" s="64">
        <v>0.02</v>
      </c>
      <c r="K17" s="64">
        <v>233.27</v>
      </c>
      <c r="L17" s="64">
        <v>26.79</v>
      </c>
      <c r="M17" s="64">
        <v>92.9</v>
      </c>
      <c r="N17" s="64">
        <v>41.8</v>
      </c>
      <c r="O17" s="64">
        <v>0</v>
      </c>
      <c r="P17" s="64">
        <v>0.32</v>
      </c>
      <c r="Q17" s="64">
        <v>9.26</v>
      </c>
      <c r="R17" s="198"/>
      <c r="S17" s="198"/>
      <c r="T17" s="198"/>
      <c r="U17" s="198"/>
    </row>
    <row r="18" spans="1:21" s="12" customFormat="1" x14ac:dyDescent="0.25">
      <c r="A18" s="211" t="s">
        <v>446</v>
      </c>
      <c r="B18" s="64">
        <v>4.78</v>
      </c>
      <c r="C18" s="64">
        <v>16.25</v>
      </c>
      <c r="D18" s="64">
        <v>23.77</v>
      </c>
      <c r="E18" s="64">
        <v>4.01</v>
      </c>
      <c r="F18" s="64">
        <v>10.130000000000001</v>
      </c>
      <c r="G18" s="64">
        <v>17.97</v>
      </c>
      <c r="H18" s="64">
        <v>0</v>
      </c>
      <c r="I18" s="64">
        <v>4.08</v>
      </c>
      <c r="J18" s="64">
        <v>0.09</v>
      </c>
      <c r="K18" s="64">
        <v>180.15</v>
      </c>
      <c r="L18" s="64">
        <v>26.73</v>
      </c>
      <c r="M18" s="64">
        <v>92.6</v>
      </c>
      <c r="N18" s="64">
        <v>41.6</v>
      </c>
      <c r="O18" s="64">
        <v>0</v>
      </c>
      <c r="P18" s="64">
        <v>0.34</v>
      </c>
      <c r="Q18" s="64">
        <v>9.27</v>
      </c>
      <c r="R18" s="198"/>
      <c r="S18" s="198"/>
      <c r="T18" s="198"/>
      <c r="U18" s="198"/>
    </row>
    <row r="19" spans="1:21" s="12" customFormat="1" x14ac:dyDescent="0.25">
      <c r="A19" s="211" t="s">
        <v>447</v>
      </c>
      <c r="B19" s="64">
        <v>5.33</v>
      </c>
      <c r="C19" s="64">
        <v>16.53</v>
      </c>
      <c r="D19" s="64">
        <v>23.45</v>
      </c>
      <c r="E19" s="64">
        <v>4.0199999999999996</v>
      </c>
      <c r="F19" s="64">
        <v>11.98</v>
      </c>
      <c r="G19" s="64">
        <v>17.97</v>
      </c>
      <c r="H19" s="64">
        <v>0</v>
      </c>
      <c r="I19" s="64">
        <v>3.8</v>
      </c>
      <c r="J19" s="64">
        <v>0.2</v>
      </c>
      <c r="K19" s="64">
        <v>156.41999999999999</v>
      </c>
      <c r="L19" s="64">
        <v>26.66</v>
      </c>
      <c r="M19" s="64">
        <v>93.9</v>
      </c>
      <c r="N19" s="64">
        <v>41.5</v>
      </c>
      <c r="O19" s="64">
        <v>0</v>
      </c>
      <c r="P19" s="64">
        <v>0.33</v>
      </c>
      <c r="Q19" s="64">
        <v>9.2799999999999994</v>
      </c>
      <c r="R19" s="198"/>
      <c r="S19" s="198"/>
      <c r="T19" s="198"/>
      <c r="U19" s="198"/>
    </row>
    <row r="20" spans="1:21" s="12" customFormat="1" x14ac:dyDescent="0.25">
      <c r="A20" s="211" t="s">
        <v>448</v>
      </c>
      <c r="B20" s="64">
        <v>4.01</v>
      </c>
      <c r="C20" s="64">
        <v>13.44</v>
      </c>
      <c r="D20" s="64">
        <v>19.579999999999998</v>
      </c>
      <c r="E20" s="64">
        <v>3.76</v>
      </c>
      <c r="F20" s="64">
        <v>11.06</v>
      </c>
      <c r="G20" s="64">
        <v>18.07</v>
      </c>
      <c r="H20" s="64">
        <v>0</v>
      </c>
      <c r="I20" s="64">
        <v>4.08</v>
      </c>
      <c r="J20" s="64">
        <v>0.09</v>
      </c>
      <c r="K20" s="64">
        <v>189.75</v>
      </c>
      <c r="L20" s="64">
        <v>26.52</v>
      </c>
      <c r="M20" s="64">
        <v>95.68</v>
      </c>
      <c r="N20" s="64">
        <v>41.5</v>
      </c>
      <c r="O20" s="64">
        <v>0</v>
      </c>
      <c r="P20" s="64">
        <v>0.33</v>
      </c>
      <c r="Q20" s="64">
        <v>9.2799999999999994</v>
      </c>
      <c r="R20" s="198"/>
      <c r="S20" s="198"/>
      <c r="T20" s="198"/>
      <c r="U20" s="198"/>
    </row>
    <row r="21" spans="1:21" s="12" customFormat="1" x14ac:dyDescent="0.25">
      <c r="A21" s="211" t="s">
        <v>449</v>
      </c>
      <c r="B21" s="64">
        <v>4.6500000000000004</v>
      </c>
      <c r="C21" s="64">
        <v>13.9</v>
      </c>
      <c r="D21" s="64">
        <v>19.47</v>
      </c>
      <c r="E21" s="64">
        <v>4.1100000000000003</v>
      </c>
      <c r="F21" s="64">
        <v>8.94</v>
      </c>
      <c r="G21" s="64">
        <v>20.329999999999998</v>
      </c>
      <c r="H21" s="64">
        <v>0</v>
      </c>
      <c r="I21" s="64">
        <v>3.95</v>
      </c>
      <c r="J21" s="64">
        <v>0.28999999999999998</v>
      </c>
      <c r="K21" s="64">
        <v>144.83000000000001</v>
      </c>
      <c r="L21" s="64">
        <v>26.37</v>
      </c>
      <c r="M21" s="64">
        <v>96.81</v>
      </c>
      <c r="N21" s="64">
        <v>41.4</v>
      </c>
      <c r="O21" s="64">
        <v>0</v>
      </c>
      <c r="P21" s="64">
        <v>0.35</v>
      </c>
      <c r="Q21" s="64">
        <v>9.27</v>
      </c>
      <c r="R21" s="198"/>
      <c r="S21" s="198"/>
      <c r="T21" s="198"/>
      <c r="U21" s="198"/>
    </row>
    <row r="22" spans="1:21" s="12" customFormat="1" x14ac:dyDescent="0.25">
      <c r="A22" s="211" t="s">
        <v>450</v>
      </c>
      <c r="B22" s="64">
        <v>4.09</v>
      </c>
      <c r="C22" s="64">
        <v>14.03</v>
      </c>
      <c r="D22" s="64">
        <v>20.56</v>
      </c>
      <c r="E22" s="64">
        <v>3.85</v>
      </c>
      <c r="F22" s="64">
        <v>10.16</v>
      </c>
      <c r="G22" s="64">
        <v>20.329999999999998</v>
      </c>
      <c r="H22" s="64">
        <v>0</v>
      </c>
      <c r="I22" s="64">
        <v>4</v>
      </c>
      <c r="J22" s="64">
        <v>0.18</v>
      </c>
      <c r="K22" s="64">
        <v>147.06</v>
      </c>
      <c r="L22" s="64">
        <v>26.42</v>
      </c>
      <c r="M22" s="64">
        <v>96.52</v>
      </c>
      <c r="N22" s="64">
        <v>41.3</v>
      </c>
      <c r="O22" s="64">
        <v>0</v>
      </c>
      <c r="P22" s="64">
        <v>0.34</v>
      </c>
      <c r="Q22" s="64">
        <v>9.26</v>
      </c>
      <c r="R22" s="198"/>
      <c r="S22" s="198"/>
      <c r="T22" s="198"/>
      <c r="U22" s="198"/>
    </row>
    <row r="23" spans="1:21" s="12" customFormat="1" x14ac:dyDescent="0.25">
      <c r="A23" s="211" t="s">
        <v>451</v>
      </c>
      <c r="B23" s="64">
        <v>4.3499999999999996</v>
      </c>
      <c r="C23" s="64">
        <v>14.33</v>
      </c>
      <c r="D23" s="64">
        <v>20.76</v>
      </c>
      <c r="E23" s="64">
        <v>3.72</v>
      </c>
      <c r="F23" s="64">
        <v>9.24</v>
      </c>
      <c r="G23" s="64">
        <v>20.329999999999998</v>
      </c>
      <c r="H23" s="64">
        <v>0</v>
      </c>
      <c r="I23" s="64">
        <v>3.85</v>
      </c>
      <c r="J23" s="64">
        <v>0.05</v>
      </c>
      <c r="K23" s="64">
        <v>220.68</v>
      </c>
      <c r="L23" s="64">
        <v>26.45</v>
      </c>
      <c r="M23" s="64">
        <v>95.92</v>
      </c>
      <c r="N23" s="64">
        <v>41.5</v>
      </c>
      <c r="O23" s="64">
        <v>0</v>
      </c>
      <c r="P23" s="64">
        <v>0.35</v>
      </c>
      <c r="Q23" s="64">
        <v>9.25</v>
      </c>
      <c r="R23" s="198"/>
      <c r="S23" s="198"/>
      <c r="T23" s="198"/>
      <c r="U23" s="198"/>
    </row>
    <row r="24" spans="1:21" s="12" customFormat="1" x14ac:dyDescent="0.25">
      <c r="A24" s="211" t="s">
        <v>452</v>
      </c>
      <c r="B24" s="64">
        <v>4.34</v>
      </c>
      <c r="C24" s="64">
        <v>13.93</v>
      </c>
      <c r="D24" s="64">
        <v>20.010000000000002</v>
      </c>
      <c r="E24" s="64">
        <v>4.17</v>
      </c>
      <c r="F24" s="64">
        <v>10.58</v>
      </c>
      <c r="G24" s="64">
        <v>20.239999999999998</v>
      </c>
      <c r="H24" s="64">
        <v>24.14</v>
      </c>
      <c r="I24" s="64">
        <v>4.0999999999999996</v>
      </c>
      <c r="J24" s="64">
        <v>0.04</v>
      </c>
      <c r="K24" s="64">
        <v>216.4</v>
      </c>
      <c r="L24" s="64">
        <v>26.46</v>
      </c>
      <c r="M24" s="64">
        <v>95.74</v>
      </c>
      <c r="N24" s="64">
        <v>41.5</v>
      </c>
      <c r="O24" s="64">
        <v>0</v>
      </c>
      <c r="P24" s="64">
        <v>0.34</v>
      </c>
      <c r="Q24" s="64">
        <v>9.25</v>
      </c>
      <c r="R24" s="198"/>
      <c r="S24" s="198"/>
      <c r="T24" s="198"/>
      <c r="U24" s="198"/>
    </row>
    <row r="25" spans="1:21" s="12" customFormat="1" x14ac:dyDescent="0.25">
      <c r="A25" s="211" t="s">
        <v>453</v>
      </c>
      <c r="B25" s="64">
        <v>4.1100000000000003</v>
      </c>
      <c r="C25" s="64">
        <v>13.96</v>
      </c>
      <c r="D25" s="64">
        <v>20.41</v>
      </c>
      <c r="E25" s="64">
        <v>3.9</v>
      </c>
      <c r="F25" s="64">
        <v>9.73</v>
      </c>
      <c r="G25" s="64">
        <v>18.25</v>
      </c>
      <c r="H25" s="64">
        <v>543.07000000000005</v>
      </c>
      <c r="I25" s="64">
        <v>4.08</v>
      </c>
      <c r="J25" s="64">
        <v>0.14000000000000001</v>
      </c>
      <c r="K25" s="64">
        <v>147.72</v>
      </c>
      <c r="L25" s="64">
        <v>26.39</v>
      </c>
      <c r="M25" s="64">
        <v>96.62</v>
      </c>
      <c r="N25" s="64">
        <v>41.4</v>
      </c>
      <c r="O25" s="64">
        <v>0</v>
      </c>
      <c r="P25" s="64">
        <v>0.34</v>
      </c>
      <c r="Q25" s="64">
        <v>9.26</v>
      </c>
      <c r="R25" s="198"/>
      <c r="S25" s="198"/>
      <c r="T25" s="198"/>
      <c r="U25" s="198"/>
    </row>
    <row r="26" spans="1:21" s="12" customFormat="1" x14ac:dyDescent="0.25">
      <c r="A26" s="211" t="s">
        <v>454</v>
      </c>
      <c r="B26" s="64">
        <v>6.83</v>
      </c>
      <c r="C26" s="64">
        <v>16.829999999999998</v>
      </c>
      <c r="D26" s="64">
        <v>21.73</v>
      </c>
      <c r="E26" s="64">
        <v>3.88</v>
      </c>
      <c r="F26" s="64">
        <v>8.83</v>
      </c>
      <c r="G26" s="64">
        <v>18.25</v>
      </c>
      <c r="H26" s="64">
        <v>543.07000000000005</v>
      </c>
      <c r="I26" s="64">
        <v>4.09</v>
      </c>
      <c r="J26" s="64">
        <v>0.04</v>
      </c>
      <c r="K26" s="64">
        <v>208.66</v>
      </c>
      <c r="L26" s="64">
        <v>26.33</v>
      </c>
      <c r="M26" s="64">
        <v>96.48</v>
      </c>
      <c r="N26" s="64">
        <v>41.5</v>
      </c>
      <c r="O26" s="64">
        <v>0</v>
      </c>
      <c r="P26" s="64">
        <v>0.35</v>
      </c>
      <c r="Q26" s="64">
        <v>9.26</v>
      </c>
      <c r="R26" s="198"/>
      <c r="S26" s="198"/>
      <c r="T26" s="198"/>
      <c r="U26" s="198"/>
    </row>
    <row r="27" spans="1:21" s="12" customFormat="1" x14ac:dyDescent="0.25">
      <c r="A27" s="211" t="s">
        <v>455</v>
      </c>
      <c r="B27" s="64">
        <v>4.91</v>
      </c>
      <c r="C27" s="64">
        <v>16.61</v>
      </c>
      <c r="D27" s="64">
        <v>24.26</v>
      </c>
      <c r="E27" s="64">
        <v>3.92</v>
      </c>
      <c r="F27" s="64">
        <v>8.14</v>
      </c>
      <c r="G27" s="64">
        <v>18.25</v>
      </c>
      <c r="H27" s="64">
        <v>543.07000000000005</v>
      </c>
      <c r="I27" s="64">
        <v>3.84</v>
      </c>
      <c r="J27" s="64">
        <v>0.08</v>
      </c>
      <c r="K27" s="64">
        <v>172.79</v>
      </c>
      <c r="L27" s="64">
        <v>26.35</v>
      </c>
      <c r="M27" s="64">
        <v>96.14</v>
      </c>
      <c r="N27" s="64">
        <v>41.6</v>
      </c>
      <c r="O27" s="64">
        <v>0</v>
      </c>
      <c r="P27" s="64">
        <v>0.38</v>
      </c>
      <c r="Q27" s="64">
        <v>9.26</v>
      </c>
      <c r="R27" s="198"/>
      <c r="S27" s="198"/>
      <c r="T27" s="198"/>
      <c r="U27" s="198"/>
    </row>
    <row r="28" spans="1:21" s="12" customFormat="1" x14ac:dyDescent="0.25">
      <c r="A28" s="211" t="s">
        <v>456</v>
      </c>
      <c r="B28" s="64">
        <v>5.12</v>
      </c>
      <c r="C28" s="64">
        <v>15.87</v>
      </c>
      <c r="D28" s="64">
        <v>22.5</v>
      </c>
      <c r="E28" s="64">
        <v>3.44</v>
      </c>
      <c r="F28" s="64">
        <v>9.4</v>
      </c>
      <c r="G28" s="64">
        <v>18.190000000000001</v>
      </c>
      <c r="H28" s="64">
        <v>518.94000000000005</v>
      </c>
      <c r="I28" s="64">
        <v>4.1100000000000003</v>
      </c>
      <c r="J28" s="64">
        <v>7.0000000000000007E-2</v>
      </c>
      <c r="K28" s="64">
        <v>239.57</v>
      </c>
      <c r="L28" s="64">
        <v>26.29</v>
      </c>
      <c r="M28" s="64">
        <v>96.24</v>
      </c>
      <c r="N28" s="64">
        <v>41.7</v>
      </c>
      <c r="O28" s="64">
        <v>0</v>
      </c>
      <c r="P28" s="64">
        <v>0.36</v>
      </c>
      <c r="Q28" s="64">
        <v>9.25</v>
      </c>
      <c r="R28" s="198"/>
      <c r="S28" s="198"/>
      <c r="T28" s="198"/>
      <c r="U28" s="198"/>
    </row>
    <row r="29" spans="1:21" s="12" customFormat="1" x14ac:dyDescent="0.25">
      <c r="A29" s="211" t="s">
        <v>457</v>
      </c>
      <c r="B29" s="64">
        <v>4.83</v>
      </c>
      <c r="C29" s="64">
        <v>16.059999999999999</v>
      </c>
      <c r="D29" s="64">
        <v>23.33</v>
      </c>
      <c r="E29" s="64">
        <v>3.64</v>
      </c>
      <c r="F29" s="64">
        <v>8.27</v>
      </c>
      <c r="G29" s="64">
        <v>17</v>
      </c>
      <c r="H29" s="64">
        <v>0</v>
      </c>
      <c r="I29" s="64">
        <v>4.1100000000000003</v>
      </c>
      <c r="J29" s="64">
        <v>0.11</v>
      </c>
      <c r="K29" s="64">
        <v>175.89</v>
      </c>
      <c r="L29" s="64">
        <v>26.23</v>
      </c>
      <c r="M29" s="64">
        <v>97.03</v>
      </c>
      <c r="N29" s="64">
        <v>42.3</v>
      </c>
      <c r="O29" s="64">
        <v>0</v>
      </c>
      <c r="P29" s="64">
        <v>0.37</v>
      </c>
      <c r="Q29" s="64">
        <v>9.25</v>
      </c>
      <c r="R29" s="198"/>
      <c r="S29" s="198"/>
      <c r="T29" s="198"/>
      <c r="U29" s="198"/>
    </row>
    <row r="30" spans="1:21" s="12" customFormat="1" x14ac:dyDescent="0.25">
      <c r="A30" s="211" t="s">
        <v>458</v>
      </c>
      <c r="B30" s="64">
        <v>5.8</v>
      </c>
      <c r="C30" s="64">
        <v>16.829999999999998</v>
      </c>
      <c r="D30" s="64">
        <v>23.31</v>
      </c>
      <c r="E30" s="64">
        <v>3.83</v>
      </c>
      <c r="F30" s="64">
        <v>7.29</v>
      </c>
      <c r="G30" s="64">
        <v>17</v>
      </c>
      <c r="H30" s="64">
        <v>0</v>
      </c>
      <c r="I30" s="64">
        <v>4.12</v>
      </c>
      <c r="J30" s="64">
        <v>0.15</v>
      </c>
      <c r="K30" s="64">
        <v>178.37</v>
      </c>
      <c r="L30" s="64">
        <v>26.23</v>
      </c>
      <c r="M30" s="64">
        <v>97.32</v>
      </c>
      <c r="N30" s="64">
        <v>45.8</v>
      </c>
      <c r="O30" s="64">
        <v>0</v>
      </c>
      <c r="P30" s="64">
        <v>0.38</v>
      </c>
      <c r="Q30" s="64">
        <v>9.27</v>
      </c>
      <c r="R30" s="198"/>
      <c r="S30" s="198"/>
      <c r="T30" s="198"/>
      <c r="U30" s="198"/>
    </row>
    <row r="31" spans="1:21" s="12" customFormat="1" x14ac:dyDescent="0.25">
      <c r="A31" s="211" t="s">
        <v>459</v>
      </c>
      <c r="B31" s="64">
        <v>5.05</v>
      </c>
      <c r="C31" s="64">
        <v>16.95</v>
      </c>
      <c r="D31" s="64">
        <v>24.68</v>
      </c>
      <c r="E31" s="64">
        <v>3.81</v>
      </c>
      <c r="F31" s="64">
        <v>10.47</v>
      </c>
      <c r="G31" s="64">
        <v>17</v>
      </c>
      <c r="H31" s="64">
        <v>0</v>
      </c>
      <c r="I31" s="64">
        <v>4.16</v>
      </c>
      <c r="J31" s="64">
        <v>0.22</v>
      </c>
      <c r="K31" s="64">
        <v>150.32</v>
      </c>
      <c r="L31" s="64">
        <v>26.2</v>
      </c>
      <c r="M31" s="64">
        <v>97.3</v>
      </c>
      <c r="N31" s="64">
        <v>59.6</v>
      </c>
      <c r="O31" s="64">
        <v>0</v>
      </c>
      <c r="P31" s="64">
        <v>0.36</v>
      </c>
      <c r="Q31" s="64">
        <v>9.2799999999999994</v>
      </c>
      <c r="R31" s="198"/>
      <c r="S31" s="198"/>
      <c r="T31" s="198"/>
      <c r="U31" s="198"/>
    </row>
    <row r="32" spans="1:21" s="12" customFormat="1" x14ac:dyDescent="0.25">
      <c r="A32" s="211" t="s">
        <v>460</v>
      </c>
      <c r="B32" s="64">
        <v>5.16</v>
      </c>
      <c r="C32" s="64">
        <v>16.61</v>
      </c>
      <c r="D32" s="64">
        <v>23.87</v>
      </c>
      <c r="E32" s="64">
        <v>3.34</v>
      </c>
      <c r="F32" s="64">
        <v>10.96</v>
      </c>
      <c r="G32" s="64">
        <v>17.18</v>
      </c>
      <c r="H32" s="64">
        <v>7.66</v>
      </c>
      <c r="I32" s="64">
        <v>3.92</v>
      </c>
      <c r="J32" s="64">
        <v>0.06</v>
      </c>
      <c r="K32" s="64">
        <v>250.98</v>
      </c>
      <c r="L32" s="64">
        <v>26.33</v>
      </c>
      <c r="M32" s="64">
        <v>96.23</v>
      </c>
      <c r="N32" s="64">
        <v>75.400000000000006</v>
      </c>
      <c r="O32" s="64">
        <v>0</v>
      </c>
      <c r="P32" s="64">
        <v>0.37</v>
      </c>
      <c r="Q32" s="64">
        <v>9.2799999999999994</v>
      </c>
      <c r="R32" s="198"/>
      <c r="S32" s="198"/>
      <c r="T32" s="198"/>
      <c r="U32" s="198"/>
    </row>
    <row r="33" spans="1:21" s="12" customFormat="1" x14ac:dyDescent="0.25">
      <c r="A33" s="211" t="s">
        <v>461</v>
      </c>
      <c r="B33" s="64">
        <v>5.6</v>
      </c>
      <c r="C33" s="64">
        <v>17.46</v>
      </c>
      <c r="D33" s="64">
        <v>24.82</v>
      </c>
      <c r="E33" s="64">
        <v>3.67</v>
      </c>
      <c r="F33" s="64">
        <v>9.01</v>
      </c>
      <c r="G33" s="64">
        <v>21.02</v>
      </c>
      <c r="H33" s="64">
        <v>172.4</v>
      </c>
      <c r="I33" s="64">
        <v>3.9</v>
      </c>
      <c r="J33" s="64">
        <v>7.0000000000000007E-2</v>
      </c>
      <c r="K33" s="64">
        <v>209.51</v>
      </c>
      <c r="L33" s="64">
        <v>26.56</v>
      </c>
      <c r="M33" s="64">
        <v>95.42</v>
      </c>
      <c r="N33" s="64">
        <v>90.7</v>
      </c>
      <c r="O33" s="64">
        <v>0</v>
      </c>
      <c r="P33" s="64">
        <v>0.38</v>
      </c>
      <c r="Q33" s="64">
        <v>9.27</v>
      </c>
      <c r="R33" s="198"/>
      <c r="S33" s="198"/>
      <c r="T33" s="198"/>
      <c r="U33" s="198"/>
    </row>
    <row r="34" spans="1:21" s="12" customFormat="1" x14ac:dyDescent="0.25">
      <c r="A34" s="211" t="s">
        <v>462</v>
      </c>
      <c r="B34" s="64">
        <v>7.84</v>
      </c>
      <c r="C34" s="64">
        <v>20.49</v>
      </c>
      <c r="D34" s="64">
        <v>27.2</v>
      </c>
      <c r="E34" s="64">
        <v>3.69</v>
      </c>
      <c r="F34" s="64">
        <v>10.16</v>
      </c>
      <c r="G34" s="64">
        <v>21.02</v>
      </c>
      <c r="H34" s="64">
        <v>172.4</v>
      </c>
      <c r="I34" s="64">
        <v>4.0199999999999996</v>
      </c>
      <c r="J34" s="64">
        <v>0.06</v>
      </c>
      <c r="K34" s="64">
        <v>210.97</v>
      </c>
      <c r="L34" s="64">
        <v>26.82</v>
      </c>
      <c r="M34" s="64">
        <v>94.47</v>
      </c>
      <c r="N34" s="64">
        <v>109</v>
      </c>
      <c r="O34" s="64">
        <v>0</v>
      </c>
      <c r="P34" s="64">
        <v>0.38</v>
      </c>
      <c r="Q34" s="64">
        <v>9.2899999999999991</v>
      </c>
      <c r="R34" s="198"/>
      <c r="S34" s="198"/>
      <c r="T34" s="198"/>
      <c r="U34" s="198"/>
    </row>
    <row r="35" spans="1:21" s="12" customFormat="1" x14ac:dyDescent="0.25">
      <c r="A35" s="211" t="s">
        <v>463</v>
      </c>
      <c r="B35" s="64">
        <v>8.49</v>
      </c>
      <c r="C35" s="64">
        <v>19.75</v>
      </c>
      <c r="D35" s="64">
        <v>24.79</v>
      </c>
      <c r="E35" s="64">
        <v>3.63</v>
      </c>
      <c r="F35" s="64">
        <v>9.9600000000000009</v>
      </c>
      <c r="G35" s="64">
        <v>21.02</v>
      </c>
      <c r="H35" s="64">
        <v>172.4</v>
      </c>
      <c r="I35" s="64">
        <v>3.99</v>
      </c>
      <c r="J35" s="64">
        <v>0.11</v>
      </c>
      <c r="K35" s="64">
        <v>259.3</v>
      </c>
      <c r="L35" s="64">
        <v>27.1</v>
      </c>
      <c r="M35" s="64">
        <v>92.27</v>
      </c>
      <c r="N35" s="64">
        <v>162.19999999999999</v>
      </c>
      <c r="O35" s="64">
        <v>0</v>
      </c>
      <c r="P35" s="64">
        <v>0.37</v>
      </c>
      <c r="Q35" s="64">
        <v>9.3000000000000007</v>
      </c>
      <c r="R35" s="198"/>
      <c r="S35" s="198"/>
      <c r="T35" s="198"/>
      <c r="U35" s="198"/>
    </row>
    <row r="36" spans="1:21" s="12" customFormat="1" x14ac:dyDescent="0.25">
      <c r="A36" s="211" t="s">
        <v>464</v>
      </c>
      <c r="B36" s="64">
        <v>7</v>
      </c>
      <c r="C36" s="64">
        <v>18.5</v>
      </c>
      <c r="D36" s="64">
        <v>24.66</v>
      </c>
      <c r="E36" s="64">
        <v>3.52</v>
      </c>
      <c r="F36" s="64">
        <v>12.26</v>
      </c>
      <c r="G36" s="64">
        <v>21.02</v>
      </c>
      <c r="H36" s="64">
        <v>166.8</v>
      </c>
      <c r="I36" s="64">
        <v>4.1100000000000003</v>
      </c>
      <c r="J36" s="64">
        <v>0.05</v>
      </c>
      <c r="K36" s="64">
        <v>201.92</v>
      </c>
      <c r="L36" s="64">
        <v>27.8</v>
      </c>
      <c r="M36" s="64">
        <v>90.22</v>
      </c>
      <c r="N36" s="64">
        <v>210.8</v>
      </c>
      <c r="O36" s="64">
        <v>0</v>
      </c>
      <c r="P36" s="64">
        <v>0.37</v>
      </c>
      <c r="Q36" s="64">
        <v>9.3000000000000007</v>
      </c>
      <c r="R36" s="198"/>
      <c r="S36" s="198"/>
      <c r="T36" s="198"/>
      <c r="U36" s="198"/>
    </row>
    <row r="37" spans="1:21" s="12" customFormat="1" x14ac:dyDescent="0.25">
      <c r="A37" s="211" t="s">
        <v>465</v>
      </c>
      <c r="B37" s="64">
        <v>10.62</v>
      </c>
      <c r="C37" s="64">
        <v>21.61</v>
      </c>
      <c r="D37" s="64">
        <v>25.05</v>
      </c>
      <c r="E37" s="64">
        <v>3.51</v>
      </c>
      <c r="F37" s="64">
        <v>9.56</v>
      </c>
      <c r="G37" s="64">
        <v>20.97</v>
      </c>
      <c r="H37" s="64">
        <v>46.38</v>
      </c>
      <c r="I37" s="64">
        <v>3.98</v>
      </c>
      <c r="J37" s="64">
        <v>0.15</v>
      </c>
      <c r="K37" s="64">
        <v>293.32</v>
      </c>
      <c r="L37" s="64">
        <v>28.69</v>
      </c>
      <c r="M37" s="64">
        <v>85.79</v>
      </c>
      <c r="N37" s="64">
        <v>276.2</v>
      </c>
      <c r="O37" s="64">
        <v>0</v>
      </c>
      <c r="P37" s="64">
        <v>0.37</v>
      </c>
      <c r="Q37" s="64">
        <v>9.31</v>
      </c>
      <c r="R37" s="198"/>
      <c r="S37" s="198"/>
      <c r="T37" s="198"/>
      <c r="U37" s="198"/>
    </row>
    <row r="38" spans="1:21" s="12" customFormat="1" x14ac:dyDescent="0.25">
      <c r="A38" s="211" t="s">
        <v>466</v>
      </c>
      <c r="B38" s="64">
        <v>9.3699999999999992</v>
      </c>
      <c r="C38" s="64">
        <v>19.2</v>
      </c>
      <c r="D38" s="64">
        <v>22.37</v>
      </c>
      <c r="E38" s="64">
        <v>3.37</v>
      </c>
      <c r="F38" s="64">
        <v>7.79</v>
      </c>
      <c r="G38" s="64">
        <v>20.97</v>
      </c>
      <c r="H38" s="64">
        <v>46.38</v>
      </c>
      <c r="I38" s="64">
        <v>3.87</v>
      </c>
      <c r="J38" s="64">
        <v>0.25</v>
      </c>
      <c r="K38" s="64">
        <v>288.08</v>
      </c>
      <c r="L38" s="64">
        <v>29.8</v>
      </c>
      <c r="M38" s="64">
        <v>81.83</v>
      </c>
      <c r="N38" s="64">
        <v>335.4</v>
      </c>
      <c r="O38" s="64">
        <v>0</v>
      </c>
      <c r="P38" s="64">
        <v>0.38</v>
      </c>
      <c r="Q38" s="64">
        <v>9.31</v>
      </c>
      <c r="R38" s="198"/>
      <c r="S38" s="198"/>
      <c r="T38" s="198"/>
      <c r="U38" s="198"/>
    </row>
    <row r="39" spans="1:21" s="12" customFormat="1" x14ac:dyDescent="0.25">
      <c r="A39" s="211" t="s">
        <v>467</v>
      </c>
      <c r="B39" s="64">
        <v>8.9600000000000009</v>
      </c>
      <c r="C39" s="64">
        <v>18.690000000000001</v>
      </c>
      <c r="D39" s="64">
        <v>22.02</v>
      </c>
      <c r="E39" s="64">
        <v>3.69</v>
      </c>
      <c r="F39" s="64">
        <v>4.34</v>
      </c>
      <c r="G39" s="64">
        <v>20.97</v>
      </c>
      <c r="H39" s="64">
        <v>46.38</v>
      </c>
      <c r="I39" s="64">
        <v>4.04</v>
      </c>
      <c r="J39" s="64">
        <v>0.38</v>
      </c>
      <c r="K39" s="64">
        <v>290.01</v>
      </c>
      <c r="L39" s="64">
        <v>30.83</v>
      </c>
      <c r="M39" s="64">
        <v>76.94</v>
      </c>
      <c r="N39" s="64">
        <v>382.7</v>
      </c>
      <c r="O39" s="64">
        <v>0</v>
      </c>
      <c r="P39" s="64">
        <v>0.38</v>
      </c>
      <c r="Q39" s="64">
        <v>9.2899999999999991</v>
      </c>
      <c r="R39" s="198"/>
      <c r="S39" s="198"/>
      <c r="T39" s="198"/>
      <c r="U39" s="198"/>
    </row>
    <row r="40" spans="1:21" s="12" customFormat="1" x14ac:dyDescent="0.25">
      <c r="A40" s="211" t="s">
        <v>468</v>
      </c>
      <c r="B40" s="64">
        <v>7.71</v>
      </c>
      <c r="C40" s="64">
        <v>17.59</v>
      </c>
      <c r="D40" s="64">
        <v>21.85</v>
      </c>
      <c r="E40" s="64">
        <v>5.09</v>
      </c>
      <c r="F40" s="64">
        <v>7.44</v>
      </c>
      <c r="G40" s="64">
        <v>21.11</v>
      </c>
      <c r="H40" s="64">
        <v>48.32</v>
      </c>
      <c r="I40" s="64">
        <v>4.01</v>
      </c>
      <c r="J40" s="64">
        <v>0.17</v>
      </c>
      <c r="K40" s="64">
        <v>302.64</v>
      </c>
      <c r="L40" s="64">
        <v>30.17</v>
      </c>
      <c r="M40" s="64">
        <v>78.569999999999993</v>
      </c>
      <c r="N40" s="64">
        <v>411.9</v>
      </c>
      <c r="O40" s="64">
        <v>0</v>
      </c>
      <c r="P40" s="64">
        <v>0.36</v>
      </c>
      <c r="Q40" s="64">
        <v>9.26</v>
      </c>
      <c r="R40" s="198"/>
      <c r="S40" s="198"/>
      <c r="T40" s="198"/>
      <c r="U40" s="198"/>
    </row>
    <row r="41" spans="1:21" s="12" customFormat="1" x14ac:dyDescent="0.25">
      <c r="A41" s="211" t="s">
        <v>469</v>
      </c>
      <c r="B41" s="64">
        <v>6.35</v>
      </c>
      <c r="C41" s="64">
        <v>17.260000000000002</v>
      </c>
      <c r="D41" s="64">
        <v>23.28</v>
      </c>
      <c r="E41" s="64">
        <v>4.5199999999999996</v>
      </c>
      <c r="F41" s="64">
        <v>7.39</v>
      </c>
      <c r="G41" s="64">
        <v>24.17</v>
      </c>
      <c r="H41" s="64">
        <v>89.98</v>
      </c>
      <c r="I41" s="64">
        <v>3.92</v>
      </c>
      <c r="J41" s="64">
        <v>0.16</v>
      </c>
      <c r="K41" s="64">
        <v>290.83</v>
      </c>
      <c r="L41" s="64">
        <v>30.16</v>
      </c>
      <c r="M41" s="64">
        <v>78.61</v>
      </c>
      <c r="N41" s="64">
        <v>462.2</v>
      </c>
      <c r="O41" s="64">
        <v>0</v>
      </c>
      <c r="P41" s="64">
        <v>0.37</v>
      </c>
      <c r="Q41" s="64">
        <v>9.23</v>
      </c>
      <c r="R41" s="198"/>
      <c r="S41" s="198"/>
      <c r="T41" s="198"/>
      <c r="U41" s="198"/>
    </row>
    <row r="42" spans="1:21" s="12" customFormat="1" x14ac:dyDescent="0.25">
      <c r="A42" s="211" t="s">
        <v>470</v>
      </c>
      <c r="B42" s="64">
        <v>6.56</v>
      </c>
      <c r="C42" s="64">
        <v>18.510000000000002</v>
      </c>
      <c r="D42" s="64">
        <v>25.35</v>
      </c>
      <c r="E42" s="64">
        <v>4.8</v>
      </c>
      <c r="F42" s="64">
        <v>7.45</v>
      </c>
      <c r="G42" s="64">
        <v>24.17</v>
      </c>
      <c r="H42" s="64">
        <v>89.98</v>
      </c>
      <c r="I42" s="64">
        <v>4.0599999999999996</v>
      </c>
      <c r="J42" s="64">
        <v>0.16</v>
      </c>
      <c r="K42" s="64">
        <v>288.13</v>
      </c>
      <c r="L42" s="64">
        <v>30.57</v>
      </c>
      <c r="M42" s="64">
        <v>76.48</v>
      </c>
      <c r="N42" s="64">
        <v>311.60000000000002</v>
      </c>
      <c r="O42" s="64">
        <v>0</v>
      </c>
      <c r="P42" s="64">
        <v>0.37</v>
      </c>
      <c r="Q42" s="64">
        <v>9.2100000000000009</v>
      </c>
      <c r="R42" s="198"/>
      <c r="S42" s="198"/>
      <c r="T42" s="198"/>
      <c r="U42" s="198"/>
    </row>
    <row r="43" spans="1:21" s="12" customFormat="1" x14ac:dyDescent="0.25">
      <c r="A43" s="211" t="s">
        <v>471</v>
      </c>
      <c r="B43" s="64">
        <v>5.33</v>
      </c>
      <c r="C43" s="64">
        <v>17.98</v>
      </c>
      <c r="D43" s="64">
        <v>26.24</v>
      </c>
      <c r="E43" s="64">
        <v>4.7300000000000004</v>
      </c>
      <c r="F43" s="64">
        <v>7.41</v>
      </c>
      <c r="G43" s="64">
        <v>24.17</v>
      </c>
      <c r="H43" s="64">
        <v>89.98</v>
      </c>
      <c r="I43" s="64">
        <v>3.92</v>
      </c>
      <c r="J43" s="64">
        <v>0.21</v>
      </c>
      <c r="K43" s="64">
        <v>284.14999999999998</v>
      </c>
      <c r="L43" s="64">
        <v>30.01</v>
      </c>
      <c r="M43" s="64">
        <v>77.930000000000007</v>
      </c>
      <c r="N43" s="64">
        <v>401.1</v>
      </c>
      <c r="O43" s="64">
        <v>0</v>
      </c>
      <c r="P43" s="64">
        <v>0.37</v>
      </c>
      <c r="Q43" s="64">
        <v>9.18</v>
      </c>
      <c r="R43" s="198"/>
      <c r="S43" s="198"/>
      <c r="T43" s="198"/>
      <c r="U43" s="198"/>
    </row>
    <row r="44" spans="1:21" s="12" customFormat="1" x14ac:dyDescent="0.25">
      <c r="A44" s="211" t="s">
        <v>472</v>
      </c>
      <c r="B44" s="64">
        <v>4.4800000000000004</v>
      </c>
      <c r="C44" s="64">
        <v>16.399999999999999</v>
      </c>
      <c r="D44" s="64">
        <v>24.51</v>
      </c>
      <c r="E44" s="64">
        <v>4.47</v>
      </c>
      <c r="F44" s="64">
        <v>5.05</v>
      </c>
      <c r="G44" s="64">
        <v>24.2</v>
      </c>
      <c r="H44" s="64">
        <v>87.8</v>
      </c>
      <c r="I44" s="64">
        <v>4</v>
      </c>
      <c r="J44" s="64">
        <v>0.18</v>
      </c>
      <c r="K44" s="64">
        <v>294.55</v>
      </c>
      <c r="L44" s="64">
        <v>29.66</v>
      </c>
      <c r="M44" s="64">
        <v>78.930000000000007</v>
      </c>
      <c r="N44" s="64">
        <v>423.8</v>
      </c>
      <c r="O44" s="64">
        <v>0</v>
      </c>
      <c r="P44" s="64">
        <v>0.37</v>
      </c>
      <c r="Q44" s="64">
        <v>9.18</v>
      </c>
      <c r="R44" s="198"/>
      <c r="S44" s="198"/>
      <c r="T44" s="198"/>
      <c r="U44" s="198"/>
    </row>
    <row r="45" spans="1:21" s="12" customFormat="1" x14ac:dyDescent="0.25">
      <c r="A45" s="211" t="s">
        <v>473</v>
      </c>
      <c r="B45" s="64">
        <v>4.16</v>
      </c>
      <c r="C45" s="64">
        <v>16.579999999999998</v>
      </c>
      <c r="D45" s="64">
        <v>25.34</v>
      </c>
      <c r="E45" s="64">
        <v>4.5199999999999996</v>
      </c>
      <c r="F45" s="64">
        <v>6.71</v>
      </c>
      <c r="G45" s="64">
        <v>24.73</v>
      </c>
      <c r="H45" s="64">
        <v>40.880000000000003</v>
      </c>
      <c r="I45" s="64">
        <v>4</v>
      </c>
      <c r="J45" s="64">
        <v>0.28000000000000003</v>
      </c>
      <c r="K45" s="64">
        <v>289.5</v>
      </c>
      <c r="L45" s="64">
        <v>31.37</v>
      </c>
      <c r="M45" s="64">
        <v>73.89</v>
      </c>
      <c r="N45" s="64">
        <v>705.3</v>
      </c>
      <c r="O45" s="64">
        <v>0</v>
      </c>
      <c r="P45" s="64">
        <v>0.4</v>
      </c>
      <c r="Q45" s="64">
        <v>9.15</v>
      </c>
      <c r="R45" s="198"/>
      <c r="S45" s="198"/>
      <c r="T45" s="198"/>
      <c r="U45" s="198"/>
    </row>
    <row r="46" spans="1:21" s="12" customFormat="1" x14ac:dyDescent="0.25">
      <c r="A46" s="211" t="s">
        <v>474</v>
      </c>
      <c r="B46" s="64">
        <v>4.1500000000000004</v>
      </c>
      <c r="C46" s="64">
        <v>17.18</v>
      </c>
      <c r="D46" s="64">
        <v>26.52</v>
      </c>
      <c r="E46" s="64">
        <v>4.3600000000000003</v>
      </c>
      <c r="F46" s="64">
        <v>9.5</v>
      </c>
      <c r="G46" s="64">
        <v>24.73</v>
      </c>
      <c r="H46" s="64">
        <v>40.880000000000003</v>
      </c>
      <c r="I46" s="64">
        <v>3.9</v>
      </c>
      <c r="J46" s="64">
        <v>0.19</v>
      </c>
      <c r="K46" s="64">
        <v>273.94</v>
      </c>
      <c r="L46" s="64">
        <v>31.63</v>
      </c>
      <c r="M46" s="64">
        <v>72.44</v>
      </c>
      <c r="N46" s="64">
        <v>763.3</v>
      </c>
      <c r="O46" s="64">
        <v>0</v>
      </c>
      <c r="P46" s="64">
        <v>0.45</v>
      </c>
      <c r="Q46" s="64">
        <v>9.14</v>
      </c>
      <c r="R46" s="198"/>
      <c r="S46" s="198"/>
      <c r="T46" s="198"/>
      <c r="U46" s="198"/>
    </row>
    <row r="47" spans="1:21" s="12" customFormat="1" x14ac:dyDescent="0.25">
      <c r="A47" s="211" t="s">
        <v>475</v>
      </c>
      <c r="B47" s="64">
        <v>4.45</v>
      </c>
      <c r="C47" s="64">
        <v>18.46</v>
      </c>
      <c r="D47" s="64">
        <v>28.51</v>
      </c>
      <c r="E47" s="64">
        <v>4.79</v>
      </c>
      <c r="F47" s="64">
        <v>10.26</v>
      </c>
      <c r="G47" s="64">
        <v>24.73</v>
      </c>
      <c r="H47" s="64">
        <v>40.880000000000003</v>
      </c>
      <c r="I47" s="64">
        <v>4.12</v>
      </c>
      <c r="J47" s="64">
        <v>0.21</v>
      </c>
      <c r="K47" s="64">
        <v>279.89999999999998</v>
      </c>
      <c r="L47" s="64">
        <v>31.72</v>
      </c>
      <c r="M47" s="64">
        <v>72.42</v>
      </c>
      <c r="N47" s="64">
        <v>766.1</v>
      </c>
      <c r="O47" s="64">
        <v>0</v>
      </c>
      <c r="P47" s="64">
        <v>0.52</v>
      </c>
      <c r="Q47" s="64">
        <v>9.1300000000000008</v>
      </c>
      <c r="R47" s="198"/>
      <c r="S47" s="198"/>
      <c r="T47" s="198"/>
      <c r="U47" s="198"/>
    </row>
    <row r="48" spans="1:21" s="12" customFormat="1" x14ac:dyDescent="0.25">
      <c r="A48" s="211" t="s">
        <v>476</v>
      </c>
      <c r="B48" s="64">
        <v>4.4000000000000004</v>
      </c>
      <c r="C48" s="64">
        <v>17.22</v>
      </c>
      <c r="D48" s="64">
        <v>26.19</v>
      </c>
      <c r="E48" s="64">
        <v>4.75</v>
      </c>
      <c r="F48" s="64">
        <v>12.02</v>
      </c>
      <c r="G48" s="64">
        <v>24.85</v>
      </c>
      <c r="H48" s="64">
        <v>39.07</v>
      </c>
      <c r="I48" s="64">
        <v>4.0599999999999996</v>
      </c>
      <c r="J48" s="64">
        <v>0.22</v>
      </c>
      <c r="K48" s="64">
        <v>284.75</v>
      </c>
      <c r="L48" s="64">
        <v>32.450000000000003</v>
      </c>
      <c r="M48" s="64">
        <v>69.930000000000007</v>
      </c>
      <c r="N48" s="64">
        <v>792.4</v>
      </c>
      <c r="O48" s="64">
        <v>0</v>
      </c>
      <c r="P48" s="64">
        <v>0.56999999999999995</v>
      </c>
      <c r="Q48" s="64">
        <v>9.1199999999999992</v>
      </c>
      <c r="R48" s="198"/>
      <c r="S48" s="198"/>
      <c r="T48" s="198"/>
      <c r="U48" s="198"/>
    </row>
    <row r="49" spans="1:21" s="12" customFormat="1" x14ac:dyDescent="0.25">
      <c r="A49" s="211" t="s">
        <v>477</v>
      </c>
      <c r="B49" s="64">
        <v>6.53</v>
      </c>
      <c r="C49" s="64">
        <v>23.01</v>
      </c>
      <c r="D49" s="64">
        <v>34.03</v>
      </c>
      <c r="E49" s="64">
        <v>5.0199999999999996</v>
      </c>
      <c r="F49" s="64">
        <v>18.8</v>
      </c>
      <c r="G49" s="64">
        <v>27.5</v>
      </c>
      <c r="H49" s="64">
        <v>0</v>
      </c>
      <c r="I49" s="64">
        <v>3.82</v>
      </c>
      <c r="J49" s="64">
        <v>0.31</v>
      </c>
      <c r="K49" s="64">
        <v>308.42</v>
      </c>
      <c r="L49" s="64">
        <v>33.4</v>
      </c>
      <c r="M49" s="64">
        <v>67.11</v>
      </c>
      <c r="N49" s="64">
        <v>841.8</v>
      </c>
      <c r="O49" s="64">
        <v>0</v>
      </c>
      <c r="P49" s="64">
        <v>0.89</v>
      </c>
      <c r="Q49" s="64">
        <v>9.1300000000000008</v>
      </c>
      <c r="R49" s="198"/>
      <c r="S49" s="198"/>
      <c r="T49" s="198"/>
      <c r="U49" s="198"/>
    </row>
    <row r="50" spans="1:21" s="12" customFormat="1" x14ac:dyDescent="0.25">
      <c r="A50" s="211" t="s">
        <v>478</v>
      </c>
      <c r="B50" s="64">
        <v>4.4400000000000004</v>
      </c>
      <c r="C50" s="64">
        <v>16.309999999999999</v>
      </c>
      <c r="D50" s="64">
        <v>24.39</v>
      </c>
      <c r="E50" s="64">
        <v>5.33</v>
      </c>
      <c r="F50" s="64">
        <v>15.84</v>
      </c>
      <c r="G50" s="64">
        <v>27.5</v>
      </c>
      <c r="H50" s="64">
        <v>0</v>
      </c>
      <c r="I50" s="64">
        <v>4.01</v>
      </c>
      <c r="J50" s="64">
        <v>0.27</v>
      </c>
      <c r="K50" s="64">
        <v>297.06</v>
      </c>
      <c r="L50" s="64">
        <v>34.020000000000003</v>
      </c>
      <c r="M50" s="64">
        <v>64.2</v>
      </c>
      <c r="N50" s="64">
        <v>842.1</v>
      </c>
      <c r="O50" s="64">
        <v>0</v>
      </c>
      <c r="P50" s="64">
        <v>0.71</v>
      </c>
      <c r="Q50" s="64">
        <v>9.14</v>
      </c>
      <c r="R50" s="198"/>
      <c r="S50" s="198"/>
      <c r="T50" s="198"/>
      <c r="U50" s="198"/>
    </row>
    <row r="51" spans="1:21" s="12" customFormat="1" x14ac:dyDescent="0.25">
      <c r="A51" s="211" t="s">
        <v>479</v>
      </c>
      <c r="B51" s="64">
        <v>4.0599999999999996</v>
      </c>
      <c r="C51" s="64">
        <v>18.829999999999998</v>
      </c>
      <c r="D51" s="64">
        <v>29.81</v>
      </c>
      <c r="E51" s="64">
        <v>6.16</v>
      </c>
      <c r="F51" s="64">
        <v>20.71</v>
      </c>
      <c r="G51" s="64">
        <v>27.5</v>
      </c>
      <c r="H51" s="64">
        <v>0</v>
      </c>
      <c r="I51" s="64">
        <v>3.98</v>
      </c>
      <c r="J51" s="64">
        <v>0.19</v>
      </c>
      <c r="K51" s="64">
        <v>281.31</v>
      </c>
      <c r="L51" s="64">
        <v>33.43</v>
      </c>
      <c r="M51" s="64">
        <v>65.680000000000007</v>
      </c>
      <c r="N51" s="64">
        <v>855.6</v>
      </c>
      <c r="O51" s="64">
        <v>0</v>
      </c>
      <c r="P51" s="64">
        <v>0.88</v>
      </c>
      <c r="Q51" s="64">
        <v>9.14</v>
      </c>
      <c r="R51" s="198"/>
      <c r="S51" s="198"/>
      <c r="T51" s="198"/>
      <c r="U51" s="198"/>
    </row>
    <row r="52" spans="1:21" s="12" customFormat="1" x14ac:dyDescent="0.25">
      <c r="A52" s="211" t="s">
        <v>480</v>
      </c>
      <c r="B52" s="64">
        <v>5.04</v>
      </c>
      <c r="C52" s="64">
        <v>20.78</v>
      </c>
      <c r="D52" s="64">
        <v>32.04</v>
      </c>
      <c r="E52" s="64">
        <v>6.67</v>
      </c>
      <c r="F52" s="64">
        <v>20.88</v>
      </c>
      <c r="G52" s="64">
        <v>27.63</v>
      </c>
      <c r="H52" s="64">
        <v>0</v>
      </c>
      <c r="I52" s="64">
        <v>3.98</v>
      </c>
      <c r="J52" s="64">
        <v>0.2</v>
      </c>
      <c r="K52" s="64">
        <v>290.60000000000002</v>
      </c>
      <c r="L52" s="64">
        <v>34.9</v>
      </c>
      <c r="M52" s="64">
        <v>61.19</v>
      </c>
      <c r="N52" s="64">
        <v>886.8</v>
      </c>
      <c r="O52" s="64">
        <v>0</v>
      </c>
      <c r="P52" s="64">
        <v>1.01</v>
      </c>
      <c r="Q52" s="64">
        <v>9.14</v>
      </c>
      <c r="R52" s="198"/>
      <c r="S52" s="198"/>
      <c r="T52" s="198"/>
      <c r="U52" s="198"/>
    </row>
    <row r="53" spans="1:21" s="12" customFormat="1" x14ac:dyDescent="0.25">
      <c r="A53" s="211" t="s">
        <v>481</v>
      </c>
      <c r="B53" s="64">
        <v>4.3499999999999996</v>
      </c>
      <c r="C53" s="64">
        <v>18.510000000000002</v>
      </c>
      <c r="D53" s="64">
        <v>28.75</v>
      </c>
      <c r="E53" s="64">
        <v>6.56</v>
      </c>
      <c r="F53" s="64">
        <v>16.28</v>
      </c>
      <c r="G53" s="64">
        <v>30.24</v>
      </c>
      <c r="H53" s="64">
        <v>0</v>
      </c>
      <c r="I53" s="64">
        <v>4</v>
      </c>
      <c r="J53" s="64">
        <v>0.35</v>
      </c>
      <c r="K53" s="64">
        <v>294.58</v>
      </c>
      <c r="L53" s="64">
        <v>35.6</v>
      </c>
      <c r="M53" s="64">
        <v>57.37</v>
      </c>
      <c r="N53" s="64">
        <v>929.2</v>
      </c>
      <c r="O53" s="64">
        <v>0</v>
      </c>
      <c r="P53" s="64">
        <v>0.78</v>
      </c>
      <c r="Q53" s="64">
        <v>9.14</v>
      </c>
      <c r="R53" s="198"/>
      <c r="S53" s="198"/>
      <c r="T53" s="198"/>
      <c r="U53" s="198"/>
    </row>
    <row r="54" spans="1:21" s="12" customFormat="1" x14ac:dyDescent="0.25">
      <c r="A54" s="211" t="s">
        <v>482</v>
      </c>
      <c r="B54" s="64">
        <v>4.96</v>
      </c>
      <c r="C54" s="64">
        <v>20.23</v>
      </c>
      <c r="D54" s="64">
        <v>31.11</v>
      </c>
      <c r="E54" s="64">
        <v>7.28</v>
      </c>
      <c r="F54" s="64">
        <v>21.27</v>
      </c>
      <c r="G54" s="64">
        <v>30.24</v>
      </c>
      <c r="H54" s="64">
        <v>0</v>
      </c>
      <c r="I54" s="64">
        <v>4.0199999999999996</v>
      </c>
      <c r="J54" s="64">
        <v>0.45</v>
      </c>
      <c r="K54" s="64">
        <v>321.82</v>
      </c>
      <c r="L54" s="64">
        <v>35.340000000000003</v>
      </c>
      <c r="M54" s="64">
        <v>58.25</v>
      </c>
      <c r="N54" s="64">
        <v>906.4</v>
      </c>
      <c r="O54" s="64">
        <v>0</v>
      </c>
      <c r="P54" s="64">
        <v>0.8</v>
      </c>
      <c r="Q54" s="64">
        <v>9.15</v>
      </c>
      <c r="R54" s="198"/>
      <c r="S54" s="198"/>
      <c r="T54" s="198"/>
      <c r="U54" s="198"/>
    </row>
    <row r="55" spans="1:21" s="12" customFormat="1" x14ac:dyDescent="0.25">
      <c r="A55" s="211" t="s">
        <v>483</v>
      </c>
      <c r="B55" s="64">
        <v>5.21</v>
      </c>
      <c r="C55" s="64">
        <v>21.28</v>
      </c>
      <c r="D55" s="64">
        <v>32.72</v>
      </c>
      <c r="E55" s="64">
        <v>7.15</v>
      </c>
      <c r="F55" s="64">
        <v>24.15</v>
      </c>
      <c r="G55" s="64">
        <v>30.24</v>
      </c>
      <c r="H55" s="64">
        <v>0</v>
      </c>
      <c r="I55" s="64">
        <v>3.9</v>
      </c>
      <c r="J55" s="64">
        <v>0.25</v>
      </c>
      <c r="K55" s="64">
        <v>299.06</v>
      </c>
      <c r="L55" s="64">
        <v>36.19</v>
      </c>
      <c r="M55" s="64">
        <v>54.87</v>
      </c>
      <c r="N55" s="64">
        <v>800.3</v>
      </c>
      <c r="O55" s="64">
        <v>0</v>
      </c>
      <c r="P55" s="64">
        <v>0.72</v>
      </c>
      <c r="Q55" s="64">
        <v>9.16</v>
      </c>
      <c r="R55" s="198"/>
      <c r="S55" s="198"/>
      <c r="T55" s="198"/>
      <c r="U55" s="198"/>
    </row>
    <row r="56" spans="1:21" s="12" customFormat="1" x14ac:dyDescent="0.25">
      <c r="A56" s="211" t="s">
        <v>484</v>
      </c>
      <c r="B56" s="64">
        <v>3.45</v>
      </c>
      <c r="C56" s="64">
        <v>16.239999999999998</v>
      </c>
      <c r="D56" s="64">
        <v>25.79</v>
      </c>
      <c r="E56" s="64">
        <v>6.42</v>
      </c>
      <c r="F56" s="64">
        <v>15.14</v>
      </c>
      <c r="G56" s="64">
        <v>30.5</v>
      </c>
      <c r="H56" s="64">
        <v>175.25</v>
      </c>
      <c r="I56" s="64">
        <v>4.01</v>
      </c>
      <c r="J56" s="64">
        <v>0.2</v>
      </c>
      <c r="K56" s="64">
        <v>203.21</v>
      </c>
      <c r="L56" s="64">
        <v>33.81</v>
      </c>
      <c r="M56" s="64">
        <v>59.08</v>
      </c>
      <c r="N56" s="64">
        <v>921.2</v>
      </c>
      <c r="O56" s="64">
        <v>0</v>
      </c>
      <c r="P56" s="64">
        <v>0.72</v>
      </c>
      <c r="Q56" s="64">
        <v>9.15</v>
      </c>
      <c r="R56" s="198"/>
      <c r="S56" s="198"/>
      <c r="T56" s="198"/>
      <c r="U56" s="198"/>
    </row>
    <row r="57" spans="1:21" s="12" customFormat="1" x14ac:dyDescent="0.25">
      <c r="A57" s="211" t="s">
        <v>485</v>
      </c>
      <c r="B57" s="64">
        <v>4.03</v>
      </c>
      <c r="C57" s="64">
        <v>18.170000000000002</v>
      </c>
      <c r="D57" s="64">
        <v>28.59</v>
      </c>
      <c r="E57" s="64">
        <v>6.21</v>
      </c>
      <c r="F57" s="64">
        <v>20</v>
      </c>
      <c r="G57" s="64">
        <v>35.880000000000003</v>
      </c>
      <c r="H57" s="64">
        <v>3943.09</v>
      </c>
      <c r="I57" s="64">
        <v>4.1399999999999997</v>
      </c>
      <c r="J57" s="64">
        <v>0.37</v>
      </c>
      <c r="K57" s="64">
        <v>307.44</v>
      </c>
      <c r="L57" s="64">
        <v>34.94</v>
      </c>
      <c r="M57" s="64">
        <v>57.16</v>
      </c>
      <c r="N57" s="64">
        <v>913.5</v>
      </c>
      <c r="O57" s="64">
        <v>0</v>
      </c>
      <c r="P57" s="64">
        <v>0.8</v>
      </c>
      <c r="Q57" s="64">
        <v>9.16</v>
      </c>
      <c r="R57" s="198"/>
      <c r="S57" s="198"/>
      <c r="T57" s="198"/>
      <c r="U57" s="198"/>
    </row>
    <row r="58" spans="1:21" s="12" customFormat="1" x14ac:dyDescent="0.25">
      <c r="A58" s="211" t="s">
        <v>486</v>
      </c>
      <c r="B58" s="64">
        <v>8.69</v>
      </c>
      <c r="C58" s="64">
        <v>24.63</v>
      </c>
      <c r="D58" s="64">
        <v>33.799999999999997</v>
      </c>
      <c r="E58" s="64">
        <v>6.11</v>
      </c>
      <c r="F58" s="64">
        <v>18.579999999999998</v>
      </c>
      <c r="G58" s="64">
        <v>35.880000000000003</v>
      </c>
      <c r="H58" s="64">
        <v>3943.09</v>
      </c>
      <c r="I58" s="64">
        <v>3.92</v>
      </c>
      <c r="J58" s="64">
        <v>0.18</v>
      </c>
      <c r="K58" s="64">
        <v>280.01</v>
      </c>
      <c r="L58" s="64">
        <v>35.380000000000003</v>
      </c>
      <c r="M58" s="64">
        <v>54.55</v>
      </c>
      <c r="N58" s="64">
        <v>906.4</v>
      </c>
      <c r="O58" s="64">
        <v>0</v>
      </c>
      <c r="P58" s="64">
        <v>0.74</v>
      </c>
      <c r="Q58" s="64">
        <v>9.15</v>
      </c>
      <c r="R58" s="198"/>
      <c r="S58" s="198"/>
      <c r="T58" s="198"/>
      <c r="U58" s="198"/>
    </row>
    <row r="59" spans="1:21" s="12" customFormat="1" x14ac:dyDescent="0.25">
      <c r="A59" s="211" t="s">
        <v>487</v>
      </c>
      <c r="B59" s="64">
        <v>7.97</v>
      </c>
      <c r="C59" s="64">
        <v>21.22</v>
      </c>
      <c r="D59" s="64">
        <v>28.38</v>
      </c>
      <c r="E59" s="64">
        <v>6.77</v>
      </c>
      <c r="F59" s="64">
        <v>21.58</v>
      </c>
      <c r="G59" s="64">
        <v>35.880000000000003</v>
      </c>
      <c r="H59" s="64">
        <v>3943.09</v>
      </c>
      <c r="I59" s="64">
        <v>3.79</v>
      </c>
      <c r="J59" s="64">
        <v>0.09</v>
      </c>
      <c r="K59" s="64">
        <v>272.83999999999997</v>
      </c>
      <c r="L59" s="64">
        <v>36.18</v>
      </c>
      <c r="M59" s="64">
        <v>49.7</v>
      </c>
      <c r="N59" s="64">
        <v>844.4</v>
      </c>
      <c r="O59" s="64">
        <v>0</v>
      </c>
      <c r="P59" s="64">
        <v>0.68</v>
      </c>
      <c r="Q59" s="64">
        <v>9.14</v>
      </c>
      <c r="R59" s="198"/>
      <c r="S59" s="198"/>
      <c r="T59" s="198"/>
      <c r="U59" s="198"/>
    </row>
    <row r="60" spans="1:21" s="12" customFormat="1" x14ac:dyDescent="0.25">
      <c r="A60" s="211" t="s">
        <v>488</v>
      </c>
      <c r="B60" s="64">
        <v>4.3600000000000003</v>
      </c>
      <c r="C60" s="64">
        <v>19.95</v>
      </c>
      <c r="D60" s="64">
        <v>31.5</v>
      </c>
      <c r="E60" s="64">
        <v>6.79</v>
      </c>
      <c r="F60" s="64">
        <v>21.23</v>
      </c>
      <c r="G60" s="64">
        <v>35.979999999999997</v>
      </c>
      <c r="H60" s="64">
        <v>3962.17</v>
      </c>
      <c r="I60" s="64">
        <v>3.94</v>
      </c>
      <c r="J60" s="64">
        <v>0.3</v>
      </c>
      <c r="K60" s="64">
        <v>321.29000000000002</v>
      </c>
      <c r="L60" s="64">
        <v>36.020000000000003</v>
      </c>
      <c r="M60" s="64">
        <v>50.87</v>
      </c>
      <c r="N60" s="64">
        <v>461.9</v>
      </c>
      <c r="O60" s="64">
        <v>0</v>
      </c>
      <c r="P60" s="64">
        <v>0.69</v>
      </c>
      <c r="Q60" s="64">
        <v>9.14</v>
      </c>
      <c r="R60" s="198"/>
      <c r="S60" s="198"/>
      <c r="T60" s="198"/>
      <c r="U60" s="198"/>
    </row>
    <row r="61" spans="1:21" s="12" customFormat="1" x14ac:dyDescent="0.25">
      <c r="A61" s="211" t="s">
        <v>489</v>
      </c>
      <c r="B61" s="64">
        <v>4.54</v>
      </c>
      <c r="C61" s="64">
        <v>19.760000000000002</v>
      </c>
      <c r="D61" s="64">
        <v>30.85</v>
      </c>
      <c r="E61" s="64">
        <v>6.54</v>
      </c>
      <c r="F61" s="64">
        <v>24.81</v>
      </c>
      <c r="G61" s="64">
        <v>38.119999999999997</v>
      </c>
      <c r="H61" s="64">
        <v>4515.7</v>
      </c>
      <c r="I61" s="64">
        <v>3.99</v>
      </c>
      <c r="J61" s="64">
        <v>0.21</v>
      </c>
      <c r="K61" s="64">
        <v>11.73</v>
      </c>
      <c r="L61" s="64">
        <v>36.659999999999997</v>
      </c>
      <c r="M61" s="64">
        <v>47.32</v>
      </c>
      <c r="N61" s="64">
        <v>871.1</v>
      </c>
      <c r="O61" s="64">
        <v>0</v>
      </c>
      <c r="P61" s="64">
        <v>0.56000000000000005</v>
      </c>
      <c r="Q61" s="64">
        <v>9.14</v>
      </c>
      <c r="R61" s="198"/>
      <c r="S61" s="198"/>
      <c r="T61" s="198"/>
      <c r="U61" s="198"/>
    </row>
    <row r="62" spans="1:21" s="12" customFormat="1" x14ac:dyDescent="0.25">
      <c r="A62" s="211" t="s">
        <v>490</v>
      </c>
      <c r="B62" s="64">
        <v>5.48</v>
      </c>
      <c r="C62" s="64">
        <v>22.89</v>
      </c>
      <c r="D62" s="64">
        <v>35.42</v>
      </c>
      <c r="E62" s="64">
        <v>7.03</v>
      </c>
      <c r="F62" s="64">
        <v>17.190000000000001</v>
      </c>
      <c r="G62" s="64">
        <v>38.119999999999997</v>
      </c>
      <c r="H62" s="64">
        <v>4515.7</v>
      </c>
      <c r="I62" s="64">
        <v>3.9</v>
      </c>
      <c r="J62" s="64">
        <v>0.3</v>
      </c>
      <c r="K62" s="64">
        <v>45.14</v>
      </c>
      <c r="L62" s="64">
        <v>35.85</v>
      </c>
      <c r="M62" s="64">
        <v>47.91</v>
      </c>
      <c r="N62" s="64">
        <v>536.5</v>
      </c>
      <c r="O62" s="64">
        <v>0</v>
      </c>
      <c r="P62" s="64">
        <v>0.62</v>
      </c>
      <c r="Q62" s="64">
        <v>9.15</v>
      </c>
      <c r="R62" s="198"/>
      <c r="S62" s="198"/>
      <c r="T62" s="198"/>
      <c r="U62" s="198"/>
    </row>
    <row r="63" spans="1:21" s="12" customFormat="1" x14ac:dyDescent="0.25">
      <c r="A63" s="211" t="s">
        <v>491</v>
      </c>
      <c r="B63" s="64">
        <v>3.91</v>
      </c>
      <c r="C63" s="64">
        <v>16.88</v>
      </c>
      <c r="D63" s="64">
        <v>26.31</v>
      </c>
      <c r="E63" s="64">
        <v>5.95</v>
      </c>
      <c r="F63" s="64">
        <v>10.98</v>
      </c>
      <c r="G63" s="64">
        <v>38.119999999999997</v>
      </c>
      <c r="H63" s="64">
        <v>4515.7</v>
      </c>
      <c r="I63" s="64">
        <v>3.92</v>
      </c>
      <c r="J63" s="64">
        <v>1.9</v>
      </c>
      <c r="K63" s="64">
        <v>113.96</v>
      </c>
      <c r="L63" s="64">
        <v>30.92</v>
      </c>
      <c r="M63" s="64">
        <v>58.31</v>
      </c>
      <c r="N63" s="64">
        <v>286.60000000000002</v>
      </c>
      <c r="O63" s="64">
        <v>0</v>
      </c>
      <c r="P63" s="64">
        <v>0.54</v>
      </c>
      <c r="Q63" s="64">
        <v>9.16</v>
      </c>
      <c r="R63" s="198"/>
      <c r="S63" s="198"/>
      <c r="T63" s="198"/>
      <c r="U63" s="198"/>
    </row>
    <row r="64" spans="1:21" s="12" customFormat="1" x14ac:dyDescent="0.25">
      <c r="A64" s="211" t="s">
        <v>492</v>
      </c>
      <c r="B64" s="64">
        <v>3.44</v>
      </c>
      <c r="C64" s="64">
        <v>15.3</v>
      </c>
      <c r="D64" s="64">
        <v>24</v>
      </c>
      <c r="E64" s="64">
        <v>5.14</v>
      </c>
      <c r="F64" s="64">
        <v>18.13</v>
      </c>
      <c r="G64" s="64">
        <v>38.229999999999997</v>
      </c>
      <c r="H64" s="64">
        <v>4343.3</v>
      </c>
      <c r="I64" s="64">
        <v>3.93</v>
      </c>
      <c r="J64" s="64">
        <v>1.24</v>
      </c>
      <c r="K64" s="64">
        <v>114.91</v>
      </c>
      <c r="L64" s="64">
        <v>29.65</v>
      </c>
      <c r="M64" s="64">
        <v>66.040000000000006</v>
      </c>
      <c r="N64" s="64">
        <v>171.3</v>
      </c>
      <c r="O64" s="64">
        <v>0</v>
      </c>
      <c r="P64" s="64">
        <v>0.45</v>
      </c>
      <c r="Q64" s="64">
        <v>9.14</v>
      </c>
      <c r="R64" s="198"/>
      <c r="S64" s="198"/>
      <c r="T64" s="198"/>
      <c r="U64" s="198"/>
    </row>
    <row r="65" spans="1:21" s="12" customFormat="1" x14ac:dyDescent="0.25">
      <c r="A65" s="211" t="s">
        <v>493</v>
      </c>
      <c r="B65" s="64">
        <v>5.04</v>
      </c>
      <c r="C65" s="64">
        <v>18.940000000000001</v>
      </c>
      <c r="D65" s="64">
        <v>28.51</v>
      </c>
      <c r="E65" s="64">
        <v>5.75</v>
      </c>
      <c r="F65" s="64">
        <v>19.670000000000002</v>
      </c>
      <c r="G65" s="64">
        <v>40.770000000000003</v>
      </c>
      <c r="H65" s="64">
        <v>636.72</v>
      </c>
      <c r="I65" s="64">
        <v>3.93</v>
      </c>
      <c r="J65" s="64">
        <v>0.54</v>
      </c>
      <c r="K65" s="64">
        <v>107.94</v>
      </c>
      <c r="L65" s="64">
        <v>30.32</v>
      </c>
      <c r="M65" s="64">
        <v>61.77</v>
      </c>
      <c r="N65" s="64">
        <v>247.9</v>
      </c>
      <c r="O65" s="64">
        <v>0</v>
      </c>
      <c r="P65" s="64">
        <v>0.43</v>
      </c>
      <c r="Q65" s="64">
        <v>9.1199999999999992</v>
      </c>
      <c r="R65" s="198"/>
      <c r="S65" s="198"/>
      <c r="T65" s="198"/>
      <c r="U65" s="198"/>
    </row>
    <row r="66" spans="1:21" s="12" customFormat="1" x14ac:dyDescent="0.25">
      <c r="A66" s="211" t="s">
        <v>494</v>
      </c>
      <c r="B66" s="64">
        <v>3.84</v>
      </c>
      <c r="C66" s="64">
        <v>17.57</v>
      </c>
      <c r="D66" s="64">
        <v>27.73</v>
      </c>
      <c r="E66" s="64">
        <v>5.58</v>
      </c>
      <c r="F66" s="64">
        <v>22.48</v>
      </c>
      <c r="G66" s="64">
        <v>40.770000000000003</v>
      </c>
      <c r="H66" s="64">
        <v>636.72</v>
      </c>
      <c r="I66" s="64">
        <v>4.1500000000000004</v>
      </c>
      <c r="J66" s="64">
        <v>0.4</v>
      </c>
      <c r="K66" s="64">
        <v>109.79</v>
      </c>
      <c r="L66" s="64">
        <v>31.42</v>
      </c>
      <c r="M66" s="64">
        <v>53.23</v>
      </c>
      <c r="N66" s="64">
        <v>262.60000000000002</v>
      </c>
      <c r="O66" s="64">
        <v>0</v>
      </c>
      <c r="P66" s="64">
        <v>0.28999999999999998</v>
      </c>
      <c r="Q66" s="64">
        <v>9.15</v>
      </c>
      <c r="R66" s="198"/>
      <c r="S66" s="198"/>
      <c r="T66" s="198"/>
      <c r="U66" s="198"/>
    </row>
    <row r="67" spans="1:21" s="12" customFormat="1" x14ac:dyDescent="0.25">
      <c r="A67" s="211" t="s">
        <v>495</v>
      </c>
      <c r="B67" s="64">
        <v>3.99</v>
      </c>
      <c r="C67" s="64">
        <v>19.399999999999999</v>
      </c>
      <c r="D67" s="64">
        <v>31.01</v>
      </c>
      <c r="E67" s="64">
        <v>6.25</v>
      </c>
      <c r="F67" s="64">
        <v>29.26</v>
      </c>
      <c r="G67" s="64">
        <v>40.770000000000003</v>
      </c>
      <c r="H67" s="64">
        <v>636.72</v>
      </c>
      <c r="I67" s="64">
        <v>3.87</v>
      </c>
      <c r="J67" s="64">
        <v>0.28999999999999998</v>
      </c>
      <c r="K67" s="64">
        <v>135.5</v>
      </c>
      <c r="L67" s="64">
        <v>32.590000000000003</v>
      </c>
      <c r="M67" s="64">
        <v>52.82</v>
      </c>
      <c r="N67" s="64">
        <v>284.2</v>
      </c>
      <c r="O67" s="64">
        <v>0</v>
      </c>
      <c r="P67" s="64">
        <v>0.33</v>
      </c>
      <c r="Q67" s="64">
        <v>9.16</v>
      </c>
      <c r="R67" s="198"/>
      <c r="S67" s="198"/>
      <c r="T67" s="198"/>
      <c r="U67" s="198"/>
    </row>
    <row r="68" spans="1:21" s="12" customFormat="1" x14ac:dyDescent="0.25">
      <c r="A68" s="211" t="s">
        <v>496</v>
      </c>
      <c r="B68" s="64">
        <v>4.87</v>
      </c>
      <c r="C68" s="64">
        <v>23.05</v>
      </c>
      <c r="D68" s="64">
        <v>36.64</v>
      </c>
      <c r="E68" s="64">
        <v>6.47</v>
      </c>
      <c r="F68" s="64">
        <v>29.63</v>
      </c>
      <c r="G68" s="64">
        <v>40.590000000000003</v>
      </c>
      <c r="H68" s="64">
        <v>629.30999999999995</v>
      </c>
      <c r="I68" s="64">
        <v>3.95</v>
      </c>
      <c r="J68" s="64">
        <v>0.13</v>
      </c>
      <c r="K68" s="64">
        <v>119.06</v>
      </c>
      <c r="L68" s="64">
        <v>33.54</v>
      </c>
      <c r="M68" s="64">
        <v>54.63</v>
      </c>
      <c r="N68" s="64">
        <v>248.3</v>
      </c>
      <c r="O68" s="64">
        <v>0</v>
      </c>
      <c r="P68" s="64">
        <v>0.4</v>
      </c>
      <c r="Q68" s="64">
        <v>9.17</v>
      </c>
      <c r="R68" s="198"/>
      <c r="S68" s="198"/>
      <c r="T68" s="198"/>
      <c r="U68" s="198"/>
    </row>
    <row r="69" spans="1:21" s="12" customFormat="1" x14ac:dyDescent="0.25">
      <c r="A69" s="211" t="s">
        <v>497</v>
      </c>
      <c r="B69" s="64">
        <v>9.18</v>
      </c>
      <c r="C69" s="64">
        <v>32.01</v>
      </c>
      <c r="D69" s="64">
        <v>47.17</v>
      </c>
      <c r="E69" s="64">
        <v>5.88</v>
      </c>
      <c r="F69" s="64">
        <v>26.15</v>
      </c>
      <c r="G69" s="64">
        <v>36.619999999999997</v>
      </c>
      <c r="H69" s="64">
        <v>0</v>
      </c>
      <c r="I69" s="64">
        <v>3.93</v>
      </c>
      <c r="J69" s="64">
        <v>0.56999999999999995</v>
      </c>
      <c r="K69" s="64">
        <v>337.72</v>
      </c>
      <c r="L69" s="64">
        <v>34.28</v>
      </c>
      <c r="M69" s="64">
        <v>53.69</v>
      </c>
      <c r="N69" s="64">
        <v>249.7</v>
      </c>
      <c r="O69" s="64">
        <v>0</v>
      </c>
      <c r="P69" s="64">
        <v>0.6</v>
      </c>
      <c r="Q69" s="64">
        <v>9.15</v>
      </c>
      <c r="R69" s="198"/>
      <c r="S69" s="198"/>
      <c r="T69" s="198"/>
      <c r="U69" s="198"/>
    </row>
    <row r="70" spans="1:21" s="12" customFormat="1" x14ac:dyDescent="0.25">
      <c r="A70" s="211" t="s">
        <v>498</v>
      </c>
      <c r="B70" s="64">
        <v>5.16</v>
      </c>
      <c r="C70" s="64">
        <v>20.89</v>
      </c>
      <c r="D70" s="64">
        <v>32.06</v>
      </c>
      <c r="E70" s="64">
        <v>6.32</v>
      </c>
      <c r="F70" s="64">
        <v>27.44</v>
      </c>
      <c r="G70" s="64">
        <v>36.619999999999997</v>
      </c>
      <c r="H70" s="64">
        <v>0</v>
      </c>
      <c r="I70" s="64">
        <v>3.98</v>
      </c>
      <c r="J70" s="64">
        <v>0.48</v>
      </c>
      <c r="K70" s="64">
        <v>152.47999999999999</v>
      </c>
      <c r="L70" s="64">
        <v>34.049999999999997</v>
      </c>
      <c r="M70" s="64">
        <v>54.48</v>
      </c>
      <c r="N70" s="64">
        <v>247.9</v>
      </c>
      <c r="O70" s="64">
        <v>0</v>
      </c>
      <c r="P70" s="64">
        <v>0.33</v>
      </c>
      <c r="Q70" s="64">
        <v>9.16</v>
      </c>
      <c r="R70" s="198"/>
      <c r="S70" s="198"/>
      <c r="T70" s="198"/>
      <c r="U70" s="198"/>
    </row>
    <row r="71" spans="1:21" s="12" customFormat="1" x14ac:dyDescent="0.25">
      <c r="A71" s="211" t="s">
        <v>499</v>
      </c>
      <c r="B71" s="64">
        <v>4.7699999999999996</v>
      </c>
      <c r="C71" s="64">
        <v>21.58</v>
      </c>
      <c r="D71" s="64">
        <v>33.979999999999997</v>
      </c>
      <c r="E71" s="64">
        <v>5.72</v>
      </c>
      <c r="F71" s="64">
        <v>25.05</v>
      </c>
      <c r="G71" s="64">
        <v>36.619999999999997</v>
      </c>
      <c r="H71" s="64">
        <v>0</v>
      </c>
      <c r="I71" s="64">
        <v>3.96</v>
      </c>
      <c r="J71" s="64">
        <v>0.15</v>
      </c>
      <c r="K71" s="64">
        <v>173.36</v>
      </c>
      <c r="L71" s="64">
        <v>33.479999999999997</v>
      </c>
      <c r="M71" s="64">
        <v>56.46</v>
      </c>
      <c r="N71" s="64">
        <v>255.4</v>
      </c>
      <c r="O71" s="64">
        <v>0</v>
      </c>
      <c r="P71" s="64">
        <v>0.36</v>
      </c>
      <c r="Q71" s="64">
        <v>9.16</v>
      </c>
      <c r="R71" s="198"/>
      <c r="S71" s="198"/>
      <c r="T71" s="198"/>
      <c r="U71" s="198"/>
    </row>
    <row r="72" spans="1:21" s="12" customFormat="1" x14ac:dyDescent="0.25">
      <c r="A72" s="211" t="s">
        <v>500</v>
      </c>
      <c r="B72" s="64">
        <v>4.05</v>
      </c>
      <c r="C72" s="64">
        <v>18.45</v>
      </c>
      <c r="D72" s="64">
        <v>29.11</v>
      </c>
      <c r="E72" s="64">
        <v>5.03</v>
      </c>
      <c r="F72" s="64">
        <v>28.02</v>
      </c>
      <c r="G72" s="64">
        <v>36.549999999999997</v>
      </c>
      <c r="H72" s="64">
        <v>0</v>
      </c>
      <c r="I72" s="64">
        <v>3.96</v>
      </c>
      <c r="J72" s="64">
        <v>0.59</v>
      </c>
      <c r="K72" s="64">
        <v>143.88</v>
      </c>
      <c r="L72" s="64">
        <v>33.56</v>
      </c>
      <c r="M72" s="64">
        <v>55.33</v>
      </c>
      <c r="N72" s="64">
        <v>234.5</v>
      </c>
      <c r="O72" s="64">
        <v>0</v>
      </c>
      <c r="P72" s="64">
        <v>0.36</v>
      </c>
      <c r="Q72" s="64">
        <v>9.16</v>
      </c>
      <c r="R72" s="198"/>
      <c r="S72" s="198"/>
      <c r="T72" s="198"/>
      <c r="U72" s="198"/>
    </row>
    <row r="73" spans="1:21" s="12" customFormat="1" x14ac:dyDescent="0.25">
      <c r="A73" s="211" t="s">
        <v>501</v>
      </c>
      <c r="B73" s="64">
        <v>6.14</v>
      </c>
      <c r="C73" s="64">
        <v>20.56</v>
      </c>
      <c r="D73" s="64">
        <v>29.93</v>
      </c>
      <c r="E73" s="64">
        <v>4.8899999999999997</v>
      </c>
      <c r="F73" s="64">
        <v>29.42</v>
      </c>
      <c r="G73" s="64">
        <v>34.950000000000003</v>
      </c>
      <c r="H73" s="64">
        <v>3203.29</v>
      </c>
      <c r="I73" s="64">
        <v>4.09</v>
      </c>
      <c r="J73" s="64">
        <v>0.14000000000000001</v>
      </c>
      <c r="K73" s="64">
        <v>355.47</v>
      </c>
      <c r="L73" s="64">
        <v>33.94</v>
      </c>
      <c r="M73" s="64">
        <v>53.35</v>
      </c>
      <c r="N73" s="64">
        <v>199</v>
      </c>
      <c r="O73" s="64">
        <v>0</v>
      </c>
      <c r="P73" s="64">
        <v>0.44</v>
      </c>
      <c r="Q73" s="64">
        <v>9.17</v>
      </c>
      <c r="R73" s="198"/>
      <c r="S73" s="198"/>
      <c r="T73" s="198"/>
      <c r="U73" s="198"/>
    </row>
    <row r="74" spans="1:21" s="12" customFormat="1" x14ac:dyDescent="0.25">
      <c r="A74" s="211" t="s">
        <v>502</v>
      </c>
      <c r="B74" s="64">
        <v>9.06</v>
      </c>
      <c r="C74" s="64">
        <v>31.94</v>
      </c>
      <c r="D74" s="64">
        <v>47.22</v>
      </c>
      <c r="E74" s="64">
        <v>5.49</v>
      </c>
      <c r="F74" s="64">
        <v>23.52</v>
      </c>
      <c r="G74" s="64">
        <v>34.950000000000003</v>
      </c>
      <c r="H74" s="64">
        <v>3203.29</v>
      </c>
      <c r="I74" s="64">
        <v>4.1900000000000004</v>
      </c>
      <c r="J74" s="64">
        <v>0.12</v>
      </c>
      <c r="K74" s="64">
        <v>310.85000000000002</v>
      </c>
      <c r="L74" s="64">
        <v>34.229999999999997</v>
      </c>
      <c r="M74" s="64">
        <v>52.71</v>
      </c>
      <c r="N74" s="64">
        <v>166.7</v>
      </c>
      <c r="O74" s="64">
        <v>0</v>
      </c>
      <c r="P74" s="64">
        <v>0.63</v>
      </c>
      <c r="Q74" s="64">
        <v>9.18</v>
      </c>
      <c r="R74" s="198"/>
      <c r="S74" s="198"/>
      <c r="T74" s="198"/>
      <c r="U74" s="198"/>
    </row>
    <row r="75" spans="1:21" s="12" customFormat="1" x14ac:dyDescent="0.25">
      <c r="A75" s="211" t="s">
        <v>503</v>
      </c>
      <c r="B75" s="64">
        <v>5.07</v>
      </c>
      <c r="C75" s="64">
        <v>21.28</v>
      </c>
      <c r="D75" s="64">
        <v>32.950000000000003</v>
      </c>
      <c r="E75" s="64">
        <v>5.17</v>
      </c>
      <c r="F75" s="64">
        <v>14.62</v>
      </c>
      <c r="G75" s="64">
        <v>34.950000000000003</v>
      </c>
      <c r="H75" s="64">
        <v>3203.29</v>
      </c>
      <c r="I75" s="64">
        <v>4.01</v>
      </c>
      <c r="J75" s="64">
        <v>0.52</v>
      </c>
      <c r="K75" s="64">
        <v>305.10000000000002</v>
      </c>
      <c r="L75" s="64">
        <v>33.85</v>
      </c>
      <c r="M75" s="64">
        <v>54.3</v>
      </c>
      <c r="N75" s="64">
        <v>136.1</v>
      </c>
      <c r="O75" s="64">
        <v>0</v>
      </c>
      <c r="P75" s="64">
        <v>0.49</v>
      </c>
      <c r="Q75" s="64">
        <v>9.18</v>
      </c>
      <c r="R75" s="198"/>
      <c r="S75" s="198"/>
      <c r="T75" s="198"/>
      <c r="U75" s="198"/>
    </row>
    <row r="76" spans="1:21" s="12" customFormat="1" x14ac:dyDescent="0.25">
      <c r="A76" s="211" t="s">
        <v>504</v>
      </c>
      <c r="B76" s="64">
        <v>5.0599999999999996</v>
      </c>
      <c r="C76" s="64">
        <v>18.43</v>
      </c>
      <c r="D76" s="64">
        <v>27.52</v>
      </c>
      <c r="E76" s="64">
        <v>4.63</v>
      </c>
      <c r="F76" s="64">
        <v>8.5299999999999994</v>
      </c>
      <c r="G76" s="64">
        <v>34.880000000000003</v>
      </c>
      <c r="H76" s="64">
        <v>3188.47</v>
      </c>
      <c r="I76" s="64">
        <v>4.1100000000000003</v>
      </c>
      <c r="J76" s="64">
        <v>1.6</v>
      </c>
      <c r="K76" s="64">
        <v>330.05</v>
      </c>
      <c r="L76" s="64">
        <v>32.57</v>
      </c>
      <c r="M76" s="64">
        <v>57.85</v>
      </c>
      <c r="N76" s="64">
        <v>95.2</v>
      </c>
      <c r="O76" s="64">
        <v>0</v>
      </c>
      <c r="P76" s="64">
        <v>0.47</v>
      </c>
      <c r="Q76" s="64">
        <v>9.18</v>
      </c>
      <c r="R76" s="198"/>
      <c r="S76" s="198"/>
      <c r="T76" s="198"/>
      <c r="U76" s="198"/>
    </row>
    <row r="77" spans="1:21" s="12" customFormat="1" x14ac:dyDescent="0.25">
      <c r="A77" s="211" t="s">
        <v>505</v>
      </c>
      <c r="B77" s="64">
        <v>10.87</v>
      </c>
      <c r="C77" s="64">
        <v>25.25</v>
      </c>
      <c r="D77" s="64">
        <v>31.68</v>
      </c>
      <c r="E77" s="64">
        <v>4.37</v>
      </c>
      <c r="F77" s="64">
        <v>11.97</v>
      </c>
      <c r="G77" s="64">
        <v>33.340000000000003</v>
      </c>
      <c r="H77" s="64">
        <v>2869.84</v>
      </c>
      <c r="I77" s="64">
        <v>3.83</v>
      </c>
      <c r="J77" s="64">
        <v>1.42</v>
      </c>
      <c r="K77" s="64">
        <v>341.81</v>
      </c>
      <c r="L77" s="64">
        <v>31.57</v>
      </c>
      <c r="M77" s="64">
        <v>61.46</v>
      </c>
      <c r="N77" s="64">
        <v>79</v>
      </c>
      <c r="O77" s="64">
        <v>0</v>
      </c>
      <c r="P77" s="64">
        <v>0.49</v>
      </c>
      <c r="Q77" s="64">
        <v>9.18</v>
      </c>
      <c r="R77" s="198"/>
      <c r="S77" s="198"/>
      <c r="T77" s="198"/>
      <c r="U77" s="198"/>
    </row>
    <row r="78" spans="1:21" s="12" customFormat="1" x14ac:dyDescent="0.25">
      <c r="A78" s="211" t="s">
        <v>506</v>
      </c>
      <c r="B78" s="64">
        <v>10.91</v>
      </c>
      <c r="C78" s="64">
        <v>25.89</v>
      </c>
      <c r="D78" s="64">
        <v>32.799999999999997</v>
      </c>
      <c r="E78" s="64">
        <v>5.04</v>
      </c>
      <c r="F78" s="64">
        <v>13.63</v>
      </c>
      <c r="G78" s="64">
        <v>33.340000000000003</v>
      </c>
      <c r="H78" s="64">
        <v>2869.84</v>
      </c>
      <c r="I78" s="64">
        <v>4.05</v>
      </c>
      <c r="J78" s="64">
        <v>1.21</v>
      </c>
      <c r="K78" s="64">
        <v>338.88</v>
      </c>
      <c r="L78" s="64">
        <v>31.16</v>
      </c>
      <c r="M78" s="64">
        <v>61.55</v>
      </c>
      <c r="N78" s="64">
        <v>66.599999999999994</v>
      </c>
      <c r="O78" s="64">
        <v>0</v>
      </c>
      <c r="P78" s="64">
        <v>0.51</v>
      </c>
      <c r="Q78" s="64">
        <v>9.23</v>
      </c>
      <c r="R78" s="198"/>
      <c r="S78" s="198"/>
      <c r="T78" s="198"/>
      <c r="U78" s="198"/>
    </row>
    <row r="79" spans="1:21" s="12" customFormat="1" x14ac:dyDescent="0.25">
      <c r="A79" s="211" t="s">
        <v>507</v>
      </c>
      <c r="B79" s="64">
        <v>12.97</v>
      </c>
      <c r="C79" s="64">
        <v>34.71</v>
      </c>
      <c r="D79" s="64">
        <v>46.52</v>
      </c>
      <c r="E79" s="64">
        <v>5.38</v>
      </c>
      <c r="F79" s="64">
        <v>16.14</v>
      </c>
      <c r="G79" s="64">
        <v>33.340000000000003</v>
      </c>
      <c r="H79" s="64">
        <v>2869.84</v>
      </c>
      <c r="I79" s="64">
        <v>4.03</v>
      </c>
      <c r="J79" s="64">
        <v>0.53</v>
      </c>
      <c r="K79" s="64">
        <v>348.51</v>
      </c>
      <c r="L79" s="64">
        <v>30.63</v>
      </c>
      <c r="M79" s="64">
        <v>59.07</v>
      </c>
      <c r="N79" s="64">
        <v>61.6</v>
      </c>
      <c r="O79" s="64">
        <v>0</v>
      </c>
      <c r="P79" s="64">
        <v>0.54</v>
      </c>
      <c r="Q79" s="64">
        <v>9.27</v>
      </c>
      <c r="R79" s="198"/>
      <c r="S79" s="198"/>
      <c r="T79" s="198"/>
      <c r="U79" s="198"/>
    </row>
    <row r="80" spans="1:21" s="12" customFormat="1" x14ac:dyDescent="0.25">
      <c r="A80" s="211" t="s">
        <v>508</v>
      </c>
      <c r="B80" s="64">
        <v>8.44</v>
      </c>
      <c r="C80" s="64">
        <v>29.01</v>
      </c>
      <c r="D80" s="64">
        <v>42.58</v>
      </c>
      <c r="E80" s="64">
        <v>5.7</v>
      </c>
      <c r="F80" s="64">
        <v>14.49</v>
      </c>
      <c r="G80" s="64">
        <v>5.16</v>
      </c>
      <c r="H80" s="64">
        <v>35</v>
      </c>
      <c r="I80" s="64">
        <v>3.98</v>
      </c>
      <c r="J80" s="64">
        <v>0.31</v>
      </c>
      <c r="K80" s="64">
        <v>107.23</v>
      </c>
      <c r="L80" s="64">
        <v>30.15</v>
      </c>
      <c r="M80" s="64">
        <v>59.93</v>
      </c>
      <c r="N80" s="64">
        <v>56</v>
      </c>
      <c r="O80" s="64">
        <v>0</v>
      </c>
      <c r="P80" s="64">
        <v>0.61</v>
      </c>
      <c r="Q80" s="64">
        <v>9.2799999999999994</v>
      </c>
      <c r="R80" s="198"/>
      <c r="S80" s="198"/>
      <c r="T80" s="198"/>
      <c r="U80" s="198"/>
    </row>
    <row r="81" spans="1:26" s="12" customFormat="1" x14ac:dyDescent="0.25">
      <c r="A81" s="211" t="s">
        <v>509</v>
      </c>
      <c r="B81" s="64">
        <v>3.07</v>
      </c>
      <c r="C81" s="64">
        <v>19.670000000000002</v>
      </c>
      <c r="D81" s="64">
        <v>32.93</v>
      </c>
      <c r="E81" s="64">
        <v>5.29</v>
      </c>
      <c r="F81" s="64">
        <v>17.02</v>
      </c>
      <c r="G81" s="64">
        <v>0</v>
      </c>
      <c r="H81" s="64">
        <v>35</v>
      </c>
      <c r="I81" s="64">
        <v>4</v>
      </c>
      <c r="J81" s="64">
        <v>0.57999999999999996</v>
      </c>
      <c r="K81" s="64">
        <v>123.82</v>
      </c>
      <c r="L81" s="64">
        <v>29.96</v>
      </c>
      <c r="M81" s="64">
        <v>60.34</v>
      </c>
      <c r="N81" s="64">
        <v>48.1</v>
      </c>
      <c r="O81" s="64">
        <v>0</v>
      </c>
      <c r="P81" s="64">
        <v>0.35</v>
      </c>
      <c r="Q81" s="64">
        <v>9.2899999999999991</v>
      </c>
      <c r="R81" s="198"/>
      <c r="S81" s="198"/>
      <c r="T81" s="198"/>
      <c r="U81" s="198"/>
    </row>
    <row r="82" spans="1:26" s="12" customFormat="1" x14ac:dyDescent="0.25">
      <c r="A82" s="211" t="s">
        <v>510</v>
      </c>
      <c r="B82" s="64">
        <v>2.77</v>
      </c>
      <c r="C82" s="64">
        <v>19.940000000000001</v>
      </c>
      <c r="D82" s="64">
        <v>33.909999999999997</v>
      </c>
      <c r="E82" s="64">
        <v>5.53</v>
      </c>
      <c r="F82" s="64">
        <v>12.57</v>
      </c>
      <c r="G82" s="64">
        <v>0</v>
      </c>
      <c r="H82" s="64">
        <v>35</v>
      </c>
      <c r="I82" s="64">
        <v>3.96</v>
      </c>
      <c r="J82" s="64">
        <v>0.44</v>
      </c>
      <c r="K82" s="64">
        <v>137.35</v>
      </c>
      <c r="L82" s="64">
        <v>30.02</v>
      </c>
      <c r="M82" s="64">
        <v>61.89</v>
      </c>
      <c r="N82" s="64">
        <v>42.3</v>
      </c>
      <c r="O82" s="64">
        <v>0</v>
      </c>
      <c r="P82" s="64">
        <v>0.38</v>
      </c>
      <c r="Q82" s="64">
        <v>9.2100000000000009</v>
      </c>
      <c r="R82" s="198"/>
      <c r="S82" s="198"/>
      <c r="T82" s="198"/>
      <c r="U82" s="198"/>
    </row>
    <row r="83" spans="1:26" s="12" customFormat="1" x14ac:dyDescent="0.25">
      <c r="A83" s="211" t="s">
        <v>511</v>
      </c>
      <c r="B83" s="64">
        <v>3.18</v>
      </c>
      <c r="C83" s="64">
        <v>18.829999999999998</v>
      </c>
      <c r="D83" s="64">
        <v>31.16</v>
      </c>
      <c r="E83" s="64">
        <v>4.55</v>
      </c>
      <c r="F83" s="64">
        <v>7.64</v>
      </c>
      <c r="G83" s="64">
        <v>0</v>
      </c>
      <c r="H83" s="64">
        <v>35</v>
      </c>
      <c r="I83" s="64">
        <v>3.91</v>
      </c>
      <c r="J83" s="64">
        <v>0.84</v>
      </c>
      <c r="K83" s="64">
        <v>152.68</v>
      </c>
      <c r="L83" s="64">
        <v>29.73</v>
      </c>
      <c r="M83" s="64">
        <v>64.06</v>
      </c>
      <c r="N83" s="64">
        <v>39.700000000000003</v>
      </c>
      <c r="O83" s="64">
        <v>0</v>
      </c>
      <c r="P83" s="64">
        <v>0.38</v>
      </c>
      <c r="Q83" s="64">
        <v>9.18</v>
      </c>
      <c r="R83" s="198"/>
      <c r="S83" s="198"/>
      <c r="T83" s="198"/>
      <c r="U83" s="198"/>
    </row>
    <row r="84" spans="1:26" s="12" customFormat="1" x14ac:dyDescent="0.25">
      <c r="A84" s="211" t="s">
        <v>512</v>
      </c>
      <c r="B84" s="64">
        <v>3.45</v>
      </c>
      <c r="C84" s="64">
        <v>18.149999999999999</v>
      </c>
      <c r="D84" s="64">
        <v>29.44</v>
      </c>
      <c r="E84" s="64">
        <v>4.3899999999999997</v>
      </c>
      <c r="F84" s="64">
        <v>14.24</v>
      </c>
      <c r="G84" s="64">
        <v>47.7</v>
      </c>
      <c r="H84" s="64">
        <v>129.19</v>
      </c>
      <c r="I84" s="64">
        <v>4.08</v>
      </c>
      <c r="J84" s="64">
        <v>0.75</v>
      </c>
      <c r="K84" s="64">
        <v>147.04</v>
      </c>
      <c r="L84" s="64">
        <v>29.46</v>
      </c>
      <c r="M84" s="64">
        <v>62.85</v>
      </c>
      <c r="N84" s="64">
        <v>39</v>
      </c>
      <c r="O84" s="64">
        <v>0</v>
      </c>
      <c r="P84" s="64">
        <v>0.33</v>
      </c>
      <c r="Q84" s="64">
        <v>9.19</v>
      </c>
      <c r="R84" s="198"/>
      <c r="S84" s="198"/>
      <c r="T84" s="198"/>
      <c r="U84" s="198"/>
    </row>
    <row r="85" spans="1:26" s="12" customFormat="1" x14ac:dyDescent="0.25">
      <c r="A85" s="211" t="s">
        <v>513</v>
      </c>
      <c r="B85" s="64">
        <v>3.62</v>
      </c>
      <c r="C85" s="64">
        <v>17.149999999999999</v>
      </c>
      <c r="D85" s="64">
        <v>27.26</v>
      </c>
      <c r="E85" s="64">
        <v>4.55</v>
      </c>
      <c r="F85" s="64">
        <v>11.4</v>
      </c>
      <c r="G85" s="64">
        <v>61.33</v>
      </c>
      <c r="H85" s="64">
        <v>156.1</v>
      </c>
      <c r="I85" s="64">
        <v>4.07</v>
      </c>
      <c r="J85" s="64">
        <v>0.94</v>
      </c>
      <c r="K85" s="64">
        <v>148.83000000000001</v>
      </c>
      <c r="L85" s="64">
        <v>29.03</v>
      </c>
      <c r="M85" s="64">
        <v>66.78</v>
      </c>
      <c r="N85" s="64">
        <v>39</v>
      </c>
      <c r="O85" s="64">
        <v>0</v>
      </c>
      <c r="P85" s="64">
        <v>0.34</v>
      </c>
      <c r="Q85" s="64">
        <v>9.19</v>
      </c>
      <c r="R85" s="198"/>
      <c r="S85" s="198"/>
      <c r="T85" s="198"/>
      <c r="U85" s="198"/>
    </row>
    <row r="86" spans="1:26" s="12" customFormat="1" x14ac:dyDescent="0.25">
      <c r="A86" s="211" t="s">
        <v>514</v>
      </c>
      <c r="B86" s="64">
        <v>12.29</v>
      </c>
      <c r="C86" s="64">
        <v>27.51</v>
      </c>
      <c r="D86" s="64">
        <v>33.78</v>
      </c>
      <c r="E86" s="64">
        <v>4.37</v>
      </c>
      <c r="F86" s="64">
        <v>14.05</v>
      </c>
      <c r="G86" s="64">
        <v>61.33</v>
      </c>
      <c r="H86" s="64">
        <v>156.1</v>
      </c>
      <c r="I86" s="64">
        <v>4.04</v>
      </c>
      <c r="J86" s="64">
        <v>0.54</v>
      </c>
      <c r="K86" s="64">
        <v>136.25</v>
      </c>
      <c r="L86" s="64">
        <v>28.82</v>
      </c>
      <c r="M86" s="64">
        <v>69.760000000000005</v>
      </c>
      <c r="N86" s="64">
        <v>38.700000000000003</v>
      </c>
      <c r="O86" s="64">
        <v>0</v>
      </c>
      <c r="P86" s="64">
        <v>0.52</v>
      </c>
      <c r="Q86" s="64">
        <v>9.1999999999999993</v>
      </c>
      <c r="R86" s="198"/>
      <c r="S86" s="198"/>
      <c r="T86" s="198"/>
      <c r="U86" s="198"/>
    </row>
    <row r="87" spans="1:26" s="12" customFormat="1" x14ac:dyDescent="0.25">
      <c r="A87" s="211" t="s">
        <v>515</v>
      </c>
      <c r="B87" s="64">
        <v>3.89</v>
      </c>
      <c r="C87" s="64">
        <v>18.29</v>
      </c>
      <c r="D87" s="64">
        <v>29.03</v>
      </c>
      <c r="E87" s="64">
        <v>4.6399999999999997</v>
      </c>
      <c r="F87" s="64">
        <v>17.309999999999999</v>
      </c>
      <c r="G87" s="64">
        <v>61.33</v>
      </c>
      <c r="H87" s="64">
        <v>156.1</v>
      </c>
      <c r="I87" s="64">
        <v>3.96</v>
      </c>
      <c r="J87" s="64">
        <v>0.11</v>
      </c>
      <c r="K87" s="64">
        <v>205.96</v>
      </c>
      <c r="L87" s="64">
        <v>28.71</v>
      </c>
      <c r="M87" s="64">
        <v>71.33</v>
      </c>
      <c r="N87" s="64">
        <v>38.6</v>
      </c>
      <c r="O87" s="64">
        <v>0</v>
      </c>
      <c r="P87" s="64">
        <v>0.34</v>
      </c>
      <c r="Q87" s="64">
        <v>9.2100000000000009</v>
      </c>
      <c r="R87" s="198"/>
      <c r="S87" s="198"/>
      <c r="T87" s="198"/>
      <c r="U87" s="198"/>
    </row>
    <row r="88" spans="1:26" s="12" customFormat="1" x14ac:dyDescent="0.25">
      <c r="A88" s="211" t="s">
        <v>516</v>
      </c>
      <c r="B88" s="64">
        <v>3.9</v>
      </c>
      <c r="C88" s="64">
        <v>21.03</v>
      </c>
      <c r="D88" s="64">
        <v>34.270000000000003</v>
      </c>
      <c r="E88" s="64">
        <v>4.5999999999999996</v>
      </c>
      <c r="F88" s="64">
        <v>13.99</v>
      </c>
      <c r="G88" s="64">
        <v>50.83</v>
      </c>
      <c r="H88" s="64">
        <v>131.62</v>
      </c>
      <c r="I88" s="64">
        <v>4.0599999999999996</v>
      </c>
      <c r="J88" s="64">
        <v>0.1</v>
      </c>
      <c r="K88" s="64">
        <v>163.77000000000001</v>
      </c>
      <c r="L88" s="64">
        <v>28.6</v>
      </c>
      <c r="M88" s="64">
        <v>73.05</v>
      </c>
      <c r="N88" s="64">
        <v>38.4</v>
      </c>
      <c r="O88" s="64">
        <v>0</v>
      </c>
      <c r="P88" s="64">
        <v>0.38</v>
      </c>
      <c r="Q88" s="64">
        <v>9.2200000000000006</v>
      </c>
      <c r="R88" s="198"/>
      <c r="S88" s="198"/>
      <c r="T88" s="198"/>
      <c r="U88" s="198"/>
    </row>
    <row r="89" spans="1:26" s="12" customFormat="1" x14ac:dyDescent="0.25">
      <c r="A89" s="211" t="s">
        <v>517</v>
      </c>
      <c r="B89" s="64">
        <v>6.07</v>
      </c>
      <c r="C89" s="64">
        <v>22.48</v>
      </c>
      <c r="D89" s="64">
        <v>33.71</v>
      </c>
      <c r="E89" s="64">
        <v>4.8</v>
      </c>
      <c r="F89" s="64">
        <v>14.49</v>
      </c>
      <c r="G89" s="64">
        <v>48.02</v>
      </c>
      <c r="H89" s="64">
        <v>125.06</v>
      </c>
      <c r="I89" s="64">
        <v>3.77</v>
      </c>
      <c r="J89" s="64">
        <v>0.09</v>
      </c>
      <c r="K89" s="64">
        <v>129.96</v>
      </c>
      <c r="L89" s="64">
        <v>28.53</v>
      </c>
      <c r="M89" s="64">
        <v>74.44</v>
      </c>
      <c r="N89" s="64">
        <v>38.5</v>
      </c>
      <c r="O89" s="64">
        <v>0</v>
      </c>
      <c r="P89" s="64">
        <v>0.38</v>
      </c>
      <c r="Q89" s="64">
        <v>9.24</v>
      </c>
      <c r="R89" s="198"/>
      <c r="S89" s="198"/>
      <c r="T89" s="198"/>
      <c r="U89" s="198"/>
    </row>
    <row r="90" spans="1:26" s="12" customFormat="1" x14ac:dyDescent="0.25">
      <c r="A90" s="211" t="s">
        <v>518</v>
      </c>
      <c r="B90" s="64">
        <v>4.6900000000000004</v>
      </c>
      <c r="C90" s="64">
        <v>20.9</v>
      </c>
      <c r="D90" s="64">
        <v>32.799999999999997</v>
      </c>
      <c r="E90" s="64">
        <v>4.38</v>
      </c>
      <c r="F90" s="64">
        <v>13.95</v>
      </c>
      <c r="G90" s="64">
        <v>48.02</v>
      </c>
      <c r="H90" s="64">
        <v>125.06</v>
      </c>
      <c r="I90" s="64">
        <v>4.1399999999999997</v>
      </c>
      <c r="J90" s="64">
        <v>0.37</v>
      </c>
      <c r="K90" s="64">
        <v>142.57</v>
      </c>
      <c r="L90" s="64">
        <v>28.34</v>
      </c>
      <c r="M90" s="64">
        <v>77.64</v>
      </c>
      <c r="N90" s="64">
        <v>38.4</v>
      </c>
      <c r="O90" s="64">
        <v>0</v>
      </c>
      <c r="P90" s="64">
        <v>0.36</v>
      </c>
      <c r="Q90" s="64">
        <v>9.23</v>
      </c>
      <c r="R90" s="198"/>
      <c r="S90" s="198"/>
      <c r="T90" s="198"/>
      <c r="U90" s="198"/>
    </row>
    <row r="91" spans="1:26" s="12" customFormat="1" x14ac:dyDescent="0.25">
      <c r="A91" s="211" t="s">
        <v>519</v>
      </c>
      <c r="B91" s="64">
        <v>5.77</v>
      </c>
      <c r="C91" s="64">
        <v>22.23</v>
      </c>
      <c r="D91" s="64">
        <v>33.69</v>
      </c>
      <c r="E91" s="64">
        <v>4.5599999999999996</v>
      </c>
      <c r="F91" s="64">
        <v>10.68</v>
      </c>
      <c r="G91" s="64">
        <v>48.02</v>
      </c>
      <c r="H91" s="64">
        <v>125.06</v>
      </c>
      <c r="I91" s="64">
        <v>4</v>
      </c>
      <c r="J91" s="64">
        <v>0.1</v>
      </c>
      <c r="K91" s="64">
        <v>175.43</v>
      </c>
      <c r="L91" s="64">
        <v>28.27</v>
      </c>
      <c r="M91" s="64">
        <v>79.27</v>
      </c>
      <c r="N91" s="64">
        <v>38.5</v>
      </c>
      <c r="O91" s="64">
        <v>0</v>
      </c>
      <c r="P91" s="64">
        <v>0.39</v>
      </c>
      <c r="Q91" s="64">
        <v>9.24</v>
      </c>
      <c r="R91" s="198"/>
      <c r="S91" s="198"/>
      <c r="T91" s="198"/>
      <c r="U91" s="198"/>
    </row>
    <row r="92" spans="1:26" s="12" customFormat="1" x14ac:dyDescent="0.25">
      <c r="A92" s="211" t="s">
        <v>520</v>
      </c>
      <c r="B92" s="64">
        <v>5.48</v>
      </c>
      <c r="C92" s="64">
        <v>18.7</v>
      </c>
      <c r="D92" s="64">
        <v>27.38</v>
      </c>
      <c r="E92" s="64">
        <v>4.22</v>
      </c>
      <c r="F92" s="64">
        <v>6.44</v>
      </c>
      <c r="G92" s="64">
        <v>44.67</v>
      </c>
      <c r="H92" s="64">
        <v>106.54</v>
      </c>
      <c r="I92" s="64">
        <v>3.87</v>
      </c>
      <c r="J92" s="64">
        <v>0.53</v>
      </c>
      <c r="K92" s="64">
        <v>150.94</v>
      </c>
      <c r="L92" s="64">
        <v>28.27</v>
      </c>
      <c r="M92" s="64">
        <v>79.75</v>
      </c>
      <c r="N92" s="64">
        <v>38.200000000000003</v>
      </c>
      <c r="O92" s="64">
        <v>0</v>
      </c>
      <c r="P92" s="64">
        <v>0.39</v>
      </c>
      <c r="Q92" s="64">
        <v>9.24</v>
      </c>
      <c r="R92" s="198"/>
      <c r="S92" s="198"/>
      <c r="T92" s="198"/>
      <c r="U92" s="198"/>
    </row>
    <row r="93" spans="1:26" s="12" customFormat="1" x14ac:dyDescent="0.25">
      <c r="A93" s="211" t="s">
        <v>521</v>
      </c>
      <c r="B93" s="64">
        <v>5</v>
      </c>
      <c r="C93" s="64">
        <v>19.62</v>
      </c>
      <c r="D93" s="64">
        <v>29.88</v>
      </c>
      <c r="E93" s="64">
        <v>4.25</v>
      </c>
      <c r="F93" s="64">
        <v>11.36</v>
      </c>
      <c r="G93" s="64">
        <v>43.71</v>
      </c>
      <c r="H93" s="64">
        <v>101.25</v>
      </c>
      <c r="I93" s="64">
        <v>4.01</v>
      </c>
      <c r="J93" s="64">
        <v>0.11</v>
      </c>
      <c r="K93" s="64">
        <v>190.2</v>
      </c>
      <c r="L93" s="64">
        <v>28.2</v>
      </c>
      <c r="M93" s="64">
        <v>80.88</v>
      </c>
      <c r="N93" s="64">
        <v>38.5</v>
      </c>
      <c r="O93" s="64">
        <v>0</v>
      </c>
      <c r="P93" s="64">
        <v>0.35</v>
      </c>
      <c r="Q93" s="64">
        <v>9.26</v>
      </c>
      <c r="R93" s="198"/>
      <c r="S93" s="198"/>
      <c r="T93" s="198"/>
      <c r="U93" s="198"/>
    </row>
    <row r="94" spans="1:26" s="12" customFormat="1" x14ac:dyDescent="0.25">
      <c r="A94" s="211" t="s">
        <v>522</v>
      </c>
      <c r="B94" s="64">
        <v>5.5</v>
      </c>
      <c r="C94" s="64">
        <v>20.260000000000002</v>
      </c>
      <c r="D94" s="64">
        <v>30.33</v>
      </c>
      <c r="E94" s="64">
        <v>4.1100000000000003</v>
      </c>
      <c r="F94" s="64">
        <v>8.43</v>
      </c>
      <c r="G94" s="64">
        <v>43.71</v>
      </c>
      <c r="H94" s="64">
        <v>101.25</v>
      </c>
      <c r="I94" s="64">
        <v>4.01</v>
      </c>
      <c r="J94" s="64">
        <v>0.03</v>
      </c>
      <c r="K94" s="64">
        <v>156.71</v>
      </c>
      <c r="L94" s="64">
        <v>28.07</v>
      </c>
      <c r="M94" s="64">
        <v>81.97</v>
      </c>
      <c r="N94" s="64">
        <v>38.5</v>
      </c>
      <c r="O94" s="64">
        <v>0</v>
      </c>
      <c r="P94" s="64">
        <v>0.36</v>
      </c>
      <c r="Q94" s="64">
        <v>9.25</v>
      </c>
      <c r="R94" s="198"/>
      <c r="S94" s="198"/>
      <c r="T94" s="198"/>
      <c r="U94" s="198"/>
    </row>
    <row r="95" spans="1:26" s="12" customFormat="1" x14ac:dyDescent="0.25">
      <c r="A95" s="211" t="s">
        <v>523</v>
      </c>
      <c r="B95" s="64">
        <v>5.84</v>
      </c>
      <c r="C95" s="64">
        <v>18.57</v>
      </c>
      <c r="D95" s="64">
        <v>26.57</v>
      </c>
      <c r="E95" s="64">
        <v>4.0999999999999996</v>
      </c>
      <c r="F95" s="64">
        <v>6.27</v>
      </c>
      <c r="G95" s="64">
        <v>43.71</v>
      </c>
      <c r="H95" s="64">
        <v>101.25</v>
      </c>
      <c r="I95" s="64">
        <v>3.85</v>
      </c>
      <c r="J95" s="64">
        <v>0.01</v>
      </c>
      <c r="K95" s="64">
        <v>319.02</v>
      </c>
      <c r="L95" s="64">
        <v>27.93</v>
      </c>
      <c r="M95" s="64">
        <v>83.79</v>
      </c>
      <c r="N95" s="64">
        <v>38.5</v>
      </c>
      <c r="O95" s="64">
        <v>0</v>
      </c>
      <c r="P95" s="64">
        <v>0.39</v>
      </c>
      <c r="Q95" s="64">
        <v>9.25</v>
      </c>
      <c r="R95" s="198"/>
      <c r="S95" s="198"/>
      <c r="T95" s="198"/>
      <c r="U95" s="198"/>
    </row>
    <row r="96" spans="1:26" s="12" customFormat="1" x14ac:dyDescent="0.25">
      <c r="A96" s="211" t="s">
        <v>524</v>
      </c>
      <c r="B96" s="64">
        <v>5.64</v>
      </c>
      <c r="C96" s="64">
        <v>19.440000000000001</v>
      </c>
      <c r="D96" s="64">
        <v>28.54</v>
      </c>
      <c r="E96" s="64">
        <v>4.46</v>
      </c>
      <c r="F96" s="64">
        <v>10.66</v>
      </c>
      <c r="G96" s="64">
        <v>37.729999999999997</v>
      </c>
      <c r="H96" s="64">
        <v>79.14</v>
      </c>
      <c r="I96" s="64">
        <v>3.97</v>
      </c>
      <c r="J96" s="64">
        <v>0.38</v>
      </c>
      <c r="K96" s="64">
        <v>147.51</v>
      </c>
      <c r="L96" s="64">
        <v>27.67</v>
      </c>
      <c r="M96" s="64">
        <v>86.08</v>
      </c>
      <c r="N96" s="64">
        <v>38.799999999999997</v>
      </c>
      <c r="O96" s="64">
        <v>0</v>
      </c>
      <c r="P96" s="64">
        <v>0.35</v>
      </c>
      <c r="Q96" s="64">
        <v>9.26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525</v>
      </c>
      <c r="B97" s="64">
        <v>5.87</v>
      </c>
      <c r="C97" s="64">
        <v>18</v>
      </c>
      <c r="D97" s="64">
        <v>25.45</v>
      </c>
      <c r="E97" s="64">
        <v>3.95</v>
      </c>
      <c r="F97" s="64">
        <v>5.41</v>
      </c>
      <c r="G97" s="64">
        <v>36.130000000000003</v>
      </c>
      <c r="H97" s="64">
        <v>72.819999999999993</v>
      </c>
      <c r="I97" s="64">
        <v>3.94</v>
      </c>
      <c r="J97" s="64">
        <v>0.57999999999999996</v>
      </c>
      <c r="K97" s="64">
        <v>140.04</v>
      </c>
      <c r="L97" s="64">
        <v>27.68</v>
      </c>
      <c r="M97" s="64">
        <v>85.29</v>
      </c>
      <c r="N97" s="64">
        <v>38.6</v>
      </c>
      <c r="O97" s="64">
        <v>0</v>
      </c>
      <c r="P97" s="64">
        <v>0.37</v>
      </c>
      <c r="Q97" s="64">
        <v>9.26</v>
      </c>
      <c r="R97" s="198"/>
      <c r="S97" s="198"/>
      <c r="T97" s="198"/>
      <c r="U97" s="198"/>
    </row>
    <row r="98" spans="1:33" s="12" customFormat="1" x14ac:dyDescent="0.25">
      <c r="A98" s="211" t="s">
        <v>526</v>
      </c>
      <c r="B98" s="64">
        <v>6.68</v>
      </c>
      <c r="C98" s="64">
        <v>22.21</v>
      </c>
      <c r="D98" s="64">
        <v>32.25</v>
      </c>
      <c r="E98" s="64">
        <v>3.96</v>
      </c>
      <c r="F98" s="64">
        <v>7.56</v>
      </c>
      <c r="G98" s="64">
        <v>36.130000000000003</v>
      </c>
      <c r="H98" s="64">
        <v>72.819999999999993</v>
      </c>
      <c r="I98" s="64">
        <v>4.08</v>
      </c>
      <c r="J98" s="64">
        <v>0.63</v>
      </c>
      <c r="K98" s="64">
        <v>144.13999999999999</v>
      </c>
      <c r="L98" s="64">
        <v>27.77</v>
      </c>
      <c r="M98" s="64">
        <v>83.22</v>
      </c>
      <c r="N98" s="64">
        <v>38.6</v>
      </c>
      <c r="O98" s="64">
        <v>0</v>
      </c>
      <c r="P98" s="64">
        <v>0.33</v>
      </c>
      <c r="Q98" s="64">
        <v>9.26</v>
      </c>
      <c r="R98" s="198"/>
      <c r="S98" s="198"/>
      <c r="T98" s="198"/>
      <c r="U98" s="198"/>
    </row>
    <row r="99" spans="1:33" s="12" customFormat="1" x14ac:dyDescent="0.25">
      <c r="A99" s="211" t="s">
        <v>527</v>
      </c>
      <c r="B99" s="64">
        <v>6.72</v>
      </c>
      <c r="C99" s="64">
        <v>20.29</v>
      </c>
      <c r="D99" s="64">
        <v>28.53</v>
      </c>
      <c r="E99" s="64">
        <v>3.75</v>
      </c>
      <c r="F99" s="64">
        <v>8.49</v>
      </c>
      <c r="G99" s="64">
        <v>36.130000000000003</v>
      </c>
      <c r="H99" s="64">
        <v>72.819999999999993</v>
      </c>
      <c r="I99" s="64">
        <v>3.82</v>
      </c>
      <c r="J99" s="64">
        <v>0.78</v>
      </c>
      <c r="K99" s="64">
        <v>136.21</v>
      </c>
      <c r="L99" s="64">
        <v>27.71</v>
      </c>
      <c r="M99" s="64">
        <v>83.17</v>
      </c>
      <c r="N99" s="64">
        <v>38.6</v>
      </c>
      <c r="O99" s="64">
        <v>0</v>
      </c>
      <c r="P99" s="64">
        <v>0.32</v>
      </c>
      <c r="Q99" s="64">
        <v>9.25</v>
      </c>
      <c r="R99" s="198"/>
      <c r="S99" s="198"/>
      <c r="T99" s="198"/>
      <c r="U99" s="198"/>
    </row>
    <row r="100" spans="1:33" s="12" customFormat="1" x14ac:dyDescent="0.25">
      <c r="A100" s="211" t="s">
        <v>528</v>
      </c>
      <c r="B100" s="64">
        <v>6.22</v>
      </c>
      <c r="C100" s="64">
        <v>17.43</v>
      </c>
      <c r="D100" s="64">
        <v>23.83</v>
      </c>
      <c r="E100" s="64">
        <v>3.72</v>
      </c>
      <c r="F100" s="64">
        <v>7.37</v>
      </c>
      <c r="G100" s="64">
        <v>31.3</v>
      </c>
      <c r="H100" s="64">
        <v>69.11</v>
      </c>
      <c r="I100" s="64">
        <v>3.98</v>
      </c>
      <c r="J100" s="64">
        <v>0.17</v>
      </c>
      <c r="K100" s="64">
        <v>147.32</v>
      </c>
      <c r="L100" s="64">
        <v>27.62</v>
      </c>
      <c r="M100" s="64">
        <v>83.9</v>
      </c>
      <c r="N100" s="64">
        <v>38.9</v>
      </c>
      <c r="O100" s="64">
        <v>0</v>
      </c>
      <c r="P100" s="64">
        <v>0.33</v>
      </c>
      <c r="Q100" s="64">
        <v>9.23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529</v>
      </c>
      <c r="B101" s="64">
        <v>5.04</v>
      </c>
      <c r="C101" s="64">
        <v>17.579999999999998</v>
      </c>
      <c r="D101" s="64">
        <v>25.91</v>
      </c>
      <c r="E101" s="64">
        <v>3.88</v>
      </c>
      <c r="F101" s="64">
        <v>10.76</v>
      </c>
      <c r="G101" s="64">
        <v>30.01</v>
      </c>
      <c r="H101" s="64">
        <v>68.05</v>
      </c>
      <c r="I101" s="64">
        <v>4.05</v>
      </c>
      <c r="J101" s="64">
        <v>0.08</v>
      </c>
      <c r="K101" s="64">
        <v>187.44</v>
      </c>
      <c r="L101" s="64">
        <v>27.46</v>
      </c>
      <c r="M101" s="64">
        <v>84.26</v>
      </c>
      <c r="N101" s="64">
        <v>38.9</v>
      </c>
      <c r="O101" s="64">
        <v>0</v>
      </c>
      <c r="P101" s="64">
        <v>0.27</v>
      </c>
      <c r="Q101" s="64">
        <v>9.25</v>
      </c>
      <c r="R101" s="198"/>
      <c r="S101" s="198"/>
      <c r="T101" s="198"/>
      <c r="U101" s="198"/>
    </row>
    <row r="102" spans="1:33" s="12" customFormat="1" x14ac:dyDescent="0.25">
      <c r="A102" s="211" t="s">
        <v>530</v>
      </c>
      <c r="B102" s="64">
        <v>4.17</v>
      </c>
      <c r="C102" s="64">
        <v>17.32</v>
      </c>
      <c r="D102" s="64">
        <v>26.75</v>
      </c>
      <c r="E102" s="64">
        <v>3.83</v>
      </c>
      <c r="F102" s="64">
        <v>14.45</v>
      </c>
      <c r="G102" s="64">
        <v>30.01</v>
      </c>
      <c r="H102" s="64">
        <v>68.05</v>
      </c>
      <c r="I102" s="64">
        <v>4.0199999999999996</v>
      </c>
      <c r="J102" s="64">
        <v>0.1</v>
      </c>
      <c r="K102" s="64">
        <v>135.19999999999999</v>
      </c>
      <c r="L102" s="64">
        <v>27.36</v>
      </c>
      <c r="M102" s="64">
        <v>85.32</v>
      </c>
      <c r="N102" s="64">
        <v>38.799999999999997</v>
      </c>
      <c r="O102" s="64">
        <v>0</v>
      </c>
      <c r="P102" s="64">
        <v>0.24</v>
      </c>
      <c r="Q102" s="64">
        <v>9.25</v>
      </c>
      <c r="R102" s="198"/>
      <c r="S102" s="198"/>
      <c r="T102" s="198"/>
      <c r="U102" s="198"/>
    </row>
    <row r="103" spans="1:33" s="12" customFormat="1" x14ac:dyDescent="0.25">
      <c r="A103" s="211" t="s">
        <v>531</v>
      </c>
      <c r="B103" s="64">
        <v>3.88</v>
      </c>
      <c r="C103" s="64">
        <v>15.55</v>
      </c>
      <c r="D103" s="64">
        <v>23.82</v>
      </c>
      <c r="E103" s="64">
        <v>4.03</v>
      </c>
      <c r="F103" s="64">
        <v>14.86</v>
      </c>
      <c r="G103" s="64">
        <v>30.01</v>
      </c>
      <c r="H103" s="64">
        <v>68.05</v>
      </c>
      <c r="I103" s="64">
        <v>4.0599999999999996</v>
      </c>
      <c r="J103" s="64">
        <v>0.02</v>
      </c>
      <c r="K103" s="64">
        <v>226.22</v>
      </c>
      <c r="L103" s="64">
        <v>27.28</v>
      </c>
      <c r="M103" s="64">
        <v>85.65</v>
      </c>
      <c r="N103" s="64">
        <v>38.799999999999997</v>
      </c>
      <c r="O103" s="64">
        <v>0</v>
      </c>
      <c r="P103" s="64">
        <v>0.24</v>
      </c>
      <c r="Q103" s="64">
        <v>9.25</v>
      </c>
      <c r="R103" s="198"/>
      <c r="S103" s="198"/>
      <c r="T103" s="198"/>
      <c r="U103" s="198"/>
    </row>
    <row r="104" spans="1:33" s="12" customFormat="1" x14ac:dyDescent="0.25">
      <c r="A104" s="211" t="s">
        <v>532</v>
      </c>
      <c r="B104" s="64">
        <v>3.75</v>
      </c>
      <c r="C104" s="64">
        <v>15.15</v>
      </c>
      <c r="D104" s="64">
        <v>23.24</v>
      </c>
      <c r="E104" s="64">
        <v>4.76</v>
      </c>
      <c r="F104" s="64">
        <v>12.84</v>
      </c>
      <c r="G104" s="64">
        <v>26.72</v>
      </c>
      <c r="H104" s="64">
        <v>60.55</v>
      </c>
      <c r="I104" s="64">
        <v>3.88</v>
      </c>
      <c r="J104" s="64">
        <v>0.04</v>
      </c>
      <c r="K104" s="64">
        <v>172.08</v>
      </c>
      <c r="L104" s="64">
        <v>27.23</v>
      </c>
      <c r="M104" s="64">
        <v>86.55</v>
      </c>
      <c r="N104" s="64">
        <v>38.799999999999997</v>
      </c>
      <c r="O104" s="64">
        <v>0</v>
      </c>
      <c r="P104" s="64">
        <v>0.23</v>
      </c>
      <c r="Q104" s="64">
        <v>9.26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2.77</v>
      </c>
      <c r="C106" s="67">
        <f>MIN(C9:C104)</f>
        <v>13.44</v>
      </c>
      <c r="D106" s="67">
        <f t="shared" ref="D106:Q106" si="0">MIN(D9:D104)</f>
        <v>19.47</v>
      </c>
      <c r="E106" s="67">
        <f t="shared" si="0"/>
        <v>3.34</v>
      </c>
      <c r="F106" s="67">
        <f t="shared" si="0"/>
        <v>4.34</v>
      </c>
      <c r="G106" s="67">
        <f t="shared" si="0"/>
        <v>0</v>
      </c>
      <c r="H106" s="67">
        <f t="shared" si="0"/>
        <v>0</v>
      </c>
      <c r="I106" s="67">
        <f t="shared" si="0"/>
        <v>3.77</v>
      </c>
      <c r="J106" s="67">
        <f t="shared" si="0"/>
        <v>0.01</v>
      </c>
      <c r="K106" s="67">
        <f t="shared" si="0"/>
        <v>11.73</v>
      </c>
      <c r="L106" s="67">
        <f t="shared" si="0"/>
        <v>26.2</v>
      </c>
      <c r="M106" s="67">
        <f t="shared" si="0"/>
        <v>47.32</v>
      </c>
      <c r="N106" s="67">
        <f t="shared" si="0"/>
        <v>38.200000000000003</v>
      </c>
      <c r="O106" s="67">
        <f t="shared" si="0"/>
        <v>0</v>
      </c>
      <c r="P106" s="67">
        <f t="shared" si="0"/>
        <v>0.23</v>
      </c>
      <c r="Q106" s="67">
        <f t="shared" si="0"/>
        <v>9.1199999999999992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12.97</v>
      </c>
      <c r="C107" s="66">
        <f t="shared" ref="C107:Q107" si="1">MAX(C9:C104)</f>
        <v>34.71</v>
      </c>
      <c r="D107" s="66">
        <f t="shared" si="1"/>
        <v>47.22</v>
      </c>
      <c r="E107" s="66">
        <f t="shared" si="1"/>
        <v>7.28</v>
      </c>
      <c r="F107" s="66">
        <f t="shared" si="1"/>
        <v>29.63</v>
      </c>
      <c r="G107" s="66">
        <f t="shared" si="1"/>
        <v>61.33</v>
      </c>
      <c r="H107" s="66">
        <f t="shared" si="1"/>
        <v>4515.7</v>
      </c>
      <c r="I107" s="66">
        <f t="shared" si="1"/>
        <v>4.1900000000000004</v>
      </c>
      <c r="J107" s="66">
        <f t="shared" si="1"/>
        <v>1.9</v>
      </c>
      <c r="K107" s="66">
        <f t="shared" si="1"/>
        <v>355.47</v>
      </c>
      <c r="L107" s="66">
        <f t="shared" si="1"/>
        <v>36.659999999999997</v>
      </c>
      <c r="M107" s="66">
        <f t="shared" si="1"/>
        <v>97.32</v>
      </c>
      <c r="N107" s="66">
        <f t="shared" si="1"/>
        <v>929.2</v>
      </c>
      <c r="O107" s="66">
        <f t="shared" si="1"/>
        <v>0</v>
      </c>
      <c r="P107" s="66">
        <f t="shared" si="1"/>
        <v>1.01</v>
      </c>
      <c r="Q107" s="66">
        <f t="shared" si="1"/>
        <v>9.31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5.5339583333333335</v>
      </c>
      <c r="C108" s="67">
        <f t="shared" ref="C108:Q108" si="2">AVERAGE(C9:C104)</f>
        <v>18.907395833333339</v>
      </c>
      <c r="D108" s="67">
        <f t="shared" si="2"/>
        <v>27.694687500000011</v>
      </c>
      <c r="E108" s="67">
        <f t="shared" si="2"/>
        <v>4.7316666666666674</v>
      </c>
      <c r="F108" s="67">
        <f t="shared" si="2"/>
        <v>13.517083333333332</v>
      </c>
      <c r="G108" s="67">
        <f t="shared" si="2"/>
        <v>29.285416666666674</v>
      </c>
      <c r="H108" s="67">
        <f t="shared" si="2"/>
        <v>670.47437500000012</v>
      </c>
      <c r="I108" s="67">
        <f t="shared" si="2"/>
        <v>3.9889583333333327</v>
      </c>
      <c r="J108" s="67">
        <f t="shared" si="2"/>
        <v>0.34541666666666671</v>
      </c>
      <c r="K108" s="67">
        <f t="shared" si="2"/>
        <v>207.49437499999996</v>
      </c>
      <c r="L108" s="67">
        <f t="shared" si="2"/>
        <v>29.882500000000011</v>
      </c>
      <c r="M108" s="67">
        <f t="shared" si="2"/>
        <v>75.201770833333327</v>
      </c>
      <c r="N108" s="67">
        <f t="shared" si="2"/>
        <v>244.43749999999997</v>
      </c>
      <c r="O108" s="67">
        <f t="shared" si="2"/>
        <v>0</v>
      </c>
      <c r="P108" s="67">
        <f t="shared" si="2"/>
        <v>0.43791666666666673</v>
      </c>
      <c r="Q108" s="67">
        <f t="shared" si="2"/>
        <v>9.2182291666666618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2.0494129989708956</v>
      </c>
      <c r="C109" s="67">
        <f t="shared" ref="C109:Q109" si="3">STDEV(C9:C104)</f>
        <v>3.990392209925592</v>
      </c>
      <c r="D109" s="67">
        <f t="shared" si="3"/>
        <v>5.8670304428308855</v>
      </c>
      <c r="E109" s="67">
        <f t="shared" si="3"/>
        <v>1.0122186851993284</v>
      </c>
      <c r="F109" s="67">
        <f t="shared" si="3"/>
        <v>6.153697889830025</v>
      </c>
      <c r="G109" s="67">
        <f t="shared" si="3"/>
        <v>12.005440163058237</v>
      </c>
      <c r="H109" s="67">
        <f t="shared" si="3"/>
        <v>1330.4682262752565</v>
      </c>
      <c r="I109" s="67">
        <f t="shared" si="3"/>
        <v>9.3880990359482219E-2</v>
      </c>
      <c r="J109" s="67">
        <f t="shared" si="3"/>
        <v>0.34945948237894675</v>
      </c>
      <c r="K109" s="67">
        <f t="shared" si="3"/>
        <v>78.034601364597179</v>
      </c>
      <c r="L109" s="67">
        <f t="shared" si="3"/>
        <v>3.1248939350420541</v>
      </c>
      <c r="M109" s="67">
        <f t="shared" si="3"/>
        <v>15.682033500980554</v>
      </c>
      <c r="N109" s="67">
        <f t="shared" si="3"/>
        <v>296.83981547735755</v>
      </c>
      <c r="O109" s="67">
        <f t="shared" si="3"/>
        <v>0</v>
      </c>
      <c r="P109" s="67">
        <f t="shared" si="3"/>
        <v>0.15676946981688292</v>
      </c>
      <c r="Q109" s="67">
        <f t="shared" si="3"/>
        <v>5.5800297898971958E-2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COUNT(Q9:Q104)+4</f>
        <v>100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20" sqref="B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533</v>
      </c>
      <c r="B9" s="64">
        <v>3.52</v>
      </c>
      <c r="C9" s="64">
        <v>14.11</v>
      </c>
      <c r="D9" s="64">
        <v>21.6</v>
      </c>
      <c r="E9" s="64">
        <v>5.07</v>
      </c>
      <c r="F9" s="64">
        <v>13.04</v>
      </c>
      <c r="G9" s="64">
        <v>25.83</v>
      </c>
      <c r="H9" s="64">
        <v>58.54</v>
      </c>
      <c r="I9" s="64">
        <v>3.89</v>
      </c>
      <c r="J9" s="64">
        <v>0.15</v>
      </c>
      <c r="K9" s="64">
        <v>145.54</v>
      </c>
      <c r="L9" s="64">
        <v>27.24</v>
      </c>
      <c r="M9" s="64">
        <v>86.79</v>
      </c>
      <c r="N9" s="64">
        <v>38.6</v>
      </c>
      <c r="O9" s="64">
        <v>0</v>
      </c>
      <c r="P9" s="64">
        <v>0.22</v>
      </c>
      <c r="Q9" s="64">
        <v>9.26</v>
      </c>
      <c r="R9" s="198"/>
      <c r="S9" s="198"/>
      <c r="T9" s="198"/>
      <c r="U9" s="198"/>
    </row>
    <row r="10" spans="1:21" s="12" customFormat="1" x14ac:dyDescent="0.25">
      <c r="A10" s="211" t="s">
        <v>534</v>
      </c>
      <c r="B10" s="64">
        <v>3.66</v>
      </c>
      <c r="C10" s="64">
        <v>14.37</v>
      </c>
      <c r="D10" s="64">
        <v>21.89</v>
      </c>
      <c r="E10" s="64">
        <v>5.08</v>
      </c>
      <c r="F10" s="64">
        <v>11.5</v>
      </c>
      <c r="G10" s="64">
        <v>25.83</v>
      </c>
      <c r="H10" s="64">
        <v>58.54</v>
      </c>
      <c r="I10" s="64">
        <v>4.08</v>
      </c>
      <c r="J10" s="64">
        <v>0.38</v>
      </c>
      <c r="K10" s="64">
        <v>141.51</v>
      </c>
      <c r="L10" s="64">
        <v>27.18</v>
      </c>
      <c r="M10" s="64">
        <v>87.24</v>
      </c>
      <c r="N10" s="64">
        <v>38.5</v>
      </c>
      <c r="O10" s="64">
        <v>0</v>
      </c>
      <c r="P10" s="64">
        <v>0.23</v>
      </c>
      <c r="Q10" s="64">
        <v>9.26</v>
      </c>
      <c r="R10" s="198"/>
      <c r="S10" s="198"/>
      <c r="T10" s="198"/>
      <c r="U10" s="198"/>
    </row>
    <row r="11" spans="1:21" s="12" customFormat="1" x14ac:dyDescent="0.25">
      <c r="A11" s="211" t="s">
        <v>535</v>
      </c>
      <c r="B11" s="64">
        <v>3.75</v>
      </c>
      <c r="C11" s="64">
        <v>14.48</v>
      </c>
      <c r="D11" s="64">
        <v>21.95</v>
      </c>
      <c r="E11" s="64">
        <v>4.97</v>
      </c>
      <c r="F11" s="64">
        <v>13.92</v>
      </c>
      <c r="G11" s="64">
        <v>25.83</v>
      </c>
      <c r="H11" s="64">
        <v>58.54</v>
      </c>
      <c r="I11" s="64">
        <v>3.94</v>
      </c>
      <c r="J11" s="64">
        <v>0.12</v>
      </c>
      <c r="K11" s="64">
        <v>137.6</v>
      </c>
      <c r="L11" s="64">
        <v>27.18</v>
      </c>
      <c r="M11" s="64">
        <v>86.38</v>
      </c>
      <c r="N11" s="64">
        <v>38.700000000000003</v>
      </c>
      <c r="O11" s="64">
        <v>0</v>
      </c>
      <c r="P11" s="64">
        <v>0.22</v>
      </c>
      <c r="Q11" s="64">
        <v>9.26</v>
      </c>
      <c r="R11" s="198"/>
      <c r="S11" s="198"/>
      <c r="T11" s="198"/>
      <c r="U11" s="198"/>
    </row>
    <row r="12" spans="1:21" s="12" customFormat="1" x14ac:dyDescent="0.25">
      <c r="A12" s="211" t="s">
        <v>536</v>
      </c>
      <c r="B12" s="64">
        <v>3.48</v>
      </c>
      <c r="C12" s="64">
        <v>12.79</v>
      </c>
      <c r="D12" s="64">
        <v>19.14</v>
      </c>
      <c r="E12" s="64">
        <v>5.09</v>
      </c>
      <c r="F12" s="64">
        <v>13.23</v>
      </c>
      <c r="G12" s="64">
        <v>22.6</v>
      </c>
      <c r="H12" s="64">
        <v>61.97</v>
      </c>
      <c r="I12" s="64">
        <v>4.0999999999999996</v>
      </c>
      <c r="J12" s="64">
        <v>0.02</v>
      </c>
      <c r="K12" s="64">
        <v>279.10000000000002</v>
      </c>
      <c r="L12" s="64">
        <v>27.19</v>
      </c>
      <c r="M12" s="64">
        <v>86.13</v>
      </c>
      <c r="N12" s="64">
        <v>38.700000000000003</v>
      </c>
      <c r="O12" s="64">
        <v>0</v>
      </c>
      <c r="P12" s="64">
        <v>0.22</v>
      </c>
      <c r="Q12" s="64">
        <v>9.27</v>
      </c>
      <c r="R12" s="198"/>
      <c r="S12" s="198"/>
      <c r="T12" s="198"/>
      <c r="U12" s="198"/>
    </row>
    <row r="13" spans="1:21" s="12" customFormat="1" x14ac:dyDescent="0.25">
      <c r="A13" s="211" t="s">
        <v>537</v>
      </c>
      <c r="B13" s="64">
        <v>4.51</v>
      </c>
      <c r="C13" s="64">
        <v>13.23</v>
      </c>
      <c r="D13" s="64">
        <v>18.399999999999999</v>
      </c>
      <c r="E13" s="64">
        <v>5.38</v>
      </c>
      <c r="F13" s="64">
        <v>9.1</v>
      </c>
      <c r="G13" s="64">
        <v>21.73</v>
      </c>
      <c r="H13" s="64">
        <v>62.89</v>
      </c>
      <c r="I13" s="64">
        <v>3.97</v>
      </c>
      <c r="J13" s="64">
        <v>0.13</v>
      </c>
      <c r="K13" s="64">
        <v>154.84</v>
      </c>
      <c r="L13" s="64">
        <v>27.26</v>
      </c>
      <c r="M13" s="64">
        <v>85.99</v>
      </c>
      <c r="N13" s="64">
        <v>38.6</v>
      </c>
      <c r="O13" s="64">
        <v>0</v>
      </c>
      <c r="P13" s="64">
        <v>0.25</v>
      </c>
      <c r="Q13" s="64">
        <v>9.2799999999999994</v>
      </c>
      <c r="R13" s="198"/>
      <c r="S13" s="198"/>
      <c r="T13" s="198"/>
      <c r="U13" s="198"/>
    </row>
    <row r="14" spans="1:21" s="12" customFormat="1" x14ac:dyDescent="0.25">
      <c r="A14" s="211" t="s">
        <v>538</v>
      </c>
      <c r="B14" s="64">
        <v>5.82</v>
      </c>
      <c r="C14" s="64">
        <v>14.46</v>
      </c>
      <c r="D14" s="64">
        <v>18.739999999999998</v>
      </c>
      <c r="E14" s="64">
        <v>5.18</v>
      </c>
      <c r="F14" s="64">
        <v>7.79</v>
      </c>
      <c r="G14" s="64">
        <v>21.73</v>
      </c>
      <c r="H14" s="64">
        <v>62.89</v>
      </c>
      <c r="I14" s="64">
        <v>4.12</v>
      </c>
      <c r="J14" s="64">
        <v>0.21</v>
      </c>
      <c r="K14" s="64">
        <v>156.63</v>
      </c>
      <c r="L14" s="64">
        <v>27.21</v>
      </c>
      <c r="M14" s="64">
        <v>86.52</v>
      </c>
      <c r="N14" s="64">
        <v>38.6</v>
      </c>
      <c r="O14" s="64">
        <v>0</v>
      </c>
      <c r="P14" s="64">
        <v>0.26</v>
      </c>
      <c r="Q14" s="64">
        <v>9.27</v>
      </c>
      <c r="R14" s="198"/>
      <c r="S14" s="198"/>
      <c r="T14" s="198"/>
      <c r="U14" s="198"/>
    </row>
    <row r="15" spans="1:21" s="12" customFormat="1" x14ac:dyDescent="0.25">
      <c r="A15" s="211" t="s">
        <v>539</v>
      </c>
      <c r="B15" s="64">
        <v>4.7699999999999996</v>
      </c>
      <c r="C15" s="64">
        <v>13.27</v>
      </c>
      <c r="D15" s="64">
        <v>18.07</v>
      </c>
      <c r="E15" s="64">
        <v>5.15</v>
      </c>
      <c r="F15" s="64">
        <v>9.56</v>
      </c>
      <c r="G15" s="64">
        <v>21.73</v>
      </c>
      <c r="H15" s="64">
        <v>62.89</v>
      </c>
      <c r="I15" s="64">
        <v>4.03</v>
      </c>
      <c r="J15" s="64">
        <v>0.13</v>
      </c>
      <c r="K15" s="64">
        <v>138.08000000000001</v>
      </c>
      <c r="L15" s="64">
        <v>27.06</v>
      </c>
      <c r="M15" s="64">
        <v>87.33</v>
      </c>
      <c r="N15" s="64">
        <v>38.700000000000003</v>
      </c>
      <c r="O15" s="64">
        <v>0</v>
      </c>
      <c r="P15" s="64">
        <v>0.23</v>
      </c>
      <c r="Q15" s="64">
        <v>9.27</v>
      </c>
      <c r="R15" s="198"/>
      <c r="S15" s="198"/>
      <c r="T15" s="198"/>
      <c r="U15" s="198"/>
    </row>
    <row r="16" spans="1:21" s="12" customFormat="1" x14ac:dyDescent="0.25">
      <c r="A16" s="211" t="s">
        <v>540</v>
      </c>
      <c r="B16" s="64">
        <v>5.36</v>
      </c>
      <c r="C16" s="64">
        <v>13.8</v>
      </c>
      <c r="D16" s="64">
        <v>18.190000000000001</v>
      </c>
      <c r="E16" s="64">
        <v>5.05</v>
      </c>
      <c r="F16" s="64">
        <v>8.14</v>
      </c>
      <c r="G16" s="64">
        <v>21.36</v>
      </c>
      <c r="H16" s="64">
        <v>55.98</v>
      </c>
      <c r="I16" s="64">
        <v>3.8</v>
      </c>
      <c r="J16" s="64">
        <v>0.02</v>
      </c>
      <c r="K16" s="64">
        <v>264.7</v>
      </c>
      <c r="L16" s="64">
        <v>27.01</v>
      </c>
      <c r="M16" s="64">
        <v>87.86</v>
      </c>
      <c r="N16" s="64">
        <v>38.700000000000003</v>
      </c>
      <c r="O16" s="64">
        <v>0</v>
      </c>
      <c r="P16" s="64">
        <v>0.24</v>
      </c>
      <c r="Q16" s="64">
        <v>9.26</v>
      </c>
      <c r="R16" s="198"/>
      <c r="S16" s="198"/>
      <c r="T16" s="198"/>
      <c r="U16" s="198"/>
    </row>
    <row r="17" spans="1:21" s="12" customFormat="1" x14ac:dyDescent="0.25">
      <c r="A17" s="211" t="s">
        <v>541</v>
      </c>
      <c r="B17" s="64">
        <v>4.5999999999999996</v>
      </c>
      <c r="C17" s="64">
        <v>13.23</v>
      </c>
      <c r="D17" s="64">
        <v>18.27</v>
      </c>
      <c r="E17" s="64">
        <v>5.53</v>
      </c>
      <c r="F17" s="64">
        <v>10.4</v>
      </c>
      <c r="G17" s="64">
        <v>21.25</v>
      </c>
      <c r="H17" s="64">
        <v>54.01</v>
      </c>
      <c r="I17" s="64">
        <v>4</v>
      </c>
      <c r="J17" s="64">
        <v>0.09</v>
      </c>
      <c r="K17" s="64">
        <v>202.69</v>
      </c>
      <c r="L17" s="64">
        <v>26.95</v>
      </c>
      <c r="M17" s="64">
        <v>88.29</v>
      </c>
      <c r="N17" s="64">
        <v>38.700000000000003</v>
      </c>
      <c r="O17" s="64">
        <v>0</v>
      </c>
      <c r="P17" s="64">
        <v>0.22</v>
      </c>
      <c r="Q17" s="64">
        <v>9.25</v>
      </c>
      <c r="R17" s="198"/>
      <c r="S17" s="198"/>
      <c r="T17" s="198"/>
      <c r="U17" s="198"/>
    </row>
    <row r="18" spans="1:21" s="12" customFormat="1" x14ac:dyDescent="0.25">
      <c r="A18" s="211" t="s">
        <v>542</v>
      </c>
      <c r="B18" s="64">
        <v>5.74</v>
      </c>
      <c r="C18" s="64">
        <v>13.6</v>
      </c>
      <c r="D18" s="64">
        <v>17.22</v>
      </c>
      <c r="E18" s="64">
        <v>5.4</v>
      </c>
      <c r="F18" s="64">
        <v>7.25</v>
      </c>
      <c r="G18" s="64">
        <v>21.25</v>
      </c>
      <c r="H18" s="64">
        <v>54.01</v>
      </c>
      <c r="I18" s="64">
        <v>4.04</v>
      </c>
      <c r="J18" s="64">
        <v>0.13</v>
      </c>
      <c r="K18" s="64">
        <v>181.31</v>
      </c>
      <c r="L18" s="64">
        <v>26.89</v>
      </c>
      <c r="M18" s="64">
        <v>87.86</v>
      </c>
      <c r="N18" s="64">
        <v>38.700000000000003</v>
      </c>
      <c r="O18" s="64">
        <v>0</v>
      </c>
      <c r="P18" s="64">
        <v>0.25</v>
      </c>
      <c r="Q18" s="64">
        <v>9.25</v>
      </c>
      <c r="R18" s="198"/>
      <c r="S18" s="198"/>
      <c r="T18" s="198"/>
      <c r="U18" s="198"/>
    </row>
    <row r="19" spans="1:21" s="12" customFormat="1" x14ac:dyDescent="0.25">
      <c r="A19" s="211" t="s">
        <v>543</v>
      </c>
      <c r="B19" s="64">
        <v>5.65</v>
      </c>
      <c r="C19" s="64">
        <v>13.43</v>
      </c>
      <c r="D19" s="64">
        <v>17.03</v>
      </c>
      <c r="E19" s="64">
        <v>5.6</v>
      </c>
      <c r="F19" s="64">
        <v>9.8000000000000007</v>
      </c>
      <c r="G19" s="64">
        <v>21.25</v>
      </c>
      <c r="H19" s="64">
        <v>54.01</v>
      </c>
      <c r="I19" s="64">
        <v>3.87</v>
      </c>
      <c r="J19" s="64">
        <v>0.08</v>
      </c>
      <c r="K19" s="64">
        <v>215.62</v>
      </c>
      <c r="L19" s="64">
        <v>26.87</v>
      </c>
      <c r="M19" s="64">
        <v>86.69</v>
      </c>
      <c r="N19" s="64">
        <v>38.700000000000003</v>
      </c>
      <c r="O19" s="64">
        <v>0</v>
      </c>
      <c r="P19" s="64">
        <v>0.2</v>
      </c>
      <c r="Q19" s="64">
        <v>9.26</v>
      </c>
      <c r="R19" s="198"/>
      <c r="S19" s="198"/>
      <c r="T19" s="198"/>
      <c r="U19" s="198"/>
    </row>
    <row r="20" spans="1:21" s="12" customFormat="1" x14ac:dyDescent="0.25">
      <c r="A20" s="211" t="s">
        <v>544</v>
      </c>
      <c r="B20" s="64">
        <v>5.56</v>
      </c>
      <c r="C20" s="64">
        <v>12.88</v>
      </c>
      <c r="D20" s="64">
        <v>16.12</v>
      </c>
      <c r="E20" s="64">
        <v>5.23</v>
      </c>
      <c r="F20" s="64">
        <v>7.13</v>
      </c>
      <c r="G20" s="64">
        <v>17.2</v>
      </c>
      <c r="H20" s="64">
        <v>49.04</v>
      </c>
      <c r="I20" s="64">
        <v>4.05</v>
      </c>
      <c r="J20" s="64">
        <v>0.03</v>
      </c>
      <c r="K20" s="64">
        <v>191.13</v>
      </c>
      <c r="L20" s="64">
        <v>26.72</v>
      </c>
      <c r="M20" s="64">
        <v>87.2</v>
      </c>
      <c r="N20" s="64">
        <v>38.799999999999997</v>
      </c>
      <c r="O20" s="64">
        <v>0</v>
      </c>
      <c r="P20" s="64">
        <v>0.21</v>
      </c>
      <c r="Q20" s="64">
        <v>9.24</v>
      </c>
      <c r="R20" s="198"/>
      <c r="S20" s="198"/>
      <c r="T20" s="198"/>
      <c r="U20" s="198"/>
    </row>
    <row r="21" spans="1:21" s="12" customFormat="1" x14ac:dyDescent="0.25">
      <c r="A21" s="211" t="s">
        <v>545</v>
      </c>
      <c r="B21" s="64">
        <v>5.81</v>
      </c>
      <c r="C21" s="64">
        <v>13.41</v>
      </c>
      <c r="D21" s="64">
        <v>16.75</v>
      </c>
      <c r="E21" s="64">
        <v>5.03</v>
      </c>
      <c r="F21" s="64">
        <v>8.02</v>
      </c>
      <c r="G21" s="64">
        <v>16.05</v>
      </c>
      <c r="H21" s="64">
        <v>47.62</v>
      </c>
      <c r="I21" s="64">
        <v>3.9</v>
      </c>
      <c r="J21" s="64">
        <v>0.02</v>
      </c>
      <c r="K21" s="64">
        <v>220.61</v>
      </c>
      <c r="L21" s="64">
        <v>26.63</v>
      </c>
      <c r="M21" s="64">
        <v>87.04</v>
      </c>
      <c r="N21" s="64">
        <v>38.9</v>
      </c>
      <c r="O21" s="64">
        <v>0</v>
      </c>
      <c r="P21" s="64">
        <v>0.2</v>
      </c>
      <c r="Q21" s="64">
        <v>9.23</v>
      </c>
      <c r="R21" s="198"/>
      <c r="S21" s="198"/>
      <c r="T21" s="198"/>
      <c r="U21" s="198"/>
    </row>
    <row r="22" spans="1:21" s="12" customFormat="1" x14ac:dyDescent="0.25">
      <c r="A22" s="211" t="s">
        <v>546</v>
      </c>
      <c r="B22" s="64">
        <v>5.58</v>
      </c>
      <c r="C22" s="64">
        <v>12.97</v>
      </c>
      <c r="D22" s="64">
        <v>16.260000000000002</v>
      </c>
      <c r="E22" s="64">
        <v>5.22</v>
      </c>
      <c r="F22" s="64">
        <v>7.6</v>
      </c>
      <c r="G22" s="64">
        <v>16.05</v>
      </c>
      <c r="H22" s="64">
        <v>47.62</v>
      </c>
      <c r="I22" s="64">
        <v>3.91</v>
      </c>
      <c r="J22" s="64">
        <v>0.04</v>
      </c>
      <c r="K22" s="64">
        <v>272.04000000000002</v>
      </c>
      <c r="L22" s="64">
        <v>26.66</v>
      </c>
      <c r="M22" s="64">
        <v>86.56</v>
      </c>
      <c r="N22" s="64">
        <v>38.799999999999997</v>
      </c>
      <c r="O22" s="64">
        <v>0</v>
      </c>
      <c r="P22" s="64">
        <v>0.2</v>
      </c>
      <c r="Q22" s="64">
        <v>9.23</v>
      </c>
      <c r="R22" s="198"/>
      <c r="S22" s="198"/>
      <c r="T22" s="198"/>
      <c r="U22" s="198"/>
    </row>
    <row r="23" spans="1:21" s="12" customFormat="1" x14ac:dyDescent="0.25">
      <c r="A23" s="211" t="s">
        <v>547</v>
      </c>
      <c r="B23" s="64">
        <v>5.9</v>
      </c>
      <c r="C23" s="64">
        <v>13.39</v>
      </c>
      <c r="D23" s="64">
        <v>16.579999999999998</v>
      </c>
      <c r="E23" s="64">
        <v>4.95</v>
      </c>
      <c r="F23" s="64">
        <v>9.27</v>
      </c>
      <c r="G23" s="64">
        <v>16.05</v>
      </c>
      <c r="H23" s="64">
        <v>47.62</v>
      </c>
      <c r="I23" s="64">
        <v>4.12</v>
      </c>
      <c r="J23" s="64">
        <v>0.1</v>
      </c>
      <c r="K23" s="64">
        <v>299.89</v>
      </c>
      <c r="L23" s="64">
        <v>26.76</v>
      </c>
      <c r="M23" s="64">
        <v>85.64</v>
      </c>
      <c r="N23" s="64">
        <v>38.799999999999997</v>
      </c>
      <c r="O23" s="64">
        <v>0</v>
      </c>
      <c r="P23" s="64">
        <v>0.19</v>
      </c>
      <c r="Q23" s="64">
        <v>9.2200000000000006</v>
      </c>
      <c r="R23" s="198"/>
      <c r="S23" s="198"/>
      <c r="T23" s="198"/>
      <c r="U23" s="198"/>
    </row>
    <row r="24" spans="1:21" s="12" customFormat="1" x14ac:dyDescent="0.25">
      <c r="A24" s="211" t="s">
        <v>548</v>
      </c>
      <c r="B24" s="64">
        <v>4.0599999999999996</v>
      </c>
      <c r="C24" s="64">
        <v>12.31</v>
      </c>
      <c r="D24" s="64">
        <v>17.329999999999998</v>
      </c>
      <c r="E24" s="64">
        <v>5.04</v>
      </c>
      <c r="F24" s="64">
        <v>13.68</v>
      </c>
      <c r="G24" s="64">
        <v>15.32</v>
      </c>
      <c r="H24" s="64">
        <v>46.43</v>
      </c>
      <c r="I24" s="64">
        <v>4.01</v>
      </c>
      <c r="J24" s="64">
        <v>0.05</v>
      </c>
      <c r="K24" s="64">
        <v>179.03</v>
      </c>
      <c r="L24" s="64">
        <v>26.82</v>
      </c>
      <c r="M24" s="64">
        <v>85.65</v>
      </c>
      <c r="N24" s="64">
        <v>38.799999999999997</v>
      </c>
      <c r="O24" s="64">
        <v>0</v>
      </c>
      <c r="P24" s="64">
        <v>0.14000000000000001</v>
      </c>
      <c r="Q24" s="64">
        <v>9.23</v>
      </c>
      <c r="R24" s="198"/>
      <c r="S24" s="198"/>
      <c r="T24" s="198"/>
      <c r="U24" s="198"/>
    </row>
    <row r="25" spans="1:21" s="12" customFormat="1" x14ac:dyDescent="0.25">
      <c r="A25" s="211" t="s">
        <v>549</v>
      </c>
      <c r="B25" s="64">
        <v>3.69</v>
      </c>
      <c r="C25" s="64">
        <v>12.74</v>
      </c>
      <c r="D25" s="64">
        <v>18.71</v>
      </c>
      <c r="E25" s="64">
        <v>5.14</v>
      </c>
      <c r="F25" s="64">
        <v>11.64</v>
      </c>
      <c r="G25" s="64">
        <v>15.12</v>
      </c>
      <c r="H25" s="64">
        <v>46.09</v>
      </c>
      <c r="I25" s="64">
        <v>3.88</v>
      </c>
      <c r="J25" s="64">
        <v>0.1</v>
      </c>
      <c r="K25" s="64">
        <v>157.82</v>
      </c>
      <c r="L25" s="64">
        <v>26.71</v>
      </c>
      <c r="M25" s="64">
        <v>86.93</v>
      </c>
      <c r="N25" s="64">
        <v>38.9</v>
      </c>
      <c r="O25" s="64">
        <v>0</v>
      </c>
      <c r="P25" s="64">
        <v>0.13</v>
      </c>
      <c r="Q25" s="64">
        <v>9.23</v>
      </c>
      <c r="R25" s="198"/>
      <c r="S25" s="198"/>
      <c r="T25" s="198"/>
      <c r="U25" s="198"/>
    </row>
    <row r="26" spans="1:21" s="12" customFormat="1" x14ac:dyDescent="0.25">
      <c r="A26" s="211" t="s">
        <v>550</v>
      </c>
      <c r="B26" s="64">
        <v>3.79</v>
      </c>
      <c r="C26" s="64">
        <v>12.63</v>
      </c>
      <c r="D26" s="64">
        <v>18.350000000000001</v>
      </c>
      <c r="E26" s="64">
        <v>5</v>
      </c>
      <c r="F26" s="64">
        <v>12.41</v>
      </c>
      <c r="G26" s="64">
        <v>15.12</v>
      </c>
      <c r="H26" s="64">
        <v>46.09</v>
      </c>
      <c r="I26" s="64">
        <v>3.88</v>
      </c>
      <c r="J26" s="64">
        <v>0.1</v>
      </c>
      <c r="K26" s="64">
        <v>202.62</v>
      </c>
      <c r="L26" s="64">
        <v>26.67</v>
      </c>
      <c r="M26" s="64">
        <v>86.79</v>
      </c>
      <c r="N26" s="64">
        <v>39.1</v>
      </c>
      <c r="O26" s="64">
        <v>0</v>
      </c>
      <c r="P26" s="64">
        <v>0.14000000000000001</v>
      </c>
      <c r="Q26" s="64">
        <v>9.23</v>
      </c>
      <c r="R26" s="198"/>
      <c r="S26" s="198"/>
      <c r="T26" s="198"/>
      <c r="U26" s="198"/>
    </row>
    <row r="27" spans="1:21" s="12" customFormat="1" x14ac:dyDescent="0.25">
      <c r="A27" s="211" t="s">
        <v>551</v>
      </c>
      <c r="B27" s="64">
        <v>4.08</v>
      </c>
      <c r="C27" s="64">
        <v>12.22</v>
      </c>
      <c r="D27" s="64">
        <v>17.12</v>
      </c>
      <c r="E27" s="64">
        <v>4.87</v>
      </c>
      <c r="F27" s="64">
        <v>12.4</v>
      </c>
      <c r="G27" s="64">
        <v>15.12</v>
      </c>
      <c r="H27" s="64">
        <v>46.09</v>
      </c>
      <c r="I27" s="64">
        <v>3.98</v>
      </c>
      <c r="J27" s="64">
        <v>0.12</v>
      </c>
      <c r="K27" s="64">
        <v>188.37</v>
      </c>
      <c r="L27" s="64">
        <v>26.35</v>
      </c>
      <c r="M27" s="64">
        <v>92.54</v>
      </c>
      <c r="N27" s="64">
        <v>38.5</v>
      </c>
      <c r="O27" s="64">
        <v>0</v>
      </c>
      <c r="P27" s="64">
        <v>0.15</v>
      </c>
      <c r="Q27" s="64">
        <v>9.23</v>
      </c>
      <c r="R27" s="198"/>
      <c r="S27" s="198"/>
      <c r="T27" s="198"/>
      <c r="U27" s="198"/>
    </row>
    <row r="28" spans="1:21" s="12" customFormat="1" x14ac:dyDescent="0.25">
      <c r="A28" s="211" t="s">
        <v>552</v>
      </c>
      <c r="B28" s="64">
        <v>4.3899999999999997</v>
      </c>
      <c r="C28" s="64">
        <v>13.85</v>
      </c>
      <c r="D28" s="64">
        <v>19.78</v>
      </c>
      <c r="E28" s="64">
        <v>4.95</v>
      </c>
      <c r="F28" s="64">
        <v>9.18</v>
      </c>
      <c r="G28" s="64">
        <v>13.45</v>
      </c>
      <c r="H28" s="64">
        <v>47.4</v>
      </c>
      <c r="I28" s="64">
        <v>3.9</v>
      </c>
      <c r="J28" s="64">
        <v>0.09</v>
      </c>
      <c r="K28" s="64">
        <v>151.02000000000001</v>
      </c>
      <c r="L28" s="64">
        <v>25.83</v>
      </c>
      <c r="M28" s="64">
        <v>97.96</v>
      </c>
      <c r="N28" s="64">
        <v>37.700000000000003</v>
      </c>
      <c r="O28" s="64">
        <v>0</v>
      </c>
      <c r="P28" s="64">
        <v>0.16</v>
      </c>
      <c r="Q28" s="64">
        <v>9.23</v>
      </c>
      <c r="R28" s="198"/>
      <c r="S28" s="198"/>
      <c r="T28" s="198"/>
      <c r="U28" s="198"/>
    </row>
    <row r="29" spans="1:21" s="12" customFormat="1" x14ac:dyDescent="0.25">
      <c r="A29" s="211" t="s">
        <v>553</v>
      </c>
      <c r="B29" s="64">
        <v>5.16</v>
      </c>
      <c r="C29" s="64">
        <v>15.83</v>
      </c>
      <c r="D29" s="64">
        <v>22.38</v>
      </c>
      <c r="E29" s="64">
        <v>5.25</v>
      </c>
      <c r="F29" s="64">
        <v>9.69</v>
      </c>
      <c r="G29" s="64">
        <v>12.97</v>
      </c>
      <c r="H29" s="64">
        <v>47.77</v>
      </c>
      <c r="I29" s="64">
        <v>4.05</v>
      </c>
      <c r="J29" s="64">
        <v>0.15</v>
      </c>
      <c r="K29" s="64">
        <v>145.44</v>
      </c>
      <c r="L29" s="64">
        <v>25.88</v>
      </c>
      <c r="M29" s="64">
        <v>96.65</v>
      </c>
      <c r="N29" s="64">
        <v>38.700000000000003</v>
      </c>
      <c r="O29" s="64">
        <v>0</v>
      </c>
      <c r="P29" s="64">
        <v>0.18</v>
      </c>
      <c r="Q29" s="64">
        <v>9.24</v>
      </c>
      <c r="R29" s="198"/>
      <c r="S29" s="198"/>
      <c r="T29" s="198"/>
      <c r="U29" s="198"/>
    </row>
    <row r="30" spans="1:21" s="12" customFormat="1" x14ac:dyDescent="0.25">
      <c r="A30" s="211" t="s">
        <v>554</v>
      </c>
      <c r="B30" s="64">
        <v>5.14</v>
      </c>
      <c r="C30" s="64">
        <v>14.89</v>
      </c>
      <c r="D30" s="64">
        <v>20.61</v>
      </c>
      <c r="E30" s="64">
        <v>5.1100000000000003</v>
      </c>
      <c r="F30" s="64">
        <v>9.74</v>
      </c>
      <c r="G30" s="64">
        <v>12.97</v>
      </c>
      <c r="H30" s="64">
        <v>47.77</v>
      </c>
      <c r="I30" s="64">
        <v>4.03</v>
      </c>
      <c r="J30" s="64">
        <v>0.09</v>
      </c>
      <c r="K30" s="64">
        <v>190.15</v>
      </c>
      <c r="L30" s="64">
        <v>25.87</v>
      </c>
      <c r="M30" s="64">
        <v>95.81</v>
      </c>
      <c r="N30" s="64">
        <v>41.7</v>
      </c>
      <c r="O30" s="64">
        <v>0</v>
      </c>
      <c r="P30" s="64">
        <v>0.16</v>
      </c>
      <c r="Q30" s="64">
        <v>9.25</v>
      </c>
      <c r="R30" s="198"/>
      <c r="S30" s="198"/>
      <c r="T30" s="198"/>
      <c r="U30" s="198"/>
    </row>
    <row r="31" spans="1:21" s="12" customFormat="1" x14ac:dyDescent="0.25">
      <c r="A31" s="211" t="s">
        <v>555</v>
      </c>
      <c r="B31" s="64">
        <v>8.94</v>
      </c>
      <c r="C31" s="64">
        <v>17.64</v>
      </c>
      <c r="D31" s="64">
        <v>20.04</v>
      </c>
      <c r="E31" s="64">
        <v>5.14</v>
      </c>
      <c r="F31" s="64">
        <v>5.42</v>
      </c>
      <c r="G31" s="64">
        <v>12.97</v>
      </c>
      <c r="H31" s="64">
        <v>47.77</v>
      </c>
      <c r="I31" s="64">
        <v>4.09</v>
      </c>
      <c r="J31" s="64">
        <v>0.41</v>
      </c>
      <c r="K31" s="64">
        <v>153.44999999999999</v>
      </c>
      <c r="L31" s="64">
        <v>25.94</v>
      </c>
      <c r="M31" s="64">
        <v>94.46</v>
      </c>
      <c r="N31" s="64">
        <v>51.7</v>
      </c>
      <c r="O31" s="64">
        <v>0</v>
      </c>
      <c r="P31" s="64">
        <v>0.2</v>
      </c>
      <c r="Q31" s="64">
        <v>9.24</v>
      </c>
      <c r="R31" s="198"/>
      <c r="S31" s="198"/>
      <c r="T31" s="198"/>
      <c r="U31" s="198"/>
    </row>
    <row r="32" spans="1:21" s="12" customFormat="1" x14ac:dyDescent="0.25">
      <c r="A32" s="211" t="s">
        <v>556</v>
      </c>
      <c r="B32" s="64">
        <v>6.99</v>
      </c>
      <c r="C32" s="64">
        <v>17.12</v>
      </c>
      <c r="D32" s="64">
        <v>22.05</v>
      </c>
      <c r="E32" s="64">
        <v>5.14</v>
      </c>
      <c r="F32" s="64">
        <v>6.7</v>
      </c>
      <c r="G32" s="64">
        <v>12</v>
      </c>
      <c r="H32" s="64">
        <v>48.84</v>
      </c>
      <c r="I32" s="64">
        <v>4.1500000000000004</v>
      </c>
      <c r="J32" s="64">
        <v>0.23</v>
      </c>
      <c r="K32" s="64">
        <v>137.85</v>
      </c>
      <c r="L32" s="64">
        <v>26.05</v>
      </c>
      <c r="M32" s="64">
        <v>94.71</v>
      </c>
      <c r="N32" s="64">
        <v>62.7</v>
      </c>
      <c r="O32" s="64">
        <v>0</v>
      </c>
      <c r="P32" s="64">
        <v>0.19</v>
      </c>
      <c r="Q32" s="64">
        <v>9.25</v>
      </c>
      <c r="R32" s="198"/>
      <c r="S32" s="198"/>
      <c r="T32" s="198"/>
      <c r="U32" s="198"/>
    </row>
    <row r="33" spans="1:21" s="12" customFormat="1" x14ac:dyDescent="0.25">
      <c r="A33" s="211" t="s">
        <v>557</v>
      </c>
      <c r="B33" s="64">
        <v>7.98</v>
      </c>
      <c r="C33" s="64">
        <v>17.55</v>
      </c>
      <c r="D33" s="64">
        <v>21.35</v>
      </c>
      <c r="E33" s="64">
        <v>5.43</v>
      </c>
      <c r="F33" s="64">
        <v>6.36</v>
      </c>
      <c r="G33" s="64">
        <v>11.73</v>
      </c>
      <c r="H33" s="64">
        <v>49.15</v>
      </c>
      <c r="I33" s="64">
        <v>4.09</v>
      </c>
      <c r="J33" s="64">
        <v>0.55000000000000004</v>
      </c>
      <c r="K33" s="64">
        <v>155.07</v>
      </c>
      <c r="L33" s="64">
        <v>26.17</v>
      </c>
      <c r="M33" s="64">
        <v>92.44</v>
      </c>
      <c r="N33" s="64">
        <v>72.099999999999994</v>
      </c>
      <c r="O33" s="64">
        <v>0</v>
      </c>
      <c r="P33" s="64">
        <v>0.2</v>
      </c>
      <c r="Q33" s="64">
        <v>9.26</v>
      </c>
      <c r="R33" s="198"/>
      <c r="S33" s="198"/>
      <c r="T33" s="198"/>
      <c r="U33" s="198"/>
    </row>
    <row r="34" spans="1:21" s="12" customFormat="1" x14ac:dyDescent="0.25">
      <c r="A34" s="211" t="s">
        <v>558</v>
      </c>
      <c r="B34" s="64">
        <v>8.4600000000000009</v>
      </c>
      <c r="C34" s="64">
        <v>18.09</v>
      </c>
      <c r="D34" s="64">
        <v>21.64</v>
      </c>
      <c r="E34" s="64">
        <v>5.17</v>
      </c>
      <c r="F34" s="64">
        <v>6.3</v>
      </c>
      <c r="G34" s="64">
        <v>11.73</v>
      </c>
      <c r="H34" s="64">
        <v>49.15</v>
      </c>
      <c r="I34" s="64">
        <v>3.9</v>
      </c>
      <c r="J34" s="64">
        <v>0.33</v>
      </c>
      <c r="K34" s="64">
        <v>169.95</v>
      </c>
      <c r="L34" s="64">
        <v>26.35</v>
      </c>
      <c r="M34" s="64">
        <v>91.06</v>
      </c>
      <c r="N34" s="64">
        <v>91</v>
      </c>
      <c r="O34" s="64">
        <v>0</v>
      </c>
      <c r="P34" s="64">
        <v>0.2</v>
      </c>
      <c r="Q34" s="64">
        <v>9.26</v>
      </c>
      <c r="R34" s="198"/>
      <c r="S34" s="198"/>
      <c r="T34" s="198"/>
      <c r="U34" s="198"/>
    </row>
    <row r="35" spans="1:21" s="12" customFormat="1" x14ac:dyDescent="0.25">
      <c r="A35" s="211" t="s">
        <v>559</v>
      </c>
      <c r="B35" s="64">
        <v>7.58</v>
      </c>
      <c r="C35" s="64">
        <v>18.54</v>
      </c>
      <c r="D35" s="64">
        <v>23.84</v>
      </c>
      <c r="E35" s="64">
        <v>5.09</v>
      </c>
      <c r="F35" s="64">
        <v>8.52</v>
      </c>
      <c r="G35" s="64">
        <v>11.73</v>
      </c>
      <c r="H35" s="64">
        <v>49.15</v>
      </c>
      <c r="I35" s="64">
        <v>4</v>
      </c>
      <c r="J35" s="64">
        <v>0.16</v>
      </c>
      <c r="K35" s="64">
        <v>183.12</v>
      </c>
      <c r="L35" s="64">
        <v>26.6</v>
      </c>
      <c r="M35" s="64">
        <v>90.49</v>
      </c>
      <c r="N35" s="64">
        <v>110.9</v>
      </c>
      <c r="O35" s="64">
        <v>0</v>
      </c>
      <c r="P35" s="64">
        <v>0.21</v>
      </c>
      <c r="Q35" s="64">
        <v>9.25</v>
      </c>
      <c r="R35" s="198"/>
      <c r="S35" s="198"/>
      <c r="T35" s="198"/>
      <c r="U35" s="198"/>
    </row>
    <row r="36" spans="1:21" s="12" customFormat="1" x14ac:dyDescent="0.25">
      <c r="A36" s="211" t="s">
        <v>560</v>
      </c>
      <c r="B36" s="64">
        <v>7.69</v>
      </c>
      <c r="C36" s="64">
        <v>17.37</v>
      </c>
      <c r="D36" s="64">
        <v>21.43</v>
      </c>
      <c r="E36" s="64">
        <v>4.9800000000000004</v>
      </c>
      <c r="F36" s="64">
        <v>6.18</v>
      </c>
      <c r="G36" s="64">
        <v>9.69</v>
      </c>
      <c r="H36" s="64">
        <v>25.92</v>
      </c>
      <c r="I36" s="64">
        <v>3.94</v>
      </c>
      <c r="J36" s="64">
        <v>0.55000000000000004</v>
      </c>
      <c r="K36" s="64">
        <v>141.36000000000001</v>
      </c>
      <c r="L36" s="64">
        <v>26.92</v>
      </c>
      <c r="M36" s="64">
        <v>88.99</v>
      </c>
      <c r="N36" s="64">
        <v>178</v>
      </c>
      <c r="O36" s="64">
        <v>0</v>
      </c>
      <c r="P36" s="64">
        <v>0.21</v>
      </c>
      <c r="Q36" s="64">
        <v>9.26</v>
      </c>
      <c r="R36" s="198"/>
      <c r="S36" s="198"/>
      <c r="T36" s="198"/>
      <c r="U36" s="198"/>
    </row>
    <row r="37" spans="1:21" s="12" customFormat="1" x14ac:dyDescent="0.25">
      <c r="A37" s="211" t="s">
        <v>561</v>
      </c>
      <c r="B37" s="64">
        <v>7.89</v>
      </c>
      <c r="C37" s="64">
        <v>17.920000000000002</v>
      </c>
      <c r="D37" s="64">
        <v>22.19</v>
      </c>
      <c r="E37" s="64">
        <v>5.17</v>
      </c>
      <c r="F37" s="64">
        <v>8.7200000000000006</v>
      </c>
      <c r="G37" s="64">
        <v>9.11</v>
      </c>
      <c r="H37" s="64">
        <v>19.29</v>
      </c>
      <c r="I37" s="64">
        <v>3.98</v>
      </c>
      <c r="J37" s="64">
        <v>0.36</v>
      </c>
      <c r="K37" s="64">
        <v>141.77000000000001</v>
      </c>
      <c r="L37" s="64">
        <v>27.55</v>
      </c>
      <c r="M37" s="64">
        <v>86.25</v>
      </c>
      <c r="N37" s="64">
        <v>228</v>
      </c>
      <c r="O37" s="64">
        <v>0</v>
      </c>
      <c r="P37" s="64">
        <v>0.28000000000000003</v>
      </c>
      <c r="Q37" s="64">
        <v>9.27</v>
      </c>
      <c r="R37" s="198"/>
      <c r="S37" s="198"/>
      <c r="T37" s="198"/>
      <c r="U37" s="198"/>
    </row>
    <row r="38" spans="1:21" s="12" customFormat="1" x14ac:dyDescent="0.25">
      <c r="A38" s="211" t="s">
        <v>562</v>
      </c>
      <c r="B38" s="64">
        <v>8.3800000000000008</v>
      </c>
      <c r="C38" s="64">
        <v>17.899999999999999</v>
      </c>
      <c r="D38" s="64">
        <v>21.41</v>
      </c>
      <c r="E38" s="64">
        <v>5.09</v>
      </c>
      <c r="F38" s="64">
        <v>6.08</v>
      </c>
      <c r="G38" s="64">
        <v>9.11</v>
      </c>
      <c r="H38" s="64">
        <v>19.29</v>
      </c>
      <c r="I38" s="64">
        <v>3.97</v>
      </c>
      <c r="J38" s="64">
        <v>0.28999999999999998</v>
      </c>
      <c r="K38" s="64">
        <v>145.57</v>
      </c>
      <c r="L38" s="64">
        <v>28.28</v>
      </c>
      <c r="M38" s="64">
        <v>83.49</v>
      </c>
      <c r="N38" s="64">
        <v>251.7</v>
      </c>
      <c r="O38" s="64">
        <v>0</v>
      </c>
      <c r="P38" s="64">
        <v>0.32</v>
      </c>
      <c r="Q38" s="64">
        <v>9.26</v>
      </c>
      <c r="R38" s="198"/>
      <c r="S38" s="198"/>
      <c r="T38" s="198"/>
      <c r="U38" s="198"/>
    </row>
    <row r="39" spans="1:21" s="12" customFormat="1" x14ac:dyDescent="0.25">
      <c r="A39" s="211" t="s">
        <v>563</v>
      </c>
      <c r="B39" s="64">
        <v>10.87</v>
      </c>
      <c r="C39" s="64">
        <v>21.3</v>
      </c>
      <c r="D39" s="64">
        <v>24.07</v>
      </c>
      <c r="E39" s="64">
        <v>4.63</v>
      </c>
      <c r="F39" s="64">
        <v>7.02</v>
      </c>
      <c r="G39" s="64">
        <v>9.11</v>
      </c>
      <c r="H39" s="64">
        <v>19.29</v>
      </c>
      <c r="I39" s="64">
        <v>3.92</v>
      </c>
      <c r="J39" s="64">
        <v>0.04</v>
      </c>
      <c r="K39" s="64">
        <v>215.85</v>
      </c>
      <c r="L39" s="64">
        <v>28.42</v>
      </c>
      <c r="M39" s="64">
        <v>83.32</v>
      </c>
      <c r="N39" s="64">
        <v>284.60000000000002</v>
      </c>
      <c r="O39" s="64">
        <v>0</v>
      </c>
      <c r="P39" s="64">
        <v>0.3</v>
      </c>
      <c r="Q39" s="64">
        <v>9.27</v>
      </c>
      <c r="R39" s="198"/>
      <c r="S39" s="198"/>
      <c r="T39" s="198"/>
      <c r="U39" s="198"/>
    </row>
    <row r="40" spans="1:21" s="12" customFormat="1" x14ac:dyDescent="0.25">
      <c r="A40" s="211" t="s">
        <v>564</v>
      </c>
      <c r="B40" s="64">
        <v>8.99</v>
      </c>
      <c r="C40" s="64">
        <v>18.66</v>
      </c>
      <c r="D40" s="64">
        <v>21.92</v>
      </c>
      <c r="E40" s="64">
        <v>4.84</v>
      </c>
      <c r="F40" s="64">
        <v>6.56</v>
      </c>
      <c r="G40" s="64">
        <v>10.63</v>
      </c>
      <c r="H40" s="64">
        <v>-20.14</v>
      </c>
      <c r="I40" s="64">
        <v>3.88</v>
      </c>
      <c r="J40" s="64">
        <v>0.19</v>
      </c>
      <c r="K40" s="64">
        <v>187.47</v>
      </c>
      <c r="L40" s="64">
        <v>28.94</v>
      </c>
      <c r="M40" s="64">
        <v>81.86</v>
      </c>
      <c r="N40" s="64">
        <v>294.10000000000002</v>
      </c>
      <c r="O40" s="64">
        <v>0</v>
      </c>
      <c r="P40" s="64">
        <v>0.32</v>
      </c>
      <c r="Q40" s="64">
        <v>9.27</v>
      </c>
      <c r="R40" s="198"/>
      <c r="S40" s="198"/>
      <c r="T40" s="198"/>
      <c r="U40" s="198"/>
    </row>
    <row r="41" spans="1:21" s="12" customFormat="1" x14ac:dyDescent="0.25">
      <c r="A41" s="211" t="s">
        <v>565</v>
      </c>
      <c r="B41" s="64">
        <v>9.2799999999999994</v>
      </c>
      <c r="C41" s="64">
        <v>19.78</v>
      </c>
      <c r="D41" s="64">
        <v>23.61</v>
      </c>
      <c r="E41" s="64">
        <v>5.26</v>
      </c>
      <c r="F41" s="64">
        <v>13.42</v>
      </c>
      <c r="G41" s="64">
        <v>11.06</v>
      </c>
      <c r="H41" s="64">
        <v>-31.41</v>
      </c>
      <c r="I41" s="64">
        <v>3.99</v>
      </c>
      <c r="J41" s="64">
        <v>0.23</v>
      </c>
      <c r="K41" s="64">
        <v>140.97999999999999</v>
      </c>
      <c r="L41" s="64">
        <v>29.15</v>
      </c>
      <c r="M41" s="64">
        <v>81.53</v>
      </c>
      <c r="N41" s="64">
        <v>365.9</v>
      </c>
      <c r="O41" s="64">
        <v>0</v>
      </c>
      <c r="P41" s="64">
        <v>0.33</v>
      </c>
      <c r="Q41" s="64">
        <v>9.2899999999999991</v>
      </c>
      <c r="R41" s="198"/>
      <c r="S41" s="198"/>
      <c r="T41" s="198"/>
      <c r="U41" s="198"/>
    </row>
    <row r="42" spans="1:21" s="12" customFormat="1" x14ac:dyDescent="0.25">
      <c r="A42" s="211" t="s">
        <v>566</v>
      </c>
      <c r="B42" s="64">
        <v>5.81</v>
      </c>
      <c r="C42" s="64">
        <v>15.03</v>
      </c>
      <c r="D42" s="64">
        <v>19.86</v>
      </c>
      <c r="E42" s="64">
        <v>5.29</v>
      </c>
      <c r="F42" s="64">
        <v>15.07</v>
      </c>
      <c r="G42" s="64">
        <v>11.06</v>
      </c>
      <c r="H42" s="64">
        <v>-31.41</v>
      </c>
      <c r="I42" s="64">
        <v>4.07</v>
      </c>
      <c r="J42" s="64">
        <v>0.2</v>
      </c>
      <c r="K42" s="64">
        <v>160.43</v>
      </c>
      <c r="L42" s="64">
        <v>29.61</v>
      </c>
      <c r="M42" s="64">
        <v>79.12</v>
      </c>
      <c r="N42" s="64">
        <v>445.3</v>
      </c>
      <c r="O42" s="64">
        <v>0</v>
      </c>
      <c r="P42" s="64">
        <v>0.3</v>
      </c>
      <c r="Q42" s="64">
        <v>9.31</v>
      </c>
      <c r="R42" s="198"/>
      <c r="S42" s="198"/>
      <c r="T42" s="198"/>
      <c r="U42" s="198"/>
    </row>
    <row r="43" spans="1:21" s="12" customFormat="1" x14ac:dyDescent="0.25">
      <c r="A43" s="211" t="s">
        <v>567</v>
      </c>
      <c r="B43" s="64">
        <v>9.8699999999999992</v>
      </c>
      <c r="C43" s="64">
        <v>20.99</v>
      </c>
      <c r="D43" s="64">
        <v>25.03</v>
      </c>
      <c r="E43" s="64">
        <v>5.53</v>
      </c>
      <c r="F43" s="64">
        <v>14.37</v>
      </c>
      <c r="G43" s="64">
        <v>11.06</v>
      </c>
      <c r="H43" s="64">
        <v>-31.41</v>
      </c>
      <c r="I43" s="64">
        <v>4.0199999999999996</v>
      </c>
      <c r="J43" s="64">
        <v>0.15</v>
      </c>
      <c r="K43" s="64">
        <v>272.31</v>
      </c>
      <c r="L43" s="64">
        <v>31.1</v>
      </c>
      <c r="M43" s="64">
        <v>72.5</v>
      </c>
      <c r="N43" s="64">
        <v>506.6</v>
      </c>
      <c r="O43" s="64">
        <v>0</v>
      </c>
      <c r="P43" s="64">
        <v>0.38</v>
      </c>
      <c r="Q43" s="64">
        <v>9.2799999999999994</v>
      </c>
      <c r="R43" s="198"/>
      <c r="S43" s="198"/>
      <c r="T43" s="198"/>
      <c r="U43" s="198"/>
    </row>
    <row r="44" spans="1:21" s="12" customFormat="1" x14ac:dyDescent="0.25">
      <c r="A44" s="211" t="s">
        <v>568</v>
      </c>
      <c r="B44" s="64">
        <v>8.92</v>
      </c>
      <c r="C44" s="64">
        <v>21.01</v>
      </c>
      <c r="D44" s="64">
        <v>26.53</v>
      </c>
      <c r="E44" s="64">
        <v>5.66</v>
      </c>
      <c r="F44" s="64">
        <v>14.84</v>
      </c>
      <c r="G44" s="64">
        <v>13.8</v>
      </c>
      <c r="H44" s="64">
        <v>2.88</v>
      </c>
      <c r="I44" s="64">
        <v>4.08</v>
      </c>
      <c r="J44" s="64">
        <v>0.21</v>
      </c>
      <c r="K44" s="64">
        <v>314.48</v>
      </c>
      <c r="L44" s="64">
        <v>31.67</v>
      </c>
      <c r="M44" s="64">
        <v>69.94</v>
      </c>
      <c r="N44" s="64">
        <v>564.4</v>
      </c>
      <c r="O44" s="64">
        <v>0</v>
      </c>
      <c r="P44" s="64">
        <v>0.35</v>
      </c>
      <c r="Q44" s="64">
        <v>9.2799999999999994</v>
      </c>
      <c r="R44" s="198"/>
      <c r="S44" s="198"/>
      <c r="T44" s="198"/>
      <c r="U44" s="198"/>
    </row>
    <row r="45" spans="1:21" s="12" customFormat="1" x14ac:dyDescent="0.25">
      <c r="A45" s="211" t="s">
        <v>569</v>
      </c>
      <c r="B45" s="64">
        <v>8.52</v>
      </c>
      <c r="C45" s="64">
        <v>20.49</v>
      </c>
      <c r="D45" s="64">
        <v>26.14</v>
      </c>
      <c r="E45" s="64">
        <v>5.29</v>
      </c>
      <c r="F45" s="64">
        <v>14.18</v>
      </c>
      <c r="G45" s="64">
        <v>14.58</v>
      </c>
      <c r="H45" s="64">
        <v>12.68</v>
      </c>
      <c r="I45" s="64">
        <v>3.92</v>
      </c>
      <c r="J45" s="64">
        <v>0.11</v>
      </c>
      <c r="K45" s="64">
        <v>282.51</v>
      </c>
      <c r="L45" s="64">
        <v>31.06</v>
      </c>
      <c r="M45" s="64">
        <v>71.86</v>
      </c>
      <c r="N45" s="64">
        <v>594.6</v>
      </c>
      <c r="O45" s="64">
        <v>0</v>
      </c>
      <c r="P45" s="64">
        <v>0.34</v>
      </c>
      <c r="Q45" s="64">
        <v>9.27</v>
      </c>
      <c r="R45" s="198"/>
      <c r="S45" s="198"/>
      <c r="T45" s="198"/>
      <c r="U45" s="198"/>
    </row>
    <row r="46" spans="1:21" s="12" customFormat="1" x14ac:dyDescent="0.25">
      <c r="A46" s="211" t="s">
        <v>570</v>
      </c>
      <c r="B46" s="64">
        <v>9.67</v>
      </c>
      <c r="C46" s="64">
        <v>22.88</v>
      </c>
      <c r="D46" s="64">
        <v>28.96</v>
      </c>
      <c r="E46" s="64">
        <v>5.85</v>
      </c>
      <c r="F46" s="64">
        <v>12.05</v>
      </c>
      <c r="G46" s="64">
        <v>14.58</v>
      </c>
      <c r="H46" s="64">
        <v>12.68</v>
      </c>
      <c r="I46" s="64">
        <v>3.91</v>
      </c>
      <c r="J46" s="64">
        <v>0.21</v>
      </c>
      <c r="K46" s="64">
        <v>286.06</v>
      </c>
      <c r="L46" s="64">
        <v>32.200000000000003</v>
      </c>
      <c r="M46" s="64">
        <v>67.47</v>
      </c>
      <c r="N46" s="64">
        <v>674.4</v>
      </c>
      <c r="O46" s="64">
        <v>0</v>
      </c>
      <c r="P46" s="64">
        <v>0.37</v>
      </c>
      <c r="Q46" s="64">
        <v>9.27</v>
      </c>
      <c r="R46" s="198"/>
      <c r="S46" s="198"/>
      <c r="T46" s="198"/>
      <c r="U46" s="198"/>
    </row>
    <row r="47" spans="1:21" s="12" customFormat="1" x14ac:dyDescent="0.25">
      <c r="A47" s="211" t="s">
        <v>571</v>
      </c>
      <c r="B47" s="64">
        <v>8.5399999999999991</v>
      </c>
      <c r="C47" s="64">
        <v>21.06</v>
      </c>
      <c r="D47" s="64">
        <v>27.21</v>
      </c>
      <c r="E47" s="64">
        <v>5.69</v>
      </c>
      <c r="F47" s="64">
        <v>10.77</v>
      </c>
      <c r="G47" s="64">
        <v>14.58</v>
      </c>
      <c r="H47" s="64">
        <v>12.68</v>
      </c>
      <c r="I47" s="64">
        <v>4.1100000000000003</v>
      </c>
      <c r="J47" s="64">
        <v>0.28999999999999998</v>
      </c>
      <c r="K47" s="64">
        <v>288.74</v>
      </c>
      <c r="L47" s="64">
        <v>32.71</v>
      </c>
      <c r="M47" s="64">
        <v>65.790000000000006</v>
      </c>
      <c r="N47" s="64">
        <v>729.1</v>
      </c>
      <c r="O47" s="64">
        <v>0</v>
      </c>
      <c r="P47" s="64">
        <v>0.38</v>
      </c>
      <c r="Q47" s="64">
        <v>9.25</v>
      </c>
      <c r="R47" s="198"/>
      <c r="S47" s="198"/>
      <c r="T47" s="198"/>
      <c r="U47" s="198"/>
    </row>
    <row r="48" spans="1:21" s="12" customFormat="1" x14ac:dyDescent="0.25">
      <c r="A48" s="211" t="s">
        <v>572</v>
      </c>
      <c r="B48" s="64">
        <v>6.35</v>
      </c>
      <c r="C48" s="64">
        <v>19.510000000000002</v>
      </c>
      <c r="D48" s="64">
        <v>27.59</v>
      </c>
      <c r="E48" s="64">
        <v>5.0999999999999996</v>
      </c>
      <c r="F48" s="64">
        <v>9.32</v>
      </c>
      <c r="G48" s="64">
        <v>17.79</v>
      </c>
      <c r="H48" s="64">
        <v>2.96</v>
      </c>
      <c r="I48" s="64">
        <v>3.92</v>
      </c>
      <c r="J48" s="64">
        <v>0.28000000000000003</v>
      </c>
      <c r="K48" s="64">
        <v>277.85000000000002</v>
      </c>
      <c r="L48" s="64">
        <v>33.17</v>
      </c>
      <c r="M48" s="64">
        <v>64.47</v>
      </c>
      <c r="N48" s="64">
        <v>812.8</v>
      </c>
      <c r="O48" s="64">
        <v>0</v>
      </c>
      <c r="P48" s="64">
        <v>0.37</v>
      </c>
      <c r="Q48" s="64">
        <v>9.2200000000000006</v>
      </c>
      <c r="R48" s="198"/>
      <c r="S48" s="198"/>
      <c r="T48" s="198"/>
      <c r="U48" s="198"/>
    </row>
    <row r="49" spans="1:21" s="12" customFormat="1" x14ac:dyDescent="0.25">
      <c r="A49" s="211" t="s">
        <v>573</v>
      </c>
      <c r="B49" s="64">
        <v>5.48</v>
      </c>
      <c r="C49" s="64">
        <v>17.66</v>
      </c>
      <c r="D49" s="64">
        <v>25.38</v>
      </c>
      <c r="E49" s="64">
        <v>5.65</v>
      </c>
      <c r="F49" s="64">
        <v>5.78</v>
      </c>
      <c r="G49" s="64">
        <v>18.71</v>
      </c>
      <c r="H49" s="64">
        <v>0</v>
      </c>
      <c r="I49" s="64">
        <v>4.03</v>
      </c>
      <c r="J49" s="64">
        <v>0.23</v>
      </c>
      <c r="K49" s="64">
        <v>282.79000000000002</v>
      </c>
      <c r="L49" s="64">
        <v>32.840000000000003</v>
      </c>
      <c r="M49" s="64">
        <v>64.680000000000007</v>
      </c>
      <c r="N49" s="64">
        <v>812.9</v>
      </c>
      <c r="O49" s="64">
        <v>0</v>
      </c>
      <c r="P49" s="64">
        <v>0.35</v>
      </c>
      <c r="Q49" s="64">
        <v>9.18</v>
      </c>
      <c r="R49" s="198"/>
      <c r="S49" s="198"/>
      <c r="T49" s="198"/>
      <c r="U49" s="198"/>
    </row>
    <row r="50" spans="1:21" s="12" customFormat="1" x14ac:dyDescent="0.25">
      <c r="A50" s="211" t="s">
        <v>574</v>
      </c>
      <c r="B50" s="64">
        <v>5.13</v>
      </c>
      <c r="C50" s="64">
        <v>17.11</v>
      </c>
      <c r="D50" s="64">
        <v>24.88</v>
      </c>
      <c r="E50" s="64">
        <v>5.87</v>
      </c>
      <c r="F50" s="64">
        <v>10.23</v>
      </c>
      <c r="G50" s="64">
        <v>18.71</v>
      </c>
      <c r="H50" s="64">
        <v>0</v>
      </c>
      <c r="I50" s="64">
        <v>4.05</v>
      </c>
      <c r="J50" s="64">
        <v>0.26</v>
      </c>
      <c r="K50" s="64">
        <v>308.25</v>
      </c>
      <c r="L50" s="64">
        <v>33.39</v>
      </c>
      <c r="M50" s="64">
        <v>63.83</v>
      </c>
      <c r="N50" s="64">
        <v>706.9</v>
      </c>
      <c r="O50" s="64">
        <v>0</v>
      </c>
      <c r="P50" s="64">
        <v>0.36</v>
      </c>
      <c r="Q50" s="64">
        <v>9.16</v>
      </c>
      <c r="R50" s="198"/>
      <c r="S50" s="198"/>
      <c r="T50" s="198"/>
      <c r="U50" s="198"/>
    </row>
    <row r="51" spans="1:21" s="12" customFormat="1" x14ac:dyDescent="0.25">
      <c r="A51" s="211" t="s">
        <v>575</v>
      </c>
      <c r="B51" s="64">
        <v>4.38</v>
      </c>
      <c r="C51" s="64">
        <v>16.510000000000002</v>
      </c>
      <c r="D51" s="64">
        <v>24.87</v>
      </c>
      <c r="E51" s="64">
        <v>5.46</v>
      </c>
      <c r="F51" s="64">
        <v>9.69</v>
      </c>
      <c r="G51" s="64">
        <v>18.71</v>
      </c>
      <c r="H51" s="64">
        <v>0</v>
      </c>
      <c r="I51" s="64">
        <v>4.12</v>
      </c>
      <c r="J51" s="64">
        <v>0.21</v>
      </c>
      <c r="K51" s="64">
        <v>296.97000000000003</v>
      </c>
      <c r="L51" s="64">
        <v>33.24</v>
      </c>
      <c r="M51" s="64">
        <v>62.75</v>
      </c>
      <c r="N51" s="64">
        <v>825.7</v>
      </c>
      <c r="O51" s="64">
        <v>0</v>
      </c>
      <c r="P51" s="64">
        <v>0.36</v>
      </c>
      <c r="Q51" s="64">
        <v>9.14</v>
      </c>
      <c r="R51" s="198"/>
      <c r="S51" s="198"/>
      <c r="T51" s="198"/>
      <c r="U51" s="198"/>
    </row>
    <row r="52" spans="1:21" s="12" customFormat="1" x14ac:dyDescent="0.25">
      <c r="A52" s="211" t="s">
        <v>576</v>
      </c>
      <c r="B52" s="64">
        <v>4.01</v>
      </c>
      <c r="C52" s="64">
        <v>16</v>
      </c>
      <c r="D52" s="64">
        <v>24.47</v>
      </c>
      <c r="E52" s="64">
        <v>5.58</v>
      </c>
      <c r="F52" s="64">
        <v>10.64</v>
      </c>
      <c r="G52" s="64">
        <v>20.43</v>
      </c>
      <c r="H52" s="64">
        <v>0</v>
      </c>
      <c r="I52" s="64">
        <v>3.94</v>
      </c>
      <c r="J52" s="64">
        <v>0.33</v>
      </c>
      <c r="K52" s="64">
        <v>151.86000000000001</v>
      </c>
      <c r="L52" s="64">
        <v>33.76</v>
      </c>
      <c r="M52" s="64">
        <v>61.94</v>
      </c>
      <c r="N52" s="64">
        <v>914.4</v>
      </c>
      <c r="O52" s="64">
        <v>0</v>
      </c>
      <c r="P52" s="64">
        <v>0.35</v>
      </c>
      <c r="Q52" s="64">
        <v>9.1300000000000008</v>
      </c>
      <c r="R52" s="198"/>
      <c r="S52" s="198"/>
      <c r="T52" s="198"/>
      <c r="U52" s="198"/>
    </row>
    <row r="53" spans="1:21" s="12" customFormat="1" x14ac:dyDescent="0.25">
      <c r="A53" s="211" t="s">
        <v>577</v>
      </c>
      <c r="B53" s="64">
        <v>4.57</v>
      </c>
      <c r="C53" s="64">
        <v>16.829999999999998</v>
      </c>
      <c r="D53" s="64">
        <v>25.2</v>
      </c>
      <c r="E53" s="64">
        <v>5.33</v>
      </c>
      <c r="F53" s="64">
        <v>9</v>
      </c>
      <c r="G53" s="64">
        <v>20.92</v>
      </c>
      <c r="H53" s="64">
        <v>0</v>
      </c>
      <c r="I53" s="64">
        <v>4</v>
      </c>
      <c r="J53" s="64">
        <v>0.34</v>
      </c>
      <c r="K53" s="64">
        <v>306.85000000000002</v>
      </c>
      <c r="L53" s="64">
        <v>34.54</v>
      </c>
      <c r="M53" s="64">
        <v>58.77</v>
      </c>
      <c r="N53" s="64">
        <v>824.2</v>
      </c>
      <c r="O53" s="64">
        <v>0</v>
      </c>
      <c r="P53" s="64">
        <v>0.38</v>
      </c>
      <c r="Q53" s="64">
        <v>9.11</v>
      </c>
      <c r="R53" s="198"/>
      <c r="S53" s="198"/>
      <c r="T53" s="198"/>
      <c r="U53" s="198"/>
    </row>
    <row r="54" spans="1:21" s="12" customFormat="1" x14ac:dyDescent="0.25">
      <c r="A54" s="211" t="s">
        <v>578</v>
      </c>
      <c r="B54" s="64">
        <v>4.29</v>
      </c>
      <c r="C54" s="64">
        <v>16.55</v>
      </c>
      <c r="D54" s="64">
        <v>25.1</v>
      </c>
      <c r="E54" s="64">
        <v>5.07</v>
      </c>
      <c r="F54" s="64">
        <v>6.5</v>
      </c>
      <c r="G54" s="64">
        <v>20.92</v>
      </c>
      <c r="H54" s="64">
        <v>0</v>
      </c>
      <c r="I54" s="64">
        <v>3.98</v>
      </c>
      <c r="J54" s="64">
        <v>0.34</v>
      </c>
      <c r="K54" s="64">
        <v>315.60000000000002</v>
      </c>
      <c r="L54" s="64">
        <v>35.78</v>
      </c>
      <c r="M54" s="64">
        <v>54.74</v>
      </c>
      <c r="N54" s="64">
        <v>698.2</v>
      </c>
      <c r="O54" s="64">
        <v>0</v>
      </c>
      <c r="P54" s="64">
        <v>0.39</v>
      </c>
      <c r="Q54" s="64">
        <v>9.11</v>
      </c>
      <c r="R54" s="198"/>
      <c r="S54" s="198"/>
      <c r="T54" s="198"/>
      <c r="U54" s="198"/>
    </row>
    <row r="55" spans="1:21" s="12" customFormat="1" x14ac:dyDescent="0.25">
      <c r="A55" s="211" t="s">
        <v>579</v>
      </c>
      <c r="B55" s="64">
        <v>4.12</v>
      </c>
      <c r="C55" s="64">
        <v>16.54</v>
      </c>
      <c r="D55" s="64">
        <v>25.34</v>
      </c>
      <c r="E55" s="64">
        <v>5.31</v>
      </c>
      <c r="F55" s="64">
        <v>11.77</v>
      </c>
      <c r="G55" s="64">
        <v>20.92</v>
      </c>
      <c r="H55" s="64">
        <v>0</v>
      </c>
      <c r="I55" s="64">
        <v>4.18</v>
      </c>
      <c r="J55" s="64">
        <v>0.21</v>
      </c>
      <c r="K55" s="64">
        <v>155.88</v>
      </c>
      <c r="L55" s="64">
        <v>33.590000000000003</v>
      </c>
      <c r="M55" s="64">
        <v>59.72</v>
      </c>
      <c r="N55" s="64">
        <v>931.8</v>
      </c>
      <c r="O55" s="64">
        <v>0</v>
      </c>
      <c r="P55" s="64">
        <v>0.39</v>
      </c>
      <c r="Q55" s="64">
        <v>9.11</v>
      </c>
      <c r="R55" s="198"/>
      <c r="S55" s="198"/>
      <c r="T55" s="198"/>
      <c r="U55" s="198"/>
    </row>
    <row r="56" spans="1:21" s="12" customFormat="1" x14ac:dyDescent="0.25">
      <c r="A56" s="211" t="s">
        <v>580</v>
      </c>
      <c r="B56" s="64">
        <v>4.24</v>
      </c>
      <c r="C56" s="64">
        <v>16.100000000000001</v>
      </c>
      <c r="D56" s="64">
        <v>24.31</v>
      </c>
      <c r="E56" s="64">
        <v>5.72</v>
      </c>
      <c r="F56" s="64">
        <v>10.15</v>
      </c>
      <c r="G56" s="64">
        <v>21.42</v>
      </c>
      <c r="H56" s="64">
        <v>1201.54</v>
      </c>
      <c r="I56" s="64">
        <v>3.75</v>
      </c>
      <c r="J56" s="64">
        <v>0.77</v>
      </c>
      <c r="K56" s="64">
        <v>330.41</v>
      </c>
      <c r="L56" s="64">
        <v>35.28</v>
      </c>
      <c r="M56" s="64">
        <v>55.11</v>
      </c>
      <c r="N56" s="64">
        <v>916.7</v>
      </c>
      <c r="O56" s="64">
        <v>0</v>
      </c>
      <c r="P56" s="64">
        <v>0.4</v>
      </c>
      <c r="Q56" s="64">
        <v>9.11</v>
      </c>
      <c r="R56" s="198"/>
      <c r="S56" s="198"/>
      <c r="T56" s="198"/>
      <c r="U56" s="198"/>
    </row>
    <row r="57" spans="1:21" s="12" customFormat="1" x14ac:dyDescent="0.25">
      <c r="A57" s="211" t="s">
        <v>581</v>
      </c>
      <c r="B57" s="64">
        <v>4.5999999999999996</v>
      </c>
      <c r="C57" s="64">
        <v>17.68</v>
      </c>
      <c r="D57" s="64">
        <v>26.79</v>
      </c>
      <c r="E57" s="64">
        <v>5.49</v>
      </c>
      <c r="F57" s="64">
        <v>13.05</v>
      </c>
      <c r="G57" s="64">
        <v>21.56</v>
      </c>
      <c r="H57" s="64">
        <v>1544.84</v>
      </c>
      <c r="I57" s="64">
        <v>3.84</v>
      </c>
      <c r="J57" s="64">
        <v>0.27</v>
      </c>
      <c r="K57" s="64">
        <v>130.96</v>
      </c>
      <c r="L57" s="64">
        <v>35.58</v>
      </c>
      <c r="M57" s="64">
        <v>52.45</v>
      </c>
      <c r="N57" s="64">
        <v>923.7</v>
      </c>
      <c r="O57" s="64">
        <v>0</v>
      </c>
      <c r="P57" s="64">
        <v>0.38</v>
      </c>
      <c r="Q57" s="64">
        <v>9.11</v>
      </c>
      <c r="R57" s="198"/>
      <c r="S57" s="198"/>
      <c r="T57" s="198"/>
      <c r="U57" s="198"/>
    </row>
    <row r="58" spans="1:21" s="12" customFormat="1" x14ac:dyDescent="0.25">
      <c r="A58" s="211" t="s">
        <v>582</v>
      </c>
      <c r="B58" s="64">
        <v>3.67</v>
      </c>
      <c r="C58" s="64">
        <v>14.69</v>
      </c>
      <c r="D58" s="64">
        <v>22.49</v>
      </c>
      <c r="E58" s="64">
        <v>5.32</v>
      </c>
      <c r="F58" s="64">
        <v>11.48</v>
      </c>
      <c r="G58" s="64">
        <v>21.56</v>
      </c>
      <c r="H58" s="64">
        <v>1544.84</v>
      </c>
      <c r="I58" s="64">
        <v>4.13</v>
      </c>
      <c r="J58" s="64">
        <v>0.17</v>
      </c>
      <c r="K58" s="64">
        <v>172.67</v>
      </c>
      <c r="L58" s="64">
        <v>34.24</v>
      </c>
      <c r="M58" s="64">
        <v>56.68</v>
      </c>
      <c r="N58" s="64">
        <v>920.4</v>
      </c>
      <c r="O58" s="64">
        <v>0</v>
      </c>
      <c r="P58" s="64">
        <v>0.37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11" t="s">
        <v>583</v>
      </c>
      <c r="B59" s="64">
        <v>6.28</v>
      </c>
      <c r="C59" s="64">
        <v>18.28</v>
      </c>
      <c r="D59" s="64">
        <v>25.35</v>
      </c>
      <c r="E59" s="64">
        <v>5.37</v>
      </c>
      <c r="F59" s="64">
        <v>18.47</v>
      </c>
      <c r="G59" s="64">
        <v>21.56</v>
      </c>
      <c r="H59" s="64">
        <v>1544.84</v>
      </c>
      <c r="I59" s="64">
        <v>3.89</v>
      </c>
      <c r="J59" s="64">
        <v>0.56000000000000005</v>
      </c>
      <c r="K59" s="64">
        <v>336.93</v>
      </c>
      <c r="L59" s="64">
        <v>35.770000000000003</v>
      </c>
      <c r="M59" s="64">
        <v>50.64</v>
      </c>
      <c r="N59" s="64">
        <v>909</v>
      </c>
      <c r="O59" s="64">
        <v>0</v>
      </c>
      <c r="P59" s="64">
        <v>0.48</v>
      </c>
      <c r="Q59" s="64">
        <v>9.1300000000000008</v>
      </c>
      <c r="R59" s="198"/>
      <c r="S59" s="198"/>
      <c r="T59" s="198"/>
      <c r="U59" s="198"/>
    </row>
    <row r="60" spans="1:21" s="12" customFormat="1" x14ac:dyDescent="0.25">
      <c r="A60" s="211" t="s">
        <v>584</v>
      </c>
      <c r="B60" s="64">
        <v>4.76</v>
      </c>
      <c r="C60" s="64">
        <v>17.62</v>
      </c>
      <c r="D60" s="64">
        <v>26.41</v>
      </c>
      <c r="E60" s="64">
        <v>5.6</v>
      </c>
      <c r="F60" s="64">
        <v>16.84</v>
      </c>
      <c r="G60" s="64">
        <v>20.9</v>
      </c>
      <c r="H60" s="64">
        <v>360.46</v>
      </c>
      <c r="I60" s="64">
        <v>3.97</v>
      </c>
      <c r="J60" s="64">
        <v>0.6</v>
      </c>
      <c r="K60" s="64">
        <v>155.85</v>
      </c>
      <c r="L60" s="64">
        <v>34.75</v>
      </c>
      <c r="M60" s="64">
        <v>52.23</v>
      </c>
      <c r="N60" s="64">
        <v>469.5</v>
      </c>
      <c r="O60" s="64">
        <v>0</v>
      </c>
      <c r="P60" s="64">
        <v>0.36</v>
      </c>
      <c r="Q60" s="64">
        <v>9.1199999999999992</v>
      </c>
      <c r="R60" s="198"/>
      <c r="S60" s="198"/>
      <c r="T60" s="198"/>
      <c r="U60" s="198"/>
    </row>
    <row r="61" spans="1:21" s="12" customFormat="1" x14ac:dyDescent="0.25">
      <c r="A61" s="211" t="s">
        <v>585</v>
      </c>
      <c r="B61" s="64">
        <v>4.26</v>
      </c>
      <c r="C61" s="64">
        <v>14.59</v>
      </c>
      <c r="D61" s="64">
        <v>21.39</v>
      </c>
      <c r="E61" s="64">
        <v>5.33</v>
      </c>
      <c r="F61" s="64">
        <v>16.399999999999999</v>
      </c>
      <c r="G61" s="64">
        <v>20.71</v>
      </c>
      <c r="H61" s="64">
        <v>0</v>
      </c>
      <c r="I61" s="64">
        <v>4.05</v>
      </c>
      <c r="J61" s="64">
        <v>0.45</v>
      </c>
      <c r="K61" s="64">
        <v>147.26</v>
      </c>
      <c r="L61" s="64">
        <v>34.450000000000003</v>
      </c>
      <c r="M61" s="64">
        <v>53.28</v>
      </c>
      <c r="N61" s="64">
        <v>712.9</v>
      </c>
      <c r="O61" s="64">
        <v>0</v>
      </c>
      <c r="P61" s="64">
        <v>0.34</v>
      </c>
      <c r="Q61" s="64">
        <v>9.1199999999999992</v>
      </c>
      <c r="R61" s="198"/>
      <c r="S61" s="198"/>
      <c r="T61" s="198"/>
      <c r="U61" s="198"/>
    </row>
    <row r="62" spans="1:21" s="12" customFormat="1" x14ac:dyDescent="0.25">
      <c r="A62" s="211" t="s">
        <v>586</v>
      </c>
      <c r="B62" s="64">
        <v>5.01</v>
      </c>
      <c r="C62" s="64">
        <v>18.53</v>
      </c>
      <c r="D62" s="64">
        <v>27.77</v>
      </c>
      <c r="E62" s="64">
        <v>5.3</v>
      </c>
      <c r="F62" s="64">
        <v>17.95</v>
      </c>
      <c r="G62" s="64">
        <v>20.71</v>
      </c>
      <c r="H62" s="64">
        <v>0</v>
      </c>
      <c r="I62" s="64">
        <v>3.98</v>
      </c>
      <c r="J62" s="64">
        <v>0.4</v>
      </c>
      <c r="K62" s="64">
        <v>156.97</v>
      </c>
      <c r="L62" s="64">
        <v>34.46</v>
      </c>
      <c r="M62" s="64">
        <v>52.95</v>
      </c>
      <c r="N62" s="64">
        <v>464.8</v>
      </c>
      <c r="O62" s="64">
        <v>0</v>
      </c>
      <c r="P62" s="64">
        <v>0.37</v>
      </c>
      <c r="Q62" s="64">
        <v>9.1300000000000008</v>
      </c>
      <c r="R62" s="198"/>
      <c r="S62" s="198"/>
      <c r="T62" s="198"/>
      <c r="U62" s="198"/>
    </row>
    <row r="63" spans="1:21" s="12" customFormat="1" x14ac:dyDescent="0.25">
      <c r="A63" s="211" t="s">
        <v>587</v>
      </c>
      <c r="B63" s="64">
        <v>3.85</v>
      </c>
      <c r="C63" s="64">
        <v>13.52</v>
      </c>
      <c r="D63" s="64">
        <v>19.98</v>
      </c>
      <c r="E63" s="64">
        <v>5.51</v>
      </c>
      <c r="F63" s="64">
        <v>21.95</v>
      </c>
      <c r="G63" s="64">
        <v>20.71</v>
      </c>
      <c r="H63" s="64">
        <v>0</v>
      </c>
      <c r="I63" s="64">
        <v>3.97</v>
      </c>
      <c r="J63" s="64">
        <v>0.42</v>
      </c>
      <c r="K63" s="64">
        <v>151.02000000000001</v>
      </c>
      <c r="L63" s="64">
        <v>34.15</v>
      </c>
      <c r="M63" s="64">
        <v>53.14</v>
      </c>
      <c r="N63" s="64">
        <v>386.4</v>
      </c>
      <c r="O63" s="64">
        <v>0</v>
      </c>
      <c r="P63" s="64">
        <v>0.32</v>
      </c>
      <c r="Q63" s="64">
        <v>9.1300000000000008</v>
      </c>
      <c r="R63" s="198"/>
      <c r="S63" s="198"/>
      <c r="T63" s="198"/>
      <c r="U63" s="198"/>
    </row>
    <row r="64" spans="1:21" s="12" customFormat="1" x14ac:dyDescent="0.25">
      <c r="A64" s="211" t="s">
        <v>588</v>
      </c>
      <c r="B64" s="64">
        <v>3.64</v>
      </c>
      <c r="C64" s="64">
        <v>13.7</v>
      </c>
      <c r="D64" s="64">
        <v>20.64</v>
      </c>
      <c r="E64" s="64">
        <v>5.42</v>
      </c>
      <c r="F64" s="64">
        <v>17.87</v>
      </c>
      <c r="G64" s="64">
        <v>19.5</v>
      </c>
      <c r="H64" s="64">
        <v>665.7</v>
      </c>
      <c r="I64" s="64">
        <v>4.09</v>
      </c>
      <c r="J64" s="64">
        <v>0.08</v>
      </c>
      <c r="K64" s="64">
        <v>236.61</v>
      </c>
      <c r="L64" s="64">
        <v>34.58</v>
      </c>
      <c r="M64" s="64">
        <v>52.02</v>
      </c>
      <c r="N64" s="64">
        <v>402.6</v>
      </c>
      <c r="O64" s="64">
        <v>0</v>
      </c>
      <c r="P64" s="64">
        <v>0.35</v>
      </c>
      <c r="Q64" s="64">
        <v>9.1300000000000008</v>
      </c>
      <c r="R64" s="198"/>
      <c r="S64" s="198"/>
      <c r="T64" s="198"/>
      <c r="U64" s="198"/>
    </row>
    <row r="65" spans="1:21" s="12" customFormat="1" x14ac:dyDescent="0.25">
      <c r="A65" s="211" t="s">
        <v>589</v>
      </c>
      <c r="B65" s="64">
        <v>4.12</v>
      </c>
      <c r="C65" s="64">
        <v>14.26</v>
      </c>
      <c r="D65" s="64">
        <v>20.96</v>
      </c>
      <c r="E65" s="64">
        <v>5.74</v>
      </c>
      <c r="F65" s="64">
        <v>15.89</v>
      </c>
      <c r="G65" s="64">
        <v>19.170000000000002</v>
      </c>
      <c r="H65" s="64">
        <v>855.9</v>
      </c>
      <c r="I65" s="64">
        <v>3.91</v>
      </c>
      <c r="J65" s="64">
        <v>0.25</v>
      </c>
      <c r="K65" s="64">
        <v>303.04000000000002</v>
      </c>
      <c r="L65" s="64">
        <v>35.31</v>
      </c>
      <c r="M65" s="64">
        <v>49.73</v>
      </c>
      <c r="N65" s="64">
        <v>436.4</v>
      </c>
      <c r="O65" s="64">
        <v>0</v>
      </c>
      <c r="P65" s="64">
        <v>0.37</v>
      </c>
      <c r="Q65" s="64">
        <v>9.1199999999999992</v>
      </c>
      <c r="R65" s="198"/>
      <c r="S65" s="198"/>
      <c r="T65" s="198"/>
      <c r="U65" s="198"/>
    </row>
    <row r="66" spans="1:21" s="12" customFormat="1" x14ac:dyDescent="0.25">
      <c r="A66" s="211" t="s">
        <v>590</v>
      </c>
      <c r="B66" s="64">
        <v>4.46</v>
      </c>
      <c r="C66" s="64">
        <v>15.02</v>
      </c>
      <c r="D66" s="64">
        <v>21.91</v>
      </c>
      <c r="E66" s="64">
        <v>5.44</v>
      </c>
      <c r="F66" s="64">
        <v>8.76</v>
      </c>
      <c r="G66" s="64">
        <v>19.170000000000002</v>
      </c>
      <c r="H66" s="64">
        <v>855.9</v>
      </c>
      <c r="I66" s="64">
        <v>4.22</v>
      </c>
      <c r="J66" s="64">
        <v>0.17</v>
      </c>
      <c r="K66" s="64">
        <v>280.39</v>
      </c>
      <c r="L66" s="64">
        <v>34.51</v>
      </c>
      <c r="M66" s="64">
        <v>52.08</v>
      </c>
      <c r="N66" s="64">
        <v>252.7</v>
      </c>
      <c r="O66" s="64">
        <v>0</v>
      </c>
      <c r="P66" s="64">
        <v>0.37</v>
      </c>
      <c r="Q66" s="64">
        <v>9.11</v>
      </c>
      <c r="R66" s="198"/>
      <c r="S66" s="198"/>
      <c r="T66" s="198"/>
      <c r="U66" s="198"/>
    </row>
    <row r="67" spans="1:21" s="12" customFormat="1" x14ac:dyDescent="0.25">
      <c r="A67" s="211" t="s">
        <v>591</v>
      </c>
      <c r="B67" s="64">
        <v>3.74</v>
      </c>
      <c r="C67" s="64">
        <v>14.91</v>
      </c>
      <c r="D67" s="64">
        <v>22.79</v>
      </c>
      <c r="E67" s="64">
        <v>5.32</v>
      </c>
      <c r="F67" s="64">
        <v>4.6100000000000003</v>
      </c>
      <c r="G67" s="64">
        <v>19.170000000000002</v>
      </c>
      <c r="H67" s="64">
        <v>855.9</v>
      </c>
      <c r="I67" s="64">
        <v>4.01</v>
      </c>
      <c r="J67" s="64">
        <v>0.44</v>
      </c>
      <c r="K67" s="64">
        <v>289.35000000000002</v>
      </c>
      <c r="L67" s="64">
        <v>34.270000000000003</v>
      </c>
      <c r="M67" s="64">
        <v>53.77</v>
      </c>
      <c r="N67" s="64">
        <v>354.7</v>
      </c>
      <c r="O67" s="64">
        <v>0</v>
      </c>
      <c r="P67" s="64">
        <v>0.38</v>
      </c>
      <c r="Q67" s="64">
        <v>9.1</v>
      </c>
      <c r="R67" s="198"/>
      <c r="S67" s="198"/>
      <c r="T67" s="198"/>
      <c r="U67" s="198"/>
    </row>
    <row r="68" spans="1:21" s="12" customFormat="1" x14ac:dyDescent="0.25">
      <c r="A68" s="211" t="s">
        <v>592</v>
      </c>
      <c r="B68" s="64">
        <v>3.41</v>
      </c>
      <c r="C68" s="64">
        <v>14.66</v>
      </c>
      <c r="D68" s="64">
        <v>22.82</v>
      </c>
      <c r="E68" s="64">
        <v>5.38</v>
      </c>
      <c r="F68" s="64">
        <v>7.43</v>
      </c>
      <c r="G68" s="64">
        <v>20.56</v>
      </c>
      <c r="H68" s="64">
        <v>242.83</v>
      </c>
      <c r="I68" s="64">
        <v>4.0599999999999996</v>
      </c>
      <c r="J68" s="64">
        <v>0.35</v>
      </c>
      <c r="K68" s="64">
        <v>294</v>
      </c>
      <c r="L68" s="64">
        <v>34.24</v>
      </c>
      <c r="M68" s="64">
        <v>54.23</v>
      </c>
      <c r="N68" s="64">
        <v>215.2</v>
      </c>
      <c r="O68" s="64">
        <v>0</v>
      </c>
      <c r="P68" s="64">
        <v>0.4</v>
      </c>
      <c r="Q68" s="64">
        <v>9.09</v>
      </c>
      <c r="R68" s="198"/>
      <c r="S68" s="198"/>
      <c r="T68" s="198"/>
      <c r="U68" s="198"/>
    </row>
    <row r="69" spans="1:21" s="12" customFormat="1" x14ac:dyDescent="0.25">
      <c r="A69" s="211" t="s">
        <v>593</v>
      </c>
      <c r="B69" s="64">
        <v>3.44</v>
      </c>
      <c r="C69" s="64">
        <v>15.02</v>
      </c>
      <c r="D69" s="64">
        <v>23.47</v>
      </c>
      <c r="E69" s="64">
        <v>4.9400000000000004</v>
      </c>
      <c r="F69" s="64">
        <v>8.5</v>
      </c>
      <c r="G69" s="64">
        <v>20.96</v>
      </c>
      <c r="H69" s="64">
        <v>78.78</v>
      </c>
      <c r="I69" s="64">
        <v>3.95</v>
      </c>
      <c r="J69" s="64">
        <v>0.22</v>
      </c>
      <c r="K69" s="64">
        <v>292.86</v>
      </c>
      <c r="L69" s="64">
        <v>34.369999999999997</v>
      </c>
      <c r="M69" s="64">
        <v>52.18</v>
      </c>
      <c r="N69" s="64">
        <v>205.4</v>
      </c>
      <c r="O69" s="64">
        <v>0</v>
      </c>
      <c r="P69" s="64">
        <v>0.41</v>
      </c>
      <c r="Q69" s="64">
        <v>9.07</v>
      </c>
      <c r="R69" s="198"/>
      <c r="S69" s="198"/>
      <c r="T69" s="198"/>
      <c r="U69" s="198"/>
    </row>
    <row r="70" spans="1:21" s="12" customFormat="1" x14ac:dyDescent="0.25">
      <c r="A70" s="211" t="s">
        <v>594</v>
      </c>
      <c r="B70" s="64">
        <v>3.83</v>
      </c>
      <c r="C70" s="64">
        <v>16.55</v>
      </c>
      <c r="D70" s="64">
        <v>25.79</v>
      </c>
      <c r="E70" s="64">
        <v>5.0999999999999996</v>
      </c>
      <c r="F70" s="64">
        <v>10.47</v>
      </c>
      <c r="G70" s="64">
        <v>20.96</v>
      </c>
      <c r="H70" s="64">
        <v>78.78</v>
      </c>
      <c r="I70" s="64">
        <v>4.05</v>
      </c>
      <c r="J70" s="64">
        <v>0.23</v>
      </c>
      <c r="K70" s="64">
        <v>279.69</v>
      </c>
      <c r="L70" s="64">
        <v>34.4</v>
      </c>
      <c r="M70" s="64">
        <v>52.23</v>
      </c>
      <c r="N70" s="64">
        <v>392.8</v>
      </c>
      <c r="O70" s="64">
        <v>0</v>
      </c>
      <c r="P70" s="64">
        <v>0.42</v>
      </c>
      <c r="Q70" s="64">
        <v>9.08</v>
      </c>
      <c r="R70" s="198"/>
      <c r="S70" s="198"/>
      <c r="T70" s="198"/>
      <c r="U70" s="198"/>
    </row>
    <row r="71" spans="1:21" s="12" customFormat="1" x14ac:dyDescent="0.25">
      <c r="A71" s="211" t="s">
        <v>595</v>
      </c>
      <c r="B71" s="64">
        <v>4.97</v>
      </c>
      <c r="C71" s="64">
        <v>17.39</v>
      </c>
      <c r="D71" s="64">
        <v>25.65</v>
      </c>
      <c r="E71" s="64">
        <v>5.18</v>
      </c>
      <c r="F71" s="64">
        <v>16.11</v>
      </c>
      <c r="G71" s="64">
        <v>20.96</v>
      </c>
      <c r="H71" s="64">
        <v>78.78</v>
      </c>
      <c r="I71" s="64">
        <v>4.01</v>
      </c>
      <c r="J71" s="64">
        <v>0.14000000000000001</v>
      </c>
      <c r="K71" s="64">
        <v>298.39999999999998</v>
      </c>
      <c r="L71" s="64">
        <v>34.36</v>
      </c>
      <c r="M71" s="64">
        <v>51.95</v>
      </c>
      <c r="N71" s="64">
        <v>257</v>
      </c>
      <c r="O71" s="64">
        <v>0</v>
      </c>
      <c r="P71" s="64">
        <v>0.43</v>
      </c>
      <c r="Q71" s="64">
        <v>9.08</v>
      </c>
      <c r="R71" s="198"/>
      <c r="S71" s="198"/>
      <c r="T71" s="198"/>
      <c r="U71" s="198"/>
    </row>
    <row r="72" spans="1:21" s="12" customFormat="1" x14ac:dyDescent="0.25">
      <c r="A72" s="211" t="s">
        <v>596</v>
      </c>
      <c r="B72" s="64">
        <v>5.21</v>
      </c>
      <c r="C72" s="64">
        <v>18.440000000000001</v>
      </c>
      <c r="D72" s="64">
        <v>27.3</v>
      </c>
      <c r="E72" s="64">
        <v>3.49</v>
      </c>
      <c r="F72" s="64">
        <v>10.32</v>
      </c>
      <c r="G72" s="64">
        <v>22.13</v>
      </c>
      <c r="H72" s="64">
        <v>47.47</v>
      </c>
      <c r="I72" s="64">
        <v>3.9</v>
      </c>
      <c r="J72" s="64">
        <v>0.21</v>
      </c>
      <c r="K72" s="64">
        <v>291.72000000000003</v>
      </c>
      <c r="L72" s="64">
        <v>34.5</v>
      </c>
      <c r="M72" s="64">
        <v>51.78</v>
      </c>
      <c r="N72" s="64">
        <v>278.5</v>
      </c>
      <c r="O72" s="64">
        <v>0</v>
      </c>
      <c r="P72" s="64">
        <v>0.42</v>
      </c>
      <c r="Q72" s="64">
        <v>9.1</v>
      </c>
      <c r="R72" s="198"/>
      <c r="S72" s="198"/>
      <c r="T72" s="198"/>
      <c r="U72" s="198"/>
    </row>
    <row r="73" spans="1:21" s="12" customFormat="1" x14ac:dyDescent="0.25">
      <c r="A73" s="211" t="s">
        <v>597</v>
      </c>
      <c r="B73" s="64">
        <v>4.93</v>
      </c>
      <c r="C73" s="64">
        <v>18.45</v>
      </c>
      <c r="D73" s="64">
        <v>27.74</v>
      </c>
      <c r="E73" s="64">
        <v>4.8600000000000003</v>
      </c>
      <c r="F73" s="64">
        <v>12.94</v>
      </c>
      <c r="G73" s="64">
        <v>22.47</v>
      </c>
      <c r="H73" s="64">
        <v>38.520000000000003</v>
      </c>
      <c r="I73" s="64">
        <v>3.94</v>
      </c>
      <c r="J73" s="64">
        <v>0.28999999999999998</v>
      </c>
      <c r="K73" s="64">
        <v>309.93</v>
      </c>
      <c r="L73" s="64">
        <v>34.56</v>
      </c>
      <c r="M73" s="64">
        <v>51.22</v>
      </c>
      <c r="N73" s="64">
        <v>213.1</v>
      </c>
      <c r="O73" s="64">
        <v>0</v>
      </c>
      <c r="P73" s="64">
        <v>0.47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1" t="s">
        <v>598</v>
      </c>
      <c r="B74" s="64">
        <v>7.43</v>
      </c>
      <c r="C74" s="64">
        <v>20.32</v>
      </c>
      <c r="D74" s="64">
        <v>27.49</v>
      </c>
      <c r="E74" s="64">
        <v>4.49</v>
      </c>
      <c r="F74" s="64">
        <v>14.22</v>
      </c>
      <c r="G74" s="64">
        <v>22.47</v>
      </c>
      <c r="H74" s="64">
        <v>38.520000000000003</v>
      </c>
      <c r="I74" s="64">
        <v>3.87</v>
      </c>
      <c r="J74" s="64">
        <v>0.25</v>
      </c>
      <c r="K74" s="64">
        <v>309.48</v>
      </c>
      <c r="L74" s="64">
        <v>35.17</v>
      </c>
      <c r="M74" s="64">
        <v>49.75</v>
      </c>
      <c r="N74" s="64">
        <v>244.4</v>
      </c>
      <c r="O74" s="64">
        <v>0</v>
      </c>
      <c r="P74" s="64">
        <v>0.48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1" t="s">
        <v>599</v>
      </c>
      <c r="B75" s="64">
        <v>5.96</v>
      </c>
      <c r="C75" s="64">
        <v>19.010000000000002</v>
      </c>
      <c r="D75" s="64">
        <v>27.23</v>
      </c>
      <c r="E75" s="64">
        <v>4.3</v>
      </c>
      <c r="F75" s="64">
        <v>15.87</v>
      </c>
      <c r="G75" s="64">
        <v>22.47</v>
      </c>
      <c r="H75" s="64">
        <v>38.520000000000003</v>
      </c>
      <c r="I75" s="64">
        <v>4.0599999999999996</v>
      </c>
      <c r="J75" s="64">
        <v>0.33</v>
      </c>
      <c r="K75" s="64">
        <v>310.04000000000002</v>
      </c>
      <c r="L75" s="64">
        <v>35.270000000000003</v>
      </c>
      <c r="M75" s="64">
        <v>48.94</v>
      </c>
      <c r="N75" s="64">
        <v>195.9</v>
      </c>
      <c r="O75" s="64">
        <v>0</v>
      </c>
      <c r="P75" s="64">
        <v>0.5</v>
      </c>
      <c r="Q75" s="64">
        <v>9.15</v>
      </c>
      <c r="R75" s="198"/>
      <c r="S75" s="198"/>
      <c r="T75" s="198"/>
      <c r="U75" s="198"/>
    </row>
    <row r="76" spans="1:21" s="12" customFormat="1" x14ac:dyDescent="0.25">
      <c r="A76" s="211" t="s">
        <v>600</v>
      </c>
      <c r="B76" s="64">
        <v>4.5999999999999996</v>
      </c>
      <c r="C76" s="64">
        <v>17.05</v>
      </c>
      <c r="D76" s="64">
        <v>25.57</v>
      </c>
      <c r="E76" s="64">
        <v>4.75</v>
      </c>
      <c r="F76" s="64">
        <v>15.86</v>
      </c>
      <c r="G76" s="64">
        <v>22.27</v>
      </c>
      <c r="H76" s="64">
        <v>9.42</v>
      </c>
      <c r="I76" s="64">
        <v>4.05</v>
      </c>
      <c r="J76" s="64">
        <v>0.59</v>
      </c>
      <c r="K76" s="64">
        <v>149.29</v>
      </c>
      <c r="L76" s="64">
        <v>34.049999999999997</v>
      </c>
      <c r="M76" s="64">
        <v>50.18</v>
      </c>
      <c r="N76" s="64">
        <v>104.5</v>
      </c>
      <c r="O76" s="64">
        <v>0</v>
      </c>
      <c r="P76" s="64">
        <v>0.44</v>
      </c>
      <c r="Q76" s="64">
        <v>9.15</v>
      </c>
      <c r="R76" s="198"/>
      <c r="S76" s="198"/>
      <c r="T76" s="198"/>
      <c r="U76" s="198"/>
    </row>
    <row r="77" spans="1:21" s="12" customFormat="1" x14ac:dyDescent="0.25">
      <c r="A77" s="211" t="s">
        <v>601</v>
      </c>
      <c r="B77" s="64">
        <v>4.05</v>
      </c>
      <c r="C77" s="64">
        <v>15.15</v>
      </c>
      <c r="D77" s="64">
        <v>22.77</v>
      </c>
      <c r="E77" s="64">
        <v>4.33</v>
      </c>
      <c r="F77" s="64">
        <v>14.9</v>
      </c>
      <c r="G77" s="64">
        <v>22.21</v>
      </c>
      <c r="H77" s="64">
        <v>0</v>
      </c>
      <c r="I77" s="64">
        <v>3.97</v>
      </c>
      <c r="J77" s="64">
        <v>0.82</v>
      </c>
      <c r="K77" s="64">
        <v>153.87</v>
      </c>
      <c r="L77" s="64">
        <v>31.11</v>
      </c>
      <c r="M77" s="64">
        <v>63.27</v>
      </c>
      <c r="N77" s="64">
        <v>76.400000000000006</v>
      </c>
      <c r="O77" s="64">
        <v>0</v>
      </c>
      <c r="P77" s="64">
        <v>0.4</v>
      </c>
      <c r="Q77" s="64">
        <v>9.16</v>
      </c>
      <c r="R77" s="198"/>
      <c r="S77" s="198"/>
      <c r="T77" s="198"/>
      <c r="U77" s="198"/>
    </row>
    <row r="78" spans="1:21" s="12" customFormat="1" x14ac:dyDescent="0.25">
      <c r="A78" s="211" t="s">
        <v>602</v>
      </c>
      <c r="B78" s="64">
        <v>4.26</v>
      </c>
      <c r="C78" s="64">
        <v>15.41</v>
      </c>
      <c r="D78" s="64">
        <v>22.96</v>
      </c>
      <c r="E78" s="64">
        <v>4.18</v>
      </c>
      <c r="F78" s="64">
        <v>9.68</v>
      </c>
      <c r="G78" s="64">
        <v>22.21</v>
      </c>
      <c r="H78" s="64">
        <v>0</v>
      </c>
      <c r="I78" s="64">
        <v>4.03</v>
      </c>
      <c r="J78" s="64">
        <v>0.98</v>
      </c>
      <c r="K78" s="64">
        <v>160.49</v>
      </c>
      <c r="L78" s="64">
        <v>29.99</v>
      </c>
      <c r="M78" s="64">
        <v>67.23</v>
      </c>
      <c r="N78" s="64">
        <v>77.8</v>
      </c>
      <c r="O78" s="64">
        <v>0</v>
      </c>
      <c r="P78" s="64">
        <v>0.4</v>
      </c>
      <c r="Q78" s="64">
        <v>9.16</v>
      </c>
      <c r="R78" s="198"/>
      <c r="S78" s="198"/>
      <c r="T78" s="198"/>
      <c r="U78" s="198"/>
    </row>
    <row r="79" spans="1:21" s="12" customFormat="1" x14ac:dyDescent="0.25">
      <c r="A79" s="211" t="s">
        <v>603</v>
      </c>
      <c r="B79" s="64">
        <v>4.1399999999999997</v>
      </c>
      <c r="C79" s="64">
        <v>15.22</v>
      </c>
      <c r="D79" s="64">
        <v>22.77</v>
      </c>
      <c r="E79" s="64">
        <v>4.3899999999999997</v>
      </c>
      <c r="F79" s="64">
        <v>15</v>
      </c>
      <c r="G79" s="64">
        <v>22.21</v>
      </c>
      <c r="H79" s="64">
        <v>0</v>
      </c>
      <c r="I79" s="64">
        <v>3.93</v>
      </c>
      <c r="J79" s="64">
        <v>0.9</v>
      </c>
      <c r="K79" s="64">
        <v>113.09</v>
      </c>
      <c r="L79" s="64">
        <v>29.76</v>
      </c>
      <c r="M79" s="64">
        <v>66.48</v>
      </c>
      <c r="N79" s="64">
        <v>62.8</v>
      </c>
      <c r="O79" s="64">
        <v>0</v>
      </c>
      <c r="P79" s="64">
        <v>0.37</v>
      </c>
      <c r="Q79" s="64">
        <v>9.16</v>
      </c>
      <c r="R79" s="198"/>
      <c r="S79" s="198"/>
      <c r="T79" s="198"/>
      <c r="U79" s="198"/>
    </row>
    <row r="80" spans="1:21" s="12" customFormat="1" x14ac:dyDescent="0.25">
      <c r="A80" s="211" t="s">
        <v>604</v>
      </c>
      <c r="B80" s="64">
        <v>3.96</v>
      </c>
      <c r="C80" s="64">
        <v>14.26</v>
      </c>
      <c r="D80" s="64">
        <v>21.21</v>
      </c>
      <c r="E80" s="64">
        <v>4.5199999999999996</v>
      </c>
      <c r="F80" s="64">
        <v>14.31</v>
      </c>
      <c r="G80" s="64">
        <v>22.16</v>
      </c>
      <c r="H80" s="64">
        <v>2037.5</v>
      </c>
      <c r="I80" s="64">
        <v>4.1900000000000004</v>
      </c>
      <c r="J80" s="64">
        <v>1.39</v>
      </c>
      <c r="K80" s="64">
        <v>108.28</v>
      </c>
      <c r="L80" s="64">
        <v>29.67</v>
      </c>
      <c r="M80" s="64">
        <v>71.040000000000006</v>
      </c>
      <c r="N80" s="64">
        <v>55</v>
      </c>
      <c r="O80" s="64">
        <v>0</v>
      </c>
      <c r="P80" s="64">
        <v>0.37</v>
      </c>
      <c r="Q80" s="64">
        <v>9.17</v>
      </c>
      <c r="R80" s="198"/>
      <c r="S80" s="198"/>
      <c r="T80" s="198"/>
      <c r="U80" s="198"/>
    </row>
    <row r="81" spans="1:26" s="12" customFormat="1" x14ac:dyDescent="0.25">
      <c r="A81" s="211" t="s">
        <v>605</v>
      </c>
      <c r="B81" s="64">
        <v>5.54</v>
      </c>
      <c r="C81" s="64">
        <v>16.420000000000002</v>
      </c>
      <c r="D81" s="64">
        <v>22.92</v>
      </c>
      <c r="E81" s="64">
        <v>4.3099999999999996</v>
      </c>
      <c r="F81" s="64">
        <v>16.14</v>
      </c>
      <c r="G81" s="64">
        <v>22.15</v>
      </c>
      <c r="H81" s="64">
        <v>2619.64</v>
      </c>
      <c r="I81" s="64">
        <v>4</v>
      </c>
      <c r="J81" s="64">
        <v>0.89</v>
      </c>
      <c r="K81" s="64">
        <v>105.52</v>
      </c>
      <c r="L81" s="64">
        <v>28.96</v>
      </c>
      <c r="M81" s="64">
        <v>76.510000000000005</v>
      </c>
      <c r="N81" s="64">
        <v>46.4</v>
      </c>
      <c r="O81" s="64">
        <v>0</v>
      </c>
      <c r="P81" s="64">
        <v>0.38</v>
      </c>
      <c r="Q81" s="64">
        <v>9.16</v>
      </c>
      <c r="R81" s="198"/>
      <c r="S81" s="198"/>
      <c r="T81" s="198"/>
      <c r="U81" s="198"/>
    </row>
    <row r="82" spans="1:26" s="12" customFormat="1" x14ac:dyDescent="0.25">
      <c r="A82" s="211" t="s">
        <v>606</v>
      </c>
      <c r="B82" s="64">
        <v>6.83</v>
      </c>
      <c r="C82" s="64">
        <v>19.7</v>
      </c>
      <c r="D82" s="64">
        <v>27.21</v>
      </c>
      <c r="E82" s="64">
        <v>4.54</v>
      </c>
      <c r="F82" s="64">
        <v>17.309999999999999</v>
      </c>
      <c r="G82" s="64">
        <v>22.15</v>
      </c>
      <c r="H82" s="64">
        <v>2619.64</v>
      </c>
      <c r="I82" s="64">
        <v>3.91</v>
      </c>
      <c r="J82" s="64">
        <v>0.17</v>
      </c>
      <c r="K82" s="64">
        <v>6.48</v>
      </c>
      <c r="L82" s="64">
        <v>26.44</v>
      </c>
      <c r="M82" s="64">
        <v>99.17</v>
      </c>
      <c r="N82" s="64">
        <v>48.5</v>
      </c>
      <c r="O82" s="64">
        <v>0.8</v>
      </c>
      <c r="P82" s="64">
        <v>0.51</v>
      </c>
      <c r="Q82" s="64">
        <v>9.17</v>
      </c>
      <c r="R82" s="198"/>
      <c r="S82" s="198"/>
      <c r="T82" s="198"/>
      <c r="U82" s="198"/>
    </row>
    <row r="83" spans="1:26" s="12" customFormat="1" x14ac:dyDescent="0.25">
      <c r="A83" s="211" t="s">
        <v>607</v>
      </c>
      <c r="B83" s="64">
        <v>7.9</v>
      </c>
      <c r="C83" s="64">
        <v>24.01</v>
      </c>
      <c r="D83" s="64">
        <v>33.83</v>
      </c>
      <c r="E83" s="64">
        <v>4.3899999999999997</v>
      </c>
      <c r="F83" s="64">
        <v>14.04</v>
      </c>
      <c r="G83" s="64">
        <v>22.15</v>
      </c>
      <c r="H83" s="64">
        <v>2619.64</v>
      </c>
      <c r="I83" s="64">
        <v>4.12</v>
      </c>
      <c r="J83" s="64">
        <v>0.15</v>
      </c>
      <c r="K83" s="64">
        <v>328.2</v>
      </c>
      <c r="L83" s="64">
        <v>25.45</v>
      </c>
      <c r="M83" s="64">
        <v>101.71</v>
      </c>
      <c r="N83" s="64">
        <v>45.5</v>
      </c>
      <c r="O83" s="64">
        <v>0</v>
      </c>
      <c r="P83" s="64">
        <v>0.64</v>
      </c>
      <c r="Q83" s="64">
        <v>9.18</v>
      </c>
      <c r="R83" s="198"/>
      <c r="S83" s="198"/>
      <c r="T83" s="198"/>
      <c r="U83" s="198"/>
    </row>
    <row r="84" spans="1:26" s="12" customFormat="1" x14ac:dyDescent="0.25">
      <c r="A84" s="211" t="s">
        <v>608</v>
      </c>
      <c r="B84" s="64">
        <v>6.58</v>
      </c>
      <c r="C84" s="64">
        <v>18.52</v>
      </c>
      <c r="D84" s="64">
        <v>25.34</v>
      </c>
      <c r="E84" s="64">
        <v>4.62</v>
      </c>
      <c r="F84" s="64">
        <v>7.45</v>
      </c>
      <c r="G84" s="64">
        <v>21.55</v>
      </c>
      <c r="H84" s="64">
        <v>684.68</v>
      </c>
      <c r="I84" s="64">
        <v>4.1100000000000003</v>
      </c>
      <c r="J84" s="64">
        <v>0.22</v>
      </c>
      <c r="K84" s="64">
        <v>111.37</v>
      </c>
      <c r="L84" s="64">
        <v>25.55</v>
      </c>
      <c r="M84" s="64">
        <v>96.66</v>
      </c>
      <c r="N84" s="64">
        <v>44.9</v>
      </c>
      <c r="O84" s="64">
        <v>0</v>
      </c>
      <c r="P84" s="64">
        <v>0.48</v>
      </c>
      <c r="Q84" s="64">
        <v>9.1999999999999993</v>
      </c>
      <c r="R84" s="198"/>
      <c r="S84" s="198"/>
      <c r="T84" s="198"/>
      <c r="U84" s="198"/>
    </row>
    <row r="85" spans="1:26" s="12" customFormat="1" x14ac:dyDescent="0.25">
      <c r="A85" s="211" t="s">
        <v>609</v>
      </c>
      <c r="B85" s="64">
        <v>7.74</v>
      </c>
      <c r="C85" s="64">
        <v>21.42</v>
      </c>
      <c r="D85" s="64">
        <v>29.12</v>
      </c>
      <c r="E85" s="64">
        <v>4.68</v>
      </c>
      <c r="F85" s="64">
        <v>10.98</v>
      </c>
      <c r="G85" s="64">
        <v>21.39</v>
      </c>
      <c r="H85" s="64">
        <v>0</v>
      </c>
      <c r="I85" s="64">
        <v>4.12</v>
      </c>
      <c r="J85" s="64">
        <v>0.17</v>
      </c>
      <c r="K85" s="64">
        <v>296.27999999999997</v>
      </c>
      <c r="L85" s="64">
        <v>25.93</v>
      </c>
      <c r="M85" s="64">
        <v>95.9</v>
      </c>
      <c r="N85" s="64">
        <v>43.7</v>
      </c>
      <c r="O85" s="64">
        <v>0</v>
      </c>
      <c r="P85" s="64">
        <v>0.57999999999999996</v>
      </c>
      <c r="Q85" s="64">
        <v>9.1999999999999993</v>
      </c>
      <c r="R85" s="198"/>
      <c r="S85" s="198"/>
      <c r="T85" s="198"/>
      <c r="U85" s="198"/>
    </row>
    <row r="86" spans="1:26" s="12" customFormat="1" x14ac:dyDescent="0.25">
      <c r="A86" s="211" t="s">
        <v>610</v>
      </c>
      <c r="B86" s="64">
        <v>7.99</v>
      </c>
      <c r="C86" s="64">
        <v>22.58</v>
      </c>
      <c r="D86" s="64">
        <v>30.97</v>
      </c>
      <c r="E86" s="64">
        <v>4.5999999999999996</v>
      </c>
      <c r="F86" s="64">
        <v>10.18</v>
      </c>
      <c r="G86" s="64">
        <v>21.39</v>
      </c>
      <c r="H86" s="64">
        <v>0</v>
      </c>
      <c r="I86" s="64">
        <v>4.24</v>
      </c>
      <c r="J86" s="64">
        <v>7.0000000000000007E-2</v>
      </c>
      <c r="K86" s="64">
        <v>33.29</v>
      </c>
      <c r="L86" s="64">
        <v>26.56</v>
      </c>
      <c r="M86" s="64">
        <v>93.22</v>
      </c>
      <c r="N86" s="64">
        <v>43.6</v>
      </c>
      <c r="O86" s="64">
        <v>0</v>
      </c>
      <c r="P86" s="64">
        <v>0.57999999999999996</v>
      </c>
      <c r="Q86" s="64">
        <v>9.2100000000000009</v>
      </c>
      <c r="R86" s="198"/>
      <c r="S86" s="198"/>
      <c r="T86" s="198"/>
      <c r="U86" s="198"/>
    </row>
    <row r="87" spans="1:26" s="12" customFormat="1" x14ac:dyDescent="0.25">
      <c r="A87" s="211" t="s">
        <v>611</v>
      </c>
      <c r="B87" s="64">
        <v>10.220000000000001</v>
      </c>
      <c r="C87" s="64">
        <v>25.5</v>
      </c>
      <c r="D87" s="64">
        <v>33.11</v>
      </c>
      <c r="E87" s="64">
        <v>4.6100000000000003</v>
      </c>
      <c r="F87" s="64">
        <v>6.24</v>
      </c>
      <c r="G87" s="64">
        <v>21.39</v>
      </c>
      <c r="H87" s="64">
        <v>0</v>
      </c>
      <c r="I87" s="64">
        <v>4.09</v>
      </c>
      <c r="J87" s="64">
        <v>0.75</v>
      </c>
      <c r="K87" s="64">
        <v>103.71</v>
      </c>
      <c r="L87" s="64">
        <v>27</v>
      </c>
      <c r="M87" s="64">
        <v>87.15</v>
      </c>
      <c r="N87" s="64">
        <v>44.3</v>
      </c>
      <c r="O87" s="64">
        <v>0</v>
      </c>
      <c r="P87" s="64">
        <v>0.64</v>
      </c>
      <c r="Q87" s="64">
        <v>9.25</v>
      </c>
      <c r="R87" s="198"/>
      <c r="S87" s="198"/>
      <c r="T87" s="198"/>
      <c r="U87" s="198"/>
    </row>
    <row r="88" spans="1:26" s="12" customFormat="1" x14ac:dyDescent="0.25">
      <c r="A88" s="211" t="s">
        <v>612</v>
      </c>
      <c r="B88" s="64">
        <v>7.05</v>
      </c>
      <c r="C88" s="64">
        <v>17.649999999999999</v>
      </c>
      <c r="D88" s="64">
        <v>22.96</v>
      </c>
      <c r="E88" s="64">
        <v>4.3</v>
      </c>
      <c r="F88" s="64">
        <v>8.56</v>
      </c>
      <c r="G88" s="64">
        <v>22.32</v>
      </c>
      <c r="H88" s="64">
        <v>2850.75</v>
      </c>
      <c r="I88" s="64">
        <v>3.9</v>
      </c>
      <c r="J88" s="64">
        <v>0.99</v>
      </c>
      <c r="K88" s="64">
        <v>107.56</v>
      </c>
      <c r="L88" s="64">
        <v>26.53</v>
      </c>
      <c r="M88" s="64">
        <v>90.54</v>
      </c>
      <c r="N88" s="64">
        <v>43.4</v>
      </c>
      <c r="O88" s="64">
        <v>0.2</v>
      </c>
      <c r="P88" s="64">
        <v>0.44</v>
      </c>
      <c r="Q88" s="64">
        <v>9.25</v>
      </c>
      <c r="R88" s="198"/>
      <c r="S88" s="198"/>
      <c r="T88" s="198"/>
      <c r="U88" s="198"/>
    </row>
    <row r="89" spans="1:26" s="12" customFormat="1" x14ac:dyDescent="0.25">
      <c r="A89" s="211" t="s">
        <v>613</v>
      </c>
      <c r="B89" s="64">
        <v>6.84</v>
      </c>
      <c r="C89" s="64">
        <v>17.93</v>
      </c>
      <c r="D89" s="64">
        <v>23.83</v>
      </c>
      <c r="E89" s="64">
        <v>4.3099999999999996</v>
      </c>
      <c r="F89" s="64">
        <v>9.0299999999999994</v>
      </c>
      <c r="G89" s="64">
        <v>22.58</v>
      </c>
      <c r="H89" s="64">
        <v>3665.25</v>
      </c>
      <c r="I89" s="64">
        <v>4.0599999999999996</v>
      </c>
      <c r="J89" s="64">
        <v>0.53</v>
      </c>
      <c r="K89" s="64">
        <v>101.7</v>
      </c>
      <c r="L89" s="64">
        <v>25.81</v>
      </c>
      <c r="M89" s="64">
        <v>98.12</v>
      </c>
      <c r="N89" s="64">
        <v>41.7</v>
      </c>
      <c r="O89" s="64">
        <v>0</v>
      </c>
      <c r="P89" s="64">
        <v>0.47</v>
      </c>
      <c r="Q89" s="64">
        <v>9.24</v>
      </c>
      <c r="R89" s="198"/>
      <c r="S89" s="198"/>
      <c r="T89" s="198"/>
      <c r="U89" s="198"/>
    </row>
    <row r="90" spans="1:26" s="12" customFormat="1" x14ac:dyDescent="0.25">
      <c r="A90" s="211" t="s">
        <v>614</v>
      </c>
      <c r="B90" s="64">
        <v>6.64</v>
      </c>
      <c r="C90" s="64">
        <v>17.95</v>
      </c>
      <c r="D90" s="64">
        <v>24.15</v>
      </c>
      <c r="E90" s="64">
        <v>4.3099999999999996</v>
      </c>
      <c r="F90" s="64">
        <v>8.52</v>
      </c>
      <c r="G90" s="64">
        <v>22.58</v>
      </c>
      <c r="H90" s="64">
        <v>3665.25</v>
      </c>
      <c r="I90" s="64">
        <v>3.83</v>
      </c>
      <c r="J90" s="64">
        <v>1.24</v>
      </c>
      <c r="K90" s="64">
        <v>117.41</v>
      </c>
      <c r="L90" s="64">
        <v>25.92</v>
      </c>
      <c r="M90" s="64">
        <v>96.36</v>
      </c>
      <c r="N90" s="64">
        <v>41.1</v>
      </c>
      <c r="O90" s="64">
        <v>0</v>
      </c>
      <c r="P90" s="64">
        <v>0.42</v>
      </c>
      <c r="Q90" s="64">
        <v>9.23</v>
      </c>
      <c r="R90" s="198"/>
      <c r="S90" s="198"/>
      <c r="T90" s="198"/>
      <c r="U90" s="198"/>
    </row>
    <row r="91" spans="1:26" s="12" customFormat="1" x14ac:dyDescent="0.25">
      <c r="A91" s="211" t="s">
        <v>615</v>
      </c>
      <c r="B91" s="64">
        <v>7.58</v>
      </c>
      <c r="C91" s="64">
        <v>21.06</v>
      </c>
      <c r="D91" s="64">
        <v>28.68</v>
      </c>
      <c r="E91" s="64">
        <v>4.45</v>
      </c>
      <c r="F91" s="64">
        <v>7.2</v>
      </c>
      <c r="G91" s="64">
        <v>22.58</v>
      </c>
      <c r="H91" s="64">
        <v>3665.25</v>
      </c>
      <c r="I91" s="64">
        <v>4.1399999999999997</v>
      </c>
      <c r="J91" s="64">
        <v>0.56999999999999995</v>
      </c>
      <c r="K91" s="64">
        <v>115.96</v>
      </c>
      <c r="L91" s="64">
        <v>26.33</v>
      </c>
      <c r="M91" s="64">
        <v>93.72</v>
      </c>
      <c r="N91" s="64">
        <v>41.6</v>
      </c>
      <c r="O91" s="64">
        <v>0</v>
      </c>
      <c r="P91" s="64">
        <v>0.46</v>
      </c>
      <c r="Q91" s="64">
        <v>9.23</v>
      </c>
      <c r="R91" s="198"/>
      <c r="S91" s="198"/>
      <c r="T91" s="198"/>
      <c r="U91" s="198"/>
    </row>
    <row r="92" spans="1:26" s="12" customFormat="1" x14ac:dyDescent="0.25">
      <c r="A92" s="211" t="s">
        <v>616</v>
      </c>
      <c r="B92" s="64">
        <v>9.61</v>
      </c>
      <c r="C92" s="64">
        <v>24.88</v>
      </c>
      <c r="D92" s="64">
        <v>32.86</v>
      </c>
      <c r="E92" s="64">
        <v>4.25</v>
      </c>
      <c r="F92" s="64">
        <v>8.16</v>
      </c>
      <c r="G92" s="64">
        <v>21.58</v>
      </c>
      <c r="H92" s="64">
        <v>820.05</v>
      </c>
      <c r="I92" s="64">
        <v>4.09</v>
      </c>
      <c r="J92" s="64">
        <v>0.08</v>
      </c>
      <c r="K92" s="64">
        <v>307.02999999999997</v>
      </c>
      <c r="L92" s="64">
        <v>26.44</v>
      </c>
      <c r="M92" s="64">
        <v>94.61</v>
      </c>
      <c r="N92" s="64">
        <v>42.6</v>
      </c>
      <c r="O92" s="64">
        <v>0</v>
      </c>
      <c r="P92" s="64">
        <v>0.53</v>
      </c>
      <c r="Q92" s="64">
        <v>9.23</v>
      </c>
      <c r="R92" s="198"/>
      <c r="S92" s="198"/>
      <c r="T92" s="198"/>
      <c r="U92" s="198"/>
    </row>
    <row r="93" spans="1:26" s="12" customFormat="1" x14ac:dyDescent="0.25">
      <c r="A93" s="211" t="s">
        <v>617</v>
      </c>
      <c r="B93" s="64">
        <v>7.04</v>
      </c>
      <c r="C93" s="64">
        <v>19.079999999999998</v>
      </c>
      <c r="D93" s="64">
        <v>25.71</v>
      </c>
      <c r="E93" s="64">
        <v>4.28</v>
      </c>
      <c r="F93" s="64">
        <v>6.02</v>
      </c>
      <c r="G93" s="64">
        <v>21.29</v>
      </c>
      <c r="H93" s="64">
        <v>58.66</v>
      </c>
      <c r="I93" s="64">
        <v>3.99</v>
      </c>
      <c r="J93" s="64">
        <v>0.05</v>
      </c>
      <c r="K93" s="64">
        <v>244.81</v>
      </c>
      <c r="L93" s="64">
        <v>26.45</v>
      </c>
      <c r="M93" s="64">
        <v>94.68</v>
      </c>
      <c r="N93" s="64">
        <v>42.7</v>
      </c>
      <c r="O93" s="64">
        <v>0</v>
      </c>
      <c r="P93" s="64">
        <v>0.45</v>
      </c>
      <c r="Q93" s="64">
        <v>9.23</v>
      </c>
      <c r="R93" s="198"/>
      <c r="S93" s="198"/>
      <c r="T93" s="198"/>
      <c r="U93" s="198"/>
    </row>
    <row r="94" spans="1:26" s="12" customFormat="1" x14ac:dyDescent="0.25">
      <c r="A94" s="211" t="s">
        <v>618</v>
      </c>
      <c r="B94" s="64">
        <v>8.8000000000000007</v>
      </c>
      <c r="C94" s="64">
        <v>19.760000000000002</v>
      </c>
      <c r="D94" s="64">
        <v>24.32</v>
      </c>
      <c r="E94" s="64">
        <v>4.51</v>
      </c>
      <c r="F94" s="64">
        <v>10.45</v>
      </c>
      <c r="G94" s="64">
        <v>21.29</v>
      </c>
      <c r="H94" s="64">
        <v>58.66</v>
      </c>
      <c r="I94" s="64">
        <v>3.99</v>
      </c>
      <c r="J94" s="64">
        <v>0.04</v>
      </c>
      <c r="K94" s="64">
        <v>295.36</v>
      </c>
      <c r="L94" s="64">
        <v>26.39</v>
      </c>
      <c r="M94" s="64">
        <v>94.14</v>
      </c>
      <c r="N94" s="64">
        <v>42.8</v>
      </c>
      <c r="O94" s="64">
        <v>0</v>
      </c>
      <c r="P94" s="64">
        <v>0.44</v>
      </c>
      <c r="Q94" s="64">
        <v>9.25</v>
      </c>
      <c r="R94" s="198"/>
      <c r="S94" s="198"/>
      <c r="T94" s="198"/>
      <c r="U94" s="198"/>
    </row>
    <row r="95" spans="1:26" s="12" customFormat="1" x14ac:dyDescent="0.25">
      <c r="A95" s="211" t="s">
        <v>619</v>
      </c>
      <c r="B95" s="64">
        <v>7.38</v>
      </c>
      <c r="C95" s="64">
        <v>21.34</v>
      </c>
      <c r="D95" s="64">
        <v>29.51</v>
      </c>
      <c r="E95" s="64">
        <v>4.1900000000000004</v>
      </c>
      <c r="F95" s="64">
        <v>8.83</v>
      </c>
      <c r="G95" s="64">
        <v>21.29</v>
      </c>
      <c r="H95" s="64">
        <v>58.66</v>
      </c>
      <c r="I95" s="64">
        <v>3.86</v>
      </c>
      <c r="J95" s="64">
        <v>0</v>
      </c>
      <c r="K95" s="64">
        <v>262.75</v>
      </c>
      <c r="L95" s="64">
        <v>26.27</v>
      </c>
      <c r="M95" s="64">
        <v>92.64</v>
      </c>
      <c r="N95" s="64">
        <v>43.3</v>
      </c>
      <c r="O95" s="64">
        <v>0</v>
      </c>
      <c r="P95" s="64">
        <v>0.44</v>
      </c>
      <c r="Q95" s="64">
        <v>9.23</v>
      </c>
      <c r="R95" s="198"/>
      <c r="S95" s="198"/>
      <c r="T95" s="198"/>
      <c r="U95" s="198"/>
    </row>
    <row r="96" spans="1:26" s="12" customFormat="1" x14ac:dyDescent="0.25">
      <c r="A96" s="211" t="s">
        <v>620</v>
      </c>
      <c r="B96" s="64">
        <v>5.58</v>
      </c>
      <c r="C96" s="64">
        <v>17.59</v>
      </c>
      <c r="D96" s="64">
        <v>25.11</v>
      </c>
      <c r="E96" s="64">
        <v>4.1100000000000003</v>
      </c>
      <c r="F96" s="64">
        <v>5.63</v>
      </c>
      <c r="G96" s="64">
        <v>23.12</v>
      </c>
      <c r="H96" s="64">
        <v>55.48</v>
      </c>
      <c r="I96" s="64">
        <v>4.09</v>
      </c>
      <c r="J96" s="64">
        <v>0.15</v>
      </c>
      <c r="K96" s="64">
        <v>321.73</v>
      </c>
      <c r="L96" s="64">
        <v>25.6</v>
      </c>
      <c r="M96" s="64">
        <v>95.85</v>
      </c>
      <c r="N96" s="64">
        <v>43.8</v>
      </c>
      <c r="O96" s="64">
        <v>0</v>
      </c>
      <c r="P96" s="64">
        <v>0.4</v>
      </c>
      <c r="Q96" s="64">
        <v>9.2100000000000009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621</v>
      </c>
      <c r="B97" s="64">
        <v>6.5</v>
      </c>
      <c r="C97" s="64">
        <v>19.09</v>
      </c>
      <c r="D97" s="64">
        <v>26.56</v>
      </c>
      <c r="E97" s="64">
        <v>4.28</v>
      </c>
      <c r="F97" s="64">
        <v>5.39</v>
      </c>
      <c r="G97" s="64">
        <v>23.61</v>
      </c>
      <c r="H97" s="64">
        <v>54.63</v>
      </c>
      <c r="I97" s="64">
        <v>4.1500000000000004</v>
      </c>
      <c r="J97" s="64">
        <v>0.19</v>
      </c>
      <c r="K97" s="64">
        <v>314.44</v>
      </c>
      <c r="L97" s="64">
        <v>25.43</v>
      </c>
      <c r="M97" s="64">
        <v>100.11</v>
      </c>
      <c r="N97" s="64">
        <v>43.1</v>
      </c>
      <c r="O97" s="64">
        <v>0</v>
      </c>
      <c r="P97" s="64">
        <v>0.5</v>
      </c>
      <c r="Q97" s="64">
        <v>9.2100000000000009</v>
      </c>
      <c r="R97" s="198"/>
      <c r="S97" s="198"/>
      <c r="T97" s="198"/>
      <c r="U97" s="198"/>
    </row>
    <row r="98" spans="1:33" s="12" customFormat="1" x14ac:dyDescent="0.25">
      <c r="A98" s="211" t="s">
        <v>622</v>
      </c>
      <c r="B98" s="64">
        <v>7.38</v>
      </c>
      <c r="C98" s="64">
        <v>20.71</v>
      </c>
      <c r="D98" s="64">
        <v>28.32</v>
      </c>
      <c r="E98" s="64">
        <v>3.85</v>
      </c>
      <c r="F98" s="64">
        <v>5.05</v>
      </c>
      <c r="G98" s="64">
        <v>23.61</v>
      </c>
      <c r="H98" s="64">
        <v>54.63</v>
      </c>
      <c r="I98" s="64">
        <v>4.0599999999999996</v>
      </c>
      <c r="J98" s="64">
        <v>0.4</v>
      </c>
      <c r="K98" s="64">
        <v>318.12</v>
      </c>
      <c r="L98" s="64">
        <v>25.41</v>
      </c>
      <c r="M98" s="64">
        <v>100.92</v>
      </c>
      <c r="N98" s="64">
        <v>43.6</v>
      </c>
      <c r="O98" s="64">
        <v>0</v>
      </c>
      <c r="P98" s="64">
        <v>0.52</v>
      </c>
      <c r="Q98" s="64">
        <v>9.2200000000000006</v>
      </c>
      <c r="R98" s="198"/>
      <c r="S98" s="198"/>
      <c r="T98" s="198"/>
      <c r="U98" s="198"/>
    </row>
    <row r="99" spans="1:33" s="12" customFormat="1" x14ac:dyDescent="0.25">
      <c r="A99" s="211" t="s">
        <v>623</v>
      </c>
      <c r="B99" s="64">
        <v>6.73</v>
      </c>
      <c r="C99" s="64">
        <v>19.63</v>
      </c>
      <c r="D99" s="64">
        <v>27.23</v>
      </c>
      <c r="E99" s="64">
        <v>3.97</v>
      </c>
      <c r="F99" s="64">
        <v>5.45</v>
      </c>
      <c r="G99" s="64">
        <v>23.61</v>
      </c>
      <c r="H99" s="64">
        <v>54.63</v>
      </c>
      <c r="I99" s="64">
        <v>3.85</v>
      </c>
      <c r="J99" s="64">
        <v>0.28999999999999998</v>
      </c>
      <c r="K99" s="64">
        <v>312.85000000000002</v>
      </c>
      <c r="L99" s="64">
        <v>25.3</v>
      </c>
      <c r="M99" s="64">
        <v>101.73</v>
      </c>
      <c r="N99" s="64">
        <v>43.4</v>
      </c>
      <c r="O99" s="64">
        <v>0</v>
      </c>
      <c r="P99" s="64">
        <v>0.5</v>
      </c>
      <c r="Q99" s="64">
        <v>9.23</v>
      </c>
      <c r="R99" s="198"/>
      <c r="S99" s="198"/>
      <c r="T99" s="198"/>
      <c r="U99" s="198"/>
    </row>
    <row r="100" spans="1:33" s="12" customFormat="1" x14ac:dyDescent="0.25">
      <c r="A100" s="211" t="s">
        <v>624</v>
      </c>
      <c r="B100" s="64">
        <v>6.86</v>
      </c>
      <c r="C100" s="64">
        <v>19.79</v>
      </c>
      <c r="D100" s="64">
        <v>27.34</v>
      </c>
      <c r="E100" s="64">
        <v>4.07</v>
      </c>
      <c r="F100" s="64">
        <v>4.1100000000000003</v>
      </c>
      <c r="G100" s="64">
        <v>23.1</v>
      </c>
      <c r="H100" s="64">
        <v>48.84</v>
      </c>
      <c r="I100" s="64">
        <v>4.03</v>
      </c>
      <c r="J100" s="64">
        <v>0.53</v>
      </c>
      <c r="K100" s="64">
        <v>304.95999999999998</v>
      </c>
      <c r="L100" s="64">
        <v>25.18</v>
      </c>
      <c r="M100" s="64">
        <v>101.73</v>
      </c>
      <c r="N100" s="64">
        <v>43.5</v>
      </c>
      <c r="O100" s="64">
        <v>0</v>
      </c>
      <c r="P100" s="64">
        <v>0.49</v>
      </c>
      <c r="Q100" s="64">
        <v>9.25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625</v>
      </c>
      <c r="B101" s="64">
        <v>11.66</v>
      </c>
      <c r="C101" s="64">
        <v>30.1</v>
      </c>
      <c r="D101" s="64">
        <v>39.71</v>
      </c>
      <c r="E101" s="64">
        <v>4.28</v>
      </c>
      <c r="F101" s="64">
        <v>5.78</v>
      </c>
      <c r="G101" s="64">
        <v>22.96</v>
      </c>
      <c r="H101" s="64">
        <v>47.19</v>
      </c>
      <c r="I101" s="64">
        <v>3.95</v>
      </c>
      <c r="J101" s="64">
        <v>0.08</v>
      </c>
      <c r="K101" s="64">
        <v>319.43</v>
      </c>
      <c r="L101" s="64">
        <v>25.01</v>
      </c>
      <c r="M101" s="64">
        <v>101.73</v>
      </c>
      <c r="N101" s="64">
        <v>43.4</v>
      </c>
      <c r="O101" s="64">
        <v>0</v>
      </c>
      <c r="P101" s="64">
        <v>0.56999999999999995</v>
      </c>
      <c r="Q101" s="64">
        <v>9.27</v>
      </c>
      <c r="R101" s="198"/>
      <c r="S101" s="198"/>
      <c r="T101" s="198"/>
      <c r="U101" s="198"/>
    </row>
    <row r="102" spans="1:33" s="12" customFormat="1" x14ac:dyDescent="0.25">
      <c r="A102" s="211" t="s">
        <v>626</v>
      </c>
      <c r="B102" s="64">
        <v>7.3</v>
      </c>
      <c r="C102" s="64">
        <v>20.07</v>
      </c>
      <c r="D102" s="64">
        <v>27.2</v>
      </c>
      <c r="E102" s="64">
        <v>4.1100000000000003</v>
      </c>
      <c r="F102" s="64">
        <v>3.64</v>
      </c>
      <c r="G102" s="64">
        <v>22.96</v>
      </c>
      <c r="H102" s="64">
        <v>47.19</v>
      </c>
      <c r="I102" s="64">
        <v>4.03</v>
      </c>
      <c r="J102" s="64">
        <v>0.08</v>
      </c>
      <c r="K102" s="64">
        <v>156.08000000000001</v>
      </c>
      <c r="L102" s="64">
        <v>24.77</v>
      </c>
      <c r="M102" s="64">
        <v>101.73</v>
      </c>
      <c r="N102" s="64">
        <v>43.4</v>
      </c>
      <c r="O102" s="64">
        <v>0</v>
      </c>
      <c r="P102" s="64">
        <v>0.51</v>
      </c>
      <c r="Q102" s="64">
        <v>9.2799999999999994</v>
      </c>
      <c r="R102" s="198"/>
      <c r="S102" s="198"/>
      <c r="T102" s="198"/>
      <c r="U102" s="198"/>
    </row>
    <row r="103" spans="1:33" s="12" customFormat="1" x14ac:dyDescent="0.25">
      <c r="A103" s="211" t="s">
        <v>627</v>
      </c>
      <c r="B103" s="64">
        <v>7.31</v>
      </c>
      <c r="C103" s="64">
        <v>19.260000000000002</v>
      </c>
      <c r="D103" s="64">
        <v>25.65</v>
      </c>
      <c r="E103" s="64">
        <v>3.88</v>
      </c>
      <c r="F103" s="64">
        <v>4.67</v>
      </c>
      <c r="G103" s="64">
        <v>22.96</v>
      </c>
      <c r="H103" s="64">
        <v>47.19</v>
      </c>
      <c r="I103" s="64">
        <v>3.94</v>
      </c>
      <c r="J103" s="64">
        <v>0.6</v>
      </c>
      <c r="K103" s="64">
        <v>135.86000000000001</v>
      </c>
      <c r="L103" s="64">
        <v>24.53</v>
      </c>
      <c r="M103" s="64">
        <v>101.77</v>
      </c>
      <c r="N103" s="64">
        <v>43.6</v>
      </c>
      <c r="O103" s="64">
        <v>0</v>
      </c>
      <c r="P103" s="64">
        <v>0.51</v>
      </c>
      <c r="Q103" s="64">
        <v>9.3000000000000007</v>
      </c>
      <c r="R103" s="198"/>
      <c r="S103" s="198"/>
      <c r="T103" s="198"/>
      <c r="U103" s="198"/>
    </row>
    <row r="104" spans="1:33" s="12" customFormat="1" x14ac:dyDescent="0.25">
      <c r="A104" s="211" t="s">
        <v>628</v>
      </c>
      <c r="B104" s="64">
        <v>7.22</v>
      </c>
      <c r="C104" s="64">
        <v>18.18</v>
      </c>
      <c r="D104" s="64">
        <v>23.72</v>
      </c>
      <c r="E104" s="64">
        <v>3.95</v>
      </c>
      <c r="F104" s="64">
        <v>6.3</v>
      </c>
      <c r="G104" s="64">
        <v>22</v>
      </c>
      <c r="H104" s="64">
        <v>61.6</v>
      </c>
      <c r="I104" s="64">
        <v>4.17</v>
      </c>
      <c r="J104" s="64">
        <v>0.37</v>
      </c>
      <c r="K104" s="64">
        <v>151.21</v>
      </c>
      <c r="L104" s="64">
        <v>24.48</v>
      </c>
      <c r="M104" s="64">
        <v>101.77</v>
      </c>
      <c r="N104" s="64">
        <v>43.2</v>
      </c>
      <c r="O104" s="64">
        <v>0</v>
      </c>
      <c r="P104" s="64">
        <v>0.51</v>
      </c>
      <c r="Q104" s="64">
        <v>9.3000000000000007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3.41</v>
      </c>
      <c r="C106" s="67">
        <f>MIN(C9:C104)</f>
        <v>12.22</v>
      </c>
      <c r="D106" s="67">
        <f t="shared" ref="D106:Q106" si="0">MIN(D9:D104)</f>
        <v>16.12</v>
      </c>
      <c r="E106" s="67">
        <f t="shared" si="0"/>
        <v>3.49</v>
      </c>
      <c r="F106" s="67">
        <f t="shared" si="0"/>
        <v>3.64</v>
      </c>
      <c r="G106" s="67">
        <f t="shared" si="0"/>
        <v>9.11</v>
      </c>
      <c r="H106" s="67">
        <f t="shared" si="0"/>
        <v>-31.41</v>
      </c>
      <c r="I106" s="67">
        <f t="shared" si="0"/>
        <v>3.75</v>
      </c>
      <c r="J106" s="67">
        <f t="shared" si="0"/>
        <v>0</v>
      </c>
      <c r="K106" s="67">
        <f t="shared" si="0"/>
        <v>6.48</v>
      </c>
      <c r="L106" s="67">
        <f t="shared" si="0"/>
        <v>24.48</v>
      </c>
      <c r="M106" s="67">
        <f t="shared" si="0"/>
        <v>48.94</v>
      </c>
      <c r="N106" s="67">
        <f t="shared" si="0"/>
        <v>37.700000000000003</v>
      </c>
      <c r="O106" s="67">
        <f t="shared" si="0"/>
        <v>0</v>
      </c>
      <c r="P106" s="67">
        <f t="shared" si="0"/>
        <v>0.13</v>
      </c>
      <c r="Q106" s="67">
        <f t="shared" si="0"/>
        <v>9.07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11.66</v>
      </c>
      <c r="C107" s="66">
        <f t="shared" ref="C107:Q107" si="1">MAX(C9:C104)</f>
        <v>30.1</v>
      </c>
      <c r="D107" s="66">
        <f t="shared" si="1"/>
        <v>39.71</v>
      </c>
      <c r="E107" s="66">
        <f t="shared" si="1"/>
        <v>5.87</v>
      </c>
      <c r="F107" s="66">
        <f t="shared" si="1"/>
        <v>21.95</v>
      </c>
      <c r="G107" s="66">
        <f t="shared" si="1"/>
        <v>25.83</v>
      </c>
      <c r="H107" s="66">
        <f t="shared" si="1"/>
        <v>3665.25</v>
      </c>
      <c r="I107" s="66">
        <f t="shared" si="1"/>
        <v>4.24</v>
      </c>
      <c r="J107" s="66">
        <f t="shared" si="1"/>
        <v>1.39</v>
      </c>
      <c r="K107" s="66">
        <f t="shared" si="1"/>
        <v>336.93</v>
      </c>
      <c r="L107" s="66">
        <f t="shared" si="1"/>
        <v>35.78</v>
      </c>
      <c r="M107" s="66">
        <f t="shared" si="1"/>
        <v>101.77</v>
      </c>
      <c r="N107" s="66">
        <f t="shared" si="1"/>
        <v>931.8</v>
      </c>
      <c r="O107" s="66">
        <f t="shared" si="1"/>
        <v>0.8</v>
      </c>
      <c r="P107" s="66">
        <f t="shared" si="1"/>
        <v>0.64</v>
      </c>
      <c r="Q107" s="66">
        <f t="shared" si="1"/>
        <v>9.31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6.0398958333333335</v>
      </c>
      <c r="C108" s="67">
        <f t="shared" ref="C108:Q108" si="2">AVERAGE(C9:C104)</f>
        <v>17.249791666666663</v>
      </c>
      <c r="D108" s="67">
        <f t="shared" si="2"/>
        <v>23.745000000000005</v>
      </c>
      <c r="E108" s="67">
        <f t="shared" si="2"/>
        <v>4.9398958333333338</v>
      </c>
      <c r="F108" s="67">
        <f t="shared" si="2"/>
        <v>10.355624999999998</v>
      </c>
      <c r="G108" s="67">
        <f t="shared" si="2"/>
        <v>19.137916666666666</v>
      </c>
      <c r="H108" s="67">
        <f t="shared" si="2"/>
        <v>389.55958333333342</v>
      </c>
      <c r="I108" s="67">
        <f t="shared" si="2"/>
        <v>4.0034374999999995</v>
      </c>
      <c r="J108" s="67">
        <f t="shared" si="2"/>
        <v>0.30156250000000001</v>
      </c>
      <c r="K108" s="67">
        <f t="shared" si="2"/>
        <v>211.70281250000005</v>
      </c>
      <c r="L108" s="67">
        <f t="shared" si="2"/>
        <v>29.359479166666663</v>
      </c>
      <c r="M108" s="67">
        <f t="shared" si="2"/>
        <v>78.219374999999971</v>
      </c>
      <c r="N108" s="67">
        <f t="shared" si="2"/>
        <v>244.39166666666677</v>
      </c>
      <c r="O108" s="67">
        <f t="shared" si="2"/>
        <v>1.0416666666666666E-2</v>
      </c>
      <c r="P108" s="67">
        <f t="shared" si="2"/>
        <v>0.35624999999999996</v>
      </c>
      <c r="Q108" s="67">
        <f t="shared" si="2"/>
        <v>9.2058333333333344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1.9743238654985642</v>
      </c>
      <c r="C109" s="67">
        <f t="shared" ref="C109:Q109" si="3">STDEV(C9:C104)</f>
        <v>3.2954814293024208</v>
      </c>
      <c r="D109" s="67">
        <f t="shared" si="3"/>
        <v>4.2301198191316534</v>
      </c>
      <c r="E109" s="67">
        <f t="shared" si="3"/>
        <v>0.53198040088880194</v>
      </c>
      <c r="F109" s="67">
        <f t="shared" si="3"/>
        <v>3.8896163557267309</v>
      </c>
      <c r="G109" s="67">
        <f t="shared" si="3"/>
        <v>4.3504632340564955</v>
      </c>
      <c r="H109" s="67">
        <f t="shared" si="3"/>
        <v>866.41534133513426</v>
      </c>
      <c r="I109" s="67">
        <f t="shared" si="3"/>
        <v>9.8918660099040323E-2</v>
      </c>
      <c r="J109" s="67">
        <f t="shared" si="3"/>
        <v>0.27084012811989289</v>
      </c>
      <c r="K109" s="67">
        <f t="shared" si="3"/>
        <v>80.018635194074321</v>
      </c>
      <c r="L109" s="67">
        <f t="shared" si="3"/>
        <v>3.722512838277396</v>
      </c>
      <c r="M109" s="67">
        <f t="shared" si="3"/>
        <v>17.818709966448868</v>
      </c>
      <c r="N109" s="67">
        <f t="shared" si="3"/>
        <v>287.9377124407535</v>
      </c>
      <c r="O109" s="67">
        <f t="shared" si="3"/>
        <v>8.3953830252318382E-2</v>
      </c>
      <c r="P109" s="67">
        <f t="shared" si="3"/>
        <v>0.12248523004406438</v>
      </c>
      <c r="Q109" s="67">
        <f t="shared" si="3"/>
        <v>6.3803426185295525E-2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5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3" sqref="H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629</v>
      </c>
      <c r="B9" s="64">
        <v>6.93</v>
      </c>
      <c r="C9" s="64">
        <v>17.52</v>
      </c>
      <c r="D9" s="64">
        <v>22.89</v>
      </c>
      <c r="E9" s="64">
        <v>4.26</v>
      </c>
      <c r="F9" s="64">
        <v>4.8600000000000003</v>
      </c>
      <c r="G9" s="64">
        <v>21.75</v>
      </c>
      <c r="H9" s="64">
        <v>65.45</v>
      </c>
      <c r="I9" s="64">
        <v>3.91</v>
      </c>
      <c r="J9" s="64">
        <v>0.34</v>
      </c>
      <c r="K9" s="64">
        <v>138.86000000000001</v>
      </c>
      <c r="L9" s="64">
        <v>24.63</v>
      </c>
      <c r="M9" s="64">
        <v>101.75</v>
      </c>
      <c r="N9" s="64">
        <v>43.2</v>
      </c>
      <c r="O9" s="64">
        <v>0</v>
      </c>
      <c r="P9" s="64">
        <v>0.5</v>
      </c>
      <c r="Q9" s="64">
        <v>9.2899999999999991</v>
      </c>
      <c r="R9" s="198"/>
      <c r="S9" s="198"/>
      <c r="T9" s="198"/>
      <c r="U9" s="198"/>
    </row>
    <row r="10" spans="1:21" s="12" customFormat="1" x14ac:dyDescent="0.25">
      <c r="A10" s="211" t="s">
        <v>630</v>
      </c>
      <c r="B10" s="64">
        <v>6.86</v>
      </c>
      <c r="C10" s="64">
        <v>16.54</v>
      </c>
      <c r="D10" s="64">
        <v>21.12</v>
      </c>
      <c r="E10" s="64">
        <v>4.04</v>
      </c>
      <c r="F10" s="64">
        <v>7.91</v>
      </c>
      <c r="G10" s="64">
        <v>21.75</v>
      </c>
      <c r="H10" s="64">
        <v>65.45</v>
      </c>
      <c r="I10" s="64">
        <v>4.04</v>
      </c>
      <c r="J10" s="64">
        <v>0.03</v>
      </c>
      <c r="K10" s="64">
        <v>110.14</v>
      </c>
      <c r="L10" s="64">
        <v>24.69</v>
      </c>
      <c r="M10" s="64">
        <v>101.72</v>
      </c>
      <c r="N10" s="64">
        <v>43.4</v>
      </c>
      <c r="O10" s="64">
        <v>0</v>
      </c>
      <c r="P10" s="64">
        <v>0.46</v>
      </c>
      <c r="Q10" s="64">
        <v>9.2799999999999994</v>
      </c>
      <c r="R10" s="198"/>
      <c r="S10" s="198"/>
      <c r="T10" s="198"/>
      <c r="U10" s="198"/>
    </row>
    <row r="11" spans="1:21" s="12" customFormat="1" x14ac:dyDescent="0.25">
      <c r="A11" s="211" t="s">
        <v>631</v>
      </c>
      <c r="B11" s="64">
        <v>5.64</v>
      </c>
      <c r="C11" s="64">
        <v>14.88</v>
      </c>
      <c r="D11" s="64">
        <v>19.829999999999998</v>
      </c>
      <c r="E11" s="64">
        <v>4.0599999999999996</v>
      </c>
      <c r="F11" s="64">
        <v>7.41</v>
      </c>
      <c r="G11" s="64">
        <v>21.75</v>
      </c>
      <c r="H11" s="64">
        <v>65.45</v>
      </c>
      <c r="I11" s="64">
        <v>3.97</v>
      </c>
      <c r="J11" s="64">
        <v>0.15</v>
      </c>
      <c r="K11" s="64">
        <v>153.38</v>
      </c>
      <c r="L11" s="64">
        <v>24.74</v>
      </c>
      <c r="M11" s="64">
        <v>101.58</v>
      </c>
      <c r="N11" s="64">
        <v>43.2</v>
      </c>
      <c r="O11" s="64">
        <v>0</v>
      </c>
      <c r="P11" s="64">
        <v>0.42</v>
      </c>
      <c r="Q11" s="64">
        <v>9.27</v>
      </c>
      <c r="R11" s="198"/>
      <c r="S11" s="198"/>
      <c r="T11" s="198"/>
      <c r="U11" s="198"/>
    </row>
    <row r="12" spans="1:21" s="12" customFormat="1" x14ac:dyDescent="0.25">
      <c r="A12" s="211" t="s">
        <v>632</v>
      </c>
      <c r="B12" s="64">
        <v>6.66</v>
      </c>
      <c r="C12" s="64">
        <v>15.39</v>
      </c>
      <c r="D12" s="64">
        <v>19.239999999999998</v>
      </c>
      <c r="E12" s="64">
        <v>3.93</v>
      </c>
      <c r="F12" s="64">
        <v>7.16</v>
      </c>
      <c r="G12" s="64">
        <v>19.22</v>
      </c>
      <c r="H12" s="64">
        <v>55.33</v>
      </c>
      <c r="I12" s="64">
        <v>3.96</v>
      </c>
      <c r="J12" s="64">
        <v>0.08</v>
      </c>
      <c r="K12" s="64">
        <v>169.84</v>
      </c>
      <c r="L12" s="64">
        <v>24.76</v>
      </c>
      <c r="M12" s="64">
        <v>100.17</v>
      </c>
      <c r="N12" s="64">
        <v>43.4</v>
      </c>
      <c r="O12" s="64">
        <v>0</v>
      </c>
      <c r="P12" s="64">
        <v>0.42</v>
      </c>
      <c r="Q12" s="64">
        <v>9.26</v>
      </c>
      <c r="R12" s="198"/>
      <c r="S12" s="198"/>
      <c r="T12" s="198"/>
      <c r="U12" s="198"/>
    </row>
    <row r="13" spans="1:21" s="12" customFormat="1" x14ac:dyDescent="0.25">
      <c r="A13" s="211" t="s">
        <v>633</v>
      </c>
      <c r="B13" s="64">
        <v>5.76</v>
      </c>
      <c r="C13" s="64">
        <v>13.58</v>
      </c>
      <c r="D13" s="64">
        <v>17.14</v>
      </c>
      <c r="E13" s="64">
        <v>3.9</v>
      </c>
      <c r="F13" s="64">
        <v>8.1300000000000008</v>
      </c>
      <c r="G13" s="64">
        <v>18.54</v>
      </c>
      <c r="H13" s="64">
        <v>52.44</v>
      </c>
      <c r="I13" s="64">
        <v>3.9</v>
      </c>
      <c r="J13" s="64">
        <v>0.04</v>
      </c>
      <c r="K13" s="64">
        <v>307.91000000000003</v>
      </c>
      <c r="L13" s="64">
        <v>24.79</v>
      </c>
      <c r="M13" s="64">
        <v>100.44</v>
      </c>
      <c r="N13" s="64">
        <v>43.5</v>
      </c>
      <c r="O13" s="64">
        <v>0</v>
      </c>
      <c r="P13" s="64">
        <v>0.33</v>
      </c>
      <c r="Q13" s="64">
        <v>9.26</v>
      </c>
      <c r="R13" s="198"/>
      <c r="S13" s="198"/>
      <c r="T13" s="198"/>
      <c r="U13" s="198"/>
    </row>
    <row r="14" spans="1:21" s="12" customFormat="1" x14ac:dyDescent="0.25">
      <c r="A14" s="211" t="s">
        <v>634</v>
      </c>
      <c r="B14" s="64">
        <v>6.86</v>
      </c>
      <c r="C14" s="64">
        <v>15.13</v>
      </c>
      <c r="D14" s="64">
        <v>18.43</v>
      </c>
      <c r="E14" s="64">
        <v>3.96</v>
      </c>
      <c r="F14" s="64">
        <v>6.05</v>
      </c>
      <c r="G14" s="64">
        <v>18.54</v>
      </c>
      <c r="H14" s="64">
        <v>52.44</v>
      </c>
      <c r="I14" s="64">
        <v>4.0199999999999996</v>
      </c>
      <c r="J14" s="64">
        <v>0.08</v>
      </c>
      <c r="K14" s="64">
        <v>10.7</v>
      </c>
      <c r="L14" s="64">
        <v>24.8</v>
      </c>
      <c r="M14" s="64">
        <v>101.24</v>
      </c>
      <c r="N14" s="64">
        <v>43.5</v>
      </c>
      <c r="O14" s="64">
        <v>0</v>
      </c>
      <c r="P14" s="64">
        <v>0.42</v>
      </c>
      <c r="Q14" s="64">
        <v>9.24</v>
      </c>
      <c r="R14" s="198"/>
      <c r="S14" s="198"/>
      <c r="T14" s="198"/>
      <c r="U14" s="198"/>
    </row>
    <row r="15" spans="1:21" s="12" customFormat="1" x14ac:dyDescent="0.25">
      <c r="A15" s="211" t="s">
        <v>635</v>
      </c>
      <c r="B15" s="64">
        <v>5.97</v>
      </c>
      <c r="C15" s="64">
        <v>14.44</v>
      </c>
      <c r="D15" s="64">
        <v>18.47</v>
      </c>
      <c r="E15" s="64">
        <v>4.05</v>
      </c>
      <c r="F15" s="64">
        <v>9.65</v>
      </c>
      <c r="G15" s="64">
        <v>18.54</v>
      </c>
      <c r="H15" s="64">
        <v>52.44</v>
      </c>
      <c r="I15" s="64">
        <v>4.08</v>
      </c>
      <c r="J15" s="64">
        <v>0.09</v>
      </c>
      <c r="K15" s="64">
        <v>73.05</v>
      </c>
      <c r="L15" s="64">
        <v>24.84</v>
      </c>
      <c r="M15" s="64">
        <v>101.48</v>
      </c>
      <c r="N15" s="64">
        <v>43.4</v>
      </c>
      <c r="O15" s="64">
        <v>0</v>
      </c>
      <c r="P15" s="64">
        <v>0.32</v>
      </c>
      <c r="Q15" s="64">
        <v>9.24</v>
      </c>
      <c r="R15" s="198"/>
      <c r="S15" s="198"/>
      <c r="T15" s="198"/>
      <c r="U15" s="198"/>
    </row>
    <row r="16" spans="1:21" s="12" customFormat="1" x14ac:dyDescent="0.25">
      <c r="A16" s="211" t="s">
        <v>636</v>
      </c>
      <c r="B16" s="64">
        <v>4.33</v>
      </c>
      <c r="C16" s="64">
        <v>11.31</v>
      </c>
      <c r="D16" s="64">
        <v>15</v>
      </c>
      <c r="E16" s="64">
        <v>4.32</v>
      </c>
      <c r="F16" s="64">
        <v>13.4</v>
      </c>
      <c r="G16" s="64">
        <v>16.739999999999998</v>
      </c>
      <c r="H16" s="64">
        <v>41.64</v>
      </c>
      <c r="I16" s="64">
        <v>4.17</v>
      </c>
      <c r="J16" s="64">
        <v>0.1</v>
      </c>
      <c r="K16" s="64">
        <v>156.65</v>
      </c>
      <c r="L16" s="64">
        <v>24.85</v>
      </c>
      <c r="M16" s="64">
        <v>100.31</v>
      </c>
      <c r="N16" s="64">
        <v>43.4</v>
      </c>
      <c r="O16" s="64">
        <v>0</v>
      </c>
      <c r="P16" s="64">
        <v>0.23</v>
      </c>
      <c r="Q16" s="64">
        <v>9.23</v>
      </c>
      <c r="R16" s="198"/>
      <c r="S16" s="198"/>
      <c r="T16" s="198"/>
      <c r="U16" s="198"/>
    </row>
    <row r="17" spans="1:21" s="12" customFormat="1" x14ac:dyDescent="0.25">
      <c r="A17" s="211" t="s">
        <v>637</v>
      </c>
      <c r="B17" s="64">
        <v>4.67</v>
      </c>
      <c r="C17" s="64">
        <v>11.91</v>
      </c>
      <c r="D17" s="64">
        <v>15.63</v>
      </c>
      <c r="E17" s="64">
        <v>3.92</v>
      </c>
      <c r="F17" s="64">
        <v>11.51</v>
      </c>
      <c r="G17" s="64">
        <v>16.23</v>
      </c>
      <c r="H17" s="64">
        <v>38.549999999999997</v>
      </c>
      <c r="I17" s="64">
        <v>4.04</v>
      </c>
      <c r="J17" s="64">
        <v>0.46</v>
      </c>
      <c r="K17" s="64">
        <v>148.37</v>
      </c>
      <c r="L17" s="64">
        <v>24.97</v>
      </c>
      <c r="M17" s="64">
        <v>100.34</v>
      </c>
      <c r="N17" s="64">
        <v>43.5</v>
      </c>
      <c r="O17" s="64">
        <v>0</v>
      </c>
      <c r="P17" s="64">
        <v>0.25</v>
      </c>
      <c r="Q17" s="64">
        <v>9.25</v>
      </c>
      <c r="R17" s="198"/>
      <c r="S17" s="198"/>
      <c r="T17" s="198"/>
      <c r="U17" s="198"/>
    </row>
    <row r="18" spans="1:21" s="12" customFormat="1" x14ac:dyDescent="0.25">
      <c r="A18" s="211" t="s">
        <v>638</v>
      </c>
      <c r="B18" s="64">
        <v>5</v>
      </c>
      <c r="C18" s="64">
        <v>12</v>
      </c>
      <c r="D18" s="64">
        <v>15.29</v>
      </c>
      <c r="E18" s="64">
        <v>4.32</v>
      </c>
      <c r="F18" s="64">
        <v>13.54</v>
      </c>
      <c r="G18" s="64">
        <v>16.23</v>
      </c>
      <c r="H18" s="64">
        <v>38.549999999999997</v>
      </c>
      <c r="I18" s="64">
        <v>3.98</v>
      </c>
      <c r="J18" s="64">
        <v>0.23</v>
      </c>
      <c r="K18" s="64">
        <v>146.16999999999999</v>
      </c>
      <c r="L18" s="64">
        <v>24.83</v>
      </c>
      <c r="M18" s="64">
        <v>100.92</v>
      </c>
      <c r="N18" s="64">
        <v>43.8</v>
      </c>
      <c r="O18" s="64">
        <v>0</v>
      </c>
      <c r="P18" s="64">
        <v>0.22</v>
      </c>
      <c r="Q18" s="64">
        <v>9.26</v>
      </c>
      <c r="R18" s="198"/>
      <c r="S18" s="198"/>
      <c r="T18" s="198"/>
      <c r="U18" s="198"/>
    </row>
    <row r="19" spans="1:21" s="12" customFormat="1" x14ac:dyDescent="0.25">
      <c r="A19" s="211" t="s">
        <v>639</v>
      </c>
      <c r="B19" s="64">
        <v>4.9000000000000004</v>
      </c>
      <c r="C19" s="64">
        <v>11.05</v>
      </c>
      <c r="D19" s="64">
        <v>13.62</v>
      </c>
      <c r="E19" s="64">
        <v>4.22</v>
      </c>
      <c r="F19" s="64">
        <v>11.26</v>
      </c>
      <c r="G19" s="64">
        <v>16.23</v>
      </c>
      <c r="H19" s="64">
        <v>38.549999999999997</v>
      </c>
      <c r="I19" s="64">
        <v>4.13</v>
      </c>
      <c r="J19" s="64">
        <v>0.48</v>
      </c>
      <c r="K19" s="64">
        <v>145.91999999999999</v>
      </c>
      <c r="L19" s="64">
        <v>24.71</v>
      </c>
      <c r="M19" s="64">
        <v>101.31</v>
      </c>
      <c r="N19" s="64">
        <v>43.8</v>
      </c>
      <c r="O19" s="64">
        <v>0</v>
      </c>
      <c r="P19" s="64">
        <v>0.23</v>
      </c>
      <c r="Q19" s="64">
        <v>9.27</v>
      </c>
      <c r="R19" s="198"/>
      <c r="S19" s="198"/>
      <c r="T19" s="198"/>
      <c r="U19" s="198"/>
    </row>
    <row r="20" spans="1:21" s="12" customFormat="1" x14ac:dyDescent="0.25">
      <c r="A20" s="211" t="s">
        <v>640</v>
      </c>
      <c r="B20" s="64">
        <v>5.26</v>
      </c>
      <c r="C20" s="64">
        <v>11.77</v>
      </c>
      <c r="D20" s="64">
        <v>14.46</v>
      </c>
      <c r="E20" s="64">
        <v>4.3899999999999997</v>
      </c>
      <c r="F20" s="64">
        <v>13.56</v>
      </c>
      <c r="G20" s="64">
        <v>13.29</v>
      </c>
      <c r="H20" s="64">
        <v>98.69</v>
      </c>
      <c r="I20" s="64">
        <v>3.95</v>
      </c>
      <c r="J20" s="64">
        <v>0.08</v>
      </c>
      <c r="K20" s="64">
        <v>157.87</v>
      </c>
      <c r="L20" s="64">
        <v>24.64</v>
      </c>
      <c r="M20" s="64">
        <v>101.48</v>
      </c>
      <c r="N20" s="64">
        <v>43.8</v>
      </c>
      <c r="O20" s="64">
        <v>0</v>
      </c>
      <c r="P20" s="64">
        <v>0.21</v>
      </c>
      <c r="Q20" s="64">
        <v>9.27</v>
      </c>
      <c r="R20" s="198"/>
      <c r="S20" s="198"/>
      <c r="T20" s="198"/>
      <c r="U20" s="198"/>
    </row>
    <row r="21" spans="1:21" s="12" customFormat="1" x14ac:dyDescent="0.25">
      <c r="A21" s="211" t="s">
        <v>641</v>
      </c>
      <c r="B21" s="64">
        <v>4.62</v>
      </c>
      <c r="C21" s="64">
        <v>10.5</v>
      </c>
      <c r="D21" s="64">
        <v>13.02</v>
      </c>
      <c r="E21" s="64">
        <v>4.42</v>
      </c>
      <c r="F21" s="64">
        <v>12.71</v>
      </c>
      <c r="G21" s="64">
        <v>12.44</v>
      </c>
      <c r="H21" s="64">
        <v>115.87</v>
      </c>
      <c r="I21" s="64">
        <v>4.01</v>
      </c>
      <c r="J21" s="64">
        <v>0.01</v>
      </c>
      <c r="K21" s="64">
        <v>147.33000000000001</v>
      </c>
      <c r="L21" s="64">
        <v>24.61</v>
      </c>
      <c r="M21" s="64">
        <v>101.49</v>
      </c>
      <c r="N21" s="64">
        <v>43.7</v>
      </c>
      <c r="O21" s="64">
        <v>0</v>
      </c>
      <c r="P21" s="64">
        <v>0.18</v>
      </c>
      <c r="Q21" s="64">
        <v>9.27</v>
      </c>
      <c r="R21" s="198"/>
      <c r="S21" s="198"/>
      <c r="T21" s="198"/>
      <c r="U21" s="198"/>
    </row>
    <row r="22" spans="1:21" s="12" customFormat="1" x14ac:dyDescent="0.25">
      <c r="A22" s="211" t="s">
        <v>642</v>
      </c>
      <c r="B22" s="64">
        <v>5.65</v>
      </c>
      <c r="C22" s="64">
        <v>12.22</v>
      </c>
      <c r="D22" s="64">
        <v>14.72</v>
      </c>
      <c r="E22" s="64">
        <v>4.4400000000000004</v>
      </c>
      <c r="F22" s="64">
        <v>9.49</v>
      </c>
      <c r="G22" s="64">
        <v>12.44</v>
      </c>
      <c r="H22" s="64">
        <v>115.87</v>
      </c>
      <c r="I22" s="64">
        <v>4.07</v>
      </c>
      <c r="J22" s="64">
        <v>0.48</v>
      </c>
      <c r="K22" s="64">
        <v>147.91</v>
      </c>
      <c r="L22" s="64">
        <v>24.66</v>
      </c>
      <c r="M22" s="64">
        <v>101</v>
      </c>
      <c r="N22" s="64">
        <v>43.6</v>
      </c>
      <c r="O22" s="64">
        <v>0</v>
      </c>
      <c r="P22" s="64">
        <v>0.27</v>
      </c>
      <c r="Q22" s="64">
        <v>9.2799999999999994</v>
      </c>
      <c r="R22" s="198"/>
      <c r="S22" s="198"/>
      <c r="T22" s="198"/>
      <c r="U22" s="198"/>
    </row>
    <row r="23" spans="1:21" s="12" customFormat="1" x14ac:dyDescent="0.25">
      <c r="A23" s="211" t="s">
        <v>643</v>
      </c>
      <c r="B23" s="64">
        <v>6.38</v>
      </c>
      <c r="C23" s="64">
        <v>13.37</v>
      </c>
      <c r="D23" s="64">
        <v>15.81</v>
      </c>
      <c r="E23" s="64">
        <v>4.28</v>
      </c>
      <c r="F23" s="64">
        <v>8.0500000000000007</v>
      </c>
      <c r="G23" s="64">
        <v>12.44</v>
      </c>
      <c r="H23" s="64">
        <v>115.87</v>
      </c>
      <c r="I23" s="64">
        <v>4.08</v>
      </c>
      <c r="J23" s="64">
        <v>0.13</v>
      </c>
      <c r="K23" s="64">
        <v>143.02000000000001</v>
      </c>
      <c r="L23" s="64">
        <v>24.5</v>
      </c>
      <c r="M23" s="64">
        <v>101.51</v>
      </c>
      <c r="N23" s="64">
        <v>43.8</v>
      </c>
      <c r="O23" s="64">
        <v>0</v>
      </c>
      <c r="P23" s="64">
        <v>0.28000000000000003</v>
      </c>
      <c r="Q23" s="64">
        <v>9.27</v>
      </c>
      <c r="R23" s="198"/>
      <c r="S23" s="198"/>
      <c r="T23" s="198"/>
      <c r="U23" s="198"/>
    </row>
    <row r="24" spans="1:21" s="12" customFormat="1" x14ac:dyDescent="0.25">
      <c r="A24" s="211" t="s">
        <v>644</v>
      </c>
      <c r="B24" s="64">
        <v>7.96</v>
      </c>
      <c r="C24" s="64">
        <v>15.42</v>
      </c>
      <c r="D24" s="64">
        <v>17.29</v>
      </c>
      <c r="E24" s="64">
        <v>4.18</v>
      </c>
      <c r="F24" s="64">
        <v>5.29</v>
      </c>
      <c r="G24" s="64">
        <v>10.46</v>
      </c>
      <c r="H24" s="64">
        <v>-19.89</v>
      </c>
      <c r="I24" s="64">
        <v>4</v>
      </c>
      <c r="J24" s="64">
        <v>0.18</v>
      </c>
      <c r="K24" s="64">
        <v>111.76</v>
      </c>
      <c r="L24" s="64">
        <v>24.52</v>
      </c>
      <c r="M24" s="64">
        <v>100.89</v>
      </c>
      <c r="N24" s="64">
        <v>43.8</v>
      </c>
      <c r="O24" s="64">
        <v>0</v>
      </c>
      <c r="P24" s="64">
        <v>0.33</v>
      </c>
      <c r="Q24" s="64">
        <v>9.26</v>
      </c>
      <c r="R24" s="198"/>
      <c r="S24" s="198"/>
      <c r="T24" s="198"/>
      <c r="U24" s="198"/>
    </row>
    <row r="25" spans="1:21" s="12" customFormat="1" x14ac:dyDescent="0.25">
      <c r="A25" s="211" t="s">
        <v>645</v>
      </c>
      <c r="B25" s="64">
        <v>7.88</v>
      </c>
      <c r="C25" s="64">
        <v>15.83</v>
      </c>
      <c r="D25" s="64">
        <v>18.21</v>
      </c>
      <c r="E25" s="64">
        <v>4.04</v>
      </c>
      <c r="F25" s="64">
        <v>4.12</v>
      </c>
      <c r="G25" s="64">
        <v>9.92</v>
      </c>
      <c r="H25" s="64">
        <v>-58.68</v>
      </c>
      <c r="I25" s="64">
        <v>3.92</v>
      </c>
      <c r="J25" s="64">
        <v>0.54</v>
      </c>
      <c r="K25" s="64">
        <v>163.99</v>
      </c>
      <c r="L25" s="64">
        <v>24.58</v>
      </c>
      <c r="M25" s="64">
        <v>100.29</v>
      </c>
      <c r="N25" s="64">
        <v>43.8</v>
      </c>
      <c r="O25" s="64">
        <v>0</v>
      </c>
      <c r="P25" s="64">
        <v>0.28999999999999998</v>
      </c>
      <c r="Q25" s="64">
        <v>9.27</v>
      </c>
      <c r="R25" s="198"/>
      <c r="S25" s="198"/>
      <c r="T25" s="198"/>
      <c r="U25" s="198"/>
    </row>
    <row r="26" spans="1:21" s="12" customFormat="1" x14ac:dyDescent="0.25">
      <c r="A26" s="211" t="s">
        <v>646</v>
      </c>
      <c r="B26" s="64">
        <v>8.3800000000000008</v>
      </c>
      <c r="C26" s="64">
        <v>16.170000000000002</v>
      </c>
      <c r="D26" s="64">
        <v>18.09</v>
      </c>
      <c r="E26" s="64">
        <v>4.08</v>
      </c>
      <c r="F26" s="64">
        <v>5.14</v>
      </c>
      <c r="G26" s="64">
        <v>9.92</v>
      </c>
      <c r="H26" s="64">
        <v>-58.68</v>
      </c>
      <c r="I26" s="64">
        <v>4.1100000000000003</v>
      </c>
      <c r="J26" s="64">
        <v>0.4</v>
      </c>
      <c r="K26" s="64">
        <v>183.73</v>
      </c>
      <c r="L26" s="64">
        <v>24.48</v>
      </c>
      <c r="M26" s="64">
        <v>100.7</v>
      </c>
      <c r="N26" s="64">
        <v>44</v>
      </c>
      <c r="O26" s="64">
        <v>0</v>
      </c>
      <c r="P26" s="64">
        <v>0.31</v>
      </c>
      <c r="Q26" s="64">
        <v>9.26</v>
      </c>
      <c r="R26" s="198"/>
      <c r="S26" s="198"/>
      <c r="T26" s="198"/>
      <c r="U26" s="198"/>
    </row>
    <row r="27" spans="1:21" s="12" customFormat="1" x14ac:dyDescent="0.25">
      <c r="A27" s="211" t="s">
        <v>647</v>
      </c>
      <c r="B27" s="64">
        <v>7.95</v>
      </c>
      <c r="C27" s="64">
        <v>15.87</v>
      </c>
      <c r="D27" s="64">
        <v>18.170000000000002</v>
      </c>
      <c r="E27" s="64">
        <v>4.1500000000000004</v>
      </c>
      <c r="F27" s="64">
        <v>4.42</v>
      </c>
      <c r="G27" s="64">
        <v>9.92</v>
      </c>
      <c r="H27" s="64">
        <v>-58.68</v>
      </c>
      <c r="I27" s="64">
        <v>4.13</v>
      </c>
      <c r="J27" s="64">
        <v>0.35</v>
      </c>
      <c r="K27" s="64">
        <v>175.34</v>
      </c>
      <c r="L27" s="64">
        <v>24.37</v>
      </c>
      <c r="M27" s="64">
        <v>101.61</v>
      </c>
      <c r="N27" s="64">
        <v>44</v>
      </c>
      <c r="O27" s="64">
        <v>0</v>
      </c>
      <c r="P27" s="64">
        <v>0.28999999999999998</v>
      </c>
      <c r="Q27" s="64">
        <v>9.26</v>
      </c>
      <c r="R27" s="198"/>
      <c r="S27" s="198"/>
      <c r="T27" s="198"/>
      <c r="U27" s="198"/>
    </row>
    <row r="28" spans="1:21" s="12" customFormat="1" x14ac:dyDescent="0.25">
      <c r="A28" s="211" t="s">
        <v>648</v>
      </c>
      <c r="B28" s="64">
        <v>7.89</v>
      </c>
      <c r="C28" s="64">
        <v>15.89</v>
      </c>
      <c r="D28" s="64">
        <v>18.3</v>
      </c>
      <c r="E28" s="64">
        <v>4.12</v>
      </c>
      <c r="F28" s="64">
        <v>5.15</v>
      </c>
      <c r="G28" s="64">
        <v>7.87</v>
      </c>
      <c r="H28" s="64">
        <v>147.56</v>
      </c>
      <c r="I28" s="64">
        <v>4.03</v>
      </c>
      <c r="J28" s="64">
        <v>0.16</v>
      </c>
      <c r="K28" s="64">
        <v>144.31</v>
      </c>
      <c r="L28" s="64">
        <v>24.35</v>
      </c>
      <c r="M28" s="64">
        <v>101.07</v>
      </c>
      <c r="N28" s="64">
        <v>44.1</v>
      </c>
      <c r="O28" s="64">
        <v>0</v>
      </c>
      <c r="P28" s="64">
        <v>0.28999999999999998</v>
      </c>
      <c r="Q28" s="64">
        <v>9.24</v>
      </c>
      <c r="R28" s="198"/>
      <c r="S28" s="198"/>
      <c r="T28" s="198"/>
      <c r="U28" s="198"/>
    </row>
    <row r="29" spans="1:21" s="12" customFormat="1" x14ac:dyDescent="0.25">
      <c r="A29" s="211" t="s">
        <v>649</v>
      </c>
      <c r="B29" s="64">
        <v>7.2</v>
      </c>
      <c r="C29" s="64">
        <v>15.33</v>
      </c>
      <c r="D29" s="64">
        <v>18.3</v>
      </c>
      <c r="E29" s="64">
        <v>4.03</v>
      </c>
      <c r="F29" s="64">
        <v>6.29</v>
      </c>
      <c r="G29" s="64">
        <v>7.28</v>
      </c>
      <c r="H29" s="64">
        <v>206.49</v>
      </c>
      <c r="I29" s="64">
        <v>4.1500000000000004</v>
      </c>
      <c r="J29" s="64">
        <v>0.09</v>
      </c>
      <c r="K29" s="64">
        <v>126.21</v>
      </c>
      <c r="L29" s="64">
        <v>24.47</v>
      </c>
      <c r="M29" s="64">
        <v>101.08</v>
      </c>
      <c r="N29" s="64">
        <v>44.8</v>
      </c>
      <c r="O29" s="64">
        <v>0</v>
      </c>
      <c r="P29" s="64">
        <v>0.26</v>
      </c>
      <c r="Q29" s="64">
        <v>9.24</v>
      </c>
      <c r="R29" s="198"/>
      <c r="S29" s="198"/>
      <c r="T29" s="198"/>
      <c r="U29" s="198"/>
    </row>
    <row r="30" spans="1:21" s="12" customFormat="1" x14ac:dyDescent="0.25">
      <c r="A30" s="211" t="s">
        <v>650</v>
      </c>
      <c r="B30" s="64">
        <v>7.79</v>
      </c>
      <c r="C30" s="64">
        <v>15.82</v>
      </c>
      <c r="D30" s="64">
        <v>18.329999999999998</v>
      </c>
      <c r="E30" s="64">
        <v>3.99</v>
      </c>
      <c r="F30" s="64">
        <v>4.2699999999999996</v>
      </c>
      <c r="G30" s="64">
        <v>7.28</v>
      </c>
      <c r="H30" s="64">
        <v>206.49</v>
      </c>
      <c r="I30" s="64">
        <v>3.78</v>
      </c>
      <c r="J30" s="64">
        <v>0.24</v>
      </c>
      <c r="K30" s="64">
        <v>92.17</v>
      </c>
      <c r="L30" s="64">
        <v>24.38</v>
      </c>
      <c r="M30" s="64">
        <v>101.11</v>
      </c>
      <c r="N30" s="64">
        <v>51.1</v>
      </c>
      <c r="O30" s="64">
        <v>0</v>
      </c>
      <c r="P30" s="64">
        <v>0.28000000000000003</v>
      </c>
      <c r="Q30" s="64">
        <v>9.23</v>
      </c>
      <c r="R30" s="198"/>
      <c r="S30" s="198"/>
      <c r="T30" s="198"/>
      <c r="U30" s="198"/>
    </row>
    <row r="31" spans="1:21" s="12" customFormat="1" x14ac:dyDescent="0.25">
      <c r="A31" s="211" t="s">
        <v>651</v>
      </c>
      <c r="B31" s="64">
        <v>7.41</v>
      </c>
      <c r="C31" s="64">
        <v>15.51</v>
      </c>
      <c r="D31" s="64">
        <v>18.32</v>
      </c>
      <c r="E31" s="64">
        <v>4.05</v>
      </c>
      <c r="F31" s="64">
        <v>5.33</v>
      </c>
      <c r="G31" s="64">
        <v>7.28</v>
      </c>
      <c r="H31" s="64">
        <v>206.49</v>
      </c>
      <c r="I31" s="64">
        <v>4.04</v>
      </c>
      <c r="J31" s="64">
        <v>0.19</v>
      </c>
      <c r="K31" s="64">
        <v>112.33</v>
      </c>
      <c r="L31" s="64">
        <v>24.43</v>
      </c>
      <c r="M31" s="64">
        <v>101.57</v>
      </c>
      <c r="N31" s="64">
        <v>66.5</v>
      </c>
      <c r="O31" s="64">
        <v>0</v>
      </c>
      <c r="P31" s="64">
        <v>0.25</v>
      </c>
      <c r="Q31" s="64">
        <v>9.24</v>
      </c>
      <c r="R31" s="198"/>
      <c r="S31" s="198"/>
      <c r="T31" s="198"/>
      <c r="U31" s="198"/>
    </row>
    <row r="32" spans="1:21" s="12" customFormat="1" x14ac:dyDescent="0.25">
      <c r="A32" s="211" t="s">
        <v>652</v>
      </c>
      <c r="B32" s="64">
        <v>7.51</v>
      </c>
      <c r="C32" s="64">
        <v>15.56</v>
      </c>
      <c r="D32" s="64">
        <v>18.25</v>
      </c>
      <c r="E32" s="64">
        <v>4.01</v>
      </c>
      <c r="F32" s="64">
        <v>5.64</v>
      </c>
      <c r="G32" s="64">
        <v>7.88</v>
      </c>
      <c r="H32" s="64">
        <v>81.180000000000007</v>
      </c>
      <c r="I32" s="64">
        <v>4.04</v>
      </c>
      <c r="J32" s="64">
        <v>0.22</v>
      </c>
      <c r="K32" s="64">
        <v>157.29</v>
      </c>
      <c r="L32" s="64">
        <v>24.63</v>
      </c>
      <c r="M32" s="64">
        <v>100.67</v>
      </c>
      <c r="N32" s="64">
        <v>84.9</v>
      </c>
      <c r="O32" s="64">
        <v>0</v>
      </c>
      <c r="P32" s="64">
        <v>0.25</v>
      </c>
      <c r="Q32" s="64">
        <v>9.2200000000000006</v>
      </c>
      <c r="R32" s="198"/>
      <c r="S32" s="198"/>
      <c r="T32" s="198"/>
      <c r="U32" s="198"/>
    </row>
    <row r="33" spans="1:21" s="12" customFormat="1" x14ac:dyDescent="0.25">
      <c r="A33" s="211" t="s">
        <v>653</v>
      </c>
      <c r="B33" s="64">
        <v>6.89</v>
      </c>
      <c r="C33" s="64">
        <v>16.64</v>
      </c>
      <c r="D33" s="64">
        <v>21.27</v>
      </c>
      <c r="E33" s="64">
        <v>3.96</v>
      </c>
      <c r="F33" s="64">
        <v>8.25</v>
      </c>
      <c r="G33" s="64">
        <v>8.0500000000000007</v>
      </c>
      <c r="H33" s="64">
        <v>45.38</v>
      </c>
      <c r="I33" s="64">
        <v>3.98</v>
      </c>
      <c r="J33" s="64">
        <v>0.23</v>
      </c>
      <c r="K33" s="64">
        <v>167.79</v>
      </c>
      <c r="L33" s="64">
        <v>25.06</v>
      </c>
      <c r="M33" s="64">
        <v>98.62</v>
      </c>
      <c r="N33" s="64">
        <v>115.1</v>
      </c>
      <c r="O33" s="64">
        <v>0</v>
      </c>
      <c r="P33" s="64">
        <v>0.21</v>
      </c>
      <c r="Q33" s="64">
        <v>9.23</v>
      </c>
      <c r="R33" s="198"/>
      <c r="S33" s="198"/>
      <c r="T33" s="198"/>
      <c r="U33" s="198"/>
    </row>
    <row r="34" spans="1:21" s="12" customFormat="1" x14ac:dyDescent="0.25">
      <c r="A34" s="211" t="s">
        <v>654</v>
      </c>
      <c r="B34" s="64">
        <v>6.06</v>
      </c>
      <c r="C34" s="64">
        <v>16.010000000000002</v>
      </c>
      <c r="D34" s="64">
        <v>21.33</v>
      </c>
      <c r="E34" s="64">
        <v>3.87</v>
      </c>
      <c r="F34" s="64">
        <v>11.92</v>
      </c>
      <c r="G34" s="64">
        <v>8.0500000000000007</v>
      </c>
      <c r="H34" s="64">
        <v>45.38</v>
      </c>
      <c r="I34" s="64">
        <v>4.05</v>
      </c>
      <c r="J34" s="64">
        <v>0.35</v>
      </c>
      <c r="K34" s="64">
        <v>104.18</v>
      </c>
      <c r="L34" s="64">
        <v>25.42</v>
      </c>
      <c r="M34" s="64">
        <v>96.95</v>
      </c>
      <c r="N34" s="64">
        <v>146.4</v>
      </c>
      <c r="O34" s="64">
        <v>0</v>
      </c>
      <c r="P34" s="64">
        <v>0.18</v>
      </c>
      <c r="Q34" s="64">
        <v>9.25</v>
      </c>
      <c r="R34" s="198"/>
      <c r="S34" s="198"/>
      <c r="T34" s="198"/>
      <c r="U34" s="198"/>
    </row>
    <row r="35" spans="1:21" s="12" customFormat="1" x14ac:dyDescent="0.25">
      <c r="A35" s="211" t="s">
        <v>655</v>
      </c>
      <c r="B35" s="64">
        <v>8.11</v>
      </c>
      <c r="C35" s="64">
        <v>20.59</v>
      </c>
      <c r="D35" s="64">
        <v>26.96</v>
      </c>
      <c r="E35" s="64">
        <v>4.13</v>
      </c>
      <c r="F35" s="64">
        <v>11.88</v>
      </c>
      <c r="G35" s="64">
        <v>8.0500000000000007</v>
      </c>
      <c r="H35" s="64">
        <v>45.38</v>
      </c>
      <c r="I35" s="64">
        <v>3.9</v>
      </c>
      <c r="J35" s="64">
        <v>0.26</v>
      </c>
      <c r="K35" s="64">
        <v>103.47</v>
      </c>
      <c r="L35" s="64">
        <v>26.13</v>
      </c>
      <c r="M35" s="64">
        <v>94.11</v>
      </c>
      <c r="N35" s="64">
        <v>186.5</v>
      </c>
      <c r="O35" s="64">
        <v>0</v>
      </c>
      <c r="P35" s="64">
        <v>0.23</v>
      </c>
      <c r="Q35" s="64">
        <v>9.25</v>
      </c>
      <c r="R35" s="198"/>
      <c r="S35" s="198"/>
      <c r="T35" s="198"/>
      <c r="U35" s="198"/>
    </row>
    <row r="36" spans="1:21" s="12" customFormat="1" x14ac:dyDescent="0.25">
      <c r="A36" s="211" t="s">
        <v>656</v>
      </c>
      <c r="B36" s="64">
        <v>5.73</v>
      </c>
      <c r="C36" s="64">
        <v>15.29</v>
      </c>
      <c r="D36" s="64">
        <v>20.46</v>
      </c>
      <c r="E36" s="64">
        <v>4.45</v>
      </c>
      <c r="F36" s="64">
        <v>11.62</v>
      </c>
      <c r="G36" s="64">
        <v>9.89</v>
      </c>
      <c r="H36" s="64">
        <v>38.96</v>
      </c>
      <c r="I36" s="64">
        <v>4.01</v>
      </c>
      <c r="J36" s="64">
        <v>0.26</v>
      </c>
      <c r="K36" s="64">
        <v>127.48</v>
      </c>
      <c r="L36" s="64">
        <v>26.87</v>
      </c>
      <c r="M36" s="64">
        <v>89.72</v>
      </c>
      <c r="N36" s="64">
        <v>242.4</v>
      </c>
      <c r="O36" s="64">
        <v>0</v>
      </c>
      <c r="P36" s="64">
        <v>0.22</v>
      </c>
      <c r="Q36" s="64">
        <v>9.26</v>
      </c>
      <c r="R36" s="198"/>
      <c r="S36" s="198"/>
      <c r="T36" s="198"/>
      <c r="U36" s="198"/>
    </row>
    <row r="37" spans="1:21" s="12" customFormat="1" x14ac:dyDescent="0.25">
      <c r="A37" s="211" t="s">
        <v>657</v>
      </c>
      <c r="B37" s="64">
        <v>9.8000000000000007</v>
      </c>
      <c r="C37" s="64">
        <v>20.83</v>
      </c>
      <c r="D37" s="64">
        <v>24.84</v>
      </c>
      <c r="E37" s="64">
        <v>4.2300000000000004</v>
      </c>
      <c r="F37" s="64">
        <v>11.67</v>
      </c>
      <c r="G37" s="64">
        <v>10.42</v>
      </c>
      <c r="H37" s="64">
        <v>37.130000000000003</v>
      </c>
      <c r="I37" s="64">
        <v>3.97</v>
      </c>
      <c r="J37" s="64">
        <v>0.16</v>
      </c>
      <c r="K37" s="64">
        <v>127.79</v>
      </c>
      <c r="L37" s="64">
        <v>27.45</v>
      </c>
      <c r="M37" s="64">
        <v>87.51</v>
      </c>
      <c r="N37" s="64">
        <v>269</v>
      </c>
      <c r="O37" s="64">
        <v>0</v>
      </c>
      <c r="P37" s="64">
        <v>0.28000000000000003</v>
      </c>
      <c r="Q37" s="64">
        <v>9.27</v>
      </c>
      <c r="R37" s="198"/>
      <c r="S37" s="198"/>
      <c r="T37" s="198"/>
      <c r="U37" s="198"/>
    </row>
    <row r="38" spans="1:21" s="12" customFormat="1" x14ac:dyDescent="0.25">
      <c r="A38" s="211" t="s">
        <v>658</v>
      </c>
      <c r="B38" s="64">
        <v>6.55</v>
      </c>
      <c r="C38" s="64">
        <v>16.239999999999998</v>
      </c>
      <c r="D38" s="64">
        <v>21.03</v>
      </c>
      <c r="E38" s="64">
        <v>4.38</v>
      </c>
      <c r="F38" s="64">
        <v>12.22</v>
      </c>
      <c r="G38" s="64">
        <v>10.42</v>
      </c>
      <c r="H38" s="64">
        <v>37.130000000000003</v>
      </c>
      <c r="I38" s="64">
        <v>3.98</v>
      </c>
      <c r="J38" s="64">
        <v>0.45</v>
      </c>
      <c r="K38" s="64">
        <v>119.52</v>
      </c>
      <c r="L38" s="64">
        <v>27.42</v>
      </c>
      <c r="M38" s="64">
        <v>88.66</v>
      </c>
      <c r="N38" s="64">
        <v>280</v>
      </c>
      <c r="O38" s="64">
        <v>0</v>
      </c>
      <c r="P38" s="64">
        <v>0.22</v>
      </c>
      <c r="Q38" s="64">
        <v>9.27</v>
      </c>
      <c r="R38" s="198"/>
      <c r="S38" s="198"/>
      <c r="T38" s="198"/>
      <c r="U38" s="198"/>
    </row>
    <row r="39" spans="1:21" s="12" customFormat="1" x14ac:dyDescent="0.25">
      <c r="A39" s="211" t="s">
        <v>659</v>
      </c>
      <c r="B39" s="64">
        <v>7.24</v>
      </c>
      <c r="C39" s="64">
        <v>17.22</v>
      </c>
      <c r="D39" s="64">
        <v>21.84</v>
      </c>
      <c r="E39" s="64">
        <v>4.6100000000000003</v>
      </c>
      <c r="F39" s="64">
        <v>11.17</v>
      </c>
      <c r="G39" s="64">
        <v>10.42</v>
      </c>
      <c r="H39" s="64">
        <v>37.130000000000003</v>
      </c>
      <c r="I39" s="64">
        <v>3.98</v>
      </c>
      <c r="J39" s="64">
        <v>0.47</v>
      </c>
      <c r="K39" s="64">
        <v>144.68</v>
      </c>
      <c r="L39" s="64">
        <v>27.36</v>
      </c>
      <c r="M39" s="64">
        <v>88.9</v>
      </c>
      <c r="N39" s="64">
        <v>410.6</v>
      </c>
      <c r="O39" s="64">
        <v>0</v>
      </c>
      <c r="P39" s="64">
        <v>0.23</v>
      </c>
      <c r="Q39" s="64">
        <v>9.2899999999999991</v>
      </c>
      <c r="R39" s="198"/>
      <c r="S39" s="198"/>
      <c r="T39" s="198"/>
      <c r="U39" s="198"/>
    </row>
    <row r="40" spans="1:21" s="12" customFormat="1" x14ac:dyDescent="0.25">
      <c r="A40" s="211" t="s">
        <v>660</v>
      </c>
      <c r="B40" s="64">
        <v>7.55</v>
      </c>
      <c r="C40" s="64">
        <v>17.170000000000002</v>
      </c>
      <c r="D40" s="64">
        <v>21.27</v>
      </c>
      <c r="E40" s="64">
        <v>4.58</v>
      </c>
      <c r="F40" s="64">
        <v>11.09</v>
      </c>
      <c r="G40" s="64">
        <v>12.05</v>
      </c>
      <c r="H40" s="64">
        <v>35.72</v>
      </c>
      <c r="I40" s="64">
        <v>3.95</v>
      </c>
      <c r="J40" s="64">
        <v>0.63</v>
      </c>
      <c r="K40" s="64">
        <v>137.12</v>
      </c>
      <c r="L40" s="64">
        <v>28.15</v>
      </c>
      <c r="M40" s="64">
        <v>86.13</v>
      </c>
      <c r="N40" s="64">
        <v>485.2</v>
      </c>
      <c r="O40" s="64">
        <v>0</v>
      </c>
      <c r="P40" s="64">
        <v>0.22</v>
      </c>
      <c r="Q40" s="64">
        <v>9.31</v>
      </c>
      <c r="R40" s="198"/>
      <c r="S40" s="198"/>
      <c r="T40" s="198"/>
      <c r="U40" s="198"/>
    </row>
    <row r="41" spans="1:21" s="12" customFormat="1" x14ac:dyDescent="0.25">
      <c r="A41" s="211" t="s">
        <v>661</v>
      </c>
      <c r="B41" s="64">
        <v>8.6199999999999992</v>
      </c>
      <c r="C41" s="64">
        <v>17.100000000000001</v>
      </c>
      <c r="D41" s="64">
        <v>19.510000000000002</v>
      </c>
      <c r="E41" s="64">
        <v>4.5199999999999996</v>
      </c>
      <c r="F41" s="64">
        <v>5.65</v>
      </c>
      <c r="G41" s="64">
        <v>12.49</v>
      </c>
      <c r="H41" s="64">
        <v>35.32</v>
      </c>
      <c r="I41" s="64">
        <v>4.04</v>
      </c>
      <c r="J41" s="64">
        <v>0.44</v>
      </c>
      <c r="K41" s="64">
        <v>155.58000000000001</v>
      </c>
      <c r="L41" s="64">
        <v>28.82</v>
      </c>
      <c r="M41" s="64">
        <v>83.55</v>
      </c>
      <c r="N41" s="64">
        <v>537.4</v>
      </c>
      <c r="O41" s="64">
        <v>0</v>
      </c>
      <c r="P41" s="64">
        <v>0.25</v>
      </c>
      <c r="Q41" s="64">
        <v>9.3000000000000007</v>
      </c>
      <c r="R41" s="198"/>
      <c r="S41" s="198"/>
      <c r="T41" s="198"/>
      <c r="U41" s="198"/>
    </row>
    <row r="42" spans="1:21" s="12" customFormat="1" x14ac:dyDescent="0.25">
      <c r="A42" s="211" t="s">
        <v>662</v>
      </c>
      <c r="B42" s="64">
        <v>9.09</v>
      </c>
      <c r="C42" s="64">
        <v>17.79</v>
      </c>
      <c r="D42" s="64">
        <v>20.100000000000001</v>
      </c>
      <c r="E42" s="64">
        <v>4.1500000000000004</v>
      </c>
      <c r="F42" s="64">
        <v>6.21</v>
      </c>
      <c r="G42" s="64">
        <v>12.49</v>
      </c>
      <c r="H42" s="64">
        <v>35.32</v>
      </c>
      <c r="I42" s="64">
        <v>4.08</v>
      </c>
      <c r="J42" s="64">
        <v>0.63</v>
      </c>
      <c r="K42" s="64">
        <v>143.34</v>
      </c>
      <c r="L42" s="64">
        <v>28.83</v>
      </c>
      <c r="M42" s="64">
        <v>81.83</v>
      </c>
      <c r="N42" s="64">
        <v>542.9</v>
      </c>
      <c r="O42" s="64">
        <v>0</v>
      </c>
      <c r="P42" s="64">
        <v>0.24</v>
      </c>
      <c r="Q42" s="64">
        <v>9.2799999999999994</v>
      </c>
      <c r="R42" s="198"/>
      <c r="S42" s="198"/>
      <c r="T42" s="198"/>
      <c r="U42" s="198"/>
    </row>
    <row r="43" spans="1:21" s="12" customFormat="1" x14ac:dyDescent="0.25">
      <c r="A43" s="211" t="s">
        <v>663</v>
      </c>
      <c r="B43" s="64">
        <v>8.3000000000000007</v>
      </c>
      <c r="C43" s="64">
        <v>16.899999999999999</v>
      </c>
      <c r="D43" s="64">
        <v>19.600000000000001</v>
      </c>
      <c r="E43" s="64">
        <v>4.51</v>
      </c>
      <c r="F43" s="64">
        <v>6.84</v>
      </c>
      <c r="G43" s="64">
        <v>12.49</v>
      </c>
      <c r="H43" s="64">
        <v>35.32</v>
      </c>
      <c r="I43" s="64">
        <v>4.1500000000000004</v>
      </c>
      <c r="J43" s="64">
        <v>0.36</v>
      </c>
      <c r="K43" s="64">
        <v>142.9</v>
      </c>
      <c r="L43" s="64">
        <v>29.87</v>
      </c>
      <c r="M43" s="64">
        <v>79.06</v>
      </c>
      <c r="N43" s="64">
        <v>635.9</v>
      </c>
      <c r="O43" s="64">
        <v>0</v>
      </c>
      <c r="P43" s="64">
        <v>0.23</v>
      </c>
      <c r="Q43" s="64">
        <v>9.27</v>
      </c>
      <c r="R43" s="198"/>
      <c r="S43" s="198"/>
      <c r="T43" s="198"/>
      <c r="U43" s="198"/>
    </row>
    <row r="44" spans="1:21" s="12" customFormat="1" x14ac:dyDescent="0.25">
      <c r="A44" s="211" t="s">
        <v>664</v>
      </c>
      <c r="B44" s="64">
        <v>8.4700000000000006</v>
      </c>
      <c r="C44" s="64">
        <v>17.29</v>
      </c>
      <c r="D44" s="64">
        <v>20.100000000000001</v>
      </c>
      <c r="E44" s="64">
        <v>4.5999999999999996</v>
      </c>
      <c r="F44" s="64">
        <v>5.24</v>
      </c>
      <c r="G44" s="64">
        <v>13.38</v>
      </c>
      <c r="H44" s="64">
        <v>35.700000000000003</v>
      </c>
      <c r="I44" s="64">
        <v>3.98</v>
      </c>
      <c r="J44" s="64">
        <v>0.82</v>
      </c>
      <c r="K44" s="64">
        <v>146.88</v>
      </c>
      <c r="L44" s="64">
        <v>29.67</v>
      </c>
      <c r="M44" s="64">
        <v>79.790000000000006</v>
      </c>
      <c r="N44" s="64">
        <v>740.7</v>
      </c>
      <c r="O44" s="64">
        <v>0</v>
      </c>
      <c r="P44" s="64">
        <v>0.25</v>
      </c>
      <c r="Q44" s="64">
        <v>9.24</v>
      </c>
      <c r="R44" s="198"/>
      <c r="S44" s="198"/>
      <c r="T44" s="198"/>
      <c r="U44" s="198"/>
    </row>
    <row r="45" spans="1:21" s="12" customFormat="1" x14ac:dyDescent="0.25">
      <c r="A45" s="211" t="s">
        <v>665</v>
      </c>
      <c r="B45" s="64">
        <v>8.07</v>
      </c>
      <c r="C45" s="64">
        <v>18.54</v>
      </c>
      <c r="D45" s="64">
        <v>23.09</v>
      </c>
      <c r="E45" s="64">
        <v>4.18</v>
      </c>
      <c r="F45" s="64">
        <v>7.92</v>
      </c>
      <c r="G45" s="64">
        <v>13.63</v>
      </c>
      <c r="H45" s="64">
        <v>35.799999999999997</v>
      </c>
      <c r="I45" s="64">
        <v>4.1100000000000003</v>
      </c>
      <c r="J45" s="64">
        <v>0.67</v>
      </c>
      <c r="K45" s="64">
        <v>139.72</v>
      </c>
      <c r="L45" s="64">
        <v>29.73</v>
      </c>
      <c r="M45" s="64">
        <v>79.23</v>
      </c>
      <c r="N45" s="64">
        <v>571.29999999999995</v>
      </c>
      <c r="O45" s="64">
        <v>0</v>
      </c>
      <c r="P45" s="64">
        <v>0.23</v>
      </c>
      <c r="Q45" s="64">
        <v>9.24</v>
      </c>
      <c r="R45" s="198"/>
      <c r="S45" s="198"/>
      <c r="T45" s="198"/>
      <c r="U45" s="198"/>
    </row>
    <row r="46" spans="1:21" s="12" customFormat="1" x14ac:dyDescent="0.25">
      <c r="A46" s="211" t="s">
        <v>666</v>
      </c>
      <c r="B46" s="64">
        <v>7.59</v>
      </c>
      <c r="C46" s="64">
        <v>17</v>
      </c>
      <c r="D46" s="64">
        <v>20.88</v>
      </c>
      <c r="E46" s="64">
        <v>4.1500000000000004</v>
      </c>
      <c r="F46" s="64">
        <v>5.64</v>
      </c>
      <c r="G46" s="64">
        <v>13.63</v>
      </c>
      <c r="H46" s="64">
        <v>35.799999999999997</v>
      </c>
      <c r="I46" s="64">
        <v>3.89</v>
      </c>
      <c r="J46" s="64">
        <v>0.15</v>
      </c>
      <c r="K46" s="64">
        <v>211.2</v>
      </c>
      <c r="L46" s="64">
        <v>29.93</v>
      </c>
      <c r="M46" s="64">
        <v>74.92</v>
      </c>
      <c r="N46" s="64">
        <v>594.1</v>
      </c>
      <c r="O46" s="64">
        <v>0</v>
      </c>
      <c r="P46" s="64">
        <v>0.24</v>
      </c>
      <c r="Q46" s="64">
        <v>9.2200000000000006</v>
      </c>
      <c r="R46" s="198"/>
      <c r="S46" s="198"/>
      <c r="T46" s="198"/>
      <c r="U46" s="198"/>
    </row>
    <row r="47" spans="1:21" s="12" customFormat="1" x14ac:dyDescent="0.25">
      <c r="A47" s="211" t="s">
        <v>667</v>
      </c>
      <c r="B47" s="64">
        <v>6.94</v>
      </c>
      <c r="C47" s="64">
        <v>16.71</v>
      </c>
      <c r="D47" s="64">
        <v>21.32</v>
      </c>
      <c r="E47" s="64">
        <v>3.94</v>
      </c>
      <c r="F47" s="64">
        <v>6.35</v>
      </c>
      <c r="G47" s="64">
        <v>13.63</v>
      </c>
      <c r="H47" s="64">
        <v>35.799999999999997</v>
      </c>
      <c r="I47" s="64">
        <v>4.0199999999999996</v>
      </c>
      <c r="J47" s="64">
        <v>0.34</v>
      </c>
      <c r="K47" s="64">
        <v>151.84</v>
      </c>
      <c r="L47" s="64">
        <v>30.19</v>
      </c>
      <c r="M47" s="64">
        <v>74.53</v>
      </c>
      <c r="N47" s="64">
        <v>488</v>
      </c>
      <c r="O47" s="64">
        <v>0</v>
      </c>
      <c r="P47" s="64">
        <v>0.23</v>
      </c>
      <c r="Q47" s="64">
        <v>9.1999999999999993</v>
      </c>
      <c r="R47" s="198"/>
      <c r="S47" s="198"/>
      <c r="T47" s="198"/>
      <c r="U47" s="198"/>
    </row>
    <row r="48" spans="1:21" s="12" customFormat="1" x14ac:dyDescent="0.25">
      <c r="A48" s="211" t="s">
        <v>668</v>
      </c>
      <c r="B48" s="64">
        <v>6.16</v>
      </c>
      <c r="C48" s="64">
        <v>15.98</v>
      </c>
      <c r="D48" s="64">
        <v>21.12</v>
      </c>
      <c r="E48" s="64">
        <v>4.33</v>
      </c>
      <c r="F48" s="64">
        <v>7.53</v>
      </c>
      <c r="G48" s="64">
        <v>14.97</v>
      </c>
      <c r="H48" s="64">
        <v>35.86</v>
      </c>
      <c r="I48" s="64">
        <v>4.16</v>
      </c>
      <c r="J48" s="64">
        <v>0.14000000000000001</v>
      </c>
      <c r="K48" s="64">
        <v>228.5</v>
      </c>
      <c r="L48" s="64">
        <v>29.83</v>
      </c>
      <c r="M48" s="64">
        <v>75.180000000000007</v>
      </c>
      <c r="N48" s="64">
        <v>435.8</v>
      </c>
      <c r="O48" s="64">
        <v>0</v>
      </c>
      <c r="P48" s="64">
        <v>0.22</v>
      </c>
      <c r="Q48" s="64">
        <v>9.18</v>
      </c>
      <c r="R48" s="198"/>
      <c r="S48" s="198"/>
      <c r="T48" s="198"/>
      <c r="U48" s="198"/>
    </row>
    <row r="49" spans="1:21" s="12" customFormat="1" x14ac:dyDescent="0.25">
      <c r="A49" s="211" t="s">
        <v>669</v>
      </c>
      <c r="B49" s="64">
        <v>5.68</v>
      </c>
      <c r="C49" s="64">
        <v>15.52</v>
      </c>
      <c r="D49" s="64">
        <v>21</v>
      </c>
      <c r="E49" s="64">
        <v>4.29</v>
      </c>
      <c r="F49" s="64">
        <v>4.84</v>
      </c>
      <c r="G49" s="64">
        <v>15.33</v>
      </c>
      <c r="H49" s="64">
        <v>35.869999999999997</v>
      </c>
      <c r="I49" s="64">
        <v>3.97</v>
      </c>
      <c r="J49" s="64">
        <v>0.32</v>
      </c>
      <c r="K49" s="64">
        <v>153.94</v>
      </c>
      <c r="L49" s="64">
        <v>30.14</v>
      </c>
      <c r="M49" s="64">
        <v>73.680000000000007</v>
      </c>
      <c r="N49" s="64">
        <v>426.9</v>
      </c>
      <c r="O49" s="64">
        <v>0</v>
      </c>
      <c r="P49" s="64">
        <v>0.23</v>
      </c>
      <c r="Q49" s="64">
        <v>9.15</v>
      </c>
      <c r="R49" s="198"/>
      <c r="S49" s="198"/>
      <c r="T49" s="198"/>
      <c r="U49" s="198"/>
    </row>
    <row r="50" spans="1:21" s="12" customFormat="1" x14ac:dyDescent="0.25">
      <c r="A50" s="211" t="s">
        <v>670</v>
      </c>
      <c r="B50" s="64">
        <v>6.09</v>
      </c>
      <c r="C50" s="64">
        <v>18.47</v>
      </c>
      <c r="D50" s="64">
        <v>26.01</v>
      </c>
      <c r="E50" s="64">
        <v>3.96</v>
      </c>
      <c r="F50" s="64">
        <v>5.28</v>
      </c>
      <c r="G50" s="64">
        <v>15.33</v>
      </c>
      <c r="H50" s="64">
        <v>35.869999999999997</v>
      </c>
      <c r="I50" s="64">
        <v>3.98</v>
      </c>
      <c r="J50" s="64">
        <v>0.12</v>
      </c>
      <c r="K50" s="64">
        <v>246.9</v>
      </c>
      <c r="L50" s="64">
        <v>30.05</v>
      </c>
      <c r="M50" s="64">
        <v>74.489999999999995</v>
      </c>
      <c r="N50" s="64">
        <v>338.5</v>
      </c>
      <c r="O50" s="64">
        <v>0</v>
      </c>
      <c r="P50" s="64">
        <v>0.23</v>
      </c>
      <c r="Q50" s="64">
        <v>9.15</v>
      </c>
      <c r="R50" s="198"/>
      <c r="S50" s="198"/>
      <c r="T50" s="198"/>
      <c r="U50" s="198"/>
    </row>
    <row r="51" spans="1:21" s="12" customFormat="1" x14ac:dyDescent="0.25">
      <c r="A51" s="211" t="s">
        <v>671</v>
      </c>
      <c r="B51" s="64">
        <v>6.96</v>
      </c>
      <c r="C51" s="64">
        <v>20.52</v>
      </c>
      <c r="D51" s="64">
        <v>28.59</v>
      </c>
      <c r="E51" s="64">
        <v>3.92</v>
      </c>
      <c r="F51" s="64">
        <v>12.22</v>
      </c>
      <c r="G51" s="64">
        <v>40.33</v>
      </c>
      <c r="H51" s="64">
        <v>35.869999999999997</v>
      </c>
      <c r="I51" s="64">
        <v>3.96</v>
      </c>
      <c r="J51" s="64">
        <v>0.21</v>
      </c>
      <c r="K51" s="64">
        <v>280.06</v>
      </c>
      <c r="L51" s="64">
        <v>30.91</v>
      </c>
      <c r="M51" s="64">
        <v>71.52</v>
      </c>
      <c r="N51" s="64">
        <v>421.3</v>
      </c>
      <c r="O51" s="64">
        <v>0</v>
      </c>
      <c r="P51" s="64">
        <v>0.28000000000000003</v>
      </c>
      <c r="Q51" s="64">
        <v>9.15</v>
      </c>
      <c r="R51" s="198"/>
      <c r="S51" s="198"/>
      <c r="T51" s="198"/>
      <c r="U51" s="198"/>
    </row>
    <row r="52" spans="1:21" s="12" customFormat="1" x14ac:dyDescent="0.25">
      <c r="A52" s="211" t="s">
        <v>672</v>
      </c>
      <c r="B52" s="64">
        <v>5.88</v>
      </c>
      <c r="C52" s="64">
        <v>22.24</v>
      </c>
      <c r="D52" s="64">
        <v>33.53</v>
      </c>
      <c r="E52" s="64">
        <v>3.94</v>
      </c>
      <c r="F52" s="64">
        <v>11.43</v>
      </c>
      <c r="G52" s="64">
        <v>15.56</v>
      </c>
      <c r="H52" s="64">
        <v>22.56</v>
      </c>
      <c r="I52" s="64">
        <v>3.89</v>
      </c>
      <c r="J52" s="64">
        <v>0.14000000000000001</v>
      </c>
      <c r="K52" s="64">
        <v>257.7</v>
      </c>
      <c r="L52" s="64">
        <v>30.74</v>
      </c>
      <c r="M52" s="64">
        <v>72.67</v>
      </c>
      <c r="N52" s="64">
        <v>521.5</v>
      </c>
      <c r="O52" s="64">
        <v>0</v>
      </c>
      <c r="P52" s="64">
        <v>0.26</v>
      </c>
      <c r="Q52" s="64">
        <v>9.15</v>
      </c>
      <c r="R52" s="198"/>
      <c r="S52" s="198"/>
      <c r="T52" s="198"/>
      <c r="U52" s="198"/>
    </row>
    <row r="53" spans="1:21" s="12" customFormat="1" x14ac:dyDescent="0.25">
      <c r="A53" s="211" t="s">
        <v>673</v>
      </c>
      <c r="B53" s="64">
        <v>4.71</v>
      </c>
      <c r="C53" s="64">
        <v>19.04</v>
      </c>
      <c r="D53" s="64">
        <v>29.22</v>
      </c>
      <c r="E53" s="64">
        <v>4.26</v>
      </c>
      <c r="F53" s="64">
        <v>15.53</v>
      </c>
      <c r="G53" s="64">
        <v>0</v>
      </c>
      <c r="H53" s="64">
        <v>0</v>
      </c>
      <c r="I53" s="64">
        <v>4.03</v>
      </c>
      <c r="J53" s="64">
        <v>0.14000000000000001</v>
      </c>
      <c r="K53" s="64">
        <v>199.52</v>
      </c>
      <c r="L53" s="64">
        <v>31.59</v>
      </c>
      <c r="M53" s="64">
        <v>69.94</v>
      </c>
      <c r="N53" s="64">
        <v>870.5</v>
      </c>
      <c r="O53" s="64">
        <v>0</v>
      </c>
      <c r="P53" s="64">
        <v>0.26</v>
      </c>
      <c r="Q53" s="64">
        <v>9.15</v>
      </c>
      <c r="R53" s="198"/>
      <c r="S53" s="198"/>
      <c r="T53" s="198"/>
      <c r="U53" s="198"/>
    </row>
    <row r="54" spans="1:21" s="12" customFormat="1" x14ac:dyDescent="0.25">
      <c r="A54" s="211" t="s">
        <v>674</v>
      </c>
      <c r="B54" s="64">
        <v>3.74</v>
      </c>
      <c r="C54" s="64">
        <v>15.88</v>
      </c>
      <c r="D54" s="64">
        <v>24.66</v>
      </c>
      <c r="E54" s="64">
        <v>3.91</v>
      </c>
      <c r="F54" s="64">
        <v>11.67</v>
      </c>
      <c r="G54" s="64">
        <v>0</v>
      </c>
      <c r="H54" s="64">
        <v>0</v>
      </c>
      <c r="I54" s="64">
        <v>3.92</v>
      </c>
      <c r="J54" s="64">
        <v>0.34</v>
      </c>
      <c r="K54" s="64">
        <v>295.17</v>
      </c>
      <c r="L54" s="64">
        <v>32.35</v>
      </c>
      <c r="M54" s="64">
        <v>66.64</v>
      </c>
      <c r="N54" s="64">
        <v>537.29999999999995</v>
      </c>
      <c r="O54" s="64">
        <v>0</v>
      </c>
      <c r="P54" s="64">
        <v>0.24</v>
      </c>
      <c r="Q54" s="64">
        <v>9.14</v>
      </c>
      <c r="R54" s="198"/>
      <c r="S54" s="198"/>
      <c r="T54" s="198"/>
      <c r="U54" s="198"/>
    </row>
    <row r="55" spans="1:21" s="12" customFormat="1" x14ac:dyDescent="0.25">
      <c r="A55" s="211" t="s">
        <v>675</v>
      </c>
      <c r="B55" s="64">
        <v>4.34</v>
      </c>
      <c r="C55" s="64">
        <v>17.16</v>
      </c>
      <c r="D55" s="64">
        <v>26.18</v>
      </c>
      <c r="E55" s="64">
        <v>4.4400000000000004</v>
      </c>
      <c r="F55" s="64">
        <v>10.79</v>
      </c>
      <c r="G55" s="64">
        <v>0</v>
      </c>
      <c r="H55" s="64">
        <v>0</v>
      </c>
      <c r="I55" s="64">
        <v>3.93</v>
      </c>
      <c r="J55" s="64">
        <v>0.25</v>
      </c>
      <c r="K55" s="64">
        <v>296.04000000000002</v>
      </c>
      <c r="L55" s="64">
        <v>33.03</v>
      </c>
      <c r="M55" s="64">
        <v>62.91</v>
      </c>
      <c r="N55" s="64">
        <v>742.4</v>
      </c>
      <c r="O55" s="64">
        <v>0</v>
      </c>
      <c r="P55" s="64">
        <v>0.26</v>
      </c>
      <c r="Q55" s="64">
        <v>9.14</v>
      </c>
      <c r="R55" s="198"/>
      <c r="S55" s="198"/>
      <c r="T55" s="198"/>
      <c r="U55" s="198"/>
    </row>
    <row r="56" spans="1:21" s="12" customFormat="1" x14ac:dyDescent="0.25">
      <c r="A56" s="211" t="s">
        <v>676</v>
      </c>
      <c r="B56" s="64">
        <v>3.8</v>
      </c>
      <c r="C56" s="64">
        <v>15.04</v>
      </c>
      <c r="D56" s="64">
        <v>22.94</v>
      </c>
      <c r="E56" s="64">
        <v>4.1399999999999997</v>
      </c>
      <c r="F56" s="64">
        <v>13.71</v>
      </c>
      <c r="G56" s="64">
        <v>2.7</v>
      </c>
      <c r="H56" s="64">
        <v>39.17</v>
      </c>
      <c r="I56" s="64">
        <v>4.1500000000000004</v>
      </c>
      <c r="J56" s="64">
        <v>0.09</v>
      </c>
      <c r="K56" s="64">
        <v>285.45999999999998</v>
      </c>
      <c r="L56" s="64">
        <v>32.380000000000003</v>
      </c>
      <c r="M56" s="64">
        <v>64.5</v>
      </c>
      <c r="N56" s="64">
        <v>927.6</v>
      </c>
      <c r="O56" s="64">
        <v>0</v>
      </c>
      <c r="P56" s="64">
        <v>0.24</v>
      </c>
      <c r="Q56" s="64">
        <v>9.14</v>
      </c>
      <c r="R56" s="198"/>
      <c r="S56" s="198"/>
      <c r="T56" s="198"/>
      <c r="U56" s="198"/>
    </row>
    <row r="57" spans="1:21" s="12" customFormat="1" x14ac:dyDescent="0.25">
      <c r="A57" s="211" t="s">
        <v>677</v>
      </c>
      <c r="B57" s="64">
        <v>3.83</v>
      </c>
      <c r="C57" s="64">
        <v>15.3</v>
      </c>
      <c r="D57" s="64">
        <v>23.41</v>
      </c>
      <c r="E57" s="64">
        <v>4.32</v>
      </c>
      <c r="F57" s="64">
        <v>13.11</v>
      </c>
      <c r="G57" s="64">
        <v>47.29</v>
      </c>
      <c r="H57" s="64">
        <v>685.55</v>
      </c>
      <c r="I57" s="64">
        <v>4</v>
      </c>
      <c r="J57" s="64">
        <v>0.28999999999999998</v>
      </c>
      <c r="K57" s="64">
        <v>279.3</v>
      </c>
      <c r="L57" s="64">
        <v>32.93</v>
      </c>
      <c r="M57" s="64">
        <v>61.91</v>
      </c>
      <c r="N57" s="64">
        <v>931.8</v>
      </c>
      <c r="O57" s="64">
        <v>0</v>
      </c>
      <c r="P57" s="64">
        <v>0.23</v>
      </c>
      <c r="Q57" s="64">
        <v>9.1300000000000008</v>
      </c>
      <c r="R57" s="198"/>
      <c r="S57" s="198"/>
      <c r="T57" s="198"/>
      <c r="U57" s="198"/>
    </row>
    <row r="58" spans="1:21" s="12" customFormat="1" x14ac:dyDescent="0.25">
      <c r="A58" s="211" t="s">
        <v>678</v>
      </c>
      <c r="B58" s="64">
        <v>3.95</v>
      </c>
      <c r="C58" s="64">
        <v>16.100000000000001</v>
      </c>
      <c r="D58" s="64">
        <v>24.75</v>
      </c>
      <c r="E58" s="64">
        <v>4.26</v>
      </c>
      <c r="F58" s="64">
        <v>8.65</v>
      </c>
      <c r="G58" s="64">
        <v>47.29</v>
      </c>
      <c r="H58" s="64">
        <v>685.55</v>
      </c>
      <c r="I58" s="64">
        <v>4.1500000000000004</v>
      </c>
      <c r="J58" s="64">
        <v>0.24</v>
      </c>
      <c r="K58" s="64">
        <v>278.35000000000002</v>
      </c>
      <c r="L58" s="64">
        <v>33.21</v>
      </c>
      <c r="M58" s="64">
        <v>59.45</v>
      </c>
      <c r="N58" s="64">
        <v>966.7</v>
      </c>
      <c r="O58" s="64">
        <v>0</v>
      </c>
      <c r="P58" s="64">
        <v>0.22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11" t="s">
        <v>679</v>
      </c>
      <c r="B59" s="64">
        <v>4.95</v>
      </c>
      <c r="C59" s="64">
        <v>17.170000000000002</v>
      </c>
      <c r="D59" s="64">
        <v>25.27</v>
      </c>
      <c r="E59" s="64">
        <v>3.87</v>
      </c>
      <c r="F59" s="64">
        <v>8.07</v>
      </c>
      <c r="G59" s="64">
        <v>47.29</v>
      </c>
      <c r="H59" s="64">
        <v>685.55</v>
      </c>
      <c r="I59" s="64">
        <v>4.08</v>
      </c>
      <c r="J59" s="64">
        <v>0.86</v>
      </c>
      <c r="K59" s="64">
        <v>324.32</v>
      </c>
      <c r="L59" s="64">
        <v>34.799999999999997</v>
      </c>
      <c r="M59" s="64">
        <v>57.1</v>
      </c>
      <c r="N59" s="64">
        <v>928</v>
      </c>
      <c r="O59" s="64">
        <v>0</v>
      </c>
      <c r="P59" s="64">
        <v>0.26</v>
      </c>
      <c r="Q59" s="64">
        <v>9.1300000000000008</v>
      </c>
      <c r="R59" s="198"/>
      <c r="S59" s="198"/>
      <c r="T59" s="198"/>
      <c r="U59" s="198"/>
    </row>
    <row r="60" spans="1:21" s="12" customFormat="1" x14ac:dyDescent="0.25">
      <c r="A60" s="211" t="s">
        <v>680</v>
      </c>
      <c r="B60" s="64">
        <v>8.75</v>
      </c>
      <c r="C60" s="64">
        <v>25.74</v>
      </c>
      <c r="D60" s="64">
        <v>35.840000000000003</v>
      </c>
      <c r="E60" s="64">
        <v>3.96</v>
      </c>
      <c r="F60" s="64">
        <v>11.46</v>
      </c>
      <c r="G60" s="64">
        <v>47.8</v>
      </c>
      <c r="H60" s="64">
        <v>511.8</v>
      </c>
      <c r="I60" s="64">
        <v>3.97</v>
      </c>
      <c r="J60" s="64">
        <v>0.11</v>
      </c>
      <c r="K60" s="64">
        <v>320.77999999999997</v>
      </c>
      <c r="L60" s="64">
        <v>34.92</v>
      </c>
      <c r="M60" s="64">
        <v>54.42</v>
      </c>
      <c r="N60" s="64">
        <v>693.4</v>
      </c>
      <c r="O60" s="64">
        <v>0</v>
      </c>
      <c r="P60" s="64">
        <v>0.3</v>
      </c>
      <c r="Q60" s="64">
        <v>9.15</v>
      </c>
      <c r="R60" s="198"/>
      <c r="S60" s="198"/>
      <c r="T60" s="198"/>
      <c r="U60" s="198"/>
    </row>
    <row r="61" spans="1:21" s="12" customFormat="1" x14ac:dyDescent="0.25">
      <c r="A61" s="211" t="s">
        <v>681</v>
      </c>
      <c r="B61" s="64">
        <v>5.13</v>
      </c>
      <c r="C61" s="64">
        <v>24.69</v>
      </c>
      <c r="D61" s="64">
        <v>39.380000000000003</v>
      </c>
      <c r="E61" s="64">
        <v>4.08</v>
      </c>
      <c r="F61" s="64">
        <v>6.88</v>
      </c>
      <c r="G61" s="64">
        <v>49.2</v>
      </c>
      <c r="H61" s="64">
        <v>34.01</v>
      </c>
      <c r="I61" s="64">
        <v>3.91</v>
      </c>
      <c r="J61" s="64">
        <v>0.21</v>
      </c>
      <c r="K61" s="64">
        <v>230.77</v>
      </c>
      <c r="L61" s="64">
        <v>31.75</v>
      </c>
      <c r="M61" s="64">
        <v>65.150000000000006</v>
      </c>
      <c r="N61" s="64">
        <v>312.8</v>
      </c>
      <c r="O61" s="64">
        <v>0</v>
      </c>
      <c r="P61" s="64">
        <v>0.24</v>
      </c>
      <c r="Q61" s="64">
        <v>9.23</v>
      </c>
      <c r="R61" s="198"/>
      <c r="S61" s="198"/>
      <c r="T61" s="198"/>
      <c r="U61" s="198"/>
    </row>
    <row r="62" spans="1:21" s="12" customFormat="1" x14ac:dyDescent="0.25">
      <c r="A62" s="211" t="s">
        <v>682</v>
      </c>
      <c r="B62" s="64">
        <v>3.77</v>
      </c>
      <c r="C62" s="64">
        <v>19.89</v>
      </c>
      <c r="D62" s="64">
        <v>32.29</v>
      </c>
      <c r="E62" s="64">
        <v>4.29</v>
      </c>
      <c r="F62" s="64">
        <v>8.77</v>
      </c>
      <c r="G62" s="64">
        <v>49.2</v>
      </c>
      <c r="H62" s="64">
        <v>34.01</v>
      </c>
      <c r="I62" s="64">
        <v>3.97</v>
      </c>
      <c r="J62" s="64">
        <v>0.2</v>
      </c>
      <c r="K62" s="64">
        <v>262.92</v>
      </c>
      <c r="L62" s="64">
        <v>28.9</v>
      </c>
      <c r="M62" s="64">
        <v>71.11</v>
      </c>
      <c r="N62" s="64">
        <v>252.1</v>
      </c>
      <c r="O62" s="64">
        <v>0</v>
      </c>
      <c r="P62" s="64">
        <v>0.21</v>
      </c>
      <c r="Q62" s="64">
        <v>9.2100000000000009</v>
      </c>
      <c r="R62" s="198"/>
      <c r="S62" s="198"/>
      <c r="T62" s="198"/>
      <c r="U62" s="198"/>
    </row>
    <row r="63" spans="1:21" s="12" customFormat="1" x14ac:dyDescent="0.25">
      <c r="A63" s="211" t="s">
        <v>683</v>
      </c>
      <c r="B63" s="64">
        <v>3.03</v>
      </c>
      <c r="C63" s="64">
        <v>14.13</v>
      </c>
      <c r="D63" s="64">
        <v>22.4</v>
      </c>
      <c r="E63" s="64">
        <v>4.84</v>
      </c>
      <c r="F63" s="64">
        <v>18.309999999999999</v>
      </c>
      <c r="G63" s="64">
        <v>49.2</v>
      </c>
      <c r="H63" s="64">
        <v>34.01</v>
      </c>
      <c r="I63" s="64">
        <v>4.12</v>
      </c>
      <c r="J63" s="64">
        <v>0.21</v>
      </c>
      <c r="K63" s="64">
        <v>292.87</v>
      </c>
      <c r="L63" s="64">
        <v>28.6</v>
      </c>
      <c r="M63" s="64">
        <v>67.709999999999994</v>
      </c>
      <c r="N63" s="64">
        <v>225.6</v>
      </c>
      <c r="O63" s="64">
        <v>0</v>
      </c>
      <c r="P63" s="64">
        <v>0.13</v>
      </c>
      <c r="Q63" s="64">
        <v>9.15</v>
      </c>
      <c r="R63" s="198"/>
      <c r="S63" s="198"/>
      <c r="T63" s="198"/>
      <c r="U63" s="198"/>
    </row>
    <row r="64" spans="1:21" s="12" customFormat="1" x14ac:dyDescent="0.25">
      <c r="A64" s="211" t="s">
        <v>684</v>
      </c>
      <c r="B64" s="64">
        <v>3.45</v>
      </c>
      <c r="C64" s="64">
        <v>13.99</v>
      </c>
      <c r="D64" s="64">
        <v>21.49</v>
      </c>
      <c r="E64" s="64">
        <v>3.74</v>
      </c>
      <c r="F64" s="64">
        <v>10.37</v>
      </c>
      <c r="G64" s="64">
        <v>46.93</v>
      </c>
      <c r="H64" s="64">
        <v>14.49</v>
      </c>
      <c r="I64" s="64">
        <v>3.96</v>
      </c>
      <c r="J64" s="64">
        <v>0.25</v>
      </c>
      <c r="K64" s="64">
        <v>287.97000000000003</v>
      </c>
      <c r="L64" s="64">
        <v>29.1</v>
      </c>
      <c r="M64" s="64">
        <v>69.989999999999995</v>
      </c>
      <c r="N64" s="64">
        <v>246</v>
      </c>
      <c r="O64" s="64">
        <v>0</v>
      </c>
      <c r="P64" s="64">
        <v>0.14000000000000001</v>
      </c>
      <c r="Q64" s="64">
        <v>9.1</v>
      </c>
      <c r="R64" s="198"/>
      <c r="S64" s="198"/>
      <c r="T64" s="198"/>
      <c r="U64" s="198"/>
    </row>
    <row r="65" spans="1:21" s="12" customFormat="1" x14ac:dyDescent="0.25">
      <c r="A65" s="211" t="s">
        <v>685</v>
      </c>
      <c r="B65" s="64">
        <v>5.76</v>
      </c>
      <c r="C65" s="64">
        <v>16.28</v>
      </c>
      <c r="D65" s="64">
        <v>22.32</v>
      </c>
      <c r="E65" s="64">
        <v>3.63</v>
      </c>
      <c r="F65" s="64">
        <v>7.91</v>
      </c>
      <c r="G65" s="64">
        <v>40.68</v>
      </c>
      <c r="H65" s="64">
        <v>-39.19</v>
      </c>
      <c r="I65" s="64">
        <v>3.97</v>
      </c>
      <c r="J65" s="64">
        <v>0.28999999999999998</v>
      </c>
      <c r="K65" s="64">
        <v>301.42</v>
      </c>
      <c r="L65" s="64">
        <v>29.94</v>
      </c>
      <c r="M65" s="64">
        <v>71.22</v>
      </c>
      <c r="N65" s="64">
        <v>266.39999999999998</v>
      </c>
      <c r="O65" s="64">
        <v>0</v>
      </c>
      <c r="P65" s="64">
        <v>0.17</v>
      </c>
      <c r="Q65" s="64">
        <v>9.08</v>
      </c>
      <c r="R65" s="198"/>
      <c r="S65" s="198"/>
      <c r="T65" s="198"/>
      <c r="U65" s="198"/>
    </row>
    <row r="66" spans="1:21" s="12" customFormat="1" x14ac:dyDescent="0.25">
      <c r="A66" s="211" t="s">
        <v>686</v>
      </c>
      <c r="B66" s="64">
        <v>9.2899999999999991</v>
      </c>
      <c r="C66" s="64">
        <v>23.24</v>
      </c>
      <c r="D66" s="64">
        <v>30.21</v>
      </c>
      <c r="E66" s="64">
        <v>3.85</v>
      </c>
      <c r="F66" s="64">
        <v>6.97</v>
      </c>
      <c r="G66" s="64">
        <v>40.68</v>
      </c>
      <c r="H66" s="64">
        <v>-39.19</v>
      </c>
      <c r="I66" s="64">
        <v>4.04</v>
      </c>
      <c r="J66" s="64">
        <v>0.36</v>
      </c>
      <c r="K66" s="64">
        <v>319.74</v>
      </c>
      <c r="L66" s="64">
        <v>30.84</v>
      </c>
      <c r="M66" s="64">
        <v>67.319999999999993</v>
      </c>
      <c r="N66" s="64">
        <v>280.5</v>
      </c>
      <c r="O66" s="64">
        <v>0</v>
      </c>
      <c r="P66" s="64">
        <v>0.23</v>
      </c>
      <c r="Q66" s="64">
        <v>9.09</v>
      </c>
      <c r="R66" s="198"/>
      <c r="S66" s="198"/>
      <c r="T66" s="198"/>
      <c r="U66" s="198"/>
    </row>
    <row r="67" spans="1:21" s="12" customFormat="1" x14ac:dyDescent="0.25">
      <c r="A67" s="211" t="s">
        <v>687</v>
      </c>
      <c r="B67" s="64">
        <v>11.17</v>
      </c>
      <c r="C67" s="64">
        <v>25.78</v>
      </c>
      <c r="D67" s="64">
        <v>32.21</v>
      </c>
      <c r="E67" s="64">
        <v>4.05</v>
      </c>
      <c r="F67" s="64">
        <v>13.25</v>
      </c>
      <c r="G67" s="64">
        <v>40.68</v>
      </c>
      <c r="H67" s="64">
        <v>-39.19</v>
      </c>
      <c r="I67" s="64">
        <v>3.97</v>
      </c>
      <c r="J67" s="64">
        <v>0.26</v>
      </c>
      <c r="K67" s="64">
        <v>329.72</v>
      </c>
      <c r="L67" s="64">
        <v>31.09</v>
      </c>
      <c r="M67" s="64">
        <v>66.5</v>
      </c>
      <c r="N67" s="64">
        <v>266.5</v>
      </c>
      <c r="O67" s="64">
        <v>0</v>
      </c>
      <c r="P67" s="64">
        <v>0.39</v>
      </c>
      <c r="Q67" s="64">
        <v>9.14</v>
      </c>
      <c r="R67" s="198"/>
      <c r="S67" s="198"/>
      <c r="T67" s="198"/>
      <c r="U67" s="198"/>
    </row>
    <row r="68" spans="1:21" s="12" customFormat="1" x14ac:dyDescent="0.25">
      <c r="A68" s="211" t="s">
        <v>688</v>
      </c>
      <c r="B68" s="64">
        <v>9.4700000000000006</v>
      </c>
      <c r="C68" s="64">
        <v>22.31</v>
      </c>
      <c r="D68" s="64">
        <v>28.17</v>
      </c>
      <c r="E68" s="64">
        <v>4.1399999999999997</v>
      </c>
      <c r="F68" s="64">
        <v>15.92</v>
      </c>
      <c r="G68" s="64">
        <v>51.06</v>
      </c>
      <c r="H68" s="64">
        <v>-13.58</v>
      </c>
      <c r="I68" s="64">
        <v>4.22</v>
      </c>
      <c r="J68" s="64">
        <v>0</v>
      </c>
      <c r="K68" s="64">
        <v>235.98</v>
      </c>
      <c r="L68" s="64">
        <v>31.37</v>
      </c>
      <c r="M68" s="64">
        <v>65.28</v>
      </c>
      <c r="N68" s="64">
        <v>228.9</v>
      </c>
      <c r="O68" s="64">
        <v>0</v>
      </c>
      <c r="P68" s="64">
        <v>0.37</v>
      </c>
      <c r="Q68" s="64">
        <v>9.18</v>
      </c>
      <c r="R68" s="198"/>
      <c r="S68" s="198"/>
      <c r="T68" s="198"/>
      <c r="U68" s="198"/>
    </row>
    <row r="69" spans="1:21" s="12" customFormat="1" x14ac:dyDescent="0.25">
      <c r="A69" s="211" t="s">
        <v>689</v>
      </c>
      <c r="B69" s="64">
        <v>6.29</v>
      </c>
      <c r="C69" s="64">
        <v>20.29</v>
      </c>
      <c r="D69" s="64">
        <v>29.18</v>
      </c>
      <c r="E69" s="64">
        <v>3.92</v>
      </c>
      <c r="F69" s="64">
        <v>12.05</v>
      </c>
      <c r="G69" s="64">
        <v>79.599999999999994</v>
      </c>
      <c r="H69" s="64">
        <v>56.84</v>
      </c>
      <c r="I69" s="64">
        <v>3.9</v>
      </c>
      <c r="J69" s="64">
        <v>1.26</v>
      </c>
      <c r="K69" s="64">
        <v>150.04</v>
      </c>
      <c r="L69" s="64">
        <v>30.33</v>
      </c>
      <c r="M69" s="64">
        <v>68.67</v>
      </c>
      <c r="N69" s="64">
        <v>220.6</v>
      </c>
      <c r="O69" s="64">
        <v>0</v>
      </c>
      <c r="P69" s="64">
        <v>0.25</v>
      </c>
      <c r="Q69" s="64">
        <v>9.19</v>
      </c>
      <c r="R69" s="198"/>
      <c r="S69" s="198"/>
      <c r="T69" s="198"/>
      <c r="U69" s="198"/>
    </row>
    <row r="70" spans="1:21" s="12" customFormat="1" x14ac:dyDescent="0.25">
      <c r="A70" s="211" t="s">
        <v>690</v>
      </c>
      <c r="B70" s="64">
        <v>6.18</v>
      </c>
      <c r="C70" s="64">
        <v>17.63</v>
      </c>
      <c r="D70" s="64">
        <v>24.25</v>
      </c>
      <c r="E70" s="64">
        <v>4.04</v>
      </c>
      <c r="F70" s="64">
        <v>5.24</v>
      </c>
      <c r="G70" s="64">
        <v>79.599999999999994</v>
      </c>
      <c r="H70" s="64">
        <v>56.84</v>
      </c>
      <c r="I70" s="64">
        <v>3.99</v>
      </c>
      <c r="J70" s="64">
        <v>0.91</v>
      </c>
      <c r="K70" s="64">
        <v>159.34</v>
      </c>
      <c r="L70" s="64">
        <v>28.89</v>
      </c>
      <c r="M70" s="64">
        <v>73.739999999999995</v>
      </c>
      <c r="N70" s="64">
        <v>284.8</v>
      </c>
      <c r="O70" s="64">
        <v>0</v>
      </c>
      <c r="P70" s="64">
        <v>0.23</v>
      </c>
      <c r="Q70" s="64">
        <v>9.2200000000000006</v>
      </c>
      <c r="R70" s="198"/>
      <c r="S70" s="198"/>
      <c r="T70" s="198"/>
      <c r="U70" s="198"/>
    </row>
    <row r="71" spans="1:21" s="12" customFormat="1" x14ac:dyDescent="0.25">
      <c r="A71" s="211" t="s">
        <v>691</v>
      </c>
      <c r="B71" s="64">
        <v>5.88</v>
      </c>
      <c r="C71" s="64">
        <v>16.89</v>
      </c>
      <c r="D71" s="64">
        <v>23.3</v>
      </c>
      <c r="E71" s="64">
        <v>4.22</v>
      </c>
      <c r="F71" s="64">
        <v>8.58</v>
      </c>
      <c r="G71" s="64">
        <v>79.599999999999994</v>
      </c>
      <c r="H71" s="64">
        <v>56.84</v>
      </c>
      <c r="I71" s="64">
        <v>3.95</v>
      </c>
      <c r="J71" s="64">
        <v>1.42</v>
      </c>
      <c r="K71" s="64">
        <v>141.13</v>
      </c>
      <c r="L71" s="64">
        <v>29</v>
      </c>
      <c r="M71" s="64">
        <v>74.23</v>
      </c>
      <c r="N71" s="64">
        <v>363.8</v>
      </c>
      <c r="O71" s="64">
        <v>0</v>
      </c>
      <c r="P71" s="64">
        <v>0.2</v>
      </c>
      <c r="Q71" s="64">
        <v>9.24</v>
      </c>
      <c r="R71" s="198"/>
      <c r="S71" s="198"/>
      <c r="T71" s="198"/>
      <c r="U71" s="198"/>
    </row>
    <row r="72" spans="1:21" s="12" customFormat="1" x14ac:dyDescent="0.25">
      <c r="A72" s="211" t="s">
        <v>692</v>
      </c>
      <c r="B72" s="64">
        <v>6.02</v>
      </c>
      <c r="C72" s="64">
        <v>18.02</v>
      </c>
      <c r="D72" s="64">
        <v>25.24</v>
      </c>
      <c r="E72" s="64">
        <v>4.8600000000000003</v>
      </c>
      <c r="F72" s="64">
        <v>12.41</v>
      </c>
      <c r="G72" s="64">
        <v>75.709999999999994</v>
      </c>
      <c r="H72" s="64">
        <v>41.68</v>
      </c>
      <c r="I72" s="64">
        <v>3.96</v>
      </c>
      <c r="J72" s="64">
        <v>1</v>
      </c>
      <c r="K72" s="64">
        <v>145.88999999999999</v>
      </c>
      <c r="L72" s="64">
        <v>29.17</v>
      </c>
      <c r="M72" s="64">
        <v>73.8</v>
      </c>
      <c r="N72" s="64">
        <v>325.60000000000002</v>
      </c>
      <c r="O72" s="64">
        <v>0</v>
      </c>
      <c r="P72" s="64">
        <v>0.2</v>
      </c>
      <c r="Q72" s="64">
        <v>9.23</v>
      </c>
      <c r="R72" s="198"/>
      <c r="S72" s="198"/>
      <c r="T72" s="198"/>
      <c r="U72" s="198"/>
    </row>
    <row r="73" spans="1:21" s="12" customFormat="1" x14ac:dyDescent="0.25">
      <c r="A73" s="211" t="s">
        <v>693</v>
      </c>
      <c r="B73" s="64">
        <v>5.96</v>
      </c>
      <c r="C73" s="64">
        <v>17.600000000000001</v>
      </c>
      <c r="D73" s="64">
        <v>24.54</v>
      </c>
      <c r="E73" s="64">
        <v>5.7</v>
      </c>
      <c r="F73" s="64">
        <v>11.86</v>
      </c>
      <c r="G73" s="64">
        <v>65.02</v>
      </c>
      <c r="H73" s="64">
        <v>0</v>
      </c>
      <c r="I73" s="64">
        <v>4.01</v>
      </c>
      <c r="J73" s="64">
        <v>0.9</v>
      </c>
      <c r="K73" s="64">
        <v>151.97999999999999</v>
      </c>
      <c r="L73" s="64">
        <v>29.21</v>
      </c>
      <c r="M73" s="64">
        <v>73.52</v>
      </c>
      <c r="N73" s="64">
        <v>125.7</v>
      </c>
      <c r="O73" s="64">
        <v>0</v>
      </c>
      <c r="P73" s="64">
        <v>0.2</v>
      </c>
      <c r="Q73" s="64">
        <v>9.24</v>
      </c>
      <c r="R73" s="198"/>
      <c r="S73" s="198"/>
      <c r="T73" s="198"/>
      <c r="U73" s="198"/>
    </row>
    <row r="74" spans="1:21" s="12" customFormat="1" x14ac:dyDescent="0.25">
      <c r="A74" s="211" t="s">
        <v>694</v>
      </c>
      <c r="B74" s="64">
        <v>5.81</v>
      </c>
      <c r="C74" s="64">
        <v>17.43</v>
      </c>
      <c r="D74" s="64">
        <v>24.45</v>
      </c>
      <c r="E74" s="64">
        <v>5.75</v>
      </c>
      <c r="F74" s="64">
        <v>10.1</v>
      </c>
      <c r="G74" s="64">
        <v>65.02</v>
      </c>
      <c r="H74" s="64">
        <v>0</v>
      </c>
      <c r="I74" s="64">
        <v>3.91</v>
      </c>
      <c r="J74" s="64">
        <v>1.1000000000000001</v>
      </c>
      <c r="K74" s="64">
        <v>154.41</v>
      </c>
      <c r="L74" s="64">
        <v>28.86</v>
      </c>
      <c r="M74" s="64">
        <v>74.849999999999994</v>
      </c>
      <c r="N74" s="64">
        <v>83.3</v>
      </c>
      <c r="O74" s="64">
        <v>0</v>
      </c>
      <c r="P74" s="64">
        <v>0.2</v>
      </c>
      <c r="Q74" s="64">
        <v>9.26</v>
      </c>
      <c r="R74" s="198"/>
      <c r="S74" s="198"/>
      <c r="T74" s="198"/>
      <c r="U74" s="198"/>
    </row>
    <row r="75" spans="1:21" s="12" customFormat="1" x14ac:dyDescent="0.25">
      <c r="A75" s="211" t="s">
        <v>695</v>
      </c>
      <c r="B75" s="64">
        <v>5.61</v>
      </c>
      <c r="C75" s="64">
        <v>16.3</v>
      </c>
      <c r="D75" s="64">
        <v>22.59</v>
      </c>
      <c r="E75" s="64">
        <v>5.9</v>
      </c>
      <c r="F75" s="64">
        <v>12.77</v>
      </c>
      <c r="G75" s="64">
        <v>65.02</v>
      </c>
      <c r="H75" s="64">
        <v>0</v>
      </c>
      <c r="I75" s="64">
        <v>3.95</v>
      </c>
      <c r="J75" s="64">
        <v>0.96</v>
      </c>
      <c r="K75" s="64">
        <v>150.85</v>
      </c>
      <c r="L75" s="64">
        <v>28.66</v>
      </c>
      <c r="M75" s="64">
        <v>76.12</v>
      </c>
      <c r="N75" s="64">
        <v>72.900000000000006</v>
      </c>
      <c r="O75" s="64">
        <v>0</v>
      </c>
      <c r="P75" s="64">
        <v>0.21</v>
      </c>
      <c r="Q75" s="64">
        <v>9.25</v>
      </c>
      <c r="R75" s="198"/>
      <c r="S75" s="198"/>
      <c r="T75" s="198"/>
      <c r="U75" s="198"/>
    </row>
    <row r="76" spans="1:21" s="12" customFormat="1" x14ac:dyDescent="0.25">
      <c r="A76" s="211" t="s">
        <v>696</v>
      </c>
      <c r="B76" s="64">
        <v>6.17</v>
      </c>
      <c r="C76" s="64">
        <v>17.45</v>
      </c>
      <c r="D76" s="64">
        <v>23.92</v>
      </c>
      <c r="E76" s="64">
        <v>5.3</v>
      </c>
      <c r="F76" s="64">
        <v>7.68</v>
      </c>
      <c r="G76" s="64">
        <v>62.67</v>
      </c>
      <c r="H76" s="64">
        <v>0</v>
      </c>
      <c r="I76" s="64">
        <v>3.98</v>
      </c>
      <c r="J76" s="64">
        <v>1.01</v>
      </c>
      <c r="K76" s="64">
        <v>153.78</v>
      </c>
      <c r="L76" s="64">
        <v>28.66</v>
      </c>
      <c r="M76" s="64">
        <v>76.680000000000007</v>
      </c>
      <c r="N76" s="64">
        <v>71.400000000000006</v>
      </c>
      <c r="O76" s="64">
        <v>0</v>
      </c>
      <c r="P76" s="64">
        <v>0.21</v>
      </c>
      <c r="Q76" s="64">
        <v>9.25</v>
      </c>
      <c r="R76" s="198"/>
      <c r="S76" s="198"/>
      <c r="T76" s="198"/>
      <c r="U76" s="198"/>
    </row>
    <row r="77" spans="1:21" s="12" customFormat="1" x14ac:dyDescent="0.25">
      <c r="A77" s="211" t="s">
        <v>697</v>
      </c>
      <c r="B77" s="64">
        <v>6.76</v>
      </c>
      <c r="C77" s="64">
        <v>17.38</v>
      </c>
      <c r="D77" s="64">
        <v>22.88</v>
      </c>
      <c r="E77" s="64">
        <v>5.47</v>
      </c>
      <c r="F77" s="64">
        <v>5.37</v>
      </c>
      <c r="G77" s="64">
        <v>56.23</v>
      </c>
      <c r="H77" s="64">
        <v>0</v>
      </c>
      <c r="I77" s="64">
        <v>3.92</v>
      </c>
      <c r="J77" s="64">
        <v>1.04</v>
      </c>
      <c r="K77" s="64">
        <v>151.49</v>
      </c>
      <c r="L77" s="64">
        <v>28.44</v>
      </c>
      <c r="M77" s="64">
        <v>76.930000000000007</v>
      </c>
      <c r="N77" s="64">
        <v>66.599999999999994</v>
      </c>
      <c r="O77" s="64">
        <v>0</v>
      </c>
      <c r="P77" s="64">
        <v>0.22</v>
      </c>
      <c r="Q77" s="64">
        <v>9.24</v>
      </c>
      <c r="R77" s="198"/>
      <c r="S77" s="198"/>
      <c r="T77" s="198"/>
      <c r="U77" s="198"/>
    </row>
    <row r="78" spans="1:21" s="12" customFormat="1" x14ac:dyDescent="0.25">
      <c r="A78" s="211" t="s">
        <v>698</v>
      </c>
      <c r="B78" s="64">
        <v>7.17</v>
      </c>
      <c r="C78" s="64">
        <v>19.7</v>
      </c>
      <c r="D78" s="64">
        <v>26.7</v>
      </c>
      <c r="E78" s="64">
        <v>5.65</v>
      </c>
      <c r="F78" s="64">
        <v>8.11</v>
      </c>
      <c r="G78" s="64">
        <v>56.23</v>
      </c>
      <c r="H78" s="64">
        <v>0</v>
      </c>
      <c r="I78" s="64">
        <v>3.97</v>
      </c>
      <c r="J78" s="64">
        <v>0.79</v>
      </c>
      <c r="K78" s="64">
        <v>149.77000000000001</v>
      </c>
      <c r="L78" s="64">
        <v>28.46</v>
      </c>
      <c r="M78" s="64">
        <v>76.64</v>
      </c>
      <c r="N78" s="64">
        <v>59.6</v>
      </c>
      <c r="O78" s="64">
        <v>0</v>
      </c>
      <c r="P78" s="64">
        <v>0.21</v>
      </c>
      <c r="Q78" s="64">
        <v>9.25</v>
      </c>
      <c r="R78" s="198"/>
      <c r="S78" s="198"/>
      <c r="T78" s="198"/>
      <c r="U78" s="198"/>
    </row>
    <row r="79" spans="1:21" s="12" customFormat="1" x14ac:dyDescent="0.25">
      <c r="A79" s="211" t="s">
        <v>699</v>
      </c>
      <c r="B79" s="64">
        <v>6.99</v>
      </c>
      <c r="C79" s="64">
        <v>18.91</v>
      </c>
      <c r="D79" s="64">
        <v>25.46</v>
      </c>
      <c r="E79" s="64">
        <v>5.51</v>
      </c>
      <c r="F79" s="64">
        <v>6.44</v>
      </c>
      <c r="G79" s="64">
        <v>56.23</v>
      </c>
      <c r="H79" s="64">
        <v>0</v>
      </c>
      <c r="I79" s="64">
        <v>4.03</v>
      </c>
      <c r="J79" s="64">
        <v>0.85</v>
      </c>
      <c r="K79" s="64">
        <v>150.99</v>
      </c>
      <c r="L79" s="64">
        <v>28.36</v>
      </c>
      <c r="M79" s="64">
        <v>77.48</v>
      </c>
      <c r="N79" s="64">
        <v>65.099999999999994</v>
      </c>
      <c r="O79" s="64">
        <v>0</v>
      </c>
      <c r="P79" s="64">
        <v>0.21</v>
      </c>
      <c r="Q79" s="64">
        <v>9.26</v>
      </c>
      <c r="R79" s="198"/>
      <c r="S79" s="198"/>
      <c r="T79" s="198"/>
      <c r="U79" s="198"/>
    </row>
    <row r="80" spans="1:21" s="12" customFormat="1" x14ac:dyDescent="0.25">
      <c r="A80" s="211" t="s">
        <v>700</v>
      </c>
      <c r="B80" s="64">
        <v>6.93</v>
      </c>
      <c r="C80" s="64">
        <v>19.14</v>
      </c>
      <c r="D80" s="64">
        <v>26.01</v>
      </c>
      <c r="E80" s="64">
        <v>5.08</v>
      </c>
      <c r="F80" s="64">
        <v>8.1199999999999992</v>
      </c>
      <c r="G80" s="64">
        <v>55.57</v>
      </c>
      <c r="H80" s="64">
        <v>0</v>
      </c>
      <c r="I80" s="64">
        <v>3.96</v>
      </c>
      <c r="J80" s="64">
        <v>1.0900000000000001</v>
      </c>
      <c r="K80" s="64">
        <v>145.72999999999999</v>
      </c>
      <c r="L80" s="64">
        <v>28.38</v>
      </c>
      <c r="M80" s="64">
        <v>76.87</v>
      </c>
      <c r="N80" s="64">
        <v>65.5</v>
      </c>
      <c r="O80" s="64">
        <v>0</v>
      </c>
      <c r="P80" s="64">
        <v>0.22</v>
      </c>
      <c r="Q80" s="64">
        <v>9.26</v>
      </c>
      <c r="R80" s="198"/>
      <c r="S80" s="198"/>
      <c r="T80" s="198"/>
      <c r="U80" s="198"/>
    </row>
    <row r="81" spans="1:26" s="12" customFormat="1" x14ac:dyDescent="0.25">
      <c r="A81" s="211" t="s">
        <v>701</v>
      </c>
      <c r="B81" s="64">
        <v>6.58</v>
      </c>
      <c r="C81" s="64">
        <v>17.82</v>
      </c>
      <c r="D81" s="64">
        <v>24</v>
      </c>
      <c r="E81" s="64">
        <v>5.34</v>
      </c>
      <c r="F81" s="64">
        <v>7.42</v>
      </c>
      <c r="G81" s="64">
        <v>53.75</v>
      </c>
      <c r="H81" s="64">
        <v>0</v>
      </c>
      <c r="I81" s="64">
        <v>3.88</v>
      </c>
      <c r="J81" s="64">
        <v>0.89</v>
      </c>
      <c r="K81" s="64">
        <v>143.16999999999999</v>
      </c>
      <c r="L81" s="64">
        <v>28.33</v>
      </c>
      <c r="M81" s="64">
        <v>77.22</v>
      </c>
      <c r="N81" s="64">
        <v>62</v>
      </c>
      <c r="O81" s="64">
        <v>0</v>
      </c>
      <c r="P81" s="64">
        <v>0.21</v>
      </c>
      <c r="Q81" s="64">
        <v>9.25</v>
      </c>
      <c r="R81" s="198"/>
      <c r="S81" s="198"/>
      <c r="T81" s="198"/>
      <c r="U81" s="198"/>
    </row>
    <row r="82" spans="1:26" s="12" customFormat="1" x14ac:dyDescent="0.25">
      <c r="A82" s="211" t="s">
        <v>702</v>
      </c>
      <c r="B82" s="64">
        <v>6.62</v>
      </c>
      <c r="C82" s="64">
        <v>18.09</v>
      </c>
      <c r="D82" s="64">
        <v>24.46</v>
      </c>
      <c r="E82" s="64">
        <v>5.22</v>
      </c>
      <c r="F82" s="64">
        <v>8.26</v>
      </c>
      <c r="G82" s="64">
        <v>53.75</v>
      </c>
      <c r="H82" s="64">
        <v>0</v>
      </c>
      <c r="I82" s="64">
        <v>3.87</v>
      </c>
      <c r="J82" s="64">
        <v>1.06</v>
      </c>
      <c r="K82" s="64">
        <v>139.12</v>
      </c>
      <c r="L82" s="64">
        <v>28.22</v>
      </c>
      <c r="M82" s="64">
        <v>78.23</v>
      </c>
      <c r="N82" s="64">
        <v>57.4</v>
      </c>
      <c r="O82" s="64">
        <v>0</v>
      </c>
      <c r="P82" s="64">
        <v>0.23</v>
      </c>
      <c r="Q82" s="64">
        <v>9.24</v>
      </c>
      <c r="R82" s="198"/>
      <c r="S82" s="198"/>
      <c r="T82" s="198"/>
      <c r="U82" s="198"/>
    </row>
    <row r="83" spans="1:26" s="12" customFormat="1" x14ac:dyDescent="0.25">
      <c r="A83" s="211" t="s">
        <v>703</v>
      </c>
      <c r="B83" s="64">
        <v>6.43</v>
      </c>
      <c r="C83" s="64">
        <v>18.93</v>
      </c>
      <c r="D83" s="64">
        <v>26.37</v>
      </c>
      <c r="E83" s="64">
        <v>5.64</v>
      </c>
      <c r="F83" s="64">
        <v>9.5399999999999991</v>
      </c>
      <c r="G83" s="64">
        <v>53.75</v>
      </c>
      <c r="H83" s="64">
        <v>0</v>
      </c>
      <c r="I83" s="64">
        <v>4.0599999999999996</v>
      </c>
      <c r="J83" s="64">
        <v>0.65</v>
      </c>
      <c r="K83" s="64">
        <v>149.11000000000001</v>
      </c>
      <c r="L83" s="64">
        <v>28.07</v>
      </c>
      <c r="M83" s="64">
        <v>79.36</v>
      </c>
      <c r="N83" s="64">
        <v>51.6</v>
      </c>
      <c r="O83" s="64">
        <v>0</v>
      </c>
      <c r="P83" s="64">
        <v>0.24</v>
      </c>
      <c r="Q83" s="64">
        <v>9.26</v>
      </c>
      <c r="R83" s="198"/>
      <c r="S83" s="198"/>
      <c r="T83" s="198"/>
      <c r="U83" s="198"/>
    </row>
    <row r="84" spans="1:26" s="12" customFormat="1" x14ac:dyDescent="0.25">
      <c r="A84" s="211" t="s">
        <v>704</v>
      </c>
      <c r="B84" s="64">
        <v>8.01</v>
      </c>
      <c r="C84" s="64">
        <v>20.399999999999999</v>
      </c>
      <c r="D84" s="64">
        <v>26.76</v>
      </c>
      <c r="E84" s="64">
        <v>5.45</v>
      </c>
      <c r="F84" s="64">
        <v>6.56</v>
      </c>
      <c r="G84" s="64">
        <v>54.31</v>
      </c>
      <c r="H84" s="64">
        <v>0</v>
      </c>
      <c r="I84" s="64">
        <v>4.07</v>
      </c>
      <c r="J84" s="64">
        <v>0.64</v>
      </c>
      <c r="K84" s="64">
        <v>151.86000000000001</v>
      </c>
      <c r="L84" s="64">
        <v>27.97</v>
      </c>
      <c r="M84" s="64">
        <v>80.33</v>
      </c>
      <c r="N84" s="64">
        <v>50.3</v>
      </c>
      <c r="O84" s="64">
        <v>0</v>
      </c>
      <c r="P84" s="64">
        <v>0.24</v>
      </c>
      <c r="Q84" s="64">
        <v>9.24</v>
      </c>
      <c r="R84" s="198"/>
      <c r="S84" s="198"/>
      <c r="T84" s="198"/>
      <c r="U84" s="198"/>
    </row>
    <row r="85" spans="1:26" s="12" customFormat="1" x14ac:dyDescent="0.25">
      <c r="A85" s="211" t="s">
        <v>705</v>
      </c>
      <c r="B85" s="64">
        <v>7.19</v>
      </c>
      <c r="C85" s="64">
        <v>19.510000000000002</v>
      </c>
      <c r="D85" s="64">
        <v>26.31</v>
      </c>
      <c r="E85" s="64">
        <v>5.24</v>
      </c>
      <c r="F85" s="64">
        <v>5.83</v>
      </c>
      <c r="G85" s="64">
        <v>55.83</v>
      </c>
      <c r="H85" s="64">
        <v>0</v>
      </c>
      <c r="I85" s="64">
        <v>4.04</v>
      </c>
      <c r="J85" s="64">
        <v>0.76</v>
      </c>
      <c r="K85" s="64">
        <v>155.07</v>
      </c>
      <c r="L85" s="64">
        <v>27.72</v>
      </c>
      <c r="M85" s="64">
        <v>83.16</v>
      </c>
      <c r="N85" s="64">
        <v>50.5</v>
      </c>
      <c r="O85" s="64">
        <v>0</v>
      </c>
      <c r="P85" s="64">
        <v>0.2</v>
      </c>
      <c r="Q85" s="64">
        <v>9.26</v>
      </c>
      <c r="R85" s="198"/>
      <c r="S85" s="198"/>
      <c r="T85" s="198"/>
      <c r="U85" s="198"/>
    </row>
    <row r="86" spans="1:26" s="12" customFormat="1" x14ac:dyDescent="0.25">
      <c r="A86" s="211" t="s">
        <v>706</v>
      </c>
      <c r="B86" s="64">
        <v>6.99</v>
      </c>
      <c r="C86" s="64">
        <v>18.64</v>
      </c>
      <c r="D86" s="64">
        <v>24.95</v>
      </c>
      <c r="E86" s="64">
        <v>5.33</v>
      </c>
      <c r="F86" s="64">
        <v>7.66</v>
      </c>
      <c r="G86" s="64">
        <v>55.83</v>
      </c>
      <c r="H86" s="64">
        <v>0</v>
      </c>
      <c r="I86" s="64">
        <v>3.95</v>
      </c>
      <c r="J86" s="64">
        <v>0.56999999999999995</v>
      </c>
      <c r="K86" s="64">
        <v>162.16</v>
      </c>
      <c r="L86" s="64">
        <v>27.55</v>
      </c>
      <c r="M86" s="64">
        <v>84.52</v>
      </c>
      <c r="N86" s="64">
        <v>50.5</v>
      </c>
      <c r="O86" s="64">
        <v>0</v>
      </c>
      <c r="P86" s="64">
        <v>0.24</v>
      </c>
      <c r="Q86" s="64">
        <v>9.27</v>
      </c>
      <c r="R86" s="198"/>
      <c r="S86" s="198"/>
      <c r="T86" s="198"/>
      <c r="U86" s="198"/>
    </row>
    <row r="87" spans="1:26" s="12" customFormat="1" x14ac:dyDescent="0.25">
      <c r="A87" s="211" t="s">
        <v>707</v>
      </c>
      <c r="B87" s="64">
        <v>7.5</v>
      </c>
      <c r="C87" s="64">
        <v>21.52</v>
      </c>
      <c r="D87" s="64">
        <v>29.67</v>
      </c>
      <c r="E87" s="64">
        <v>5.39</v>
      </c>
      <c r="F87" s="64">
        <v>11.68</v>
      </c>
      <c r="G87" s="64">
        <v>55.83</v>
      </c>
      <c r="H87" s="64">
        <v>0</v>
      </c>
      <c r="I87" s="64">
        <v>3.91</v>
      </c>
      <c r="J87" s="64">
        <v>0.54</v>
      </c>
      <c r="K87" s="64">
        <v>153.26</v>
      </c>
      <c r="L87" s="64">
        <v>27.31</v>
      </c>
      <c r="M87" s="64">
        <v>87.31</v>
      </c>
      <c r="N87" s="64">
        <v>51.3</v>
      </c>
      <c r="O87" s="64">
        <v>0</v>
      </c>
      <c r="P87" s="64">
        <v>0.25</v>
      </c>
      <c r="Q87" s="64">
        <v>9.2799999999999994</v>
      </c>
      <c r="R87" s="198"/>
      <c r="S87" s="198"/>
      <c r="T87" s="198"/>
      <c r="U87" s="198"/>
    </row>
    <row r="88" spans="1:26" s="12" customFormat="1" x14ac:dyDescent="0.25">
      <c r="A88" s="211" t="s">
        <v>708</v>
      </c>
      <c r="B88" s="64">
        <v>8.0399999999999991</v>
      </c>
      <c r="C88" s="64">
        <v>21.58</v>
      </c>
      <c r="D88" s="64">
        <v>28.96</v>
      </c>
      <c r="E88" s="64">
        <v>5.43</v>
      </c>
      <c r="F88" s="64">
        <v>10.39</v>
      </c>
      <c r="G88" s="64">
        <v>54.95</v>
      </c>
      <c r="H88" s="64">
        <v>0</v>
      </c>
      <c r="I88" s="64">
        <v>3.92</v>
      </c>
      <c r="J88" s="64">
        <v>0.6</v>
      </c>
      <c r="K88" s="64">
        <v>173.5</v>
      </c>
      <c r="L88" s="64">
        <v>27.02</v>
      </c>
      <c r="M88" s="64">
        <v>89.11</v>
      </c>
      <c r="N88" s="64">
        <v>51.4</v>
      </c>
      <c r="O88" s="64">
        <v>0</v>
      </c>
      <c r="P88" s="64">
        <v>0.24</v>
      </c>
      <c r="Q88" s="64">
        <v>9.2799999999999994</v>
      </c>
      <c r="R88" s="198"/>
      <c r="S88" s="198"/>
      <c r="T88" s="198"/>
      <c r="U88" s="198"/>
    </row>
    <row r="89" spans="1:26" s="12" customFormat="1" x14ac:dyDescent="0.25">
      <c r="A89" s="211" t="s">
        <v>709</v>
      </c>
      <c r="B89" s="64">
        <v>7.29</v>
      </c>
      <c r="C89" s="64">
        <v>20.74</v>
      </c>
      <c r="D89" s="64">
        <v>28.51</v>
      </c>
      <c r="E89" s="64">
        <v>5.38</v>
      </c>
      <c r="F89" s="64">
        <v>9.4700000000000006</v>
      </c>
      <c r="G89" s="64">
        <v>52.55</v>
      </c>
      <c r="H89" s="64">
        <v>0</v>
      </c>
      <c r="I89" s="64">
        <v>3.88</v>
      </c>
      <c r="J89" s="64">
        <v>0.39</v>
      </c>
      <c r="K89" s="64">
        <v>167.28</v>
      </c>
      <c r="L89" s="64">
        <v>26.95</v>
      </c>
      <c r="M89" s="64">
        <v>90.34</v>
      </c>
      <c r="N89" s="64">
        <v>51.3</v>
      </c>
      <c r="O89" s="64">
        <v>0</v>
      </c>
      <c r="P89" s="64">
        <v>0.26</v>
      </c>
      <c r="Q89" s="64">
        <v>9.2899999999999991</v>
      </c>
      <c r="R89" s="198"/>
      <c r="S89" s="198"/>
      <c r="T89" s="198"/>
      <c r="U89" s="198"/>
    </row>
    <row r="90" spans="1:26" s="12" customFormat="1" x14ac:dyDescent="0.25">
      <c r="A90" s="211" t="s">
        <v>710</v>
      </c>
      <c r="B90" s="64">
        <v>7.37</v>
      </c>
      <c r="C90" s="64">
        <v>19.36</v>
      </c>
      <c r="D90" s="64">
        <v>25.74</v>
      </c>
      <c r="E90" s="64">
        <v>5.55</v>
      </c>
      <c r="F90" s="64">
        <v>5.69</v>
      </c>
      <c r="G90" s="64">
        <v>52.55</v>
      </c>
      <c r="H90" s="64">
        <v>0</v>
      </c>
      <c r="I90" s="64">
        <v>3.95</v>
      </c>
      <c r="J90" s="64">
        <v>1.01</v>
      </c>
      <c r="K90" s="64">
        <v>152.71</v>
      </c>
      <c r="L90" s="64">
        <v>26.92</v>
      </c>
      <c r="M90" s="64">
        <v>90.67</v>
      </c>
      <c r="N90" s="64">
        <v>51.7</v>
      </c>
      <c r="O90" s="64">
        <v>0</v>
      </c>
      <c r="P90" s="64">
        <v>0.26</v>
      </c>
      <c r="Q90" s="64">
        <v>9.31</v>
      </c>
      <c r="R90" s="198"/>
      <c r="S90" s="198"/>
      <c r="T90" s="198"/>
      <c r="U90" s="198"/>
    </row>
    <row r="91" spans="1:26" s="12" customFormat="1" x14ac:dyDescent="0.25">
      <c r="A91" s="211" t="s">
        <v>711</v>
      </c>
      <c r="B91" s="64">
        <v>10.99</v>
      </c>
      <c r="C91" s="64">
        <v>25.5</v>
      </c>
      <c r="D91" s="64">
        <v>31.94</v>
      </c>
      <c r="E91" s="64">
        <v>5.33</v>
      </c>
      <c r="F91" s="64">
        <v>8.7799999999999994</v>
      </c>
      <c r="G91" s="64">
        <v>52.55</v>
      </c>
      <c r="H91" s="64">
        <v>0</v>
      </c>
      <c r="I91" s="64">
        <v>4.01</v>
      </c>
      <c r="J91" s="64">
        <v>0.72</v>
      </c>
      <c r="K91" s="64">
        <v>147.75</v>
      </c>
      <c r="L91" s="64">
        <v>26.88</v>
      </c>
      <c r="M91" s="64">
        <v>91.52</v>
      </c>
      <c r="N91" s="64">
        <v>52.4</v>
      </c>
      <c r="O91" s="64">
        <v>0</v>
      </c>
      <c r="P91" s="64">
        <v>0.27</v>
      </c>
      <c r="Q91" s="64">
        <v>9.32</v>
      </c>
      <c r="R91" s="198"/>
      <c r="S91" s="198"/>
      <c r="T91" s="198"/>
      <c r="U91" s="198"/>
    </row>
    <row r="92" spans="1:26" s="12" customFormat="1" x14ac:dyDescent="0.25">
      <c r="A92" s="211" t="s">
        <v>712</v>
      </c>
      <c r="B92" s="64">
        <v>15.05</v>
      </c>
      <c r="C92" s="64">
        <v>31.54</v>
      </c>
      <c r="D92" s="64">
        <v>37.270000000000003</v>
      </c>
      <c r="E92" s="64">
        <v>5.66</v>
      </c>
      <c r="F92" s="64">
        <v>8.81</v>
      </c>
      <c r="G92" s="64">
        <v>54.3</v>
      </c>
      <c r="H92" s="64">
        <v>66.430000000000007</v>
      </c>
      <c r="I92" s="64">
        <v>3.91</v>
      </c>
      <c r="J92" s="64">
        <v>0.56999999999999995</v>
      </c>
      <c r="K92" s="64">
        <v>154.77000000000001</v>
      </c>
      <c r="L92" s="64">
        <v>26.96</v>
      </c>
      <c r="M92" s="64">
        <v>91.19</v>
      </c>
      <c r="N92" s="64">
        <v>53.1</v>
      </c>
      <c r="O92" s="64">
        <v>0</v>
      </c>
      <c r="P92" s="64">
        <v>0.28999999999999998</v>
      </c>
      <c r="Q92" s="64">
        <v>9.35</v>
      </c>
      <c r="R92" s="198"/>
      <c r="S92" s="198"/>
      <c r="T92" s="198"/>
      <c r="U92" s="198"/>
    </row>
    <row r="93" spans="1:26" s="12" customFormat="1" x14ac:dyDescent="0.25">
      <c r="A93" s="211" t="s">
        <v>713</v>
      </c>
      <c r="B93" s="64">
        <v>18.57</v>
      </c>
      <c r="C93" s="64">
        <v>36.99</v>
      </c>
      <c r="D93" s="64">
        <v>42.29</v>
      </c>
      <c r="E93" s="64">
        <v>5.69</v>
      </c>
      <c r="F93" s="64">
        <v>8.36</v>
      </c>
      <c r="G93" s="64">
        <v>58.86</v>
      </c>
      <c r="H93" s="64">
        <v>249.09</v>
      </c>
      <c r="I93" s="64">
        <v>4.08</v>
      </c>
      <c r="J93" s="64">
        <v>0.41</v>
      </c>
      <c r="K93" s="64">
        <v>165.59</v>
      </c>
      <c r="L93" s="64">
        <v>26.87</v>
      </c>
      <c r="M93" s="64">
        <v>92.4</v>
      </c>
      <c r="N93" s="64">
        <v>53.6</v>
      </c>
      <c r="O93" s="64">
        <v>0</v>
      </c>
      <c r="P93" s="64">
        <v>0.31</v>
      </c>
      <c r="Q93" s="64">
        <v>9.36</v>
      </c>
      <c r="R93" s="198"/>
      <c r="S93" s="198"/>
      <c r="T93" s="198"/>
      <c r="U93" s="198"/>
    </row>
    <row r="94" spans="1:26" s="12" customFormat="1" x14ac:dyDescent="0.25">
      <c r="A94" s="211" t="s">
        <v>714</v>
      </c>
      <c r="B94" s="64">
        <v>13.24</v>
      </c>
      <c r="C94" s="64">
        <v>26.52</v>
      </c>
      <c r="D94" s="64">
        <v>30.43</v>
      </c>
      <c r="E94" s="64">
        <v>5.42</v>
      </c>
      <c r="F94" s="64">
        <v>5.37</v>
      </c>
      <c r="G94" s="64">
        <v>58.86</v>
      </c>
      <c r="H94" s="64">
        <v>249.09</v>
      </c>
      <c r="I94" s="64">
        <v>3.97</v>
      </c>
      <c r="J94" s="64">
        <v>0.36</v>
      </c>
      <c r="K94" s="64">
        <v>159.33000000000001</v>
      </c>
      <c r="L94" s="64">
        <v>26.73</v>
      </c>
      <c r="M94" s="64">
        <v>94.58</v>
      </c>
      <c r="N94" s="64">
        <v>54</v>
      </c>
      <c r="O94" s="64">
        <v>0</v>
      </c>
      <c r="P94" s="64">
        <v>0.28999999999999998</v>
      </c>
      <c r="Q94" s="64">
        <v>9.39</v>
      </c>
      <c r="R94" s="198"/>
      <c r="S94" s="198"/>
      <c r="T94" s="198"/>
      <c r="U94" s="198"/>
    </row>
    <row r="95" spans="1:26" s="12" customFormat="1" x14ac:dyDescent="0.25">
      <c r="A95" s="211" t="s">
        <v>715</v>
      </c>
      <c r="B95" s="64">
        <v>11.53</v>
      </c>
      <c r="C95" s="64">
        <v>24.78</v>
      </c>
      <c r="D95" s="64">
        <v>29.74</v>
      </c>
      <c r="E95" s="64">
        <v>5.67</v>
      </c>
      <c r="F95" s="64">
        <v>6.8</v>
      </c>
      <c r="G95" s="64">
        <v>58.86</v>
      </c>
      <c r="H95" s="64">
        <v>249.09</v>
      </c>
      <c r="I95" s="64">
        <v>4.08</v>
      </c>
      <c r="J95" s="64">
        <v>0.19</v>
      </c>
      <c r="K95" s="64">
        <v>122.3</v>
      </c>
      <c r="L95" s="64">
        <v>26.62</v>
      </c>
      <c r="M95" s="64">
        <v>95.97</v>
      </c>
      <c r="N95" s="64">
        <v>54</v>
      </c>
      <c r="O95" s="64">
        <v>0</v>
      </c>
      <c r="P95" s="64">
        <v>0.28000000000000003</v>
      </c>
      <c r="Q95" s="64">
        <v>9.4</v>
      </c>
      <c r="R95" s="198"/>
      <c r="S95" s="198"/>
      <c r="T95" s="198"/>
      <c r="U95" s="198"/>
    </row>
    <row r="96" spans="1:26" s="12" customFormat="1" x14ac:dyDescent="0.25">
      <c r="A96" s="211" t="s">
        <v>716</v>
      </c>
      <c r="B96" s="64">
        <v>10.89</v>
      </c>
      <c r="C96" s="64">
        <v>24.2</v>
      </c>
      <c r="D96" s="64">
        <v>29.6</v>
      </c>
      <c r="E96" s="64">
        <v>5.7</v>
      </c>
      <c r="F96" s="64">
        <v>7.11</v>
      </c>
      <c r="G96" s="64">
        <v>58.94</v>
      </c>
      <c r="H96" s="64">
        <v>199.97</v>
      </c>
      <c r="I96" s="64">
        <v>4.21</v>
      </c>
      <c r="J96" s="64">
        <v>0.27</v>
      </c>
      <c r="K96" s="64">
        <v>169.27</v>
      </c>
      <c r="L96" s="64">
        <v>26.52</v>
      </c>
      <c r="M96" s="64">
        <v>96.74</v>
      </c>
      <c r="N96" s="64">
        <v>53.9</v>
      </c>
      <c r="O96" s="64">
        <v>0</v>
      </c>
      <c r="P96" s="64">
        <v>0.26</v>
      </c>
      <c r="Q96" s="64">
        <v>9.42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717</v>
      </c>
      <c r="B97" s="64">
        <v>11.01</v>
      </c>
      <c r="C97" s="64">
        <v>23.46</v>
      </c>
      <c r="D97" s="64">
        <v>28</v>
      </c>
      <c r="E97" s="64">
        <v>5.6</v>
      </c>
      <c r="F97" s="64">
        <v>5.72</v>
      </c>
      <c r="G97" s="64">
        <v>59.16</v>
      </c>
      <c r="H97" s="64">
        <v>64.87</v>
      </c>
      <c r="I97" s="64">
        <v>4.0199999999999996</v>
      </c>
      <c r="J97" s="64">
        <v>0.78</v>
      </c>
      <c r="K97" s="64">
        <v>148.32</v>
      </c>
      <c r="L97" s="64">
        <v>26.59</v>
      </c>
      <c r="M97" s="64">
        <v>95.07</v>
      </c>
      <c r="N97" s="64">
        <v>53.5</v>
      </c>
      <c r="O97" s="64">
        <v>0</v>
      </c>
      <c r="P97" s="64">
        <v>0.25</v>
      </c>
      <c r="Q97" s="64">
        <v>9.43</v>
      </c>
      <c r="R97" s="198"/>
      <c r="S97" s="198"/>
      <c r="T97" s="198"/>
      <c r="U97" s="198"/>
    </row>
    <row r="98" spans="1:33" s="12" customFormat="1" x14ac:dyDescent="0.25">
      <c r="A98" s="211" t="s">
        <v>718</v>
      </c>
      <c r="B98" s="64">
        <v>13.09</v>
      </c>
      <c r="C98" s="64">
        <v>25.38</v>
      </c>
      <c r="D98" s="64">
        <v>28.49</v>
      </c>
      <c r="E98" s="64">
        <v>5.51</v>
      </c>
      <c r="F98" s="64">
        <v>5.6</v>
      </c>
      <c r="G98" s="64">
        <v>59.16</v>
      </c>
      <c r="H98" s="64">
        <v>64.87</v>
      </c>
      <c r="I98" s="64">
        <v>4.0599999999999996</v>
      </c>
      <c r="J98" s="64">
        <v>0.97</v>
      </c>
      <c r="K98" s="64">
        <v>139.66</v>
      </c>
      <c r="L98" s="64">
        <v>26.78</v>
      </c>
      <c r="M98" s="64">
        <v>92.62</v>
      </c>
      <c r="N98" s="64">
        <v>53.7</v>
      </c>
      <c r="O98" s="64">
        <v>0</v>
      </c>
      <c r="P98" s="64">
        <v>0.25</v>
      </c>
      <c r="Q98" s="64">
        <v>9.43</v>
      </c>
      <c r="R98" s="198"/>
      <c r="S98" s="198"/>
      <c r="T98" s="198"/>
      <c r="U98" s="198"/>
    </row>
    <row r="99" spans="1:33" s="12" customFormat="1" x14ac:dyDescent="0.25">
      <c r="A99" s="211" t="s">
        <v>719</v>
      </c>
      <c r="B99" s="64">
        <v>12.77</v>
      </c>
      <c r="C99" s="64">
        <v>23.96</v>
      </c>
      <c r="D99" s="64">
        <v>26.26</v>
      </c>
      <c r="E99" s="64">
        <v>5.45</v>
      </c>
      <c r="F99" s="64">
        <v>6.24</v>
      </c>
      <c r="G99" s="64">
        <v>59.16</v>
      </c>
      <c r="H99" s="64">
        <v>64.87</v>
      </c>
      <c r="I99" s="64">
        <v>3.9</v>
      </c>
      <c r="J99" s="64">
        <v>0.88</v>
      </c>
      <c r="K99" s="64">
        <v>146.62</v>
      </c>
      <c r="L99" s="64">
        <v>26.78</v>
      </c>
      <c r="M99" s="64">
        <v>92.32</v>
      </c>
      <c r="N99" s="64">
        <v>54</v>
      </c>
      <c r="O99" s="64">
        <v>0</v>
      </c>
      <c r="P99" s="64">
        <v>0.24</v>
      </c>
      <c r="Q99" s="64">
        <v>9.44</v>
      </c>
      <c r="R99" s="198"/>
      <c r="S99" s="198"/>
      <c r="T99" s="198"/>
      <c r="U99" s="198"/>
    </row>
    <row r="100" spans="1:33" s="12" customFormat="1" x14ac:dyDescent="0.25">
      <c r="A100" s="211" t="s">
        <v>720</v>
      </c>
      <c r="B100" s="64">
        <v>11.11</v>
      </c>
      <c r="C100" s="64">
        <v>20.83</v>
      </c>
      <c r="D100" s="64">
        <v>22.81</v>
      </c>
      <c r="E100" s="64">
        <v>5.32</v>
      </c>
      <c r="F100" s="64">
        <v>6.08</v>
      </c>
      <c r="G100" s="64">
        <v>56.48</v>
      </c>
      <c r="H100" s="64">
        <v>49.4</v>
      </c>
      <c r="I100" s="64">
        <v>3.88</v>
      </c>
      <c r="J100" s="64">
        <v>0.79</v>
      </c>
      <c r="K100" s="64">
        <v>151.47999999999999</v>
      </c>
      <c r="L100" s="64">
        <v>26.75</v>
      </c>
      <c r="M100" s="64">
        <v>92.36</v>
      </c>
      <c r="N100" s="64">
        <v>54.2</v>
      </c>
      <c r="O100" s="64">
        <v>0</v>
      </c>
      <c r="P100" s="64">
        <v>0.25</v>
      </c>
      <c r="Q100" s="64">
        <v>9.43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721</v>
      </c>
      <c r="B101" s="64">
        <v>9.0299999999999994</v>
      </c>
      <c r="C101" s="64">
        <v>18.25</v>
      </c>
      <c r="D101" s="64">
        <v>21.07</v>
      </c>
      <c r="E101" s="64">
        <v>5.5</v>
      </c>
      <c r="F101" s="64">
        <v>7.01</v>
      </c>
      <c r="G101" s="64">
        <v>49.51</v>
      </c>
      <c r="H101" s="64">
        <v>6.85</v>
      </c>
      <c r="I101" s="64">
        <v>3.97</v>
      </c>
      <c r="J101" s="64">
        <v>0.56000000000000005</v>
      </c>
      <c r="K101" s="64">
        <v>142.93</v>
      </c>
      <c r="L101" s="64">
        <v>26.68</v>
      </c>
      <c r="M101" s="64">
        <v>93.4</v>
      </c>
      <c r="N101" s="64">
        <v>54.3</v>
      </c>
      <c r="O101" s="64">
        <v>0</v>
      </c>
      <c r="P101" s="64">
        <v>0.23</v>
      </c>
      <c r="Q101" s="64">
        <v>9.43</v>
      </c>
      <c r="R101" s="198"/>
      <c r="S101" s="198"/>
      <c r="T101" s="198"/>
      <c r="U101" s="198"/>
    </row>
    <row r="102" spans="1:33" s="12" customFormat="1" x14ac:dyDescent="0.25">
      <c r="A102" s="211" t="s">
        <v>722</v>
      </c>
      <c r="B102" s="64">
        <v>9.18</v>
      </c>
      <c r="C102" s="64">
        <v>18.46</v>
      </c>
      <c r="D102" s="64">
        <v>21.24</v>
      </c>
      <c r="E102" s="64">
        <v>5.33</v>
      </c>
      <c r="F102" s="64">
        <v>7.57</v>
      </c>
      <c r="G102" s="64">
        <v>49.51</v>
      </c>
      <c r="H102" s="64">
        <v>6.85</v>
      </c>
      <c r="I102" s="64">
        <v>3.81</v>
      </c>
      <c r="J102" s="64">
        <v>0.77</v>
      </c>
      <c r="K102" s="64">
        <v>140.97</v>
      </c>
      <c r="L102" s="64">
        <v>26.65</v>
      </c>
      <c r="M102" s="64">
        <v>93.48</v>
      </c>
      <c r="N102" s="64">
        <v>54.3</v>
      </c>
      <c r="O102" s="64">
        <v>0</v>
      </c>
      <c r="P102" s="64">
        <v>0.23</v>
      </c>
      <c r="Q102" s="64">
        <v>9.42</v>
      </c>
      <c r="R102" s="198"/>
      <c r="S102" s="198"/>
      <c r="T102" s="198"/>
      <c r="U102" s="198"/>
    </row>
    <row r="103" spans="1:33" s="12" customFormat="1" x14ac:dyDescent="0.25">
      <c r="A103" s="211" t="s">
        <v>723</v>
      </c>
      <c r="B103" s="64">
        <v>8.76</v>
      </c>
      <c r="C103" s="64">
        <v>18.059999999999999</v>
      </c>
      <c r="D103" s="64">
        <v>21.12</v>
      </c>
      <c r="E103" s="64">
        <v>5.04</v>
      </c>
      <c r="F103" s="64">
        <v>6.95</v>
      </c>
      <c r="G103" s="64">
        <v>49.51</v>
      </c>
      <c r="H103" s="64">
        <v>6.85</v>
      </c>
      <c r="I103" s="64">
        <v>4</v>
      </c>
      <c r="J103" s="64">
        <v>0.52</v>
      </c>
      <c r="K103" s="64">
        <v>141.41999999999999</v>
      </c>
      <c r="L103" s="64">
        <v>26.6</v>
      </c>
      <c r="M103" s="64">
        <v>93.54</v>
      </c>
      <c r="N103" s="64">
        <v>54.6</v>
      </c>
      <c r="O103" s="64">
        <v>0</v>
      </c>
      <c r="P103" s="64">
        <v>0.23</v>
      </c>
      <c r="Q103" s="64">
        <v>9.4</v>
      </c>
      <c r="R103" s="198"/>
      <c r="S103" s="198"/>
      <c r="T103" s="198"/>
      <c r="U103" s="198"/>
    </row>
    <row r="104" spans="1:33" s="12" customFormat="1" x14ac:dyDescent="0.25">
      <c r="A104" s="211" t="s">
        <v>724</v>
      </c>
      <c r="B104" s="64">
        <v>8.57</v>
      </c>
      <c r="C104" s="64">
        <v>17.86</v>
      </c>
      <c r="D104" s="64">
        <v>21.02</v>
      </c>
      <c r="E104" s="64">
        <v>4.83</v>
      </c>
      <c r="F104" s="64">
        <v>7.63</v>
      </c>
      <c r="G104" s="64">
        <v>47.52</v>
      </c>
      <c r="H104" s="64">
        <v>8.6199999999999992</v>
      </c>
      <c r="I104" s="64">
        <v>3.89</v>
      </c>
      <c r="J104" s="64">
        <v>0.28999999999999998</v>
      </c>
      <c r="K104" s="64">
        <v>147.27000000000001</v>
      </c>
      <c r="L104" s="64">
        <v>26.52</v>
      </c>
      <c r="M104" s="64">
        <v>94.05</v>
      </c>
      <c r="N104" s="64">
        <v>54.7</v>
      </c>
      <c r="O104" s="64">
        <v>0</v>
      </c>
      <c r="P104" s="64">
        <v>0.22</v>
      </c>
      <c r="Q104" s="64">
        <v>9.39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3.03</v>
      </c>
      <c r="C106" s="67">
        <f>MIN(C9:C104)</f>
        <v>10.5</v>
      </c>
      <c r="D106" s="67">
        <f t="shared" ref="D106:Q106" si="0">MIN(D9:D104)</f>
        <v>13.02</v>
      </c>
      <c r="E106" s="67">
        <f t="shared" si="0"/>
        <v>3.63</v>
      </c>
      <c r="F106" s="67">
        <f t="shared" si="0"/>
        <v>4.12</v>
      </c>
      <c r="G106" s="67">
        <f t="shared" si="0"/>
        <v>0</v>
      </c>
      <c r="H106" s="67">
        <f t="shared" si="0"/>
        <v>-58.68</v>
      </c>
      <c r="I106" s="67">
        <f t="shared" si="0"/>
        <v>3.78</v>
      </c>
      <c r="J106" s="67">
        <f t="shared" si="0"/>
        <v>0</v>
      </c>
      <c r="K106" s="67">
        <f t="shared" si="0"/>
        <v>10.7</v>
      </c>
      <c r="L106" s="67">
        <f t="shared" si="0"/>
        <v>24.35</v>
      </c>
      <c r="M106" s="67">
        <f t="shared" si="0"/>
        <v>54.42</v>
      </c>
      <c r="N106" s="67">
        <f t="shared" si="0"/>
        <v>43.2</v>
      </c>
      <c r="O106" s="67">
        <f t="shared" si="0"/>
        <v>0</v>
      </c>
      <c r="P106" s="67">
        <f t="shared" si="0"/>
        <v>0.13</v>
      </c>
      <c r="Q106" s="67">
        <f t="shared" si="0"/>
        <v>9.08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18.57</v>
      </c>
      <c r="C107" s="66">
        <f t="shared" ref="C107:Q107" si="1">MAX(C9:C104)</f>
        <v>36.99</v>
      </c>
      <c r="D107" s="66">
        <f t="shared" si="1"/>
        <v>42.29</v>
      </c>
      <c r="E107" s="66">
        <f t="shared" si="1"/>
        <v>5.9</v>
      </c>
      <c r="F107" s="66">
        <f t="shared" si="1"/>
        <v>18.309999999999999</v>
      </c>
      <c r="G107" s="66">
        <f t="shared" si="1"/>
        <v>79.599999999999994</v>
      </c>
      <c r="H107" s="66">
        <f t="shared" si="1"/>
        <v>685.55</v>
      </c>
      <c r="I107" s="66">
        <f t="shared" si="1"/>
        <v>4.22</v>
      </c>
      <c r="J107" s="66">
        <f t="shared" si="1"/>
        <v>1.42</v>
      </c>
      <c r="K107" s="66">
        <f t="shared" si="1"/>
        <v>329.72</v>
      </c>
      <c r="L107" s="66">
        <f t="shared" si="1"/>
        <v>34.92</v>
      </c>
      <c r="M107" s="66">
        <f t="shared" si="1"/>
        <v>101.75</v>
      </c>
      <c r="N107" s="66">
        <f t="shared" si="1"/>
        <v>966.7</v>
      </c>
      <c r="O107" s="66">
        <f t="shared" si="1"/>
        <v>0</v>
      </c>
      <c r="P107" s="66">
        <f t="shared" si="1"/>
        <v>0.5</v>
      </c>
      <c r="Q107" s="66">
        <f t="shared" si="1"/>
        <v>9.44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7.3120833333333328</v>
      </c>
      <c r="C108" s="67">
        <f t="shared" ref="C108:Q108" si="2">AVERAGE(C9:C104)</f>
        <v>18.2075</v>
      </c>
      <c r="D108" s="67">
        <f t="shared" si="2"/>
        <v>23.625520833333336</v>
      </c>
      <c r="E108" s="67">
        <f t="shared" si="2"/>
        <v>4.5943750000000003</v>
      </c>
      <c r="F108" s="67">
        <f t="shared" si="2"/>
        <v>8.7077083333333309</v>
      </c>
      <c r="G108" s="67">
        <f t="shared" si="2"/>
        <v>34.130520833333343</v>
      </c>
      <c r="H108" s="67">
        <f t="shared" si="2"/>
        <v>67.648020833333391</v>
      </c>
      <c r="I108" s="67">
        <f t="shared" si="2"/>
        <v>3.9979166666666672</v>
      </c>
      <c r="J108" s="67">
        <f t="shared" si="2"/>
        <v>0.45750000000000007</v>
      </c>
      <c r="K108" s="67">
        <f t="shared" si="2"/>
        <v>173.80718750000003</v>
      </c>
      <c r="L108" s="67">
        <f t="shared" si="2"/>
        <v>27.78135416666667</v>
      </c>
      <c r="M108" s="67">
        <f t="shared" si="2"/>
        <v>85.072395833333317</v>
      </c>
      <c r="N108" s="67">
        <f t="shared" si="2"/>
        <v>221.59583333333327</v>
      </c>
      <c r="O108" s="67">
        <f t="shared" si="2"/>
        <v>0</v>
      </c>
      <c r="P108" s="67">
        <f t="shared" si="2"/>
        <v>0.25406250000000002</v>
      </c>
      <c r="Q108" s="67">
        <f t="shared" si="2"/>
        <v>9.2529166666666622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2.5416919009388725</v>
      </c>
      <c r="C109" s="67">
        <f t="shared" ref="C109:Q109" si="3">STDEV(C9:C104)</f>
        <v>4.245054336023192</v>
      </c>
      <c r="D109" s="67">
        <f t="shared" si="3"/>
        <v>5.5729013269177434</v>
      </c>
      <c r="E109" s="67">
        <f t="shared" si="3"/>
        <v>0.65337474134800633</v>
      </c>
      <c r="F109" s="67">
        <f t="shared" si="3"/>
        <v>3.0311212027258296</v>
      </c>
      <c r="G109" s="67">
        <f t="shared" si="3"/>
        <v>23.003454677380475</v>
      </c>
      <c r="H109" s="67">
        <f t="shared" si="3"/>
        <v>136.68287505732525</v>
      </c>
      <c r="I109" s="67">
        <f t="shared" si="3"/>
        <v>8.6400739113147912E-2</v>
      </c>
      <c r="J109" s="67">
        <f t="shared" si="3"/>
        <v>0.33181161427596378</v>
      </c>
      <c r="K109" s="67">
        <f t="shared" si="3"/>
        <v>62.507943995406571</v>
      </c>
      <c r="L109" s="67">
        <f t="shared" si="3"/>
        <v>2.6105517141387913</v>
      </c>
      <c r="M109" s="67">
        <f t="shared" si="3"/>
        <v>13.357738285140277</v>
      </c>
      <c r="N109" s="67">
        <f t="shared" si="3"/>
        <v>252.32916760565251</v>
      </c>
      <c r="O109" s="67">
        <f t="shared" si="3"/>
        <v>0</v>
      </c>
      <c r="P109" s="67">
        <f t="shared" si="3"/>
        <v>6.0759718737438496E-2</v>
      </c>
      <c r="Q109" s="67">
        <f t="shared" si="3"/>
        <v>8.0953744644270798E-2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5" sqref="I1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725</v>
      </c>
      <c r="B9" s="64">
        <v>6.86</v>
      </c>
      <c r="C9" s="64">
        <v>17.23</v>
      </c>
      <c r="D9" s="64">
        <v>22.46</v>
      </c>
      <c r="E9" s="64">
        <v>4.7699999999999996</v>
      </c>
      <c r="F9" s="64">
        <v>9.0500000000000007</v>
      </c>
      <c r="G9" s="64">
        <v>42.02</v>
      </c>
      <c r="H9" s="64">
        <v>13.48</v>
      </c>
      <c r="I9" s="64">
        <v>4.12</v>
      </c>
      <c r="J9" s="64">
        <v>0.44</v>
      </c>
      <c r="K9" s="64">
        <v>139.83000000000001</v>
      </c>
      <c r="L9" s="64">
        <v>26.45</v>
      </c>
      <c r="M9" s="64">
        <v>94.53</v>
      </c>
      <c r="N9" s="64">
        <v>54.6</v>
      </c>
      <c r="O9" s="64">
        <v>0</v>
      </c>
      <c r="P9" s="64">
        <v>0.21</v>
      </c>
      <c r="Q9" s="64">
        <v>9.41</v>
      </c>
      <c r="R9" s="198"/>
      <c r="S9" s="198"/>
      <c r="T9" s="198"/>
      <c r="U9" s="198"/>
    </row>
    <row r="10" spans="1:21" s="12" customFormat="1" x14ac:dyDescent="0.25">
      <c r="A10" s="211" t="s">
        <v>726</v>
      </c>
      <c r="B10" s="64">
        <v>6.61</v>
      </c>
      <c r="C10" s="64">
        <v>16.7</v>
      </c>
      <c r="D10" s="64">
        <v>21.83</v>
      </c>
      <c r="E10" s="64">
        <v>4.55</v>
      </c>
      <c r="F10" s="64">
        <v>8.8000000000000007</v>
      </c>
      <c r="G10" s="64">
        <v>42.02</v>
      </c>
      <c r="H10" s="64">
        <v>13.48</v>
      </c>
      <c r="I10" s="64">
        <v>4.04</v>
      </c>
      <c r="J10" s="64">
        <v>0.21</v>
      </c>
      <c r="K10" s="64">
        <v>148.97999999999999</v>
      </c>
      <c r="L10" s="64">
        <v>26.36</v>
      </c>
      <c r="M10" s="64">
        <v>94.26</v>
      </c>
      <c r="N10" s="64">
        <v>54.7</v>
      </c>
      <c r="O10" s="64">
        <v>0</v>
      </c>
      <c r="P10" s="64">
        <v>0.2</v>
      </c>
      <c r="Q10" s="64">
        <v>9.41</v>
      </c>
      <c r="R10" s="198"/>
      <c r="S10" s="198"/>
      <c r="T10" s="198"/>
      <c r="U10" s="198"/>
    </row>
    <row r="11" spans="1:21" s="12" customFormat="1" x14ac:dyDescent="0.25">
      <c r="A11" s="211" t="s">
        <v>727</v>
      </c>
      <c r="B11" s="64">
        <v>6.17</v>
      </c>
      <c r="C11" s="64">
        <v>15.51</v>
      </c>
      <c r="D11" s="64">
        <v>20.23</v>
      </c>
      <c r="E11" s="64">
        <v>4.72</v>
      </c>
      <c r="F11" s="64">
        <v>9.44</v>
      </c>
      <c r="G11" s="64">
        <v>42.02</v>
      </c>
      <c r="H11" s="64">
        <v>13.48</v>
      </c>
      <c r="I11" s="64">
        <v>3.83</v>
      </c>
      <c r="J11" s="64">
        <v>0.13</v>
      </c>
      <c r="K11" s="64">
        <v>165.29</v>
      </c>
      <c r="L11" s="64">
        <v>26.26</v>
      </c>
      <c r="M11" s="64">
        <v>94.2</v>
      </c>
      <c r="N11" s="64">
        <v>54.7</v>
      </c>
      <c r="O11" s="64">
        <v>0</v>
      </c>
      <c r="P11" s="64">
        <v>0.18</v>
      </c>
      <c r="Q11" s="64">
        <v>9.4</v>
      </c>
      <c r="R11" s="198"/>
      <c r="S11" s="198"/>
      <c r="T11" s="198"/>
      <c r="U11" s="198"/>
    </row>
    <row r="12" spans="1:21" s="12" customFormat="1" x14ac:dyDescent="0.25">
      <c r="A12" s="211" t="s">
        <v>728</v>
      </c>
      <c r="B12" s="64">
        <v>5.62</v>
      </c>
      <c r="C12" s="64">
        <v>15.38</v>
      </c>
      <c r="D12" s="64">
        <v>20.8</v>
      </c>
      <c r="E12" s="64">
        <v>4.34</v>
      </c>
      <c r="F12" s="64">
        <v>9.3000000000000007</v>
      </c>
      <c r="G12" s="64">
        <v>40.619999999999997</v>
      </c>
      <c r="H12" s="64">
        <v>10.47</v>
      </c>
      <c r="I12" s="64">
        <v>4.0999999999999996</v>
      </c>
      <c r="J12" s="64">
        <v>0.04</v>
      </c>
      <c r="K12" s="64">
        <v>210.36</v>
      </c>
      <c r="L12" s="64">
        <v>26.16</v>
      </c>
      <c r="M12" s="64">
        <v>94.9</v>
      </c>
      <c r="N12" s="64">
        <v>54.8</v>
      </c>
      <c r="O12" s="64">
        <v>0</v>
      </c>
      <c r="P12" s="64">
        <v>0.17</v>
      </c>
      <c r="Q12" s="64">
        <v>9.39</v>
      </c>
      <c r="R12" s="198"/>
      <c r="S12" s="198"/>
      <c r="T12" s="198"/>
      <c r="U12" s="198"/>
    </row>
    <row r="13" spans="1:21" s="12" customFormat="1" x14ac:dyDescent="0.25">
      <c r="A13" s="211" t="s">
        <v>729</v>
      </c>
      <c r="B13" s="64">
        <v>6.14</v>
      </c>
      <c r="C13" s="64">
        <v>15.77</v>
      </c>
      <c r="D13" s="64">
        <v>20.76</v>
      </c>
      <c r="E13" s="64">
        <v>4.66</v>
      </c>
      <c r="F13" s="64">
        <v>8.9600000000000009</v>
      </c>
      <c r="G13" s="64">
        <v>36.78</v>
      </c>
      <c r="H13" s="64">
        <v>2.2200000000000002</v>
      </c>
      <c r="I13" s="64">
        <v>4.1900000000000004</v>
      </c>
      <c r="J13" s="64">
        <v>7.0000000000000007E-2</v>
      </c>
      <c r="K13" s="64">
        <v>221.08</v>
      </c>
      <c r="L13" s="64">
        <v>26.11</v>
      </c>
      <c r="M13" s="64">
        <v>94.3</v>
      </c>
      <c r="N13" s="64">
        <v>54.6</v>
      </c>
      <c r="O13" s="64">
        <v>0</v>
      </c>
      <c r="P13" s="64">
        <v>0.23</v>
      </c>
      <c r="Q13" s="64">
        <v>9.4</v>
      </c>
      <c r="R13" s="198"/>
      <c r="S13" s="198"/>
      <c r="T13" s="198"/>
      <c r="U13" s="198"/>
    </row>
    <row r="14" spans="1:21" s="12" customFormat="1" x14ac:dyDescent="0.25">
      <c r="A14" s="211" t="s">
        <v>730</v>
      </c>
      <c r="B14" s="64">
        <v>7.47</v>
      </c>
      <c r="C14" s="64">
        <v>16.52</v>
      </c>
      <c r="D14" s="64">
        <v>20.149999999999999</v>
      </c>
      <c r="E14" s="64">
        <v>4.8</v>
      </c>
      <c r="F14" s="64">
        <v>9.6300000000000008</v>
      </c>
      <c r="G14" s="64">
        <v>36.78</v>
      </c>
      <c r="H14" s="64">
        <v>2.2200000000000002</v>
      </c>
      <c r="I14" s="64">
        <v>4.1500000000000004</v>
      </c>
      <c r="J14" s="64">
        <v>0.05</v>
      </c>
      <c r="K14" s="64">
        <v>179.26</v>
      </c>
      <c r="L14" s="64">
        <v>26.06</v>
      </c>
      <c r="M14" s="64">
        <v>93.72</v>
      </c>
      <c r="N14" s="64">
        <v>54.6</v>
      </c>
      <c r="O14" s="64">
        <v>0</v>
      </c>
      <c r="P14" s="64">
        <v>0.24</v>
      </c>
      <c r="Q14" s="64">
        <v>9.41</v>
      </c>
      <c r="R14" s="198"/>
      <c r="S14" s="198"/>
      <c r="T14" s="198"/>
      <c r="U14" s="198"/>
    </row>
    <row r="15" spans="1:21" s="12" customFormat="1" x14ac:dyDescent="0.25">
      <c r="A15" s="211" t="s">
        <v>731</v>
      </c>
      <c r="B15" s="64">
        <v>6.01</v>
      </c>
      <c r="C15" s="64">
        <v>14.36</v>
      </c>
      <c r="D15" s="64">
        <v>18.260000000000002</v>
      </c>
      <c r="E15" s="64">
        <v>4.82</v>
      </c>
      <c r="F15" s="64">
        <v>7.78</v>
      </c>
      <c r="G15" s="64">
        <v>36.78</v>
      </c>
      <c r="H15" s="64">
        <v>2.2200000000000002</v>
      </c>
      <c r="I15" s="64">
        <v>4.07</v>
      </c>
      <c r="J15" s="64">
        <v>0.17</v>
      </c>
      <c r="K15" s="64">
        <v>164.18</v>
      </c>
      <c r="L15" s="64">
        <v>25.93</v>
      </c>
      <c r="M15" s="64">
        <v>94.25</v>
      </c>
      <c r="N15" s="64">
        <v>54.6</v>
      </c>
      <c r="O15" s="64">
        <v>0</v>
      </c>
      <c r="P15" s="64">
        <v>0.23</v>
      </c>
      <c r="Q15" s="64">
        <v>9.41</v>
      </c>
      <c r="R15" s="198"/>
      <c r="S15" s="198"/>
      <c r="T15" s="198"/>
      <c r="U15" s="198"/>
    </row>
    <row r="16" spans="1:21" s="12" customFormat="1" x14ac:dyDescent="0.25">
      <c r="A16" s="211" t="s">
        <v>732</v>
      </c>
      <c r="B16" s="64">
        <v>8.08</v>
      </c>
      <c r="C16" s="64">
        <v>15.76</v>
      </c>
      <c r="D16" s="64">
        <v>17.77</v>
      </c>
      <c r="E16" s="64">
        <v>4.7699999999999996</v>
      </c>
      <c r="F16" s="64">
        <v>6.33</v>
      </c>
      <c r="G16" s="64">
        <v>35.35</v>
      </c>
      <c r="H16" s="64">
        <v>7.96</v>
      </c>
      <c r="I16" s="64">
        <v>4.16</v>
      </c>
      <c r="J16" s="64">
        <v>0.16</v>
      </c>
      <c r="K16" s="64">
        <v>167.72</v>
      </c>
      <c r="L16" s="64">
        <v>25.8</v>
      </c>
      <c r="M16" s="64">
        <v>94.04</v>
      </c>
      <c r="N16" s="64">
        <v>54.6</v>
      </c>
      <c r="O16" s="64">
        <v>0</v>
      </c>
      <c r="P16" s="64">
        <v>0.26</v>
      </c>
      <c r="Q16" s="64">
        <v>9.39</v>
      </c>
      <c r="R16" s="198"/>
      <c r="S16" s="198"/>
      <c r="T16" s="198"/>
      <c r="U16" s="198"/>
    </row>
    <row r="17" spans="1:21" s="12" customFormat="1" x14ac:dyDescent="0.25">
      <c r="A17" s="211" t="s">
        <v>733</v>
      </c>
      <c r="B17" s="64">
        <v>7.56</v>
      </c>
      <c r="C17" s="64">
        <v>14.78</v>
      </c>
      <c r="D17" s="64">
        <v>16.690000000000001</v>
      </c>
      <c r="E17" s="64">
        <v>4.88</v>
      </c>
      <c r="F17" s="64">
        <v>7.16</v>
      </c>
      <c r="G17" s="64">
        <v>31.45</v>
      </c>
      <c r="H17" s="64">
        <v>23.74</v>
      </c>
      <c r="I17" s="64">
        <v>3.83</v>
      </c>
      <c r="J17" s="64">
        <v>0.06</v>
      </c>
      <c r="K17" s="64">
        <v>208.54</v>
      </c>
      <c r="L17" s="64">
        <v>25.69</v>
      </c>
      <c r="M17" s="64">
        <v>94.14</v>
      </c>
      <c r="N17" s="64">
        <v>54.6</v>
      </c>
      <c r="O17" s="64">
        <v>0</v>
      </c>
      <c r="P17" s="64">
        <v>0.23</v>
      </c>
      <c r="Q17" s="64">
        <v>9.3800000000000008</v>
      </c>
      <c r="R17" s="198"/>
      <c r="S17" s="198"/>
      <c r="T17" s="198"/>
      <c r="U17" s="198"/>
    </row>
    <row r="18" spans="1:21" s="12" customFormat="1" x14ac:dyDescent="0.25">
      <c r="A18" s="211" t="s">
        <v>734</v>
      </c>
      <c r="B18" s="64">
        <v>8.01</v>
      </c>
      <c r="C18" s="64">
        <v>15.17</v>
      </c>
      <c r="D18" s="64">
        <v>16.73</v>
      </c>
      <c r="E18" s="64">
        <v>5.18</v>
      </c>
      <c r="F18" s="64">
        <v>6.9</v>
      </c>
      <c r="G18" s="64">
        <v>31.45</v>
      </c>
      <c r="H18" s="64">
        <v>23.74</v>
      </c>
      <c r="I18" s="64">
        <v>4.07</v>
      </c>
      <c r="J18" s="64">
        <v>0.09</v>
      </c>
      <c r="K18" s="64">
        <v>176.4</v>
      </c>
      <c r="L18" s="64">
        <v>25.59</v>
      </c>
      <c r="M18" s="64">
        <v>94.54</v>
      </c>
      <c r="N18" s="64">
        <v>54.5</v>
      </c>
      <c r="O18" s="64">
        <v>0</v>
      </c>
      <c r="P18" s="64">
        <v>0.24</v>
      </c>
      <c r="Q18" s="64">
        <v>9.35</v>
      </c>
      <c r="R18" s="198"/>
      <c r="S18" s="198"/>
      <c r="T18" s="198"/>
      <c r="U18" s="198"/>
    </row>
    <row r="19" spans="1:21" s="12" customFormat="1" x14ac:dyDescent="0.25">
      <c r="A19" s="211" t="s">
        <v>735</v>
      </c>
      <c r="B19" s="64">
        <v>8.64</v>
      </c>
      <c r="C19" s="64">
        <v>15.41</v>
      </c>
      <c r="D19" s="64">
        <v>16.239999999999998</v>
      </c>
      <c r="E19" s="64">
        <v>4.8600000000000003</v>
      </c>
      <c r="F19" s="64">
        <v>6.06</v>
      </c>
      <c r="G19" s="64">
        <v>31.45</v>
      </c>
      <c r="H19" s="64">
        <v>23.74</v>
      </c>
      <c r="I19" s="64">
        <v>4.0599999999999996</v>
      </c>
      <c r="J19" s="64">
        <v>7.0000000000000007E-2</v>
      </c>
      <c r="K19" s="64">
        <v>350.83</v>
      </c>
      <c r="L19" s="64">
        <v>25.66</v>
      </c>
      <c r="M19" s="64">
        <v>93.8</v>
      </c>
      <c r="N19" s="64">
        <v>54.4</v>
      </c>
      <c r="O19" s="64">
        <v>0</v>
      </c>
      <c r="P19" s="64">
        <v>0.25</v>
      </c>
      <c r="Q19" s="64">
        <v>9.33</v>
      </c>
      <c r="R19" s="198"/>
      <c r="S19" s="198"/>
      <c r="T19" s="198"/>
      <c r="U19" s="198"/>
    </row>
    <row r="20" spans="1:21" s="12" customFormat="1" x14ac:dyDescent="0.25">
      <c r="A20" s="211" t="s">
        <v>736</v>
      </c>
      <c r="B20" s="64">
        <v>9.75</v>
      </c>
      <c r="C20" s="64">
        <v>17.11</v>
      </c>
      <c r="D20" s="64">
        <v>17.8</v>
      </c>
      <c r="E20" s="64">
        <v>4.38</v>
      </c>
      <c r="F20" s="64">
        <v>4.2300000000000004</v>
      </c>
      <c r="G20" s="64">
        <v>30.84</v>
      </c>
      <c r="H20" s="64">
        <v>24.33</v>
      </c>
      <c r="I20" s="64">
        <v>4</v>
      </c>
      <c r="J20" s="64">
        <v>0.16</v>
      </c>
      <c r="K20" s="64">
        <v>300.47000000000003</v>
      </c>
      <c r="L20" s="64">
        <v>25.74</v>
      </c>
      <c r="M20" s="64">
        <v>92.86</v>
      </c>
      <c r="N20" s="64">
        <v>54.5</v>
      </c>
      <c r="O20" s="64">
        <v>0</v>
      </c>
      <c r="P20" s="64">
        <v>0.26</v>
      </c>
      <c r="Q20" s="64">
        <v>9.32</v>
      </c>
      <c r="R20" s="198"/>
      <c r="S20" s="198"/>
      <c r="T20" s="198"/>
      <c r="U20" s="198"/>
    </row>
    <row r="21" spans="1:21" s="12" customFormat="1" x14ac:dyDescent="0.25">
      <c r="A21" s="211" t="s">
        <v>737</v>
      </c>
      <c r="B21" s="64">
        <v>8.98</v>
      </c>
      <c r="C21" s="64">
        <v>16.61</v>
      </c>
      <c r="D21" s="64">
        <v>18.010000000000002</v>
      </c>
      <c r="E21" s="64">
        <v>4.6399999999999997</v>
      </c>
      <c r="F21" s="64">
        <v>4.3899999999999997</v>
      </c>
      <c r="G21" s="64">
        <v>29.18</v>
      </c>
      <c r="H21" s="64">
        <v>25.94</v>
      </c>
      <c r="I21" s="64">
        <v>3.94</v>
      </c>
      <c r="J21" s="64">
        <v>0.21</v>
      </c>
      <c r="K21" s="64">
        <v>302.24</v>
      </c>
      <c r="L21" s="64">
        <v>25.76</v>
      </c>
      <c r="M21" s="64">
        <v>91.45</v>
      </c>
      <c r="N21" s="64">
        <v>54.2</v>
      </c>
      <c r="O21" s="64">
        <v>0</v>
      </c>
      <c r="P21" s="64">
        <v>0.25</v>
      </c>
      <c r="Q21" s="64">
        <v>9.2899999999999991</v>
      </c>
      <c r="R21" s="198"/>
      <c r="S21" s="198"/>
      <c r="T21" s="198"/>
      <c r="U21" s="198"/>
    </row>
    <row r="22" spans="1:21" s="12" customFormat="1" x14ac:dyDescent="0.25">
      <c r="A22" s="211" t="s">
        <v>738</v>
      </c>
      <c r="B22" s="64">
        <v>7.96</v>
      </c>
      <c r="C22" s="64">
        <v>16.27</v>
      </c>
      <c r="D22" s="64">
        <v>18.920000000000002</v>
      </c>
      <c r="E22" s="64">
        <v>4.53</v>
      </c>
      <c r="F22" s="64">
        <v>4.6100000000000003</v>
      </c>
      <c r="G22" s="64">
        <v>29.18</v>
      </c>
      <c r="H22" s="64">
        <v>25.94</v>
      </c>
      <c r="I22" s="64">
        <v>3.98</v>
      </c>
      <c r="J22" s="64">
        <v>0.2</v>
      </c>
      <c r="K22" s="64">
        <v>295.70999999999998</v>
      </c>
      <c r="L22" s="64">
        <v>25.76</v>
      </c>
      <c r="M22" s="64">
        <v>90.69</v>
      </c>
      <c r="N22" s="64">
        <v>54.3</v>
      </c>
      <c r="O22" s="64">
        <v>0</v>
      </c>
      <c r="P22" s="64">
        <v>0.23</v>
      </c>
      <c r="Q22" s="64">
        <v>9.26</v>
      </c>
      <c r="R22" s="198"/>
      <c r="S22" s="198"/>
      <c r="T22" s="198"/>
      <c r="U22" s="198"/>
    </row>
    <row r="23" spans="1:21" s="12" customFormat="1" x14ac:dyDescent="0.25">
      <c r="A23" s="211" t="s">
        <v>739</v>
      </c>
      <c r="B23" s="64">
        <v>7.4</v>
      </c>
      <c r="C23" s="64">
        <v>15.73</v>
      </c>
      <c r="D23" s="64">
        <v>18.75</v>
      </c>
      <c r="E23" s="64">
        <v>4.3600000000000003</v>
      </c>
      <c r="F23" s="64">
        <v>4.59</v>
      </c>
      <c r="G23" s="64">
        <v>29.18</v>
      </c>
      <c r="H23" s="64">
        <v>25.94</v>
      </c>
      <c r="I23" s="64">
        <v>4.03</v>
      </c>
      <c r="J23" s="64">
        <v>0.18</v>
      </c>
      <c r="K23" s="64">
        <v>292.55</v>
      </c>
      <c r="L23" s="64">
        <v>25.62</v>
      </c>
      <c r="M23" s="64">
        <v>90.95</v>
      </c>
      <c r="N23" s="64">
        <v>54.3</v>
      </c>
      <c r="O23" s="64">
        <v>0</v>
      </c>
      <c r="P23" s="64">
        <v>0.24</v>
      </c>
      <c r="Q23" s="64">
        <v>9.23</v>
      </c>
      <c r="R23" s="198"/>
      <c r="S23" s="198"/>
      <c r="T23" s="198"/>
      <c r="U23" s="198"/>
    </row>
    <row r="24" spans="1:21" s="12" customFormat="1" x14ac:dyDescent="0.25">
      <c r="A24" s="211" t="s">
        <v>740</v>
      </c>
      <c r="B24" s="64">
        <v>6.74</v>
      </c>
      <c r="C24" s="64">
        <v>15.24</v>
      </c>
      <c r="D24" s="64">
        <v>18.829999999999998</v>
      </c>
      <c r="E24" s="64">
        <v>4.45</v>
      </c>
      <c r="F24" s="64">
        <v>4.16</v>
      </c>
      <c r="G24" s="64">
        <v>27.32</v>
      </c>
      <c r="H24" s="64">
        <v>20.53</v>
      </c>
      <c r="I24" s="64">
        <v>4.13</v>
      </c>
      <c r="J24" s="64">
        <v>0.19</v>
      </c>
      <c r="K24" s="64">
        <v>301.26</v>
      </c>
      <c r="L24" s="64">
        <v>25.52</v>
      </c>
      <c r="M24" s="64">
        <v>91.47</v>
      </c>
      <c r="N24" s="64">
        <v>54.3</v>
      </c>
      <c r="O24" s="64">
        <v>0</v>
      </c>
      <c r="P24" s="64">
        <v>0.21</v>
      </c>
      <c r="Q24" s="64">
        <v>9.1999999999999993</v>
      </c>
      <c r="R24" s="198"/>
      <c r="S24" s="198"/>
      <c r="T24" s="198"/>
      <c r="U24" s="198"/>
    </row>
    <row r="25" spans="1:21" s="12" customFormat="1" x14ac:dyDescent="0.25">
      <c r="A25" s="211" t="s">
        <v>741</v>
      </c>
      <c r="B25" s="64">
        <v>6</v>
      </c>
      <c r="C25" s="64">
        <v>14.6</v>
      </c>
      <c r="D25" s="64">
        <v>18.73</v>
      </c>
      <c r="E25" s="64">
        <v>4.62</v>
      </c>
      <c r="F25" s="64">
        <v>4.18</v>
      </c>
      <c r="G25" s="64">
        <v>22.2</v>
      </c>
      <c r="H25" s="64">
        <v>5.62</v>
      </c>
      <c r="I25" s="64">
        <v>4.07</v>
      </c>
      <c r="J25" s="64">
        <v>0.18</v>
      </c>
      <c r="K25" s="64">
        <v>300.02999999999997</v>
      </c>
      <c r="L25" s="64">
        <v>25.41</v>
      </c>
      <c r="M25" s="64">
        <v>92.22</v>
      </c>
      <c r="N25" s="64">
        <v>54.4</v>
      </c>
      <c r="O25" s="64">
        <v>0</v>
      </c>
      <c r="P25" s="64">
        <v>0.23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11" t="s">
        <v>742</v>
      </c>
      <c r="B26" s="64">
        <v>5.53</v>
      </c>
      <c r="C26" s="64">
        <v>15.13</v>
      </c>
      <c r="D26" s="64">
        <v>20.48</v>
      </c>
      <c r="E26" s="64">
        <v>4.67</v>
      </c>
      <c r="F26" s="64">
        <v>4.8099999999999996</v>
      </c>
      <c r="G26" s="64">
        <v>22.2</v>
      </c>
      <c r="H26" s="64">
        <v>5.62</v>
      </c>
      <c r="I26" s="64">
        <v>4.2</v>
      </c>
      <c r="J26" s="64">
        <v>0.18</v>
      </c>
      <c r="K26" s="64">
        <v>306.12</v>
      </c>
      <c r="L26" s="64">
        <v>25.34</v>
      </c>
      <c r="M26" s="64">
        <v>93.01</v>
      </c>
      <c r="N26" s="64">
        <v>54.5</v>
      </c>
      <c r="O26" s="64">
        <v>0</v>
      </c>
      <c r="P26" s="64">
        <v>0.21</v>
      </c>
      <c r="Q26" s="64">
        <v>9.15</v>
      </c>
      <c r="R26" s="198"/>
      <c r="S26" s="198"/>
      <c r="T26" s="198"/>
      <c r="U26" s="198"/>
    </row>
    <row r="27" spans="1:21" s="12" customFormat="1" x14ac:dyDescent="0.25">
      <c r="A27" s="211" t="s">
        <v>743</v>
      </c>
      <c r="B27" s="64">
        <v>5.23</v>
      </c>
      <c r="C27" s="64">
        <v>13.79</v>
      </c>
      <c r="D27" s="64">
        <v>18.37</v>
      </c>
      <c r="E27" s="64">
        <v>4.53</v>
      </c>
      <c r="F27" s="64">
        <v>5.01</v>
      </c>
      <c r="G27" s="64">
        <v>22.2</v>
      </c>
      <c r="H27" s="64">
        <v>5.62</v>
      </c>
      <c r="I27" s="64">
        <v>3.85</v>
      </c>
      <c r="J27" s="64">
        <v>0.2</v>
      </c>
      <c r="K27" s="64">
        <v>293.42</v>
      </c>
      <c r="L27" s="64">
        <v>25.32</v>
      </c>
      <c r="M27" s="64">
        <v>93.43</v>
      </c>
      <c r="N27" s="64">
        <v>54.3</v>
      </c>
      <c r="O27" s="64">
        <v>0</v>
      </c>
      <c r="P27" s="64">
        <v>0.21</v>
      </c>
      <c r="Q27" s="64">
        <v>9.16</v>
      </c>
      <c r="R27" s="198"/>
      <c r="S27" s="198"/>
      <c r="T27" s="198"/>
      <c r="U27" s="198"/>
    </row>
    <row r="28" spans="1:21" s="12" customFormat="1" x14ac:dyDescent="0.25">
      <c r="A28" s="211" t="s">
        <v>744</v>
      </c>
      <c r="B28" s="64">
        <v>4.97</v>
      </c>
      <c r="C28" s="64">
        <v>13.16</v>
      </c>
      <c r="D28" s="64">
        <v>17.57</v>
      </c>
      <c r="E28" s="64">
        <v>4.3099999999999996</v>
      </c>
      <c r="F28" s="64">
        <v>5.1100000000000003</v>
      </c>
      <c r="G28" s="64">
        <v>22.45</v>
      </c>
      <c r="H28" s="64">
        <v>4.3899999999999997</v>
      </c>
      <c r="I28" s="64">
        <v>4.03</v>
      </c>
      <c r="J28" s="64">
        <v>0.17</v>
      </c>
      <c r="K28" s="64">
        <v>303.08</v>
      </c>
      <c r="L28" s="64">
        <v>25.18</v>
      </c>
      <c r="M28" s="64">
        <v>94.31</v>
      </c>
      <c r="N28" s="64">
        <v>54.6</v>
      </c>
      <c r="O28" s="64">
        <v>0</v>
      </c>
      <c r="P28" s="64">
        <v>0.2</v>
      </c>
      <c r="Q28" s="64">
        <v>9.15</v>
      </c>
      <c r="R28" s="198"/>
      <c r="S28" s="198"/>
      <c r="T28" s="198"/>
      <c r="U28" s="198"/>
    </row>
    <row r="29" spans="1:21" s="12" customFormat="1" x14ac:dyDescent="0.25">
      <c r="A29" s="211" t="s">
        <v>745</v>
      </c>
      <c r="B29" s="64">
        <v>4.8499999999999996</v>
      </c>
      <c r="C29" s="64">
        <v>13.16</v>
      </c>
      <c r="D29" s="64">
        <v>17.739999999999998</v>
      </c>
      <c r="E29" s="64">
        <v>4.04</v>
      </c>
      <c r="F29" s="64">
        <v>4.9800000000000004</v>
      </c>
      <c r="G29" s="64">
        <v>23.13</v>
      </c>
      <c r="H29" s="64">
        <v>1</v>
      </c>
      <c r="I29" s="64">
        <v>3.92</v>
      </c>
      <c r="J29" s="64">
        <v>0.17</v>
      </c>
      <c r="K29" s="64">
        <v>298.69</v>
      </c>
      <c r="L29" s="64">
        <v>25.12</v>
      </c>
      <c r="M29" s="64">
        <v>95.02</v>
      </c>
      <c r="N29" s="64">
        <v>54.9</v>
      </c>
      <c r="O29" s="64">
        <v>0</v>
      </c>
      <c r="P29" s="64">
        <v>0.19</v>
      </c>
      <c r="Q29" s="64">
        <v>9.14</v>
      </c>
      <c r="R29" s="198"/>
      <c r="S29" s="198"/>
      <c r="T29" s="198"/>
      <c r="U29" s="198"/>
    </row>
    <row r="30" spans="1:21" s="12" customFormat="1" x14ac:dyDescent="0.25">
      <c r="A30" s="211" t="s">
        <v>746</v>
      </c>
      <c r="B30" s="64">
        <v>5.55</v>
      </c>
      <c r="C30" s="64">
        <v>13.76</v>
      </c>
      <c r="D30" s="64">
        <v>17.82</v>
      </c>
      <c r="E30" s="64">
        <v>4.3899999999999997</v>
      </c>
      <c r="F30" s="64">
        <v>4.38</v>
      </c>
      <c r="G30" s="64">
        <v>23.13</v>
      </c>
      <c r="H30" s="64">
        <v>1</v>
      </c>
      <c r="I30" s="64">
        <v>4.01</v>
      </c>
      <c r="J30" s="64">
        <v>0.17</v>
      </c>
      <c r="K30" s="64">
        <v>287.08</v>
      </c>
      <c r="L30" s="64">
        <v>25.09</v>
      </c>
      <c r="M30" s="64">
        <v>95.55</v>
      </c>
      <c r="N30" s="64">
        <v>58.5</v>
      </c>
      <c r="O30" s="64">
        <v>0</v>
      </c>
      <c r="P30" s="64">
        <v>0.2</v>
      </c>
      <c r="Q30" s="64">
        <v>9.14</v>
      </c>
      <c r="R30" s="198"/>
      <c r="S30" s="198"/>
      <c r="T30" s="198"/>
      <c r="U30" s="198"/>
    </row>
    <row r="31" spans="1:21" s="12" customFormat="1" x14ac:dyDescent="0.25">
      <c r="A31" s="211" t="s">
        <v>747</v>
      </c>
      <c r="B31" s="64">
        <v>5.35</v>
      </c>
      <c r="C31" s="64">
        <v>13.73</v>
      </c>
      <c r="D31" s="64">
        <v>18.059999999999999</v>
      </c>
      <c r="E31" s="64">
        <v>4.5</v>
      </c>
      <c r="F31" s="64">
        <v>5.35</v>
      </c>
      <c r="G31" s="64">
        <v>23.13</v>
      </c>
      <c r="H31" s="64">
        <v>1</v>
      </c>
      <c r="I31" s="64">
        <v>4.04</v>
      </c>
      <c r="J31" s="64">
        <v>0.16</v>
      </c>
      <c r="K31" s="64">
        <v>294.54000000000002</v>
      </c>
      <c r="L31" s="64">
        <v>25.04</v>
      </c>
      <c r="M31" s="64">
        <v>96.23</v>
      </c>
      <c r="N31" s="64">
        <v>67.599999999999994</v>
      </c>
      <c r="O31" s="64">
        <v>0</v>
      </c>
      <c r="P31" s="64">
        <v>0.2</v>
      </c>
      <c r="Q31" s="64">
        <v>9.15</v>
      </c>
      <c r="R31" s="198"/>
      <c r="S31" s="198"/>
      <c r="T31" s="198"/>
      <c r="U31" s="198"/>
    </row>
    <row r="32" spans="1:21" s="12" customFormat="1" x14ac:dyDescent="0.25">
      <c r="A32" s="211" t="s">
        <v>748</v>
      </c>
      <c r="B32" s="64">
        <v>5.29</v>
      </c>
      <c r="C32" s="64">
        <v>13.72</v>
      </c>
      <c r="D32" s="64">
        <v>18.14</v>
      </c>
      <c r="E32" s="64">
        <v>4.6500000000000004</v>
      </c>
      <c r="F32" s="64">
        <v>4.7</v>
      </c>
      <c r="G32" s="64">
        <v>22.29</v>
      </c>
      <c r="H32" s="64">
        <v>1.38</v>
      </c>
      <c r="I32" s="64">
        <v>3.98</v>
      </c>
      <c r="J32" s="64">
        <v>0.17</v>
      </c>
      <c r="K32" s="64">
        <v>292.10000000000002</v>
      </c>
      <c r="L32" s="64">
        <v>25.09</v>
      </c>
      <c r="M32" s="64">
        <v>96.36</v>
      </c>
      <c r="N32" s="64">
        <v>76.8</v>
      </c>
      <c r="O32" s="64">
        <v>0</v>
      </c>
      <c r="P32" s="64">
        <v>0.21</v>
      </c>
      <c r="Q32" s="64">
        <v>9.15</v>
      </c>
      <c r="R32" s="198"/>
      <c r="S32" s="198"/>
      <c r="T32" s="198"/>
      <c r="U32" s="198"/>
    </row>
    <row r="33" spans="1:21" s="12" customFormat="1" x14ac:dyDescent="0.25">
      <c r="A33" s="211" t="s">
        <v>749</v>
      </c>
      <c r="B33" s="64">
        <v>5.43</v>
      </c>
      <c r="C33" s="64">
        <v>14.49</v>
      </c>
      <c r="D33" s="64">
        <v>19.399999999999999</v>
      </c>
      <c r="E33" s="64">
        <v>4.7300000000000004</v>
      </c>
      <c r="F33" s="64">
        <v>5.85</v>
      </c>
      <c r="G33" s="64">
        <v>19.97</v>
      </c>
      <c r="H33" s="64">
        <v>2.44</v>
      </c>
      <c r="I33" s="64">
        <v>4.0599999999999996</v>
      </c>
      <c r="J33" s="64">
        <v>0.14000000000000001</v>
      </c>
      <c r="K33" s="64">
        <v>301.39999999999998</v>
      </c>
      <c r="L33" s="64">
        <v>25.09</v>
      </c>
      <c r="M33" s="64">
        <v>97.07</v>
      </c>
      <c r="N33" s="64">
        <v>83.1</v>
      </c>
      <c r="O33" s="64">
        <v>0</v>
      </c>
      <c r="P33" s="64">
        <v>0.21</v>
      </c>
      <c r="Q33" s="64">
        <v>9.14</v>
      </c>
      <c r="R33" s="198"/>
      <c r="S33" s="198"/>
      <c r="T33" s="198"/>
      <c r="U33" s="198"/>
    </row>
    <row r="34" spans="1:21" s="12" customFormat="1" x14ac:dyDescent="0.25">
      <c r="A34" s="211" t="s">
        <v>750</v>
      </c>
      <c r="B34" s="64">
        <v>5.88</v>
      </c>
      <c r="C34" s="64">
        <v>15.27</v>
      </c>
      <c r="D34" s="64">
        <v>20.2</v>
      </c>
      <c r="E34" s="64">
        <v>4.46</v>
      </c>
      <c r="F34" s="64">
        <v>4.68</v>
      </c>
      <c r="G34" s="64">
        <v>19.97</v>
      </c>
      <c r="H34" s="64">
        <v>2.44</v>
      </c>
      <c r="I34" s="64">
        <v>3.82</v>
      </c>
      <c r="J34" s="64">
        <v>0.13</v>
      </c>
      <c r="K34" s="64">
        <v>282.06</v>
      </c>
      <c r="L34" s="64">
        <v>25.06</v>
      </c>
      <c r="M34" s="64">
        <v>97.75</v>
      </c>
      <c r="N34" s="64">
        <v>99.5</v>
      </c>
      <c r="O34" s="64">
        <v>0</v>
      </c>
      <c r="P34" s="64">
        <v>0.23</v>
      </c>
      <c r="Q34" s="64">
        <v>9.14</v>
      </c>
      <c r="R34" s="198"/>
      <c r="S34" s="198"/>
      <c r="T34" s="198"/>
      <c r="U34" s="198"/>
    </row>
    <row r="35" spans="1:21" s="12" customFormat="1" x14ac:dyDescent="0.25">
      <c r="A35" s="211" t="s">
        <v>751</v>
      </c>
      <c r="B35" s="64">
        <v>6.52</v>
      </c>
      <c r="C35" s="64">
        <v>16.670000000000002</v>
      </c>
      <c r="D35" s="64">
        <v>21.89</v>
      </c>
      <c r="E35" s="64">
        <v>4.51</v>
      </c>
      <c r="F35" s="64">
        <v>5.3</v>
      </c>
      <c r="G35" s="64">
        <v>19.97</v>
      </c>
      <c r="H35" s="64">
        <v>2.44</v>
      </c>
      <c r="I35" s="64">
        <v>3.93</v>
      </c>
      <c r="J35" s="64">
        <v>0.12</v>
      </c>
      <c r="K35" s="64">
        <v>265.29000000000002</v>
      </c>
      <c r="L35" s="64">
        <v>25.2</v>
      </c>
      <c r="M35" s="64">
        <v>97.57</v>
      </c>
      <c r="N35" s="64">
        <v>119.3</v>
      </c>
      <c r="O35" s="64">
        <v>0</v>
      </c>
      <c r="P35" s="64">
        <v>0.23</v>
      </c>
      <c r="Q35" s="64">
        <v>9.14</v>
      </c>
      <c r="R35" s="198"/>
      <c r="S35" s="198"/>
      <c r="T35" s="198"/>
      <c r="U35" s="198"/>
    </row>
    <row r="36" spans="1:21" s="12" customFormat="1" x14ac:dyDescent="0.25">
      <c r="A36" s="211" t="s">
        <v>752</v>
      </c>
      <c r="B36" s="64">
        <v>6.13</v>
      </c>
      <c r="C36" s="64">
        <v>15.43</v>
      </c>
      <c r="D36" s="64">
        <v>20.13</v>
      </c>
      <c r="E36" s="64">
        <v>4.6900000000000004</v>
      </c>
      <c r="F36" s="64">
        <v>4.5</v>
      </c>
      <c r="G36" s="64">
        <v>23.03</v>
      </c>
      <c r="H36" s="64">
        <v>4.0199999999999996</v>
      </c>
      <c r="I36" s="64">
        <v>4.0599999999999996</v>
      </c>
      <c r="J36" s="64">
        <v>0.14000000000000001</v>
      </c>
      <c r="K36" s="64">
        <v>279.35000000000002</v>
      </c>
      <c r="L36" s="64">
        <v>25.39</v>
      </c>
      <c r="M36" s="64">
        <v>96.9</v>
      </c>
      <c r="N36" s="64">
        <v>139.5</v>
      </c>
      <c r="O36" s="64">
        <v>0</v>
      </c>
      <c r="P36" s="64">
        <v>0.23</v>
      </c>
      <c r="Q36" s="64">
        <v>9.15</v>
      </c>
      <c r="R36" s="198"/>
      <c r="S36" s="198"/>
      <c r="T36" s="198"/>
      <c r="U36" s="198"/>
    </row>
    <row r="37" spans="1:21" s="12" customFormat="1" x14ac:dyDescent="0.25">
      <c r="A37" s="211" t="s">
        <v>753</v>
      </c>
      <c r="B37" s="64">
        <v>6.22</v>
      </c>
      <c r="C37" s="64">
        <v>15.03</v>
      </c>
      <c r="D37" s="64">
        <v>19.21</v>
      </c>
      <c r="E37" s="64">
        <v>4.54</v>
      </c>
      <c r="F37" s="64">
        <v>4.82</v>
      </c>
      <c r="G37" s="64">
        <v>31.44</v>
      </c>
      <c r="H37" s="64">
        <v>8.36</v>
      </c>
      <c r="I37" s="64">
        <v>3.99</v>
      </c>
      <c r="J37" s="64">
        <v>0.1</v>
      </c>
      <c r="K37" s="64">
        <v>230.85</v>
      </c>
      <c r="L37" s="64">
        <v>25.56</v>
      </c>
      <c r="M37" s="64">
        <v>95.28</v>
      </c>
      <c r="N37" s="64">
        <v>154.30000000000001</v>
      </c>
      <c r="O37" s="64">
        <v>0</v>
      </c>
      <c r="P37" s="64">
        <v>0.21</v>
      </c>
      <c r="Q37" s="64">
        <v>9.17</v>
      </c>
      <c r="R37" s="198"/>
      <c r="S37" s="198"/>
      <c r="T37" s="198"/>
      <c r="U37" s="198"/>
    </row>
    <row r="38" spans="1:21" s="12" customFormat="1" x14ac:dyDescent="0.25">
      <c r="A38" s="211" t="s">
        <v>754</v>
      </c>
      <c r="B38" s="64">
        <v>6.92</v>
      </c>
      <c r="C38" s="64">
        <v>16.72</v>
      </c>
      <c r="D38" s="64">
        <v>21.39</v>
      </c>
      <c r="E38" s="64">
        <v>4.53</v>
      </c>
      <c r="F38" s="64">
        <v>3.22</v>
      </c>
      <c r="G38" s="64">
        <v>31.44</v>
      </c>
      <c r="H38" s="64">
        <v>8.36</v>
      </c>
      <c r="I38" s="64">
        <v>3.97</v>
      </c>
      <c r="J38" s="64">
        <v>0.19</v>
      </c>
      <c r="K38" s="64">
        <v>297</v>
      </c>
      <c r="L38" s="64">
        <v>25.57</v>
      </c>
      <c r="M38" s="64">
        <v>94.47</v>
      </c>
      <c r="N38" s="64">
        <v>152.9</v>
      </c>
      <c r="O38" s="64">
        <v>0</v>
      </c>
      <c r="P38" s="64">
        <v>0.23</v>
      </c>
      <c r="Q38" s="64">
        <v>9.17</v>
      </c>
      <c r="R38" s="198"/>
      <c r="S38" s="198"/>
      <c r="T38" s="198"/>
      <c r="U38" s="198"/>
    </row>
    <row r="39" spans="1:21" s="12" customFormat="1" x14ac:dyDescent="0.25">
      <c r="A39" s="211" t="s">
        <v>755</v>
      </c>
      <c r="B39" s="64">
        <v>6.91</v>
      </c>
      <c r="C39" s="64">
        <v>16.559999999999999</v>
      </c>
      <c r="D39" s="64">
        <v>21.08</v>
      </c>
      <c r="E39" s="64">
        <v>4.62</v>
      </c>
      <c r="F39" s="64">
        <v>4.3099999999999996</v>
      </c>
      <c r="G39" s="64">
        <v>31.44</v>
      </c>
      <c r="H39" s="64">
        <v>8.36</v>
      </c>
      <c r="I39" s="64">
        <v>3.86</v>
      </c>
      <c r="J39" s="64">
        <v>0.17</v>
      </c>
      <c r="K39" s="64">
        <v>296.37</v>
      </c>
      <c r="L39" s="64">
        <v>25.72</v>
      </c>
      <c r="M39" s="64">
        <v>93.45</v>
      </c>
      <c r="N39" s="64">
        <v>169.2</v>
      </c>
      <c r="O39" s="64">
        <v>0</v>
      </c>
      <c r="P39" s="64">
        <v>0.25</v>
      </c>
      <c r="Q39" s="64">
        <v>9.16</v>
      </c>
      <c r="R39" s="198"/>
      <c r="S39" s="198"/>
      <c r="T39" s="198"/>
      <c r="U39" s="198"/>
    </row>
    <row r="40" spans="1:21" s="12" customFormat="1" x14ac:dyDescent="0.25">
      <c r="A40" s="211" t="s">
        <v>756</v>
      </c>
      <c r="B40" s="64">
        <v>7.01</v>
      </c>
      <c r="C40" s="64">
        <v>16.98</v>
      </c>
      <c r="D40" s="64">
        <v>21.73</v>
      </c>
      <c r="E40" s="64">
        <v>3.49</v>
      </c>
      <c r="F40" s="64">
        <v>3.86</v>
      </c>
      <c r="G40" s="64">
        <v>32.1</v>
      </c>
      <c r="H40" s="64">
        <v>6.74</v>
      </c>
      <c r="I40" s="64">
        <v>4.08</v>
      </c>
      <c r="J40" s="64">
        <v>0.2</v>
      </c>
      <c r="K40" s="64">
        <v>278.82</v>
      </c>
      <c r="L40" s="64">
        <v>25.88</v>
      </c>
      <c r="M40" s="64">
        <v>93.08</v>
      </c>
      <c r="N40" s="64">
        <v>187.9</v>
      </c>
      <c r="O40" s="64">
        <v>0</v>
      </c>
      <c r="P40" s="64">
        <v>0.24</v>
      </c>
      <c r="Q40" s="64">
        <v>9.17</v>
      </c>
      <c r="R40" s="198"/>
      <c r="S40" s="198"/>
      <c r="T40" s="198"/>
      <c r="U40" s="198"/>
    </row>
    <row r="41" spans="1:21" s="12" customFormat="1" x14ac:dyDescent="0.25">
      <c r="A41" s="211" t="s">
        <v>757</v>
      </c>
      <c r="B41" s="64">
        <v>6.55</v>
      </c>
      <c r="C41" s="64">
        <v>16.39</v>
      </c>
      <c r="D41" s="64">
        <v>21.32</v>
      </c>
      <c r="E41" s="64">
        <v>3.99</v>
      </c>
      <c r="F41" s="64">
        <v>3.6</v>
      </c>
      <c r="G41" s="64">
        <v>33.92</v>
      </c>
      <c r="H41" s="64">
        <v>2.2799999999999998</v>
      </c>
      <c r="I41" s="64">
        <v>4.08</v>
      </c>
      <c r="J41" s="64">
        <v>0.19</v>
      </c>
      <c r="K41" s="64">
        <v>292.95999999999998</v>
      </c>
      <c r="L41" s="64">
        <v>26.06</v>
      </c>
      <c r="M41" s="64">
        <v>91.79</v>
      </c>
      <c r="N41" s="64">
        <v>193.1</v>
      </c>
      <c r="O41" s="64">
        <v>0</v>
      </c>
      <c r="P41" s="64">
        <v>0.25</v>
      </c>
      <c r="Q41" s="64">
        <v>9.17</v>
      </c>
      <c r="R41" s="198"/>
      <c r="S41" s="198"/>
      <c r="T41" s="198"/>
      <c r="U41" s="198"/>
    </row>
    <row r="42" spans="1:21" s="12" customFormat="1" x14ac:dyDescent="0.25">
      <c r="A42" s="211" t="s">
        <v>758</v>
      </c>
      <c r="B42" s="64">
        <v>6.12</v>
      </c>
      <c r="C42" s="64">
        <v>15.83</v>
      </c>
      <c r="D42" s="64">
        <v>20.9</v>
      </c>
      <c r="E42" s="64">
        <v>4.07</v>
      </c>
      <c r="F42" s="64">
        <v>4.66</v>
      </c>
      <c r="G42" s="64">
        <v>33.92</v>
      </c>
      <c r="H42" s="64">
        <v>2.2799999999999998</v>
      </c>
      <c r="I42" s="64">
        <v>4.1500000000000004</v>
      </c>
      <c r="J42" s="64">
        <v>0.26</v>
      </c>
      <c r="K42" s="64">
        <v>282.04000000000002</v>
      </c>
      <c r="L42" s="64">
        <v>26.05</v>
      </c>
      <c r="M42" s="64">
        <v>91.68</v>
      </c>
      <c r="N42" s="64">
        <v>210.2</v>
      </c>
      <c r="O42" s="64">
        <v>0</v>
      </c>
      <c r="P42" s="64">
        <v>0.25</v>
      </c>
      <c r="Q42" s="64">
        <v>9.17</v>
      </c>
      <c r="R42" s="198"/>
      <c r="S42" s="198"/>
      <c r="T42" s="198"/>
      <c r="U42" s="198"/>
    </row>
    <row r="43" spans="1:21" s="12" customFormat="1" x14ac:dyDescent="0.25">
      <c r="A43" s="211" t="s">
        <v>759</v>
      </c>
      <c r="B43" s="64">
        <v>5.63</v>
      </c>
      <c r="C43" s="64">
        <v>15.8</v>
      </c>
      <c r="D43" s="64">
        <v>21.61</v>
      </c>
      <c r="E43" s="64">
        <v>3.65</v>
      </c>
      <c r="F43" s="64">
        <v>4.0599999999999996</v>
      </c>
      <c r="G43" s="64">
        <v>33.92</v>
      </c>
      <c r="H43" s="64">
        <v>2.2799999999999998</v>
      </c>
      <c r="I43" s="64">
        <v>3.95</v>
      </c>
      <c r="J43" s="64">
        <v>0.24</v>
      </c>
      <c r="K43" s="64">
        <v>294.19</v>
      </c>
      <c r="L43" s="64">
        <v>26.55</v>
      </c>
      <c r="M43" s="64">
        <v>89.23</v>
      </c>
      <c r="N43" s="64">
        <v>231.5</v>
      </c>
      <c r="O43" s="64">
        <v>0</v>
      </c>
      <c r="P43" s="64">
        <v>0.27</v>
      </c>
      <c r="Q43" s="64">
        <v>9.16</v>
      </c>
      <c r="R43" s="198"/>
      <c r="S43" s="198"/>
      <c r="T43" s="198"/>
      <c r="U43" s="198"/>
    </row>
    <row r="44" spans="1:21" s="12" customFormat="1" x14ac:dyDescent="0.25">
      <c r="A44" s="211" t="s">
        <v>760</v>
      </c>
      <c r="B44" s="64">
        <v>5.35</v>
      </c>
      <c r="C44" s="64">
        <v>15.31</v>
      </c>
      <c r="D44" s="64">
        <v>21.09</v>
      </c>
      <c r="E44" s="64">
        <v>3.87</v>
      </c>
      <c r="F44" s="64">
        <v>5.04</v>
      </c>
      <c r="G44" s="64">
        <v>36.340000000000003</v>
      </c>
      <c r="H44" s="64">
        <v>1.67</v>
      </c>
      <c r="I44" s="64">
        <v>3.95</v>
      </c>
      <c r="J44" s="64">
        <v>0.31</v>
      </c>
      <c r="K44" s="64">
        <v>299.05</v>
      </c>
      <c r="L44" s="64">
        <v>26.75</v>
      </c>
      <c r="M44" s="64">
        <v>87.7</v>
      </c>
      <c r="N44" s="64">
        <v>227.9</v>
      </c>
      <c r="O44" s="64">
        <v>0</v>
      </c>
      <c r="P44" s="64">
        <v>0.26</v>
      </c>
      <c r="Q44" s="64">
        <v>9.16</v>
      </c>
      <c r="R44" s="198"/>
      <c r="S44" s="198"/>
      <c r="T44" s="198"/>
      <c r="U44" s="198"/>
    </row>
    <row r="45" spans="1:21" s="12" customFormat="1" x14ac:dyDescent="0.25">
      <c r="A45" s="211" t="s">
        <v>761</v>
      </c>
      <c r="B45" s="64">
        <v>5.21</v>
      </c>
      <c r="C45" s="64">
        <v>15.39</v>
      </c>
      <c r="D45" s="64">
        <v>21.45</v>
      </c>
      <c r="E45" s="64">
        <v>4.18</v>
      </c>
      <c r="F45" s="64">
        <v>5.53</v>
      </c>
      <c r="G45" s="64">
        <v>43</v>
      </c>
      <c r="H45" s="64">
        <v>0</v>
      </c>
      <c r="I45" s="64">
        <v>3.94</v>
      </c>
      <c r="J45" s="64">
        <v>0.24</v>
      </c>
      <c r="K45" s="64">
        <v>286.58</v>
      </c>
      <c r="L45" s="64">
        <v>26.72</v>
      </c>
      <c r="M45" s="64">
        <v>87.73</v>
      </c>
      <c r="N45" s="64">
        <v>215.9</v>
      </c>
      <c r="O45" s="64">
        <v>0</v>
      </c>
      <c r="P45" s="64">
        <v>0.27</v>
      </c>
      <c r="Q45" s="64">
        <v>9.16</v>
      </c>
      <c r="R45" s="198"/>
      <c r="S45" s="198"/>
      <c r="T45" s="198"/>
      <c r="U45" s="198"/>
    </row>
    <row r="46" spans="1:21" s="12" customFormat="1" x14ac:dyDescent="0.25">
      <c r="A46" s="211" t="s">
        <v>762</v>
      </c>
      <c r="B46" s="64">
        <v>5.08</v>
      </c>
      <c r="C46" s="64">
        <v>15.4</v>
      </c>
      <c r="D46" s="64">
        <v>21.68</v>
      </c>
      <c r="E46" s="64">
        <v>4.04</v>
      </c>
      <c r="F46" s="64">
        <v>3.79</v>
      </c>
      <c r="G46" s="64">
        <v>43</v>
      </c>
      <c r="H46" s="64">
        <v>0</v>
      </c>
      <c r="I46" s="64">
        <v>4.05</v>
      </c>
      <c r="J46" s="64">
        <v>0.28999999999999998</v>
      </c>
      <c r="K46" s="64">
        <v>290.87</v>
      </c>
      <c r="L46" s="64">
        <v>26.89</v>
      </c>
      <c r="M46" s="64">
        <v>86.3</v>
      </c>
      <c r="N46" s="64">
        <v>184.4</v>
      </c>
      <c r="O46" s="64">
        <v>0</v>
      </c>
      <c r="P46" s="64">
        <v>0.28000000000000003</v>
      </c>
      <c r="Q46" s="64">
        <v>9.16</v>
      </c>
      <c r="R46" s="198"/>
      <c r="S46" s="198"/>
      <c r="T46" s="198"/>
      <c r="U46" s="198"/>
    </row>
    <row r="47" spans="1:21" s="12" customFormat="1" x14ac:dyDescent="0.25">
      <c r="A47" s="211" t="s">
        <v>763</v>
      </c>
      <c r="B47" s="64">
        <v>4.9000000000000004</v>
      </c>
      <c r="C47" s="64">
        <v>15.42</v>
      </c>
      <c r="D47" s="64">
        <v>21.98</v>
      </c>
      <c r="E47" s="64">
        <v>3.95</v>
      </c>
      <c r="F47" s="64">
        <v>5.61</v>
      </c>
      <c r="G47" s="64">
        <v>43</v>
      </c>
      <c r="H47" s="64">
        <v>0</v>
      </c>
      <c r="I47" s="64">
        <v>4</v>
      </c>
      <c r="J47" s="64">
        <v>0.23</v>
      </c>
      <c r="K47" s="64">
        <v>296.97000000000003</v>
      </c>
      <c r="L47" s="64">
        <v>26.84</v>
      </c>
      <c r="M47" s="64">
        <v>86.17</v>
      </c>
      <c r="N47" s="64">
        <v>197</v>
      </c>
      <c r="O47" s="64">
        <v>0</v>
      </c>
      <c r="P47" s="64">
        <v>0.28999999999999998</v>
      </c>
      <c r="Q47" s="64">
        <v>9.16</v>
      </c>
      <c r="R47" s="198"/>
      <c r="S47" s="198"/>
      <c r="T47" s="198"/>
      <c r="U47" s="198"/>
    </row>
    <row r="48" spans="1:21" s="12" customFormat="1" x14ac:dyDescent="0.25">
      <c r="A48" s="211" t="s">
        <v>764</v>
      </c>
      <c r="B48" s="64">
        <v>6.22</v>
      </c>
      <c r="C48" s="64">
        <v>17.190000000000001</v>
      </c>
      <c r="D48" s="64">
        <v>23.36</v>
      </c>
      <c r="E48" s="64">
        <v>3.7</v>
      </c>
      <c r="F48" s="64">
        <v>6.6</v>
      </c>
      <c r="G48" s="64">
        <v>43.27</v>
      </c>
      <c r="H48" s="64">
        <v>0</v>
      </c>
      <c r="I48" s="64">
        <v>3.99</v>
      </c>
      <c r="J48" s="64">
        <v>0.3</v>
      </c>
      <c r="K48" s="64">
        <v>287.64</v>
      </c>
      <c r="L48" s="64">
        <v>27.43</v>
      </c>
      <c r="M48" s="64">
        <v>83.54</v>
      </c>
      <c r="N48" s="64">
        <v>229.5</v>
      </c>
      <c r="O48" s="64">
        <v>0</v>
      </c>
      <c r="P48" s="64">
        <v>0.34</v>
      </c>
      <c r="Q48" s="64">
        <v>9.16</v>
      </c>
      <c r="R48" s="198"/>
      <c r="S48" s="198"/>
      <c r="T48" s="198"/>
      <c r="U48" s="198"/>
    </row>
    <row r="49" spans="1:21" s="12" customFormat="1" x14ac:dyDescent="0.25">
      <c r="A49" s="211" t="s">
        <v>765</v>
      </c>
      <c r="B49" s="64">
        <v>5.51</v>
      </c>
      <c r="C49" s="64">
        <v>16.149999999999999</v>
      </c>
      <c r="D49" s="64">
        <v>22.46</v>
      </c>
      <c r="E49" s="64">
        <v>3.74</v>
      </c>
      <c r="F49" s="64">
        <v>4.07</v>
      </c>
      <c r="G49" s="64">
        <v>43.99</v>
      </c>
      <c r="H49" s="64">
        <v>0</v>
      </c>
      <c r="I49" s="64">
        <v>4.05</v>
      </c>
      <c r="J49" s="64">
        <v>0.42</v>
      </c>
      <c r="K49" s="64">
        <v>286.07</v>
      </c>
      <c r="L49" s="64">
        <v>27.8</v>
      </c>
      <c r="M49" s="64">
        <v>80.739999999999995</v>
      </c>
      <c r="N49" s="64">
        <v>203.7</v>
      </c>
      <c r="O49" s="64">
        <v>0</v>
      </c>
      <c r="P49" s="64">
        <v>0.32</v>
      </c>
      <c r="Q49" s="64">
        <v>9.18</v>
      </c>
      <c r="R49" s="198"/>
      <c r="S49" s="198"/>
      <c r="T49" s="198"/>
      <c r="U49" s="198"/>
    </row>
    <row r="50" spans="1:21" s="12" customFormat="1" x14ac:dyDescent="0.25">
      <c r="A50" s="211" t="s">
        <v>766</v>
      </c>
      <c r="B50" s="64">
        <v>5.44</v>
      </c>
      <c r="C50" s="64">
        <v>17.52</v>
      </c>
      <c r="D50" s="64">
        <v>25.19</v>
      </c>
      <c r="E50" s="64">
        <v>4.09</v>
      </c>
      <c r="F50" s="64">
        <v>4.8099999999999996</v>
      </c>
      <c r="G50" s="64">
        <v>43.99</v>
      </c>
      <c r="H50" s="64">
        <v>0</v>
      </c>
      <c r="I50" s="64">
        <v>3.68</v>
      </c>
      <c r="J50" s="64">
        <v>0.35</v>
      </c>
      <c r="K50" s="64">
        <v>286.39</v>
      </c>
      <c r="L50" s="64">
        <v>28.21</v>
      </c>
      <c r="M50" s="64">
        <v>79.22</v>
      </c>
      <c r="N50" s="64">
        <v>334.8</v>
      </c>
      <c r="O50" s="64">
        <v>0</v>
      </c>
      <c r="P50" s="64">
        <v>0.34</v>
      </c>
      <c r="Q50" s="64">
        <v>9.19</v>
      </c>
      <c r="R50" s="198"/>
      <c r="S50" s="198"/>
      <c r="T50" s="198"/>
      <c r="U50" s="198"/>
    </row>
    <row r="51" spans="1:21" s="12" customFormat="1" x14ac:dyDescent="0.25">
      <c r="A51" s="211" t="s">
        <v>767</v>
      </c>
      <c r="B51" s="64">
        <v>6.06</v>
      </c>
      <c r="C51" s="64">
        <v>17.59</v>
      </c>
      <c r="D51" s="64">
        <v>24.37</v>
      </c>
      <c r="E51" s="64">
        <v>3.75</v>
      </c>
      <c r="F51" s="64">
        <v>4.71</v>
      </c>
      <c r="G51" s="64">
        <v>43.99</v>
      </c>
      <c r="H51" s="64">
        <v>0</v>
      </c>
      <c r="I51" s="64">
        <v>3.86</v>
      </c>
      <c r="J51" s="64">
        <v>0.37</v>
      </c>
      <c r="K51" s="64">
        <v>284.75</v>
      </c>
      <c r="L51" s="64">
        <v>28.53</v>
      </c>
      <c r="M51" s="64">
        <v>77.89</v>
      </c>
      <c r="N51" s="64">
        <v>363.2</v>
      </c>
      <c r="O51" s="64">
        <v>0</v>
      </c>
      <c r="P51" s="64">
        <v>0.35</v>
      </c>
      <c r="Q51" s="64">
        <v>9.19</v>
      </c>
      <c r="R51" s="198"/>
      <c r="S51" s="198"/>
      <c r="T51" s="198"/>
      <c r="U51" s="198"/>
    </row>
    <row r="52" spans="1:21" s="12" customFormat="1" x14ac:dyDescent="0.25">
      <c r="A52" s="211" t="s">
        <v>768</v>
      </c>
      <c r="B52" s="64">
        <v>6.89</v>
      </c>
      <c r="C52" s="64">
        <v>20.29</v>
      </c>
      <c r="D52" s="64">
        <v>28.26</v>
      </c>
      <c r="E52" s="64">
        <v>3.7</v>
      </c>
      <c r="F52" s="64">
        <v>3.76</v>
      </c>
      <c r="G52" s="64">
        <v>45.46</v>
      </c>
      <c r="H52" s="64">
        <v>0</v>
      </c>
      <c r="I52" s="64">
        <v>4.16</v>
      </c>
      <c r="J52" s="64">
        <v>0.44</v>
      </c>
      <c r="K52" s="64">
        <v>289.07</v>
      </c>
      <c r="L52" s="64">
        <v>29.28</v>
      </c>
      <c r="M52" s="64">
        <v>74.739999999999995</v>
      </c>
      <c r="N52" s="64">
        <v>433.3</v>
      </c>
      <c r="O52" s="64">
        <v>0</v>
      </c>
      <c r="P52" s="64">
        <v>0.45</v>
      </c>
      <c r="Q52" s="64">
        <v>9.19</v>
      </c>
      <c r="R52" s="198"/>
      <c r="S52" s="198"/>
      <c r="T52" s="198"/>
      <c r="U52" s="198"/>
    </row>
    <row r="53" spans="1:21" s="12" customFormat="1" x14ac:dyDescent="0.25">
      <c r="A53" s="211" t="s">
        <v>769</v>
      </c>
      <c r="B53" s="64">
        <v>7.22</v>
      </c>
      <c r="C53" s="64">
        <v>19.940000000000001</v>
      </c>
      <c r="D53" s="64">
        <v>27.09</v>
      </c>
      <c r="E53" s="64">
        <v>4.1399999999999997</v>
      </c>
      <c r="F53" s="64">
        <v>4.59</v>
      </c>
      <c r="G53" s="64">
        <v>49.49</v>
      </c>
      <c r="H53" s="64">
        <v>0</v>
      </c>
      <c r="I53" s="64">
        <v>4.03</v>
      </c>
      <c r="J53" s="64">
        <v>0.42</v>
      </c>
      <c r="K53" s="64">
        <v>291.43</v>
      </c>
      <c r="L53" s="64">
        <v>29.88</v>
      </c>
      <c r="M53" s="64">
        <v>72.77</v>
      </c>
      <c r="N53" s="64">
        <v>433.6</v>
      </c>
      <c r="O53" s="64">
        <v>0</v>
      </c>
      <c r="P53" s="64">
        <v>0.49</v>
      </c>
      <c r="Q53" s="64">
        <v>9.2100000000000009</v>
      </c>
      <c r="R53" s="198"/>
      <c r="S53" s="198"/>
      <c r="T53" s="198"/>
      <c r="U53" s="198"/>
    </row>
    <row r="54" spans="1:21" s="12" customFormat="1" x14ac:dyDescent="0.25">
      <c r="A54" s="211" t="s">
        <v>770</v>
      </c>
      <c r="B54" s="64">
        <v>6.76</v>
      </c>
      <c r="C54" s="64">
        <v>19.46</v>
      </c>
      <c r="D54" s="64">
        <v>26.88</v>
      </c>
      <c r="E54" s="64">
        <v>3.75</v>
      </c>
      <c r="F54" s="64">
        <v>4.26</v>
      </c>
      <c r="G54" s="64">
        <v>49.49</v>
      </c>
      <c r="H54" s="64">
        <v>0</v>
      </c>
      <c r="I54" s="64">
        <v>4</v>
      </c>
      <c r="J54" s="64">
        <v>0.42</v>
      </c>
      <c r="K54" s="64">
        <v>287.02999999999997</v>
      </c>
      <c r="L54" s="64">
        <v>30.01</v>
      </c>
      <c r="M54" s="64">
        <v>71.599999999999994</v>
      </c>
      <c r="N54" s="64">
        <v>426.6</v>
      </c>
      <c r="O54" s="64">
        <v>0</v>
      </c>
      <c r="P54" s="64">
        <v>0.49</v>
      </c>
      <c r="Q54" s="64">
        <v>9.23</v>
      </c>
      <c r="R54" s="198"/>
      <c r="S54" s="198"/>
      <c r="T54" s="198"/>
      <c r="U54" s="198"/>
    </row>
    <row r="55" spans="1:21" s="12" customFormat="1" x14ac:dyDescent="0.25">
      <c r="A55" s="211" t="s">
        <v>771</v>
      </c>
      <c r="B55" s="64">
        <v>6.16</v>
      </c>
      <c r="C55" s="64">
        <v>18.8</v>
      </c>
      <c r="D55" s="64">
        <v>26.53</v>
      </c>
      <c r="E55" s="64">
        <v>3.78</v>
      </c>
      <c r="F55" s="64">
        <v>4.78</v>
      </c>
      <c r="G55" s="64">
        <v>49.49</v>
      </c>
      <c r="H55" s="64">
        <v>0</v>
      </c>
      <c r="I55" s="64">
        <v>4</v>
      </c>
      <c r="J55" s="64">
        <v>0.33</v>
      </c>
      <c r="K55" s="64">
        <v>290.17</v>
      </c>
      <c r="L55" s="64">
        <v>29.35</v>
      </c>
      <c r="M55" s="64">
        <v>72.73</v>
      </c>
      <c r="N55" s="64">
        <v>402.4</v>
      </c>
      <c r="O55" s="64">
        <v>0</v>
      </c>
      <c r="P55" s="64">
        <v>0.5</v>
      </c>
      <c r="Q55" s="64">
        <v>9.23</v>
      </c>
      <c r="R55" s="198"/>
      <c r="S55" s="198"/>
      <c r="T55" s="198"/>
      <c r="U55" s="198"/>
    </row>
    <row r="56" spans="1:21" s="12" customFormat="1" x14ac:dyDescent="0.25">
      <c r="A56" s="211" t="s">
        <v>772</v>
      </c>
      <c r="B56" s="64">
        <v>5.71</v>
      </c>
      <c r="C56" s="64">
        <v>19.14</v>
      </c>
      <c r="D56" s="64">
        <v>27.87</v>
      </c>
      <c r="E56" s="64">
        <v>3.46</v>
      </c>
      <c r="F56" s="64">
        <v>4.18</v>
      </c>
      <c r="G56" s="64">
        <v>51.28</v>
      </c>
      <c r="H56" s="64">
        <v>0</v>
      </c>
      <c r="I56" s="64">
        <v>3.95</v>
      </c>
      <c r="J56" s="64">
        <v>0.37</v>
      </c>
      <c r="K56" s="64">
        <v>282.2</v>
      </c>
      <c r="L56" s="64">
        <v>29.7</v>
      </c>
      <c r="M56" s="64">
        <v>71.739999999999995</v>
      </c>
      <c r="N56" s="64">
        <v>415.8</v>
      </c>
      <c r="O56" s="64">
        <v>0</v>
      </c>
      <c r="P56" s="64">
        <v>0.53</v>
      </c>
      <c r="Q56" s="64">
        <v>9.2200000000000006</v>
      </c>
      <c r="R56" s="198"/>
      <c r="S56" s="198"/>
      <c r="T56" s="198"/>
      <c r="U56" s="198"/>
    </row>
    <row r="57" spans="1:21" s="12" customFormat="1" x14ac:dyDescent="0.25">
      <c r="A57" s="211" t="s">
        <v>773</v>
      </c>
      <c r="B57" s="64">
        <v>5.83</v>
      </c>
      <c r="C57" s="64">
        <v>19.13</v>
      </c>
      <c r="D57" s="64">
        <v>27.66</v>
      </c>
      <c r="E57" s="64">
        <v>3.71</v>
      </c>
      <c r="F57" s="64">
        <v>4.26</v>
      </c>
      <c r="G57" s="64">
        <v>56.2</v>
      </c>
      <c r="H57" s="64">
        <v>0</v>
      </c>
      <c r="I57" s="64">
        <v>4.09</v>
      </c>
      <c r="J57" s="64">
        <v>0.38</v>
      </c>
      <c r="K57" s="64">
        <v>287.45</v>
      </c>
      <c r="L57" s="64">
        <v>29.49</v>
      </c>
      <c r="M57" s="64">
        <v>72.55</v>
      </c>
      <c r="N57" s="64">
        <v>338.7</v>
      </c>
      <c r="O57" s="64">
        <v>0</v>
      </c>
      <c r="P57" s="64">
        <v>0.56000000000000005</v>
      </c>
      <c r="Q57" s="64">
        <v>9.2100000000000009</v>
      </c>
      <c r="R57" s="198"/>
      <c r="S57" s="198"/>
      <c r="T57" s="198"/>
      <c r="U57" s="198"/>
    </row>
    <row r="58" spans="1:21" s="12" customFormat="1" x14ac:dyDescent="0.25">
      <c r="A58" s="211" t="s">
        <v>774</v>
      </c>
      <c r="B58" s="64">
        <v>6.18</v>
      </c>
      <c r="C58" s="64">
        <v>19.28</v>
      </c>
      <c r="D58" s="64">
        <v>27.41</v>
      </c>
      <c r="E58" s="64">
        <v>3.64</v>
      </c>
      <c r="F58" s="64">
        <v>4.16</v>
      </c>
      <c r="G58" s="64">
        <v>56.2</v>
      </c>
      <c r="H58" s="64">
        <v>0</v>
      </c>
      <c r="I58" s="64">
        <v>3.72</v>
      </c>
      <c r="J58" s="64">
        <v>0.28000000000000003</v>
      </c>
      <c r="K58" s="64">
        <v>285.70999999999998</v>
      </c>
      <c r="L58" s="64">
        <v>29.8</v>
      </c>
      <c r="M58" s="64">
        <v>70.84</v>
      </c>
      <c r="N58" s="64">
        <v>480.9</v>
      </c>
      <c r="O58" s="64">
        <v>0</v>
      </c>
      <c r="P58" s="64">
        <v>0.52</v>
      </c>
      <c r="Q58" s="64">
        <v>9.2100000000000009</v>
      </c>
      <c r="R58" s="198"/>
      <c r="S58" s="198"/>
      <c r="T58" s="198"/>
      <c r="U58" s="198"/>
    </row>
    <row r="59" spans="1:21" s="12" customFormat="1" x14ac:dyDescent="0.25">
      <c r="A59" s="211" t="s">
        <v>775</v>
      </c>
      <c r="B59" s="64">
        <v>5.21</v>
      </c>
      <c r="C59" s="64">
        <v>18.29</v>
      </c>
      <c r="D59" s="64">
        <v>27</v>
      </c>
      <c r="E59" s="64">
        <v>3.41</v>
      </c>
      <c r="F59" s="64">
        <v>5.89</v>
      </c>
      <c r="G59" s="64">
        <v>56.2</v>
      </c>
      <c r="H59" s="64">
        <v>0</v>
      </c>
      <c r="I59" s="64">
        <v>3.93</v>
      </c>
      <c r="J59" s="64">
        <v>0.28000000000000003</v>
      </c>
      <c r="K59" s="64">
        <v>281.31</v>
      </c>
      <c r="L59" s="64">
        <v>29.83</v>
      </c>
      <c r="M59" s="64">
        <v>70.900000000000006</v>
      </c>
      <c r="N59" s="64">
        <v>468.6</v>
      </c>
      <c r="O59" s="64">
        <v>0</v>
      </c>
      <c r="P59" s="64">
        <v>0.49</v>
      </c>
      <c r="Q59" s="64">
        <v>9.1999999999999993</v>
      </c>
      <c r="R59" s="198"/>
      <c r="S59" s="198"/>
      <c r="T59" s="198"/>
      <c r="U59" s="198"/>
    </row>
    <row r="60" spans="1:21" s="12" customFormat="1" x14ac:dyDescent="0.25">
      <c r="A60" s="211" t="s">
        <v>776</v>
      </c>
      <c r="B60" s="64">
        <v>5.34</v>
      </c>
      <c r="C60" s="64">
        <v>17.88</v>
      </c>
      <c r="D60" s="64">
        <v>26.03</v>
      </c>
      <c r="E60" s="64">
        <v>3.74</v>
      </c>
      <c r="F60" s="64">
        <v>4.96</v>
      </c>
      <c r="G60" s="64">
        <v>56.89</v>
      </c>
      <c r="H60" s="64">
        <v>1234.8</v>
      </c>
      <c r="I60" s="64">
        <v>4.0999999999999996</v>
      </c>
      <c r="J60" s="64">
        <v>0.26</v>
      </c>
      <c r="K60" s="64">
        <v>282.08</v>
      </c>
      <c r="L60" s="64">
        <v>30.74</v>
      </c>
      <c r="M60" s="64">
        <v>66.63</v>
      </c>
      <c r="N60" s="64">
        <v>651.70000000000005</v>
      </c>
      <c r="O60" s="64">
        <v>0</v>
      </c>
      <c r="P60" s="64">
        <v>0.46</v>
      </c>
      <c r="Q60" s="64">
        <v>9.19</v>
      </c>
      <c r="R60" s="198"/>
      <c r="S60" s="198"/>
      <c r="T60" s="198"/>
      <c r="U60" s="198"/>
    </row>
    <row r="61" spans="1:21" s="12" customFormat="1" x14ac:dyDescent="0.25">
      <c r="A61" s="211" t="s">
        <v>777</v>
      </c>
      <c r="B61" s="64">
        <v>5.01</v>
      </c>
      <c r="C61" s="64">
        <v>17.78</v>
      </c>
      <c r="D61" s="64">
        <v>26.34</v>
      </c>
      <c r="E61" s="64">
        <v>3.4</v>
      </c>
      <c r="F61" s="64">
        <v>5.48</v>
      </c>
      <c r="G61" s="64">
        <v>58.77</v>
      </c>
      <c r="H61" s="64">
        <v>4630.49</v>
      </c>
      <c r="I61" s="64">
        <v>4.01</v>
      </c>
      <c r="J61" s="64">
        <v>0.28000000000000003</v>
      </c>
      <c r="K61" s="64">
        <v>275.73</v>
      </c>
      <c r="L61" s="64">
        <v>31.05</v>
      </c>
      <c r="M61" s="64">
        <v>66.540000000000006</v>
      </c>
      <c r="N61" s="64">
        <v>629.9</v>
      </c>
      <c r="O61" s="64">
        <v>0</v>
      </c>
      <c r="P61" s="64">
        <v>0.41</v>
      </c>
      <c r="Q61" s="64">
        <v>9.18</v>
      </c>
      <c r="R61" s="198"/>
      <c r="S61" s="198"/>
      <c r="T61" s="198"/>
      <c r="U61" s="198"/>
    </row>
    <row r="62" spans="1:21" s="12" customFormat="1" x14ac:dyDescent="0.25">
      <c r="A62" s="211" t="s">
        <v>778</v>
      </c>
      <c r="B62" s="64">
        <v>4.7300000000000004</v>
      </c>
      <c r="C62" s="64">
        <v>17.3</v>
      </c>
      <c r="D62" s="64">
        <v>25.86</v>
      </c>
      <c r="E62" s="64">
        <v>3.35</v>
      </c>
      <c r="F62" s="64">
        <v>5.25</v>
      </c>
      <c r="G62" s="64">
        <v>58.77</v>
      </c>
      <c r="H62" s="64">
        <v>4630.49</v>
      </c>
      <c r="I62" s="64">
        <v>4.0999999999999996</v>
      </c>
      <c r="J62" s="64">
        <v>0.21</v>
      </c>
      <c r="K62" s="64">
        <v>273.74</v>
      </c>
      <c r="L62" s="64">
        <v>30.66</v>
      </c>
      <c r="M62" s="64">
        <v>67.56</v>
      </c>
      <c r="N62" s="64">
        <v>414.1</v>
      </c>
      <c r="O62" s="64">
        <v>0</v>
      </c>
      <c r="P62" s="64">
        <v>0.4</v>
      </c>
      <c r="Q62" s="64">
        <v>9.17</v>
      </c>
      <c r="R62" s="198"/>
      <c r="S62" s="198"/>
      <c r="T62" s="198"/>
      <c r="U62" s="198"/>
    </row>
    <row r="63" spans="1:21" s="12" customFormat="1" x14ac:dyDescent="0.25">
      <c r="A63" s="211" t="s">
        <v>779</v>
      </c>
      <c r="B63" s="64">
        <v>4.37</v>
      </c>
      <c r="C63" s="64">
        <v>16.57</v>
      </c>
      <c r="D63" s="64">
        <v>25.02</v>
      </c>
      <c r="E63" s="64">
        <v>3.45</v>
      </c>
      <c r="F63" s="64">
        <v>7.25</v>
      </c>
      <c r="G63" s="64">
        <v>58.77</v>
      </c>
      <c r="H63" s="64">
        <v>4630.49</v>
      </c>
      <c r="I63" s="64">
        <v>4.0199999999999996</v>
      </c>
      <c r="J63" s="64">
        <v>0.22</v>
      </c>
      <c r="K63" s="64">
        <v>248.5</v>
      </c>
      <c r="L63" s="64">
        <v>29.96</v>
      </c>
      <c r="M63" s="64">
        <v>70.92</v>
      </c>
      <c r="N63" s="64">
        <v>284.10000000000002</v>
      </c>
      <c r="O63" s="64">
        <v>0</v>
      </c>
      <c r="P63" s="64">
        <v>0.38</v>
      </c>
      <c r="Q63" s="64">
        <v>9.17</v>
      </c>
      <c r="R63" s="198"/>
      <c r="S63" s="198"/>
      <c r="T63" s="198"/>
      <c r="U63" s="198"/>
    </row>
    <row r="64" spans="1:21" s="12" customFormat="1" x14ac:dyDescent="0.25">
      <c r="A64" s="211" t="s">
        <v>780</v>
      </c>
      <c r="B64" s="64">
        <v>4.0599999999999996</v>
      </c>
      <c r="C64" s="64">
        <v>15.58</v>
      </c>
      <c r="D64" s="64">
        <v>23.59</v>
      </c>
      <c r="E64" s="64">
        <v>3.56</v>
      </c>
      <c r="F64" s="64">
        <v>5.94</v>
      </c>
      <c r="G64" s="64">
        <v>58.87</v>
      </c>
      <c r="H64" s="64">
        <v>3550.04</v>
      </c>
      <c r="I64" s="64">
        <v>3.93</v>
      </c>
      <c r="J64" s="64">
        <v>0.35</v>
      </c>
      <c r="K64" s="64">
        <v>283.87</v>
      </c>
      <c r="L64" s="64">
        <v>29.89</v>
      </c>
      <c r="M64" s="64">
        <v>70.63</v>
      </c>
      <c r="N64" s="64">
        <v>328.9</v>
      </c>
      <c r="O64" s="64">
        <v>0</v>
      </c>
      <c r="P64" s="64">
        <v>0.37</v>
      </c>
      <c r="Q64" s="64">
        <v>9.17</v>
      </c>
      <c r="R64" s="198"/>
      <c r="S64" s="198"/>
      <c r="T64" s="198"/>
      <c r="U64" s="198"/>
    </row>
    <row r="65" spans="1:21" s="12" customFormat="1" x14ac:dyDescent="0.25">
      <c r="A65" s="211" t="s">
        <v>781</v>
      </c>
      <c r="B65" s="64">
        <v>3.97</v>
      </c>
      <c r="C65" s="64">
        <v>15.27</v>
      </c>
      <c r="D65" s="64">
        <v>23.14</v>
      </c>
      <c r="E65" s="64">
        <v>3.94</v>
      </c>
      <c r="F65" s="64">
        <v>6.99</v>
      </c>
      <c r="G65" s="64">
        <v>59.14</v>
      </c>
      <c r="H65" s="64">
        <v>0</v>
      </c>
      <c r="I65" s="64">
        <v>4.05</v>
      </c>
      <c r="J65" s="64">
        <v>0.27</v>
      </c>
      <c r="K65" s="64">
        <v>266.8</v>
      </c>
      <c r="L65" s="64">
        <v>29.98</v>
      </c>
      <c r="M65" s="64">
        <v>69.260000000000005</v>
      </c>
      <c r="N65" s="64">
        <v>395.3</v>
      </c>
      <c r="O65" s="64">
        <v>0</v>
      </c>
      <c r="P65" s="64">
        <v>0.36</v>
      </c>
      <c r="Q65" s="64">
        <v>9.16</v>
      </c>
      <c r="R65" s="198"/>
      <c r="S65" s="198"/>
      <c r="T65" s="198"/>
      <c r="U65" s="198"/>
    </row>
    <row r="66" spans="1:21" s="12" customFormat="1" x14ac:dyDescent="0.25">
      <c r="A66" s="211" t="s">
        <v>782</v>
      </c>
      <c r="B66" s="64">
        <v>4.05</v>
      </c>
      <c r="C66" s="64">
        <v>14.91</v>
      </c>
      <c r="D66" s="64">
        <v>22.32</v>
      </c>
      <c r="E66" s="64">
        <v>3.85</v>
      </c>
      <c r="F66" s="64">
        <v>6.94</v>
      </c>
      <c r="G66" s="64">
        <v>59.14</v>
      </c>
      <c r="H66" s="64">
        <v>0</v>
      </c>
      <c r="I66" s="64">
        <v>3.97</v>
      </c>
      <c r="J66" s="64">
        <v>0.2</v>
      </c>
      <c r="K66" s="64">
        <v>266.82</v>
      </c>
      <c r="L66" s="64">
        <v>30.45</v>
      </c>
      <c r="M66" s="64">
        <v>66.44</v>
      </c>
      <c r="N66" s="64">
        <v>347.1</v>
      </c>
      <c r="O66" s="64">
        <v>0</v>
      </c>
      <c r="P66" s="64">
        <v>0.34</v>
      </c>
      <c r="Q66" s="64">
        <v>9.16</v>
      </c>
      <c r="R66" s="198"/>
      <c r="S66" s="198"/>
      <c r="T66" s="198"/>
      <c r="U66" s="198"/>
    </row>
    <row r="67" spans="1:21" s="12" customFormat="1" x14ac:dyDescent="0.25">
      <c r="A67" s="211" t="s">
        <v>783</v>
      </c>
      <c r="B67" s="64">
        <v>4.1100000000000003</v>
      </c>
      <c r="C67" s="64">
        <v>14.98</v>
      </c>
      <c r="D67" s="64">
        <v>22.36</v>
      </c>
      <c r="E67" s="64">
        <v>3.47</v>
      </c>
      <c r="F67" s="64">
        <v>6.72</v>
      </c>
      <c r="G67" s="64">
        <v>59.14</v>
      </c>
      <c r="H67" s="64">
        <v>0</v>
      </c>
      <c r="I67" s="64">
        <v>4.05</v>
      </c>
      <c r="J67" s="64">
        <v>0.3</v>
      </c>
      <c r="K67" s="64">
        <v>279.66000000000003</v>
      </c>
      <c r="L67" s="64">
        <v>30.14</v>
      </c>
      <c r="M67" s="64">
        <v>68.87</v>
      </c>
      <c r="N67" s="64">
        <v>272.89999999999998</v>
      </c>
      <c r="O67" s="64">
        <v>0</v>
      </c>
      <c r="P67" s="64">
        <v>0.34</v>
      </c>
      <c r="Q67" s="64">
        <v>9.16</v>
      </c>
      <c r="R67" s="198"/>
      <c r="S67" s="198"/>
      <c r="T67" s="198"/>
      <c r="U67" s="198"/>
    </row>
    <row r="68" spans="1:21" s="12" customFormat="1" x14ac:dyDescent="0.25">
      <c r="A68" s="211" t="s">
        <v>784</v>
      </c>
      <c r="B68" s="64">
        <v>3.98</v>
      </c>
      <c r="C68" s="64">
        <v>14.63</v>
      </c>
      <c r="D68" s="64">
        <v>21.89</v>
      </c>
      <c r="E68" s="64">
        <v>4.09</v>
      </c>
      <c r="F68" s="64">
        <v>6.32</v>
      </c>
      <c r="G68" s="64">
        <v>58.58</v>
      </c>
      <c r="H68" s="64">
        <v>521.78</v>
      </c>
      <c r="I68" s="64">
        <v>4</v>
      </c>
      <c r="J68" s="64">
        <v>0.43</v>
      </c>
      <c r="K68" s="64">
        <v>280.66000000000003</v>
      </c>
      <c r="L68" s="64">
        <v>30.35</v>
      </c>
      <c r="M68" s="64">
        <v>65.5</v>
      </c>
      <c r="N68" s="64">
        <v>323.5</v>
      </c>
      <c r="O68" s="64">
        <v>0</v>
      </c>
      <c r="P68" s="64">
        <v>0.34</v>
      </c>
      <c r="Q68" s="64">
        <v>9.16</v>
      </c>
      <c r="R68" s="198"/>
      <c r="S68" s="198"/>
      <c r="T68" s="198"/>
      <c r="U68" s="198"/>
    </row>
    <row r="69" spans="1:21" s="12" customFormat="1" x14ac:dyDescent="0.25">
      <c r="A69" s="211" t="s">
        <v>785</v>
      </c>
      <c r="B69" s="64">
        <v>3.95</v>
      </c>
      <c r="C69" s="64">
        <v>14.82</v>
      </c>
      <c r="D69" s="64">
        <v>22.31</v>
      </c>
      <c r="E69" s="64">
        <v>3.61</v>
      </c>
      <c r="F69" s="64">
        <v>6.6</v>
      </c>
      <c r="G69" s="64">
        <v>57.05</v>
      </c>
      <c r="H69" s="64">
        <v>2236.1799999999998</v>
      </c>
      <c r="I69" s="64">
        <v>3.97</v>
      </c>
      <c r="J69" s="64">
        <v>0.26</v>
      </c>
      <c r="K69" s="64">
        <v>283.92</v>
      </c>
      <c r="L69" s="64">
        <v>30.54</v>
      </c>
      <c r="M69" s="64">
        <v>65.73</v>
      </c>
      <c r="N69" s="64">
        <v>287.7</v>
      </c>
      <c r="O69" s="64">
        <v>0</v>
      </c>
      <c r="P69" s="64">
        <v>0.33</v>
      </c>
      <c r="Q69" s="64">
        <v>9.14</v>
      </c>
      <c r="R69" s="198"/>
      <c r="S69" s="198"/>
      <c r="T69" s="198"/>
      <c r="U69" s="198"/>
    </row>
    <row r="70" spans="1:21" s="12" customFormat="1" x14ac:dyDescent="0.25">
      <c r="A70" s="211" t="s">
        <v>786</v>
      </c>
      <c r="B70" s="64">
        <v>4.05</v>
      </c>
      <c r="C70" s="64">
        <v>15.53</v>
      </c>
      <c r="D70" s="64">
        <v>23.5</v>
      </c>
      <c r="E70" s="64">
        <v>3.79</v>
      </c>
      <c r="F70" s="64">
        <v>5.19</v>
      </c>
      <c r="G70" s="64">
        <v>57.05</v>
      </c>
      <c r="H70" s="64">
        <v>2236.1799999999998</v>
      </c>
      <c r="I70" s="64">
        <v>4.0999999999999996</v>
      </c>
      <c r="J70" s="64">
        <v>0.31</v>
      </c>
      <c r="K70" s="64">
        <v>285.02999999999997</v>
      </c>
      <c r="L70" s="64">
        <v>30.64</v>
      </c>
      <c r="M70" s="64">
        <v>66.849999999999994</v>
      </c>
      <c r="N70" s="64">
        <v>267.5</v>
      </c>
      <c r="O70" s="64">
        <v>0</v>
      </c>
      <c r="P70" s="64">
        <v>0.32</v>
      </c>
      <c r="Q70" s="64">
        <v>9.15</v>
      </c>
      <c r="R70" s="198"/>
      <c r="S70" s="198"/>
      <c r="T70" s="198"/>
      <c r="U70" s="198"/>
    </row>
    <row r="71" spans="1:21" s="12" customFormat="1" x14ac:dyDescent="0.25">
      <c r="A71" s="211" t="s">
        <v>787</v>
      </c>
      <c r="B71" s="64">
        <v>4.09</v>
      </c>
      <c r="C71" s="64">
        <v>15.42</v>
      </c>
      <c r="D71" s="64">
        <v>23.25</v>
      </c>
      <c r="E71" s="64">
        <v>3.93</v>
      </c>
      <c r="F71" s="64">
        <v>8.08</v>
      </c>
      <c r="G71" s="64">
        <v>57.05</v>
      </c>
      <c r="H71" s="64">
        <v>2236.1799999999998</v>
      </c>
      <c r="I71" s="64">
        <v>4.0599999999999996</v>
      </c>
      <c r="J71" s="64">
        <v>0.21</v>
      </c>
      <c r="K71" s="64">
        <v>272.43</v>
      </c>
      <c r="L71" s="64">
        <v>30.55</v>
      </c>
      <c r="M71" s="64">
        <v>68.03</v>
      </c>
      <c r="N71" s="64">
        <v>215.3</v>
      </c>
      <c r="O71" s="64">
        <v>0</v>
      </c>
      <c r="P71" s="64">
        <v>0.31</v>
      </c>
      <c r="Q71" s="64">
        <v>9.14</v>
      </c>
      <c r="R71" s="198"/>
      <c r="S71" s="198"/>
      <c r="T71" s="198"/>
      <c r="U71" s="198"/>
    </row>
    <row r="72" spans="1:21" s="12" customFormat="1" x14ac:dyDescent="0.25">
      <c r="A72" s="211" t="s">
        <v>788</v>
      </c>
      <c r="B72" s="64">
        <v>4.01</v>
      </c>
      <c r="C72" s="64">
        <v>15.25</v>
      </c>
      <c r="D72" s="64">
        <v>23.02</v>
      </c>
      <c r="E72" s="64">
        <v>4.5199999999999996</v>
      </c>
      <c r="F72" s="64">
        <v>6.21</v>
      </c>
      <c r="G72" s="64">
        <v>57.38</v>
      </c>
      <c r="H72" s="64">
        <v>1822.07</v>
      </c>
      <c r="I72" s="64">
        <v>4.0599999999999996</v>
      </c>
      <c r="J72" s="64">
        <v>0.34</v>
      </c>
      <c r="K72" s="64">
        <v>288.33999999999997</v>
      </c>
      <c r="L72" s="64">
        <v>30.81</v>
      </c>
      <c r="M72" s="64">
        <v>66.34</v>
      </c>
      <c r="N72" s="64">
        <v>311.89999999999998</v>
      </c>
      <c r="O72" s="64">
        <v>0</v>
      </c>
      <c r="P72" s="64">
        <v>0.32</v>
      </c>
      <c r="Q72" s="64">
        <v>9.1199999999999992</v>
      </c>
      <c r="R72" s="198"/>
      <c r="S72" s="198"/>
      <c r="T72" s="198"/>
      <c r="U72" s="198"/>
    </row>
    <row r="73" spans="1:21" s="12" customFormat="1" x14ac:dyDescent="0.25">
      <c r="A73" s="211" t="s">
        <v>789</v>
      </c>
      <c r="B73" s="64">
        <v>4.3600000000000003</v>
      </c>
      <c r="C73" s="64">
        <v>16.21</v>
      </c>
      <c r="D73" s="64">
        <v>24.33</v>
      </c>
      <c r="E73" s="64">
        <v>4.5599999999999996</v>
      </c>
      <c r="F73" s="64">
        <v>8.7899999999999991</v>
      </c>
      <c r="G73" s="64">
        <v>58.26</v>
      </c>
      <c r="H73" s="64">
        <v>0</v>
      </c>
      <c r="I73" s="64">
        <v>3.92</v>
      </c>
      <c r="J73" s="64">
        <v>0.17</v>
      </c>
      <c r="K73" s="64">
        <v>262.39</v>
      </c>
      <c r="L73" s="64">
        <v>30.77</v>
      </c>
      <c r="M73" s="64">
        <v>66.61</v>
      </c>
      <c r="N73" s="64">
        <v>228.1</v>
      </c>
      <c r="O73" s="64">
        <v>0</v>
      </c>
      <c r="P73" s="64">
        <v>0.31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1" t="s">
        <v>790</v>
      </c>
      <c r="B74" s="64">
        <v>5.95</v>
      </c>
      <c r="C74" s="64">
        <v>18.420000000000002</v>
      </c>
      <c r="D74" s="64">
        <v>26.12</v>
      </c>
      <c r="E74" s="64">
        <v>4.6900000000000004</v>
      </c>
      <c r="F74" s="64">
        <v>7.31</v>
      </c>
      <c r="G74" s="64">
        <v>58.26</v>
      </c>
      <c r="H74" s="64">
        <v>0</v>
      </c>
      <c r="I74" s="64">
        <v>4.08</v>
      </c>
      <c r="J74" s="64">
        <v>0.18</v>
      </c>
      <c r="K74" s="64">
        <v>273.69</v>
      </c>
      <c r="L74" s="64">
        <v>30.41</v>
      </c>
      <c r="M74" s="64">
        <v>67.41</v>
      </c>
      <c r="N74" s="64">
        <v>210.9</v>
      </c>
      <c r="O74" s="64">
        <v>0</v>
      </c>
      <c r="P74" s="64">
        <v>0.32</v>
      </c>
      <c r="Q74" s="64">
        <v>9.1199999999999992</v>
      </c>
      <c r="R74" s="198"/>
      <c r="S74" s="198"/>
      <c r="T74" s="198"/>
      <c r="U74" s="198"/>
    </row>
    <row r="75" spans="1:21" s="12" customFormat="1" x14ac:dyDescent="0.25">
      <c r="A75" s="211" t="s">
        <v>791</v>
      </c>
      <c r="B75" s="64">
        <v>4.1900000000000004</v>
      </c>
      <c r="C75" s="64">
        <v>15.72</v>
      </c>
      <c r="D75" s="64">
        <v>23.66</v>
      </c>
      <c r="E75" s="64">
        <v>4.92</v>
      </c>
      <c r="F75" s="64">
        <v>4.75</v>
      </c>
      <c r="G75" s="64">
        <v>58.26</v>
      </c>
      <c r="H75" s="64">
        <v>0</v>
      </c>
      <c r="I75" s="64">
        <v>4.0599999999999996</v>
      </c>
      <c r="J75" s="64">
        <v>0.23</v>
      </c>
      <c r="K75" s="64">
        <v>295.8</v>
      </c>
      <c r="L75" s="64">
        <v>30.63</v>
      </c>
      <c r="M75" s="64">
        <v>66.819999999999993</v>
      </c>
      <c r="N75" s="64">
        <v>203.2</v>
      </c>
      <c r="O75" s="64">
        <v>0</v>
      </c>
      <c r="P75" s="64">
        <v>0.33</v>
      </c>
      <c r="Q75" s="64">
        <v>9.11</v>
      </c>
      <c r="R75" s="198"/>
      <c r="S75" s="198"/>
      <c r="T75" s="198"/>
      <c r="U75" s="198"/>
    </row>
    <row r="76" spans="1:21" s="12" customFormat="1" x14ac:dyDescent="0.25">
      <c r="A76" s="211" t="s">
        <v>792</v>
      </c>
      <c r="B76" s="64">
        <v>4.01</v>
      </c>
      <c r="C76" s="64">
        <v>15.56</v>
      </c>
      <c r="D76" s="64">
        <v>23.63</v>
      </c>
      <c r="E76" s="64">
        <v>4.9400000000000004</v>
      </c>
      <c r="F76" s="64">
        <v>5.81</v>
      </c>
      <c r="G76" s="64">
        <v>58.88</v>
      </c>
      <c r="H76" s="64">
        <v>0</v>
      </c>
      <c r="I76" s="64">
        <v>4.01</v>
      </c>
      <c r="J76" s="64">
        <v>0.18</v>
      </c>
      <c r="K76" s="64">
        <v>315.42</v>
      </c>
      <c r="L76" s="64">
        <v>30.33</v>
      </c>
      <c r="M76" s="64">
        <v>68.209999999999994</v>
      </c>
      <c r="N76" s="64">
        <v>158.19999999999999</v>
      </c>
      <c r="O76" s="64">
        <v>0</v>
      </c>
      <c r="P76" s="64">
        <v>0.32</v>
      </c>
      <c r="Q76" s="64">
        <v>9.11</v>
      </c>
      <c r="R76" s="198"/>
      <c r="S76" s="198"/>
      <c r="T76" s="198"/>
      <c r="U76" s="198"/>
    </row>
    <row r="77" spans="1:21" s="12" customFormat="1" x14ac:dyDescent="0.25">
      <c r="A77" s="211" t="s">
        <v>793</v>
      </c>
      <c r="B77" s="64">
        <v>3.96</v>
      </c>
      <c r="C77" s="64">
        <v>15</v>
      </c>
      <c r="D77" s="64">
        <v>22.62</v>
      </c>
      <c r="E77" s="64">
        <v>4.62</v>
      </c>
      <c r="F77" s="64">
        <v>5.74</v>
      </c>
      <c r="G77" s="64">
        <v>60.58</v>
      </c>
      <c r="H77" s="64">
        <v>0</v>
      </c>
      <c r="I77" s="64">
        <v>4.0199999999999996</v>
      </c>
      <c r="J77" s="64">
        <v>0.21</v>
      </c>
      <c r="K77" s="64">
        <v>313.32</v>
      </c>
      <c r="L77" s="64">
        <v>30.23</v>
      </c>
      <c r="M77" s="64">
        <v>68</v>
      </c>
      <c r="N77" s="64">
        <v>115.1</v>
      </c>
      <c r="O77" s="64">
        <v>0</v>
      </c>
      <c r="P77" s="64">
        <v>0.31</v>
      </c>
      <c r="Q77" s="64">
        <v>9.1</v>
      </c>
      <c r="R77" s="198"/>
      <c r="S77" s="198"/>
      <c r="T77" s="198"/>
      <c r="U77" s="198"/>
    </row>
    <row r="78" spans="1:21" s="12" customFormat="1" x14ac:dyDescent="0.25">
      <c r="A78" s="211" t="s">
        <v>794</v>
      </c>
      <c r="B78" s="64">
        <v>4.04</v>
      </c>
      <c r="C78" s="64">
        <v>15.87</v>
      </c>
      <c r="D78" s="64">
        <v>24.17</v>
      </c>
      <c r="E78" s="64">
        <v>4.5</v>
      </c>
      <c r="F78" s="64">
        <v>5.72</v>
      </c>
      <c r="G78" s="64">
        <v>60.58</v>
      </c>
      <c r="H78" s="64">
        <v>0</v>
      </c>
      <c r="I78" s="64">
        <v>4.1399999999999997</v>
      </c>
      <c r="J78" s="64">
        <v>0.22</v>
      </c>
      <c r="K78" s="64">
        <v>322.14</v>
      </c>
      <c r="L78" s="64">
        <v>29.73</v>
      </c>
      <c r="M78" s="64">
        <v>68.739999999999995</v>
      </c>
      <c r="N78" s="64">
        <v>98</v>
      </c>
      <c r="O78" s="64">
        <v>0</v>
      </c>
      <c r="P78" s="64">
        <v>0.34</v>
      </c>
      <c r="Q78" s="64">
        <v>9.1</v>
      </c>
      <c r="R78" s="198"/>
      <c r="S78" s="198"/>
      <c r="T78" s="198"/>
      <c r="U78" s="198"/>
    </row>
    <row r="79" spans="1:21" s="12" customFormat="1" x14ac:dyDescent="0.25">
      <c r="A79" s="211" t="s">
        <v>795</v>
      </c>
      <c r="B79" s="64">
        <v>5.17</v>
      </c>
      <c r="C79" s="64">
        <v>19.239999999999998</v>
      </c>
      <c r="D79" s="64">
        <v>28.89</v>
      </c>
      <c r="E79" s="64">
        <v>4.7</v>
      </c>
      <c r="F79" s="64">
        <v>10.01</v>
      </c>
      <c r="G79" s="64">
        <v>60.58</v>
      </c>
      <c r="H79" s="64">
        <v>0</v>
      </c>
      <c r="I79" s="64">
        <v>3.95</v>
      </c>
      <c r="J79" s="64">
        <v>0.14000000000000001</v>
      </c>
      <c r="K79" s="64">
        <v>329.96</v>
      </c>
      <c r="L79" s="64">
        <v>29.56</v>
      </c>
      <c r="M79" s="64">
        <v>69.540000000000006</v>
      </c>
      <c r="N79" s="64">
        <v>88.6</v>
      </c>
      <c r="O79" s="64">
        <v>0</v>
      </c>
      <c r="P79" s="64">
        <v>0.37</v>
      </c>
      <c r="Q79" s="64">
        <v>9.1300000000000008</v>
      </c>
      <c r="R79" s="198"/>
      <c r="S79" s="198"/>
      <c r="T79" s="198"/>
      <c r="U79" s="198"/>
    </row>
    <row r="80" spans="1:21" s="12" customFormat="1" x14ac:dyDescent="0.25">
      <c r="A80" s="211" t="s">
        <v>796</v>
      </c>
      <c r="B80" s="64">
        <v>5.25</v>
      </c>
      <c r="C80" s="64">
        <v>19</v>
      </c>
      <c r="D80" s="64">
        <v>28.3</v>
      </c>
      <c r="E80" s="64">
        <v>4.6900000000000004</v>
      </c>
      <c r="F80" s="64">
        <v>10.48</v>
      </c>
      <c r="G80" s="64">
        <v>60.71</v>
      </c>
      <c r="H80" s="64">
        <v>671.63</v>
      </c>
      <c r="I80" s="64">
        <v>3.92</v>
      </c>
      <c r="J80" s="64">
        <v>0.18</v>
      </c>
      <c r="K80" s="64">
        <v>358.37</v>
      </c>
      <c r="L80" s="64">
        <v>29.48</v>
      </c>
      <c r="M80" s="64">
        <v>70.19</v>
      </c>
      <c r="N80" s="64">
        <v>72.400000000000006</v>
      </c>
      <c r="O80" s="64">
        <v>0</v>
      </c>
      <c r="P80" s="64">
        <v>0.38</v>
      </c>
      <c r="Q80" s="64">
        <v>9.14</v>
      </c>
      <c r="R80" s="198"/>
      <c r="S80" s="198"/>
      <c r="T80" s="198"/>
      <c r="U80" s="198"/>
    </row>
    <row r="81" spans="1:26" s="12" customFormat="1" x14ac:dyDescent="0.25">
      <c r="A81" s="211" t="s">
        <v>797</v>
      </c>
      <c r="B81" s="64">
        <v>5.87</v>
      </c>
      <c r="C81" s="64">
        <v>21.16</v>
      </c>
      <c r="D81" s="64">
        <v>31.49</v>
      </c>
      <c r="E81" s="64">
        <v>5.0599999999999996</v>
      </c>
      <c r="F81" s="64">
        <v>12.37</v>
      </c>
      <c r="G81" s="64">
        <v>61.08</v>
      </c>
      <c r="H81" s="64">
        <v>2518.61</v>
      </c>
      <c r="I81" s="64">
        <v>4.09</v>
      </c>
      <c r="J81" s="64">
        <v>0.11</v>
      </c>
      <c r="K81" s="64">
        <v>347.42</v>
      </c>
      <c r="L81" s="64">
        <v>29.42</v>
      </c>
      <c r="M81" s="64">
        <v>70.760000000000005</v>
      </c>
      <c r="N81" s="64">
        <v>62.8</v>
      </c>
      <c r="O81" s="64">
        <v>0</v>
      </c>
      <c r="P81" s="64">
        <v>0.45</v>
      </c>
      <c r="Q81" s="64">
        <v>9.16</v>
      </c>
      <c r="R81" s="198"/>
      <c r="S81" s="198"/>
      <c r="T81" s="198"/>
      <c r="U81" s="198"/>
    </row>
    <row r="82" spans="1:26" s="12" customFormat="1" x14ac:dyDescent="0.25">
      <c r="A82" s="211" t="s">
        <v>798</v>
      </c>
      <c r="B82" s="64">
        <v>5.04</v>
      </c>
      <c r="C82" s="64">
        <v>19.899999999999999</v>
      </c>
      <c r="D82" s="64">
        <v>30.36</v>
      </c>
      <c r="E82" s="64">
        <v>5.34</v>
      </c>
      <c r="F82" s="64">
        <v>13.88</v>
      </c>
      <c r="G82" s="64">
        <v>61.08</v>
      </c>
      <c r="H82" s="64">
        <v>2518.61</v>
      </c>
      <c r="I82" s="64">
        <v>4.08</v>
      </c>
      <c r="J82" s="64">
        <v>0.01</v>
      </c>
      <c r="K82" s="64">
        <v>319.23</v>
      </c>
      <c r="L82" s="64">
        <v>29.18</v>
      </c>
      <c r="M82" s="64">
        <v>72.33</v>
      </c>
      <c r="N82" s="64">
        <v>54.7</v>
      </c>
      <c r="O82" s="64">
        <v>0</v>
      </c>
      <c r="P82" s="64">
        <v>0.37</v>
      </c>
      <c r="Q82" s="64">
        <v>9.16</v>
      </c>
      <c r="R82" s="198"/>
      <c r="S82" s="198"/>
      <c r="T82" s="198"/>
      <c r="U82" s="198"/>
    </row>
    <row r="83" spans="1:26" s="12" customFormat="1" x14ac:dyDescent="0.25">
      <c r="A83" s="211" t="s">
        <v>799</v>
      </c>
      <c r="B83" s="64">
        <v>4.3</v>
      </c>
      <c r="C83" s="64">
        <v>17.600000000000001</v>
      </c>
      <c r="D83" s="64">
        <v>27.08</v>
      </c>
      <c r="E83" s="64">
        <v>5.18</v>
      </c>
      <c r="F83" s="64">
        <v>15.62</v>
      </c>
      <c r="G83" s="64">
        <v>61.08</v>
      </c>
      <c r="H83" s="64">
        <v>2518.61</v>
      </c>
      <c r="I83" s="64">
        <v>3.99</v>
      </c>
      <c r="J83" s="64">
        <v>7.0000000000000007E-2</v>
      </c>
      <c r="K83" s="64">
        <v>3.79</v>
      </c>
      <c r="L83" s="64">
        <v>29.05</v>
      </c>
      <c r="M83" s="64">
        <v>73.290000000000006</v>
      </c>
      <c r="N83" s="64">
        <v>47.4</v>
      </c>
      <c r="O83" s="64">
        <v>0</v>
      </c>
      <c r="P83" s="64">
        <v>0.39</v>
      </c>
      <c r="Q83" s="64">
        <v>9.16</v>
      </c>
      <c r="R83" s="198"/>
      <c r="S83" s="198"/>
      <c r="T83" s="198"/>
      <c r="U83" s="198"/>
    </row>
    <row r="84" spans="1:26" s="12" customFormat="1" x14ac:dyDescent="0.25">
      <c r="A84" s="211" t="s">
        <v>800</v>
      </c>
      <c r="B84" s="64">
        <v>4.59</v>
      </c>
      <c r="C84" s="64">
        <v>18.75</v>
      </c>
      <c r="D84" s="64">
        <v>28.84</v>
      </c>
      <c r="E84" s="64">
        <v>5.55</v>
      </c>
      <c r="F84" s="64">
        <v>13.46</v>
      </c>
      <c r="G84" s="64">
        <v>62.8</v>
      </c>
      <c r="H84" s="64">
        <v>1846.98</v>
      </c>
      <c r="I84" s="64">
        <v>4.08</v>
      </c>
      <c r="J84" s="64">
        <v>0.05</v>
      </c>
      <c r="K84" s="64">
        <v>9.0399999999999991</v>
      </c>
      <c r="L84" s="64">
        <v>28.93</v>
      </c>
      <c r="M84" s="64">
        <v>74.23</v>
      </c>
      <c r="N84" s="64">
        <v>45.4</v>
      </c>
      <c r="O84" s="64">
        <v>0</v>
      </c>
      <c r="P84" s="64">
        <v>0.47</v>
      </c>
      <c r="Q84" s="64">
        <v>9.17</v>
      </c>
      <c r="R84" s="198"/>
      <c r="S84" s="198"/>
      <c r="T84" s="198"/>
      <c r="U84" s="198"/>
    </row>
    <row r="85" spans="1:26" s="12" customFormat="1" x14ac:dyDescent="0.25">
      <c r="A85" s="211" t="s">
        <v>801</v>
      </c>
      <c r="B85" s="64">
        <v>5.95</v>
      </c>
      <c r="C85" s="64">
        <v>19.53</v>
      </c>
      <c r="D85" s="64">
        <v>28.25</v>
      </c>
      <c r="E85" s="64">
        <v>5.57</v>
      </c>
      <c r="F85" s="64">
        <v>12.16</v>
      </c>
      <c r="G85" s="64">
        <v>67.53</v>
      </c>
      <c r="H85" s="64">
        <v>0</v>
      </c>
      <c r="I85" s="64">
        <v>3.96</v>
      </c>
      <c r="J85" s="64">
        <v>0.03</v>
      </c>
      <c r="K85" s="64">
        <v>5.9</v>
      </c>
      <c r="L85" s="64">
        <v>28.86</v>
      </c>
      <c r="M85" s="64">
        <v>74.569999999999993</v>
      </c>
      <c r="N85" s="64">
        <v>45</v>
      </c>
      <c r="O85" s="64">
        <v>0</v>
      </c>
      <c r="P85" s="64">
        <v>0.33</v>
      </c>
      <c r="Q85" s="64">
        <v>9.18</v>
      </c>
      <c r="R85" s="198"/>
      <c r="S85" s="198"/>
      <c r="T85" s="198"/>
      <c r="U85" s="198"/>
    </row>
    <row r="86" spans="1:26" s="12" customFormat="1" x14ac:dyDescent="0.25">
      <c r="A86" s="211" t="s">
        <v>802</v>
      </c>
      <c r="B86" s="64">
        <v>5.07</v>
      </c>
      <c r="C86" s="64">
        <v>16.940000000000001</v>
      </c>
      <c r="D86" s="64">
        <v>24.65</v>
      </c>
      <c r="E86" s="64">
        <v>5.12</v>
      </c>
      <c r="F86" s="64">
        <v>7.87</v>
      </c>
      <c r="G86" s="64">
        <v>67.53</v>
      </c>
      <c r="H86" s="64">
        <v>0</v>
      </c>
      <c r="I86" s="64">
        <v>3.97</v>
      </c>
      <c r="J86" s="64">
        <v>7.0000000000000007E-2</v>
      </c>
      <c r="K86" s="64">
        <v>352.41</v>
      </c>
      <c r="L86" s="64">
        <v>28.82</v>
      </c>
      <c r="M86" s="64">
        <v>74.900000000000006</v>
      </c>
      <c r="N86" s="64">
        <v>44.9</v>
      </c>
      <c r="O86" s="64">
        <v>0</v>
      </c>
      <c r="P86" s="64">
        <v>0.34</v>
      </c>
      <c r="Q86" s="64">
        <v>9.18</v>
      </c>
      <c r="R86" s="198"/>
      <c r="S86" s="198"/>
      <c r="T86" s="198"/>
      <c r="U86" s="198"/>
    </row>
    <row r="87" spans="1:26" s="12" customFormat="1" x14ac:dyDescent="0.25">
      <c r="A87" s="211" t="s">
        <v>803</v>
      </c>
      <c r="B87" s="64">
        <v>6.83</v>
      </c>
      <c r="C87" s="64">
        <v>17.690000000000001</v>
      </c>
      <c r="D87" s="64">
        <v>23.37</v>
      </c>
      <c r="E87" s="64">
        <v>5.12</v>
      </c>
      <c r="F87" s="64">
        <v>4.32</v>
      </c>
      <c r="G87" s="64">
        <v>67.53</v>
      </c>
      <c r="H87" s="64">
        <v>0</v>
      </c>
      <c r="I87" s="64">
        <v>3.96</v>
      </c>
      <c r="J87" s="64">
        <v>0.15</v>
      </c>
      <c r="K87" s="64">
        <v>3.8</v>
      </c>
      <c r="L87" s="64">
        <v>28.71</v>
      </c>
      <c r="M87" s="64">
        <v>75.290000000000006</v>
      </c>
      <c r="N87" s="64">
        <v>45.1</v>
      </c>
      <c r="O87" s="64">
        <v>0</v>
      </c>
      <c r="P87" s="64">
        <v>0.35</v>
      </c>
      <c r="Q87" s="64">
        <v>9.18</v>
      </c>
      <c r="R87" s="198"/>
      <c r="S87" s="198"/>
      <c r="T87" s="198"/>
      <c r="U87" s="198"/>
    </row>
    <row r="88" spans="1:26" s="12" customFormat="1" x14ac:dyDescent="0.25">
      <c r="A88" s="211" t="s">
        <v>804</v>
      </c>
      <c r="B88" s="64">
        <v>9.18</v>
      </c>
      <c r="C88" s="64">
        <v>22.11</v>
      </c>
      <c r="D88" s="64">
        <v>28.22</v>
      </c>
      <c r="E88" s="64">
        <v>5.0599999999999996</v>
      </c>
      <c r="F88" s="64">
        <v>5.27</v>
      </c>
      <c r="G88" s="64">
        <v>66.86</v>
      </c>
      <c r="H88" s="64">
        <v>1946.93</v>
      </c>
      <c r="I88" s="64">
        <v>3.99</v>
      </c>
      <c r="J88" s="64">
        <v>0.16</v>
      </c>
      <c r="K88" s="64">
        <v>3.99</v>
      </c>
      <c r="L88" s="64">
        <v>28.58</v>
      </c>
      <c r="M88" s="64">
        <v>75.510000000000005</v>
      </c>
      <c r="N88" s="64">
        <v>45.2</v>
      </c>
      <c r="O88" s="64">
        <v>0</v>
      </c>
      <c r="P88" s="64">
        <v>0.41</v>
      </c>
      <c r="Q88" s="64">
        <v>9.2100000000000009</v>
      </c>
      <c r="R88" s="198"/>
      <c r="S88" s="198"/>
      <c r="T88" s="198"/>
      <c r="U88" s="198"/>
    </row>
    <row r="89" spans="1:26" s="12" customFormat="1" x14ac:dyDescent="0.25">
      <c r="A89" s="211" t="s">
        <v>805</v>
      </c>
      <c r="B89" s="64">
        <v>6.79</v>
      </c>
      <c r="C89" s="64">
        <v>17.84</v>
      </c>
      <c r="D89" s="64">
        <v>23.72</v>
      </c>
      <c r="E89" s="64">
        <v>5.18</v>
      </c>
      <c r="F89" s="64">
        <v>4.33</v>
      </c>
      <c r="G89" s="64">
        <v>65.010000000000005</v>
      </c>
      <c r="H89" s="64">
        <v>7300.99</v>
      </c>
      <c r="I89" s="64">
        <v>3.95</v>
      </c>
      <c r="J89" s="64">
        <v>0.2</v>
      </c>
      <c r="K89" s="64">
        <v>349.18</v>
      </c>
      <c r="L89" s="64">
        <v>28.3</v>
      </c>
      <c r="M89" s="64">
        <v>76.239999999999995</v>
      </c>
      <c r="N89" s="64">
        <v>45.6</v>
      </c>
      <c r="O89" s="64">
        <v>0</v>
      </c>
      <c r="P89" s="64">
        <v>0.37</v>
      </c>
      <c r="Q89" s="64">
        <v>9.2100000000000009</v>
      </c>
      <c r="R89" s="198"/>
      <c r="S89" s="198"/>
      <c r="T89" s="198"/>
      <c r="U89" s="198"/>
    </row>
    <row r="90" spans="1:26" s="12" customFormat="1" x14ac:dyDescent="0.25">
      <c r="A90" s="211" t="s">
        <v>806</v>
      </c>
      <c r="B90" s="64">
        <v>5.4</v>
      </c>
      <c r="C90" s="64">
        <v>16.96</v>
      </c>
      <c r="D90" s="64">
        <v>24.18</v>
      </c>
      <c r="E90" s="64">
        <v>4.78</v>
      </c>
      <c r="F90" s="64">
        <v>3.85</v>
      </c>
      <c r="G90" s="64">
        <v>65.010000000000005</v>
      </c>
      <c r="H90" s="64">
        <v>7300.99</v>
      </c>
      <c r="I90" s="64">
        <v>3.9</v>
      </c>
      <c r="J90" s="64">
        <v>0.12</v>
      </c>
      <c r="K90" s="64">
        <v>330.53</v>
      </c>
      <c r="L90" s="64">
        <v>28.06</v>
      </c>
      <c r="M90" s="64">
        <v>77.680000000000007</v>
      </c>
      <c r="N90" s="64">
        <v>45.6</v>
      </c>
      <c r="O90" s="64">
        <v>0</v>
      </c>
      <c r="P90" s="64">
        <v>0.35</v>
      </c>
      <c r="Q90" s="64">
        <v>9.1999999999999993</v>
      </c>
      <c r="R90" s="198"/>
      <c r="S90" s="198"/>
      <c r="T90" s="198"/>
      <c r="U90" s="198"/>
    </row>
    <row r="91" spans="1:26" s="12" customFormat="1" x14ac:dyDescent="0.25">
      <c r="A91" s="211" t="s">
        <v>807</v>
      </c>
      <c r="B91" s="64">
        <v>4.84</v>
      </c>
      <c r="C91" s="64">
        <v>16.149999999999999</v>
      </c>
      <c r="D91" s="64">
        <v>23.47</v>
      </c>
      <c r="E91" s="64">
        <v>4.71</v>
      </c>
      <c r="F91" s="64">
        <v>5.51</v>
      </c>
      <c r="G91" s="64">
        <v>65.010000000000005</v>
      </c>
      <c r="H91" s="64">
        <v>7300.99</v>
      </c>
      <c r="I91" s="64">
        <v>3.96</v>
      </c>
      <c r="J91" s="64">
        <v>0.06</v>
      </c>
      <c r="K91" s="64">
        <v>205.58</v>
      </c>
      <c r="L91" s="64">
        <v>27.61</v>
      </c>
      <c r="M91" s="64">
        <v>78.83</v>
      </c>
      <c r="N91" s="64">
        <v>46.1</v>
      </c>
      <c r="O91" s="64">
        <v>0</v>
      </c>
      <c r="P91" s="64">
        <v>0.34</v>
      </c>
      <c r="Q91" s="64">
        <v>9.18</v>
      </c>
      <c r="R91" s="198"/>
      <c r="S91" s="198"/>
      <c r="T91" s="198"/>
      <c r="U91" s="198"/>
    </row>
    <row r="92" spans="1:26" s="12" customFormat="1" x14ac:dyDescent="0.25">
      <c r="A92" s="211" t="s">
        <v>808</v>
      </c>
      <c r="B92" s="64">
        <v>4.7</v>
      </c>
      <c r="C92" s="64">
        <v>15.53</v>
      </c>
      <c r="D92" s="64">
        <v>22.52</v>
      </c>
      <c r="E92" s="64">
        <v>4.5599999999999996</v>
      </c>
      <c r="F92" s="64">
        <v>5.65</v>
      </c>
      <c r="G92" s="64">
        <v>64.55</v>
      </c>
      <c r="H92" s="64">
        <v>5354.06</v>
      </c>
      <c r="I92" s="64">
        <v>4.0199999999999996</v>
      </c>
      <c r="J92" s="64">
        <v>0.18</v>
      </c>
      <c r="K92" s="64">
        <v>349.58</v>
      </c>
      <c r="L92" s="64">
        <v>26.98</v>
      </c>
      <c r="M92" s="64">
        <v>82.08</v>
      </c>
      <c r="N92" s="64">
        <v>45.9</v>
      </c>
      <c r="O92" s="64">
        <v>0</v>
      </c>
      <c r="P92" s="64">
        <v>0.32</v>
      </c>
      <c r="Q92" s="64">
        <v>9.16</v>
      </c>
      <c r="R92" s="198"/>
      <c r="S92" s="198"/>
      <c r="T92" s="198"/>
      <c r="U92" s="198"/>
    </row>
    <row r="93" spans="1:26" s="12" customFormat="1" x14ac:dyDescent="0.25">
      <c r="A93" s="211" t="s">
        <v>809</v>
      </c>
      <c r="B93" s="64">
        <v>4.99</v>
      </c>
      <c r="C93" s="64">
        <v>15.82</v>
      </c>
      <c r="D93" s="64">
        <v>22.63</v>
      </c>
      <c r="E93" s="64">
        <v>4.6399999999999997</v>
      </c>
      <c r="F93" s="64">
        <v>4.7</v>
      </c>
      <c r="G93" s="64">
        <v>63.27</v>
      </c>
      <c r="H93" s="64">
        <v>0</v>
      </c>
      <c r="I93" s="64">
        <v>4.03</v>
      </c>
      <c r="J93" s="64">
        <v>0.23</v>
      </c>
      <c r="K93" s="64">
        <v>338.43</v>
      </c>
      <c r="L93" s="64">
        <v>26.97</v>
      </c>
      <c r="M93" s="64">
        <v>82.87</v>
      </c>
      <c r="N93" s="64">
        <v>45.4</v>
      </c>
      <c r="O93" s="64">
        <v>0</v>
      </c>
      <c r="P93" s="64">
        <v>0.36</v>
      </c>
      <c r="Q93" s="64">
        <v>9.14</v>
      </c>
      <c r="R93" s="198"/>
      <c r="S93" s="198"/>
      <c r="T93" s="198"/>
      <c r="U93" s="198"/>
    </row>
    <row r="94" spans="1:26" s="12" customFormat="1" x14ac:dyDescent="0.25">
      <c r="A94" s="211" t="s">
        <v>810</v>
      </c>
      <c r="B94" s="64">
        <v>5.31</v>
      </c>
      <c r="C94" s="64">
        <v>16.72</v>
      </c>
      <c r="D94" s="64">
        <v>23.85</v>
      </c>
      <c r="E94" s="64">
        <v>4.8899999999999997</v>
      </c>
      <c r="F94" s="64">
        <v>4.2300000000000004</v>
      </c>
      <c r="G94" s="64">
        <v>63.27</v>
      </c>
      <c r="H94" s="64">
        <v>0</v>
      </c>
      <c r="I94" s="64">
        <v>4.12</v>
      </c>
      <c r="J94" s="64">
        <v>0.24</v>
      </c>
      <c r="K94" s="64">
        <v>336.34</v>
      </c>
      <c r="L94" s="64">
        <v>26.63</v>
      </c>
      <c r="M94" s="64">
        <v>80.739999999999995</v>
      </c>
      <c r="N94" s="64">
        <v>45.7</v>
      </c>
      <c r="O94" s="64">
        <v>0</v>
      </c>
      <c r="P94" s="64">
        <v>0.33</v>
      </c>
      <c r="Q94" s="64">
        <v>9.16</v>
      </c>
      <c r="R94" s="198"/>
      <c r="S94" s="198"/>
      <c r="T94" s="198"/>
      <c r="U94" s="198"/>
    </row>
    <row r="95" spans="1:26" s="12" customFormat="1" x14ac:dyDescent="0.25">
      <c r="A95" s="211" t="s">
        <v>811</v>
      </c>
      <c r="B95" s="64">
        <v>5.99</v>
      </c>
      <c r="C95" s="64">
        <v>17.3</v>
      </c>
      <c r="D95" s="64">
        <v>23.92</v>
      </c>
      <c r="E95" s="64">
        <v>4.83</v>
      </c>
      <c r="F95" s="64">
        <v>4.55</v>
      </c>
      <c r="G95" s="64">
        <v>63.27</v>
      </c>
      <c r="H95" s="64">
        <v>0</v>
      </c>
      <c r="I95" s="64">
        <v>4</v>
      </c>
      <c r="J95" s="64">
        <v>0.18</v>
      </c>
      <c r="K95" s="64">
        <v>335.39</v>
      </c>
      <c r="L95" s="64">
        <v>26.49</v>
      </c>
      <c r="M95" s="64">
        <v>80.319999999999993</v>
      </c>
      <c r="N95" s="64">
        <v>45.6</v>
      </c>
      <c r="O95" s="64">
        <v>0</v>
      </c>
      <c r="P95" s="64">
        <v>0.35</v>
      </c>
      <c r="Q95" s="64">
        <v>9.16</v>
      </c>
      <c r="R95" s="198"/>
      <c r="S95" s="198"/>
      <c r="T95" s="198"/>
      <c r="U95" s="198"/>
    </row>
    <row r="96" spans="1:26" s="12" customFormat="1" x14ac:dyDescent="0.25">
      <c r="A96" s="211" t="s">
        <v>812</v>
      </c>
      <c r="B96" s="64">
        <v>6.57</v>
      </c>
      <c r="C96" s="64">
        <v>17.98</v>
      </c>
      <c r="D96" s="64">
        <v>24.33</v>
      </c>
      <c r="E96" s="64">
        <v>5.01</v>
      </c>
      <c r="F96" s="64">
        <v>6</v>
      </c>
      <c r="G96" s="64">
        <v>60.77</v>
      </c>
      <c r="H96" s="64">
        <v>458.71</v>
      </c>
      <c r="I96" s="64">
        <v>4.04</v>
      </c>
      <c r="J96" s="64">
        <v>0.2</v>
      </c>
      <c r="K96" s="64">
        <v>320.41000000000003</v>
      </c>
      <c r="L96" s="64">
        <v>26.45</v>
      </c>
      <c r="M96" s="64">
        <v>80.069999999999993</v>
      </c>
      <c r="N96" s="64">
        <v>45.4</v>
      </c>
      <c r="O96" s="64">
        <v>0</v>
      </c>
      <c r="P96" s="64">
        <v>0.34</v>
      </c>
      <c r="Q96" s="64">
        <v>9.17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813</v>
      </c>
      <c r="B97" s="64">
        <v>6.46</v>
      </c>
      <c r="C97" s="64">
        <v>18.489999999999998</v>
      </c>
      <c r="D97" s="64">
        <v>25.48</v>
      </c>
      <c r="E97" s="64">
        <v>4.45</v>
      </c>
      <c r="F97" s="64">
        <v>5.95</v>
      </c>
      <c r="G97" s="64">
        <v>53.88</v>
      </c>
      <c r="H97" s="64">
        <v>1720.17</v>
      </c>
      <c r="I97" s="64">
        <v>3.96</v>
      </c>
      <c r="J97" s="64">
        <v>0.12</v>
      </c>
      <c r="K97" s="64">
        <v>334.48</v>
      </c>
      <c r="L97" s="64">
        <v>26.43</v>
      </c>
      <c r="M97" s="64">
        <v>80.37</v>
      </c>
      <c r="N97" s="64">
        <v>45.4</v>
      </c>
      <c r="O97" s="64">
        <v>0</v>
      </c>
      <c r="P97" s="64">
        <v>0.34</v>
      </c>
      <c r="Q97" s="64">
        <v>9.18</v>
      </c>
      <c r="R97" s="198"/>
      <c r="S97" s="198"/>
      <c r="T97" s="198"/>
      <c r="U97" s="198"/>
    </row>
    <row r="98" spans="1:33" s="12" customFormat="1" x14ac:dyDescent="0.25">
      <c r="A98" s="211" t="s">
        <v>814</v>
      </c>
      <c r="B98" s="64">
        <v>5.65</v>
      </c>
      <c r="C98" s="64">
        <v>17.64</v>
      </c>
      <c r="D98" s="64">
        <v>25.1</v>
      </c>
      <c r="E98" s="64">
        <v>4.7300000000000004</v>
      </c>
      <c r="F98" s="64">
        <v>6.91</v>
      </c>
      <c r="G98" s="64">
        <v>53.88</v>
      </c>
      <c r="H98" s="64">
        <v>1720.17</v>
      </c>
      <c r="I98" s="64">
        <v>4.07</v>
      </c>
      <c r="J98" s="64">
        <v>0.13</v>
      </c>
      <c r="K98" s="64">
        <v>330.4</v>
      </c>
      <c r="L98" s="64">
        <v>26.21</v>
      </c>
      <c r="M98" s="64">
        <v>81.489999999999995</v>
      </c>
      <c r="N98" s="64">
        <v>45.5</v>
      </c>
      <c r="O98" s="64">
        <v>0</v>
      </c>
      <c r="P98" s="64">
        <v>0.31</v>
      </c>
      <c r="Q98" s="64">
        <v>9.18</v>
      </c>
      <c r="R98" s="198"/>
      <c r="S98" s="198"/>
      <c r="T98" s="198"/>
      <c r="U98" s="198"/>
    </row>
    <row r="99" spans="1:33" s="12" customFormat="1" x14ac:dyDescent="0.25">
      <c r="A99" s="211" t="s">
        <v>815</v>
      </c>
      <c r="B99" s="64">
        <v>6.07</v>
      </c>
      <c r="C99" s="64">
        <v>18.05</v>
      </c>
      <c r="D99" s="64">
        <v>25.24</v>
      </c>
      <c r="E99" s="64">
        <v>4.9000000000000004</v>
      </c>
      <c r="F99" s="64">
        <v>7.08</v>
      </c>
      <c r="G99" s="64">
        <v>53.88</v>
      </c>
      <c r="H99" s="64">
        <v>1720.17</v>
      </c>
      <c r="I99" s="64">
        <v>4.07</v>
      </c>
      <c r="J99" s="64">
        <v>0.11</v>
      </c>
      <c r="K99" s="64">
        <v>335.91</v>
      </c>
      <c r="L99" s="64">
        <v>26.13</v>
      </c>
      <c r="M99" s="64">
        <v>82.24</v>
      </c>
      <c r="N99" s="64">
        <v>45.4</v>
      </c>
      <c r="O99" s="64">
        <v>0</v>
      </c>
      <c r="P99" s="64">
        <v>0.28999999999999998</v>
      </c>
      <c r="Q99" s="64">
        <v>9.19</v>
      </c>
      <c r="R99" s="198"/>
      <c r="S99" s="198"/>
      <c r="T99" s="198"/>
      <c r="U99" s="198"/>
    </row>
    <row r="100" spans="1:33" s="12" customFormat="1" x14ac:dyDescent="0.25">
      <c r="A100" s="211" t="s">
        <v>816</v>
      </c>
      <c r="B100" s="64">
        <v>8.33</v>
      </c>
      <c r="C100" s="64">
        <v>18.760000000000002</v>
      </c>
      <c r="D100" s="64">
        <v>23.13</v>
      </c>
      <c r="E100" s="64">
        <v>4.45</v>
      </c>
      <c r="F100" s="64">
        <v>6.34</v>
      </c>
      <c r="G100" s="64">
        <v>52.82</v>
      </c>
      <c r="H100" s="64">
        <v>1267.8399999999999</v>
      </c>
      <c r="I100" s="64">
        <v>4.04</v>
      </c>
      <c r="J100" s="64">
        <v>0.1</v>
      </c>
      <c r="K100" s="64">
        <v>344.82</v>
      </c>
      <c r="L100" s="64">
        <v>26.11</v>
      </c>
      <c r="M100" s="64">
        <v>82.69</v>
      </c>
      <c r="N100" s="64">
        <v>45.4</v>
      </c>
      <c r="O100" s="64">
        <v>0</v>
      </c>
      <c r="P100" s="64">
        <v>0.28000000000000003</v>
      </c>
      <c r="Q100" s="64">
        <v>9.1999999999999993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817</v>
      </c>
      <c r="B101" s="64">
        <v>7.35</v>
      </c>
      <c r="C101" s="64">
        <v>19.059999999999999</v>
      </c>
      <c r="D101" s="64">
        <v>25.21</v>
      </c>
      <c r="E101" s="64">
        <v>4.99</v>
      </c>
      <c r="F101" s="64">
        <v>7.18</v>
      </c>
      <c r="G101" s="64">
        <v>49.89</v>
      </c>
      <c r="H101" s="64">
        <v>23.91</v>
      </c>
      <c r="I101" s="64">
        <v>3.92</v>
      </c>
      <c r="J101" s="64">
        <v>0.1</v>
      </c>
      <c r="K101" s="64">
        <v>315.88</v>
      </c>
      <c r="L101" s="64">
        <v>25.97</v>
      </c>
      <c r="M101" s="64">
        <v>84.12</v>
      </c>
      <c r="N101" s="64">
        <v>45.5</v>
      </c>
      <c r="O101" s="64">
        <v>0</v>
      </c>
      <c r="P101" s="64">
        <v>0.28000000000000003</v>
      </c>
      <c r="Q101" s="64">
        <v>9.2100000000000009</v>
      </c>
      <c r="R101" s="198"/>
      <c r="S101" s="198"/>
      <c r="T101" s="198"/>
      <c r="U101" s="198"/>
    </row>
    <row r="102" spans="1:33" s="12" customFormat="1" x14ac:dyDescent="0.25">
      <c r="A102" s="211" t="s">
        <v>818</v>
      </c>
      <c r="B102" s="64">
        <v>7.04</v>
      </c>
      <c r="C102" s="64">
        <v>18.57</v>
      </c>
      <c r="D102" s="64">
        <v>24.73</v>
      </c>
      <c r="E102" s="64">
        <v>4.84</v>
      </c>
      <c r="F102" s="64">
        <v>7.01</v>
      </c>
      <c r="G102" s="64">
        <v>49.89</v>
      </c>
      <c r="H102" s="64">
        <v>23.91</v>
      </c>
      <c r="I102" s="64">
        <v>3.91</v>
      </c>
      <c r="J102" s="64">
        <v>0.12</v>
      </c>
      <c r="K102" s="64">
        <v>322.7</v>
      </c>
      <c r="L102" s="64">
        <v>25.93</v>
      </c>
      <c r="M102" s="64">
        <v>84.72</v>
      </c>
      <c r="N102" s="64">
        <v>45.5</v>
      </c>
      <c r="O102" s="64">
        <v>0</v>
      </c>
      <c r="P102" s="64">
        <v>0.26</v>
      </c>
      <c r="Q102" s="64">
        <v>9.2100000000000009</v>
      </c>
      <c r="R102" s="198"/>
      <c r="S102" s="198"/>
      <c r="T102" s="198"/>
      <c r="U102" s="198"/>
    </row>
    <row r="103" spans="1:33" s="12" customFormat="1" x14ac:dyDescent="0.25">
      <c r="A103" s="211" t="s">
        <v>819</v>
      </c>
      <c r="B103" s="64">
        <v>7.39</v>
      </c>
      <c r="C103" s="64">
        <v>18.5</v>
      </c>
      <c r="D103" s="64">
        <v>24.06</v>
      </c>
      <c r="E103" s="64">
        <v>5.62</v>
      </c>
      <c r="F103" s="64">
        <v>6.59</v>
      </c>
      <c r="G103" s="64">
        <v>49.89</v>
      </c>
      <c r="H103" s="64">
        <v>23.91</v>
      </c>
      <c r="I103" s="64">
        <v>4.01</v>
      </c>
      <c r="J103" s="64">
        <v>0.1</v>
      </c>
      <c r="K103" s="64">
        <v>318.60000000000002</v>
      </c>
      <c r="L103" s="64">
        <v>25.97</v>
      </c>
      <c r="M103" s="64">
        <v>83.98</v>
      </c>
      <c r="N103" s="64">
        <v>45.3</v>
      </c>
      <c r="O103" s="64">
        <v>0</v>
      </c>
      <c r="P103" s="64">
        <v>0.26</v>
      </c>
      <c r="Q103" s="64">
        <v>9.2200000000000006</v>
      </c>
      <c r="R103" s="198"/>
      <c r="S103" s="198"/>
      <c r="T103" s="198"/>
      <c r="U103" s="198"/>
    </row>
    <row r="104" spans="1:33" s="12" customFormat="1" x14ac:dyDescent="0.25">
      <c r="A104" s="211" t="s">
        <v>820</v>
      </c>
      <c r="B104" s="64">
        <v>6.23</v>
      </c>
      <c r="C104" s="64">
        <v>16.059999999999999</v>
      </c>
      <c r="D104" s="64">
        <v>21.19</v>
      </c>
      <c r="E104" s="64">
        <v>5.54</v>
      </c>
      <c r="F104" s="64">
        <v>5.2</v>
      </c>
      <c r="G104" s="64">
        <v>49.42</v>
      </c>
      <c r="H104" s="64">
        <v>117.51</v>
      </c>
      <c r="I104" s="64">
        <v>4.04</v>
      </c>
      <c r="J104" s="64">
        <v>0.14000000000000001</v>
      </c>
      <c r="K104" s="64">
        <v>311.11</v>
      </c>
      <c r="L104" s="64">
        <v>25.8</v>
      </c>
      <c r="M104" s="64">
        <v>84.57</v>
      </c>
      <c r="N104" s="64">
        <v>45.6</v>
      </c>
      <c r="O104" s="64">
        <v>0</v>
      </c>
      <c r="P104" s="64">
        <v>0.27</v>
      </c>
      <c r="Q104" s="64">
        <v>9.2200000000000006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3.95</v>
      </c>
      <c r="C106" s="67">
        <f>MIN(C9:C104)</f>
        <v>13.16</v>
      </c>
      <c r="D106" s="67">
        <f t="shared" ref="D106:Q106" si="0">MIN(D9:D104)</f>
        <v>16.239999999999998</v>
      </c>
      <c r="E106" s="67">
        <f t="shared" si="0"/>
        <v>3.35</v>
      </c>
      <c r="F106" s="67">
        <f t="shared" si="0"/>
        <v>3.22</v>
      </c>
      <c r="G106" s="67">
        <f t="shared" si="0"/>
        <v>19.97</v>
      </c>
      <c r="H106" s="67">
        <f t="shared" si="0"/>
        <v>0</v>
      </c>
      <c r="I106" s="67">
        <f t="shared" si="0"/>
        <v>3.68</v>
      </c>
      <c r="J106" s="67">
        <f t="shared" si="0"/>
        <v>0.01</v>
      </c>
      <c r="K106" s="67">
        <f t="shared" si="0"/>
        <v>3.79</v>
      </c>
      <c r="L106" s="67">
        <f t="shared" si="0"/>
        <v>25.04</v>
      </c>
      <c r="M106" s="67">
        <f t="shared" si="0"/>
        <v>65.5</v>
      </c>
      <c r="N106" s="67">
        <f t="shared" si="0"/>
        <v>44.9</v>
      </c>
      <c r="O106" s="67">
        <f t="shared" si="0"/>
        <v>0</v>
      </c>
      <c r="P106" s="67">
        <f t="shared" si="0"/>
        <v>0.17</v>
      </c>
      <c r="Q106" s="67">
        <f t="shared" si="0"/>
        <v>9.1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9.75</v>
      </c>
      <c r="C107" s="66">
        <f t="shared" ref="C107:Q107" si="1">MAX(C9:C104)</f>
        <v>22.11</v>
      </c>
      <c r="D107" s="66">
        <f t="shared" si="1"/>
        <v>31.49</v>
      </c>
      <c r="E107" s="66">
        <f t="shared" si="1"/>
        <v>5.62</v>
      </c>
      <c r="F107" s="66">
        <f t="shared" si="1"/>
        <v>15.62</v>
      </c>
      <c r="G107" s="66">
        <f t="shared" si="1"/>
        <v>67.53</v>
      </c>
      <c r="H107" s="66">
        <f t="shared" si="1"/>
        <v>7300.99</v>
      </c>
      <c r="I107" s="66">
        <f t="shared" si="1"/>
        <v>4.2</v>
      </c>
      <c r="J107" s="66">
        <f t="shared" si="1"/>
        <v>0.44</v>
      </c>
      <c r="K107" s="66">
        <f t="shared" si="1"/>
        <v>358.37</v>
      </c>
      <c r="L107" s="66">
        <f t="shared" si="1"/>
        <v>31.05</v>
      </c>
      <c r="M107" s="66">
        <f t="shared" si="1"/>
        <v>97.75</v>
      </c>
      <c r="N107" s="66">
        <f t="shared" si="1"/>
        <v>651.70000000000005</v>
      </c>
      <c r="O107" s="66">
        <f t="shared" si="1"/>
        <v>0</v>
      </c>
      <c r="P107" s="66">
        <f t="shared" si="1"/>
        <v>0.56000000000000005</v>
      </c>
      <c r="Q107" s="66">
        <f t="shared" si="1"/>
        <v>9.41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5.8584375000000009</v>
      </c>
      <c r="C108" s="67">
        <f t="shared" ref="C108:Q108" si="2">AVERAGE(C9:C104)</f>
        <v>16.647083333333331</v>
      </c>
      <c r="D108" s="67">
        <f t="shared" si="2"/>
        <v>22.871354166666666</v>
      </c>
      <c r="E108" s="67">
        <f t="shared" si="2"/>
        <v>4.4276041666666659</v>
      </c>
      <c r="F108" s="67">
        <f t="shared" si="2"/>
        <v>6.160208333333336</v>
      </c>
      <c r="G108" s="67">
        <f t="shared" si="2"/>
        <v>46.568437500000037</v>
      </c>
      <c r="H108" s="67">
        <f t="shared" si="2"/>
        <v>775.20968750000009</v>
      </c>
      <c r="I108" s="67">
        <f t="shared" si="2"/>
        <v>4.0086458333333326</v>
      </c>
      <c r="J108" s="67">
        <f t="shared" si="2"/>
        <v>0.20072916666666671</v>
      </c>
      <c r="K108" s="67">
        <f t="shared" si="2"/>
        <v>270.79552083333328</v>
      </c>
      <c r="L108" s="67">
        <f t="shared" si="2"/>
        <v>27.595729166666668</v>
      </c>
      <c r="M108" s="67">
        <f t="shared" si="2"/>
        <v>81.816354166666613</v>
      </c>
      <c r="N108" s="67">
        <f t="shared" si="2"/>
        <v>161.13020833333334</v>
      </c>
      <c r="O108" s="67">
        <f t="shared" si="2"/>
        <v>0</v>
      </c>
      <c r="P108" s="67">
        <f t="shared" si="2"/>
        <v>0.31124999999999997</v>
      </c>
      <c r="Q108" s="67">
        <f t="shared" si="2"/>
        <v>9.1978124999999977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1.2893060786615724</v>
      </c>
      <c r="C109" s="67">
        <f t="shared" ref="C109:Q109" si="3">STDEV(C9:C104)</f>
        <v>1.8211690384658632</v>
      </c>
      <c r="D109" s="67">
        <f t="shared" si="3"/>
        <v>3.3930503648647767</v>
      </c>
      <c r="E109" s="67">
        <f t="shared" si="3"/>
        <v>0.56036594207276402</v>
      </c>
      <c r="F109" s="67">
        <f t="shared" si="3"/>
        <v>2.3657521243856183</v>
      </c>
      <c r="G109" s="67">
        <f t="shared" si="3"/>
        <v>14.597543364201131</v>
      </c>
      <c r="H109" s="67">
        <f t="shared" si="3"/>
        <v>1671.2207418162157</v>
      </c>
      <c r="I109" s="67">
        <f t="shared" si="3"/>
        <v>9.2333717302387389E-2</v>
      </c>
      <c r="J109" s="67">
        <f t="shared" si="3"/>
        <v>0.10078893832023074</v>
      </c>
      <c r="K109" s="67">
        <f t="shared" si="3"/>
        <v>77.322339413376866</v>
      </c>
      <c r="L109" s="67">
        <f t="shared" si="3"/>
        <v>1.9871999580428774</v>
      </c>
      <c r="M109" s="67">
        <f t="shared" si="3"/>
        <v>10.732247238044842</v>
      </c>
      <c r="N109" s="67">
        <f t="shared" si="3"/>
        <v>146.36820270147959</v>
      </c>
      <c r="O109" s="67">
        <f t="shared" si="3"/>
        <v>0</v>
      </c>
      <c r="P109" s="67">
        <f t="shared" si="3"/>
        <v>8.8380159716867523E-2</v>
      </c>
      <c r="Q109" s="67">
        <f t="shared" si="3"/>
        <v>7.8085016084022935E-2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100</v>
      </c>
      <c r="H110" s="66">
        <f>COUNT(H9:H104)+4</f>
        <v>100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7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R78" sqref="R77:R7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917</v>
      </c>
      <c r="B9" s="64">
        <v>8.83</v>
      </c>
      <c r="C9" s="64">
        <v>17.22</v>
      </c>
      <c r="D9" s="64">
        <v>19.399999999999999</v>
      </c>
      <c r="E9" s="64">
        <v>3.46</v>
      </c>
      <c r="F9" s="64">
        <v>5.69</v>
      </c>
      <c r="G9" s="64">
        <v>60.91</v>
      </c>
      <c r="H9" s="64">
        <v>0</v>
      </c>
      <c r="I9" s="64">
        <v>3.9</v>
      </c>
      <c r="J9" s="64">
        <v>0.1</v>
      </c>
      <c r="K9" s="64">
        <v>121.88</v>
      </c>
      <c r="L9" s="64">
        <v>26.51</v>
      </c>
      <c r="M9" s="64">
        <v>84.97</v>
      </c>
      <c r="N9" s="64">
        <v>53.6</v>
      </c>
      <c r="O9" s="64">
        <v>0</v>
      </c>
      <c r="P9" s="64">
        <v>0.24</v>
      </c>
      <c r="Q9" s="64">
        <v>9.32</v>
      </c>
      <c r="R9" s="198"/>
      <c r="S9" s="198"/>
      <c r="T9" s="198"/>
      <c r="U9" s="198"/>
    </row>
    <row r="10" spans="1:21" s="12" customFormat="1" x14ac:dyDescent="0.25">
      <c r="A10" s="211" t="s">
        <v>918</v>
      </c>
      <c r="B10" s="64">
        <v>8.1</v>
      </c>
      <c r="C10" s="64">
        <v>16.309999999999999</v>
      </c>
      <c r="D10" s="64">
        <v>18.79</v>
      </c>
      <c r="E10" s="64">
        <v>3.67</v>
      </c>
      <c r="F10" s="64">
        <v>5.92</v>
      </c>
      <c r="G10" s="64">
        <v>60.91</v>
      </c>
      <c r="H10" s="64">
        <v>0</v>
      </c>
      <c r="I10" s="64">
        <v>3.81</v>
      </c>
      <c r="J10" s="64">
        <v>0.03</v>
      </c>
      <c r="K10" s="64">
        <v>294.24</v>
      </c>
      <c r="L10" s="64">
        <v>26.48</v>
      </c>
      <c r="M10" s="64">
        <v>85.46</v>
      </c>
      <c r="N10" s="64">
        <v>53.6</v>
      </c>
      <c r="O10" s="64">
        <v>0</v>
      </c>
      <c r="P10" s="64">
        <v>0.24</v>
      </c>
      <c r="Q10" s="64">
        <v>9.31</v>
      </c>
      <c r="R10" s="198"/>
      <c r="S10" s="198"/>
      <c r="T10" s="198"/>
      <c r="U10" s="198"/>
    </row>
    <row r="11" spans="1:21" s="12" customFormat="1" x14ac:dyDescent="0.25">
      <c r="A11" s="211" t="s">
        <v>919</v>
      </c>
      <c r="B11" s="64">
        <v>6.6</v>
      </c>
      <c r="C11" s="64">
        <v>14.86</v>
      </c>
      <c r="D11" s="64">
        <v>18.3</v>
      </c>
      <c r="E11" s="64">
        <v>3.74</v>
      </c>
      <c r="F11" s="64">
        <v>9.24</v>
      </c>
      <c r="G11" s="64">
        <v>60.91</v>
      </c>
      <c r="H11" s="64">
        <v>0</v>
      </c>
      <c r="I11" s="64">
        <v>4.18</v>
      </c>
      <c r="J11" s="64">
        <v>0.06</v>
      </c>
      <c r="K11" s="64">
        <v>313.51</v>
      </c>
      <c r="L11" s="64">
        <v>26.47</v>
      </c>
      <c r="M11" s="64">
        <v>85.42</v>
      </c>
      <c r="N11" s="64">
        <v>53.6</v>
      </c>
      <c r="O11" s="64">
        <v>0</v>
      </c>
      <c r="P11" s="64">
        <v>0.2</v>
      </c>
      <c r="Q11" s="64">
        <v>9.31</v>
      </c>
      <c r="R11" s="198"/>
      <c r="S11" s="198"/>
      <c r="T11" s="198"/>
      <c r="U11" s="198"/>
    </row>
    <row r="12" spans="1:21" s="12" customFormat="1" x14ac:dyDescent="0.25">
      <c r="A12" s="211" t="s">
        <v>920</v>
      </c>
      <c r="B12" s="64">
        <v>6.38</v>
      </c>
      <c r="C12" s="64">
        <v>14.52</v>
      </c>
      <c r="D12" s="64">
        <v>17.989999999999998</v>
      </c>
      <c r="E12" s="64">
        <v>3.6</v>
      </c>
      <c r="F12" s="64">
        <v>9.11</v>
      </c>
      <c r="G12" s="64">
        <v>59.81</v>
      </c>
      <c r="H12" s="64">
        <v>28.83</v>
      </c>
      <c r="I12" s="64">
        <v>4.1100000000000003</v>
      </c>
      <c r="J12" s="64">
        <v>0.05</v>
      </c>
      <c r="K12" s="64">
        <v>298.54000000000002</v>
      </c>
      <c r="L12" s="64">
        <v>26.46</v>
      </c>
      <c r="M12" s="64">
        <v>85.85</v>
      </c>
      <c r="N12" s="64">
        <v>53.5</v>
      </c>
      <c r="O12" s="64">
        <v>0</v>
      </c>
      <c r="P12" s="64">
        <v>0.19</v>
      </c>
      <c r="Q12" s="64">
        <v>9.33</v>
      </c>
      <c r="R12" s="198"/>
      <c r="S12" s="198"/>
      <c r="T12" s="198"/>
      <c r="U12" s="198"/>
    </row>
    <row r="13" spans="1:21" s="12" customFormat="1" x14ac:dyDescent="0.25">
      <c r="A13" s="211" t="s">
        <v>921</v>
      </c>
      <c r="B13" s="64">
        <v>6.76</v>
      </c>
      <c r="C13" s="64">
        <v>14.38</v>
      </c>
      <c r="D13" s="64">
        <v>17.149999999999999</v>
      </c>
      <c r="E13" s="64">
        <v>3.5</v>
      </c>
      <c r="F13" s="64">
        <v>9.52</v>
      </c>
      <c r="G13" s="64">
        <v>56.79</v>
      </c>
      <c r="H13" s="64">
        <v>108.1</v>
      </c>
      <c r="I13" s="64">
        <v>4.01</v>
      </c>
      <c r="J13" s="64">
        <v>0.1</v>
      </c>
      <c r="K13" s="64">
        <v>178.09</v>
      </c>
      <c r="L13" s="64">
        <v>26.37</v>
      </c>
      <c r="M13" s="64">
        <v>86.66</v>
      </c>
      <c r="N13" s="64">
        <v>53.6</v>
      </c>
      <c r="O13" s="64">
        <v>0</v>
      </c>
      <c r="P13" s="64">
        <v>0.16</v>
      </c>
      <c r="Q13" s="64">
        <v>9.32</v>
      </c>
      <c r="R13" s="198"/>
      <c r="S13" s="198"/>
      <c r="T13" s="198"/>
      <c r="U13" s="198"/>
    </row>
    <row r="14" spans="1:21" s="12" customFormat="1" x14ac:dyDescent="0.25">
      <c r="A14" s="211" t="s">
        <v>922</v>
      </c>
      <c r="B14" s="64">
        <v>6.58</v>
      </c>
      <c r="C14" s="64">
        <v>14.25</v>
      </c>
      <c r="D14" s="64">
        <v>17.18</v>
      </c>
      <c r="E14" s="64">
        <v>3.6</v>
      </c>
      <c r="F14" s="64">
        <v>8.8000000000000007</v>
      </c>
      <c r="G14" s="64">
        <v>56.79</v>
      </c>
      <c r="H14" s="64">
        <v>108.1</v>
      </c>
      <c r="I14" s="64">
        <v>4.04</v>
      </c>
      <c r="J14" s="64">
        <v>0.05</v>
      </c>
      <c r="K14" s="64">
        <v>227.13</v>
      </c>
      <c r="L14" s="64">
        <v>26.16</v>
      </c>
      <c r="M14" s="64">
        <v>88.4</v>
      </c>
      <c r="N14" s="64">
        <v>53.8</v>
      </c>
      <c r="O14" s="64">
        <v>0</v>
      </c>
      <c r="P14" s="64">
        <v>0.19</v>
      </c>
      <c r="Q14" s="64">
        <v>9.33</v>
      </c>
      <c r="R14" s="198"/>
      <c r="S14" s="198"/>
      <c r="T14" s="198"/>
      <c r="U14" s="198"/>
    </row>
    <row r="15" spans="1:21" s="12" customFormat="1" x14ac:dyDescent="0.25">
      <c r="A15" s="211" t="s">
        <v>923</v>
      </c>
      <c r="B15" s="64">
        <v>6.35</v>
      </c>
      <c r="C15" s="64">
        <v>13.86</v>
      </c>
      <c r="D15" s="64">
        <v>16.78</v>
      </c>
      <c r="E15" s="64">
        <v>3.45</v>
      </c>
      <c r="F15" s="64">
        <v>9.3699999999999992</v>
      </c>
      <c r="G15" s="64">
        <v>56.79</v>
      </c>
      <c r="H15" s="64">
        <v>108.1</v>
      </c>
      <c r="I15" s="64">
        <v>4</v>
      </c>
      <c r="J15" s="64">
        <v>0.02</v>
      </c>
      <c r="K15" s="64">
        <v>173.65</v>
      </c>
      <c r="L15" s="64">
        <v>26.12</v>
      </c>
      <c r="M15" s="64">
        <v>88.77</v>
      </c>
      <c r="N15" s="64">
        <v>53.6</v>
      </c>
      <c r="O15" s="64">
        <v>0</v>
      </c>
      <c r="P15" s="64">
        <v>0.18</v>
      </c>
      <c r="Q15" s="64">
        <v>9.34</v>
      </c>
      <c r="R15" s="198"/>
      <c r="S15" s="198"/>
      <c r="T15" s="198"/>
      <c r="U15" s="198"/>
    </row>
    <row r="16" spans="1:21" s="12" customFormat="1" x14ac:dyDescent="0.25">
      <c r="A16" s="211" t="s">
        <v>924</v>
      </c>
      <c r="B16" s="64">
        <v>6.36</v>
      </c>
      <c r="C16" s="64">
        <v>13.46</v>
      </c>
      <c r="D16" s="64">
        <v>16</v>
      </c>
      <c r="E16" s="64">
        <v>3.65</v>
      </c>
      <c r="F16" s="64">
        <v>8.6</v>
      </c>
      <c r="G16" s="64">
        <v>54.7</v>
      </c>
      <c r="H16" s="64">
        <v>109.08</v>
      </c>
      <c r="I16" s="64">
        <v>3.99</v>
      </c>
      <c r="J16" s="64">
        <v>0.02</v>
      </c>
      <c r="K16" s="64">
        <v>284.26</v>
      </c>
      <c r="L16" s="64">
        <v>26.18</v>
      </c>
      <c r="M16" s="64">
        <v>88.44</v>
      </c>
      <c r="N16" s="64">
        <v>53.5</v>
      </c>
      <c r="O16" s="64">
        <v>0</v>
      </c>
      <c r="P16" s="64">
        <v>0.18</v>
      </c>
      <c r="Q16" s="64">
        <v>9.34</v>
      </c>
      <c r="R16" s="198"/>
      <c r="S16" s="198"/>
      <c r="T16" s="198"/>
      <c r="U16" s="198"/>
    </row>
    <row r="17" spans="1:21" s="12" customFormat="1" x14ac:dyDescent="0.25">
      <c r="A17" s="211" t="s">
        <v>925</v>
      </c>
      <c r="B17" s="64">
        <v>6.2</v>
      </c>
      <c r="C17" s="64">
        <v>13.71</v>
      </c>
      <c r="D17" s="64">
        <v>16.73</v>
      </c>
      <c r="E17" s="64">
        <v>3.89</v>
      </c>
      <c r="F17" s="64">
        <v>9.7899999999999991</v>
      </c>
      <c r="G17" s="64">
        <v>48.96</v>
      </c>
      <c r="H17" s="64">
        <v>111.79</v>
      </c>
      <c r="I17" s="64">
        <v>4.03</v>
      </c>
      <c r="J17" s="64">
        <v>0.09</v>
      </c>
      <c r="K17" s="64">
        <v>219.89</v>
      </c>
      <c r="L17" s="64">
        <v>26.26</v>
      </c>
      <c r="M17" s="64">
        <v>87.93</v>
      </c>
      <c r="N17" s="64">
        <v>53.7</v>
      </c>
      <c r="O17" s="64">
        <v>0</v>
      </c>
      <c r="P17" s="64">
        <v>0.18</v>
      </c>
      <c r="Q17" s="64">
        <v>9.34</v>
      </c>
      <c r="R17" s="198"/>
      <c r="S17" s="198"/>
      <c r="T17" s="198"/>
      <c r="U17" s="198"/>
    </row>
    <row r="18" spans="1:21" s="12" customFormat="1" x14ac:dyDescent="0.25">
      <c r="A18" s="211" t="s">
        <v>926</v>
      </c>
      <c r="B18" s="64">
        <v>6.96</v>
      </c>
      <c r="C18" s="64">
        <v>14.37</v>
      </c>
      <c r="D18" s="64">
        <v>16.829999999999998</v>
      </c>
      <c r="E18" s="64">
        <v>3.9</v>
      </c>
      <c r="F18" s="64">
        <v>7.01</v>
      </c>
      <c r="G18" s="64">
        <v>48.96</v>
      </c>
      <c r="H18" s="64">
        <v>111.79</v>
      </c>
      <c r="I18" s="64">
        <v>3.88</v>
      </c>
      <c r="J18" s="64">
        <v>7.0000000000000007E-2</v>
      </c>
      <c r="K18" s="64">
        <v>179.44</v>
      </c>
      <c r="L18" s="64">
        <v>26.17</v>
      </c>
      <c r="M18" s="64">
        <v>88.57</v>
      </c>
      <c r="N18" s="64">
        <v>53.9</v>
      </c>
      <c r="O18" s="64">
        <v>0</v>
      </c>
      <c r="P18" s="64">
        <v>0.19</v>
      </c>
      <c r="Q18" s="64">
        <v>9.34</v>
      </c>
      <c r="R18" s="198"/>
      <c r="S18" s="198"/>
      <c r="T18" s="198"/>
      <c r="U18" s="198"/>
    </row>
    <row r="19" spans="1:21" s="12" customFormat="1" x14ac:dyDescent="0.25">
      <c r="A19" s="211" t="s">
        <v>927</v>
      </c>
      <c r="B19" s="64">
        <v>9.75</v>
      </c>
      <c r="C19" s="64">
        <v>17.2</v>
      </c>
      <c r="D19" s="64">
        <v>17.96</v>
      </c>
      <c r="E19" s="64">
        <v>3.97</v>
      </c>
      <c r="F19" s="64">
        <v>4.8499999999999996</v>
      </c>
      <c r="G19" s="64">
        <v>48.96</v>
      </c>
      <c r="H19" s="64">
        <v>111.79</v>
      </c>
      <c r="I19" s="64">
        <v>4.01</v>
      </c>
      <c r="J19" s="64">
        <v>7.0000000000000007E-2</v>
      </c>
      <c r="K19" s="64">
        <v>241.02</v>
      </c>
      <c r="L19" s="64">
        <v>26.15</v>
      </c>
      <c r="M19" s="64">
        <v>88.75</v>
      </c>
      <c r="N19" s="64">
        <v>53.6</v>
      </c>
      <c r="O19" s="64">
        <v>0</v>
      </c>
      <c r="P19" s="64">
        <v>0.22</v>
      </c>
      <c r="Q19" s="64">
        <v>9.32</v>
      </c>
      <c r="R19" s="198"/>
      <c r="S19" s="198"/>
      <c r="T19" s="198"/>
      <c r="U19" s="198"/>
    </row>
    <row r="20" spans="1:21" s="12" customFormat="1" x14ac:dyDescent="0.25">
      <c r="A20" s="211" t="s">
        <v>928</v>
      </c>
      <c r="B20" s="64">
        <v>10.029999999999999</v>
      </c>
      <c r="C20" s="64">
        <v>17.309999999999999</v>
      </c>
      <c r="D20" s="64">
        <v>17.75</v>
      </c>
      <c r="E20" s="64">
        <v>3.72</v>
      </c>
      <c r="F20" s="64">
        <v>4.34</v>
      </c>
      <c r="G20" s="64">
        <v>48.49</v>
      </c>
      <c r="H20" s="64">
        <v>81.98</v>
      </c>
      <c r="I20" s="64">
        <v>3.95</v>
      </c>
      <c r="J20" s="64">
        <v>0.12</v>
      </c>
      <c r="K20" s="64">
        <v>306.02999999999997</v>
      </c>
      <c r="L20" s="64">
        <v>26.31</v>
      </c>
      <c r="M20" s="64">
        <v>86.88</v>
      </c>
      <c r="N20" s="64">
        <v>53.6</v>
      </c>
      <c r="O20" s="64">
        <v>0</v>
      </c>
      <c r="P20" s="64">
        <v>0.21</v>
      </c>
      <c r="Q20" s="64">
        <v>9.31</v>
      </c>
      <c r="R20" s="198"/>
      <c r="S20" s="198"/>
      <c r="T20" s="198"/>
      <c r="U20" s="198"/>
    </row>
    <row r="21" spans="1:21" s="12" customFormat="1" x14ac:dyDescent="0.25">
      <c r="A21" s="211" t="s">
        <v>929</v>
      </c>
      <c r="B21" s="64">
        <v>9.93</v>
      </c>
      <c r="C21" s="64">
        <v>17.510000000000002</v>
      </c>
      <c r="D21" s="64">
        <v>18.28</v>
      </c>
      <c r="E21" s="64">
        <v>3.69</v>
      </c>
      <c r="F21" s="64">
        <v>4.16</v>
      </c>
      <c r="G21" s="64">
        <v>47.18</v>
      </c>
      <c r="H21" s="64">
        <v>0</v>
      </c>
      <c r="I21" s="64">
        <v>3.93</v>
      </c>
      <c r="J21" s="64">
        <v>0.14000000000000001</v>
      </c>
      <c r="K21" s="64">
        <v>290.86</v>
      </c>
      <c r="L21" s="64">
        <v>26.4</v>
      </c>
      <c r="M21" s="64">
        <v>85.57</v>
      </c>
      <c r="N21" s="64">
        <v>53.7</v>
      </c>
      <c r="O21" s="64">
        <v>0</v>
      </c>
      <c r="P21" s="64">
        <v>0.21</v>
      </c>
      <c r="Q21" s="64">
        <v>9.2899999999999991</v>
      </c>
      <c r="R21" s="198"/>
      <c r="S21" s="198"/>
      <c r="T21" s="198"/>
      <c r="U21" s="198"/>
    </row>
    <row r="22" spans="1:21" s="12" customFormat="1" x14ac:dyDescent="0.25">
      <c r="A22" s="211" t="s">
        <v>930</v>
      </c>
      <c r="B22" s="64">
        <v>9.1999999999999993</v>
      </c>
      <c r="C22" s="64">
        <v>16.670000000000002</v>
      </c>
      <c r="D22" s="64">
        <v>17.79</v>
      </c>
      <c r="E22" s="64">
        <v>3.55</v>
      </c>
      <c r="F22" s="64">
        <v>5.97</v>
      </c>
      <c r="G22" s="64">
        <v>47.18</v>
      </c>
      <c r="H22" s="64">
        <v>0</v>
      </c>
      <c r="I22" s="64">
        <v>4</v>
      </c>
      <c r="J22" s="64">
        <v>0.12</v>
      </c>
      <c r="K22" s="64">
        <v>301.35000000000002</v>
      </c>
      <c r="L22" s="64">
        <v>26.46</v>
      </c>
      <c r="M22" s="64">
        <v>84.78</v>
      </c>
      <c r="N22" s="64">
        <v>53.9</v>
      </c>
      <c r="O22" s="64">
        <v>0</v>
      </c>
      <c r="P22" s="64">
        <v>0.19</v>
      </c>
      <c r="Q22" s="64">
        <v>9.27</v>
      </c>
      <c r="R22" s="198"/>
      <c r="S22" s="198"/>
      <c r="T22" s="198"/>
      <c r="U22" s="198"/>
    </row>
    <row r="23" spans="1:21" s="12" customFormat="1" x14ac:dyDescent="0.25">
      <c r="A23" s="211" t="s">
        <v>931</v>
      </c>
      <c r="B23" s="64">
        <v>9.4</v>
      </c>
      <c r="C23" s="64">
        <v>17.09</v>
      </c>
      <c r="D23" s="64">
        <v>18.28</v>
      </c>
      <c r="E23" s="64">
        <v>3.72</v>
      </c>
      <c r="F23" s="64">
        <v>4.57</v>
      </c>
      <c r="G23" s="64">
        <v>47.18</v>
      </c>
      <c r="H23" s="64">
        <v>0</v>
      </c>
      <c r="I23" s="64">
        <v>4.0199999999999996</v>
      </c>
      <c r="J23" s="64">
        <v>0.16</v>
      </c>
      <c r="K23" s="64">
        <v>294.02</v>
      </c>
      <c r="L23" s="64">
        <v>26.45</v>
      </c>
      <c r="M23" s="64">
        <v>84.37</v>
      </c>
      <c r="N23" s="64">
        <v>53.9</v>
      </c>
      <c r="O23" s="64">
        <v>0</v>
      </c>
      <c r="P23" s="64">
        <v>0.21</v>
      </c>
      <c r="Q23" s="64">
        <v>9.25</v>
      </c>
      <c r="R23" s="198"/>
      <c r="S23" s="198"/>
      <c r="T23" s="198"/>
      <c r="U23" s="198"/>
    </row>
    <row r="24" spans="1:21" s="12" customFormat="1" x14ac:dyDescent="0.25">
      <c r="A24" s="211" t="s">
        <v>932</v>
      </c>
      <c r="B24" s="64">
        <v>8.9600000000000009</v>
      </c>
      <c r="C24" s="64">
        <v>16.739999999999998</v>
      </c>
      <c r="D24" s="64">
        <v>18.3</v>
      </c>
      <c r="E24" s="64">
        <v>3.73</v>
      </c>
      <c r="F24" s="64">
        <v>4.41</v>
      </c>
      <c r="G24" s="64">
        <v>42.87</v>
      </c>
      <c r="H24" s="64">
        <v>381.58</v>
      </c>
      <c r="I24" s="64">
        <v>3.93</v>
      </c>
      <c r="J24" s="64">
        <v>0.17</v>
      </c>
      <c r="K24" s="64">
        <v>301.55</v>
      </c>
      <c r="L24" s="64">
        <v>26.45</v>
      </c>
      <c r="M24" s="64">
        <v>84.33</v>
      </c>
      <c r="N24" s="64">
        <v>53.9</v>
      </c>
      <c r="O24" s="64">
        <v>0</v>
      </c>
      <c r="P24" s="64">
        <v>0.19</v>
      </c>
      <c r="Q24" s="64">
        <v>9.23</v>
      </c>
      <c r="R24" s="198"/>
      <c r="S24" s="198"/>
      <c r="T24" s="198"/>
      <c r="U24" s="198"/>
    </row>
    <row r="25" spans="1:21" s="12" customFormat="1" x14ac:dyDescent="0.25">
      <c r="A25" s="211" t="s">
        <v>933</v>
      </c>
      <c r="B25" s="64">
        <v>8.57</v>
      </c>
      <c r="C25" s="64">
        <v>16.64</v>
      </c>
      <c r="D25" s="64">
        <v>18.690000000000001</v>
      </c>
      <c r="E25" s="64">
        <v>3.81</v>
      </c>
      <c r="F25" s="64">
        <v>4.37</v>
      </c>
      <c r="G25" s="64">
        <v>31.02</v>
      </c>
      <c r="H25" s="64">
        <v>1430.92</v>
      </c>
      <c r="I25" s="64">
        <v>4.04</v>
      </c>
      <c r="J25" s="64">
        <v>0.16</v>
      </c>
      <c r="K25" s="64">
        <v>296.27</v>
      </c>
      <c r="L25" s="64">
        <v>26.4</v>
      </c>
      <c r="M25" s="64">
        <v>84.74</v>
      </c>
      <c r="N25" s="64">
        <v>54.2</v>
      </c>
      <c r="O25" s="64">
        <v>0</v>
      </c>
      <c r="P25" s="64">
        <v>0.2</v>
      </c>
      <c r="Q25" s="64">
        <v>9.1999999999999993</v>
      </c>
      <c r="R25" s="198"/>
      <c r="S25" s="198"/>
      <c r="T25" s="198"/>
      <c r="U25" s="198"/>
    </row>
    <row r="26" spans="1:21" s="12" customFormat="1" x14ac:dyDescent="0.25">
      <c r="A26" s="211" t="s">
        <v>934</v>
      </c>
      <c r="B26" s="64">
        <v>7.75</v>
      </c>
      <c r="C26" s="64">
        <v>16.12</v>
      </c>
      <c r="D26" s="64">
        <v>18.96</v>
      </c>
      <c r="E26" s="64">
        <v>3.8</v>
      </c>
      <c r="F26" s="64">
        <v>4.2300000000000004</v>
      </c>
      <c r="G26" s="64">
        <v>31.02</v>
      </c>
      <c r="H26" s="64">
        <v>1430.92</v>
      </c>
      <c r="I26" s="64">
        <v>4.0599999999999996</v>
      </c>
      <c r="J26" s="64">
        <v>0.12</v>
      </c>
      <c r="K26" s="64">
        <v>309.06</v>
      </c>
      <c r="L26" s="64">
        <v>26.35</v>
      </c>
      <c r="M26" s="64">
        <v>85.46</v>
      </c>
      <c r="N26" s="64">
        <v>54.3</v>
      </c>
      <c r="O26" s="64">
        <v>0</v>
      </c>
      <c r="P26" s="64">
        <v>0.18</v>
      </c>
      <c r="Q26" s="64">
        <v>9.19</v>
      </c>
      <c r="R26" s="198"/>
      <c r="S26" s="198"/>
      <c r="T26" s="198"/>
      <c r="U26" s="198"/>
    </row>
    <row r="27" spans="1:21" s="12" customFormat="1" x14ac:dyDescent="0.25">
      <c r="A27" s="211" t="s">
        <v>935</v>
      </c>
      <c r="B27" s="64">
        <v>7.48</v>
      </c>
      <c r="C27" s="64">
        <v>15.81</v>
      </c>
      <c r="D27" s="64">
        <v>18.78</v>
      </c>
      <c r="E27" s="64">
        <v>3.43</v>
      </c>
      <c r="F27" s="64">
        <v>3.98</v>
      </c>
      <c r="G27" s="64">
        <v>31.02</v>
      </c>
      <c r="H27" s="64">
        <v>1430.92</v>
      </c>
      <c r="I27" s="64">
        <v>4.01</v>
      </c>
      <c r="J27" s="64">
        <v>0.14000000000000001</v>
      </c>
      <c r="K27" s="64">
        <v>313.95</v>
      </c>
      <c r="L27" s="64">
        <v>26.3</v>
      </c>
      <c r="M27" s="64">
        <v>86.03</v>
      </c>
      <c r="N27" s="64">
        <v>54.2</v>
      </c>
      <c r="O27" s="64">
        <v>0</v>
      </c>
      <c r="P27" s="64">
        <v>0.19</v>
      </c>
      <c r="Q27" s="64">
        <v>9.18</v>
      </c>
      <c r="R27" s="198"/>
      <c r="S27" s="198"/>
      <c r="T27" s="198"/>
      <c r="U27" s="198"/>
    </row>
    <row r="28" spans="1:21" s="12" customFormat="1" x14ac:dyDescent="0.25">
      <c r="A28" s="211" t="s">
        <v>936</v>
      </c>
      <c r="B28" s="64">
        <v>6.98</v>
      </c>
      <c r="C28" s="64">
        <v>15.19</v>
      </c>
      <c r="D28" s="64">
        <v>18.350000000000001</v>
      </c>
      <c r="E28" s="64">
        <v>3.56</v>
      </c>
      <c r="F28" s="64">
        <v>5.68</v>
      </c>
      <c r="G28" s="64">
        <v>30.48</v>
      </c>
      <c r="H28" s="64">
        <v>1106.8</v>
      </c>
      <c r="I28" s="64">
        <v>4.0199999999999996</v>
      </c>
      <c r="J28" s="64">
        <v>0.11</v>
      </c>
      <c r="K28" s="64">
        <v>269.17</v>
      </c>
      <c r="L28" s="64">
        <v>26.23</v>
      </c>
      <c r="M28" s="64">
        <v>86.64</v>
      </c>
      <c r="N28" s="64">
        <v>54.2</v>
      </c>
      <c r="O28" s="64">
        <v>0</v>
      </c>
      <c r="P28" s="64">
        <v>0.17</v>
      </c>
      <c r="Q28" s="64">
        <v>9.18</v>
      </c>
      <c r="R28" s="198"/>
      <c r="S28" s="198"/>
      <c r="T28" s="198"/>
      <c r="U28" s="198"/>
    </row>
    <row r="29" spans="1:21" s="12" customFormat="1" x14ac:dyDescent="0.25">
      <c r="A29" s="211" t="s">
        <v>937</v>
      </c>
      <c r="B29" s="64">
        <v>6.04</v>
      </c>
      <c r="C29" s="64">
        <v>14.8</v>
      </c>
      <c r="D29" s="64">
        <v>19.05</v>
      </c>
      <c r="E29" s="64">
        <v>3.55</v>
      </c>
      <c r="F29" s="64">
        <v>8.0399999999999991</v>
      </c>
      <c r="G29" s="64">
        <v>28.97</v>
      </c>
      <c r="H29" s="64">
        <v>215.49</v>
      </c>
      <c r="I29" s="64">
        <v>3.89</v>
      </c>
      <c r="J29" s="64">
        <v>0.12</v>
      </c>
      <c r="K29" s="64">
        <v>267.94</v>
      </c>
      <c r="L29" s="64">
        <v>26.01</v>
      </c>
      <c r="M29" s="64">
        <v>90.73</v>
      </c>
      <c r="N29" s="64">
        <v>53.3</v>
      </c>
      <c r="O29" s="64">
        <v>0</v>
      </c>
      <c r="P29" s="64">
        <v>0.18</v>
      </c>
      <c r="Q29" s="64">
        <v>9.17</v>
      </c>
      <c r="R29" s="198"/>
      <c r="S29" s="198"/>
      <c r="T29" s="198"/>
      <c r="U29" s="198"/>
    </row>
    <row r="30" spans="1:21" s="12" customFormat="1" x14ac:dyDescent="0.25">
      <c r="A30" s="211" t="s">
        <v>938</v>
      </c>
      <c r="B30" s="64">
        <v>5.39</v>
      </c>
      <c r="C30" s="64">
        <v>13.75</v>
      </c>
      <c r="D30" s="64">
        <v>18.04</v>
      </c>
      <c r="E30" s="64">
        <v>3.64</v>
      </c>
      <c r="F30" s="64">
        <v>8.85</v>
      </c>
      <c r="G30" s="64">
        <v>28.97</v>
      </c>
      <c r="H30" s="64">
        <v>215.49</v>
      </c>
      <c r="I30" s="64">
        <v>4.0199999999999996</v>
      </c>
      <c r="J30" s="64">
        <v>0.08</v>
      </c>
      <c r="K30" s="64">
        <v>226.59</v>
      </c>
      <c r="L30" s="64">
        <v>25.69</v>
      </c>
      <c r="M30" s="64">
        <v>94.41</v>
      </c>
      <c r="N30" s="64">
        <v>53.6</v>
      </c>
      <c r="O30" s="64">
        <v>0</v>
      </c>
      <c r="P30" s="64">
        <v>0.17</v>
      </c>
      <c r="Q30" s="64">
        <v>9.19</v>
      </c>
      <c r="R30" s="198"/>
      <c r="S30" s="198"/>
      <c r="T30" s="198"/>
      <c r="U30" s="198"/>
    </row>
    <row r="31" spans="1:21" s="12" customFormat="1" x14ac:dyDescent="0.25">
      <c r="A31" s="211" t="s">
        <v>939</v>
      </c>
      <c r="B31" s="64">
        <v>5.68</v>
      </c>
      <c r="C31" s="64">
        <v>14.02</v>
      </c>
      <c r="D31" s="64">
        <v>18.12</v>
      </c>
      <c r="E31" s="64">
        <v>3.72</v>
      </c>
      <c r="F31" s="64">
        <v>8.64</v>
      </c>
      <c r="G31" s="64">
        <v>28.97</v>
      </c>
      <c r="H31" s="64">
        <v>215.49</v>
      </c>
      <c r="I31" s="64">
        <v>3.85</v>
      </c>
      <c r="J31" s="64">
        <v>0.11</v>
      </c>
      <c r="K31" s="64">
        <v>188.8</v>
      </c>
      <c r="L31" s="64">
        <v>25.4</v>
      </c>
      <c r="M31" s="64">
        <v>97.26</v>
      </c>
      <c r="N31" s="64">
        <v>57.1</v>
      </c>
      <c r="O31" s="64">
        <v>0</v>
      </c>
      <c r="P31" s="64">
        <v>0.18</v>
      </c>
      <c r="Q31" s="64">
        <v>9.1999999999999993</v>
      </c>
      <c r="R31" s="198"/>
      <c r="S31" s="198"/>
      <c r="T31" s="198"/>
      <c r="U31" s="198"/>
    </row>
    <row r="32" spans="1:21" s="12" customFormat="1" x14ac:dyDescent="0.25">
      <c r="A32" s="211" t="s">
        <v>940</v>
      </c>
      <c r="B32" s="64">
        <v>5.69</v>
      </c>
      <c r="C32" s="64">
        <v>14.2</v>
      </c>
      <c r="D32" s="64">
        <v>18.45</v>
      </c>
      <c r="E32" s="64">
        <v>3.8</v>
      </c>
      <c r="F32" s="64">
        <v>7.84</v>
      </c>
      <c r="G32" s="64">
        <v>28.72</v>
      </c>
      <c r="H32" s="64">
        <v>160.6</v>
      </c>
      <c r="I32" s="64">
        <v>3.95</v>
      </c>
      <c r="J32" s="64">
        <v>0.12</v>
      </c>
      <c r="K32" s="64">
        <v>193.21</v>
      </c>
      <c r="L32" s="64">
        <v>24.97</v>
      </c>
      <c r="M32" s="64">
        <v>100.88</v>
      </c>
      <c r="N32" s="64">
        <v>61.2</v>
      </c>
      <c r="O32" s="64">
        <v>0</v>
      </c>
      <c r="P32" s="64">
        <v>0.18</v>
      </c>
      <c r="Q32" s="64">
        <v>9.2100000000000009</v>
      </c>
      <c r="R32" s="198"/>
      <c r="S32" s="198"/>
      <c r="T32" s="198"/>
      <c r="U32" s="198"/>
    </row>
    <row r="33" spans="1:21" s="12" customFormat="1" x14ac:dyDescent="0.25">
      <c r="A33" s="211" t="s">
        <v>941</v>
      </c>
      <c r="B33" s="64">
        <v>6.08</v>
      </c>
      <c r="C33" s="64">
        <v>14.75</v>
      </c>
      <c r="D33" s="64">
        <v>18.899999999999999</v>
      </c>
      <c r="E33" s="64">
        <v>3.32</v>
      </c>
      <c r="F33" s="64">
        <v>8.34</v>
      </c>
      <c r="G33" s="64">
        <v>28.04</v>
      </c>
      <c r="H33" s="64">
        <v>9.65</v>
      </c>
      <c r="I33" s="64">
        <v>4.13</v>
      </c>
      <c r="J33" s="64">
        <v>0.11</v>
      </c>
      <c r="K33" s="64">
        <v>210.82</v>
      </c>
      <c r="L33" s="64">
        <v>24.98</v>
      </c>
      <c r="M33" s="64">
        <v>100.6</v>
      </c>
      <c r="N33" s="64">
        <v>67.8</v>
      </c>
      <c r="O33" s="64">
        <v>0</v>
      </c>
      <c r="P33" s="64">
        <v>0.19</v>
      </c>
      <c r="Q33" s="64">
        <v>9.23</v>
      </c>
      <c r="R33" s="198"/>
      <c r="S33" s="198"/>
      <c r="T33" s="198"/>
      <c r="U33" s="198"/>
    </row>
    <row r="34" spans="1:21" s="12" customFormat="1" x14ac:dyDescent="0.25">
      <c r="A34" s="211" t="s">
        <v>942</v>
      </c>
      <c r="B34" s="64">
        <v>9.9499999999999993</v>
      </c>
      <c r="C34" s="64">
        <v>20.27</v>
      </c>
      <c r="D34" s="64">
        <v>23.52</v>
      </c>
      <c r="E34" s="64">
        <v>3.86</v>
      </c>
      <c r="F34" s="64">
        <v>8.4700000000000006</v>
      </c>
      <c r="G34" s="64">
        <v>28.04</v>
      </c>
      <c r="H34" s="64">
        <v>9.65</v>
      </c>
      <c r="I34" s="64">
        <v>3.99</v>
      </c>
      <c r="J34" s="64">
        <v>0.06</v>
      </c>
      <c r="K34" s="64">
        <v>199.32</v>
      </c>
      <c r="L34" s="64">
        <v>25.23</v>
      </c>
      <c r="M34" s="64">
        <v>99.79</v>
      </c>
      <c r="N34" s="64">
        <v>77.599999999999994</v>
      </c>
      <c r="O34" s="64">
        <v>0</v>
      </c>
      <c r="P34" s="64">
        <v>0.25</v>
      </c>
      <c r="Q34" s="64">
        <v>9.24</v>
      </c>
      <c r="R34" s="198"/>
      <c r="S34" s="198"/>
      <c r="T34" s="198"/>
      <c r="U34" s="198"/>
    </row>
    <row r="35" spans="1:21" s="12" customFormat="1" x14ac:dyDescent="0.25">
      <c r="A35" s="211" t="s">
        <v>943</v>
      </c>
      <c r="B35" s="64">
        <v>9.01</v>
      </c>
      <c r="C35" s="64">
        <v>18.38</v>
      </c>
      <c r="D35" s="64">
        <v>21.35</v>
      </c>
      <c r="E35" s="64">
        <v>3.95</v>
      </c>
      <c r="F35" s="64">
        <v>6.62</v>
      </c>
      <c r="G35" s="64">
        <v>28.04</v>
      </c>
      <c r="H35" s="64">
        <v>9.65</v>
      </c>
      <c r="I35" s="64">
        <v>4.01</v>
      </c>
      <c r="J35" s="64">
        <v>0.1</v>
      </c>
      <c r="K35" s="64">
        <v>267.83999999999997</v>
      </c>
      <c r="L35" s="64">
        <v>25.5</v>
      </c>
      <c r="M35" s="64">
        <v>96.08</v>
      </c>
      <c r="N35" s="64">
        <v>85.6</v>
      </c>
      <c r="O35" s="64">
        <v>0</v>
      </c>
      <c r="P35" s="64">
        <v>0.22</v>
      </c>
      <c r="Q35" s="64">
        <v>9.25</v>
      </c>
      <c r="R35" s="198"/>
      <c r="S35" s="198"/>
      <c r="T35" s="198"/>
      <c r="U35" s="198"/>
    </row>
    <row r="36" spans="1:21" s="12" customFormat="1" x14ac:dyDescent="0.25">
      <c r="A36" s="211" t="s">
        <v>944</v>
      </c>
      <c r="B36" s="64">
        <v>9.59</v>
      </c>
      <c r="C36" s="64">
        <v>17.5</v>
      </c>
      <c r="D36" s="64">
        <v>18.78</v>
      </c>
      <c r="E36" s="64">
        <v>3.77</v>
      </c>
      <c r="F36" s="64">
        <v>4.07</v>
      </c>
      <c r="G36" s="64">
        <v>29.06</v>
      </c>
      <c r="H36" s="64">
        <v>18.27</v>
      </c>
      <c r="I36" s="64">
        <v>3.98</v>
      </c>
      <c r="J36" s="64">
        <v>0.13</v>
      </c>
      <c r="K36" s="64">
        <v>300.02</v>
      </c>
      <c r="L36" s="64">
        <v>25.85</v>
      </c>
      <c r="M36" s="64">
        <v>93.18</v>
      </c>
      <c r="N36" s="64">
        <v>98.5</v>
      </c>
      <c r="O36" s="64">
        <v>0</v>
      </c>
      <c r="P36" s="64">
        <v>0.2</v>
      </c>
      <c r="Q36" s="64">
        <v>9.26</v>
      </c>
      <c r="R36" s="198"/>
      <c r="S36" s="198"/>
      <c r="T36" s="198"/>
      <c r="U36" s="198"/>
    </row>
    <row r="37" spans="1:21" s="12" customFormat="1" x14ac:dyDescent="0.25">
      <c r="A37" s="211" t="s">
        <v>945</v>
      </c>
      <c r="B37" s="64">
        <v>9.6999999999999993</v>
      </c>
      <c r="C37" s="64">
        <v>17.489999999999998</v>
      </c>
      <c r="D37" s="64">
        <v>18.59</v>
      </c>
      <c r="E37" s="64">
        <v>4.2300000000000004</v>
      </c>
      <c r="F37" s="64">
        <v>4.03</v>
      </c>
      <c r="G37" s="64">
        <v>31.87</v>
      </c>
      <c r="H37" s="64">
        <v>41.96</v>
      </c>
      <c r="I37" s="64">
        <v>3.97</v>
      </c>
      <c r="J37" s="64">
        <v>7.0000000000000007E-2</v>
      </c>
      <c r="K37" s="64">
        <v>281.89999999999998</v>
      </c>
      <c r="L37" s="64">
        <v>25.84</v>
      </c>
      <c r="M37" s="64">
        <v>95.32</v>
      </c>
      <c r="N37" s="64">
        <v>110.8</v>
      </c>
      <c r="O37" s="64">
        <v>0</v>
      </c>
      <c r="P37" s="64">
        <v>0.19</v>
      </c>
      <c r="Q37" s="64">
        <v>9.26</v>
      </c>
      <c r="R37" s="198"/>
      <c r="S37" s="198"/>
      <c r="T37" s="198"/>
      <c r="U37" s="198"/>
    </row>
    <row r="38" spans="1:21" s="12" customFormat="1" x14ac:dyDescent="0.25">
      <c r="A38" s="211" t="s">
        <v>946</v>
      </c>
      <c r="B38" s="64">
        <v>9.59</v>
      </c>
      <c r="C38" s="64">
        <v>17.96</v>
      </c>
      <c r="D38" s="64">
        <v>19.649999999999999</v>
      </c>
      <c r="E38" s="64">
        <v>4.1399999999999997</v>
      </c>
      <c r="F38" s="64">
        <v>4.71</v>
      </c>
      <c r="G38" s="64">
        <v>31.87</v>
      </c>
      <c r="H38" s="64">
        <v>41.96</v>
      </c>
      <c r="I38" s="64">
        <v>4.04</v>
      </c>
      <c r="J38" s="64">
        <v>7.0000000000000007E-2</v>
      </c>
      <c r="K38" s="64">
        <v>250.04</v>
      </c>
      <c r="L38" s="64">
        <v>25.88</v>
      </c>
      <c r="M38" s="64">
        <v>95.87</v>
      </c>
      <c r="N38" s="64">
        <v>118.1</v>
      </c>
      <c r="O38" s="64">
        <v>0</v>
      </c>
      <c r="P38" s="64">
        <v>0.21</v>
      </c>
      <c r="Q38" s="64">
        <v>9.25</v>
      </c>
      <c r="R38" s="198"/>
      <c r="S38" s="198"/>
      <c r="T38" s="198"/>
      <c r="U38" s="198"/>
    </row>
    <row r="39" spans="1:21" s="12" customFormat="1" x14ac:dyDescent="0.25">
      <c r="A39" s="211" t="s">
        <v>947</v>
      </c>
      <c r="B39" s="64">
        <v>9.69</v>
      </c>
      <c r="C39" s="64">
        <v>17.61</v>
      </c>
      <c r="D39" s="64">
        <v>18.829999999999998</v>
      </c>
      <c r="E39" s="64">
        <v>3.85</v>
      </c>
      <c r="F39" s="64">
        <v>4.37</v>
      </c>
      <c r="G39" s="64">
        <v>31.87</v>
      </c>
      <c r="H39" s="64">
        <v>41.96</v>
      </c>
      <c r="I39" s="64">
        <v>4.1399999999999997</v>
      </c>
      <c r="J39" s="64">
        <v>0.05</v>
      </c>
      <c r="K39" s="64">
        <v>231.85</v>
      </c>
      <c r="L39" s="64">
        <v>26.05</v>
      </c>
      <c r="M39" s="64">
        <v>94.1</v>
      </c>
      <c r="N39" s="64">
        <v>130.19999999999999</v>
      </c>
      <c r="O39" s="64">
        <v>0</v>
      </c>
      <c r="P39" s="64">
        <v>0.22</v>
      </c>
      <c r="Q39" s="64">
        <v>9.25</v>
      </c>
      <c r="R39" s="198"/>
      <c r="S39" s="198"/>
      <c r="T39" s="198"/>
      <c r="U39" s="198"/>
    </row>
    <row r="40" spans="1:21" s="12" customFormat="1" x14ac:dyDescent="0.25">
      <c r="A40" s="211" t="s">
        <v>948</v>
      </c>
      <c r="B40" s="64">
        <v>9.36</v>
      </c>
      <c r="C40" s="64">
        <v>17.23</v>
      </c>
      <c r="D40" s="64">
        <v>18.61</v>
      </c>
      <c r="E40" s="64">
        <v>3.92</v>
      </c>
      <c r="F40" s="64">
        <v>4.7</v>
      </c>
      <c r="G40" s="64">
        <v>31.46</v>
      </c>
      <c r="H40" s="64">
        <v>35.17</v>
      </c>
      <c r="I40" s="64">
        <v>4.08</v>
      </c>
      <c r="J40" s="64">
        <v>0.09</v>
      </c>
      <c r="K40" s="64">
        <v>211.86</v>
      </c>
      <c r="L40" s="64">
        <v>26.22</v>
      </c>
      <c r="M40" s="64">
        <v>92.63</v>
      </c>
      <c r="N40" s="64">
        <v>144.4</v>
      </c>
      <c r="O40" s="64">
        <v>0</v>
      </c>
      <c r="P40" s="64">
        <v>0.21</v>
      </c>
      <c r="Q40" s="64">
        <v>9.26</v>
      </c>
      <c r="R40" s="198"/>
      <c r="S40" s="198"/>
      <c r="T40" s="198"/>
      <c r="U40" s="198"/>
    </row>
    <row r="41" spans="1:21" s="12" customFormat="1" x14ac:dyDescent="0.25">
      <c r="A41" s="211" t="s">
        <v>949</v>
      </c>
      <c r="B41" s="64">
        <v>9.9499999999999993</v>
      </c>
      <c r="C41" s="64">
        <v>17.53</v>
      </c>
      <c r="D41" s="64">
        <v>18.28</v>
      </c>
      <c r="E41" s="64">
        <v>4.2699999999999996</v>
      </c>
      <c r="F41" s="64">
        <v>4.54</v>
      </c>
      <c r="G41" s="64">
        <v>30.34</v>
      </c>
      <c r="H41" s="64">
        <v>16.510000000000002</v>
      </c>
      <c r="I41" s="64">
        <v>4.01</v>
      </c>
      <c r="J41" s="64">
        <v>0.08</v>
      </c>
      <c r="K41" s="64">
        <v>243.58</v>
      </c>
      <c r="L41" s="64">
        <v>26.46</v>
      </c>
      <c r="M41" s="64">
        <v>91.15</v>
      </c>
      <c r="N41" s="64">
        <v>148.1</v>
      </c>
      <c r="O41" s="64">
        <v>0</v>
      </c>
      <c r="P41" s="64">
        <v>0.23</v>
      </c>
      <c r="Q41" s="64">
        <v>9.26</v>
      </c>
      <c r="R41" s="198"/>
      <c r="S41" s="198"/>
      <c r="T41" s="198"/>
      <c r="U41" s="198"/>
    </row>
    <row r="42" spans="1:21" s="12" customFormat="1" x14ac:dyDescent="0.25">
      <c r="A42" s="211" t="s">
        <v>950</v>
      </c>
      <c r="B42" s="64">
        <v>9.7899999999999991</v>
      </c>
      <c r="C42" s="64">
        <v>17.760000000000002</v>
      </c>
      <c r="D42" s="64">
        <v>18.97</v>
      </c>
      <c r="E42" s="64">
        <v>4.29</v>
      </c>
      <c r="F42" s="64">
        <v>4.08</v>
      </c>
      <c r="G42" s="64">
        <v>30.34</v>
      </c>
      <c r="H42" s="64">
        <v>16.510000000000002</v>
      </c>
      <c r="I42" s="64">
        <v>3.97</v>
      </c>
      <c r="J42" s="64">
        <v>0.14000000000000001</v>
      </c>
      <c r="K42" s="64">
        <v>260.88</v>
      </c>
      <c r="L42" s="64">
        <v>26.65</v>
      </c>
      <c r="M42" s="64">
        <v>89.4</v>
      </c>
      <c r="N42" s="64">
        <v>157.1</v>
      </c>
      <c r="O42" s="64">
        <v>0</v>
      </c>
      <c r="P42" s="64">
        <v>0.22</v>
      </c>
      <c r="Q42" s="64">
        <v>9.26</v>
      </c>
      <c r="R42" s="198"/>
      <c r="S42" s="198"/>
      <c r="T42" s="198"/>
      <c r="U42" s="198"/>
    </row>
    <row r="43" spans="1:21" s="12" customFormat="1" x14ac:dyDescent="0.25">
      <c r="A43" s="211" t="s">
        <v>951</v>
      </c>
      <c r="B43" s="64">
        <v>10.18</v>
      </c>
      <c r="C43" s="64">
        <v>17.96</v>
      </c>
      <c r="D43" s="64">
        <v>18.739999999999998</v>
      </c>
      <c r="E43" s="64">
        <v>4.26</v>
      </c>
      <c r="F43" s="64">
        <v>4.21</v>
      </c>
      <c r="G43" s="64">
        <v>30.34</v>
      </c>
      <c r="H43" s="64">
        <v>16.510000000000002</v>
      </c>
      <c r="I43" s="64">
        <v>3.89</v>
      </c>
      <c r="J43" s="64">
        <v>0.13</v>
      </c>
      <c r="K43" s="64">
        <v>288.33999999999997</v>
      </c>
      <c r="L43" s="64">
        <v>26.83</v>
      </c>
      <c r="M43" s="64">
        <v>88.06</v>
      </c>
      <c r="N43" s="64">
        <v>165.8</v>
      </c>
      <c r="O43" s="64">
        <v>0</v>
      </c>
      <c r="P43" s="64">
        <v>0.24</v>
      </c>
      <c r="Q43" s="64">
        <v>9.25</v>
      </c>
      <c r="R43" s="198"/>
      <c r="S43" s="198"/>
      <c r="T43" s="198"/>
      <c r="U43" s="198"/>
    </row>
    <row r="44" spans="1:21" s="12" customFormat="1" x14ac:dyDescent="0.25">
      <c r="A44" s="211" t="s">
        <v>952</v>
      </c>
      <c r="B44" s="64">
        <v>10.56</v>
      </c>
      <c r="C44" s="64">
        <v>19.53</v>
      </c>
      <c r="D44" s="64">
        <v>21.18</v>
      </c>
      <c r="E44" s="64">
        <v>4.57</v>
      </c>
      <c r="F44" s="64">
        <v>3.21</v>
      </c>
      <c r="G44" s="64">
        <v>31.07</v>
      </c>
      <c r="H44" s="64">
        <v>14.73</v>
      </c>
      <c r="I44" s="64">
        <v>4</v>
      </c>
      <c r="J44" s="64">
        <v>0.24</v>
      </c>
      <c r="K44" s="64">
        <v>279.62</v>
      </c>
      <c r="L44" s="64">
        <v>27.04</v>
      </c>
      <c r="M44" s="64">
        <v>85.44</v>
      </c>
      <c r="N44" s="64">
        <v>167.5</v>
      </c>
      <c r="O44" s="64">
        <v>0</v>
      </c>
      <c r="P44" s="64">
        <v>0.25</v>
      </c>
      <c r="Q44" s="64">
        <v>9.25</v>
      </c>
      <c r="R44" s="198"/>
      <c r="S44" s="198"/>
      <c r="T44" s="198"/>
      <c r="U44" s="198"/>
    </row>
    <row r="45" spans="1:21" s="12" customFormat="1" x14ac:dyDescent="0.25">
      <c r="A45" s="211" t="s">
        <v>953</v>
      </c>
      <c r="B45" s="64">
        <v>10.76</v>
      </c>
      <c r="C45" s="64">
        <v>19.05</v>
      </c>
      <c r="D45" s="64">
        <v>19.95</v>
      </c>
      <c r="E45" s="64">
        <v>4.1100000000000003</v>
      </c>
      <c r="F45" s="64">
        <v>3.84</v>
      </c>
      <c r="G45" s="64">
        <v>33.08</v>
      </c>
      <c r="H45" s="64">
        <v>9.84</v>
      </c>
      <c r="I45" s="64">
        <v>4.12</v>
      </c>
      <c r="J45" s="64">
        <v>0.26</v>
      </c>
      <c r="K45" s="64">
        <v>290.11</v>
      </c>
      <c r="L45" s="64">
        <v>27.16</v>
      </c>
      <c r="M45" s="64">
        <v>81.59</v>
      </c>
      <c r="N45" s="64">
        <v>183.1</v>
      </c>
      <c r="O45" s="64">
        <v>0</v>
      </c>
      <c r="P45" s="64">
        <v>0.26</v>
      </c>
      <c r="Q45" s="64">
        <v>9.26</v>
      </c>
      <c r="R45" s="198"/>
      <c r="S45" s="198"/>
      <c r="T45" s="198"/>
      <c r="U45" s="198"/>
    </row>
    <row r="46" spans="1:21" s="12" customFormat="1" x14ac:dyDescent="0.25">
      <c r="A46" s="211" t="s">
        <v>954</v>
      </c>
      <c r="B46" s="64">
        <v>10.65</v>
      </c>
      <c r="C46" s="64">
        <v>19.829999999999998</v>
      </c>
      <c r="D46" s="64">
        <v>21.6</v>
      </c>
      <c r="E46" s="64">
        <v>4.46</v>
      </c>
      <c r="F46" s="64">
        <v>4.9000000000000004</v>
      </c>
      <c r="G46" s="64">
        <v>33.08</v>
      </c>
      <c r="H46" s="64">
        <v>9.84</v>
      </c>
      <c r="I46" s="64">
        <v>3.99</v>
      </c>
      <c r="J46" s="64">
        <v>0.22</v>
      </c>
      <c r="K46" s="64">
        <v>286.36</v>
      </c>
      <c r="L46" s="64">
        <v>27.38</v>
      </c>
      <c r="M46" s="64">
        <v>81.069999999999993</v>
      </c>
      <c r="N46" s="64">
        <v>195.7</v>
      </c>
      <c r="O46" s="64">
        <v>0</v>
      </c>
      <c r="P46" s="64">
        <v>0.27</v>
      </c>
      <c r="Q46" s="64">
        <v>9.27</v>
      </c>
      <c r="R46" s="198"/>
      <c r="S46" s="198"/>
      <c r="T46" s="198"/>
      <c r="U46" s="198"/>
    </row>
    <row r="47" spans="1:21" s="12" customFormat="1" x14ac:dyDescent="0.25">
      <c r="A47" s="211" t="s">
        <v>955</v>
      </c>
      <c r="B47" s="64">
        <v>12.14</v>
      </c>
      <c r="C47" s="64">
        <v>22.5</v>
      </c>
      <c r="D47" s="64">
        <v>24.43</v>
      </c>
      <c r="E47" s="64">
        <v>4.47</v>
      </c>
      <c r="F47" s="64">
        <v>4.8</v>
      </c>
      <c r="G47" s="64">
        <v>33.08</v>
      </c>
      <c r="H47" s="64">
        <v>9.84</v>
      </c>
      <c r="I47" s="64">
        <v>3.91</v>
      </c>
      <c r="J47" s="64">
        <v>0.23</v>
      </c>
      <c r="K47" s="64">
        <v>274.17</v>
      </c>
      <c r="L47" s="64">
        <v>27.68</v>
      </c>
      <c r="M47" s="64">
        <v>79.14</v>
      </c>
      <c r="N47" s="64">
        <v>204.6</v>
      </c>
      <c r="O47" s="64">
        <v>0</v>
      </c>
      <c r="P47" s="64">
        <v>0.3</v>
      </c>
      <c r="Q47" s="64">
        <v>9.2899999999999991</v>
      </c>
      <c r="R47" s="198"/>
      <c r="S47" s="198"/>
      <c r="T47" s="198"/>
      <c r="U47" s="198"/>
    </row>
    <row r="48" spans="1:21" s="12" customFormat="1" x14ac:dyDescent="0.25">
      <c r="A48" s="211" t="s">
        <v>956</v>
      </c>
      <c r="B48" s="64">
        <v>10.45</v>
      </c>
      <c r="C48" s="64">
        <v>19.989999999999998</v>
      </c>
      <c r="D48" s="64">
        <v>22.23</v>
      </c>
      <c r="E48" s="64">
        <v>4.21</v>
      </c>
      <c r="F48" s="64">
        <v>4.8</v>
      </c>
      <c r="G48" s="64">
        <v>35.74</v>
      </c>
      <c r="H48" s="64">
        <v>7.94</v>
      </c>
      <c r="I48" s="64">
        <v>4.0999999999999996</v>
      </c>
      <c r="J48" s="64">
        <v>0.22</v>
      </c>
      <c r="K48" s="64">
        <v>270.81</v>
      </c>
      <c r="L48" s="64">
        <v>27.65</v>
      </c>
      <c r="M48" s="64">
        <v>78.37</v>
      </c>
      <c r="N48" s="64">
        <v>234.3</v>
      </c>
      <c r="O48" s="64">
        <v>0</v>
      </c>
      <c r="P48" s="64">
        <v>0.28000000000000003</v>
      </c>
      <c r="Q48" s="64">
        <v>9.2899999999999991</v>
      </c>
      <c r="R48" s="198"/>
      <c r="S48" s="198"/>
      <c r="T48" s="198"/>
      <c r="U48" s="198"/>
    </row>
    <row r="49" spans="1:21" s="12" customFormat="1" x14ac:dyDescent="0.25">
      <c r="A49" s="211" t="s">
        <v>957</v>
      </c>
      <c r="B49" s="64">
        <v>9.57</v>
      </c>
      <c r="C49" s="64">
        <v>19.36</v>
      </c>
      <c r="D49" s="64">
        <v>22.37</v>
      </c>
      <c r="E49" s="64">
        <v>4.07</v>
      </c>
      <c r="F49" s="64">
        <v>4.1500000000000004</v>
      </c>
      <c r="G49" s="64">
        <v>43.06</v>
      </c>
      <c r="H49" s="64">
        <v>2.71</v>
      </c>
      <c r="I49" s="64">
        <v>3.96</v>
      </c>
      <c r="J49" s="64">
        <v>0.33</v>
      </c>
      <c r="K49" s="64">
        <v>274.5</v>
      </c>
      <c r="L49" s="64">
        <v>27.61</v>
      </c>
      <c r="M49" s="64">
        <v>77.03</v>
      </c>
      <c r="N49" s="64">
        <v>194.1</v>
      </c>
      <c r="O49" s="64">
        <v>0</v>
      </c>
      <c r="P49" s="64">
        <v>0.28999999999999998</v>
      </c>
      <c r="Q49" s="64">
        <v>9.2899999999999991</v>
      </c>
      <c r="R49" s="198"/>
      <c r="S49" s="198"/>
      <c r="T49" s="198"/>
      <c r="U49" s="198"/>
    </row>
    <row r="50" spans="1:21" s="12" customFormat="1" x14ac:dyDescent="0.25">
      <c r="A50" s="211" t="s">
        <v>958</v>
      </c>
      <c r="B50" s="64">
        <v>8.67</v>
      </c>
      <c r="C50" s="64">
        <v>18.32</v>
      </c>
      <c r="D50" s="64">
        <v>21.75</v>
      </c>
      <c r="E50" s="64">
        <v>4.28</v>
      </c>
      <c r="F50" s="64">
        <v>4.9000000000000004</v>
      </c>
      <c r="G50" s="64">
        <v>43.06</v>
      </c>
      <c r="H50" s="64">
        <v>2.71</v>
      </c>
      <c r="I50" s="64">
        <v>4.0599999999999996</v>
      </c>
      <c r="J50" s="64">
        <v>0.28999999999999998</v>
      </c>
      <c r="K50" s="64">
        <v>284.05</v>
      </c>
      <c r="L50" s="64">
        <v>27.63</v>
      </c>
      <c r="M50" s="64">
        <v>76.39</v>
      </c>
      <c r="N50" s="64">
        <v>217.4</v>
      </c>
      <c r="O50" s="64">
        <v>0</v>
      </c>
      <c r="P50" s="64">
        <v>0.28999999999999998</v>
      </c>
      <c r="Q50" s="64">
        <v>9.27</v>
      </c>
      <c r="R50" s="198"/>
      <c r="S50" s="198"/>
      <c r="T50" s="198"/>
      <c r="U50" s="198"/>
    </row>
    <row r="51" spans="1:21" s="12" customFormat="1" x14ac:dyDescent="0.25">
      <c r="A51" s="211" t="s">
        <v>959</v>
      </c>
      <c r="B51" s="64">
        <v>7.73</v>
      </c>
      <c r="C51" s="64">
        <v>17.63</v>
      </c>
      <c r="D51" s="64">
        <v>21.88</v>
      </c>
      <c r="E51" s="64">
        <v>4.33</v>
      </c>
      <c r="F51" s="64">
        <v>5.27</v>
      </c>
      <c r="G51" s="64">
        <v>43.06</v>
      </c>
      <c r="H51" s="64">
        <v>2.71</v>
      </c>
      <c r="I51" s="64">
        <v>4.2</v>
      </c>
      <c r="J51" s="64">
        <v>0.28999999999999998</v>
      </c>
      <c r="K51" s="64">
        <v>285.89</v>
      </c>
      <c r="L51" s="64">
        <v>27.7</v>
      </c>
      <c r="M51" s="64">
        <v>75.930000000000007</v>
      </c>
      <c r="N51" s="64">
        <v>200</v>
      </c>
      <c r="O51" s="64">
        <v>0</v>
      </c>
      <c r="P51" s="64">
        <v>0.28000000000000003</v>
      </c>
      <c r="Q51" s="64">
        <v>9.25</v>
      </c>
      <c r="R51" s="198"/>
      <c r="S51" s="198"/>
      <c r="T51" s="198"/>
      <c r="U51" s="198"/>
    </row>
    <row r="52" spans="1:21" s="12" customFormat="1" x14ac:dyDescent="0.25">
      <c r="A52" s="211" t="s">
        <v>960</v>
      </c>
      <c r="B52" s="64">
        <v>7.57</v>
      </c>
      <c r="C52" s="64">
        <v>18.13</v>
      </c>
      <c r="D52" s="64">
        <v>23.09</v>
      </c>
      <c r="E52" s="64">
        <v>4.2</v>
      </c>
      <c r="F52" s="64">
        <v>4.8600000000000003</v>
      </c>
      <c r="G52" s="64">
        <v>44.8</v>
      </c>
      <c r="H52" s="64">
        <v>10.01</v>
      </c>
      <c r="I52" s="64">
        <v>3.87</v>
      </c>
      <c r="J52" s="64">
        <v>0.25</v>
      </c>
      <c r="K52" s="64">
        <v>282.52</v>
      </c>
      <c r="L52" s="64">
        <v>27.95</v>
      </c>
      <c r="M52" s="64">
        <v>74.930000000000007</v>
      </c>
      <c r="N52" s="64">
        <v>220.7</v>
      </c>
      <c r="O52" s="64">
        <v>0</v>
      </c>
      <c r="P52" s="64">
        <v>0.31</v>
      </c>
      <c r="Q52" s="64">
        <v>9.2200000000000006</v>
      </c>
      <c r="R52" s="198"/>
      <c r="S52" s="198"/>
      <c r="T52" s="198"/>
      <c r="U52" s="198"/>
    </row>
    <row r="53" spans="1:21" s="12" customFormat="1" x14ac:dyDescent="0.25">
      <c r="A53" s="211" t="s">
        <v>961</v>
      </c>
      <c r="B53" s="64">
        <v>8.64</v>
      </c>
      <c r="C53" s="64">
        <v>18.670000000000002</v>
      </c>
      <c r="D53" s="64">
        <v>22.47</v>
      </c>
      <c r="E53" s="64">
        <v>4.59</v>
      </c>
      <c r="F53" s="64">
        <v>4.75</v>
      </c>
      <c r="G53" s="64">
        <v>49.58</v>
      </c>
      <c r="H53" s="64">
        <v>30.08</v>
      </c>
      <c r="I53" s="64">
        <v>4.0599999999999996</v>
      </c>
      <c r="J53" s="64">
        <v>0.25</v>
      </c>
      <c r="K53" s="64">
        <v>292.39999999999998</v>
      </c>
      <c r="L53" s="64">
        <v>28.18</v>
      </c>
      <c r="M53" s="64">
        <v>74.22</v>
      </c>
      <c r="N53" s="64">
        <v>214.1</v>
      </c>
      <c r="O53" s="64">
        <v>0</v>
      </c>
      <c r="P53" s="64">
        <v>0.32</v>
      </c>
      <c r="Q53" s="64">
        <v>9.2200000000000006</v>
      </c>
      <c r="R53" s="198"/>
      <c r="S53" s="198"/>
      <c r="T53" s="198"/>
      <c r="U53" s="198"/>
    </row>
    <row r="54" spans="1:21" s="12" customFormat="1" x14ac:dyDescent="0.25">
      <c r="A54" s="211" t="s">
        <v>962</v>
      </c>
      <c r="B54" s="64">
        <v>7.51</v>
      </c>
      <c r="C54" s="64">
        <v>16.88</v>
      </c>
      <c r="D54" s="64">
        <v>20.8</v>
      </c>
      <c r="E54" s="64">
        <v>4.32</v>
      </c>
      <c r="F54" s="64">
        <v>4.38</v>
      </c>
      <c r="G54" s="64">
        <v>49.58</v>
      </c>
      <c r="H54" s="64">
        <v>30.08</v>
      </c>
      <c r="I54" s="64">
        <v>3.98</v>
      </c>
      <c r="J54" s="64">
        <v>0.3</v>
      </c>
      <c r="K54" s="64">
        <v>287.41000000000003</v>
      </c>
      <c r="L54" s="64">
        <v>27.74</v>
      </c>
      <c r="M54" s="64">
        <v>75.12</v>
      </c>
      <c r="N54" s="64">
        <v>213.9</v>
      </c>
      <c r="O54" s="64">
        <v>0</v>
      </c>
      <c r="P54" s="64">
        <v>0.3</v>
      </c>
      <c r="Q54" s="64">
        <v>9.2100000000000009</v>
      </c>
      <c r="R54" s="198"/>
      <c r="S54" s="198"/>
      <c r="T54" s="198"/>
      <c r="U54" s="198"/>
    </row>
    <row r="55" spans="1:21" s="12" customFormat="1" x14ac:dyDescent="0.25">
      <c r="A55" s="211" t="s">
        <v>963</v>
      </c>
      <c r="B55" s="64">
        <v>6.81</v>
      </c>
      <c r="C55" s="64">
        <v>17.04</v>
      </c>
      <c r="D55" s="64">
        <v>22.15</v>
      </c>
      <c r="E55" s="64">
        <v>4.54</v>
      </c>
      <c r="F55" s="64">
        <v>3.3</v>
      </c>
      <c r="G55" s="64">
        <v>49.58</v>
      </c>
      <c r="H55" s="64">
        <v>30.08</v>
      </c>
      <c r="I55" s="64">
        <v>3.99</v>
      </c>
      <c r="J55" s="64">
        <v>0.32</v>
      </c>
      <c r="K55" s="64">
        <v>279.17</v>
      </c>
      <c r="L55" s="64">
        <v>27.76</v>
      </c>
      <c r="M55" s="64">
        <v>74.89</v>
      </c>
      <c r="N55" s="64">
        <v>211.5</v>
      </c>
      <c r="O55" s="64">
        <v>0</v>
      </c>
      <c r="P55" s="64">
        <v>0.28999999999999998</v>
      </c>
      <c r="Q55" s="64">
        <v>9.18</v>
      </c>
      <c r="R55" s="198"/>
      <c r="S55" s="198"/>
      <c r="T55" s="198"/>
      <c r="U55" s="198"/>
    </row>
    <row r="56" spans="1:21" s="12" customFormat="1" x14ac:dyDescent="0.25">
      <c r="A56" s="211" t="s">
        <v>964</v>
      </c>
      <c r="B56" s="64">
        <v>6.48</v>
      </c>
      <c r="C56" s="64">
        <v>16.739999999999998</v>
      </c>
      <c r="D56" s="64">
        <v>22.1</v>
      </c>
      <c r="E56" s="64">
        <v>4.22</v>
      </c>
      <c r="F56" s="64">
        <v>4.3499999999999996</v>
      </c>
      <c r="G56" s="64">
        <v>49.87</v>
      </c>
      <c r="H56" s="64">
        <v>17.18</v>
      </c>
      <c r="I56" s="64">
        <v>3.92</v>
      </c>
      <c r="J56" s="64">
        <v>0.25</v>
      </c>
      <c r="K56" s="64">
        <v>295.52999999999997</v>
      </c>
      <c r="L56" s="64">
        <v>27.83</v>
      </c>
      <c r="M56" s="64">
        <v>75</v>
      </c>
      <c r="N56" s="64">
        <v>210.8</v>
      </c>
      <c r="O56" s="64">
        <v>0</v>
      </c>
      <c r="P56" s="64">
        <v>0.3</v>
      </c>
      <c r="Q56" s="64">
        <v>9.17</v>
      </c>
      <c r="R56" s="198"/>
      <c r="S56" s="198"/>
      <c r="T56" s="198"/>
      <c r="U56" s="198"/>
    </row>
    <row r="57" spans="1:21" s="12" customFormat="1" x14ac:dyDescent="0.25">
      <c r="A57" s="211" t="s">
        <v>965</v>
      </c>
      <c r="B57" s="64">
        <v>6.31</v>
      </c>
      <c r="C57" s="64">
        <v>16.600000000000001</v>
      </c>
      <c r="D57" s="64">
        <v>22.1</v>
      </c>
      <c r="E57" s="64">
        <v>4.33</v>
      </c>
      <c r="F57" s="64">
        <v>4.1399999999999997</v>
      </c>
      <c r="G57" s="64">
        <v>50.67</v>
      </c>
      <c r="H57" s="64">
        <v>-18.29</v>
      </c>
      <c r="I57" s="64">
        <v>4.09</v>
      </c>
      <c r="J57" s="64">
        <v>0.23</v>
      </c>
      <c r="K57" s="64">
        <v>273.14</v>
      </c>
      <c r="L57" s="64">
        <v>27.78</v>
      </c>
      <c r="M57" s="64">
        <v>74.86</v>
      </c>
      <c r="N57" s="64">
        <v>223.7</v>
      </c>
      <c r="O57" s="64">
        <v>0</v>
      </c>
      <c r="P57" s="64">
        <v>0.28000000000000003</v>
      </c>
      <c r="Q57" s="64">
        <v>9.16</v>
      </c>
      <c r="R57" s="198"/>
      <c r="S57" s="198"/>
      <c r="T57" s="198"/>
      <c r="U57" s="198"/>
    </row>
    <row r="58" spans="1:21" s="12" customFormat="1" x14ac:dyDescent="0.25">
      <c r="A58" s="211" t="s">
        <v>966</v>
      </c>
      <c r="B58" s="64">
        <v>5.89</v>
      </c>
      <c r="C58" s="64">
        <v>15.82</v>
      </c>
      <c r="D58" s="64">
        <v>21.24</v>
      </c>
      <c r="E58" s="64">
        <v>3.98</v>
      </c>
      <c r="F58" s="64">
        <v>4.62</v>
      </c>
      <c r="G58" s="64">
        <v>50.67</v>
      </c>
      <c r="H58" s="64">
        <v>-18.29</v>
      </c>
      <c r="I58" s="64">
        <v>4.0199999999999996</v>
      </c>
      <c r="J58" s="64">
        <v>0.33</v>
      </c>
      <c r="K58" s="64">
        <v>287.10000000000002</v>
      </c>
      <c r="L58" s="64">
        <v>27.8</v>
      </c>
      <c r="M58" s="64">
        <v>74.67</v>
      </c>
      <c r="N58" s="64">
        <v>224.1</v>
      </c>
      <c r="O58" s="64">
        <v>0</v>
      </c>
      <c r="P58" s="64">
        <v>0.28000000000000003</v>
      </c>
      <c r="Q58" s="64">
        <v>9.14</v>
      </c>
      <c r="R58" s="198"/>
      <c r="S58" s="198"/>
      <c r="T58" s="198"/>
      <c r="U58" s="198"/>
    </row>
    <row r="59" spans="1:21" s="12" customFormat="1" x14ac:dyDescent="0.25">
      <c r="A59" s="211" t="s">
        <v>967</v>
      </c>
      <c r="B59" s="64">
        <v>5.41</v>
      </c>
      <c r="C59" s="64">
        <v>15.64</v>
      </c>
      <c r="D59" s="64">
        <v>21.63</v>
      </c>
      <c r="E59" s="64">
        <v>3.81</v>
      </c>
      <c r="F59" s="64">
        <v>4.34</v>
      </c>
      <c r="G59" s="64">
        <v>50.67</v>
      </c>
      <c r="H59" s="64">
        <v>-18.29</v>
      </c>
      <c r="I59" s="64">
        <v>4.0199999999999996</v>
      </c>
      <c r="J59" s="64">
        <v>0.24</v>
      </c>
      <c r="K59" s="64">
        <v>276.87</v>
      </c>
      <c r="L59" s="64">
        <v>27.84</v>
      </c>
      <c r="M59" s="64">
        <v>75.069999999999993</v>
      </c>
      <c r="N59" s="64">
        <v>195.7</v>
      </c>
      <c r="O59" s="64">
        <v>0</v>
      </c>
      <c r="P59" s="64">
        <v>0.28999999999999998</v>
      </c>
      <c r="Q59" s="64">
        <v>9.1199999999999992</v>
      </c>
      <c r="R59" s="198"/>
      <c r="S59" s="198"/>
      <c r="T59" s="198"/>
      <c r="U59" s="198"/>
    </row>
    <row r="60" spans="1:21" s="12" customFormat="1" x14ac:dyDescent="0.25">
      <c r="A60" s="211" t="s">
        <v>968</v>
      </c>
      <c r="B60" s="64">
        <v>5.29</v>
      </c>
      <c r="C60" s="64">
        <v>15.45</v>
      </c>
      <c r="D60" s="64">
        <v>21.45</v>
      </c>
      <c r="E60" s="64">
        <v>4.3099999999999996</v>
      </c>
      <c r="F60" s="64">
        <v>4.9000000000000004</v>
      </c>
      <c r="G60" s="64">
        <v>51.1</v>
      </c>
      <c r="H60" s="64">
        <v>-5.09</v>
      </c>
      <c r="I60" s="64">
        <v>4.09</v>
      </c>
      <c r="J60" s="64">
        <v>0.18</v>
      </c>
      <c r="K60" s="64">
        <v>279.39</v>
      </c>
      <c r="L60" s="64">
        <v>27.87</v>
      </c>
      <c r="M60" s="64">
        <v>75.400000000000006</v>
      </c>
      <c r="N60" s="64">
        <v>199.6</v>
      </c>
      <c r="O60" s="64">
        <v>0</v>
      </c>
      <c r="P60" s="64">
        <v>0.27</v>
      </c>
      <c r="Q60" s="64">
        <v>9.1199999999999992</v>
      </c>
      <c r="R60" s="198"/>
      <c r="S60" s="198"/>
      <c r="T60" s="198"/>
      <c r="U60" s="198"/>
    </row>
    <row r="61" spans="1:21" s="12" customFormat="1" x14ac:dyDescent="0.25">
      <c r="A61" s="211" t="s">
        <v>969</v>
      </c>
      <c r="B61" s="64">
        <v>5.2</v>
      </c>
      <c r="C61" s="64">
        <v>15.16</v>
      </c>
      <c r="D61" s="64">
        <v>21.03</v>
      </c>
      <c r="E61" s="64">
        <v>3.89</v>
      </c>
      <c r="F61" s="64">
        <v>4.68</v>
      </c>
      <c r="G61" s="64">
        <v>52.27</v>
      </c>
      <c r="H61" s="64">
        <v>31.23</v>
      </c>
      <c r="I61" s="64">
        <v>4.0199999999999996</v>
      </c>
      <c r="J61" s="64">
        <v>0.3</v>
      </c>
      <c r="K61" s="64">
        <v>285.01</v>
      </c>
      <c r="L61" s="64">
        <v>28.04</v>
      </c>
      <c r="M61" s="64">
        <v>74.739999999999995</v>
      </c>
      <c r="N61" s="64">
        <v>223.1</v>
      </c>
      <c r="O61" s="64">
        <v>0</v>
      </c>
      <c r="P61" s="64">
        <v>0.27</v>
      </c>
      <c r="Q61" s="64">
        <v>9.1</v>
      </c>
      <c r="R61" s="198"/>
      <c r="S61" s="198"/>
      <c r="T61" s="198"/>
      <c r="U61" s="198"/>
    </row>
    <row r="62" spans="1:21" s="12" customFormat="1" x14ac:dyDescent="0.25">
      <c r="A62" s="211" t="s">
        <v>970</v>
      </c>
      <c r="B62" s="64">
        <v>5.3</v>
      </c>
      <c r="C62" s="64">
        <v>15.34</v>
      </c>
      <c r="D62" s="64">
        <v>21.23</v>
      </c>
      <c r="E62" s="64">
        <v>4.33</v>
      </c>
      <c r="F62" s="64">
        <v>3.85</v>
      </c>
      <c r="G62" s="64">
        <v>52.27</v>
      </c>
      <c r="H62" s="64">
        <v>31.23</v>
      </c>
      <c r="I62" s="64">
        <v>3.95</v>
      </c>
      <c r="J62" s="64">
        <v>0.25</v>
      </c>
      <c r="K62" s="64">
        <v>286.26</v>
      </c>
      <c r="L62" s="64">
        <v>27.99</v>
      </c>
      <c r="M62" s="64">
        <v>75.510000000000005</v>
      </c>
      <c r="N62" s="64">
        <v>196.1</v>
      </c>
      <c r="O62" s="64">
        <v>0</v>
      </c>
      <c r="P62" s="64">
        <v>0.28000000000000003</v>
      </c>
      <c r="Q62" s="64">
        <v>9.1</v>
      </c>
      <c r="R62" s="198"/>
      <c r="S62" s="198"/>
      <c r="T62" s="198"/>
      <c r="U62" s="198"/>
    </row>
    <row r="63" spans="1:21" s="12" customFormat="1" x14ac:dyDescent="0.25">
      <c r="A63" s="211" t="s">
        <v>971</v>
      </c>
      <c r="B63" s="64">
        <v>5.21</v>
      </c>
      <c r="C63" s="64">
        <v>15.41</v>
      </c>
      <c r="D63" s="64">
        <v>21.5</v>
      </c>
      <c r="E63" s="64">
        <v>3.92</v>
      </c>
      <c r="F63" s="64">
        <v>4.7</v>
      </c>
      <c r="G63" s="64">
        <v>52.27</v>
      </c>
      <c r="H63" s="64">
        <v>31.23</v>
      </c>
      <c r="I63" s="64">
        <v>3.98</v>
      </c>
      <c r="J63" s="64">
        <v>0.26</v>
      </c>
      <c r="K63" s="64">
        <v>283.49</v>
      </c>
      <c r="L63" s="64">
        <v>28.07</v>
      </c>
      <c r="M63" s="64">
        <v>75.400000000000006</v>
      </c>
      <c r="N63" s="64">
        <v>209.3</v>
      </c>
      <c r="O63" s="64">
        <v>0</v>
      </c>
      <c r="P63" s="64">
        <v>0.28000000000000003</v>
      </c>
      <c r="Q63" s="64">
        <v>9.08</v>
      </c>
      <c r="R63" s="198"/>
      <c r="S63" s="198"/>
      <c r="T63" s="198"/>
      <c r="U63" s="198"/>
    </row>
    <row r="64" spans="1:21" s="12" customFormat="1" x14ac:dyDescent="0.25">
      <c r="A64" s="211" t="s">
        <v>972</v>
      </c>
      <c r="B64" s="64">
        <v>5.18</v>
      </c>
      <c r="C64" s="64">
        <v>15.42</v>
      </c>
      <c r="D64" s="64">
        <v>21.57</v>
      </c>
      <c r="E64" s="64">
        <v>3.88</v>
      </c>
      <c r="F64" s="64">
        <v>4.47</v>
      </c>
      <c r="G64" s="64">
        <v>53.32</v>
      </c>
      <c r="H64" s="64">
        <v>27.15</v>
      </c>
      <c r="I64" s="64">
        <v>4</v>
      </c>
      <c r="J64" s="64">
        <v>0.32</v>
      </c>
      <c r="K64" s="64">
        <v>285.93</v>
      </c>
      <c r="L64" s="64">
        <v>28.01</v>
      </c>
      <c r="M64" s="64">
        <v>75.12</v>
      </c>
      <c r="N64" s="64">
        <v>220.5</v>
      </c>
      <c r="O64" s="64">
        <v>0</v>
      </c>
      <c r="P64" s="64">
        <v>0.28000000000000003</v>
      </c>
      <c r="Q64" s="64">
        <v>9.1</v>
      </c>
      <c r="R64" s="198"/>
      <c r="S64" s="198"/>
      <c r="T64" s="198"/>
      <c r="U64" s="198"/>
    </row>
    <row r="65" spans="1:21" s="12" customFormat="1" x14ac:dyDescent="0.25">
      <c r="A65" s="211" t="s">
        <v>973</v>
      </c>
      <c r="B65" s="64">
        <v>4.97</v>
      </c>
      <c r="C65" s="64">
        <v>14.81</v>
      </c>
      <c r="D65" s="64">
        <v>20.7</v>
      </c>
      <c r="E65" s="64">
        <v>3.99</v>
      </c>
      <c r="F65" s="64">
        <v>5.71</v>
      </c>
      <c r="G65" s="64">
        <v>56.21</v>
      </c>
      <c r="H65" s="64">
        <v>15.94</v>
      </c>
      <c r="I65" s="64">
        <v>3.98</v>
      </c>
      <c r="J65" s="64">
        <v>0.26</v>
      </c>
      <c r="K65" s="64">
        <v>291.83999999999997</v>
      </c>
      <c r="L65" s="64">
        <v>28.25</v>
      </c>
      <c r="M65" s="64">
        <v>75.77</v>
      </c>
      <c r="N65" s="64">
        <v>182.5</v>
      </c>
      <c r="O65" s="64">
        <v>0</v>
      </c>
      <c r="P65" s="64">
        <v>0.28000000000000003</v>
      </c>
      <c r="Q65" s="64">
        <v>9.11</v>
      </c>
      <c r="R65" s="198"/>
      <c r="S65" s="198"/>
      <c r="T65" s="198"/>
      <c r="U65" s="198"/>
    </row>
    <row r="66" spans="1:21" s="12" customFormat="1" x14ac:dyDescent="0.25">
      <c r="A66" s="211" t="s">
        <v>974</v>
      </c>
      <c r="B66" s="64">
        <v>6.6</v>
      </c>
      <c r="C66" s="64">
        <v>16.920000000000002</v>
      </c>
      <c r="D66" s="64">
        <v>22.26</v>
      </c>
      <c r="E66" s="64">
        <v>3.59</v>
      </c>
      <c r="F66" s="64">
        <v>5.74</v>
      </c>
      <c r="G66" s="64">
        <v>56.21</v>
      </c>
      <c r="H66" s="64">
        <v>15.94</v>
      </c>
      <c r="I66" s="64">
        <v>3.92</v>
      </c>
      <c r="J66" s="64">
        <v>0.24</v>
      </c>
      <c r="K66" s="64">
        <v>289.41000000000003</v>
      </c>
      <c r="L66" s="64">
        <v>28.19</v>
      </c>
      <c r="M66" s="64">
        <v>76.38</v>
      </c>
      <c r="N66" s="64">
        <v>159.19999999999999</v>
      </c>
      <c r="O66" s="64">
        <v>0</v>
      </c>
      <c r="P66" s="64">
        <v>0.3</v>
      </c>
      <c r="Q66" s="64">
        <v>9.1199999999999992</v>
      </c>
      <c r="R66" s="198"/>
      <c r="S66" s="198"/>
      <c r="T66" s="198"/>
      <c r="U66" s="198"/>
    </row>
    <row r="67" spans="1:21" s="12" customFormat="1" x14ac:dyDescent="0.25">
      <c r="A67" s="211" t="s">
        <v>975</v>
      </c>
      <c r="B67" s="64">
        <v>5.53</v>
      </c>
      <c r="C67" s="64">
        <v>15.9</v>
      </c>
      <c r="D67" s="64">
        <v>21.95</v>
      </c>
      <c r="E67" s="64">
        <v>3.85</v>
      </c>
      <c r="F67" s="64">
        <v>5.57</v>
      </c>
      <c r="G67" s="64">
        <v>56.21</v>
      </c>
      <c r="H67" s="64">
        <v>15.94</v>
      </c>
      <c r="I67" s="64">
        <v>4.09</v>
      </c>
      <c r="J67" s="64">
        <v>0.2</v>
      </c>
      <c r="K67" s="64">
        <v>281.10000000000002</v>
      </c>
      <c r="L67" s="64">
        <v>27.91</v>
      </c>
      <c r="M67" s="64">
        <v>76.97</v>
      </c>
      <c r="N67" s="64">
        <v>157.6</v>
      </c>
      <c r="O67" s="64">
        <v>0</v>
      </c>
      <c r="P67" s="64">
        <v>0.28999999999999998</v>
      </c>
      <c r="Q67" s="64">
        <v>9.14</v>
      </c>
      <c r="R67" s="198"/>
      <c r="S67" s="198"/>
      <c r="T67" s="198"/>
      <c r="U67" s="198"/>
    </row>
    <row r="68" spans="1:21" s="12" customFormat="1" x14ac:dyDescent="0.25">
      <c r="A68" s="211" t="s">
        <v>976</v>
      </c>
      <c r="B68" s="64">
        <v>5.43</v>
      </c>
      <c r="C68" s="64">
        <v>15.56</v>
      </c>
      <c r="D68" s="64">
        <v>21.45</v>
      </c>
      <c r="E68" s="64">
        <v>4.04</v>
      </c>
      <c r="F68" s="64">
        <v>5.7</v>
      </c>
      <c r="G68" s="64">
        <v>56.33</v>
      </c>
      <c r="H68" s="64">
        <v>15.15</v>
      </c>
      <c r="I68" s="64">
        <v>3.95</v>
      </c>
      <c r="J68" s="64">
        <v>0.25</v>
      </c>
      <c r="K68" s="64">
        <v>276.92</v>
      </c>
      <c r="L68" s="64">
        <v>27.75</v>
      </c>
      <c r="M68" s="64">
        <v>76.510000000000005</v>
      </c>
      <c r="N68" s="64">
        <v>139.4</v>
      </c>
      <c r="O68" s="64">
        <v>0</v>
      </c>
      <c r="P68" s="64">
        <v>0.3</v>
      </c>
      <c r="Q68" s="64">
        <v>9.15</v>
      </c>
      <c r="R68" s="198"/>
      <c r="S68" s="198"/>
      <c r="T68" s="198"/>
      <c r="U68" s="198"/>
    </row>
    <row r="69" spans="1:21" s="12" customFormat="1" x14ac:dyDescent="0.25">
      <c r="A69" s="211" t="s">
        <v>977</v>
      </c>
      <c r="B69" s="64">
        <v>5.85</v>
      </c>
      <c r="C69" s="64">
        <v>17.04</v>
      </c>
      <c r="D69" s="64">
        <v>23.65</v>
      </c>
      <c r="E69" s="64">
        <v>4.16</v>
      </c>
      <c r="F69" s="64">
        <v>7.61</v>
      </c>
      <c r="G69" s="64">
        <v>56.66</v>
      </c>
      <c r="H69" s="64">
        <v>12.98</v>
      </c>
      <c r="I69" s="64">
        <v>4.01</v>
      </c>
      <c r="J69" s="64">
        <v>0.22</v>
      </c>
      <c r="K69" s="64">
        <v>277.20999999999998</v>
      </c>
      <c r="L69" s="64">
        <v>27.82</v>
      </c>
      <c r="M69" s="64">
        <v>76.709999999999994</v>
      </c>
      <c r="N69" s="64">
        <v>134.1</v>
      </c>
      <c r="O69" s="64">
        <v>0</v>
      </c>
      <c r="P69" s="64">
        <v>0.28999999999999998</v>
      </c>
      <c r="Q69" s="64">
        <v>9.15</v>
      </c>
      <c r="R69" s="198"/>
      <c r="S69" s="198"/>
      <c r="T69" s="198"/>
      <c r="U69" s="198"/>
    </row>
    <row r="70" spans="1:21" s="12" customFormat="1" x14ac:dyDescent="0.25">
      <c r="A70" s="211" t="s">
        <v>978</v>
      </c>
      <c r="B70" s="64">
        <v>5.3</v>
      </c>
      <c r="C70" s="64">
        <v>16.07</v>
      </c>
      <c r="D70" s="64">
        <v>22.62</v>
      </c>
      <c r="E70" s="64">
        <v>4.0199999999999996</v>
      </c>
      <c r="F70" s="64">
        <v>7.94</v>
      </c>
      <c r="G70" s="64">
        <v>56.66</v>
      </c>
      <c r="H70" s="64">
        <v>12.98</v>
      </c>
      <c r="I70" s="64">
        <v>3.91</v>
      </c>
      <c r="J70" s="64">
        <v>0.18</v>
      </c>
      <c r="K70" s="64">
        <v>280.26</v>
      </c>
      <c r="L70" s="64">
        <v>27.59</v>
      </c>
      <c r="M70" s="64">
        <v>78.489999999999995</v>
      </c>
      <c r="N70" s="64">
        <v>127.8</v>
      </c>
      <c r="O70" s="64">
        <v>0</v>
      </c>
      <c r="P70" s="64">
        <v>0.26</v>
      </c>
      <c r="Q70" s="64">
        <v>9.15</v>
      </c>
      <c r="R70" s="198"/>
      <c r="S70" s="198"/>
      <c r="T70" s="198"/>
      <c r="U70" s="198"/>
    </row>
    <row r="71" spans="1:21" s="12" customFormat="1" x14ac:dyDescent="0.25">
      <c r="A71" s="211" t="s">
        <v>979</v>
      </c>
      <c r="B71" s="64">
        <v>7.75</v>
      </c>
      <c r="C71" s="64">
        <v>17.920000000000002</v>
      </c>
      <c r="D71" s="64">
        <v>22.41</v>
      </c>
      <c r="E71" s="64">
        <v>3.94</v>
      </c>
      <c r="F71" s="64">
        <v>7.17</v>
      </c>
      <c r="G71" s="64">
        <v>56.66</v>
      </c>
      <c r="H71" s="64">
        <v>12.98</v>
      </c>
      <c r="I71" s="64">
        <v>4.1100000000000003</v>
      </c>
      <c r="J71" s="64">
        <v>0.17</v>
      </c>
      <c r="K71" s="64">
        <v>289.52</v>
      </c>
      <c r="L71" s="64">
        <v>27.59</v>
      </c>
      <c r="M71" s="64">
        <v>78.91</v>
      </c>
      <c r="N71" s="64">
        <v>127.8</v>
      </c>
      <c r="O71" s="64">
        <v>0</v>
      </c>
      <c r="P71" s="64">
        <v>0.3</v>
      </c>
      <c r="Q71" s="64">
        <v>9.15</v>
      </c>
      <c r="R71" s="198"/>
      <c r="S71" s="198"/>
      <c r="T71" s="198"/>
      <c r="U71" s="198"/>
    </row>
    <row r="72" spans="1:21" s="12" customFormat="1" x14ac:dyDescent="0.25">
      <c r="A72" s="211" t="s">
        <v>980</v>
      </c>
      <c r="B72" s="64">
        <v>5.35</v>
      </c>
      <c r="C72" s="64">
        <v>15.75</v>
      </c>
      <c r="D72" s="64">
        <v>21.93</v>
      </c>
      <c r="E72" s="64">
        <v>3.53</v>
      </c>
      <c r="F72" s="64">
        <v>6.48</v>
      </c>
      <c r="G72" s="64">
        <v>51.46</v>
      </c>
      <c r="H72" s="64">
        <v>12.76</v>
      </c>
      <c r="I72" s="64">
        <v>3.99</v>
      </c>
      <c r="J72" s="64">
        <v>0.13</v>
      </c>
      <c r="K72" s="64">
        <v>290.93</v>
      </c>
      <c r="L72" s="64">
        <v>27.69</v>
      </c>
      <c r="M72" s="64">
        <v>78.58</v>
      </c>
      <c r="N72" s="64">
        <v>113.4</v>
      </c>
      <c r="O72" s="64">
        <v>0</v>
      </c>
      <c r="P72" s="64">
        <v>0.31</v>
      </c>
      <c r="Q72" s="64">
        <v>9.1300000000000008</v>
      </c>
      <c r="R72" s="198"/>
      <c r="S72" s="198"/>
      <c r="T72" s="198"/>
      <c r="U72" s="198"/>
    </row>
    <row r="73" spans="1:21" s="12" customFormat="1" x14ac:dyDescent="0.25">
      <c r="A73" s="211" t="s">
        <v>981</v>
      </c>
      <c r="B73" s="64">
        <v>4.22</v>
      </c>
      <c r="C73" s="64">
        <v>16.07</v>
      </c>
      <c r="D73" s="64">
        <v>24.27</v>
      </c>
      <c r="E73" s="64">
        <v>3.02</v>
      </c>
      <c r="F73" s="64">
        <v>7.57</v>
      </c>
      <c r="G73" s="64">
        <v>37.17</v>
      </c>
      <c r="H73" s="64">
        <v>12.15</v>
      </c>
      <c r="I73" s="64">
        <v>4.05</v>
      </c>
      <c r="J73" s="64">
        <v>0.08</v>
      </c>
      <c r="K73" s="64">
        <v>263.85000000000002</v>
      </c>
      <c r="L73" s="64">
        <v>27.66</v>
      </c>
      <c r="M73" s="64">
        <v>75.63</v>
      </c>
      <c r="N73" s="64">
        <v>149.30000000000001</v>
      </c>
      <c r="O73" s="64">
        <v>0</v>
      </c>
      <c r="P73" s="64">
        <v>0.3</v>
      </c>
      <c r="Q73" s="64">
        <v>9.1199999999999992</v>
      </c>
      <c r="R73" s="198"/>
      <c r="S73" s="198"/>
      <c r="T73" s="198"/>
      <c r="U73" s="198"/>
    </row>
    <row r="74" spans="1:21" s="12" customFormat="1" x14ac:dyDescent="0.25">
      <c r="A74" s="211" t="s">
        <v>982</v>
      </c>
      <c r="B74" s="64">
        <v>4.05</v>
      </c>
      <c r="C74" s="64">
        <v>15.43</v>
      </c>
      <c r="D74" s="64">
        <v>23.32</v>
      </c>
      <c r="E74" s="64">
        <v>2.64</v>
      </c>
      <c r="F74" s="64">
        <v>9.58</v>
      </c>
      <c r="G74" s="64">
        <v>37.17</v>
      </c>
      <c r="H74" s="64">
        <v>12.15</v>
      </c>
      <c r="I74" s="64">
        <v>4.09</v>
      </c>
      <c r="J74" s="64">
        <v>7.0000000000000007E-2</v>
      </c>
      <c r="K74" s="64">
        <v>238.98</v>
      </c>
      <c r="L74" s="64">
        <v>27.67</v>
      </c>
      <c r="M74" s="64">
        <v>74.94</v>
      </c>
      <c r="N74" s="64">
        <v>154.5</v>
      </c>
      <c r="O74" s="64">
        <v>0</v>
      </c>
      <c r="P74" s="64">
        <v>0.25</v>
      </c>
      <c r="Q74" s="64">
        <v>9.09</v>
      </c>
      <c r="R74" s="198"/>
      <c r="S74" s="198"/>
      <c r="T74" s="198"/>
      <c r="U74" s="198"/>
    </row>
    <row r="75" spans="1:21" s="12" customFormat="1" x14ac:dyDescent="0.25">
      <c r="A75" s="211" t="s">
        <v>983</v>
      </c>
      <c r="B75" s="64">
        <v>3.58</v>
      </c>
      <c r="C75" s="64">
        <v>14.39</v>
      </c>
      <c r="D75" s="64">
        <v>22.06</v>
      </c>
      <c r="E75" s="64">
        <v>3.51</v>
      </c>
      <c r="F75" s="64">
        <v>13.07</v>
      </c>
      <c r="G75" s="64">
        <v>37.17</v>
      </c>
      <c r="H75" s="64">
        <v>12.15</v>
      </c>
      <c r="I75" s="64">
        <v>3.98</v>
      </c>
      <c r="J75" s="64">
        <v>0.13</v>
      </c>
      <c r="K75" s="64">
        <v>245.46</v>
      </c>
      <c r="L75" s="64">
        <v>27.68</v>
      </c>
      <c r="M75" s="64">
        <v>75.19</v>
      </c>
      <c r="N75" s="64">
        <v>134.6</v>
      </c>
      <c r="O75" s="64">
        <v>0</v>
      </c>
      <c r="P75" s="64">
        <v>0.22</v>
      </c>
      <c r="Q75" s="64">
        <v>9.0500000000000007</v>
      </c>
      <c r="R75" s="198"/>
      <c r="S75" s="198"/>
      <c r="T75" s="198"/>
      <c r="U75" s="198"/>
    </row>
    <row r="76" spans="1:21" s="12" customFormat="1" x14ac:dyDescent="0.25">
      <c r="A76" s="211" t="s">
        <v>984</v>
      </c>
      <c r="B76" s="64">
        <v>74.83</v>
      </c>
      <c r="C76" s="64">
        <v>91.08</v>
      </c>
      <c r="D76" s="64">
        <v>59.48</v>
      </c>
      <c r="E76" s="64">
        <v>4.25</v>
      </c>
      <c r="F76" s="64">
        <v>8.7899999999999991</v>
      </c>
      <c r="G76" s="64">
        <v>43.25</v>
      </c>
      <c r="H76" s="64">
        <v>11.09</v>
      </c>
      <c r="I76" s="64">
        <v>3.94</v>
      </c>
      <c r="J76" s="64">
        <v>0.09</v>
      </c>
      <c r="K76" s="64">
        <v>313.25</v>
      </c>
      <c r="L76" s="64">
        <v>27.72</v>
      </c>
      <c r="M76" s="64">
        <v>75.13</v>
      </c>
      <c r="N76" s="64">
        <v>125.3</v>
      </c>
      <c r="O76" s="64">
        <v>0</v>
      </c>
      <c r="P76" s="64">
        <v>0.25</v>
      </c>
      <c r="Q76" s="64">
        <v>9.06</v>
      </c>
      <c r="R76" s="198"/>
      <c r="S76" s="198"/>
      <c r="T76" s="198"/>
      <c r="U76" s="198"/>
    </row>
    <row r="77" spans="1:21" s="12" customFormat="1" x14ac:dyDescent="0.25">
      <c r="A77" s="211" t="s">
        <v>985</v>
      </c>
      <c r="B77" s="64">
        <v>4.6500000000000004</v>
      </c>
      <c r="C77" s="64">
        <v>18.809999999999999</v>
      </c>
      <c r="D77" s="64">
        <v>28.86</v>
      </c>
      <c r="E77" s="64">
        <v>4.43</v>
      </c>
      <c r="F77" s="64">
        <v>9.61</v>
      </c>
      <c r="G77" s="64">
        <v>59.96</v>
      </c>
      <c r="H77" s="64">
        <v>8.17</v>
      </c>
      <c r="I77" s="64">
        <v>4.05</v>
      </c>
      <c r="J77" s="64">
        <v>0.03</v>
      </c>
      <c r="K77" s="64">
        <v>195.23</v>
      </c>
      <c r="L77" s="64">
        <v>27.69</v>
      </c>
      <c r="M77" s="64">
        <v>75.8</v>
      </c>
      <c r="N77" s="64">
        <v>113.8</v>
      </c>
      <c r="O77" s="64">
        <v>0</v>
      </c>
      <c r="P77" s="64">
        <v>0.25</v>
      </c>
      <c r="Q77" s="64">
        <v>9.0500000000000007</v>
      </c>
      <c r="R77" s="198"/>
      <c r="S77" s="198"/>
      <c r="T77" s="198"/>
      <c r="U77" s="198"/>
    </row>
    <row r="78" spans="1:21" s="12" customFormat="1" x14ac:dyDescent="0.25">
      <c r="A78" s="211" t="s">
        <v>986</v>
      </c>
      <c r="B78" s="64">
        <v>4.4400000000000004</v>
      </c>
      <c r="C78" s="64">
        <v>18.46</v>
      </c>
      <c r="D78" s="64">
        <v>28.51</v>
      </c>
      <c r="E78" s="64">
        <v>3.7</v>
      </c>
      <c r="F78" s="64">
        <v>6.2</v>
      </c>
      <c r="G78" s="64">
        <v>59.96</v>
      </c>
      <c r="H78" s="64">
        <v>8.17</v>
      </c>
      <c r="I78" s="64">
        <v>4.01</v>
      </c>
      <c r="J78" s="64">
        <v>0.28999999999999998</v>
      </c>
      <c r="K78" s="64">
        <v>153.85</v>
      </c>
      <c r="L78" s="64">
        <v>27.48</v>
      </c>
      <c r="M78" s="64">
        <v>76.42</v>
      </c>
      <c r="N78" s="64">
        <v>109.5</v>
      </c>
      <c r="O78" s="64">
        <v>0</v>
      </c>
      <c r="P78" s="64">
        <v>0.23</v>
      </c>
      <c r="Q78" s="64">
        <v>9.06</v>
      </c>
      <c r="R78" s="198"/>
      <c r="S78" s="198"/>
      <c r="T78" s="198"/>
      <c r="U78" s="198"/>
    </row>
    <row r="79" spans="1:21" s="12" customFormat="1" x14ac:dyDescent="0.25">
      <c r="A79" s="211" t="s">
        <v>987</v>
      </c>
      <c r="B79" s="64">
        <v>4.63</v>
      </c>
      <c r="C79" s="64">
        <v>18.38</v>
      </c>
      <c r="D79" s="64">
        <v>28.08</v>
      </c>
      <c r="E79" s="64">
        <v>3.56</v>
      </c>
      <c r="F79" s="64">
        <v>6.6</v>
      </c>
      <c r="G79" s="64">
        <v>59.96</v>
      </c>
      <c r="H79" s="64">
        <v>8.17</v>
      </c>
      <c r="I79" s="64">
        <v>4.05</v>
      </c>
      <c r="J79" s="64">
        <v>0.14000000000000001</v>
      </c>
      <c r="K79" s="64">
        <v>181.46</v>
      </c>
      <c r="L79" s="64">
        <v>27.17</v>
      </c>
      <c r="M79" s="64">
        <v>78.5</v>
      </c>
      <c r="N79" s="64">
        <v>89.2</v>
      </c>
      <c r="O79" s="64">
        <v>0</v>
      </c>
      <c r="P79" s="64">
        <v>0.22</v>
      </c>
      <c r="Q79" s="64">
        <v>9.06</v>
      </c>
      <c r="R79" s="198"/>
      <c r="S79" s="198"/>
      <c r="T79" s="198"/>
      <c r="U79" s="198"/>
    </row>
    <row r="80" spans="1:21" s="12" customFormat="1" x14ac:dyDescent="0.25">
      <c r="A80" s="211" t="s">
        <v>988</v>
      </c>
      <c r="B80" s="64">
        <v>4.96</v>
      </c>
      <c r="C80" s="64">
        <v>17.87</v>
      </c>
      <c r="D80" s="64">
        <v>26.59</v>
      </c>
      <c r="E80" s="64">
        <v>3.99</v>
      </c>
      <c r="F80" s="64">
        <v>4.96</v>
      </c>
      <c r="G80" s="64">
        <v>57.88</v>
      </c>
      <c r="H80" s="64">
        <v>12.67</v>
      </c>
      <c r="I80" s="64">
        <v>3.98</v>
      </c>
      <c r="J80" s="64">
        <v>0.23</v>
      </c>
      <c r="K80" s="64">
        <v>160.08000000000001</v>
      </c>
      <c r="L80" s="64">
        <v>26.83</v>
      </c>
      <c r="M80" s="64">
        <v>81</v>
      </c>
      <c r="N80" s="64">
        <v>97.5</v>
      </c>
      <c r="O80" s="64">
        <v>0</v>
      </c>
      <c r="P80" s="64">
        <v>0.24</v>
      </c>
      <c r="Q80" s="64">
        <v>9.07</v>
      </c>
      <c r="R80" s="198"/>
      <c r="S80" s="198"/>
      <c r="T80" s="198"/>
      <c r="U80" s="198"/>
    </row>
    <row r="81" spans="1:26" s="12" customFormat="1" x14ac:dyDescent="0.25">
      <c r="A81" s="211" t="s">
        <v>989</v>
      </c>
      <c r="B81" s="64">
        <v>5.28</v>
      </c>
      <c r="C81" s="64">
        <v>16.59</v>
      </c>
      <c r="D81" s="64">
        <v>23.65</v>
      </c>
      <c r="E81" s="64">
        <v>4.0999999999999996</v>
      </c>
      <c r="F81" s="64">
        <v>6.23</v>
      </c>
      <c r="G81" s="64">
        <v>52.16</v>
      </c>
      <c r="H81" s="64">
        <v>25.05</v>
      </c>
      <c r="I81" s="64">
        <v>3.97</v>
      </c>
      <c r="J81" s="64">
        <v>0.27</v>
      </c>
      <c r="K81" s="64">
        <v>176.78</v>
      </c>
      <c r="L81" s="64">
        <v>26.58</v>
      </c>
      <c r="M81" s="64">
        <v>82.32</v>
      </c>
      <c r="N81" s="64">
        <v>92.8</v>
      </c>
      <c r="O81" s="64">
        <v>0</v>
      </c>
      <c r="P81" s="64">
        <v>0.23</v>
      </c>
      <c r="Q81" s="64">
        <v>9.09</v>
      </c>
      <c r="R81" s="198"/>
      <c r="S81" s="198"/>
      <c r="T81" s="198"/>
      <c r="U81" s="198"/>
    </row>
    <row r="82" spans="1:26" s="12" customFormat="1" x14ac:dyDescent="0.25">
      <c r="A82" s="211" t="s">
        <v>990</v>
      </c>
      <c r="B82" s="64">
        <v>5.57</v>
      </c>
      <c r="C82" s="64">
        <v>15.91</v>
      </c>
      <c r="D82" s="64">
        <v>21.9</v>
      </c>
      <c r="E82" s="64">
        <v>4.04</v>
      </c>
      <c r="F82" s="64">
        <v>8.9600000000000009</v>
      </c>
      <c r="G82" s="64">
        <v>52.16</v>
      </c>
      <c r="H82" s="64">
        <v>25.05</v>
      </c>
      <c r="I82" s="64">
        <v>4.12</v>
      </c>
      <c r="J82" s="64">
        <v>7.0000000000000007E-2</v>
      </c>
      <c r="K82" s="64">
        <v>240.03</v>
      </c>
      <c r="L82" s="64">
        <v>26.53</v>
      </c>
      <c r="M82" s="64">
        <v>81.91</v>
      </c>
      <c r="N82" s="64">
        <v>84.3</v>
      </c>
      <c r="O82" s="64">
        <v>0</v>
      </c>
      <c r="P82" s="64">
        <v>0.23</v>
      </c>
      <c r="Q82" s="64">
        <v>9.11</v>
      </c>
      <c r="R82" s="198"/>
      <c r="S82" s="198"/>
      <c r="T82" s="198"/>
      <c r="U82" s="198"/>
    </row>
    <row r="83" spans="1:26" s="12" customFormat="1" x14ac:dyDescent="0.25">
      <c r="A83" s="211" t="s">
        <v>991</v>
      </c>
      <c r="B83" s="64">
        <v>6</v>
      </c>
      <c r="C83" s="64">
        <v>15.7</v>
      </c>
      <c r="D83" s="64">
        <v>20.84</v>
      </c>
      <c r="E83" s="64">
        <v>3.97</v>
      </c>
      <c r="F83" s="64">
        <v>8.33</v>
      </c>
      <c r="G83" s="64">
        <v>52.16</v>
      </c>
      <c r="H83" s="64">
        <v>25.05</v>
      </c>
      <c r="I83" s="64">
        <v>4.0199999999999996</v>
      </c>
      <c r="J83" s="64">
        <v>0.12</v>
      </c>
      <c r="K83" s="64">
        <v>195.33</v>
      </c>
      <c r="L83" s="64">
        <v>26.45</v>
      </c>
      <c r="M83" s="64">
        <v>83.16</v>
      </c>
      <c r="N83" s="64">
        <v>83.9</v>
      </c>
      <c r="O83" s="64">
        <v>0</v>
      </c>
      <c r="P83" s="64">
        <v>0.25</v>
      </c>
      <c r="Q83" s="64">
        <v>9.14</v>
      </c>
      <c r="R83" s="198"/>
      <c r="S83" s="198"/>
      <c r="T83" s="198"/>
      <c r="U83" s="198"/>
    </row>
    <row r="84" spans="1:26" s="12" customFormat="1" x14ac:dyDescent="0.25">
      <c r="A84" s="211" t="s">
        <v>992</v>
      </c>
      <c r="B84" s="64">
        <v>6.48</v>
      </c>
      <c r="C84" s="64">
        <v>15.78</v>
      </c>
      <c r="D84" s="64">
        <v>20.25</v>
      </c>
      <c r="E84" s="64">
        <v>3.97</v>
      </c>
      <c r="F84" s="64">
        <v>9.16</v>
      </c>
      <c r="G84" s="64">
        <v>52.83</v>
      </c>
      <c r="H84" s="64">
        <v>22.56</v>
      </c>
      <c r="I84" s="64">
        <v>4.1399999999999997</v>
      </c>
      <c r="J84" s="64">
        <v>0.08</v>
      </c>
      <c r="K84" s="64">
        <v>170.46</v>
      </c>
      <c r="L84" s="64">
        <v>26.3</v>
      </c>
      <c r="M84" s="64">
        <v>84.07</v>
      </c>
      <c r="N84" s="64">
        <v>90.4</v>
      </c>
      <c r="O84" s="64">
        <v>0</v>
      </c>
      <c r="P84" s="64">
        <v>0.24</v>
      </c>
      <c r="Q84" s="64">
        <v>9.16</v>
      </c>
      <c r="R84" s="198"/>
      <c r="S84" s="198"/>
      <c r="T84" s="198"/>
      <c r="U84" s="198"/>
    </row>
    <row r="85" spans="1:26" s="12" customFormat="1" x14ac:dyDescent="0.25">
      <c r="A85" s="211" t="s">
        <v>993</v>
      </c>
      <c r="B85" s="64">
        <v>6.84</v>
      </c>
      <c r="C85" s="64">
        <v>15.91</v>
      </c>
      <c r="D85" s="64">
        <v>19.95</v>
      </c>
      <c r="E85" s="64">
        <v>4.05</v>
      </c>
      <c r="F85" s="64">
        <v>9.49</v>
      </c>
      <c r="G85" s="64">
        <v>54.66</v>
      </c>
      <c r="H85" s="64">
        <v>15.72</v>
      </c>
      <c r="I85" s="64">
        <v>3.99</v>
      </c>
      <c r="J85" s="64">
        <v>0.12</v>
      </c>
      <c r="K85" s="64">
        <v>204.98</v>
      </c>
      <c r="L85" s="64">
        <v>26.27</v>
      </c>
      <c r="M85" s="64">
        <v>83.95</v>
      </c>
      <c r="N85" s="64">
        <v>84.3</v>
      </c>
      <c r="O85" s="64">
        <v>0</v>
      </c>
      <c r="P85" s="64">
        <v>0.24</v>
      </c>
      <c r="Q85" s="64">
        <v>9.17</v>
      </c>
      <c r="R85" s="198"/>
      <c r="S85" s="198"/>
      <c r="T85" s="198"/>
      <c r="U85" s="198"/>
    </row>
    <row r="86" spans="1:26" s="12" customFormat="1" x14ac:dyDescent="0.25">
      <c r="A86" s="211" t="s">
        <v>994</v>
      </c>
      <c r="B86" s="64">
        <v>7.25</v>
      </c>
      <c r="C86" s="64">
        <v>15.96</v>
      </c>
      <c r="D86" s="64">
        <v>19.420000000000002</v>
      </c>
      <c r="E86" s="64">
        <v>4.47</v>
      </c>
      <c r="F86" s="64">
        <v>8.77</v>
      </c>
      <c r="G86" s="64">
        <v>54.66</v>
      </c>
      <c r="H86" s="64">
        <v>15.72</v>
      </c>
      <c r="I86" s="64">
        <v>3.95</v>
      </c>
      <c r="J86" s="64">
        <v>0.13</v>
      </c>
      <c r="K86" s="64">
        <v>199.46</v>
      </c>
      <c r="L86" s="64">
        <v>26.25</v>
      </c>
      <c r="M86" s="64">
        <v>84.57</v>
      </c>
      <c r="N86" s="64">
        <v>77.2</v>
      </c>
      <c r="O86" s="64">
        <v>0</v>
      </c>
      <c r="P86" s="64">
        <v>0.26</v>
      </c>
      <c r="Q86" s="64">
        <v>9.18</v>
      </c>
      <c r="R86" s="198"/>
      <c r="S86" s="198"/>
      <c r="T86" s="198"/>
      <c r="U86" s="198"/>
    </row>
    <row r="87" spans="1:26" s="12" customFormat="1" x14ac:dyDescent="0.25">
      <c r="A87" s="211" t="s">
        <v>995</v>
      </c>
      <c r="B87" s="64">
        <v>7.62</v>
      </c>
      <c r="C87" s="64">
        <v>16.14</v>
      </c>
      <c r="D87" s="64">
        <v>19.2</v>
      </c>
      <c r="E87" s="64">
        <v>4.12</v>
      </c>
      <c r="F87" s="64">
        <v>7.81</v>
      </c>
      <c r="G87" s="64">
        <v>54.66</v>
      </c>
      <c r="H87" s="64">
        <v>15.72</v>
      </c>
      <c r="I87" s="64">
        <v>4.1500000000000004</v>
      </c>
      <c r="J87" s="64">
        <v>0.06</v>
      </c>
      <c r="K87" s="64">
        <v>198.3</v>
      </c>
      <c r="L87" s="64">
        <v>26.18</v>
      </c>
      <c r="M87" s="64">
        <v>85.55</v>
      </c>
      <c r="N87" s="64">
        <v>75.5</v>
      </c>
      <c r="O87" s="64">
        <v>0</v>
      </c>
      <c r="P87" s="64">
        <v>0.26</v>
      </c>
      <c r="Q87" s="64">
        <v>9.1999999999999993</v>
      </c>
      <c r="R87" s="198"/>
      <c r="S87" s="198"/>
      <c r="T87" s="198"/>
      <c r="U87" s="198"/>
    </row>
    <row r="88" spans="1:26" s="12" customFormat="1" x14ac:dyDescent="0.25">
      <c r="A88" s="211" t="s">
        <v>996</v>
      </c>
      <c r="B88" s="64">
        <v>7.91</v>
      </c>
      <c r="C88" s="64">
        <v>16.16</v>
      </c>
      <c r="D88" s="64">
        <v>18.79</v>
      </c>
      <c r="E88" s="64">
        <v>4.26</v>
      </c>
      <c r="F88" s="64">
        <v>8.89</v>
      </c>
      <c r="G88" s="64">
        <v>55.28</v>
      </c>
      <c r="H88" s="64">
        <v>13.28</v>
      </c>
      <c r="I88" s="64">
        <v>3.94</v>
      </c>
      <c r="J88" s="64">
        <v>0.11</v>
      </c>
      <c r="K88" s="64">
        <v>189.08</v>
      </c>
      <c r="L88" s="64">
        <v>26.08</v>
      </c>
      <c r="M88" s="64">
        <v>86.41</v>
      </c>
      <c r="N88" s="64">
        <v>74.8</v>
      </c>
      <c r="O88" s="64">
        <v>0</v>
      </c>
      <c r="P88" s="64">
        <v>0.27</v>
      </c>
      <c r="Q88" s="64">
        <v>9.2100000000000009</v>
      </c>
      <c r="R88" s="198"/>
      <c r="S88" s="198"/>
      <c r="T88" s="198"/>
      <c r="U88" s="198"/>
    </row>
    <row r="89" spans="1:26" s="12" customFormat="1" x14ac:dyDescent="0.25">
      <c r="A89" s="211" t="s">
        <v>997</v>
      </c>
      <c r="B89" s="64">
        <v>8.32</v>
      </c>
      <c r="C89" s="64">
        <v>16.75</v>
      </c>
      <c r="D89" s="64">
        <v>19.3</v>
      </c>
      <c r="E89" s="64">
        <v>4.2699999999999996</v>
      </c>
      <c r="F89" s="64">
        <v>5.16</v>
      </c>
      <c r="G89" s="64">
        <v>57</v>
      </c>
      <c r="H89" s="64">
        <v>6.55</v>
      </c>
      <c r="I89" s="64">
        <v>4.08</v>
      </c>
      <c r="J89" s="64">
        <v>0.03</v>
      </c>
      <c r="K89" s="64">
        <v>285.04000000000002</v>
      </c>
      <c r="L89" s="64">
        <v>25.98</v>
      </c>
      <c r="M89" s="64">
        <v>88.19</v>
      </c>
      <c r="N89" s="64">
        <v>73.5</v>
      </c>
      <c r="O89" s="64">
        <v>0</v>
      </c>
      <c r="P89" s="64">
        <v>0.26</v>
      </c>
      <c r="Q89" s="64">
        <v>9.2100000000000009</v>
      </c>
      <c r="R89" s="198"/>
      <c r="S89" s="198"/>
      <c r="T89" s="198"/>
      <c r="U89" s="198"/>
    </row>
    <row r="90" spans="1:26" s="12" customFormat="1" x14ac:dyDescent="0.25">
      <c r="A90" s="211" t="s">
        <v>998</v>
      </c>
      <c r="B90" s="64">
        <v>8.89</v>
      </c>
      <c r="C90" s="64">
        <v>17.82</v>
      </c>
      <c r="D90" s="64">
        <v>20.46</v>
      </c>
      <c r="E90" s="64">
        <v>4.41</v>
      </c>
      <c r="F90" s="64">
        <v>4.16</v>
      </c>
      <c r="G90" s="64">
        <v>57</v>
      </c>
      <c r="H90" s="64">
        <v>6.55</v>
      </c>
      <c r="I90" s="64">
        <v>4.05</v>
      </c>
      <c r="J90" s="64">
        <v>0.37</v>
      </c>
      <c r="K90" s="64">
        <v>137.32</v>
      </c>
      <c r="L90" s="64">
        <v>25.81</v>
      </c>
      <c r="M90" s="64">
        <v>90.28</v>
      </c>
      <c r="N90" s="64">
        <v>73</v>
      </c>
      <c r="O90" s="64">
        <v>0</v>
      </c>
      <c r="P90" s="64">
        <v>0.28000000000000003</v>
      </c>
      <c r="Q90" s="64">
        <v>9.1999999999999993</v>
      </c>
      <c r="R90" s="198"/>
      <c r="S90" s="198"/>
      <c r="T90" s="198"/>
      <c r="U90" s="198"/>
    </row>
    <row r="91" spans="1:26" s="12" customFormat="1" x14ac:dyDescent="0.25">
      <c r="A91" s="211" t="s">
        <v>999</v>
      </c>
      <c r="B91" s="64">
        <v>9.5</v>
      </c>
      <c r="C91" s="64">
        <v>17.899999999999999</v>
      </c>
      <c r="D91" s="64">
        <v>19.670000000000002</v>
      </c>
      <c r="E91" s="64">
        <v>4.1900000000000004</v>
      </c>
      <c r="F91" s="64">
        <v>4.3099999999999996</v>
      </c>
      <c r="G91" s="64">
        <v>57</v>
      </c>
      <c r="H91" s="64">
        <v>6.55</v>
      </c>
      <c r="I91" s="64">
        <v>4.03</v>
      </c>
      <c r="J91" s="64">
        <v>0.13</v>
      </c>
      <c r="K91" s="64">
        <v>137.35</v>
      </c>
      <c r="L91" s="64">
        <v>25.69</v>
      </c>
      <c r="M91" s="64">
        <v>91.48</v>
      </c>
      <c r="N91" s="64">
        <v>73.5</v>
      </c>
      <c r="O91" s="64">
        <v>0</v>
      </c>
      <c r="P91" s="64">
        <v>0.28999999999999998</v>
      </c>
      <c r="Q91" s="64">
        <v>9.2100000000000009</v>
      </c>
      <c r="R91" s="198"/>
      <c r="S91" s="198"/>
      <c r="T91" s="198"/>
      <c r="U91" s="198"/>
    </row>
    <row r="92" spans="1:26" s="12" customFormat="1" x14ac:dyDescent="0.25">
      <c r="A92" s="211" t="s">
        <v>1000</v>
      </c>
      <c r="B92" s="64">
        <v>10.11</v>
      </c>
      <c r="C92" s="64">
        <v>18.239999999999998</v>
      </c>
      <c r="D92" s="64">
        <v>19.399999999999999</v>
      </c>
      <c r="E92" s="64">
        <v>4.75</v>
      </c>
      <c r="F92" s="64">
        <v>5.0599999999999996</v>
      </c>
      <c r="G92" s="64">
        <v>55.48</v>
      </c>
      <c r="H92" s="64">
        <v>6.98</v>
      </c>
      <c r="I92" s="64">
        <v>4.05</v>
      </c>
      <c r="J92" s="64">
        <v>0.05</v>
      </c>
      <c r="K92" s="64">
        <v>72.08</v>
      </c>
      <c r="L92" s="64">
        <v>25.5</v>
      </c>
      <c r="M92" s="64">
        <v>93.7</v>
      </c>
      <c r="N92" s="64">
        <v>73.8</v>
      </c>
      <c r="O92" s="64">
        <v>0</v>
      </c>
      <c r="P92" s="64">
        <v>0.27</v>
      </c>
      <c r="Q92" s="64">
        <v>9.2200000000000006</v>
      </c>
      <c r="R92" s="198"/>
      <c r="S92" s="198"/>
      <c r="T92" s="198"/>
      <c r="U92" s="198"/>
    </row>
    <row r="93" spans="1:26" s="12" customFormat="1" x14ac:dyDescent="0.25">
      <c r="A93" s="211" t="s">
        <v>1001</v>
      </c>
      <c r="B93" s="64">
        <v>10.28</v>
      </c>
      <c r="C93" s="64">
        <v>18.84</v>
      </c>
      <c r="D93" s="64">
        <v>20.28</v>
      </c>
      <c r="E93" s="64">
        <v>4.0599999999999996</v>
      </c>
      <c r="F93" s="64">
        <v>4.12</v>
      </c>
      <c r="G93" s="64">
        <v>51.29</v>
      </c>
      <c r="H93" s="64">
        <v>8.17</v>
      </c>
      <c r="I93" s="64">
        <v>3.84</v>
      </c>
      <c r="J93" s="64">
        <v>0.05</v>
      </c>
      <c r="K93" s="64">
        <v>167.9</v>
      </c>
      <c r="L93" s="64">
        <v>25.55</v>
      </c>
      <c r="M93" s="64">
        <v>92.69</v>
      </c>
      <c r="N93" s="64">
        <v>79.7</v>
      </c>
      <c r="O93" s="64">
        <v>0</v>
      </c>
      <c r="P93" s="64">
        <v>0.28000000000000003</v>
      </c>
      <c r="Q93" s="64">
        <v>9.23</v>
      </c>
      <c r="R93" s="198"/>
      <c r="S93" s="198"/>
      <c r="T93" s="198"/>
      <c r="U93" s="198"/>
    </row>
    <row r="94" spans="1:26" s="12" customFormat="1" x14ac:dyDescent="0.25">
      <c r="A94" s="211" t="s">
        <v>1002</v>
      </c>
      <c r="B94" s="64">
        <v>10.24</v>
      </c>
      <c r="C94" s="64">
        <v>18.45</v>
      </c>
      <c r="D94" s="64">
        <v>19.59</v>
      </c>
      <c r="E94" s="64">
        <v>4</v>
      </c>
      <c r="F94" s="64">
        <v>4.18</v>
      </c>
      <c r="G94" s="64">
        <v>51.29</v>
      </c>
      <c r="H94" s="64">
        <v>8.17</v>
      </c>
      <c r="I94" s="64">
        <v>4.21</v>
      </c>
      <c r="J94" s="64">
        <v>0.12</v>
      </c>
      <c r="K94" s="64">
        <v>340.39</v>
      </c>
      <c r="L94" s="64">
        <v>25.54</v>
      </c>
      <c r="M94" s="64">
        <v>93.22</v>
      </c>
      <c r="N94" s="64">
        <v>88.2</v>
      </c>
      <c r="O94" s="64">
        <v>0</v>
      </c>
      <c r="P94" s="64">
        <v>0.26</v>
      </c>
      <c r="Q94" s="64">
        <v>9.23</v>
      </c>
      <c r="R94" s="198"/>
      <c r="S94" s="198"/>
      <c r="T94" s="198"/>
      <c r="U94" s="198"/>
    </row>
    <row r="95" spans="1:26" s="12" customFormat="1" x14ac:dyDescent="0.25">
      <c r="A95" s="211" t="s">
        <v>1003</v>
      </c>
      <c r="B95" s="64">
        <v>9.85</v>
      </c>
      <c r="C95" s="64">
        <v>17.760000000000002</v>
      </c>
      <c r="D95" s="64">
        <v>18.86</v>
      </c>
      <c r="E95" s="64">
        <v>3.99</v>
      </c>
      <c r="F95" s="64">
        <v>4.62</v>
      </c>
      <c r="G95" s="64">
        <v>51.29</v>
      </c>
      <c r="H95" s="64">
        <v>8.17</v>
      </c>
      <c r="I95" s="64">
        <v>4.13</v>
      </c>
      <c r="J95" s="64">
        <v>0.09</v>
      </c>
      <c r="K95" s="64">
        <v>202.18</v>
      </c>
      <c r="L95" s="64">
        <v>25.27</v>
      </c>
      <c r="M95" s="64">
        <v>96.12</v>
      </c>
      <c r="N95" s="64">
        <v>84.1</v>
      </c>
      <c r="O95" s="64">
        <v>0</v>
      </c>
      <c r="P95" s="64">
        <v>0.26</v>
      </c>
      <c r="Q95" s="64">
        <v>9.2200000000000006</v>
      </c>
      <c r="R95" s="198"/>
      <c r="S95" s="198"/>
      <c r="T95" s="198"/>
      <c r="U95" s="198"/>
    </row>
    <row r="96" spans="1:26" s="12" customFormat="1" x14ac:dyDescent="0.25">
      <c r="A96" s="211" t="s">
        <v>1004</v>
      </c>
      <c r="B96" s="64">
        <v>9.51</v>
      </c>
      <c r="C96" s="64">
        <v>17.38</v>
      </c>
      <c r="D96" s="64">
        <v>18.670000000000002</v>
      </c>
      <c r="E96" s="64">
        <v>3.99</v>
      </c>
      <c r="F96" s="64">
        <v>4.12</v>
      </c>
      <c r="G96" s="64">
        <v>47.74</v>
      </c>
      <c r="H96" s="64">
        <v>8.51</v>
      </c>
      <c r="I96" s="64">
        <v>3.95</v>
      </c>
      <c r="J96" s="64">
        <v>0.16</v>
      </c>
      <c r="K96" s="64">
        <v>159.12</v>
      </c>
      <c r="L96" s="64">
        <v>24.77</v>
      </c>
      <c r="M96" s="64">
        <v>98.11</v>
      </c>
      <c r="N96" s="64">
        <v>81</v>
      </c>
      <c r="O96" s="64">
        <v>0.2</v>
      </c>
      <c r="P96" s="64">
        <v>0.28000000000000003</v>
      </c>
      <c r="Q96" s="64">
        <v>9.2100000000000009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1005</v>
      </c>
      <c r="B97" s="64">
        <v>9.56</v>
      </c>
      <c r="C97" s="64">
        <v>17.309999999999999</v>
      </c>
      <c r="D97" s="64">
        <v>18.47</v>
      </c>
      <c r="E97" s="64">
        <v>4.13</v>
      </c>
      <c r="F97" s="64">
        <v>4.01</v>
      </c>
      <c r="G97" s="64">
        <v>38.49</v>
      </c>
      <c r="H97" s="64">
        <v>9.44</v>
      </c>
      <c r="I97" s="64">
        <v>4.0599999999999996</v>
      </c>
      <c r="J97" s="64">
        <v>0.28999999999999998</v>
      </c>
      <c r="K97" s="64">
        <v>141.04</v>
      </c>
      <c r="L97" s="64">
        <v>24.49</v>
      </c>
      <c r="M97" s="64">
        <v>98.2</v>
      </c>
      <c r="N97" s="64">
        <v>87.4</v>
      </c>
      <c r="O97" s="64">
        <v>0</v>
      </c>
      <c r="P97" s="64">
        <v>0.25</v>
      </c>
      <c r="Q97" s="64">
        <v>9.1999999999999993</v>
      </c>
      <c r="R97" s="198"/>
      <c r="S97" s="198"/>
      <c r="T97" s="198"/>
      <c r="U97" s="198"/>
    </row>
    <row r="98" spans="1:33" s="12" customFormat="1" x14ac:dyDescent="0.25">
      <c r="A98" s="211" t="s">
        <v>1006</v>
      </c>
      <c r="B98" s="64">
        <v>9.56</v>
      </c>
      <c r="C98" s="64">
        <v>17.190000000000001</v>
      </c>
      <c r="D98" s="64">
        <v>18.22</v>
      </c>
      <c r="E98" s="64">
        <v>3.88</v>
      </c>
      <c r="F98" s="64">
        <v>3.83</v>
      </c>
      <c r="G98" s="64">
        <v>38.49</v>
      </c>
      <c r="H98" s="64">
        <v>9.44</v>
      </c>
      <c r="I98" s="64">
        <v>4.08</v>
      </c>
      <c r="J98" s="64">
        <v>0.25</v>
      </c>
      <c r="K98" s="64">
        <v>167.06</v>
      </c>
      <c r="L98" s="64">
        <v>24.38</v>
      </c>
      <c r="M98" s="64">
        <v>98.26</v>
      </c>
      <c r="N98" s="64">
        <v>81.099999999999994</v>
      </c>
      <c r="O98" s="64">
        <v>0</v>
      </c>
      <c r="P98" s="64">
        <v>0.27</v>
      </c>
      <c r="Q98" s="64">
        <v>9.19</v>
      </c>
      <c r="R98" s="198"/>
      <c r="S98" s="198"/>
      <c r="T98" s="198"/>
      <c r="U98" s="198"/>
    </row>
    <row r="99" spans="1:33" s="12" customFormat="1" x14ac:dyDescent="0.25">
      <c r="A99" s="211" t="s">
        <v>1007</v>
      </c>
      <c r="B99" s="64">
        <v>9.69</v>
      </c>
      <c r="C99" s="64">
        <v>17.440000000000001</v>
      </c>
      <c r="D99" s="64">
        <v>18.5</v>
      </c>
      <c r="E99" s="64">
        <v>4.0599999999999996</v>
      </c>
      <c r="F99" s="64">
        <v>4.93</v>
      </c>
      <c r="G99" s="64">
        <v>38.49</v>
      </c>
      <c r="H99" s="64">
        <v>9.44</v>
      </c>
      <c r="I99" s="64">
        <v>3.97</v>
      </c>
      <c r="J99" s="64">
        <v>0.06</v>
      </c>
      <c r="K99" s="64">
        <v>197.89</v>
      </c>
      <c r="L99" s="64">
        <v>24.36</v>
      </c>
      <c r="M99" s="64">
        <v>98.17</v>
      </c>
      <c r="N99" s="64">
        <v>84.2</v>
      </c>
      <c r="O99" s="64">
        <v>0</v>
      </c>
      <c r="P99" s="64">
        <v>0.26</v>
      </c>
      <c r="Q99" s="64">
        <v>9.2100000000000009</v>
      </c>
      <c r="R99" s="198"/>
      <c r="S99" s="198"/>
      <c r="T99" s="198"/>
      <c r="U99" s="198"/>
    </row>
    <row r="100" spans="1:33" s="12" customFormat="1" x14ac:dyDescent="0.25">
      <c r="A100" s="211" t="s">
        <v>1008</v>
      </c>
      <c r="B100" s="64">
        <v>9.9499999999999993</v>
      </c>
      <c r="C100" s="64">
        <v>17.329999999999998</v>
      </c>
      <c r="D100" s="64">
        <v>17.89</v>
      </c>
      <c r="E100" s="64">
        <v>3.99</v>
      </c>
      <c r="F100" s="64">
        <v>8.92</v>
      </c>
      <c r="G100" s="64">
        <v>37.1</v>
      </c>
      <c r="H100" s="64">
        <v>8.16</v>
      </c>
      <c r="I100" s="64">
        <v>4.01</v>
      </c>
      <c r="J100" s="64">
        <v>0.15</v>
      </c>
      <c r="K100" s="64">
        <v>173.03</v>
      </c>
      <c r="L100" s="64">
        <v>24.27</v>
      </c>
      <c r="M100" s="64">
        <v>98.15</v>
      </c>
      <c r="N100" s="64">
        <v>84.9</v>
      </c>
      <c r="O100" s="64">
        <v>0</v>
      </c>
      <c r="P100" s="64">
        <v>0.23</v>
      </c>
      <c r="Q100" s="64">
        <v>9.23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1009</v>
      </c>
      <c r="B101" s="64">
        <v>10.23</v>
      </c>
      <c r="C101" s="64">
        <v>17.34</v>
      </c>
      <c r="D101" s="64">
        <v>17.489999999999998</v>
      </c>
      <c r="E101" s="64">
        <v>4.0199999999999996</v>
      </c>
      <c r="F101" s="64">
        <v>4.8</v>
      </c>
      <c r="G101" s="64">
        <v>33.26</v>
      </c>
      <c r="H101" s="64">
        <v>4.62</v>
      </c>
      <c r="I101" s="64">
        <v>3.97</v>
      </c>
      <c r="J101" s="64">
        <v>0.05</v>
      </c>
      <c r="K101" s="64">
        <v>267.52</v>
      </c>
      <c r="L101" s="64">
        <v>24.38</v>
      </c>
      <c r="M101" s="64">
        <v>98.27</v>
      </c>
      <c r="N101" s="64">
        <v>81.5</v>
      </c>
      <c r="O101" s="64">
        <v>0</v>
      </c>
      <c r="P101" s="64">
        <v>0.24</v>
      </c>
      <c r="Q101" s="64">
        <v>9.25</v>
      </c>
      <c r="R101" s="198"/>
      <c r="S101" s="198"/>
      <c r="T101" s="198"/>
      <c r="U101" s="198"/>
    </row>
    <row r="102" spans="1:33" s="12" customFormat="1" x14ac:dyDescent="0.25">
      <c r="A102" s="211" t="s">
        <v>1010</v>
      </c>
      <c r="B102" s="64">
        <v>9.85</v>
      </c>
      <c r="C102" s="64">
        <v>17.22</v>
      </c>
      <c r="D102" s="64">
        <v>17.829999999999998</v>
      </c>
      <c r="E102" s="64">
        <v>4.3099999999999996</v>
      </c>
      <c r="F102" s="64">
        <v>4.37</v>
      </c>
      <c r="G102" s="64">
        <v>33.26</v>
      </c>
      <c r="H102" s="64">
        <v>4.62</v>
      </c>
      <c r="I102" s="64">
        <v>3.91</v>
      </c>
      <c r="J102" s="64">
        <v>0.27</v>
      </c>
      <c r="K102" s="64">
        <v>301.37</v>
      </c>
      <c r="L102" s="64">
        <v>24.62</v>
      </c>
      <c r="M102" s="64">
        <v>96.81</v>
      </c>
      <c r="N102" s="64">
        <v>80.099999999999994</v>
      </c>
      <c r="O102" s="64">
        <v>0</v>
      </c>
      <c r="P102" s="64">
        <v>0.25</v>
      </c>
      <c r="Q102" s="64">
        <v>9.24</v>
      </c>
      <c r="R102" s="198"/>
      <c r="S102" s="198"/>
      <c r="T102" s="198"/>
      <c r="U102" s="198"/>
    </row>
    <row r="103" spans="1:33" s="12" customFormat="1" x14ac:dyDescent="0.25">
      <c r="A103" s="211" t="s">
        <v>1011</v>
      </c>
      <c r="B103" s="64">
        <v>7.82</v>
      </c>
      <c r="C103" s="64">
        <v>16.29</v>
      </c>
      <c r="D103" s="64">
        <v>19.18</v>
      </c>
      <c r="E103" s="64">
        <v>4.28</v>
      </c>
      <c r="F103" s="64">
        <v>4.8600000000000003</v>
      </c>
      <c r="G103" s="64">
        <v>33.26</v>
      </c>
      <c r="H103" s="64">
        <v>4.62</v>
      </c>
      <c r="I103" s="64">
        <v>4.01</v>
      </c>
      <c r="J103" s="64">
        <v>0.31</v>
      </c>
      <c r="K103" s="64">
        <v>311.51</v>
      </c>
      <c r="L103" s="64">
        <v>24.03</v>
      </c>
      <c r="M103" s="64">
        <v>96.08</v>
      </c>
      <c r="N103" s="64">
        <v>83.5</v>
      </c>
      <c r="O103" s="64">
        <v>0</v>
      </c>
      <c r="P103" s="64">
        <v>0.23</v>
      </c>
      <c r="Q103" s="64">
        <v>9.1999999999999993</v>
      </c>
      <c r="R103" s="198"/>
      <c r="S103" s="198"/>
      <c r="T103" s="198"/>
      <c r="U103" s="198"/>
    </row>
    <row r="104" spans="1:33" s="12" customFormat="1" x14ac:dyDescent="0.25">
      <c r="A104" s="211" t="s">
        <v>1012</v>
      </c>
      <c r="B104" s="64">
        <v>5.85</v>
      </c>
      <c r="C104" s="64">
        <v>15.19</v>
      </c>
      <c r="D104" s="64">
        <v>20.100000000000001</v>
      </c>
      <c r="E104" s="64">
        <v>3.64</v>
      </c>
      <c r="F104" s="64">
        <v>5.35</v>
      </c>
      <c r="G104" s="64">
        <v>31.42</v>
      </c>
      <c r="H104" s="64">
        <v>144.63</v>
      </c>
      <c r="I104" s="64">
        <v>3.98</v>
      </c>
      <c r="J104" s="64">
        <v>0.22</v>
      </c>
      <c r="K104" s="64">
        <v>306.43</v>
      </c>
      <c r="L104" s="64">
        <v>23.62</v>
      </c>
      <c r="M104" s="64">
        <v>98.22</v>
      </c>
      <c r="N104" s="64">
        <v>85.7</v>
      </c>
      <c r="O104" s="64">
        <v>0</v>
      </c>
      <c r="P104" s="64">
        <v>0.21</v>
      </c>
      <c r="Q104" s="64">
        <v>9.15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3.58</v>
      </c>
      <c r="C106" s="67">
        <f>MIN(C9:C104)</f>
        <v>13.46</v>
      </c>
      <c r="D106" s="67">
        <f t="shared" ref="D106:Q106" si="0">MIN(D9:D104)</f>
        <v>16</v>
      </c>
      <c r="E106" s="67">
        <f t="shared" si="0"/>
        <v>2.64</v>
      </c>
      <c r="F106" s="67">
        <f t="shared" si="0"/>
        <v>3.21</v>
      </c>
      <c r="G106" s="67">
        <f t="shared" si="0"/>
        <v>28.04</v>
      </c>
      <c r="H106" s="67">
        <f t="shared" si="0"/>
        <v>-18.29</v>
      </c>
      <c r="I106" s="67">
        <f t="shared" si="0"/>
        <v>3.81</v>
      </c>
      <c r="J106" s="67">
        <f t="shared" si="0"/>
        <v>0.02</v>
      </c>
      <c r="K106" s="67">
        <f t="shared" si="0"/>
        <v>72.08</v>
      </c>
      <c r="L106" s="67">
        <f t="shared" si="0"/>
        <v>23.62</v>
      </c>
      <c r="M106" s="67">
        <f t="shared" si="0"/>
        <v>74.22</v>
      </c>
      <c r="N106" s="67">
        <f t="shared" si="0"/>
        <v>53.3</v>
      </c>
      <c r="O106" s="67">
        <f t="shared" si="0"/>
        <v>0</v>
      </c>
      <c r="P106" s="67">
        <f t="shared" si="0"/>
        <v>0.16</v>
      </c>
      <c r="Q106" s="67">
        <f t="shared" si="0"/>
        <v>9.0500000000000007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74.83</v>
      </c>
      <c r="C107" s="66">
        <f t="shared" ref="C107:Q107" si="1">MAX(C9:C104)</f>
        <v>91.08</v>
      </c>
      <c r="D107" s="66">
        <f t="shared" si="1"/>
        <v>59.48</v>
      </c>
      <c r="E107" s="66">
        <f t="shared" si="1"/>
        <v>4.75</v>
      </c>
      <c r="F107" s="66">
        <f t="shared" si="1"/>
        <v>13.07</v>
      </c>
      <c r="G107" s="66">
        <f t="shared" si="1"/>
        <v>60.91</v>
      </c>
      <c r="H107" s="66">
        <f t="shared" si="1"/>
        <v>1430.92</v>
      </c>
      <c r="I107" s="66">
        <f t="shared" si="1"/>
        <v>4.21</v>
      </c>
      <c r="J107" s="66">
        <f t="shared" si="1"/>
        <v>0.37</v>
      </c>
      <c r="K107" s="66">
        <f t="shared" si="1"/>
        <v>340.39</v>
      </c>
      <c r="L107" s="66">
        <f t="shared" si="1"/>
        <v>28.25</v>
      </c>
      <c r="M107" s="66">
        <f t="shared" si="1"/>
        <v>100.88</v>
      </c>
      <c r="N107" s="66">
        <f t="shared" si="1"/>
        <v>234.3</v>
      </c>
      <c r="O107" s="66">
        <f t="shared" si="1"/>
        <v>0.2</v>
      </c>
      <c r="P107" s="66">
        <f t="shared" si="1"/>
        <v>0.32</v>
      </c>
      <c r="Q107" s="66">
        <f t="shared" si="1"/>
        <v>9.34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8.3176041666666709</v>
      </c>
      <c r="C108" s="67">
        <f t="shared" ref="C108:Q108" si="2">AVERAGE(C9:C104)</f>
        <v>17.500000000000004</v>
      </c>
      <c r="D108" s="67">
        <f t="shared" si="2"/>
        <v>20.728854166666668</v>
      </c>
      <c r="E108" s="67">
        <f t="shared" si="2"/>
        <v>3.9583333333333344</v>
      </c>
      <c r="F108" s="67">
        <f t="shared" si="2"/>
        <v>6.011145833333333</v>
      </c>
      <c r="G108" s="67">
        <f t="shared" si="2"/>
        <v>45.302708333333321</v>
      </c>
      <c r="H108" s="67">
        <f t="shared" si="2"/>
        <v>89.337083333333268</v>
      </c>
      <c r="I108" s="67">
        <f t="shared" si="2"/>
        <v>4.0092708333333329</v>
      </c>
      <c r="J108" s="67">
        <f t="shared" si="2"/>
        <v>0.15822916666666667</v>
      </c>
      <c r="K108" s="67">
        <f t="shared" si="2"/>
        <v>247.37114583333326</v>
      </c>
      <c r="L108" s="67">
        <f t="shared" si="2"/>
        <v>26.547291666666666</v>
      </c>
      <c r="M108" s="67">
        <f t="shared" si="2"/>
        <v>85.272812499999944</v>
      </c>
      <c r="N108" s="67">
        <f t="shared" si="2"/>
        <v>114.9875</v>
      </c>
      <c r="O108" s="67">
        <f t="shared" si="2"/>
        <v>2.0833333333333333E-3</v>
      </c>
      <c r="P108" s="67">
        <f t="shared" si="2"/>
        <v>0.2434375</v>
      </c>
      <c r="Q108" s="67">
        <f t="shared" si="2"/>
        <v>9.2046875000000021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7.1502657653650035</v>
      </c>
      <c r="C109" s="67">
        <f t="shared" ref="C109:Q109" si="3">STDEV(C9:C104)</f>
        <v>7.764535299749288</v>
      </c>
      <c r="D109" s="67">
        <f t="shared" si="3"/>
        <v>4.7185160177843821</v>
      </c>
      <c r="E109" s="67">
        <f t="shared" si="3"/>
        <v>0.34794938127524316</v>
      </c>
      <c r="F109" s="67">
        <f t="shared" si="3"/>
        <v>2.0675492076072102</v>
      </c>
      <c r="G109" s="67">
        <f t="shared" si="3"/>
        <v>10.787575843891885</v>
      </c>
      <c r="H109" s="67">
        <f t="shared" si="3"/>
        <v>272.37983093241672</v>
      </c>
      <c r="I109" s="67">
        <f t="shared" si="3"/>
        <v>7.8395015841390844E-2</v>
      </c>
      <c r="J109" s="67">
        <f t="shared" si="3"/>
        <v>9.0192715211335123E-2</v>
      </c>
      <c r="K109" s="67">
        <f t="shared" si="3"/>
        <v>55.593468451453475</v>
      </c>
      <c r="L109" s="67">
        <f t="shared" si="3"/>
        <v>1.1202663961065753</v>
      </c>
      <c r="M109" s="67">
        <f t="shared" si="3"/>
        <v>8.1508108351094037</v>
      </c>
      <c r="N109" s="67">
        <f t="shared" si="3"/>
        <v>58.623852250014913</v>
      </c>
      <c r="O109" s="67">
        <f t="shared" si="3"/>
        <v>2.0412414523193152E-2</v>
      </c>
      <c r="P109" s="67">
        <f t="shared" si="3"/>
        <v>4.0957696404177693E-2</v>
      </c>
      <c r="Q109" s="67">
        <f t="shared" si="3"/>
        <v>7.6460559148250756E-2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3" sqref="H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821</v>
      </c>
      <c r="B9" s="64">
        <v>5.89</v>
      </c>
      <c r="C9" s="64">
        <v>15.29</v>
      </c>
      <c r="D9" s="64">
        <v>20.22</v>
      </c>
      <c r="E9" s="64">
        <v>4.83</v>
      </c>
      <c r="F9" s="64">
        <v>5.9</v>
      </c>
      <c r="G9" s="64">
        <v>48.12</v>
      </c>
      <c r="H9" s="64">
        <v>374.93</v>
      </c>
      <c r="I9" s="64">
        <v>4.04</v>
      </c>
      <c r="J9" s="64">
        <v>0.11</v>
      </c>
      <c r="K9" s="64">
        <v>324.77</v>
      </c>
      <c r="L9" s="64">
        <v>25.79</v>
      </c>
      <c r="M9" s="64">
        <v>85.43</v>
      </c>
      <c r="N9" s="64">
        <v>45.6</v>
      </c>
      <c r="O9" s="64">
        <v>0</v>
      </c>
      <c r="P9" s="64">
        <v>0.27</v>
      </c>
      <c r="Q9" s="64">
        <v>9.2200000000000006</v>
      </c>
      <c r="R9" s="198"/>
      <c r="S9" s="198"/>
      <c r="T9" s="198"/>
      <c r="U9" s="198"/>
    </row>
    <row r="10" spans="1:21" s="12" customFormat="1" x14ac:dyDescent="0.25">
      <c r="A10" s="211" t="s">
        <v>822</v>
      </c>
      <c r="B10" s="64">
        <v>7.49</v>
      </c>
      <c r="C10" s="64">
        <v>18.22</v>
      </c>
      <c r="D10" s="64">
        <v>23.38</v>
      </c>
      <c r="E10" s="64">
        <v>5.23</v>
      </c>
      <c r="F10" s="64">
        <v>7</v>
      </c>
      <c r="G10" s="64">
        <v>48.12</v>
      </c>
      <c r="H10" s="64">
        <v>374.93</v>
      </c>
      <c r="I10" s="64">
        <v>4.03</v>
      </c>
      <c r="J10" s="64">
        <v>0.09</v>
      </c>
      <c r="K10" s="64">
        <v>310.55</v>
      </c>
      <c r="L10" s="64">
        <v>25.83</v>
      </c>
      <c r="M10" s="64">
        <v>85.58</v>
      </c>
      <c r="N10" s="64">
        <v>45.4</v>
      </c>
      <c r="O10" s="64">
        <v>0</v>
      </c>
      <c r="P10" s="64">
        <v>0.25</v>
      </c>
      <c r="Q10" s="64">
        <v>9.2100000000000009</v>
      </c>
      <c r="R10" s="198"/>
      <c r="S10" s="198"/>
      <c r="T10" s="198"/>
      <c r="U10" s="198"/>
    </row>
    <row r="11" spans="1:21" s="12" customFormat="1" x14ac:dyDescent="0.25">
      <c r="A11" s="211" t="s">
        <v>823</v>
      </c>
      <c r="B11" s="64">
        <v>8.27</v>
      </c>
      <c r="C11" s="64">
        <v>20.04</v>
      </c>
      <c r="D11" s="64">
        <v>25.66</v>
      </c>
      <c r="E11" s="64">
        <v>5.48</v>
      </c>
      <c r="F11" s="64">
        <v>7.56</v>
      </c>
      <c r="G11" s="64">
        <v>48.12</v>
      </c>
      <c r="H11" s="64">
        <v>374.93</v>
      </c>
      <c r="I11" s="64">
        <v>3.96</v>
      </c>
      <c r="J11" s="64">
        <v>0.08</v>
      </c>
      <c r="K11" s="64">
        <v>305.06</v>
      </c>
      <c r="L11" s="64">
        <v>25.78</v>
      </c>
      <c r="M11" s="64">
        <v>86.25</v>
      </c>
      <c r="N11" s="64">
        <v>45.6</v>
      </c>
      <c r="O11" s="64">
        <v>0</v>
      </c>
      <c r="P11" s="64">
        <v>0.24</v>
      </c>
      <c r="Q11" s="64">
        <v>9.1999999999999993</v>
      </c>
      <c r="R11" s="198"/>
      <c r="S11" s="198"/>
      <c r="T11" s="198"/>
      <c r="U11" s="198"/>
    </row>
    <row r="12" spans="1:21" s="12" customFormat="1" x14ac:dyDescent="0.25">
      <c r="A12" s="211" t="s">
        <v>824</v>
      </c>
      <c r="B12" s="64">
        <v>7.58</v>
      </c>
      <c r="C12" s="64">
        <v>20.62</v>
      </c>
      <c r="D12" s="64">
        <v>27.83</v>
      </c>
      <c r="E12" s="64">
        <v>4.8600000000000003</v>
      </c>
      <c r="F12" s="64">
        <v>7</v>
      </c>
      <c r="G12" s="64">
        <v>48.85</v>
      </c>
      <c r="H12" s="64">
        <v>277.39999999999998</v>
      </c>
      <c r="I12" s="64">
        <v>3.98</v>
      </c>
      <c r="J12" s="64">
        <v>0.05</v>
      </c>
      <c r="K12" s="64">
        <v>281.37</v>
      </c>
      <c r="L12" s="64">
        <v>25.73</v>
      </c>
      <c r="M12" s="64">
        <v>87.93</v>
      </c>
      <c r="N12" s="64">
        <v>45.4</v>
      </c>
      <c r="O12" s="64">
        <v>0</v>
      </c>
      <c r="P12" s="64">
        <v>0.31</v>
      </c>
      <c r="Q12" s="64">
        <v>9.1999999999999993</v>
      </c>
      <c r="R12" s="198"/>
      <c r="S12" s="198"/>
      <c r="T12" s="198"/>
      <c r="U12" s="198"/>
    </row>
    <row r="13" spans="1:21" s="12" customFormat="1" x14ac:dyDescent="0.25">
      <c r="A13" s="211" t="s">
        <v>825</v>
      </c>
      <c r="B13" s="64">
        <v>5.27</v>
      </c>
      <c r="C13" s="64">
        <v>16.34</v>
      </c>
      <c r="D13" s="64">
        <v>23.18</v>
      </c>
      <c r="E13" s="64">
        <v>5.04</v>
      </c>
      <c r="F13" s="64">
        <v>7.83</v>
      </c>
      <c r="G13" s="64">
        <v>50.75</v>
      </c>
      <c r="H13" s="64">
        <v>9.2200000000000006</v>
      </c>
      <c r="I13" s="64">
        <v>4.07</v>
      </c>
      <c r="J13" s="64">
        <v>7.0000000000000007E-2</v>
      </c>
      <c r="K13" s="64">
        <v>215.85</v>
      </c>
      <c r="L13" s="64">
        <v>25.63</v>
      </c>
      <c r="M13" s="64">
        <v>88.74</v>
      </c>
      <c r="N13" s="64">
        <v>44.8</v>
      </c>
      <c r="O13" s="64">
        <v>0</v>
      </c>
      <c r="P13" s="64">
        <v>0.26</v>
      </c>
      <c r="Q13" s="64">
        <v>9.2100000000000009</v>
      </c>
      <c r="R13" s="198"/>
      <c r="S13" s="198"/>
      <c r="T13" s="198"/>
      <c r="U13" s="198"/>
    </row>
    <row r="14" spans="1:21" s="12" customFormat="1" x14ac:dyDescent="0.25">
      <c r="A14" s="211" t="s">
        <v>826</v>
      </c>
      <c r="B14" s="64">
        <v>5.0199999999999996</v>
      </c>
      <c r="C14" s="64">
        <v>15.28</v>
      </c>
      <c r="D14" s="64">
        <v>21.54</v>
      </c>
      <c r="E14" s="64">
        <v>4.88</v>
      </c>
      <c r="F14" s="64">
        <v>7.18</v>
      </c>
      <c r="G14" s="64">
        <v>50.75</v>
      </c>
      <c r="H14" s="64">
        <v>9.2200000000000006</v>
      </c>
      <c r="I14" s="64">
        <v>3.9</v>
      </c>
      <c r="J14" s="64">
        <v>0.11</v>
      </c>
      <c r="K14" s="64">
        <v>211.85</v>
      </c>
      <c r="L14" s="64">
        <v>25.64</v>
      </c>
      <c r="M14" s="64">
        <v>88.19</v>
      </c>
      <c r="N14" s="64">
        <v>45.3</v>
      </c>
      <c r="O14" s="64">
        <v>0</v>
      </c>
      <c r="P14" s="64">
        <v>0.25</v>
      </c>
      <c r="Q14" s="64">
        <v>9.2100000000000009</v>
      </c>
      <c r="R14" s="198"/>
      <c r="S14" s="198"/>
      <c r="T14" s="198"/>
      <c r="U14" s="198"/>
    </row>
    <row r="15" spans="1:21" s="12" customFormat="1" x14ac:dyDescent="0.25">
      <c r="A15" s="211" t="s">
        <v>827</v>
      </c>
      <c r="B15" s="64">
        <v>5.55</v>
      </c>
      <c r="C15" s="64">
        <v>14.64</v>
      </c>
      <c r="D15" s="64">
        <v>19.5</v>
      </c>
      <c r="E15" s="64">
        <v>5.01</v>
      </c>
      <c r="F15" s="64">
        <v>7.89</v>
      </c>
      <c r="G15" s="64">
        <v>50.75</v>
      </c>
      <c r="H15" s="64">
        <v>9.2200000000000006</v>
      </c>
      <c r="I15" s="64">
        <v>4</v>
      </c>
      <c r="J15" s="64">
        <v>0.12</v>
      </c>
      <c r="K15" s="64">
        <v>190.29</v>
      </c>
      <c r="L15" s="64">
        <v>25.51</v>
      </c>
      <c r="M15" s="64">
        <v>89.27</v>
      </c>
      <c r="N15" s="64">
        <v>45.6</v>
      </c>
      <c r="O15" s="64">
        <v>0</v>
      </c>
      <c r="P15" s="64">
        <v>0.2</v>
      </c>
      <c r="Q15" s="64">
        <v>9.1999999999999993</v>
      </c>
      <c r="R15" s="198"/>
      <c r="S15" s="198"/>
      <c r="T15" s="198"/>
      <c r="U15" s="198"/>
    </row>
    <row r="16" spans="1:21" s="12" customFormat="1" x14ac:dyDescent="0.25">
      <c r="A16" s="211" t="s">
        <v>828</v>
      </c>
      <c r="B16" s="64">
        <v>5.4</v>
      </c>
      <c r="C16" s="64">
        <v>13.7</v>
      </c>
      <c r="D16" s="64">
        <v>17.93</v>
      </c>
      <c r="E16" s="64">
        <v>5</v>
      </c>
      <c r="F16" s="64">
        <v>7.98</v>
      </c>
      <c r="G16" s="64">
        <v>50.18</v>
      </c>
      <c r="H16" s="64">
        <v>18.260000000000002</v>
      </c>
      <c r="I16" s="64">
        <v>3.87</v>
      </c>
      <c r="J16" s="64">
        <v>0.25</v>
      </c>
      <c r="K16" s="64">
        <v>147.91999999999999</v>
      </c>
      <c r="L16" s="64">
        <v>25.33</v>
      </c>
      <c r="M16" s="64">
        <v>90.76</v>
      </c>
      <c r="N16" s="64">
        <v>45.6</v>
      </c>
      <c r="O16" s="64">
        <v>0</v>
      </c>
      <c r="P16" s="64">
        <v>0.2</v>
      </c>
      <c r="Q16" s="64">
        <v>9.19</v>
      </c>
      <c r="R16" s="198"/>
      <c r="S16" s="198"/>
      <c r="T16" s="198"/>
      <c r="U16" s="198"/>
    </row>
    <row r="17" spans="1:21" s="12" customFormat="1" x14ac:dyDescent="0.25">
      <c r="A17" s="211" t="s">
        <v>829</v>
      </c>
      <c r="B17" s="64">
        <v>5.64</v>
      </c>
      <c r="C17" s="64">
        <v>13.45</v>
      </c>
      <c r="D17" s="64">
        <v>17.079999999999998</v>
      </c>
      <c r="E17" s="64">
        <v>4.7300000000000004</v>
      </c>
      <c r="F17" s="64">
        <v>8.15</v>
      </c>
      <c r="G17" s="64">
        <v>48.61</v>
      </c>
      <c r="H17" s="64">
        <v>43.13</v>
      </c>
      <c r="I17" s="64">
        <v>3.93</v>
      </c>
      <c r="J17" s="64">
        <v>0.11</v>
      </c>
      <c r="K17" s="64">
        <v>146.57</v>
      </c>
      <c r="L17" s="64">
        <v>25.27</v>
      </c>
      <c r="M17" s="64">
        <v>90.77</v>
      </c>
      <c r="N17" s="64">
        <v>45.5</v>
      </c>
      <c r="O17" s="64">
        <v>0</v>
      </c>
      <c r="P17" s="64">
        <v>0.18</v>
      </c>
      <c r="Q17" s="64">
        <v>9.18</v>
      </c>
      <c r="R17" s="198"/>
      <c r="S17" s="198"/>
      <c r="T17" s="198"/>
      <c r="U17" s="198"/>
    </row>
    <row r="18" spans="1:21" s="12" customFormat="1" x14ac:dyDescent="0.25">
      <c r="A18" s="211" t="s">
        <v>830</v>
      </c>
      <c r="B18" s="64">
        <v>5.01</v>
      </c>
      <c r="C18" s="64">
        <v>12.57</v>
      </c>
      <c r="D18" s="64">
        <v>16.37</v>
      </c>
      <c r="E18" s="64">
        <v>4.8</v>
      </c>
      <c r="F18" s="64">
        <v>8.84</v>
      </c>
      <c r="G18" s="64">
        <v>48.61</v>
      </c>
      <c r="H18" s="64">
        <v>43.13</v>
      </c>
      <c r="I18" s="64">
        <v>4.01</v>
      </c>
      <c r="J18" s="64">
        <v>0.06</v>
      </c>
      <c r="K18" s="64">
        <v>145.32</v>
      </c>
      <c r="L18" s="64">
        <v>25.22</v>
      </c>
      <c r="M18" s="64">
        <v>91.21</v>
      </c>
      <c r="N18" s="64">
        <v>45.6</v>
      </c>
      <c r="O18" s="64">
        <v>0</v>
      </c>
      <c r="P18" s="64">
        <v>0.16</v>
      </c>
      <c r="Q18" s="64">
        <v>9.19</v>
      </c>
      <c r="R18" s="198"/>
      <c r="S18" s="198"/>
      <c r="T18" s="198"/>
      <c r="U18" s="198"/>
    </row>
    <row r="19" spans="1:21" s="12" customFormat="1" x14ac:dyDescent="0.25">
      <c r="A19" s="211" t="s">
        <v>831</v>
      </c>
      <c r="B19" s="64">
        <v>13.37</v>
      </c>
      <c r="C19" s="64">
        <v>24.81</v>
      </c>
      <c r="D19" s="64">
        <v>26.95</v>
      </c>
      <c r="E19" s="64">
        <v>4.5</v>
      </c>
      <c r="F19" s="64">
        <v>8.66</v>
      </c>
      <c r="G19" s="64">
        <v>48.61</v>
      </c>
      <c r="H19" s="64">
        <v>43.13</v>
      </c>
      <c r="I19" s="64">
        <v>3.94</v>
      </c>
      <c r="J19" s="64">
        <v>0.11</v>
      </c>
      <c r="K19" s="64">
        <v>197.04</v>
      </c>
      <c r="L19" s="64">
        <v>25.21</v>
      </c>
      <c r="M19" s="64">
        <v>92.17</v>
      </c>
      <c r="N19" s="64">
        <v>45.4</v>
      </c>
      <c r="O19" s="64">
        <v>0</v>
      </c>
      <c r="P19" s="64">
        <v>0.15</v>
      </c>
      <c r="Q19" s="64">
        <v>9.1999999999999993</v>
      </c>
      <c r="R19" s="198"/>
      <c r="S19" s="198"/>
      <c r="T19" s="198"/>
      <c r="U19" s="198"/>
    </row>
    <row r="20" spans="1:21" s="12" customFormat="1" x14ac:dyDescent="0.25">
      <c r="A20" s="211" t="s">
        <v>832</v>
      </c>
      <c r="B20" s="64">
        <v>14.45</v>
      </c>
      <c r="C20" s="64">
        <v>25.57</v>
      </c>
      <c r="D20" s="64">
        <v>26.77</v>
      </c>
      <c r="E20" s="64">
        <v>5.07</v>
      </c>
      <c r="F20" s="64">
        <v>8.98</v>
      </c>
      <c r="G20" s="64">
        <v>46.37</v>
      </c>
      <c r="H20" s="64">
        <v>36.71</v>
      </c>
      <c r="I20" s="64">
        <v>3.97</v>
      </c>
      <c r="J20" s="64">
        <v>0.21</v>
      </c>
      <c r="K20" s="64">
        <v>155.88</v>
      </c>
      <c r="L20" s="64">
        <v>25.07</v>
      </c>
      <c r="M20" s="64">
        <v>93.58</v>
      </c>
      <c r="N20" s="64">
        <v>45.4</v>
      </c>
      <c r="O20" s="64">
        <v>0</v>
      </c>
      <c r="P20" s="64">
        <v>0.15</v>
      </c>
      <c r="Q20" s="64">
        <v>9.23</v>
      </c>
      <c r="R20" s="198"/>
      <c r="S20" s="198"/>
      <c r="T20" s="198"/>
      <c r="U20" s="198"/>
    </row>
    <row r="21" spans="1:21" s="12" customFormat="1" x14ac:dyDescent="0.25">
      <c r="A21" s="211" t="s">
        <v>833</v>
      </c>
      <c r="B21" s="64">
        <v>4.72</v>
      </c>
      <c r="C21" s="64">
        <v>12.14</v>
      </c>
      <c r="D21" s="64">
        <v>15.98</v>
      </c>
      <c r="E21" s="64">
        <v>5.25</v>
      </c>
      <c r="F21" s="64">
        <v>9.75</v>
      </c>
      <c r="G21" s="64">
        <v>40.24</v>
      </c>
      <c r="H21" s="64">
        <v>19.07</v>
      </c>
      <c r="I21" s="64">
        <v>3.97</v>
      </c>
      <c r="J21" s="64">
        <v>0.09</v>
      </c>
      <c r="K21" s="64">
        <v>160.1</v>
      </c>
      <c r="L21" s="64">
        <v>24.95</v>
      </c>
      <c r="M21" s="64">
        <v>94.22</v>
      </c>
      <c r="N21" s="64">
        <v>45.4</v>
      </c>
      <c r="O21" s="64">
        <v>0</v>
      </c>
      <c r="P21" s="64">
        <v>0.13</v>
      </c>
      <c r="Q21" s="64">
        <v>9.26</v>
      </c>
      <c r="R21" s="198"/>
      <c r="S21" s="198"/>
      <c r="T21" s="198"/>
      <c r="U21" s="198"/>
    </row>
    <row r="22" spans="1:21" s="12" customFormat="1" x14ac:dyDescent="0.25">
      <c r="A22" s="211" t="s">
        <v>834</v>
      </c>
      <c r="B22" s="64">
        <v>4.8600000000000003</v>
      </c>
      <c r="C22" s="64">
        <v>11.87</v>
      </c>
      <c r="D22" s="64">
        <v>15.25</v>
      </c>
      <c r="E22" s="64">
        <v>5.12</v>
      </c>
      <c r="F22" s="64">
        <v>10.73</v>
      </c>
      <c r="G22" s="64">
        <v>40.24</v>
      </c>
      <c r="H22" s="64">
        <v>19.07</v>
      </c>
      <c r="I22" s="64">
        <v>3.95</v>
      </c>
      <c r="J22" s="64">
        <v>0.01</v>
      </c>
      <c r="K22" s="64">
        <v>253.18</v>
      </c>
      <c r="L22" s="64">
        <v>24.9</v>
      </c>
      <c r="M22" s="64">
        <v>94.65</v>
      </c>
      <c r="N22" s="64">
        <v>45.4</v>
      </c>
      <c r="O22" s="64">
        <v>0</v>
      </c>
      <c r="P22" s="64">
        <v>0.12</v>
      </c>
      <c r="Q22" s="64">
        <v>9.2799999999999994</v>
      </c>
      <c r="R22" s="198"/>
      <c r="S22" s="198"/>
      <c r="T22" s="198"/>
      <c r="U22" s="198"/>
    </row>
    <row r="23" spans="1:21" s="12" customFormat="1" x14ac:dyDescent="0.25">
      <c r="A23" s="211" t="s">
        <v>835</v>
      </c>
      <c r="B23" s="64">
        <v>4.7699999999999996</v>
      </c>
      <c r="C23" s="64">
        <v>11.98</v>
      </c>
      <c r="D23" s="64">
        <v>15.61</v>
      </c>
      <c r="E23" s="64">
        <v>5.03</v>
      </c>
      <c r="F23" s="64">
        <v>10.210000000000001</v>
      </c>
      <c r="G23" s="64">
        <v>40.24</v>
      </c>
      <c r="H23" s="64">
        <v>19.07</v>
      </c>
      <c r="I23" s="64">
        <v>4.13</v>
      </c>
      <c r="J23" s="64">
        <v>0.05</v>
      </c>
      <c r="K23" s="64">
        <v>222.51</v>
      </c>
      <c r="L23" s="64">
        <v>24.94</v>
      </c>
      <c r="M23" s="64">
        <v>94.89</v>
      </c>
      <c r="N23" s="64">
        <v>45.3</v>
      </c>
      <c r="O23" s="64">
        <v>0</v>
      </c>
      <c r="P23" s="64">
        <v>0.12</v>
      </c>
      <c r="Q23" s="64">
        <v>9.2899999999999991</v>
      </c>
      <c r="R23" s="198"/>
      <c r="S23" s="198"/>
      <c r="T23" s="198"/>
      <c r="U23" s="198"/>
    </row>
    <row r="24" spans="1:21" s="12" customFormat="1" x14ac:dyDescent="0.25">
      <c r="A24" s="211" t="s">
        <v>836</v>
      </c>
      <c r="B24" s="64">
        <v>4.97</v>
      </c>
      <c r="C24" s="64">
        <v>12.83</v>
      </c>
      <c r="D24" s="64">
        <v>16.93</v>
      </c>
      <c r="E24" s="64">
        <v>5.15</v>
      </c>
      <c r="F24" s="64">
        <v>8.98</v>
      </c>
      <c r="G24" s="64">
        <v>37.659999999999997</v>
      </c>
      <c r="H24" s="64">
        <v>3.19</v>
      </c>
      <c r="I24" s="64">
        <v>4.05</v>
      </c>
      <c r="J24" s="64">
        <v>0.18</v>
      </c>
      <c r="K24" s="64">
        <v>156.44999999999999</v>
      </c>
      <c r="L24" s="64">
        <v>24.98</v>
      </c>
      <c r="M24" s="64">
        <v>95.85</v>
      </c>
      <c r="N24" s="64">
        <v>45.3</v>
      </c>
      <c r="O24" s="64">
        <v>0</v>
      </c>
      <c r="P24" s="64">
        <v>0.14000000000000001</v>
      </c>
      <c r="Q24" s="64">
        <v>9.2899999999999991</v>
      </c>
      <c r="R24" s="198"/>
      <c r="S24" s="198"/>
      <c r="T24" s="198"/>
      <c r="U24" s="198"/>
    </row>
    <row r="25" spans="1:21" s="12" customFormat="1" x14ac:dyDescent="0.25">
      <c r="A25" s="211" t="s">
        <v>837</v>
      </c>
      <c r="B25" s="64">
        <v>5.31</v>
      </c>
      <c r="C25" s="64">
        <v>13.81</v>
      </c>
      <c r="D25" s="64">
        <v>18.29</v>
      </c>
      <c r="E25" s="64">
        <v>5.36</v>
      </c>
      <c r="F25" s="64">
        <v>9.07</v>
      </c>
      <c r="G25" s="64">
        <v>30.58</v>
      </c>
      <c r="H25" s="64">
        <v>-40.47</v>
      </c>
      <c r="I25" s="64">
        <v>4.05</v>
      </c>
      <c r="J25" s="64">
        <v>0.08</v>
      </c>
      <c r="K25" s="64">
        <v>209.72</v>
      </c>
      <c r="L25" s="64">
        <v>24.91</v>
      </c>
      <c r="M25" s="64">
        <v>97.27</v>
      </c>
      <c r="N25" s="64">
        <v>45.4</v>
      </c>
      <c r="O25" s="64">
        <v>0</v>
      </c>
      <c r="P25" s="64">
        <v>0.14000000000000001</v>
      </c>
      <c r="Q25" s="64">
        <v>9.2899999999999991</v>
      </c>
      <c r="R25" s="198"/>
      <c r="S25" s="198"/>
      <c r="T25" s="198"/>
      <c r="U25" s="198"/>
    </row>
    <row r="26" spans="1:21" s="12" customFormat="1" x14ac:dyDescent="0.25">
      <c r="A26" s="211" t="s">
        <v>838</v>
      </c>
      <c r="B26" s="64">
        <v>7.38</v>
      </c>
      <c r="C26" s="64">
        <v>15.18</v>
      </c>
      <c r="D26" s="64">
        <v>17.73</v>
      </c>
      <c r="E26" s="64">
        <v>4.87</v>
      </c>
      <c r="F26" s="64">
        <v>4.7</v>
      </c>
      <c r="G26" s="64">
        <v>30.58</v>
      </c>
      <c r="H26" s="64">
        <v>-40.47</v>
      </c>
      <c r="I26" s="64">
        <v>4.1500000000000004</v>
      </c>
      <c r="J26" s="64">
        <v>0.06</v>
      </c>
      <c r="K26" s="64">
        <v>150.54</v>
      </c>
      <c r="L26" s="64">
        <v>24.91</v>
      </c>
      <c r="M26" s="64">
        <v>98.05</v>
      </c>
      <c r="N26" s="64">
        <v>45.4</v>
      </c>
      <c r="O26" s="64">
        <v>0</v>
      </c>
      <c r="P26" s="64">
        <v>0.19</v>
      </c>
      <c r="Q26" s="64">
        <v>9.2899999999999991</v>
      </c>
      <c r="R26" s="198"/>
      <c r="S26" s="198"/>
      <c r="T26" s="198"/>
      <c r="U26" s="198"/>
    </row>
    <row r="27" spans="1:21" s="12" customFormat="1" x14ac:dyDescent="0.25">
      <c r="A27" s="211" t="s">
        <v>839</v>
      </c>
      <c r="B27" s="64">
        <v>10.050000000000001</v>
      </c>
      <c r="C27" s="64">
        <v>20.23</v>
      </c>
      <c r="D27" s="64">
        <v>23.31</v>
      </c>
      <c r="E27" s="64">
        <v>5.26</v>
      </c>
      <c r="F27" s="64">
        <v>6.4</v>
      </c>
      <c r="G27" s="64">
        <v>30.58</v>
      </c>
      <c r="H27" s="64">
        <v>-40.47</v>
      </c>
      <c r="I27" s="64">
        <v>4.01</v>
      </c>
      <c r="J27" s="64">
        <v>0.14000000000000001</v>
      </c>
      <c r="K27" s="64">
        <v>169.57</v>
      </c>
      <c r="L27" s="64">
        <v>24.87</v>
      </c>
      <c r="M27" s="64">
        <v>99.15</v>
      </c>
      <c r="N27" s="64">
        <v>45.4</v>
      </c>
      <c r="O27" s="64">
        <v>0</v>
      </c>
      <c r="P27" s="64">
        <v>0.17</v>
      </c>
      <c r="Q27" s="64">
        <v>9.2799999999999994</v>
      </c>
      <c r="R27" s="198"/>
      <c r="S27" s="198"/>
      <c r="T27" s="198"/>
      <c r="U27" s="198"/>
    </row>
    <row r="28" spans="1:21" s="12" customFormat="1" x14ac:dyDescent="0.25">
      <c r="A28" s="211" t="s">
        <v>840</v>
      </c>
      <c r="B28" s="64">
        <v>8.7799999999999994</v>
      </c>
      <c r="C28" s="64">
        <v>17.54</v>
      </c>
      <c r="D28" s="64">
        <v>20.09</v>
      </c>
      <c r="E28" s="64">
        <v>5.3</v>
      </c>
      <c r="F28" s="64">
        <v>5.19</v>
      </c>
      <c r="G28" s="64">
        <v>31.74</v>
      </c>
      <c r="H28" s="64">
        <v>-18.600000000000001</v>
      </c>
      <c r="I28" s="64">
        <v>3.98</v>
      </c>
      <c r="J28" s="64">
        <v>0.04</v>
      </c>
      <c r="K28" s="64">
        <v>216.45</v>
      </c>
      <c r="L28" s="64">
        <v>24.83</v>
      </c>
      <c r="M28" s="64">
        <v>99.72</v>
      </c>
      <c r="N28" s="64">
        <v>45.6</v>
      </c>
      <c r="O28" s="64">
        <v>0</v>
      </c>
      <c r="P28" s="64">
        <v>0.19</v>
      </c>
      <c r="Q28" s="64">
        <v>9.27</v>
      </c>
      <c r="R28" s="198"/>
      <c r="S28" s="198"/>
      <c r="T28" s="198"/>
      <c r="U28" s="198"/>
    </row>
    <row r="29" spans="1:21" s="12" customFormat="1" x14ac:dyDescent="0.25">
      <c r="A29" s="211" t="s">
        <v>841</v>
      </c>
      <c r="B29" s="64">
        <v>8.39</v>
      </c>
      <c r="C29" s="64">
        <v>17.149999999999999</v>
      </c>
      <c r="D29" s="64">
        <v>19.940000000000001</v>
      </c>
      <c r="E29" s="64">
        <v>5.37</v>
      </c>
      <c r="F29" s="64">
        <v>5.96</v>
      </c>
      <c r="G29" s="64">
        <v>34.92</v>
      </c>
      <c r="H29" s="64">
        <v>41.54</v>
      </c>
      <c r="I29" s="64">
        <v>4.16</v>
      </c>
      <c r="J29" s="64">
        <v>0.1</v>
      </c>
      <c r="K29" s="64">
        <v>297.61</v>
      </c>
      <c r="L29" s="64">
        <v>24.9</v>
      </c>
      <c r="M29" s="64">
        <v>99.22</v>
      </c>
      <c r="N29" s="64">
        <v>45.6</v>
      </c>
      <c r="O29" s="64">
        <v>0</v>
      </c>
      <c r="P29" s="64">
        <v>0.19</v>
      </c>
      <c r="Q29" s="64">
        <v>9.27</v>
      </c>
      <c r="R29" s="198"/>
      <c r="S29" s="198"/>
      <c r="T29" s="198"/>
      <c r="U29" s="198"/>
    </row>
    <row r="30" spans="1:21" s="12" customFormat="1" x14ac:dyDescent="0.25">
      <c r="A30" s="211" t="s">
        <v>842</v>
      </c>
      <c r="B30" s="64">
        <v>11.06</v>
      </c>
      <c r="C30" s="64">
        <v>19.36</v>
      </c>
      <c r="D30" s="64">
        <v>20.07</v>
      </c>
      <c r="E30" s="64">
        <v>4.8899999999999997</v>
      </c>
      <c r="F30" s="64">
        <v>5.22</v>
      </c>
      <c r="G30" s="64">
        <v>34.92</v>
      </c>
      <c r="H30" s="64">
        <v>41.54</v>
      </c>
      <c r="I30" s="64">
        <v>4.05</v>
      </c>
      <c r="J30" s="64">
        <v>0.1</v>
      </c>
      <c r="K30" s="64">
        <v>280.07</v>
      </c>
      <c r="L30" s="64">
        <v>25.09</v>
      </c>
      <c r="M30" s="64">
        <v>97.91</v>
      </c>
      <c r="N30" s="64">
        <v>48</v>
      </c>
      <c r="O30" s="64">
        <v>0</v>
      </c>
      <c r="P30" s="64">
        <v>0.21</v>
      </c>
      <c r="Q30" s="64">
        <v>9.2799999999999994</v>
      </c>
      <c r="R30" s="198"/>
      <c r="S30" s="198"/>
      <c r="T30" s="198"/>
      <c r="U30" s="198"/>
    </row>
    <row r="31" spans="1:21" s="12" customFormat="1" x14ac:dyDescent="0.25">
      <c r="A31" s="211" t="s">
        <v>843</v>
      </c>
      <c r="B31" s="64">
        <v>10.99</v>
      </c>
      <c r="C31" s="64">
        <v>20.51</v>
      </c>
      <c r="D31" s="64">
        <v>22.37</v>
      </c>
      <c r="E31" s="64">
        <v>5.23</v>
      </c>
      <c r="F31" s="64">
        <v>4.95</v>
      </c>
      <c r="G31" s="64">
        <v>34.92</v>
      </c>
      <c r="H31" s="64">
        <v>41.54</v>
      </c>
      <c r="I31" s="64">
        <v>4.0199999999999996</v>
      </c>
      <c r="J31" s="64">
        <v>0.09</v>
      </c>
      <c r="K31" s="64">
        <v>305.89</v>
      </c>
      <c r="L31" s="64">
        <v>25.17</v>
      </c>
      <c r="M31" s="64">
        <v>96.56</v>
      </c>
      <c r="N31" s="64">
        <v>53.4</v>
      </c>
      <c r="O31" s="64">
        <v>0</v>
      </c>
      <c r="P31" s="64">
        <v>0.21</v>
      </c>
      <c r="Q31" s="64">
        <v>9.2899999999999991</v>
      </c>
      <c r="R31" s="198"/>
      <c r="S31" s="198"/>
      <c r="T31" s="198"/>
      <c r="U31" s="198"/>
    </row>
    <row r="32" spans="1:21" s="12" customFormat="1" x14ac:dyDescent="0.25">
      <c r="A32" s="211" t="s">
        <v>844</v>
      </c>
      <c r="B32" s="64">
        <v>10.78</v>
      </c>
      <c r="C32" s="64">
        <v>19.440000000000001</v>
      </c>
      <c r="D32" s="64">
        <v>20.66</v>
      </c>
      <c r="E32" s="64">
        <v>5</v>
      </c>
      <c r="F32" s="64">
        <v>4.47</v>
      </c>
      <c r="G32" s="64">
        <v>36.799999999999997</v>
      </c>
      <c r="H32" s="64">
        <v>30.46</v>
      </c>
      <c r="I32" s="64">
        <v>4.08</v>
      </c>
      <c r="J32" s="64">
        <v>0.14000000000000001</v>
      </c>
      <c r="K32" s="64">
        <v>298.37</v>
      </c>
      <c r="L32" s="64">
        <v>25.44</v>
      </c>
      <c r="M32" s="64">
        <v>93.71</v>
      </c>
      <c r="N32" s="64">
        <v>67.7</v>
      </c>
      <c r="O32" s="64">
        <v>0</v>
      </c>
      <c r="P32" s="64">
        <v>0.22</v>
      </c>
      <c r="Q32" s="64">
        <v>9.32</v>
      </c>
      <c r="R32" s="198"/>
      <c r="S32" s="198"/>
      <c r="T32" s="198"/>
      <c r="U32" s="198"/>
    </row>
    <row r="33" spans="1:21" s="12" customFormat="1" x14ac:dyDescent="0.25">
      <c r="A33" s="211" t="s">
        <v>845</v>
      </c>
      <c r="B33" s="64">
        <v>10.79</v>
      </c>
      <c r="C33" s="64">
        <v>19.440000000000001</v>
      </c>
      <c r="D33" s="64">
        <v>20.64</v>
      </c>
      <c r="E33" s="64">
        <v>5.0999999999999996</v>
      </c>
      <c r="F33" s="64">
        <v>3.54</v>
      </c>
      <c r="G33" s="64">
        <v>41.98</v>
      </c>
      <c r="H33" s="64">
        <v>0</v>
      </c>
      <c r="I33" s="64">
        <v>3.93</v>
      </c>
      <c r="J33" s="64">
        <v>0.17</v>
      </c>
      <c r="K33" s="64">
        <v>293.2</v>
      </c>
      <c r="L33" s="64">
        <v>25.67</v>
      </c>
      <c r="M33" s="64">
        <v>90.93</v>
      </c>
      <c r="N33" s="64">
        <v>82.9</v>
      </c>
      <c r="O33" s="64">
        <v>0</v>
      </c>
      <c r="P33" s="64">
        <v>0.2</v>
      </c>
      <c r="Q33" s="64">
        <v>9.32</v>
      </c>
      <c r="R33" s="198"/>
      <c r="S33" s="198"/>
      <c r="T33" s="198"/>
      <c r="U33" s="198"/>
    </row>
    <row r="34" spans="1:21" s="12" customFormat="1" x14ac:dyDescent="0.25">
      <c r="A34" s="211" t="s">
        <v>846</v>
      </c>
      <c r="B34" s="64">
        <v>11.05</v>
      </c>
      <c r="C34" s="64">
        <v>19.57</v>
      </c>
      <c r="D34" s="64">
        <v>20.5</v>
      </c>
      <c r="E34" s="64">
        <v>4.74</v>
      </c>
      <c r="F34" s="64">
        <v>3.72</v>
      </c>
      <c r="G34" s="64">
        <v>41.98</v>
      </c>
      <c r="H34" s="64">
        <v>0</v>
      </c>
      <c r="I34" s="64">
        <v>4</v>
      </c>
      <c r="J34" s="64">
        <v>0.22</v>
      </c>
      <c r="K34" s="64">
        <v>289.55</v>
      </c>
      <c r="L34" s="64">
        <v>25.89</v>
      </c>
      <c r="M34" s="64">
        <v>89.02</v>
      </c>
      <c r="N34" s="64">
        <v>96</v>
      </c>
      <c r="O34" s="64">
        <v>0</v>
      </c>
      <c r="P34" s="64">
        <v>0.22</v>
      </c>
      <c r="Q34" s="64">
        <v>9.32</v>
      </c>
      <c r="R34" s="198"/>
      <c r="S34" s="198"/>
      <c r="T34" s="198"/>
      <c r="U34" s="198"/>
    </row>
    <row r="35" spans="1:21" s="12" customFormat="1" x14ac:dyDescent="0.25">
      <c r="A35" s="211" t="s">
        <v>847</v>
      </c>
      <c r="B35" s="64">
        <v>10.74</v>
      </c>
      <c r="C35" s="64">
        <v>19.52</v>
      </c>
      <c r="D35" s="64">
        <v>20.87</v>
      </c>
      <c r="E35" s="64">
        <v>4.9400000000000004</v>
      </c>
      <c r="F35" s="64">
        <v>3.6</v>
      </c>
      <c r="G35" s="64">
        <v>41.98</v>
      </c>
      <c r="H35" s="64">
        <v>0</v>
      </c>
      <c r="I35" s="64">
        <v>4.0599999999999996</v>
      </c>
      <c r="J35" s="64">
        <v>0.22</v>
      </c>
      <c r="K35" s="64">
        <v>296.12</v>
      </c>
      <c r="L35" s="64">
        <v>26.13</v>
      </c>
      <c r="M35" s="64">
        <v>87.01</v>
      </c>
      <c r="N35" s="64">
        <v>108.2</v>
      </c>
      <c r="O35" s="64">
        <v>0</v>
      </c>
      <c r="P35" s="64">
        <v>0.22</v>
      </c>
      <c r="Q35" s="64">
        <v>9.3000000000000007</v>
      </c>
      <c r="R35" s="198"/>
      <c r="S35" s="198"/>
      <c r="T35" s="198"/>
      <c r="U35" s="198"/>
    </row>
    <row r="36" spans="1:21" s="12" customFormat="1" x14ac:dyDescent="0.25">
      <c r="A36" s="211" t="s">
        <v>848</v>
      </c>
      <c r="B36" s="64">
        <v>10.01</v>
      </c>
      <c r="C36" s="64">
        <v>18.809999999999999</v>
      </c>
      <c r="D36" s="64">
        <v>20.63</v>
      </c>
      <c r="E36" s="64">
        <v>4.8099999999999996</v>
      </c>
      <c r="F36" s="64">
        <v>4.18</v>
      </c>
      <c r="G36" s="64">
        <v>44.25</v>
      </c>
      <c r="H36" s="64">
        <v>0</v>
      </c>
      <c r="I36" s="64">
        <v>3.9</v>
      </c>
      <c r="J36" s="64">
        <v>0.19</v>
      </c>
      <c r="K36" s="64">
        <v>292.36</v>
      </c>
      <c r="L36" s="64">
        <v>26.25</v>
      </c>
      <c r="M36" s="64">
        <v>85.83</v>
      </c>
      <c r="N36" s="64">
        <v>120.2</v>
      </c>
      <c r="O36" s="64">
        <v>0</v>
      </c>
      <c r="P36" s="64">
        <v>0.23</v>
      </c>
      <c r="Q36" s="64">
        <v>9.2799999999999994</v>
      </c>
      <c r="R36" s="198"/>
      <c r="S36" s="198"/>
      <c r="T36" s="198"/>
      <c r="U36" s="198"/>
    </row>
    <row r="37" spans="1:21" s="12" customFormat="1" x14ac:dyDescent="0.25">
      <c r="A37" s="211" t="s">
        <v>849</v>
      </c>
      <c r="B37" s="64">
        <v>9.1</v>
      </c>
      <c r="C37" s="64">
        <v>18.170000000000002</v>
      </c>
      <c r="D37" s="64">
        <v>20.82</v>
      </c>
      <c r="E37" s="64">
        <v>4.7</v>
      </c>
      <c r="F37" s="64">
        <v>4.43</v>
      </c>
      <c r="G37" s="64">
        <v>50.5</v>
      </c>
      <c r="H37" s="64">
        <v>0</v>
      </c>
      <c r="I37" s="64">
        <v>4.07</v>
      </c>
      <c r="J37" s="64">
        <v>0.2</v>
      </c>
      <c r="K37" s="64">
        <v>290.33</v>
      </c>
      <c r="L37" s="64">
        <v>26.47</v>
      </c>
      <c r="M37" s="64">
        <v>84.49</v>
      </c>
      <c r="N37" s="64">
        <v>153.4</v>
      </c>
      <c r="O37" s="64">
        <v>0</v>
      </c>
      <c r="P37" s="64">
        <v>0.21</v>
      </c>
      <c r="Q37" s="64">
        <v>9.2899999999999991</v>
      </c>
      <c r="R37" s="198"/>
      <c r="S37" s="198"/>
      <c r="T37" s="198"/>
      <c r="U37" s="198"/>
    </row>
    <row r="38" spans="1:21" s="12" customFormat="1" x14ac:dyDescent="0.25">
      <c r="A38" s="211" t="s">
        <v>850</v>
      </c>
      <c r="B38" s="64">
        <v>8.5399999999999991</v>
      </c>
      <c r="C38" s="64">
        <v>17.809999999999999</v>
      </c>
      <c r="D38" s="64">
        <v>20.99</v>
      </c>
      <c r="E38" s="64">
        <v>4.5199999999999996</v>
      </c>
      <c r="F38" s="64">
        <v>3.8</v>
      </c>
      <c r="G38" s="64">
        <v>50.5</v>
      </c>
      <c r="H38" s="64">
        <v>0</v>
      </c>
      <c r="I38" s="64">
        <v>4.07</v>
      </c>
      <c r="J38" s="64">
        <v>0.23</v>
      </c>
      <c r="K38" s="64">
        <v>290.57</v>
      </c>
      <c r="L38" s="64">
        <v>26.81</v>
      </c>
      <c r="M38" s="64">
        <v>82.06</v>
      </c>
      <c r="N38" s="64">
        <v>184.5</v>
      </c>
      <c r="O38" s="64">
        <v>0</v>
      </c>
      <c r="P38" s="64">
        <v>0.22</v>
      </c>
      <c r="Q38" s="64">
        <v>9.2799999999999994</v>
      </c>
      <c r="R38" s="198"/>
      <c r="S38" s="198"/>
      <c r="T38" s="198"/>
      <c r="U38" s="198"/>
    </row>
    <row r="39" spans="1:21" s="12" customFormat="1" x14ac:dyDescent="0.25">
      <c r="A39" s="211" t="s">
        <v>851</v>
      </c>
      <c r="B39" s="64">
        <v>7.95</v>
      </c>
      <c r="C39" s="64">
        <v>17.45</v>
      </c>
      <c r="D39" s="64">
        <v>21.2</v>
      </c>
      <c r="E39" s="64">
        <v>4.8</v>
      </c>
      <c r="F39" s="64">
        <v>3.88</v>
      </c>
      <c r="G39" s="64">
        <v>50.5</v>
      </c>
      <c r="H39" s="64">
        <v>0</v>
      </c>
      <c r="I39" s="64">
        <v>3.91</v>
      </c>
      <c r="J39" s="64">
        <v>0.23</v>
      </c>
      <c r="K39" s="64">
        <v>287.54000000000002</v>
      </c>
      <c r="L39" s="64">
        <v>27.17</v>
      </c>
      <c r="M39" s="64">
        <v>79.400000000000006</v>
      </c>
      <c r="N39" s="64">
        <v>179.4</v>
      </c>
      <c r="O39" s="64">
        <v>0</v>
      </c>
      <c r="P39" s="64">
        <v>0.22</v>
      </c>
      <c r="Q39" s="64">
        <v>9.2799999999999994</v>
      </c>
      <c r="R39" s="198"/>
      <c r="S39" s="198"/>
      <c r="T39" s="198"/>
      <c r="U39" s="198"/>
    </row>
    <row r="40" spans="1:21" s="12" customFormat="1" x14ac:dyDescent="0.25">
      <c r="A40" s="211" t="s">
        <v>852</v>
      </c>
      <c r="B40" s="64">
        <v>7.49</v>
      </c>
      <c r="C40" s="64">
        <v>17.579999999999998</v>
      </c>
      <c r="D40" s="64">
        <v>22.14</v>
      </c>
      <c r="E40" s="64">
        <v>4.7300000000000004</v>
      </c>
      <c r="F40" s="64">
        <v>4.04</v>
      </c>
      <c r="G40" s="64">
        <v>50.51</v>
      </c>
      <c r="H40" s="64">
        <v>0</v>
      </c>
      <c r="I40" s="64">
        <v>4</v>
      </c>
      <c r="J40" s="64">
        <v>0.3</v>
      </c>
      <c r="K40" s="64">
        <v>289.17</v>
      </c>
      <c r="L40" s="64">
        <v>27.34</v>
      </c>
      <c r="M40" s="64">
        <v>77.510000000000005</v>
      </c>
      <c r="N40" s="64">
        <v>170.2</v>
      </c>
      <c r="O40" s="64">
        <v>0</v>
      </c>
      <c r="P40" s="64">
        <v>0.23</v>
      </c>
      <c r="Q40" s="64">
        <v>9.25</v>
      </c>
      <c r="R40" s="198"/>
      <c r="S40" s="198"/>
      <c r="T40" s="198"/>
      <c r="U40" s="198"/>
    </row>
    <row r="41" spans="1:21" s="12" customFormat="1" x14ac:dyDescent="0.25">
      <c r="A41" s="211" t="s">
        <v>853</v>
      </c>
      <c r="B41" s="64">
        <v>6.69</v>
      </c>
      <c r="C41" s="64">
        <v>16.88</v>
      </c>
      <c r="D41" s="64">
        <v>22.03</v>
      </c>
      <c r="E41" s="64">
        <v>3.07</v>
      </c>
      <c r="F41" s="64">
        <v>4.3499999999999996</v>
      </c>
      <c r="G41" s="64">
        <v>50.52</v>
      </c>
      <c r="H41" s="64">
        <v>0</v>
      </c>
      <c r="I41" s="64">
        <v>4.0599999999999996</v>
      </c>
      <c r="J41" s="64">
        <v>0.31</v>
      </c>
      <c r="K41" s="64">
        <v>282.62</v>
      </c>
      <c r="L41" s="64">
        <v>27.61</v>
      </c>
      <c r="M41" s="64">
        <v>75.489999999999995</v>
      </c>
      <c r="N41" s="64">
        <v>196.5</v>
      </c>
      <c r="O41" s="64">
        <v>0</v>
      </c>
      <c r="P41" s="64">
        <v>0.22</v>
      </c>
      <c r="Q41" s="64">
        <v>9.24</v>
      </c>
      <c r="R41" s="198"/>
      <c r="S41" s="198"/>
      <c r="T41" s="198"/>
      <c r="U41" s="198"/>
    </row>
    <row r="42" spans="1:21" s="12" customFormat="1" x14ac:dyDescent="0.25">
      <c r="A42" s="211" t="s">
        <v>854</v>
      </c>
      <c r="B42" s="64">
        <v>6.89</v>
      </c>
      <c r="C42" s="64">
        <v>16.440000000000001</v>
      </c>
      <c r="D42" s="64">
        <v>20.89</v>
      </c>
      <c r="E42" s="64">
        <v>2.69</v>
      </c>
      <c r="F42" s="64">
        <v>4.43</v>
      </c>
      <c r="G42" s="64">
        <v>50.52</v>
      </c>
      <c r="H42" s="64">
        <v>0</v>
      </c>
      <c r="I42" s="64">
        <v>4.05</v>
      </c>
      <c r="J42" s="64">
        <v>0.34</v>
      </c>
      <c r="K42" s="64">
        <v>295.83</v>
      </c>
      <c r="L42" s="64">
        <v>27.83</v>
      </c>
      <c r="M42" s="64">
        <v>74.47</v>
      </c>
      <c r="N42" s="64">
        <v>194.4</v>
      </c>
      <c r="O42" s="64">
        <v>0</v>
      </c>
      <c r="P42" s="64">
        <v>0.22</v>
      </c>
      <c r="Q42" s="64">
        <v>9.1999999999999993</v>
      </c>
      <c r="R42" s="198"/>
      <c r="S42" s="198"/>
      <c r="T42" s="198"/>
      <c r="U42" s="198"/>
    </row>
    <row r="43" spans="1:21" s="12" customFormat="1" x14ac:dyDescent="0.25">
      <c r="A43" s="211" t="s">
        <v>855</v>
      </c>
      <c r="B43" s="64">
        <v>5.75</v>
      </c>
      <c r="C43" s="64">
        <v>16.13</v>
      </c>
      <c r="D43" s="64">
        <v>22.04</v>
      </c>
      <c r="E43" s="64">
        <v>3.03</v>
      </c>
      <c r="F43" s="64">
        <v>4.47</v>
      </c>
      <c r="G43" s="64">
        <v>50.52</v>
      </c>
      <c r="H43" s="64">
        <v>0</v>
      </c>
      <c r="I43" s="64">
        <v>3.87</v>
      </c>
      <c r="J43" s="64">
        <v>0.34</v>
      </c>
      <c r="K43" s="64">
        <v>295.16000000000003</v>
      </c>
      <c r="L43" s="64">
        <v>27.83</v>
      </c>
      <c r="M43" s="64">
        <v>74.760000000000005</v>
      </c>
      <c r="N43" s="64">
        <v>212.8</v>
      </c>
      <c r="O43" s="64">
        <v>0</v>
      </c>
      <c r="P43" s="64">
        <v>0.22</v>
      </c>
      <c r="Q43" s="64">
        <v>9.1999999999999993</v>
      </c>
      <c r="R43" s="198"/>
      <c r="S43" s="198"/>
      <c r="T43" s="198"/>
      <c r="U43" s="198"/>
    </row>
    <row r="44" spans="1:21" s="12" customFormat="1" x14ac:dyDescent="0.25">
      <c r="A44" s="211" t="s">
        <v>856</v>
      </c>
      <c r="B44" s="64">
        <v>5.6</v>
      </c>
      <c r="C44" s="64">
        <v>16.86</v>
      </c>
      <c r="D44" s="64">
        <v>23.67</v>
      </c>
      <c r="E44" s="64">
        <v>3.21</v>
      </c>
      <c r="F44" s="64">
        <v>4.3</v>
      </c>
      <c r="G44" s="64">
        <v>52.16</v>
      </c>
      <c r="H44" s="64">
        <v>0.06</v>
      </c>
      <c r="I44" s="64">
        <v>4.17</v>
      </c>
      <c r="J44" s="64">
        <v>0.35</v>
      </c>
      <c r="K44" s="64">
        <v>290.10000000000002</v>
      </c>
      <c r="L44" s="64">
        <v>27.92</v>
      </c>
      <c r="M44" s="64">
        <v>74.650000000000006</v>
      </c>
      <c r="N44" s="64">
        <v>248.3</v>
      </c>
      <c r="O44" s="64">
        <v>0</v>
      </c>
      <c r="P44" s="64">
        <v>0.25</v>
      </c>
      <c r="Q44" s="64">
        <v>9.19</v>
      </c>
      <c r="R44" s="198"/>
      <c r="S44" s="198"/>
      <c r="T44" s="198"/>
      <c r="U44" s="198"/>
    </row>
    <row r="45" spans="1:21" s="12" customFormat="1" x14ac:dyDescent="0.25">
      <c r="A45" s="211" t="s">
        <v>857</v>
      </c>
      <c r="B45" s="64">
        <v>5.68</v>
      </c>
      <c r="C45" s="64">
        <v>17.22</v>
      </c>
      <c r="D45" s="64">
        <v>24.24</v>
      </c>
      <c r="E45" s="64">
        <v>3.26</v>
      </c>
      <c r="F45" s="64">
        <v>3.92</v>
      </c>
      <c r="G45" s="64">
        <v>56.68</v>
      </c>
      <c r="H45" s="64">
        <v>0.21</v>
      </c>
      <c r="I45" s="64">
        <v>3.91</v>
      </c>
      <c r="J45" s="64">
        <v>0.35</v>
      </c>
      <c r="K45" s="64">
        <v>292.73</v>
      </c>
      <c r="L45" s="64">
        <v>28.21</v>
      </c>
      <c r="M45" s="64">
        <v>73.5</v>
      </c>
      <c r="N45" s="64">
        <v>245.3</v>
      </c>
      <c r="O45" s="64">
        <v>0</v>
      </c>
      <c r="P45" s="64">
        <v>0.24</v>
      </c>
      <c r="Q45" s="64">
        <v>9.18</v>
      </c>
      <c r="R45" s="198"/>
      <c r="S45" s="198"/>
      <c r="T45" s="198"/>
      <c r="U45" s="198"/>
    </row>
    <row r="46" spans="1:21" s="12" customFormat="1" x14ac:dyDescent="0.25">
      <c r="A46" s="211" t="s">
        <v>858</v>
      </c>
      <c r="B46" s="64">
        <v>6.27</v>
      </c>
      <c r="C46" s="64">
        <v>19.16</v>
      </c>
      <c r="D46" s="64">
        <v>27.06</v>
      </c>
      <c r="E46" s="64">
        <v>2.89</v>
      </c>
      <c r="F46" s="64">
        <v>4.04</v>
      </c>
      <c r="G46" s="64">
        <v>56.68</v>
      </c>
      <c r="H46" s="64">
        <v>0.21</v>
      </c>
      <c r="I46" s="64">
        <v>4.09</v>
      </c>
      <c r="J46" s="64">
        <v>0.34</v>
      </c>
      <c r="K46" s="64">
        <v>286.02999999999997</v>
      </c>
      <c r="L46" s="64">
        <v>28.27</v>
      </c>
      <c r="M46" s="64">
        <v>72.83</v>
      </c>
      <c r="N46" s="64">
        <v>220</v>
      </c>
      <c r="O46" s="64">
        <v>0</v>
      </c>
      <c r="P46" s="64">
        <v>0.25</v>
      </c>
      <c r="Q46" s="64">
        <v>9.18</v>
      </c>
      <c r="R46" s="198"/>
      <c r="S46" s="198"/>
      <c r="T46" s="198"/>
      <c r="U46" s="198"/>
    </row>
    <row r="47" spans="1:21" s="12" customFormat="1" x14ac:dyDescent="0.25">
      <c r="A47" s="211" t="s">
        <v>859</v>
      </c>
      <c r="B47" s="64">
        <v>6.59</v>
      </c>
      <c r="C47" s="64">
        <v>18.8</v>
      </c>
      <c r="D47" s="64">
        <v>25.88</v>
      </c>
      <c r="E47" s="64">
        <v>3.1</v>
      </c>
      <c r="F47" s="64">
        <v>4.9000000000000004</v>
      </c>
      <c r="G47" s="64">
        <v>56.68</v>
      </c>
      <c r="H47" s="64">
        <v>0.21</v>
      </c>
      <c r="I47" s="64">
        <v>4.0199999999999996</v>
      </c>
      <c r="J47" s="64">
        <v>0.35</v>
      </c>
      <c r="K47" s="64">
        <v>281.14999999999998</v>
      </c>
      <c r="L47" s="64">
        <v>28.16</v>
      </c>
      <c r="M47" s="64">
        <v>73.2</v>
      </c>
      <c r="N47" s="64">
        <v>186.3</v>
      </c>
      <c r="O47" s="64">
        <v>0</v>
      </c>
      <c r="P47" s="64">
        <v>0.27</v>
      </c>
      <c r="Q47" s="64">
        <v>9.18</v>
      </c>
      <c r="R47" s="198"/>
      <c r="S47" s="198"/>
      <c r="T47" s="198"/>
      <c r="U47" s="198"/>
    </row>
    <row r="48" spans="1:21" s="12" customFormat="1" x14ac:dyDescent="0.25">
      <c r="A48" s="211" t="s">
        <v>860</v>
      </c>
      <c r="B48" s="64">
        <v>6.31</v>
      </c>
      <c r="C48" s="64">
        <v>19.77</v>
      </c>
      <c r="D48" s="64">
        <v>28.16</v>
      </c>
      <c r="E48" s="64">
        <v>3.41</v>
      </c>
      <c r="F48" s="64">
        <v>3.9</v>
      </c>
      <c r="G48" s="64">
        <v>58.41</v>
      </c>
      <c r="H48" s="64">
        <v>7.53</v>
      </c>
      <c r="I48" s="64">
        <v>4.13</v>
      </c>
      <c r="J48" s="64">
        <v>0.35</v>
      </c>
      <c r="K48" s="64">
        <v>285.60000000000002</v>
      </c>
      <c r="L48" s="64">
        <v>28.36</v>
      </c>
      <c r="M48" s="64">
        <v>72.33</v>
      </c>
      <c r="N48" s="64">
        <v>190</v>
      </c>
      <c r="O48" s="64">
        <v>0</v>
      </c>
      <c r="P48" s="64">
        <v>0.31</v>
      </c>
      <c r="Q48" s="64">
        <v>9.19</v>
      </c>
      <c r="R48" s="198"/>
      <c r="S48" s="198"/>
      <c r="T48" s="198"/>
      <c r="U48" s="198"/>
    </row>
    <row r="49" spans="1:21" s="12" customFormat="1" x14ac:dyDescent="0.25">
      <c r="A49" s="211" t="s">
        <v>861</v>
      </c>
      <c r="B49" s="64">
        <v>6.33</v>
      </c>
      <c r="C49" s="64">
        <v>20.059999999999999</v>
      </c>
      <c r="D49" s="64">
        <v>28.68</v>
      </c>
      <c r="E49" s="64">
        <v>3.31</v>
      </c>
      <c r="F49" s="64">
        <v>5.3</v>
      </c>
      <c r="G49" s="64">
        <v>63.16</v>
      </c>
      <c r="H49" s="64">
        <v>27.66</v>
      </c>
      <c r="I49" s="64">
        <v>4.12</v>
      </c>
      <c r="J49" s="64">
        <v>0.35</v>
      </c>
      <c r="K49" s="64">
        <v>285.31</v>
      </c>
      <c r="L49" s="64">
        <v>28.44</v>
      </c>
      <c r="M49" s="64">
        <v>72.05</v>
      </c>
      <c r="N49" s="64">
        <v>189.5</v>
      </c>
      <c r="O49" s="64">
        <v>0</v>
      </c>
      <c r="P49" s="64">
        <v>0.34</v>
      </c>
      <c r="Q49" s="64">
        <v>9.1999999999999993</v>
      </c>
      <c r="R49" s="198"/>
      <c r="S49" s="198"/>
      <c r="T49" s="198"/>
      <c r="U49" s="198"/>
    </row>
    <row r="50" spans="1:21" s="12" customFormat="1" x14ac:dyDescent="0.25">
      <c r="A50" s="211" t="s">
        <v>862</v>
      </c>
      <c r="B50" s="64">
        <v>6.94</v>
      </c>
      <c r="C50" s="64">
        <v>21.78</v>
      </c>
      <c r="D50" s="64">
        <v>31.04</v>
      </c>
      <c r="E50" s="64">
        <v>3.25</v>
      </c>
      <c r="F50" s="64">
        <v>4.0199999999999996</v>
      </c>
      <c r="G50" s="64">
        <v>63.16</v>
      </c>
      <c r="H50" s="64">
        <v>27.66</v>
      </c>
      <c r="I50" s="64">
        <v>4.03</v>
      </c>
      <c r="J50" s="64">
        <v>0.28999999999999998</v>
      </c>
      <c r="K50" s="64">
        <v>281.45999999999998</v>
      </c>
      <c r="L50" s="64">
        <v>28.66</v>
      </c>
      <c r="M50" s="64">
        <v>71.930000000000007</v>
      </c>
      <c r="N50" s="64">
        <v>221.5</v>
      </c>
      <c r="O50" s="64">
        <v>0</v>
      </c>
      <c r="P50" s="64">
        <v>0.38</v>
      </c>
      <c r="Q50" s="64">
        <v>9.2100000000000009</v>
      </c>
      <c r="R50" s="198"/>
      <c r="S50" s="198"/>
      <c r="T50" s="198"/>
      <c r="U50" s="198"/>
    </row>
    <row r="51" spans="1:21" s="12" customFormat="1" x14ac:dyDescent="0.25">
      <c r="A51" s="211" t="s">
        <v>863</v>
      </c>
      <c r="B51" s="64">
        <v>7.15</v>
      </c>
      <c r="C51" s="64">
        <v>21.62</v>
      </c>
      <c r="D51" s="64">
        <v>30.41</v>
      </c>
      <c r="E51" s="64">
        <v>3.19</v>
      </c>
      <c r="F51" s="64">
        <v>4.8</v>
      </c>
      <c r="G51" s="64">
        <v>63.16</v>
      </c>
      <c r="H51" s="64">
        <v>27.66</v>
      </c>
      <c r="I51" s="64">
        <v>3.92</v>
      </c>
      <c r="J51" s="64">
        <v>0.31</v>
      </c>
      <c r="K51" s="64">
        <v>287.52</v>
      </c>
      <c r="L51" s="64">
        <v>29.03</v>
      </c>
      <c r="M51" s="64">
        <v>69.73</v>
      </c>
      <c r="N51" s="64">
        <v>253.2</v>
      </c>
      <c r="O51" s="64">
        <v>0</v>
      </c>
      <c r="P51" s="64">
        <v>0.41</v>
      </c>
      <c r="Q51" s="64">
        <v>9.2200000000000006</v>
      </c>
      <c r="R51" s="198"/>
      <c r="S51" s="198"/>
      <c r="T51" s="198"/>
      <c r="U51" s="198"/>
    </row>
    <row r="52" spans="1:21" s="12" customFormat="1" x14ac:dyDescent="0.25">
      <c r="A52" s="211" t="s">
        <v>864</v>
      </c>
      <c r="B52" s="64">
        <v>6.68</v>
      </c>
      <c r="C52" s="64">
        <v>23.22</v>
      </c>
      <c r="D52" s="64">
        <v>34.19</v>
      </c>
      <c r="E52" s="64">
        <v>3.27</v>
      </c>
      <c r="F52" s="64">
        <v>4.76</v>
      </c>
      <c r="G52" s="64">
        <v>58.98</v>
      </c>
      <c r="H52" s="64">
        <v>23.6</v>
      </c>
      <c r="I52" s="64">
        <v>3.94</v>
      </c>
      <c r="J52" s="64">
        <v>0.3</v>
      </c>
      <c r="K52" s="64">
        <v>290.04000000000002</v>
      </c>
      <c r="L52" s="64">
        <v>29.12</v>
      </c>
      <c r="M52" s="64">
        <v>67.319999999999993</v>
      </c>
      <c r="N52" s="64">
        <v>283</v>
      </c>
      <c r="O52" s="64">
        <v>0</v>
      </c>
      <c r="P52" s="64">
        <v>0.52</v>
      </c>
      <c r="Q52" s="64">
        <v>9.24</v>
      </c>
      <c r="R52" s="198"/>
      <c r="S52" s="198"/>
      <c r="T52" s="198"/>
      <c r="U52" s="198"/>
    </row>
    <row r="53" spans="1:21" s="12" customFormat="1" x14ac:dyDescent="0.25">
      <c r="A53" s="211" t="s">
        <v>865</v>
      </c>
      <c r="B53" s="64">
        <v>6.83</v>
      </c>
      <c r="C53" s="64">
        <v>25.92</v>
      </c>
      <c r="D53" s="64">
        <v>39.130000000000003</v>
      </c>
      <c r="E53" s="64">
        <v>3.58</v>
      </c>
      <c r="F53" s="64">
        <v>5.43</v>
      </c>
      <c r="G53" s="64">
        <v>47.49</v>
      </c>
      <c r="H53" s="64">
        <v>15.21</v>
      </c>
      <c r="I53" s="64">
        <v>4.0599999999999996</v>
      </c>
      <c r="J53" s="64">
        <v>0.28000000000000003</v>
      </c>
      <c r="K53" s="64">
        <v>289.32</v>
      </c>
      <c r="L53" s="64">
        <v>29.36</v>
      </c>
      <c r="M53" s="64">
        <v>66.39</v>
      </c>
      <c r="N53" s="64">
        <v>268.39999999999998</v>
      </c>
      <c r="O53" s="64">
        <v>0</v>
      </c>
      <c r="P53" s="64">
        <v>0.64</v>
      </c>
      <c r="Q53" s="64">
        <v>9.26</v>
      </c>
      <c r="R53" s="198"/>
      <c r="S53" s="198"/>
      <c r="T53" s="198"/>
      <c r="U53" s="198"/>
    </row>
    <row r="54" spans="1:21" s="12" customFormat="1" x14ac:dyDescent="0.25">
      <c r="A54" s="211" t="s">
        <v>866</v>
      </c>
      <c r="B54" s="64">
        <v>6.93</v>
      </c>
      <c r="C54" s="64">
        <v>25</v>
      </c>
      <c r="D54" s="64">
        <v>37.22</v>
      </c>
      <c r="E54" s="64">
        <v>3.36</v>
      </c>
      <c r="F54" s="64">
        <v>5.83</v>
      </c>
      <c r="G54" s="64">
        <v>47.49</v>
      </c>
      <c r="H54" s="64">
        <v>15.21</v>
      </c>
      <c r="I54" s="64">
        <v>3.96</v>
      </c>
      <c r="J54" s="64">
        <v>0.33</v>
      </c>
      <c r="K54" s="64">
        <v>291.58999999999997</v>
      </c>
      <c r="L54" s="64">
        <v>29.47</v>
      </c>
      <c r="M54" s="64">
        <v>66.44</v>
      </c>
      <c r="N54" s="64">
        <v>289.39999999999998</v>
      </c>
      <c r="O54" s="64">
        <v>0</v>
      </c>
      <c r="P54" s="64">
        <v>0.64</v>
      </c>
      <c r="Q54" s="64">
        <v>9.27</v>
      </c>
      <c r="R54" s="198"/>
      <c r="S54" s="198"/>
      <c r="T54" s="198"/>
      <c r="U54" s="198"/>
    </row>
    <row r="55" spans="1:21" s="12" customFormat="1" x14ac:dyDescent="0.25">
      <c r="A55" s="211" t="s">
        <v>867</v>
      </c>
      <c r="B55" s="64">
        <v>6.78</v>
      </c>
      <c r="C55" s="64">
        <v>23.34</v>
      </c>
      <c r="D55" s="64">
        <v>34.270000000000003</v>
      </c>
      <c r="E55" s="64">
        <v>3.68</v>
      </c>
      <c r="F55" s="64">
        <v>5.63</v>
      </c>
      <c r="G55" s="64">
        <v>47.49</v>
      </c>
      <c r="H55" s="64">
        <v>15.21</v>
      </c>
      <c r="I55" s="64">
        <v>4.12</v>
      </c>
      <c r="J55" s="64">
        <v>0.24</v>
      </c>
      <c r="K55" s="64">
        <v>283.45999999999998</v>
      </c>
      <c r="L55" s="64">
        <v>29.97</v>
      </c>
      <c r="M55" s="64">
        <v>65.22</v>
      </c>
      <c r="N55" s="64">
        <v>345.8</v>
      </c>
      <c r="O55" s="64">
        <v>0</v>
      </c>
      <c r="P55" s="64">
        <v>0.61</v>
      </c>
      <c r="Q55" s="64">
        <v>9.2799999999999994</v>
      </c>
      <c r="R55" s="198"/>
      <c r="S55" s="198"/>
      <c r="T55" s="198"/>
      <c r="U55" s="198"/>
    </row>
    <row r="56" spans="1:21" s="12" customFormat="1" x14ac:dyDescent="0.25">
      <c r="A56" s="211" t="s">
        <v>868</v>
      </c>
      <c r="B56" s="64">
        <v>6.69</v>
      </c>
      <c r="C56" s="64">
        <v>23.64</v>
      </c>
      <c r="D56" s="64">
        <v>34.99</v>
      </c>
      <c r="E56" s="64">
        <v>3.52</v>
      </c>
      <c r="F56" s="64">
        <v>5.6</v>
      </c>
      <c r="G56" s="64">
        <v>56.76</v>
      </c>
      <c r="H56" s="64">
        <v>17.149999999999999</v>
      </c>
      <c r="I56" s="64">
        <v>3.9</v>
      </c>
      <c r="J56" s="64">
        <v>0.28000000000000003</v>
      </c>
      <c r="K56" s="64">
        <v>289.92</v>
      </c>
      <c r="L56" s="64">
        <v>29.88</v>
      </c>
      <c r="M56" s="64">
        <v>64.459999999999994</v>
      </c>
      <c r="N56" s="64">
        <v>323.8</v>
      </c>
      <c r="O56" s="64">
        <v>0</v>
      </c>
      <c r="P56" s="64">
        <v>0.64</v>
      </c>
      <c r="Q56" s="64">
        <v>9.2799999999999994</v>
      </c>
      <c r="R56" s="198"/>
      <c r="S56" s="198"/>
      <c r="T56" s="198"/>
      <c r="U56" s="198"/>
    </row>
    <row r="57" spans="1:21" s="12" customFormat="1" x14ac:dyDescent="0.25">
      <c r="A57" s="211" t="s">
        <v>869</v>
      </c>
      <c r="B57" s="64">
        <v>8.83</v>
      </c>
      <c r="C57" s="64">
        <v>26.7</v>
      </c>
      <c r="D57" s="64">
        <v>37.56</v>
      </c>
      <c r="E57" s="64">
        <v>3.85</v>
      </c>
      <c r="F57" s="64">
        <v>7.24</v>
      </c>
      <c r="G57" s="64">
        <v>82.24</v>
      </c>
      <c r="H57" s="64">
        <v>36</v>
      </c>
      <c r="I57" s="64">
        <v>4.0999999999999996</v>
      </c>
      <c r="J57" s="64">
        <v>0.25</v>
      </c>
      <c r="K57" s="64">
        <v>293.52999999999997</v>
      </c>
      <c r="L57" s="64">
        <v>30.62</v>
      </c>
      <c r="M57" s="64">
        <v>61.09</v>
      </c>
      <c r="N57" s="64">
        <v>298.60000000000002</v>
      </c>
      <c r="O57" s="64">
        <v>0</v>
      </c>
      <c r="P57" s="64">
        <v>0.66</v>
      </c>
      <c r="Q57" s="64">
        <v>9.3000000000000007</v>
      </c>
      <c r="R57" s="198"/>
      <c r="S57" s="198"/>
      <c r="T57" s="198"/>
      <c r="U57" s="198"/>
    </row>
    <row r="58" spans="1:21" s="12" customFormat="1" x14ac:dyDescent="0.25">
      <c r="A58" s="211" t="s">
        <v>870</v>
      </c>
      <c r="B58" s="64">
        <v>8.14</v>
      </c>
      <c r="C58" s="64">
        <v>26.2</v>
      </c>
      <c r="D58" s="64">
        <v>37.659999999999997</v>
      </c>
      <c r="E58" s="64">
        <v>3.79</v>
      </c>
      <c r="F58" s="64">
        <v>6.54</v>
      </c>
      <c r="G58" s="64">
        <v>82.24</v>
      </c>
      <c r="H58" s="64">
        <v>36</v>
      </c>
      <c r="I58" s="64">
        <v>4.09</v>
      </c>
      <c r="J58" s="64">
        <v>0.22</v>
      </c>
      <c r="K58" s="64">
        <v>278.16000000000003</v>
      </c>
      <c r="L58" s="64">
        <v>30.01</v>
      </c>
      <c r="M58" s="64">
        <v>62.68</v>
      </c>
      <c r="N58" s="64">
        <v>288.5</v>
      </c>
      <c r="O58" s="64">
        <v>0</v>
      </c>
      <c r="P58" s="64">
        <v>0.63</v>
      </c>
      <c r="Q58" s="64">
        <v>9.33</v>
      </c>
      <c r="R58" s="198"/>
      <c r="S58" s="198"/>
      <c r="T58" s="198"/>
      <c r="U58" s="198"/>
    </row>
    <row r="59" spans="1:21" s="12" customFormat="1" x14ac:dyDescent="0.25">
      <c r="A59" s="211" t="s">
        <v>871</v>
      </c>
      <c r="B59" s="64">
        <v>7.59</v>
      </c>
      <c r="C59" s="64">
        <v>23.32</v>
      </c>
      <c r="D59" s="64">
        <v>32.99</v>
      </c>
      <c r="E59" s="64">
        <v>3.62</v>
      </c>
      <c r="F59" s="64">
        <v>7.62</v>
      </c>
      <c r="G59" s="64">
        <v>82.24</v>
      </c>
      <c r="H59" s="64">
        <v>36</v>
      </c>
      <c r="I59" s="64">
        <v>3.96</v>
      </c>
      <c r="J59" s="64">
        <v>0.28000000000000003</v>
      </c>
      <c r="K59" s="64">
        <v>280.91000000000003</v>
      </c>
      <c r="L59" s="64">
        <v>30.14</v>
      </c>
      <c r="M59" s="64">
        <v>61.45</v>
      </c>
      <c r="N59" s="64">
        <v>291.3</v>
      </c>
      <c r="O59" s="64">
        <v>0</v>
      </c>
      <c r="P59" s="64">
        <v>0.6</v>
      </c>
      <c r="Q59" s="64">
        <v>9.33</v>
      </c>
      <c r="R59" s="198"/>
      <c r="S59" s="198"/>
      <c r="T59" s="198"/>
      <c r="U59" s="198"/>
    </row>
    <row r="60" spans="1:21" s="12" customFormat="1" x14ac:dyDescent="0.25">
      <c r="A60" s="211" t="s">
        <v>872</v>
      </c>
      <c r="B60" s="64">
        <v>7.39</v>
      </c>
      <c r="C60" s="64">
        <v>22.3</v>
      </c>
      <c r="D60" s="64">
        <v>31.34</v>
      </c>
      <c r="E60" s="64">
        <v>3.84</v>
      </c>
      <c r="F60" s="64">
        <v>7.7</v>
      </c>
      <c r="G60" s="64">
        <v>80.13</v>
      </c>
      <c r="H60" s="64">
        <v>24.37</v>
      </c>
      <c r="I60" s="64">
        <v>3.98</v>
      </c>
      <c r="J60" s="64">
        <v>0.18</v>
      </c>
      <c r="K60" s="64">
        <v>253.19</v>
      </c>
      <c r="L60" s="64">
        <v>29.73</v>
      </c>
      <c r="M60" s="64">
        <v>62</v>
      </c>
      <c r="N60" s="64">
        <v>296.3</v>
      </c>
      <c r="O60" s="64">
        <v>0</v>
      </c>
      <c r="P60" s="64">
        <v>0.52</v>
      </c>
      <c r="Q60" s="64">
        <v>9.32</v>
      </c>
      <c r="R60" s="198"/>
      <c r="S60" s="198"/>
      <c r="T60" s="198"/>
      <c r="U60" s="198"/>
    </row>
    <row r="61" spans="1:21" s="12" customFormat="1" x14ac:dyDescent="0.25">
      <c r="A61" s="211" t="s">
        <v>873</v>
      </c>
      <c r="B61" s="64">
        <v>7.03</v>
      </c>
      <c r="C61" s="64">
        <v>21.5</v>
      </c>
      <c r="D61" s="64">
        <v>30.37</v>
      </c>
      <c r="E61" s="64">
        <v>3.54</v>
      </c>
      <c r="F61" s="64">
        <v>7.39</v>
      </c>
      <c r="G61" s="64">
        <v>74.34</v>
      </c>
      <c r="H61" s="64">
        <v>13.21</v>
      </c>
      <c r="I61" s="64">
        <v>3.91</v>
      </c>
      <c r="J61" s="64">
        <v>0.14000000000000001</v>
      </c>
      <c r="K61" s="64">
        <v>274.3</v>
      </c>
      <c r="L61" s="64">
        <v>30.07</v>
      </c>
      <c r="M61" s="64">
        <v>62.95</v>
      </c>
      <c r="N61" s="64">
        <v>287.89999999999998</v>
      </c>
      <c r="O61" s="64">
        <v>0</v>
      </c>
      <c r="P61" s="64">
        <v>0.49</v>
      </c>
      <c r="Q61" s="64">
        <v>9.31</v>
      </c>
      <c r="R61" s="198"/>
      <c r="S61" s="198"/>
      <c r="T61" s="198"/>
      <c r="U61" s="198"/>
    </row>
    <row r="62" spans="1:21" s="12" customFormat="1" x14ac:dyDescent="0.25">
      <c r="A62" s="211" t="s">
        <v>874</v>
      </c>
      <c r="B62" s="64">
        <v>7.38</v>
      </c>
      <c r="C62" s="64">
        <v>22.17</v>
      </c>
      <c r="D62" s="64">
        <v>31.11</v>
      </c>
      <c r="E62" s="64">
        <v>3.35</v>
      </c>
      <c r="F62" s="64">
        <v>5.5</v>
      </c>
      <c r="G62" s="64">
        <v>74.34</v>
      </c>
      <c r="H62" s="64">
        <v>13.21</v>
      </c>
      <c r="I62" s="64">
        <v>3.97</v>
      </c>
      <c r="J62" s="64">
        <v>0.14000000000000001</v>
      </c>
      <c r="K62" s="64">
        <v>282.77999999999997</v>
      </c>
      <c r="L62" s="64">
        <v>30.14</v>
      </c>
      <c r="M62" s="64">
        <v>62.42</v>
      </c>
      <c r="N62" s="64">
        <v>288.39999999999998</v>
      </c>
      <c r="O62" s="64">
        <v>0</v>
      </c>
      <c r="P62" s="64">
        <v>0.51</v>
      </c>
      <c r="Q62" s="64">
        <v>9.32</v>
      </c>
      <c r="R62" s="198"/>
      <c r="S62" s="198"/>
      <c r="T62" s="198"/>
      <c r="U62" s="198"/>
    </row>
    <row r="63" spans="1:21" s="12" customFormat="1" x14ac:dyDescent="0.25">
      <c r="A63" s="211" t="s">
        <v>875</v>
      </c>
      <c r="B63" s="64">
        <v>6.76</v>
      </c>
      <c r="C63" s="64">
        <v>22.66</v>
      </c>
      <c r="D63" s="64">
        <v>33.01</v>
      </c>
      <c r="E63" s="64">
        <v>3.17</v>
      </c>
      <c r="F63" s="64">
        <v>6.61</v>
      </c>
      <c r="G63" s="64">
        <v>74.34</v>
      </c>
      <c r="H63" s="64">
        <v>13.21</v>
      </c>
      <c r="I63" s="64">
        <v>3.9</v>
      </c>
      <c r="J63" s="64">
        <v>0.15</v>
      </c>
      <c r="K63" s="64">
        <v>273.64999999999998</v>
      </c>
      <c r="L63" s="64">
        <v>30.07</v>
      </c>
      <c r="M63" s="64">
        <v>62.07</v>
      </c>
      <c r="N63" s="64">
        <v>248.5</v>
      </c>
      <c r="O63" s="64">
        <v>0</v>
      </c>
      <c r="P63" s="64">
        <v>0.46</v>
      </c>
      <c r="Q63" s="64">
        <v>9.32</v>
      </c>
      <c r="R63" s="198"/>
      <c r="S63" s="198"/>
      <c r="T63" s="198"/>
      <c r="U63" s="198"/>
    </row>
    <row r="64" spans="1:21" s="12" customFormat="1" x14ac:dyDescent="0.25">
      <c r="A64" s="211" t="s">
        <v>876</v>
      </c>
      <c r="B64" s="64">
        <v>5.55</v>
      </c>
      <c r="C64" s="64">
        <v>21.32</v>
      </c>
      <c r="D64" s="64">
        <v>32.28</v>
      </c>
      <c r="E64" s="64">
        <v>3.05</v>
      </c>
      <c r="F64" s="64">
        <v>7.46</v>
      </c>
      <c r="G64" s="64">
        <v>80.92</v>
      </c>
      <c r="H64" s="64">
        <v>1215.46</v>
      </c>
      <c r="I64" s="64">
        <v>3.97</v>
      </c>
      <c r="J64" s="64">
        <v>0.17</v>
      </c>
      <c r="K64" s="64">
        <v>271.60000000000002</v>
      </c>
      <c r="L64" s="64">
        <v>29.8</v>
      </c>
      <c r="M64" s="64">
        <v>62.91</v>
      </c>
      <c r="N64" s="64">
        <v>234.9</v>
      </c>
      <c r="O64" s="64">
        <v>0</v>
      </c>
      <c r="P64" s="64">
        <v>0.38</v>
      </c>
      <c r="Q64" s="64">
        <v>9.26</v>
      </c>
      <c r="R64" s="198"/>
      <c r="S64" s="198"/>
      <c r="T64" s="198"/>
      <c r="U64" s="198"/>
    </row>
    <row r="65" spans="1:21" s="12" customFormat="1" x14ac:dyDescent="0.25">
      <c r="A65" s="211" t="s">
        <v>877</v>
      </c>
      <c r="B65" s="64">
        <v>4.47</v>
      </c>
      <c r="C65" s="64">
        <v>19.47</v>
      </c>
      <c r="D65" s="64">
        <v>30.41</v>
      </c>
      <c r="E65" s="64">
        <v>3.11</v>
      </c>
      <c r="F65" s="64">
        <v>7.22</v>
      </c>
      <c r="G65" s="64">
        <v>99.01</v>
      </c>
      <c r="H65" s="64">
        <v>4498.76</v>
      </c>
      <c r="I65" s="64">
        <v>4.12</v>
      </c>
      <c r="J65" s="64">
        <v>0.14000000000000001</v>
      </c>
      <c r="K65" s="64">
        <v>253.84</v>
      </c>
      <c r="L65" s="64">
        <v>29.83</v>
      </c>
      <c r="M65" s="64">
        <v>62.75</v>
      </c>
      <c r="N65" s="64">
        <v>222.1</v>
      </c>
      <c r="O65" s="64">
        <v>0</v>
      </c>
      <c r="P65" s="64">
        <v>0.35</v>
      </c>
      <c r="Q65" s="64">
        <v>9.2100000000000009</v>
      </c>
      <c r="R65" s="198"/>
      <c r="S65" s="198"/>
      <c r="T65" s="198"/>
      <c r="U65" s="198"/>
    </row>
    <row r="66" spans="1:21" s="12" customFormat="1" x14ac:dyDescent="0.25">
      <c r="A66" s="211" t="s">
        <v>878</v>
      </c>
      <c r="B66" s="64">
        <v>3.83</v>
      </c>
      <c r="C66" s="64">
        <v>17.489999999999998</v>
      </c>
      <c r="D66" s="64">
        <v>27.6</v>
      </c>
      <c r="E66" s="64">
        <v>3.18</v>
      </c>
      <c r="F66" s="64">
        <v>7.34</v>
      </c>
      <c r="G66" s="64">
        <v>99.01</v>
      </c>
      <c r="H66" s="64">
        <v>4488.43</v>
      </c>
      <c r="I66" s="64">
        <v>4.24</v>
      </c>
      <c r="J66" s="64">
        <v>0.13</v>
      </c>
      <c r="K66" s="64">
        <v>263.39999999999998</v>
      </c>
      <c r="L66" s="64">
        <v>29.55</v>
      </c>
      <c r="M66" s="64">
        <v>64.27</v>
      </c>
      <c r="N66" s="64">
        <v>204.2</v>
      </c>
      <c r="O66" s="64">
        <v>0</v>
      </c>
      <c r="P66" s="64">
        <v>0.3</v>
      </c>
      <c r="Q66" s="64">
        <v>9.19</v>
      </c>
      <c r="R66" s="198"/>
      <c r="S66" s="198"/>
      <c r="T66" s="198"/>
      <c r="U66" s="198"/>
    </row>
    <row r="67" spans="1:21" s="12" customFormat="1" x14ac:dyDescent="0.25">
      <c r="A67" s="211" t="s">
        <v>879</v>
      </c>
      <c r="B67" s="64">
        <v>3.75</v>
      </c>
      <c r="C67" s="64">
        <v>16.73</v>
      </c>
      <c r="D67" s="64">
        <v>26.27</v>
      </c>
      <c r="E67" s="64">
        <v>3.33</v>
      </c>
      <c r="F67" s="64">
        <v>6.21</v>
      </c>
      <c r="G67" s="64">
        <v>99.01</v>
      </c>
      <c r="H67" s="64">
        <v>4488.43</v>
      </c>
      <c r="I67" s="64">
        <v>4.0199999999999996</v>
      </c>
      <c r="J67" s="64">
        <v>0.16</v>
      </c>
      <c r="K67" s="64">
        <v>289.32</v>
      </c>
      <c r="L67" s="64">
        <v>29.33</v>
      </c>
      <c r="M67" s="64">
        <v>64.12</v>
      </c>
      <c r="N67" s="64">
        <v>193.1</v>
      </c>
      <c r="O67" s="64">
        <v>0</v>
      </c>
      <c r="P67" s="64">
        <v>0.26</v>
      </c>
      <c r="Q67" s="64">
        <v>9.17</v>
      </c>
      <c r="R67" s="198"/>
      <c r="S67" s="198"/>
      <c r="T67" s="198"/>
      <c r="U67" s="198"/>
    </row>
    <row r="68" spans="1:21" s="12" customFormat="1" x14ac:dyDescent="0.25">
      <c r="A68" s="211" t="s">
        <v>880</v>
      </c>
      <c r="B68" s="64">
        <v>3.9</v>
      </c>
      <c r="C68" s="64">
        <v>16.07</v>
      </c>
      <c r="D68" s="64">
        <v>24.77</v>
      </c>
      <c r="E68" s="64">
        <v>3.1</v>
      </c>
      <c r="F68" s="64">
        <v>7.26</v>
      </c>
      <c r="G68" s="64">
        <v>90.7</v>
      </c>
      <c r="H68" s="64">
        <v>3685.98</v>
      </c>
      <c r="I68" s="64">
        <v>4.0599999999999996</v>
      </c>
      <c r="J68" s="64">
        <v>0.14000000000000001</v>
      </c>
      <c r="K68" s="64">
        <v>262.23</v>
      </c>
      <c r="L68" s="64">
        <v>29.34</v>
      </c>
      <c r="M68" s="64">
        <v>63.54</v>
      </c>
      <c r="N68" s="64">
        <v>190.5</v>
      </c>
      <c r="O68" s="64">
        <v>0</v>
      </c>
      <c r="P68" s="64">
        <v>0.24</v>
      </c>
      <c r="Q68" s="64">
        <v>9.15</v>
      </c>
      <c r="R68" s="198"/>
      <c r="S68" s="198"/>
      <c r="T68" s="198"/>
      <c r="U68" s="198"/>
    </row>
    <row r="69" spans="1:21" s="12" customFormat="1" x14ac:dyDescent="0.25">
      <c r="A69" s="211" t="s">
        <v>881</v>
      </c>
      <c r="B69" s="64">
        <v>4.41</v>
      </c>
      <c r="C69" s="64">
        <v>16.14</v>
      </c>
      <c r="D69" s="64">
        <v>24.12</v>
      </c>
      <c r="E69" s="64">
        <v>3.05</v>
      </c>
      <c r="F69" s="64">
        <v>5.58</v>
      </c>
      <c r="G69" s="64">
        <v>67.87</v>
      </c>
      <c r="H69" s="64">
        <v>1479.26</v>
      </c>
      <c r="I69" s="64">
        <v>4</v>
      </c>
      <c r="J69" s="64">
        <v>0.15</v>
      </c>
      <c r="K69" s="64">
        <v>265.02</v>
      </c>
      <c r="L69" s="64">
        <v>29.45</v>
      </c>
      <c r="M69" s="64">
        <v>63.04</v>
      </c>
      <c r="N69" s="64">
        <v>195.4</v>
      </c>
      <c r="O69" s="64">
        <v>0</v>
      </c>
      <c r="P69" s="64">
        <v>0.24</v>
      </c>
      <c r="Q69" s="64">
        <v>9.16</v>
      </c>
      <c r="R69" s="198"/>
      <c r="S69" s="198"/>
      <c r="T69" s="198"/>
      <c r="U69" s="198"/>
    </row>
    <row r="70" spans="1:21" s="12" customFormat="1" x14ac:dyDescent="0.25">
      <c r="A70" s="211" t="s">
        <v>882</v>
      </c>
      <c r="B70" s="64">
        <v>6.41</v>
      </c>
      <c r="C70" s="64">
        <v>19.48</v>
      </c>
      <c r="D70" s="64">
        <v>27.44</v>
      </c>
      <c r="E70" s="64">
        <v>2.57</v>
      </c>
      <c r="F70" s="64">
        <v>5.22</v>
      </c>
      <c r="G70" s="64">
        <v>67.87</v>
      </c>
      <c r="H70" s="64">
        <v>1479.26</v>
      </c>
      <c r="I70" s="64">
        <v>4.1900000000000004</v>
      </c>
      <c r="J70" s="64">
        <v>0.1</v>
      </c>
      <c r="K70" s="64">
        <v>273.74</v>
      </c>
      <c r="L70" s="64">
        <v>29.53</v>
      </c>
      <c r="M70" s="64">
        <v>61.54</v>
      </c>
      <c r="N70" s="64">
        <v>197.2</v>
      </c>
      <c r="O70" s="64">
        <v>0</v>
      </c>
      <c r="P70" s="64">
        <v>0.24</v>
      </c>
      <c r="Q70" s="64">
        <v>9.16</v>
      </c>
      <c r="R70" s="198"/>
      <c r="S70" s="198"/>
      <c r="T70" s="198"/>
      <c r="U70" s="198"/>
    </row>
    <row r="71" spans="1:21" s="12" customFormat="1" x14ac:dyDescent="0.25">
      <c r="A71" s="211" t="s">
        <v>883</v>
      </c>
      <c r="B71" s="64">
        <v>5.83</v>
      </c>
      <c r="C71" s="64">
        <v>18.149999999999999</v>
      </c>
      <c r="D71" s="64">
        <v>25.78</v>
      </c>
      <c r="E71" s="64">
        <v>2.95</v>
      </c>
      <c r="F71" s="64">
        <v>6.79</v>
      </c>
      <c r="G71" s="64">
        <v>67.87</v>
      </c>
      <c r="H71" s="64">
        <v>1479.26</v>
      </c>
      <c r="I71" s="64">
        <v>4.0199999999999996</v>
      </c>
      <c r="J71" s="64">
        <v>0.16</v>
      </c>
      <c r="K71" s="64">
        <v>265.8</v>
      </c>
      <c r="L71" s="64">
        <v>29.51</v>
      </c>
      <c r="M71" s="64">
        <v>60.68</v>
      </c>
      <c r="N71" s="64">
        <v>179.8</v>
      </c>
      <c r="O71" s="64">
        <v>0</v>
      </c>
      <c r="P71" s="64">
        <v>0.24</v>
      </c>
      <c r="Q71" s="64">
        <v>9.17</v>
      </c>
      <c r="R71" s="198"/>
      <c r="S71" s="198"/>
      <c r="T71" s="198"/>
      <c r="U71" s="198"/>
    </row>
    <row r="72" spans="1:21" s="12" customFormat="1" x14ac:dyDescent="0.25">
      <c r="A72" s="211" t="s">
        <v>884</v>
      </c>
      <c r="B72" s="64">
        <v>6.08</v>
      </c>
      <c r="C72" s="64">
        <v>20.56</v>
      </c>
      <c r="D72" s="64">
        <v>30.03</v>
      </c>
      <c r="E72" s="64">
        <v>5.71</v>
      </c>
      <c r="F72" s="64">
        <v>12.5</v>
      </c>
      <c r="G72" s="64">
        <v>74.37</v>
      </c>
      <c r="H72" s="64">
        <v>1115.97</v>
      </c>
      <c r="I72" s="64">
        <v>3.88</v>
      </c>
      <c r="J72" s="64">
        <v>0.12</v>
      </c>
      <c r="K72" s="64">
        <v>301.41000000000003</v>
      </c>
      <c r="L72" s="64">
        <v>29.62</v>
      </c>
      <c r="M72" s="64">
        <v>61.26</v>
      </c>
      <c r="N72" s="64">
        <v>153.5</v>
      </c>
      <c r="O72" s="64">
        <v>0</v>
      </c>
      <c r="P72" s="64">
        <v>0.24</v>
      </c>
      <c r="Q72" s="64">
        <v>9.19</v>
      </c>
      <c r="R72" s="198"/>
      <c r="S72" s="198"/>
      <c r="T72" s="198"/>
      <c r="U72" s="198"/>
    </row>
    <row r="73" spans="1:21" s="12" customFormat="1" x14ac:dyDescent="0.25">
      <c r="A73" s="211" t="s">
        <v>885</v>
      </c>
      <c r="B73" s="64">
        <v>6.26</v>
      </c>
      <c r="C73" s="64">
        <v>21.01</v>
      </c>
      <c r="D73" s="64">
        <v>30.61</v>
      </c>
      <c r="E73" s="64">
        <v>5.66</v>
      </c>
      <c r="F73" s="64">
        <v>10.91</v>
      </c>
      <c r="G73" s="64">
        <v>92.23</v>
      </c>
      <c r="H73" s="64">
        <v>116.94</v>
      </c>
      <c r="I73" s="64">
        <v>3.99</v>
      </c>
      <c r="J73" s="64">
        <v>0.15</v>
      </c>
      <c r="K73" s="64">
        <v>267.70999999999998</v>
      </c>
      <c r="L73" s="64">
        <v>29.65</v>
      </c>
      <c r="M73" s="64">
        <v>61.42</v>
      </c>
      <c r="N73" s="64">
        <v>142.80000000000001</v>
      </c>
      <c r="O73" s="64">
        <v>0</v>
      </c>
      <c r="P73" s="64">
        <v>0.21</v>
      </c>
      <c r="Q73" s="64">
        <v>9.18</v>
      </c>
      <c r="R73" s="198"/>
      <c r="S73" s="198"/>
      <c r="T73" s="198"/>
      <c r="U73" s="198"/>
    </row>
    <row r="74" spans="1:21" s="12" customFormat="1" x14ac:dyDescent="0.25">
      <c r="A74" s="211" t="s">
        <v>886</v>
      </c>
      <c r="B74" s="64">
        <v>5.73</v>
      </c>
      <c r="C74" s="64">
        <v>19.62</v>
      </c>
      <c r="D74" s="64">
        <v>28.77</v>
      </c>
      <c r="E74" s="64">
        <v>6.13</v>
      </c>
      <c r="F74" s="64">
        <v>14.52</v>
      </c>
      <c r="G74" s="64">
        <v>92.23</v>
      </c>
      <c r="H74" s="64">
        <v>116.94</v>
      </c>
      <c r="I74" s="64">
        <v>3.94</v>
      </c>
      <c r="J74" s="64">
        <v>0.1</v>
      </c>
      <c r="K74" s="64">
        <v>227.67</v>
      </c>
      <c r="L74" s="64">
        <v>29.49</v>
      </c>
      <c r="M74" s="64">
        <v>62.52</v>
      </c>
      <c r="N74" s="64">
        <v>133.1</v>
      </c>
      <c r="O74" s="64">
        <v>0</v>
      </c>
      <c r="P74" s="64">
        <v>0.17</v>
      </c>
      <c r="Q74" s="64">
        <v>9.18</v>
      </c>
      <c r="R74" s="198"/>
      <c r="S74" s="198"/>
      <c r="T74" s="198"/>
      <c r="U74" s="198"/>
    </row>
    <row r="75" spans="1:21" s="12" customFormat="1" x14ac:dyDescent="0.25">
      <c r="A75" s="211" t="s">
        <v>887</v>
      </c>
      <c r="B75" s="64">
        <v>5.59</v>
      </c>
      <c r="C75" s="64">
        <v>21.19</v>
      </c>
      <c r="D75" s="64">
        <v>31.97</v>
      </c>
      <c r="E75" s="64">
        <v>6.44</v>
      </c>
      <c r="F75" s="64">
        <v>12.63</v>
      </c>
      <c r="G75" s="64">
        <v>92.23</v>
      </c>
      <c r="H75" s="64">
        <v>116.94</v>
      </c>
      <c r="I75" s="64">
        <v>4.1500000000000004</v>
      </c>
      <c r="J75" s="64">
        <v>0.21</v>
      </c>
      <c r="K75" s="64">
        <v>167.04</v>
      </c>
      <c r="L75" s="64">
        <v>29.34</v>
      </c>
      <c r="M75" s="64">
        <v>64.7</v>
      </c>
      <c r="N75" s="64">
        <v>120.3</v>
      </c>
      <c r="O75" s="64">
        <v>0</v>
      </c>
      <c r="P75" s="64">
        <v>0.2</v>
      </c>
      <c r="Q75" s="64">
        <v>9.18</v>
      </c>
      <c r="R75" s="198"/>
      <c r="S75" s="198"/>
      <c r="T75" s="198"/>
      <c r="U75" s="198"/>
    </row>
    <row r="76" spans="1:21" s="12" customFormat="1" x14ac:dyDescent="0.25">
      <c r="A76" s="211" t="s">
        <v>888</v>
      </c>
      <c r="B76" s="64">
        <v>6.04</v>
      </c>
      <c r="C76" s="64">
        <v>22.76</v>
      </c>
      <c r="D76" s="64">
        <v>34.28</v>
      </c>
      <c r="E76" s="64">
        <v>6.34</v>
      </c>
      <c r="F76" s="64">
        <v>14.15</v>
      </c>
      <c r="G76" s="64">
        <v>91.67</v>
      </c>
      <c r="H76" s="64">
        <v>85.76</v>
      </c>
      <c r="I76" s="64">
        <v>4.12</v>
      </c>
      <c r="J76" s="64">
        <v>0.62</v>
      </c>
      <c r="K76" s="64">
        <v>132.55000000000001</v>
      </c>
      <c r="L76" s="64">
        <v>29.11</v>
      </c>
      <c r="M76" s="64">
        <v>68.17</v>
      </c>
      <c r="N76" s="64">
        <v>112.4</v>
      </c>
      <c r="O76" s="64">
        <v>0</v>
      </c>
      <c r="P76" s="64">
        <v>0.22</v>
      </c>
      <c r="Q76" s="64">
        <v>9.18</v>
      </c>
      <c r="R76" s="198"/>
      <c r="S76" s="198"/>
      <c r="T76" s="198"/>
      <c r="U76" s="198"/>
    </row>
    <row r="77" spans="1:21" s="12" customFormat="1" x14ac:dyDescent="0.25">
      <c r="A77" s="211" t="s">
        <v>889</v>
      </c>
      <c r="B77" s="64">
        <v>6.27</v>
      </c>
      <c r="C77" s="64">
        <v>23.73</v>
      </c>
      <c r="D77" s="64">
        <v>35.81</v>
      </c>
      <c r="E77" s="64">
        <v>6.17</v>
      </c>
      <c r="F77" s="64">
        <v>14.04</v>
      </c>
      <c r="G77" s="64">
        <v>90.11</v>
      </c>
      <c r="H77" s="64">
        <v>0</v>
      </c>
      <c r="I77" s="64">
        <v>4.13</v>
      </c>
      <c r="J77" s="64">
        <v>0.49</v>
      </c>
      <c r="K77" s="64">
        <v>130.83000000000001</v>
      </c>
      <c r="L77" s="64">
        <v>28.96</v>
      </c>
      <c r="M77" s="64">
        <v>69.87</v>
      </c>
      <c r="N77" s="64">
        <v>103.7</v>
      </c>
      <c r="O77" s="64">
        <v>0</v>
      </c>
      <c r="P77" s="64">
        <v>0.24</v>
      </c>
      <c r="Q77" s="64">
        <v>9.19</v>
      </c>
      <c r="R77" s="198"/>
      <c r="S77" s="198"/>
      <c r="T77" s="198"/>
      <c r="U77" s="198"/>
    </row>
    <row r="78" spans="1:21" s="12" customFormat="1" x14ac:dyDescent="0.25">
      <c r="A78" s="211" t="s">
        <v>890</v>
      </c>
      <c r="B78" s="64">
        <v>6.73</v>
      </c>
      <c r="C78" s="64">
        <v>24.57</v>
      </c>
      <c r="D78" s="64">
        <v>36.71</v>
      </c>
      <c r="E78" s="64">
        <v>6.1</v>
      </c>
      <c r="F78" s="64">
        <v>14.06</v>
      </c>
      <c r="G78" s="64">
        <v>90.11</v>
      </c>
      <c r="H78" s="64">
        <v>0</v>
      </c>
      <c r="I78" s="64">
        <v>4.0599999999999996</v>
      </c>
      <c r="J78" s="64">
        <v>0.28000000000000003</v>
      </c>
      <c r="K78" s="64">
        <v>132.41999999999999</v>
      </c>
      <c r="L78" s="64">
        <v>28.85</v>
      </c>
      <c r="M78" s="64">
        <v>70.459999999999994</v>
      </c>
      <c r="N78" s="64">
        <v>93.9</v>
      </c>
      <c r="O78" s="64">
        <v>0</v>
      </c>
      <c r="P78" s="64">
        <v>0.24</v>
      </c>
      <c r="Q78" s="64">
        <v>9.2200000000000006</v>
      </c>
      <c r="R78" s="198"/>
      <c r="S78" s="198"/>
      <c r="T78" s="198"/>
      <c r="U78" s="198"/>
    </row>
    <row r="79" spans="1:21" s="12" customFormat="1" x14ac:dyDescent="0.25">
      <c r="A79" s="211" t="s">
        <v>891</v>
      </c>
      <c r="B79" s="64">
        <v>5.92</v>
      </c>
      <c r="C79" s="64">
        <v>20.100000000000001</v>
      </c>
      <c r="D79" s="64">
        <v>29.38</v>
      </c>
      <c r="E79" s="64">
        <v>6.32</v>
      </c>
      <c r="F79" s="64">
        <v>7.38</v>
      </c>
      <c r="G79" s="64">
        <v>90.11</v>
      </c>
      <c r="H79" s="64">
        <v>0</v>
      </c>
      <c r="I79" s="64">
        <v>3.99</v>
      </c>
      <c r="J79" s="64">
        <v>0.54</v>
      </c>
      <c r="K79" s="64">
        <v>137.13</v>
      </c>
      <c r="L79" s="64">
        <v>28.76</v>
      </c>
      <c r="M79" s="64">
        <v>70.75</v>
      </c>
      <c r="N79" s="64">
        <v>81.2</v>
      </c>
      <c r="O79" s="64">
        <v>0</v>
      </c>
      <c r="P79" s="64">
        <v>0.23</v>
      </c>
      <c r="Q79" s="64">
        <v>9.23</v>
      </c>
      <c r="R79" s="198"/>
      <c r="S79" s="198"/>
      <c r="T79" s="198"/>
      <c r="U79" s="198"/>
    </row>
    <row r="80" spans="1:21" s="12" customFormat="1" x14ac:dyDescent="0.25">
      <c r="A80" s="211" t="s">
        <v>892</v>
      </c>
      <c r="B80" s="64">
        <v>6.32</v>
      </c>
      <c r="C80" s="64">
        <v>23.69</v>
      </c>
      <c r="D80" s="64">
        <v>35.65</v>
      </c>
      <c r="E80" s="64">
        <v>6.1</v>
      </c>
      <c r="F80" s="64">
        <v>8.9</v>
      </c>
      <c r="G80" s="64">
        <v>92.6</v>
      </c>
      <c r="H80" s="64">
        <v>458.91</v>
      </c>
      <c r="I80" s="64">
        <v>3.99</v>
      </c>
      <c r="J80" s="64">
        <v>0.37</v>
      </c>
      <c r="K80" s="64">
        <v>141.19999999999999</v>
      </c>
      <c r="L80" s="64">
        <v>28.7</v>
      </c>
      <c r="M80" s="64">
        <v>71.180000000000007</v>
      </c>
      <c r="N80" s="64">
        <v>70.599999999999994</v>
      </c>
      <c r="O80" s="64">
        <v>0</v>
      </c>
      <c r="P80" s="64">
        <v>0.25</v>
      </c>
      <c r="Q80" s="64">
        <v>9.2200000000000006</v>
      </c>
      <c r="R80" s="198"/>
      <c r="S80" s="198"/>
      <c r="T80" s="198"/>
      <c r="U80" s="198"/>
    </row>
    <row r="81" spans="1:26" s="12" customFormat="1" x14ac:dyDescent="0.25">
      <c r="A81" s="211" t="s">
        <v>893</v>
      </c>
      <c r="B81" s="64">
        <v>6.28</v>
      </c>
      <c r="C81" s="64">
        <v>23.04</v>
      </c>
      <c r="D81" s="64">
        <v>34.46</v>
      </c>
      <c r="E81" s="64">
        <v>6.2</v>
      </c>
      <c r="F81" s="64">
        <v>9.11</v>
      </c>
      <c r="G81" s="64">
        <v>99.44</v>
      </c>
      <c r="H81" s="64">
        <v>1720.92</v>
      </c>
      <c r="I81" s="64">
        <v>4.0999999999999996</v>
      </c>
      <c r="J81" s="64">
        <v>0.64</v>
      </c>
      <c r="K81" s="64">
        <v>136.35</v>
      </c>
      <c r="L81" s="64">
        <v>28.55</v>
      </c>
      <c r="M81" s="64">
        <v>71.47</v>
      </c>
      <c r="N81" s="64">
        <v>63.5</v>
      </c>
      <c r="O81" s="64">
        <v>0</v>
      </c>
      <c r="P81" s="64">
        <v>0.26</v>
      </c>
      <c r="Q81" s="64">
        <v>9.23</v>
      </c>
      <c r="R81" s="198"/>
      <c r="S81" s="198"/>
      <c r="T81" s="198"/>
      <c r="U81" s="198"/>
    </row>
    <row r="82" spans="1:26" s="12" customFormat="1" x14ac:dyDescent="0.25">
      <c r="A82" s="211" t="s">
        <v>894</v>
      </c>
      <c r="B82" s="64">
        <v>7.32</v>
      </c>
      <c r="C82" s="64">
        <v>24.69</v>
      </c>
      <c r="D82" s="64">
        <v>36.020000000000003</v>
      </c>
      <c r="E82" s="64">
        <v>6.31</v>
      </c>
      <c r="F82" s="64">
        <v>6.85</v>
      </c>
      <c r="G82" s="64">
        <v>99.44</v>
      </c>
      <c r="H82" s="64">
        <v>1720.92</v>
      </c>
      <c r="I82" s="64">
        <v>3.93</v>
      </c>
      <c r="J82" s="64">
        <v>0.75</v>
      </c>
      <c r="K82" s="64">
        <v>139.97</v>
      </c>
      <c r="L82" s="64">
        <v>28.48</v>
      </c>
      <c r="M82" s="64">
        <v>71.489999999999995</v>
      </c>
      <c r="N82" s="64">
        <v>58.2</v>
      </c>
      <c r="O82" s="64">
        <v>0</v>
      </c>
      <c r="P82" s="64">
        <v>0.27</v>
      </c>
      <c r="Q82" s="64">
        <v>9.23</v>
      </c>
      <c r="R82" s="198"/>
      <c r="S82" s="198"/>
      <c r="T82" s="198"/>
      <c r="U82" s="198"/>
    </row>
    <row r="83" spans="1:26" s="12" customFormat="1" x14ac:dyDescent="0.25">
      <c r="A83" s="211" t="s">
        <v>895</v>
      </c>
      <c r="B83" s="64">
        <v>7.69</v>
      </c>
      <c r="C83" s="64">
        <v>23.86</v>
      </c>
      <c r="D83" s="64">
        <v>33.86</v>
      </c>
      <c r="E83" s="64">
        <v>6.52</v>
      </c>
      <c r="F83" s="64">
        <v>8.59</v>
      </c>
      <c r="G83" s="64">
        <v>99.44</v>
      </c>
      <c r="H83" s="64">
        <v>1720.92</v>
      </c>
      <c r="I83" s="64">
        <v>3.97</v>
      </c>
      <c r="J83" s="64">
        <v>0.6</v>
      </c>
      <c r="K83" s="64">
        <v>140.04</v>
      </c>
      <c r="L83" s="64">
        <v>28.38</v>
      </c>
      <c r="M83" s="64">
        <v>71.87</v>
      </c>
      <c r="N83" s="64">
        <v>54.9</v>
      </c>
      <c r="O83" s="64">
        <v>0</v>
      </c>
      <c r="P83" s="64">
        <v>0.26</v>
      </c>
      <c r="Q83" s="64">
        <v>9.25</v>
      </c>
      <c r="R83" s="198"/>
      <c r="S83" s="198"/>
      <c r="T83" s="198"/>
      <c r="U83" s="198"/>
    </row>
    <row r="84" spans="1:26" s="12" customFormat="1" x14ac:dyDescent="0.25">
      <c r="A84" s="211" t="s">
        <v>896</v>
      </c>
      <c r="B84" s="64">
        <v>6.86</v>
      </c>
      <c r="C84" s="64">
        <v>21.19</v>
      </c>
      <c r="D84" s="64">
        <v>30.02</v>
      </c>
      <c r="E84" s="64">
        <v>6.2</v>
      </c>
      <c r="F84" s="64">
        <v>8.15</v>
      </c>
      <c r="G84" s="64">
        <v>96.54</v>
      </c>
      <c r="H84" s="64">
        <v>1314.04</v>
      </c>
      <c r="I84" s="64">
        <v>4</v>
      </c>
      <c r="J84" s="64">
        <v>0.43</v>
      </c>
      <c r="K84" s="64">
        <v>139.05000000000001</v>
      </c>
      <c r="L84" s="64">
        <v>28.24</v>
      </c>
      <c r="M84" s="64">
        <v>72.16</v>
      </c>
      <c r="N84" s="64">
        <v>53.5</v>
      </c>
      <c r="O84" s="64">
        <v>0</v>
      </c>
      <c r="P84" s="64">
        <v>0.27</v>
      </c>
      <c r="Q84" s="64">
        <v>9.24</v>
      </c>
      <c r="R84" s="198"/>
      <c r="S84" s="198"/>
      <c r="T84" s="198"/>
      <c r="U84" s="198"/>
    </row>
    <row r="85" spans="1:26" s="12" customFormat="1" x14ac:dyDescent="0.25">
      <c r="A85" s="211" t="s">
        <v>897</v>
      </c>
      <c r="B85" s="64">
        <v>6.24</v>
      </c>
      <c r="C85" s="64">
        <v>22.06</v>
      </c>
      <c r="D85" s="64">
        <v>32.65</v>
      </c>
      <c r="E85" s="64">
        <v>5.8</v>
      </c>
      <c r="F85" s="64">
        <v>9.32</v>
      </c>
      <c r="G85" s="64">
        <v>88.55</v>
      </c>
      <c r="H85" s="64">
        <v>195.11</v>
      </c>
      <c r="I85" s="64">
        <v>4.01</v>
      </c>
      <c r="J85" s="64">
        <v>0.32</v>
      </c>
      <c r="K85" s="64">
        <v>147.91</v>
      </c>
      <c r="L85" s="64">
        <v>28.14</v>
      </c>
      <c r="M85" s="64">
        <v>72.430000000000007</v>
      </c>
      <c r="N85" s="64">
        <v>53.3</v>
      </c>
      <c r="O85" s="64">
        <v>0</v>
      </c>
      <c r="P85" s="64">
        <v>0.31</v>
      </c>
      <c r="Q85" s="64">
        <v>9.25</v>
      </c>
      <c r="R85" s="198"/>
      <c r="S85" s="198"/>
      <c r="T85" s="198"/>
      <c r="U85" s="198"/>
    </row>
    <row r="86" spans="1:26" s="12" customFormat="1" x14ac:dyDescent="0.25">
      <c r="A86" s="211" t="s">
        <v>898</v>
      </c>
      <c r="B86" s="64">
        <v>6.82</v>
      </c>
      <c r="C86" s="64">
        <v>20.149999999999999</v>
      </c>
      <c r="D86" s="64">
        <v>28.08</v>
      </c>
      <c r="E86" s="64">
        <v>6.12</v>
      </c>
      <c r="F86" s="64">
        <v>5.66</v>
      </c>
      <c r="G86" s="64">
        <v>88.55</v>
      </c>
      <c r="H86" s="64">
        <v>195.11</v>
      </c>
      <c r="I86" s="64">
        <v>4.0599999999999996</v>
      </c>
      <c r="J86" s="64">
        <v>0.25</v>
      </c>
      <c r="K86" s="64">
        <v>146.33000000000001</v>
      </c>
      <c r="L86" s="64">
        <v>28.03</v>
      </c>
      <c r="M86" s="64">
        <v>72.77</v>
      </c>
      <c r="N86" s="64">
        <v>53.4</v>
      </c>
      <c r="O86" s="64">
        <v>0</v>
      </c>
      <c r="P86" s="64">
        <v>0.34</v>
      </c>
      <c r="Q86" s="64">
        <v>9.25</v>
      </c>
      <c r="R86" s="198"/>
      <c r="S86" s="198"/>
      <c r="T86" s="198"/>
      <c r="U86" s="198"/>
    </row>
    <row r="87" spans="1:26" s="12" customFormat="1" x14ac:dyDescent="0.25">
      <c r="A87" s="211" t="s">
        <v>899</v>
      </c>
      <c r="B87" s="64">
        <v>6.81</v>
      </c>
      <c r="C87" s="64">
        <v>21.29</v>
      </c>
      <c r="D87" s="64">
        <v>30.29</v>
      </c>
      <c r="E87" s="64">
        <v>6.16</v>
      </c>
      <c r="F87" s="64">
        <v>7.07</v>
      </c>
      <c r="G87" s="64">
        <v>88.55</v>
      </c>
      <c r="H87" s="64">
        <v>195.11</v>
      </c>
      <c r="I87" s="64">
        <v>3.91</v>
      </c>
      <c r="J87" s="64">
        <v>0.22</v>
      </c>
      <c r="K87" s="64">
        <v>173.94</v>
      </c>
      <c r="L87" s="64">
        <v>27.9</v>
      </c>
      <c r="M87" s="64">
        <v>73.36</v>
      </c>
      <c r="N87" s="64">
        <v>53.1</v>
      </c>
      <c r="O87" s="64">
        <v>0</v>
      </c>
      <c r="P87" s="64">
        <v>0.37</v>
      </c>
      <c r="Q87" s="64">
        <v>9.25</v>
      </c>
      <c r="R87" s="198"/>
      <c r="S87" s="198"/>
      <c r="T87" s="198"/>
      <c r="U87" s="198"/>
    </row>
    <row r="88" spans="1:26" s="12" customFormat="1" x14ac:dyDescent="0.25">
      <c r="A88" s="211" t="s">
        <v>900</v>
      </c>
      <c r="B88" s="64">
        <v>7.42</v>
      </c>
      <c r="C88" s="64">
        <v>20.66</v>
      </c>
      <c r="D88" s="64">
        <v>28.16</v>
      </c>
      <c r="E88" s="64">
        <v>6.47</v>
      </c>
      <c r="F88" s="64">
        <v>5.69</v>
      </c>
      <c r="G88" s="64">
        <v>89.06</v>
      </c>
      <c r="H88" s="64">
        <v>247.66</v>
      </c>
      <c r="I88" s="64">
        <v>3.9</v>
      </c>
      <c r="J88" s="64">
        <v>0.13</v>
      </c>
      <c r="K88" s="64">
        <v>134.59</v>
      </c>
      <c r="L88" s="64">
        <v>27.78</v>
      </c>
      <c r="M88" s="64">
        <v>74.08</v>
      </c>
      <c r="N88" s="64">
        <v>53.5</v>
      </c>
      <c r="O88" s="64">
        <v>0</v>
      </c>
      <c r="P88" s="64">
        <v>0.34</v>
      </c>
      <c r="Q88" s="64">
        <v>9.25</v>
      </c>
      <c r="R88" s="198"/>
      <c r="S88" s="198"/>
      <c r="T88" s="198"/>
      <c r="U88" s="198"/>
    </row>
    <row r="89" spans="1:26" s="12" customFormat="1" x14ac:dyDescent="0.25">
      <c r="A89" s="211" t="s">
        <v>901</v>
      </c>
      <c r="B89" s="64">
        <v>6.74</v>
      </c>
      <c r="C89" s="64">
        <v>21.09</v>
      </c>
      <c r="D89" s="64">
        <v>30.02</v>
      </c>
      <c r="E89" s="64">
        <v>6.32</v>
      </c>
      <c r="F89" s="64">
        <v>8.66</v>
      </c>
      <c r="G89" s="64">
        <v>90.47</v>
      </c>
      <c r="H89" s="64">
        <v>392.16</v>
      </c>
      <c r="I89" s="64">
        <v>4.04</v>
      </c>
      <c r="J89" s="64">
        <v>0.2</v>
      </c>
      <c r="K89" s="64">
        <v>148.6</v>
      </c>
      <c r="L89" s="64">
        <v>27.6</v>
      </c>
      <c r="M89" s="64">
        <v>75.53</v>
      </c>
      <c r="N89" s="64">
        <v>53.5</v>
      </c>
      <c r="O89" s="64">
        <v>0</v>
      </c>
      <c r="P89" s="64">
        <v>0.34</v>
      </c>
      <c r="Q89" s="64">
        <v>9.2799999999999994</v>
      </c>
      <c r="R89" s="198"/>
      <c r="S89" s="198"/>
      <c r="T89" s="198"/>
      <c r="U89" s="198"/>
    </row>
    <row r="90" spans="1:26" s="12" customFormat="1" x14ac:dyDescent="0.25">
      <c r="A90" s="211" t="s">
        <v>902</v>
      </c>
      <c r="B90" s="64">
        <v>7.17</v>
      </c>
      <c r="C90" s="64">
        <v>22.09</v>
      </c>
      <c r="D90" s="64">
        <v>31.28</v>
      </c>
      <c r="E90" s="64">
        <v>5.71</v>
      </c>
      <c r="F90" s="64">
        <v>9.85</v>
      </c>
      <c r="G90" s="64">
        <v>90.47</v>
      </c>
      <c r="H90" s="64">
        <v>392.16</v>
      </c>
      <c r="I90" s="64">
        <v>3.88</v>
      </c>
      <c r="J90" s="64">
        <v>0.4</v>
      </c>
      <c r="K90" s="64">
        <v>135.65</v>
      </c>
      <c r="L90" s="64">
        <v>27.48</v>
      </c>
      <c r="M90" s="64">
        <v>77.09</v>
      </c>
      <c r="N90" s="64">
        <v>53.3</v>
      </c>
      <c r="O90" s="64">
        <v>0</v>
      </c>
      <c r="P90" s="64">
        <v>0.34</v>
      </c>
      <c r="Q90" s="64">
        <v>9.2899999999999991</v>
      </c>
      <c r="R90" s="198"/>
      <c r="S90" s="198"/>
      <c r="T90" s="198"/>
      <c r="U90" s="198"/>
    </row>
    <row r="91" spans="1:26" s="12" customFormat="1" x14ac:dyDescent="0.25">
      <c r="A91" s="211" t="s">
        <v>903</v>
      </c>
      <c r="B91" s="64">
        <v>11.21</v>
      </c>
      <c r="C91" s="64">
        <v>25.86</v>
      </c>
      <c r="D91" s="64">
        <v>32.299999999999997</v>
      </c>
      <c r="E91" s="64">
        <v>5.86</v>
      </c>
      <c r="F91" s="64">
        <v>8.6999999999999993</v>
      </c>
      <c r="G91" s="64">
        <v>90.47</v>
      </c>
      <c r="H91" s="64">
        <v>392.16</v>
      </c>
      <c r="I91" s="64">
        <v>3.87</v>
      </c>
      <c r="J91" s="64">
        <v>0.47</v>
      </c>
      <c r="K91" s="64">
        <v>141.91999999999999</v>
      </c>
      <c r="L91" s="64">
        <v>27.43</v>
      </c>
      <c r="M91" s="64">
        <v>77.89</v>
      </c>
      <c r="N91" s="64">
        <v>53.2</v>
      </c>
      <c r="O91" s="64">
        <v>0</v>
      </c>
      <c r="P91" s="64">
        <v>0.34</v>
      </c>
      <c r="Q91" s="64">
        <v>9.3000000000000007</v>
      </c>
      <c r="R91" s="198"/>
      <c r="S91" s="198"/>
      <c r="T91" s="198"/>
      <c r="U91" s="198"/>
    </row>
    <row r="92" spans="1:26" s="12" customFormat="1" x14ac:dyDescent="0.25">
      <c r="A92" s="211" t="s">
        <v>904</v>
      </c>
      <c r="B92" s="64">
        <v>8.44</v>
      </c>
      <c r="C92" s="64">
        <v>21.97</v>
      </c>
      <c r="D92" s="64">
        <v>29.09</v>
      </c>
      <c r="E92" s="64">
        <v>6.02</v>
      </c>
      <c r="F92" s="64">
        <v>8.0500000000000007</v>
      </c>
      <c r="G92" s="64">
        <v>87.24</v>
      </c>
      <c r="H92" s="64">
        <v>287.58999999999997</v>
      </c>
      <c r="I92" s="64">
        <v>3.79</v>
      </c>
      <c r="J92" s="64">
        <v>0.18</v>
      </c>
      <c r="K92" s="64">
        <v>148.04</v>
      </c>
      <c r="L92" s="64">
        <v>27.34</v>
      </c>
      <c r="M92" s="64">
        <v>79.12</v>
      </c>
      <c r="N92" s="64">
        <v>53.3</v>
      </c>
      <c r="O92" s="64">
        <v>0</v>
      </c>
      <c r="P92" s="64">
        <v>0.33</v>
      </c>
      <c r="Q92" s="64">
        <v>9.31</v>
      </c>
      <c r="R92" s="198"/>
      <c r="S92" s="198"/>
      <c r="T92" s="198"/>
      <c r="U92" s="198"/>
    </row>
    <row r="93" spans="1:26" s="12" customFormat="1" x14ac:dyDescent="0.25">
      <c r="A93" s="211" t="s">
        <v>905</v>
      </c>
      <c r="B93" s="64">
        <v>8.25</v>
      </c>
      <c r="C93" s="64">
        <v>21.68</v>
      </c>
      <c r="D93" s="64">
        <v>28.84</v>
      </c>
      <c r="E93" s="64">
        <v>6.02</v>
      </c>
      <c r="F93" s="64">
        <v>8</v>
      </c>
      <c r="G93" s="64">
        <v>78.36</v>
      </c>
      <c r="H93" s="64">
        <v>0</v>
      </c>
      <c r="I93" s="64">
        <v>3.89</v>
      </c>
      <c r="J93" s="64">
        <v>0.15</v>
      </c>
      <c r="K93" s="64">
        <v>186.96</v>
      </c>
      <c r="L93" s="64">
        <v>27.3</v>
      </c>
      <c r="M93" s="64">
        <v>79.569999999999993</v>
      </c>
      <c r="N93" s="64">
        <v>53.3</v>
      </c>
      <c r="O93" s="64">
        <v>0</v>
      </c>
      <c r="P93" s="64">
        <v>0.31</v>
      </c>
      <c r="Q93" s="64">
        <v>9.31</v>
      </c>
      <c r="R93" s="198"/>
      <c r="S93" s="198"/>
      <c r="T93" s="198"/>
      <c r="U93" s="198"/>
    </row>
    <row r="94" spans="1:26" s="12" customFormat="1" x14ac:dyDescent="0.25">
      <c r="A94" s="211" t="s">
        <v>906</v>
      </c>
      <c r="B94" s="64">
        <v>8.32</v>
      </c>
      <c r="C94" s="64">
        <v>21.02</v>
      </c>
      <c r="D94" s="64">
        <v>27.47</v>
      </c>
      <c r="E94" s="64">
        <v>5.98</v>
      </c>
      <c r="F94" s="64">
        <v>7.71</v>
      </c>
      <c r="G94" s="64">
        <v>78.36</v>
      </c>
      <c r="H94" s="64">
        <v>0</v>
      </c>
      <c r="I94" s="64">
        <v>4.05</v>
      </c>
      <c r="J94" s="64">
        <v>0.08</v>
      </c>
      <c r="K94" s="64">
        <v>204.82</v>
      </c>
      <c r="L94" s="64">
        <v>27.29</v>
      </c>
      <c r="M94" s="64">
        <v>79.52</v>
      </c>
      <c r="N94" s="64">
        <v>53.2</v>
      </c>
      <c r="O94" s="64">
        <v>0</v>
      </c>
      <c r="P94" s="64">
        <v>0.31</v>
      </c>
      <c r="Q94" s="64">
        <v>9.33</v>
      </c>
      <c r="R94" s="198"/>
      <c r="S94" s="198"/>
      <c r="T94" s="198"/>
      <c r="U94" s="198"/>
    </row>
    <row r="95" spans="1:26" s="12" customFormat="1" x14ac:dyDescent="0.25">
      <c r="A95" s="211" t="s">
        <v>907</v>
      </c>
      <c r="B95" s="64">
        <v>8.58</v>
      </c>
      <c r="C95" s="64">
        <v>20.3</v>
      </c>
      <c r="D95" s="64">
        <v>25.7</v>
      </c>
      <c r="E95" s="64">
        <v>6.3</v>
      </c>
      <c r="F95" s="64">
        <v>8.02</v>
      </c>
      <c r="G95" s="64">
        <v>78.36</v>
      </c>
      <c r="H95" s="64">
        <v>0</v>
      </c>
      <c r="I95" s="64">
        <v>4.0199999999999996</v>
      </c>
      <c r="J95" s="64">
        <v>7.0000000000000007E-2</v>
      </c>
      <c r="K95" s="64">
        <v>203.28</v>
      </c>
      <c r="L95" s="64">
        <v>27.22</v>
      </c>
      <c r="M95" s="64">
        <v>80.010000000000005</v>
      </c>
      <c r="N95" s="64">
        <v>53.4</v>
      </c>
      <c r="O95" s="64">
        <v>0</v>
      </c>
      <c r="P95" s="64">
        <v>0.3</v>
      </c>
      <c r="Q95" s="64">
        <v>9.35</v>
      </c>
      <c r="R95" s="198"/>
      <c r="S95" s="198"/>
      <c r="T95" s="198"/>
      <c r="U95" s="198"/>
    </row>
    <row r="96" spans="1:26" s="12" customFormat="1" x14ac:dyDescent="0.25">
      <c r="A96" s="211" t="s">
        <v>908</v>
      </c>
      <c r="B96" s="64">
        <v>9.57</v>
      </c>
      <c r="C96" s="64">
        <v>22.11</v>
      </c>
      <c r="D96" s="64">
        <v>27.62</v>
      </c>
      <c r="E96" s="64">
        <v>6.03</v>
      </c>
      <c r="F96" s="64">
        <v>7.02</v>
      </c>
      <c r="G96" s="64">
        <v>77.8</v>
      </c>
      <c r="H96" s="64">
        <v>59.7</v>
      </c>
      <c r="I96" s="64">
        <v>4.03</v>
      </c>
      <c r="J96" s="64">
        <v>0.11</v>
      </c>
      <c r="K96" s="64">
        <v>184.99</v>
      </c>
      <c r="L96" s="64">
        <v>27.16</v>
      </c>
      <c r="M96" s="64">
        <v>80.2</v>
      </c>
      <c r="N96" s="64">
        <v>53.5</v>
      </c>
      <c r="O96" s="64">
        <v>0</v>
      </c>
      <c r="P96" s="64">
        <v>0.28999999999999998</v>
      </c>
      <c r="Q96" s="64">
        <v>9.35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909</v>
      </c>
      <c r="B97" s="64">
        <v>10.45</v>
      </c>
      <c r="C97" s="64">
        <v>20.46</v>
      </c>
      <c r="D97" s="64">
        <v>23.12</v>
      </c>
      <c r="E97" s="64">
        <v>6.22</v>
      </c>
      <c r="F97" s="64">
        <v>4.97</v>
      </c>
      <c r="G97" s="64">
        <v>76.239999999999995</v>
      </c>
      <c r="H97" s="64">
        <v>223.87</v>
      </c>
      <c r="I97" s="64">
        <v>3.95</v>
      </c>
      <c r="J97" s="64">
        <v>7.0000000000000007E-2</v>
      </c>
      <c r="K97" s="64">
        <v>216.02</v>
      </c>
      <c r="L97" s="64">
        <v>27.06</v>
      </c>
      <c r="M97" s="64">
        <v>80.59</v>
      </c>
      <c r="N97" s="64">
        <v>53.5</v>
      </c>
      <c r="O97" s="64">
        <v>0</v>
      </c>
      <c r="P97" s="64">
        <v>0.33</v>
      </c>
      <c r="Q97" s="64">
        <v>9.35</v>
      </c>
      <c r="R97" s="198"/>
      <c r="S97" s="198"/>
      <c r="T97" s="198"/>
      <c r="U97" s="198"/>
    </row>
    <row r="98" spans="1:33" s="12" customFormat="1" x14ac:dyDescent="0.25">
      <c r="A98" s="211" t="s">
        <v>910</v>
      </c>
      <c r="B98" s="64">
        <v>9.75</v>
      </c>
      <c r="C98" s="64">
        <v>19.760000000000002</v>
      </c>
      <c r="D98" s="64">
        <v>22.86</v>
      </c>
      <c r="E98" s="64">
        <v>6.16</v>
      </c>
      <c r="F98" s="64">
        <v>5.75</v>
      </c>
      <c r="G98" s="64">
        <v>76.239999999999995</v>
      </c>
      <c r="H98" s="64">
        <v>223.87</v>
      </c>
      <c r="I98" s="64">
        <v>3.96</v>
      </c>
      <c r="J98" s="64">
        <v>0.12</v>
      </c>
      <c r="K98" s="64">
        <v>197</v>
      </c>
      <c r="L98" s="64">
        <v>26.96</v>
      </c>
      <c r="M98" s="64">
        <v>81.430000000000007</v>
      </c>
      <c r="N98" s="64">
        <v>53.5</v>
      </c>
      <c r="O98" s="64">
        <v>0</v>
      </c>
      <c r="P98" s="64">
        <v>0.28999999999999998</v>
      </c>
      <c r="Q98" s="64">
        <v>9.34</v>
      </c>
      <c r="R98" s="198"/>
      <c r="S98" s="198"/>
      <c r="T98" s="198"/>
      <c r="U98" s="198"/>
    </row>
    <row r="99" spans="1:33" s="12" customFormat="1" x14ac:dyDescent="0.25">
      <c r="A99" s="211" t="s">
        <v>911</v>
      </c>
      <c r="B99" s="64">
        <v>9.69</v>
      </c>
      <c r="C99" s="64">
        <v>18.91</v>
      </c>
      <c r="D99" s="64">
        <v>21.33</v>
      </c>
      <c r="E99" s="64">
        <v>6.27</v>
      </c>
      <c r="F99" s="64">
        <v>4.8899999999999997</v>
      </c>
      <c r="G99" s="64">
        <v>76.239999999999995</v>
      </c>
      <c r="H99" s="64">
        <v>223.87</v>
      </c>
      <c r="I99" s="64">
        <v>4.04</v>
      </c>
      <c r="J99" s="64">
        <v>0.04</v>
      </c>
      <c r="K99" s="64">
        <v>221.85</v>
      </c>
      <c r="L99" s="64">
        <v>26.92</v>
      </c>
      <c r="M99" s="64">
        <v>81.66</v>
      </c>
      <c r="N99" s="64">
        <v>53.3</v>
      </c>
      <c r="O99" s="64">
        <v>0</v>
      </c>
      <c r="P99" s="64">
        <v>0.3</v>
      </c>
      <c r="Q99" s="64">
        <v>9.33</v>
      </c>
      <c r="R99" s="198"/>
      <c r="S99" s="198"/>
      <c r="T99" s="198"/>
      <c r="U99" s="198"/>
    </row>
    <row r="100" spans="1:33" s="12" customFormat="1" x14ac:dyDescent="0.25">
      <c r="A100" s="211" t="s">
        <v>912</v>
      </c>
      <c r="B100" s="64">
        <v>9.77</v>
      </c>
      <c r="C100" s="64">
        <v>18.84</v>
      </c>
      <c r="D100" s="64">
        <v>21.07</v>
      </c>
      <c r="E100" s="64">
        <v>6.24</v>
      </c>
      <c r="F100" s="64">
        <v>6.65</v>
      </c>
      <c r="G100" s="64">
        <v>74.290000000000006</v>
      </c>
      <c r="H100" s="64">
        <v>164.17</v>
      </c>
      <c r="I100" s="64">
        <v>3.93</v>
      </c>
      <c r="J100" s="64">
        <v>0.06</v>
      </c>
      <c r="K100" s="64">
        <v>205.31</v>
      </c>
      <c r="L100" s="64">
        <v>26.93</v>
      </c>
      <c r="M100" s="64">
        <v>81.38</v>
      </c>
      <c r="N100" s="64">
        <v>53.3</v>
      </c>
      <c r="O100" s="64">
        <v>0</v>
      </c>
      <c r="P100" s="64">
        <v>0.26</v>
      </c>
      <c r="Q100" s="64">
        <v>9.33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913</v>
      </c>
      <c r="B101" s="64">
        <v>10.88</v>
      </c>
      <c r="C101" s="64">
        <v>19.21</v>
      </c>
      <c r="D101" s="64">
        <v>20.079999999999998</v>
      </c>
      <c r="E101" s="64">
        <v>5.64</v>
      </c>
      <c r="F101" s="64">
        <v>4.82</v>
      </c>
      <c r="G101" s="64">
        <v>68.94</v>
      </c>
      <c r="H101" s="64">
        <v>0</v>
      </c>
      <c r="I101" s="64">
        <v>4.05</v>
      </c>
      <c r="J101" s="64">
        <v>7.0000000000000007E-2</v>
      </c>
      <c r="K101" s="64">
        <v>158.53</v>
      </c>
      <c r="L101" s="64">
        <v>26.9</v>
      </c>
      <c r="M101" s="64">
        <v>81.78</v>
      </c>
      <c r="N101" s="64">
        <v>53.5</v>
      </c>
      <c r="O101" s="64">
        <v>0</v>
      </c>
      <c r="P101" s="64">
        <v>0.28999999999999998</v>
      </c>
      <c r="Q101" s="64">
        <v>9.33</v>
      </c>
      <c r="R101" s="198"/>
      <c r="S101" s="198"/>
      <c r="T101" s="198"/>
      <c r="U101" s="198"/>
    </row>
    <row r="102" spans="1:33" s="12" customFormat="1" x14ac:dyDescent="0.25">
      <c r="A102" s="211" t="s">
        <v>914</v>
      </c>
      <c r="B102" s="64">
        <v>8.99</v>
      </c>
      <c r="C102" s="64">
        <v>18.59</v>
      </c>
      <c r="D102" s="64">
        <v>21.79</v>
      </c>
      <c r="E102" s="64">
        <v>5.59</v>
      </c>
      <c r="F102" s="64">
        <v>5.2</v>
      </c>
      <c r="G102" s="64">
        <v>68.94</v>
      </c>
      <c r="H102" s="64">
        <v>0</v>
      </c>
      <c r="I102" s="64">
        <v>3.88</v>
      </c>
      <c r="J102" s="64">
        <v>0.01</v>
      </c>
      <c r="K102" s="64">
        <v>310.2</v>
      </c>
      <c r="L102" s="64">
        <v>26.8</v>
      </c>
      <c r="M102" s="64">
        <v>82.77</v>
      </c>
      <c r="N102" s="64">
        <v>53.5</v>
      </c>
      <c r="O102" s="64">
        <v>0</v>
      </c>
      <c r="P102" s="64">
        <v>0.25</v>
      </c>
      <c r="Q102" s="64">
        <v>9.33</v>
      </c>
      <c r="R102" s="198"/>
      <c r="S102" s="198"/>
      <c r="T102" s="198"/>
      <c r="U102" s="198"/>
    </row>
    <row r="103" spans="1:33" s="12" customFormat="1" x14ac:dyDescent="0.25">
      <c r="A103" s="211" t="s">
        <v>915</v>
      </c>
      <c r="B103" s="64">
        <v>9</v>
      </c>
      <c r="C103" s="64">
        <v>18.3</v>
      </c>
      <c r="D103" s="64">
        <v>21.21</v>
      </c>
      <c r="E103" s="64">
        <v>5.94</v>
      </c>
      <c r="F103" s="64">
        <v>5.67</v>
      </c>
      <c r="G103" s="64">
        <v>68.94</v>
      </c>
      <c r="H103" s="64">
        <v>0</v>
      </c>
      <c r="I103" s="64">
        <v>4.05</v>
      </c>
      <c r="J103" s="64">
        <v>0.13</v>
      </c>
      <c r="K103" s="64">
        <v>139.88999999999999</v>
      </c>
      <c r="L103" s="64">
        <v>26.7</v>
      </c>
      <c r="M103" s="64">
        <v>83.42</v>
      </c>
      <c r="N103" s="64">
        <v>53.5</v>
      </c>
      <c r="O103" s="64">
        <v>0</v>
      </c>
      <c r="P103" s="64">
        <v>0.25</v>
      </c>
      <c r="Q103" s="64">
        <v>9.33</v>
      </c>
      <c r="R103" s="198"/>
      <c r="S103" s="198"/>
      <c r="T103" s="198"/>
      <c r="U103" s="198"/>
    </row>
    <row r="104" spans="1:33" s="12" customFormat="1" x14ac:dyDescent="0.25">
      <c r="A104" s="211" t="s">
        <v>916</v>
      </c>
      <c r="B104" s="64">
        <v>8.15</v>
      </c>
      <c r="C104" s="64">
        <v>17.25</v>
      </c>
      <c r="D104" s="64">
        <v>20.5</v>
      </c>
      <c r="E104" s="64">
        <v>3.75</v>
      </c>
      <c r="F104" s="64">
        <v>6.21</v>
      </c>
      <c r="G104" s="64">
        <v>66.8</v>
      </c>
      <c r="H104" s="64">
        <v>0</v>
      </c>
      <c r="I104" s="64">
        <v>4.18</v>
      </c>
      <c r="J104" s="64">
        <v>0.13</v>
      </c>
      <c r="K104" s="64">
        <v>162.77000000000001</v>
      </c>
      <c r="L104" s="64">
        <v>26.59</v>
      </c>
      <c r="M104" s="64">
        <v>84.27</v>
      </c>
      <c r="N104" s="64">
        <v>53.5</v>
      </c>
      <c r="O104" s="64">
        <v>0</v>
      </c>
      <c r="P104" s="64">
        <v>0.25</v>
      </c>
      <c r="Q104" s="64">
        <v>9.33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3.75</v>
      </c>
      <c r="C106" s="67">
        <f>MIN(C9:C104)</f>
        <v>11.87</v>
      </c>
      <c r="D106" s="67">
        <f t="shared" ref="D106:Q106" si="0">MIN(D9:D104)</f>
        <v>15.25</v>
      </c>
      <c r="E106" s="67">
        <f t="shared" si="0"/>
        <v>2.57</v>
      </c>
      <c r="F106" s="67">
        <f t="shared" si="0"/>
        <v>3.54</v>
      </c>
      <c r="G106" s="67">
        <f t="shared" si="0"/>
        <v>30.58</v>
      </c>
      <c r="H106" s="67">
        <f t="shared" si="0"/>
        <v>-40.47</v>
      </c>
      <c r="I106" s="67">
        <f t="shared" si="0"/>
        <v>3.79</v>
      </c>
      <c r="J106" s="67">
        <f t="shared" si="0"/>
        <v>0.01</v>
      </c>
      <c r="K106" s="67">
        <f t="shared" si="0"/>
        <v>130.83000000000001</v>
      </c>
      <c r="L106" s="67">
        <f t="shared" si="0"/>
        <v>24.83</v>
      </c>
      <c r="M106" s="67">
        <f t="shared" si="0"/>
        <v>60.68</v>
      </c>
      <c r="N106" s="67">
        <f t="shared" si="0"/>
        <v>44.8</v>
      </c>
      <c r="O106" s="67">
        <f t="shared" si="0"/>
        <v>0</v>
      </c>
      <c r="P106" s="67">
        <f t="shared" si="0"/>
        <v>0.12</v>
      </c>
      <c r="Q106" s="67">
        <f t="shared" si="0"/>
        <v>9.15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14.45</v>
      </c>
      <c r="C107" s="66">
        <f t="shared" ref="C107:Q107" si="1">MAX(C9:C104)</f>
        <v>26.7</v>
      </c>
      <c r="D107" s="66">
        <f t="shared" si="1"/>
        <v>39.130000000000003</v>
      </c>
      <c r="E107" s="66">
        <f t="shared" si="1"/>
        <v>6.52</v>
      </c>
      <c r="F107" s="66">
        <f t="shared" si="1"/>
        <v>14.52</v>
      </c>
      <c r="G107" s="66">
        <f t="shared" si="1"/>
        <v>99.44</v>
      </c>
      <c r="H107" s="66">
        <f t="shared" si="1"/>
        <v>4498.76</v>
      </c>
      <c r="I107" s="66">
        <f t="shared" si="1"/>
        <v>4.24</v>
      </c>
      <c r="J107" s="66">
        <f t="shared" si="1"/>
        <v>0.75</v>
      </c>
      <c r="K107" s="66">
        <f t="shared" si="1"/>
        <v>324.77</v>
      </c>
      <c r="L107" s="66">
        <f t="shared" si="1"/>
        <v>30.62</v>
      </c>
      <c r="M107" s="66">
        <f t="shared" si="1"/>
        <v>99.72</v>
      </c>
      <c r="N107" s="66">
        <f t="shared" si="1"/>
        <v>345.8</v>
      </c>
      <c r="O107" s="66">
        <f t="shared" si="1"/>
        <v>0</v>
      </c>
      <c r="P107" s="66">
        <f t="shared" si="1"/>
        <v>0.66</v>
      </c>
      <c r="Q107" s="66">
        <f t="shared" si="1"/>
        <v>9.35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7.3686458333333356</v>
      </c>
      <c r="C108" s="67">
        <f t="shared" ref="C108:Q108" si="2">AVERAGE(C9:C104)</f>
        <v>19.66739583333333</v>
      </c>
      <c r="D108" s="67">
        <f t="shared" si="2"/>
        <v>26.334062499999991</v>
      </c>
      <c r="E108" s="67">
        <f t="shared" si="2"/>
        <v>4.7887500000000012</v>
      </c>
      <c r="F108" s="67">
        <f t="shared" si="2"/>
        <v>6.9463541666666693</v>
      </c>
      <c r="G108" s="67">
        <f t="shared" si="2"/>
        <v>65.508749999999978</v>
      </c>
      <c r="H108" s="67">
        <f t="shared" si="2"/>
        <v>380.57187500000009</v>
      </c>
      <c r="I108" s="67">
        <f t="shared" si="2"/>
        <v>4.008958333333335</v>
      </c>
      <c r="J108" s="67">
        <f t="shared" si="2"/>
        <v>0.21187499999999992</v>
      </c>
      <c r="K108" s="67">
        <f t="shared" si="2"/>
        <v>230.55260416666661</v>
      </c>
      <c r="L108" s="67">
        <f t="shared" si="2"/>
        <v>27.547187499999993</v>
      </c>
      <c r="M108" s="67">
        <f t="shared" si="2"/>
        <v>77.560416666666683</v>
      </c>
      <c r="N108" s="67">
        <f t="shared" si="2"/>
        <v>125.12499999999999</v>
      </c>
      <c r="O108" s="67">
        <f t="shared" si="2"/>
        <v>0</v>
      </c>
      <c r="P108" s="67">
        <f t="shared" si="2"/>
        <v>0.2904166666666666</v>
      </c>
      <c r="Q108" s="67">
        <f t="shared" si="2"/>
        <v>9.2531249999999989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2.0760664322560367</v>
      </c>
      <c r="C109" s="67">
        <f t="shared" ref="C109:Q109" si="3">STDEV(C9:C104)</f>
        <v>3.4334522276509709</v>
      </c>
      <c r="D109" s="67">
        <f t="shared" si="3"/>
        <v>6.0237565789438321</v>
      </c>
      <c r="E109" s="67">
        <f t="shared" si="3"/>
        <v>1.1934251900351864</v>
      </c>
      <c r="F109" s="67">
        <f t="shared" si="3"/>
        <v>2.5103625738512196</v>
      </c>
      <c r="G109" s="67">
        <f t="shared" si="3"/>
        <v>20.695334294931008</v>
      </c>
      <c r="H109" s="67">
        <f t="shared" si="3"/>
        <v>927.92308279615565</v>
      </c>
      <c r="I109" s="67">
        <f t="shared" si="3"/>
        <v>8.7002470221031122E-2</v>
      </c>
      <c r="J109" s="67">
        <f t="shared" si="3"/>
        <v>0.14646941480624628</v>
      </c>
      <c r="K109" s="67">
        <f t="shared" si="3"/>
        <v>63.350022942625436</v>
      </c>
      <c r="L109" s="67">
        <f t="shared" si="3"/>
        <v>1.7178497594529716</v>
      </c>
      <c r="M109" s="67">
        <f t="shared" si="3"/>
        <v>11.544785372549976</v>
      </c>
      <c r="N109" s="67">
        <f t="shared" si="3"/>
        <v>90.344149025589331</v>
      </c>
      <c r="O109" s="67">
        <f t="shared" si="3"/>
        <v>0</v>
      </c>
      <c r="P109" s="67">
        <f t="shared" si="3"/>
        <v>0.1261737871406084</v>
      </c>
      <c r="Q109" s="67">
        <f t="shared" si="3"/>
        <v>5.5975793640503334E-2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6" sqref="G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1013</v>
      </c>
      <c r="B9" s="64">
        <v>4.72</v>
      </c>
      <c r="C9" s="64">
        <v>14.24</v>
      </c>
      <c r="D9" s="64">
        <v>20.010000000000002</v>
      </c>
      <c r="E9" s="64">
        <v>3.87</v>
      </c>
      <c r="F9" s="64">
        <v>3.83</v>
      </c>
      <c r="G9" s="64">
        <v>26.64</v>
      </c>
      <c r="H9" s="64">
        <v>529.63</v>
      </c>
      <c r="I9" s="64">
        <v>3.94</v>
      </c>
      <c r="J9" s="64">
        <v>0.22</v>
      </c>
      <c r="K9" s="64">
        <v>314.70999999999998</v>
      </c>
      <c r="L9" s="64">
        <v>23.21</v>
      </c>
      <c r="M9" s="64">
        <v>98.37</v>
      </c>
      <c r="N9" s="64">
        <v>82.7</v>
      </c>
      <c r="O9" s="64">
        <v>0</v>
      </c>
      <c r="P9" s="64">
        <v>0.2</v>
      </c>
      <c r="Q9" s="64">
        <v>9.11</v>
      </c>
      <c r="R9" s="198"/>
      <c r="S9" s="198"/>
      <c r="T9" s="198"/>
      <c r="U9" s="198"/>
    </row>
    <row r="10" spans="1:21" s="12" customFormat="1" x14ac:dyDescent="0.25">
      <c r="A10" s="211" t="s">
        <v>1014</v>
      </c>
      <c r="B10" s="64">
        <v>4.17</v>
      </c>
      <c r="C10" s="64">
        <v>13.44</v>
      </c>
      <c r="D10" s="64">
        <v>19.32</v>
      </c>
      <c r="E10" s="64">
        <v>3.92</v>
      </c>
      <c r="F10" s="64">
        <v>5.23</v>
      </c>
      <c r="G10" s="64">
        <v>26.64</v>
      </c>
      <c r="H10" s="64">
        <v>529.63</v>
      </c>
      <c r="I10" s="64">
        <v>4.1500000000000004</v>
      </c>
      <c r="J10" s="64">
        <v>0.23</v>
      </c>
      <c r="K10" s="64">
        <v>308.85000000000002</v>
      </c>
      <c r="L10" s="64">
        <v>23.1</v>
      </c>
      <c r="M10" s="64">
        <v>98.17</v>
      </c>
      <c r="N10" s="64">
        <v>74.2</v>
      </c>
      <c r="O10" s="64">
        <v>0.2</v>
      </c>
      <c r="P10" s="64">
        <v>0.19</v>
      </c>
      <c r="Q10" s="64">
        <v>9.09</v>
      </c>
      <c r="R10" s="198"/>
      <c r="S10" s="198"/>
      <c r="T10" s="198"/>
      <c r="U10" s="198"/>
    </row>
    <row r="11" spans="1:21" s="12" customFormat="1" x14ac:dyDescent="0.25">
      <c r="A11" s="211" t="s">
        <v>1015</v>
      </c>
      <c r="B11" s="64">
        <v>4.04</v>
      </c>
      <c r="C11" s="64">
        <v>13.05</v>
      </c>
      <c r="D11" s="64">
        <v>18.78</v>
      </c>
      <c r="E11" s="64">
        <v>3.57</v>
      </c>
      <c r="F11" s="64">
        <v>5.34</v>
      </c>
      <c r="G11" s="64">
        <v>26.64</v>
      </c>
      <c r="H11" s="64">
        <v>529.63</v>
      </c>
      <c r="I11" s="64">
        <v>4.13</v>
      </c>
      <c r="J11" s="64">
        <v>0.24</v>
      </c>
      <c r="K11" s="64">
        <v>317.66000000000003</v>
      </c>
      <c r="L11" s="64">
        <v>22.94</v>
      </c>
      <c r="M11" s="64">
        <v>98.24</v>
      </c>
      <c r="N11" s="64">
        <v>68.7</v>
      </c>
      <c r="O11" s="64">
        <v>0.2</v>
      </c>
      <c r="P11" s="64">
        <v>0.19</v>
      </c>
      <c r="Q11" s="64">
        <v>9.06</v>
      </c>
      <c r="R11" s="198"/>
      <c r="S11" s="198"/>
      <c r="T11" s="198"/>
      <c r="U11" s="198"/>
    </row>
    <row r="12" spans="1:21" s="12" customFormat="1" x14ac:dyDescent="0.25">
      <c r="A12" s="211" t="s">
        <v>1016</v>
      </c>
      <c r="B12" s="64">
        <v>3.91</v>
      </c>
      <c r="C12" s="64">
        <v>12.76</v>
      </c>
      <c r="D12" s="64">
        <v>18.41</v>
      </c>
      <c r="E12" s="64">
        <v>4.22</v>
      </c>
      <c r="F12" s="64">
        <v>3.78</v>
      </c>
      <c r="G12" s="64">
        <v>24.7</v>
      </c>
      <c r="H12" s="64">
        <v>392.26</v>
      </c>
      <c r="I12" s="64">
        <v>3.97</v>
      </c>
      <c r="J12" s="64">
        <v>0.17</v>
      </c>
      <c r="K12" s="64">
        <v>317.26</v>
      </c>
      <c r="L12" s="64">
        <v>22.79</v>
      </c>
      <c r="M12" s="64">
        <v>98.31</v>
      </c>
      <c r="N12" s="64">
        <v>68.8</v>
      </c>
      <c r="O12" s="64">
        <v>0.2</v>
      </c>
      <c r="P12" s="64">
        <v>0.19</v>
      </c>
      <c r="Q12" s="64">
        <v>9.0299999999999994</v>
      </c>
      <c r="R12" s="198"/>
      <c r="S12" s="198"/>
      <c r="T12" s="198"/>
      <c r="U12" s="198"/>
    </row>
    <row r="13" spans="1:21" s="12" customFormat="1" x14ac:dyDescent="0.25">
      <c r="A13" s="211" t="s">
        <v>1017</v>
      </c>
      <c r="B13" s="64">
        <v>3.91</v>
      </c>
      <c r="C13" s="64">
        <v>12.06</v>
      </c>
      <c r="D13" s="64">
        <v>17.079999999999998</v>
      </c>
      <c r="E13" s="64">
        <v>3.94</v>
      </c>
      <c r="F13" s="64">
        <v>4.3600000000000003</v>
      </c>
      <c r="G13" s="64">
        <v>19.36</v>
      </c>
      <c r="H13" s="64">
        <v>14.49</v>
      </c>
      <c r="I13" s="64">
        <v>3.88</v>
      </c>
      <c r="J13" s="64">
        <v>0.18</v>
      </c>
      <c r="K13" s="64">
        <v>322.04000000000002</v>
      </c>
      <c r="L13" s="64">
        <v>22.77</v>
      </c>
      <c r="M13" s="64">
        <v>98.32</v>
      </c>
      <c r="N13" s="64">
        <v>69.5</v>
      </c>
      <c r="O13" s="64">
        <v>0</v>
      </c>
      <c r="P13" s="64">
        <v>0.19</v>
      </c>
      <c r="Q13" s="64">
        <v>9.0299999999999994</v>
      </c>
      <c r="R13" s="198"/>
      <c r="S13" s="198"/>
      <c r="T13" s="198"/>
      <c r="U13" s="198"/>
    </row>
    <row r="14" spans="1:21" s="12" customFormat="1" x14ac:dyDescent="0.25">
      <c r="A14" s="211" t="s">
        <v>1018</v>
      </c>
      <c r="B14" s="64">
        <v>3.88</v>
      </c>
      <c r="C14" s="64">
        <v>11.84</v>
      </c>
      <c r="D14" s="64">
        <v>16.7</v>
      </c>
      <c r="E14" s="64">
        <v>3.98</v>
      </c>
      <c r="F14" s="64">
        <v>4.17</v>
      </c>
      <c r="G14" s="64">
        <v>19.36</v>
      </c>
      <c r="H14" s="64">
        <v>14.49</v>
      </c>
      <c r="I14" s="64">
        <v>4.0599999999999996</v>
      </c>
      <c r="J14" s="64">
        <v>0.19</v>
      </c>
      <c r="K14" s="64">
        <v>314.08</v>
      </c>
      <c r="L14" s="64">
        <v>22.85</v>
      </c>
      <c r="M14" s="64">
        <v>98.28</v>
      </c>
      <c r="N14" s="64">
        <v>69.2</v>
      </c>
      <c r="O14" s="64">
        <v>0</v>
      </c>
      <c r="P14" s="64">
        <v>0.21</v>
      </c>
      <c r="Q14" s="64">
        <v>9.02</v>
      </c>
      <c r="R14" s="198"/>
      <c r="S14" s="198"/>
      <c r="T14" s="198"/>
      <c r="U14" s="198"/>
    </row>
    <row r="15" spans="1:21" s="12" customFormat="1" x14ac:dyDescent="0.25">
      <c r="A15" s="211" t="s">
        <v>1019</v>
      </c>
      <c r="B15" s="64">
        <v>3.92</v>
      </c>
      <c r="C15" s="64">
        <v>11.57</v>
      </c>
      <c r="D15" s="64">
        <v>16.13</v>
      </c>
      <c r="E15" s="64">
        <v>3.78</v>
      </c>
      <c r="F15" s="64">
        <v>4.1100000000000003</v>
      </c>
      <c r="G15" s="64">
        <v>19.36</v>
      </c>
      <c r="H15" s="64">
        <v>14.49</v>
      </c>
      <c r="I15" s="64">
        <v>4.04</v>
      </c>
      <c r="J15" s="64">
        <v>0.22</v>
      </c>
      <c r="K15" s="64">
        <v>302.83999999999997</v>
      </c>
      <c r="L15" s="64">
        <v>22.98</v>
      </c>
      <c r="M15" s="64">
        <v>98.16</v>
      </c>
      <c r="N15" s="64">
        <v>69.8</v>
      </c>
      <c r="O15" s="64">
        <v>0</v>
      </c>
      <c r="P15" s="64">
        <v>0.19</v>
      </c>
      <c r="Q15" s="64">
        <v>9.01</v>
      </c>
      <c r="R15" s="198"/>
      <c r="S15" s="198"/>
      <c r="T15" s="198"/>
      <c r="U15" s="198"/>
    </row>
    <row r="16" spans="1:21" s="12" customFormat="1" x14ac:dyDescent="0.25">
      <c r="A16" s="211" t="s">
        <v>1020</v>
      </c>
      <c r="B16" s="64">
        <v>3.86</v>
      </c>
      <c r="C16" s="64">
        <v>11.41</v>
      </c>
      <c r="D16" s="64">
        <v>15.91</v>
      </c>
      <c r="E16" s="64">
        <v>3.41</v>
      </c>
      <c r="F16" s="64">
        <v>4.8099999999999996</v>
      </c>
      <c r="G16" s="64">
        <v>18.73</v>
      </c>
      <c r="H16" s="64">
        <v>11.35</v>
      </c>
      <c r="I16" s="64">
        <v>4.16</v>
      </c>
      <c r="J16" s="64">
        <v>0.24</v>
      </c>
      <c r="K16" s="64">
        <v>315.5</v>
      </c>
      <c r="L16" s="64">
        <v>23.03</v>
      </c>
      <c r="M16" s="64">
        <v>98.22</v>
      </c>
      <c r="N16" s="64">
        <v>70.7</v>
      </c>
      <c r="O16" s="64">
        <v>0</v>
      </c>
      <c r="P16" s="64">
        <v>0.21</v>
      </c>
      <c r="Q16" s="64">
        <v>9</v>
      </c>
      <c r="R16" s="198"/>
      <c r="S16" s="198"/>
      <c r="T16" s="198"/>
      <c r="U16" s="198"/>
    </row>
    <row r="17" spans="1:21" s="12" customFormat="1" x14ac:dyDescent="0.25">
      <c r="A17" s="211" t="s">
        <v>1021</v>
      </c>
      <c r="B17" s="64">
        <v>3.85</v>
      </c>
      <c r="C17" s="64">
        <v>11.44</v>
      </c>
      <c r="D17" s="64">
        <v>16</v>
      </c>
      <c r="E17" s="64">
        <v>3.61</v>
      </c>
      <c r="F17" s="64">
        <v>3.29</v>
      </c>
      <c r="G17" s="64">
        <v>17.010000000000002</v>
      </c>
      <c r="H17" s="64">
        <v>2.73</v>
      </c>
      <c r="I17" s="64">
        <v>3.92</v>
      </c>
      <c r="J17" s="64">
        <v>0.22</v>
      </c>
      <c r="K17" s="64">
        <v>319.26</v>
      </c>
      <c r="L17" s="64">
        <v>23.09</v>
      </c>
      <c r="M17" s="64">
        <v>98.4</v>
      </c>
      <c r="N17" s="64">
        <v>77.8</v>
      </c>
      <c r="O17" s="64">
        <v>0</v>
      </c>
      <c r="P17" s="64">
        <v>0.18</v>
      </c>
      <c r="Q17" s="64">
        <v>9</v>
      </c>
      <c r="R17" s="198"/>
      <c r="S17" s="198"/>
      <c r="T17" s="198"/>
      <c r="U17" s="198"/>
    </row>
    <row r="18" spans="1:21" s="12" customFormat="1" x14ac:dyDescent="0.25">
      <c r="A18" s="211" t="s">
        <v>1022</v>
      </c>
      <c r="B18" s="64">
        <v>3.85</v>
      </c>
      <c r="C18" s="64">
        <v>11.24</v>
      </c>
      <c r="D18" s="64">
        <v>15.6</v>
      </c>
      <c r="E18" s="64">
        <v>3.54</v>
      </c>
      <c r="F18" s="64">
        <v>4.5599999999999996</v>
      </c>
      <c r="G18" s="64">
        <v>17.010000000000002</v>
      </c>
      <c r="H18" s="64">
        <v>2.73</v>
      </c>
      <c r="I18" s="64">
        <v>4</v>
      </c>
      <c r="J18" s="64">
        <v>0.21</v>
      </c>
      <c r="K18" s="64">
        <v>314.04000000000002</v>
      </c>
      <c r="L18" s="64">
        <v>23.14</v>
      </c>
      <c r="M18" s="64">
        <v>98.45</v>
      </c>
      <c r="N18" s="64">
        <v>74.5</v>
      </c>
      <c r="O18" s="64">
        <v>0</v>
      </c>
      <c r="P18" s="64">
        <v>0.19</v>
      </c>
      <c r="Q18" s="64">
        <v>8.99</v>
      </c>
      <c r="R18" s="198"/>
      <c r="S18" s="198"/>
      <c r="T18" s="198"/>
      <c r="U18" s="198"/>
    </row>
    <row r="19" spans="1:21" s="12" customFormat="1" x14ac:dyDescent="0.25">
      <c r="A19" s="211" t="s">
        <v>1023</v>
      </c>
      <c r="B19" s="64">
        <v>3.84</v>
      </c>
      <c r="C19" s="64">
        <v>11.47</v>
      </c>
      <c r="D19" s="64">
        <v>16.05</v>
      </c>
      <c r="E19" s="64">
        <v>3.81</v>
      </c>
      <c r="F19" s="64">
        <v>3.9</v>
      </c>
      <c r="G19" s="64">
        <v>17.010000000000002</v>
      </c>
      <c r="H19" s="64">
        <v>2.73</v>
      </c>
      <c r="I19" s="64">
        <v>4</v>
      </c>
      <c r="J19" s="64">
        <v>0.23</v>
      </c>
      <c r="K19" s="64">
        <v>305.51</v>
      </c>
      <c r="L19" s="64">
        <v>23.2</v>
      </c>
      <c r="M19" s="64">
        <v>98.4</v>
      </c>
      <c r="N19" s="64">
        <v>79.8</v>
      </c>
      <c r="O19" s="64">
        <v>0</v>
      </c>
      <c r="P19" s="64">
        <v>0.19</v>
      </c>
      <c r="Q19" s="64">
        <v>8.9700000000000006</v>
      </c>
      <c r="R19" s="198"/>
      <c r="S19" s="198"/>
      <c r="T19" s="198"/>
      <c r="U19" s="198"/>
    </row>
    <row r="20" spans="1:21" s="12" customFormat="1" x14ac:dyDescent="0.25">
      <c r="A20" s="211" t="s">
        <v>1024</v>
      </c>
      <c r="B20" s="64">
        <v>3.98</v>
      </c>
      <c r="C20" s="64">
        <v>11.42</v>
      </c>
      <c r="D20" s="64">
        <v>15.76</v>
      </c>
      <c r="E20" s="64">
        <v>3.61</v>
      </c>
      <c r="F20" s="64">
        <v>3.89</v>
      </c>
      <c r="G20" s="64">
        <v>15.73</v>
      </c>
      <c r="H20" s="64">
        <v>2.62</v>
      </c>
      <c r="I20" s="64">
        <v>3.95</v>
      </c>
      <c r="J20" s="64">
        <v>0.22</v>
      </c>
      <c r="K20" s="64">
        <v>294.60000000000002</v>
      </c>
      <c r="L20" s="64">
        <v>23.27</v>
      </c>
      <c r="M20" s="64">
        <v>98.58</v>
      </c>
      <c r="N20" s="64">
        <v>76.599999999999994</v>
      </c>
      <c r="O20" s="64">
        <v>0</v>
      </c>
      <c r="P20" s="64">
        <v>0.17</v>
      </c>
      <c r="Q20" s="64">
        <v>8.99</v>
      </c>
      <c r="R20" s="198"/>
      <c r="S20" s="198"/>
      <c r="T20" s="198"/>
      <c r="U20" s="198"/>
    </row>
    <row r="21" spans="1:21" s="12" customFormat="1" x14ac:dyDescent="0.25">
      <c r="A21" s="211" t="s">
        <v>1025</v>
      </c>
      <c r="B21" s="64">
        <v>3.93</v>
      </c>
      <c r="C21" s="64">
        <v>11.43</v>
      </c>
      <c r="D21" s="64">
        <v>15.85</v>
      </c>
      <c r="E21" s="64">
        <v>3.65</v>
      </c>
      <c r="F21" s="64">
        <v>4.1900000000000004</v>
      </c>
      <c r="G21" s="64">
        <v>12.21</v>
      </c>
      <c r="H21" s="64">
        <v>2.29</v>
      </c>
      <c r="I21" s="64">
        <v>3.99</v>
      </c>
      <c r="J21" s="64">
        <v>0.25</v>
      </c>
      <c r="K21" s="64">
        <v>302.95999999999998</v>
      </c>
      <c r="L21" s="64">
        <v>23.3</v>
      </c>
      <c r="M21" s="64">
        <v>98.65</v>
      </c>
      <c r="N21" s="64">
        <v>76.2</v>
      </c>
      <c r="O21" s="64">
        <v>0</v>
      </c>
      <c r="P21" s="64">
        <v>0.17</v>
      </c>
      <c r="Q21" s="64">
        <v>9</v>
      </c>
      <c r="R21" s="198"/>
      <c r="S21" s="198"/>
      <c r="T21" s="198"/>
      <c r="U21" s="198"/>
    </row>
    <row r="22" spans="1:21" s="12" customFormat="1" x14ac:dyDescent="0.25">
      <c r="A22" s="211" t="s">
        <v>1026</v>
      </c>
      <c r="B22" s="64">
        <v>3.78</v>
      </c>
      <c r="C22" s="64">
        <v>11.14</v>
      </c>
      <c r="D22" s="64">
        <v>15.53</v>
      </c>
      <c r="E22" s="64">
        <v>3.51</v>
      </c>
      <c r="F22" s="64">
        <v>4.7699999999999996</v>
      </c>
      <c r="G22" s="64">
        <v>12.21</v>
      </c>
      <c r="H22" s="64">
        <v>2.29</v>
      </c>
      <c r="I22" s="64">
        <v>3.85</v>
      </c>
      <c r="J22" s="64">
        <v>0.16</v>
      </c>
      <c r="K22" s="64">
        <v>295.70999999999998</v>
      </c>
      <c r="L22" s="64">
        <v>23.28</v>
      </c>
      <c r="M22" s="64">
        <v>98.75</v>
      </c>
      <c r="N22" s="64">
        <v>75.900000000000006</v>
      </c>
      <c r="O22" s="64">
        <v>0</v>
      </c>
      <c r="P22" s="64">
        <v>0.17</v>
      </c>
      <c r="Q22" s="64">
        <v>9.01</v>
      </c>
      <c r="R22" s="198"/>
      <c r="S22" s="198"/>
      <c r="T22" s="198"/>
      <c r="U22" s="198"/>
    </row>
    <row r="23" spans="1:21" s="12" customFormat="1" x14ac:dyDescent="0.25">
      <c r="A23" s="211" t="s">
        <v>1027</v>
      </c>
      <c r="B23" s="64">
        <v>3.79</v>
      </c>
      <c r="C23" s="64">
        <v>11.1</v>
      </c>
      <c r="D23" s="64">
        <v>15.42</v>
      </c>
      <c r="E23" s="64">
        <v>3.67</v>
      </c>
      <c r="F23" s="64">
        <v>4.67</v>
      </c>
      <c r="G23" s="64">
        <v>12.21</v>
      </c>
      <c r="H23" s="64">
        <v>2.29</v>
      </c>
      <c r="I23" s="64">
        <v>3.95</v>
      </c>
      <c r="J23" s="64">
        <v>0.16</v>
      </c>
      <c r="K23" s="64">
        <v>293.60000000000002</v>
      </c>
      <c r="L23" s="64">
        <v>23.19</v>
      </c>
      <c r="M23" s="64">
        <v>98.58</v>
      </c>
      <c r="N23" s="64">
        <v>76.3</v>
      </c>
      <c r="O23" s="64">
        <v>0</v>
      </c>
      <c r="P23" s="64">
        <v>0.18</v>
      </c>
      <c r="Q23" s="64">
        <v>9.01</v>
      </c>
      <c r="R23" s="198"/>
      <c r="S23" s="198"/>
      <c r="T23" s="198"/>
      <c r="U23" s="198"/>
    </row>
    <row r="24" spans="1:21" s="12" customFormat="1" x14ac:dyDescent="0.25">
      <c r="A24" s="211" t="s">
        <v>1028</v>
      </c>
      <c r="B24" s="64">
        <v>3.87</v>
      </c>
      <c r="C24" s="64">
        <v>11.18</v>
      </c>
      <c r="D24" s="64">
        <v>15.45</v>
      </c>
      <c r="E24" s="64">
        <v>3.81</v>
      </c>
      <c r="F24" s="64">
        <v>3.87</v>
      </c>
      <c r="G24" s="64">
        <v>11.26</v>
      </c>
      <c r="H24" s="64">
        <v>6.71</v>
      </c>
      <c r="I24" s="64">
        <v>3.89</v>
      </c>
      <c r="J24" s="64">
        <v>0.28000000000000003</v>
      </c>
      <c r="K24" s="64">
        <v>292.01</v>
      </c>
      <c r="L24" s="64">
        <v>23.13</v>
      </c>
      <c r="M24" s="64">
        <v>98.8</v>
      </c>
      <c r="N24" s="64">
        <v>76.599999999999994</v>
      </c>
      <c r="O24" s="64">
        <v>0</v>
      </c>
      <c r="P24" s="64">
        <v>0.17</v>
      </c>
      <c r="Q24" s="64">
        <v>9.01</v>
      </c>
      <c r="R24" s="198"/>
      <c r="S24" s="198"/>
      <c r="T24" s="198"/>
      <c r="U24" s="198"/>
    </row>
    <row r="25" spans="1:21" s="12" customFormat="1" x14ac:dyDescent="0.25">
      <c r="A25" s="211" t="s">
        <v>1029</v>
      </c>
      <c r="B25" s="64">
        <v>3.92</v>
      </c>
      <c r="C25" s="64">
        <v>11.36</v>
      </c>
      <c r="D25" s="64">
        <v>15.73</v>
      </c>
      <c r="E25" s="64">
        <v>3.68</v>
      </c>
      <c r="F25" s="64">
        <v>4.24</v>
      </c>
      <c r="G25" s="64">
        <v>8.65</v>
      </c>
      <c r="H25" s="64">
        <v>18.87</v>
      </c>
      <c r="I25" s="64">
        <v>3.93</v>
      </c>
      <c r="J25" s="64">
        <v>0.28999999999999998</v>
      </c>
      <c r="K25" s="64">
        <v>290.97000000000003</v>
      </c>
      <c r="L25" s="64">
        <v>23.1</v>
      </c>
      <c r="M25" s="64">
        <v>98.91</v>
      </c>
      <c r="N25" s="64">
        <v>78.3</v>
      </c>
      <c r="O25" s="64">
        <v>0</v>
      </c>
      <c r="P25" s="64">
        <v>0.17</v>
      </c>
      <c r="Q25" s="64">
        <v>9.02</v>
      </c>
      <c r="R25" s="198"/>
      <c r="S25" s="198"/>
      <c r="T25" s="198"/>
      <c r="U25" s="198"/>
    </row>
    <row r="26" spans="1:21" s="12" customFormat="1" x14ac:dyDescent="0.25">
      <c r="A26" s="211" t="s">
        <v>1030</v>
      </c>
      <c r="B26" s="64">
        <v>3.88</v>
      </c>
      <c r="C26" s="64">
        <v>11.43</v>
      </c>
      <c r="D26" s="64">
        <v>15.92</v>
      </c>
      <c r="E26" s="64">
        <v>3.76</v>
      </c>
      <c r="F26" s="64">
        <v>4.28</v>
      </c>
      <c r="G26" s="64">
        <v>8.65</v>
      </c>
      <c r="H26" s="64">
        <v>18.87</v>
      </c>
      <c r="I26" s="64">
        <v>4.0199999999999996</v>
      </c>
      <c r="J26" s="64">
        <v>0.21</v>
      </c>
      <c r="K26" s="64">
        <v>299.39999999999998</v>
      </c>
      <c r="L26" s="64">
        <v>23.02</v>
      </c>
      <c r="M26" s="64">
        <v>98.86</v>
      </c>
      <c r="N26" s="64">
        <v>80.900000000000006</v>
      </c>
      <c r="O26" s="64">
        <v>0</v>
      </c>
      <c r="P26" s="64">
        <v>0.17</v>
      </c>
      <c r="Q26" s="64">
        <v>9.02</v>
      </c>
      <c r="R26" s="198"/>
      <c r="S26" s="198"/>
      <c r="T26" s="198"/>
      <c r="U26" s="198"/>
    </row>
    <row r="27" spans="1:21" s="12" customFormat="1" x14ac:dyDescent="0.25">
      <c r="A27" s="211" t="s">
        <v>1031</v>
      </c>
      <c r="B27" s="64">
        <v>3.89</v>
      </c>
      <c r="C27" s="64">
        <v>11.45</v>
      </c>
      <c r="D27" s="64">
        <v>15.96</v>
      </c>
      <c r="E27" s="64">
        <v>4.09</v>
      </c>
      <c r="F27" s="64">
        <v>4.8</v>
      </c>
      <c r="G27" s="64">
        <v>8.65</v>
      </c>
      <c r="H27" s="64">
        <v>18.87</v>
      </c>
      <c r="I27" s="64">
        <v>4.09</v>
      </c>
      <c r="J27" s="64">
        <v>0.25</v>
      </c>
      <c r="K27" s="64">
        <v>300.88</v>
      </c>
      <c r="L27" s="64">
        <v>22.91</v>
      </c>
      <c r="M27" s="64">
        <v>99.12</v>
      </c>
      <c r="N27" s="64">
        <v>75.400000000000006</v>
      </c>
      <c r="O27" s="64">
        <v>0</v>
      </c>
      <c r="P27" s="64">
        <v>0.17</v>
      </c>
      <c r="Q27" s="64">
        <v>9.02</v>
      </c>
      <c r="R27" s="198"/>
      <c r="S27" s="198"/>
      <c r="T27" s="198"/>
      <c r="U27" s="198"/>
    </row>
    <row r="28" spans="1:21" s="12" customFormat="1" x14ac:dyDescent="0.25">
      <c r="A28" s="211" t="s">
        <v>1032</v>
      </c>
      <c r="B28" s="64">
        <v>3.94</v>
      </c>
      <c r="C28" s="64">
        <v>11.55</v>
      </c>
      <c r="D28" s="64">
        <v>16.05</v>
      </c>
      <c r="E28" s="64">
        <v>3.87</v>
      </c>
      <c r="F28" s="64">
        <v>4.46</v>
      </c>
      <c r="G28" s="64">
        <v>8.56</v>
      </c>
      <c r="H28" s="64">
        <v>14.41</v>
      </c>
      <c r="I28" s="64">
        <v>3.99</v>
      </c>
      <c r="J28" s="64">
        <v>0.23</v>
      </c>
      <c r="K28" s="64">
        <v>294.74</v>
      </c>
      <c r="L28" s="64">
        <v>22.92</v>
      </c>
      <c r="M28" s="64">
        <v>99.27</v>
      </c>
      <c r="N28" s="64">
        <v>71.5</v>
      </c>
      <c r="O28" s="64">
        <v>0</v>
      </c>
      <c r="P28" s="64">
        <v>0.17</v>
      </c>
      <c r="Q28" s="64">
        <v>9.02</v>
      </c>
      <c r="R28" s="198"/>
      <c r="S28" s="198"/>
      <c r="T28" s="198"/>
      <c r="U28" s="198"/>
    </row>
    <row r="29" spans="1:21" s="12" customFormat="1" x14ac:dyDescent="0.25">
      <c r="A29" s="211" t="s">
        <v>1033</v>
      </c>
      <c r="B29" s="64">
        <v>4.1399999999999997</v>
      </c>
      <c r="C29" s="64">
        <v>12.23</v>
      </c>
      <c r="D29" s="64">
        <v>17.059999999999999</v>
      </c>
      <c r="E29" s="64">
        <v>3.42</v>
      </c>
      <c r="F29" s="64">
        <v>4.4800000000000004</v>
      </c>
      <c r="G29" s="64">
        <v>8.33</v>
      </c>
      <c r="H29" s="64">
        <v>2.16</v>
      </c>
      <c r="I29" s="64">
        <v>4.05</v>
      </c>
      <c r="J29" s="64">
        <v>0.27</v>
      </c>
      <c r="K29" s="64">
        <v>292.04000000000002</v>
      </c>
      <c r="L29" s="64">
        <v>23.01</v>
      </c>
      <c r="M29" s="64">
        <v>98.86</v>
      </c>
      <c r="N29" s="64">
        <v>74.8</v>
      </c>
      <c r="O29" s="64">
        <v>0</v>
      </c>
      <c r="P29" s="64">
        <v>0.19</v>
      </c>
      <c r="Q29" s="64">
        <v>9.01</v>
      </c>
      <c r="R29" s="198"/>
      <c r="S29" s="198"/>
      <c r="T29" s="198"/>
      <c r="U29" s="198"/>
    </row>
    <row r="30" spans="1:21" s="12" customFormat="1" x14ac:dyDescent="0.25">
      <c r="A30" s="211" t="s">
        <v>1034</v>
      </c>
      <c r="B30" s="64">
        <v>4.3600000000000003</v>
      </c>
      <c r="C30" s="64">
        <v>12.88</v>
      </c>
      <c r="D30" s="64">
        <v>17.95</v>
      </c>
      <c r="E30" s="64">
        <v>3.88</v>
      </c>
      <c r="F30" s="64">
        <v>3.22</v>
      </c>
      <c r="G30" s="64">
        <v>8.33</v>
      </c>
      <c r="H30" s="64">
        <v>2.16</v>
      </c>
      <c r="I30" s="64">
        <v>4.09</v>
      </c>
      <c r="J30" s="64">
        <v>0.25</v>
      </c>
      <c r="K30" s="64">
        <v>291.93</v>
      </c>
      <c r="L30" s="64">
        <v>23.02</v>
      </c>
      <c r="M30" s="64">
        <v>98.42</v>
      </c>
      <c r="N30" s="64">
        <v>73.900000000000006</v>
      </c>
      <c r="O30" s="64">
        <v>0</v>
      </c>
      <c r="P30" s="64">
        <v>0.18</v>
      </c>
      <c r="Q30" s="64">
        <v>9.01</v>
      </c>
      <c r="R30" s="198"/>
      <c r="S30" s="198"/>
      <c r="T30" s="198"/>
      <c r="U30" s="198"/>
    </row>
    <row r="31" spans="1:21" s="12" customFormat="1" x14ac:dyDescent="0.25">
      <c r="A31" s="211" t="s">
        <v>1035</v>
      </c>
      <c r="B31" s="64">
        <v>4.49</v>
      </c>
      <c r="C31" s="64">
        <v>12.77</v>
      </c>
      <c r="D31" s="64">
        <v>17.55</v>
      </c>
      <c r="E31" s="64">
        <v>4.04</v>
      </c>
      <c r="F31" s="64">
        <v>4.17</v>
      </c>
      <c r="G31" s="64">
        <v>8.33</v>
      </c>
      <c r="H31" s="64">
        <v>2.16</v>
      </c>
      <c r="I31" s="64">
        <v>3.88</v>
      </c>
      <c r="J31" s="64">
        <v>0.26</v>
      </c>
      <c r="K31" s="64">
        <v>289.74</v>
      </c>
      <c r="L31" s="64">
        <v>23.1</v>
      </c>
      <c r="M31" s="64">
        <v>98.49</v>
      </c>
      <c r="N31" s="64">
        <v>77.5</v>
      </c>
      <c r="O31" s="64">
        <v>0</v>
      </c>
      <c r="P31" s="64">
        <v>0.18</v>
      </c>
      <c r="Q31" s="64">
        <v>9.01</v>
      </c>
      <c r="R31" s="198"/>
      <c r="S31" s="198"/>
      <c r="T31" s="198"/>
      <c r="U31" s="198"/>
    </row>
    <row r="32" spans="1:21" s="12" customFormat="1" x14ac:dyDescent="0.25">
      <c r="A32" s="211" t="s">
        <v>1036</v>
      </c>
      <c r="B32" s="64">
        <v>4.76</v>
      </c>
      <c r="C32" s="64">
        <v>13.78</v>
      </c>
      <c r="D32" s="64">
        <v>19.07</v>
      </c>
      <c r="E32" s="64">
        <v>4.05</v>
      </c>
      <c r="F32" s="64">
        <v>4.21</v>
      </c>
      <c r="G32" s="64">
        <v>9.02</v>
      </c>
      <c r="H32" s="64">
        <v>1.89</v>
      </c>
      <c r="I32" s="64">
        <v>3.92</v>
      </c>
      <c r="J32" s="64">
        <v>0.25</v>
      </c>
      <c r="K32" s="64">
        <v>297.76</v>
      </c>
      <c r="L32" s="64">
        <v>23.12</v>
      </c>
      <c r="M32" s="64">
        <v>98.57</v>
      </c>
      <c r="N32" s="64">
        <v>80.8</v>
      </c>
      <c r="O32" s="64">
        <v>0</v>
      </c>
      <c r="P32" s="64">
        <v>0.2</v>
      </c>
      <c r="Q32" s="64">
        <v>9.01</v>
      </c>
      <c r="R32" s="198"/>
      <c r="S32" s="198"/>
      <c r="T32" s="198"/>
      <c r="U32" s="198"/>
    </row>
    <row r="33" spans="1:21" s="12" customFormat="1" x14ac:dyDescent="0.25">
      <c r="A33" s="211" t="s">
        <v>1037</v>
      </c>
      <c r="B33" s="64">
        <v>4.6500000000000004</v>
      </c>
      <c r="C33" s="64">
        <v>13.37</v>
      </c>
      <c r="D33" s="64">
        <v>18.45</v>
      </c>
      <c r="E33" s="64">
        <v>3.68</v>
      </c>
      <c r="F33" s="64">
        <v>3.86</v>
      </c>
      <c r="G33" s="64">
        <v>10.93</v>
      </c>
      <c r="H33" s="64">
        <v>1.1599999999999999</v>
      </c>
      <c r="I33" s="64">
        <v>3.95</v>
      </c>
      <c r="J33" s="64">
        <v>0.23</v>
      </c>
      <c r="K33" s="64">
        <v>292.42</v>
      </c>
      <c r="L33" s="64">
        <v>23.16</v>
      </c>
      <c r="M33" s="64">
        <v>98.62</v>
      </c>
      <c r="N33" s="64">
        <v>79.900000000000006</v>
      </c>
      <c r="O33" s="64">
        <v>0</v>
      </c>
      <c r="P33" s="64">
        <v>0.18</v>
      </c>
      <c r="Q33" s="64">
        <v>9.01</v>
      </c>
      <c r="R33" s="198"/>
      <c r="S33" s="198"/>
      <c r="T33" s="198"/>
      <c r="U33" s="198"/>
    </row>
    <row r="34" spans="1:21" s="12" customFormat="1" x14ac:dyDescent="0.25">
      <c r="A34" s="211" t="s">
        <v>1038</v>
      </c>
      <c r="B34" s="64">
        <v>4.5999999999999996</v>
      </c>
      <c r="C34" s="64">
        <v>12.96</v>
      </c>
      <c r="D34" s="64">
        <v>17.73</v>
      </c>
      <c r="E34" s="64">
        <v>3.78</v>
      </c>
      <c r="F34" s="64">
        <v>4.4000000000000004</v>
      </c>
      <c r="G34" s="64">
        <v>10.93</v>
      </c>
      <c r="H34" s="64">
        <v>1.1599999999999999</v>
      </c>
      <c r="I34" s="64">
        <v>3.78</v>
      </c>
      <c r="J34" s="64">
        <v>0.27</v>
      </c>
      <c r="K34" s="64">
        <v>289.31</v>
      </c>
      <c r="L34" s="64">
        <v>23.14</v>
      </c>
      <c r="M34" s="64">
        <v>98.59</v>
      </c>
      <c r="N34" s="64">
        <v>76.2</v>
      </c>
      <c r="O34" s="64">
        <v>0</v>
      </c>
      <c r="P34" s="64">
        <v>0.2</v>
      </c>
      <c r="Q34" s="64">
        <v>9.02</v>
      </c>
      <c r="R34" s="198"/>
      <c r="S34" s="198"/>
      <c r="T34" s="198"/>
      <c r="U34" s="198"/>
    </row>
    <row r="35" spans="1:21" s="12" customFormat="1" x14ac:dyDescent="0.25">
      <c r="A35" s="211" t="s">
        <v>1039</v>
      </c>
      <c r="B35" s="64">
        <v>4.74</v>
      </c>
      <c r="C35" s="64">
        <v>13.48</v>
      </c>
      <c r="D35" s="64">
        <v>18.52</v>
      </c>
      <c r="E35" s="64">
        <v>3.59</v>
      </c>
      <c r="F35" s="64">
        <v>3.38</v>
      </c>
      <c r="G35" s="64">
        <v>10.93</v>
      </c>
      <c r="H35" s="64">
        <v>1.1599999999999999</v>
      </c>
      <c r="I35" s="64">
        <v>4.07</v>
      </c>
      <c r="J35" s="64">
        <v>0.24</v>
      </c>
      <c r="K35" s="64">
        <v>285.25</v>
      </c>
      <c r="L35" s="64">
        <v>23.16</v>
      </c>
      <c r="M35" s="64">
        <v>98.06</v>
      </c>
      <c r="N35" s="64">
        <v>87.2</v>
      </c>
      <c r="O35" s="64">
        <v>0</v>
      </c>
      <c r="P35" s="64">
        <v>0.2</v>
      </c>
      <c r="Q35" s="64">
        <v>9.01</v>
      </c>
      <c r="R35" s="198"/>
      <c r="S35" s="198"/>
      <c r="T35" s="198"/>
      <c r="U35" s="198"/>
    </row>
    <row r="36" spans="1:21" s="12" customFormat="1" x14ac:dyDescent="0.25">
      <c r="A36" s="211" t="s">
        <v>1040</v>
      </c>
      <c r="B36" s="64">
        <v>4.68</v>
      </c>
      <c r="C36" s="64">
        <v>13.39</v>
      </c>
      <c r="D36" s="64">
        <v>18.45</v>
      </c>
      <c r="E36" s="64">
        <v>3.95</v>
      </c>
      <c r="F36" s="64">
        <v>4.1500000000000004</v>
      </c>
      <c r="G36" s="64">
        <v>13.28</v>
      </c>
      <c r="H36" s="64">
        <v>6.57</v>
      </c>
      <c r="I36" s="64">
        <v>4.0199999999999996</v>
      </c>
      <c r="J36" s="64">
        <v>0.24</v>
      </c>
      <c r="K36" s="64">
        <v>287.49</v>
      </c>
      <c r="L36" s="64">
        <v>23.22</v>
      </c>
      <c r="M36" s="64">
        <v>97.75</v>
      </c>
      <c r="N36" s="64">
        <v>103.4</v>
      </c>
      <c r="O36" s="64">
        <v>0</v>
      </c>
      <c r="P36" s="64">
        <v>0.21</v>
      </c>
      <c r="Q36" s="64">
        <v>9.0299999999999994</v>
      </c>
      <c r="R36" s="198"/>
      <c r="S36" s="198"/>
      <c r="T36" s="198"/>
      <c r="U36" s="198"/>
    </row>
    <row r="37" spans="1:21" s="12" customFormat="1" x14ac:dyDescent="0.25">
      <c r="A37" s="211" t="s">
        <v>1041</v>
      </c>
      <c r="B37" s="64">
        <v>4.82</v>
      </c>
      <c r="C37" s="64">
        <v>13.72</v>
      </c>
      <c r="D37" s="64">
        <v>18.850000000000001</v>
      </c>
      <c r="E37" s="64">
        <v>3.78</v>
      </c>
      <c r="F37" s="64">
        <v>2.69</v>
      </c>
      <c r="G37" s="64">
        <v>19.75</v>
      </c>
      <c r="H37" s="64">
        <v>21.46</v>
      </c>
      <c r="I37" s="64">
        <v>3.84</v>
      </c>
      <c r="J37" s="64">
        <v>0.31</v>
      </c>
      <c r="K37" s="64">
        <v>295.64999999999998</v>
      </c>
      <c r="L37" s="64">
        <v>23.39</v>
      </c>
      <c r="M37" s="64">
        <v>96.88</v>
      </c>
      <c r="N37" s="64">
        <v>133.1</v>
      </c>
      <c r="O37" s="64">
        <v>0</v>
      </c>
      <c r="P37" s="64">
        <v>0.2</v>
      </c>
      <c r="Q37" s="64">
        <v>9.02</v>
      </c>
      <c r="R37" s="198"/>
      <c r="S37" s="198"/>
      <c r="T37" s="198"/>
      <c r="U37" s="198"/>
    </row>
    <row r="38" spans="1:21" s="12" customFormat="1" x14ac:dyDescent="0.25">
      <c r="A38" s="211" t="s">
        <v>1042</v>
      </c>
      <c r="B38" s="64">
        <v>4.91</v>
      </c>
      <c r="C38" s="64">
        <v>13.71</v>
      </c>
      <c r="D38" s="64">
        <v>18.7</v>
      </c>
      <c r="E38" s="64">
        <v>3.63</v>
      </c>
      <c r="F38" s="64">
        <v>4.2699999999999996</v>
      </c>
      <c r="G38" s="64">
        <v>19.75</v>
      </c>
      <c r="H38" s="64">
        <v>21.46</v>
      </c>
      <c r="I38" s="64">
        <v>4.04</v>
      </c>
      <c r="J38" s="64">
        <v>0.21</v>
      </c>
      <c r="K38" s="64">
        <v>299.27</v>
      </c>
      <c r="L38" s="64">
        <v>23.57</v>
      </c>
      <c r="M38" s="64">
        <v>96.28</v>
      </c>
      <c r="N38" s="64">
        <v>164.1</v>
      </c>
      <c r="O38" s="64">
        <v>0</v>
      </c>
      <c r="P38" s="64">
        <v>0.24</v>
      </c>
      <c r="Q38" s="64">
        <v>9.02</v>
      </c>
      <c r="R38" s="198"/>
      <c r="S38" s="198"/>
      <c r="T38" s="198"/>
      <c r="U38" s="198"/>
    </row>
    <row r="39" spans="1:21" s="12" customFormat="1" x14ac:dyDescent="0.25">
      <c r="A39" s="211" t="s">
        <v>1043</v>
      </c>
      <c r="B39" s="64">
        <v>4.9400000000000004</v>
      </c>
      <c r="C39" s="64">
        <v>13.76</v>
      </c>
      <c r="D39" s="64">
        <v>18.75</v>
      </c>
      <c r="E39" s="64">
        <v>4.13</v>
      </c>
      <c r="F39" s="64">
        <v>3.02</v>
      </c>
      <c r="G39" s="64">
        <v>19.75</v>
      </c>
      <c r="H39" s="64">
        <v>21.46</v>
      </c>
      <c r="I39" s="64">
        <v>4</v>
      </c>
      <c r="J39" s="64">
        <v>0.3</v>
      </c>
      <c r="K39" s="64">
        <v>291.42</v>
      </c>
      <c r="L39" s="64">
        <v>23.89</v>
      </c>
      <c r="M39" s="64">
        <v>93.91</v>
      </c>
      <c r="N39" s="64">
        <v>199.7</v>
      </c>
      <c r="O39" s="64">
        <v>0</v>
      </c>
      <c r="P39" s="64">
        <v>0.23</v>
      </c>
      <c r="Q39" s="64">
        <v>9.0399999999999991</v>
      </c>
      <c r="R39" s="198"/>
      <c r="S39" s="198"/>
      <c r="T39" s="198"/>
      <c r="U39" s="198"/>
    </row>
    <row r="40" spans="1:21" s="12" customFormat="1" x14ac:dyDescent="0.25">
      <c r="A40" s="211" t="s">
        <v>1044</v>
      </c>
      <c r="B40" s="64">
        <v>4.82</v>
      </c>
      <c r="C40" s="64">
        <v>13.83</v>
      </c>
      <c r="D40" s="64">
        <v>19.059999999999999</v>
      </c>
      <c r="E40" s="64">
        <v>2.56</v>
      </c>
      <c r="F40" s="64">
        <v>5</v>
      </c>
      <c r="G40" s="64">
        <v>21.61</v>
      </c>
      <c r="H40" s="64">
        <v>18.8</v>
      </c>
      <c r="I40" s="64">
        <v>3.85</v>
      </c>
      <c r="J40" s="64">
        <v>0.25</v>
      </c>
      <c r="K40" s="64">
        <v>292.13</v>
      </c>
      <c r="L40" s="64">
        <v>24.29</v>
      </c>
      <c r="M40" s="64">
        <v>92.49</v>
      </c>
      <c r="N40" s="64">
        <v>227.2</v>
      </c>
      <c r="O40" s="64">
        <v>0</v>
      </c>
      <c r="P40" s="64">
        <v>0.23</v>
      </c>
      <c r="Q40" s="64">
        <v>9.06</v>
      </c>
      <c r="R40" s="198"/>
      <c r="S40" s="198"/>
      <c r="T40" s="198"/>
      <c r="U40" s="198"/>
    </row>
    <row r="41" spans="1:21" s="12" customFormat="1" x14ac:dyDescent="0.25">
      <c r="A41" s="211" t="s">
        <v>1045</v>
      </c>
      <c r="B41" s="64">
        <v>4.6900000000000004</v>
      </c>
      <c r="C41" s="64">
        <v>13.87</v>
      </c>
      <c r="D41" s="64">
        <v>19.34</v>
      </c>
      <c r="E41" s="64">
        <v>3.41</v>
      </c>
      <c r="F41" s="64">
        <v>3.83</v>
      </c>
      <c r="G41" s="64">
        <v>26.73</v>
      </c>
      <c r="H41" s="64">
        <v>11.5</v>
      </c>
      <c r="I41" s="64">
        <v>4.1399999999999997</v>
      </c>
      <c r="J41" s="64">
        <v>0.34</v>
      </c>
      <c r="K41" s="64">
        <v>283.67</v>
      </c>
      <c r="L41" s="64">
        <v>24.4</v>
      </c>
      <c r="M41" s="64">
        <v>92.24</v>
      </c>
      <c r="N41" s="64">
        <v>227.1</v>
      </c>
      <c r="O41" s="64">
        <v>0</v>
      </c>
      <c r="P41" s="64">
        <v>0.26</v>
      </c>
      <c r="Q41" s="64">
        <v>9.0500000000000007</v>
      </c>
      <c r="R41" s="198"/>
      <c r="S41" s="198"/>
      <c r="T41" s="198"/>
      <c r="U41" s="198"/>
    </row>
    <row r="42" spans="1:21" s="12" customFormat="1" x14ac:dyDescent="0.25">
      <c r="A42" s="211" t="s">
        <v>1046</v>
      </c>
      <c r="B42" s="64">
        <v>4.55</v>
      </c>
      <c r="C42" s="64">
        <v>13.72</v>
      </c>
      <c r="D42" s="64">
        <v>19.28</v>
      </c>
      <c r="E42" s="64">
        <v>3.38</v>
      </c>
      <c r="F42" s="64">
        <v>4.4800000000000004</v>
      </c>
      <c r="G42" s="64">
        <v>26.73</v>
      </c>
      <c r="H42" s="64">
        <v>11.5</v>
      </c>
      <c r="I42" s="64">
        <v>3.98</v>
      </c>
      <c r="J42" s="64">
        <v>0.28999999999999998</v>
      </c>
      <c r="K42" s="64">
        <v>286.47000000000003</v>
      </c>
      <c r="L42" s="64">
        <v>24.57</v>
      </c>
      <c r="M42" s="64">
        <v>92.44</v>
      </c>
      <c r="N42" s="64">
        <v>281.8</v>
      </c>
      <c r="O42" s="64">
        <v>0</v>
      </c>
      <c r="P42" s="64">
        <v>0.25</v>
      </c>
      <c r="Q42" s="64">
        <v>9.06</v>
      </c>
      <c r="R42" s="198"/>
      <c r="S42" s="198"/>
      <c r="T42" s="198"/>
      <c r="U42" s="198"/>
    </row>
    <row r="43" spans="1:21" s="12" customFormat="1" x14ac:dyDescent="0.25">
      <c r="A43" s="211" t="s">
        <v>1047</v>
      </c>
      <c r="B43" s="64">
        <v>4.58</v>
      </c>
      <c r="C43" s="64">
        <v>14.05</v>
      </c>
      <c r="D43" s="64">
        <v>19.86</v>
      </c>
      <c r="E43" s="64">
        <v>3.76</v>
      </c>
      <c r="F43" s="64">
        <v>4.33</v>
      </c>
      <c r="G43" s="64">
        <v>26.73</v>
      </c>
      <c r="H43" s="64">
        <v>11.5</v>
      </c>
      <c r="I43" s="64">
        <v>4</v>
      </c>
      <c r="J43" s="64">
        <v>0.3</v>
      </c>
      <c r="K43" s="64">
        <v>285.54000000000002</v>
      </c>
      <c r="L43" s="64">
        <v>25.09</v>
      </c>
      <c r="M43" s="64">
        <v>90.55</v>
      </c>
      <c r="N43" s="64">
        <v>250.1</v>
      </c>
      <c r="O43" s="64">
        <v>0</v>
      </c>
      <c r="P43" s="64">
        <v>0.26</v>
      </c>
      <c r="Q43" s="64">
        <v>9.06</v>
      </c>
      <c r="R43" s="198"/>
      <c r="S43" s="198"/>
      <c r="T43" s="198"/>
      <c r="U43" s="198"/>
    </row>
    <row r="44" spans="1:21" s="12" customFormat="1" x14ac:dyDescent="0.25">
      <c r="A44" s="211" t="s">
        <v>1048</v>
      </c>
      <c r="B44" s="64">
        <v>4.54</v>
      </c>
      <c r="C44" s="64">
        <v>14.03</v>
      </c>
      <c r="D44" s="64">
        <v>19.88</v>
      </c>
      <c r="E44" s="64">
        <v>3.5</v>
      </c>
      <c r="F44" s="64">
        <v>5.39</v>
      </c>
      <c r="G44" s="64">
        <v>28.24</v>
      </c>
      <c r="H44" s="64">
        <v>12.1</v>
      </c>
      <c r="I44" s="64">
        <v>3.99</v>
      </c>
      <c r="J44" s="64">
        <v>0.24</v>
      </c>
      <c r="K44" s="64">
        <v>293.42</v>
      </c>
      <c r="L44" s="64">
        <v>25</v>
      </c>
      <c r="M44" s="64">
        <v>90.94</v>
      </c>
      <c r="N44" s="64">
        <v>203</v>
      </c>
      <c r="O44" s="64">
        <v>0</v>
      </c>
      <c r="P44" s="64">
        <v>0.27</v>
      </c>
      <c r="Q44" s="64">
        <v>9.07</v>
      </c>
      <c r="R44" s="198"/>
      <c r="S44" s="198"/>
      <c r="T44" s="198"/>
      <c r="U44" s="198"/>
    </row>
    <row r="45" spans="1:21" s="12" customFormat="1" x14ac:dyDescent="0.25">
      <c r="A45" s="211" t="s">
        <v>1049</v>
      </c>
      <c r="B45" s="64">
        <v>5.15</v>
      </c>
      <c r="C45" s="64">
        <v>14.65</v>
      </c>
      <c r="D45" s="64">
        <v>20.13</v>
      </c>
      <c r="E45" s="64">
        <v>3.75</v>
      </c>
      <c r="F45" s="64">
        <v>4</v>
      </c>
      <c r="G45" s="64">
        <v>32.42</v>
      </c>
      <c r="H45" s="64">
        <v>13.76</v>
      </c>
      <c r="I45" s="64">
        <v>3.94</v>
      </c>
      <c r="J45" s="64">
        <v>0.32</v>
      </c>
      <c r="K45" s="64">
        <v>288.04000000000002</v>
      </c>
      <c r="L45" s="64">
        <v>25.22</v>
      </c>
      <c r="M45" s="64">
        <v>89.76</v>
      </c>
      <c r="N45" s="64">
        <v>215.8</v>
      </c>
      <c r="O45" s="64">
        <v>0</v>
      </c>
      <c r="P45" s="64">
        <v>0.27</v>
      </c>
      <c r="Q45" s="64">
        <v>9.07</v>
      </c>
      <c r="R45" s="198"/>
      <c r="S45" s="198"/>
      <c r="T45" s="198"/>
      <c r="U45" s="198"/>
    </row>
    <row r="46" spans="1:21" s="12" customFormat="1" x14ac:dyDescent="0.25">
      <c r="A46" s="211" t="s">
        <v>1050</v>
      </c>
      <c r="B46" s="64">
        <v>4.78</v>
      </c>
      <c r="C46" s="64">
        <v>14.16</v>
      </c>
      <c r="D46" s="64">
        <v>19.78</v>
      </c>
      <c r="E46" s="64">
        <v>3.67</v>
      </c>
      <c r="F46" s="64">
        <v>4.0999999999999996</v>
      </c>
      <c r="G46" s="64">
        <v>32.42</v>
      </c>
      <c r="H46" s="64">
        <v>13.76</v>
      </c>
      <c r="I46" s="64">
        <v>4.03</v>
      </c>
      <c r="J46" s="64">
        <v>0.26</v>
      </c>
      <c r="K46" s="64">
        <v>293.87</v>
      </c>
      <c r="L46" s="64">
        <v>25.48</v>
      </c>
      <c r="M46" s="64">
        <v>88.65</v>
      </c>
      <c r="N46" s="64">
        <v>233.7</v>
      </c>
      <c r="O46" s="64">
        <v>0</v>
      </c>
      <c r="P46" s="64">
        <v>0.28999999999999998</v>
      </c>
      <c r="Q46" s="64">
        <v>9.07</v>
      </c>
      <c r="R46" s="198"/>
      <c r="S46" s="198"/>
      <c r="T46" s="198"/>
      <c r="U46" s="198"/>
    </row>
    <row r="47" spans="1:21" s="12" customFormat="1" x14ac:dyDescent="0.25">
      <c r="A47" s="211" t="s">
        <v>1051</v>
      </c>
      <c r="B47" s="64">
        <v>4.79</v>
      </c>
      <c r="C47" s="64">
        <v>14.95</v>
      </c>
      <c r="D47" s="64">
        <v>21.28</v>
      </c>
      <c r="E47" s="64">
        <v>4.0199999999999996</v>
      </c>
      <c r="F47" s="64">
        <v>3.95</v>
      </c>
      <c r="G47" s="64">
        <v>32.42</v>
      </c>
      <c r="H47" s="64">
        <v>13.76</v>
      </c>
      <c r="I47" s="64">
        <v>3.9</v>
      </c>
      <c r="J47" s="64">
        <v>0.37</v>
      </c>
      <c r="K47" s="64">
        <v>291.31</v>
      </c>
      <c r="L47" s="64">
        <v>26.16</v>
      </c>
      <c r="M47" s="64">
        <v>85.19</v>
      </c>
      <c r="N47" s="64">
        <v>279.7</v>
      </c>
      <c r="O47" s="64">
        <v>0</v>
      </c>
      <c r="P47" s="64">
        <v>0.28999999999999998</v>
      </c>
      <c r="Q47" s="64">
        <v>9.06</v>
      </c>
      <c r="R47" s="198"/>
      <c r="S47" s="198"/>
      <c r="T47" s="198"/>
      <c r="U47" s="198"/>
    </row>
    <row r="48" spans="1:21" s="12" customFormat="1" x14ac:dyDescent="0.25">
      <c r="A48" s="211" t="s">
        <v>1052</v>
      </c>
      <c r="B48" s="64">
        <v>4.92</v>
      </c>
      <c r="C48" s="64">
        <v>14.94</v>
      </c>
      <c r="D48" s="64">
        <v>21.06</v>
      </c>
      <c r="E48" s="64">
        <v>3.35</v>
      </c>
      <c r="F48" s="64">
        <v>4</v>
      </c>
      <c r="G48" s="64">
        <v>32.69</v>
      </c>
      <c r="H48" s="64">
        <v>12.31</v>
      </c>
      <c r="I48" s="64">
        <v>3.9</v>
      </c>
      <c r="J48" s="64">
        <v>0.38</v>
      </c>
      <c r="K48" s="64">
        <v>285.91000000000003</v>
      </c>
      <c r="L48" s="64">
        <v>26.42</v>
      </c>
      <c r="M48" s="64">
        <v>82.67</v>
      </c>
      <c r="N48" s="64">
        <v>279.5</v>
      </c>
      <c r="O48" s="64">
        <v>0</v>
      </c>
      <c r="P48" s="64">
        <v>0.3</v>
      </c>
      <c r="Q48" s="64">
        <v>9.06</v>
      </c>
      <c r="R48" s="198"/>
      <c r="S48" s="198"/>
      <c r="T48" s="198"/>
      <c r="U48" s="198"/>
    </row>
    <row r="49" spans="1:21" s="12" customFormat="1" x14ac:dyDescent="0.25">
      <c r="A49" s="211" t="s">
        <v>1053</v>
      </c>
      <c r="B49" s="64">
        <v>4.79</v>
      </c>
      <c r="C49" s="64">
        <v>14.96</v>
      </c>
      <c r="D49" s="64">
        <v>21.29</v>
      </c>
      <c r="E49" s="64">
        <v>3.44</v>
      </c>
      <c r="F49" s="64">
        <v>4.6500000000000004</v>
      </c>
      <c r="G49" s="64">
        <v>33.409999999999997</v>
      </c>
      <c r="H49" s="64">
        <v>8.33</v>
      </c>
      <c r="I49" s="64">
        <v>4.09</v>
      </c>
      <c r="J49" s="64">
        <v>0.49</v>
      </c>
      <c r="K49" s="64">
        <v>291.05</v>
      </c>
      <c r="L49" s="64">
        <v>27</v>
      </c>
      <c r="M49" s="64">
        <v>78.599999999999994</v>
      </c>
      <c r="N49" s="64">
        <v>384.5</v>
      </c>
      <c r="O49" s="64">
        <v>0</v>
      </c>
      <c r="P49" s="64">
        <v>0.32</v>
      </c>
      <c r="Q49" s="64">
        <v>9.0500000000000007</v>
      </c>
      <c r="R49" s="198"/>
      <c r="S49" s="198"/>
      <c r="T49" s="198"/>
      <c r="U49" s="198"/>
    </row>
    <row r="50" spans="1:21" s="12" customFormat="1" x14ac:dyDescent="0.25">
      <c r="A50" s="211" t="s">
        <v>1054</v>
      </c>
      <c r="B50" s="64">
        <v>4.76</v>
      </c>
      <c r="C50" s="64">
        <v>15.04</v>
      </c>
      <c r="D50" s="64">
        <v>21.48</v>
      </c>
      <c r="E50" s="64">
        <v>3.47</v>
      </c>
      <c r="F50" s="64">
        <v>4.59</v>
      </c>
      <c r="G50" s="64">
        <v>33.409999999999997</v>
      </c>
      <c r="H50" s="64">
        <v>8.33</v>
      </c>
      <c r="I50" s="64">
        <v>3.95</v>
      </c>
      <c r="J50" s="64">
        <v>0.51</v>
      </c>
      <c r="K50" s="64">
        <v>287.95</v>
      </c>
      <c r="L50" s="64">
        <v>27.39</v>
      </c>
      <c r="M50" s="64">
        <v>76.66</v>
      </c>
      <c r="N50" s="64">
        <v>342.2</v>
      </c>
      <c r="O50" s="64">
        <v>0</v>
      </c>
      <c r="P50" s="64">
        <v>0.31</v>
      </c>
      <c r="Q50" s="64">
        <v>9.06</v>
      </c>
      <c r="R50" s="198"/>
      <c r="S50" s="198"/>
      <c r="T50" s="198"/>
      <c r="U50" s="198"/>
    </row>
    <row r="51" spans="1:21" s="12" customFormat="1" x14ac:dyDescent="0.25">
      <c r="A51" s="211" t="s">
        <v>1055</v>
      </c>
      <c r="B51" s="64">
        <v>4.41</v>
      </c>
      <c r="C51" s="64">
        <v>15.12</v>
      </c>
      <c r="D51" s="64">
        <v>22.19</v>
      </c>
      <c r="E51" s="64">
        <v>3.42</v>
      </c>
      <c r="F51" s="64">
        <v>5.32</v>
      </c>
      <c r="G51" s="64">
        <v>33.409999999999997</v>
      </c>
      <c r="H51" s="64">
        <v>8.33</v>
      </c>
      <c r="I51" s="64">
        <v>4.07</v>
      </c>
      <c r="J51" s="64">
        <v>0.45</v>
      </c>
      <c r="K51" s="64">
        <v>286.76</v>
      </c>
      <c r="L51" s="64">
        <v>27.54</v>
      </c>
      <c r="M51" s="64">
        <v>75.47</v>
      </c>
      <c r="N51" s="64">
        <v>302.10000000000002</v>
      </c>
      <c r="O51" s="64">
        <v>0</v>
      </c>
      <c r="P51" s="64">
        <v>0.32</v>
      </c>
      <c r="Q51" s="64">
        <v>9.0299999999999994</v>
      </c>
      <c r="R51" s="198"/>
      <c r="S51" s="198"/>
      <c r="T51" s="198"/>
      <c r="U51" s="198"/>
    </row>
    <row r="52" spans="1:21" s="12" customFormat="1" x14ac:dyDescent="0.25">
      <c r="A52" s="211" t="s">
        <v>1056</v>
      </c>
      <c r="B52" s="64">
        <v>4.16</v>
      </c>
      <c r="C52" s="64">
        <v>15.39</v>
      </c>
      <c r="D52" s="64">
        <v>23.06</v>
      </c>
      <c r="E52" s="64">
        <v>3.28</v>
      </c>
      <c r="F52" s="64">
        <v>5.35</v>
      </c>
      <c r="G52" s="64">
        <v>33.07</v>
      </c>
      <c r="H52" s="64">
        <v>9.24</v>
      </c>
      <c r="I52" s="64">
        <v>4.0199999999999996</v>
      </c>
      <c r="J52" s="64">
        <v>0.36</v>
      </c>
      <c r="K52" s="64">
        <v>283.37</v>
      </c>
      <c r="L52" s="64">
        <v>27.49</v>
      </c>
      <c r="M52" s="64">
        <v>76.22</v>
      </c>
      <c r="N52" s="64">
        <v>304.39999999999998</v>
      </c>
      <c r="O52" s="64">
        <v>0</v>
      </c>
      <c r="P52" s="64">
        <v>0.33</v>
      </c>
      <c r="Q52" s="64">
        <v>9.0299999999999994</v>
      </c>
      <c r="R52" s="198"/>
      <c r="S52" s="198"/>
      <c r="T52" s="198"/>
      <c r="U52" s="198"/>
    </row>
    <row r="53" spans="1:21" s="12" customFormat="1" x14ac:dyDescent="0.25">
      <c r="A53" s="211" t="s">
        <v>1057</v>
      </c>
      <c r="B53" s="64">
        <v>4.16</v>
      </c>
      <c r="C53" s="64">
        <v>15.06</v>
      </c>
      <c r="D53" s="64">
        <v>22.44</v>
      </c>
      <c r="E53" s="64">
        <v>3.28</v>
      </c>
      <c r="F53" s="64">
        <v>4.8600000000000003</v>
      </c>
      <c r="G53" s="64">
        <v>32.130000000000003</v>
      </c>
      <c r="H53" s="64">
        <v>11.75</v>
      </c>
      <c r="I53" s="64">
        <v>3.87</v>
      </c>
      <c r="J53" s="64">
        <v>0.36</v>
      </c>
      <c r="K53" s="64">
        <v>283.51</v>
      </c>
      <c r="L53" s="64">
        <v>27.82</v>
      </c>
      <c r="M53" s="64">
        <v>75.150000000000006</v>
      </c>
      <c r="N53" s="64">
        <v>370.5</v>
      </c>
      <c r="O53" s="64">
        <v>0</v>
      </c>
      <c r="P53" s="64">
        <v>0.33</v>
      </c>
      <c r="Q53" s="64">
        <v>9.0299999999999994</v>
      </c>
      <c r="R53" s="198"/>
      <c r="S53" s="198"/>
      <c r="T53" s="198"/>
      <c r="U53" s="198"/>
    </row>
    <row r="54" spans="1:21" s="12" customFormat="1" x14ac:dyDescent="0.25">
      <c r="A54" s="211" t="s">
        <v>1058</v>
      </c>
      <c r="B54" s="64">
        <v>4.32</v>
      </c>
      <c r="C54" s="64">
        <v>15.11</v>
      </c>
      <c r="D54" s="64">
        <v>22.3</v>
      </c>
      <c r="E54" s="64">
        <v>3.33</v>
      </c>
      <c r="F54" s="64">
        <v>4.67</v>
      </c>
      <c r="G54" s="64">
        <v>32.130000000000003</v>
      </c>
      <c r="H54" s="64">
        <v>11.75</v>
      </c>
      <c r="I54" s="64">
        <v>4.01</v>
      </c>
      <c r="J54" s="64">
        <v>0.53</v>
      </c>
      <c r="K54" s="64">
        <v>287.49</v>
      </c>
      <c r="L54" s="64">
        <v>28.18</v>
      </c>
      <c r="M54" s="64">
        <v>73.709999999999994</v>
      </c>
      <c r="N54" s="64">
        <v>432</v>
      </c>
      <c r="O54" s="64">
        <v>0</v>
      </c>
      <c r="P54" s="64">
        <v>0.33</v>
      </c>
      <c r="Q54" s="64">
        <v>9.0299999999999994</v>
      </c>
      <c r="R54" s="198"/>
      <c r="S54" s="198"/>
      <c r="T54" s="198"/>
      <c r="U54" s="198"/>
    </row>
    <row r="55" spans="1:21" s="12" customFormat="1" x14ac:dyDescent="0.25">
      <c r="A55" s="211" t="s">
        <v>1059</v>
      </c>
      <c r="B55" s="64">
        <v>4.5199999999999996</v>
      </c>
      <c r="C55" s="64">
        <v>15.46</v>
      </c>
      <c r="D55" s="64">
        <v>22.65</v>
      </c>
      <c r="E55" s="64">
        <v>3.45</v>
      </c>
      <c r="F55" s="64">
        <v>4.76</v>
      </c>
      <c r="G55" s="64">
        <v>32.130000000000003</v>
      </c>
      <c r="H55" s="64">
        <v>11.75</v>
      </c>
      <c r="I55" s="64">
        <v>3.84</v>
      </c>
      <c r="J55" s="64">
        <v>0.65</v>
      </c>
      <c r="K55" s="64">
        <v>294.77999999999997</v>
      </c>
      <c r="L55" s="64">
        <v>28.47</v>
      </c>
      <c r="M55" s="64">
        <v>72.78</v>
      </c>
      <c r="N55" s="64">
        <v>334.9</v>
      </c>
      <c r="O55" s="64">
        <v>0</v>
      </c>
      <c r="P55" s="64">
        <v>0.35</v>
      </c>
      <c r="Q55" s="64">
        <v>9.0500000000000007</v>
      </c>
      <c r="R55" s="198"/>
      <c r="S55" s="198"/>
      <c r="T55" s="198"/>
      <c r="U55" s="198"/>
    </row>
    <row r="56" spans="1:21" s="12" customFormat="1" x14ac:dyDescent="0.25">
      <c r="A56" s="211" t="s">
        <v>1060</v>
      </c>
      <c r="B56" s="64">
        <v>4.57</v>
      </c>
      <c r="C56" s="64">
        <v>15.43</v>
      </c>
      <c r="D56" s="64">
        <v>22.52</v>
      </c>
      <c r="E56" s="64">
        <v>3.34</v>
      </c>
      <c r="F56" s="64">
        <v>4.58</v>
      </c>
      <c r="G56" s="64">
        <v>33.6</v>
      </c>
      <c r="H56" s="64">
        <v>12.22</v>
      </c>
      <c r="I56" s="64">
        <v>3.81</v>
      </c>
      <c r="J56" s="64">
        <v>0.52</v>
      </c>
      <c r="K56" s="64">
        <v>285.5</v>
      </c>
      <c r="L56" s="64">
        <v>28.15</v>
      </c>
      <c r="M56" s="64">
        <v>73.44</v>
      </c>
      <c r="N56" s="64">
        <v>211.9</v>
      </c>
      <c r="O56" s="64">
        <v>0</v>
      </c>
      <c r="P56" s="64">
        <v>0.36</v>
      </c>
      <c r="Q56" s="64">
        <v>9.06</v>
      </c>
      <c r="R56" s="198"/>
      <c r="S56" s="198"/>
      <c r="T56" s="198"/>
      <c r="U56" s="198"/>
    </row>
    <row r="57" spans="1:21" s="12" customFormat="1" x14ac:dyDescent="0.25">
      <c r="A57" s="211" t="s">
        <v>1061</v>
      </c>
      <c r="B57" s="64">
        <v>4.68</v>
      </c>
      <c r="C57" s="64">
        <v>16.03</v>
      </c>
      <c r="D57" s="64">
        <v>23.5</v>
      </c>
      <c r="E57" s="64">
        <v>3.46</v>
      </c>
      <c r="F57" s="64">
        <v>4.78</v>
      </c>
      <c r="G57" s="64">
        <v>37.64</v>
      </c>
      <c r="H57" s="64">
        <v>13.51</v>
      </c>
      <c r="I57" s="64">
        <v>4.03</v>
      </c>
      <c r="J57" s="64">
        <v>0.3</v>
      </c>
      <c r="K57" s="64">
        <v>289.62</v>
      </c>
      <c r="L57" s="64">
        <v>27.77</v>
      </c>
      <c r="M57" s="64">
        <v>75.430000000000007</v>
      </c>
      <c r="N57" s="64">
        <v>148.69999999999999</v>
      </c>
      <c r="O57" s="64">
        <v>0</v>
      </c>
      <c r="P57" s="64">
        <v>0.39</v>
      </c>
      <c r="Q57" s="64">
        <v>9.06</v>
      </c>
      <c r="R57" s="198"/>
      <c r="S57" s="198"/>
      <c r="T57" s="198"/>
      <c r="U57" s="198"/>
    </row>
    <row r="58" spans="1:21" s="12" customFormat="1" x14ac:dyDescent="0.25">
      <c r="A58" s="211" t="s">
        <v>1062</v>
      </c>
      <c r="B58" s="64">
        <v>5.05</v>
      </c>
      <c r="C58" s="64">
        <v>16.52</v>
      </c>
      <c r="D58" s="64">
        <v>23.86</v>
      </c>
      <c r="E58" s="64">
        <v>3.82</v>
      </c>
      <c r="F58" s="64">
        <v>3.84</v>
      </c>
      <c r="G58" s="64">
        <v>37.64</v>
      </c>
      <c r="H58" s="64">
        <v>13.51</v>
      </c>
      <c r="I58" s="64">
        <v>4.07</v>
      </c>
      <c r="J58" s="64">
        <v>0.37</v>
      </c>
      <c r="K58" s="64">
        <v>289.42</v>
      </c>
      <c r="L58" s="64">
        <v>27.46</v>
      </c>
      <c r="M58" s="64">
        <v>76.69</v>
      </c>
      <c r="N58" s="64">
        <v>174.5</v>
      </c>
      <c r="O58" s="64">
        <v>0</v>
      </c>
      <c r="P58" s="64">
        <v>0.4</v>
      </c>
      <c r="Q58" s="64">
        <v>9.08</v>
      </c>
      <c r="R58" s="198"/>
      <c r="S58" s="198"/>
      <c r="T58" s="198"/>
      <c r="U58" s="198"/>
    </row>
    <row r="59" spans="1:21" s="12" customFormat="1" x14ac:dyDescent="0.25">
      <c r="A59" s="211" t="s">
        <v>1063</v>
      </c>
      <c r="B59" s="64">
        <v>5.3</v>
      </c>
      <c r="C59" s="64">
        <v>17.010000000000002</v>
      </c>
      <c r="D59" s="64">
        <v>24.42</v>
      </c>
      <c r="E59" s="64">
        <v>3.3</v>
      </c>
      <c r="F59" s="64">
        <v>4.3499999999999996</v>
      </c>
      <c r="G59" s="64">
        <v>37.64</v>
      </c>
      <c r="H59" s="64">
        <v>13.51</v>
      </c>
      <c r="I59" s="64">
        <v>4.01</v>
      </c>
      <c r="J59" s="64">
        <v>0.39</v>
      </c>
      <c r="K59" s="64">
        <v>289.45</v>
      </c>
      <c r="L59" s="64">
        <v>27.67</v>
      </c>
      <c r="M59" s="64">
        <v>76.16</v>
      </c>
      <c r="N59" s="64">
        <v>280.10000000000002</v>
      </c>
      <c r="O59" s="64">
        <v>0</v>
      </c>
      <c r="P59" s="64">
        <v>0.42</v>
      </c>
      <c r="Q59" s="64">
        <v>9.09</v>
      </c>
      <c r="R59" s="198"/>
      <c r="S59" s="198"/>
      <c r="T59" s="198"/>
      <c r="U59" s="198"/>
    </row>
    <row r="60" spans="1:21" s="12" customFormat="1" x14ac:dyDescent="0.25">
      <c r="A60" s="211" t="s">
        <v>1064</v>
      </c>
      <c r="B60" s="64">
        <v>5.19</v>
      </c>
      <c r="C60" s="64">
        <v>17.88</v>
      </c>
      <c r="D60" s="64">
        <v>26.25</v>
      </c>
      <c r="E60" s="64">
        <v>3.37</v>
      </c>
      <c r="F60" s="64">
        <v>4.28</v>
      </c>
      <c r="G60" s="64">
        <v>42.18</v>
      </c>
      <c r="H60" s="64">
        <v>15.41</v>
      </c>
      <c r="I60" s="64">
        <v>4.04</v>
      </c>
      <c r="J60" s="64">
        <v>0.5</v>
      </c>
      <c r="K60" s="64">
        <v>287.44</v>
      </c>
      <c r="L60" s="64">
        <v>28.5</v>
      </c>
      <c r="M60" s="64">
        <v>71.989999999999995</v>
      </c>
      <c r="N60" s="64">
        <v>333.4</v>
      </c>
      <c r="O60" s="64">
        <v>0</v>
      </c>
      <c r="P60" s="64">
        <v>0.47</v>
      </c>
      <c r="Q60" s="64">
        <v>9.1</v>
      </c>
      <c r="R60" s="198"/>
      <c r="S60" s="198"/>
      <c r="T60" s="198"/>
      <c r="U60" s="198"/>
    </row>
    <row r="61" spans="1:21" s="12" customFormat="1" x14ac:dyDescent="0.25">
      <c r="A61" s="211" t="s">
        <v>1065</v>
      </c>
      <c r="B61" s="64">
        <v>5.18</v>
      </c>
      <c r="C61" s="64">
        <v>17</v>
      </c>
      <c r="D61" s="64">
        <v>24.58</v>
      </c>
      <c r="E61" s="64">
        <v>3.49</v>
      </c>
      <c r="F61" s="64">
        <v>4.01</v>
      </c>
      <c r="G61" s="64">
        <v>54.66</v>
      </c>
      <c r="H61" s="64">
        <v>20.62</v>
      </c>
      <c r="I61" s="64">
        <v>3.91</v>
      </c>
      <c r="J61" s="64">
        <v>0.52</v>
      </c>
      <c r="K61" s="64">
        <v>284.60000000000002</v>
      </c>
      <c r="L61" s="64">
        <v>28.56</v>
      </c>
      <c r="M61" s="64">
        <v>69.53</v>
      </c>
      <c r="N61" s="64">
        <v>225.1</v>
      </c>
      <c r="O61" s="64">
        <v>0</v>
      </c>
      <c r="P61" s="64">
        <v>0.36</v>
      </c>
      <c r="Q61" s="64">
        <v>9.11</v>
      </c>
      <c r="R61" s="198"/>
      <c r="S61" s="198"/>
      <c r="T61" s="198"/>
      <c r="U61" s="198"/>
    </row>
    <row r="62" spans="1:21" s="12" customFormat="1" x14ac:dyDescent="0.25">
      <c r="A62" s="211" t="s">
        <v>1066</v>
      </c>
      <c r="B62" s="64">
        <v>5.16</v>
      </c>
      <c r="C62" s="64">
        <v>17.079999999999998</v>
      </c>
      <c r="D62" s="64">
        <v>24.77</v>
      </c>
      <c r="E62" s="64">
        <v>3.71</v>
      </c>
      <c r="F62" s="64">
        <v>4.62</v>
      </c>
      <c r="G62" s="64">
        <v>54.66</v>
      </c>
      <c r="H62" s="64">
        <v>20.62</v>
      </c>
      <c r="I62" s="64">
        <v>3.99</v>
      </c>
      <c r="J62" s="64">
        <v>0.56000000000000005</v>
      </c>
      <c r="K62" s="64">
        <v>292.36</v>
      </c>
      <c r="L62" s="64">
        <v>28.59</v>
      </c>
      <c r="M62" s="64">
        <v>70.78</v>
      </c>
      <c r="N62" s="64">
        <v>229.1</v>
      </c>
      <c r="O62" s="64">
        <v>0</v>
      </c>
      <c r="P62" s="64">
        <v>0.38</v>
      </c>
      <c r="Q62" s="64">
        <v>9.11</v>
      </c>
      <c r="R62" s="198"/>
      <c r="S62" s="198"/>
      <c r="T62" s="198"/>
      <c r="U62" s="198"/>
    </row>
    <row r="63" spans="1:21" s="12" customFormat="1" x14ac:dyDescent="0.25">
      <c r="A63" s="211" t="s">
        <v>1067</v>
      </c>
      <c r="B63" s="64">
        <v>5.07</v>
      </c>
      <c r="C63" s="64">
        <v>16.8</v>
      </c>
      <c r="D63" s="64">
        <v>24.38</v>
      </c>
      <c r="E63" s="64">
        <v>3.7</v>
      </c>
      <c r="F63" s="64">
        <v>5.07</v>
      </c>
      <c r="G63" s="64">
        <v>54.66</v>
      </c>
      <c r="H63" s="64">
        <v>20.62</v>
      </c>
      <c r="I63" s="64">
        <v>3.88</v>
      </c>
      <c r="J63" s="64">
        <v>0.79</v>
      </c>
      <c r="K63" s="64">
        <v>294.63</v>
      </c>
      <c r="L63" s="64">
        <v>28.48</v>
      </c>
      <c r="M63" s="64">
        <v>70.72</v>
      </c>
      <c r="N63" s="64">
        <v>183.1</v>
      </c>
      <c r="O63" s="64">
        <v>0</v>
      </c>
      <c r="P63" s="64">
        <v>0.39</v>
      </c>
      <c r="Q63" s="64">
        <v>9.1</v>
      </c>
      <c r="R63" s="198"/>
      <c r="S63" s="198"/>
      <c r="T63" s="198"/>
      <c r="U63" s="198"/>
    </row>
    <row r="64" spans="1:21" s="12" customFormat="1" x14ac:dyDescent="0.25">
      <c r="A64" s="211" t="s">
        <v>1068</v>
      </c>
      <c r="B64" s="64">
        <v>5.0999999999999996</v>
      </c>
      <c r="C64" s="64">
        <v>16.350000000000001</v>
      </c>
      <c r="D64" s="64">
        <v>23.47</v>
      </c>
      <c r="E64" s="64">
        <v>3.77</v>
      </c>
      <c r="F64" s="64">
        <v>4.43</v>
      </c>
      <c r="G64" s="64">
        <v>55.53</v>
      </c>
      <c r="H64" s="64">
        <v>22.13</v>
      </c>
      <c r="I64" s="64">
        <v>3.8</v>
      </c>
      <c r="J64" s="64">
        <v>0.64</v>
      </c>
      <c r="K64" s="64">
        <v>289.82</v>
      </c>
      <c r="L64" s="64">
        <v>27.96</v>
      </c>
      <c r="M64" s="64">
        <v>72.88</v>
      </c>
      <c r="N64" s="64">
        <v>176.8</v>
      </c>
      <c r="O64" s="64">
        <v>0</v>
      </c>
      <c r="P64" s="64">
        <v>0.39</v>
      </c>
      <c r="Q64" s="64">
        <v>9.11</v>
      </c>
      <c r="R64" s="198"/>
      <c r="S64" s="198"/>
      <c r="T64" s="198"/>
      <c r="U64" s="198"/>
    </row>
    <row r="65" spans="1:21" s="12" customFormat="1" x14ac:dyDescent="0.25">
      <c r="A65" s="211" t="s">
        <v>1069</v>
      </c>
      <c r="B65" s="64">
        <v>4.8899999999999997</v>
      </c>
      <c r="C65" s="64">
        <v>16.55</v>
      </c>
      <c r="D65" s="64">
        <v>24.17</v>
      </c>
      <c r="E65" s="64">
        <v>3.71</v>
      </c>
      <c r="F65" s="64">
        <v>5.13</v>
      </c>
      <c r="G65" s="64">
        <v>57.91</v>
      </c>
      <c r="H65" s="64">
        <v>26.27</v>
      </c>
      <c r="I65" s="64">
        <v>3.92</v>
      </c>
      <c r="J65" s="64">
        <v>0.57999999999999996</v>
      </c>
      <c r="K65" s="64">
        <v>289.75</v>
      </c>
      <c r="L65" s="64">
        <v>27.75</v>
      </c>
      <c r="M65" s="64">
        <v>76.45</v>
      </c>
      <c r="N65" s="64">
        <v>201.1</v>
      </c>
      <c r="O65" s="64">
        <v>0</v>
      </c>
      <c r="P65" s="64">
        <v>0.38</v>
      </c>
      <c r="Q65" s="64">
        <v>9.1300000000000008</v>
      </c>
      <c r="R65" s="198"/>
      <c r="S65" s="198"/>
      <c r="T65" s="198"/>
      <c r="U65" s="198"/>
    </row>
    <row r="66" spans="1:21" s="12" customFormat="1" x14ac:dyDescent="0.25">
      <c r="A66" s="211" t="s">
        <v>1070</v>
      </c>
      <c r="B66" s="64">
        <v>4.71</v>
      </c>
      <c r="C66" s="64">
        <v>15.93</v>
      </c>
      <c r="D66" s="64">
        <v>23.25</v>
      </c>
      <c r="E66" s="64">
        <v>3.12</v>
      </c>
      <c r="F66" s="64">
        <v>4.6900000000000004</v>
      </c>
      <c r="G66" s="64">
        <v>57.91</v>
      </c>
      <c r="H66" s="64">
        <v>26.27</v>
      </c>
      <c r="I66" s="64">
        <v>3.9</v>
      </c>
      <c r="J66" s="64">
        <v>0.63</v>
      </c>
      <c r="K66" s="64">
        <v>289.81</v>
      </c>
      <c r="L66" s="64">
        <v>27.54</v>
      </c>
      <c r="M66" s="64">
        <v>76.400000000000006</v>
      </c>
      <c r="N66" s="64">
        <v>192.9</v>
      </c>
      <c r="O66" s="64">
        <v>0</v>
      </c>
      <c r="P66" s="64">
        <v>0.36</v>
      </c>
      <c r="Q66" s="64">
        <v>9.1199999999999992</v>
      </c>
      <c r="R66" s="198"/>
      <c r="S66" s="198"/>
      <c r="T66" s="198"/>
      <c r="U66" s="198"/>
    </row>
    <row r="67" spans="1:21" s="12" customFormat="1" x14ac:dyDescent="0.25">
      <c r="A67" s="211" t="s">
        <v>1071</v>
      </c>
      <c r="B67" s="64">
        <v>4.8499999999999996</v>
      </c>
      <c r="C67" s="64">
        <v>15.54</v>
      </c>
      <c r="D67" s="64">
        <v>22.3</v>
      </c>
      <c r="E67" s="64">
        <v>3.6</v>
      </c>
      <c r="F67" s="64">
        <v>4.5</v>
      </c>
      <c r="G67" s="64">
        <v>57.91</v>
      </c>
      <c r="H67" s="64">
        <v>26.27</v>
      </c>
      <c r="I67" s="64">
        <v>3.82</v>
      </c>
      <c r="J67" s="64">
        <v>0.91</v>
      </c>
      <c r="K67" s="64">
        <v>298.36</v>
      </c>
      <c r="L67" s="64">
        <v>27.47</v>
      </c>
      <c r="M67" s="64">
        <v>79.39</v>
      </c>
      <c r="N67" s="64">
        <v>198.7</v>
      </c>
      <c r="O67" s="64">
        <v>0</v>
      </c>
      <c r="P67" s="64">
        <v>0.34</v>
      </c>
      <c r="Q67" s="64">
        <v>9.1300000000000008</v>
      </c>
      <c r="R67" s="198"/>
      <c r="S67" s="198"/>
      <c r="T67" s="198"/>
      <c r="U67" s="198"/>
    </row>
    <row r="68" spans="1:21" s="12" customFormat="1" x14ac:dyDescent="0.25">
      <c r="A68" s="211" t="s">
        <v>1072</v>
      </c>
      <c r="B68" s="64">
        <v>5.82</v>
      </c>
      <c r="C68" s="64">
        <v>17.399999999999999</v>
      </c>
      <c r="D68" s="64">
        <v>24.37</v>
      </c>
      <c r="E68" s="64">
        <v>3.33</v>
      </c>
      <c r="F68" s="64">
        <v>5.59</v>
      </c>
      <c r="G68" s="64">
        <v>57.4</v>
      </c>
      <c r="H68" s="64">
        <v>24.46</v>
      </c>
      <c r="I68" s="64">
        <v>3.83</v>
      </c>
      <c r="J68" s="64">
        <v>0.56999999999999995</v>
      </c>
      <c r="K68" s="64">
        <v>301.47000000000003</v>
      </c>
      <c r="L68" s="64">
        <v>26.93</v>
      </c>
      <c r="M68" s="64">
        <v>86.93</v>
      </c>
      <c r="N68" s="64">
        <v>185.9</v>
      </c>
      <c r="O68" s="64">
        <v>0</v>
      </c>
      <c r="P68" s="64">
        <v>0.33</v>
      </c>
      <c r="Q68" s="64">
        <v>9.1300000000000008</v>
      </c>
      <c r="R68" s="198"/>
      <c r="S68" s="198"/>
      <c r="T68" s="198"/>
      <c r="U68" s="198"/>
    </row>
    <row r="69" spans="1:21" s="12" customFormat="1" x14ac:dyDescent="0.25">
      <c r="A69" s="211" t="s">
        <v>1073</v>
      </c>
      <c r="B69" s="64">
        <v>6.89</v>
      </c>
      <c r="C69" s="64">
        <v>17.27</v>
      </c>
      <c r="D69" s="64">
        <v>22.49</v>
      </c>
      <c r="E69" s="64">
        <v>3.27</v>
      </c>
      <c r="F69" s="64">
        <v>4.6500000000000004</v>
      </c>
      <c r="G69" s="64">
        <v>56.01</v>
      </c>
      <c r="H69" s="64">
        <v>19.510000000000002</v>
      </c>
      <c r="I69" s="64">
        <v>4.08</v>
      </c>
      <c r="J69" s="64">
        <v>0.54</v>
      </c>
      <c r="K69" s="64">
        <v>301.32</v>
      </c>
      <c r="L69" s="64">
        <v>26.99</v>
      </c>
      <c r="M69" s="64">
        <v>82.92</v>
      </c>
      <c r="N69" s="64">
        <v>201.7</v>
      </c>
      <c r="O69" s="64">
        <v>0</v>
      </c>
      <c r="P69" s="64">
        <v>0.34</v>
      </c>
      <c r="Q69" s="64">
        <v>9.14</v>
      </c>
      <c r="R69" s="198"/>
      <c r="S69" s="198"/>
      <c r="T69" s="198"/>
      <c r="U69" s="198"/>
    </row>
    <row r="70" spans="1:21" s="12" customFormat="1" x14ac:dyDescent="0.25">
      <c r="A70" s="211" t="s">
        <v>1074</v>
      </c>
      <c r="B70" s="64">
        <v>6.05</v>
      </c>
      <c r="C70" s="64">
        <v>15.79</v>
      </c>
      <c r="D70" s="64">
        <v>20.93</v>
      </c>
      <c r="E70" s="64">
        <v>3.56</v>
      </c>
      <c r="F70" s="64">
        <v>4.3099999999999996</v>
      </c>
      <c r="G70" s="64">
        <v>56.01</v>
      </c>
      <c r="H70" s="64">
        <v>19.510000000000002</v>
      </c>
      <c r="I70" s="64">
        <v>4</v>
      </c>
      <c r="J70" s="64">
        <v>0.5</v>
      </c>
      <c r="K70" s="64">
        <v>303.36</v>
      </c>
      <c r="L70" s="64">
        <v>27.13</v>
      </c>
      <c r="M70" s="64">
        <v>80.84</v>
      </c>
      <c r="N70" s="64">
        <v>172.9</v>
      </c>
      <c r="O70" s="64">
        <v>0</v>
      </c>
      <c r="P70" s="64">
        <v>0.35</v>
      </c>
      <c r="Q70" s="64">
        <v>9.14</v>
      </c>
      <c r="R70" s="198"/>
      <c r="S70" s="198"/>
      <c r="T70" s="198"/>
      <c r="U70" s="198"/>
    </row>
    <row r="71" spans="1:21" s="12" customFormat="1" x14ac:dyDescent="0.25">
      <c r="A71" s="211" t="s">
        <v>1075</v>
      </c>
      <c r="B71" s="64">
        <v>7.88</v>
      </c>
      <c r="C71" s="64">
        <v>17.989999999999998</v>
      </c>
      <c r="D71" s="64">
        <v>22.33</v>
      </c>
      <c r="E71" s="64">
        <v>3.78</v>
      </c>
      <c r="F71" s="64">
        <v>2.92</v>
      </c>
      <c r="G71" s="64">
        <v>56.01</v>
      </c>
      <c r="H71" s="64">
        <v>19.510000000000002</v>
      </c>
      <c r="I71" s="64">
        <v>4.1100000000000003</v>
      </c>
      <c r="J71" s="64">
        <v>1.06</v>
      </c>
      <c r="K71" s="64">
        <v>319.19</v>
      </c>
      <c r="L71" s="64">
        <v>27.15</v>
      </c>
      <c r="M71" s="64">
        <v>82.37</v>
      </c>
      <c r="N71" s="64">
        <v>115.5</v>
      </c>
      <c r="O71" s="64">
        <v>0</v>
      </c>
      <c r="P71" s="64">
        <v>0.35</v>
      </c>
      <c r="Q71" s="64">
        <v>9.16</v>
      </c>
      <c r="R71" s="198"/>
      <c r="S71" s="198"/>
      <c r="T71" s="198"/>
      <c r="U71" s="198"/>
    </row>
    <row r="72" spans="1:21" s="12" customFormat="1" x14ac:dyDescent="0.25">
      <c r="A72" s="211" t="s">
        <v>1076</v>
      </c>
      <c r="B72" s="64">
        <v>8.0399999999999991</v>
      </c>
      <c r="C72" s="64">
        <v>17.100000000000001</v>
      </c>
      <c r="D72" s="64">
        <v>20.38</v>
      </c>
      <c r="E72" s="64">
        <v>1.0900000000000001</v>
      </c>
      <c r="F72" s="64">
        <v>4.05</v>
      </c>
      <c r="G72" s="64">
        <v>56.3</v>
      </c>
      <c r="H72" s="64">
        <v>16.05</v>
      </c>
      <c r="I72" s="64">
        <v>3.95</v>
      </c>
      <c r="J72" s="64">
        <v>2.2599999999999998</v>
      </c>
      <c r="K72" s="64">
        <v>334.15</v>
      </c>
      <c r="L72" s="64">
        <v>25.76</v>
      </c>
      <c r="M72" s="64">
        <v>93.54</v>
      </c>
      <c r="N72" s="64">
        <v>89.9</v>
      </c>
      <c r="O72" s="64">
        <v>0</v>
      </c>
      <c r="P72" s="64">
        <v>0.34</v>
      </c>
      <c r="Q72" s="64">
        <v>9.18</v>
      </c>
      <c r="R72" s="198"/>
      <c r="S72" s="198"/>
      <c r="T72" s="198"/>
      <c r="U72" s="198"/>
    </row>
    <row r="73" spans="1:21" s="12" customFormat="1" x14ac:dyDescent="0.25">
      <c r="A73" s="211" t="s">
        <v>1077</v>
      </c>
      <c r="B73" s="64">
        <v>8.11</v>
      </c>
      <c r="C73" s="64">
        <v>18.22</v>
      </c>
      <c r="D73" s="64">
        <v>22.43</v>
      </c>
      <c r="E73" s="64">
        <v>2.25</v>
      </c>
      <c r="F73" s="64">
        <v>3.77</v>
      </c>
      <c r="G73" s="64">
        <v>57.09</v>
      </c>
      <c r="H73" s="64">
        <v>6.54</v>
      </c>
      <c r="I73" s="64">
        <v>4.13</v>
      </c>
      <c r="J73" s="64">
        <v>1.64</v>
      </c>
      <c r="K73" s="64">
        <v>334.7</v>
      </c>
      <c r="L73" s="64">
        <v>24.77</v>
      </c>
      <c r="M73" s="64">
        <v>98.61</v>
      </c>
      <c r="N73" s="64">
        <v>88.3</v>
      </c>
      <c r="O73" s="64">
        <v>0</v>
      </c>
      <c r="P73" s="64">
        <v>0.36</v>
      </c>
      <c r="Q73" s="64">
        <v>9.19</v>
      </c>
      <c r="R73" s="198"/>
      <c r="S73" s="198"/>
      <c r="T73" s="198"/>
      <c r="U73" s="198"/>
    </row>
    <row r="74" spans="1:21" s="12" customFormat="1" x14ac:dyDescent="0.25">
      <c r="A74" s="211" t="s">
        <v>1078</v>
      </c>
      <c r="B74" s="64">
        <v>8.9</v>
      </c>
      <c r="C74" s="64">
        <v>18.72</v>
      </c>
      <c r="D74" s="64">
        <v>22.17</v>
      </c>
      <c r="E74" s="64">
        <v>2.2000000000000002</v>
      </c>
      <c r="F74" s="64">
        <v>3.65</v>
      </c>
      <c r="G74" s="64">
        <v>57.09</v>
      </c>
      <c r="H74" s="64">
        <v>6.54</v>
      </c>
      <c r="I74" s="64">
        <v>4.03</v>
      </c>
      <c r="J74" s="64">
        <v>1.51</v>
      </c>
      <c r="K74" s="64">
        <v>339.61</v>
      </c>
      <c r="L74" s="64">
        <v>24.77</v>
      </c>
      <c r="M74" s="64">
        <v>98.62</v>
      </c>
      <c r="N74" s="64">
        <v>87</v>
      </c>
      <c r="O74" s="64">
        <v>0</v>
      </c>
      <c r="P74" s="64">
        <v>0.34</v>
      </c>
      <c r="Q74" s="64">
        <v>9.2100000000000009</v>
      </c>
      <c r="R74" s="198"/>
      <c r="S74" s="198"/>
      <c r="T74" s="198"/>
      <c r="U74" s="198"/>
    </row>
    <row r="75" spans="1:21" s="12" customFormat="1" x14ac:dyDescent="0.25">
      <c r="A75" s="211" t="s">
        <v>1079</v>
      </c>
      <c r="B75" s="64">
        <v>9.6</v>
      </c>
      <c r="C75" s="64">
        <v>19</v>
      </c>
      <c r="D75" s="64">
        <v>21.63</v>
      </c>
      <c r="E75" s="64">
        <v>1.54</v>
      </c>
      <c r="F75" s="64">
        <v>3.48</v>
      </c>
      <c r="G75" s="64">
        <v>57.09</v>
      </c>
      <c r="H75" s="64">
        <v>6.54</v>
      </c>
      <c r="I75" s="64">
        <v>3.98</v>
      </c>
      <c r="J75" s="64">
        <v>1.3</v>
      </c>
      <c r="K75" s="64">
        <v>330.09</v>
      </c>
      <c r="L75" s="64">
        <v>24.79</v>
      </c>
      <c r="M75" s="64">
        <v>98.07</v>
      </c>
      <c r="N75" s="64">
        <v>84.2</v>
      </c>
      <c r="O75" s="64">
        <v>0</v>
      </c>
      <c r="P75" s="64">
        <v>0.37</v>
      </c>
      <c r="Q75" s="64">
        <v>9.2200000000000006</v>
      </c>
      <c r="R75" s="198"/>
      <c r="S75" s="198"/>
      <c r="T75" s="198"/>
      <c r="U75" s="198"/>
    </row>
    <row r="76" spans="1:21" s="12" customFormat="1" x14ac:dyDescent="0.25">
      <c r="A76" s="211" t="s">
        <v>1080</v>
      </c>
      <c r="B76" s="64">
        <v>11.21</v>
      </c>
      <c r="C76" s="64">
        <v>19.73</v>
      </c>
      <c r="D76" s="64">
        <v>20.55</v>
      </c>
      <c r="E76" s="64">
        <v>2.0499999999999998</v>
      </c>
      <c r="F76" s="64">
        <v>3.33</v>
      </c>
      <c r="G76" s="64">
        <v>58.39</v>
      </c>
      <c r="H76" s="64">
        <v>8.89</v>
      </c>
      <c r="I76" s="64">
        <v>4.16</v>
      </c>
      <c r="J76" s="64">
        <v>1.19</v>
      </c>
      <c r="K76" s="64">
        <v>332.23</v>
      </c>
      <c r="L76" s="64">
        <v>24.8</v>
      </c>
      <c r="M76" s="64">
        <v>97.21</v>
      </c>
      <c r="N76" s="64">
        <v>75.400000000000006</v>
      </c>
      <c r="O76" s="64">
        <v>0</v>
      </c>
      <c r="P76" s="64">
        <v>0.37</v>
      </c>
      <c r="Q76" s="64">
        <v>9.25</v>
      </c>
      <c r="R76" s="198"/>
      <c r="S76" s="198"/>
      <c r="T76" s="198"/>
      <c r="U76" s="198"/>
    </row>
    <row r="77" spans="1:21" s="12" customFormat="1" x14ac:dyDescent="0.25">
      <c r="A77" s="211" t="s">
        <v>1081</v>
      </c>
      <c r="B77" s="64">
        <v>11.14</v>
      </c>
      <c r="C77" s="64">
        <v>19.61</v>
      </c>
      <c r="D77" s="64">
        <v>20.440000000000001</v>
      </c>
      <c r="E77" s="64">
        <v>1.66</v>
      </c>
      <c r="F77" s="64">
        <v>3.92</v>
      </c>
      <c r="G77" s="64">
        <v>61.97</v>
      </c>
      <c r="H77" s="64">
        <v>15.36</v>
      </c>
      <c r="I77" s="64">
        <v>3.76</v>
      </c>
      <c r="J77" s="64">
        <v>0.51</v>
      </c>
      <c r="K77" s="64">
        <v>320.58999999999997</v>
      </c>
      <c r="L77" s="64">
        <v>24.76</v>
      </c>
      <c r="M77" s="64">
        <v>96.95</v>
      </c>
      <c r="N77" s="64">
        <v>82.2</v>
      </c>
      <c r="O77" s="64">
        <v>0</v>
      </c>
      <c r="P77" s="64">
        <v>0.38</v>
      </c>
      <c r="Q77" s="64">
        <v>9.27</v>
      </c>
      <c r="R77" s="198"/>
      <c r="S77" s="198"/>
      <c r="T77" s="198"/>
      <c r="U77" s="198"/>
    </row>
    <row r="78" spans="1:21" s="12" customFormat="1" x14ac:dyDescent="0.25">
      <c r="A78" s="211" t="s">
        <v>1082</v>
      </c>
      <c r="B78" s="64">
        <v>14.44</v>
      </c>
      <c r="C78" s="64">
        <v>23.94</v>
      </c>
      <c r="D78" s="64">
        <v>23.64</v>
      </c>
      <c r="E78" s="64">
        <v>1.8</v>
      </c>
      <c r="F78" s="64">
        <v>3.53</v>
      </c>
      <c r="G78" s="64">
        <v>61.97</v>
      </c>
      <c r="H78" s="64">
        <v>15.36</v>
      </c>
      <c r="I78" s="64">
        <v>3.99</v>
      </c>
      <c r="J78" s="64">
        <v>0.28999999999999998</v>
      </c>
      <c r="K78" s="64">
        <v>322.08999999999997</v>
      </c>
      <c r="L78" s="64">
        <v>25</v>
      </c>
      <c r="M78" s="64">
        <v>94.95</v>
      </c>
      <c r="N78" s="64">
        <v>93.7</v>
      </c>
      <c r="O78" s="64">
        <v>0</v>
      </c>
      <c r="P78" s="64">
        <v>0.41</v>
      </c>
      <c r="Q78" s="64">
        <v>9.2899999999999991</v>
      </c>
      <c r="R78" s="198"/>
      <c r="S78" s="198"/>
      <c r="T78" s="198"/>
      <c r="U78" s="198"/>
    </row>
    <row r="79" spans="1:21" s="12" customFormat="1" x14ac:dyDescent="0.25">
      <c r="A79" s="211" t="s">
        <v>1083</v>
      </c>
      <c r="B79" s="64">
        <v>15.04</v>
      </c>
      <c r="C79" s="64">
        <v>25.31</v>
      </c>
      <c r="D79" s="64">
        <v>25.37</v>
      </c>
      <c r="E79" s="64">
        <v>2.2200000000000002</v>
      </c>
      <c r="F79" s="64">
        <v>6.32</v>
      </c>
      <c r="G79" s="64">
        <v>61.97</v>
      </c>
      <c r="H79" s="64">
        <v>15.36</v>
      </c>
      <c r="I79" s="64">
        <v>4.09</v>
      </c>
      <c r="J79" s="64">
        <v>0.26</v>
      </c>
      <c r="K79" s="64">
        <v>320.04000000000002</v>
      </c>
      <c r="L79" s="64">
        <v>25.19</v>
      </c>
      <c r="M79" s="64">
        <v>94.15</v>
      </c>
      <c r="N79" s="64">
        <v>93.3</v>
      </c>
      <c r="O79" s="64">
        <v>0</v>
      </c>
      <c r="P79" s="64">
        <v>0.49</v>
      </c>
      <c r="Q79" s="64">
        <v>9.31</v>
      </c>
      <c r="R79" s="198"/>
      <c r="S79" s="198"/>
      <c r="T79" s="198"/>
      <c r="U79" s="198"/>
    </row>
    <row r="80" spans="1:21" s="12" customFormat="1" x14ac:dyDescent="0.25">
      <c r="A80" s="211" t="s">
        <v>1084</v>
      </c>
      <c r="B80" s="64">
        <v>17.91</v>
      </c>
      <c r="C80" s="64">
        <v>29.21</v>
      </c>
      <c r="D80" s="64">
        <v>28.42</v>
      </c>
      <c r="E80" s="64">
        <v>1.86</v>
      </c>
      <c r="F80" s="64">
        <v>7.93</v>
      </c>
      <c r="G80" s="64">
        <v>64.33</v>
      </c>
      <c r="H80" s="64">
        <v>19.54</v>
      </c>
      <c r="I80" s="64">
        <v>3.91</v>
      </c>
      <c r="J80" s="64">
        <v>0.28000000000000003</v>
      </c>
      <c r="K80" s="64">
        <v>322.35000000000002</v>
      </c>
      <c r="L80" s="64">
        <v>25.33</v>
      </c>
      <c r="M80" s="64">
        <v>93.39</v>
      </c>
      <c r="N80" s="64">
        <v>79.5</v>
      </c>
      <c r="O80" s="64">
        <v>0</v>
      </c>
      <c r="P80" s="64">
        <v>0.56000000000000005</v>
      </c>
      <c r="Q80" s="64">
        <v>9.34</v>
      </c>
      <c r="R80" s="198"/>
      <c r="S80" s="198"/>
      <c r="T80" s="198"/>
      <c r="U80" s="198"/>
    </row>
    <row r="81" spans="1:26" s="12" customFormat="1" x14ac:dyDescent="0.25">
      <c r="A81" s="211" t="s">
        <v>1085</v>
      </c>
      <c r="B81" s="64">
        <v>21.43</v>
      </c>
      <c r="C81" s="64">
        <v>33.409999999999997</v>
      </c>
      <c r="D81" s="64">
        <v>31.06</v>
      </c>
      <c r="E81" s="64">
        <v>1.85</v>
      </c>
      <c r="F81" s="64">
        <v>7.13</v>
      </c>
      <c r="G81" s="64">
        <v>70.819999999999993</v>
      </c>
      <c r="H81" s="64">
        <v>31.04</v>
      </c>
      <c r="I81" s="64">
        <v>4.0999999999999996</v>
      </c>
      <c r="J81" s="64">
        <v>0.3</v>
      </c>
      <c r="K81" s="64">
        <v>322.83</v>
      </c>
      <c r="L81" s="64">
        <v>25.26</v>
      </c>
      <c r="M81" s="64">
        <v>93.35</v>
      </c>
      <c r="N81" s="64">
        <v>64</v>
      </c>
      <c r="O81" s="64">
        <v>0</v>
      </c>
      <c r="P81" s="64">
        <v>0.5</v>
      </c>
      <c r="Q81" s="64">
        <v>9.3699999999999992</v>
      </c>
      <c r="R81" s="198"/>
      <c r="S81" s="198"/>
      <c r="T81" s="198"/>
      <c r="U81" s="198"/>
    </row>
    <row r="82" spans="1:26" s="12" customFormat="1" x14ac:dyDescent="0.25">
      <c r="A82" s="211" t="s">
        <v>1086</v>
      </c>
      <c r="B82" s="64">
        <v>17.27</v>
      </c>
      <c r="C82" s="64">
        <v>31.96</v>
      </c>
      <c r="D82" s="64">
        <v>34.659999999999997</v>
      </c>
      <c r="E82" s="64">
        <v>1.74</v>
      </c>
      <c r="F82" s="64">
        <v>7.73</v>
      </c>
      <c r="G82" s="64">
        <v>70.819999999999993</v>
      </c>
      <c r="H82" s="64">
        <v>31.04</v>
      </c>
      <c r="I82" s="64">
        <v>4.08</v>
      </c>
      <c r="J82" s="64">
        <v>7.0000000000000007E-2</v>
      </c>
      <c r="K82" s="64">
        <v>315.7</v>
      </c>
      <c r="L82" s="64">
        <v>24.97</v>
      </c>
      <c r="M82" s="64">
        <v>94.91</v>
      </c>
      <c r="N82" s="64">
        <v>57.2</v>
      </c>
      <c r="O82" s="64">
        <v>0</v>
      </c>
      <c r="P82" s="64">
        <v>0.57999999999999996</v>
      </c>
      <c r="Q82" s="64">
        <v>9.4</v>
      </c>
      <c r="R82" s="198"/>
      <c r="S82" s="198"/>
      <c r="T82" s="198"/>
      <c r="U82" s="198"/>
    </row>
    <row r="83" spans="1:26" s="12" customFormat="1" x14ac:dyDescent="0.25">
      <c r="A83" s="211" t="s">
        <v>1087</v>
      </c>
      <c r="B83" s="64">
        <v>12.75</v>
      </c>
      <c r="C83" s="64">
        <v>27.56</v>
      </c>
      <c r="D83" s="64">
        <v>33.18</v>
      </c>
      <c r="E83" s="64">
        <v>2.0499999999999998</v>
      </c>
      <c r="F83" s="64">
        <v>8</v>
      </c>
      <c r="G83" s="64">
        <v>70.819999999999993</v>
      </c>
      <c r="H83" s="64">
        <v>31.04</v>
      </c>
      <c r="I83" s="64">
        <v>3.98</v>
      </c>
      <c r="J83" s="64">
        <v>7.0000000000000007E-2</v>
      </c>
      <c r="K83" s="64">
        <v>218.37</v>
      </c>
      <c r="L83" s="64">
        <v>24.83</v>
      </c>
      <c r="M83" s="64">
        <v>95.99</v>
      </c>
      <c r="N83" s="64">
        <v>52.7</v>
      </c>
      <c r="O83" s="64">
        <v>0</v>
      </c>
      <c r="P83" s="64">
        <v>0.54</v>
      </c>
      <c r="Q83" s="64">
        <v>9.44</v>
      </c>
      <c r="R83" s="198"/>
      <c r="S83" s="198"/>
      <c r="T83" s="198"/>
      <c r="U83" s="198"/>
    </row>
    <row r="84" spans="1:26" s="12" customFormat="1" x14ac:dyDescent="0.25">
      <c r="A84" s="211" t="s">
        <v>1088</v>
      </c>
      <c r="B84" s="64">
        <v>8.98</v>
      </c>
      <c r="C84" s="64">
        <v>23.51</v>
      </c>
      <c r="D84" s="64">
        <v>31.21</v>
      </c>
      <c r="E84" s="64">
        <v>2.1</v>
      </c>
      <c r="F84" s="64">
        <v>8.23</v>
      </c>
      <c r="G84" s="64">
        <v>71.84</v>
      </c>
      <c r="H84" s="64">
        <v>31.66</v>
      </c>
      <c r="I84" s="64">
        <v>4.08</v>
      </c>
      <c r="J84" s="64">
        <v>0.04</v>
      </c>
      <c r="K84" s="64">
        <v>236.65</v>
      </c>
      <c r="L84" s="64">
        <v>24.78</v>
      </c>
      <c r="M84" s="64">
        <v>96.54</v>
      </c>
      <c r="N84" s="64">
        <v>52</v>
      </c>
      <c r="O84" s="64">
        <v>0</v>
      </c>
      <c r="P84" s="64">
        <v>0.41</v>
      </c>
      <c r="Q84" s="64">
        <v>9.4499999999999993</v>
      </c>
      <c r="R84" s="198"/>
      <c r="S84" s="198"/>
      <c r="T84" s="198"/>
      <c r="U84" s="198"/>
    </row>
    <row r="85" spans="1:26" s="12" customFormat="1" x14ac:dyDescent="0.25">
      <c r="A85" s="211" t="s">
        <v>1089</v>
      </c>
      <c r="B85" s="64">
        <v>8.2799999999999994</v>
      </c>
      <c r="C85" s="64">
        <v>22.92</v>
      </c>
      <c r="D85" s="64">
        <v>31.17</v>
      </c>
      <c r="E85" s="64">
        <v>2.12</v>
      </c>
      <c r="F85" s="64">
        <v>8.5</v>
      </c>
      <c r="G85" s="64">
        <v>74.67</v>
      </c>
      <c r="H85" s="64">
        <v>33.380000000000003</v>
      </c>
      <c r="I85" s="64">
        <v>3.83</v>
      </c>
      <c r="J85" s="64">
        <v>0.05</v>
      </c>
      <c r="K85" s="64">
        <v>196.3</v>
      </c>
      <c r="L85" s="64">
        <v>24.69</v>
      </c>
      <c r="M85" s="64">
        <v>97.08</v>
      </c>
      <c r="N85" s="64">
        <v>52</v>
      </c>
      <c r="O85" s="64">
        <v>0</v>
      </c>
      <c r="P85" s="64">
        <v>0.36</v>
      </c>
      <c r="Q85" s="64">
        <v>9.4499999999999993</v>
      </c>
      <c r="R85" s="198"/>
      <c r="S85" s="198"/>
      <c r="T85" s="198"/>
      <c r="U85" s="198"/>
    </row>
    <row r="86" spans="1:26" s="12" customFormat="1" x14ac:dyDescent="0.25">
      <c r="A86" s="211" t="s">
        <v>1090</v>
      </c>
      <c r="B86" s="64">
        <v>8.82</v>
      </c>
      <c r="C86" s="64">
        <v>23.14</v>
      </c>
      <c r="D86" s="64">
        <v>30.76</v>
      </c>
      <c r="E86" s="64">
        <v>2.16</v>
      </c>
      <c r="F86" s="64">
        <v>9.01</v>
      </c>
      <c r="G86" s="64">
        <v>74.67</v>
      </c>
      <c r="H86" s="64">
        <v>33.380000000000003</v>
      </c>
      <c r="I86" s="64">
        <v>3.88</v>
      </c>
      <c r="J86" s="64">
        <v>0.08</v>
      </c>
      <c r="K86" s="64">
        <v>169.6</v>
      </c>
      <c r="L86" s="64">
        <v>24.7</v>
      </c>
      <c r="M86" s="64">
        <v>96.67</v>
      </c>
      <c r="N86" s="64">
        <v>52</v>
      </c>
      <c r="O86" s="64">
        <v>0</v>
      </c>
      <c r="P86" s="64">
        <v>0.44</v>
      </c>
      <c r="Q86" s="64">
        <v>9.4499999999999993</v>
      </c>
      <c r="R86" s="198"/>
      <c r="S86" s="198"/>
      <c r="T86" s="198"/>
      <c r="U86" s="198"/>
    </row>
    <row r="87" spans="1:26" s="12" customFormat="1" x14ac:dyDescent="0.25">
      <c r="A87" s="211" t="s">
        <v>1091</v>
      </c>
      <c r="B87" s="64">
        <v>13.85</v>
      </c>
      <c r="C87" s="64">
        <v>26.7</v>
      </c>
      <c r="D87" s="64">
        <v>29.85</v>
      </c>
      <c r="E87" s="64">
        <v>2.2200000000000002</v>
      </c>
      <c r="F87" s="64">
        <v>4.7699999999999996</v>
      </c>
      <c r="G87" s="64">
        <v>74.67</v>
      </c>
      <c r="H87" s="64">
        <v>33.380000000000003</v>
      </c>
      <c r="I87" s="64">
        <v>4.03</v>
      </c>
      <c r="J87" s="64">
        <v>0.05</v>
      </c>
      <c r="K87" s="64">
        <v>135.04</v>
      </c>
      <c r="L87" s="64">
        <v>24.72</v>
      </c>
      <c r="M87" s="64">
        <v>96.36</v>
      </c>
      <c r="N87" s="64">
        <v>52</v>
      </c>
      <c r="O87" s="64">
        <v>0</v>
      </c>
      <c r="P87" s="64">
        <v>0.45</v>
      </c>
      <c r="Q87" s="64">
        <v>9.4499999999999993</v>
      </c>
      <c r="R87" s="198"/>
      <c r="S87" s="198"/>
      <c r="T87" s="198"/>
      <c r="U87" s="198"/>
    </row>
    <row r="88" spans="1:26" s="12" customFormat="1" x14ac:dyDescent="0.25">
      <c r="A88" s="211" t="s">
        <v>1092</v>
      </c>
      <c r="B88" s="64">
        <v>13.85</v>
      </c>
      <c r="C88" s="64">
        <v>24.31</v>
      </c>
      <c r="D88" s="64">
        <v>25.26</v>
      </c>
      <c r="E88" s="64">
        <v>2.4300000000000002</v>
      </c>
      <c r="F88" s="64">
        <v>4.7300000000000004</v>
      </c>
      <c r="G88" s="64">
        <v>74.489999999999995</v>
      </c>
      <c r="H88" s="64">
        <v>28.84</v>
      </c>
      <c r="I88" s="64">
        <v>3.85</v>
      </c>
      <c r="J88" s="64">
        <v>0.05</v>
      </c>
      <c r="K88" s="64">
        <v>158.22</v>
      </c>
      <c r="L88" s="64">
        <v>24.73</v>
      </c>
      <c r="M88" s="64">
        <v>95.62</v>
      </c>
      <c r="N88" s="64">
        <v>52</v>
      </c>
      <c r="O88" s="64">
        <v>0</v>
      </c>
      <c r="P88" s="64">
        <v>0.46</v>
      </c>
      <c r="Q88" s="64">
        <v>9.44</v>
      </c>
      <c r="R88" s="198"/>
      <c r="S88" s="198"/>
      <c r="T88" s="198"/>
      <c r="U88" s="198"/>
    </row>
    <row r="89" spans="1:26" s="12" customFormat="1" x14ac:dyDescent="0.25">
      <c r="A89" s="211" t="s">
        <v>1093</v>
      </c>
      <c r="B89" s="64">
        <v>10.42</v>
      </c>
      <c r="C89" s="64">
        <v>25.58</v>
      </c>
      <c r="D89" s="64">
        <v>32.979999999999997</v>
      </c>
      <c r="E89" s="64">
        <v>2.48</v>
      </c>
      <c r="F89" s="64">
        <v>5.28</v>
      </c>
      <c r="G89" s="64">
        <v>74.02</v>
      </c>
      <c r="H89" s="64">
        <v>16.36</v>
      </c>
      <c r="I89" s="64">
        <v>4.07</v>
      </c>
      <c r="J89" s="64">
        <v>0.15</v>
      </c>
      <c r="K89" s="64">
        <v>139.19</v>
      </c>
      <c r="L89" s="64">
        <v>24.86</v>
      </c>
      <c r="M89" s="64">
        <v>95.28</v>
      </c>
      <c r="N89" s="64">
        <v>51.9</v>
      </c>
      <c r="O89" s="64">
        <v>0</v>
      </c>
      <c r="P89" s="64">
        <v>0.56000000000000005</v>
      </c>
      <c r="Q89" s="64">
        <v>9.44</v>
      </c>
      <c r="R89" s="198"/>
      <c r="S89" s="198"/>
      <c r="T89" s="198"/>
      <c r="U89" s="198"/>
    </row>
    <row r="90" spans="1:26" s="12" customFormat="1" x14ac:dyDescent="0.25">
      <c r="A90" s="211" t="s">
        <v>1094</v>
      </c>
      <c r="B90" s="64">
        <v>14.08</v>
      </c>
      <c r="C90" s="64">
        <v>25.5</v>
      </c>
      <c r="D90" s="64">
        <v>27.2</v>
      </c>
      <c r="E90" s="64">
        <v>2.09</v>
      </c>
      <c r="F90" s="64">
        <v>4.7300000000000004</v>
      </c>
      <c r="G90" s="64">
        <v>74.02</v>
      </c>
      <c r="H90" s="64">
        <v>16.36</v>
      </c>
      <c r="I90" s="64">
        <v>4</v>
      </c>
      <c r="J90" s="64">
        <v>7.0000000000000007E-2</v>
      </c>
      <c r="K90" s="64">
        <v>171.23</v>
      </c>
      <c r="L90" s="64">
        <v>24.93</v>
      </c>
      <c r="M90" s="64">
        <v>95.15</v>
      </c>
      <c r="N90" s="64">
        <v>52</v>
      </c>
      <c r="O90" s="64">
        <v>0</v>
      </c>
      <c r="P90" s="64">
        <v>0.52</v>
      </c>
      <c r="Q90" s="64">
        <v>9.43</v>
      </c>
      <c r="R90" s="198"/>
      <c r="S90" s="198"/>
      <c r="T90" s="198"/>
      <c r="U90" s="198"/>
    </row>
    <row r="91" spans="1:26" s="12" customFormat="1" x14ac:dyDescent="0.25">
      <c r="A91" s="211" t="s">
        <v>1095</v>
      </c>
      <c r="B91" s="64">
        <v>18.87</v>
      </c>
      <c r="C91" s="64">
        <v>35.54</v>
      </c>
      <c r="D91" s="64">
        <v>39.06</v>
      </c>
      <c r="E91" s="64">
        <v>2.3199999999999998</v>
      </c>
      <c r="F91" s="64">
        <v>4.3499999999999996</v>
      </c>
      <c r="G91" s="64">
        <v>74.02</v>
      </c>
      <c r="H91" s="64">
        <v>16.36</v>
      </c>
      <c r="I91" s="64">
        <v>3.97</v>
      </c>
      <c r="J91" s="64">
        <v>0.15</v>
      </c>
      <c r="K91" s="64">
        <v>146.85</v>
      </c>
      <c r="L91" s="64">
        <v>24.94</v>
      </c>
      <c r="M91" s="64">
        <v>95.77</v>
      </c>
      <c r="N91" s="64">
        <v>52</v>
      </c>
      <c r="O91" s="64">
        <v>0</v>
      </c>
      <c r="P91" s="64">
        <v>0.75</v>
      </c>
      <c r="Q91" s="64">
        <v>9.44</v>
      </c>
      <c r="R91" s="198"/>
      <c r="S91" s="198"/>
      <c r="T91" s="198"/>
      <c r="U91" s="198"/>
    </row>
    <row r="92" spans="1:26" s="12" customFormat="1" x14ac:dyDescent="0.25">
      <c r="A92" s="211" t="s">
        <v>1096</v>
      </c>
      <c r="B92" s="64">
        <v>16.670000000000002</v>
      </c>
      <c r="C92" s="64">
        <v>27.47</v>
      </c>
      <c r="D92" s="64">
        <v>26.99</v>
      </c>
      <c r="E92" s="64">
        <v>2.08</v>
      </c>
      <c r="F92" s="64">
        <v>5.01</v>
      </c>
      <c r="G92" s="64">
        <v>78.52</v>
      </c>
      <c r="H92" s="64">
        <v>19.32</v>
      </c>
      <c r="I92" s="64">
        <v>4.12</v>
      </c>
      <c r="J92" s="64">
        <v>0.6</v>
      </c>
      <c r="K92" s="64">
        <v>138.41999999999999</v>
      </c>
      <c r="L92" s="64">
        <v>25.02</v>
      </c>
      <c r="M92" s="64">
        <v>95.08</v>
      </c>
      <c r="N92" s="64">
        <v>51.8</v>
      </c>
      <c r="O92" s="64">
        <v>0</v>
      </c>
      <c r="P92" s="64">
        <v>0.59</v>
      </c>
      <c r="Q92" s="64">
        <v>9.4499999999999993</v>
      </c>
      <c r="R92" s="198"/>
      <c r="S92" s="198"/>
      <c r="T92" s="198"/>
      <c r="U92" s="198"/>
    </row>
    <row r="93" spans="1:26" s="12" customFormat="1" x14ac:dyDescent="0.25">
      <c r="A93" s="211" t="s">
        <v>1097</v>
      </c>
      <c r="B93" s="64">
        <v>16.260000000000002</v>
      </c>
      <c r="C93" s="64">
        <v>25.1</v>
      </c>
      <c r="D93" s="64">
        <v>23.08</v>
      </c>
      <c r="E93" s="64">
        <v>2.21</v>
      </c>
      <c r="F93" s="64">
        <v>4.38</v>
      </c>
      <c r="G93" s="64">
        <v>90.89</v>
      </c>
      <c r="H93" s="64">
        <v>27.48</v>
      </c>
      <c r="I93" s="64">
        <v>4.16</v>
      </c>
      <c r="J93" s="64">
        <v>0.33</v>
      </c>
      <c r="K93" s="64">
        <v>142.63999999999999</v>
      </c>
      <c r="L93" s="64">
        <v>25.03</v>
      </c>
      <c r="M93" s="64">
        <v>95.66</v>
      </c>
      <c r="N93" s="64">
        <v>52</v>
      </c>
      <c r="O93" s="64">
        <v>0</v>
      </c>
      <c r="P93" s="64">
        <v>0.57999999999999996</v>
      </c>
      <c r="Q93" s="64">
        <v>9.4600000000000009</v>
      </c>
      <c r="R93" s="198"/>
      <c r="S93" s="198"/>
      <c r="T93" s="198"/>
      <c r="U93" s="198"/>
    </row>
    <row r="94" spans="1:26" s="12" customFormat="1" x14ac:dyDescent="0.25">
      <c r="A94" s="211" t="s">
        <v>1098</v>
      </c>
      <c r="B94" s="64">
        <v>14.2</v>
      </c>
      <c r="C94" s="64">
        <v>26.29</v>
      </c>
      <c r="D94" s="64">
        <v>28.51</v>
      </c>
      <c r="E94" s="64">
        <v>2.08</v>
      </c>
      <c r="F94" s="64">
        <v>5.07</v>
      </c>
      <c r="G94" s="64">
        <v>90.89</v>
      </c>
      <c r="H94" s="64">
        <v>27.48</v>
      </c>
      <c r="I94" s="64">
        <v>3.94</v>
      </c>
      <c r="J94" s="64">
        <v>0.21</v>
      </c>
      <c r="K94" s="64">
        <v>143.63999999999999</v>
      </c>
      <c r="L94" s="64">
        <v>24.95</v>
      </c>
      <c r="M94" s="64">
        <v>96.15</v>
      </c>
      <c r="N94" s="64">
        <v>52</v>
      </c>
      <c r="O94" s="64">
        <v>0</v>
      </c>
      <c r="P94" s="64">
        <v>0.57999999999999996</v>
      </c>
      <c r="Q94" s="64">
        <v>9.48</v>
      </c>
      <c r="R94" s="198"/>
      <c r="S94" s="198"/>
      <c r="T94" s="198"/>
      <c r="U94" s="198"/>
    </row>
    <row r="95" spans="1:26" s="12" customFormat="1" x14ac:dyDescent="0.25">
      <c r="A95" s="211" t="s">
        <v>1099</v>
      </c>
      <c r="B95" s="64">
        <v>13.72</v>
      </c>
      <c r="C95" s="64">
        <v>24.94</v>
      </c>
      <c r="D95" s="64">
        <v>26.67</v>
      </c>
      <c r="E95" s="64">
        <v>2.06</v>
      </c>
      <c r="F95" s="64">
        <v>5.16</v>
      </c>
      <c r="G95" s="64">
        <v>90.89</v>
      </c>
      <c r="H95" s="64">
        <v>27.48</v>
      </c>
      <c r="I95" s="64">
        <v>4</v>
      </c>
      <c r="J95" s="64">
        <v>0.04</v>
      </c>
      <c r="K95" s="64">
        <v>237.95</v>
      </c>
      <c r="L95" s="64">
        <v>24.95</v>
      </c>
      <c r="M95" s="64">
        <v>96</v>
      </c>
      <c r="N95" s="64">
        <v>52</v>
      </c>
      <c r="O95" s="64">
        <v>0</v>
      </c>
      <c r="P95" s="64">
        <v>0.59</v>
      </c>
      <c r="Q95" s="64">
        <v>9.4700000000000006</v>
      </c>
      <c r="R95" s="198"/>
      <c r="S95" s="198"/>
      <c r="T95" s="198"/>
      <c r="U95" s="198"/>
    </row>
    <row r="96" spans="1:26" s="12" customFormat="1" x14ac:dyDescent="0.25">
      <c r="A96" s="211" t="s">
        <v>1100</v>
      </c>
      <c r="B96" s="64">
        <v>14.85</v>
      </c>
      <c r="C96" s="64">
        <v>24.69</v>
      </c>
      <c r="D96" s="64">
        <v>24.46</v>
      </c>
      <c r="E96" s="64">
        <v>2.41</v>
      </c>
      <c r="F96" s="64">
        <v>3.92</v>
      </c>
      <c r="G96" s="64">
        <v>89.43</v>
      </c>
      <c r="H96" s="64">
        <v>29.56</v>
      </c>
      <c r="I96" s="64">
        <v>4.0999999999999996</v>
      </c>
      <c r="J96" s="64">
        <v>0.26</v>
      </c>
      <c r="K96" s="64">
        <v>147.53</v>
      </c>
      <c r="L96" s="64">
        <v>25.02</v>
      </c>
      <c r="M96" s="64">
        <v>95.47</v>
      </c>
      <c r="N96" s="64">
        <v>52.1</v>
      </c>
      <c r="O96" s="64">
        <v>0</v>
      </c>
      <c r="P96" s="64">
        <v>0.57999999999999996</v>
      </c>
      <c r="Q96" s="64">
        <v>9.4600000000000009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1101</v>
      </c>
      <c r="B97" s="64">
        <v>13.43</v>
      </c>
      <c r="C97" s="64">
        <v>23.94</v>
      </c>
      <c r="D97" s="64">
        <v>25.2</v>
      </c>
      <c r="E97" s="64">
        <v>2.0099999999999998</v>
      </c>
      <c r="F97" s="64">
        <v>4.87</v>
      </c>
      <c r="G97" s="64">
        <v>85.4</v>
      </c>
      <c r="H97" s="64">
        <v>35.270000000000003</v>
      </c>
      <c r="I97" s="64">
        <v>3.78</v>
      </c>
      <c r="J97" s="64">
        <v>0.45</v>
      </c>
      <c r="K97" s="64">
        <v>145.96</v>
      </c>
      <c r="L97" s="64">
        <v>24.92</v>
      </c>
      <c r="M97" s="64">
        <v>96.51</v>
      </c>
      <c r="N97" s="64">
        <v>52.4</v>
      </c>
      <c r="O97" s="64">
        <v>0</v>
      </c>
      <c r="P97" s="64">
        <v>0.56000000000000005</v>
      </c>
      <c r="Q97" s="64">
        <v>9.4600000000000009</v>
      </c>
      <c r="R97" s="198"/>
      <c r="S97" s="198"/>
      <c r="T97" s="198"/>
      <c r="U97" s="198"/>
    </row>
    <row r="98" spans="1:33" s="12" customFormat="1" x14ac:dyDescent="0.25">
      <c r="A98" s="211" t="s">
        <v>1102</v>
      </c>
      <c r="B98" s="64">
        <v>15.67</v>
      </c>
      <c r="C98" s="64">
        <v>29.33</v>
      </c>
      <c r="D98" s="64">
        <v>32.090000000000003</v>
      </c>
      <c r="E98" s="64">
        <v>1.85</v>
      </c>
      <c r="F98" s="64">
        <v>5.93</v>
      </c>
      <c r="G98" s="64">
        <v>85.4</v>
      </c>
      <c r="H98" s="64">
        <v>35.270000000000003</v>
      </c>
      <c r="I98" s="64">
        <v>3.91</v>
      </c>
      <c r="J98" s="64">
        <v>0.82</v>
      </c>
      <c r="K98" s="64">
        <v>135.09</v>
      </c>
      <c r="L98" s="64">
        <v>24.85</v>
      </c>
      <c r="M98" s="64">
        <v>97.38</v>
      </c>
      <c r="N98" s="64">
        <v>52.5</v>
      </c>
      <c r="O98" s="64">
        <v>0</v>
      </c>
      <c r="P98" s="64">
        <v>0.52</v>
      </c>
      <c r="Q98" s="64">
        <v>9.4700000000000006</v>
      </c>
      <c r="R98" s="198"/>
      <c r="S98" s="198"/>
      <c r="T98" s="198"/>
      <c r="U98" s="198"/>
    </row>
    <row r="99" spans="1:33" s="12" customFormat="1" x14ac:dyDescent="0.25">
      <c r="A99" s="211" t="s">
        <v>1103</v>
      </c>
      <c r="B99" s="64">
        <v>13.82</v>
      </c>
      <c r="C99" s="64">
        <v>24.89</v>
      </c>
      <c r="D99" s="64">
        <v>26.42</v>
      </c>
      <c r="E99" s="64">
        <v>1.95</v>
      </c>
      <c r="F99" s="64">
        <v>5.35</v>
      </c>
      <c r="G99" s="64">
        <v>85.4</v>
      </c>
      <c r="H99" s="64">
        <v>35.270000000000003</v>
      </c>
      <c r="I99" s="64">
        <v>4</v>
      </c>
      <c r="J99" s="64">
        <v>0.67</v>
      </c>
      <c r="K99" s="64">
        <v>142.97999999999999</v>
      </c>
      <c r="L99" s="64">
        <v>24.75</v>
      </c>
      <c r="M99" s="64">
        <v>98.48</v>
      </c>
      <c r="N99" s="64">
        <v>52.7</v>
      </c>
      <c r="O99" s="64">
        <v>0</v>
      </c>
      <c r="P99" s="64">
        <v>0.52</v>
      </c>
      <c r="Q99" s="64">
        <v>9.49</v>
      </c>
      <c r="R99" s="198"/>
      <c r="S99" s="198"/>
      <c r="T99" s="198"/>
      <c r="U99" s="198"/>
    </row>
    <row r="100" spans="1:33" s="12" customFormat="1" x14ac:dyDescent="0.25">
      <c r="A100" s="211" t="s">
        <v>1104</v>
      </c>
      <c r="B100" s="64">
        <v>13.37</v>
      </c>
      <c r="C100" s="64">
        <v>22.58</v>
      </c>
      <c r="D100" s="64">
        <v>22.7</v>
      </c>
      <c r="E100" s="64">
        <v>2.17</v>
      </c>
      <c r="F100" s="64">
        <v>5.12</v>
      </c>
      <c r="G100" s="64">
        <v>83.74</v>
      </c>
      <c r="H100" s="64">
        <v>34.69</v>
      </c>
      <c r="I100" s="64">
        <v>3.96</v>
      </c>
      <c r="J100" s="64">
        <v>1.06</v>
      </c>
      <c r="K100" s="64">
        <v>134.94999999999999</v>
      </c>
      <c r="L100" s="64">
        <v>24.62</v>
      </c>
      <c r="M100" s="64">
        <v>98.8</v>
      </c>
      <c r="N100" s="64">
        <v>52.8</v>
      </c>
      <c r="O100" s="64">
        <v>0</v>
      </c>
      <c r="P100" s="64">
        <v>0.53</v>
      </c>
      <c r="Q100" s="64">
        <v>9.48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1105</v>
      </c>
      <c r="B101" s="64">
        <v>13.69</v>
      </c>
      <c r="C101" s="64">
        <v>22.12</v>
      </c>
      <c r="D101" s="64">
        <v>21.32</v>
      </c>
      <c r="E101" s="64">
        <v>1.79</v>
      </c>
      <c r="F101" s="64">
        <v>4.17</v>
      </c>
      <c r="G101" s="64">
        <v>79.17</v>
      </c>
      <c r="H101" s="64">
        <v>33.090000000000003</v>
      </c>
      <c r="I101" s="64">
        <v>3.9</v>
      </c>
      <c r="J101" s="64">
        <v>0.88</v>
      </c>
      <c r="K101" s="64">
        <v>150.51</v>
      </c>
      <c r="L101" s="64">
        <v>24.51</v>
      </c>
      <c r="M101" s="64">
        <v>98.61</v>
      </c>
      <c r="N101" s="64">
        <v>52.7</v>
      </c>
      <c r="O101" s="64">
        <v>0</v>
      </c>
      <c r="P101" s="64">
        <v>0.52</v>
      </c>
      <c r="Q101" s="64">
        <v>9.4700000000000006</v>
      </c>
      <c r="R101" s="198"/>
      <c r="S101" s="198"/>
      <c r="T101" s="198"/>
      <c r="U101" s="198"/>
    </row>
    <row r="102" spans="1:33" s="12" customFormat="1" x14ac:dyDescent="0.25">
      <c r="A102" s="211" t="s">
        <v>1106</v>
      </c>
      <c r="B102" s="64">
        <v>12.52</v>
      </c>
      <c r="C102" s="64">
        <v>21.13</v>
      </c>
      <c r="D102" s="64">
        <v>21.23</v>
      </c>
      <c r="E102" s="64">
        <v>2.0099999999999998</v>
      </c>
      <c r="F102" s="64">
        <v>4.95</v>
      </c>
      <c r="G102" s="64">
        <v>79.17</v>
      </c>
      <c r="H102" s="64">
        <v>33.090000000000003</v>
      </c>
      <c r="I102" s="64">
        <v>3.88</v>
      </c>
      <c r="J102" s="64">
        <v>1.21</v>
      </c>
      <c r="K102" s="64">
        <v>135.35</v>
      </c>
      <c r="L102" s="64">
        <v>24.45</v>
      </c>
      <c r="M102" s="64">
        <v>98.6</v>
      </c>
      <c r="N102" s="64">
        <v>52.7</v>
      </c>
      <c r="O102" s="64">
        <v>0</v>
      </c>
      <c r="P102" s="64">
        <v>0.49</v>
      </c>
      <c r="Q102" s="64">
        <v>9.4700000000000006</v>
      </c>
      <c r="R102" s="198"/>
      <c r="S102" s="198"/>
      <c r="T102" s="198"/>
      <c r="U102" s="198"/>
    </row>
    <row r="103" spans="1:33" s="12" customFormat="1" x14ac:dyDescent="0.25">
      <c r="A103" s="211" t="s">
        <v>1107</v>
      </c>
      <c r="B103" s="64">
        <v>12.52</v>
      </c>
      <c r="C103" s="64">
        <v>20.92</v>
      </c>
      <c r="D103" s="64">
        <v>20.83</v>
      </c>
      <c r="E103" s="64">
        <v>2.17</v>
      </c>
      <c r="F103" s="64">
        <v>6.02</v>
      </c>
      <c r="G103" s="64">
        <v>79.17</v>
      </c>
      <c r="H103" s="64">
        <v>33.090000000000003</v>
      </c>
      <c r="I103" s="64">
        <v>4.0199999999999996</v>
      </c>
      <c r="J103" s="64">
        <v>1.05</v>
      </c>
      <c r="K103" s="64">
        <v>134.78</v>
      </c>
      <c r="L103" s="64">
        <v>24.43</v>
      </c>
      <c r="M103" s="64">
        <v>98.64</v>
      </c>
      <c r="N103" s="64">
        <v>52.4</v>
      </c>
      <c r="O103" s="64">
        <v>0</v>
      </c>
      <c r="P103" s="64">
        <v>0.47</v>
      </c>
      <c r="Q103" s="64">
        <v>9.4700000000000006</v>
      </c>
      <c r="R103" s="198"/>
      <c r="S103" s="198"/>
      <c r="T103" s="198"/>
      <c r="U103" s="198"/>
    </row>
    <row r="104" spans="1:33" s="12" customFormat="1" x14ac:dyDescent="0.25">
      <c r="A104" s="211" t="s">
        <v>1108</v>
      </c>
      <c r="B104" s="64">
        <v>10.99</v>
      </c>
      <c r="C104" s="64">
        <v>19.989999999999998</v>
      </c>
      <c r="D104" s="64">
        <v>21.4</v>
      </c>
      <c r="E104" s="64">
        <v>5.27</v>
      </c>
      <c r="F104" s="64">
        <v>6.81</v>
      </c>
      <c r="G104" s="64">
        <v>79.45</v>
      </c>
      <c r="H104" s="64">
        <v>31.08</v>
      </c>
      <c r="I104" s="64">
        <v>4.05</v>
      </c>
      <c r="J104" s="64">
        <v>0.39</v>
      </c>
      <c r="K104" s="64">
        <v>136.11000000000001</v>
      </c>
      <c r="L104" s="64">
        <v>24.45</v>
      </c>
      <c r="M104" s="64">
        <v>98.73</v>
      </c>
      <c r="N104" s="64">
        <v>52.4</v>
      </c>
      <c r="O104" s="64">
        <v>0</v>
      </c>
      <c r="P104" s="64">
        <v>0.41</v>
      </c>
      <c r="Q104" s="64">
        <v>9.4600000000000009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3.78</v>
      </c>
      <c r="C106" s="67">
        <f>MIN(C9:C104)</f>
        <v>11.1</v>
      </c>
      <c r="D106" s="67">
        <f t="shared" ref="D106:Q106" si="0">MIN(D9:D104)</f>
        <v>15.42</v>
      </c>
      <c r="E106" s="67">
        <f t="shared" si="0"/>
        <v>1.0900000000000001</v>
      </c>
      <c r="F106" s="67">
        <f t="shared" si="0"/>
        <v>2.69</v>
      </c>
      <c r="G106" s="67">
        <f t="shared" si="0"/>
        <v>8.33</v>
      </c>
      <c r="H106" s="67">
        <f t="shared" si="0"/>
        <v>1.1599999999999999</v>
      </c>
      <c r="I106" s="67">
        <f t="shared" si="0"/>
        <v>3.76</v>
      </c>
      <c r="J106" s="67">
        <f t="shared" si="0"/>
        <v>0.04</v>
      </c>
      <c r="K106" s="67">
        <f t="shared" si="0"/>
        <v>134.78</v>
      </c>
      <c r="L106" s="67">
        <f t="shared" si="0"/>
        <v>22.77</v>
      </c>
      <c r="M106" s="67">
        <f t="shared" si="0"/>
        <v>69.53</v>
      </c>
      <c r="N106" s="67">
        <f t="shared" si="0"/>
        <v>51.8</v>
      </c>
      <c r="O106" s="67">
        <f t="shared" si="0"/>
        <v>0</v>
      </c>
      <c r="P106" s="67">
        <f t="shared" si="0"/>
        <v>0.17</v>
      </c>
      <c r="Q106" s="67">
        <f t="shared" si="0"/>
        <v>8.9700000000000006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21.43</v>
      </c>
      <c r="C107" s="66">
        <f t="shared" ref="C107:Q107" si="1">MAX(C9:C104)</f>
        <v>35.54</v>
      </c>
      <c r="D107" s="66">
        <f t="shared" si="1"/>
        <v>39.06</v>
      </c>
      <c r="E107" s="66">
        <f t="shared" si="1"/>
        <v>5.27</v>
      </c>
      <c r="F107" s="66">
        <f t="shared" si="1"/>
        <v>9.01</v>
      </c>
      <c r="G107" s="66">
        <f t="shared" si="1"/>
        <v>90.89</v>
      </c>
      <c r="H107" s="66">
        <f t="shared" si="1"/>
        <v>529.63</v>
      </c>
      <c r="I107" s="66">
        <f t="shared" si="1"/>
        <v>4.16</v>
      </c>
      <c r="J107" s="66">
        <f t="shared" si="1"/>
        <v>2.2599999999999998</v>
      </c>
      <c r="K107" s="66">
        <f t="shared" si="1"/>
        <v>339.61</v>
      </c>
      <c r="L107" s="66">
        <f t="shared" si="1"/>
        <v>28.59</v>
      </c>
      <c r="M107" s="66">
        <f t="shared" si="1"/>
        <v>99.27</v>
      </c>
      <c r="N107" s="66">
        <f t="shared" si="1"/>
        <v>432</v>
      </c>
      <c r="O107" s="66">
        <f t="shared" si="1"/>
        <v>0.2</v>
      </c>
      <c r="P107" s="66">
        <f t="shared" si="1"/>
        <v>0.75</v>
      </c>
      <c r="Q107" s="66">
        <f t="shared" si="1"/>
        <v>9.49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7.5526041666666677</v>
      </c>
      <c r="C108" s="67">
        <f t="shared" ref="C108:Q108" si="2">AVERAGE(C9:C104)</f>
        <v>17.582291666666666</v>
      </c>
      <c r="D108" s="67">
        <f t="shared" si="2"/>
        <v>22.059687500000006</v>
      </c>
      <c r="E108" s="67">
        <f t="shared" si="2"/>
        <v>3.1137500000000014</v>
      </c>
      <c r="F108" s="67">
        <f t="shared" si="2"/>
        <v>4.7148958333333333</v>
      </c>
      <c r="G108" s="67">
        <f t="shared" si="2"/>
        <v>43.80781249999999</v>
      </c>
      <c r="H108" s="67">
        <f t="shared" si="2"/>
        <v>36.789479166666673</v>
      </c>
      <c r="I108" s="67">
        <f t="shared" si="2"/>
        <v>3.9793750000000006</v>
      </c>
      <c r="J108" s="67">
        <f t="shared" si="2"/>
        <v>0.42708333333333326</v>
      </c>
      <c r="K108" s="67">
        <f t="shared" si="2"/>
        <v>268.1459375</v>
      </c>
      <c r="L108" s="67">
        <f t="shared" si="2"/>
        <v>25.022395833333331</v>
      </c>
      <c r="M108" s="67">
        <f t="shared" si="2"/>
        <v>91.50031249999995</v>
      </c>
      <c r="N108" s="67">
        <f t="shared" si="2"/>
        <v>131.12187500000002</v>
      </c>
      <c r="O108" s="67">
        <f t="shared" si="2"/>
        <v>6.2500000000000012E-3</v>
      </c>
      <c r="P108" s="67">
        <f t="shared" si="2"/>
        <v>0.34093749999999989</v>
      </c>
      <c r="Q108" s="67">
        <f t="shared" si="2"/>
        <v>9.170000000000007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4.5488259317604287</v>
      </c>
      <c r="C109" s="67">
        <f t="shared" ref="C109:Q109" si="3">STDEV(C9:C104)</f>
        <v>5.7738567752762577</v>
      </c>
      <c r="D109" s="67">
        <f t="shared" si="3"/>
        <v>4.928309297608493</v>
      </c>
      <c r="E109" s="67">
        <f t="shared" si="3"/>
        <v>0.83448471336633834</v>
      </c>
      <c r="F109" s="67">
        <f t="shared" si="3"/>
        <v>1.1844936691232186</v>
      </c>
      <c r="G109" s="67">
        <f t="shared" si="3"/>
        <v>26.155627519789078</v>
      </c>
      <c r="H109" s="67">
        <f t="shared" si="3"/>
        <v>97.386228296567381</v>
      </c>
      <c r="I109" s="67">
        <f t="shared" si="3"/>
        <v>9.7633174905383813E-2</v>
      </c>
      <c r="J109" s="67">
        <f t="shared" si="3"/>
        <v>0.37239740138916594</v>
      </c>
      <c r="K109" s="67">
        <f t="shared" si="3"/>
        <v>63.179608995276688</v>
      </c>
      <c r="L109" s="67">
        <f t="shared" si="3"/>
        <v>1.7663842013927278</v>
      </c>
      <c r="M109" s="67">
        <f t="shared" si="3"/>
        <v>9.3324619026535007</v>
      </c>
      <c r="N109" s="67">
        <f t="shared" si="3"/>
        <v>94.788029671889205</v>
      </c>
      <c r="O109" s="67">
        <f t="shared" si="3"/>
        <v>3.4981197957278651E-2</v>
      </c>
      <c r="P109" s="67">
        <f t="shared" si="3"/>
        <v>0.13832896051004484</v>
      </c>
      <c r="Q109" s="67">
        <f t="shared" si="3"/>
        <v>0.17850254310439631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6" sqref="H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1109</v>
      </c>
      <c r="B9" s="64">
        <v>13.88</v>
      </c>
      <c r="C9" s="64">
        <v>20.8</v>
      </c>
      <c r="D9" s="64">
        <v>18.510000000000002</v>
      </c>
      <c r="E9" s="64">
        <v>4.84</v>
      </c>
      <c r="F9" s="64">
        <v>3.91</v>
      </c>
      <c r="G9" s="64">
        <v>80.209999999999994</v>
      </c>
      <c r="H9" s="64">
        <v>25.55</v>
      </c>
      <c r="I9" s="64">
        <v>4.08</v>
      </c>
      <c r="J9" s="64">
        <v>0.31</v>
      </c>
      <c r="K9" s="64">
        <v>136.04</v>
      </c>
      <c r="L9" s="64">
        <v>24.49</v>
      </c>
      <c r="M9" s="64">
        <v>98.82</v>
      </c>
      <c r="N9" s="64">
        <v>52.4</v>
      </c>
      <c r="O9" s="64">
        <v>0</v>
      </c>
      <c r="P9" s="64">
        <v>0.52</v>
      </c>
      <c r="Q9" s="64">
        <v>9.44</v>
      </c>
      <c r="R9" s="198"/>
      <c r="S9" s="198"/>
      <c r="T9" s="198"/>
      <c r="U9" s="198"/>
    </row>
    <row r="10" spans="1:21" s="12" customFormat="1" x14ac:dyDescent="0.25">
      <c r="A10" s="211" t="s">
        <v>1110</v>
      </c>
      <c r="B10" s="64">
        <v>14.52</v>
      </c>
      <c r="C10" s="64">
        <v>20.96</v>
      </c>
      <c r="D10" s="64">
        <v>17.829999999999998</v>
      </c>
      <c r="E10" s="64">
        <v>4.8600000000000003</v>
      </c>
      <c r="F10" s="64">
        <v>3.86</v>
      </c>
      <c r="G10" s="64">
        <v>80.209999999999994</v>
      </c>
      <c r="H10" s="64">
        <v>25.55</v>
      </c>
      <c r="I10" s="64">
        <v>4.04</v>
      </c>
      <c r="J10" s="64">
        <v>0.53</v>
      </c>
      <c r="K10" s="64">
        <v>137.44999999999999</v>
      </c>
      <c r="L10" s="64">
        <v>24.53</v>
      </c>
      <c r="M10" s="64">
        <v>98.88</v>
      </c>
      <c r="N10" s="64">
        <v>52.4</v>
      </c>
      <c r="O10" s="64">
        <v>0</v>
      </c>
      <c r="P10" s="64">
        <v>0.48</v>
      </c>
      <c r="Q10" s="64">
        <v>9.41</v>
      </c>
      <c r="R10" s="198"/>
      <c r="S10" s="198"/>
      <c r="T10" s="198"/>
      <c r="U10" s="198"/>
    </row>
    <row r="11" spans="1:21" s="12" customFormat="1" x14ac:dyDescent="0.25">
      <c r="A11" s="211" t="s">
        <v>1111</v>
      </c>
      <c r="B11" s="64">
        <v>12.91</v>
      </c>
      <c r="C11" s="64">
        <v>19.989999999999998</v>
      </c>
      <c r="D11" s="64">
        <v>18.45</v>
      </c>
      <c r="E11" s="64">
        <v>4.6900000000000004</v>
      </c>
      <c r="F11" s="64">
        <v>5.0599999999999996</v>
      </c>
      <c r="G11" s="64">
        <v>80.209999999999994</v>
      </c>
      <c r="H11" s="64">
        <v>25.55</v>
      </c>
      <c r="I11" s="64">
        <v>4.16</v>
      </c>
      <c r="J11" s="64">
        <v>7.0000000000000007E-2</v>
      </c>
      <c r="K11" s="64">
        <v>190.1</v>
      </c>
      <c r="L11" s="64">
        <v>24.53</v>
      </c>
      <c r="M11" s="64">
        <v>99.11</v>
      </c>
      <c r="N11" s="64">
        <v>52.4</v>
      </c>
      <c r="O11" s="64">
        <v>0</v>
      </c>
      <c r="P11" s="64">
        <v>0.43</v>
      </c>
      <c r="Q11" s="64">
        <v>9.41</v>
      </c>
      <c r="R11" s="198"/>
      <c r="S11" s="198"/>
      <c r="T11" s="198"/>
      <c r="U11" s="198"/>
    </row>
    <row r="12" spans="1:21" s="12" customFormat="1" x14ac:dyDescent="0.25">
      <c r="A12" s="211" t="s">
        <v>1112</v>
      </c>
      <c r="B12" s="64">
        <v>14.12</v>
      </c>
      <c r="C12" s="64">
        <v>20.100000000000001</v>
      </c>
      <c r="D12" s="64">
        <v>16.809999999999999</v>
      </c>
      <c r="E12" s="64">
        <v>4.6500000000000004</v>
      </c>
      <c r="F12" s="64">
        <v>4.47</v>
      </c>
      <c r="G12" s="64">
        <v>77.13</v>
      </c>
      <c r="H12" s="64">
        <v>25.56</v>
      </c>
      <c r="I12" s="64">
        <v>4.16</v>
      </c>
      <c r="J12" s="64">
        <v>0.56000000000000005</v>
      </c>
      <c r="K12" s="64">
        <v>132.29</v>
      </c>
      <c r="L12" s="64">
        <v>24.54</v>
      </c>
      <c r="M12" s="64">
        <v>99.17</v>
      </c>
      <c r="N12" s="64">
        <v>52.4</v>
      </c>
      <c r="O12" s="64">
        <v>0</v>
      </c>
      <c r="P12" s="64">
        <v>0.48</v>
      </c>
      <c r="Q12" s="64">
        <v>9.3800000000000008</v>
      </c>
      <c r="R12" s="198"/>
      <c r="S12" s="198"/>
      <c r="T12" s="198"/>
      <c r="U12" s="198"/>
    </row>
    <row r="13" spans="1:21" s="12" customFormat="1" x14ac:dyDescent="0.25">
      <c r="A13" s="211" t="s">
        <v>1113</v>
      </c>
      <c r="B13" s="64">
        <v>12.48</v>
      </c>
      <c r="C13" s="64">
        <v>19.04</v>
      </c>
      <c r="D13" s="64">
        <v>17.28</v>
      </c>
      <c r="E13" s="64">
        <v>4.92</v>
      </c>
      <c r="F13" s="64">
        <v>3.97</v>
      </c>
      <c r="G13" s="64">
        <v>68.67</v>
      </c>
      <c r="H13" s="64">
        <v>25.57</v>
      </c>
      <c r="I13" s="64">
        <v>4.16</v>
      </c>
      <c r="J13" s="64">
        <v>0.2</v>
      </c>
      <c r="K13" s="64">
        <v>142.12</v>
      </c>
      <c r="L13" s="64">
        <v>24.55</v>
      </c>
      <c r="M13" s="64">
        <v>98.91</v>
      </c>
      <c r="N13" s="64">
        <v>52.4</v>
      </c>
      <c r="O13" s="64">
        <v>0</v>
      </c>
      <c r="P13" s="64">
        <v>0.4</v>
      </c>
      <c r="Q13" s="64">
        <v>9.35</v>
      </c>
      <c r="R13" s="198"/>
      <c r="S13" s="198"/>
      <c r="T13" s="198"/>
      <c r="U13" s="198"/>
    </row>
    <row r="14" spans="1:21" s="12" customFormat="1" x14ac:dyDescent="0.25">
      <c r="A14" s="211" t="s">
        <v>1114</v>
      </c>
      <c r="B14" s="64">
        <v>11.31</v>
      </c>
      <c r="C14" s="64">
        <v>18.27</v>
      </c>
      <c r="D14" s="64">
        <v>17.62</v>
      </c>
      <c r="E14" s="64">
        <v>4.75</v>
      </c>
      <c r="F14" s="64">
        <v>4.9800000000000004</v>
      </c>
      <c r="G14" s="64">
        <v>68.67</v>
      </c>
      <c r="H14" s="64">
        <v>25.57</v>
      </c>
      <c r="I14" s="64">
        <v>3.94</v>
      </c>
      <c r="J14" s="64">
        <v>0.14000000000000001</v>
      </c>
      <c r="K14" s="64">
        <v>180.55</v>
      </c>
      <c r="L14" s="64">
        <v>24.56</v>
      </c>
      <c r="M14" s="64">
        <v>98.94</v>
      </c>
      <c r="N14" s="64">
        <v>52.4</v>
      </c>
      <c r="O14" s="64">
        <v>0</v>
      </c>
      <c r="P14" s="64">
        <v>0.4</v>
      </c>
      <c r="Q14" s="64">
        <v>9.3699999999999992</v>
      </c>
      <c r="R14" s="198"/>
      <c r="S14" s="198"/>
      <c r="T14" s="198"/>
      <c r="U14" s="198"/>
    </row>
    <row r="15" spans="1:21" s="12" customFormat="1" x14ac:dyDescent="0.25">
      <c r="A15" s="211" t="s">
        <v>1115</v>
      </c>
      <c r="B15" s="64">
        <v>12.99</v>
      </c>
      <c r="C15" s="64">
        <v>18.920000000000002</v>
      </c>
      <c r="D15" s="64">
        <v>16.28</v>
      </c>
      <c r="E15" s="64">
        <v>4.45</v>
      </c>
      <c r="F15" s="64">
        <v>4.78</v>
      </c>
      <c r="G15" s="64">
        <v>68.67</v>
      </c>
      <c r="H15" s="64">
        <v>25.57</v>
      </c>
      <c r="I15" s="64">
        <v>3.93</v>
      </c>
      <c r="J15" s="64">
        <v>0.17</v>
      </c>
      <c r="K15" s="64">
        <v>145.6</v>
      </c>
      <c r="L15" s="64">
        <v>24.55</v>
      </c>
      <c r="M15" s="64">
        <v>99.07</v>
      </c>
      <c r="N15" s="64">
        <v>52.4</v>
      </c>
      <c r="O15" s="64">
        <v>0</v>
      </c>
      <c r="P15" s="64">
        <v>0.45</v>
      </c>
      <c r="Q15" s="64">
        <v>9.34</v>
      </c>
      <c r="R15" s="198"/>
      <c r="S15" s="198"/>
      <c r="T15" s="198"/>
      <c r="U15" s="198"/>
    </row>
    <row r="16" spans="1:21" s="12" customFormat="1" x14ac:dyDescent="0.25">
      <c r="A16" s="211" t="s">
        <v>1116</v>
      </c>
      <c r="B16" s="64">
        <v>11.16</v>
      </c>
      <c r="C16" s="64">
        <v>17.899999999999999</v>
      </c>
      <c r="D16" s="64">
        <v>17.12</v>
      </c>
      <c r="E16" s="64">
        <v>4.5199999999999996</v>
      </c>
      <c r="F16" s="64">
        <v>4.29</v>
      </c>
      <c r="G16" s="64">
        <v>67.36</v>
      </c>
      <c r="H16" s="64">
        <v>26.4</v>
      </c>
      <c r="I16" s="64">
        <v>3.97</v>
      </c>
      <c r="J16" s="64">
        <v>0.17</v>
      </c>
      <c r="K16" s="64">
        <v>129.16</v>
      </c>
      <c r="L16" s="64">
        <v>24.54</v>
      </c>
      <c r="M16" s="64">
        <v>99.33</v>
      </c>
      <c r="N16" s="64">
        <v>52.4</v>
      </c>
      <c r="O16" s="64">
        <v>0</v>
      </c>
      <c r="P16" s="64">
        <v>0.37</v>
      </c>
      <c r="Q16" s="64">
        <v>9.33</v>
      </c>
      <c r="R16" s="198"/>
      <c r="S16" s="198"/>
      <c r="T16" s="198"/>
      <c r="U16" s="198"/>
    </row>
    <row r="17" spans="1:21" s="12" customFormat="1" x14ac:dyDescent="0.25">
      <c r="A17" s="211" t="s">
        <v>1117</v>
      </c>
      <c r="B17" s="64">
        <v>12.18</v>
      </c>
      <c r="C17" s="64">
        <v>18.3</v>
      </c>
      <c r="D17" s="64">
        <v>16.34</v>
      </c>
      <c r="E17" s="64">
        <v>4.72</v>
      </c>
      <c r="F17" s="64">
        <v>4.76</v>
      </c>
      <c r="G17" s="64">
        <v>63.75</v>
      </c>
      <c r="H17" s="64">
        <v>28.65</v>
      </c>
      <c r="I17" s="64">
        <v>3.93</v>
      </c>
      <c r="J17" s="64">
        <v>0.3</v>
      </c>
      <c r="K17" s="64">
        <v>131.69</v>
      </c>
      <c r="L17" s="64">
        <v>24.54</v>
      </c>
      <c r="M17" s="64">
        <v>99.2</v>
      </c>
      <c r="N17" s="64">
        <v>52.4</v>
      </c>
      <c r="O17" s="64">
        <v>0</v>
      </c>
      <c r="P17" s="64">
        <v>0.43</v>
      </c>
      <c r="Q17" s="64">
        <v>9.32</v>
      </c>
      <c r="R17" s="198"/>
      <c r="S17" s="198"/>
      <c r="T17" s="198"/>
      <c r="U17" s="198"/>
    </row>
    <row r="18" spans="1:21" s="12" customFormat="1" x14ac:dyDescent="0.25">
      <c r="A18" s="211" t="s">
        <v>1118</v>
      </c>
      <c r="B18" s="64">
        <v>10.92</v>
      </c>
      <c r="C18" s="64">
        <v>17.809999999999999</v>
      </c>
      <c r="D18" s="64">
        <v>17.329999999999998</v>
      </c>
      <c r="E18" s="64">
        <v>4.8099999999999996</v>
      </c>
      <c r="F18" s="64">
        <v>3.98</v>
      </c>
      <c r="G18" s="64">
        <v>63.75</v>
      </c>
      <c r="H18" s="64">
        <v>28.65</v>
      </c>
      <c r="I18" s="64">
        <v>4.1100000000000003</v>
      </c>
      <c r="J18" s="64">
        <v>0.28999999999999998</v>
      </c>
      <c r="K18" s="64">
        <v>138.87</v>
      </c>
      <c r="L18" s="64">
        <v>24.55</v>
      </c>
      <c r="M18" s="64">
        <v>98.56</v>
      </c>
      <c r="N18" s="64">
        <v>52.4</v>
      </c>
      <c r="O18" s="64">
        <v>0</v>
      </c>
      <c r="P18" s="64">
        <v>0.36</v>
      </c>
      <c r="Q18" s="64">
        <v>9.32</v>
      </c>
      <c r="R18" s="198"/>
      <c r="S18" s="198"/>
      <c r="T18" s="198"/>
      <c r="U18" s="198"/>
    </row>
    <row r="19" spans="1:21" s="12" customFormat="1" x14ac:dyDescent="0.25">
      <c r="A19" s="211" t="s">
        <v>1119</v>
      </c>
      <c r="B19" s="64">
        <v>9.27</v>
      </c>
      <c r="C19" s="64">
        <v>16.89</v>
      </c>
      <c r="D19" s="64">
        <v>18.100000000000001</v>
      </c>
      <c r="E19" s="64">
        <v>4.7699999999999996</v>
      </c>
      <c r="F19" s="64">
        <v>7.4</v>
      </c>
      <c r="G19" s="64">
        <v>63.75</v>
      </c>
      <c r="H19" s="64">
        <v>28.65</v>
      </c>
      <c r="I19" s="64">
        <v>4.0199999999999996</v>
      </c>
      <c r="J19" s="64">
        <v>0.56000000000000005</v>
      </c>
      <c r="K19" s="64">
        <v>137.57</v>
      </c>
      <c r="L19" s="64">
        <v>24.56</v>
      </c>
      <c r="M19" s="64">
        <v>97.84</v>
      </c>
      <c r="N19" s="64">
        <v>52.4</v>
      </c>
      <c r="O19" s="64">
        <v>0</v>
      </c>
      <c r="P19" s="64">
        <v>0.31</v>
      </c>
      <c r="Q19" s="64">
        <v>9.32</v>
      </c>
      <c r="R19" s="198"/>
      <c r="S19" s="198"/>
      <c r="T19" s="198"/>
      <c r="U19" s="198"/>
    </row>
    <row r="20" spans="1:21" s="12" customFormat="1" x14ac:dyDescent="0.25">
      <c r="A20" s="211" t="s">
        <v>1120</v>
      </c>
      <c r="B20" s="64">
        <v>8.17</v>
      </c>
      <c r="C20" s="64">
        <v>16.239999999999998</v>
      </c>
      <c r="D20" s="64">
        <v>18.55</v>
      </c>
      <c r="E20" s="64">
        <v>4.62</v>
      </c>
      <c r="F20" s="64">
        <v>8.51</v>
      </c>
      <c r="G20" s="64">
        <v>64.67</v>
      </c>
      <c r="H20" s="64">
        <v>26.64</v>
      </c>
      <c r="I20" s="64">
        <v>3.92</v>
      </c>
      <c r="J20" s="64">
        <v>0.19</v>
      </c>
      <c r="K20" s="64">
        <v>140.34</v>
      </c>
      <c r="L20" s="64">
        <v>24.53</v>
      </c>
      <c r="M20" s="64">
        <v>97.88</v>
      </c>
      <c r="N20" s="64">
        <v>52.4</v>
      </c>
      <c r="O20" s="64">
        <v>0</v>
      </c>
      <c r="P20" s="64">
        <v>0.3</v>
      </c>
      <c r="Q20" s="64">
        <v>9.33</v>
      </c>
      <c r="R20" s="198"/>
      <c r="S20" s="198"/>
      <c r="T20" s="198"/>
      <c r="U20" s="198"/>
    </row>
    <row r="21" spans="1:21" s="12" customFormat="1" x14ac:dyDescent="0.25">
      <c r="A21" s="211" t="s">
        <v>1121</v>
      </c>
      <c r="B21" s="64">
        <v>7.61</v>
      </c>
      <c r="C21" s="64">
        <v>15.74</v>
      </c>
      <c r="D21" s="64">
        <v>18.43</v>
      </c>
      <c r="E21" s="64">
        <v>4.54</v>
      </c>
      <c r="F21" s="64">
        <v>7.36</v>
      </c>
      <c r="G21" s="64">
        <v>67.19</v>
      </c>
      <c r="H21" s="64">
        <v>21.09</v>
      </c>
      <c r="I21" s="64">
        <v>4.0199999999999996</v>
      </c>
      <c r="J21" s="64">
        <v>0.19</v>
      </c>
      <c r="K21" s="64">
        <v>125.83</v>
      </c>
      <c r="L21" s="64">
        <v>24.48</v>
      </c>
      <c r="M21" s="64">
        <v>97.94</v>
      </c>
      <c r="N21" s="64">
        <v>52.4</v>
      </c>
      <c r="O21" s="64">
        <v>0</v>
      </c>
      <c r="P21" s="64">
        <v>0.28000000000000003</v>
      </c>
      <c r="Q21" s="64">
        <v>9.33</v>
      </c>
      <c r="R21" s="198"/>
      <c r="S21" s="198"/>
      <c r="T21" s="198"/>
      <c r="U21" s="198"/>
    </row>
    <row r="22" spans="1:21" s="12" customFormat="1" x14ac:dyDescent="0.25">
      <c r="A22" s="211" t="s">
        <v>1122</v>
      </c>
      <c r="B22" s="64">
        <v>7.96</v>
      </c>
      <c r="C22" s="64">
        <v>15.95</v>
      </c>
      <c r="D22" s="64">
        <v>18.309999999999999</v>
      </c>
      <c r="E22" s="64">
        <v>4.22</v>
      </c>
      <c r="F22" s="64">
        <v>7.25</v>
      </c>
      <c r="G22" s="64">
        <v>67.19</v>
      </c>
      <c r="H22" s="64">
        <v>21.09</v>
      </c>
      <c r="I22" s="64">
        <v>3.93</v>
      </c>
      <c r="J22" s="64">
        <v>0.2</v>
      </c>
      <c r="K22" s="64">
        <v>138.86000000000001</v>
      </c>
      <c r="L22" s="64">
        <v>24.46</v>
      </c>
      <c r="M22" s="64">
        <v>98</v>
      </c>
      <c r="N22" s="64">
        <v>52.4</v>
      </c>
      <c r="O22" s="64">
        <v>0</v>
      </c>
      <c r="P22" s="64">
        <v>0.28999999999999998</v>
      </c>
      <c r="Q22" s="64">
        <v>9.33</v>
      </c>
      <c r="R22" s="198"/>
      <c r="S22" s="198"/>
      <c r="T22" s="198"/>
      <c r="U22" s="198"/>
    </row>
    <row r="23" spans="1:21" s="12" customFormat="1" x14ac:dyDescent="0.25">
      <c r="A23" s="211" t="s">
        <v>1123</v>
      </c>
      <c r="B23" s="64">
        <v>8.24</v>
      </c>
      <c r="C23" s="64">
        <v>16.02</v>
      </c>
      <c r="D23" s="64">
        <v>18.02</v>
      </c>
      <c r="E23" s="64">
        <v>4.84</v>
      </c>
      <c r="F23" s="64">
        <v>7.54</v>
      </c>
      <c r="G23" s="64">
        <v>67.19</v>
      </c>
      <c r="H23" s="64">
        <v>21.09</v>
      </c>
      <c r="I23" s="64">
        <v>4.13</v>
      </c>
      <c r="J23" s="64">
        <v>0.28000000000000003</v>
      </c>
      <c r="K23" s="64">
        <v>129.03</v>
      </c>
      <c r="L23" s="64">
        <v>24.44</v>
      </c>
      <c r="M23" s="64">
        <v>98.07</v>
      </c>
      <c r="N23" s="64">
        <v>52.4</v>
      </c>
      <c r="O23" s="64">
        <v>0</v>
      </c>
      <c r="P23" s="64">
        <v>0.28000000000000003</v>
      </c>
      <c r="Q23" s="64">
        <v>9.34</v>
      </c>
      <c r="R23" s="198"/>
      <c r="S23" s="198"/>
      <c r="T23" s="198"/>
      <c r="U23" s="198"/>
    </row>
    <row r="24" spans="1:21" s="12" customFormat="1" x14ac:dyDescent="0.25">
      <c r="A24" s="211" t="s">
        <v>1124</v>
      </c>
      <c r="B24" s="64">
        <v>7.87</v>
      </c>
      <c r="C24" s="64">
        <v>16.05</v>
      </c>
      <c r="D24" s="64">
        <v>18.64</v>
      </c>
      <c r="E24" s="64">
        <v>4.4400000000000004</v>
      </c>
      <c r="F24" s="64">
        <v>6.39</v>
      </c>
      <c r="G24" s="64">
        <v>61.48</v>
      </c>
      <c r="H24" s="64">
        <v>18.68</v>
      </c>
      <c r="I24" s="64">
        <v>4.1100000000000003</v>
      </c>
      <c r="J24" s="64">
        <v>0.05</v>
      </c>
      <c r="K24" s="64">
        <v>102.65</v>
      </c>
      <c r="L24" s="64">
        <v>24.45</v>
      </c>
      <c r="M24" s="64">
        <v>98.17</v>
      </c>
      <c r="N24" s="64">
        <v>52.4</v>
      </c>
      <c r="O24" s="64">
        <v>0</v>
      </c>
      <c r="P24" s="64">
        <v>0.27</v>
      </c>
      <c r="Q24" s="64">
        <v>9.35</v>
      </c>
      <c r="R24" s="198"/>
      <c r="S24" s="198"/>
      <c r="T24" s="198"/>
      <c r="U24" s="198"/>
    </row>
    <row r="25" spans="1:21" s="12" customFormat="1" x14ac:dyDescent="0.25">
      <c r="A25" s="211" t="s">
        <v>1125</v>
      </c>
      <c r="B25" s="64">
        <v>8.2200000000000006</v>
      </c>
      <c r="C25" s="64">
        <v>16.260000000000002</v>
      </c>
      <c r="D25" s="64">
        <v>18.510000000000002</v>
      </c>
      <c r="E25" s="64">
        <v>4.5999999999999996</v>
      </c>
      <c r="F25" s="64">
        <v>7.32</v>
      </c>
      <c r="G25" s="64">
        <v>45.77</v>
      </c>
      <c r="H25" s="64">
        <v>12.04</v>
      </c>
      <c r="I25" s="64">
        <v>3.88</v>
      </c>
      <c r="J25" s="64">
        <v>0.02</v>
      </c>
      <c r="K25" s="64">
        <v>149.61000000000001</v>
      </c>
      <c r="L25" s="64">
        <v>24.4</v>
      </c>
      <c r="M25" s="64">
        <v>98.16</v>
      </c>
      <c r="N25" s="64">
        <v>52.4</v>
      </c>
      <c r="O25" s="64">
        <v>0</v>
      </c>
      <c r="P25" s="64">
        <v>0.26</v>
      </c>
      <c r="Q25" s="64">
        <v>9.35</v>
      </c>
      <c r="R25" s="198"/>
      <c r="S25" s="198"/>
      <c r="T25" s="198"/>
      <c r="U25" s="198"/>
    </row>
    <row r="26" spans="1:21" s="12" customFormat="1" x14ac:dyDescent="0.25">
      <c r="A26" s="211" t="s">
        <v>1126</v>
      </c>
      <c r="B26" s="64">
        <v>9.3699999999999992</v>
      </c>
      <c r="C26" s="64">
        <v>17.05</v>
      </c>
      <c r="D26" s="64">
        <v>18.25</v>
      </c>
      <c r="E26" s="64">
        <v>4.8099999999999996</v>
      </c>
      <c r="F26" s="64">
        <v>5.75</v>
      </c>
      <c r="G26" s="64">
        <v>45.77</v>
      </c>
      <c r="H26" s="64">
        <v>12.04</v>
      </c>
      <c r="I26" s="64">
        <v>4.04</v>
      </c>
      <c r="J26" s="64">
        <v>0.04</v>
      </c>
      <c r="K26" s="64">
        <v>294.77</v>
      </c>
      <c r="L26" s="64">
        <v>24.38</v>
      </c>
      <c r="M26" s="64">
        <v>98.06</v>
      </c>
      <c r="N26" s="64">
        <v>52.4</v>
      </c>
      <c r="O26" s="64">
        <v>0</v>
      </c>
      <c r="P26" s="64">
        <v>0.3</v>
      </c>
      <c r="Q26" s="64">
        <v>9.36</v>
      </c>
      <c r="R26" s="198"/>
      <c r="S26" s="198"/>
      <c r="T26" s="198"/>
      <c r="U26" s="198"/>
    </row>
    <row r="27" spans="1:21" s="12" customFormat="1" x14ac:dyDescent="0.25">
      <c r="A27" s="211" t="s">
        <v>1127</v>
      </c>
      <c r="B27" s="64">
        <v>12.65</v>
      </c>
      <c r="C27" s="64">
        <v>18.309999999999999</v>
      </c>
      <c r="D27" s="64">
        <v>15.63</v>
      </c>
      <c r="E27" s="64">
        <v>4.6500000000000004</v>
      </c>
      <c r="F27" s="64">
        <v>4.33</v>
      </c>
      <c r="G27" s="64">
        <v>45.77</v>
      </c>
      <c r="H27" s="64">
        <v>12.04</v>
      </c>
      <c r="I27" s="64">
        <v>4.1500000000000004</v>
      </c>
      <c r="J27" s="64">
        <v>0.01</v>
      </c>
      <c r="K27" s="64">
        <v>112.56</v>
      </c>
      <c r="L27" s="64">
        <v>24.47</v>
      </c>
      <c r="M27" s="64">
        <v>98.01</v>
      </c>
      <c r="N27" s="64">
        <v>52.4</v>
      </c>
      <c r="O27" s="64">
        <v>0</v>
      </c>
      <c r="P27" s="64">
        <v>0.38</v>
      </c>
      <c r="Q27" s="64">
        <v>9.34</v>
      </c>
      <c r="R27" s="198"/>
      <c r="S27" s="198"/>
      <c r="T27" s="198"/>
      <c r="U27" s="198"/>
    </row>
    <row r="28" spans="1:21" s="12" customFormat="1" x14ac:dyDescent="0.25">
      <c r="A28" s="211" t="s">
        <v>1128</v>
      </c>
      <c r="B28" s="64">
        <v>11.1</v>
      </c>
      <c r="C28" s="64">
        <v>18.12</v>
      </c>
      <c r="D28" s="64">
        <v>17.649999999999999</v>
      </c>
      <c r="E28" s="64">
        <v>4.74</v>
      </c>
      <c r="F28" s="64">
        <v>4.5599999999999996</v>
      </c>
      <c r="G28" s="64">
        <v>47.53</v>
      </c>
      <c r="H28" s="64">
        <v>12</v>
      </c>
      <c r="I28" s="64">
        <v>4.07</v>
      </c>
      <c r="J28" s="64">
        <v>0.13</v>
      </c>
      <c r="K28" s="64">
        <v>159.58000000000001</v>
      </c>
      <c r="L28" s="64">
        <v>24.52</v>
      </c>
      <c r="M28" s="64">
        <v>97.96</v>
      </c>
      <c r="N28" s="64">
        <v>52.4</v>
      </c>
      <c r="O28" s="64">
        <v>0</v>
      </c>
      <c r="P28" s="64">
        <v>0.28999999999999998</v>
      </c>
      <c r="Q28" s="64">
        <v>9.33</v>
      </c>
      <c r="R28" s="198"/>
      <c r="S28" s="198"/>
      <c r="T28" s="198"/>
      <c r="U28" s="198"/>
    </row>
    <row r="29" spans="1:21" s="12" customFormat="1" x14ac:dyDescent="0.25">
      <c r="A29" s="211" t="s">
        <v>1129</v>
      </c>
      <c r="B29" s="64">
        <v>11.93</v>
      </c>
      <c r="C29" s="64">
        <v>18.71</v>
      </c>
      <c r="D29" s="64">
        <v>17.5</v>
      </c>
      <c r="E29" s="64">
        <v>4.79</v>
      </c>
      <c r="F29" s="64">
        <v>5.0999999999999996</v>
      </c>
      <c r="G29" s="64">
        <v>52.36</v>
      </c>
      <c r="H29" s="64">
        <v>11.89</v>
      </c>
      <c r="I29" s="64">
        <v>3.97</v>
      </c>
      <c r="J29" s="64">
        <v>0.12</v>
      </c>
      <c r="K29" s="64">
        <v>159.53</v>
      </c>
      <c r="L29" s="64">
        <v>24.38</v>
      </c>
      <c r="M29" s="64">
        <v>98.01</v>
      </c>
      <c r="N29" s="64">
        <v>53.6</v>
      </c>
      <c r="O29" s="64">
        <v>0</v>
      </c>
      <c r="P29" s="64">
        <v>0.33</v>
      </c>
      <c r="Q29" s="64">
        <v>9.33</v>
      </c>
      <c r="R29" s="198"/>
      <c r="S29" s="198"/>
      <c r="T29" s="198"/>
      <c r="U29" s="198"/>
    </row>
    <row r="30" spans="1:21" s="12" customFormat="1" x14ac:dyDescent="0.25">
      <c r="A30" s="211" t="s">
        <v>1130</v>
      </c>
      <c r="B30" s="64">
        <v>12.72</v>
      </c>
      <c r="C30" s="64">
        <v>18.37</v>
      </c>
      <c r="D30" s="64">
        <v>15.62</v>
      </c>
      <c r="E30" s="64">
        <v>4.68</v>
      </c>
      <c r="F30" s="64">
        <v>3.99</v>
      </c>
      <c r="G30" s="64">
        <v>52.36</v>
      </c>
      <c r="H30" s="64">
        <v>11.89</v>
      </c>
      <c r="I30" s="64">
        <v>4</v>
      </c>
      <c r="J30" s="64">
        <v>0.05</v>
      </c>
      <c r="K30" s="64">
        <v>258.62</v>
      </c>
      <c r="L30" s="64">
        <v>24.35</v>
      </c>
      <c r="M30" s="64">
        <v>98.06</v>
      </c>
      <c r="N30" s="64">
        <v>57.6</v>
      </c>
      <c r="O30" s="64">
        <v>0</v>
      </c>
      <c r="P30" s="64">
        <v>0.32</v>
      </c>
      <c r="Q30" s="64">
        <v>9.32</v>
      </c>
      <c r="R30" s="198"/>
      <c r="S30" s="198"/>
      <c r="T30" s="198"/>
      <c r="U30" s="198"/>
    </row>
    <row r="31" spans="1:21" s="12" customFormat="1" x14ac:dyDescent="0.25">
      <c r="A31" s="211" t="s">
        <v>1131</v>
      </c>
      <c r="B31" s="64">
        <v>11.42</v>
      </c>
      <c r="C31" s="64">
        <v>17.899999999999999</v>
      </c>
      <c r="D31" s="64">
        <v>16.73</v>
      </c>
      <c r="E31" s="64">
        <v>4.51</v>
      </c>
      <c r="F31" s="64">
        <v>4.33</v>
      </c>
      <c r="G31" s="64">
        <v>52.36</v>
      </c>
      <c r="H31" s="64">
        <v>11.89</v>
      </c>
      <c r="I31" s="64">
        <v>3.9</v>
      </c>
      <c r="J31" s="64">
        <v>0.04</v>
      </c>
      <c r="K31" s="64">
        <v>211.76</v>
      </c>
      <c r="L31" s="64">
        <v>24.35</v>
      </c>
      <c r="M31" s="64">
        <v>98.03</v>
      </c>
      <c r="N31" s="64">
        <v>66.099999999999994</v>
      </c>
      <c r="O31" s="64">
        <v>0</v>
      </c>
      <c r="P31" s="64">
        <v>0.28000000000000003</v>
      </c>
      <c r="Q31" s="64">
        <v>9.32</v>
      </c>
      <c r="R31" s="198"/>
      <c r="S31" s="198"/>
      <c r="T31" s="198"/>
      <c r="U31" s="198"/>
    </row>
    <row r="32" spans="1:21" s="12" customFormat="1" x14ac:dyDescent="0.25">
      <c r="A32" s="211" t="s">
        <v>1132</v>
      </c>
      <c r="B32" s="64">
        <v>13.26</v>
      </c>
      <c r="C32" s="64">
        <v>18.600000000000001</v>
      </c>
      <c r="D32" s="64">
        <v>15.25</v>
      </c>
      <c r="E32" s="64">
        <v>4.72</v>
      </c>
      <c r="F32" s="64">
        <v>3.91</v>
      </c>
      <c r="G32" s="64">
        <v>52.08</v>
      </c>
      <c r="H32" s="64">
        <v>12.4</v>
      </c>
      <c r="I32" s="64">
        <v>3.97</v>
      </c>
      <c r="J32" s="64">
        <v>0.08</v>
      </c>
      <c r="K32" s="64">
        <v>288.98</v>
      </c>
      <c r="L32" s="64">
        <v>24.49</v>
      </c>
      <c r="M32" s="64">
        <v>98.06</v>
      </c>
      <c r="N32" s="64">
        <v>77.599999999999994</v>
      </c>
      <c r="O32" s="64">
        <v>0</v>
      </c>
      <c r="P32" s="64">
        <v>0.34</v>
      </c>
      <c r="Q32" s="64">
        <v>9.32</v>
      </c>
      <c r="R32" s="198"/>
      <c r="S32" s="198"/>
      <c r="T32" s="198"/>
      <c r="U32" s="198"/>
    </row>
    <row r="33" spans="1:21" s="12" customFormat="1" x14ac:dyDescent="0.25">
      <c r="A33" s="211" t="s">
        <v>1133</v>
      </c>
      <c r="B33" s="64">
        <v>12.9</v>
      </c>
      <c r="C33" s="64">
        <v>18.829999999999998</v>
      </c>
      <c r="D33" s="64">
        <v>16.25</v>
      </c>
      <c r="E33" s="64">
        <v>4.78</v>
      </c>
      <c r="F33" s="64">
        <v>3.42</v>
      </c>
      <c r="G33" s="64">
        <v>51.31</v>
      </c>
      <c r="H33" s="64">
        <v>13.82</v>
      </c>
      <c r="I33" s="64">
        <v>4.08</v>
      </c>
      <c r="J33" s="64">
        <v>0.04</v>
      </c>
      <c r="K33" s="64">
        <v>244.95</v>
      </c>
      <c r="L33" s="64">
        <v>24.66</v>
      </c>
      <c r="M33" s="64">
        <v>97.48</v>
      </c>
      <c r="N33" s="64">
        <v>88</v>
      </c>
      <c r="O33" s="64">
        <v>0</v>
      </c>
      <c r="P33" s="64">
        <v>0.31</v>
      </c>
      <c r="Q33" s="64">
        <v>9.32</v>
      </c>
      <c r="R33" s="198"/>
      <c r="S33" s="198"/>
      <c r="T33" s="198"/>
      <c r="U33" s="198"/>
    </row>
    <row r="34" spans="1:21" s="12" customFormat="1" x14ac:dyDescent="0.25">
      <c r="A34" s="211" t="s">
        <v>1134</v>
      </c>
      <c r="B34" s="64">
        <v>15.8</v>
      </c>
      <c r="C34" s="64">
        <v>23.08</v>
      </c>
      <c r="D34" s="64">
        <v>19.920000000000002</v>
      </c>
      <c r="E34" s="64">
        <v>4.47</v>
      </c>
      <c r="F34" s="64">
        <v>4.2300000000000004</v>
      </c>
      <c r="G34" s="64">
        <v>51.31</v>
      </c>
      <c r="H34" s="64">
        <v>13.82</v>
      </c>
      <c r="I34" s="64">
        <v>4.1399999999999997</v>
      </c>
      <c r="J34" s="64">
        <v>0.06</v>
      </c>
      <c r="K34" s="64">
        <v>279.25</v>
      </c>
      <c r="L34" s="64">
        <v>24.9</v>
      </c>
      <c r="M34" s="64">
        <v>95.97</v>
      </c>
      <c r="N34" s="64">
        <v>98.7</v>
      </c>
      <c r="O34" s="64">
        <v>0</v>
      </c>
      <c r="P34" s="64">
        <v>0.33</v>
      </c>
      <c r="Q34" s="64">
        <v>9.32</v>
      </c>
      <c r="R34" s="198"/>
      <c r="S34" s="198"/>
      <c r="T34" s="198"/>
      <c r="U34" s="198"/>
    </row>
    <row r="35" spans="1:21" s="12" customFormat="1" x14ac:dyDescent="0.25">
      <c r="A35" s="211" t="s">
        <v>1135</v>
      </c>
      <c r="B35" s="64">
        <v>14.26</v>
      </c>
      <c r="C35" s="64">
        <v>19.91</v>
      </c>
      <c r="D35" s="64">
        <v>16.21</v>
      </c>
      <c r="E35" s="64">
        <v>4.76</v>
      </c>
      <c r="F35" s="64">
        <v>4.26</v>
      </c>
      <c r="G35" s="64">
        <v>51.31</v>
      </c>
      <c r="H35" s="64">
        <v>13.82</v>
      </c>
      <c r="I35" s="64">
        <v>4.01</v>
      </c>
      <c r="J35" s="64">
        <v>7.0000000000000007E-2</v>
      </c>
      <c r="K35" s="64">
        <v>246.01</v>
      </c>
      <c r="L35" s="64">
        <v>25.09</v>
      </c>
      <c r="M35" s="64">
        <v>94.61</v>
      </c>
      <c r="N35" s="64">
        <v>107.1</v>
      </c>
      <c r="O35" s="64">
        <v>0</v>
      </c>
      <c r="P35" s="64">
        <v>0.33</v>
      </c>
      <c r="Q35" s="64">
        <v>9.31</v>
      </c>
      <c r="R35" s="198"/>
      <c r="S35" s="198"/>
      <c r="T35" s="198"/>
      <c r="U35" s="198"/>
    </row>
    <row r="36" spans="1:21" s="12" customFormat="1" x14ac:dyDescent="0.25">
      <c r="A36" s="211" t="s">
        <v>1136</v>
      </c>
      <c r="B36" s="64">
        <v>12.99</v>
      </c>
      <c r="C36" s="64">
        <v>19.739999999999998</v>
      </c>
      <c r="D36" s="64">
        <v>17.850000000000001</v>
      </c>
      <c r="E36" s="64">
        <v>4.67</v>
      </c>
      <c r="F36" s="64">
        <v>5.33</v>
      </c>
      <c r="G36" s="64">
        <v>51.42</v>
      </c>
      <c r="H36" s="64">
        <v>13.01</v>
      </c>
      <c r="I36" s="64">
        <v>3.98</v>
      </c>
      <c r="J36" s="64">
        <v>7.0000000000000007E-2</v>
      </c>
      <c r="K36" s="64">
        <v>236.81</v>
      </c>
      <c r="L36" s="64">
        <v>25.53</v>
      </c>
      <c r="M36" s="64">
        <v>92.75</v>
      </c>
      <c r="N36" s="64">
        <v>207.6</v>
      </c>
      <c r="O36" s="64">
        <v>0</v>
      </c>
      <c r="P36" s="64">
        <v>0.3</v>
      </c>
      <c r="Q36" s="64">
        <v>9.31</v>
      </c>
      <c r="R36" s="198"/>
      <c r="S36" s="198"/>
      <c r="T36" s="198"/>
      <c r="U36" s="198"/>
    </row>
    <row r="37" spans="1:21" s="12" customFormat="1" x14ac:dyDescent="0.25">
      <c r="A37" s="211" t="s">
        <v>1137</v>
      </c>
      <c r="B37" s="64">
        <v>13.11</v>
      </c>
      <c r="C37" s="64">
        <v>21.53</v>
      </c>
      <c r="D37" s="64">
        <v>21.09</v>
      </c>
      <c r="E37" s="64">
        <v>4.79</v>
      </c>
      <c r="F37" s="64">
        <v>6.52</v>
      </c>
      <c r="G37" s="64">
        <v>51.74</v>
      </c>
      <c r="H37" s="64">
        <v>10.8</v>
      </c>
      <c r="I37" s="64">
        <v>3.91</v>
      </c>
      <c r="J37" s="64">
        <v>0.1</v>
      </c>
      <c r="K37" s="64">
        <v>255.52</v>
      </c>
      <c r="L37" s="64">
        <v>26.91</v>
      </c>
      <c r="M37" s="64">
        <v>85.6</v>
      </c>
      <c r="N37" s="64">
        <v>353.7</v>
      </c>
      <c r="O37" s="64">
        <v>0</v>
      </c>
      <c r="P37" s="64">
        <v>0.26</v>
      </c>
      <c r="Q37" s="64">
        <v>9.34</v>
      </c>
      <c r="R37" s="198"/>
      <c r="S37" s="198"/>
      <c r="T37" s="198"/>
      <c r="U37" s="198"/>
    </row>
    <row r="38" spans="1:21" s="12" customFormat="1" x14ac:dyDescent="0.25">
      <c r="A38" s="211" t="s">
        <v>1138</v>
      </c>
      <c r="B38" s="64">
        <v>13.03</v>
      </c>
      <c r="C38" s="64">
        <v>21.88</v>
      </c>
      <c r="D38" s="64">
        <v>21.88</v>
      </c>
      <c r="E38" s="64">
        <v>4.49</v>
      </c>
      <c r="F38" s="64">
        <v>5.5</v>
      </c>
      <c r="G38" s="64">
        <v>51.74</v>
      </c>
      <c r="H38" s="64">
        <v>10.8</v>
      </c>
      <c r="I38" s="64">
        <v>3.9</v>
      </c>
      <c r="J38" s="64">
        <v>0.13</v>
      </c>
      <c r="K38" s="64">
        <v>288.39999999999998</v>
      </c>
      <c r="L38" s="64">
        <v>27.82</v>
      </c>
      <c r="M38" s="64">
        <v>80.23</v>
      </c>
      <c r="N38" s="64">
        <v>296</v>
      </c>
      <c r="O38" s="64">
        <v>0</v>
      </c>
      <c r="P38" s="64">
        <v>0.28000000000000003</v>
      </c>
      <c r="Q38" s="64">
        <v>9.36</v>
      </c>
      <c r="R38" s="198"/>
      <c r="S38" s="198"/>
      <c r="T38" s="198"/>
      <c r="U38" s="198"/>
    </row>
    <row r="39" spans="1:21" s="12" customFormat="1" x14ac:dyDescent="0.25">
      <c r="A39" s="211" t="s">
        <v>1139</v>
      </c>
      <c r="B39" s="64">
        <v>12.72</v>
      </c>
      <c r="C39" s="64">
        <v>21.01</v>
      </c>
      <c r="D39" s="64">
        <v>20.68</v>
      </c>
      <c r="E39" s="64">
        <v>4.1100000000000003</v>
      </c>
      <c r="F39" s="64">
        <v>5.24</v>
      </c>
      <c r="G39" s="64">
        <v>51.74</v>
      </c>
      <c r="H39" s="64">
        <v>10.8</v>
      </c>
      <c r="I39" s="64">
        <v>4.07</v>
      </c>
      <c r="J39" s="64">
        <v>0.19</v>
      </c>
      <c r="K39" s="64">
        <v>287.58999999999997</v>
      </c>
      <c r="L39" s="64">
        <v>27.81</v>
      </c>
      <c r="M39" s="64">
        <v>79.31</v>
      </c>
      <c r="N39" s="64">
        <v>471.8</v>
      </c>
      <c r="O39" s="64">
        <v>0</v>
      </c>
      <c r="P39" s="64">
        <v>0.28999999999999998</v>
      </c>
      <c r="Q39" s="64">
        <v>9.35</v>
      </c>
      <c r="R39" s="198"/>
      <c r="S39" s="198"/>
      <c r="T39" s="198"/>
      <c r="U39" s="198"/>
    </row>
    <row r="40" spans="1:21" s="12" customFormat="1" x14ac:dyDescent="0.25">
      <c r="A40" s="211" t="s">
        <v>1140</v>
      </c>
      <c r="B40" s="64">
        <v>12.42</v>
      </c>
      <c r="C40" s="64">
        <v>19.510000000000002</v>
      </c>
      <c r="D40" s="64">
        <v>18.28</v>
      </c>
      <c r="E40" s="64">
        <v>5.68</v>
      </c>
      <c r="F40" s="64">
        <v>4.13</v>
      </c>
      <c r="G40" s="64">
        <v>51.95</v>
      </c>
      <c r="H40" s="64">
        <v>9.98</v>
      </c>
      <c r="I40" s="64">
        <v>4</v>
      </c>
      <c r="J40" s="64">
        <v>0.3</v>
      </c>
      <c r="K40" s="64">
        <v>291.07</v>
      </c>
      <c r="L40" s="64">
        <v>28.2</v>
      </c>
      <c r="M40" s="64">
        <v>77.099999999999994</v>
      </c>
      <c r="N40" s="64">
        <v>490</v>
      </c>
      <c r="O40" s="64">
        <v>0</v>
      </c>
      <c r="P40" s="64">
        <v>0.3</v>
      </c>
      <c r="Q40" s="64">
        <v>9.33</v>
      </c>
      <c r="R40" s="198"/>
      <c r="S40" s="198"/>
      <c r="T40" s="198"/>
      <c r="U40" s="198"/>
    </row>
    <row r="41" spans="1:21" s="12" customFormat="1" x14ac:dyDescent="0.25">
      <c r="A41" s="211" t="s">
        <v>1141</v>
      </c>
      <c r="B41" s="64">
        <v>11.53</v>
      </c>
      <c r="C41" s="64">
        <v>19.16</v>
      </c>
      <c r="D41" s="64">
        <v>18.98</v>
      </c>
      <c r="E41" s="64">
        <v>5.82</v>
      </c>
      <c r="F41" s="64">
        <v>4.09</v>
      </c>
      <c r="G41" s="64">
        <v>52.53</v>
      </c>
      <c r="H41" s="64">
        <v>7.73</v>
      </c>
      <c r="I41" s="64">
        <v>4.01</v>
      </c>
      <c r="J41" s="64">
        <v>0.33</v>
      </c>
      <c r="K41" s="64">
        <v>296.91000000000003</v>
      </c>
      <c r="L41" s="64">
        <v>29.27</v>
      </c>
      <c r="M41" s="64">
        <v>72.03</v>
      </c>
      <c r="N41" s="64">
        <v>420.2</v>
      </c>
      <c r="O41" s="64">
        <v>0</v>
      </c>
      <c r="P41" s="64">
        <v>0.3</v>
      </c>
      <c r="Q41" s="64">
        <v>9.3000000000000007</v>
      </c>
      <c r="R41" s="198"/>
      <c r="S41" s="198"/>
      <c r="T41" s="198"/>
      <c r="U41" s="198"/>
    </row>
    <row r="42" spans="1:21" s="12" customFormat="1" x14ac:dyDescent="0.25">
      <c r="A42" s="211" t="s">
        <v>1142</v>
      </c>
      <c r="B42" s="64">
        <v>10.54</v>
      </c>
      <c r="C42" s="64">
        <v>19.04</v>
      </c>
      <c r="D42" s="64">
        <v>20.260000000000002</v>
      </c>
      <c r="E42" s="64">
        <v>6.09</v>
      </c>
      <c r="F42" s="64">
        <v>3.74</v>
      </c>
      <c r="G42" s="64">
        <v>52.53</v>
      </c>
      <c r="H42" s="64">
        <v>7.73</v>
      </c>
      <c r="I42" s="64">
        <v>3.91</v>
      </c>
      <c r="J42" s="64">
        <v>0.35</v>
      </c>
      <c r="K42" s="64">
        <v>286.02999999999997</v>
      </c>
      <c r="L42" s="64">
        <v>28.84</v>
      </c>
      <c r="M42" s="64">
        <v>73.430000000000007</v>
      </c>
      <c r="N42" s="64">
        <v>416.3</v>
      </c>
      <c r="O42" s="64">
        <v>0</v>
      </c>
      <c r="P42" s="64">
        <v>0.31</v>
      </c>
      <c r="Q42" s="64">
        <v>9.2799999999999994</v>
      </c>
      <c r="R42" s="198"/>
      <c r="S42" s="198"/>
      <c r="T42" s="198"/>
      <c r="U42" s="198"/>
    </row>
    <row r="43" spans="1:21" s="12" customFormat="1" x14ac:dyDescent="0.25">
      <c r="A43" s="211" t="s">
        <v>1143</v>
      </c>
      <c r="B43" s="64">
        <v>9.68</v>
      </c>
      <c r="C43" s="64">
        <v>19.010000000000002</v>
      </c>
      <c r="D43" s="64">
        <v>21.53</v>
      </c>
      <c r="E43" s="64">
        <v>6.01</v>
      </c>
      <c r="F43" s="64">
        <v>3.71</v>
      </c>
      <c r="G43" s="64">
        <v>52.53</v>
      </c>
      <c r="H43" s="64">
        <v>7.73</v>
      </c>
      <c r="I43" s="64">
        <v>4.03</v>
      </c>
      <c r="J43" s="64">
        <v>0.47</v>
      </c>
      <c r="K43" s="64">
        <v>294.58</v>
      </c>
      <c r="L43" s="64">
        <v>29.8</v>
      </c>
      <c r="M43" s="64">
        <v>69.430000000000007</v>
      </c>
      <c r="N43" s="64">
        <v>386.8</v>
      </c>
      <c r="O43" s="64">
        <v>0</v>
      </c>
      <c r="P43" s="64">
        <v>0.33</v>
      </c>
      <c r="Q43" s="64">
        <v>9.26</v>
      </c>
      <c r="R43" s="198"/>
      <c r="S43" s="198"/>
      <c r="T43" s="198"/>
      <c r="U43" s="198"/>
    </row>
    <row r="44" spans="1:21" s="12" customFormat="1" x14ac:dyDescent="0.25">
      <c r="A44" s="211" t="s">
        <v>1144</v>
      </c>
      <c r="B44" s="64">
        <v>9.26</v>
      </c>
      <c r="C44" s="64">
        <v>18.809999999999999</v>
      </c>
      <c r="D44" s="64">
        <v>21.8</v>
      </c>
      <c r="E44" s="64">
        <v>6.07</v>
      </c>
      <c r="F44" s="64">
        <v>4.41</v>
      </c>
      <c r="G44" s="64">
        <v>54.61</v>
      </c>
      <c r="H44" s="64">
        <v>8.75</v>
      </c>
      <c r="I44" s="64">
        <v>3.99</v>
      </c>
      <c r="J44" s="64">
        <v>0.38</v>
      </c>
      <c r="K44" s="64">
        <v>289.31</v>
      </c>
      <c r="L44" s="64">
        <v>29.98</v>
      </c>
      <c r="M44" s="64">
        <v>68.3</v>
      </c>
      <c r="N44" s="64">
        <v>363.2</v>
      </c>
      <c r="O44" s="64">
        <v>0</v>
      </c>
      <c r="P44" s="64">
        <v>0.36</v>
      </c>
      <c r="Q44" s="64">
        <v>9.25</v>
      </c>
      <c r="R44" s="198"/>
      <c r="S44" s="198"/>
      <c r="T44" s="198"/>
      <c r="U44" s="198"/>
    </row>
    <row r="45" spans="1:21" s="12" customFormat="1" x14ac:dyDescent="0.25">
      <c r="A45" s="211" t="s">
        <v>1145</v>
      </c>
      <c r="B45" s="64">
        <v>9.16</v>
      </c>
      <c r="C45" s="64">
        <v>18.88</v>
      </c>
      <c r="D45" s="64">
        <v>22.07</v>
      </c>
      <c r="E45" s="64">
        <v>6.1</v>
      </c>
      <c r="F45" s="64">
        <v>3.58</v>
      </c>
      <c r="G45" s="64">
        <v>60.34</v>
      </c>
      <c r="H45" s="64">
        <v>11.54</v>
      </c>
      <c r="I45" s="64">
        <v>4.1900000000000004</v>
      </c>
      <c r="J45" s="64">
        <v>0.46</v>
      </c>
      <c r="K45" s="64">
        <v>292.74</v>
      </c>
      <c r="L45" s="64">
        <v>29.92</v>
      </c>
      <c r="M45" s="64">
        <v>68.260000000000005</v>
      </c>
      <c r="N45" s="64">
        <v>349.5</v>
      </c>
      <c r="O45" s="64">
        <v>0</v>
      </c>
      <c r="P45" s="64">
        <v>0.4</v>
      </c>
      <c r="Q45" s="64">
        <v>9.2200000000000006</v>
      </c>
      <c r="R45" s="198"/>
      <c r="S45" s="198"/>
      <c r="T45" s="198"/>
      <c r="U45" s="198"/>
    </row>
    <row r="46" spans="1:21" s="12" customFormat="1" x14ac:dyDescent="0.25">
      <c r="A46" s="211" t="s">
        <v>1146</v>
      </c>
      <c r="B46" s="64">
        <v>8.9700000000000006</v>
      </c>
      <c r="C46" s="64">
        <v>18.579999999999998</v>
      </c>
      <c r="D46" s="64">
        <v>21.79</v>
      </c>
      <c r="E46" s="64">
        <v>5.97</v>
      </c>
      <c r="F46" s="64">
        <v>3.22</v>
      </c>
      <c r="G46" s="64">
        <v>60.34</v>
      </c>
      <c r="H46" s="64">
        <v>11.54</v>
      </c>
      <c r="I46" s="64">
        <v>3.83</v>
      </c>
      <c r="J46" s="64">
        <v>0.52</v>
      </c>
      <c r="K46" s="64">
        <v>294.08</v>
      </c>
      <c r="L46" s="64">
        <v>30.27</v>
      </c>
      <c r="M46" s="64">
        <v>67.02</v>
      </c>
      <c r="N46" s="64">
        <v>432.6</v>
      </c>
      <c r="O46" s="64">
        <v>0</v>
      </c>
      <c r="P46" s="64">
        <v>0.39</v>
      </c>
      <c r="Q46" s="64">
        <v>9.2200000000000006</v>
      </c>
      <c r="R46" s="198"/>
      <c r="S46" s="198"/>
      <c r="T46" s="198"/>
      <c r="U46" s="198"/>
    </row>
    <row r="47" spans="1:21" s="12" customFormat="1" x14ac:dyDescent="0.25">
      <c r="A47" s="211" t="s">
        <v>1147</v>
      </c>
      <c r="B47" s="64">
        <v>8.7899999999999991</v>
      </c>
      <c r="C47" s="64">
        <v>18.18</v>
      </c>
      <c r="D47" s="64">
        <v>21.3</v>
      </c>
      <c r="E47" s="64">
        <v>6.19</v>
      </c>
      <c r="F47" s="64">
        <v>4.59</v>
      </c>
      <c r="G47" s="64">
        <v>60.34</v>
      </c>
      <c r="H47" s="64">
        <v>11.54</v>
      </c>
      <c r="I47" s="64">
        <v>4.0199999999999996</v>
      </c>
      <c r="J47" s="64">
        <v>0.56000000000000005</v>
      </c>
      <c r="K47" s="64">
        <v>302.02999999999997</v>
      </c>
      <c r="L47" s="64">
        <v>31.65</v>
      </c>
      <c r="M47" s="64">
        <v>63.28</v>
      </c>
      <c r="N47" s="64">
        <v>614.1</v>
      </c>
      <c r="O47" s="64">
        <v>0</v>
      </c>
      <c r="P47" s="64">
        <v>0.4</v>
      </c>
      <c r="Q47" s="64">
        <v>9.1999999999999993</v>
      </c>
      <c r="R47" s="198"/>
      <c r="S47" s="198"/>
      <c r="T47" s="198"/>
      <c r="U47" s="198"/>
    </row>
    <row r="48" spans="1:21" s="12" customFormat="1" x14ac:dyDescent="0.25">
      <c r="A48" s="211" t="s">
        <v>1148</v>
      </c>
      <c r="B48" s="64">
        <v>8.14</v>
      </c>
      <c r="C48" s="64">
        <v>17.77</v>
      </c>
      <c r="D48" s="64">
        <v>21.51</v>
      </c>
      <c r="E48" s="64">
        <v>5.74</v>
      </c>
      <c r="F48" s="64">
        <v>4.37</v>
      </c>
      <c r="G48" s="64">
        <v>61.88</v>
      </c>
      <c r="H48" s="64">
        <v>12.57</v>
      </c>
      <c r="I48" s="64">
        <v>4.0199999999999996</v>
      </c>
      <c r="J48" s="64">
        <v>0.59</v>
      </c>
      <c r="K48" s="64">
        <v>297.52</v>
      </c>
      <c r="L48" s="64">
        <v>33.07</v>
      </c>
      <c r="M48" s="64">
        <v>58.28</v>
      </c>
      <c r="N48" s="64">
        <v>680</v>
      </c>
      <c r="O48" s="64">
        <v>0</v>
      </c>
      <c r="P48" s="64">
        <v>0.42</v>
      </c>
      <c r="Q48" s="64">
        <v>9.18</v>
      </c>
      <c r="R48" s="198"/>
      <c r="S48" s="198"/>
      <c r="T48" s="198"/>
      <c r="U48" s="198"/>
    </row>
    <row r="49" spans="1:21" s="12" customFormat="1" x14ac:dyDescent="0.25">
      <c r="A49" s="211" t="s">
        <v>1149</v>
      </c>
      <c r="B49" s="64">
        <v>8.2799999999999994</v>
      </c>
      <c r="C49" s="64">
        <v>17.41</v>
      </c>
      <c r="D49" s="64">
        <v>20.6</v>
      </c>
      <c r="E49" s="64">
        <v>5.93</v>
      </c>
      <c r="F49" s="64">
        <v>4.6399999999999997</v>
      </c>
      <c r="G49" s="64">
        <v>66.12</v>
      </c>
      <c r="H49" s="64">
        <v>15.41</v>
      </c>
      <c r="I49" s="64">
        <v>4.1500000000000004</v>
      </c>
      <c r="J49" s="64">
        <v>0.51</v>
      </c>
      <c r="K49" s="64">
        <v>292.69</v>
      </c>
      <c r="L49" s="64">
        <v>33.130000000000003</v>
      </c>
      <c r="M49" s="64">
        <v>57.33</v>
      </c>
      <c r="N49" s="64">
        <v>520.70000000000005</v>
      </c>
      <c r="O49" s="64">
        <v>0</v>
      </c>
      <c r="P49" s="64">
        <v>0.43</v>
      </c>
      <c r="Q49" s="64">
        <v>9.17</v>
      </c>
      <c r="R49" s="198"/>
      <c r="S49" s="198"/>
      <c r="T49" s="198"/>
      <c r="U49" s="198"/>
    </row>
    <row r="50" spans="1:21" s="12" customFormat="1" x14ac:dyDescent="0.25">
      <c r="A50" s="211" t="s">
        <v>1150</v>
      </c>
      <c r="B50" s="64">
        <v>7.94</v>
      </c>
      <c r="C50" s="64">
        <v>20.239999999999998</v>
      </c>
      <c r="D50" s="64">
        <v>26.55</v>
      </c>
      <c r="E50" s="64">
        <v>5.9</v>
      </c>
      <c r="F50" s="64">
        <v>6.08</v>
      </c>
      <c r="G50" s="64">
        <v>66.12</v>
      </c>
      <c r="H50" s="64">
        <v>15.41</v>
      </c>
      <c r="I50" s="64">
        <v>3.88</v>
      </c>
      <c r="J50" s="64">
        <v>0.48</v>
      </c>
      <c r="K50" s="64">
        <v>299.29000000000002</v>
      </c>
      <c r="L50" s="64">
        <v>32.06</v>
      </c>
      <c r="M50" s="64">
        <v>61.88</v>
      </c>
      <c r="N50" s="64">
        <v>687.7</v>
      </c>
      <c r="O50" s="64">
        <v>0</v>
      </c>
      <c r="P50" s="64">
        <v>0.46</v>
      </c>
      <c r="Q50" s="64">
        <v>9.14</v>
      </c>
      <c r="R50" s="198"/>
      <c r="S50" s="198"/>
      <c r="T50" s="198"/>
      <c r="U50" s="198"/>
    </row>
    <row r="51" spans="1:21" s="12" customFormat="1" x14ac:dyDescent="0.25">
      <c r="A51" s="211" t="s">
        <v>1151</v>
      </c>
      <c r="B51" s="64">
        <v>6.83</v>
      </c>
      <c r="C51" s="64">
        <v>17.95</v>
      </c>
      <c r="D51" s="64">
        <v>23.87</v>
      </c>
      <c r="E51" s="64">
        <v>5.82</v>
      </c>
      <c r="F51" s="64">
        <v>3.59</v>
      </c>
      <c r="G51" s="64">
        <v>66.12</v>
      </c>
      <c r="H51" s="64">
        <v>15.41</v>
      </c>
      <c r="I51" s="64">
        <v>4.04</v>
      </c>
      <c r="J51" s="64">
        <v>0.33</v>
      </c>
      <c r="K51" s="64">
        <v>287.79000000000002</v>
      </c>
      <c r="L51" s="64">
        <v>32.31</v>
      </c>
      <c r="M51" s="64">
        <v>58.88</v>
      </c>
      <c r="N51" s="64">
        <v>676.5</v>
      </c>
      <c r="O51" s="64">
        <v>0</v>
      </c>
      <c r="P51" s="64">
        <v>0.48</v>
      </c>
      <c r="Q51" s="64">
        <v>9.1199999999999992</v>
      </c>
      <c r="R51" s="198"/>
      <c r="S51" s="198"/>
      <c r="T51" s="198"/>
      <c r="U51" s="198"/>
    </row>
    <row r="52" spans="1:21" s="12" customFormat="1" x14ac:dyDescent="0.25">
      <c r="A52" s="211" t="s">
        <v>1152</v>
      </c>
      <c r="B52" s="64">
        <v>6.15</v>
      </c>
      <c r="C52" s="64">
        <v>16.84</v>
      </c>
      <c r="D52" s="64">
        <v>22.8</v>
      </c>
      <c r="E52" s="64">
        <v>6.01</v>
      </c>
      <c r="F52" s="64">
        <v>4.21</v>
      </c>
      <c r="G52" s="64">
        <v>67.53</v>
      </c>
      <c r="H52" s="64">
        <v>16.440000000000001</v>
      </c>
      <c r="I52" s="64">
        <v>4.17</v>
      </c>
      <c r="J52" s="64">
        <v>0.37</v>
      </c>
      <c r="K52" s="64">
        <v>289.10000000000002</v>
      </c>
      <c r="L52" s="64">
        <v>32.25</v>
      </c>
      <c r="M52" s="64">
        <v>58.41</v>
      </c>
      <c r="N52" s="64">
        <v>822.6</v>
      </c>
      <c r="O52" s="64">
        <v>0</v>
      </c>
      <c r="P52" s="64">
        <v>0.49</v>
      </c>
      <c r="Q52" s="64">
        <v>9.1199999999999992</v>
      </c>
      <c r="R52" s="198"/>
      <c r="S52" s="198"/>
      <c r="T52" s="198"/>
      <c r="U52" s="198"/>
    </row>
    <row r="53" spans="1:21" s="12" customFormat="1" x14ac:dyDescent="0.25">
      <c r="A53" s="211" t="s">
        <v>1153</v>
      </c>
      <c r="B53" s="64">
        <v>5.34</v>
      </c>
      <c r="C53" s="64">
        <v>16.260000000000002</v>
      </c>
      <c r="D53" s="64">
        <v>22.92</v>
      </c>
      <c r="E53" s="64">
        <v>5.57</v>
      </c>
      <c r="F53" s="64">
        <v>5.33</v>
      </c>
      <c r="G53" s="64">
        <v>71.42</v>
      </c>
      <c r="H53" s="64">
        <v>19.3</v>
      </c>
      <c r="I53" s="64">
        <v>4.08</v>
      </c>
      <c r="J53" s="64">
        <v>0.38</v>
      </c>
      <c r="K53" s="64">
        <v>294.25</v>
      </c>
      <c r="L53" s="64">
        <v>32.76</v>
      </c>
      <c r="M53" s="64">
        <v>55.1</v>
      </c>
      <c r="N53" s="64">
        <v>681.3</v>
      </c>
      <c r="O53" s="64">
        <v>0</v>
      </c>
      <c r="P53" s="64">
        <v>0.5</v>
      </c>
      <c r="Q53" s="64">
        <v>9.1</v>
      </c>
      <c r="R53" s="198"/>
      <c r="S53" s="198"/>
      <c r="T53" s="198"/>
      <c r="U53" s="198"/>
    </row>
    <row r="54" spans="1:21" s="12" customFormat="1" x14ac:dyDescent="0.25">
      <c r="A54" s="211" t="s">
        <v>1154</v>
      </c>
      <c r="B54" s="64">
        <v>5.17</v>
      </c>
      <c r="C54" s="64">
        <v>17.22</v>
      </c>
      <c r="D54" s="64">
        <v>25.02</v>
      </c>
      <c r="E54" s="64">
        <v>5.92</v>
      </c>
      <c r="F54" s="64">
        <v>5.03</v>
      </c>
      <c r="G54" s="64">
        <v>71.42</v>
      </c>
      <c r="H54" s="64">
        <v>19.3</v>
      </c>
      <c r="I54" s="64">
        <v>3.87</v>
      </c>
      <c r="J54" s="64">
        <v>0.31</v>
      </c>
      <c r="K54" s="64">
        <v>289.56</v>
      </c>
      <c r="L54" s="64">
        <v>32.6</v>
      </c>
      <c r="M54" s="64">
        <v>52.54</v>
      </c>
      <c r="N54" s="64">
        <v>768.6</v>
      </c>
      <c r="O54" s="64">
        <v>0</v>
      </c>
      <c r="P54" s="64">
        <v>0.52</v>
      </c>
      <c r="Q54" s="64">
        <v>9.09</v>
      </c>
      <c r="R54" s="198"/>
      <c r="S54" s="198"/>
      <c r="T54" s="198"/>
      <c r="U54" s="198"/>
    </row>
    <row r="55" spans="1:21" s="12" customFormat="1" x14ac:dyDescent="0.25">
      <c r="A55" s="211" t="s">
        <v>1155</v>
      </c>
      <c r="B55" s="64">
        <v>4.96</v>
      </c>
      <c r="C55" s="64">
        <v>17.12</v>
      </c>
      <c r="D55" s="64">
        <v>25.15</v>
      </c>
      <c r="E55" s="64">
        <v>5.94</v>
      </c>
      <c r="F55" s="64">
        <v>5.31</v>
      </c>
      <c r="G55" s="64">
        <v>71.42</v>
      </c>
      <c r="H55" s="64">
        <v>19.3</v>
      </c>
      <c r="I55" s="64">
        <v>3.99</v>
      </c>
      <c r="J55" s="64">
        <v>0.61</v>
      </c>
      <c r="K55" s="64">
        <v>294.60000000000002</v>
      </c>
      <c r="L55" s="64">
        <v>32.880000000000003</v>
      </c>
      <c r="M55" s="64">
        <v>50.95</v>
      </c>
      <c r="N55" s="64">
        <v>880.7</v>
      </c>
      <c r="O55" s="64">
        <v>0</v>
      </c>
      <c r="P55" s="64">
        <v>0.51</v>
      </c>
      <c r="Q55" s="64">
        <v>9.1</v>
      </c>
      <c r="R55" s="198"/>
      <c r="S55" s="198"/>
      <c r="T55" s="198"/>
      <c r="U55" s="198"/>
    </row>
    <row r="56" spans="1:21" s="12" customFormat="1" x14ac:dyDescent="0.25">
      <c r="A56" s="211" t="s">
        <v>1156</v>
      </c>
      <c r="B56" s="64">
        <v>4.51</v>
      </c>
      <c r="C56" s="64">
        <v>16.420000000000002</v>
      </c>
      <c r="D56" s="64">
        <v>24.5</v>
      </c>
      <c r="E56" s="64">
        <v>5.68</v>
      </c>
      <c r="F56" s="64">
        <v>5.66</v>
      </c>
      <c r="G56" s="64">
        <v>72.510000000000005</v>
      </c>
      <c r="H56" s="64">
        <v>17.89</v>
      </c>
      <c r="I56" s="64">
        <v>3.94</v>
      </c>
      <c r="J56" s="64">
        <v>0.46</v>
      </c>
      <c r="K56" s="64">
        <v>299.36</v>
      </c>
      <c r="L56" s="64">
        <v>33.25</v>
      </c>
      <c r="M56" s="64">
        <v>50.08</v>
      </c>
      <c r="N56" s="64">
        <v>759.8</v>
      </c>
      <c r="O56" s="64">
        <v>0</v>
      </c>
      <c r="P56" s="64">
        <v>0.51</v>
      </c>
      <c r="Q56" s="64">
        <v>9.1</v>
      </c>
      <c r="R56" s="198"/>
      <c r="S56" s="198"/>
      <c r="T56" s="198"/>
      <c r="U56" s="198"/>
    </row>
    <row r="57" spans="1:21" s="12" customFormat="1" x14ac:dyDescent="0.25">
      <c r="A57" s="211" t="s">
        <v>1157</v>
      </c>
      <c r="B57" s="64">
        <v>4.5999999999999996</v>
      </c>
      <c r="C57" s="64">
        <v>17.11</v>
      </c>
      <c r="D57" s="64">
        <v>25.69</v>
      </c>
      <c r="E57" s="64">
        <v>5.97</v>
      </c>
      <c r="F57" s="64">
        <v>5.15</v>
      </c>
      <c r="G57" s="64">
        <v>75.53</v>
      </c>
      <c r="H57" s="64">
        <v>14.03</v>
      </c>
      <c r="I57" s="64">
        <v>4.1100000000000003</v>
      </c>
      <c r="J57" s="64">
        <v>0.48</v>
      </c>
      <c r="K57" s="64">
        <v>293.51</v>
      </c>
      <c r="L57" s="64">
        <v>32.65</v>
      </c>
      <c r="M57" s="64">
        <v>49.86</v>
      </c>
      <c r="N57" s="64">
        <v>744.4</v>
      </c>
      <c r="O57" s="64">
        <v>0</v>
      </c>
      <c r="P57" s="64">
        <v>0.52</v>
      </c>
      <c r="Q57" s="64">
        <v>9.09</v>
      </c>
      <c r="R57" s="198"/>
      <c r="S57" s="198"/>
      <c r="T57" s="198"/>
      <c r="U57" s="198"/>
    </row>
    <row r="58" spans="1:21" s="12" customFormat="1" x14ac:dyDescent="0.25">
      <c r="A58" s="211" t="s">
        <v>1158</v>
      </c>
      <c r="B58" s="64">
        <v>5.36</v>
      </c>
      <c r="C58" s="64">
        <v>17.46</v>
      </c>
      <c r="D58" s="64">
        <v>25.2</v>
      </c>
      <c r="E58" s="64">
        <v>6</v>
      </c>
      <c r="F58" s="64">
        <v>6.04</v>
      </c>
      <c r="G58" s="64">
        <v>75.53</v>
      </c>
      <c r="H58" s="64">
        <v>14.03</v>
      </c>
      <c r="I58" s="64">
        <v>4.07</v>
      </c>
      <c r="J58" s="64">
        <v>0.57999999999999996</v>
      </c>
      <c r="K58" s="64">
        <v>298.13</v>
      </c>
      <c r="L58" s="64">
        <v>32.799999999999997</v>
      </c>
      <c r="M58" s="64">
        <v>48</v>
      </c>
      <c r="N58" s="64">
        <v>522.70000000000005</v>
      </c>
      <c r="O58" s="64">
        <v>0</v>
      </c>
      <c r="P58" s="64">
        <v>0.53</v>
      </c>
      <c r="Q58" s="64">
        <v>9.11</v>
      </c>
      <c r="R58" s="198"/>
      <c r="S58" s="198"/>
      <c r="T58" s="198"/>
      <c r="U58" s="198"/>
    </row>
    <row r="59" spans="1:21" s="12" customFormat="1" x14ac:dyDescent="0.25">
      <c r="A59" s="211" t="s">
        <v>1159</v>
      </c>
      <c r="B59" s="64">
        <v>4.76</v>
      </c>
      <c r="C59" s="64">
        <v>16.11</v>
      </c>
      <c r="D59" s="64">
        <v>23.53</v>
      </c>
      <c r="E59" s="64">
        <v>5.98</v>
      </c>
      <c r="F59" s="64">
        <v>5.05</v>
      </c>
      <c r="G59" s="64">
        <v>75.53</v>
      </c>
      <c r="H59" s="64">
        <v>14.03</v>
      </c>
      <c r="I59" s="64">
        <v>4.13</v>
      </c>
      <c r="J59" s="64">
        <v>0.46</v>
      </c>
      <c r="K59" s="64">
        <v>290.16000000000003</v>
      </c>
      <c r="L59" s="64">
        <v>33.14</v>
      </c>
      <c r="M59" s="64">
        <v>46.24</v>
      </c>
      <c r="N59" s="64">
        <v>657.4</v>
      </c>
      <c r="O59" s="64">
        <v>0</v>
      </c>
      <c r="P59" s="64">
        <v>0.53</v>
      </c>
      <c r="Q59" s="64">
        <v>9.11</v>
      </c>
      <c r="R59" s="198"/>
      <c r="S59" s="198"/>
      <c r="T59" s="198"/>
      <c r="U59" s="198"/>
    </row>
    <row r="60" spans="1:21" s="12" customFormat="1" x14ac:dyDescent="0.25">
      <c r="A60" s="211" t="s">
        <v>1160</v>
      </c>
      <c r="B60" s="64">
        <v>4.91</v>
      </c>
      <c r="C60" s="64">
        <v>16.57</v>
      </c>
      <c r="D60" s="64">
        <v>24.17</v>
      </c>
      <c r="E60" s="64">
        <v>6.31</v>
      </c>
      <c r="F60" s="64">
        <v>5.67</v>
      </c>
      <c r="G60" s="64">
        <v>75</v>
      </c>
      <c r="H60" s="64">
        <v>14.56</v>
      </c>
      <c r="I60" s="64">
        <v>3.92</v>
      </c>
      <c r="J60" s="64">
        <v>0.37</v>
      </c>
      <c r="K60" s="64">
        <v>289.49</v>
      </c>
      <c r="L60" s="64">
        <v>33.36</v>
      </c>
      <c r="M60" s="64">
        <v>45.25</v>
      </c>
      <c r="N60" s="64">
        <v>530.70000000000005</v>
      </c>
      <c r="O60" s="64">
        <v>0</v>
      </c>
      <c r="P60" s="64">
        <v>0.51</v>
      </c>
      <c r="Q60" s="64">
        <v>9.11</v>
      </c>
      <c r="R60" s="198"/>
      <c r="S60" s="198"/>
      <c r="T60" s="198"/>
      <c r="U60" s="198"/>
    </row>
    <row r="61" spans="1:21" s="12" customFormat="1" x14ac:dyDescent="0.25">
      <c r="A61" s="211" t="s">
        <v>1161</v>
      </c>
      <c r="B61" s="64">
        <v>4.7300000000000004</v>
      </c>
      <c r="C61" s="64">
        <v>16.25</v>
      </c>
      <c r="D61" s="64">
        <v>23.83</v>
      </c>
      <c r="E61" s="64">
        <v>6.48</v>
      </c>
      <c r="F61" s="64">
        <v>6.67</v>
      </c>
      <c r="G61" s="64">
        <v>73.56</v>
      </c>
      <c r="H61" s="64">
        <v>16.02</v>
      </c>
      <c r="I61" s="64">
        <v>3.97</v>
      </c>
      <c r="J61" s="64">
        <v>0.4</v>
      </c>
      <c r="K61" s="64">
        <v>294.49</v>
      </c>
      <c r="L61" s="64">
        <v>33.17</v>
      </c>
      <c r="M61" s="64">
        <v>45.52</v>
      </c>
      <c r="N61" s="64">
        <v>378.6</v>
      </c>
      <c r="O61" s="64">
        <v>0</v>
      </c>
      <c r="P61" s="64">
        <v>0.48</v>
      </c>
      <c r="Q61" s="64">
        <v>9.1</v>
      </c>
      <c r="R61" s="198"/>
      <c r="S61" s="198"/>
      <c r="T61" s="198"/>
      <c r="U61" s="198"/>
    </row>
    <row r="62" spans="1:21" s="12" customFormat="1" x14ac:dyDescent="0.25">
      <c r="A62" s="211" t="s">
        <v>1162</v>
      </c>
      <c r="B62" s="64">
        <v>4.47</v>
      </c>
      <c r="C62" s="64">
        <v>16.14</v>
      </c>
      <c r="D62" s="64">
        <v>24.03</v>
      </c>
      <c r="E62" s="64">
        <v>6.36</v>
      </c>
      <c r="F62" s="64">
        <v>6.05</v>
      </c>
      <c r="G62" s="64">
        <v>73.56</v>
      </c>
      <c r="H62" s="64">
        <v>16.02</v>
      </c>
      <c r="I62" s="64">
        <v>3.99</v>
      </c>
      <c r="J62" s="64">
        <v>0.51</v>
      </c>
      <c r="K62" s="64">
        <v>297.44</v>
      </c>
      <c r="L62" s="64">
        <v>33.11</v>
      </c>
      <c r="M62" s="64">
        <v>46.07</v>
      </c>
      <c r="N62" s="64">
        <v>570.70000000000005</v>
      </c>
      <c r="O62" s="64">
        <v>0</v>
      </c>
      <c r="P62" s="64">
        <v>0.5</v>
      </c>
      <c r="Q62" s="64">
        <v>9.09</v>
      </c>
      <c r="R62" s="198"/>
      <c r="S62" s="198"/>
      <c r="T62" s="198"/>
      <c r="U62" s="198"/>
    </row>
    <row r="63" spans="1:21" s="12" customFormat="1" x14ac:dyDescent="0.25">
      <c r="A63" s="211" t="s">
        <v>1163</v>
      </c>
      <c r="B63" s="64">
        <v>4.93</v>
      </c>
      <c r="C63" s="64">
        <v>16.52</v>
      </c>
      <c r="D63" s="64">
        <v>24.05</v>
      </c>
      <c r="E63" s="64">
        <v>5.92</v>
      </c>
      <c r="F63" s="64">
        <v>4.72</v>
      </c>
      <c r="G63" s="64">
        <v>73.56</v>
      </c>
      <c r="H63" s="64">
        <v>16.02</v>
      </c>
      <c r="I63" s="64">
        <v>4.01</v>
      </c>
      <c r="J63" s="64">
        <v>0.35</v>
      </c>
      <c r="K63" s="64">
        <v>286.14999999999998</v>
      </c>
      <c r="L63" s="64">
        <v>33.450000000000003</v>
      </c>
      <c r="M63" s="64">
        <v>43.31</v>
      </c>
      <c r="N63" s="64">
        <v>444.7</v>
      </c>
      <c r="O63" s="64">
        <v>0</v>
      </c>
      <c r="P63" s="64">
        <v>0.5</v>
      </c>
      <c r="Q63" s="64">
        <v>9.08</v>
      </c>
      <c r="R63" s="198"/>
      <c r="S63" s="198"/>
      <c r="T63" s="198"/>
      <c r="U63" s="198"/>
    </row>
    <row r="64" spans="1:21" s="12" customFormat="1" x14ac:dyDescent="0.25">
      <c r="A64" s="211" t="s">
        <v>1164</v>
      </c>
      <c r="B64" s="64">
        <v>4.24</v>
      </c>
      <c r="C64" s="64">
        <v>15.22</v>
      </c>
      <c r="D64" s="64">
        <v>22.63</v>
      </c>
      <c r="E64" s="64">
        <v>5.59</v>
      </c>
      <c r="F64" s="64">
        <v>6.03</v>
      </c>
      <c r="G64" s="64">
        <v>74.69</v>
      </c>
      <c r="H64" s="64">
        <v>17.38</v>
      </c>
      <c r="I64" s="64">
        <v>4.05</v>
      </c>
      <c r="J64" s="64">
        <v>0.47</v>
      </c>
      <c r="K64" s="64">
        <v>292.14999999999998</v>
      </c>
      <c r="L64" s="64">
        <v>33.54</v>
      </c>
      <c r="M64" s="64">
        <v>42.42</v>
      </c>
      <c r="N64" s="64">
        <v>307.5</v>
      </c>
      <c r="O64" s="64">
        <v>0</v>
      </c>
      <c r="P64" s="64">
        <v>0.51</v>
      </c>
      <c r="Q64" s="64">
        <v>9.06</v>
      </c>
      <c r="R64" s="198"/>
      <c r="S64" s="198"/>
      <c r="T64" s="198"/>
      <c r="U64" s="198"/>
    </row>
    <row r="65" spans="1:21" s="12" customFormat="1" x14ac:dyDescent="0.25">
      <c r="A65" s="211" t="s">
        <v>1165</v>
      </c>
      <c r="B65" s="64">
        <v>4.97</v>
      </c>
      <c r="C65" s="64">
        <v>15.27</v>
      </c>
      <c r="D65" s="64">
        <v>21.59</v>
      </c>
      <c r="E65" s="64">
        <v>5.63</v>
      </c>
      <c r="F65" s="64">
        <v>5.92</v>
      </c>
      <c r="G65" s="64">
        <v>77.8</v>
      </c>
      <c r="H65" s="64">
        <v>21.12</v>
      </c>
      <c r="I65" s="64">
        <v>4.1399999999999997</v>
      </c>
      <c r="J65" s="64">
        <v>0.47</v>
      </c>
      <c r="K65" s="64">
        <v>290.44</v>
      </c>
      <c r="L65" s="64">
        <v>33.64</v>
      </c>
      <c r="M65" s="64">
        <v>42.48</v>
      </c>
      <c r="N65" s="64">
        <v>247.7</v>
      </c>
      <c r="O65" s="64">
        <v>0</v>
      </c>
      <c r="P65" s="64">
        <v>0.51</v>
      </c>
      <c r="Q65" s="64">
        <v>9.0500000000000007</v>
      </c>
      <c r="R65" s="198"/>
      <c r="S65" s="198"/>
      <c r="T65" s="198"/>
      <c r="U65" s="198"/>
    </row>
    <row r="66" spans="1:21" s="12" customFormat="1" x14ac:dyDescent="0.25">
      <c r="A66" s="211" t="s">
        <v>1166</v>
      </c>
      <c r="B66" s="64">
        <v>4.26</v>
      </c>
      <c r="C66" s="64">
        <v>14.98</v>
      </c>
      <c r="D66" s="64">
        <v>22.14</v>
      </c>
      <c r="E66" s="64">
        <v>5.77</v>
      </c>
      <c r="F66" s="64">
        <v>5.2</v>
      </c>
      <c r="G66" s="64">
        <v>77.8</v>
      </c>
      <c r="H66" s="64">
        <v>21.12</v>
      </c>
      <c r="I66" s="64">
        <v>4.08</v>
      </c>
      <c r="J66" s="64">
        <v>0.57999999999999996</v>
      </c>
      <c r="K66" s="64">
        <v>292.14999999999998</v>
      </c>
      <c r="L66" s="64">
        <v>33.659999999999997</v>
      </c>
      <c r="M66" s="64">
        <v>42.3</v>
      </c>
      <c r="N66" s="64">
        <v>295.8</v>
      </c>
      <c r="O66" s="64">
        <v>0</v>
      </c>
      <c r="P66" s="64">
        <v>0.5</v>
      </c>
      <c r="Q66" s="64">
        <v>9.06</v>
      </c>
      <c r="R66" s="198"/>
      <c r="S66" s="198"/>
      <c r="T66" s="198"/>
      <c r="U66" s="198"/>
    </row>
    <row r="67" spans="1:21" s="12" customFormat="1" x14ac:dyDescent="0.25">
      <c r="A67" s="211" t="s">
        <v>1167</v>
      </c>
      <c r="B67" s="64">
        <v>5.24</v>
      </c>
      <c r="C67" s="64">
        <v>16.36</v>
      </c>
      <c r="D67" s="64">
        <v>23.26</v>
      </c>
      <c r="E67" s="64">
        <v>5.72</v>
      </c>
      <c r="F67" s="64">
        <v>4.96</v>
      </c>
      <c r="G67" s="64">
        <v>77.8</v>
      </c>
      <c r="H67" s="64">
        <v>21.12</v>
      </c>
      <c r="I67" s="64">
        <v>3.87</v>
      </c>
      <c r="J67" s="64">
        <v>0.67</v>
      </c>
      <c r="K67" s="64">
        <v>299.68</v>
      </c>
      <c r="L67" s="64">
        <v>33.96</v>
      </c>
      <c r="M67" s="64">
        <v>41.86</v>
      </c>
      <c r="N67" s="64">
        <v>353.4</v>
      </c>
      <c r="O67" s="64">
        <v>0</v>
      </c>
      <c r="P67" s="64">
        <v>0.5</v>
      </c>
      <c r="Q67" s="64">
        <v>9.06</v>
      </c>
      <c r="R67" s="198"/>
      <c r="S67" s="198"/>
      <c r="T67" s="198"/>
      <c r="U67" s="198"/>
    </row>
    <row r="68" spans="1:21" s="12" customFormat="1" x14ac:dyDescent="0.25">
      <c r="A68" s="211" t="s">
        <v>1168</v>
      </c>
      <c r="B68" s="64">
        <v>4.82</v>
      </c>
      <c r="C68" s="64">
        <v>15.45</v>
      </c>
      <c r="D68" s="64">
        <v>22.17</v>
      </c>
      <c r="E68" s="64">
        <v>5.6</v>
      </c>
      <c r="F68" s="64">
        <v>5.65</v>
      </c>
      <c r="G68" s="64">
        <v>77.849999999999994</v>
      </c>
      <c r="H68" s="64">
        <v>20.21</v>
      </c>
      <c r="I68" s="64">
        <v>3.9</v>
      </c>
      <c r="J68" s="64">
        <v>0.61</v>
      </c>
      <c r="K68" s="64">
        <v>295.81</v>
      </c>
      <c r="L68" s="64">
        <v>34.299999999999997</v>
      </c>
      <c r="M68" s="64">
        <v>40.520000000000003</v>
      </c>
      <c r="N68" s="64">
        <v>185.9</v>
      </c>
      <c r="O68" s="64">
        <v>0</v>
      </c>
      <c r="P68" s="64">
        <v>0.49</v>
      </c>
      <c r="Q68" s="64">
        <v>9.06</v>
      </c>
      <c r="R68" s="198"/>
      <c r="S68" s="198"/>
      <c r="T68" s="198"/>
      <c r="U68" s="198"/>
    </row>
    <row r="69" spans="1:21" s="12" customFormat="1" x14ac:dyDescent="0.25">
      <c r="A69" s="211" t="s">
        <v>1169</v>
      </c>
      <c r="B69" s="64">
        <v>4.59</v>
      </c>
      <c r="C69" s="64">
        <v>15</v>
      </c>
      <c r="D69" s="64">
        <v>21.67</v>
      </c>
      <c r="E69" s="64">
        <v>5.8</v>
      </c>
      <c r="F69" s="64">
        <v>5.92</v>
      </c>
      <c r="G69" s="64">
        <v>77.989999999999995</v>
      </c>
      <c r="H69" s="64">
        <v>17.7</v>
      </c>
      <c r="I69" s="64">
        <v>4.08</v>
      </c>
      <c r="J69" s="64">
        <v>0.43</v>
      </c>
      <c r="K69" s="64">
        <v>295.48</v>
      </c>
      <c r="L69" s="64">
        <v>34.04</v>
      </c>
      <c r="M69" s="64">
        <v>41.23</v>
      </c>
      <c r="N69" s="64">
        <v>210.1</v>
      </c>
      <c r="O69" s="64">
        <v>0</v>
      </c>
      <c r="P69" s="64">
        <v>0.49</v>
      </c>
      <c r="Q69" s="64">
        <v>9.0500000000000007</v>
      </c>
      <c r="R69" s="198"/>
      <c r="S69" s="198"/>
      <c r="T69" s="198"/>
      <c r="U69" s="198"/>
    </row>
    <row r="70" spans="1:21" s="12" customFormat="1" x14ac:dyDescent="0.25">
      <c r="A70" s="211" t="s">
        <v>1170</v>
      </c>
      <c r="B70" s="64">
        <v>4.29</v>
      </c>
      <c r="C70" s="64">
        <v>14.73</v>
      </c>
      <c r="D70" s="64">
        <v>21.61</v>
      </c>
      <c r="E70" s="64">
        <v>5.64</v>
      </c>
      <c r="F70" s="64">
        <v>5.98</v>
      </c>
      <c r="G70" s="64">
        <v>77.989999999999995</v>
      </c>
      <c r="H70" s="64">
        <v>17.7</v>
      </c>
      <c r="I70" s="64">
        <v>3.79</v>
      </c>
      <c r="J70" s="64">
        <v>0.27</v>
      </c>
      <c r="K70" s="64">
        <v>288.89</v>
      </c>
      <c r="L70" s="64">
        <v>33.68</v>
      </c>
      <c r="M70" s="64">
        <v>41.36</v>
      </c>
      <c r="N70" s="64">
        <v>355.8</v>
      </c>
      <c r="O70" s="64">
        <v>0</v>
      </c>
      <c r="P70" s="64">
        <v>0.48</v>
      </c>
      <c r="Q70" s="64">
        <v>9.0500000000000007</v>
      </c>
      <c r="R70" s="198"/>
      <c r="S70" s="198"/>
      <c r="T70" s="198"/>
      <c r="U70" s="198"/>
    </row>
    <row r="71" spans="1:21" s="12" customFormat="1" x14ac:dyDescent="0.25">
      <c r="A71" s="211" t="s">
        <v>1171</v>
      </c>
      <c r="B71" s="64">
        <v>4.4000000000000004</v>
      </c>
      <c r="C71" s="64">
        <v>16.09</v>
      </c>
      <c r="D71" s="64">
        <v>24.04</v>
      </c>
      <c r="E71" s="64">
        <v>5.48</v>
      </c>
      <c r="F71" s="64">
        <v>5.61</v>
      </c>
      <c r="G71" s="64">
        <v>77.989999999999995</v>
      </c>
      <c r="H71" s="64">
        <v>17.7</v>
      </c>
      <c r="I71" s="64">
        <v>4.17</v>
      </c>
      <c r="J71" s="64">
        <v>0.31</v>
      </c>
      <c r="K71" s="64">
        <v>284.39999999999998</v>
      </c>
      <c r="L71" s="64">
        <v>33.39</v>
      </c>
      <c r="M71" s="64">
        <v>42</v>
      </c>
      <c r="N71" s="64">
        <v>271.89999999999998</v>
      </c>
      <c r="O71" s="64">
        <v>0</v>
      </c>
      <c r="P71" s="64">
        <v>0.48</v>
      </c>
      <c r="Q71" s="64">
        <v>9.0399999999999991</v>
      </c>
      <c r="R71" s="198"/>
      <c r="S71" s="198"/>
      <c r="T71" s="198"/>
      <c r="U71" s="198"/>
    </row>
    <row r="72" spans="1:21" s="12" customFormat="1" x14ac:dyDescent="0.25">
      <c r="A72" s="211" t="s">
        <v>1172</v>
      </c>
      <c r="B72" s="64">
        <v>4.5</v>
      </c>
      <c r="C72" s="64">
        <v>15.79</v>
      </c>
      <c r="D72" s="64">
        <v>23.31</v>
      </c>
      <c r="E72" s="64">
        <v>4.42</v>
      </c>
      <c r="F72" s="64">
        <v>4.76</v>
      </c>
      <c r="G72" s="64">
        <v>77.62</v>
      </c>
      <c r="H72" s="64">
        <v>19.5</v>
      </c>
      <c r="I72" s="64">
        <v>4.03</v>
      </c>
      <c r="J72" s="64">
        <v>0.39</v>
      </c>
      <c r="K72" s="64">
        <v>294.77</v>
      </c>
      <c r="L72" s="64">
        <v>33.49</v>
      </c>
      <c r="M72" s="64">
        <v>40.11</v>
      </c>
      <c r="N72" s="64">
        <v>383.2</v>
      </c>
      <c r="O72" s="64">
        <v>0</v>
      </c>
      <c r="P72" s="64">
        <v>0.46</v>
      </c>
      <c r="Q72" s="64">
        <v>9.07</v>
      </c>
      <c r="R72" s="198"/>
      <c r="S72" s="198"/>
      <c r="T72" s="198"/>
      <c r="U72" s="198"/>
    </row>
    <row r="73" spans="1:21" s="12" customFormat="1" x14ac:dyDescent="0.25">
      <c r="A73" s="211" t="s">
        <v>1173</v>
      </c>
      <c r="B73" s="64">
        <v>5.3</v>
      </c>
      <c r="C73" s="64">
        <v>17.88</v>
      </c>
      <c r="D73" s="64">
        <v>26.1</v>
      </c>
      <c r="E73" s="64">
        <v>5.77</v>
      </c>
      <c r="F73" s="64">
        <v>5.88</v>
      </c>
      <c r="G73" s="64">
        <v>76.59</v>
      </c>
      <c r="H73" s="64">
        <v>24.47</v>
      </c>
      <c r="I73" s="64">
        <v>4.04</v>
      </c>
      <c r="J73" s="64">
        <v>0.22</v>
      </c>
      <c r="K73" s="64">
        <v>304.57</v>
      </c>
      <c r="L73" s="64">
        <v>33.35</v>
      </c>
      <c r="M73" s="64">
        <v>40.96</v>
      </c>
      <c r="N73" s="64">
        <v>140.69999999999999</v>
      </c>
      <c r="O73" s="64">
        <v>0</v>
      </c>
      <c r="P73" s="64">
        <v>0.43</v>
      </c>
      <c r="Q73" s="64">
        <v>9.1</v>
      </c>
      <c r="R73" s="198"/>
      <c r="S73" s="198"/>
      <c r="T73" s="198"/>
      <c r="U73" s="198"/>
    </row>
    <row r="74" spans="1:21" s="12" customFormat="1" x14ac:dyDescent="0.25">
      <c r="A74" s="211" t="s">
        <v>1174</v>
      </c>
      <c r="B74" s="64">
        <v>6.04</v>
      </c>
      <c r="C74" s="64">
        <v>17.48</v>
      </c>
      <c r="D74" s="64">
        <v>24.19</v>
      </c>
      <c r="E74" s="64">
        <v>5.0999999999999996</v>
      </c>
      <c r="F74" s="64">
        <v>6.35</v>
      </c>
      <c r="G74" s="64">
        <v>76.59</v>
      </c>
      <c r="H74" s="64">
        <v>24.47</v>
      </c>
      <c r="I74" s="64">
        <v>4.0599999999999996</v>
      </c>
      <c r="J74" s="64">
        <v>0.23</v>
      </c>
      <c r="K74" s="64">
        <v>306.76</v>
      </c>
      <c r="L74" s="64">
        <v>33.130000000000003</v>
      </c>
      <c r="M74" s="64">
        <v>41.03</v>
      </c>
      <c r="N74" s="64">
        <v>133</v>
      </c>
      <c r="O74" s="64">
        <v>0</v>
      </c>
      <c r="P74" s="64">
        <v>0.41</v>
      </c>
      <c r="Q74" s="64">
        <v>9.1</v>
      </c>
      <c r="R74" s="198"/>
      <c r="S74" s="198"/>
      <c r="T74" s="198"/>
      <c r="U74" s="198"/>
    </row>
    <row r="75" spans="1:21" s="12" customFormat="1" x14ac:dyDescent="0.25">
      <c r="A75" s="211" t="s">
        <v>1175</v>
      </c>
      <c r="B75" s="64">
        <v>6.77</v>
      </c>
      <c r="C75" s="64">
        <v>20.36</v>
      </c>
      <c r="D75" s="64">
        <v>28.57</v>
      </c>
      <c r="E75" s="64">
        <v>6.18</v>
      </c>
      <c r="F75" s="64">
        <v>6.74</v>
      </c>
      <c r="G75" s="64">
        <v>76.59</v>
      </c>
      <c r="H75" s="64">
        <v>24.47</v>
      </c>
      <c r="I75" s="64">
        <v>4.08</v>
      </c>
      <c r="J75" s="64">
        <v>0.2</v>
      </c>
      <c r="K75" s="64">
        <v>329.96</v>
      </c>
      <c r="L75" s="64">
        <v>32.92</v>
      </c>
      <c r="M75" s="64">
        <v>41.63</v>
      </c>
      <c r="N75" s="64">
        <v>107.1</v>
      </c>
      <c r="O75" s="64">
        <v>0</v>
      </c>
      <c r="P75" s="64">
        <v>0.42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1" t="s">
        <v>1176</v>
      </c>
      <c r="B76" s="64">
        <v>5.5</v>
      </c>
      <c r="C76" s="64">
        <v>17.37</v>
      </c>
      <c r="D76" s="64">
        <v>24.82</v>
      </c>
      <c r="E76" s="64">
        <v>6.32</v>
      </c>
      <c r="F76" s="64">
        <v>6.62</v>
      </c>
      <c r="G76" s="64">
        <v>76.53</v>
      </c>
      <c r="H76" s="64">
        <v>22.29</v>
      </c>
      <c r="I76" s="64">
        <v>3.94</v>
      </c>
      <c r="J76" s="64">
        <v>0.25</v>
      </c>
      <c r="K76" s="64">
        <v>314.39</v>
      </c>
      <c r="L76" s="64">
        <v>32.93</v>
      </c>
      <c r="M76" s="64">
        <v>41.16</v>
      </c>
      <c r="N76" s="64">
        <v>118.2</v>
      </c>
      <c r="O76" s="64">
        <v>0</v>
      </c>
      <c r="P76" s="64">
        <v>0.43</v>
      </c>
      <c r="Q76" s="64">
        <v>9.1199999999999992</v>
      </c>
      <c r="R76" s="198"/>
      <c r="S76" s="198"/>
      <c r="T76" s="198"/>
      <c r="U76" s="198"/>
    </row>
    <row r="77" spans="1:21" s="12" customFormat="1" x14ac:dyDescent="0.25">
      <c r="A77" s="211" t="s">
        <v>1177</v>
      </c>
      <c r="B77" s="64">
        <v>5.47</v>
      </c>
      <c r="C77" s="64">
        <v>16.68</v>
      </c>
      <c r="D77" s="64">
        <v>23.54</v>
      </c>
      <c r="E77" s="64">
        <v>6.14</v>
      </c>
      <c r="F77" s="64">
        <v>5.33</v>
      </c>
      <c r="G77" s="64">
        <v>76.36</v>
      </c>
      <c r="H77" s="64">
        <v>16.29</v>
      </c>
      <c r="I77" s="64">
        <v>3.98</v>
      </c>
      <c r="J77" s="64">
        <v>0.74</v>
      </c>
      <c r="K77" s="64">
        <v>307.18</v>
      </c>
      <c r="L77" s="64">
        <v>32.950000000000003</v>
      </c>
      <c r="M77" s="64">
        <v>41.16</v>
      </c>
      <c r="N77" s="64">
        <v>118.7</v>
      </c>
      <c r="O77" s="64">
        <v>0</v>
      </c>
      <c r="P77" s="64">
        <v>0.41</v>
      </c>
      <c r="Q77" s="64">
        <v>9.1199999999999992</v>
      </c>
      <c r="R77" s="198"/>
      <c r="S77" s="198"/>
      <c r="T77" s="198"/>
      <c r="U77" s="198"/>
    </row>
    <row r="78" spans="1:21" s="12" customFormat="1" x14ac:dyDescent="0.25">
      <c r="A78" s="211" t="s">
        <v>1178</v>
      </c>
      <c r="B78" s="64">
        <v>7.23</v>
      </c>
      <c r="C78" s="64">
        <v>18.54</v>
      </c>
      <c r="D78" s="64">
        <v>24.39</v>
      </c>
      <c r="E78" s="64">
        <v>5.63</v>
      </c>
      <c r="F78" s="64">
        <v>7.51</v>
      </c>
      <c r="G78" s="64">
        <v>76.36</v>
      </c>
      <c r="H78" s="64">
        <v>16.29</v>
      </c>
      <c r="I78" s="64">
        <v>4.13</v>
      </c>
      <c r="J78" s="64">
        <v>0.77</v>
      </c>
      <c r="K78" s="64">
        <v>314.86</v>
      </c>
      <c r="L78" s="64">
        <v>32.840000000000003</v>
      </c>
      <c r="M78" s="64">
        <v>42.36</v>
      </c>
      <c r="N78" s="64">
        <v>106.6</v>
      </c>
      <c r="O78" s="64">
        <v>0</v>
      </c>
      <c r="P78" s="64">
        <v>0.4</v>
      </c>
      <c r="Q78" s="64">
        <v>9.1300000000000008</v>
      </c>
      <c r="R78" s="198"/>
      <c r="S78" s="198"/>
      <c r="T78" s="198"/>
      <c r="U78" s="198"/>
    </row>
    <row r="79" spans="1:21" s="12" customFormat="1" x14ac:dyDescent="0.25">
      <c r="A79" s="211" t="s">
        <v>1179</v>
      </c>
      <c r="B79" s="64">
        <v>7.69</v>
      </c>
      <c r="C79" s="64">
        <v>19.82</v>
      </c>
      <c r="D79" s="64">
        <v>26.14</v>
      </c>
      <c r="E79" s="64">
        <v>5.72</v>
      </c>
      <c r="F79" s="64">
        <v>7.32</v>
      </c>
      <c r="G79" s="64">
        <v>76.36</v>
      </c>
      <c r="H79" s="64">
        <v>16.29</v>
      </c>
      <c r="I79" s="64">
        <v>4.1100000000000003</v>
      </c>
      <c r="J79" s="64">
        <v>0.42</v>
      </c>
      <c r="K79" s="64">
        <v>311.54000000000002</v>
      </c>
      <c r="L79" s="64">
        <v>32.79</v>
      </c>
      <c r="M79" s="64">
        <v>42.38</v>
      </c>
      <c r="N79" s="64">
        <v>94.9</v>
      </c>
      <c r="O79" s="64">
        <v>0</v>
      </c>
      <c r="P79" s="64">
        <v>0.39</v>
      </c>
      <c r="Q79" s="64">
        <v>9.1300000000000008</v>
      </c>
      <c r="R79" s="198"/>
      <c r="S79" s="198"/>
      <c r="T79" s="198"/>
      <c r="U79" s="198"/>
    </row>
    <row r="80" spans="1:21" s="12" customFormat="1" x14ac:dyDescent="0.25">
      <c r="A80" s="211" t="s">
        <v>1180</v>
      </c>
      <c r="B80" s="64">
        <v>6.14</v>
      </c>
      <c r="C80" s="64">
        <v>16.91</v>
      </c>
      <c r="D80" s="64">
        <v>22.95</v>
      </c>
      <c r="E80" s="64">
        <v>5.78</v>
      </c>
      <c r="F80" s="64">
        <v>4.58</v>
      </c>
      <c r="G80" s="64">
        <v>74.489999999999995</v>
      </c>
      <c r="H80" s="64">
        <v>17.75</v>
      </c>
      <c r="I80" s="64">
        <v>3.85</v>
      </c>
      <c r="J80" s="64">
        <v>0.88</v>
      </c>
      <c r="K80" s="64">
        <v>310.51</v>
      </c>
      <c r="L80" s="64">
        <v>32.4</v>
      </c>
      <c r="M80" s="64">
        <v>43.31</v>
      </c>
      <c r="N80" s="64">
        <v>76.099999999999994</v>
      </c>
      <c r="O80" s="64">
        <v>0</v>
      </c>
      <c r="P80" s="64">
        <v>0.4</v>
      </c>
      <c r="Q80" s="64">
        <v>9.14</v>
      </c>
      <c r="R80" s="198"/>
      <c r="S80" s="198"/>
      <c r="T80" s="198"/>
      <c r="U80" s="198"/>
    </row>
    <row r="81" spans="1:26" s="12" customFormat="1" x14ac:dyDescent="0.25">
      <c r="A81" s="211" t="s">
        <v>1181</v>
      </c>
      <c r="B81" s="64">
        <v>7.11</v>
      </c>
      <c r="C81" s="64">
        <v>18.77</v>
      </c>
      <c r="D81" s="64">
        <v>25.02</v>
      </c>
      <c r="E81" s="64">
        <v>5.61</v>
      </c>
      <c r="F81" s="64">
        <v>4.7699999999999996</v>
      </c>
      <c r="G81" s="64">
        <v>69.34</v>
      </c>
      <c r="H81" s="64">
        <v>21.77</v>
      </c>
      <c r="I81" s="64">
        <v>3.95</v>
      </c>
      <c r="J81" s="64">
        <v>0.47</v>
      </c>
      <c r="K81" s="64">
        <v>312.51</v>
      </c>
      <c r="L81" s="64">
        <v>31.94</v>
      </c>
      <c r="M81" s="64">
        <v>44.27</v>
      </c>
      <c r="N81" s="64">
        <v>67.900000000000006</v>
      </c>
      <c r="O81" s="64">
        <v>0</v>
      </c>
      <c r="P81" s="64">
        <v>0.39</v>
      </c>
      <c r="Q81" s="64">
        <v>9.14</v>
      </c>
      <c r="R81" s="198"/>
      <c r="S81" s="198"/>
      <c r="T81" s="198"/>
      <c r="U81" s="198"/>
    </row>
    <row r="82" spans="1:26" s="12" customFormat="1" x14ac:dyDescent="0.25">
      <c r="A82" s="211" t="s">
        <v>1182</v>
      </c>
      <c r="B82" s="64">
        <v>8.33</v>
      </c>
      <c r="C82" s="64">
        <v>22.08</v>
      </c>
      <c r="D82" s="64">
        <v>29.47</v>
      </c>
      <c r="E82" s="64">
        <v>5.7</v>
      </c>
      <c r="F82" s="64">
        <v>8.65</v>
      </c>
      <c r="G82" s="64">
        <v>69.34</v>
      </c>
      <c r="H82" s="64">
        <v>21.77</v>
      </c>
      <c r="I82" s="64">
        <v>3.91</v>
      </c>
      <c r="J82" s="64">
        <v>0.28999999999999998</v>
      </c>
      <c r="K82" s="64">
        <v>316.70999999999998</v>
      </c>
      <c r="L82" s="64">
        <v>31.63</v>
      </c>
      <c r="M82" s="64">
        <v>45.8</v>
      </c>
      <c r="N82" s="64">
        <v>68.400000000000006</v>
      </c>
      <c r="O82" s="64">
        <v>0</v>
      </c>
      <c r="P82" s="64">
        <v>0.47</v>
      </c>
      <c r="Q82" s="64">
        <v>9.1300000000000008</v>
      </c>
      <c r="R82" s="198"/>
      <c r="S82" s="198"/>
      <c r="T82" s="198"/>
      <c r="U82" s="198"/>
    </row>
    <row r="83" spans="1:26" s="12" customFormat="1" x14ac:dyDescent="0.25">
      <c r="A83" s="211" t="s">
        <v>1183</v>
      </c>
      <c r="B83" s="64">
        <v>9.3000000000000007</v>
      </c>
      <c r="C83" s="64">
        <v>23.6</v>
      </c>
      <c r="D83" s="64">
        <v>30.89</v>
      </c>
      <c r="E83" s="64">
        <v>5.53</v>
      </c>
      <c r="F83" s="64">
        <v>7.19</v>
      </c>
      <c r="G83" s="64">
        <v>69.34</v>
      </c>
      <c r="H83" s="64">
        <v>21.77</v>
      </c>
      <c r="I83" s="64">
        <v>3.99</v>
      </c>
      <c r="J83" s="64">
        <v>0.21</v>
      </c>
      <c r="K83" s="64">
        <v>313.24</v>
      </c>
      <c r="L83" s="64">
        <v>31.29</v>
      </c>
      <c r="M83" s="64">
        <v>47.03</v>
      </c>
      <c r="N83" s="64">
        <v>63.3</v>
      </c>
      <c r="O83" s="64">
        <v>0</v>
      </c>
      <c r="P83" s="64">
        <v>0.53</v>
      </c>
      <c r="Q83" s="64">
        <v>9.14</v>
      </c>
      <c r="R83" s="198"/>
      <c r="S83" s="198"/>
      <c r="T83" s="198"/>
      <c r="U83" s="198"/>
    </row>
    <row r="84" spans="1:26" s="12" customFormat="1" x14ac:dyDescent="0.25">
      <c r="A84" s="211" t="s">
        <v>1184</v>
      </c>
      <c r="B84" s="64">
        <v>9.6199999999999992</v>
      </c>
      <c r="C84" s="64">
        <v>25.1</v>
      </c>
      <c r="D84" s="64">
        <v>33.270000000000003</v>
      </c>
      <c r="E84" s="64">
        <v>5.6</v>
      </c>
      <c r="F84" s="64">
        <v>6.3</v>
      </c>
      <c r="G84" s="64">
        <v>72.95</v>
      </c>
      <c r="H84" s="64">
        <v>21.47</v>
      </c>
      <c r="I84" s="64">
        <v>3.97</v>
      </c>
      <c r="J84" s="64">
        <v>0.08</v>
      </c>
      <c r="K84" s="64">
        <v>335.94</v>
      </c>
      <c r="L84" s="64">
        <v>30.65</v>
      </c>
      <c r="M84" s="64">
        <v>50.45</v>
      </c>
      <c r="N84" s="64">
        <v>63.8</v>
      </c>
      <c r="O84" s="64">
        <v>0</v>
      </c>
      <c r="P84" s="64">
        <v>0.49</v>
      </c>
      <c r="Q84" s="64">
        <v>9.16</v>
      </c>
      <c r="R84" s="198"/>
      <c r="S84" s="198"/>
      <c r="T84" s="198"/>
      <c r="U84" s="198"/>
    </row>
    <row r="85" spans="1:26" s="12" customFormat="1" x14ac:dyDescent="0.25">
      <c r="A85" s="211" t="s">
        <v>1185</v>
      </c>
      <c r="B85" s="64">
        <v>6.8</v>
      </c>
      <c r="C85" s="64">
        <v>17.71</v>
      </c>
      <c r="D85" s="64">
        <v>23.45</v>
      </c>
      <c r="E85" s="64">
        <v>5.74</v>
      </c>
      <c r="F85" s="64">
        <v>6.29</v>
      </c>
      <c r="G85" s="64">
        <v>82.87</v>
      </c>
      <c r="H85" s="64">
        <v>20.63</v>
      </c>
      <c r="I85" s="64">
        <v>4.21</v>
      </c>
      <c r="J85" s="64">
        <v>0.03</v>
      </c>
      <c r="K85" s="64">
        <v>353.59</v>
      </c>
      <c r="L85" s="64">
        <v>29.46</v>
      </c>
      <c r="M85" s="64">
        <v>56.42</v>
      </c>
      <c r="N85" s="64">
        <v>78.3</v>
      </c>
      <c r="O85" s="64">
        <v>0</v>
      </c>
      <c r="P85" s="64">
        <v>0.36</v>
      </c>
      <c r="Q85" s="64">
        <v>9.16</v>
      </c>
      <c r="R85" s="198"/>
      <c r="S85" s="198"/>
      <c r="T85" s="198"/>
      <c r="U85" s="198"/>
    </row>
    <row r="86" spans="1:26" s="12" customFormat="1" x14ac:dyDescent="0.25">
      <c r="A86" s="211" t="s">
        <v>1186</v>
      </c>
      <c r="B86" s="64">
        <v>6.46</v>
      </c>
      <c r="C86" s="64">
        <v>17.36</v>
      </c>
      <c r="D86" s="64">
        <v>23.3</v>
      </c>
      <c r="E86" s="64">
        <v>5.42</v>
      </c>
      <c r="F86" s="64">
        <v>5.89</v>
      </c>
      <c r="G86" s="64">
        <v>82.87</v>
      </c>
      <c r="H86" s="64">
        <v>20.63</v>
      </c>
      <c r="I86" s="64">
        <v>3.83</v>
      </c>
      <c r="J86" s="64">
        <v>0.13</v>
      </c>
      <c r="K86" s="64">
        <v>144.47</v>
      </c>
      <c r="L86" s="64">
        <v>28.91</v>
      </c>
      <c r="M86" s="64">
        <v>59.69</v>
      </c>
      <c r="N86" s="64">
        <v>84.3</v>
      </c>
      <c r="O86" s="64">
        <v>0</v>
      </c>
      <c r="P86" s="64">
        <v>0.39</v>
      </c>
      <c r="Q86" s="64">
        <v>9.15</v>
      </c>
      <c r="R86" s="198"/>
      <c r="S86" s="198"/>
      <c r="T86" s="198"/>
      <c r="U86" s="198"/>
    </row>
    <row r="87" spans="1:26" s="12" customFormat="1" x14ac:dyDescent="0.25">
      <c r="A87" s="211" t="s">
        <v>1187</v>
      </c>
      <c r="B87" s="64">
        <v>5.95</v>
      </c>
      <c r="C87" s="64">
        <v>17.3</v>
      </c>
      <c r="D87" s="64">
        <v>23.98</v>
      </c>
      <c r="E87" s="64">
        <v>5.42</v>
      </c>
      <c r="F87" s="64">
        <v>7.66</v>
      </c>
      <c r="G87" s="64">
        <v>82.87</v>
      </c>
      <c r="H87" s="64">
        <v>20.63</v>
      </c>
      <c r="I87" s="64">
        <v>4.0599999999999996</v>
      </c>
      <c r="J87" s="64">
        <v>0.14000000000000001</v>
      </c>
      <c r="K87" s="64">
        <v>141.13</v>
      </c>
      <c r="L87" s="64">
        <v>28.41</v>
      </c>
      <c r="M87" s="64">
        <v>62.74</v>
      </c>
      <c r="N87" s="64">
        <v>83.3</v>
      </c>
      <c r="O87" s="64">
        <v>0</v>
      </c>
      <c r="P87" s="64">
        <v>0.33</v>
      </c>
      <c r="Q87" s="64">
        <v>9.14</v>
      </c>
      <c r="R87" s="198"/>
      <c r="S87" s="198"/>
      <c r="T87" s="198"/>
      <c r="U87" s="198"/>
    </row>
    <row r="88" spans="1:26" s="12" customFormat="1" x14ac:dyDescent="0.25">
      <c r="A88" s="211" t="s">
        <v>1188</v>
      </c>
      <c r="B88" s="64">
        <v>5.42</v>
      </c>
      <c r="C88" s="64">
        <v>19.21</v>
      </c>
      <c r="D88" s="64">
        <v>28.46</v>
      </c>
      <c r="E88" s="64">
        <v>5.64</v>
      </c>
      <c r="F88" s="64">
        <v>7.93</v>
      </c>
      <c r="G88" s="64">
        <v>79.87</v>
      </c>
      <c r="H88" s="64">
        <v>21.23</v>
      </c>
      <c r="I88" s="64">
        <v>3.97</v>
      </c>
      <c r="J88" s="64">
        <v>0.08</v>
      </c>
      <c r="K88" s="64">
        <v>159.82</v>
      </c>
      <c r="L88" s="64">
        <v>28.35</v>
      </c>
      <c r="M88" s="64">
        <v>62.5</v>
      </c>
      <c r="N88" s="64">
        <v>76</v>
      </c>
      <c r="O88" s="64">
        <v>0</v>
      </c>
      <c r="P88" s="64">
        <v>0.31</v>
      </c>
      <c r="Q88" s="64">
        <v>9.1300000000000008</v>
      </c>
      <c r="R88" s="198"/>
      <c r="S88" s="198"/>
      <c r="T88" s="198"/>
      <c r="U88" s="198"/>
    </row>
    <row r="89" spans="1:26" s="12" customFormat="1" x14ac:dyDescent="0.25">
      <c r="A89" s="211" t="s">
        <v>1189</v>
      </c>
      <c r="B89" s="64">
        <v>5.97</v>
      </c>
      <c r="C89" s="64">
        <v>18.93</v>
      </c>
      <c r="D89" s="64">
        <v>27.07</v>
      </c>
      <c r="E89" s="64">
        <v>5.6</v>
      </c>
      <c r="F89" s="64">
        <v>5.87</v>
      </c>
      <c r="G89" s="64">
        <v>72.08</v>
      </c>
      <c r="H89" s="64">
        <v>22.88</v>
      </c>
      <c r="I89" s="64">
        <v>3.96</v>
      </c>
      <c r="J89" s="64">
        <v>0.05</v>
      </c>
      <c r="K89" s="64">
        <v>223.07</v>
      </c>
      <c r="L89" s="64">
        <v>28.26</v>
      </c>
      <c r="M89" s="64">
        <v>63.68</v>
      </c>
      <c r="N89" s="64">
        <v>84.2</v>
      </c>
      <c r="O89" s="64">
        <v>0</v>
      </c>
      <c r="P89" s="64">
        <v>0.37</v>
      </c>
      <c r="Q89" s="64">
        <v>9.1199999999999992</v>
      </c>
      <c r="R89" s="198"/>
      <c r="S89" s="198"/>
      <c r="T89" s="198"/>
      <c r="U89" s="198"/>
    </row>
    <row r="90" spans="1:26" s="12" customFormat="1" x14ac:dyDescent="0.25">
      <c r="A90" s="211" t="s">
        <v>1190</v>
      </c>
      <c r="B90" s="64">
        <v>7.36</v>
      </c>
      <c r="C90" s="64">
        <v>23.51</v>
      </c>
      <c r="D90" s="64">
        <v>33.700000000000003</v>
      </c>
      <c r="E90" s="64">
        <v>6.02</v>
      </c>
      <c r="F90" s="64">
        <v>10.99</v>
      </c>
      <c r="G90" s="64">
        <v>72.08</v>
      </c>
      <c r="H90" s="64">
        <v>22.88</v>
      </c>
      <c r="I90" s="64">
        <v>3.81</v>
      </c>
      <c r="J90" s="64">
        <v>0</v>
      </c>
      <c r="K90" s="64">
        <v>239.28</v>
      </c>
      <c r="L90" s="64">
        <v>28.17</v>
      </c>
      <c r="M90" s="64">
        <v>64.41</v>
      </c>
      <c r="N90" s="64">
        <v>86</v>
      </c>
      <c r="O90" s="64">
        <v>0</v>
      </c>
      <c r="P90" s="64">
        <v>0.37</v>
      </c>
      <c r="Q90" s="64">
        <v>9.16</v>
      </c>
      <c r="R90" s="198"/>
      <c r="S90" s="198"/>
      <c r="T90" s="198"/>
      <c r="U90" s="198"/>
    </row>
    <row r="91" spans="1:26" s="12" customFormat="1" x14ac:dyDescent="0.25">
      <c r="A91" s="211" t="s">
        <v>1191</v>
      </c>
      <c r="B91" s="64">
        <v>8.1999999999999993</v>
      </c>
      <c r="C91" s="64">
        <v>25.07</v>
      </c>
      <c r="D91" s="64">
        <v>35.4</v>
      </c>
      <c r="E91" s="64">
        <v>5.99</v>
      </c>
      <c r="F91" s="64">
        <v>11.56</v>
      </c>
      <c r="G91" s="64">
        <v>72.08</v>
      </c>
      <c r="H91" s="64">
        <v>22.88</v>
      </c>
      <c r="I91" s="64">
        <v>3.91</v>
      </c>
      <c r="J91" s="64">
        <v>0.03</v>
      </c>
      <c r="K91" s="64">
        <v>289.13</v>
      </c>
      <c r="L91" s="64">
        <v>28.12</v>
      </c>
      <c r="M91" s="64">
        <v>64.63</v>
      </c>
      <c r="N91" s="64">
        <v>78.2</v>
      </c>
      <c r="O91" s="64">
        <v>0</v>
      </c>
      <c r="P91" s="64">
        <v>0.46</v>
      </c>
      <c r="Q91" s="64">
        <v>9.18</v>
      </c>
      <c r="R91" s="198"/>
      <c r="S91" s="198"/>
      <c r="T91" s="198"/>
      <c r="U91" s="198"/>
    </row>
    <row r="92" spans="1:26" s="12" customFormat="1" x14ac:dyDescent="0.25">
      <c r="A92" s="211" t="s">
        <v>1192</v>
      </c>
      <c r="B92" s="64">
        <v>26.17</v>
      </c>
      <c r="C92" s="64">
        <v>50.52</v>
      </c>
      <c r="D92" s="64">
        <v>56.53</v>
      </c>
      <c r="E92" s="64">
        <v>6.13</v>
      </c>
      <c r="F92" s="64">
        <v>6.29</v>
      </c>
      <c r="G92" s="64">
        <v>72.66</v>
      </c>
      <c r="H92" s="64">
        <v>21.09</v>
      </c>
      <c r="I92" s="64">
        <v>3.88</v>
      </c>
      <c r="J92" s="64">
        <v>0.03</v>
      </c>
      <c r="K92" s="64">
        <v>322.26</v>
      </c>
      <c r="L92" s="64">
        <v>28.32</v>
      </c>
      <c r="M92" s="64">
        <v>64.19</v>
      </c>
      <c r="N92" s="64">
        <v>75.599999999999994</v>
      </c>
      <c r="O92" s="64">
        <v>0</v>
      </c>
      <c r="P92" s="64">
        <v>0.99</v>
      </c>
      <c r="Q92" s="64">
        <v>9.19</v>
      </c>
      <c r="R92" s="198"/>
      <c r="S92" s="198"/>
      <c r="T92" s="198"/>
      <c r="U92" s="198"/>
    </row>
    <row r="93" spans="1:26" s="12" customFormat="1" x14ac:dyDescent="0.25">
      <c r="A93" s="211" t="s">
        <v>1193</v>
      </c>
      <c r="B93" s="64">
        <v>16.14</v>
      </c>
      <c r="C93" s="64">
        <v>38.340000000000003</v>
      </c>
      <c r="D93" s="64">
        <v>48.61</v>
      </c>
      <c r="E93" s="64">
        <v>5.64</v>
      </c>
      <c r="F93" s="64">
        <v>7.67</v>
      </c>
      <c r="G93" s="64">
        <v>74.27</v>
      </c>
      <c r="H93" s="64">
        <v>16.170000000000002</v>
      </c>
      <c r="I93" s="64">
        <v>4.0599999999999996</v>
      </c>
      <c r="J93" s="64">
        <v>0.06</v>
      </c>
      <c r="K93" s="64">
        <v>222.96</v>
      </c>
      <c r="L93" s="64">
        <v>28.24</v>
      </c>
      <c r="M93" s="64">
        <v>64.010000000000005</v>
      </c>
      <c r="N93" s="64">
        <v>74.7</v>
      </c>
      <c r="O93" s="64">
        <v>0</v>
      </c>
      <c r="P93" s="64">
        <v>0.62</v>
      </c>
      <c r="Q93" s="64">
        <v>9.2200000000000006</v>
      </c>
      <c r="R93" s="198"/>
      <c r="S93" s="198"/>
      <c r="T93" s="198"/>
      <c r="U93" s="198"/>
    </row>
    <row r="94" spans="1:26" s="12" customFormat="1" x14ac:dyDescent="0.25">
      <c r="A94" s="211" t="s">
        <v>1194</v>
      </c>
      <c r="B94" s="64">
        <v>6</v>
      </c>
      <c r="C94" s="64">
        <v>23.97</v>
      </c>
      <c r="D94" s="64">
        <v>36.67</v>
      </c>
      <c r="E94" s="64">
        <v>6.23</v>
      </c>
      <c r="F94" s="64">
        <v>10.28</v>
      </c>
      <c r="G94" s="64">
        <v>74.27</v>
      </c>
      <c r="H94" s="64">
        <v>16.170000000000002</v>
      </c>
      <c r="I94" s="64">
        <v>3.8</v>
      </c>
      <c r="J94" s="64">
        <v>0.04</v>
      </c>
      <c r="K94" s="64">
        <v>278.32</v>
      </c>
      <c r="L94" s="64">
        <v>28.26</v>
      </c>
      <c r="M94" s="64">
        <v>63.56</v>
      </c>
      <c r="N94" s="64">
        <v>74.5</v>
      </c>
      <c r="O94" s="64">
        <v>0</v>
      </c>
      <c r="P94" s="64">
        <v>0.34</v>
      </c>
      <c r="Q94" s="64">
        <v>9.26</v>
      </c>
      <c r="R94" s="198"/>
      <c r="S94" s="198"/>
      <c r="T94" s="198"/>
      <c r="U94" s="198"/>
    </row>
    <row r="95" spans="1:26" s="12" customFormat="1" x14ac:dyDescent="0.25">
      <c r="A95" s="211" t="s">
        <v>1195</v>
      </c>
      <c r="B95" s="64">
        <v>6.92</v>
      </c>
      <c r="C95" s="64">
        <v>27.92</v>
      </c>
      <c r="D95" s="64">
        <v>42.81</v>
      </c>
      <c r="E95" s="64">
        <v>6.41</v>
      </c>
      <c r="F95" s="64">
        <v>9.34</v>
      </c>
      <c r="G95" s="64">
        <v>74.27</v>
      </c>
      <c r="H95" s="64">
        <v>16.170000000000002</v>
      </c>
      <c r="I95" s="64">
        <v>4.01</v>
      </c>
      <c r="J95" s="64">
        <v>0.13</v>
      </c>
      <c r="K95" s="64">
        <v>158.87</v>
      </c>
      <c r="L95" s="64">
        <v>28.24</v>
      </c>
      <c r="M95" s="64">
        <v>63.59</v>
      </c>
      <c r="N95" s="64">
        <v>73.2</v>
      </c>
      <c r="O95" s="64">
        <v>0</v>
      </c>
      <c r="P95" s="64">
        <v>0.34</v>
      </c>
      <c r="Q95" s="64">
        <v>9.2799999999999994</v>
      </c>
      <c r="R95" s="198"/>
      <c r="S95" s="198"/>
      <c r="T95" s="198"/>
      <c r="U95" s="198"/>
    </row>
    <row r="96" spans="1:26" s="12" customFormat="1" x14ac:dyDescent="0.25">
      <c r="A96" s="211" t="s">
        <v>1196</v>
      </c>
      <c r="B96" s="64">
        <v>11.2</v>
      </c>
      <c r="C96" s="64">
        <v>30.52</v>
      </c>
      <c r="D96" s="64">
        <v>41.22</v>
      </c>
      <c r="E96" s="64">
        <v>6.15</v>
      </c>
      <c r="F96" s="64">
        <v>8.83</v>
      </c>
      <c r="G96" s="64">
        <v>74.03</v>
      </c>
      <c r="H96" s="64">
        <v>17.079999999999998</v>
      </c>
      <c r="I96" s="64">
        <v>4.1399999999999997</v>
      </c>
      <c r="J96" s="64">
        <v>0.05</v>
      </c>
      <c r="K96" s="64">
        <v>252.52</v>
      </c>
      <c r="L96" s="64">
        <v>28.16</v>
      </c>
      <c r="M96" s="64">
        <v>64.53</v>
      </c>
      <c r="N96" s="64">
        <v>73.5</v>
      </c>
      <c r="O96" s="64">
        <v>0</v>
      </c>
      <c r="P96" s="64">
        <v>0.41</v>
      </c>
      <c r="Q96" s="64">
        <v>9.2799999999999994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1197</v>
      </c>
      <c r="B97" s="64">
        <v>9.06</v>
      </c>
      <c r="C97" s="64">
        <v>23.34</v>
      </c>
      <c r="D97" s="64">
        <v>30.77</v>
      </c>
      <c r="E97" s="64">
        <v>6.3</v>
      </c>
      <c r="F97" s="64">
        <v>7.04</v>
      </c>
      <c r="G97" s="64">
        <v>73.430000000000007</v>
      </c>
      <c r="H97" s="64">
        <v>19.59</v>
      </c>
      <c r="I97" s="64">
        <v>3.86</v>
      </c>
      <c r="J97" s="64">
        <v>0.02</v>
      </c>
      <c r="K97" s="64">
        <v>171.09</v>
      </c>
      <c r="L97" s="64">
        <v>28.12</v>
      </c>
      <c r="M97" s="64">
        <v>65.25</v>
      </c>
      <c r="N97" s="64">
        <v>73.599999999999994</v>
      </c>
      <c r="O97" s="64">
        <v>0</v>
      </c>
      <c r="P97" s="64">
        <v>0.43</v>
      </c>
      <c r="Q97" s="64">
        <v>9.2899999999999991</v>
      </c>
      <c r="R97" s="198"/>
      <c r="S97" s="198"/>
      <c r="T97" s="198"/>
      <c r="U97" s="198"/>
    </row>
    <row r="98" spans="1:33" s="12" customFormat="1" x14ac:dyDescent="0.25">
      <c r="A98" s="211" t="s">
        <v>1198</v>
      </c>
      <c r="B98" s="64">
        <v>15.13</v>
      </c>
      <c r="C98" s="64">
        <v>28.21</v>
      </c>
      <c r="D98" s="64">
        <v>30.77</v>
      </c>
      <c r="E98" s="64">
        <v>6.44</v>
      </c>
      <c r="F98" s="64">
        <v>6.1</v>
      </c>
      <c r="G98" s="64">
        <v>73.430000000000007</v>
      </c>
      <c r="H98" s="64">
        <v>19.59</v>
      </c>
      <c r="I98" s="64">
        <v>4.07</v>
      </c>
      <c r="J98" s="64">
        <v>0.03</v>
      </c>
      <c r="K98" s="64">
        <v>307.62</v>
      </c>
      <c r="L98" s="64">
        <v>28.13</v>
      </c>
      <c r="M98" s="64">
        <v>65.58</v>
      </c>
      <c r="N98" s="64">
        <v>72.900000000000006</v>
      </c>
      <c r="O98" s="64">
        <v>0</v>
      </c>
      <c r="P98" s="64">
        <v>0.49</v>
      </c>
      <c r="Q98" s="64">
        <v>9.2799999999999994</v>
      </c>
      <c r="R98" s="198"/>
      <c r="S98" s="198"/>
      <c r="T98" s="198"/>
      <c r="U98" s="198"/>
    </row>
    <row r="99" spans="1:33" s="12" customFormat="1" x14ac:dyDescent="0.25">
      <c r="A99" s="211" t="s">
        <v>1199</v>
      </c>
      <c r="B99" s="64">
        <v>10.07</v>
      </c>
      <c r="C99" s="64">
        <v>21.41</v>
      </c>
      <c r="D99" s="64">
        <v>25.52</v>
      </c>
      <c r="E99" s="64">
        <v>6.15</v>
      </c>
      <c r="F99" s="64">
        <v>5.82</v>
      </c>
      <c r="G99" s="64">
        <v>73.430000000000007</v>
      </c>
      <c r="H99" s="64">
        <v>19.59</v>
      </c>
      <c r="I99" s="64">
        <v>4.04</v>
      </c>
      <c r="J99" s="64">
        <v>0.06</v>
      </c>
      <c r="K99" s="64">
        <v>307.75</v>
      </c>
      <c r="L99" s="64">
        <v>28.12</v>
      </c>
      <c r="M99" s="64">
        <v>64.680000000000007</v>
      </c>
      <c r="N99" s="64">
        <v>72.7</v>
      </c>
      <c r="O99" s="64">
        <v>0</v>
      </c>
      <c r="P99" s="64">
        <v>0.36</v>
      </c>
      <c r="Q99" s="64">
        <v>9.2799999999999994</v>
      </c>
      <c r="R99" s="198"/>
      <c r="S99" s="198"/>
      <c r="T99" s="198"/>
      <c r="U99" s="198"/>
    </row>
    <row r="100" spans="1:33" s="12" customFormat="1" x14ac:dyDescent="0.25">
      <c r="A100" s="211" t="s">
        <v>1200</v>
      </c>
      <c r="B100" s="64">
        <v>9.93</v>
      </c>
      <c r="C100" s="64">
        <v>19.12</v>
      </c>
      <c r="D100" s="64">
        <v>21.35</v>
      </c>
      <c r="E100" s="64">
        <v>5.78</v>
      </c>
      <c r="F100" s="64">
        <v>5.41</v>
      </c>
      <c r="G100" s="64">
        <v>72.900000000000006</v>
      </c>
      <c r="H100" s="64">
        <v>18.809999999999999</v>
      </c>
      <c r="I100" s="64">
        <v>3.99</v>
      </c>
      <c r="J100" s="64">
        <v>0.09</v>
      </c>
      <c r="K100" s="64">
        <v>331.56</v>
      </c>
      <c r="L100" s="64">
        <v>28.18</v>
      </c>
      <c r="M100" s="64">
        <v>64.41</v>
      </c>
      <c r="N100" s="64">
        <v>72.5</v>
      </c>
      <c r="O100" s="64">
        <v>0</v>
      </c>
      <c r="P100" s="64">
        <v>0.4</v>
      </c>
      <c r="Q100" s="64">
        <v>9.25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1201</v>
      </c>
      <c r="B101" s="64">
        <v>11.33</v>
      </c>
      <c r="C101" s="64">
        <v>20.440000000000001</v>
      </c>
      <c r="D101" s="64">
        <v>21.73</v>
      </c>
      <c r="E101" s="64">
        <v>5.87</v>
      </c>
      <c r="F101" s="64">
        <v>4.46</v>
      </c>
      <c r="G101" s="64">
        <v>71.47</v>
      </c>
      <c r="H101" s="64">
        <v>16.649999999999999</v>
      </c>
      <c r="I101" s="64">
        <v>3.92</v>
      </c>
      <c r="J101" s="64">
        <v>0.19</v>
      </c>
      <c r="K101" s="64">
        <v>325.81</v>
      </c>
      <c r="L101" s="64">
        <v>28.15</v>
      </c>
      <c r="M101" s="64">
        <v>64.97</v>
      </c>
      <c r="N101" s="64">
        <v>72</v>
      </c>
      <c r="O101" s="64">
        <v>0</v>
      </c>
      <c r="P101" s="64">
        <v>0.37</v>
      </c>
      <c r="Q101" s="64">
        <v>9.26</v>
      </c>
      <c r="R101" s="198"/>
      <c r="S101" s="198"/>
      <c r="T101" s="198"/>
      <c r="U101" s="198"/>
    </row>
    <row r="102" spans="1:33" s="12" customFormat="1" x14ac:dyDescent="0.25">
      <c r="A102" s="211" t="s">
        <v>1202</v>
      </c>
      <c r="B102" s="64">
        <v>10.82</v>
      </c>
      <c r="C102" s="64">
        <v>19.190000000000001</v>
      </c>
      <c r="D102" s="64">
        <v>20.12</v>
      </c>
      <c r="E102" s="64">
        <v>5.65</v>
      </c>
      <c r="F102" s="64">
        <v>4.0199999999999996</v>
      </c>
      <c r="G102" s="64">
        <v>71.47</v>
      </c>
      <c r="H102" s="64">
        <v>16.649999999999999</v>
      </c>
      <c r="I102" s="64">
        <v>4.1399999999999997</v>
      </c>
      <c r="J102" s="64">
        <v>0.28999999999999998</v>
      </c>
      <c r="K102" s="64">
        <v>311.73</v>
      </c>
      <c r="L102" s="64">
        <v>28.19</v>
      </c>
      <c r="M102" s="64">
        <v>63.99</v>
      </c>
      <c r="N102" s="64">
        <v>71.599999999999994</v>
      </c>
      <c r="O102" s="64">
        <v>0</v>
      </c>
      <c r="P102" s="64">
        <v>0.37</v>
      </c>
      <c r="Q102" s="64">
        <v>9.25</v>
      </c>
      <c r="R102" s="198"/>
      <c r="S102" s="198"/>
      <c r="T102" s="198"/>
      <c r="U102" s="198"/>
    </row>
    <row r="103" spans="1:33" s="12" customFormat="1" x14ac:dyDescent="0.25">
      <c r="A103" s="211" t="s">
        <v>1203</v>
      </c>
      <c r="B103" s="64">
        <v>8.85</v>
      </c>
      <c r="C103" s="64">
        <v>17.62</v>
      </c>
      <c r="D103" s="64">
        <v>20.149999999999999</v>
      </c>
      <c r="E103" s="64">
        <v>5.58</v>
      </c>
      <c r="F103" s="64">
        <v>3.72</v>
      </c>
      <c r="G103" s="64">
        <v>71.47</v>
      </c>
      <c r="H103" s="64">
        <v>16.649999999999999</v>
      </c>
      <c r="I103" s="64">
        <v>3.88</v>
      </c>
      <c r="J103" s="64">
        <v>0.59</v>
      </c>
      <c r="K103" s="64">
        <v>305.89</v>
      </c>
      <c r="L103" s="64">
        <v>27.87</v>
      </c>
      <c r="M103" s="64">
        <v>66.84</v>
      </c>
      <c r="N103" s="64">
        <v>72</v>
      </c>
      <c r="O103" s="64">
        <v>0</v>
      </c>
      <c r="P103" s="64">
        <v>0.36</v>
      </c>
      <c r="Q103" s="64">
        <v>9.2200000000000006</v>
      </c>
      <c r="R103" s="198"/>
      <c r="S103" s="198"/>
      <c r="T103" s="198"/>
      <c r="U103" s="198"/>
    </row>
    <row r="104" spans="1:33" s="12" customFormat="1" x14ac:dyDescent="0.25">
      <c r="A104" s="211" t="s">
        <v>1204</v>
      </c>
      <c r="B104" s="64">
        <v>7.63</v>
      </c>
      <c r="C104" s="64">
        <v>16.32</v>
      </c>
      <c r="D104" s="64">
        <v>19.52</v>
      </c>
      <c r="E104" s="64">
        <v>4.13</v>
      </c>
      <c r="F104" s="64">
        <v>3.72</v>
      </c>
      <c r="G104" s="64">
        <v>70.650000000000006</v>
      </c>
      <c r="H104" s="64">
        <v>16.329999999999998</v>
      </c>
      <c r="I104" s="64">
        <v>3.85</v>
      </c>
      <c r="J104" s="64">
        <v>0.79</v>
      </c>
      <c r="K104" s="64">
        <v>305.64</v>
      </c>
      <c r="L104" s="64">
        <v>27.09</v>
      </c>
      <c r="M104" s="64">
        <v>74.12</v>
      </c>
      <c r="N104" s="64">
        <v>72.5</v>
      </c>
      <c r="O104" s="64">
        <v>0</v>
      </c>
      <c r="P104" s="64">
        <v>0.32</v>
      </c>
      <c r="Q104" s="64">
        <v>9.18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4.24</v>
      </c>
      <c r="C106" s="67">
        <f>MIN(C9:C104)</f>
        <v>14.73</v>
      </c>
      <c r="D106" s="67">
        <f t="shared" ref="D106:Q106" si="0">MIN(D9:D104)</f>
        <v>15.25</v>
      </c>
      <c r="E106" s="67">
        <f t="shared" si="0"/>
        <v>4.1100000000000003</v>
      </c>
      <c r="F106" s="67">
        <f t="shared" si="0"/>
        <v>3.22</v>
      </c>
      <c r="G106" s="67">
        <f t="shared" si="0"/>
        <v>45.77</v>
      </c>
      <c r="H106" s="67">
        <f t="shared" si="0"/>
        <v>7.73</v>
      </c>
      <c r="I106" s="67">
        <f t="shared" si="0"/>
        <v>3.79</v>
      </c>
      <c r="J106" s="67">
        <f t="shared" si="0"/>
        <v>0</v>
      </c>
      <c r="K106" s="67">
        <f t="shared" si="0"/>
        <v>102.65</v>
      </c>
      <c r="L106" s="67">
        <f t="shared" si="0"/>
        <v>24.35</v>
      </c>
      <c r="M106" s="67">
        <f t="shared" si="0"/>
        <v>40.11</v>
      </c>
      <c r="N106" s="67">
        <f t="shared" si="0"/>
        <v>52.4</v>
      </c>
      <c r="O106" s="67">
        <f t="shared" si="0"/>
        <v>0</v>
      </c>
      <c r="P106" s="67">
        <f t="shared" si="0"/>
        <v>0.26</v>
      </c>
      <c r="Q106" s="67">
        <f t="shared" si="0"/>
        <v>9.0399999999999991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26.17</v>
      </c>
      <c r="C107" s="66">
        <f t="shared" ref="C107:Q107" si="1">MAX(C9:C104)</f>
        <v>50.52</v>
      </c>
      <c r="D107" s="66">
        <f t="shared" si="1"/>
        <v>56.53</v>
      </c>
      <c r="E107" s="66">
        <f t="shared" si="1"/>
        <v>6.48</v>
      </c>
      <c r="F107" s="66">
        <f t="shared" si="1"/>
        <v>11.56</v>
      </c>
      <c r="G107" s="66">
        <f t="shared" si="1"/>
        <v>82.87</v>
      </c>
      <c r="H107" s="66">
        <f t="shared" si="1"/>
        <v>28.65</v>
      </c>
      <c r="I107" s="66">
        <f t="shared" si="1"/>
        <v>4.21</v>
      </c>
      <c r="J107" s="66">
        <f t="shared" si="1"/>
        <v>0.88</v>
      </c>
      <c r="K107" s="66">
        <f t="shared" si="1"/>
        <v>353.59</v>
      </c>
      <c r="L107" s="66">
        <f t="shared" si="1"/>
        <v>34.299999999999997</v>
      </c>
      <c r="M107" s="66">
        <f t="shared" si="1"/>
        <v>99.33</v>
      </c>
      <c r="N107" s="66">
        <f t="shared" si="1"/>
        <v>880.7</v>
      </c>
      <c r="O107" s="66">
        <f t="shared" si="1"/>
        <v>0</v>
      </c>
      <c r="P107" s="66">
        <f t="shared" si="1"/>
        <v>0.99</v>
      </c>
      <c r="Q107" s="66">
        <f t="shared" si="1"/>
        <v>9.44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8.8929166666666681</v>
      </c>
      <c r="C108" s="67">
        <f t="shared" ref="C108:Q108" si="2">AVERAGE(C9:C104)</f>
        <v>19.295104166666658</v>
      </c>
      <c r="D108" s="67">
        <f t="shared" si="2"/>
        <v>23.280937499999997</v>
      </c>
      <c r="E108" s="67">
        <f t="shared" si="2"/>
        <v>5.4446875000000015</v>
      </c>
      <c r="F108" s="67">
        <f t="shared" si="2"/>
        <v>5.6614583333333357</v>
      </c>
      <c r="G108" s="67">
        <f t="shared" si="2"/>
        <v>67.994687500000012</v>
      </c>
      <c r="H108" s="67">
        <f t="shared" si="2"/>
        <v>17.918229166666666</v>
      </c>
      <c r="I108" s="67">
        <f t="shared" si="2"/>
        <v>4.0053125000000014</v>
      </c>
      <c r="J108" s="67">
        <f t="shared" si="2"/>
        <v>0.28864583333333321</v>
      </c>
      <c r="K108" s="67">
        <f t="shared" si="2"/>
        <v>253.3002083333333</v>
      </c>
      <c r="L108" s="67">
        <f t="shared" si="2"/>
        <v>29.078645833333336</v>
      </c>
      <c r="M108" s="67">
        <f t="shared" si="2"/>
        <v>68.274479166666666</v>
      </c>
      <c r="N108" s="67">
        <f t="shared" si="2"/>
        <v>229.34583333333339</v>
      </c>
      <c r="O108" s="67">
        <f t="shared" si="2"/>
        <v>0</v>
      </c>
      <c r="P108" s="67">
        <f t="shared" si="2"/>
        <v>0.40947916666666678</v>
      </c>
      <c r="Q108" s="67">
        <f t="shared" si="2"/>
        <v>9.2169791666666612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3.6968108351492828</v>
      </c>
      <c r="C109" s="67">
        <f t="shared" ref="C109:Q109" si="3">STDEV(C9:C104)</f>
        <v>4.7838286791168096</v>
      </c>
      <c r="D109" s="67">
        <f t="shared" si="3"/>
        <v>6.8402753219635422</v>
      </c>
      <c r="E109" s="67">
        <f t="shared" si="3"/>
        <v>0.64768080690379415</v>
      </c>
      <c r="F109" s="67">
        <f t="shared" si="3"/>
        <v>1.6562335070347232</v>
      </c>
      <c r="G109" s="67">
        <f t="shared" si="3"/>
        <v>10.138282939134568</v>
      </c>
      <c r="H109" s="67">
        <f t="shared" si="3"/>
        <v>5.1670337606572643</v>
      </c>
      <c r="I109" s="67">
        <f t="shared" si="3"/>
        <v>0.10102582395240911</v>
      </c>
      <c r="J109" s="67">
        <f t="shared" si="3"/>
        <v>0.21520917507180717</v>
      </c>
      <c r="K109" s="67">
        <f t="shared" si="3"/>
        <v>69.704888992307005</v>
      </c>
      <c r="L109" s="67">
        <f t="shared" si="3"/>
        <v>3.5220743349075017</v>
      </c>
      <c r="M109" s="67">
        <f t="shared" si="3"/>
        <v>21.710694375173574</v>
      </c>
      <c r="N109" s="67">
        <f t="shared" si="3"/>
        <v>231.12780830512341</v>
      </c>
      <c r="O109" s="67">
        <f t="shared" si="3"/>
        <v>0</v>
      </c>
      <c r="P109" s="67">
        <f t="shared" si="3"/>
        <v>0.10206674587756337</v>
      </c>
      <c r="Q109" s="67">
        <f t="shared" si="3"/>
        <v>0.10933405875347692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6" sqref="F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1205</v>
      </c>
      <c r="B9" s="64">
        <v>6.85</v>
      </c>
      <c r="C9" s="64">
        <v>15.46</v>
      </c>
      <c r="D9" s="64">
        <v>19.079999999999998</v>
      </c>
      <c r="E9" s="64">
        <v>5.0199999999999996</v>
      </c>
      <c r="F9" s="64">
        <v>4.2300000000000004</v>
      </c>
      <c r="G9" s="64">
        <v>68.510000000000005</v>
      </c>
      <c r="H9" s="64">
        <v>15.45</v>
      </c>
      <c r="I9" s="64">
        <v>3.99</v>
      </c>
      <c r="J9" s="64">
        <v>0.24</v>
      </c>
      <c r="K9" s="64">
        <v>310.76</v>
      </c>
      <c r="L9" s="64">
        <v>26.77</v>
      </c>
      <c r="M9" s="64">
        <v>77.760000000000005</v>
      </c>
      <c r="N9" s="64">
        <v>71.599999999999994</v>
      </c>
      <c r="O9" s="64">
        <v>0</v>
      </c>
      <c r="P9" s="64">
        <v>0.33</v>
      </c>
      <c r="Q9" s="64">
        <v>9.15</v>
      </c>
      <c r="R9" s="198"/>
      <c r="S9" s="198"/>
      <c r="T9" s="198"/>
      <c r="U9" s="198"/>
    </row>
    <row r="10" spans="1:21" s="12" customFormat="1" x14ac:dyDescent="0.25">
      <c r="A10" s="211" t="s">
        <v>1206</v>
      </c>
      <c r="B10" s="64">
        <v>6.16</v>
      </c>
      <c r="C10" s="64">
        <v>15.01</v>
      </c>
      <c r="D10" s="64">
        <v>19.27</v>
      </c>
      <c r="E10" s="64">
        <v>5.36</v>
      </c>
      <c r="F10" s="64">
        <v>4.8899999999999997</v>
      </c>
      <c r="G10" s="64">
        <v>68.510000000000005</v>
      </c>
      <c r="H10" s="64">
        <v>15.45</v>
      </c>
      <c r="I10" s="64">
        <v>4.01</v>
      </c>
      <c r="J10" s="64">
        <v>0.16</v>
      </c>
      <c r="K10" s="64">
        <v>305.54000000000002</v>
      </c>
      <c r="L10" s="64">
        <v>26.67</v>
      </c>
      <c r="M10" s="64">
        <v>78.8</v>
      </c>
      <c r="N10" s="64">
        <v>71.099999999999994</v>
      </c>
      <c r="O10" s="64">
        <v>0</v>
      </c>
      <c r="P10" s="64">
        <v>0.27</v>
      </c>
      <c r="Q10" s="64">
        <v>9.14</v>
      </c>
      <c r="R10" s="198"/>
      <c r="S10" s="198"/>
      <c r="T10" s="198"/>
      <c r="U10" s="198"/>
    </row>
    <row r="11" spans="1:21" s="12" customFormat="1" x14ac:dyDescent="0.25">
      <c r="A11" s="211" t="s">
        <v>1207</v>
      </c>
      <c r="B11" s="64">
        <v>5.85</v>
      </c>
      <c r="C11" s="64">
        <v>14.56</v>
      </c>
      <c r="D11" s="64">
        <v>18.899999999999999</v>
      </c>
      <c r="E11" s="64">
        <v>5.61</v>
      </c>
      <c r="F11" s="64">
        <v>6.31</v>
      </c>
      <c r="G11" s="64">
        <v>68.510000000000005</v>
      </c>
      <c r="H11" s="64">
        <v>15.45</v>
      </c>
      <c r="I11" s="64">
        <v>3.88</v>
      </c>
      <c r="J11" s="64">
        <v>0.11</v>
      </c>
      <c r="K11" s="64">
        <v>308.45</v>
      </c>
      <c r="L11" s="64">
        <v>26.64</v>
      </c>
      <c r="M11" s="64">
        <v>78.98</v>
      </c>
      <c r="N11" s="64">
        <v>71.900000000000006</v>
      </c>
      <c r="O11" s="64">
        <v>0</v>
      </c>
      <c r="P11" s="64">
        <v>0.24</v>
      </c>
      <c r="Q11" s="64">
        <v>9.1199999999999992</v>
      </c>
      <c r="R11" s="198"/>
      <c r="S11" s="198"/>
      <c r="T11" s="198"/>
      <c r="U11" s="198"/>
    </row>
    <row r="12" spans="1:21" s="12" customFormat="1" x14ac:dyDescent="0.25">
      <c r="A12" s="211" t="s">
        <v>1208</v>
      </c>
      <c r="B12" s="64">
        <v>5.51</v>
      </c>
      <c r="C12" s="64">
        <v>14.09</v>
      </c>
      <c r="D12" s="64">
        <v>18.510000000000002</v>
      </c>
      <c r="E12" s="64">
        <v>4.76</v>
      </c>
      <c r="F12" s="64">
        <v>6.49</v>
      </c>
      <c r="G12" s="64">
        <v>65.95</v>
      </c>
      <c r="H12" s="64">
        <v>14.75</v>
      </c>
      <c r="I12" s="64">
        <v>3.96</v>
      </c>
      <c r="J12" s="64">
        <v>0.14000000000000001</v>
      </c>
      <c r="K12" s="64">
        <v>317.42</v>
      </c>
      <c r="L12" s="64">
        <v>26.61</v>
      </c>
      <c r="M12" s="64">
        <v>78.73</v>
      </c>
      <c r="N12" s="64">
        <v>77.099999999999994</v>
      </c>
      <c r="O12" s="64">
        <v>0</v>
      </c>
      <c r="P12" s="64">
        <v>0.24</v>
      </c>
      <c r="Q12" s="64">
        <v>9.1199999999999992</v>
      </c>
      <c r="R12" s="198"/>
      <c r="S12" s="198"/>
      <c r="T12" s="198"/>
      <c r="U12" s="198"/>
    </row>
    <row r="13" spans="1:21" s="12" customFormat="1" x14ac:dyDescent="0.25">
      <c r="A13" s="211" t="s">
        <v>1209</v>
      </c>
      <c r="B13" s="64">
        <v>5.12</v>
      </c>
      <c r="C13" s="64">
        <v>13.44</v>
      </c>
      <c r="D13" s="64">
        <v>17.87</v>
      </c>
      <c r="E13" s="64">
        <v>4.96</v>
      </c>
      <c r="F13" s="64">
        <v>7.81</v>
      </c>
      <c r="G13" s="64">
        <v>58.91</v>
      </c>
      <c r="H13" s="64">
        <v>12.82</v>
      </c>
      <c r="I13" s="64">
        <v>3.92</v>
      </c>
      <c r="J13" s="64">
        <v>0.08</v>
      </c>
      <c r="K13" s="64">
        <v>282.35000000000002</v>
      </c>
      <c r="L13" s="64">
        <v>26.56</v>
      </c>
      <c r="M13" s="64">
        <v>78.930000000000007</v>
      </c>
      <c r="N13" s="64">
        <v>81.2</v>
      </c>
      <c r="O13" s="64">
        <v>0</v>
      </c>
      <c r="P13" s="64">
        <v>0.19</v>
      </c>
      <c r="Q13" s="64">
        <v>9.1300000000000008</v>
      </c>
      <c r="R13" s="198"/>
      <c r="S13" s="198"/>
      <c r="T13" s="198"/>
      <c r="U13" s="198"/>
    </row>
    <row r="14" spans="1:21" s="12" customFormat="1" x14ac:dyDescent="0.25">
      <c r="A14" s="211" t="s">
        <v>1210</v>
      </c>
      <c r="B14" s="64">
        <v>5.25</v>
      </c>
      <c r="C14" s="64">
        <v>13.04</v>
      </c>
      <c r="D14" s="64">
        <v>16.899999999999999</v>
      </c>
      <c r="E14" s="64">
        <v>5.35</v>
      </c>
      <c r="F14" s="64">
        <v>6.43</v>
      </c>
      <c r="G14" s="64">
        <v>58.91</v>
      </c>
      <c r="H14" s="64">
        <v>12.82</v>
      </c>
      <c r="I14" s="64">
        <v>3.95</v>
      </c>
      <c r="J14" s="64">
        <v>0.12</v>
      </c>
      <c r="K14" s="64">
        <v>286.33999999999997</v>
      </c>
      <c r="L14" s="64">
        <v>26.54</v>
      </c>
      <c r="M14" s="64">
        <v>78.88</v>
      </c>
      <c r="N14" s="64">
        <v>73.3</v>
      </c>
      <c r="O14" s="64">
        <v>0</v>
      </c>
      <c r="P14" s="64">
        <v>0.22</v>
      </c>
      <c r="Q14" s="64">
        <v>9.15</v>
      </c>
      <c r="R14" s="198"/>
      <c r="S14" s="198"/>
      <c r="T14" s="198"/>
      <c r="U14" s="198"/>
    </row>
    <row r="15" spans="1:21" s="12" customFormat="1" x14ac:dyDescent="0.25">
      <c r="A15" s="211" t="s">
        <v>1211</v>
      </c>
      <c r="B15" s="64">
        <v>5.38</v>
      </c>
      <c r="C15" s="64">
        <v>12.42</v>
      </c>
      <c r="D15" s="64">
        <v>15.51</v>
      </c>
      <c r="E15" s="64">
        <v>5.24</v>
      </c>
      <c r="F15" s="64">
        <v>7.06</v>
      </c>
      <c r="G15" s="64">
        <v>58.91</v>
      </c>
      <c r="H15" s="64">
        <v>12.82</v>
      </c>
      <c r="I15" s="64">
        <v>4.2300000000000004</v>
      </c>
      <c r="J15" s="64">
        <v>0.12</v>
      </c>
      <c r="K15" s="64">
        <v>302.54000000000002</v>
      </c>
      <c r="L15" s="64">
        <v>26.55</v>
      </c>
      <c r="M15" s="64">
        <v>79.05</v>
      </c>
      <c r="N15" s="64">
        <v>72.2</v>
      </c>
      <c r="O15" s="64">
        <v>0</v>
      </c>
      <c r="P15" s="64">
        <v>0.2</v>
      </c>
      <c r="Q15" s="64">
        <v>9.15</v>
      </c>
      <c r="R15" s="198"/>
      <c r="S15" s="198"/>
      <c r="T15" s="198"/>
      <c r="U15" s="198"/>
    </row>
    <row r="16" spans="1:21" s="12" customFormat="1" x14ac:dyDescent="0.25">
      <c r="A16" s="211" t="s">
        <v>1212</v>
      </c>
      <c r="B16" s="64">
        <v>5.2</v>
      </c>
      <c r="C16" s="64">
        <v>11.86</v>
      </c>
      <c r="D16" s="64">
        <v>14.71</v>
      </c>
      <c r="E16" s="64">
        <v>5.53</v>
      </c>
      <c r="F16" s="64">
        <v>7.69</v>
      </c>
      <c r="G16" s="64">
        <v>56.61</v>
      </c>
      <c r="H16" s="64">
        <v>11.8</v>
      </c>
      <c r="I16" s="64">
        <v>4.0599999999999996</v>
      </c>
      <c r="J16" s="64">
        <v>0.09</v>
      </c>
      <c r="K16" s="64">
        <v>279.42</v>
      </c>
      <c r="L16" s="64">
        <v>26.44</v>
      </c>
      <c r="M16" s="64">
        <v>79.94</v>
      </c>
      <c r="N16" s="64">
        <v>71.900000000000006</v>
      </c>
      <c r="O16" s="64">
        <v>0</v>
      </c>
      <c r="P16" s="64">
        <v>0.18</v>
      </c>
      <c r="Q16" s="64">
        <v>9.14</v>
      </c>
      <c r="R16" s="198"/>
      <c r="S16" s="198"/>
      <c r="T16" s="198"/>
      <c r="U16" s="198"/>
    </row>
    <row r="17" spans="1:21" s="12" customFormat="1" x14ac:dyDescent="0.25">
      <c r="A17" s="211" t="s">
        <v>1213</v>
      </c>
      <c r="B17" s="64">
        <v>5.32</v>
      </c>
      <c r="C17" s="64">
        <v>11.91</v>
      </c>
      <c r="D17" s="64">
        <v>14.64</v>
      </c>
      <c r="E17" s="64">
        <v>5.03</v>
      </c>
      <c r="F17" s="64">
        <v>5.7</v>
      </c>
      <c r="G17" s="64">
        <v>50.27</v>
      </c>
      <c r="H17" s="64">
        <v>9</v>
      </c>
      <c r="I17" s="64">
        <v>3.88</v>
      </c>
      <c r="J17" s="64">
        <v>0.14000000000000001</v>
      </c>
      <c r="K17" s="64">
        <v>302.88</v>
      </c>
      <c r="L17" s="64">
        <v>26.37</v>
      </c>
      <c r="M17" s="64">
        <v>80.709999999999994</v>
      </c>
      <c r="N17" s="64">
        <v>71.599999999999994</v>
      </c>
      <c r="O17" s="64">
        <v>0</v>
      </c>
      <c r="P17" s="64">
        <v>0.2</v>
      </c>
      <c r="Q17" s="64">
        <v>9.1300000000000008</v>
      </c>
      <c r="R17" s="198"/>
      <c r="S17" s="198"/>
      <c r="T17" s="198"/>
      <c r="U17" s="198"/>
    </row>
    <row r="18" spans="1:21" s="12" customFormat="1" x14ac:dyDescent="0.25">
      <c r="A18" s="211" t="s">
        <v>1214</v>
      </c>
      <c r="B18" s="64">
        <v>5.42</v>
      </c>
      <c r="C18" s="64">
        <v>11.87</v>
      </c>
      <c r="D18" s="64">
        <v>14.4</v>
      </c>
      <c r="E18" s="64">
        <v>5.4</v>
      </c>
      <c r="F18" s="64">
        <v>6.38</v>
      </c>
      <c r="G18" s="64">
        <v>50.27</v>
      </c>
      <c r="H18" s="64">
        <v>9</v>
      </c>
      <c r="I18" s="64">
        <v>3.96</v>
      </c>
      <c r="J18" s="64">
        <v>0.12</v>
      </c>
      <c r="K18" s="64">
        <v>306.72000000000003</v>
      </c>
      <c r="L18" s="64">
        <v>26.27</v>
      </c>
      <c r="M18" s="64">
        <v>81.760000000000005</v>
      </c>
      <c r="N18" s="64">
        <v>71.5</v>
      </c>
      <c r="O18" s="64">
        <v>0</v>
      </c>
      <c r="P18" s="64">
        <v>0.19</v>
      </c>
      <c r="Q18" s="64">
        <v>9.1300000000000008</v>
      </c>
      <c r="R18" s="198"/>
      <c r="S18" s="198"/>
      <c r="T18" s="198"/>
      <c r="U18" s="198"/>
    </row>
    <row r="19" spans="1:21" s="12" customFormat="1" x14ac:dyDescent="0.25">
      <c r="A19" s="211" t="s">
        <v>1215</v>
      </c>
      <c r="B19" s="64">
        <v>5.78</v>
      </c>
      <c r="C19" s="64">
        <v>12.41</v>
      </c>
      <c r="D19" s="64">
        <v>14.87</v>
      </c>
      <c r="E19" s="64">
        <v>5.3</v>
      </c>
      <c r="F19" s="64">
        <v>4.37</v>
      </c>
      <c r="G19" s="64">
        <v>50.27</v>
      </c>
      <c r="H19" s="64">
        <v>9</v>
      </c>
      <c r="I19" s="64">
        <v>4.07</v>
      </c>
      <c r="J19" s="64">
        <v>0.16</v>
      </c>
      <c r="K19" s="64">
        <v>303.12</v>
      </c>
      <c r="L19" s="64">
        <v>26.23</v>
      </c>
      <c r="M19" s="64">
        <v>82.21</v>
      </c>
      <c r="N19" s="64">
        <v>71.8</v>
      </c>
      <c r="O19" s="64">
        <v>0</v>
      </c>
      <c r="P19" s="64">
        <v>0.23</v>
      </c>
      <c r="Q19" s="64">
        <v>9.1199999999999992</v>
      </c>
      <c r="R19" s="198"/>
      <c r="S19" s="198"/>
      <c r="T19" s="198"/>
      <c r="U19" s="198"/>
    </row>
    <row r="20" spans="1:21" s="12" customFormat="1" x14ac:dyDescent="0.25">
      <c r="A20" s="211" t="s">
        <v>1216</v>
      </c>
      <c r="B20" s="64">
        <v>6.04</v>
      </c>
      <c r="C20" s="64">
        <v>13.1</v>
      </c>
      <c r="D20" s="64">
        <v>15.81</v>
      </c>
      <c r="E20" s="64">
        <v>5.37</v>
      </c>
      <c r="F20" s="64">
        <v>3.79</v>
      </c>
      <c r="G20" s="64">
        <v>48.95</v>
      </c>
      <c r="H20" s="64">
        <v>12.89</v>
      </c>
      <c r="I20" s="64">
        <v>3.9</v>
      </c>
      <c r="J20" s="64">
        <v>0.18</v>
      </c>
      <c r="K20" s="64">
        <v>294.11</v>
      </c>
      <c r="L20" s="64">
        <v>26.21</v>
      </c>
      <c r="M20" s="64">
        <v>82.41</v>
      </c>
      <c r="N20" s="64">
        <v>72.400000000000006</v>
      </c>
      <c r="O20" s="64">
        <v>0</v>
      </c>
      <c r="P20" s="64">
        <v>0.23</v>
      </c>
      <c r="Q20" s="64">
        <v>9.1</v>
      </c>
      <c r="R20" s="198"/>
      <c r="S20" s="198"/>
      <c r="T20" s="198"/>
      <c r="U20" s="198"/>
    </row>
    <row r="21" spans="1:21" s="12" customFormat="1" x14ac:dyDescent="0.25">
      <c r="A21" s="211" t="s">
        <v>1217</v>
      </c>
      <c r="B21" s="64">
        <v>5.9</v>
      </c>
      <c r="C21" s="64">
        <v>12.64</v>
      </c>
      <c r="D21" s="64">
        <v>15.14</v>
      </c>
      <c r="E21" s="64">
        <v>5.25</v>
      </c>
      <c r="F21" s="64">
        <v>4.08</v>
      </c>
      <c r="G21" s="64">
        <v>45.3</v>
      </c>
      <c r="H21" s="64">
        <v>23.59</v>
      </c>
      <c r="I21" s="64">
        <v>4.12</v>
      </c>
      <c r="J21" s="64">
        <v>0.18</v>
      </c>
      <c r="K21" s="64">
        <v>293.11</v>
      </c>
      <c r="L21" s="64">
        <v>26.14</v>
      </c>
      <c r="M21" s="64">
        <v>82.59</v>
      </c>
      <c r="N21" s="64">
        <v>62.4</v>
      </c>
      <c r="O21" s="64">
        <v>0</v>
      </c>
      <c r="P21" s="64">
        <v>0.2</v>
      </c>
      <c r="Q21" s="64">
        <v>9.08</v>
      </c>
      <c r="R21" s="198"/>
      <c r="S21" s="198"/>
      <c r="T21" s="198"/>
      <c r="U21" s="198"/>
    </row>
    <row r="22" spans="1:21" s="12" customFormat="1" x14ac:dyDescent="0.25">
      <c r="A22" s="211" t="s">
        <v>1218</v>
      </c>
      <c r="B22" s="64">
        <v>5.89</v>
      </c>
      <c r="C22" s="64">
        <v>12.63</v>
      </c>
      <c r="D22" s="64">
        <v>15.13</v>
      </c>
      <c r="E22" s="64">
        <v>5.23</v>
      </c>
      <c r="F22" s="64">
        <v>3.73</v>
      </c>
      <c r="G22" s="64">
        <v>45.3</v>
      </c>
      <c r="H22" s="64">
        <v>23.59</v>
      </c>
      <c r="I22" s="64">
        <v>3.97</v>
      </c>
      <c r="J22" s="64">
        <v>0.19</v>
      </c>
      <c r="K22" s="64">
        <v>289.26</v>
      </c>
      <c r="L22" s="64">
        <v>26.1</v>
      </c>
      <c r="M22" s="64">
        <v>82.6</v>
      </c>
      <c r="N22" s="64">
        <v>59</v>
      </c>
      <c r="O22" s="64">
        <v>0</v>
      </c>
      <c r="P22" s="64">
        <v>0.22</v>
      </c>
      <c r="Q22" s="64">
        <v>9.08</v>
      </c>
      <c r="R22" s="198"/>
      <c r="S22" s="198"/>
      <c r="T22" s="198"/>
      <c r="U22" s="198"/>
    </row>
    <row r="23" spans="1:21" s="12" customFormat="1" x14ac:dyDescent="0.25">
      <c r="A23" s="211" t="s">
        <v>1219</v>
      </c>
      <c r="B23" s="64">
        <v>5.81</v>
      </c>
      <c r="C23" s="64">
        <v>12.58</v>
      </c>
      <c r="D23" s="64">
        <v>15.15</v>
      </c>
      <c r="E23" s="64">
        <v>5.39</v>
      </c>
      <c r="F23" s="64">
        <v>3.52</v>
      </c>
      <c r="G23" s="64">
        <v>45.3</v>
      </c>
      <c r="H23" s="64">
        <v>23.59</v>
      </c>
      <c r="I23" s="64">
        <v>4.04</v>
      </c>
      <c r="J23" s="64">
        <v>0.15</v>
      </c>
      <c r="K23" s="64">
        <v>289.02</v>
      </c>
      <c r="L23" s="64">
        <v>26.03</v>
      </c>
      <c r="M23" s="64">
        <v>82.29</v>
      </c>
      <c r="N23" s="64">
        <v>59.6</v>
      </c>
      <c r="O23" s="64">
        <v>0</v>
      </c>
      <c r="P23" s="64">
        <v>0.2</v>
      </c>
      <c r="Q23" s="64">
        <v>9.08</v>
      </c>
      <c r="R23" s="198"/>
      <c r="S23" s="198"/>
      <c r="T23" s="198"/>
      <c r="U23" s="198"/>
    </row>
    <row r="24" spans="1:21" s="12" customFormat="1" x14ac:dyDescent="0.25">
      <c r="A24" s="211" t="s">
        <v>1220</v>
      </c>
      <c r="B24" s="64">
        <v>5.8</v>
      </c>
      <c r="C24" s="64">
        <v>12.36</v>
      </c>
      <c r="D24" s="64">
        <v>14.76</v>
      </c>
      <c r="E24" s="64">
        <v>5.12</v>
      </c>
      <c r="F24" s="64">
        <v>4.12</v>
      </c>
      <c r="G24" s="64">
        <v>43.91</v>
      </c>
      <c r="H24" s="64">
        <v>23.26</v>
      </c>
      <c r="I24" s="64">
        <v>4.1399999999999997</v>
      </c>
      <c r="J24" s="64">
        <v>0.2</v>
      </c>
      <c r="K24" s="64">
        <v>293.8</v>
      </c>
      <c r="L24" s="64">
        <v>25.94</v>
      </c>
      <c r="M24" s="64">
        <v>81.92</v>
      </c>
      <c r="N24" s="64">
        <v>60.2</v>
      </c>
      <c r="O24" s="64">
        <v>0</v>
      </c>
      <c r="P24" s="64">
        <v>0.2</v>
      </c>
      <c r="Q24" s="64">
        <v>9.07</v>
      </c>
      <c r="R24" s="198"/>
      <c r="S24" s="198"/>
      <c r="T24" s="198"/>
      <c r="U24" s="198"/>
    </row>
    <row r="25" spans="1:21" s="12" customFormat="1" x14ac:dyDescent="0.25">
      <c r="A25" s="211" t="s">
        <v>1221</v>
      </c>
      <c r="B25" s="64">
        <v>5.92</v>
      </c>
      <c r="C25" s="64">
        <v>12.74</v>
      </c>
      <c r="D25" s="64">
        <v>15.29</v>
      </c>
      <c r="E25" s="64">
        <v>5.1100000000000003</v>
      </c>
      <c r="F25" s="64">
        <v>3.1</v>
      </c>
      <c r="G25" s="64">
        <v>40.08</v>
      </c>
      <c r="H25" s="64">
        <v>22.35</v>
      </c>
      <c r="I25" s="64">
        <v>4.05</v>
      </c>
      <c r="J25" s="64">
        <v>0.18</v>
      </c>
      <c r="K25" s="64">
        <v>298.69</v>
      </c>
      <c r="L25" s="64">
        <v>25.84</v>
      </c>
      <c r="M25" s="64">
        <v>81.98</v>
      </c>
      <c r="N25" s="64">
        <v>61.3</v>
      </c>
      <c r="O25" s="64">
        <v>0</v>
      </c>
      <c r="P25" s="64">
        <v>0.2</v>
      </c>
      <c r="Q25" s="64">
        <v>9.07</v>
      </c>
      <c r="R25" s="198"/>
      <c r="S25" s="198"/>
      <c r="T25" s="198"/>
      <c r="U25" s="198"/>
    </row>
    <row r="26" spans="1:21" s="12" customFormat="1" x14ac:dyDescent="0.25">
      <c r="A26" s="211" t="s">
        <v>1222</v>
      </c>
      <c r="B26" s="64">
        <v>5.94</v>
      </c>
      <c r="C26" s="64">
        <v>12.71</v>
      </c>
      <c r="D26" s="64">
        <v>15.22</v>
      </c>
      <c r="E26" s="64">
        <v>4.91</v>
      </c>
      <c r="F26" s="64">
        <v>3.15</v>
      </c>
      <c r="G26" s="64">
        <v>40.08</v>
      </c>
      <c r="H26" s="64">
        <v>22.35</v>
      </c>
      <c r="I26" s="64">
        <v>4.07</v>
      </c>
      <c r="J26" s="64">
        <v>0.21</v>
      </c>
      <c r="K26" s="64">
        <v>289.60000000000002</v>
      </c>
      <c r="L26" s="64">
        <v>25.62</v>
      </c>
      <c r="M26" s="64">
        <v>82.08</v>
      </c>
      <c r="N26" s="64">
        <v>63.4</v>
      </c>
      <c r="O26" s="64">
        <v>0</v>
      </c>
      <c r="P26" s="64">
        <v>0.18</v>
      </c>
      <c r="Q26" s="64">
        <v>9.07</v>
      </c>
      <c r="R26" s="198"/>
      <c r="S26" s="198"/>
      <c r="T26" s="198"/>
      <c r="U26" s="198"/>
    </row>
    <row r="27" spans="1:21" s="12" customFormat="1" x14ac:dyDescent="0.25">
      <c r="A27" s="211" t="s">
        <v>1223</v>
      </c>
      <c r="B27" s="64">
        <v>5.72</v>
      </c>
      <c r="C27" s="64">
        <v>12.36</v>
      </c>
      <c r="D27" s="64">
        <v>14.88</v>
      </c>
      <c r="E27" s="64">
        <v>5.09</v>
      </c>
      <c r="F27" s="64">
        <v>4.16</v>
      </c>
      <c r="G27" s="64">
        <v>40.08</v>
      </c>
      <c r="H27" s="64">
        <v>22.35</v>
      </c>
      <c r="I27" s="64">
        <v>3.9</v>
      </c>
      <c r="J27" s="64">
        <v>0.23</v>
      </c>
      <c r="K27" s="64">
        <v>293.27</v>
      </c>
      <c r="L27" s="64">
        <v>25.44</v>
      </c>
      <c r="M27" s="64">
        <v>82.19</v>
      </c>
      <c r="N27" s="64">
        <v>72.8</v>
      </c>
      <c r="O27" s="64">
        <v>0</v>
      </c>
      <c r="P27" s="64">
        <v>0.18</v>
      </c>
      <c r="Q27" s="64">
        <v>9.0500000000000007</v>
      </c>
      <c r="R27" s="198"/>
      <c r="S27" s="198"/>
      <c r="T27" s="198"/>
      <c r="U27" s="198"/>
    </row>
    <row r="28" spans="1:21" s="12" customFormat="1" x14ac:dyDescent="0.25">
      <c r="A28" s="211" t="s">
        <v>1224</v>
      </c>
      <c r="B28" s="64">
        <v>5.74</v>
      </c>
      <c r="C28" s="64">
        <v>12.87</v>
      </c>
      <c r="D28" s="64">
        <v>15.82</v>
      </c>
      <c r="E28" s="64">
        <v>5.15</v>
      </c>
      <c r="F28" s="64">
        <v>2.88</v>
      </c>
      <c r="G28" s="64">
        <v>38.99</v>
      </c>
      <c r="H28" s="64">
        <v>22.35</v>
      </c>
      <c r="I28" s="64">
        <v>3.9</v>
      </c>
      <c r="J28" s="64">
        <v>0.19</v>
      </c>
      <c r="K28" s="64">
        <v>285.33</v>
      </c>
      <c r="L28" s="64">
        <v>25.27</v>
      </c>
      <c r="M28" s="64">
        <v>83.12</v>
      </c>
      <c r="N28" s="64">
        <v>68.099999999999994</v>
      </c>
      <c r="O28" s="64">
        <v>0</v>
      </c>
      <c r="P28" s="64">
        <v>0.17</v>
      </c>
      <c r="Q28" s="64">
        <v>9.0500000000000007</v>
      </c>
      <c r="R28" s="198"/>
      <c r="S28" s="198"/>
      <c r="T28" s="198"/>
      <c r="U28" s="198"/>
    </row>
    <row r="29" spans="1:21" s="12" customFormat="1" x14ac:dyDescent="0.25">
      <c r="A29" s="211" t="s">
        <v>1225</v>
      </c>
      <c r="B29" s="64">
        <v>5.86</v>
      </c>
      <c r="C29" s="64">
        <v>12.91</v>
      </c>
      <c r="D29" s="64">
        <v>15.73</v>
      </c>
      <c r="E29" s="64">
        <v>4.91</v>
      </c>
      <c r="F29" s="64">
        <v>3.51</v>
      </c>
      <c r="G29" s="64">
        <v>36</v>
      </c>
      <c r="H29" s="64">
        <v>22.33</v>
      </c>
      <c r="I29" s="64">
        <v>3.99</v>
      </c>
      <c r="J29" s="64">
        <v>0.26</v>
      </c>
      <c r="K29" s="64">
        <v>283.85000000000002</v>
      </c>
      <c r="L29" s="64">
        <v>25.07</v>
      </c>
      <c r="M29" s="64">
        <v>85.56</v>
      </c>
      <c r="N29" s="64">
        <v>69.2</v>
      </c>
      <c r="O29" s="64">
        <v>0</v>
      </c>
      <c r="P29" s="64">
        <v>0.16</v>
      </c>
      <c r="Q29" s="64">
        <v>9.07</v>
      </c>
      <c r="R29" s="198"/>
      <c r="S29" s="198"/>
      <c r="T29" s="198"/>
      <c r="U29" s="198"/>
    </row>
    <row r="30" spans="1:21" s="12" customFormat="1" x14ac:dyDescent="0.25">
      <c r="A30" s="211" t="s">
        <v>1226</v>
      </c>
      <c r="B30" s="64">
        <v>5.72</v>
      </c>
      <c r="C30" s="64">
        <v>12.72</v>
      </c>
      <c r="D30" s="64">
        <v>15.56</v>
      </c>
      <c r="E30" s="64">
        <v>5.3</v>
      </c>
      <c r="F30" s="64">
        <v>3.94</v>
      </c>
      <c r="G30" s="64">
        <v>36</v>
      </c>
      <c r="H30" s="64">
        <v>22.33</v>
      </c>
      <c r="I30" s="64">
        <v>3.96</v>
      </c>
      <c r="J30" s="64">
        <v>0.25</v>
      </c>
      <c r="K30" s="64">
        <v>284.47000000000003</v>
      </c>
      <c r="L30" s="64">
        <v>24.97</v>
      </c>
      <c r="M30" s="64">
        <v>87.42</v>
      </c>
      <c r="N30" s="64">
        <v>77.599999999999994</v>
      </c>
      <c r="O30" s="64">
        <v>0</v>
      </c>
      <c r="P30" s="64">
        <v>0.15</v>
      </c>
      <c r="Q30" s="64">
        <v>9.08</v>
      </c>
      <c r="R30" s="198"/>
      <c r="S30" s="198"/>
      <c r="T30" s="198"/>
      <c r="U30" s="198"/>
    </row>
    <row r="31" spans="1:21" s="12" customFormat="1" x14ac:dyDescent="0.25">
      <c r="A31" s="211" t="s">
        <v>1227</v>
      </c>
      <c r="B31" s="64">
        <v>5.48</v>
      </c>
      <c r="C31" s="64">
        <v>12.86</v>
      </c>
      <c r="D31" s="64">
        <v>16.21</v>
      </c>
      <c r="E31" s="64">
        <v>5.03</v>
      </c>
      <c r="F31" s="64">
        <v>4.58</v>
      </c>
      <c r="G31" s="64">
        <v>36</v>
      </c>
      <c r="H31" s="64">
        <v>22.33</v>
      </c>
      <c r="I31" s="64">
        <v>3.87</v>
      </c>
      <c r="J31" s="64">
        <v>0.19</v>
      </c>
      <c r="K31" s="64">
        <v>287.43</v>
      </c>
      <c r="L31" s="64">
        <v>24.92</v>
      </c>
      <c r="M31" s="64">
        <v>88.15</v>
      </c>
      <c r="N31" s="64">
        <v>103.4</v>
      </c>
      <c r="O31" s="64">
        <v>0</v>
      </c>
      <c r="P31" s="64">
        <v>0.14000000000000001</v>
      </c>
      <c r="Q31" s="64">
        <v>9.08</v>
      </c>
      <c r="R31" s="198"/>
      <c r="S31" s="198"/>
      <c r="T31" s="198"/>
      <c r="U31" s="198"/>
    </row>
    <row r="32" spans="1:21" s="12" customFormat="1" x14ac:dyDescent="0.25">
      <c r="A32" s="211" t="s">
        <v>1228</v>
      </c>
      <c r="B32" s="64">
        <v>5.61</v>
      </c>
      <c r="C32" s="64">
        <v>13.21</v>
      </c>
      <c r="D32" s="64">
        <v>16.66</v>
      </c>
      <c r="E32" s="64">
        <v>5.35</v>
      </c>
      <c r="F32" s="64">
        <v>3.78</v>
      </c>
      <c r="G32" s="64">
        <v>37.979999999999997</v>
      </c>
      <c r="H32" s="64">
        <v>16.37</v>
      </c>
      <c r="I32" s="64">
        <v>4.05</v>
      </c>
      <c r="J32" s="64">
        <v>0.24</v>
      </c>
      <c r="K32" s="64">
        <v>283.87</v>
      </c>
      <c r="L32" s="64">
        <v>25.12</v>
      </c>
      <c r="M32" s="64">
        <v>87.64</v>
      </c>
      <c r="N32" s="64">
        <v>126.1</v>
      </c>
      <c r="O32" s="64">
        <v>0</v>
      </c>
      <c r="P32" s="64">
        <v>0.16</v>
      </c>
      <c r="Q32" s="64">
        <v>9.08</v>
      </c>
      <c r="R32" s="198"/>
      <c r="S32" s="198"/>
      <c r="T32" s="198"/>
      <c r="U32" s="198"/>
    </row>
    <row r="33" spans="1:21" s="12" customFormat="1" x14ac:dyDescent="0.25">
      <c r="A33" s="211" t="s">
        <v>1229</v>
      </c>
      <c r="B33" s="64">
        <v>5.74</v>
      </c>
      <c r="C33" s="64">
        <v>13.44</v>
      </c>
      <c r="D33" s="64">
        <v>16.920000000000002</v>
      </c>
      <c r="E33" s="64">
        <v>4.88</v>
      </c>
      <c r="F33" s="64">
        <v>4.28</v>
      </c>
      <c r="G33" s="64">
        <v>43.44</v>
      </c>
      <c r="H33" s="64">
        <v>0</v>
      </c>
      <c r="I33" s="64">
        <v>3.86</v>
      </c>
      <c r="J33" s="64">
        <v>0.21</v>
      </c>
      <c r="K33" s="64">
        <v>293.3</v>
      </c>
      <c r="L33" s="64">
        <v>25.35</v>
      </c>
      <c r="M33" s="64">
        <v>86.91</v>
      </c>
      <c r="N33" s="64">
        <v>127.6</v>
      </c>
      <c r="O33" s="64">
        <v>0</v>
      </c>
      <c r="P33" s="64">
        <v>0.16</v>
      </c>
      <c r="Q33" s="64">
        <v>9.09</v>
      </c>
      <c r="R33" s="198"/>
      <c r="S33" s="198"/>
      <c r="T33" s="198"/>
      <c r="U33" s="198"/>
    </row>
    <row r="34" spans="1:21" s="12" customFormat="1" x14ac:dyDescent="0.25">
      <c r="A34" s="211" t="s">
        <v>1230</v>
      </c>
      <c r="B34" s="64">
        <v>5.77</v>
      </c>
      <c r="C34" s="64">
        <v>13.74</v>
      </c>
      <c r="D34" s="64">
        <v>17.440000000000001</v>
      </c>
      <c r="E34" s="64">
        <v>5.16</v>
      </c>
      <c r="F34" s="64">
        <v>4.57</v>
      </c>
      <c r="G34" s="64">
        <v>43.44</v>
      </c>
      <c r="H34" s="64">
        <v>0</v>
      </c>
      <c r="I34" s="64">
        <v>3.97</v>
      </c>
      <c r="J34" s="64">
        <v>0.22</v>
      </c>
      <c r="K34" s="64">
        <v>284.19</v>
      </c>
      <c r="L34" s="64">
        <v>25.6</v>
      </c>
      <c r="M34" s="64">
        <v>85.84</v>
      </c>
      <c r="N34" s="64">
        <v>128.9</v>
      </c>
      <c r="O34" s="64">
        <v>0</v>
      </c>
      <c r="P34" s="64">
        <v>0.16</v>
      </c>
      <c r="Q34" s="64">
        <v>9.1</v>
      </c>
      <c r="R34" s="198"/>
      <c r="S34" s="198"/>
      <c r="T34" s="198"/>
      <c r="U34" s="198"/>
    </row>
    <row r="35" spans="1:21" s="12" customFormat="1" x14ac:dyDescent="0.25">
      <c r="A35" s="211" t="s">
        <v>1231</v>
      </c>
      <c r="B35" s="64">
        <v>5.73</v>
      </c>
      <c r="C35" s="64">
        <v>13.56</v>
      </c>
      <c r="D35" s="64">
        <v>17.149999999999999</v>
      </c>
      <c r="E35" s="64">
        <v>4.8600000000000003</v>
      </c>
      <c r="F35" s="64">
        <v>4.13</v>
      </c>
      <c r="G35" s="64">
        <v>43.44</v>
      </c>
      <c r="H35" s="64">
        <v>0</v>
      </c>
      <c r="I35" s="64">
        <v>4.08</v>
      </c>
      <c r="J35" s="64">
        <v>0.24</v>
      </c>
      <c r="K35" s="64">
        <v>292.18</v>
      </c>
      <c r="L35" s="64">
        <v>25.59</v>
      </c>
      <c r="M35" s="64">
        <v>85.73</v>
      </c>
      <c r="N35" s="64">
        <v>162.30000000000001</v>
      </c>
      <c r="O35" s="64">
        <v>0</v>
      </c>
      <c r="P35" s="64">
        <v>0.16</v>
      </c>
      <c r="Q35" s="64">
        <v>9.1</v>
      </c>
      <c r="R35" s="198"/>
      <c r="S35" s="198"/>
      <c r="T35" s="198"/>
      <c r="U35" s="198"/>
    </row>
    <row r="36" spans="1:21" s="12" customFormat="1" x14ac:dyDescent="0.25">
      <c r="A36" s="211" t="s">
        <v>1232</v>
      </c>
      <c r="B36" s="64">
        <v>5.9</v>
      </c>
      <c r="C36" s="64">
        <v>13.8</v>
      </c>
      <c r="D36" s="64">
        <v>17.37</v>
      </c>
      <c r="E36" s="64">
        <v>5.47</v>
      </c>
      <c r="F36" s="64">
        <v>4.2</v>
      </c>
      <c r="G36" s="64">
        <v>44.26</v>
      </c>
      <c r="H36" s="64">
        <v>40.729999999999997</v>
      </c>
      <c r="I36" s="64">
        <v>4</v>
      </c>
      <c r="J36" s="64">
        <v>0.2</v>
      </c>
      <c r="K36" s="64">
        <v>263.91000000000003</v>
      </c>
      <c r="L36" s="64">
        <v>25.91</v>
      </c>
      <c r="M36" s="64">
        <v>84.86</v>
      </c>
      <c r="N36" s="64">
        <v>206</v>
      </c>
      <c r="O36" s="64">
        <v>0</v>
      </c>
      <c r="P36" s="64">
        <v>0.17</v>
      </c>
      <c r="Q36" s="64">
        <v>9.11</v>
      </c>
      <c r="R36" s="198"/>
      <c r="S36" s="198"/>
      <c r="T36" s="198"/>
      <c r="U36" s="198"/>
    </row>
    <row r="37" spans="1:21" s="12" customFormat="1" x14ac:dyDescent="0.25">
      <c r="A37" s="211" t="s">
        <v>1233</v>
      </c>
      <c r="B37" s="64">
        <v>5.91</v>
      </c>
      <c r="C37" s="64">
        <v>13.8</v>
      </c>
      <c r="D37" s="64">
        <v>17.350000000000001</v>
      </c>
      <c r="E37" s="64">
        <v>4.8</v>
      </c>
      <c r="F37" s="64">
        <v>3.92</v>
      </c>
      <c r="G37" s="64">
        <v>46.52</v>
      </c>
      <c r="H37" s="64">
        <v>152.74</v>
      </c>
      <c r="I37" s="64">
        <v>3.91</v>
      </c>
      <c r="J37" s="64">
        <v>0.23</v>
      </c>
      <c r="K37" s="64">
        <v>291.3</v>
      </c>
      <c r="L37" s="64">
        <v>26.61</v>
      </c>
      <c r="M37" s="64">
        <v>81.540000000000006</v>
      </c>
      <c r="N37" s="64">
        <v>340</v>
      </c>
      <c r="O37" s="64">
        <v>0</v>
      </c>
      <c r="P37" s="64">
        <v>0.16</v>
      </c>
      <c r="Q37" s="64">
        <v>9.1</v>
      </c>
      <c r="R37" s="198"/>
      <c r="S37" s="198"/>
      <c r="T37" s="198"/>
      <c r="U37" s="198"/>
    </row>
    <row r="38" spans="1:21" s="12" customFormat="1" x14ac:dyDescent="0.25">
      <c r="A38" s="211" t="s">
        <v>1234</v>
      </c>
      <c r="B38" s="64">
        <v>6.04</v>
      </c>
      <c r="C38" s="64">
        <v>14.06</v>
      </c>
      <c r="D38" s="64">
        <v>17.649999999999999</v>
      </c>
      <c r="E38" s="64">
        <v>5.19</v>
      </c>
      <c r="F38" s="64">
        <v>2.88</v>
      </c>
      <c r="G38" s="64">
        <v>46.52</v>
      </c>
      <c r="H38" s="64">
        <v>152.74</v>
      </c>
      <c r="I38" s="64">
        <v>3.93</v>
      </c>
      <c r="J38" s="64">
        <v>0.18</v>
      </c>
      <c r="K38" s="64">
        <v>286.92</v>
      </c>
      <c r="L38" s="64">
        <v>27.34</v>
      </c>
      <c r="M38" s="64">
        <v>78.73</v>
      </c>
      <c r="N38" s="64">
        <v>356.7</v>
      </c>
      <c r="O38" s="64">
        <v>0</v>
      </c>
      <c r="P38" s="64">
        <v>0.18</v>
      </c>
      <c r="Q38" s="64">
        <v>9.09</v>
      </c>
      <c r="R38" s="198"/>
      <c r="S38" s="198"/>
      <c r="T38" s="198"/>
      <c r="U38" s="198"/>
    </row>
    <row r="39" spans="1:21" s="12" customFormat="1" x14ac:dyDescent="0.25">
      <c r="A39" s="211" t="s">
        <v>1235</v>
      </c>
      <c r="B39" s="64">
        <v>6.13</v>
      </c>
      <c r="C39" s="64">
        <v>13.68</v>
      </c>
      <c r="D39" s="64">
        <v>16.78</v>
      </c>
      <c r="E39" s="64">
        <v>5.1100000000000003</v>
      </c>
      <c r="F39" s="64">
        <v>3.7</v>
      </c>
      <c r="G39" s="64">
        <v>46.52</v>
      </c>
      <c r="H39" s="64">
        <v>152.74</v>
      </c>
      <c r="I39" s="64">
        <v>4.0999999999999996</v>
      </c>
      <c r="J39" s="64">
        <v>0.24</v>
      </c>
      <c r="K39" s="64">
        <v>278.52</v>
      </c>
      <c r="L39" s="64">
        <v>27.51</v>
      </c>
      <c r="M39" s="64">
        <v>77.75</v>
      </c>
      <c r="N39" s="64">
        <v>402.7</v>
      </c>
      <c r="O39" s="64">
        <v>0</v>
      </c>
      <c r="P39" s="64">
        <v>0.17</v>
      </c>
      <c r="Q39" s="64">
        <v>9.09</v>
      </c>
      <c r="R39" s="198"/>
      <c r="S39" s="198"/>
      <c r="T39" s="198"/>
      <c r="U39" s="198"/>
    </row>
    <row r="40" spans="1:21" s="12" customFormat="1" x14ac:dyDescent="0.25">
      <c r="A40" s="211" t="s">
        <v>1236</v>
      </c>
      <c r="B40" s="64">
        <v>5.95</v>
      </c>
      <c r="C40" s="64">
        <v>13.67</v>
      </c>
      <c r="D40" s="64">
        <v>17.03</v>
      </c>
      <c r="E40" s="64">
        <v>4.0999999999999996</v>
      </c>
      <c r="F40" s="64">
        <v>4.18</v>
      </c>
      <c r="G40" s="64">
        <v>47.51</v>
      </c>
      <c r="H40" s="64">
        <v>135.22</v>
      </c>
      <c r="I40" s="64">
        <v>4.03</v>
      </c>
      <c r="J40" s="64">
        <v>0.24</v>
      </c>
      <c r="K40" s="64">
        <v>281.31</v>
      </c>
      <c r="L40" s="64">
        <v>27.47</v>
      </c>
      <c r="M40" s="64">
        <v>77.8</v>
      </c>
      <c r="N40" s="64">
        <v>327</v>
      </c>
      <c r="O40" s="64">
        <v>0</v>
      </c>
      <c r="P40" s="64">
        <v>0.18</v>
      </c>
      <c r="Q40" s="64">
        <v>9.08</v>
      </c>
      <c r="R40" s="198"/>
      <c r="S40" s="198"/>
      <c r="T40" s="198"/>
      <c r="U40" s="198"/>
    </row>
    <row r="41" spans="1:21" s="12" customFormat="1" x14ac:dyDescent="0.25">
      <c r="A41" s="211" t="s">
        <v>1237</v>
      </c>
      <c r="B41" s="64">
        <v>5.95</v>
      </c>
      <c r="C41" s="64">
        <v>13.62</v>
      </c>
      <c r="D41" s="64">
        <v>16.940000000000001</v>
      </c>
      <c r="E41" s="64">
        <v>4.1500000000000004</v>
      </c>
      <c r="F41" s="64">
        <v>3.28</v>
      </c>
      <c r="G41" s="64">
        <v>50.25</v>
      </c>
      <c r="H41" s="64">
        <v>87.05</v>
      </c>
      <c r="I41" s="64">
        <v>4</v>
      </c>
      <c r="J41" s="64">
        <v>0.27</v>
      </c>
      <c r="K41" s="64">
        <v>289.82</v>
      </c>
      <c r="L41" s="64">
        <v>27.61</v>
      </c>
      <c r="M41" s="64">
        <v>77.150000000000006</v>
      </c>
      <c r="N41" s="64">
        <v>383.2</v>
      </c>
      <c r="O41" s="64">
        <v>0</v>
      </c>
      <c r="P41" s="64">
        <v>0.17</v>
      </c>
      <c r="Q41" s="64">
        <v>9.08</v>
      </c>
      <c r="R41" s="198"/>
      <c r="S41" s="198"/>
      <c r="T41" s="198"/>
      <c r="U41" s="198"/>
    </row>
    <row r="42" spans="1:21" s="12" customFormat="1" x14ac:dyDescent="0.25">
      <c r="A42" s="211" t="s">
        <v>1238</v>
      </c>
      <c r="B42" s="64">
        <v>5.76</v>
      </c>
      <c r="C42" s="64">
        <v>13.4</v>
      </c>
      <c r="D42" s="64">
        <v>16.809999999999999</v>
      </c>
      <c r="E42" s="64">
        <v>4.17</v>
      </c>
      <c r="F42" s="64">
        <v>4.2300000000000004</v>
      </c>
      <c r="G42" s="64">
        <v>50.25</v>
      </c>
      <c r="H42" s="64">
        <v>87.05</v>
      </c>
      <c r="I42" s="64">
        <v>3.92</v>
      </c>
      <c r="J42" s="64">
        <v>0.33</v>
      </c>
      <c r="K42" s="64">
        <v>283.16000000000003</v>
      </c>
      <c r="L42" s="64">
        <v>28.07</v>
      </c>
      <c r="M42" s="64">
        <v>75.19</v>
      </c>
      <c r="N42" s="64">
        <v>321.39999999999998</v>
      </c>
      <c r="O42" s="64">
        <v>0</v>
      </c>
      <c r="P42" s="64">
        <v>0.2</v>
      </c>
      <c r="Q42" s="64">
        <v>9.06</v>
      </c>
      <c r="R42" s="198"/>
      <c r="S42" s="198"/>
      <c r="T42" s="198"/>
      <c r="U42" s="198"/>
    </row>
    <row r="43" spans="1:21" s="12" customFormat="1" x14ac:dyDescent="0.25">
      <c r="A43" s="211" t="s">
        <v>1239</v>
      </c>
      <c r="B43" s="64">
        <v>5.7</v>
      </c>
      <c r="C43" s="64">
        <v>13.89</v>
      </c>
      <c r="D43" s="64">
        <v>17.84</v>
      </c>
      <c r="E43" s="64">
        <v>4.34</v>
      </c>
      <c r="F43" s="64">
        <v>3.05</v>
      </c>
      <c r="G43" s="64">
        <v>50.25</v>
      </c>
      <c r="H43" s="64">
        <v>87.05</v>
      </c>
      <c r="I43" s="64">
        <v>4</v>
      </c>
      <c r="J43" s="64">
        <v>0.27</v>
      </c>
      <c r="K43" s="64">
        <v>292.93</v>
      </c>
      <c r="L43" s="64">
        <v>27.3</v>
      </c>
      <c r="M43" s="64">
        <v>78.3</v>
      </c>
      <c r="N43" s="64">
        <v>296.60000000000002</v>
      </c>
      <c r="O43" s="64">
        <v>0</v>
      </c>
      <c r="P43" s="64">
        <v>0.21</v>
      </c>
      <c r="Q43" s="64">
        <v>9.08</v>
      </c>
      <c r="R43" s="198"/>
      <c r="S43" s="198"/>
      <c r="T43" s="198"/>
      <c r="U43" s="198"/>
    </row>
    <row r="44" spans="1:21" s="12" customFormat="1" x14ac:dyDescent="0.25">
      <c r="A44" s="211" t="s">
        <v>1240</v>
      </c>
      <c r="B44" s="64">
        <v>5.68</v>
      </c>
      <c r="C44" s="64">
        <v>13.93</v>
      </c>
      <c r="D44" s="64">
        <v>17.95</v>
      </c>
      <c r="E44" s="64">
        <v>3.98</v>
      </c>
      <c r="F44" s="64">
        <v>4.1500000000000004</v>
      </c>
      <c r="G44" s="64">
        <v>49.21</v>
      </c>
      <c r="H44" s="64">
        <v>74.959999999999994</v>
      </c>
      <c r="I44" s="64">
        <v>4.05</v>
      </c>
      <c r="J44" s="64">
        <v>0.25</v>
      </c>
      <c r="K44" s="64">
        <v>278.68</v>
      </c>
      <c r="L44" s="64">
        <v>28.07</v>
      </c>
      <c r="M44" s="64">
        <v>75.89</v>
      </c>
      <c r="N44" s="64">
        <v>555.79999999999995</v>
      </c>
      <c r="O44" s="64">
        <v>0</v>
      </c>
      <c r="P44" s="64">
        <v>0.21</v>
      </c>
      <c r="Q44" s="64">
        <v>9.07</v>
      </c>
      <c r="R44" s="198"/>
      <c r="S44" s="198"/>
      <c r="T44" s="198"/>
      <c r="U44" s="198"/>
    </row>
    <row r="45" spans="1:21" s="12" customFormat="1" x14ac:dyDescent="0.25">
      <c r="A45" s="211" t="s">
        <v>1241</v>
      </c>
      <c r="B45" s="64">
        <v>5.69</v>
      </c>
      <c r="C45" s="64">
        <v>14.05</v>
      </c>
      <c r="D45" s="64">
        <v>18.170000000000002</v>
      </c>
      <c r="E45" s="64">
        <v>4.1900000000000004</v>
      </c>
      <c r="F45" s="64">
        <v>4.4400000000000004</v>
      </c>
      <c r="G45" s="64">
        <v>46.36</v>
      </c>
      <c r="H45" s="64">
        <v>41.7</v>
      </c>
      <c r="I45" s="64">
        <v>3.97</v>
      </c>
      <c r="J45" s="64">
        <v>0.33</v>
      </c>
      <c r="K45" s="64">
        <v>286.61</v>
      </c>
      <c r="L45" s="64">
        <v>28.9</v>
      </c>
      <c r="M45" s="64">
        <v>71.42</v>
      </c>
      <c r="N45" s="64">
        <v>508.3</v>
      </c>
      <c r="O45" s="64">
        <v>0</v>
      </c>
      <c r="P45" s="64">
        <v>0.24</v>
      </c>
      <c r="Q45" s="64">
        <v>9.07</v>
      </c>
      <c r="R45" s="198"/>
      <c r="S45" s="198"/>
      <c r="T45" s="198"/>
      <c r="U45" s="198"/>
    </row>
    <row r="46" spans="1:21" s="12" customFormat="1" x14ac:dyDescent="0.25">
      <c r="A46" s="211" t="s">
        <v>1242</v>
      </c>
      <c r="B46" s="64">
        <v>5.56</v>
      </c>
      <c r="C46" s="64">
        <v>13.95</v>
      </c>
      <c r="D46" s="64">
        <v>18.170000000000002</v>
      </c>
      <c r="E46" s="64">
        <v>4.53</v>
      </c>
      <c r="F46" s="64">
        <v>3.58</v>
      </c>
      <c r="G46" s="64">
        <v>46.36</v>
      </c>
      <c r="H46" s="64">
        <v>41.7</v>
      </c>
      <c r="I46" s="64">
        <v>3.99</v>
      </c>
      <c r="J46" s="64">
        <v>0.43</v>
      </c>
      <c r="K46" s="64">
        <v>287.93</v>
      </c>
      <c r="L46" s="64">
        <v>29.94</v>
      </c>
      <c r="M46" s="64">
        <v>65.36</v>
      </c>
      <c r="N46" s="64">
        <v>622.70000000000005</v>
      </c>
      <c r="O46" s="64">
        <v>0</v>
      </c>
      <c r="P46" s="64">
        <v>0.23</v>
      </c>
      <c r="Q46" s="64">
        <v>9.07</v>
      </c>
      <c r="R46" s="198"/>
      <c r="S46" s="198"/>
      <c r="T46" s="198"/>
      <c r="U46" s="198"/>
    </row>
    <row r="47" spans="1:21" s="12" customFormat="1" x14ac:dyDescent="0.25">
      <c r="A47" s="211" t="s">
        <v>1243</v>
      </c>
      <c r="B47" s="64">
        <v>5.3</v>
      </c>
      <c r="C47" s="64">
        <v>13.82</v>
      </c>
      <c r="D47" s="64">
        <v>18.309999999999999</v>
      </c>
      <c r="E47" s="64">
        <v>4.26</v>
      </c>
      <c r="F47" s="64">
        <v>4.37</v>
      </c>
      <c r="G47" s="64">
        <v>46.36</v>
      </c>
      <c r="H47" s="64">
        <v>41.7</v>
      </c>
      <c r="I47" s="64">
        <v>4</v>
      </c>
      <c r="J47" s="64">
        <v>0.34</v>
      </c>
      <c r="K47" s="64">
        <v>289.04000000000002</v>
      </c>
      <c r="L47" s="64">
        <v>30.43</v>
      </c>
      <c r="M47" s="64">
        <v>63.56</v>
      </c>
      <c r="N47" s="64">
        <v>747.5</v>
      </c>
      <c r="O47" s="64">
        <v>0</v>
      </c>
      <c r="P47" s="64">
        <v>0.23</v>
      </c>
      <c r="Q47" s="64">
        <v>9.07</v>
      </c>
      <c r="R47" s="198"/>
      <c r="S47" s="198"/>
      <c r="T47" s="198"/>
      <c r="U47" s="198"/>
    </row>
    <row r="48" spans="1:21" s="12" customFormat="1" x14ac:dyDescent="0.25">
      <c r="A48" s="211" t="s">
        <v>1244</v>
      </c>
      <c r="B48" s="64">
        <v>4.8499999999999996</v>
      </c>
      <c r="C48" s="64">
        <v>13.49</v>
      </c>
      <c r="D48" s="64">
        <v>18.38</v>
      </c>
      <c r="E48" s="64">
        <v>3.94</v>
      </c>
      <c r="F48" s="64">
        <v>4.96</v>
      </c>
      <c r="G48" s="64">
        <v>47.62</v>
      </c>
      <c r="H48" s="64">
        <v>30.58</v>
      </c>
      <c r="I48" s="64">
        <v>4.04</v>
      </c>
      <c r="J48" s="64">
        <v>0.41</v>
      </c>
      <c r="K48" s="64">
        <v>292.25</v>
      </c>
      <c r="L48" s="64">
        <v>29.43</v>
      </c>
      <c r="M48" s="64">
        <v>67.55</v>
      </c>
      <c r="N48" s="64">
        <v>734.9</v>
      </c>
      <c r="O48" s="64">
        <v>0</v>
      </c>
      <c r="P48" s="64">
        <v>0.23</v>
      </c>
      <c r="Q48" s="64">
        <v>9.07</v>
      </c>
      <c r="R48" s="198"/>
      <c r="S48" s="198"/>
      <c r="T48" s="198"/>
      <c r="U48" s="198"/>
    </row>
    <row r="49" spans="1:21" s="12" customFormat="1" x14ac:dyDescent="0.25">
      <c r="A49" s="211" t="s">
        <v>1245</v>
      </c>
      <c r="B49" s="64">
        <v>4.5999999999999996</v>
      </c>
      <c r="C49" s="64">
        <v>13.52</v>
      </c>
      <c r="D49" s="64">
        <v>18.829999999999998</v>
      </c>
      <c r="E49" s="64">
        <v>4.04</v>
      </c>
      <c r="F49" s="64">
        <v>4.8499999999999996</v>
      </c>
      <c r="G49" s="64">
        <v>51.09</v>
      </c>
      <c r="H49" s="64">
        <v>0</v>
      </c>
      <c r="I49" s="64">
        <v>3.93</v>
      </c>
      <c r="J49" s="64">
        <v>0.45</v>
      </c>
      <c r="K49" s="64">
        <v>291.07</v>
      </c>
      <c r="L49" s="64">
        <v>30.46</v>
      </c>
      <c r="M49" s="64">
        <v>63.7</v>
      </c>
      <c r="N49" s="64">
        <v>646.4</v>
      </c>
      <c r="O49" s="64">
        <v>0</v>
      </c>
      <c r="P49" s="64">
        <v>0.25</v>
      </c>
      <c r="Q49" s="64">
        <v>9.08</v>
      </c>
      <c r="R49" s="198"/>
      <c r="S49" s="198"/>
      <c r="T49" s="198"/>
      <c r="U49" s="198"/>
    </row>
    <row r="50" spans="1:21" s="12" customFormat="1" x14ac:dyDescent="0.25">
      <c r="A50" s="211" t="s">
        <v>1246</v>
      </c>
      <c r="B50" s="64">
        <v>4.75</v>
      </c>
      <c r="C50" s="64">
        <v>14.06</v>
      </c>
      <c r="D50" s="64">
        <v>19.63</v>
      </c>
      <c r="E50" s="64">
        <v>4.41</v>
      </c>
      <c r="F50" s="64">
        <v>4.5199999999999996</v>
      </c>
      <c r="G50" s="64">
        <v>51.09</v>
      </c>
      <c r="H50" s="64">
        <v>0</v>
      </c>
      <c r="I50" s="64">
        <v>4.03</v>
      </c>
      <c r="J50" s="64">
        <v>0.44</v>
      </c>
      <c r="K50" s="64">
        <v>289.85000000000002</v>
      </c>
      <c r="L50" s="64">
        <v>30.53</v>
      </c>
      <c r="M50" s="64">
        <v>63.56</v>
      </c>
      <c r="N50" s="64">
        <v>610.9</v>
      </c>
      <c r="O50" s="64">
        <v>0</v>
      </c>
      <c r="P50" s="64">
        <v>0.26</v>
      </c>
      <c r="Q50" s="64">
        <v>9.08</v>
      </c>
      <c r="R50" s="198"/>
      <c r="S50" s="198"/>
      <c r="T50" s="198"/>
      <c r="U50" s="198"/>
    </row>
    <row r="51" spans="1:21" s="12" customFormat="1" x14ac:dyDescent="0.25">
      <c r="A51" s="211" t="s">
        <v>1247</v>
      </c>
      <c r="B51" s="64">
        <v>5.18</v>
      </c>
      <c r="C51" s="64">
        <v>14.76</v>
      </c>
      <c r="D51" s="64">
        <v>20.3</v>
      </c>
      <c r="E51" s="64">
        <v>4.43</v>
      </c>
      <c r="F51" s="64">
        <v>3.82</v>
      </c>
      <c r="G51" s="64">
        <v>51.09</v>
      </c>
      <c r="H51" s="64">
        <v>0</v>
      </c>
      <c r="I51" s="64">
        <v>3.87</v>
      </c>
      <c r="J51" s="64">
        <v>0.63</v>
      </c>
      <c r="K51" s="64">
        <v>299.87</v>
      </c>
      <c r="L51" s="64">
        <v>31.01</v>
      </c>
      <c r="M51" s="64">
        <v>61.26</v>
      </c>
      <c r="N51" s="64">
        <v>434.7</v>
      </c>
      <c r="O51" s="64">
        <v>0</v>
      </c>
      <c r="P51" s="64">
        <v>0.28999999999999998</v>
      </c>
      <c r="Q51" s="64">
        <v>9.1</v>
      </c>
      <c r="R51" s="198"/>
      <c r="S51" s="198"/>
      <c r="T51" s="198"/>
      <c r="U51" s="198"/>
    </row>
    <row r="52" spans="1:21" s="12" customFormat="1" x14ac:dyDescent="0.25">
      <c r="A52" s="211" t="s">
        <v>1248</v>
      </c>
      <c r="B52" s="64">
        <v>5.0599999999999996</v>
      </c>
      <c r="C52" s="64">
        <v>14.74</v>
      </c>
      <c r="D52" s="64">
        <v>20.45</v>
      </c>
      <c r="E52" s="64">
        <v>4.25</v>
      </c>
      <c r="F52" s="64">
        <v>3.98</v>
      </c>
      <c r="G52" s="64">
        <v>51.17</v>
      </c>
      <c r="H52" s="64">
        <v>61.8</v>
      </c>
      <c r="I52" s="64">
        <v>4.0599999999999996</v>
      </c>
      <c r="J52" s="64">
        <v>0.7</v>
      </c>
      <c r="K52" s="64">
        <v>294.06</v>
      </c>
      <c r="L52" s="64">
        <v>31.25</v>
      </c>
      <c r="M52" s="64">
        <v>58.93</v>
      </c>
      <c r="N52" s="64">
        <v>494.9</v>
      </c>
      <c r="O52" s="64">
        <v>0</v>
      </c>
      <c r="P52" s="64">
        <v>0.3</v>
      </c>
      <c r="Q52" s="64">
        <v>9.11</v>
      </c>
      <c r="R52" s="198"/>
      <c r="S52" s="198"/>
      <c r="T52" s="198"/>
      <c r="U52" s="198"/>
    </row>
    <row r="53" spans="1:21" s="12" customFormat="1" x14ac:dyDescent="0.25">
      <c r="A53" s="211" t="s">
        <v>1249</v>
      </c>
      <c r="B53" s="64">
        <v>5.05</v>
      </c>
      <c r="C53" s="64">
        <v>14.91</v>
      </c>
      <c r="D53" s="64">
        <v>20.79</v>
      </c>
      <c r="E53" s="64">
        <v>4.28</v>
      </c>
      <c r="F53" s="64">
        <v>4.41</v>
      </c>
      <c r="G53" s="64">
        <v>51.38</v>
      </c>
      <c r="H53" s="64">
        <v>231.74</v>
      </c>
      <c r="I53" s="64">
        <v>4.03</v>
      </c>
      <c r="J53" s="64">
        <v>0.55000000000000004</v>
      </c>
      <c r="K53" s="64">
        <v>292.70999999999998</v>
      </c>
      <c r="L53" s="64">
        <v>31.14</v>
      </c>
      <c r="M53" s="64">
        <v>59.52</v>
      </c>
      <c r="N53" s="64">
        <v>311.10000000000002</v>
      </c>
      <c r="O53" s="64">
        <v>0</v>
      </c>
      <c r="P53" s="64">
        <v>0.32</v>
      </c>
      <c r="Q53" s="64">
        <v>9.11</v>
      </c>
      <c r="R53" s="198"/>
      <c r="S53" s="198"/>
      <c r="T53" s="198"/>
      <c r="U53" s="198"/>
    </row>
    <row r="54" spans="1:21" s="12" customFormat="1" x14ac:dyDescent="0.25">
      <c r="A54" s="211" t="s">
        <v>1250</v>
      </c>
      <c r="B54" s="64">
        <v>5.23</v>
      </c>
      <c r="C54" s="64">
        <v>15.52</v>
      </c>
      <c r="D54" s="64">
        <v>21.69</v>
      </c>
      <c r="E54" s="64">
        <v>4.08</v>
      </c>
      <c r="F54" s="64">
        <v>5.29</v>
      </c>
      <c r="G54" s="64">
        <v>51.38</v>
      </c>
      <c r="H54" s="64">
        <v>231.74</v>
      </c>
      <c r="I54" s="64">
        <v>3.88</v>
      </c>
      <c r="J54" s="64">
        <v>0.45</v>
      </c>
      <c r="K54" s="64">
        <v>294.89999999999998</v>
      </c>
      <c r="L54" s="64">
        <v>30.24</v>
      </c>
      <c r="M54" s="64">
        <v>62.64</v>
      </c>
      <c r="N54" s="64">
        <v>303.39999999999998</v>
      </c>
      <c r="O54" s="64">
        <v>0</v>
      </c>
      <c r="P54" s="64">
        <v>0.34</v>
      </c>
      <c r="Q54" s="64">
        <v>9.11</v>
      </c>
      <c r="R54" s="198"/>
      <c r="S54" s="198"/>
      <c r="T54" s="198"/>
      <c r="U54" s="198"/>
    </row>
    <row r="55" spans="1:21" s="12" customFormat="1" x14ac:dyDescent="0.25">
      <c r="A55" s="211" t="s">
        <v>1251</v>
      </c>
      <c r="B55" s="64">
        <v>5.28</v>
      </c>
      <c r="C55" s="64">
        <v>15.66</v>
      </c>
      <c r="D55" s="64">
        <v>21.87</v>
      </c>
      <c r="E55" s="64">
        <v>4.04</v>
      </c>
      <c r="F55" s="64">
        <v>4.37</v>
      </c>
      <c r="G55" s="64">
        <v>51.38</v>
      </c>
      <c r="H55" s="64">
        <v>231.74</v>
      </c>
      <c r="I55" s="64">
        <v>4.05</v>
      </c>
      <c r="J55" s="64">
        <v>0.39</v>
      </c>
      <c r="K55" s="64">
        <v>290.27</v>
      </c>
      <c r="L55" s="64">
        <v>29.81</v>
      </c>
      <c r="M55" s="64">
        <v>64.8</v>
      </c>
      <c r="N55" s="64">
        <v>384.7</v>
      </c>
      <c r="O55" s="64">
        <v>0</v>
      </c>
      <c r="P55" s="64">
        <v>0.37</v>
      </c>
      <c r="Q55" s="64">
        <v>9.1199999999999992</v>
      </c>
      <c r="R55" s="198"/>
      <c r="S55" s="198"/>
      <c r="T55" s="198"/>
      <c r="U55" s="198"/>
    </row>
    <row r="56" spans="1:21" s="12" customFormat="1" x14ac:dyDescent="0.25">
      <c r="A56" s="211" t="s">
        <v>1252</v>
      </c>
      <c r="B56" s="64">
        <v>5.3</v>
      </c>
      <c r="C56" s="64">
        <v>15.21</v>
      </c>
      <c r="D56" s="64">
        <v>20.99</v>
      </c>
      <c r="E56" s="64">
        <v>4.34</v>
      </c>
      <c r="F56" s="64">
        <v>3.8</v>
      </c>
      <c r="G56" s="64">
        <v>52.65</v>
      </c>
      <c r="H56" s="64">
        <v>250.49</v>
      </c>
      <c r="I56" s="64">
        <v>3.93</v>
      </c>
      <c r="J56" s="64">
        <v>0.45</v>
      </c>
      <c r="K56" s="64">
        <v>287.85000000000002</v>
      </c>
      <c r="L56" s="64">
        <v>30.26</v>
      </c>
      <c r="M56" s="64">
        <v>62.32</v>
      </c>
      <c r="N56" s="64">
        <v>337</v>
      </c>
      <c r="O56" s="64">
        <v>0</v>
      </c>
      <c r="P56" s="64">
        <v>0.36</v>
      </c>
      <c r="Q56" s="64">
        <v>9.11</v>
      </c>
      <c r="R56" s="198"/>
      <c r="S56" s="198"/>
      <c r="T56" s="198"/>
      <c r="U56" s="198"/>
    </row>
    <row r="57" spans="1:21" s="12" customFormat="1" x14ac:dyDescent="0.25">
      <c r="A57" s="211" t="s">
        <v>1253</v>
      </c>
      <c r="B57" s="64">
        <v>4.95</v>
      </c>
      <c r="C57" s="64">
        <v>14.65</v>
      </c>
      <c r="D57" s="64">
        <v>20.43</v>
      </c>
      <c r="E57" s="64">
        <v>4.21</v>
      </c>
      <c r="F57" s="64">
        <v>5.04</v>
      </c>
      <c r="G57" s="64">
        <v>56.14</v>
      </c>
      <c r="H57" s="64">
        <v>302.07</v>
      </c>
      <c r="I57" s="64">
        <v>3.97</v>
      </c>
      <c r="J57" s="64">
        <v>0.62</v>
      </c>
      <c r="K57" s="64">
        <v>295.20999999999998</v>
      </c>
      <c r="L57" s="64">
        <v>30.9</v>
      </c>
      <c r="M57" s="64">
        <v>59.97</v>
      </c>
      <c r="N57" s="64">
        <v>388.6</v>
      </c>
      <c r="O57" s="64">
        <v>0</v>
      </c>
      <c r="P57" s="64">
        <v>0.36</v>
      </c>
      <c r="Q57" s="64">
        <v>9.09</v>
      </c>
      <c r="R57" s="198"/>
      <c r="S57" s="198"/>
      <c r="T57" s="198"/>
      <c r="U57" s="198"/>
    </row>
    <row r="58" spans="1:21" s="12" customFormat="1" x14ac:dyDescent="0.25">
      <c r="A58" s="211" t="s">
        <v>1254</v>
      </c>
      <c r="B58" s="64">
        <v>5.05</v>
      </c>
      <c r="C58" s="64">
        <v>15.06</v>
      </c>
      <c r="D58" s="64">
        <v>21.08</v>
      </c>
      <c r="E58" s="64">
        <v>4.1100000000000003</v>
      </c>
      <c r="F58" s="64">
        <v>4.91</v>
      </c>
      <c r="G58" s="64">
        <v>56.14</v>
      </c>
      <c r="H58" s="64">
        <v>302.07</v>
      </c>
      <c r="I58" s="64">
        <v>3.75</v>
      </c>
      <c r="J58" s="64">
        <v>0.4</v>
      </c>
      <c r="K58" s="64">
        <v>297.16000000000003</v>
      </c>
      <c r="L58" s="64">
        <v>30.72</v>
      </c>
      <c r="M58" s="64">
        <v>61.07</v>
      </c>
      <c r="N58" s="64">
        <v>277.3</v>
      </c>
      <c r="O58" s="64">
        <v>0</v>
      </c>
      <c r="P58" s="64">
        <v>0.39</v>
      </c>
      <c r="Q58" s="64">
        <v>9.07</v>
      </c>
      <c r="R58" s="198"/>
      <c r="S58" s="198"/>
      <c r="T58" s="198"/>
      <c r="U58" s="198"/>
    </row>
    <row r="59" spans="1:21" s="12" customFormat="1" x14ac:dyDescent="0.25">
      <c r="A59" s="211" t="s">
        <v>1255</v>
      </c>
      <c r="B59" s="64">
        <v>5.1100000000000003</v>
      </c>
      <c r="C59" s="64">
        <v>14.87</v>
      </c>
      <c r="D59" s="64">
        <v>20.62</v>
      </c>
      <c r="E59" s="64">
        <v>4.4000000000000004</v>
      </c>
      <c r="F59" s="64">
        <v>3.74</v>
      </c>
      <c r="G59" s="64">
        <v>56.14</v>
      </c>
      <c r="H59" s="64">
        <v>302.07</v>
      </c>
      <c r="I59" s="64">
        <v>3.91</v>
      </c>
      <c r="J59" s="64">
        <v>0.42</v>
      </c>
      <c r="K59" s="64">
        <v>291.58</v>
      </c>
      <c r="L59" s="64">
        <v>30.12</v>
      </c>
      <c r="M59" s="64">
        <v>62.49</v>
      </c>
      <c r="N59" s="64">
        <v>176.1</v>
      </c>
      <c r="O59" s="64">
        <v>0</v>
      </c>
      <c r="P59" s="64">
        <v>0.38</v>
      </c>
      <c r="Q59" s="64">
        <v>9.07</v>
      </c>
      <c r="R59" s="198"/>
      <c r="S59" s="198"/>
      <c r="T59" s="198"/>
      <c r="U59" s="198"/>
    </row>
    <row r="60" spans="1:21" s="12" customFormat="1" x14ac:dyDescent="0.25">
      <c r="A60" s="211" t="s">
        <v>1256</v>
      </c>
      <c r="B60" s="64">
        <v>5.68</v>
      </c>
      <c r="C60" s="64">
        <v>15.93</v>
      </c>
      <c r="D60" s="64">
        <v>21.77</v>
      </c>
      <c r="E60" s="64">
        <v>4.45</v>
      </c>
      <c r="F60" s="64">
        <v>4.26</v>
      </c>
      <c r="G60" s="64">
        <v>57.55</v>
      </c>
      <c r="H60" s="64">
        <v>226.21</v>
      </c>
      <c r="I60" s="64">
        <v>4.07</v>
      </c>
      <c r="J60" s="64">
        <v>0.55000000000000004</v>
      </c>
      <c r="K60" s="64">
        <v>298.37</v>
      </c>
      <c r="L60" s="64">
        <v>29.71</v>
      </c>
      <c r="M60" s="64">
        <v>63.36</v>
      </c>
      <c r="N60" s="64">
        <v>187.9</v>
      </c>
      <c r="O60" s="64">
        <v>0</v>
      </c>
      <c r="P60" s="64">
        <v>0.36</v>
      </c>
      <c r="Q60" s="64">
        <v>9.08</v>
      </c>
      <c r="R60" s="198"/>
      <c r="S60" s="198"/>
      <c r="T60" s="198"/>
      <c r="U60" s="198"/>
    </row>
    <row r="61" spans="1:21" s="12" customFormat="1" x14ac:dyDescent="0.25">
      <c r="A61" s="211" t="s">
        <v>1257</v>
      </c>
      <c r="B61" s="64">
        <v>5.55</v>
      </c>
      <c r="C61" s="64">
        <v>15.78</v>
      </c>
      <c r="D61" s="64">
        <v>21.68</v>
      </c>
      <c r="E61" s="64">
        <v>3.99</v>
      </c>
      <c r="F61" s="64">
        <v>4.55</v>
      </c>
      <c r="G61" s="64">
        <v>61.42</v>
      </c>
      <c r="H61" s="64">
        <v>17.579999999999998</v>
      </c>
      <c r="I61" s="64">
        <v>4.1100000000000003</v>
      </c>
      <c r="J61" s="64">
        <v>0.61</v>
      </c>
      <c r="K61" s="64">
        <v>293.2</v>
      </c>
      <c r="L61" s="64">
        <v>29.99</v>
      </c>
      <c r="M61" s="64">
        <v>63.08</v>
      </c>
      <c r="N61" s="64">
        <v>213.6</v>
      </c>
      <c r="O61" s="64">
        <v>0</v>
      </c>
      <c r="P61" s="64">
        <v>0.36</v>
      </c>
      <c r="Q61" s="64">
        <v>9.08</v>
      </c>
      <c r="R61" s="198"/>
      <c r="S61" s="198"/>
      <c r="T61" s="198"/>
      <c r="U61" s="198"/>
    </row>
    <row r="62" spans="1:21" s="12" customFormat="1" x14ac:dyDescent="0.25">
      <c r="A62" s="211" t="s">
        <v>1258</v>
      </c>
      <c r="B62" s="64">
        <v>5.41</v>
      </c>
      <c r="C62" s="64">
        <v>15.13</v>
      </c>
      <c r="D62" s="64">
        <v>20.65</v>
      </c>
      <c r="E62" s="64">
        <v>4.1500000000000004</v>
      </c>
      <c r="F62" s="64">
        <v>3.49</v>
      </c>
      <c r="G62" s="64">
        <v>61.42</v>
      </c>
      <c r="H62" s="64">
        <v>17.579999999999998</v>
      </c>
      <c r="I62" s="64">
        <v>3.92</v>
      </c>
      <c r="J62" s="64">
        <v>0.54</v>
      </c>
      <c r="K62" s="64">
        <v>289.88</v>
      </c>
      <c r="L62" s="64">
        <v>30.13</v>
      </c>
      <c r="M62" s="64">
        <v>62.73</v>
      </c>
      <c r="N62" s="64">
        <v>295.8</v>
      </c>
      <c r="O62" s="64">
        <v>0</v>
      </c>
      <c r="P62" s="64">
        <v>0.36</v>
      </c>
      <c r="Q62" s="64">
        <v>9.1</v>
      </c>
      <c r="R62" s="198"/>
      <c r="S62" s="198"/>
      <c r="T62" s="198"/>
      <c r="U62" s="198"/>
    </row>
    <row r="63" spans="1:21" s="12" customFormat="1" x14ac:dyDescent="0.25">
      <c r="A63" s="211" t="s">
        <v>1259</v>
      </c>
      <c r="B63" s="64">
        <v>5.32</v>
      </c>
      <c r="C63" s="64">
        <v>14.55</v>
      </c>
      <c r="D63" s="64">
        <v>19.690000000000001</v>
      </c>
      <c r="E63" s="64">
        <v>4.2699999999999996</v>
      </c>
      <c r="F63" s="64">
        <v>4.1399999999999997</v>
      </c>
      <c r="G63" s="64">
        <v>61.42</v>
      </c>
      <c r="H63" s="64">
        <v>17.579999999999998</v>
      </c>
      <c r="I63" s="64">
        <v>4.04</v>
      </c>
      <c r="J63" s="64">
        <v>0.72</v>
      </c>
      <c r="K63" s="64">
        <v>295.12</v>
      </c>
      <c r="L63" s="64">
        <v>30.72</v>
      </c>
      <c r="M63" s="64">
        <v>59.69</v>
      </c>
      <c r="N63" s="64">
        <v>337.6</v>
      </c>
      <c r="O63" s="64">
        <v>0</v>
      </c>
      <c r="P63" s="64">
        <v>0.34</v>
      </c>
      <c r="Q63" s="64">
        <v>9.09</v>
      </c>
      <c r="R63" s="198"/>
      <c r="S63" s="198"/>
      <c r="T63" s="198"/>
      <c r="U63" s="198"/>
    </row>
    <row r="64" spans="1:21" s="12" customFormat="1" x14ac:dyDescent="0.25">
      <c r="A64" s="211" t="s">
        <v>1260</v>
      </c>
      <c r="B64" s="64">
        <v>5.22</v>
      </c>
      <c r="C64" s="64">
        <v>14.31</v>
      </c>
      <c r="D64" s="64">
        <v>19.38</v>
      </c>
      <c r="E64" s="64">
        <v>3.98</v>
      </c>
      <c r="F64" s="64">
        <v>4.87</v>
      </c>
      <c r="G64" s="64">
        <v>62.49</v>
      </c>
      <c r="H64" s="64">
        <v>21.19</v>
      </c>
      <c r="I64" s="64">
        <v>4.0199999999999996</v>
      </c>
      <c r="J64" s="64">
        <v>0.74</v>
      </c>
      <c r="K64" s="64">
        <v>299.48</v>
      </c>
      <c r="L64" s="64">
        <v>31.04</v>
      </c>
      <c r="M64" s="64">
        <v>58.65</v>
      </c>
      <c r="N64" s="64">
        <v>372.4</v>
      </c>
      <c r="O64" s="64">
        <v>0</v>
      </c>
      <c r="P64" s="64">
        <v>0.33</v>
      </c>
      <c r="Q64" s="64">
        <v>9.08</v>
      </c>
      <c r="R64" s="198"/>
      <c r="S64" s="198"/>
      <c r="T64" s="198"/>
      <c r="U64" s="198"/>
    </row>
    <row r="65" spans="1:21" s="12" customFormat="1" x14ac:dyDescent="0.25">
      <c r="A65" s="211" t="s">
        <v>1261</v>
      </c>
      <c r="B65" s="64">
        <v>5.19</v>
      </c>
      <c r="C65" s="64">
        <v>14.62</v>
      </c>
      <c r="D65" s="64">
        <v>20.02</v>
      </c>
      <c r="E65" s="64">
        <v>4.04</v>
      </c>
      <c r="F65" s="64">
        <v>4.57</v>
      </c>
      <c r="G65" s="64">
        <v>65.44</v>
      </c>
      <c r="H65" s="64">
        <v>31.12</v>
      </c>
      <c r="I65" s="64">
        <v>4.0199999999999996</v>
      </c>
      <c r="J65" s="64">
        <v>0.48</v>
      </c>
      <c r="K65" s="64">
        <v>291.5</v>
      </c>
      <c r="L65" s="64">
        <v>31.1</v>
      </c>
      <c r="M65" s="64">
        <v>58.28</v>
      </c>
      <c r="N65" s="64">
        <v>257.7</v>
      </c>
      <c r="O65" s="64">
        <v>0</v>
      </c>
      <c r="P65" s="64">
        <v>0.31</v>
      </c>
      <c r="Q65" s="64">
        <v>9.09</v>
      </c>
      <c r="R65" s="198"/>
      <c r="S65" s="198"/>
      <c r="T65" s="198"/>
      <c r="U65" s="198"/>
    </row>
    <row r="66" spans="1:21" s="12" customFormat="1" x14ac:dyDescent="0.25">
      <c r="A66" s="211" t="s">
        <v>1262</v>
      </c>
      <c r="B66" s="64">
        <v>6.3</v>
      </c>
      <c r="C66" s="64">
        <v>16.25</v>
      </c>
      <c r="D66" s="64">
        <v>21.43</v>
      </c>
      <c r="E66" s="64">
        <v>3.88</v>
      </c>
      <c r="F66" s="64">
        <v>4.3499999999999996</v>
      </c>
      <c r="G66" s="64">
        <v>65.44</v>
      </c>
      <c r="H66" s="64">
        <v>31.12</v>
      </c>
      <c r="I66" s="64">
        <v>4.0999999999999996</v>
      </c>
      <c r="J66" s="64">
        <v>0.46</v>
      </c>
      <c r="K66" s="64">
        <v>299.60000000000002</v>
      </c>
      <c r="L66" s="64">
        <v>30.64</v>
      </c>
      <c r="M66" s="64">
        <v>60.67</v>
      </c>
      <c r="N66" s="64">
        <v>193.5</v>
      </c>
      <c r="O66" s="64">
        <v>0</v>
      </c>
      <c r="P66" s="64">
        <v>0.34</v>
      </c>
      <c r="Q66" s="64">
        <v>9.1</v>
      </c>
      <c r="R66" s="198"/>
      <c r="S66" s="198"/>
      <c r="T66" s="198"/>
      <c r="U66" s="198"/>
    </row>
    <row r="67" spans="1:21" s="12" customFormat="1" x14ac:dyDescent="0.25">
      <c r="A67" s="211" t="s">
        <v>1263</v>
      </c>
      <c r="B67" s="64">
        <v>7.37</v>
      </c>
      <c r="C67" s="64">
        <v>19.149999999999999</v>
      </c>
      <c r="D67" s="64">
        <v>25.33</v>
      </c>
      <c r="E67" s="64">
        <v>3.99</v>
      </c>
      <c r="F67" s="64">
        <v>4.37</v>
      </c>
      <c r="G67" s="64">
        <v>65.44</v>
      </c>
      <c r="H67" s="64">
        <v>31.12</v>
      </c>
      <c r="I67" s="64">
        <v>3.77</v>
      </c>
      <c r="J67" s="64">
        <v>0.32</v>
      </c>
      <c r="K67" s="64">
        <v>287.64999999999998</v>
      </c>
      <c r="L67" s="64">
        <v>30.31</v>
      </c>
      <c r="M67" s="64">
        <v>62.18</v>
      </c>
      <c r="N67" s="64">
        <v>247.8</v>
      </c>
      <c r="O67" s="64">
        <v>0</v>
      </c>
      <c r="P67" s="64">
        <v>0.4</v>
      </c>
      <c r="Q67" s="64">
        <v>9.11</v>
      </c>
      <c r="R67" s="198"/>
      <c r="S67" s="198"/>
      <c r="T67" s="198"/>
      <c r="U67" s="198"/>
    </row>
    <row r="68" spans="1:21" s="12" customFormat="1" x14ac:dyDescent="0.25">
      <c r="A68" s="211" t="s">
        <v>1264</v>
      </c>
      <c r="B68" s="64">
        <v>6.67</v>
      </c>
      <c r="C68" s="64">
        <v>18.29</v>
      </c>
      <c r="D68" s="64">
        <v>24.77</v>
      </c>
      <c r="E68" s="64">
        <v>4.43</v>
      </c>
      <c r="F68" s="64">
        <v>5.57</v>
      </c>
      <c r="G68" s="64">
        <v>67.180000000000007</v>
      </c>
      <c r="H68" s="64">
        <v>25.52</v>
      </c>
      <c r="I68" s="64">
        <v>3.89</v>
      </c>
      <c r="J68" s="64">
        <v>0.25</v>
      </c>
      <c r="K68" s="64">
        <v>288.45999999999998</v>
      </c>
      <c r="L68" s="64">
        <v>29.64</v>
      </c>
      <c r="M68" s="64">
        <v>64.95</v>
      </c>
      <c r="N68" s="64">
        <v>188.6</v>
      </c>
      <c r="O68" s="64">
        <v>0</v>
      </c>
      <c r="P68" s="64">
        <v>0.48</v>
      </c>
      <c r="Q68" s="64">
        <v>9.1199999999999992</v>
      </c>
      <c r="R68" s="198"/>
      <c r="S68" s="198"/>
      <c r="T68" s="198"/>
      <c r="U68" s="198"/>
    </row>
    <row r="69" spans="1:21" s="12" customFormat="1" x14ac:dyDescent="0.25">
      <c r="A69" s="211" t="s">
        <v>1265</v>
      </c>
      <c r="B69" s="64">
        <v>6.96</v>
      </c>
      <c r="C69" s="64">
        <v>17.899999999999999</v>
      </c>
      <c r="D69" s="64">
        <v>23.58</v>
      </c>
      <c r="E69" s="64">
        <v>4.1900000000000004</v>
      </c>
      <c r="F69" s="64">
        <v>4.49</v>
      </c>
      <c r="G69" s="64">
        <v>71.98</v>
      </c>
      <c r="H69" s="64">
        <v>10.119999999999999</v>
      </c>
      <c r="I69" s="64">
        <v>3.94</v>
      </c>
      <c r="J69" s="64">
        <v>0.27</v>
      </c>
      <c r="K69" s="64">
        <v>289.22000000000003</v>
      </c>
      <c r="L69" s="64">
        <v>29.29</v>
      </c>
      <c r="M69" s="64">
        <v>65.989999999999995</v>
      </c>
      <c r="N69" s="64">
        <v>147.6</v>
      </c>
      <c r="O69" s="64">
        <v>0</v>
      </c>
      <c r="P69" s="64">
        <v>0.47</v>
      </c>
      <c r="Q69" s="64">
        <v>9.1300000000000008</v>
      </c>
      <c r="R69" s="198"/>
      <c r="S69" s="198"/>
      <c r="T69" s="198"/>
      <c r="U69" s="198"/>
    </row>
    <row r="70" spans="1:21" s="12" customFormat="1" x14ac:dyDescent="0.25">
      <c r="A70" s="211" t="s">
        <v>1266</v>
      </c>
      <c r="B70" s="64">
        <v>6.12</v>
      </c>
      <c r="C70" s="64">
        <v>17.16</v>
      </c>
      <c r="D70" s="64">
        <v>23.44</v>
      </c>
      <c r="E70" s="64">
        <v>4.6100000000000003</v>
      </c>
      <c r="F70" s="64">
        <v>5.21</v>
      </c>
      <c r="G70" s="64">
        <v>71.98</v>
      </c>
      <c r="H70" s="64">
        <v>10.119999999999999</v>
      </c>
      <c r="I70" s="64">
        <v>4</v>
      </c>
      <c r="J70" s="64">
        <v>0.32</v>
      </c>
      <c r="K70" s="64">
        <v>290.76</v>
      </c>
      <c r="L70" s="64">
        <v>28.82</v>
      </c>
      <c r="M70" s="64">
        <v>68.12</v>
      </c>
      <c r="N70" s="64">
        <v>95.2</v>
      </c>
      <c r="O70" s="64">
        <v>0</v>
      </c>
      <c r="P70" s="64">
        <v>0.47</v>
      </c>
      <c r="Q70" s="64">
        <v>9.15</v>
      </c>
      <c r="R70" s="198"/>
      <c r="S70" s="198"/>
      <c r="T70" s="198"/>
      <c r="U70" s="198"/>
    </row>
    <row r="71" spans="1:21" s="12" customFormat="1" x14ac:dyDescent="0.25">
      <c r="A71" s="211" t="s">
        <v>1267</v>
      </c>
      <c r="B71" s="64">
        <v>5.71</v>
      </c>
      <c r="C71" s="64">
        <v>17.03</v>
      </c>
      <c r="D71" s="64">
        <v>23.84</v>
      </c>
      <c r="E71" s="64">
        <v>4.83</v>
      </c>
      <c r="F71" s="64">
        <v>4.33</v>
      </c>
      <c r="G71" s="64">
        <v>71.98</v>
      </c>
      <c r="H71" s="64">
        <v>10.119999999999999</v>
      </c>
      <c r="I71" s="64">
        <v>4.04</v>
      </c>
      <c r="J71" s="64">
        <v>0.52</v>
      </c>
      <c r="K71" s="64">
        <v>289.08999999999997</v>
      </c>
      <c r="L71" s="64">
        <v>28.51</v>
      </c>
      <c r="M71" s="64">
        <v>68.849999999999994</v>
      </c>
      <c r="N71" s="64">
        <v>107.9</v>
      </c>
      <c r="O71" s="64">
        <v>0</v>
      </c>
      <c r="P71" s="64">
        <v>0.46</v>
      </c>
      <c r="Q71" s="64">
        <v>9.14</v>
      </c>
      <c r="R71" s="198"/>
      <c r="S71" s="198"/>
      <c r="T71" s="198"/>
      <c r="U71" s="198"/>
    </row>
    <row r="72" spans="1:21" s="12" customFormat="1" x14ac:dyDescent="0.25">
      <c r="A72" s="211" t="s">
        <v>1268</v>
      </c>
      <c r="B72" s="64">
        <v>5.71</v>
      </c>
      <c r="C72" s="64">
        <v>17.010000000000002</v>
      </c>
      <c r="D72" s="64">
        <v>23.8</v>
      </c>
      <c r="E72" s="64">
        <v>4.33</v>
      </c>
      <c r="F72" s="64">
        <v>4.12</v>
      </c>
      <c r="G72" s="64">
        <v>72.91</v>
      </c>
      <c r="H72" s="64">
        <v>13.73</v>
      </c>
      <c r="I72" s="64">
        <v>4.0199999999999996</v>
      </c>
      <c r="J72" s="64">
        <v>0.34</v>
      </c>
      <c r="K72" s="64">
        <v>295.76</v>
      </c>
      <c r="L72" s="64">
        <v>28.32</v>
      </c>
      <c r="M72" s="64">
        <v>71.33</v>
      </c>
      <c r="N72" s="64">
        <v>135.80000000000001</v>
      </c>
      <c r="O72" s="64">
        <v>0</v>
      </c>
      <c r="P72" s="64">
        <v>0.46</v>
      </c>
      <c r="Q72" s="64">
        <v>9.15</v>
      </c>
      <c r="R72" s="198"/>
      <c r="S72" s="198"/>
      <c r="T72" s="198"/>
      <c r="U72" s="198"/>
    </row>
    <row r="73" spans="1:21" s="12" customFormat="1" x14ac:dyDescent="0.25">
      <c r="A73" s="211" t="s">
        <v>1269</v>
      </c>
      <c r="B73" s="64">
        <v>6.09</v>
      </c>
      <c r="C73" s="64">
        <v>17.52</v>
      </c>
      <c r="D73" s="64">
        <v>24.19</v>
      </c>
      <c r="E73" s="64">
        <v>3.74</v>
      </c>
      <c r="F73" s="64">
        <v>3.81</v>
      </c>
      <c r="G73" s="64">
        <v>75.47</v>
      </c>
      <c r="H73" s="64">
        <v>23.67</v>
      </c>
      <c r="I73" s="64">
        <v>3.95</v>
      </c>
      <c r="J73" s="64">
        <v>1.5</v>
      </c>
      <c r="K73" s="64">
        <v>327.45</v>
      </c>
      <c r="L73" s="64">
        <v>28.45</v>
      </c>
      <c r="M73" s="64">
        <v>73.62</v>
      </c>
      <c r="N73" s="64">
        <v>110.9</v>
      </c>
      <c r="O73" s="64">
        <v>0</v>
      </c>
      <c r="P73" s="64">
        <v>0.48</v>
      </c>
      <c r="Q73" s="64">
        <v>9.15</v>
      </c>
      <c r="R73" s="198"/>
      <c r="S73" s="198"/>
      <c r="T73" s="198"/>
      <c r="U73" s="198"/>
    </row>
    <row r="74" spans="1:21" s="12" customFormat="1" x14ac:dyDescent="0.25">
      <c r="A74" s="211" t="s">
        <v>1270</v>
      </c>
      <c r="B74" s="64">
        <v>6.95</v>
      </c>
      <c r="C74" s="64">
        <v>17.82</v>
      </c>
      <c r="D74" s="64">
        <v>23.44</v>
      </c>
      <c r="E74" s="64">
        <v>4.04</v>
      </c>
      <c r="F74" s="64">
        <v>4</v>
      </c>
      <c r="G74" s="64">
        <v>75.47</v>
      </c>
      <c r="H74" s="64">
        <v>23.67</v>
      </c>
      <c r="I74" s="64">
        <v>4.0599999999999996</v>
      </c>
      <c r="J74" s="64">
        <v>1.31</v>
      </c>
      <c r="K74" s="64">
        <v>322.89</v>
      </c>
      <c r="L74" s="64">
        <v>28.22</v>
      </c>
      <c r="M74" s="64">
        <v>75.16</v>
      </c>
      <c r="N74" s="64">
        <v>117.2</v>
      </c>
      <c r="O74" s="64">
        <v>0</v>
      </c>
      <c r="P74" s="64">
        <v>0.45</v>
      </c>
      <c r="Q74" s="64">
        <v>9.15</v>
      </c>
      <c r="R74" s="198"/>
      <c r="S74" s="198"/>
      <c r="T74" s="198"/>
      <c r="U74" s="198"/>
    </row>
    <row r="75" spans="1:21" s="12" customFormat="1" x14ac:dyDescent="0.25">
      <c r="A75" s="211" t="s">
        <v>1271</v>
      </c>
      <c r="B75" s="64">
        <v>6.91</v>
      </c>
      <c r="C75" s="64">
        <v>16.95</v>
      </c>
      <c r="D75" s="64">
        <v>21.84</v>
      </c>
      <c r="E75" s="64">
        <v>3.79</v>
      </c>
      <c r="F75" s="64">
        <v>4.0199999999999996</v>
      </c>
      <c r="G75" s="64">
        <v>75.47</v>
      </c>
      <c r="H75" s="64">
        <v>23.67</v>
      </c>
      <c r="I75" s="64">
        <v>4.08</v>
      </c>
      <c r="J75" s="64">
        <v>1.42</v>
      </c>
      <c r="K75" s="64">
        <v>322.2</v>
      </c>
      <c r="L75" s="64">
        <v>28.17</v>
      </c>
      <c r="M75" s="64">
        <v>73.3</v>
      </c>
      <c r="N75" s="64">
        <v>114.9</v>
      </c>
      <c r="O75" s="64">
        <v>0</v>
      </c>
      <c r="P75" s="64">
        <v>0.46</v>
      </c>
      <c r="Q75" s="64">
        <v>9.15</v>
      </c>
      <c r="R75" s="198"/>
      <c r="S75" s="198"/>
      <c r="T75" s="198"/>
      <c r="U75" s="198"/>
    </row>
    <row r="76" spans="1:21" s="12" customFormat="1" x14ac:dyDescent="0.25">
      <c r="A76" s="211" t="s">
        <v>1272</v>
      </c>
      <c r="B76" s="64">
        <v>7.29</v>
      </c>
      <c r="C76" s="64">
        <v>17.07</v>
      </c>
      <c r="D76" s="64">
        <v>21.49</v>
      </c>
      <c r="E76" s="64">
        <v>4.1399999999999997</v>
      </c>
      <c r="F76" s="64">
        <v>3.79</v>
      </c>
      <c r="G76" s="64">
        <v>74.38</v>
      </c>
      <c r="H76" s="64">
        <v>25.89</v>
      </c>
      <c r="I76" s="64">
        <v>4.0599999999999996</v>
      </c>
      <c r="J76" s="64">
        <v>1.08</v>
      </c>
      <c r="K76" s="64">
        <v>318.25</v>
      </c>
      <c r="L76" s="64">
        <v>27.97</v>
      </c>
      <c r="M76" s="64">
        <v>74.72</v>
      </c>
      <c r="N76" s="64">
        <v>106.5</v>
      </c>
      <c r="O76" s="64">
        <v>0</v>
      </c>
      <c r="P76" s="64">
        <v>0.43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1" t="s">
        <v>1273</v>
      </c>
      <c r="B77" s="64">
        <v>7.75</v>
      </c>
      <c r="C77" s="64">
        <v>16.77</v>
      </c>
      <c r="D77" s="64">
        <v>20.21</v>
      </c>
      <c r="E77" s="64">
        <v>3.93</v>
      </c>
      <c r="F77" s="64">
        <v>4.2300000000000004</v>
      </c>
      <c r="G77" s="64">
        <v>71.400000000000006</v>
      </c>
      <c r="H77" s="64">
        <v>32.01</v>
      </c>
      <c r="I77" s="64">
        <v>4.0599999999999996</v>
      </c>
      <c r="J77" s="64">
        <v>0.74</v>
      </c>
      <c r="K77" s="64">
        <v>310.64</v>
      </c>
      <c r="L77" s="64">
        <v>27.62</v>
      </c>
      <c r="M77" s="64">
        <v>76.61</v>
      </c>
      <c r="N77" s="64">
        <v>79</v>
      </c>
      <c r="O77" s="64">
        <v>0</v>
      </c>
      <c r="P77" s="64">
        <v>0.44</v>
      </c>
      <c r="Q77" s="64">
        <v>9.16</v>
      </c>
      <c r="R77" s="198"/>
      <c r="S77" s="198"/>
      <c r="T77" s="198"/>
      <c r="U77" s="198"/>
    </row>
    <row r="78" spans="1:21" s="12" customFormat="1" x14ac:dyDescent="0.25">
      <c r="A78" s="211" t="s">
        <v>1274</v>
      </c>
      <c r="B78" s="64">
        <v>8.83</v>
      </c>
      <c r="C78" s="64">
        <v>19.55</v>
      </c>
      <c r="D78" s="64">
        <v>23.86</v>
      </c>
      <c r="E78" s="64">
        <v>4.0599999999999996</v>
      </c>
      <c r="F78" s="64">
        <v>4.5199999999999996</v>
      </c>
      <c r="G78" s="64">
        <v>71.400000000000006</v>
      </c>
      <c r="H78" s="64">
        <v>32.01</v>
      </c>
      <c r="I78" s="64">
        <v>4</v>
      </c>
      <c r="J78" s="64">
        <v>0.28999999999999998</v>
      </c>
      <c r="K78" s="64">
        <v>314.02</v>
      </c>
      <c r="L78" s="64">
        <v>27.48</v>
      </c>
      <c r="M78" s="64">
        <v>77.39</v>
      </c>
      <c r="N78" s="64">
        <v>73.7</v>
      </c>
      <c r="O78" s="64">
        <v>0</v>
      </c>
      <c r="P78" s="64">
        <v>0.46</v>
      </c>
      <c r="Q78" s="64">
        <v>9.18</v>
      </c>
      <c r="R78" s="198"/>
      <c r="S78" s="198"/>
      <c r="T78" s="198"/>
      <c r="U78" s="198"/>
    </row>
    <row r="79" spans="1:21" s="12" customFormat="1" x14ac:dyDescent="0.25">
      <c r="A79" s="211" t="s">
        <v>1275</v>
      </c>
      <c r="B79" s="64">
        <v>11.19</v>
      </c>
      <c r="C79" s="64">
        <v>22.31</v>
      </c>
      <c r="D79" s="64">
        <v>25.53</v>
      </c>
      <c r="E79" s="64">
        <v>3.86</v>
      </c>
      <c r="F79" s="64">
        <v>4.7699999999999996</v>
      </c>
      <c r="G79" s="64">
        <v>71.400000000000006</v>
      </c>
      <c r="H79" s="64">
        <v>32.01</v>
      </c>
      <c r="I79" s="64">
        <v>3.97</v>
      </c>
      <c r="J79" s="64">
        <v>0.27</v>
      </c>
      <c r="K79" s="64">
        <v>311.02999999999997</v>
      </c>
      <c r="L79" s="64">
        <v>27.51</v>
      </c>
      <c r="M79" s="64">
        <v>77.05</v>
      </c>
      <c r="N79" s="64">
        <v>75.599999999999994</v>
      </c>
      <c r="O79" s="64">
        <v>0</v>
      </c>
      <c r="P79" s="64">
        <v>0.46</v>
      </c>
      <c r="Q79" s="64">
        <v>9.18</v>
      </c>
      <c r="R79" s="198"/>
      <c r="S79" s="198"/>
      <c r="T79" s="198"/>
      <c r="U79" s="198"/>
    </row>
    <row r="80" spans="1:21" s="12" customFormat="1" x14ac:dyDescent="0.25">
      <c r="A80" s="211" t="s">
        <v>1276</v>
      </c>
      <c r="B80" s="64">
        <v>9.92</v>
      </c>
      <c r="C80" s="64">
        <v>20.190000000000001</v>
      </c>
      <c r="D80" s="64">
        <v>23.41</v>
      </c>
      <c r="E80" s="64">
        <v>3.87</v>
      </c>
      <c r="F80" s="64">
        <v>4.3099999999999996</v>
      </c>
      <c r="G80" s="64">
        <v>70.25</v>
      </c>
      <c r="H80" s="64">
        <v>28</v>
      </c>
      <c r="I80" s="64">
        <v>4.13</v>
      </c>
      <c r="J80" s="64">
        <v>0.28999999999999998</v>
      </c>
      <c r="K80" s="64">
        <v>311.33</v>
      </c>
      <c r="L80" s="64">
        <v>27.53</v>
      </c>
      <c r="M80" s="64">
        <v>75.73</v>
      </c>
      <c r="N80" s="64">
        <v>76.400000000000006</v>
      </c>
      <c r="O80" s="64">
        <v>0</v>
      </c>
      <c r="P80" s="64">
        <v>0.48</v>
      </c>
      <c r="Q80" s="64">
        <v>9.2100000000000009</v>
      </c>
      <c r="R80" s="198"/>
      <c r="S80" s="198"/>
      <c r="T80" s="198"/>
      <c r="U80" s="198"/>
    </row>
    <row r="81" spans="1:26" s="12" customFormat="1" x14ac:dyDescent="0.25">
      <c r="A81" s="211" t="s">
        <v>1277</v>
      </c>
      <c r="B81" s="64">
        <v>12.46</v>
      </c>
      <c r="C81" s="64">
        <v>23.18</v>
      </c>
      <c r="D81" s="64">
        <v>25.25</v>
      </c>
      <c r="E81" s="64">
        <v>4.4000000000000004</v>
      </c>
      <c r="F81" s="64">
        <v>4.1399999999999997</v>
      </c>
      <c r="G81" s="64">
        <v>67.11</v>
      </c>
      <c r="H81" s="64">
        <v>16.95</v>
      </c>
      <c r="I81" s="64">
        <v>3.99</v>
      </c>
      <c r="J81" s="64">
        <v>0.24</v>
      </c>
      <c r="K81" s="64">
        <v>308.12</v>
      </c>
      <c r="L81" s="64">
        <v>27.58</v>
      </c>
      <c r="M81" s="64">
        <v>75.62</v>
      </c>
      <c r="N81" s="64">
        <v>69.099999999999994</v>
      </c>
      <c r="O81" s="64">
        <v>0</v>
      </c>
      <c r="P81" s="64">
        <v>0.53</v>
      </c>
      <c r="Q81" s="64">
        <v>9.24</v>
      </c>
      <c r="R81" s="198"/>
      <c r="S81" s="198"/>
      <c r="T81" s="198"/>
      <c r="U81" s="198"/>
    </row>
    <row r="82" spans="1:26" s="12" customFormat="1" x14ac:dyDescent="0.25">
      <c r="A82" s="211" t="s">
        <v>1278</v>
      </c>
      <c r="B82" s="64">
        <v>12.17</v>
      </c>
      <c r="C82" s="64">
        <v>25.5</v>
      </c>
      <c r="D82" s="64">
        <v>30.12</v>
      </c>
      <c r="E82" s="64">
        <v>4.08</v>
      </c>
      <c r="F82" s="64">
        <v>7.48</v>
      </c>
      <c r="G82" s="64">
        <v>67.11</v>
      </c>
      <c r="H82" s="64">
        <v>16.95</v>
      </c>
      <c r="I82" s="64">
        <v>4.0999999999999996</v>
      </c>
      <c r="J82" s="64">
        <v>0.15</v>
      </c>
      <c r="K82" s="64">
        <v>323.33999999999997</v>
      </c>
      <c r="L82" s="64">
        <v>27.5</v>
      </c>
      <c r="M82" s="64">
        <v>76.37</v>
      </c>
      <c r="N82" s="64">
        <v>62.4</v>
      </c>
      <c r="O82" s="64">
        <v>0</v>
      </c>
      <c r="P82" s="64">
        <v>0.76</v>
      </c>
      <c r="Q82" s="64">
        <v>9.25</v>
      </c>
      <c r="R82" s="198"/>
      <c r="S82" s="198"/>
      <c r="T82" s="198"/>
      <c r="U82" s="198"/>
    </row>
    <row r="83" spans="1:26" s="12" customFormat="1" x14ac:dyDescent="0.25">
      <c r="A83" s="211" t="s">
        <v>1279</v>
      </c>
      <c r="B83" s="64">
        <v>11.02</v>
      </c>
      <c r="C83" s="64">
        <v>23.62</v>
      </c>
      <c r="D83" s="64">
        <v>28.31</v>
      </c>
      <c r="E83" s="64">
        <v>4.21</v>
      </c>
      <c r="F83" s="64">
        <v>7.04</v>
      </c>
      <c r="G83" s="64">
        <v>67.11</v>
      </c>
      <c r="H83" s="64">
        <v>16.95</v>
      </c>
      <c r="I83" s="64">
        <v>4.03</v>
      </c>
      <c r="J83" s="64">
        <v>0.16</v>
      </c>
      <c r="K83" s="64">
        <v>319.98</v>
      </c>
      <c r="L83" s="64">
        <v>27.49</v>
      </c>
      <c r="M83" s="64">
        <v>76.56</v>
      </c>
      <c r="N83" s="64">
        <v>56.3</v>
      </c>
      <c r="O83" s="64">
        <v>0</v>
      </c>
      <c r="P83" s="64">
        <v>0.7</v>
      </c>
      <c r="Q83" s="64">
        <v>9.27</v>
      </c>
      <c r="R83" s="198"/>
      <c r="S83" s="198"/>
      <c r="T83" s="198"/>
      <c r="U83" s="198"/>
    </row>
    <row r="84" spans="1:26" s="12" customFormat="1" x14ac:dyDescent="0.25">
      <c r="A84" s="211" t="s">
        <v>1280</v>
      </c>
      <c r="B84" s="64">
        <v>12.76</v>
      </c>
      <c r="C84" s="64">
        <v>26.36</v>
      </c>
      <c r="D84" s="64">
        <v>30.86</v>
      </c>
      <c r="E84" s="64">
        <v>4.7699999999999996</v>
      </c>
      <c r="F84" s="64">
        <v>7.18</v>
      </c>
      <c r="G84" s="64">
        <v>72.61</v>
      </c>
      <c r="H84" s="64">
        <v>22.84</v>
      </c>
      <c r="I84" s="64">
        <v>4.16</v>
      </c>
      <c r="J84" s="64">
        <v>0.18</v>
      </c>
      <c r="K84" s="64">
        <v>312.89999999999998</v>
      </c>
      <c r="L84" s="64">
        <v>27.52</v>
      </c>
      <c r="M84" s="64">
        <v>76.75</v>
      </c>
      <c r="N84" s="64">
        <v>54.4</v>
      </c>
      <c r="O84" s="64">
        <v>0</v>
      </c>
      <c r="P84" s="64">
        <v>0.64</v>
      </c>
      <c r="Q84" s="64">
        <v>9.3000000000000007</v>
      </c>
      <c r="R84" s="198"/>
      <c r="S84" s="198"/>
      <c r="T84" s="198"/>
      <c r="U84" s="198"/>
    </row>
    <row r="85" spans="1:26" s="12" customFormat="1" x14ac:dyDescent="0.25">
      <c r="A85" s="211" t="s">
        <v>1281</v>
      </c>
      <c r="B85" s="64">
        <v>15.78</v>
      </c>
      <c r="C85" s="64">
        <v>29.57</v>
      </c>
      <c r="D85" s="64">
        <v>32.39</v>
      </c>
      <c r="E85" s="64">
        <v>4.29</v>
      </c>
      <c r="F85" s="64">
        <v>7.39</v>
      </c>
      <c r="G85" s="64">
        <v>87.75</v>
      </c>
      <c r="H85" s="64">
        <v>39.04</v>
      </c>
      <c r="I85" s="64">
        <v>4.0599999999999996</v>
      </c>
      <c r="J85" s="64">
        <v>0.22</v>
      </c>
      <c r="K85" s="64">
        <v>311.74</v>
      </c>
      <c r="L85" s="64">
        <v>27.44</v>
      </c>
      <c r="M85" s="64">
        <v>77.88</v>
      </c>
      <c r="N85" s="64">
        <v>54.3</v>
      </c>
      <c r="O85" s="64">
        <v>0</v>
      </c>
      <c r="P85" s="64">
        <v>0.65</v>
      </c>
      <c r="Q85" s="64">
        <v>9.33</v>
      </c>
      <c r="R85" s="198"/>
      <c r="S85" s="198"/>
      <c r="T85" s="198"/>
      <c r="U85" s="198"/>
    </row>
    <row r="86" spans="1:26" s="12" customFormat="1" x14ac:dyDescent="0.25">
      <c r="A86" s="211" t="s">
        <v>1282</v>
      </c>
      <c r="B86" s="64">
        <v>14.13</v>
      </c>
      <c r="C86" s="64">
        <v>24.93</v>
      </c>
      <c r="D86" s="64">
        <v>26.03</v>
      </c>
      <c r="E86" s="64">
        <v>4.46</v>
      </c>
      <c r="F86" s="64">
        <v>6.97</v>
      </c>
      <c r="G86" s="64">
        <v>87.75</v>
      </c>
      <c r="H86" s="64">
        <v>39.04</v>
      </c>
      <c r="I86" s="64">
        <v>3.98</v>
      </c>
      <c r="J86" s="64">
        <v>0.31</v>
      </c>
      <c r="K86" s="64">
        <v>311.61</v>
      </c>
      <c r="L86" s="64">
        <v>27.44</v>
      </c>
      <c r="M86" s="64">
        <v>78.56</v>
      </c>
      <c r="N86" s="64">
        <v>54.3</v>
      </c>
      <c r="O86" s="64">
        <v>0</v>
      </c>
      <c r="P86" s="64">
        <v>0.56999999999999995</v>
      </c>
      <c r="Q86" s="64">
        <v>9.34</v>
      </c>
      <c r="R86" s="198"/>
      <c r="S86" s="198"/>
      <c r="T86" s="198"/>
      <c r="U86" s="198"/>
    </row>
    <row r="87" spans="1:26" s="12" customFormat="1" x14ac:dyDescent="0.25">
      <c r="A87" s="211" t="s">
        <v>1283</v>
      </c>
      <c r="B87" s="64">
        <v>13.57</v>
      </c>
      <c r="C87" s="64">
        <v>23.19</v>
      </c>
      <c r="D87" s="64">
        <v>23.56</v>
      </c>
      <c r="E87" s="64">
        <v>4.4800000000000004</v>
      </c>
      <c r="F87" s="64">
        <v>6.86</v>
      </c>
      <c r="G87" s="64">
        <v>87.75</v>
      </c>
      <c r="H87" s="64">
        <v>39.04</v>
      </c>
      <c r="I87" s="64">
        <v>3.99</v>
      </c>
      <c r="J87" s="64">
        <v>0.57999999999999996</v>
      </c>
      <c r="K87" s="64">
        <v>315.48</v>
      </c>
      <c r="L87" s="64">
        <v>27.31</v>
      </c>
      <c r="M87" s="64">
        <v>78.959999999999994</v>
      </c>
      <c r="N87" s="64">
        <v>54.3</v>
      </c>
      <c r="O87" s="64">
        <v>0</v>
      </c>
      <c r="P87" s="64">
        <v>0.56000000000000005</v>
      </c>
      <c r="Q87" s="64">
        <v>9.36</v>
      </c>
      <c r="R87" s="198"/>
      <c r="S87" s="198"/>
      <c r="T87" s="198"/>
      <c r="U87" s="198"/>
    </row>
    <row r="88" spans="1:26" s="12" customFormat="1" x14ac:dyDescent="0.25">
      <c r="A88" s="211" t="s">
        <v>1284</v>
      </c>
      <c r="B88" s="64">
        <v>16.829999999999998</v>
      </c>
      <c r="C88" s="64">
        <v>25.91</v>
      </c>
      <c r="D88" s="64">
        <v>23.76</v>
      </c>
      <c r="E88" s="64">
        <v>4.6900000000000004</v>
      </c>
      <c r="F88" s="64">
        <v>6.67</v>
      </c>
      <c r="G88" s="64">
        <v>89.96</v>
      </c>
      <c r="H88" s="64">
        <v>34.68</v>
      </c>
      <c r="I88" s="64">
        <v>3.94</v>
      </c>
      <c r="J88" s="64">
        <v>0.44</v>
      </c>
      <c r="K88" s="64">
        <v>309.95</v>
      </c>
      <c r="L88" s="64">
        <v>27.21</v>
      </c>
      <c r="M88" s="64">
        <v>78.42</v>
      </c>
      <c r="N88" s="64">
        <v>54.3</v>
      </c>
      <c r="O88" s="64">
        <v>0</v>
      </c>
      <c r="P88" s="64">
        <v>0.55000000000000004</v>
      </c>
      <c r="Q88" s="64">
        <v>9.3699999999999992</v>
      </c>
      <c r="R88" s="198"/>
      <c r="S88" s="198"/>
      <c r="T88" s="198"/>
      <c r="U88" s="198"/>
    </row>
    <row r="89" spans="1:26" s="12" customFormat="1" x14ac:dyDescent="0.25">
      <c r="A89" s="211" t="s">
        <v>1285</v>
      </c>
      <c r="B89" s="64">
        <v>15.5</v>
      </c>
      <c r="C89" s="64">
        <v>26.82</v>
      </c>
      <c r="D89" s="64">
        <v>27.55</v>
      </c>
      <c r="E89" s="64">
        <v>4.5599999999999996</v>
      </c>
      <c r="F89" s="64">
        <v>6.68</v>
      </c>
      <c r="G89" s="64">
        <v>96.03</v>
      </c>
      <c r="H89" s="64">
        <v>22.7</v>
      </c>
      <c r="I89" s="64">
        <v>3.8</v>
      </c>
      <c r="J89" s="64">
        <v>0.26</v>
      </c>
      <c r="K89" s="64">
        <v>315.72000000000003</v>
      </c>
      <c r="L89" s="64">
        <v>27.16</v>
      </c>
      <c r="M89" s="64">
        <v>78.510000000000005</v>
      </c>
      <c r="N89" s="64">
        <v>54.3</v>
      </c>
      <c r="O89" s="64">
        <v>0</v>
      </c>
      <c r="P89" s="64">
        <v>0.62</v>
      </c>
      <c r="Q89" s="64">
        <v>9.3800000000000008</v>
      </c>
      <c r="R89" s="198"/>
      <c r="S89" s="198"/>
      <c r="T89" s="198"/>
      <c r="U89" s="198"/>
    </row>
    <row r="90" spans="1:26" s="12" customFormat="1" x14ac:dyDescent="0.25">
      <c r="A90" s="211" t="s">
        <v>1286</v>
      </c>
      <c r="B90" s="64">
        <v>13.35</v>
      </c>
      <c r="C90" s="64">
        <v>22.25</v>
      </c>
      <c r="D90" s="64">
        <v>22.09</v>
      </c>
      <c r="E90" s="64">
        <v>4.5</v>
      </c>
      <c r="F90" s="64">
        <v>4.63</v>
      </c>
      <c r="G90" s="64">
        <v>96.03</v>
      </c>
      <c r="H90" s="64">
        <v>22.7</v>
      </c>
      <c r="I90" s="64">
        <v>4.0199999999999996</v>
      </c>
      <c r="J90" s="64">
        <v>0.21</v>
      </c>
      <c r="K90" s="64">
        <v>313.60000000000002</v>
      </c>
      <c r="L90" s="64">
        <v>27.13</v>
      </c>
      <c r="M90" s="64">
        <v>78.23</v>
      </c>
      <c r="N90" s="64">
        <v>54.6</v>
      </c>
      <c r="O90" s="64">
        <v>0</v>
      </c>
      <c r="P90" s="64">
        <v>0.56999999999999995</v>
      </c>
      <c r="Q90" s="64">
        <v>9.3800000000000008</v>
      </c>
      <c r="R90" s="198"/>
      <c r="S90" s="198"/>
      <c r="T90" s="198"/>
      <c r="U90" s="198"/>
    </row>
    <row r="91" spans="1:26" s="12" customFormat="1" x14ac:dyDescent="0.25">
      <c r="A91" s="211" t="s">
        <v>1287</v>
      </c>
      <c r="B91" s="64">
        <v>18.22</v>
      </c>
      <c r="C91" s="64">
        <v>26.93</v>
      </c>
      <c r="D91" s="64">
        <v>23.59</v>
      </c>
      <c r="E91" s="64">
        <v>4.45</v>
      </c>
      <c r="F91" s="64">
        <v>5.43</v>
      </c>
      <c r="G91" s="64">
        <v>96.03</v>
      </c>
      <c r="H91" s="64">
        <v>22.7</v>
      </c>
      <c r="I91" s="64">
        <v>3.97</v>
      </c>
      <c r="J91" s="64">
        <v>0.24</v>
      </c>
      <c r="K91" s="64">
        <v>311.08999999999997</v>
      </c>
      <c r="L91" s="64">
        <v>27.05</v>
      </c>
      <c r="M91" s="64">
        <v>78.7</v>
      </c>
      <c r="N91" s="64">
        <v>54.4</v>
      </c>
      <c r="O91" s="64">
        <v>0</v>
      </c>
      <c r="P91" s="64">
        <v>0.6</v>
      </c>
      <c r="Q91" s="64">
        <v>9.3800000000000008</v>
      </c>
      <c r="R91" s="198"/>
      <c r="S91" s="198"/>
      <c r="T91" s="198"/>
      <c r="U91" s="198"/>
    </row>
    <row r="92" spans="1:26" s="12" customFormat="1" x14ac:dyDescent="0.25">
      <c r="A92" s="211" t="s">
        <v>1288</v>
      </c>
      <c r="B92" s="64">
        <v>16.84</v>
      </c>
      <c r="C92" s="64">
        <v>26.95</v>
      </c>
      <c r="D92" s="64">
        <v>25.73</v>
      </c>
      <c r="E92" s="64">
        <v>4.3600000000000003</v>
      </c>
      <c r="F92" s="64">
        <v>5.93</v>
      </c>
      <c r="G92" s="64">
        <v>93.32</v>
      </c>
      <c r="H92" s="64">
        <v>22.12</v>
      </c>
      <c r="I92" s="64">
        <v>4.08</v>
      </c>
      <c r="J92" s="64">
        <v>0.3</v>
      </c>
      <c r="K92" s="64">
        <v>313.83</v>
      </c>
      <c r="L92" s="64">
        <v>26.94</v>
      </c>
      <c r="M92" s="64">
        <v>78.760000000000005</v>
      </c>
      <c r="N92" s="64">
        <v>54.6</v>
      </c>
      <c r="O92" s="64">
        <v>0</v>
      </c>
      <c r="P92" s="64">
        <v>0.56999999999999995</v>
      </c>
      <c r="Q92" s="64">
        <v>9.41</v>
      </c>
      <c r="R92" s="198"/>
      <c r="S92" s="198"/>
      <c r="T92" s="198"/>
      <c r="U92" s="198"/>
    </row>
    <row r="93" spans="1:26" s="12" customFormat="1" x14ac:dyDescent="0.25">
      <c r="A93" s="211" t="s">
        <v>1289</v>
      </c>
      <c r="B93" s="64">
        <v>15.88</v>
      </c>
      <c r="C93" s="64">
        <v>24.16</v>
      </c>
      <c r="D93" s="64">
        <v>21.87</v>
      </c>
      <c r="E93" s="64">
        <v>4.6399999999999997</v>
      </c>
      <c r="F93" s="64">
        <v>5.6</v>
      </c>
      <c r="G93" s="64">
        <v>86.29</v>
      </c>
      <c r="H93" s="64">
        <v>20.53</v>
      </c>
      <c r="I93" s="64">
        <v>4</v>
      </c>
      <c r="J93" s="64">
        <v>0.57999999999999996</v>
      </c>
      <c r="K93" s="64">
        <v>315.39</v>
      </c>
      <c r="L93" s="64">
        <v>26.88</v>
      </c>
      <c r="M93" s="64">
        <v>79.08</v>
      </c>
      <c r="N93" s="64">
        <v>54.6</v>
      </c>
      <c r="O93" s="64">
        <v>0</v>
      </c>
      <c r="P93" s="64">
        <v>0.57999999999999996</v>
      </c>
      <c r="Q93" s="64">
        <v>9.41</v>
      </c>
      <c r="R93" s="198"/>
      <c r="S93" s="198"/>
      <c r="T93" s="198"/>
      <c r="U93" s="198"/>
    </row>
    <row r="94" spans="1:26" s="12" customFormat="1" x14ac:dyDescent="0.25">
      <c r="A94" s="211" t="s">
        <v>1290</v>
      </c>
      <c r="B94" s="64">
        <v>15.73</v>
      </c>
      <c r="C94" s="64">
        <v>24.34</v>
      </c>
      <c r="D94" s="64">
        <v>22.44</v>
      </c>
      <c r="E94" s="64">
        <v>4.63</v>
      </c>
      <c r="F94" s="64">
        <v>4.5</v>
      </c>
      <c r="G94" s="64">
        <v>86.29</v>
      </c>
      <c r="H94" s="64">
        <v>20.53</v>
      </c>
      <c r="I94" s="64">
        <v>4.0199999999999996</v>
      </c>
      <c r="J94" s="64">
        <v>0.17</v>
      </c>
      <c r="K94" s="64">
        <v>304.3</v>
      </c>
      <c r="L94" s="64">
        <v>26.82</v>
      </c>
      <c r="M94" s="64">
        <v>78.709999999999994</v>
      </c>
      <c r="N94" s="64">
        <v>54.6</v>
      </c>
      <c r="O94" s="64">
        <v>0</v>
      </c>
      <c r="P94" s="64">
        <v>0.54</v>
      </c>
      <c r="Q94" s="64">
        <v>9.41</v>
      </c>
      <c r="R94" s="198"/>
      <c r="S94" s="198"/>
      <c r="T94" s="198"/>
      <c r="U94" s="198"/>
    </row>
    <row r="95" spans="1:26" s="12" customFormat="1" x14ac:dyDescent="0.25">
      <c r="A95" s="211" t="s">
        <v>1291</v>
      </c>
      <c r="B95" s="64">
        <v>17.5</v>
      </c>
      <c r="C95" s="64">
        <v>25.82</v>
      </c>
      <c r="D95" s="64">
        <v>22.55</v>
      </c>
      <c r="E95" s="64">
        <v>3.93</v>
      </c>
      <c r="F95" s="64">
        <v>4.46</v>
      </c>
      <c r="G95" s="64">
        <v>86.29</v>
      </c>
      <c r="H95" s="64">
        <v>20.53</v>
      </c>
      <c r="I95" s="64">
        <v>3.98</v>
      </c>
      <c r="J95" s="64">
        <v>0.12</v>
      </c>
      <c r="K95" s="64">
        <v>323.31</v>
      </c>
      <c r="L95" s="64">
        <v>26.96</v>
      </c>
      <c r="M95" s="64">
        <v>78.42</v>
      </c>
      <c r="N95" s="64">
        <v>54.5</v>
      </c>
      <c r="O95" s="64">
        <v>0</v>
      </c>
      <c r="P95" s="64">
        <v>0.56000000000000005</v>
      </c>
      <c r="Q95" s="64">
        <v>9.42</v>
      </c>
      <c r="R95" s="198"/>
      <c r="S95" s="198"/>
      <c r="T95" s="198"/>
      <c r="U95" s="198"/>
    </row>
    <row r="96" spans="1:26" s="12" customFormat="1" x14ac:dyDescent="0.25">
      <c r="A96" s="211" t="s">
        <v>1292</v>
      </c>
      <c r="B96" s="64">
        <v>14.68</v>
      </c>
      <c r="C96" s="64">
        <v>23.93</v>
      </c>
      <c r="D96" s="64">
        <v>23.26</v>
      </c>
      <c r="E96" s="64">
        <v>4.29</v>
      </c>
      <c r="F96" s="64">
        <v>5.28</v>
      </c>
      <c r="G96" s="64">
        <v>88.3</v>
      </c>
      <c r="H96" s="64">
        <v>22.31</v>
      </c>
      <c r="I96" s="64">
        <v>4</v>
      </c>
      <c r="J96" s="64">
        <v>0.08</v>
      </c>
      <c r="K96" s="64">
        <v>306.69</v>
      </c>
      <c r="L96" s="64">
        <v>26.71</v>
      </c>
      <c r="M96" s="64">
        <v>79.760000000000005</v>
      </c>
      <c r="N96" s="64">
        <v>54.6</v>
      </c>
      <c r="O96" s="64">
        <v>0</v>
      </c>
      <c r="P96" s="64">
        <v>0.53</v>
      </c>
      <c r="Q96" s="64">
        <v>9.43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1293</v>
      </c>
      <c r="B97" s="64">
        <v>15.76</v>
      </c>
      <c r="C97" s="64">
        <v>27.55</v>
      </c>
      <c r="D97" s="64">
        <v>28.55</v>
      </c>
      <c r="E97" s="64">
        <v>4.17</v>
      </c>
      <c r="F97" s="64">
        <v>5.58</v>
      </c>
      <c r="G97" s="64">
        <v>93.84</v>
      </c>
      <c r="H97" s="64">
        <v>27.2</v>
      </c>
      <c r="I97" s="64">
        <v>4.01</v>
      </c>
      <c r="J97" s="64">
        <v>0.02</v>
      </c>
      <c r="K97" s="64">
        <v>263.08</v>
      </c>
      <c r="L97" s="64">
        <v>26.58</v>
      </c>
      <c r="M97" s="64">
        <v>81.319999999999993</v>
      </c>
      <c r="N97" s="64">
        <v>54.6</v>
      </c>
      <c r="O97" s="64">
        <v>0</v>
      </c>
      <c r="P97" s="64">
        <v>0.57999999999999996</v>
      </c>
      <c r="Q97" s="64">
        <v>9.42</v>
      </c>
      <c r="R97" s="198"/>
      <c r="S97" s="198"/>
      <c r="T97" s="198"/>
      <c r="U97" s="198"/>
    </row>
    <row r="98" spans="1:33" s="12" customFormat="1" x14ac:dyDescent="0.25">
      <c r="A98" s="211" t="s">
        <v>1294</v>
      </c>
      <c r="B98" s="64">
        <v>13.15</v>
      </c>
      <c r="C98" s="64">
        <v>21.54</v>
      </c>
      <c r="D98" s="64">
        <v>21.04</v>
      </c>
      <c r="E98" s="64">
        <v>4.3499999999999996</v>
      </c>
      <c r="F98" s="64">
        <v>5.61</v>
      </c>
      <c r="G98" s="64">
        <v>93.84</v>
      </c>
      <c r="H98" s="64">
        <v>27.2</v>
      </c>
      <c r="I98" s="64">
        <v>3.92</v>
      </c>
      <c r="J98" s="64">
        <v>0.02</v>
      </c>
      <c r="K98" s="64">
        <v>212.58</v>
      </c>
      <c r="L98" s="64">
        <v>26.42</v>
      </c>
      <c r="M98" s="64">
        <v>81.62</v>
      </c>
      <c r="N98" s="64">
        <v>54.8</v>
      </c>
      <c r="O98" s="64">
        <v>0</v>
      </c>
      <c r="P98" s="64">
        <v>0.5</v>
      </c>
      <c r="Q98" s="64">
        <v>9.43</v>
      </c>
      <c r="R98" s="198"/>
      <c r="S98" s="198"/>
      <c r="T98" s="198"/>
      <c r="U98" s="198"/>
    </row>
    <row r="99" spans="1:33" s="12" customFormat="1" x14ac:dyDescent="0.25">
      <c r="A99" s="211" t="s">
        <v>1295</v>
      </c>
      <c r="B99" s="64">
        <v>13.83</v>
      </c>
      <c r="C99" s="64">
        <v>22.22</v>
      </c>
      <c r="D99" s="64">
        <v>21.3</v>
      </c>
      <c r="E99" s="64">
        <v>4.2</v>
      </c>
      <c r="F99" s="64">
        <v>4.41</v>
      </c>
      <c r="G99" s="64">
        <v>93.84</v>
      </c>
      <c r="H99" s="64">
        <v>27.2</v>
      </c>
      <c r="I99" s="64">
        <v>3.81</v>
      </c>
      <c r="J99" s="64">
        <v>0.03</v>
      </c>
      <c r="K99" s="64">
        <v>298.88</v>
      </c>
      <c r="L99" s="64">
        <v>26.38</v>
      </c>
      <c r="M99" s="64">
        <v>81.739999999999995</v>
      </c>
      <c r="N99" s="64">
        <v>55</v>
      </c>
      <c r="O99" s="64">
        <v>0</v>
      </c>
      <c r="P99" s="64">
        <v>0.47</v>
      </c>
      <c r="Q99" s="64">
        <v>9.42</v>
      </c>
      <c r="R99" s="198"/>
      <c r="S99" s="198"/>
      <c r="T99" s="198"/>
      <c r="U99" s="198"/>
    </row>
    <row r="100" spans="1:33" s="12" customFormat="1" x14ac:dyDescent="0.25">
      <c r="A100" s="211" t="s">
        <v>1296</v>
      </c>
      <c r="B100" s="64">
        <v>9.15</v>
      </c>
      <c r="C100" s="64">
        <v>17.23</v>
      </c>
      <c r="D100" s="64">
        <v>18.940000000000001</v>
      </c>
      <c r="E100" s="64">
        <v>3.81</v>
      </c>
      <c r="F100" s="64">
        <v>8.75</v>
      </c>
      <c r="G100" s="64">
        <v>90.27</v>
      </c>
      <c r="H100" s="64">
        <v>25.8</v>
      </c>
      <c r="I100" s="64">
        <v>4.01</v>
      </c>
      <c r="J100" s="64">
        <v>0.04</v>
      </c>
      <c r="K100" s="64">
        <v>270</v>
      </c>
      <c r="L100" s="64">
        <v>26.16</v>
      </c>
      <c r="M100" s="64">
        <v>82.36</v>
      </c>
      <c r="N100" s="64">
        <v>55</v>
      </c>
      <c r="O100" s="64">
        <v>0</v>
      </c>
      <c r="P100" s="64">
        <v>0.28999999999999998</v>
      </c>
      <c r="Q100" s="64">
        <v>9.42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1297</v>
      </c>
      <c r="B101" s="64">
        <v>8.6300000000000008</v>
      </c>
      <c r="C101" s="64">
        <v>17.600000000000001</v>
      </c>
      <c r="D101" s="64">
        <v>20.45</v>
      </c>
      <c r="E101" s="64">
        <v>3.96</v>
      </c>
      <c r="F101" s="64">
        <v>7.91</v>
      </c>
      <c r="G101" s="64">
        <v>80.459999999999994</v>
      </c>
      <c r="H101" s="64">
        <v>21.95</v>
      </c>
      <c r="I101" s="64">
        <v>4.07</v>
      </c>
      <c r="J101" s="64">
        <v>0.3</v>
      </c>
      <c r="K101" s="64">
        <v>156.38</v>
      </c>
      <c r="L101" s="64">
        <v>26.05</v>
      </c>
      <c r="M101" s="64">
        <v>84.08</v>
      </c>
      <c r="N101" s="64">
        <v>54.8</v>
      </c>
      <c r="O101" s="64">
        <v>0</v>
      </c>
      <c r="P101" s="64">
        <v>0.25</v>
      </c>
      <c r="Q101" s="64">
        <v>9.42</v>
      </c>
      <c r="R101" s="198"/>
      <c r="S101" s="198"/>
      <c r="T101" s="198"/>
      <c r="U101" s="198"/>
    </row>
    <row r="102" spans="1:33" s="12" customFormat="1" x14ac:dyDescent="0.25">
      <c r="A102" s="211" t="s">
        <v>1298</v>
      </c>
      <c r="B102" s="64">
        <v>9.07</v>
      </c>
      <c r="C102" s="64">
        <v>18.420000000000002</v>
      </c>
      <c r="D102" s="64">
        <v>21.34</v>
      </c>
      <c r="E102" s="64">
        <v>4.18</v>
      </c>
      <c r="F102" s="64">
        <v>6.7</v>
      </c>
      <c r="G102" s="64">
        <v>80.459999999999994</v>
      </c>
      <c r="H102" s="64">
        <v>21.95</v>
      </c>
      <c r="I102" s="64">
        <v>3.99</v>
      </c>
      <c r="J102" s="64">
        <v>0.04</v>
      </c>
      <c r="K102" s="64">
        <v>173.25</v>
      </c>
      <c r="L102" s="64">
        <v>25.91</v>
      </c>
      <c r="M102" s="64">
        <v>84.54</v>
      </c>
      <c r="N102" s="64">
        <v>54.7</v>
      </c>
      <c r="O102" s="64">
        <v>0</v>
      </c>
      <c r="P102" s="64">
        <v>0.31</v>
      </c>
      <c r="Q102" s="64">
        <v>9.42</v>
      </c>
      <c r="R102" s="198"/>
      <c r="S102" s="198"/>
      <c r="T102" s="198"/>
      <c r="U102" s="198"/>
    </row>
    <row r="103" spans="1:33" s="12" customFormat="1" x14ac:dyDescent="0.25">
      <c r="A103" s="211" t="s">
        <v>1299</v>
      </c>
      <c r="B103" s="64">
        <v>12.93</v>
      </c>
      <c r="C103" s="64">
        <v>22.03</v>
      </c>
      <c r="D103" s="64">
        <v>22.31</v>
      </c>
      <c r="E103" s="64">
        <v>4.34</v>
      </c>
      <c r="F103" s="64">
        <v>5.97</v>
      </c>
      <c r="G103" s="64">
        <v>80.459999999999994</v>
      </c>
      <c r="H103" s="64">
        <v>21.95</v>
      </c>
      <c r="I103" s="64">
        <v>3.93</v>
      </c>
      <c r="J103" s="64">
        <v>0.1</v>
      </c>
      <c r="K103" s="64">
        <v>329.53</v>
      </c>
      <c r="L103" s="64">
        <v>26.03</v>
      </c>
      <c r="M103" s="64">
        <v>85.06</v>
      </c>
      <c r="N103" s="64">
        <v>54.6</v>
      </c>
      <c r="O103" s="64">
        <v>0</v>
      </c>
      <c r="P103" s="64">
        <v>0.4</v>
      </c>
      <c r="Q103" s="64">
        <v>9.42</v>
      </c>
      <c r="R103" s="198"/>
      <c r="S103" s="198"/>
      <c r="T103" s="198"/>
      <c r="U103" s="198"/>
    </row>
    <row r="104" spans="1:33" s="12" customFormat="1" x14ac:dyDescent="0.25">
      <c r="A104" s="211" t="s">
        <v>1300</v>
      </c>
      <c r="B104" s="64">
        <v>9.7899999999999991</v>
      </c>
      <c r="C104" s="64">
        <v>16.97</v>
      </c>
      <c r="D104" s="64">
        <v>17.440000000000001</v>
      </c>
      <c r="E104" s="64">
        <v>4.55</v>
      </c>
      <c r="F104" s="64">
        <v>7.83</v>
      </c>
      <c r="G104" s="64">
        <v>77.239999999999995</v>
      </c>
      <c r="H104" s="64">
        <v>17.690000000000001</v>
      </c>
      <c r="I104" s="64">
        <v>3.99</v>
      </c>
      <c r="J104" s="64">
        <v>0.05</v>
      </c>
      <c r="K104" s="64">
        <v>318.77999999999997</v>
      </c>
      <c r="L104" s="64">
        <v>25.71</v>
      </c>
      <c r="M104" s="64">
        <v>86.89</v>
      </c>
      <c r="N104" s="64">
        <v>54.6</v>
      </c>
      <c r="O104" s="64">
        <v>0</v>
      </c>
      <c r="P104" s="64">
        <v>0.28999999999999998</v>
      </c>
      <c r="Q104" s="64">
        <v>9.41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4.5999999999999996</v>
      </c>
      <c r="C106" s="67">
        <f>MIN(C9:C104)</f>
        <v>11.86</v>
      </c>
      <c r="D106" s="67">
        <f t="shared" ref="D106:Q106" si="0">MIN(D9:D104)</f>
        <v>14.4</v>
      </c>
      <c r="E106" s="67">
        <f t="shared" si="0"/>
        <v>3.74</v>
      </c>
      <c r="F106" s="67">
        <f t="shared" si="0"/>
        <v>2.88</v>
      </c>
      <c r="G106" s="67">
        <f t="shared" si="0"/>
        <v>36</v>
      </c>
      <c r="H106" s="67">
        <f t="shared" si="0"/>
        <v>0</v>
      </c>
      <c r="I106" s="67">
        <f t="shared" si="0"/>
        <v>3.75</v>
      </c>
      <c r="J106" s="67">
        <f t="shared" si="0"/>
        <v>0.02</v>
      </c>
      <c r="K106" s="67">
        <f t="shared" si="0"/>
        <v>156.38</v>
      </c>
      <c r="L106" s="67">
        <f t="shared" si="0"/>
        <v>24.92</v>
      </c>
      <c r="M106" s="67">
        <f t="shared" si="0"/>
        <v>58.28</v>
      </c>
      <c r="N106" s="67">
        <f t="shared" si="0"/>
        <v>54.3</v>
      </c>
      <c r="O106" s="67">
        <f t="shared" si="0"/>
        <v>0</v>
      </c>
      <c r="P106" s="67">
        <f t="shared" si="0"/>
        <v>0.14000000000000001</v>
      </c>
      <c r="Q106" s="67">
        <f t="shared" si="0"/>
        <v>9.0500000000000007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18.22</v>
      </c>
      <c r="C107" s="66">
        <f t="shared" ref="C107:Q107" si="1">MAX(C9:C104)</f>
        <v>29.57</v>
      </c>
      <c r="D107" s="66">
        <f t="shared" si="1"/>
        <v>32.39</v>
      </c>
      <c r="E107" s="66">
        <f t="shared" si="1"/>
        <v>5.61</v>
      </c>
      <c r="F107" s="66">
        <f t="shared" si="1"/>
        <v>8.75</v>
      </c>
      <c r="G107" s="66">
        <f t="shared" si="1"/>
        <v>96.03</v>
      </c>
      <c r="H107" s="66">
        <f t="shared" si="1"/>
        <v>302.07</v>
      </c>
      <c r="I107" s="66">
        <f t="shared" si="1"/>
        <v>4.2300000000000004</v>
      </c>
      <c r="J107" s="66">
        <f t="shared" si="1"/>
        <v>1.5</v>
      </c>
      <c r="K107" s="66">
        <f t="shared" si="1"/>
        <v>329.53</v>
      </c>
      <c r="L107" s="66">
        <f t="shared" si="1"/>
        <v>31.25</v>
      </c>
      <c r="M107" s="66">
        <f t="shared" si="1"/>
        <v>88.15</v>
      </c>
      <c r="N107" s="66">
        <f t="shared" si="1"/>
        <v>747.5</v>
      </c>
      <c r="O107" s="66">
        <f t="shared" si="1"/>
        <v>0</v>
      </c>
      <c r="P107" s="66">
        <f t="shared" si="1"/>
        <v>0.76</v>
      </c>
      <c r="Q107" s="66">
        <f t="shared" si="1"/>
        <v>9.43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7.8683333333333332</v>
      </c>
      <c r="C108" s="67">
        <f t="shared" ref="C108:Q108" si="2">AVERAGE(C9:C104)</f>
        <v>16.90552083333333</v>
      </c>
      <c r="D108" s="67">
        <f t="shared" si="2"/>
        <v>20.281666666666656</v>
      </c>
      <c r="E108" s="67">
        <f t="shared" si="2"/>
        <v>4.535000000000001</v>
      </c>
      <c r="F108" s="67">
        <f t="shared" si="2"/>
        <v>4.8866666666666676</v>
      </c>
      <c r="G108" s="67">
        <f t="shared" si="2"/>
        <v>62.558229166666656</v>
      </c>
      <c r="H108" s="67">
        <f t="shared" si="2"/>
        <v>49.2948958333333</v>
      </c>
      <c r="I108" s="67">
        <f t="shared" si="2"/>
        <v>3.9919791666666682</v>
      </c>
      <c r="J108" s="67">
        <f t="shared" si="2"/>
        <v>0.33208333333333323</v>
      </c>
      <c r="K108" s="67">
        <f t="shared" si="2"/>
        <v>294.3058333333334</v>
      </c>
      <c r="L108" s="67">
        <f t="shared" si="2"/>
        <v>27.681666666666676</v>
      </c>
      <c r="M108" s="67">
        <f t="shared" si="2"/>
        <v>75.290625000000006</v>
      </c>
      <c r="N108" s="67">
        <f t="shared" si="2"/>
        <v>179.34062499999985</v>
      </c>
      <c r="O108" s="67">
        <f t="shared" si="2"/>
        <v>0</v>
      </c>
      <c r="P108" s="67">
        <f t="shared" si="2"/>
        <v>0.34354166666666669</v>
      </c>
      <c r="Q108" s="67">
        <f t="shared" si="2"/>
        <v>9.1732291666666583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3.7555580331491174</v>
      </c>
      <c r="C109" s="67">
        <f t="shared" ref="C109:Q109" si="3">STDEV(C9:C104)</f>
        <v>4.6226925099628575</v>
      </c>
      <c r="D109" s="67">
        <f t="shared" si="3"/>
        <v>3.9644519543369534</v>
      </c>
      <c r="E109" s="67">
        <f t="shared" si="3"/>
        <v>0.50153448745351537</v>
      </c>
      <c r="F109" s="67">
        <f t="shared" si="3"/>
        <v>1.314003658303537</v>
      </c>
      <c r="G109" s="67">
        <f t="shared" si="3"/>
        <v>17.105747202547363</v>
      </c>
      <c r="H109" s="67">
        <f t="shared" si="3"/>
        <v>71.002321592804151</v>
      </c>
      <c r="I109" s="67">
        <f t="shared" si="3"/>
        <v>8.3573098059712025E-2</v>
      </c>
      <c r="J109" s="67">
        <f t="shared" si="3"/>
        <v>0.27214128167733503</v>
      </c>
      <c r="K109" s="67">
        <f t="shared" si="3"/>
        <v>25.034187515503742</v>
      </c>
      <c r="L109" s="67">
        <f t="shared" si="3"/>
        <v>1.7878765215026311</v>
      </c>
      <c r="M109" s="67">
        <f t="shared" si="3"/>
        <v>8.4428480867410958</v>
      </c>
      <c r="N109" s="67">
        <f t="shared" si="3"/>
        <v>172.20354270952325</v>
      </c>
      <c r="O109" s="67">
        <f t="shared" si="3"/>
        <v>0</v>
      </c>
      <c r="P109" s="67">
        <f t="shared" si="3"/>
        <v>0.15572566408957864</v>
      </c>
      <c r="Q109" s="67">
        <f t="shared" si="3"/>
        <v>0.12517351991423467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COUNT(I9:I104)+45</f>
        <v>141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216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3" sqref="G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1397</v>
      </c>
      <c r="B9" s="64">
        <v>6.01</v>
      </c>
      <c r="C9" s="64">
        <v>13.28</v>
      </c>
      <c r="D9" s="64">
        <v>16.190000000000001</v>
      </c>
      <c r="E9" s="64">
        <v>5</v>
      </c>
      <c r="F9" s="64">
        <v>3.34</v>
      </c>
      <c r="G9" s="64">
        <v>37.9</v>
      </c>
      <c r="H9" s="64">
        <v>1.55</v>
      </c>
      <c r="I9" s="64">
        <v>4.0999999999999996</v>
      </c>
      <c r="J9" s="64">
        <v>0.22</v>
      </c>
      <c r="K9" s="64">
        <v>301.99</v>
      </c>
      <c r="L9" s="64">
        <v>25.05</v>
      </c>
      <c r="M9" s="64">
        <v>89.78</v>
      </c>
      <c r="N9" s="64">
        <v>52.1</v>
      </c>
      <c r="O9" s="64">
        <v>0</v>
      </c>
      <c r="P9" s="64">
        <v>0.24</v>
      </c>
      <c r="Q9" s="64">
        <v>9.1</v>
      </c>
      <c r="R9" s="198"/>
      <c r="S9" s="198"/>
      <c r="T9" s="198"/>
      <c r="U9" s="198"/>
    </row>
    <row r="10" spans="1:21" s="12" customFormat="1" x14ac:dyDescent="0.25">
      <c r="A10" s="211" t="s">
        <v>1398</v>
      </c>
      <c r="B10" s="64">
        <v>5.34</v>
      </c>
      <c r="C10" s="64">
        <v>12.49</v>
      </c>
      <c r="D10" s="64">
        <v>15.7</v>
      </c>
      <c r="E10" s="64">
        <v>5.25</v>
      </c>
      <c r="F10" s="64">
        <v>4.3899999999999997</v>
      </c>
      <c r="G10" s="64">
        <v>37.9</v>
      </c>
      <c r="H10" s="64">
        <v>1.55</v>
      </c>
      <c r="I10" s="64">
        <v>4.13</v>
      </c>
      <c r="J10" s="64">
        <v>0.24</v>
      </c>
      <c r="K10" s="64">
        <v>303.73</v>
      </c>
      <c r="L10" s="64">
        <v>24.76</v>
      </c>
      <c r="M10" s="64">
        <v>91.77</v>
      </c>
      <c r="N10" s="64">
        <v>52.2</v>
      </c>
      <c r="O10" s="64">
        <v>0</v>
      </c>
      <c r="P10" s="64">
        <v>0.24</v>
      </c>
      <c r="Q10" s="64">
        <v>9.06</v>
      </c>
      <c r="R10" s="198"/>
      <c r="S10" s="198"/>
      <c r="T10" s="198"/>
      <c r="U10" s="198"/>
    </row>
    <row r="11" spans="1:21" s="12" customFormat="1" x14ac:dyDescent="0.25">
      <c r="A11" s="211" t="s">
        <v>1399</v>
      </c>
      <c r="B11" s="64">
        <v>4.82</v>
      </c>
      <c r="C11" s="64">
        <v>12.17</v>
      </c>
      <c r="D11" s="64">
        <v>15.9</v>
      </c>
      <c r="E11" s="64">
        <v>5.05</v>
      </c>
      <c r="F11" s="64">
        <v>3.56</v>
      </c>
      <c r="G11" s="64">
        <v>37.9</v>
      </c>
      <c r="H11" s="64">
        <v>1.55</v>
      </c>
      <c r="I11" s="64">
        <v>4.08</v>
      </c>
      <c r="J11" s="64">
        <v>0.23</v>
      </c>
      <c r="K11" s="64">
        <v>313.44</v>
      </c>
      <c r="L11" s="64">
        <v>24.6</v>
      </c>
      <c r="M11" s="64">
        <v>93.1</v>
      </c>
      <c r="N11" s="64">
        <v>52.1</v>
      </c>
      <c r="O11" s="64">
        <v>0</v>
      </c>
      <c r="P11" s="64">
        <v>0.2</v>
      </c>
      <c r="Q11" s="64">
        <v>9.0399999999999991</v>
      </c>
      <c r="R11" s="198"/>
      <c r="S11" s="198"/>
      <c r="T11" s="198"/>
      <c r="U11" s="198"/>
    </row>
    <row r="12" spans="1:21" s="12" customFormat="1" x14ac:dyDescent="0.25">
      <c r="A12" s="211" t="s">
        <v>1400</v>
      </c>
      <c r="B12" s="64">
        <v>4.45</v>
      </c>
      <c r="C12" s="64">
        <v>11.53</v>
      </c>
      <c r="D12" s="64">
        <v>15.23</v>
      </c>
      <c r="E12" s="64">
        <v>5.0999999999999996</v>
      </c>
      <c r="F12" s="64">
        <v>4.55</v>
      </c>
      <c r="G12" s="64">
        <v>37.08</v>
      </c>
      <c r="H12" s="64">
        <v>1.31</v>
      </c>
      <c r="I12" s="64">
        <v>4.0599999999999996</v>
      </c>
      <c r="J12" s="64">
        <v>0.25</v>
      </c>
      <c r="K12" s="64">
        <v>292.95999999999998</v>
      </c>
      <c r="L12" s="64">
        <v>24.45</v>
      </c>
      <c r="M12" s="64">
        <v>94.09</v>
      </c>
      <c r="N12" s="64">
        <v>52.2</v>
      </c>
      <c r="O12" s="64">
        <v>0</v>
      </c>
      <c r="P12" s="64">
        <v>0.2</v>
      </c>
      <c r="Q12" s="64">
        <v>9.0299999999999994</v>
      </c>
      <c r="R12" s="198"/>
      <c r="S12" s="198"/>
      <c r="T12" s="198"/>
      <c r="U12" s="198"/>
    </row>
    <row r="13" spans="1:21" s="12" customFormat="1" x14ac:dyDescent="0.25">
      <c r="A13" s="211" t="s">
        <v>1401</v>
      </c>
      <c r="B13" s="64">
        <v>4.0999999999999996</v>
      </c>
      <c r="C13" s="64">
        <v>11.07</v>
      </c>
      <c r="D13" s="64">
        <v>14.89</v>
      </c>
      <c r="E13" s="64">
        <v>5.22</v>
      </c>
      <c r="F13" s="64">
        <v>3.58</v>
      </c>
      <c r="G13" s="64">
        <v>34.81</v>
      </c>
      <c r="H13" s="64">
        <v>0.64</v>
      </c>
      <c r="I13" s="64">
        <v>3.95</v>
      </c>
      <c r="J13" s="64">
        <v>0.19</v>
      </c>
      <c r="K13" s="64">
        <v>299.64999999999998</v>
      </c>
      <c r="L13" s="64">
        <v>24.45</v>
      </c>
      <c r="M13" s="64">
        <v>94.29</v>
      </c>
      <c r="N13" s="64">
        <v>52.1</v>
      </c>
      <c r="O13" s="64">
        <v>0</v>
      </c>
      <c r="P13" s="64">
        <v>0.19</v>
      </c>
      <c r="Q13" s="64">
        <v>9.02</v>
      </c>
      <c r="R13" s="198"/>
      <c r="S13" s="198"/>
      <c r="T13" s="198"/>
      <c r="U13" s="198"/>
    </row>
    <row r="14" spans="1:21" s="12" customFormat="1" x14ac:dyDescent="0.25">
      <c r="A14" s="211" t="s">
        <v>1402</v>
      </c>
      <c r="B14" s="64">
        <v>3.95</v>
      </c>
      <c r="C14" s="64">
        <v>10.74</v>
      </c>
      <c r="D14" s="64">
        <v>14.5</v>
      </c>
      <c r="E14" s="64">
        <v>5.04</v>
      </c>
      <c r="F14" s="64">
        <v>3.97</v>
      </c>
      <c r="G14" s="64">
        <v>34.81</v>
      </c>
      <c r="H14" s="64">
        <v>0.64</v>
      </c>
      <c r="I14" s="64">
        <v>3.9</v>
      </c>
      <c r="J14" s="64">
        <v>0.2</v>
      </c>
      <c r="K14" s="64">
        <v>289.88</v>
      </c>
      <c r="L14" s="64">
        <v>24.47</v>
      </c>
      <c r="M14" s="64">
        <v>94.55</v>
      </c>
      <c r="N14" s="64">
        <v>52.1</v>
      </c>
      <c r="O14" s="64">
        <v>0</v>
      </c>
      <c r="P14" s="64">
        <v>0.2</v>
      </c>
      <c r="Q14" s="64">
        <v>9.01</v>
      </c>
      <c r="R14" s="198"/>
      <c r="S14" s="198"/>
      <c r="T14" s="198"/>
      <c r="U14" s="198"/>
    </row>
    <row r="15" spans="1:21" s="12" customFormat="1" x14ac:dyDescent="0.25">
      <c r="A15" s="211" t="s">
        <v>1403</v>
      </c>
      <c r="B15" s="64">
        <v>3.88</v>
      </c>
      <c r="C15" s="64">
        <v>10.4</v>
      </c>
      <c r="D15" s="64">
        <v>13.94</v>
      </c>
      <c r="E15" s="64">
        <v>4.82</v>
      </c>
      <c r="F15" s="64">
        <v>4.46</v>
      </c>
      <c r="G15" s="64">
        <v>34.81</v>
      </c>
      <c r="H15" s="64">
        <v>0.64</v>
      </c>
      <c r="I15" s="64">
        <v>3.89</v>
      </c>
      <c r="J15" s="64">
        <v>0.18</v>
      </c>
      <c r="K15" s="64">
        <v>305.51</v>
      </c>
      <c r="L15" s="64">
        <v>24.42</v>
      </c>
      <c r="M15" s="64">
        <v>94.76</v>
      </c>
      <c r="N15" s="64">
        <v>52.1</v>
      </c>
      <c r="O15" s="64">
        <v>0</v>
      </c>
      <c r="P15" s="64">
        <v>0.18</v>
      </c>
      <c r="Q15" s="64">
        <v>9.02</v>
      </c>
      <c r="R15" s="198"/>
      <c r="S15" s="198"/>
      <c r="T15" s="198"/>
      <c r="U15" s="198"/>
    </row>
    <row r="16" spans="1:21" s="12" customFormat="1" x14ac:dyDescent="0.25">
      <c r="A16" s="211" t="s">
        <v>1404</v>
      </c>
      <c r="B16" s="64">
        <v>3.92</v>
      </c>
      <c r="C16" s="64">
        <v>10.23</v>
      </c>
      <c r="D16" s="64">
        <v>13.57</v>
      </c>
      <c r="E16" s="64">
        <v>4.9800000000000004</v>
      </c>
      <c r="F16" s="64">
        <v>4.49</v>
      </c>
      <c r="G16" s="64">
        <v>34.71</v>
      </c>
      <c r="H16" s="64">
        <v>2.48</v>
      </c>
      <c r="I16" s="64">
        <v>4.0999999999999996</v>
      </c>
      <c r="J16" s="64">
        <v>0.18</v>
      </c>
      <c r="K16" s="64">
        <v>307.94</v>
      </c>
      <c r="L16" s="64">
        <v>24.3</v>
      </c>
      <c r="M16" s="64">
        <v>95.32</v>
      </c>
      <c r="N16" s="64">
        <v>52.2</v>
      </c>
      <c r="O16" s="64">
        <v>0</v>
      </c>
      <c r="P16" s="64">
        <v>0.19</v>
      </c>
      <c r="Q16" s="64">
        <v>9.02</v>
      </c>
      <c r="R16" s="198"/>
      <c r="S16" s="198"/>
      <c r="T16" s="198"/>
      <c r="U16" s="198"/>
    </row>
    <row r="17" spans="1:21" s="12" customFormat="1" x14ac:dyDescent="0.25">
      <c r="A17" s="211" t="s">
        <v>1405</v>
      </c>
      <c r="B17" s="64">
        <v>3.93</v>
      </c>
      <c r="C17" s="64">
        <v>10.11</v>
      </c>
      <c r="D17" s="64">
        <v>13.33</v>
      </c>
      <c r="E17" s="64">
        <v>5.05</v>
      </c>
      <c r="F17" s="64">
        <v>4.97</v>
      </c>
      <c r="G17" s="64">
        <v>34.42</v>
      </c>
      <c r="H17" s="64">
        <v>7.53</v>
      </c>
      <c r="I17" s="64">
        <v>3.97</v>
      </c>
      <c r="J17" s="64">
        <v>0.14000000000000001</v>
      </c>
      <c r="K17" s="64">
        <v>291.47000000000003</v>
      </c>
      <c r="L17" s="64">
        <v>24.33</v>
      </c>
      <c r="M17" s="64">
        <v>95.1</v>
      </c>
      <c r="N17" s="64">
        <v>52.2</v>
      </c>
      <c r="O17" s="64">
        <v>0</v>
      </c>
      <c r="P17" s="64">
        <v>0.18</v>
      </c>
      <c r="Q17" s="64">
        <v>9.0299999999999994</v>
      </c>
      <c r="R17" s="198"/>
      <c r="S17" s="198"/>
      <c r="T17" s="198"/>
      <c r="U17" s="198"/>
    </row>
    <row r="18" spans="1:21" s="12" customFormat="1" x14ac:dyDescent="0.25">
      <c r="A18" s="211" t="s">
        <v>1406</v>
      </c>
      <c r="B18" s="64">
        <v>3.97</v>
      </c>
      <c r="C18" s="64">
        <v>10.15</v>
      </c>
      <c r="D18" s="64">
        <v>13.33</v>
      </c>
      <c r="E18" s="64">
        <v>5.14</v>
      </c>
      <c r="F18" s="64">
        <v>4.3</v>
      </c>
      <c r="G18" s="64">
        <v>34.42</v>
      </c>
      <c r="H18" s="64">
        <v>7.53</v>
      </c>
      <c r="I18" s="64">
        <v>3.98</v>
      </c>
      <c r="J18" s="64">
        <v>0.17</v>
      </c>
      <c r="K18" s="64">
        <v>287.85000000000002</v>
      </c>
      <c r="L18" s="64">
        <v>23.95</v>
      </c>
      <c r="M18" s="64">
        <v>97.94</v>
      </c>
      <c r="N18" s="64">
        <v>51.4</v>
      </c>
      <c r="O18" s="64">
        <v>0</v>
      </c>
      <c r="P18" s="64">
        <v>0.17</v>
      </c>
      <c r="Q18" s="64">
        <v>9.02</v>
      </c>
      <c r="R18" s="198"/>
      <c r="S18" s="198"/>
      <c r="T18" s="198"/>
      <c r="U18" s="198"/>
    </row>
    <row r="19" spans="1:21" s="12" customFormat="1" x14ac:dyDescent="0.25">
      <c r="A19" s="211" t="s">
        <v>1407</v>
      </c>
      <c r="B19" s="64">
        <v>3.95</v>
      </c>
      <c r="C19" s="64">
        <v>9.98</v>
      </c>
      <c r="D19" s="64">
        <v>13.04</v>
      </c>
      <c r="E19" s="64">
        <v>5.03</v>
      </c>
      <c r="F19" s="64">
        <v>4.49</v>
      </c>
      <c r="G19" s="64">
        <v>34.42</v>
      </c>
      <c r="H19" s="64">
        <v>7.53</v>
      </c>
      <c r="I19" s="64">
        <v>3.94</v>
      </c>
      <c r="J19" s="64">
        <v>0.13</v>
      </c>
      <c r="K19" s="64">
        <v>292.70999999999998</v>
      </c>
      <c r="L19" s="64">
        <v>23.66</v>
      </c>
      <c r="M19" s="64">
        <v>98.12</v>
      </c>
      <c r="N19" s="64">
        <v>51.2</v>
      </c>
      <c r="O19" s="64">
        <v>0</v>
      </c>
      <c r="P19" s="64">
        <v>0.17</v>
      </c>
      <c r="Q19" s="64">
        <v>9.0399999999999991</v>
      </c>
      <c r="R19" s="198"/>
      <c r="S19" s="198"/>
      <c r="T19" s="198"/>
      <c r="U19" s="198"/>
    </row>
    <row r="20" spans="1:21" s="12" customFormat="1" x14ac:dyDescent="0.25">
      <c r="A20" s="211" t="s">
        <v>1408</v>
      </c>
      <c r="B20" s="64">
        <v>3.95</v>
      </c>
      <c r="C20" s="64">
        <v>9.69</v>
      </c>
      <c r="D20" s="64">
        <v>12.48</v>
      </c>
      <c r="E20" s="64">
        <v>4.92</v>
      </c>
      <c r="F20" s="64">
        <v>5.79</v>
      </c>
      <c r="G20" s="64">
        <v>31.69</v>
      </c>
      <c r="H20" s="64">
        <v>6.62</v>
      </c>
      <c r="I20" s="64">
        <v>3.86</v>
      </c>
      <c r="J20" s="64">
        <v>0.12</v>
      </c>
      <c r="K20" s="64">
        <v>289.52999999999997</v>
      </c>
      <c r="L20" s="64">
        <v>23.36</v>
      </c>
      <c r="M20" s="64">
        <v>98.13</v>
      </c>
      <c r="N20" s="64">
        <v>51.1</v>
      </c>
      <c r="O20" s="64">
        <v>0</v>
      </c>
      <c r="P20" s="64">
        <v>0.16</v>
      </c>
      <c r="Q20" s="64">
        <v>9.0299999999999994</v>
      </c>
      <c r="R20" s="198"/>
      <c r="S20" s="198"/>
      <c r="T20" s="198"/>
      <c r="U20" s="198"/>
    </row>
    <row r="21" spans="1:21" s="12" customFormat="1" x14ac:dyDescent="0.25">
      <c r="A21" s="211" t="s">
        <v>1409</v>
      </c>
      <c r="B21" s="64">
        <v>4.1100000000000003</v>
      </c>
      <c r="C21" s="64">
        <v>9.81</v>
      </c>
      <c r="D21" s="64">
        <v>12.48</v>
      </c>
      <c r="E21" s="64">
        <v>4.99</v>
      </c>
      <c r="F21" s="64">
        <v>4.84</v>
      </c>
      <c r="G21" s="64">
        <v>24.18</v>
      </c>
      <c r="H21" s="64">
        <v>4.1100000000000003</v>
      </c>
      <c r="I21" s="64">
        <v>3.99</v>
      </c>
      <c r="J21" s="64">
        <v>0.15</v>
      </c>
      <c r="K21" s="64">
        <v>313.16000000000003</v>
      </c>
      <c r="L21" s="64">
        <v>23.27</v>
      </c>
      <c r="M21" s="64">
        <v>98.13</v>
      </c>
      <c r="N21" s="64">
        <v>51.6</v>
      </c>
      <c r="O21" s="64">
        <v>0.2</v>
      </c>
      <c r="P21" s="64">
        <v>0.16</v>
      </c>
      <c r="Q21" s="64">
        <v>9.0399999999999991</v>
      </c>
      <c r="R21" s="198"/>
      <c r="S21" s="198"/>
      <c r="T21" s="198"/>
      <c r="U21" s="198"/>
    </row>
    <row r="22" spans="1:21" s="12" customFormat="1" x14ac:dyDescent="0.25">
      <c r="A22" s="211" t="s">
        <v>1410</v>
      </c>
      <c r="B22" s="64">
        <v>4.28</v>
      </c>
      <c r="C22" s="64">
        <v>9.99</v>
      </c>
      <c r="D22" s="64">
        <v>12.54</v>
      </c>
      <c r="E22" s="64">
        <v>4.87</v>
      </c>
      <c r="F22" s="64">
        <v>4.7</v>
      </c>
      <c r="G22" s="64">
        <v>24.18</v>
      </c>
      <c r="H22" s="64">
        <v>4.1100000000000003</v>
      </c>
      <c r="I22" s="64">
        <v>4.0199999999999996</v>
      </c>
      <c r="J22" s="64">
        <v>0.15</v>
      </c>
      <c r="K22" s="64">
        <v>285.69</v>
      </c>
      <c r="L22" s="64">
        <v>23.15</v>
      </c>
      <c r="M22" s="64">
        <v>98.15</v>
      </c>
      <c r="N22" s="64">
        <v>51.8</v>
      </c>
      <c r="O22" s="64">
        <v>0</v>
      </c>
      <c r="P22" s="64">
        <v>0.18</v>
      </c>
      <c r="Q22" s="64">
        <v>9.02</v>
      </c>
      <c r="R22" s="198"/>
      <c r="S22" s="198"/>
      <c r="T22" s="198"/>
      <c r="U22" s="198"/>
    </row>
    <row r="23" spans="1:21" s="12" customFormat="1" x14ac:dyDescent="0.25">
      <c r="A23" s="211" t="s">
        <v>1411</v>
      </c>
      <c r="B23" s="64">
        <v>4.41</v>
      </c>
      <c r="C23" s="64">
        <v>10.28</v>
      </c>
      <c r="D23" s="64">
        <v>12.91</v>
      </c>
      <c r="E23" s="64">
        <v>5.23</v>
      </c>
      <c r="F23" s="64">
        <v>2.94</v>
      </c>
      <c r="G23" s="64">
        <v>24.18</v>
      </c>
      <c r="H23" s="64">
        <v>4.1100000000000003</v>
      </c>
      <c r="I23" s="64">
        <v>3.92</v>
      </c>
      <c r="J23" s="64">
        <v>0.15</v>
      </c>
      <c r="K23" s="64">
        <v>313.08</v>
      </c>
      <c r="L23" s="64">
        <v>23.14</v>
      </c>
      <c r="M23" s="64">
        <v>98.16</v>
      </c>
      <c r="N23" s="64">
        <v>51.7</v>
      </c>
      <c r="O23" s="64">
        <v>0</v>
      </c>
      <c r="P23" s="64">
        <v>0.17</v>
      </c>
      <c r="Q23" s="64">
        <v>9.01</v>
      </c>
      <c r="R23" s="198"/>
      <c r="S23" s="198"/>
      <c r="T23" s="198"/>
      <c r="U23" s="198"/>
    </row>
    <row r="24" spans="1:21" s="12" customFormat="1" x14ac:dyDescent="0.25">
      <c r="A24" s="211" t="s">
        <v>1412</v>
      </c>
      <c r="B24" s="64">
        <v>4.47</v>
      </c>
      <c r="C24" s="64">
        <v>10.28</v>
      </c>
      <c r="D24" s="64">
        <v>12.81</v>
      </c>
      <c r="E24" s="64">
        <v>5.23</v>
      </c>
      <c r="F24" s="64">
        <v>4.17</v>
      </c>
      <c r="G24" s="64">
        <v>22.52</v>
      </c>
      <c r="H24" s="64">
        <v>3.47</v>
      </c>
      <c r="I24" s="64">
        <v>3.76</v>
      </c>
      <c r="J24" s="64">
        <v>0.15</v>
      </c>
      <c r="K24" s="64">
        <v>305.70999999999998</v>
      </c>
      <c r="L24" s="64">
        <v>23.15</v>
      </c>
      <c r="M24" s="64">
        <v>98.17</v>
      </c>
      <c r="N24" s="64">
        <v>51.5</v>
      </c>
      <c r="O24" s="64">
        <v>0</v>
      </c>
      <c r="P24" s="64">
        <v>0.16</v>
      </c>
      <c r="Q24" s="64">
        <v>9.01</v>
      </c>
      <c r="R24" s="198"/>
      <c r="S24" s="198"/>
      <c r="T24" s="198"/>
      <c r="U24" s="198"/>
    </row>
    <row r="25" spans="1:21" s="12" customFormat="1" x14ac:dyDescent="0.25">
      <c r="A25" s="211" t="s">
        <v>1413</v>
      </c>
      <c r="B25" s="64">
        <v>4.58</v>
      </c>
      <c r="C25" s="64">
        <v>10.33</v>
      </c>
      <c r="D25" s="64">
        <v>12.74</v>
      </c>
      <c r="E25" s="64">
        <v>5.22</v>
      </c>
      <c r="F25" s="64">
        <v>3.14</v>
      </c>
      <c r="G25" s="64">
        <v>17.940000000000001</v>
      </c>
      <c r="H25" s="64">
        <v>1.71</v>
      </c>
      <c r="I25" s="64">
        <v>3.99</v>
      </c>
      <c r="J25" s="64">
        <v>0.12</v>
      </c>
      <c r="K25" s="64">
        <v>287.08999999999997</v>
      </c>
      <c r="L25" s="64">
        <v>23.29</v>
      </c>
      <c r="M25" s="64">
        <v>98.18</v>
      </c>
      <c r="N25" s="64">
        <v>52.5</v>
      </c>
      <c r="O25" s="64">
        <v>0</v>
      </c>
      <c r="P25" s="64">
        <v>0.16</v>
      </c>
      <c r="Q25" s="64">
        <v>9.01</v>
      </c>
      <c r="R25" s="198"/>
      <c r="S25" s="198"/>
      <c r="T25" s="198"/>
      <c r="U25" s="198"/>
    </row>
    <row r="26" spans="1:21" s="12" customFormat="1" x14ac:dyDescent="0.25">
      <c r="A26" s="211" t="s">
        <v>1414</v>
      </c>
      <c r="B26" s="64">
        <v>4.62</v>
      </c>
      <c r="C26" s="64">
        <v>10.41</v>
      </c>
      <c r="D26" s="64">
        <v>12.84</v>
      </c>
      <c r="E26" s="64">
        <v>5.03</v>
      </c>
      <c r="F26" s="64">
        <v>3.6</v>
      </c>
      <c r="G26" s="64">
        <v>17.940000000000001</v>
      </c>
      <c r="H26" s="64">
        <v>1.71</v>
      </c>
      <c r="I26" s="64">
        <v>4.03</v>
      </c>
      <c r="J26" s="64">
        <v>0.18</v>
      </c>
      <c r="K26" s="64">
        <v>303.81</v>
      </c>
      <c r="L26" s="64">
        <v>23.39</v>
      </c>
      <c r="M26" s="64">
        <v>98.19</v>
      </c>
      <c r="N26" s="64">
        <v>52.8</v>
      </c>
      <c r="O26" s="64">
        <v>0</v>
      </c>
      <c r="P26" s="64">
        <v>0.16</v>
      </c>
      <c r="Q26" s="64">
        <v>9.01</v>
      </c>
      <c r="R26" s="198"/>
      <c r="S26" s="198"/>
      <c r="T26" s="198"/>
      <c r="U26" s="198"/>
    </row>
    <row r="27" spans="1:21" s="12" customFormat="1" x14ac:dyDescent="0.25">
      <c r="A27" s="211" t="s">
        <v>1415</v>
      </c>
      <c r="B27" s="64">
        <v>4.55</v>
      </c>
      <c r="C27" s="64">
        <v>10.38</v>
      </c>
      <c r="D27" s="64">
        <v>12.89</v>
      </c>
      <c r="E27" s="64">
        <v>5.0999999999999996</v>
      </c>
      <c r="F27" s="64">
        <v>3.8</v>
      </c>
      <c r="G27" s="64">
        <v>17.940000000000001</v>
      </c>
      <c r="H27" s="64">
        <v>1.71</v>
      </c>
      <c r="I27" s="64">
        <v>3.92</v>
      </c>
      <c r="J27" s="64">
        <v>0.19</v>
      </c>
      <c r="K27" s="64">
        <v>283.14999999999998</v>
      </c>
      <c r="L27" s="64">
        <v>23.45</v>
      </c>
      <c r="M27" s="64">
        <v>98.21</v>
      </c>
      <c r="N27" s="64">
        <v>52.8</v>
      </c>
      <c r="O27" s="64">
        <v>0</v>
      </c>
      <c r="P27" s="64">
        <v>0.17</v>
      </c>
      <c r="Q27" s="64">
        <v>9</v>
      </c>
      <c r="R27" s="198"/>
      <c r="S27" s="198"/>
      <c r="T27" s="198"/>
      <c r="U27" s="198"/>
    </row>
    <row r="28" spans="1:21" s="12" customFormat="1" x14ac:dyDescent="0.25">
      <c r="A28" s="211" t="s">
        <v>1416</v>
      </c>
      <c r="B28" s="64">
        <v>4.55</v>
      </c>
      <c r="C28" s="64">
        <v>10.69</v>
      </c>
      <c r="D28" s="64">
        <v>13.47</v>
      </c>
      <c r="E28" s="64">
        <v>5.26</v>
      </c>
      <c r="F28" s="64">
        <v>3.34</v>
      </c>
      <c r="G28" s="64">
        <v>20.47</v>
      </c>
      <c r="H28" s="64">
        <v>1.62</v>
      </c>
      <c r="I28" s="64">
        <v>3.82</v>
      </c>
      <c r="J28" s="64">
        <v>0.18</v>
      </c>
      <c r="K28" s="64">
        <v>296.95999999999998</v>
      </c>
      <c r="L28" s="64">
        <v>23.51</v>
      </c>
      <c r="M28" s="64">
        <v>98.25</v>
      </c>
      <c r="N28" s="64">
        <v>52.7</v>
      </c>
      <c r="O28" s="64">
        <v>0</v>
      </c>
      <c r="P28" s="64">
        <v>0.15</v>
      </c>
      <c r="Q28" s="64">
        <v>8.99</v>
      </c>
      <c r="R28" s="198"/>
      <c r="S28" s="198"/>
      <c r="T28" s="198"/>
      <c r="U28" s="198"/>
    </row>
    <row r="29" spans="1:21" s="12" customFormat="1" x14ac:dyDescent="0.25">
      <c r="A29" s="211" t="s">
        <v>1417</v>
      </c>
      <c r="B29" s="64">
        <v>4.51</v>
      </c>
      <c r="C29" s="64">
        <v>10.52</v>
      </c>
      <c r="D29" s="64">
        <v>13.22</v>
      </c>
      <c r="E29" s="64">
        <v>5.25</v>
      </c>
      <c r="F29" s="64">
        <v>4.13</v>
      </c>
      <c r="G29" s="64">
        <v>27.43</v>
      </c>
      <c r="H29" s="64">
        <v>1.38</v>
      </c>
      <c r="I29" s="64">
        <v>3.98</v>
      </c>
      <c r="J29" s="64">
        <v>0.2</v>
      </c>
      <c r="K29" s="64">
        <v>297.16000000000003</v>
      </c>
      <c r="L29" s="64">
        <v>23.53</v>
      </c>
      <c r="M29" s="64">
        <v>98.3</v>
      </c>
      <c r="N29" s="64">
        <v>52.8</v>
      </c>
      <c r="O29" s="64">
        <v>0</v>
      </c>
      <c r="P29" s="64">
        <v>0.16</v>
      </c>
      <c r="Q29" s="64">
        <v>8.99</v>
      </c>
      <c r="R29" s="198"/>
      <c r="S29" s="198"/>
      <c r="T29" s="198"/>
      <c r="U29" s="198"/>
    </row>
    <row r="30" spans="1:21" s="12" customFormat="1" x14ac:dyDescent="0.25">
      <c r="A30" s="211" t="s">
        <v>1418</v>
      </c>
      <c r="B30" s="64">
        <v>4.62</v>
      </c>
      <c r="C30" s="64">
        <v>11</v>
      </c>
      <c r="D30" s="64">
        <v>13.95</v>
      </c>
      <c r="E30" s="64">
        <v>5.35</v>
      </c>
      <c r="F30" s="64">
        <v>2.75</v>
      </c>
      <c r="G30" s="64">
        <v>27.43</v>
      </c>
      <c r="H30" s="64">
        <v>1.38</v>
      </c>
      <c r="I30" s="64">
        <v>4.03</v>
      </c>
      <c r="J30" s="64">
        <v>0.22</v>
      </c>
      <c r="K30" s="64">
        <v>290.87</v>
      </c>
      <c r="L30" s="64">
        <v>23.62</v>
      </c>
      <c r="M30" s="64">
        <v>98.32</v>
      </c>
      <c r="N30" s="64">
        <v>53.4</v>
      </c>
      <c r="O30" s="64">
        <v>0</v>
      </c>
      <c r="P30" s="64">
        <v>0.15</v>
      </c>
      <c r="Q30" s="64">
        <v>8.99</v>
      </c>
      <c r="R30" s="198"/>
      <c r="S30" s="198"/>
      <c r="T30" s="198"/>
      <c r="U30" s="198"/>
    </row>
    <row r="31" spans="1:21" s="12" customFormat="1" x14ac:dyDescent="0.25">
      <c r="A31" s="211" t="s">
        <v>1419</v>
      </c>
      <c r="B31" s="64">
        <v>4.96</v>
      </c>
      <c r="C31" s="64">
        <v>11.49</v>
      </c>
      <c r="D31" s="64">
        <v>14.39</v>
      </c>
      <c r="E31" s="64">
        <v>5.45</v>
      </c>
      <c r="F31" s="64">
        <v>3.74</v>
      </c>
      <c r="G31" s="64">
        <v>27.43</v>
      </c>
      <c r="H31" s="64">
        <v>1.38</v>
      </c>
      <c r="I31" s="64">
        <v>3.79</v>
      </c>
      <c r="J31" s="64">
        <v>0.19</v>
      </c>
      <c r="K31" s="64">
        <v>288.3</v>
      </c>
      <c r="L31" s="64">
        <v>23.61</v>
      </c>
      <c r="M31" s="64">
        <v>98.33</v>
      </c>
      <c r="N31" s="64">
        <v>55.5</v>
      </c>
      <c r="O31" s="64">
        <v>0</v>
      </c>
      <c r="P31" s="64">
        <v>0.15</v>
      </c>
      <c r="Q31" s="64">
        <v>9.01</v>
      </c>
      <c r="R31" s="198"/>
      <c r="S31" s="198"/>
      <c r="T31" s="198"/>
      <c r="U31" s="198"/>
    </row>
    <row r="32" spans="1:21" s="12" customFormat="1" x14ac:dyDescent="0.25">
      <c r="A32" s="211" t="s">
        <v>1420</v>
      </c>
      <c r="B32" s="64">
        <v>5.1100000000000003</v>
      </c>
      <c r="C32" s="64">
        <v>11.64</v>
      </c>
      <c r="D32" s="64">
        <v>14.44</v>
      </c>
      <c r="E32" s="64">
        <v>4.6399999999999997</v>
      </c>
      <c r="F32" s="64">
        <v>3.76</v>
      </c>
      <c r="G32" s="64">
        <v>25.64</v>
      </c>
      <c r="H32" s="64">
        <v>2.76</v>
      </c>
      <c r="I32" s="64">
        <v>3.96</v>
      </c>
      <c r="J32" s="64">
        <v>0.19</v>
      </c>
      <c r="K32" s="64">
        <v>289.88</v>
      </c>
      <c r="L32" s="64">
        <v>23.62</v>
      </c>
      <c r="M32" s="64">
        <v>98.35</v>
      </c>
      <c r="N32" s="64">
        <v>57.9</v>
      </c>
      <c r="O32" s="64">
        <v>0</v>
      </c>
      <c r="P32" s="64">
        <v>0.16</v>
      </c>
      <c r="Q32" s="64">
        <v>9.0299999999999994</v>
      </c>
      <c r="R32" s="198"/>
      <c r="S32" s="198"/>
      <c r="T32" s="198"/>
      <c r="U32" s="198"/>
    </row>
    <row r="33" spans="1:21" s="12" customFormat="1" x14ac:dyDescent="0.25">
      <c r="A33" s="211" t="s">
        <v>1421</v>
      </c>
      <c r="B33" s="64">
        <v>5.13</v>
      </c>
      <c r="C33" s="64">
        <v>11.85</v>
      </c>
      <c r="D33" s="64">
        <v>14.8</v>
      </c>
      <c r="E33" s="64">
        <v>5.2</v>
      </c>
      <c r="F33" s="64">
        <v>4.3499999999999996</v>
      </c>
      <c r="G33" s="64">
        <v>20.72</v>
      </c>
      <c r="H33" s="64">
        <v>6.54</v>
      </c>
      <c r="I33" s="64">
        <v>3.97</v>
      </c>
      <c r="J33" s="64">
        <v>0.12</v>
      </c>
      <c r="K33" s="64">
        <v>285.06</v>
      </c>
      <c r="L33" s="64">
        <v>23.62</v>
      </c>
      <c r="M33" s="64">
        <v>98.36</v>
      </c>
      <c r="N33" s="64">
        <v>65.8</v>
      </c>
      <c r="O33" s="64">
        <v>0</v>
      </c>
      <c r="P33" s="64">
        <v>0.17</v>
      </c>
      <c r="Q33" s="64">
        <v>9.0399999999999991</v>
      </c>
      <c r="R33" s="198"/>
      <c r="S33" s="198"/>
      <c r="T33" s="198"/>
      <c r="U33" s="198"/>
    </row>
    <row r="34" spans="1:21" s="12" customFormat="1" x14ac:dyDescent="0.25">
      <c r="A34" s="211" t="s">
        <v>1422</v>
      </c>
      <c r="B34" s="64">
        <v>5.1100000000000003</v>
      </c>
      <c r="C34" s="64">
        <v>11.85</v>
      </c>
      <c r="D34" s="64">
        <v>14.84</v>
      </c>
      <c r="E34" s="64">
        <v>5.21</v>
      </c>
      <c r="F34" s="64">
        <v>4.0199999999999996</v>
      </c>
      <c r="G34" s="64">
        <v>20.72</v>
      </c>
      <c r="H34" s="64">
        <v>6.54</v>
      </c>
      <c r="I34" s="64">
        <v>4.1399999999999997</v>
      </c>
      <c r="J34" s="64">
        <v>0.15</v>
      </c>
      <c r="K34" s="64">
        <v>287.81</v>
      </c>
      <c r="L34" s="64">
        <v>23.62</v>
      </c>
      <c r="M34" s="64">
        <v>98.39</v>
      </c>
      <c r="N34" s="64">
        <v>77.900000000000006</v>
      </c>
      <c r="O34" s="64">
        <v>0</v>
      </c>
      <c r="P34" s="64">
        <v>0.17</v>
      </c>
      <c r="Q34" s="64">
        <v>9.0500000000000007</v>
      </c>
      <c r="R34" s="198"/>
      <c r="S34" s="198"/>
      <c r="T34" s="198"/>
      <c r="U34" s="198"/>
    </row>
    <row r="35" spans="1:21" s="12" customFormat="1" x14ac:dyDescent="0.25">
      <c r="A35" s="211" t="s">
        <v>1423</v>
      </c>
      <c r="B35" s="64">
        <v>5.29</v>
      </c>
      <c r="C35" s="64">
        <v>11.98</v>
      </c>
      <c r="D35" s="64">
        <v>14.8</v>
      </c>
      <c r="E35" s="64">
        <v>5.4</v>
      </c>
      <c r="F35" s="64">
        <v>3.11</v>
      </c>
      <c r="G35" s="64">
        <v>20.72</v>
      </c>
      <c r="H35" s="64">
        <v>6.54</v>
      </c>
      <c r="I35" s="64">
        <v>4.09</v>
      </c>
      <c r="J35" s="64">
        <v>0.19</v>
      </c>
      <c r="K35" s="64">
        <v>294.99</v>
      </c>
      <c r="L35" s="64">
        <v>23.81</v>
      </c>
      <c r="M35" s="64">
        <v>98.43</v>
      </c>
      <c r="N35" s="64">
        <v>93.2</v>
      </c>
      <c r="O35" s="64">
        <v>0</v>
      </c>
      <c r="P35" s="64">
        <v>0.17</v>
      </c>
      <c r="Q35" s="64">
        <v>9.0500000000000007</v>
      </c>
      <c r="R35" s="198"/>
      <c r="S35" s="198"/>
      <c r="T35" s="198"/>
      <c r="U35" s="198"/>
    </row>
    <row r="36" spans="1:21" s="12" customFormat="1" x14ac:dyDescent="0.25">
      <c r="A36" s="211" t="s">
        <v>1424</v>
      </c>
      <c r="B36" s="64">
        <v>5.53</v>
      </c>
      <c r="C36" s="64">
        <v>12.34</v>
      </c>
      <c r="D36" s="64">
        <v>15.13</v>
      </c>
      <c r="E36" s="64">
        <v>4.8099999999999996</v>
      </c>
      <c r="F36" s="64">
        <v>3.25</v>
      </c>
      <c r="G36" s="64">
        <v>23.06</v>
      </c>
      <c r="H36" s="64">
        <v>5.54</v>
      </c>
      <c r="I36" s="64">
        <v>3.86</v>
      </c>
      <c r="J36" s="64">
        <v>0.2</v>
      </c>
      <c r="K36" s="64">
        <v>284.02</v>
      </c>
      <c r="L36" s="64">
        <v>23.96</v>
      </c>
      <c r="M36" s="64">
        <v>98.46</v>
      </c>
      <c r="N36" s="64">
        <v>99.2</v>
      </c>
      <c r="O36" s="64">
        <v>0</v>
      </c>
      <c r="P36" s="64">
        <v>0.18</v>
      </c>
      <c r="Q36" s="64">
        <v>9.06</v>
      </c>
      <c r="R36" s="198"/>
      <c r="S36" s="198"/>
      <c r="T36" s="198"/>
      <c r="U36" s="198"/>
    </row>
    <row r="37" spans="1:21" s="12" customFormat="1" x14ac:dyDescent="0.25">
      <c r="A37" s="211" t="s">
        <v>1425</v>
      </c>
      <c r="B37" s="64">
        <v>5.67</v>
      </c>
      <c r="C37" s="64">
        <v>12.73</v>
      </c>
      <c r="D37" s="64">
        <v>15.65</v>
      </c>
      <c r="E37" s="64">
        <v>5.25</v>
      </c>
      <c r="F37" s="64">
        <v>3.82</v>
      </c>
      <c r="G37" s="64">
        <v>29.5</v>
      </c>
      <c r="H37" s="64">
        <v>2.76</v>
      </c>
      <c r="I37" s="64">
        <v>3.93</v>
      </c>
      <c r="J37" s="64">
        <v>0.22</v>
      </c>
      <c r="K37" s="64">
        <v>275.42</v>
      </c>
      <c r="L37" s="64">
        <v>24.15</v>
      </c>
      <c r="M37" s="64">
        <v>98.41</v>
      </c>
      <c r="N37" s="64">
        <v>91.4</v>
      </c>
      <c r="O37" s="64">
        <v>0</v>
      </c>
      <c r="P37" s="64">
        <v>0.19</v>
      </c>
      <c r="Q37" s="64">
        <v>9.07</v>
      </c>
      <c r="R37" s="198"/>
      <c r="S37" s="198"/>
      <c r="T37" s="198"/>
      <c r="U37" s="198"/>
    </row>
    <row r="38" spans="1:21" s="12" customFormat="1" x14ac:dyDescent="0.25">
      <c r="A38" s="211" t="s">
        <v>1426</v>
      </c>
      <c r="B38" s="64">
        <v>5.82</v>
      </c>
      <c r="C38" s="64">
        <v>12.95</v>
      </c>
      <c r="D38" s="64">
        <v>15.86</v>
      </c>
      <c r="E38" s="64">
        <v>5.29</v>
      </c>
      <c r="F38" s="64">
        <v>3.64</v>
      </c>
      <c r="G38" s="64">
        <v>29.5</v>
      </c>
      <c r="H38" s="64">
        <v>2.76</v>
      </c>
      <c r="I38" s="64">
        <v>3.88</v>
      </c>
      <c r="J38" s="64">
        <v>0.25</v>
      </c>
      <c r="K38" s="64">
        <v>287.41000000000003</v>
      </c>
      <c r="L38" s="64">
        <v>24.04</v>
      </c>
      <c r="M38" s="64">
        <v>98.41</v>
      </c>
      <c r="N38" s="64">
        <v>91.6</v>
      </c>
      <c r="O38" s="64">
        <v>0</v>
      </c>
      <c r="P38" s="64">
        <v>0.19</v>
      </c>
      <c r="Q38" s="64">
        <v>9.09</v>
      </c>
      <c r="R38" s="198"/>
      <c r="S38" s="198"/>
      <c r="T38" s="198"/>
      <c r="U38" s="198"/>
    </row>
    <row r="39" spans="1:21" s="12" customFormat="1" x14ac:dyDescent="0.25">
      <c r="A39" s="211" t="s">
        <v>1427</v>
      </c>
      <c r="B39" s="64">
        <v>5.65</v>
      </c>
      <c r="C39" s="64">
        <v>12.92</v>
      </c>
      <c r="D39" s="64">
        <v>16.059999999999999</v>
      </c>
      <c r="E39" s="64">
        <v>5.17</v>
      </c>
      <c r="F39" s="64">
        <v>4.99</v>
      </c>
      <c r="G39" s="64">
        <v>29.5</v>
      </c>
      <c r="H39" s="64">
        <v>2.76</v>
      </c>
      <c r="I39" s="64">
        <v>4.04</v>
      </c>
      <c r="J39" s="64">
        <v>0.21</v>
      </c>
      <c r="K39" s="64">
        <v>292.95999999999998</v>
      </c>
      <c r="L39" s="64">
        <v>24.02</v>
      </c>
      <c r="M39" s="64">
        <v>98.47</v>
      </c>
      <c r="N39" s="64">
        <v>108.2</v>
      </c>
      <c r="O39" s="64">
        <v>0</v>
      </c>
      <c r="P39" s="64">
        <v>0.21</v>
      </c>
      <c r="Q39" s="64">
        <v>9.09</v>
      </c>
      <c r="R39" s="198"/>
      <c r="S39" s="198"/>
      <c r="T39" s="198"/>
      <c r="U39" s="198"/>
    </row>
    <row r="40" spans="1:21" s="12" customFormat="1" x14ac:dyDescent="0.25">
      <c r="A40" s="211" t="s">
        <v>1428</v>
      </c>
      <c r="B40" s="64">
        <v>5.64</v>
      </c>
      <c r="C40" s="64">
        <v>13.22</v>
      </c>
      <c r="D40" s="64">
        <v>16.63</v>
      </c>
      <c r="E40" s="64">
        <v>4.41</v>
      </c>
      <c r="F40" s="64">
        <v>4.01</v>
      </c>
      <c r="G40" s="64">
        <v>30.92</v>
      </c>
      <c r="H40" s="64">
        <v>2.4300000000000002</v>
      </c>
      <c r="I40" s="64">
        <v>3.99</v>
      </c>
      <c r="J40" s="64">
        <v>0.3</v>
      </c>
      <c r="K40" s="64">
        <v>282.11</v>
      </c>
      <c r="L40" s="64">
        <v>24.05</v>
      </c>
      <c r="M40" s="64">
        <v>98.56</v>
      </c>
      <c r="N40" s="64">
        <v>145.80000000000001</v>
      </c>
      <c r="O40" s="64">
        <v>0</v>
      </c>
      <c r="P40" s="64">
        <v>0.23</v>
      </c>
      <c r="Q40" s="64">
        <v>9.06</v>
      </c>
      <c r="R40" s="198"/>
      <c r="S40" s="198"/>
      <c r="T40" s="198"/>
      <c r="U40" s="198"/>
    </row>
    <row r="41" spans="1:21" s="12" customFormat="1" x14ac:dyDescent="0.25">
      <c r="A41" s="211" t="s">
        <v>1429</v>
      </c>
      <c r="B41" s="64">
        <v>5.83</v>
      </c>
      <c r="C41" s="64">
        <v>13.82</v>
      </c>
      <c r="D41" s="64">
        <v>17.510000000000002</v>
      </c>
      <c r="E41" s="64">
        <v>4.93</v>
      </c>
      <c r="F41" s="64">
        <v>3.49</v>
      </c>
      <c r="G41" s="64">
        <v>34.85</v>
      </c>
      <c r="H41" s="64">
        <v>1.5</v>
      </c>
      <c r="I41" s="64">
        <v>3.95</v>
      </c>
      <c r="J41" s="64">
        <v>0.24</v>
      </c>
      <c r="K41" s="64">
        <v>285.7</v>
      </c>
      <c r="L41" s="64">
        <v>24.26</v>
      </c>
      <c r="M41" s="64">
        <v>98.61</v>
      </c>
      <c r="N41" s="64">
        <v>190.8</v>
      </c>
      <c r="O41" s="64">
        <v>0</v>
      </c>
      <c r="P41" s="64">
        <v>0.21</v>
      </c>
      <c r="Q41" s="64">
        <v>9.07</v>
      </c>
      <c r="R41" s="198"/>
      <c r="S41" s="198"/>
      <c r="T41" s="198"/>
      <c r="U41" s="198"/>
    </row>
    <row r="42" spans="1:21" s="12" customFormat="1" x14ac:dyDescent="0.25">
      <c r="A42" s="211" t="s">
        <v>1430</v>
      </c>
      <c r="B42" s="64">
        <v>5.84</v>
      </c>
      <c r="C42" s="64">
        <v>13.27</v>
      </c>
      <c r="D42" s="64">
        <v>16.43</v>
      </c>
      <c r="E42" s="64">
        <v>4.84</v>
      </c>
      <c r="F42" s="64">
        <v>4.4400000000000004</v>
      </c>
      <c r="G42" s="64">
        <v>34.85</v>
      </c>
      <c r="H42" s="64">
        <v>1.5</v>
      </c>
      <c r="I42" s="64">
        <v>3.78</v>
      </c>
      <c r="J42" s="64">
        <v>0.27</v>
      </c>
      <c r="K42" s="64">
        <v>286.58</v>
      </c>
      <c r="L42" s="64">
        <v>24.58</v>
      </c>
      <c r="M42" s="64">
        <v>98.61</v>
      </c>
      <c r="N42" s="64">
        <v>177.5</v>
      </c>
      <c r="O42" s="64">
        <v>0</v>
      </c>
      <c r="P42" s="64">
        <v>0.23</v>
      </c>
      <c r="Q42" s="64">
        <v>9.07</v>
      </c>
      <c r="R42" s="198"/>
      <c r="S42" s="198"/>
      <c r="T42" s="198"/>
      <c r="U42" s="198"/>
    </row>
    <row r="43" spans="1:21" s="12" customFormat="1" x14ac:dyDescent="0.25">
      <c r="A43" s="211" t="s">
        <v>1431</v>
      </c>
      <c r="B43" s="64">
        <v>5.97</v>
      </c>
      <c r="C43" s="64">
        <v>13.48</v>
      </c>
      <c r="D43" s="64">
        <v>16.63</v>
      </c>
      <c r="E43" s="64">
        <v>4.95</v>
      </c>
      <c r="F43" s="64">
        <v>2.81</v>
      </c>
      <c r="G43" s="64">
        <v>34.85</v>
      </c>
      <c r="H43" s="64">
        <v>1.5</v>
      </c>
      <c r="I43" s="64">
        <v>3.99</v>
      </c>
      <c r="J43" s="64">
        <v>0.21</v>
      </c>
      <c r="K43" s="64">
        <v>289.66000000000003</v>
      </c>
      <c r="L43" s="64">
        <v>24.56</v>
      </c>
      <c r="M43" s="64">
        <v>98.73</v>
      </c>
      <c r="N43" s="64">
        <v>163.19999999999999</v>
      </c>
      <c r="O43" s="64">
        <v>0</v>
      </c>
      <c r="P43" s="64">
        <v>0.24</v>
      </c>
      <c r="Q43" s="64">
        <v>9.06</v>
      </c>
      <c r="R43" s="198"/>
      <c r="S43" s="198"/>
      <c r="T43" s="198"/>
      <c r="U43" s="198"/>
    </row>
    <row r="44" spans="1:21" s="12" customFormat="1" x14ac:dyDescent="0.25">
      <c r="A44" s="211" t="s">
        <v>1432</v>
      </c>
      <c r="B44" s="64">
        <v>6.2</v>
      </c>
      <c r="C44" s="64">
        <v>13.42</v>
      </c>
      <c r="D44" s="64">
        <v>16.170000000000002</v>
      </c>
      <c r="E44" s="64">
        <v>4.49</v>
      </c>
      <c r="F44" s="64">
        <v>4.0599999999999996</v>
      </c>
      <c r="G44" s="64">
        <v>35.71</v>
      </c>
      <c r="H44" s="64">
        <v>1.34</v>
      </c>
      <c r="I44" s="64">
        <v>3.88</v>
      </c>
      <c r="J44" s="64">
        <v>0.23</v>
      </c>
      <c r="K44" s="64">
        <v>276.75</v>
      </c>
      <c r="L44" s="64">
        <v>24.19</v>
      </c>
      <c r="M44" s="64">
        <v>98.79</v>
      </c>
      <c r="N44" s="64">
        <v>176.8</v>
      </c>
      <c r="O44" s="64">
        <v>0</v>
      </c>
      <c r="P44" s="64">
        <v>0.25</v>
      </c>
      <c r="Q44" s="64">
        <v>9.06</v>
      </c>
      <c r="R44" s="198"/>
      <c r="S44" s="198"/>
      <c r="T44" s="198"/>
      <c r="U44" s="198"/>
    </row>
    <row r="45" spans="1:21" s="12" customFormat="1" x14ac:dyDescent="0.25">
      <c r="A45" s="211" t="s">
        <v>1433</v>
      </c>
      <c r="B45" s="64">
        <v>6.23</v>
      </c>
      <c r="C45" s="64">
        <v>13.48</v>
      </c>
      <c r="D45" s="64">
        <v>16.25</v>
      </c>
      <c r="E45" s="64">
        <v>4.41</v>
      </c>
      <c r="F45" s="64">
        <v>3.03</v>
      </c>
      <c r="G45" s="64">
        <v>38.08</v>
      </c>
      <c r="H45" s="64">
        <v>0.89</v>
      </c>
      <c r="I45" s="64">
        <v>4.08</v>
      </c>
      <c r="J45" s="64">
        <v>0.28999999999999998</v>
      </c>
      <c r="K45" s="64">
        <v>281.43</v>
      </c>
      <c r="L45" s="64">
        <v>24.04</v>
      </c>
      <c r="M45" s="64">
        <v>98.55</v>
      </c>
      <c r="N45" s="64">
        <v>138.5</v>
      </c>
      <c r="O45" s="64">
        <v>0</v>
      </c>
      <c r="P45" s="64">
        <v>0.27</v>
      </c>
      <c r="Q45" s="64">
        <v>9.07</v>
      </c>
      <c r="R45" s="198"/>
      <c r="S45" s="198"/>
      <c r="T45" s="198"/>
      <c r="U45" s="198"/>
    </row>
    <row r="46" spans="1:21" s="12" customFormat="1" x14ac:dyDescent="0.25">
      <c r="A46" s="211" t="s">
        <v>1434</v>
      </c>
      <c r="B46" s="64">
        <v>6.37</v>
      </c>
      <c r="C46" s="64">
        <v>13.79</v>
      </c>
      <c r="D46" s="64">
        <v>16.62</v>
      </c>
      <c r="E46" s="64">
        <v>4.67</v>
      </c>
      <c r="F46" s="64">
        <v>3.47</v>
      </c>
      <c r="G46" s="64">
        <v>38.08</v>
      </c>
      <c r="H46" s="64">
        <v>0.89</v>
      </c>
      <c r="I46" s="64">
        <v>4.08</v>
      </c>
      <c r="J46" s="64">
        <v>0.22</v>
      </c>
      <c r="K46" s="64">
        <v>296.2</v>
      </c>
      <c r="L46" s="64">
        <v>23.78</v>
      </c>
      <c r="M46" s="64">
        <v>98.25</v>
      </c>
      <c r="N46" s="64">
        <v>110.9</v>
      </c>
      <c r="O46" s="64">
        <v>0.2</v>
      </c>
      <c r="P46" s="64">
        <v>0.27</v>
      </c>
      <c r="Q46" s="64">
        <v>9.09</v>
      </c>
      <c r="R46" s="198"/>
      <c r="S46" s="198"/>
      <c r="T46" s="198"/>
      <c r="U46" s="198"/>
    </row>
    <row r="47" spans="1:21" s="12" customFormat="1" x14ac:dyDescent="0.25">
      <c r="A47" s="211" t="s">
        <v>1435</v>
      </c>
      <c r="B47" s="64">
        <v>6.81</v>
      </c>
      <c r="C47" s="64">
        <v>14.05</v>
      </c>
      <c r="D47" s="64">
        <v>16.440000000000001</v>
      </c>
      <c r="E47" s="64">
        <v>4.5999999999999996</v>
      </c>
      <c r="F47" s="64">
        <v>3.82</v>
      </c>
      <c r="G47" s="64">
        <v>38.08</v>
      </c>
      <c r="H47" s="64">
        <v>0.89</v>
      </c>
      <c r="I47" s="64">
        <v>4.0199999999999996</v>
      </c>
      <c r="J47" s="64">
        <v>0.16</v>
      </c>
      <c r="K47" s="64">
        <v>287.02</v>
      </c>
      <c r="L47" s="64">
        <v>23.68</v>
      </c>
      <c r="M47" s="64">
        <v>98.15</v>
      </c>
      <c r="N47" s="64">
        <v>129.9</v>
      </c>
      <c r="O47" s="64">
        <v>0</v>
      </c>
      <c r="P47" s="64">
        <v>0.28000000000000003</v>
      </c>
      <c r="Q47" s="64">
        <v>9.08</v>
      </c>
      <c r="R47" s="198"/>
      <c r="S47" s="198"/>
      <c r="T47" s="198"/>
      <c r="U47" s="198"/>
    </row>
    <row r="48" spans="1:21" s="12" customFormat="1" x14ac:dyDescent="0.25">
      <c r="A48" s="211" t="s">
        <v>1436</v>
      </c>
      <c r="B48" s="64">
        <v>7.54</v>
      </c>
      <c r="C48" s="64">
        <v>14.79</v>
      </c>
      <c r="D48" s="64">
        <v>16.72</v>
      </c>
      <c r="E48" s="64">
        <v>5.12</v>
      </c>
      <c r="F48" s="64">
        <v>3.17</v>
      </c>
      <c r="G48" s="64">
        <v>36.159999999999997</v>
      </c>
      <c r="H48" s="64">
        <v>1.8</v>
      </c>
      <c r="I48" s="64">
        <v>4.04</v>
      </c>
      <c r="J48" s="64">
        <v>0.2</v>
      </c>
      <c r="K48" s="64">
        <v>290.06</v>
      </c>
      <c r="L48" s="64">
        <v>23.9</v>
      </c>
      <c r="M48" s="64">
        <v>98</v>
      </c>
      <c r="N48" s="64">
        <v>195.3</v>
      </c>
      <c r="O48" s="64">
        <v>0</v>
      </c>
      <c r="P48" s="64">
        <v>0.28999999999999998</v>
      </c>
      <c r="Q48" s="64">
        <v>9.09</v>
      </c>
      <c r="R48" s="198"/>
      <c r="S48" s="198"/>
      <c r="T48" s="198"/>
      <c r="U48" s="198"/>
    </row>
    <row r="49" spans="1:21" s="12" customFormat="1" x14ac:dyDescent="0.25">
      <c r="A49" s="211" t="s">
        <v>1437</v>
      </c>
      <c r="B49" s="64">
        <v>7.16</v>
      </c>
      <c r="C49" s="64">
        <v>14.18</v>
      </c>
      <c r="D49" s="64">
        <v>16.16</v>
      </c>
      <c r="E49" s="64">
        <v>4.49</v>
      </c>
      <c r="F49" s="64">
        <v>3.5</v>
      </c>
      <c r="G49" s="64">
        <v>30.87</v>
      </c>
      <c r="H49" s="64">
        <v>4.3</v>
      </c>
      <c r="I49" s="64">
        <v>3.96</v>
      </c>
      <c r="J49" s="64">
        <v>0.18</v>
      </c>
      <c r="K49" s="64">
        <v>288.39</v>
      </c>
      <c r="L49" s="64">
        <v>24.18</v>
      </c>
      <c r="M49" s="64">
        <v>98.01</v>
      </c>
      <c r="N49" s="64">
        <v>207</v>
      </c>
      <c r="O49" s="64">
        <v>0</v>
      </c>
      <c r="P49" s="64">
        <v>0.3</v>
      </c>
      <c r="Q49" s="64">
        <v>9.09</v>
      </c>
      <c r="R49" s="198"/>
      <c r="S49" s="198"/>
      <c r="T49" s="198"/>
      <c r="U49" s="198"/>
    </row>
    <row r="50" spans="1:21" s="12" customFormat="1" x14ac:dyDescent="0.25">
      <c r="A50" s="211" t="s">
        <v>1438</v>
      </c>
      <c r="B50" s="64">
        <v>7.27</v>
      </c>
      <c r="C50" s="64">
        <v>14.71</v>
      </c>
      <c r="D50" s="64">
        <v>16.989999999999998</v>
      </c>
      <c r="E50" s="64">
        <v>4.55</v>
      </c>
      <c r="F50" s="64">
        <v>3.31</v>
      </c>
      <c r="G50" s="64">
        <v>30.87</v>
      </c>
      <c r="H50" s="64">
        <v>4.3</v>
      </c>
      <c r="I50" s="64">
        <v>3.97</v>
      </c>
      <c r="J50" s="64">
        <v>0.27</v>
      </c>
      <c r="K50" s="64">
        <v>288.37</v>
      </c>
      <c r="L50" s="64">
        <v>24.46</v>
      </c>
      <c r="M50" s="64">
        <v>97.83</v>
      </c>
      <c r="N50" s="64">
        <v>194.9</v>
      </c>
      <c r="O50" s="64">
        <v>0</v>
      </c>
      <c r="P50" s="64">
        <v>0.3</v>
      </c>
      <c r="Q50" s="64">
        <v>9.1199999999999992</v>
      </c>
      <c r="R50" s="198"/>
      <c r="S50" s="198"/>
      <c r="T50" s="198"/>
      <c r="U50" s="198"/>
    </row>
    <row r="51" spans="1:21" s="12" customFormat="1" x14ac:dyDescent="0.25">
      <c r="A51" s="211" t="s">
        <v>1439</v>
      </c>
      <c r="B51" s="64">
        <v>7.73</v>
      </c>
      <c r="C51" s="64">
        <v>15.53</v>
      </c>
      <c r="D51" s="64">
        <v>17.850000000000001</v>
      </c>
      <c r="E51" s="64">
        <v>4.6399999999999997</v>
      </c>
      <c r="F51" s="64">
        <v>3.58</v>
      </c>
      <c r="G51" s="64">
        <v>30.87</v>
      </c>
      <c r="H51" s="64">
        <v>4.3</v>
      </c>
      <c r="I51" s="64">
        <v>3.92</v>
      </c>
      <c r="J51" s="64">
        <v>0.25</v>
      </c>
      <c r="K51" s="64">
        <v>275.01</v>
      </c>
      <c r="L51" s="64">
        <v>24.69</v>
      </c>
      <c r="M51" s="64">
        <v>97.9</v>
      </c>
      <c r="N51" s="64">
        <v>162.4</v>
      </c>
      <c r="O51" s="64">
        <v>0</v>
      </c>
      <c r="P51" s="64">
        <v>0.33</v>
      </c>
      <c r="Q51" s="64">
        <v>9.14</v>
      </c>
      <c r="R51" s="198"/>
      <c r="S51" s="198"/>
      <c r="T51" s="198"/>
      <c r="U51" s="198"/>
    </row>
    <row r="52" spans="1:21" s="12" customFormat="1" x14ac:dyDescent="0.25">
      <c r="A52" s="211" t="s">
        <v>1440</v>
      </c>
      <c r="B52" s="64">
        <v>7.98</v>
      </c>
      <c r="C52" s="64">
        <v>16.23</v>
      </c>
      <c r="D52" s="64">
        <v>18.829999999999998</v>
      </c>
      <c r="E52" s="64">
        <v>4.72</v>
      </c>
      <c r="F52" s="64">
        <v>4.3899999999999997</v>
      </c>
      <c r="G52" s="64">
        <v>31.49</v>
      </c>
      <c r="H52" s="64">
        <v>6</v>
      </c>
      <c r="I52" s="64">
        <v>4.05</v>
      </c>
      <c r="J52" s="64">
        <v>0.21</v>
      </c>
      <c r="K52" s="64">
        <v>275.76</v>
      </c>
      <c r="L52" s="64">
        <v>24.8</v>
      </c>
      <c r="M52" s="64">
        <v>97.93</v>
      </c>
      <c r="N52" s="64">
        <v>116.3</v>
      </c>
      <c r="O52" s="64">
        <v>0</v>
      </c>
      <c r="P52" s="64">
        <v>0.37</v>
      </c>
      <c r="Q52" s="64">
        <v>9.16</v>
      </c>
      <c r="R52" s="198"/>
      <c r="S52" s="198"/>
      <c r="T52" s="198"/>
      <c r="U52" s="198"/>
    </row>
    <row r="53" spans="1:21" s="12" customFormat="1" x14ac:dyDescent="0.25">
      <c r="A53" s="211" t="s">
        <v>1441</v>
      </c>
      <c r="B53" s="64">
        <v>8.84</v>
      </c>
      <c r="C53" s="64">
        <v>18.62</v>
      </c>
      <c r="D53" s="64">
        <v>22.07</v>
      </c>
      <c r="E53" s="64">
        <v>4.66</v>
      </c>
      <c r="F53" s="64">
        <v>4.79</v>
      </c>
      <c r="G53" s="64">
        <v>33.19</v>
      </c>
      <c r="H53" s="64">
        <v>10.67</v>
      </c>
      <c r="I53" s="64">
        <v>4.05</v>
      </c>
      <c r="J53" s="64">
        <v>0.25</v>
      </c>
      <c r="K53" s="64">
        <v>287.89</v>
      </c>
      <c r="L53" s="64">
        <v>24.92</v>
      </c>
      <c r="M53" s="64">
        <v>97.55</v>
      </c>
      <c r="N53" s="64">
        <v>116.3</v>
      </c>
      <c r="O53" s="64">
        <v>0</v>
      </c>
      <c r="P53" s="64">
        <v>0.36</v>
      </c>
      <c r="Q53" s="64">
        <v>9.17</v>
      </c>
      <c r="R53" s="198"/>
      <c r="S53" s="198"/>
      <c r="T53" s="198"/>
      <c r="U53" s="198"/>
    </row>
    <row r="54" spans="1:21" s="12" customFormat="1" x14ac:dyDescent="0.25">
      <c r="A54" s="211" t="s">
        <v>1442</v>
      </c>
      <c r="B54" s="64">
        <v>8.7100000000000009</v>
      </c>
      <c r="C54" s="64">
        <v>17.760000000000002</v>
      </c>
      <c r="D54" s="64">
        <v>20.63</v>
      </c>
      <c r="E54" s="64">
        <v>4.4400000000000004</v>
      </c>
      <c r="F54" s="64">
        <v>4.33</v>
      </c>
      <c r="G54" s="64">
        <v>33.19</v>
      </c>
      <c r="H54" s="64">
        <v>10.67</v>
      </c>
      <c r="I54" s="64">
        <v>4.1100000000000003</v>
      </c>
      <c r="J54" s="64">
        <v>0.25</v>
      </c>
      <c r="K54" s="64">
        <v>291</v>
      </c>
      <c r="L54" s="64">
        <v>25.13</v>
      </c>
      <c r="M54" s="64">
        <v>96.38</v>
      </c>
      <c r="N54" s="64">
        <v>137.80000000000001</v>
      </c>
      <c r="O54" s="64">
        <v>0</v>
      </c>
      <c r="P54" s="64">
        <v>0.38</v>
      </c>
      <c r="Q54" s="64">
        <v>9.19</v>
      </c>
      <c r="R54" s="198"/>
      <c r="S54" s="198"/>
      <c r="T54" s="198"/>
      <c r="U54" s="198"/>
    </row>
    <row r="55" spans="1:21" s="12" customFormat="1" x14ac:dyDescent="0.25">
      <c r="A55" s="211" t="s">
        <v>1443</v>
      </c>
      <c r="B55" s="64">
        <v>8.9</v>
      </c>
      <c r="C55" s="64">
        <v>17.7</v>
      </c>
      <c r="D55" s="64">
        <v>20.22</v>
      </c>
      <c r="E55" s="64">
        <v>4.9800000000000004</v>
      </c>
      <c r="F55" s="64">
        <v>3.84</v>
      </c>
      <c r="G55" s="64">
        <v>33.19</v>
      </c>
      <c r="H55" s="64">
        <v>10.67</v>
      </c>
      <c r="I55" s="64">
        <v>4.18</v>
      </c>
      <c r="J55" s="64">
        <v>0.36</v>
      </c>
      <c r="K55" s="64">
        <v>288.85000000000002</v>
      </c>
      <c r="L55" s="64">
        <v>25.52</v>
      </c>
      <c r="M55" s="64">
        <v>93.17</v>
      </c>
      <c r="N55" s="64">
        <v>228.2</v>
      </c>
      <c r="O55" s="64">
        <v>0</v>
      </c>
      <c r="P55" s="64">
        <v>0.41</v>
      </c>
      <c r="Q55" s="64">
        <v>9.2100000000000009</v>
      </c>
      <c r="R55" s="198"/>
      <c r="S55" s="198"/>
      <c r="T55" s="198"/>
      <c r="U55" s="198"/>
    </row>
    <row r="56" spans="1:21" s="12" customFormat="1" x14ac:dyDescent="0.25">
      <c r="A56" s="211" t="s">
        <v>1444</v>
      </c>
      <c r="B56" s="64">
        <v>9.58</v>
      </c>
      <c r="C56" s="64">
        <v>18.170000000000002</v>
      </c>
      <c r="D56" s="64">
        <v>20.079999999999998</v>
      </c>
      <c r="E56" s="64">
        <v>4.5999999999999996</v>
      </c>
      <c r="F56" s="64">
        <v>4.09</v>
      </c>
      <c r="G56" s="64">
        <v>36.07</v>
      </c>
      <c r="H56" s="64">
        <v>9.4700000000000006</v>
      </c>
      <c r="I56" s="64">
        <v>4.01</v>
      </c>
      <c r="J56" s="64">
        <v>0.25</v>
      </c>
      <c r="K56" s="64">
        <v>280.83999999999997</v>
      </c>
      <c r="L56" s="64">
        <v>25.92</v>
      </c>
      <c r="M56" s="64">
        <v>91.8</v>
      </c>
      <c r="N56" s="64">
        <v>219.5</v>
      </c>
      <c r="O56" s="64">
        <v>0</v>
      </c>
      <c r="P56" s="64">
        <v>0.42</v>
      </c>
      <c r="Q56" s="64">
        <v>9.2100000000000009</v>
      </c>
      <c r="R56" s="198"/>
      <c r="S56" s="198"/>
      <c r="T56" s="198"/>
      <c r="U56" s="198"/>
    </row>
    <row r="57" spans="1:21" s="12" customFormat="1" x14ac:dyDescent="0.25">
      <c r="A57" s="211" t="s">
        <v>1445</v>
      </c>
      <c r="B57" s="64">
        <v>9.27</v>
      </c>
      <c r="C57" s="64">
        <v>17.88</v>
      </c>
      <c r="D57" s="64">
        <v>19.989999999999998</v>
      </c>
      <c r="E57" s="64">
        <v>4.96</v>
      </c>
      <c r="F57" s="64">
        <v>3.79</v>
      </c>
      <c r="G57" s="64">
        <v>43.98</v>
      </c>
      <c r="H57" s="64">
        <v>6.16</v>
      </c>
      <c r="I57" s="64">
        <v>4.09</v>
      </c>
      <c r="J57" s="64">
        <v>0.34</v>
      </c>
      <c r="K57" s="64">
        <v>286.49</v>
      </c>
      <c r="L57" s="64">
        <v>25.5</v>
      </c>
      <c r="M57" s="64">
        <v>93.65</v>
      </c>
      <c r="N57" s="64">
        <v>279.39999999999998</v>
      </c>
      <c r="O57" s="64">
        <v>0</v>
      </c>
      <c r="P57" s="64">
        <v>0.42</v>
      </c>
      <c r="Q57" s="64">
        <v>9.2100000000000009</v>
      </c>
      <c r="R57" s="198"/>
      <c r="S57" s="198"/>
      <c r="T57" s="198"/>
      <c r="U57" s="198"/>
    </row>
    <row r="58" spans="1:21" s="12" customFormat="1" x14ac:dyDescent="0.25">
      <c r="A58" s="211" t="s">
        <v>1446</v>
      </c>
      <c r="B58" s="64">
        <v>7.96</v>
      </c>
      <c r="C58" s="64">
        <v>17.239999999999998</v>
      </c>
      <c r="D58" s="64">
        <v>20.79</v>
      </c>
      <c r="E58" s="64">
        <v>4.84</v>
      </c>
      <c r="F58" s="64">
        <v>3.02</v>
      </c>
      <c r="G58" s="64">
        <v>43.98</v>
      </c>
      <c r="H58" s="64">
        <v>6.16</v>
      </c>
      <c r="I58" s="64">
        <v>3.9</v>
      </c>
      <c r="J58" s="64">
        <v>0.36</v>
      </c>
      <c r="K58" s="64">
        <v>285.72000000000003</v>
      </c>
      <c r="L58" s="64">
        <v>26.59</v>
      </c>
      <c r="M58" s="64">
        <v>88.03</v>
      </c>
      <c r="N58" s="64">
        <v>387.3</v>
      </c>
      <c r="O58" s="64">
        <v>0</v>
      </c>
      <c r="P58" s="64">
        <v>0.43</v>
      </c>
      <c r="Q58" s="64">
        <v>9.18</v>
      </c>
      <c r="R58" s="198"/>
      <c r="S58" s="198"/>
      <c r="T58" s="198"/>
      <c r="U58" s="198"/>
    </row>
    <row r="59" spans="1:21" s="12" customFormat="1" x14ac:dyDescent="0.25">
      <c r="A59" s="211" t="s">
        <v>1447</v>
      </c>
      <c r="B59" s="64">
        <v>7.4</v>
      </c>
      <c r="C59" s="64">
        <v>16.79</v>
      </c>
      <c r="D59" s="64">
        <v>20.79</v>
      </c>
      <c r="E59" s="64">
        <v>4.84</v>
      </c>
      <c r="F59" s="64">
        <v>3.71</v>
      </c>
      <c r="G59" s="64">
        <v>43.98</v>
      </c>
      <c r="H59" s="64">
        <v>6.16</v>
      </c>
      <c r="I59" s="64">
        <v>4.12</v>
      </c>
      <c r="J59" s="64">
        <v>0.4</v>
      </c>
      <c r="K59" s="64">
        <v>282.27999999999997</v>
      </c>
      <c r="L59" s="64">
        <v>26.75</v>
      </c>
      <c r="M59" s="64">
        <v>87.39</v>
      </c>
      <c r="N59" s="64">
        <v>230.4</v>
      </c>
      <c r="O59" s="64">
        <v>0</v>
      </c>
      <c r="P59" s="64">
        <v>0.41</v>
      </c>
      <c r="Q59" s="64">
        <v>9.16</v>
      </c>
      <c r="R59" s="198"/>
      <c r="S59" s="198"/>
      <c r="T59" s="198"/>
      <c r="U59" s="198"/>
    </row>
    <row r="60" spans="1:21" s="12" customFormat="1" x14ac:dyDescent="0.25">
      <c r="A60" s="211" t="s">
        <v>1448</v>
      </c>
      <c r="B60" s="64">
        <v>6.68</v>
      </c>
      <c r="C60" s="64">
        <v>16.170000000000002</v>
      </c>
      <c r="D60" s="64">
        <v>20.7</v>
      </c>
      <c r="E60" s="64">
        <v>4.72</v>
      </c>
      <c r="F60" s="64">
        <v>4.16</v>
      </c>
      <c r="G60" s="64">
        <v>45.24</v>
      </c>
      <c r="H60" s="64">
        <v>9.02</v>
      </c>
      <c r="I60" s="64">
        <v>4.1100000000000003</v>
      </c>
      <c r="J60" s="64">
        <v>0.41</v>
      </c>
      <c r="K60" s="64">
        <v>286.07</v>
      </c>
      <c r="L60" s="64">
        <v>26.68</v>
      </c>
      <c r="M60" s="64">
        <v>86.38</v>
      </c>
      <c r="N60" s="64">
        <v>232.3</v>
      </c>
      <c r="O60" s="64">
        <v>0</v>
      </c>
      <c r="P60" s="64">
        <v>0.42</v>
      </c>
      <c r="Q60" s="64">
        <v>9.1300000000000008</v>
      </c>
      <c r="R60" s="198"/>
      <c r="S60" s="198"/>
      <c r="T60" s="198"/>
      <c r="U60" s="198"/>
    </row>
    <row r="61" spans="1:21" s="12" customFormat="1" x14ac:dyDescent="0.25">
      <c r="A61" s="211" t="s">
        <v>1449</v>
      </c>
      <c r="B61" s="64">
        <v>6.7</v>
      </c>
      <c r="C61" s="64">
        <v>16.13</v>
      </c>
      <c r="D61" s="64">
        <v>20.59</v>
      </c>
      <c r="E61" s="64">
        <v>4.47</v>
      </c>
      <c r="F61" s="64">
        <v>3.36</v>
      </c>
      <c r="G61" s="64">
        <v>48.72</v>
      </c>
      <c r="H61" s="64">
        <v>16.86</v>
      </c>
      <c r="I61" s="64">
        <v>3.98</v>
      </c>
      <c r="J61" s="64">
        <v>0.4</v>
      </c>
      <c r="K61" s="64">
        <v>282.87</v>
      </c>
      <c r="L61" s="64">
        <v>26.7</v>
      </c>
      <c r="M61" s="64">
        <v>85.67</v>
      </c>
      <c r="N61" s="64">
        <v>184.5</v>
      </c>
      <c r="O61" s="64">
        <v>0</v>
      </c>
      <c r="P61" s="64">
        <v>0.38</v>
      </c>
      <c r="Q61" s="64">
        <v>9.1199999999999992</v>
      </c>
      <c r="R61" s="198"/>
      <c r="S61" s="198"/>
      <c r="T61" s="198"/>
      <c r="U61" s="198"/>
    </row>
    <row r="62" spans="1:21" s="12" customFormat="1" x14ac:dyDescent="0.25">
      <c r="A62" s="211" t="s">
        <v>1450</v>
      </c>
      <c r="B62" s="64">
        <v>5.95</v>
      </c>
      <c r="C62" s="64">
        <v>15.64</v>
      </c>
      <c r="D62" s="64">
        <v>20.8</v>
      </c>
      <c r="E62" s="64">
        <v>4.29</v>
      </c>
      <c r="F62" s="64">
        <v>4.6500000000000004</v>
      </c>
      <c r="G62" s="64">
        <v>48.72</v>
      </c>
      <c r="H62" s="64">
        <v>16.86</v>
      </c>
      <c r="I62" s="64">
        <v>4.1100000000000003</v>
      </c>
      <c r="J62" s="64">
        <v>0.35</v>
      </c>
      <c r="K62" s="64">
        <v>282.61</v>
      </c>
      <c r="L62" s="64">
        <v>26.26</v>
      </c>
      <c r="M62" s="64">
        <v>88.91</v>
      </c>
      <c r="N62" s="64">
        <v>176.9</v>
      </c>
      <c r="O62" s="64">
        <v>0</v>
      </c>
      <c r="P62" s="64">
        <v>0.41</v>
      </c>
      <c r="Q62" s="64">
        <v>9.11</v>
      </c>
      <c r="R62" s="198"/>
      <c r="S62" s="198"/>
      <c r="T62" s="198"/>
      <c r="U62" s="198"/>
    </row>
    <row r="63" spans="1:21" s="12" customFormat="1" x14ac:dyDescent="0.25">
      <c r="A63" s="211" t="s">
        <v>1451</v>
      </c>
      <c r="B63" s="64">
        <v>5.52</v>
      </c>
      <c r="C63" s="64">
        <v>15.5</v>
      </c>
      <c r="D63" s="64">
        <v>21.19</v>
      </c>
      <c r="E63" s="64">
        <v>5.13</v>
      </c>
      <c r="F63" s="64">
        <v>3.45</v>
      </c>
      <c r="G63" s="64">
        <v>48.72</v>
      </c>
      <c r="H63" s="64">
        <v>16.86</v>
      </c>
      <c r="I63" s="64">
        <v>4.03</v>
      </c>
      <c r="J63" s="64">
        <v>0.35</v>
      </c>
      <c r="K63" s="64">
        <v>289.93</v>
      </c>
      <c r="L63" s="64">
        <v>26.38</v>
      </c>
      <c r="M63" s="64">
        <v>88.11</v>
      </c>
      <c r="N63" s="64">
        <v>144.30000000000001</v>
      </c>
      <c r="O63" s="64">
        <v>0</v>
      </c>
      <c r="P63" s="64">
        <v>0.39</v>
      </c>
      <c r="Q63" s="64">
        <v>9.1</v>
      </c>
      <c r="R63" s="198"/>
      <c r="S63" s="198"/>
      <c r="T63" s="198"/>
      <c r="U63" s="198"/>
    </row>
    <row r="64" spans="1:21" s="12" customFormat="1" x14ac:dyDescent="0.25">
      <c r="A64" s="211" t="s">
        <v>1452</v>
      </c>
      <c r="B64" s="64">
        <v>5.67</v>
      </c>
      <c r="C64" s="64">
        <v>15.76</v>
      </c>
      <c r="D64" s="64">
        <v>21.48</v>
      </c>
      <c r="E64" s="64">
        <v>4.28</v>
      </c>
      <c r="F64" s="64">
        <v>4.5599999999999996</v>
      </c>
      <c r="G64" s="64">
        <v>49.46</v>
      </c>
      <c r="H64" s="64">
        <v>17.45</v>
      </c>
      <c r="I64" s="64">
        <v>3.99</v>
      </c>
      <c r="J64" s="64">
        <v>0.31</v>
      </c>
      <c r="K64" s="64">
        <v>282.79000000000002</v>
      </c>
      <c r="L64" s="64">
        <v>26.66</v>
      </c>
      <c r="M64" s="64">
        <v>87.46</v>
      </c>
      <c r="N64" s="64">
        <v>115.2</v>
      </c>
      <c r="O64" s="64">
        <v>0</v>
      </c>
      <c r="P64" s="64">
        <v>0.4</v>
      </c>
      <c r="Q64" s="64">
        <v>9.1</v>
      </c>
      <c r="R64" s="198"/>
      <c r="S64" s="198"/>
      <c r="T64" s="198"/>
      <c r="U64" s="198"/>
    </row>
    <row r="65" spans="1:21" s="12" customFormat="1" x14ac:dyDescent="0.25">
      <c r="A65" s="211" t="s">
        <v>1453</v>
      </c>
      <c r="B65" s="64">
        <v>5.71</v>
      </c>
      <c r="C65" s="64">
        <v>15.65</v>
      </c>
      <c r="D65" s="64">
        <v>21.18</v>
      </c>
      <c r="E65" s="64">
        <v>4.34</v>
      </c>
      <c r="F65" s="64">
        <v>3.41</v>
      </c>
      <c r="G65" s="64">
        <v>51.5</v>
      </c>
      <c r="H65" s="64">
        <v>19.09</v>
      </c>
      <c r="I65" s="64">
        <v>4.1100000000000003</v>
      </c>
      <c r="J65" s="64">
        <v>0.3</v>
      </c>
      <c r="K65" s="64">
        <v>288.31</v>
      </c>
      <c r="L65" s="64">
        <v>26.64</v>
      </c>
      <c r="M65" s="64">
        <v>86.29</v>
      </c>
      <c r="N65" s="64">
        <v>154.9</v>
      </c>
      <c r="O65" s="64">
        <v>0</v>
      </c>
      <c r="P65" s="64">
        <v>0.41</v>
      </c>
      <c r="Q65" s="64">
        <v>9.09</v>
      </c>
      <c r="R65" s="198"/>
      <c r="S65" s="198"/>
      <c r="T65" s="198"/>
      <c r="U65" s="198"/>
    </row>
    <row r="66" spans="1:21" s="12" customFormat="1" x14ac:dyDescent="0.25">
      <c r="A66" s="211" t="s">
        <v>1454</v>
      </c>
      <c r="B66" s="64">
        <v>5.88</v>
      </c>
      <c r="C66" s="64">
        <v>15.82</v>
      </c>
      <c r="D66" s="64">
        <v>21.25</v>
      </c>
      <c r="E66" s="64">
        <v>4.7699999999999996</v>
      </c>
      <c r="F66" s="64">
        <v>3.49</v>
      </c>
      <c r="G66" s="64">
        <v>51.5</v>
      </c>
      <c r="H66" s="64">
        <v>19.09</v>
      </c>
      <c r="I66" s="64">
        <v>3.97</v>
      </c>
      <c r="J66" s="64">
        <v>0.32</v>
      </c>
      <c r="K66" s="64">
        <v>286.5</v>
      </c>
      <c r="L66" s="64">
        <v>26.78</v>
      </c>
      <c r="M66" s="64">
        <v>84.24</v>
      </c>
      <c r="N66" s="64">
        <v>149.6</v>
      </c>
      <c r="O66" s="64">
        <v>0</v>
      </c>
      <c r="P66" s="64">
        <v>0.4</v>
      </c>
      <c r="Q66" s="64">
        <v>9.1</v>
      </c>
      <c r="R66" s="198"/>
      <c r="S66" s="198"/>
      <c r="T66" s="198"/>
      <c r="U66" s="198"/>
    </row>
    <row r="67" spans="1:21" s="12" customFormat="1" x14ac:dyDescent="0.25">
      <c r="A67" s="211" t="s">
        <v>1455</v>
      </c>
      <c r="B67" s="64">
        <v>6.09</v>
      </c>
      <c r="C67" s="64">
        <v>16.09</v>
      </c>
      <c r="D67" s="64">
        <v>21.45</v>
      </c>
      <c r="E67" s="64">
        <v>4.8099999999999996</v>
      </c>
      <c r="F67" s="64">
        <v>5.37</v>
      </c>
      <c r="G67" s="64">
        <v>51.5</v>
      </c>
      <c r="H67" s="64">
        <v>19.09</v>
      </c>
      <c r="I67" s="64">
        <v>3.9</v>
      </c>
      <c r="J67" s="64">
        <v>0.28000000000000003</v>
      </c>
      <c r="K67" s="64">
        <v>286.35000000000002</v>
      </c>
      <c r="L67" s="64">
        <v>26.86</v>
      </c>
      <c r="M67" s="64">
        <v>85.16</v>
      </c>
      <c r="N67" s="64">
        <v>162.6</v>
      </c>
      <c r="O67" s="64">
        <v>0</v>
      </c>
      <c r="P67" s="64">
        <v>0.39</v>
      </c>
      <c r="Q67" s="64">
        <v>9.1</v>
      </c>
      <c r="R67" s="198"/>
      <c r="S67" s="198"/>
      <c r="T67" s="198"/>
      <c r="U67" s="198"/>
    </row>
    <row r="68" spans="1:21" s="12" customFormat="1" x14ac:dyDescent="0.25">
      <c r="A68" s="211" t="s">
        <v>1456</v>
      </c>
      <c r="B68" s="64">
        <v>6.53</v>
      </c>
      <c r="C68" s="64">
        <v>17.36</v>
      </c>
      <c r="D68" s="64">
        <v>23.21</v>
      </c>
      <c r="E68" s="64">
        <v>4.71</v>
      </c>
      <c r="F68" s="64">
        <v>5.7</v>
      </c>
      <c r="G68" s="64">
        <v>52.28</v>
      </c>
      <c r="H68" s="64">
        <v>18.89</v>
      </c>
      <c r="I68" s="64">
        <v>4.0999999999999996</v>
      </c>
      <c r="J68" s="64">
        <v>0.24</v>
      </c>
      <c r="K68" s="64">
        <v>284.16000000000003</v>
      </c>
      <c r="L68" s="64">
        <v>26.93</v>
      </c>
      <c r="M68" s="64">
        <v>85.08</v>
      </c>
      <c r="N68" s="64">
        <v>158.4</v>
      </c>
      <c r="O68" s="64">
        <v>0</v>
      </c>
      <c r="P68" s="64">
        <v>0.41</v>
      </c>
      <c r="Q68" s="64">
        <v>9.1199999999999992</v>
      </c>
      <c r="R68" s="198"/>
      <c r="S68" s="198"/>
      <c r="T68" s="198"/>
      <c r="U68" s="198"/>
    </row>
    <row r="69" spans="1:21" s="12" customFormat="1" x14ac:dyDescent="0.25">
      <c r="A69" s="211" t="s">
        <v>1457</v>
      </c>
      <c r="B69" s="64">
        <v>7.45</v>
      </c>
      <c r="C69" s="64">
        <v>17.82</v>
      </c>
      <c r="D69" s="64">
        <v>22.67</v>
      </c>
      <c r="E69" s="64">
        <v>4.46</v>
      </c>
      <c r="F69" s="64">
        <v>4.7699999999999996</v>
      </c>
      <c r="G69" s="64">
        <v>54.42</v>
      </c>
      <c r="H69" s="64">
        <v>18.350000000000001</v>
      </c>
      <c r="I69" s="64">
        <v>4.12</v>
      </c>
      <c r="J69" s="64">
        <v>0.23</v>
      </c>
      <c r="K69" s="64">
        <v>279.95999999999998</v>
      </c>
      <c r="L69" s="64">
        <v>27.17</v>
      </c>
      <c r="M69" s="64">
        <v>83.53</v>
      </c>
      <c r="N69" s="64">
        <v>223</v>
      </c>
      <c r="O69" s="64">
        <v>0</v>
      </c>
      <c r="P69" s="64">
        <v>0.39</v>
      </c>
      <c r="Q69" s="64">
        <v>9.1300000000000008</v>
      </c>
      <c r="R69" s="198"/>
      <c r="S69" s="198"/>
      <c r="T69" s="198"/>
      <c r="U69" s="198"/>
    </row>
    <row r="70" spans="1:21" s="12" customFormat="1" x14ac:dyDescent="0.25">
      <c r="A70" s="211" t="s">
        <v>1458</v>
      </c>
      <c r="B70" s="64">
        <v>5.9</v>
      </c>
      <c r="C70" s="64">
        <v>15.98</v>
      </c>
      <c r="D70" s="64">
        <v>21.52</v>
      </c>
      <c r="E70" s="64">
        <v>4.55</v>
      </c>
      <c r="F70" s="64">
        <v>4.46</v>
      </c>
      <c r="G70" s="64">
        <v>54.42</v>
      </c>
      <c r="H70" s="64">
        <v>18.350000000000001</v>
      </c>
      <c r="I70" s="64">
        <v>3.99</v>
      </c>
      <c r="J70" s="64">
        <v>0.33</v>
      </c>
      <c r="K70" s="64">
        <v>292.45999999999998</v>
      </c>
      <c r="L70" s="64">
        <v>27.34</v>
      </c>
      <c r="M70" s="64">
        <v>82.18</v>
      </c>
      <c r="N70" s="64">
        <v>233.7</v>
      </c>
      <c r="O70" s="64">
        <v>0</v>
      </c>
      <c r="P70" s="64">
        <v>0.39</v>
      </c>
      <c r="Q70" s="64">
        <v>9.14</v>
      </c>
      <c r="R70" s="198"/>
      <c r="S70" s="198"/>
      <c r="T70" s="198"/>
      <c r="U70" s="198"/>
    </row>
    <row r="71" spans="1:21" s="12" customFormat="1" x14ac:dyDescent="0.25">
      <c r="A71" s="211" t="s">
        <v>1459</v>
      </c>
      <c r="B71" s="64">
        <v>5.25</v>
      </c>
      <c r="C71" s="64">
        <v>15.21</v>
      </c>
      <c r="D71" s="64">
        <v>21.06</v>
      </c>
      <c r="E71" s="64">
        <v>4.33</v>
      </c>
      <c r="F71" s="64">
        <v>5.29</v>
      </c>
      <c r="G71" s="64">
        <v>54.42</v>
      </c>
      <c r="H71" s="64">
        <v>18.350000000000001</v>
      </c>
      <c r="I71" s="64">
        <v>3.87</v>
      </c>
      <c r="J71" s="64">
        <v>0.2</v>
      </c>
      <c r="K71" s="64">
        <v>276.11</v>
      </c>
      <c r="L71" s="64">
        <v>27.01</v>
      </c>
      <c r="M71" s="64">
        <v>83.55</v>
      </c>
      <c r="N71" s="64">
        <v>178.3</v>
      </c>
      <c r="O71" s="64">
        <v>0</v>
      </c>
      <c r="P71" s="64">
        <v>0.37</v>
      </c>
      <c r="Q71" s="64">
        <v>9.14</v>
      </c>
      <c r="R71" s="198"/>
      <c r="S71" s="198"/>
      <c r="T71" s="198"/>
      <c r="U71" s="198"/>
    </row>
    <row r="72" spans="1:21" s="12" customFormat="1" x14ac:dyDescent="0.25">
      <c r="A72" s="211" t="s">
        <v>1460</v>
      </c>
      <c r="B72" s="64">
        <v>4.67</v>
      </c>
      <c r="C72" s="64">
        <v>14.47</v>
      </c>
      <c r="D72" s="64">
        <v>20.52</v>
      </c>
      <c r="E72" s="64">
        <v>4.8899999999999997</v>
      </c>
      <c r="F72" s="64">
        <v>5.33</v>
      </c>
      <c r="G72" s="64">
        <v>52.95</v>
      </c>
      <c r="H72" s="64">
        <v>16.489999999999998</v>
      </c>
      <c r="I72" s="64">
        <v>4.32</v>
      </c>
      <c r="J72" s="64">
        <v>0.19</v>
      </c>
      <c r="K72" s="64">
        <v>281</v>
      </c>
      <c r="L72" s="64">
        <v>27.06</v>
      </c>
      <c r="M72" s="64">
        <v>84.62</v>
      </c>
      <c r="N72" s="64">
        <v>180.8</v>
      </c>
      <c r="O72" s="64">
        <v>0</v>
      </c>
      <c r="P72" s="64">
        <v>0.35</v>
      </c>
      <c r="Q72" s="64">
        <v>9.1300000000000008</v>
      </c>
      <c r="R72" s="198"/>
      <c r="S72" s="198"/>
      <c r="T72" s="198"/>
      <c r="U72" s="198"/>
    </row>
    <row r="73" spans="1:21" s="12" customFormat="1" x14ac:dyDescent="0.25">
      <c r="A73" s="211" t="s">
        <v>1461</v>
      </c>
      <c r="B73" s="64">
        <v>4.33</v>
      </c>
      <c r="C73" s="64">
        <v>13.75</v>
      </c>
      <c r="D73" s="64">
        <v>19.670000000000002</v>
      </c>
      <c r="E73" s="64">
        <v>4.42</v>
      </c>
      <c r="F73" s="64">
        <v>4.33</v>
      </c>
      <c r="G73" s="64">
        <v>48.93</v>
      </c>
      <c r="H73" s="64">
        <v>11.4</v>
      </c>
      <c r="I73" s="64">
        <v>3.92</v>
      </c>
      <c r="J73" s="64">
        <v>0.23</v>
      </c>
      <c r="K73" s="64">
        <v>274.39</v>
      </c>
      <c r="L73" s="64">
        <v>26.93</v>
      </c>
      <c r="M73" s="64">
        <v>84.96</v>
      </c>
      <c r="N73" s="64">
        <v>182.8</v>
      </c>
      <c r="O73" s="64">
        <v>0</v>
      </c>
      <c r="P73" s="64">
        <v>0.33</v>
      </c>
      <c r="Q73" s="64">
        <v>9.11</v>
      </c>
      <c r="R73" s="198"/>
      <c r="S73" s="198"/>
      <c r="T73" s="198"/>
      <c r="U73" s="198"/>
    </row>
    <row r="74" spans="1:21" s="12" customFormat="1" x14ac:dyDescent="0.25">
      <c r="A74" s="211" t="s">
        <v>1462</v>
      </c>
      <c r="B74" s="64">
        <v>5.13</v>
      </c>
      <c r="C74" s="64">
        <v>15.55</v>
      </c>
      <c r="D74" s="64">
        <v>21.88</v>
      </c>
      <c r="E74" s="64">
        <v>4.7</v>
      </c>
      <c r="F74" s="64">
        <v>4.78</v>
      </c>
      <c r="G74" s="64">
        <v>48.93</v>
      </c>
      <c r="H74" s="64">
        <v>11.4</v>
      </c>
      <c r="I74" s="64">
        <v>3.96</v>
      </c>
      <c r="J74" s="64">
        <v>0.16</v>
      </c>
      <c r="K74" s="64">
        <v>286.57</v>
      </c>
      <c r="L74" s="64">
        <v>27.27</v>
      </c>
      <c r="M74" s="64">
        <v>83.83</v>
      </c>
      <c r="N74" s="64">
        <v>194.9</v>
      </c>
      <c r="O74" s="64">
        <v>0</v>
      </c>
      <c r="P74" s="64">
        <v>0.34</v>
      </c>
      <c r="Q74" s="64">
        <v>9.1</v>
      </c>
      <c r="R74" s="198"/>
      <c r="S74" s="198"/>
      <c r="T74" s="198"/>
      <c r="U74" s="198"/>
    </row>
    <row r="75" spans="1:21" s="12" customFormat="1" x14ac:dyDescent="0.25">
      <c r="A75" s="211" t="s">
        <v>1463</v>
      </c>
      <c r="B75" s="64">
        <v>4.4000000000000004</v>
      </c>
      <c r="C75" s="64">
        <v>13.49</v>
      </c>
      <c r="D75" s="64">
        <v>19.079999999999998</v>
      </c>
      <c r="E75" s="64">
        <v>4.4800000000000004</v>
      </c>
      <c r="F75" s="64">
        <v>5.07</v>
      </c>
      <c r="G75" s="64">
        <v>48.93</v>
      </c>
      <c r="H75" s="64">
        <v>11.4</v>
      </c>
      <c r="I75" s="64">
        <v>4.0999999999999996</v>
      </c>
      <c r="J75" s="64">
        <v>0.13</v>
      </c>
      <c r="K75" s="64">
        <v>266.39</v>
      </c>
      <c r="L75" s="64">
        <v>27.24</v>
      </c>
      <c r="M75" s="64">
        <v>84.85</v>
      </c>
      <c r="N75" s="64">
        <v>216.9</v>
      </c>
      <c r="O75" s="64">
        <v>0</v>
      </c>
      <c r="P75" s="64">
        <v>0.34</v>
      </c>
      <c r="Q75" s="64">
        <v>9.09</v>
      </c>
      <c r="R75" s="198"/>
      <c r="S75" s="198"/>
      <c r="T75" s="198"/>
      <c r="U75" s="198"/>
    </row>
    <row r="76" spans="1:21" s="12" customFormat="1" x14ac:dyDescent="0.25">
      <c r="A76" s="211" t="s">
        <v>1464</v>
      </c>
      <c r="B76" s="64">
        <v>4.2300000000000004</v>
      </c>
      <c r="C76" s="64">
        <v>12.9</v>
      </c>
      <c r="D76" s="64">
        <v>18.2</v>
      </c>
      <c r="E76" s="64">
        <v>4.46</v>
      </c>
      <c r="F76" s="64">
        <v>3.66</v>
      </c>
      <c r="G76" s="64">
        <v>49.15</v>
      </c>
      <c r="H76" s="64">
        <v>11.62</v>
      </c>
      <c r="I76" s="64">
        <v>3.96</v>
      </c>
      <c r="J76" s="64">
        <v>0.17</v>
      </c>
      <c r="K76" s="64">
        <v>249.48</v>
      </c>
      <c r="L76" s="64">
        <v>27.04</v>
      </c>
      <c r="M76" s="64">
        <v>84.67</v>
      </c>
      <c r="N76" s="64">
        <v>190.3</v>
      </c>
      <c r="O76" s="64">
        <v>0</v>
      </c>
      <c r="P76" s="64">
        <v>0.32</v>
      </c>
      <c r="Q76" s="64">
        <v>9.07</v>
      </c>
      <c r="R76" s="198"/>
      <c r="S76" s="198"/>
      <c r="T76" s="198"/>
      <c r="U76" s="198"/>
    </row>
    <row r="77" spans="1:21" s="12" customFormat="1" x14ac:dyDescent="0.25">
      <c r="A77" s="211" t="s">
        <v>1465</v>
      </c>
      <c r="B77" s="64">
        <v>4.1100000000000003</v>
      </c>
      <c r="C77" s="64">
        <v>12.15</v>
      </c>
      <c r="D77" s="64">
        <v>16.940000000000001</v>
      </c>
      <c r="E77" s="64">
        <v>5.0199999999999996</v>
      </c>
      <c r="F77" s="64">
        <v>4.3</v>
      </c>
      <c r="G77" s="64">
        <v>49.75</v>
      </c>
      <c r="H77" s="64">
        <v>12.25</v>
      </c>
      <c r="I77" s="64">
        <v>3.93</v>
      </c>
      <c r="J77" s="64">
        <v>0.19</v>
      </c>
      <c r="K77" s="64">
        <v>300.49</v>
      </c>
      <c r="L77" s="64">
        <v>26.91</v>
      </c>
      <c r="M77" s="64">
        <v>85.73</v>
      </c>
      <c r="N77" s="64">
        <v>130.19999999999999</v>
      </c>
      <c r="O77" s="64">
        <v>0</v>
      </c>
      <c r="P77" s="64">
        <v>0.28999999999999998</v>
      </c>
      <c r="Q77" s="64">
        <v>9.06</v>
      </c>
      <c r="R77" s="198"/>
      <c r="S77" s="198"/>
      <c r="T77" s="198"/>
      <c r="U77" s="198"/>
    </row>
    <row r="78" spans="1:21" s="12" customFormat="1" x14ac:dyDescent="0.25">
      <c r="A78" s="211" t="s">
        <v>1466</v>
      </c>
      <c r="B78" s="64">
        <v>4.05</v>
      </c>
      <c r="C78" s="64">
        <v>11.97</v>
      </c>
      <c r="D78" s="64">
        <v>16.690000000000001</v>
      </c>
      <c r="E78" s="64">
        <v>4.3899999999999997</v>
      </c>
      <c r="F78" s="64">
        <v>5.04</v>
      </c>
      <c r="G78" s="64">
        <v>49.75</v>
      </c>
      <c r="H78" s="64">
        <v>12.25</v>
      </c>
      <c r="I78" s="64">
        <v>3.91</v>
      </c>
      <c r="J78" s="64">
        <v>0.19</v>
      </c>
      <c r="K78" s="64">
        <v>310.91000000000003</v>
      </c>
      <c r="L78" s="64">
        <v>26.77</v>
      </c>
      <c r="M78" s="64">
        <v>84.34</v>
      </c>
      <c r="N78" s="64">
        <v>104.7</v>
      </c>
      <c r="O78" s="64">
        <v>0</v>
      </c>
      <c r="P78" s="64">
        <v>0.31</v>
      </c>
      <c r="Q78" s="64">
        <v>9.0500000000000007</v>
      </c>
      <c r="R78" s="198"/>
      <c r="S78" s="198"/>
      <c r="T78" s="198"/>
      <c r="U78" s="198"/>
    </row>
    <row r="79" spans="1:21" s="12" customFormat="1" x14ac:dyDescent="0.25">
      <c r="A79" s="211" t="s">
        <v>1467</v>
      </c>
      <c r="B79" s="64">
        <v>4.1399999999999997</v>
      </c>
      <c r="C79" s="64">
        <v>12.3</v>
      </c>
      <c r="D79" s="64">
        <v>17.2</v>
      </c>
      <c r="E79" s="64">
        <v>5.21</v>
      </c>
      <c r="F79" s="64">
        <v>2.84</v>
      </c>
      <c r="G79" s="64">
        <v>49.75</v>
      </c>
      <c r="H79" s="64">
        <v>12.25</v>
      </c>
      <c r="I79" s="64">
        <v>4.08</v>
      </c>
      <c r="J79" s="64">
        <v>0.16</v>
      </c>
      <c r="K79" s="64">
        <v>329.15</v>
      </c>
      <c r="L79" s="64">
        <v>26.77</v>
      </c>
      <c r="M79" s="64">
        <v>83.79</v>
      </c>
      <c r="N79" s="64">
        <v>91.1</v>
      </c>
      <c r="O79" s="64">
        <v>0</v>
      </c>
      <c r="P79" s="64">
        <v>0.32</v>
      </c>
      <c r="Q79" s="64">
        <v>9.0399999999999991</v>
      </c>
      <c r="R79" s="198"/>
      <c r="S79" s="198"/>
      <c r="T79" s="198"/>
      <c r="U79" s="198"/>
    </row>
    <row r="80" spans="1:21" s="12" customFormat="1" x14ac:dyDescent="0.25">
      <c r="A80" s="211" t="s">
        <v>1468</v>
      </c>
      <c r="B80" s="64">
        <v>4.38</v>
      </c>
      <c r="C80" s="64">
        <v>12.64</v>
      </c>
      <c r="D80" s="64">
        <v>17.47</v>
      </c>
      <c r="E80" s="64">
        <v>4.4800000000000004</v>
      </c>
      <c r="F80" s="64">
        <v>4.1500000000000004</v>
      </c>
      <c r="G80" s="64">
        <v>50.82</v>
      </c>
      <c r="H80" s="64">
        <v>12.45</v>
      </c>
      <c r="I80" s="64">
        <v>4.01</v>
      </c>
      <c r="J80" s="64">
        <v>0.11</v>
      </c>
      <c r="K80" s="64">
        <v>325.61</v>
      </c>
      <c r="L80" s="64">
        <v>26.69</v>
      </c>
      <c r="M80" s="64">
        <v>84.66</v>
      </c>
      <c r="N80" s="64">
        <v>76.599999999999994</v>
      </c>
      <c r="O80" s="64">
        <v>0</v>
      </c>
      <c r="P80" s="64">
        <v>0.31</v>
      </c>
      <c r="Q80" s="64">
        <v>9.0299999999999994</v>
      </c>
      <c r="R80" s="198"/>
      <c r="S80" s="198"/>
      <c r="T80" s="198"/>
      <c r="U80" s="198"/>
    </row>
    <row r="81" spans="1:26" s="12" customFormat="1" x14ac:dyDescent="0.25">
      <c r="A81" s="211" t="s">
        <v>1469</v>
      </c>
      <c r="B81" s="64">
        <v>4.38</v>
      </c>
      <c r="C81" s="64">
        <v>12.58</v>
      </c>
      <c r="D81" s="64">
        <v>17.350000000000001</v>
      </c>
      <c r="E81" s="64">
        <v>4.8</v>
      </c>
      <c r="F81" s="64">
        <v>4.8600000000000003</v>
      </c>
      <c r="G81" s="64">
        <v>53.77</v>
      </c>
      <c r="H81" s="64">
        <v>13.02</v>
      </c>
      <c r="I81" s="64">
        <v>3.91</v>
      </c>
      <c r="J81" s="64">
        <v>0.08</v>
      </c>
      <c r="K81" s="64">
        <v>351.78</v>
      </c>
      <c r="L81" s="64">
        <v>26.48</v>
      </c>
      <c r="M81" s="64">
        <v>86.01</v>
      </c>
      <c r="N81" s="64">
        <v>65.2</v>
      </c>
      <c r="O81" s="64">
        <v>0</v>
      </c>
      <c r="P81" s="64">
        <v>0.32</v>
      </c>
      <c r="Q81" s="64">
        <v>9.0299999999999994</v>
      </c>
      <c r="R81" s="198"/>
      <c r="S81" s="198"/>
      <c r="T81" s="198"/>
      <c r="U81" s="198"/>
    </row>
    <row r="82" spans="1:26" s="12" customFormat="1" x14ac:dyDescent="0.25">
      <c r="A82" s="211" t="s">
        <v>1470</v>
      </c>
      <c r="B82" s="64">
        <v>4.5</v>
      </c>
      <c r="C82" s="64">
        <v>12.53</v>
      </c>
      <c r="D82" s="64">
        <v>17.079999999999998</v>
      </c>
      <c r="E82" s="64">
        <v>4.32</v>
      </c>
      <c r="F82" s="64">
        <v>3.21</v>
      </c>
      <c r="G82" s="64">
        <v>53.77</v>
      </c>
      <c r="H82" s="64">
        <v>13.02</v>
      </c>
      <c r="I82" s="64">
        <v>3.96</v>
      </c>
      <c r="J82" s="64">
        <v>0.1</v>
      </c>
      <c r="K82" s="64">
        <v>310.3</v>
      </c>
      <c r="L82" s="64">
        <v>26.35</v>
      </c>
      <c r="M82" s="64">
        <v>86.87</v>
      </c>
      <c r="N82" s="64">
        <v>57</v>
      </c>
      <c r="O82" s="64">
        <v>0</v>
      </c>
      <c r="P82" s="64">
        <v>0.32</v>
      </c>
      <c r="Q82" s="64">
        <v>9.0399999999999991</v>
      </c>
      <c r="R82" s="198"/>
      <c r="S82" s="198"/>
      <c r="T82" s="198"/>
      <c r="U82" s="198"/>
    </row>
    <row r="83" spans="1:26" s="12" customFormat="1" x14ac:dyDescent="0.25">
      <c r="A83" s="211" t="s">
        <v>1471</v>
      </c>
      <c r="B83" s="64">
        <v>5.79</v>
      </c>
      <c r="C83" s="64">
        <v>13.86</v>
      </c>
      <c r="D83" s="64">
        <v>17.63</v>
      </c>
      <c r="E83" s="64">
        <v>4.6100000000000003</v>
      </c>
      <c r="F83" s="64">
        <v>4.0599999999999996</v>
      </c>
      <c r="G83" s="64">
        <v>53.77</v>
      </c>
      <c r="H83" s="64">
        <v>13.02</v>
      </c>
      <c r="I83" s="64">
        <v>3.92</v>
      </c>
      <c r="J83" s="64">
        <v>0.09</v>
      </c>
      <c r="K83" s="64">
        <v>3.42</v>
      </c>
      <c r="L83" s="64">
        <v>26.3</v>
      </c>
      <c r="M83" s="64">
        <v>87.52</v>
      </c>
      <c r="N83" s="64">
        <v>50.2</v>
      </c>
      <c r="O83" s="64">
        <v>0</v>
      </c>
      <c r="P83" s="64">
        <v>0.32</v>
      </c>
      <c r="Q83" s="64">
        <v>9.0399999999999991</v>
      </c>
      <c r="R83" s="198"/>
      <c r="S83" s="198"/>
      <c r="T83" s="198"/>
      <c r="U83" s="198"/>
    </row>
    <row r="84" spans="1:26" s="12" customFormat="1" x14ac:dyDescent="0.25">
      <c r="A84" s="211" t="s">
        <v>1472</v>
      </c>
      <c r="B84" s="64">
        <v>5.71</v>
      </c>
      <c r="C84" s="64">
        <v>13.57</v>
      </c>
      <c r="D84" s="64">
        <v>17.22</v>
      </c>
      <c r="E84" s="64">
        <v>4.75</v>
      </c>
      <c r="F84" s="64">
        <v>5.67</v>
      </c>
      <c r="G84" s="64">
        <v>53.68</v>
      </c>
      <c r="H84" s="64">
        <v>14.23</v>
      </c>
      <c r="I84" s="64">
        <v>4.01</v>
      </c>
      <c r="J84" s="64">
        <v>0.11</v>
      </c>
      <c r="K84" s="64">
        <v>161.38</v>
      </c>
      <c r="L84" s="64">
        <v>26.12</v>
      </c>
      <c r="M84" s="64">
        <v>90.8</v>
      </c>
      <c r="N84" s="64">
        <v>48.7</v>
      </c>
      <c r="O84" s="64">
        <v>0</v>
      </c>
      <c r="P84" s="64">
        <v>0.34</v>
      </c>
      <c r="Q84" s="64">
        <v>9.0399999999999991</v>
      </c>
      <c r="R84" s="198"/>
      <c r="S84" s="198"/>
      <c r="T84" s="198"/>
      <c r="U84" s="198"/>
    </row>
    <row r="85" spans="1:26" s="12" customFormat="1" x14ac:dyDescent="0.25">
      <c r="A85" s="211" t="s">
        <v>1473</v>
      </c>
      <c r="B85" s="64">
        <v>6.6</v>
      </c>
      <c r="C85" s="64">
        <v>17.68</v>
      </c>
      <c r="D85" s="64">
        <v>23.71</v>
      </c>
      <c r="E85" s="64">
        <v>4.68</v>
      </c>
      <c r="F85" s="64">
        <v>7.47</v>
      </c>
      <c r="G85" s="64">
        <v>53.43</v>
      </c>
      <c r="H85" s="64">
        <v>17.54</v>
      </c>
      <c r="I85" s="64">
        <v>4.1399999999999997</v>
      </c>
      <c r="J85" s="64">
        <v>0.26</v>
      </c>
      <c r="K85" s="64">
        <v>148.47</v>
      </c>
      <c r="L85" s="64">
        <v>25.56</v>
      </c>
      <c r="M85" s="64">
        <v>96.46</v>
      </c>
      <c r="N85" s="64">
        <v>48.6</v>
      </c>
      <c r="O85" s="64">
        <v>0</v>
      </c>
      <c r="P85" s="64">
        <v>0.24</v>
      </c>
      <c r="Q85" s="64">
        <v>9.06</v>
      </c>
      <c r="R85" s="198"/>
      <c r="S85" s="198"/>
      <c r="T85" s="198"/>
      <c r="U85" s="198"/>
    </row>
    <row r="86" spans="1:26" s="12" customFormat="1" x14ac:dyDescent="0.25">
      <c r="A86" s="211" t="s">
        <v>1474</v>
      </c>
      <c r="B86" s="64">
        <v>6.34</v>
      </c>
      <c r="C86" s="64">
        <v>16.399999999999999</v>
      </c>
      <c r="D86" s="64">
        <v>21.66</v>
      </c>
      <c r="E86" s="64">
        <v>5.08</v>
      </c>
      <c r="F86" s="64">
        <v>7.43</v>
      </c>
      <c r="G86" s="64">
        <v>53.43</v>
      </c>
      <c r="H86" s="64">
        <v>17.54</v>
      </c>
      <c r="I86" s="64">
        <v>4</v>
      </c>
      <c r="J86" s="64">
        <v>0.22</v>
      </c>
      <c r="K86" s="64">
        <v>149.68</v>
      </c>
      <c r="L86" s="64">
        <v>25.18</v>
      </c>
      <c r="M86" s="64">
        <v>97.65</v>
      </c>
      <c r="N86" s="64">
        <v>48.2</v>
      </c>
      <c r="O86" s="64">
        <v>0</v>
      </c>
      <c r="P86" s="64">
        <v>0.27</v>
      </c>
      <c r="Q86" s="64">
        <v>9.08</v>
      </c>
      <c r="R86" s="198"/>
      <c r="S86" s="198"/>
      <c r="T86" s="198"/>
      <c r="U86" s="198"/>
    </row>
    <row r="87" spans="1:26" s="12" customFormat="1" x14ac:dyDescent="0.25">
      <c r="A87" s="211" t="s">
        <v>1475</v>
      </c>
      <c r="B87" s="64">
        <v>7.9</v>
      </c>
      <c r="C87" s="64">
        <v>18.420000000000002</v>
      </c>
      <c r="D87" s="64">
        <v>23.13</v>
      </c>
      <c r="E87" s="64">
        <v>4.47</v>
      </c>
      <c r="F87" s="64">
        <v>5.45</v>
      </c>
      <c r="G87" s="64">
        <v>53.43</v>
      </c>
      <c r="H87" s="64">
        <v>17.54</v>
      </c>
      <c r="I87" s="64">
        <v>4.05</v>
      </c>
      <c r="J87" s="64">
        <v>0.24</v>
      </c>
      <c r="K87" s="64">
        <v>138.54</v>
      </c>
      <c r="L87" s="64">
        <v>25.09</v>
      </c>
      <c r="M87" s="64">
        <v>97.66</v>
      </c>
      <c r="N87" s="64">
        <v>48</v>
      </c>
      <c r="O87" s="64">
        <v>0</v>
      </c>
      <c r="P87" s="64">
        <v>0.28999999999999998</v>
      </c>
      <c r="Q87" s="64">
        <v>9.1</v>
      </c>
      <c r="R87" s="198"/>
      <c r="S87" s="198"/>
      <c r="T87" s="198"/>
      <c r="U87" s="198"/>
    </row>
    <row r="88" spans="1:26" s="12" customFormat="1" x14ac:dyDescent="0.25">
      <c r="A88" s="211" t="s">
        <v>1476</v>
      </c>
      <c r="B88" s="64">
        <v>6.56</v>
      </c>
      <c r="C88" s="64">
        <v>15.7</v>
      </c>
      <c r="D88" s="64">
        <v>19.98</v>
      </c>
      <c r="E88" s="64">
        <v>4.74</v>
      </c>
      <c r="F88" s="64">
        <v>7.74</v>
      </c>
      <c r="G88" s="64">
        <v>53.55</v>
      </c>
      <c r="H88" s="64">
        <v>16.84</v>
      </c>
      <c r="I88" s="64">
        <v>4.09</v>
      </c>
      <c r="J88" s="64">
        <v>0.08</v>
      </c>
      <c r="K88" s="64">
        <v>179.78</v>
      </c>
      <c r="L88" s="64">
        <v>25.07</v>
      </c>
      <c r="M88" s="64">
        <v>97.44</v>
      </c>
      <c r="N88" s="64">
        <v>47.9</v>
      </c>
      <c r="O88" s="64">
        <v>0</v>
      </c>
      <c r="P88" s="64">
        <v>0.27</v>
      </c>
      <c r="Q88" s="64">
        <v>9.11</v>
      </c>
      <c r="R88" s="198"/>
      <c r="S88" s="198"/>
      <c r="T88" s="198"/>
      <c r="U88" s="198"/>
    </row>
    <row r="89" spans="1:26" s="12" customFormat="1" x14ac:dyDescent="0.25">
      <c r="A89" s="211" t="s">
        <v>1477</v>
      </c>
      <c r="B89" s="64">
        <v>6.64</v>
      </c>
      <c r="C89" s="64">
        <v>14.73</v>
      </c>
      <c r="D89" s="64">
        <v>18</v>
      </c>
      <c r="E89" s="64">
        <v>4.84</v>
      </c>
      <c r="F89" s="64">
        <v>5.82</v>
      </c>
      <c r="G89" s="64">
        <v>53.86</v>
      </c>
      <c r="H89" s="64">
        <v>14.9</v>
      </c>
      <c r="I89" s="64">
        <v>3.98</v>
      </c>
      <c r="J89" s="64">
        <v>0.06</v>
      </c>
      <c r="K89" s="64">
        <v>213.31</v>
      </c>
      <c r="L89" s="64">
        <v>25.05</v>
      </c>
      <c r="M89" s="64">
        <v>97.22</v>
      </c>
      <c r="N89" s="64">
        <v>47.9</v>
      </c>
      <c r="O89" s="64">
        <v>0</v>
      </c>
      <c r="P89" s="64">
        <v>0.28999999999999998</v>
      </c>
      <c r="Q89" s="64">
        <v>9.1300000000000008</v>
      </c>
      <c r="R89" s="198"/>
      <c r="S89" s="198"/>
      <c r="T89" s="198"/>
      <c r="U89" s="198"/>
    </row>
    <row r="90" spans="1:26" s="12" customFormat="1" x14ac:dyDescent="0.25">
      <c r="A90" s="211" t="s">
        <v>1478</v>
      </c>
      <c r="B90" s="64">
        <v>6.93</v>
      </c>
      <c r="C90" s="64">
        <v>15.6</v>
      </c>
      <c r="D90" s="64">
        <v>19.22</v>
      </c>
      <c r="E90" s="64">
        <v>5.22</v>
      </c>
      <c r="F90" s="64">
        <v>6.76</v>
      </c>
      <c r="G90" s="64">
        <v>53.86</v>
      </c>
      <c r="H90" s="64">
        <v>14.9</v>
      </c>
      <c r="I90" s="64">
        <v>3.98</v>
      </c>
      <c r="J90" s="64">
        <v>7.0000000000000007E-2</v>
      </c>
      <c r="K90" s="64">
        <v>188.94</v>
      </c>
      <c r="L90" s="64">
        <v>24.97</v>
      </c>
      <c r="M90" s="64">
        <v>97.41</v>
      </c>
      <c r="N90" s="64">
        <v>47.9</v>
      </c>
      <c r="O90" s="64">
        <v>0</v>
      </c>
      <c r="P90" s="64">
        <v>0.27</v>
      </c>
      <c r="Q90" s="64">
        <v>9.14</v>
      </c>
      <c r="R90" s="198"/>
      <c r="S90" s="198"/>
      <c r="T90" s="198"/>
      <c r="U90" s="198"/>
    </row>
    <row r="91" spans="1:26" s="12" customFormat="1" x14ac:dyDescent="0.25">
      <c r="A91" s="211" t="s">
        <v>1479</v>
      </c>
      <c r="B91" s="64">
        <v>7.16</v>
      </c>
      <c r="C91" s="64">
        <v>15.57</v>
      </c>
      <c r="D91" s="64">
        <v>18.82</v>
      </c>
      <c r="E91" s="64">
        <v>4.84</v>
      </c>
      <c r="F91" s="64">
        <v>5.52</v>
      </c>
      <c r="G91" s="64">
        <v>53.86</v>
      </c>
      <c r="H91" s="64">
        <v>14.9</v>
      </c>
      <c r="I91" s="64">
        <v>4.05</v>
      </c>
      <c r="J91" s="64">
        <v>0.08</v>
      </c>
      <c r="K91" s="64">
        <v>214.82</v>
      </c>
      <c r="L91" s="64">
        <v>24.87</v>
      </c>
      <c r="M91" s="64">
        <v>97.65</v>
      </c>
      <c r="N91" s="64">
        <v>47.9</v>
      </c>
      <c r="O91" s="64">
        <v>0</v>
      </c>
      <c r="P91" s="64">
        <v>0.28000000000000003</v>
      </c>
      <c r="Q91" s="64">
        <v>9.15</v>
      </c>
      <c r="R91" s="198"/>
      <c r="S91" s="198"/>
      <c r="T91" s="198"/>
      <c r="U91" s="198"/>
    </row>
    <row r="92" spans="1:26" s="12" customFormat="1" x14ac:dyDescent="0.25">
      <c r="A92" s="211" t="s">
        <v>1480</v>
      </c>
      <c r="B92" s="64">
        <v>7.31</v>
      </c>
      <c r="C92" s="64">
        <v>14.61</v>
      </c>
      <c r="D92" s="64">
        <v>16.75</v>
      </c>
      <c r="E92" s="64">
        <v>5.22</v>
      </c>
      <c r="F92" s="64">
        <v>4.53</v>
      </c>
      <c r="G92" s="64">
        <v>52.96</v>
      </c>
      <c r="H92" s="64">
        <v>13.71</v>
      </c>
      <c r="I92" s="64">
        <v>3.85</v>
      </c>
      <c r="J92" s="64">
        <v>0.14000000000000001</v>
      </c>
      <c r="K92" s="64">
        <v>197.63</v>
      </c>
      <c r="L92" s="64">
        <v>24.72</v>
      </c>
      <c r="M92" s="64">
        <v>97.68</v>
      </c>
      <c r="N92" s="64">
        <v>47.9</v>
      </c>
      <c r="O92" s="64">
        <v>0</v>
      </c>
      <c r="P92" s="64">
        <v>0.27</v>
      </c>
      <c r="Q92" s="64">
        <v>9.15</v>
      </c>
      <c r="R92" s="198"/>
      <c r="S92" s="198"/>
      <c r="T92" s="198"/>
      <c r="U92" s="198"/>
    </row>
    <row r="93" spans="1:26" s="12" customFormat="1" x14ac:dyDescent="0.25">
      <c r="A93" s="211" t="s">
        <v>1481</v>
      </c>
      <c r="B93" s="64">
        <v>7.91</v>
      </c>
      <c r="C93" s="64">
        <v>14.96</v>
      </c>
      <c r="D93" s="64">
        <v>16.510000000000002</v>
      </c>
      <c r="E93" s="64">
        <v>4.82</v>
      </c>
      <c r="F93" s="64">
        <v>4.09</v>
      </c>
      <c r="G93" s="64">
        <v>50.46</v>
      </c>
      <c r="H93" s="64">
        <v>10.45</v>
      </c>
      <c r="I93" s="64">
        <v>4.07</v>
      </c>
      <c r="J93" s="64">
        <v>0.15</v>
      </c>
      <c r="K93" s="64">
        <v>181.44</v>
      </c>
      <c r="L93" s="64">
        <v>24.64</v>
      </c>
      <c r="M93" s="64">
        <v>97.68</v>
      </c>
      <c r="N93" s="64">
        <v>47.9</v>
      </c>
      <c r="O93" s="64">
        <v>0</v>
      </c>
      <c r="P93" s="64">
        <v>0.28000000000000003</v>
      </c>
      <c r="Q93" s="64">
        <v>9.15</v>
      </c>
      <c r="R93" s="198"/>
      <c r="S93" s="198"/>
      <c r="T93" s="198"/>
      <c r="U93" s="198"/>
    </row>
    <row r="94" spans="1:26" s="12" customFormat="1" x14ac:dyDescent="0.25">
      <c r="A94" s="211" t="s">
        <v>1482</v>
      </c>
      <c r="B94" s="64">
        <v>7.99</v>
      </c>
      <c r="C94" s="64">
        <v>15.08</v>
      </c>
      <c r="D94" s="64">
        <v>16.59</v>
      </c>
      <c r="E94" s="64">
        <v>5.15</v>
      </c>
      <c r="F94" s="64">
        <v>3.35</v>
      </c>
      <c r="G94" s="64">
        <v>50.46</v>
      </c>
      <c r="H94" s="64">
        <v>10.45</v>
      </c>
      <c r="I94" s="64">
        <v>3.94</v>
      </c>
      <c r="J94" s="64">
        <v>0.08</v>
      </c>
      <c r="K94" s="64">
        <v>180.91</v>
      </c>
      <c r="L94" s="64">
        <v>24.53</v>
      </c>
      <c r="M94" s="64">
        <v>97.68</v>
      </c>
      <c r="N94" s="64">
        <v>48</v>
      </c>
      <c r="O94" s="64">
        <v>0</v>
      </c>
      <c r="P94" s="64">
        <v>0.26</v>
      </c>
      <c r="Q94" s="64">
        <v>9.15</v>
      </c>
      <c r="R94" s="198"/>
      <c r="S94" s="198"/>
      <c r="T94" s="198"/>
      <c r="U94" s="198"/>
    </row>
    <row r="95" spans="1:26" s="12" customFormat="1" x14ac:dyDescent="0.25">
      <c r="A95" s="211" t="s">
        <v>1483</v>
      </c>
      <c r="B95" s="64">
        <v>8.25</v>
      </c>
      <c r="C95" s="64">
        <v>14.94</v>
      </c>
      <c r="D95" s="64">
        <v>15.93</v>
      </c>
      <c r="E95" s="64">
        <v>4.95</v>
      </c>
      <c r="F95" s="64">
        <v>3.6</v>
      </c>
      <c r="G95" s="64">
        <v>50.46</v>
      </c>
      <c r="H95" s="64">
        <v>10.45</v>
      </c>
      <c r="I95" s="64">
        <v>3.99</v>
      </c>
      <c r="J95" s="64">
        <v>0.12</v>
      </c>
      <c r="K95" s="64">
        <v>164.62</v>
      </c>
      <c r="L95" s="64">
        <v>24.47</v>
      </c>
      <c r="M95" s="64">
        <v>97.73</v>
      </c>
      <c r="N95" s="64">
        <v>47.9</v>
      </c>
      <c r="O95" s="64">
        <v>0</v>
      </c>
      <c r="P95" s="64">
        <v>0.28000000000000003</v>
      </c>
      <c r="Q95" s="64">
        <v>9.14</v>
      </c>
      <c r="R95" s="198"/>
      <c r="S95" s="198"/>
      <c r="T95" s="198"/>
      <c r="U95" s="198"/>
    </row>
    <row r="96" spans="1:26" s="12" customFormat="1" x14ac:dyDescent="0.25">
      <c r="A96" s="211" t="s">
        <v>1484</v>
      </c>
      <c r="B96" s="64">
        <v>8.09</v>
      </c>
      <c r="C96" s="64">
        <v>14.88</v>
      </c>
      <c r="D96" s="64">
        <v>16.059999999999999</v>
      </c>
      <c r="E96" s="64">
        <v>4.95</v>
      </c>
      <c r="F96" s="64">
        <v>3.79</v>
      </c>
      <c r="G96" s="64">
        <v>48.56</v>
      </c>
      <c r="H96" s="64">
        <v>11</v>
      </c>
      <c r="I96" s="64">
        <v>4.0999999999999996</v>
      </c>
      <c r="J96" s="64">
        <v>0.3</v>
      </c>
      <c r="K96" s="64">
        <v>153.25</v>
      </c>
      <c r="L96" s="64">
        <v>24.44</v>
      </c>
      <c r="M96" s="64">
        <v>97.73</v>
      </c>
      <c r="N96" s="64">
        <v>47.9</v>
      </c>
      <c r="O96" s="64">
        <v>0</v>
      </c>
      <c r="P96" s="64">
        <v>0.26</v>
      </c>
      <c r="Q96" s="64">
        <v>9.14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1485</v>
      </c>
      <c r="B97" s="64">
        <v>8.35</v>
      </c>
      <c r="C97" s="64">
        <v>14.7</v>
      </c>
      <c r="D97" s="64">
        <v>15.32</v>
      </c>
      <c r="E97" s="64">
        <v>4.7699999999999996</v>
      </c>
      <c r="F97" s="64">
        <v>4.8499999999999996</v>
      </c>
      <c r="G97" s="64">
        <v>43.34</v>
      </c>
      <c r="H97" s="64">
        <v>12.52</v>
      </c>
      <c r="I97" s="64">
        <v>3.96</v>
      </c>
      <c r="J97" s="64">
        <v>0.17</v>
      </c>
      <c r="K97" s="64">
        <v>163.4</v>
      </c>
      <c r="L97" s="64">
        <v>24.45</v>
      </c>
      <c r="M97" s="64">
        <v>97.74</v>
      </c>
      <c r="N97" s="64">
        <v>47.9</v>
      </c>
      <c r="O97" s="64">
        <v>0</v>
      </c>
      <c r="P97" s="64">
        <v>0.27</v>
      </c>
      <c r="Q97" s="64">
        <v>9.15</v>
      </c>
      <c r="R97" s="198"/>
      <c r="S97" s="198"/>
      <c r="T97" s="198"/>
      <c r="U97" s="198"/>
    </row>
    <row r="98" spans="1:33" s="12" customFormat="1" x14ac:dyDescent="0.25">
      <c r="A98" s="211" t="s">
        <v>1486</v>
      </c>
      <c r="B98" s="64">
        <v>8.57</v>
      </c>
      <c r="C98" s="64">
        <v>15.31</v>
      </c>
      <c r="D98" s="64">
        <v>16.16</v>
      </c>
      <c r="E98" s="64">
        <v>5.13</v>
      </c>
      <c r="F98" s="64">
        <v>3.38</v>
      </c>
      <c r="G98" s="64">
        <v>43.34</v>
      </c>
      <c r="H98" s="64">
        <v>12.52</v>
      </c>
      <c r="I98" s="64">
        <v>4.08</v>
      </c>
      <c r="J98" s="64">
        <v>0.06</v>
      </c>
      <c r="K98" s="64">
        <v>216.48</v>
      </c>
      <c r="L98" s="64">
        <v>24.49</v>
      </c>
      <c r="M98" s="64">
        <v>97.74</v>
      </c>
      <c r="N98" s="64">
        <v>48</v>
      </c>
      <c r="O98" s="64">
        <v>0</v>
      </c>
      <c r="P98" s="64">
        <v>0.25</v>
      </c>
      <c r="Q98" s="64">
        <v>9.14</v>
      </c>
      <c r="R98" s="198"/>
      <c r="S98" s="198"/>
      <c r="T98" s="198"/>
      <c r="U98" s="198"/>
    </row>
    <row r="99" spans="1:33" s="12" customFormat="1" x14ac:dyDescent="0.25">
      <c r="A99" s="211" t="s">
        <v>1487</v>
      </c>
      <c r="B99" s="64">
        <v>8.73</v>
      </c>
      <c r="C99" s="64">
        <v>15.12</v>
      </c>
      <c r="D99" s="64">
        <v>15.54</v>
      </c>
      <c r="E99" s="64">
        <v>4.41</v>
      </c>
      <c r="F99" s="64">
        <v>3.95</v>
      </c>
      <c r="G99" s="64">
        <v>43.34</v>
      </c>
      <c r="H99" s="64">
        <v>12.52</v>
      </c>
      <c r="I99" s="64">
        <v>3.96</v>
      </c>
      <c r="J99" s="64">
        <v>0.09</v>
      </c>
      <c r="K99" s="64">
        <v>212.24</v>
      </c>
      <c r="L99" s="64">
        <v>24.5</v>
      </c>
      <c r="M99" s="64">
        <v>97.72</v>
      </c>
      <c r="N99" s="64">
        <v>48.2</v>
      </c>
      <c r="O99" s="64">
        <v>0</v>
      </c>
      <c r="P99" s="64">
        <v>0.25</v>
      </c>
      <c r="Q99" s="64">
        <v>9.16</v>
      </c>
      <c r="R99" s="198"/>
      <c r="S99" s="198"/>
      <c r="T99" s="198"/>
      <c r="U99" s="198"/>
    </row>
    <row r="100" spans="1:33" s="12" customFormat="1" x14ac:dyDescent="0.25">
      <c r="A100" s="211" t="s">
        <v>1488</v>
      </c>
      <c r="B100" s="64">
        <v>8.6999999999999993</v>
      </c>
      <c r="C100" s="64">
        <v>14.9</v>
      </c>
      <c r="D100" s="64">
        <v>15.15</v>
      </c>
      <c r="E100" s="64">
        <v>4.59</v>
      </c>
      <c r="F100" s="64">
        <v>3.49</v>
      </c>
      <c r="G100" s="64">
        <v>43</v>
      </c>
      <c r="H100" s="64">
        <v>12.54</v>
      </c>
      <c r="I100" s="64">
        <v>4.0999999999999996</v>
      </c>
      <c r="J100" s="64">
        <v>0.13</v>
      </c>
      <c r="K100" s="64">
        <v>187.5</v>
      </c>
      <c r="L100" s="64">
        <v>24.48</v>
      </c>
      <c r="M100" s="64">
        <v>97.73</v>
      </c>
      <c r="N100" s="64">
        <v>49.1</v>
      </c>
      <c r="O100" s="64">
        <v>0</v>
      </c>
      <c r="P100" s="64">
        <v>0.24</v>
      </c>
      <c r="Q100" s="64">
        <v>9.16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1489</v>
      </c>
      <c r="B101" s="64">
        <v>8.4</v>
      </c>
      <c r="C101" s="64">
        <v>14.68</v>
      </c>
      <c r="D101" s="64">
        <v>15.2</v>
      </c>
      <c r="E101" s="64">
        <v>4.96</v>
      </c>
      <c r="F101" s="64">
        <v>4.79</v>
      </c>
      <c r="G101" s="64">
        <v>42.13</v>
      </c>
      <c r="H101" s="64">
        <v>12.59</v>
      </c>
      <c r="I101" s="64">
        <v>3.92</v>
      </c>
      <c r="J101" s="64">
        <v>7.0000000000000007E-2</v>
      </c>
      <c r="K101" s="64">
        <v>211.77</v>
      </c>
      <c r="L101" s="64">
        <v>24.46</v>
      </c>
      <c r="M101" s="64">
        <v>97.72</v>
      </c>
      <c r="N101" s="64">
        <v>51.2</v>
      </c>
      <c r="O101" s="64">
        <v>0</v>
      </c>
      <c r="P101" s="64">
        <v>0.23</v>
      </c>
      <c r="Q101" s="64">
        <v>9.15</v>
      </c>
      <c r="R101" s="198"/>
      <c r="S101" s="198"/>
      <c r="T101" s="198"/>
      <c r="U101" s="198"/>
    </row>
    <row r="102" spans="1:33" s="12" customFormat="1" x14ac:dyDescent="0.25">
      <c r="A102" s="211" t="s">
        <v>1490</v>
      </c>
      <c r="B102" s="64">
        <v>8.76</v>
      </c>
      <c r="C102" s="64">
        <v>14.65</v>
      </c>
      <c r="D102" s="64">
        <v>14.6</v>
      </c>
      <c r="E102" s="64">
        <v>4.74</v>
      </c>
      <c r="F102" s="64">
        <v>4.08</v>
      </c>
      <c r="G102" s="64">
        <v>42.13</v>
      </c>
      <c r="H102" s="64">
        <v>12.59</v>
      </c>
      <c r="I102" s="64">
        <v>3.93</v>
      </c>
      <c r="J102" s="64">
        <v>0.01</v>
      </c>
      <c r="K102" s="64">
        <v>247.28</v>
      </c>
      <c r="L102" s="64">
        <v>24.45</v>
      </c>
      <c r="M102" s="64">
        <v>97.73</v>
      </c>
      <c r="N102" s="64">
        <v>51.6</v>
      </c>
      <c r="O102" s="64">
        <v>0</v>
      </c>
      <c r="P102" s="64">
        <v>0.25</v>
      </c>
      <c r="Q102" s="64">
        <v>9.14</v>
      </c>
      <c r="R102" s="198"/>
      <c r="S102" s="198"/>
      <c r="T102" s="198"/>
      <c r="U102" s="198"/>
    </row>
    <row r="103" spans="1:33" s="12" customFormat="1" x14ac:dyDescent="0.25">
      <c r="A103" s="211" t="s">
        <v>1491</v>
      </c>
      <c r="B103" s="64">
        <v>7.92</v>
      </c>
      <c r="C103" s="64">
        <v>13.77</v>
      </c>
      <c r="D103" s="64">
        <v>14.2</v>
      </c>
      <c r="E103" s="64">
        <v>4.67</v>
      </c>
      <c r="F103" s="64">
        <v>5.51</v>
      </c>
      <c r="G103" s="64">
        <v>42.13</v>
      </c>
      <c r="H103" s="64">
        <v>12.59</v>
      </c>
      <c r="I103" s="64">
        <v>4</v>
      </c>
      <c r="J103" s="64">
        <v>0.06</v>
      </c>
      <c r="K103" s="64">
        <v>307.11</v>
      </c>
      <c r="L103" s="64">
        <v>24.48</v>
      </c>
      <c r="M103" s="64">
        <v>97.73</v>
      </c>
      <c r="N103" s="64">
        <v>51.9</v>
      </c>
      <c r="O103" s="64">
        <v>0</v>
      </c>
      <c r="P103" s="64">
        <v>0.19</v>
      </c>
      <c r="Q103" s="64">
        <v>9.17</v>
      </c>
      <c r="R103" s="198"/>
      <c r="S103" s="198"/>
      <c r="T103" s="198"/>
      <c r="U103" s="198"/>
    </row>
    <row r="104" spans="1:33" s="12" customFormat="1" x14ac:dyDescent="0.25">
      <c r="A104" s="211" t="s">
        <v>1492</v>
      </c>
      <c r="B104" s="64">
        <v>7.49</v>
      </c>
      <c r="C104" s="64">
        <v>13.29</v>
      </c>
      <c r="D104" s="64">
        <v>13.95</v>
      </c>
      <c r="E104" s="64">
        <v>4.41</v>
      </c>
      <c r="F104" s="64">
        <v>6.33</v>
      </c>
      <c r="G104" s="64">
        <v>40.340000000000003</v>
      </c>
      <c r="H104" s="64">
        <v>12.78</v>
      </c>
      <c r="I104" s="64">
        <v>4.22</v>
      </c>
      <c r="J104" s="64">
        <v>7.0000000000000007E-2</v>
      </c>
      <c r="K104" s="64">
        <v>299.10000000000002</v>
      </c>
      <c r="L104" s="64">
        <v>24.44</v>
      </c>
      <c r="M104" s="64">
        <v>97.74</v>
      </c>
      <c r="N104" s="64">
        <v>52</v>
      </c>
      <c r="O104" s="64">
        <v>0</v>
      </c>
      <c r="P104" s="64">
        <v>0.2</v>
      </c>
      <c r="Q104" s="64">
        <v>9.18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3.88</v>
      </c>
      <c r="C106" s="67">
        <f>MIN(C9:C104)</f>
        <v>9.69</v>
      </c>
      <c r="D106" s="67">
        <f t="shared" ref="D106:Q106" si="0">MIN(D9:D104)</f>
        <v>12.48</v>
      </c>
      <c r="E106" s="67">
        <f t="shared" si="0"/>
        <v>4.28</v>
      </c>
      <c r="F106" s="67">
        <f t="shared" si="0"/>
        <v>2.75</v>
      </c>
      <c r="G106" s="67">
        <f t="shared" si="0"/>
        <v>17.940000000000001</v>
      </c>
      <c r="H106" s="67">
        <f t="shared" si="0"/>
        <v>0.64</v>
      </c>
      <c r="I106" s="67">
        <f t="shared" si="0"/>
        <v>3.76</v>
      </c>
      <c r="J106" s="67">
        <f t="shared" si="0"/>
        <v>0.01</v>
      </c>
      <c r="K106" s="67">
        <f t="shared" si="0"/>
        <v>3.42</v>
      </c>
      <c r="L106" s="67">
        <f t="shared" si="0"/>
        <v>23.14</v>
      </c>
      <c r="M106" s="67">
        <f t="shared" si="0"/>
        <v>82.18</v>
      </c>
      <c r="N106" s="67">
        <f t="shared" si="0"/>
        <v>47.9</v>
      </c>
      <c r="O106" s="67">
        <f t="shared" si="0"/>
        <v>0</v>
      </c>
      <c r="P106" s="67">
        <f t="shared" si="0"/>
        <v>0.15</v>
      </c>
      <c r="Q106" s="67">
        <f t="shared" si="0"/>
        <v>8.99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9.58</v>
      </c>
      <c r="C107" s="66">
        <f t="shared" ref="C107:Q107" si="1">MAX(C9:C104)</f>
        <v>18.62</v>
      </c>
      <c r="D107" s="66">
        <f t="shared" si="1"/>
        <v>23.71</v>
      </c>
      <c r="E107" s="66">
        <f t="shared" si="1"/>
        <v>5.45</v>
      </c>
      <c r="F107" s="66">
        <f t="shared" si="1"/>
        <v>7.74</v>
      </c>
      <c r="G107" s="66">
        <f t="shared" si="1"/>
        <v>54.42</v>
      </c>
      <c r="H107" s="66">
        <f t="shared" si="1"/>
        <v>19.09</v>
      </c>
      <c r="I107" s="66">
        <f t="shared" si="1"/>
        <v>4.32</v>
      </c>
      <c r="J107" s="66">
        <f t="shared" si="1"/>
        <v>0.41</v>
      </c>
      <c r="K107" s="66">
        <f t="shared" si="1"/>
        <v>351.78</v>
      </c>
      <c r="L107" s="66">
        <f t="shared" si="1"/>
        <v>27.34</v>
      </c>
      <c r="M107" s="66">
        <f t="shared" si="1"/>
        <v>98.79</v>
      </c>
      <c r="N107" s="66">
        <f t="shared" si="1"/>
        <v>387.3</v>
      </c>
      <c r="O107" s="66">
        <f t="shared" si="1"/>
        <v>0.2</v>
      </c>
      <c r="P107" s="66">
        <f t="shared" si="1"/>
        <v>0.43</v>
      </c>
      <c r="Q107" s="66">
        <f t="shared" si="1"/>
        <v>9.2100000000000009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6.0439583333333315</v>
      </c>
      <c r="C108" s="67">
        <f t="shared" ref="C108:Q108" si="2">AVERAGE(C9:C104)</f>
        <v>13.784270833333338</v>
      </c>
      <c r="D108" s="67">
        <f t="shared" si="2"/>
        <v>17.106562500000006</v>
      </c>
      <c r="E108" s="67">
        <f t="shared" si="2"/>
        <v>4.8408333333333315</v>
      </c>
      <c r="F108" s="67">
        <f t="shared" si="2"/>
        <v>4.2763541666666667</v>
      </c>
      <c r="G108" s="67">
        <f t="shared" si="2"/>
        <v>39.917187500000004</v>
      </c>
      <c r="H108" s="67">
        <f t="shared" si="2"/>
        <v>8.7290624999999995</v>
      </c>
      <c r="I108" s="67">
        <f t="shared" si="2"/>
        <v>3.9992708333333358</v>
      </c>
      <c r="J108" s="67">
        <f t="shared" si="2"/>
        <v>0.19781249999999992</v>
      </c>
      <c r="K108" s="67">
        <f t="shared" si="2"/>
        <v>267.4016666666667</v>
      </c>
      <c r="L108" s="67">
        <f t="shared" si="2"/>
        <v>24.988854166666655</v>
      </c>
      <c r="M108" s="67">
        <f t="shared" si="2"/>
        <v>93.974583333333314</v>
      </c>
      <c r="N108" s="67">
        <f t="shared" si="2"/>
        <v>107.0260416666667</v>
      </c>
      <c r="O108" s="67">
        <f t="shared" si="2"/>
        <v>4.1666666666666666E-3</v>
      </c>
      <c r="P108" s="67">
        <f t="shared" si="2"/>
        <v>0.27125000000000005</v>
      </c>
      <c r="Q108" s="67">
        <f t="shared" si="2"/>
        <v>9.087812499999993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1.5819691121920971</v>
      </c>
      <c r="C109" s="67">
        <f t="shared" ref="C109:Q109" si="3">STDEV(C9:C104)</f>
        <v>2.3639613251763949</v>
      </c>
      <c r="D109" s="67">
        <f t="shared" si="3"/>
        <v>2.9988253237506397</v>
      </c>
      <c r="E109" s="67">
        <f t="shared" si="3"/>
        <v>0.30254244301347433</v>
      </c>
      <c r="F109" s="67">
        <f t="shared" si="3"/>
        <v>1.0112588505023354</v>
      </c>
      <c r="G109" s="67">
        <f t="shared" si="3"/>
        <v>10.966915768814061</v>
      </c>
      <c r="H109" s="67">
        <f t="shared" si="3"/>
        <v>6.0076789594870306</v>
      </c>
      <c r="I109" s="67">
        <f t="shared" si="3"/>
        <v>9.6749756334975845E-2</v>
      </c>
      <c r="J109" s="67">
        <f t="shared" si="3"/>
        <v>8.5497960886733948E-2</v>
      </c>
      <c r="K109" s="67">
        <f t="shared" si="3"/>
        <v>53.739971219443824</v>
      </c>
      <c r="L109" s="67">
        <f t="shared" si="3"/>
        <v>1.2525526523583046</v>
      </c>
      <c r="M109" s="67">
        <f t="shared" si="3"/>
        <v>5.524190422547127</v>
      </c>
      <c r="N109" s="67">
        <f t="shared" si="3"/>
        <v>70.267420383308135</v>
      </c>
      <c r="O109" s="67">
        <f t="shared" si="3"/>
        <v>2.8715177232759195E-2</v>
      </c>
      <c r="P109" s="67">
        <f t="shared" si="3"/>
        <v>8.4769036054942667E-2</v>
      </c>
      <c r="Q109" s="67">
        <f t="shared" si="3"/>
        <v>5.7109371062531562E-2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COUNT(J9:J104)+2</f>
        <v>98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1301</v>
      </c>
      <c r="B9" s="64">
        <v>9.58</v>
      </c>
      <c r="C9" s="64">
        <v>16.100000000000001</v>
      </c>
      <c r="D9" s="64">
        <v>16.100000000000001</v>
      </c>
      <c r="E9" s="64">
        <v>4.2699999999999996</v>
      </c>
      <c r="F9" s="64">
        <v>6.9</v>
      </c>
      <c r="G9" s="64">
        <v>68.37</v>
      </c>
      <c r="H9" s="64">
        <v>5.98</v>
      </c>
      <c r="I9" s="64">
        <v>4.13</v>
      </c>
      <c r="J9" s="64">
        <v>0.09</v>
      </c>
      <c r="K9" s="64">
        <v>344.04</v>
      </c>
      <c r="L9" s="64">
        <v>25.6</v>
      </c>
      <c r="M9" s="64">
        <v>88.33</v>
      </c>
      <c r="N9" s="64">
        <v>54.7</v>
      </c>
      <c r="O9" s="64">
        <v>0</v>
      </c>
      <c r="P9" s="64">
        <v>0.37</v>
      </c>
      <c r="Q9" s="64">
        <v>9.39</v>
      </c>
      <c r="S9" s="198"/>
      <c r="T9" s="198"/>
      <c r="U9" s="198"/>
    </row>
    <row r="10" spans="1:21" s="12" customFormat="1" x14ac:dyDescent="0.25">
      <c r="A10" s="211" t="s">
        <v>1302</v>
      </c>
      <c r="B10" s="64">
        <v>9.6999999999999993</v>
      </c>
      <c r="C10" s="64">
        <v>15.93</v>
      </c>
      <c r="D10" s="64">
        <v>15.61</v>
      </c>
      <c r="E10" s="64">
        <v>4.1900000000000004</v>
      </c>
      <c r="F10" s="64">
        <v>7.13</v>
      </c>
      <c r="G10" s="64">
        <v>68.37</v>
      </c>
      <c r="H10" s="64">
        <v>5.98</v>
      </c>
      <c r="I10" s="64">
        <v>3.87</v>
      </c>
      <c r="J10" s="64">
        <v>0.06</v>
      </c>
      <c r="K10" s="64">
        <v>321.56</v>
      </c>
      <c r="L10" s="64">
        <v>25.5</v>
      </c>
      <c r="M10" s="64">
        <v>88.63</v>
      </c>
      <c r="N10" s="64">
        <v>54.6</v>
      </c>
      <c r="O10" s="64">
        <v>0</v>
      </c>
      <c r="P10" s="64">
        <v>0.3</v>
      </c>
      <c r="Q10" s="64">
        <v>9.36</v>
      </c>
      <c r="S10" s="198"/>
      <c r="T10" s="198"/>
      <c r="U10" s="198"/>
    </row>
    <row r="11" spans="1:21" s="12" customFormat="1" x14ac:dyDescent="0.25">
      <c r="A11" s="211" t="s">
        <v>1303</v>
      </c>
      <c r="B11" s="64">
        <v>10.24</v>
      </c>
      <c r="C11" s="64">
        <v>16.329999999999998</v>
      </c>
      <c r="D11" s="64">
        <v>15.55</v>
      </c>
      <c r="E11" s="64">
        <v>3.96</v>
      </c>
      <c r="F11" s="64">
        <v>5.5</v>
      </c>
      <c r="G11" s="64">
        <v>68.37</v>
      </c>
      <c r="H11" s="64">
        <v>5.98</v>
      </c>
      <c r="I11" s="64">
        <v>4.01</v>
      </c>
      <c r="J11" s="64">
        <v>0.1</v>
      </c>
      <c r="K11" s="64">
        <v>323.11</v>
      </c>
      <c r="L11" s="64">
        <v>25.42</v>
      </c>
      <c r="M11" s="64">
        <v>89.26</v>
      </c>
      <c r="N11" s="64">
        <v>54.6</v>
      </c>
      <c r="O11" s="64">
        <v>0</v>
      </c>
      <c r="P11" s="64">
        <v>0.34</v>
      </c>
      <c r="Q11" s="64">
        <v>9.36</v>
      </c>
      <c r="S11" s="198"/>
      <c r="T11" s="198"/>
      <c r="U11" s="198"/>
    </row>
    <row r="12" spans="1:21" s="12" customFormat="1" x14ac:dyDescent="0.25">
      <c r="A12" s="211" t="s">
        <v>1304</v>
      </c>
      <c r="B12" s="64">
        <v>11.22</v>
      </c>
      <c r="C12" s="64">
        <v>17.11</v>
      </c>
      <c r="D12" s="64">
        <v>15.52</v>
      </c>
      <c r="E12" s="64">
        <v>4.04</v>
      </c>
      <c r="F12" s="64">
        <v>4.83</v>
      </c>
      <c r="G12" s="64">
        <v>65.8</v>
      </c>
      <c r="H12" s="64">
        <v>7.59</v>
      </c>
      <c r="I12" s="64">
        <v>3.98</v>
      </c>
      <c r="J12" s="64">
        <v>0.03</v>
      </c>
      <c r="K12" s="64">
        <v>138.87</v>
      </c>
      <c r="L12" s="64">
        <v>25.27</v>
      </c>
      <c r="M12" s="64">
        <v>90.73</v>
      </c>
      <c r="N12" s="64">
        <v>54.6</v>
      </c>
      <c r="O12" s="64">
        <v>0</v>
      </c>
      <c r="P12" s="64">
        <v>0.37</v>
      </c>
      <c r="Q12" s="64">
        <v>9.32</v>
      </c>
      <c r="S12" s="198"/>
      <c r="T12" s="198"/>
      <c r="U12" s="198"/>
    </row>
    <row r="13" spans="1:21" s="12" customFormat="1" x14ac:dyDescent="0.25">
      <c r="A13" s="211" t="s">
        <v>1305</v>
      </c>
      <c r="B13" s="64">
        <v>8.8699999999999992</v>
      </c>
      <c r="C13" s="64">
        <v>15.26</v>
      </c>
      <c r="D13" s="64">
        <v>15.59</v>
      </c>
      <c r="E13" s="64">
        <v>4.2</v>
      </c>
      <c r="F13" s="64">
        <v>6.28</v>
      </c>
      <c r="G13" s="64">
        <v>58.7</v>
      </c>
      <c r="H13" s="64">
        <v>12</v>
      </c>
      <c r="I13" s="64">
        <v>3.93</v>
      </c>
      <c r="J13" s="64">
        <v>0.41</v>
      </c>
      <c r="K13" s="64">
        <v>145.27000000000001</v>
      </c>
      <c r="L13" s="64">
        <v>25.19</v>
      </c>
      <c r="M13" s="64">
        <v>92.03</v>
      </c>
      <c r="N13" s="64">
        <v>54.6</v>
      </c>
      <c r="O13" s="64">
        <v>0</v>
      </c>
      <c r="P13" s="64">
        <v>0.22</v>
      </c>
      <c r="Q13" s="64">
        <v>9.31</v>
      </c>
      <c r="S13" s="198"/>
      <c r="T13" s="198"/>
      <c r="U13" s="198"/>
    </row>
    <row r="14" spans="1:21" s="12" customFormat="1" x14ac:dyDescent="0.25">
      <c r="A14" s="211" t="s">
        <v>1306</v>
      </c>
      <c r="B14" s="64">
        <v>10.02</v>
      </c>
      <c r="C14" s="64">
        <v>15.72</v>
      </c>
      <c r="D14" s="64">
        <v>14.71</v>
      </c>
      <c r="E14" s="64">
        <v>3.96</v>
      </c>
      <c r="F14" s="64">
        <v>4.24</v>
      </c>
      <c r="G14" s="64">
        <v>58.7</v>
      </c>
      <c r="H14" s="64">
        <v>12</v>
      </c>
      <c r="I14" s="64">
        <v>4.0199999999999996</v>
      </c>
      <c r="J14" s="64">
        <v>0.11</v>
      </c>
      <c r="K14" s="64">
        <v>192.27</v>
      </c>
      <c r="L14" s="64">
        <v>25.05</v>
      </c>
      <c r="M14" s="64">
        <v>92.81</v>
      </c>
      <c r="N14" s="64">
        <v>54.6</v>
      </c>
      <c r="O14" s="64">
        <v>0</v>
      </c>
      <c r="P14" s="64">
        <v>0.34</v>
      </c>
      <c r="Q14" s="64">
        <v>9.2799999999999994</v>
      </c>
      <c r="S14" s="198"/>
      <c r="T14" s="198"/>
      <c r="U14" s="198"/>
    </row>
    <row r="15" spans="1:21" s="12" customFormat="1" x14ac:dyDescent="0.25">
      <c r="A15" s="211" t="s">
        <v>1307</v>
      </c>
      <c r="B15" s="64">
        <v>10.28</v>
      </c>
      <c r="C15" s="64">
        <v>15.99</v>
      </c>
      <c r="D15" s="64">
        <v>14.82</v>
      </c>
      <c r="E15" s="64">
        <v>4.08</v>
      </c>
      <c r="F15" s="64">
        <v>4.0999999999999996</v>
      </c>
      <c r="G15" s="64">
        <v>58.7</v>
      </c>
      <c r="H15" s="64">
        <v>12</v>
      </c>
      <c r="I15" s="64">
        <v>3.94</v>
      </c>
      <c r="J15" s="64">
        <v>0.11</v>
      </c>
      <c r="K15" s="64">
        <v>197.25</v>
      </c>
      <c r="L15" s="64">
        <v>24.99</v>
      </c>
      <c r="M15" s="64">
        <v>93.27</v>
      </c>
      <c r="N15" s="64">
        <v>54.6</v>
      </c>
      <c r="O15" s="64">
        <v>0</v>
      </c>
      <c r="P15" s="64">
        <v>0.28999999999999998</v>
      </c>
      <c r="Q15" s="64">
        <v>9.26</v>
      </c>
      <c r="S15" s="198"/>
      <c r="T15" s="198"/>
      <c r="U15" s="198"/>
    </row>
    <row r="16" spans="1:21" s="12" customFormat="1" x14ac:dyDescent="0.25">
      <c r="A16" s="211" t="s">
        <v>1308</v>
      </c>
      <c r="B16" s="64">
        <v>9.36</v>
      </c>
      <c r="C16" s="64">
        <v>14.87</v>
      </c>
      <c r="D16" s="64">
        <v>14.11</v>
      </c>
      <c r="E16" s="64">
        <v>3.94</v>
      </c>
      <c r="F16" s="64">
        <v>4.7699999999999996</v>
      </c>
      <c r="G16" s="64">
        <v>56.14</v>
      </c>
      <c r="H16" s="64">
        <v>12.29</v>
      </c>
      <c r="I16" s="64">
        <v>4.04</v>
      </c>
      <c r="J16" s="64">
        <v>0.12</v>
      </c>
      <c r="K16" s="64">
        <v>183.14</v>
      </c>
      <c r="L16" s="64">
        <v>24.81</v>
      </c>
      <c r="M16" s="64">
        <v>94.92</v>
      </c>
      <c r="N16" s="64">
        <v>54.7</v>
      </c>
      <c r="O16" s="64">
        <v>0</v>
      </c>
      <c r="P16" s="64">
        <v>0.27</v>
      </c>
      <c r="Q16" s="64">
        <v>9.26</v>
      </c>
      <c r="S16" s="198"/>
      <c r="T16" s="198"/>
      <c r="U16" s="198"/>
    </row>
    <row r="17" spans="1:21" s="12" customFormat="1" x14ac:dyDescent="0.25">
      <c r="A17" s="211" t="s">
        <v>1309</v>
      </c>
      <c r="B17" s="64">
        <v>10.14</v>
      </c>
      <c r="C17" s="64">
        <v>15.56</v>
      </c>
      <c r="D17" s="64">
        <v>14.2</v>
      </c>
      <c r="E17" s="64">
        <v>3.86</v>
      </c>
      <c r="F17" s="64">
        <v>4.37</v>
      </c>
      <c r="G17" s="64">
        <v>49.1</v>
      </c>
      <c r="H17" s="64">
        <v>13.07</v>
      </c>
      <c r="I17" s="64">
        <v>3.96</v>
      </c>
      <c r="J17" s="64">
        <v>0.05</v>
      </c>
      <c r="K17" s="64">
        <v>306.94</v>
      </c>
      <c r="L17" s="64">
        <v>24.77</v>
      </c>
      <c r="M17" s="64">
        <v>95.09</v>
      </c>
      <c r="N17" s="64">
        <v>54.6</v>
      </c>
      <c r="O17" s="64">
        <v>0</v>
      </c>
      <c r="P17" s="64">
        <v>0.3</v>
      </c>
      <c r="Q17" s="64">
        <v>9.23</v>
      </c>
      <c r="S17" s="198"/>
      <c r="T17" s="198"/>
      <c r="U17" s="198"/>
    </row>
    <row r="18" spans="1:21" s="12" customFormat="1" x14ac:dyDescent="0.25">
      <c r="A18" s="211" t="s">
        <v>1310</v>
      </c>
      <c r="B18" s="64">
        <v>8.41</v>
      </c>
      <c r="C18" s="64">
        <v>14.37</v>
      </c>
      <c r="D18" s="64">
        <v>14.59</v>
      </c>
      <c r="E18" s="64">
        <v>4.0599999999999996</v>
      </c>
      <c r="F18" s="64">
        <v>5.81</v>
      </c>
      <c r="G18" s="64">
        <v>49.1</v>
      </c>
      <c r="H18" s="64">
        <v>13.07</v>
      </c>
      <c r="I18" s="64">
        <v>3.94</v>
      </c>
      <c r="J18" s="64">
        <v>0.28999999999999998</v>
      </c>
      <c r="K18" s="64">
        <v>146.52000000000001</v>
      </c>
      <c r="L18" s="64">
        <v>24.74</v>
      </c>
      <c r="M18" s="64">
        <v>95.75</v>
      </c>
      <c r="N18" s="64">
        <v>54.7</v>
      </c>
      <c r="O18" s="64">
        <v>0</v>
      </c>
      <c r="P18" s="64">
        <v>0.21</v>
      </c>
      <c r="Q18" s="64">
        <v>9.23</v>
      </c>
      <c r="S18" s="198"/>
      <c r="T18" s="198"/>
      <c r="U18" s="198"/>
    </row>
    <row r="19" spans="1:21" s="12" customFormat="1" x14ac:dyDescent="0.25">
      <c r="A19" s="211" t="s">
        <v>1311</v>
      </c>
      <c r="B19" s="64">
        <v>9.2100000000000009</v>
      </c>
      <c r="C19" s="64">
        <v>14.73</v>
      </c>
      <c r="D19" s="64">
        <v>14.06</v>
      </c>
      <c r="E19" s="64">
        <v>3.91</v>
      </c>
      <c r="F19" s="64">
        <v>3.8</v>
      </c>
      <c r="G19" s="64">
        <v>49.1</v>
      </c>
      <c r="H19" s="64">
        <v>13.07</v>
      </c>
      <c r="I19" s="64">
        <v>4</v>
      </c>
      <c r="J19" s="64">
        <v>0.01</v>
      </c>
      <c r="K19" s="64">
        <v>245.68</v>
      </c>
      <c r="L19" s="64">
        <v>24.8</v>
      </c>
      <c r="M19" s="64">
        <v>94.77</v>
      </c>
      <c r="N19" s="64">
        <v>54.6</v>
      </c>
      <c r="O19" s="64">
        <v>0</v>
      </c>
      <c r="P19" s="64">
        <v>0.26</v>
      </c>
      <c r="Q19" s="64">
        <v>9.2100000000000009</v>
      </c>
      <c r="S19" s="198"/>
      <c r="T19" s="198"/>
      <c r="U19" s="198"/>
    </row>
    <row r="20" spans="1:21" s="12" customFormat="1" x14ac:dyDescent="0.25">
      <c r="A20" s="211" t="s">
        <v>1312</v>
      </c>
      <c r="B20" s="64">
        <v>8.9499999999999993</v>
      </c>
      <c r="C20" s="64">
        <v>14.5</v>
      </c>
      <c r="D20" s="64">
        <v>14.02</v>
      </c>
      <c r="E20" s="64">
        <v>3.92</v>
      </c>
      <c r="F20" s="64">
        <v>4.63</v>
      </c>
      <c r="G20" s="64">
        <v>47.03</v>
      </c>
      <c r="H20" s="64">
        <v>11.6</v>
      </c>
      <c r="I20" s="64">
        <v>4.08</v>
      </c>
      <c r="J20" s="64">
        <v>0.39</v>
      </c>
      <c r="K20" s="64">
        <v>149.13</v>
      </c>
      <c r="L20" s="64">
        <v>24.74</v>
      </c>
      <c r="M20" s="64">
        <v>95.33</v>
      </c>
      <c r="N20" s="64">
        <v>54.9</v>
      </c>
      <c r="O20" s="64">
        <v>0</v>
      </c>
      <c r="P20" s="64">
        <v>0.22</v>
      </c>
      <c r="Q20" s="64">
        <v>9.1999999999999993</v>
      </c>
      <c r="S20" s="198"/>
      <c r="T20" s="198"/>
      <c r="U20" s="198"/>
    </row>
    <row r="21" spans="1:21" s="12" customFormat="1" x14ac:dyDescent="0.25">
      <c r="A21" s="211" t="s">
        <v>1313</v>
      </c>
      <c r="B21" s="64">
        <v>8.68</v>
      </c>
      <c r="C21" s="64">
        <v>14.02</v>
      </c>
      <c r="D21" s="64">
        <v>13.51</v>
      </c>
      <c r="E21" s="64">
        <v>3.78</v>
      </c>
      <c r="F21" s="64">
        <v>5.01</v>
      </c>
      <c r="G21" s="64">
        <v>41.36</v>
      </c>
      <c r="H21" s="64">
        <v>7.54</v>
      </c>
      <c r="I21" s="64">
        <v>4.3</v>
      </c>
      <c r="J21" s="64">
        <v>0.25</v>
      </c>
      <c r="K21" s="64">
        <v>164.12</v>
      </c>
      <c r="L21" s="64">
        <v>24.59</v>
      </c>
      <c r="M21" s="64">
        <v>96.21</v>
      </c>
      <c r="N21" s="64">
        <v>54.7</v>
      </c>
      <c r="O21" s="64">
        <v>0</v>
      </c>
      <c r="P21" s="64">
        <v>0.22</v>
      </c>
      <c r="Q21" s="64">
        <v>9.1999999999999993</v>
      </c>
      <c r="S21" s="198"/>
      <c r="T21" s="198"/>
      <c r="U21" s="198"/>
    </row>
    <row r="22" spans="1:21" s="12" customFormat="1" x14ac:dyDescent="0.25">
      <c r="A22" s="211" t="s">
        <v>1314</v>
      </c>
      <c r="B22" s="64">
        <v>7.45</v>
      </c>
      <c r="C22" s="64">
        <v>12.93</v>
      </c>
      <c r="D22" s="64">
        <v>13.31</v>
      </c>
      <c r="E22" s="64">
        <v>4.1100000000000003</v>
      </c>
      <c r="F22" s="64">
        <v>7.85</v>
      </c>
      <c r="G22" s="64">
        <v>41.36</v>
      </c>
      <c r="H22" s="64">
        <v>7.54</v>
      </c>
      <c r="I22" s="64">
        <v>4.03</v>
      </c>
      <c r="J22" s="64">
        <v>0.34</v>
      </c>
      <c r="K22" s="64">
        <v>140.05000000000001</v>
      </c>
      <c r="L22" s="64">
        <v>24.5</v>
      </c>
      <c r="M22" s="64">
        <v>97.1</v>
      </c>
      <c r="N22" s="64">
        <v>54.7</v>
      </c>
      <c r="O22" s="64">
        <v>0</v>
      </c>
      <c r="P22" s="64">
        <v>0.17</v>
      </c>
      <c r="Q22" s="64">
        <v>9.2200000000000006</v>
      </c>
      <c r="S22" s="198"/>
      <c r="T22" s="198"/>
      <c r="U22" s="198"/>
    </row>
    <row r="23" spans="1:21" s="12" customFormat="1" x14ac:dyDescent="0.25">
      <c r="A23" s="211" t="s">
        <v>1315</v>
      </c>
      <c r="B23" s="64">
        <v>7.06</v>
      </c>
      <c r="C23" s="64">
        <v>12.4</v>
      </c>
      <c r="D23" s="64">
        <v>12.9</v>
      </c>
      <c r="E23" s="64">
        <v>3.99</v>
      </c>
      <c r="F23" s="64">
        <v>6.59</v>
      </c>
      <c r="G23" s="64">
        <v>41.36</v>
      </c>
      <c r="H23" s="64">
        <v>7.54</v>
      </c>
      <c r="I23" s="64">
        <v>4.03</v>
      </c>
      <c r="J23" s="64">
        <v>0.15</v>
      </c>
      <c r="K23" s="64">
        <v>168.56</v>
      </c>
      <c r="L23" s="64">
        <v>24.45</v>
      </c>
      <c r="M23" s="64">
        <v>97.03</v>
      </c>
      <c r="N23" s="64">
        <v>54.6</v>
      </c>
      <c r="O23" s="64">
        <v>0</v>
      </c>
      <c r="P23" s="64">
        <v>0.16</v>
      </c>
      <c r="Q23" s="64">
        <v>9.23</v>
      </c>
      <c r="S23" s="198"/>
      <c r="T23" s="198"/>
      <c r="U23" s="198"/>
    </row>
    <row r="24" spans="1:21" s="12" customFormat="1" x14ac:dyDescent="0.25">
      <c r="A24" s="211" t="s">
        <v>1316</v>
      </c>
      <c r="B24" s="64">
        <v>7.37</v>
      </c>
      <c r="C24" s="64">
        <v>12.92</v>
      </c>
      <c r="D24" s="64">
        <v>13.4</v>
      </c>
      <c r="E24" s="64">
        <v>4.05</v>
      </c>
      <c r="F24" s="64">
        <v>6.9</v>
      </c>
      <c r="G24" s="64">
        <v>39.51</v>
      </c>
      <c r="H24" s="64">
        <v>6.21</v>
      </c>
      <c r="I24" s="64">
        <v>3.92</v>
      </c>
      <c r="J24" s="64">
        <v>0.12</v>
      </c>
      <c r="K24" s="64">
        <v>154.12</v>
      </c>
      <c r="L24" s="64">
        <v>24.43</v>
      </c>
      <c r="M24" s="64">
        <v>97.21</v>
      </c>
      <c r="N24" s="64">
        <v>54.6</v>
      </c>
      <c r="O24" s="64">
        <v>0</v>
      </c>
      <c r="P24" s="64">
        <v>0.17</v>
      </c>
      <c r="Q24" s="64">
        <v>9.23</v>
      </c>
      <c r="S24" s="198"/>
      <c r="T24" s="198"/>
      <c r="U24" s="198"/>
    </row>
    <row r="25" spans="1:21" s="12" customFormat="1" x14ac:dyDescent="0.25">
      <c r="A25" s="211" t="s">
        <v>1317</v>
      </c>
      <c r="B25" s="64">
        <v>7.85</v>
      </c>
      <c r="C25" s="64">
        <v>13.35</v>
      </c>
      <c r="D25" s="64">
        <v>13.5</v>
      </c>
      <c r="E25" s="64">
        <v>4.1100000000000003</v>
      </c>
      <c r="F25" s="64">
        <v>6.39</v>
      </c>
      <c r="G25" s="64">
        <v>34.42</v>
      </c>
      <c r="H25" s="64">
        <v>2.5499999999999998</v>
      </c>
      <c r="I25" s="64">
        <v>3.92</v>
      </c>
      <c r="J25" s="64">
        <v>0.22</v>
      </c>
      <c r="K25" s="64">
        <v>169.79</v>
      </c>
      <c r="L25" s="64">
        <v>24.28</v>
      </c>
      <c r="M25" s="64">
        <v>98.22</v>
      </c>
      <c r="N25" s="64">
        <v>54.6</v>
      </c>
      <c r="O25" s="64">
        <v>0</v>
      </c>
      <c r="P25" s="64">
        <v>0.17</v>
      </c>
      <c r="Q25" s="64">
        <v>9.24</v>
      </c>
      <c r="S25" s="198"/>
      <c r="T25" s="198"/>
      <c r="U25" s="198"/>
    </row>
    <row r="26" spans="1:21" s="12" customFormat="1" x14ac:dyDescent="0.25">
      <c r="A26" s="211" t="s">
        <v>1318</v>
      </c>
      <c r="B26" s="64">
        <v>8.3699999999999992</v>
      </c>
      <c r="C26" s="64">
        <v>14</v>
      </c>
      <c r="D26" s="64">
        <v>13.95</v>
      </c>
      <c r="E26" s="64">
        <v>4.21</v>
      </c>
      <c r="F26" s="64">
        <v>5.84</v>
      </c>
      <c r="G26" s="64">
        <v>34.42</v>
      </c>
      <c r="H26" s="64">
        <v>2.5499999999999998</v>
      </c>
      <c r="I26" s="64">
        <v>3.87</v>
      </c>
      <c r="J26" s="64">
        <v>0.14000000000000001</v>
      </c>
      <c r="K26" s="64">
        <v>193.46</v>
      </c>
      <c r="L26" s="64">
        <v>24.26</v>
      </c>
      <c r="M26" s="64">
        <v>98.23</v>
      </c>
      <c r="N26" s="64">
        <v>54.6</v>
      </c>
      <c r="O26" s="64">
        <v>0</v>
      </c>
      <c r="P26" s="64">
        <v>0.18</v>
      </c>
      <c r="Q26" s="64">
        <v>9.25</v>
      </c>
      <c r="S26" s="198"/>
      <c r="T26" s="198"/>
      <c r="U26" s="198"/>
    </row>
    <row r="27" spans="1:21" s="12" customFormat="1" x14ac:dyDescent="0.25">
      <c r="A27" s="211" t="s">
        <v>1319</v>
      </c>
      <c r="B27" s="64">
        <v>8.4700000000000006</v>
      </c>
      <c r="C27" s="64">
        <v>13.82</v>
      </c>
      <c r="D27" s="64">
        <v>13.46</v>
      </c>
      <c r="E27" s="64">
        <v>4.01</v>
      </c>
      <c r="F27" s="64">
        <v>5.79</v>
      </c>
      <c r="G27" s="64">
        <v>34.42</v>
      </c>
      <c r="H27" s="64">
        <v>2.5499999999999998</v>
      </c>
      <c r="I27" s="64">
        <v>4.03</v>
      </c>
      <c r="J27" s="64">
        <v>0.12</v>
      </c>
      <c r="K27" s="64">
        <v>283.60000000000002</v>
      </c>
      <c r="L27" s="64">
        <v>24.27</v>
      </c>
      <c r="M27" s="64">
        <v>98.15</v>
      </c>
      <c r="N27" s="64">
        <v>54.4</v>
      </c>
      <c r="O27" s="64">
        <v>0</v>
      </c>
      <c r="P27" s="64">
        <v>0.19</v>
      </c>
      <c r="Q27" s="64">
        <v>9.25</v>
      </c>
      <c r="S27" s="198"/>
      <c r="T27" s="198"/>
      <c r="U27" s="198"/>
    </row>
    <row r="28" spans="1:21" s="12" customFormat="1" x14ac:dyDescent="0.25">
      <c r="A28" s="211" t="s">
        <v>1320</v>
      </c>
      <c r="B28" s="64">
        <v>9.26</v>
      </c>
      <c r="C28" s="64">
        <v>14.51</v>
      </c>
      <c r="D28" s="64">
        <v>13.57</v>
      </c>
      <c r="E28" s="64">
        <v>4.08</v>
      </c>
      <c r="F28" s="64">
        <v>4.09</v>
      </c>
      <c r="G28" s="64">
        <v>33.299999999999997</v>
      </c>
      <c r="H28" s="64">
        <v>4.6100000000000003</v>
      </c>
      <c r="I28" s="64">
        <v>4.0999999999999996</v>
      </c>
      <c r="J28" s="64">
        <v>0.14000000000000001</v>
      </c>
      <c r="K28" s="64">
        <v>291.07</v>
      </c>
      <c r="L28" s="64">
        <v>24.4</v>
      </c>
      <c r="M28" s="64">
        <v>96.99</v>
      </c>
      <c r="N28" s="64">
        <v>54.4</v>
      </c>
      <c r="O28" s="64">
        <v>0</v>
      </c>
      <c r="P28" s="64">
        <v>0.21</v>
      </c>
      <c r="Q28" s="64">
        <v>9.25</v>
      </c>
      <c r="S28" s="198"/>
      <c r="T28" s="198"/>
      <c r="U28" s="198"/>
    </row>
    <row r="29" spans="1:21" s="12" customFormat="1" x14ac:dyDescent="0.25">
      <c r="A29" s="211" t="s">
        <v>1321</v>
      </c>
      <c r="B29" s="64">
        <v>10.11</v>
      </c>
      <c r="C29" s="64">
        <v>15.42</v>
      </c>
      <c r="D29" s="64">
        <v>13.99</v>
      </c>
      <c r="E29" s="64">
        <v>4.25</v>
      </c>
      <c r="F29" s="64">
        <v>4.0999999999999996</v>
      </c>
      <c r="G29" s="64">
        <v>30.22</v>
      </c>
      <c r="H29" s="64">
        <v>10.27</v>
      </c>
      <c r="I29" s="64">
        <v>4.12</v>
      </c>
      <c r="J29" s="64">
        <v>0.15</v>
      </c>
      <c r="K29" s="64">
        <v>290.56</v>
      </c>
      <c r="L29" s="64">
        <v>24.47</v>
      </c>
      <c r="M29" s="64">
        <v>96.21</v>
      </c>
      <c r="N29" s="64">
        <v>54.7</v>
      </c>
      <c r="O29" s="64">
        <v>0</v>
      </c>
      <c r="P29" s="64">
        <v>0.21</v>
      </c>
      <c r="Q29" s="64">
        <v>9.24</v>
      </c>
      <c r="S29" s="198"/>
      <c r="T29" s="198"/>
      <c r="U29" s="198"/>
    </row>
    <row r="30" spans="1:21" s="12" customFormat="1" x14ac:dyDescent="0.25">
      <c r="A30" s="211" t="s">
        <v>1322</v>
      </c>
      <c r="B30" s="64">
        <v>10.43</v>
      </c>
      <c r="C30" s="64">
        <v>16.2</v>
      </c>
      <c r="D30" s="64">
        <v>15</v>
      </c>
      <c r="E30" s="64">
        <v>4.29</v>
      </c>
      <c r="F30" s="64">
        <v>3.54</v>
      </c>
      <c r="G30" s="64">
        <v>30.22</v>
      </c>
      <c r="H30" s="64">
        <v>10.27</v>
      </c>
      <c r="I30" s="64">
        <v>3.99</v>
      </c>
      <c r="J30" s="64">
        <v>0.13</v>
      </c>
      <c r="K30" s="64">
        <v>292.01</v>
      </c>
      <c r="L30" s="64">
        <v>24.5</v>
      </c>
      <c r="M30" s="64">
        <v>95.98</v>
      </c>
      <c r="N30" s="64">
        <v>55.9</v>
      </c>
      <c r="O30" s="64">
        <v>0</v>
      </c>
      <c r="P30" s="64">
        <v>0.21</v>
      </c>
      <c r="Q30" s="64">
        <v>9.2100000000000009</v>
      </c>
      <c r="S30" s="198"/>
      <c r="T30" s="198"/>
      <c r="U30" s="198"/>
    </row>
    <row r="31" spans="1:21" s="12" customFormat="1" x14ac:dyDescent="0.25">
      <c r="A31" s="211" t="s">
        <v>1323</v>
      </c>
      <c r="B31" s="64">
        <v>10.3</v>
      </c>
      <c r="C31" s="64">
        <v>16.309999999999999</v>
      </c>
      <c r="D31" s="64">
        <v>15.42</v>
      </c>
      <c r="E31" s="64">
        <v>4.16</v>
      </c>
      <c r="F31" s="64">
        <v>3.4</v>
      </c>
      <c r="G31" s="64">
        <v>30.22</v>
      </c>
      <c r="H31" s="64">
        <v>10.27</v>
      </c>
      <c r="I31" s="64">
        <v>4.05</v>
      </c>
      <c r="J31" s="64">
        <v>0.18</v>
      </c>
      <c r="K31" s="64">
        <v>280.72000000000003</v>
      </c>
      <c r="L31" s="64">
        <v>24.6</v>
      </c>
      <c r="M31" s="64">
        <v>95.18</v>
      </c>
      <c r="N31" s="64">
        <v>61.6</v>
      </c>
      <c r="O31" s="64">
        <v>0</v>
      </c>
      <c r="P31" s="64">
        <v>0.2</v>
      </c>
      <c r="Q31" s="64">
        <v>9.1999999999999993</v>
      </c>
      <c r="S31" s="198"/>
      <c r="T31" s="198"/>
      <c r="U31" s="198"/>
    </row>
    <row r="32" spans="1:21" s="12" customFormat="1" x14ac:dyDescent="0.25">
      <c r="A32" s="211" t="s">
        <v>1324</v>
      </c>
      <c r="B32" s="64">
        <v>10.17</v>
      </c>
      <c r="C32" s="64">
        <v>16.29</v>
      </c>
      <c r="D32" s="64">
        <v>15.58</v>
      </c>
      <c r="E32" s="64">
        <v>4.13</v>
      </c>
      <c r="F32" s="64">
        <v>3.06</v>
      </c>
      <c r="G32" s="64">
        <v>30.36</v>
      </c>
      <c r="H32" s="64">
        <v>8.98</v>
      </c>
      <c r="I32" s="64">
        <v>3.98</v>
      </c>
      <c r="J32" s="64">
        <v>0.15</v>
      </c>
      <c r="K32" s="64">
        <v>306.77</v>
      </c>
      <c r="L32" s="64">
        <v>24.67</v>
      </c>
      <c r="M32" s="64">
        <v>93.99</v>
      </c>
      <c r="N32" s="64">
        <v>68.599999999999994</v>
      </c>
      <c r="O32" s="64">
        <v>0</v>
      </c>
      <c r="P32" s="64">
        <v>0.21</v>
      </c>
      <c r="Q32" s="64">
        <v>9.19</v>
      </c>
      <c r="S32" s="198"/>
      <c r="T32" s="198"/>
      <c r="U32" s="198"/>
    </row>
    <row r="33" spans="1:21" s="12" customFormat="1" x14ac:dyDescent="0.25">
      <c r="A33" s="211" t="s">
        <v>1325</v>
      </c>
      <c r="B33" s="64">
        <v>9.9499999999999993</v>
      </c>
      <c r="C33" s="64">
        <v>16.100000000000001</v>
      </c>
      <c r="D33" s="64">
        <v>15.55</v>
      </c>
      <c r="E33" s="64">
        <v>4.0599999999999996</v>
      </c>
      <c r="F33" s="64">
        <v>3.18</v>
      </c>
      <c r="G33" s="64">
        <v>30.74</v>
      </c>
      <c r="H33" s="64">
        <v>5.45</v>
      </c>
      <c r="I33" s="64">
        <v>3.95</v>
      </c>
      <c r="J33" s="64">
        <v>0.18</v>
      </c>
      <c r="K33" s="64">
        <v>294.8</v>
      </c>
      <c r="L33" s="64">
        <v>24.79</v>
      </c>
      <c r="M33" s="64">
        <v>92.3</v>
      </c>
      <c r="N33" s="64">
        <v>82.2</v>
      </c>
      <c r="O33" s="64">
        <v>0</v>
      </c>
      <c r="P33" s="64">
        <v>0.19</v>
      </c>
      <c r="Q33" s="64">
        <v>9.19</v>
      </c>
      <c r="S33" s="198"/>
      <c r="T33" s="198"/>
      <c r="U33" s="198"/>
    </row>
    <row r="34" spans="1:21" s="12" customFormat="1" x14ac:dyDescent="0.25">
      <c r="A34" s="211" t="s">
        <v>1326</v>
      </c>
      <c r="B34" s="64">
        <v>9.6999999999999993</v>
      </c>
      <c r="C34" s="64">
        <v>15.89</v>
      </c>
      <c r="D34" s="64">
        <v>15.53</v>
      </c>
      <c r="E34" s="64">
        <v>3.93</v>
      </c>
      <c r="F34" s="64">
        <v>4.2</v>
      </c>
      <c r="G34" s="64">
        <v>30.74</v>
      </c>
      <c r="H34" s="64">
        <v>5.45</v>
      </c>
      <c r="I34" s="64">
        <v>3.99</v>
      </c>
      <c r="J34" s="64">
        <v>0.19</v>
      </c>
      <c r="K34" s="64">
        <v>282.07</v>
      </c>
      <c r="L34" s="64">
        <v>24.95</v>
      </c>
      <c r="M34" s="64">
        <v>90.41</v>
      </c>
      <c r="N34" s="64">
        <v>97</v>
      </c>
      <c r="O34" s="64">
        <v>0</v>
      </c>
      <c r="P34" s="64">
        <v>0.2</v>
      </c>
      <c r="Q34" s="64">
        <v>9.18</v>
      </c>
      <c r="S34" s="198"/>
      <c r="T34" s="198"/>
      <c r="U34" s="198"/>
    </row>
    <row r="35" spans="1:21" s="12" customFormat="1" x14ac:dyDescent="0.25">
      <c r="A35" s="211" t="s">
        <v>1327</v>
      </c>
      <c r="B35" s="64">
        <v>9.3000000000000007</v>
      </c>
      <c r="C35" s="64">
        <v>16</v>
      </c>
      <c r="D35" s="64">
        <v>16.34</v>
      </c>
      <c r="E35" s="64">
        <v>3.97</v>
      </c>
      <c r="F35" s="64">
        <v>3.13</v>
      </c>
      <c r="G35" s="64">
        <v>30.74</v>
      </c>
      <c r="H35" s="64">
        <v>5.45</v>
      </c>
      <c r="I35" s="64">
        <v>4.09</v>
      </c>
      <c r="J35" s="64">
        <v>0.19</v>
      </c>
      <c r="K35" s="64">
        <v>299.14</v>
      </c>
      <c r="L35" s="64">
        <v>24.97</v>
      </c>
      <c r="M35" s="64">
        <v>89.14</v>
      </c>
      <c r="N35" s="64">
        <v>99.8</v>
      </c>
      <c r="O35" s="64">
        <v>0</v>
      </c>
      <c r="P35" s="64">
        <v>0.19</v>
      </c>
      <c r="Q35" s="64">
        <v>9.17</v>
      </c>
      <c r="S35" s="198"/>
      <c r="T35" s="198"/>
      <c r="U35" s="198"/>
    </row>
    <row r="36" spans="1:21" s="12" customFormat="1" x14ac:dyDescent="0.25">
      <c r="A36" s="211" t="s">
        <v>1328</v>
      </c>
      <c r="B36" s="64">
        <v>9.01</v>
      </c>
      <c r="C36" s="64">
        <v>15.78</v>
      </c>
      <c r="D36" s="64">
        <v>16.37</v>
      </c>
      <c r="E36" s="64">
        <v>3.96</v>
      </c>
      <c r="F36" s="64">
        <v>3.84</v>
      </c>
      <c r="G36" s="64">
        <v>31.5</v>
      </c>
      <c r="H36" s="64">
        <v>6.55</v>
      </c>
      <c r="I36" s="64">
        <v>3.97</v>
      </c>
      <c r="J36" s="64">
        <v>0.23</v>
      </c>
      <c r="K36" s="64">
        <v>287.01</v>
      </c>
      <c r="L36" s="64">
        <v>25.08</v>
      </c>
      <c r="M36" s="64">
        <v>87.86</v>
      </c>
      <c r="N36" s="64">
        <v>107.7</v>
      </c>
      <c r="O36" s="64">
        <v>0</v>
      </c>
      <c r="P36" s="64">
        <v>0.19</v>
      </c>
      <c r="Q36" s="64">
        <v>9.17</v>
      </c>
      <c r="S36" s="198"/>
      <c r="T36" s="198"/>
      <c r="U36" s="198"/>
    </row>
    <row r="37" spans="1:21" s="12" customFormat="1" x14ac:dyDescent="0.25">
      <c r="A37" s="211" t="s">
        <v>1329</v>
      </c>
      <c r="B37" s="64">
        <v>8.6199999999999992</v>
      </c>
      <c r="C37" s="64">
        <v>15.64</v>
      </c>
      <c r="D37" s="64">
        <v>16.690000000000001</v>
      </c>
      <c r="E37" s="64">
        <v>3.93</v>
      </c>
      <c r="F37" s="64">
        <v>3.56</v>
      </c>
      <c r="G37" s="64">
        <v>33.590000000000003</v>
      </c>
      <c r="H37" s="64">
        <v>9.58</v>
      </c>
      <c r="I37" s="64">
        <v>3.86</v>
      </c>
      <c r="J37" s="64">
        <v>0.24</v>
      </c>
      <c r="K37" s="64">
        <v>290.58999999999997</v>
      </c>
      <c r="L37" s="64">
        <v>25.15</v>
      </c>
      <c r="M37" s="64">
        <v>86.81</v>
      </c>
      <c r="N37" s="64">
        <v>108.9</v>
      </c>
      <c r="O37" s="64">
        <v>0</v>
      </c>
      <c r="P37" s="64">
        <v>0.24</v>
      </c>
      <c r="Q37" s="64">
        <v>9.15</v>
      </c>
      <c r="S37" s="198"/>
      <c r="T37" s="198"/>
      <c r="U37" s="198"/>
    </row>
    <row r="38" spans="1:21" s="12" customFormat="1" x14ac:dyDescent="0.25">
      <c r="A38" s="211" t="s">
        <v>1330</v>
      </c>
      <c r="B38" s="64">
        <v>8.56</v>
      </c>
      <c r="C38" s="64">
        <v>15.7</v>
      </c>
      <c r="D38" s="64">
        <v>16.91</v>
      </c>
      <c r="E38" s="64">
        <v>4.24</v>
      </c>
      <c r="F38" s="64">
        <v>3.38</v>
      </c>
      <c r="G38" s="64">
        <v>33.590000000000003</v>
      </c>
      <c r="H38" s="64">
        <v>9.58</v>
      </c>
      <c r="I38" s="64">
        <v>3.98</v>
      </c>
      <c r="J38" s="64">
        <v>0.26</v>
      </c>
      <c r="K38" s="64">
        <v>290.33</v>
      </c>
      <c r="L38" s="64">
        <v>25.26</v>
      </c>
      <c r="M38" s="64">
        <v>85.7</v>
      </c>
      <c r="N38" s="64">
        <v>129.5</v>
      </c>
      <c r="O38" s="64">
        <v>0</v>
      </c>
      <c r="P38" s="64">
        <v>0.23</v>
      </c>
      <c r="Q38" s="64">
        <v>9.16</v>
      </c>
      <c r="S38" s="198"/>
      <c r="T38" s="198"/>
      <c r="U38" s="198"/>
    </row>
    <row r="39" spans="1:21" s="12" customFormat="1" x14ac:dyDescent="0.25">
      <c r="A39" s="211" t="s">
        <v>1331</v>
      </c>
      <c r="B39" s="64">
        <v>8.2100000000000009</v>
      </c>
      <c r="C39" s="64">
        <v>15.22</v>
      </c>
      <c r="D39" s="64">
        <v>16.52</v>
      </c>
      <c r="E39" s="64">
        <v>3.56</v>
      </c>
      <c r="F39" s="64">
        <v>3.4</v>
      </c>
      <c r="G39" s="64">
        <v>33.590000000000003</v>
      </c>
      <c r="H39" s="64">
        <v>9.58</v>
      </c>
      <c r="I39" s="64">
        <v>4.0599999999999996</v>
      </c>
      <c r="J39" s="64">
        <v>0.28999999999999998</v>
      </c>
      <c r="K39" s="64">
        <v>287.73</v>
      </c>
      <c r="L39" s="64">
        <v>25.47</v>
      </c>
      <c r="M39" s="64">
        <v>84.42</v>
      </c>
      <c r="N39" s="64">
        <v>169.6</v>
      </c>
      <c r="O39" s="64">
        <v>0</v>
      </c>
      <c r="P39" s="64">
        <v>0.24</v>
      </c>
      <c r="Q39" s="64">
        <v>9.15</v>
      </c>
      <c r="S39" s="198"/>
      <c r="T39" s="198"/>
      <c r="U39" s="198"/>
    </row>
    <row r="40" spans="1:21" s="12" customFormat="1" x14ac:dyDescent="0.25">
      <c r="A40" s="211" t="s">
        <v>1332</v>
      </c>
      <c r="B40" s="64">
        <v>9.49</v>
      </c>
      <c r="C40" s="64">
        <v>17.46</v>
      </c>
      <c r="D40" s="64">
        <v>18.87</v>
      </c>
      <c r="E40" s="64">
        <v>4.6399999999999997</v>
      </c>
      <c r="F40" s="64">
        <v>3.54</v>
      </c>
      <c r="G40" s="64">
        <v>32.89</v>
      </c>
      <c r="H40" s="64">
        <v>8.8699999999999992</v>
      </c>
      <c r="I40" s="64">
        <v>4.04</v>
      </c>
      <c r="J40" s="64">
        <v>0.36</v>
      </c>
      <c r="K40" s="64">
        <v>287.86</v>
      </c>
      <c r="L40" s="64">
        <v>25.89</v>
      </c>
      <c r="M40" s="64">
        <v>82.46</v>
      </c>
      <c r="N40" s="64">
        <v>170.1</v>
      </c>
      <c r="O40" s="64">
        <v>0</v>
      </c>
      <c r="P40" s="64">
        <v>0.24</v>
      </c>
      <c r="Q40" s="64">
        <v>9.15</v>
      </c>
      <c r="S40" s="198"/>
      <c r="T40" s="198"/>
      <c r="U40" s="198"/>
    </row>
    <row r="41" spans="1:21" s="12" customFormat="1" x14ac:dyDescent="0.25">
      <c r="A41" s="211" t="s">
        <v>1333</v>
      </c>
      <c r="B41" s="64">
        <v>8.2899999999999991</v>
      </c>
      <c r="C41" s="64">
        <v>16.09</v>
      </c>
      <c r="D41" s="64">
        <v>18.07</v>
      </c>
      <c r="E41" s="64">
        <v>4.3099999999999996</v>
      </c>
      <c r="F41" s="64">
        <v>3.73</v>
      </c>
      <c r="G41" s="64">
        <v>30.97</v>
      </c>
      <c r="H41" s="64">
        <v>6.93</v>
      </c>
      <c r="I41" s="64">
        <v>4</v>
      </c>
      <c r="J41" s="64">
        <v>0.39</v>
      </c>
      <c r="K41" s="64">
        <v>292.23</v>
      </c>
      <c r="L41" s="64">
        <v>25.91</v>
      </c>
      <c r="M41" s="64">
        <v>82.61</v>
      </c>
      <c r="N41" s="64">
        <v>193.1</v>
      </c>
      <c r="O41" s="64">
        <v>0</v>
      </c>
      <c r="P41" s="64">
        <v>0.25</v>
      </c>
      <c r="Q41" s="64">
        <v>9.17</v>
      </c>
      <c r="S41" s="198"/>
      <c r="T41" s="198"/>
      <c r="U41" s="198"/>
    </row>
    <row r="42" spans="1:21" s="12" customFormat="1" x14ac:dyDescent="0.25">
      <c r="A42" s="211" t="s">
        <v>1334</v>
      </c>
      <c r="B42" s="64">
        <v>7.43</v>
      </c>
      <c r="C42" s="64">
        <v>15.58</v>
      </c>
      <c r="D42" s="64">
        <v>18.420000000000002</v>
      </c>
      <c r="E42" s="64">
        <v>4.24</v>
      </c>
      <c r="F42" s="64">
        <v>3.55</v>
      </c>
      <c r="G42" s="64">
        <v>30.97</v>
      </c>
      <c r="H42" s="64">
        <v>6.93</v>
      </c>
      <c r="I42" s="64">
        <v>4.05</v>
      </c>
      <c r="J42" s="64">
        <v>0.36</v>
      </c>
      <c r="K42" s="64">
        <v>294.35000000000002</v>
      </c>
      <c r="L42" s="64">
        <v>26.2</v>
      </c>
      <c r="M42" s="64">
        <v>82.02</v>
      </c>
      <c r="N42" s="64">
        <v>259.7</v>
      </c>
      <c r="O42" s="64">
        <v>0</v>
      </c>
      <c r="P42" s="64">
        <v>0.25</v>
      </c>
      <c r="Q42" s="64">
        <v>9.16</v>
      </c>
      <c r="S42" s="198"/>
      <c r="T42" s="198"/>
      <c r="U42" s="198"/>
    </row>
    <row r="43" spans="1:21" s="12" customFormat="1" x14ac:dyDescent="0.25">
      <c r="A43" s="211" t="s">
        <v>1335</v>
      </c>
      <c r="B43" s="64">
        <v>8.4</v>
      </c>
      <c r="C43" s="64">
        <v>16.940000000000001</v>
      </c>
      <c r="D43" s="64">
        <v>19.52</v>
      </c>
      <c r="E43" s="64">
        <v>4.4000000000000004</v>
      </c>
      <c r="F43" s="64">
        <v>3.94</v>
      </c>
      <c r="G43" s="64">
        <v>30.97</v>
      </c>
      <c r="H43" s="64">
        <v>6.93</v>
      </c>
      <c r="I43" s="64">
        <v>3.96</v>
      </c>
      <c r="J43" s="64">
        <v>0.35</v>
      </c>
      <c r="K43" s="64">
        <v>292.45</v>
      </c>
      <c r="L43" s="64">
        <v>27.01</v>
      </c>
      <c r="M43" s="64">
        <v>78.89</v>
      </c>
      <c r="N43" s="64">
        <v>326.89999999999998</v>
      </c>
      <c r="O43" s="64">
        <v>0</v>
      </c>
      <c r="P43" s="64">
        <v>0.31</v>
      </c>
      <c r="Q43" s="64">
        <v>9.18</v>
      </c>
      <c r="S43" s="198"/>
      <c r="T43" s="198"/>
      <c r="U43" s="198"/>
    </row>
    <row r="44" spans="1:21" s="12" customFormat="1" x14ac:dyDescent="0.25">
      <c r="A44" s="211" t="s">
        <v>1336</v>
      </c>
      <c r="B44" s="64">
        <v>9.08</v>
      </c>
      <c r="C44" s="64">
        <v>18.21</v>
      </c>
      <c r="D44" s="64">
        <v>20.92</v>
      </c>
      <c r="E44" s="64">
        <v>4.41</v>
      </c>
      <c r="F44" s="64">
        <v>3.39</v>
      </c>
      <c r="G44" s="64">
        <v>31.43</v>
      </c>
      <c r="H44" s="64">
        <v>9.1300000000000008</v>
      </c>
      <c r="I44" s="64">
        <v>3.8</v>
      </c>
      <c r="J44" s="64">
        <v>0.34</v>
      </c>
      <c r="K44" s="64">
        <v>289.02999999999997</v>
      </c>
      <c r="L44" s="64">
        <v>27.8</v>
      </c>
      <c r="M44" s="64">
        <v>75.66</v>
      </c>
      <c r="N44" s="64">
        <v>314.60000000000002</v>
      </c>
      <c r="O44" s="64">
        <v>0</v>
      </c>
      <c r="P44" s="64">
        <v>0.37</v>
      </c>
      <c r="Q44" s="64">
        <v>9.2200000000000006</v>
      </c>
      <c r="S44" s="198"/>
      <c r="T44" s="198"/>
      <c r="U44" s="198"/>
    </row>
    <row r="45" spans="1:21" s="12" customFormat="1" x14ac:dyDescent="0.25">
      <c r="A45" s="211" t="s">
        <v>1337</v>
      </c>
      <c r="B45" s="64">
        <v>10.42</v>
      </c>
      <c r="C45" s="64">
        <v>19.670000000000002</v>
      </c>
      <c r="D45" s="64">
        <v>21.65</v>
      </c>
      <c r="E45" s="64">
        <v>4.5599999999999996</v>
      </c>
      <c r="F45" s="64">
        <v>4.12</v>
      </c>
      <c r="G45" s="64">
        <v>32.71</v>
      </c>
      <c r="H45" s="64">
        <v>15.18</v>
      </c>
      <c r="I45" s="64">
        <v>3.91</v>
      </c>
      <c r="J45" s="64">
        <v>0.28999999999999998</v>
      </c>
      <c r="K45" s="64">
        <v>284.13</v>
      </c>
      <c r="L45" s="64">
        <v>27.93</v>
      </c>
      <c r="M45" s="64">
        <v>74.61</v>
      </c>
      <c r="N45" s="64">
        <v>333.8</v>
      </c>
      <c r="O45" s="64">
        <v>0</v>
      </c>
      <c r="P45" s="64">
        <v>0.41</v>
      </c>
      <c r="Q45" s="64">
        <v>9.23</v>
      </c>
      <c r="S45" s="198"/>
      <c r="T45" s="198"/>
      <c r="U45" s="198"/>
    </row>
    <row r="46" spans="1:21" s="12" customFormat="1" x14ac:dyDescent="0.25">
      <c r="A46" s="211" t="s">
        <v>1338</v>
      </c>
      <c r="B46" s="64">
        <v>10.29</v>
      </c>
      <c r="C46" s="64">
        <v>20.63</v>
      </c>
      <c r="D46" s="64">
        <v>23.7</v>
      </c>
      <c r="E46" s="64">
        <v>4.45</v>
      </c>
      <c r="F46" s="64">
        <v>4.08</v>
      </c>
      <c r="G46" s="64">
        <v>32.71</v>
      </c>
      <c r="H46" s="64">
        <v>15.18</v>
      </c>
      <c r="I46" s="64">
        <v>3.94</v>
      </c>
      <c r="J46" s="64">
        <v>0.36</v>
      </c>
      <c r="K46" s="64">
        <v>283.64999999999998</v>
      </c>
      <c r="L46" s="64">
        <v>28.37</v>
      </c>
      <c r="M46" s="64">
        <v>73.13</v>
      </c>
      <c r="N46" s="64">
        <v>374.5</v>
      </c>
      <c r="O46" s="64">
        <v>0</v>
      </c>
      <c r="P46" s="64">
        <v>0.44</v>
      </c>
      <c r="Q46" s="64">
        <v>9.26</v>
      </c>
      <c r="S46" s="198"/>
      <c r="T46" s="198"/>
      <c r="U46" s="198"/>
    </row>
    <row r="47" spans="1:21" s="12" customFormat="1" x14ac:dyDescent="0.25">
      <c r="A47" s="211" t="s">
        <v>1339</v>
      </c>
      <c r="B47" s="64">
        <v>10.199999999999999</v>
      </c>
      <c r="C47" s="64">
        <v>20.2</v>
      </c>
      <c r="D47" s="64">
        <v>23.02</v>
      </c>
      <c r="E47" s="64">
        <v>4.38</v>
      </c>
      <c r="F47" s="64">
        <v>4.1399999999999997</v>
      </c>
      <c r="G47" s="64">
        <v>32.71</v>
      </c>
      <c r="H47" s="64">
        <v>15.18</v>
      </c>
      <c r="I47" s="64">
        <v>4.04</v>
      </c>
      <c r="J47" s="64">
        <v>0.31</v>
      </c>
      <c r="K47" s="64">
        <v>280.98</v>
      </c>
      <c r="L47" s="64">
        <v>29.45</v>
      </c>
      <c r="M47" s="64">
        <v>68.930000000000007</v>
      </c>
      <c r="N47" s="64">
        <v>459.4</v>
      </c>
      <c r="O47" s="64">
        <v>0</v>
      </c>
      <c r="P47" s="64">
        <v>0.49</v>
      </c>
      <c r="Q47" s="64">
        <v>9.2799999999999994</v>
      </c>
      <c r="S47" s="198"/>
      <c r="T47" s="198"/>
      <c r="U47" s="198"/>
    </row>
    <row r="48" spans="1:21" s="12" customFormat="1" x14ac:dyDescent="0.25">
      <c r="A48" s="211" t="s">
        <v>1340</v>
      </c>
      <c r="B48" s="64">
        <v>9.98</v>
      </c>
      <c r="C48" s="64">
        <v>20.85</v>
      </c>
      <c r="D48" s="64">
        <v>24.59</v>
      </c>
      <c r="E48" s="64">
        <v>4.6100000000000003</v>
      </c>
      <c r="F48" s="64">
        <v>3.03</v>
      </c>
      <c r="G48" s="64">
        <v>38.799999999999997</v>
      </c>
      <c r="H48" s="64">
        <v>16.48</v>
      </c>
      <c r="I48" s="64">
        <v>4.0199999999999996</v>
      </c>
      <c r="J48" s="64">
        <v>0.4</v>
      </c>
      <c r="K48" s="64">
        <v>287.01</v>
      </c>
      <c r="L48" s="64">
        <v>29.16</v>
      </c>
      <c r="M48" s="64">
        <v>68.58</v>
      </c>
      <c r="N48" s="64">
        <v>476.3</v>
      </c>
      <c r="O48" s="64">
        <v>0</v>
      </c>
      <c r="P48" s="64">
        <v>0.49</v>
      </c>
      <c r="Q48" s="64">
        <v>9.27</v>
      </c>
      <c r="S48" s="198"/>
      <c r="T48" s="198"/>
      <c r="U48" s="198"/>
    </row>
    <row r="49" spans="1:21" s="12" customFormat="1" x14ac:dyDescent="0.25">
      <c r="A49" s="211" t="s">
        <v>1341</v>
      </c>
      <c r="B49" s="64">
        <v>9.23</v>
      </c>
      <c r="C49" s="64">
        <v>19.29</v>
      </c>
      <c r="D49" s="64">
        <v>22.76</v>
      </c>
      <c r="E49" s="64">
        <v>4.3899999999999997</v>
      </c>
      <c r="F49" s="64">
        <v>4.1900000000000004</v>
      </c>
      <c r="G49" s="64">
        <v>55.57</v>
      </c>
      <c r="H49" s="64">
        <v>20.059999999999999</v>
      </c>
      <c r="I49" s="64">
        <v>3.93</v>
      </c>
      <c r="J49" s="64">
        <v>0.57999999999999996</v>
      </c>
      <c r="K49" s="64">
        <v>287.89</v>
      </c>
      <c r="L49" s="64">
        <v>30.55</v>
      </c>
      <c r="M49" s="64">
        <v>63.85</v>
      </c>
      <c r="N49" s="64">
        <v>497.7</v>
      </c>
      <c r="O49" s="64">
        <v>0</v>
      </c>
      <c r="P49" s="64">
        <v>0.49</v>
      </c>
      <c r="Q49" s="64">
        <v>9.25</v>
      </c>
      <c r="S49" s="198"/>
      <c r="T49" s="198"/>
      <c r="U49" s="198"/>
    </row>
    <row r="50" spans="1:21" s="12" customFormat="1" x14ac:dyDescent="0.25">
      <c r="A50" s="211" t="s">
        <v>1342</v>
      </c>
      <c r="B50" s="64">
        <v>8.2799999999999994</v>
      </c>
      <c r="C50" s="64">
        <v>18.5</v>
      </c>
      <c r="D50" s="64">
        <v>22.71</v>
      </c>
      <c r="E50" s="64">
        <v>4.4800000000000004</v>
      </c>
      <c r="F50" s="64">
        <v>3.48</v>
      </c>
      <c r="G50" s="64">
        <v>55.57</v>
      </c>
      <c r="H50" s="64">
        <v>20.059999999999999</v>
      </c>
      <c r="I50" s="64">
        <v>3.99</v>
      </c>
      <c r="J50" s="64">
        <v>0.67</v>
      </c>
      <c r="K50" s="64">
        <v>293.35000000000002</v>
      </c>
      <c r="L50" s="64">
        <v>30.29</v>
      </c>
      <c r="M50" s="64">
        <v>64.48</v>
      </c>
      <c r="N50" s="64">
        <v>525.4</v>
      </c>
      <c r="O50" s="64">
        <v>0</v>
      </c>
      <c r="P50" s="64">
        <v>0.46</v>
      </c>
      <c r="Q50" s="64">
        <v>9.2200000000000006</v>
      </c>
      <c r="S50" s="198"/>
      <c r="T50" s="198"/>
      <c r="U50" s="198"/>
    </row>
    <row r="51" spans="1:21" s="12" customFormat="1" x14ac:dyDescent="0.25">
      <c r="A51" s="211" t="s">
        <v>1343</v>
      </c>
      <c r="B51" s="64">
        <v>7.33</v>
      </c>
      <c r="C51" s="64">
        <v>17.41</v>
      </c>
      <c r="D51" s="64">
        <v>22.08</v>
      </c>
      <c r="E51" s="64">
        <v>4.51</v>
      </c>
      <c r="F51" s="64">
        <v>4.42</v>
      </c>
      <c r="G51" s="64">
        <v>55.57</v>
      </c>
      <c r="H51" s="64">
        <v>20.059999999999999</v>
      </c>
      <c r="I51" s="64">
        <v>3.81</v>
      </c>
      <c r="J51" s="64">
        <v>0.49</v>
      </c>
      <c r="K51" s="64">
        <v>290.42</v>
      </c>
      <c r="L51" s="64">
        <v>31.05</v>
      </c>
      <c r="M51" s="64">
        <v>61.96</v>
      </c>
      <c r="N51" s="64">
        <v>599.1</v>
      </c>
      <c r="O51" s="64">
        <v>0</v>
      </c>
      <c r="P51" s="64">
        <v>0.43</v>
      </c>
      <c r="Q51" s="64">
        <v>9.19</v>
      </c>
      <c r="S51" s="198"/>
      <c r="T51" s="198"/>
      <c r="U51" s="198"/>
    </row>
    <row r="52" spans="1:21" s="12" customFormat="1" x14ac:dyDescent="0.25">
      <c r="A52" s="211" t="s">
        <v>1344</v>
      </c>
      <c r="B52" s="64">
        <v>6.88</v>
      </c>
      <c r="C52" s="64">
        <v>16.87</v>
      </c>
      <c r="D52" s="64">
        <v>21.74</v>
      </c>
      <c r="E52" s="64">
        <v>4.6500000000000004</v>
      </c>
      <c r="F52" s="64">
        <v>5.23</v>
      </c>
      <c r="G52" s="64">
        <v>57.04</v>
      </c>
      <c r="H52" s="64">
        <v>17.38</v>
      </c>
      <c r="I52" s="64">
        <v>3.92</v>
      </c>
      <c r="J52" s="64">
        <v>0.75</v>
      </c>
      <c r="K52" s="64">
        <v>304.52</v>
      </c>
      <c r="L52" s="64">
        <v>31.63</v>
      </c>
      <c r="M52" s="64">
        <v>60.1</v>
      </c>
      <c r="N52" s="64">
        <v>330.9</v>
      </c>
      <c r="O52" s="64">
        <v>0</v>
      </c>
      <c r="P52" s="64">
        <v>0.43</v>
      </c>
      <c r="Q52" s="64">
        <v>9.14</v>
      </c>
      <c r="S52" s="198"/>
      <c r="T52" s="198"/>
      <c r="U52" s="198"/>
    </row>
    <row r="53" spans="1:21" s="12" customFormat="1" x14ac:dyDescent="0.25">
      <c r="A53" s="211" t="s">
        <v>1345</v>
      </c>
      <c r="B53" s="64">
        <v>6.64</v>
      </c>
      <c r="C53" s="64">
        <v>16.809999999999999</v>
      </c>
      <c r="D53" s="64">
        <v>21.98</v>
      </c>
      <c r="E53" s="64">
        <v>4.5999999999999996</v>
      </c>
      <c r="F53" s="64">
        <v>4.37</v>
      </c>
      <c r="G53" s="64">
        <v>61.11</v>
      </c>
      <c r="H53" s="64">
        <v>10.039999999999999</v>
      </c>
      <c r="I53" s="64">
        <v>4.07</v>
      </c>
      <c r="J53" s="64">
        <v>0.88</v>
      </c>
      <c r="K53" s="64">
        <v>304.55</v>
      </c>
      <c r="L53" s="64">
        <v>31.13</v>
      </c>
      <c r="M53" s="64">
        <v>60.06</v>
      </c>
      <c r="N53" s="64">
        <v>359.9</v>
      </c>
      <c r="O53" s="64">
        <v>0</v>
      </c>
      <c r="P53" s="64">
        <v>0.44</v>
      </c>
      <c r="Q53" s="64">
        <v>9.14</v>
      </c>
      <c r="S53" s="198"/>
      <c r="T53" s="198"/>
      <c r="U53" s="198"/>
    </row>
    <row r="54" spans="1:21" s="12" customFormat="1" x14ac:dyDescent="0.25">
      <c r="A54" s="211" t="s">
        <v>1346</v>
      </c>
      <c r="B54" s="64">
        <v>7.97</v>
      </c>
      <c r="C54" s="64">
        <v>16.96</v>
      </c>
      <c r="D54" s="64">
        <v>20.23</v>
      </c>
      <c r="E54" s="64">
        <v>4.41</v>
      </c>
      <c r="F54" s="64">
        <v>4.66</v>
      </c>
      <c r="G54" s="64">
        <v>61.11</v>
      </c>
      <c r="H54" s="64">
        <v>10.039999999999999</v>
      </c>
      <c r="I54" s="64">
        <v>4.09</v>
      </c>
      <c r="J54" s="64">
        <v>1</v>
      </c>
      <c r="K54" s="64">
        <v>313.58999999999997</v>
      </c>
      <c r="L54" s="64">
        <v>31.41</v>
      </c>
      <c r="M54" s="64">
        <v>59.39</v>
      </c>
      <c r="N54" s="64">
        <v>227.9</v>
      </c>
      <c r="O54" s="64">
        <v>0</v>
      </c>
      <c r="P54" s="64">
        <v>0.41</v>
      </c>
      <c r="Q54" s="64">
        <v>9.14</v>
      </c>
      <c r="S54" s="198"/>
      <c r="T54" s="198"/>
      <c r="U54" s="198"/>
    </row>
    <row r="55" spans="1:21" s="12" customFormat="1" x14ac:dyDescent="0.25">
      <c r="A55" s="211" t="s">
        <v>1347</v>
      </c>
      <c r="B55" s="64">
        <v>7.28</v>
      </c>
      <c r="C55" s="64">
        <v>17.21</v>
      </c>
      <c r="D55" s="64">
        <v>21.77</v>
      </c>
      <c r="E55" s="64">
        <v>4.08</v>
      </c>
      <c r="F55" s="64">
        <v>4.54</v>
      </c>
      <c r="G55" s="64">
        <v>61.11</v>
      </c>
      <c r="H55" s="64">
        <v>10.039999999999999</v>
      </c>
      <c r="I55" s="64">
        <v>4.01</v>
      </c>
      <c r="J55" s="64">
        <v>0.8</v>
      </c>
      <c r="K55" s="64">
        <v>298.18</v>
      </c>
      <c r="L55" s="64">
        <v>31.22</v>
      </c>
      <c r="M55" s="64">
        <v>59.81</v>
      </c>
      <c r="N55" s="64">
        <v>379.1</v>
      </c>
      <c r="O55" s="64">
        <v>0</v>
      </c>
      <c r="P55" s="64">
        <v>0.41</v>
      </c>
      <c r="Q55" s="64">
        <v>9.14</v>
      </c>
      <c r="S55" s="198"/>
      <c r="T55" s="198"/>
      <c r="U55" s="198"/>
    </row>
    <row r="56" spans="1:21" s="12" customFormat="1" x14ac:dyDescent="0.25">
      <c r="A56" s="211" t="s">
        <v>1348</v>
      </c>
      <c r="B56" s="64">
        <v>6.83</v>
      </c>
      <c r="C56" s="64">
        <v>16.760000000000002</v>
      </c>
      <c r="D56" s="64">
        <v>21.59</v>
      </c>
      <c r="E56" s="64">
        <v>4.08</v>
      </c>
      <c r="F56" s="64">
        <v>4.58</v>
      </c>
      <c r="G56" s="64">
        <v>61.18</v>
      </c>
      <c r="H56" s="64">
        <v>196.08</v>
      </c>
      <c r="I56" s="64">
        <v>4.01</v>
      </c>
      <c r="J56" s="64">
        <v>0.39</v>
      </c>
      <c r="K56" s="64">
        <v>287.54000000000002</v>
      </c>
      <c r="L56" s="64">
        <v>30.92</v>
      </c>
      <c r="M56" s="64">
        <v>61.66</v>
      </c>
      <c r="N56" s="64">
        <v>263.5</v>
      </c>
      <c r="O56" s="64">
        <v>0</v>
      </c>
      <c r="P56" s="64">
        <v>0.44</v>
      </c>
      <c r="Q56" s="64">
        <v>9.1300000000000008</v>
      </c>
      <c r="S56" s="198"/>
      <c r="T56" s="198"/>
      <c r="U56" s="198"/>
    </row>
    <row r="57" spans="1:21" s="12" customFormat="1" x14ac:dyDescent="0.25">
      <c r="A57" s="211" t="s">
        <v>1349</v>
      </c>
      <c r="B57" s="64">
        <v>6.84</v>
      </c>
      <c r="C57" s="64">
        <v>16.739999999999998</v>
      </c>
      <c r="D57" s="64">
        <v>21.54</v>
      </c>
      <c r="E57" s="64">
        <v>4.17</v>
      </c>
      <c r="F57" s="64">
        <v>4.13</v>
      </c>
      <c r="G57" s="64">
        <v>61.39</v>
      </c>
      <c r="H57" s="64">
        <v>707.68</v>
      </c>
      <c r="I57" s="64">
        <v>4.03</v>
      </c>
      <c r="J57" s="64">
        <v>0.48</v>
      </c>
      <c r="K57" s="64">
        <v>286.42</v>
      </c>
      <c r="L57" s="64">
        <v>30.28</v>
      </c>
      <c r="M57" s="64">
        <v>63.05</v>
      </c>
      <c r="N57" s="64">
        <v>330.8</v>
      </c>
      <c r="O57" s="64">
        <v>0</v>
      </c>
      <c r="P57" s="64">
        <v>0.43</v>
      </c>
      <c r="Q57" s="64">
        <v>9.15</v>
      </c>
      <c r="S57" s="198"/>
      <c r="T57" s="198"/>
      <c r="U57" s="198"/>
    </row>
    <row r="58" spans="1:21" s="12" customFormat="1" x14ac:dyDescent="0.25">
      <c r="A58" s="211" t="s">
        <v>1350</v>
      </c>
      <c r="B58" s="64">
        <v>6.14</v>
      </c>
      <c r="C58" s="64">
        <v>15.95</v>
      </c>
      <c r="D58" s="64">
        <v>21.12</v>
      </c>
      <c r="E58" s="64">
        <v>4.3099999999999996</v>
      </c>
      <c r="F58" s="64">
        <v>4.6500000000000004</v>
      </c>
      <c r="G58" s="64">
        <v>61.39</v>
      </c>
      <c r="H58" s="64">
        <v>707.68</v>
      </c>
      <c r="I58" s="64">
        <v>3.97</v>
      </c>
      <c r="J58" s="64">
        <v>0.43</v>
      </c>
      <c r="K58" s="64">
        <v>287</v>
      </c>
      <c r="L58" s="64">
        <v>30</v>
      </c>
      <c r="M58" s="64">
        <v>64.31</v>
      </c>
      <c r="N58" s="64">
        <v>363.2</v>
      </c>
      <c r="O58" s="64">
        <v>0</v>
      </c>
      <c r="P58" s="64">
        <v>0.41</v>
      </c>
      <c r="Q58" s="64">
        <v>9.15</v>
      </c>
      <c r="S58" s="198"/>
      <c r="T58" s="198"/>
      <c r="U58" s="198"/>
    </row>
    <row r="59" spans="1:21" s="12" customFormat="1" x14ac:dyDescent="0.25">
      <c r="A59" s="211" t="s">
        <v>1351</v>
      </c>
      <c r="B59" s="64">
        <v>5.43</v>
      </c>
      <c r="C59" s="64">
        <v>15.8</v>
      </c>
      <c r="D59" s="64">
        <v>21.9</v>
      </c>
      <c r="E59" s="64">
        <v>4.32</v>
      </c>
      <c r="F59" s="64">
        <v>5.64</v>
      </c>
      <c r="G59" s="64">
        <v>61.39</v>
      </c>
      <c r="H59" s="64">
        <v>707.68</v>
      </c>
      <c r="I59" s="64">
        <v>3.93</v>
      </c>
      <c r="J59" s="64">
        <v>0.28000000000000003</v>
      </c>
      <c r="K59" s="64">
        <v>287.77</v>
      </c>
      <c r="L59" s="64">
        <v>29.67</v>
      </c>
      <c r="M59" s="64">
        <v>66.069999999999993</v>
      </c>
      <c r="N59" s="64">
        <v>274.5</v>
      </c>
      <c r="O59" s="64">
        <v>0</v>
      </c>
      <c r="P59" s="64">
        <v>0.41</v>
      </c>
      <c r="Q59" s="64">
        <v>9.14</v>
      </c>
      <c r="S59" s="198"/>
      <c r="T59" s="198"/>
      <c r="U59" s="198"/>
    </row>
    <row r="60" spans="1:21" s="12" customFormat="1" x14ac:dyDescent="0.25">
      <c r="A60" s="211" t="s">
        <v>1352</v>
      </c>
      <c r="B60" s="64">
        <v>5.13</v>
      </c>
      <c r="C60" s="64">
        <v>15.87</v>
      </c>
      <c r="D60" s="64">
        <v>22.51</v>
      </c>
      <c r="E60" s="64">
        <v>4.88</v>
      </c>
      <c r="F60" s="64">
        <v>4.76</v>
      </c>
      <c r="G60" s="64">
        <v>61.24</v>
      </c>
      <c r="H60" s="64">
        <v>527.6</v>
      </c>
      <c r="I60" s="64">
        <v>3.94</v>
      </c>
      <c r="J60" s="64">
        <v>0.39</v>
      </c>
      <c r="K60" s="64">
        <v>289.36</v>
      </c>
      <c r="L60" s="64">
        <v>29.48</v>
      </c>
      <c r="M60" s="64">
        <v>67.150000000000006</v>
      </c>
      <c r="N60" s="64">
        <v>368.1</v>
      </c>
      <c r="O60" s="64">
        <v>0</v>
      </c>
      <c r="P60" s="64">
        <v>0.43</v>
      </c>
      <c r="Q60" s="64">
        <v>9.14</v>
      </c>
      <c r="S60" s="198"/>
      <c r="T60" s="198"/>
      <c r="U60" s="198"/>
    </row>
    <row r="61" spans="1:21" s="12" customFormat="1" x14ac:dyDescent="0.25">
      <c r="A61" s="211" t="s">
        <v>1353</v>
      </c>
      <c r="B61" s="64">
        <v>5.24</v>
      </c>
      <c r="C61" s="64">
        <v>16.100000000000001</v>
      </c>
      <c r="D61" s="64">
        <v>22.78</v>
      </c>
      <c r="E61" s="64">
        <v>4.5</v>
      </c>
      <c r="F61" s="64">
        <v>5.41</v>
      </c>
      <c r="G61" s="64">
        <v>60.81</v>
      </c>
      <c r="H61" s="64">
        <v>32.369999999999997</v>
      </c>
      <c r="I61" s="64">
        <v>3.97</v>
      </c>
      <c r="J61" s="64">
        <v>0.35</v>
      </c>
      <c r="K61" s="64">
        <v>284.98</v>
      </c>
      <c r="L61" s="64">
        <v>30.32</v>
      </c>
      <c r="M61" s="64">
        <v>63.99</v>
      </c>
      <c r="N61" s="64">
        <v>389.4</v>
      </c>
      <c r="O61" s="64">
        <v>0</v>
      </c>
      <c r="P61" s="64">
        <v>0.43</v>
      </c>
      <c r="Q61" s="64">
        <v>9.1300000000000008</v>
      </c>
      <c r="S61" s="198"/>
      <c r="T61" s="198"/>
      <c r="U61" s="198"/>
    </row>
    <row r="62" spans="1:21" s="12" customFormat="1" x14ac:dyDescent="0.25">
      <c r="A62" s="211" t="s">
        <v>1354</v>
      </c>
      <c r="B62" s="64">
        <v>5.19</v>
      </c>
      <c r="C62" s="64">
        <v>15.73</v>
      </c>
      <c r="D62" s="64">
        <v>22.15</v>
      </c>
      <c r="E62" s="64">
        <v>4.54</v>
      </c>
      <c r="F62" s="64">
        <v>4.42</v>
      </c>
      <c r="G62" s="64">
        <v>60.81</v>
      </c>
      <c r="H62" s="64">
        <v>32.369999999999997</v>
      </c>
      <c r="I62" s="64">
        <v>4.07</v>
      </c>
      <c r="J62" s="64">
        <v>0.33</v>
      </c>
      <c r="K62" s="64">
        <v>287.82</v>
      </c>
      <c r="L62" s="64">
        <v>30.26</v>
      </c>
      <c r="M62" s="64">
        <v>64.64</v>
      </c>
      <c r="N62" s="64">
        <v>396.8</v>
      </c>
      <c r="O62" s="64">
        <v>0</v>
      </c>
      <c r="P62" s="64">
        <v>0.48</v>
      </c>
      <c r="Q62" s="64">
        <v>9.1300000000000008</v>
      </c>
      <c r="S62" s="198"/>
      <c r="T62" s="198"/>
      <c r="U62" s="198"/>
    </row>
    <row r="63" spans="1:21" s="12" customFormat="1" x14ac:dyDescent="0.25">
      <c r="A63" s="211" t="s">
        <v>1355</v>
      </c>
      <c r="B63" s="64">
        <v>5.16</v>
      </c>
      <c r="C63" s="64">
        <v>15.44</v>
      </c>
      <c r="D63" s="64">
        <v>21.63</v>
      </c>
      <c r="E63" s="64">
        <v>5.43</v>
      </c>
      <c r="F63" s="64">
        <v>4.4400000000000004</v>
      </c>
      <c r="G63" s="64">
        <v>60.81</v>
      </c>
      <c r="H63" s="64">
        <v>32.369999999999997</v>
      </c>
      <c r="I63" s="64">
        <v>4</v>
      </c>
      <c r="J63" s="64">
        <v>0.32</v>
      </c>
      <c r="K63" s="64">
        <v>287.06</v>
      </c>
      <c r="L63" s="64">
        <v>30.26</v>
      </c>
      <c r="M63" s="64">
        <v>63.85</v>
      </c>
      <c r="N63" s="64">
        <v>483.3</v>
      </c>
      <c r="O63" s="64">
        <v>0</v>
      </c>
      <c r="P63" s="64">
        <v>0.45</v>
      </c>
      <c r="Q63" s="64">
        <v>9.14</v>
      </c>
      <c r="S63" s="198"/>
      <c r="T63" s="198"/>
      <c r="U63" s="198"/>
    </row>
    <row r="64" spans="1:21" s="12" customFormat="1" x14ac:dyDescent="0.25">
      <c r="A64" s="211" t="s">
        <v>1356</v>
      </c>
      <c r="B64" s="64">
        <v>4.8600000000000003</v>
      </c>
      <c r="C64" s="64">
        <v>15.07</v>
      </c>
      <c r="D64" s="64">
        <v>21.38</v>
      </c>
      <c r="E64" s="64">
        <v>4.78</v>
      </c>
      <c r="F64" s="64">
        <v>5.14</v>
      </c>
      <c r="G64" s="64">
        <v>62.85</v>
      </c>
      <c r="H64" s="64">
        <v>29.81</v>
      </c>
      <c r="I64" s="64">
        <v>4.0199999999999996</v>
      </c>
      <c r="J64" s="64">
        <v>0.28999999999999998</v>
      </c>
      <c r="K64" s="64">
        <v>269.3</v>
      </c>
      <c r="L64" s="64">
        <v>30.2</v>
      </c>
      <c r="M64" s="64">
        <v>64.959999999999994</v>
      </c>
      <c r="N64" s="64">
        <v>349.2</v>
      </c>
      <c r="O64" s="64">
        <v>0</v>
      </c>
      <c r="P64" s="64">
        <v>0.41</v>
      </c>
      <c r="Q64" s="64">
        <v>9.1300000000000008</v>
      </c>
      <c r="S64" s="198"/>
      <c r="T64" s="198"/>
      <c r="U64" s="198"/>
    </row>
    <row r="65" spans="1:21" s="12" customFormat="1" x14ac:dyDescent="0.25">
      <c r="A65" s="211" t="s">
        <v>1357</v>
      </c>
      <c r="B65" s="64">
        <v>4.59</v>
      </c>
      <c r="C65" s="64">
        <v>15.38</v>
      </c>
      <c r="D65" s="64">
        <v>22.39</v>
      </c>
      <c r="E65" s="64">
        <v>4.42</v>
      </c>
      <c r="F65" s="64">
        <v>5.0599999999999996</v>
      </c>
      <c r="G65" s="64">
        <v>68.459999999999994</v>
      </c>
      <c r="H65" s="64">
        <v>22.76</v>
      </c>
      <c r="I65" s="64">
        <v>3.96</v>
      </c>
      <c r="J65" s="64">
        <v>0.35</v>
      </c>
      <c r="K65" s="64">
        <v>276.06</v>
      </c>
      <c r="L65" s="64">
        <v>30.34</v>
      </c>
      <c r="M65" s="64">
        <v>63.56</v>
      </c>
      <c r="N65" s="64">
        <v>231.2</v>
      </c>
      <c r="O65" s="64">
        <v>0</v>
      </c>
      <c r="P65" s="64">
        <v>0.42</v>
      </c>
      <c r="Q65" s="64">
        <v>9.11</v>
      </c>
      <c r="S65" s="198"/>
      <c r="T65" s="198"/>
      <c r="U65" s="198"/>
    </row>
    <row r="66" spans="1:21" s="12" customFormat="1" x14ac:dyDescent="0.25">
      <c r="A66" s="211" t="s">
        <v>1358</v>
      </c>
      <c r="B66" s="64">
        <v>4.8</v>
      </c>
      <c r="C66" s="64">
        <v>15.48</v>
      </c>
      <c r="D66" s="64">
        <v>22.26</v>
      </c>
      <c r="E66" s="64">
        <v>4.24</v>
      </c>
      <c r="F66" s="64">
        <v>4.32</v>
      </c>
      <c r="G66" s="64">
        <v>68.459999999999994</v>
      </c>
      <c r="H66" s="64">
        <v>22.76</v>
      </c>
      <c r="I66" s="64">
        <v>4.07</v>
      </c>
      <c r="J66" s="64">
        <v>0.4</v>
      </c>
      <c r="K66" s="64">
        <v>283.98</v>
      </c>
      <c r="L66" s="64">
        <v>30.29</v>
      </c>
      <c r="M66" s="64">
        <v>62.77</v>
      </c>
      <c r="N66" s="64">
        <v>176.9</v>
      </c>
      <c r="O66" s="64">
        <v>0</v>
      </c>
      <c r="P66" s="64">
        <v>0.41</v>
      </c>
      <c r="Q66" s="64">
        <v>9.1</v>
      </c>
      <c r="S66" s="198"/>
      <c r="T66" s="198"/>
      <c r="U66" s="198"/>
    </row>
    <row r="67" spans="1:21" s="12" customFormat="1" x14ac:dyDescent="0.25">
      <c r="A67" s="211" t="s">
        <v>1359</v>
      </c>
      <c r="B67" s="64">
        <v>5.32</v>
      </c>
      <c r="C67" s="64">
        <v>16.170000000000002</v>
      </c>
      <c r="D67" s="64">
        <v>22.78</v>
      </c>
      <c r="E67" s="64">
        <v>4.2300000000000004</v>
      </c>
      <c r="F67" s="64">
        <v>4.0199999999999996</v>
      </c>
      <c r="G67" s="64">
        <v>68.459999999999994</v>
      </c>
      <c r="H67" s="64">
        <v>22.76</v>
      </c>
      <c r="I67" s="64">
        <v>4.17</v>
      </c>
      <c r="J67" s="64">
        <v>0.65</v>
      </c>
      <c r="K67" s="64">
        <v>290.45999999999998</v>
      </c>
      <c r="L67" s="64">
        <v>30.23</v>
      </c>
      <c r="M67" s="64">
        <v>62.16</v>
      </c>
      <c r="N67" s="64">
        <v>182.6</v>
      </c>
      <c r="O67" s="64">
        <v>0</v>
      </c>
      <c r="P67" s="64">
        <v>0.41</v>
      </c>
      <c r="Q67" s="64">
        <v>9.1</v>
      </c>
      <c r="S67" s="198"/>
      <c r="T67" s="198"/>
      <c r="U67" s="198"/>
    </row>
    <row r="68" spans="1:21" s="12" customFormat="1" x14ac:dyDescent="0.25">
      <c r="A68" s="211" t="s">
        <v>1360</v>
      </c>
      <c r="B68" s="64">
        <v>4.95</v>
      </c>
      <c r="C68" s="64">
        <v>15.48</v>
      </c>
      <c r="D68" s="64">
        <v>22.04</v>
      </c>
      <c r="E68" s="64">
        <v>4.75</v>
      </c>
      <c r="F68" s="64">
        <v>4.28</v>
      </c>
      <c r="G68" s="64">
        <v>66.75</v>
      </c>
      <c r="H68" s="64">
        <v>20.84</v>
      </c>
      <c r="I68" s="64">
        <v>4</v>
      </c>
      <c r="J68" s="64">
        <v>0.57999999999999996</v>
      </c>
      <c r="K68" s="64">
        <v>289.23</v>
      </c>
      <c r="L68" s="64">
        <v>29.77</v>
      </c>
      <c r="M68" s="64">
        <v>64.81</v>
      </c>
      <c r="N68" s="64">
        <v>118.9</v>
      </c>
      <c r="O68" s="64">
        <v>0</v>
      </c>
      <c r="P68" s="64">
        <v>0.4</v>
      </c>
      <c r="Q68" s="64">
        <v>9.09</v>
      </c>
      <c r="S68" s="198"/>
      <c r="T68" s="198"/>
      <c r="U68" s="198"/>
    </row>
    <row r="69" spans="1:21" s="12" customFormat="1" x14ac:dyDescent="0.25">
      <c r="A69" s="211" t="s">
        <v>1361</v>
      </c>
      <c r="B69" s="64">
        <v>4.78</v>
      </c>
      <c r="C69" s="64">
        <v>15.78</v>
      </c>
      <c r="D69" s="64">
        <v>22.85</v>
      </c>
      <c r="E69" s="64">
        <v>4.2300000000000004</v>
      </c>
      <c r="F69" s="64">
        <v>4.99</v>
      </c>
      <c r="G69" s="64">
        <v>62.04</v>
      </c>
      <c r="H69" s="64">
        <v>15.58</v>
      </c>
      <c r="I69" s="64">
        <v>4.09</v>
      </c>
      <c r="J69" s="64">
        <v>0.52</v>
      </c>
      <c r="K69" s="64">
        <v>288.54000000000002</v>
      </c>
      <c r="L69" s="64">
        <v>29.53</v>
      </c>
      <c r="M69" s="64">
        <v>65.27</v>
      </c>
      <c r="N69" s="64">
        <v>136.6</v>
      </c>
      <c r="O69" s="64">
        <v>0</v>
      </c>
      <c r="P69" s="64">
        <v>0.42</v>
      </c>
      <c r="Q69" s="64">
        <v>9.09</v>
      </c>
      <c r="S69" s="198"/>
      <c r="T69" s="198"/>
      <c r="U69" s="198"/>
    </row>
    <row r="70" spans="1:21" s="12" customFormat="1" x14ac:dyDescent="0.25">
      <c r="A70" s="211" t="s">
        <v>1362</v>
      </c>
      <c r="B70" s="64">
        <v>5.42</v>
      </c>
      <c r="C70" s="64">
        <v>16.739999999999998</v>
      </c>
      <c r="D70" s="64">
        <v>23.73</v>
      </c>
      <c r="E70" s="64">
        <v>4.4800000000000004</v>
      </c>
      <c r="F70" s="64">
        <v>3.8</v>
      </c>
      <c r="G70" s="64">
        <v>62.04</v>
      </c>
      <c r="H70" s="64">
        <v>15.58</v>
      </c>
      <c r="I70" s="64">
        <v>3.93</v>
      </c>
      <c r="J70" s="64">
        <v>0.6</v>
      </c>
      <c r="K70" s="64">
        <v>308.31</v>
      </c>
      <c r="L70" s="64">
        <v>29.01</v>
      </c>
      <c r="M70" s="64">
        <v>75.47</v>
      </c>
      <c r="N70" s="64">
        <v>118</v>
      </c>
      <c r="O70" s="64">
        <v>0</v>
      </c>
      <c r="P70" s="64">
        <v>0.43</v>
      </c>
      <c r="Q70" s="64">
        <v>9.1199999999999992</v>
      </c>
      <c r="S70" s="198"/>
      <c r="T70" s="198"/>
      <c r="U70" s="198"/>
    </row>
    <row r="71" spans="1:21" s="12" customFormat="1" x14ac:dyDescent="0.25">
      <c r="A71" s="211" t="s">
        <v>1363</v>
      </c>
      <c r="B71" s="64">
        <v>7.62</v>
      </c>
      <c r="C71" s="64">
        <v>17.53</v>
      </c>
      <c r="D71" s="64">
        <v>21.85</v>
      </c>
      <c r="E71" s="64">
        <v>3.96</v>
      </c>
      <c r="F71" s="64">
        <v>4.28</v>
      </c>
      <c r="G71" s="64">
        <v>62.04</v>
      </c>
      <c r="H71" s="64">
        <v>15.58</v>
      </c>
      <c r="I71" s="64">
        <v>4.05</v>
      </c>
      <c r="J71" s="64">
        <v>0.39</v>
      </c>
      <c r="K71" s="64">
        <v>290.31</v>
      </c>
      <c r="L71" s="64">
        <v>28.35</v>
      </c>
      <c r="M71" s="64">
        <v>75.31</v>
      </c>
      <c r="N71" s="64">
        <v>97.8</v>
      </c>
      <c r="O71" s="64">
        <v>0</v>
      </c>
      <c r="P71" s="64">
        <v>0.42</v>
      </c>
      <c r="Q71" s="64">
        <v>9.1199999999999992</v>
      </c>
      <c r="S71" s="198"/>
      <c r="T71" s="198"/>
      <c r="U71" s="198"/>
    </row>
    <row r="72" spans="1:21" s="12" customFormat="1" x14ac:dyDescent="0.25">
      <c r="A72" s="211" t="s">
        <v>1364</v>
      </c>
      <c r="B72" s="64">
        <v>6.14</v>
      </c>
      <c r="C72" s="64">
        <v>16.12</v>
      </c>
      <c r="D72" s="64">
        <v>21.44</v>
      </c>
      <c r="E72" s="64">
        <v>4.6399999999999997</v>
      </c>
      <c r="F72" s="64">
        <v>4.78</v>
      </c>
      <c r="G72" s="64">
        <v>63.65</v>
      </c>
      <c r="H72" s="64">
        <v>18.78</v>
      </c>
      <c r="I72" s="64">
        <v>3.85</v>
      </c>
      <c r="J72" s="64">
        <v>0.36</v>
      </c>
      <c r="K72" s="64">
        <v>287.11</v>
      </c>
      <c r="L72" s="64">
        <v>28.49</v>
      </c>
      <c r="M72" s="64">
        <v>69.67</v>
      </c>
      <c r="N72" s="64">
        <v>76.5</v>
      </c>
      <c r="O72" s="64">
        <v>0</v>
      </c>
      <c r="P72" s="64">
        <v>0.42</v>
      </c>
      <c r="Q72" s="64">
        <v>9.1199999999999992</v>
      </c>
      <c r="S72" s="198"/>
      <c r="T72" s="198"/>
      <c r="U72" s="198"/>
    </row>
    <row r="73" spans="1:21" s="12" customFormat="1" x14ac:dyDescent="0.25">
      <c r="A73" s="211" t="s">
        <v>1365</v>
      </c>
      <c r="B73" s="64">
        <v>7.1</v>
      </c>
      <c r="C73" s="64">
        <v>17.86</v>
      </c>
      <c r="D73" s="64">
        <v>23.29</v>
      </c>
      <c r="E73" s="64">
        <v>4.7</v>
      </c>
      <c r="F73" s="64">
        <v>3.32</v>
      </c>
      <c r="G73" s="64">
        <v>68.069999999999993</v>
      </c>
      <c r="H73" s="64">
        <v>27.58</v>
      </c>
      <c r="I73" s="64">
        <v>4.12</v>
      </c>
      <c r="J73" s="64">
        <v>0.45</v>
      </c>
      <c r="K73" s="64">
        <v>288.52999999999997</v>
      </c>
      <c r="L73" s="64">
        <v>28.53</v>
      </c>
      <c r="M73" s="64">
        <v>70.06</v>
      </c>
      <c r="N73" s="64">
        <v>78.400000000000006</v>
      </c>
      <c r="O73" s="64">
        <v>0</v>
      </c>
      <c r="P73" s="64">
        <v>0.4</v>
      </c>
      <c r="Q73" s="64">
        <v>9.1199999999999992</v>
      </c>
      <c r="S73" s="198"/>
      <c r="T73" s="198"/>
      <c r="U73" s="198"/>
    </row>
    <row r="74" spans="1:21" s="12" customFormat="1" x14ac:dyDescent="0.25">
      <c r="A74" s="211" t="s">
        <v>1366</v>
      </c>
      <c r="B74" s="64">
        <v>6.03</v>
      </c>
      <c r="C74" s="64">
        <v>16.75</v>
      </c>
      <c r="D74" s="64">
        <v>22.81</v>
      </c>
      <c r="E74" s="64">
        <v>5.07</v>
      </c>
      <c r="F74" s="64">
        <v>4.32</v>
      </c>
      <c r="G74" s="64">
        <v>68.069999999999993</v>
      </c>
      <c r="H74" s="64">
        <v>27.58</v>
      </c>
      <c r="I74" s="64">
        <v>3.94</v>
      </c>
      <c r="J74" s="64">
        <v>0.26</v>
      </c>
      <c r="K74" s="64">
        <v>291.93</v>
      </c>
      <c r="L74" s="64">
        <v>28.42</v>
      </c>
      <c r="M74" s="64">
        <v>69.53</v>
      </c>
      <c r="N74" s="64">
        <v>91.8</v>
      </c>
      <c r="O74" s="64">
        <v>0</v>
      </c>
      <c r="P74" s="64">
        <v>0.38</v>
      </c>
      <c r="Q74" s="64">
        <v>9.1300000000000008</v>
      </c>
      <c r="S74" s="198"/>
      <c r="T74" s="198"/>
      <c r="U74" s="198"/>
    </row>
    <row r="75" spans="1:21" s="12" customFormat="1" x14ac:dyDescent="0.25">
      <c r="A75" s="211" t="s">
        <v>1367</v>
      </c>
      <c r="B75" s="64">
        <v>5.64</v>
      </c>
      <c r="C75" s="64">
        <v>16.21</v>
      </c>
      <c r="D75" s="64">
        <v>22.37</v>
      </c>
      <c r="E75" s="64">
        <v>4.95</v>
      </c>
      <c r="F75" s="64">
        <v>4.5999999999999996</v>
      </c>
      <c r="G75" s="64">
        <v>68.069999999999993</v>
      </c>
      <c r="H75" s="64">
        <v>27.58</v>
      </c>
      <c r="I75" s="64">
        <v>3.95</v>
      </c>
      <c r="J75" s="64">
        <v>0.23</v>
      </c>
      <c r="K75" s="64">
        <v>299.60000000000002</v>
      </c>
      <c r="L75" s="64">
        <v>28.28</v>
      </c>
      <c r="M75" s="64">
        <v>69.67</v>
      </c>
      <c r="N75" s="64">
        <v>86.9</v>
      </c>
      <c r="O75" s="64">
        <v>0</v>
      </c>
      <c r="P75" s="64">
        <v>0.36</v>
      </c>
      <c r="Q75" s="64">
        <v>9.1300000000000008</v>
      </c>
      <c r="S75" s="198"/>
      <c r="T75" s="198"/>
      <c r="U75" s="198"/>
    </row>
    <row r="76" spans="1:21" s="12" customFormat="1" x14ac:dyDescent="0.25">
      <c r="A76" s="211" t="s">
        <v>1368</v>
      </c>
      <c r="B76" s="64">
        <v>5.1100000000000003</v>
      </c>
      <c r="C76" s="64">
        <v>15.27</v>
      </c>
      <c r="D76" s="64">
        <v>21.4</v>
      </c>
      <c r="E76" s="64">
        <v>4.42</v>
      </c>
      <c r="F76" s="64">
        <v>5.26</v>
      </c>
      <c r="G76" s="64">
        <v>68.55</v>
      </c>
      <c r="H76" s="64">
        <v>24.97</v>
      </c>
      <c r="I76" s="64">
        <v>4.03</v>
      </c>
      <c r="J76" s="64">
        <v>0.27</v>
      </c>
      <c r="K76" s="64">
        <v>307.11</v>
      </c>
      <c r="L76" s="64">
        <v>28.14</v>
      </c>
      <c r="M76" s="64">
        <v>70.17</v>
      </c>
      <c r="N76" s="64">
        <v>78.599999999999994</v>
      </c>
      <c r="O76" s="64">
        <v>0</v>
      </c>
      <c r="P76" s="64">
        <v>0.34</v>
      </c>
      <c r="Q76" s="64">
        <v>9.1300000000000008</v>
      </c>
      <c r="S76" s="198"/>
      <c r="T76" s="198"/>
      <c r="U76" s="198"/>
    </row>
    <row r="77" spans="1:21" s="12" customFormat="1" x14ac:dyDescent="0.25">
      <c r="A77" s="211" t="s">
        <v>1369</v>
      </c>
      <c r="B77" s="64">
        <v>5.26</v>
      </c>
      <c r="C77" s="64">
        <v>15.31</v>
      </c>
      <c r="D77" s="64">
        <v>21.24</v>
      </c>
      <c r="E77" s="64">
        <v>4.68</v>
      </c>
      <c r="F77" s="64">
        <v>4.5599999999999996</v>
      </c>
      <c r="G77" s="64">
        <v>69.86</v>
      </c>
      <c r="H77" s="64">
        <v>17.8</v>
      </c>
      <c r="I77" s="64">
        <v>4.07</v>
      </c>
      <c r="J77" s="64">
        <v>0.28000000000000003</v>
      </c>
      <c r="K77" s="64">
        <v>314.79000000000002</v>
      </c>
      <c r="L77" s="64">
        <v>28.07</v>
      </c>
      <c r="M77" s="64">
        <v>70.5</v>
      </c>
      <c r="N77" s="64">
        <v>76.8</v>
      </c>
      <c r="O77" s="64">
        <v>0</v>
      </c>
      <c r="P77" s="64">
        <v>0.34</v>
      </c>
      <c r="Q77" s="64">
        <v>9.1300000000000008</v>
      </c>
      <c r="S77" s="198"/>
      <c r="T77" s="198"/>
      <c r="U77" s="198"/>
    </row>
    <row r="78" spans="1:21" s="12" customFormat="1" x14ac:dyDescent="0.25">
      <c r="A78" s="211" t="s">
        <v>1370</v>
      </c>
      <c r="B78" s="64">
        <v>4.67</v>
      </c>
      <c r="C78" s="64">
        <v>14.56</v>
      </c>
      <c r="D78" s="64">
        <v>20.69</v>
      </c>
      <c r="E78" s="64">
        <v>4.45</v>
      </c>
      <c r="F78" s="64">
        <v>4.67</v>
      </c>
      <c r="G78" s="64">
        <v>69.86</v>
      </c>
      <c r="H78" s="64">
        <v>17.8</v>
      </c>
      <c r="I78" s="64">
        <v>4.09</v>
      </c>
      <c r="J78" s="64">
        <v>0.31</v>
      </c>
      <c r="K78" s="64">
        <v>323.31</v>
      </c>
      <c r="L78" s="64">
        <v>27.57</v>
      </c>
      <c r="M78" s="64">
        <v>72.2</v>
      </c>
      <c r="N78" s="64">
        <v>73.2</v>
      </c>
      <c r="O78" s="64">
        <v>0</v>
      </c>
      <c r="P78" s="64">
        <v>0.32</v>
      </c>
      <c r="Q78" s="64">
        <v>9.1199999999999992</v>
      </c>
      <c r="S78" s="198"/>
      <c r="T78" s="198"/>
      <c r="U78" s="198"/>
    </row>
    <row r="79" spans="1:21" s="12" customFormat="1" x14ac:dyDescent="0.25">
      <c r="A79" s="211" t="s">
        <v>1371</v>
      </c>
      <c r="B79" s="64">
        <v>4.3099999999999996</v>
      </c>
      <c r="C79" s="64">
        <v>14.09</v>
      </c>
      <c r="D79" s="64">
        <v>20.350000000000001</v>
      </c>
      <c r="E79" s="64">
        <v>4.74</v>
      </c>
      <c r="F79" s="64">
        <v>4.79</v>
      </c>
      <c r="G79" s="64">
        <v>69.86</v>
      </c>
      <c r="H79" s="64">
        <v>17.8</v>
      </c>
      <c r="I79" s="64">
        <v>4.08</v>
      </c>
      <c r="J79" s="64">
        <v>0.21</v>
      </c>
      <c r="K79" s="64">
        <v>323.33999999999997</v>
      </c>
      <c r="L79" s="64">
        <v>27.19</v>
      </c>
      <c r="M79" s="64">
        <v>73.53</v>
      </c>
      <c r="N79" s="64">
        <v>69.599999999999994</v>
      </c>
      <c r="O79" s="64">
        <v>0</v>
      </c>
      <c r="P79" s="64">
        <v>0.3</v>
      </c>
      <c r="Q79" s="64">
        <v>9.1199999999999992</v>
      </c>
      <c r="S79" s="198"/>
      <c r="T79" s="198"/>
      <c r="U79" s="198"/>
    </row>
    <row r="80" spans="1:21" s="12" customFormat="1" x14ac:dyDescent="0.25">
      <c r="A80" s="211" t="s">
        <v>1372</v>
      </c>
      <c r="B80" s="64">
        <v>4.24</v>
      </c>
      <c r="C80" s="64">
        <v>14.44</v>
      </c>
      <c r="D80" s="64">
        <v>21.13</v>
      </c>
      <c r="E80" s="64">
        <v>4.7699999999999996</v>
      </c>
      <c r="F80" s="64">
        <v>5.5</v>
      </c>
      <c r="G80" s="64">
        <v>69.31</v>
      </c>
      <c r="H80" s="64">
        <v>18.71</v>
      </c>
      <c r="I80" s="64">
        <v>3.87</v>
      </c>
      <c r="J80" s="64">
        <v>0.24</v>
      </c>
      <c r="K80" s="64">
        <v>336.86</v>
      </c>
      <c r="L80" s="64">
        <v>26.96</v>
      </c>
      <c r="M80" s="64">
        <v>75.98</v>
      </c>
      <c r="N80" s="64">
        <v>63.7</v>
      </c>
      <c r="O80" s="64">
        <v>0</v>
      </c>
      <c r="P80" s="64">
        <v>0.3</v>
      </c>
      <c r="Q80" s="64">
        <v>9.1199999999999992</v>
      </c>
      <c r="S80" s="198"/>
      <c r="T80" s="198"/>
      <c r="U80" s="198"/>
    </row>
    <row r="81" spans="1:26" s="12" customFormat="1" x14ac:dyDescent="0.25">
      <c r="A81" s="211" t="s">
        <v>1373</v>
      </c>
      <c r="B81" s="64">
        <v>4.99</v>
      </c>
      <c r="C81" s="64">
        <v>14.79</v>
      </c>
      <c r="D81" s="64">
        <v>20.65</v>
      </c>
      <c r="E81" s="64">
        <v>4.4400000000000004</v>
      </c>
      <c r="F81" s="64">
        <v>4.42</v>
      </c>
      <c r="G81" s="64">
        <v>67.790000000000006</v>
      </c>
      <c r="H81" s="64">
        <v>21.2</v>
      </c>
      <c r="I81" s="64">
        <v>3.94</v>
      </c>
      <c r="J81" s="64">
        <v>0.23</v>
      </c>
      <c r="K81" s="64">
        <v>331.22</v>
      </c>
      <c r="L81" s="64">
        <v>26.84</v>
      </c>
      <c r="M81" s="64">
        <v>77.44</v>
      </c>
      <c r="N81" s="64">
        <v>57.7</v>
      </c>
      <c r="O81" s="64">
        <v>0</v>
      </c>
      <c r="P81" s="64">
        <v>0.3</v>
      </c>
      <c r="Q81" s="64">
        <v>9.1300000000000008</v>
      </c>
      <c r="S81" s="198"/>
      <c r="T81" s="198"/>
      <c r="U81" s="198"/>
    </row>
    <row r="82" spans="1:26" s="12" customFormat="1" x14ac:dyDescent="0.25">
      <c r="A82" s="211" t="s">
        <v>1374</v>
      </c>
      <c r="B82" s="64">
        <v>5.0199999999999996</v>
      </c>
      <c r="C82" s="64">
        <v>14.56</v>
      </c>
      <c r="D82" s="64">
        <v>20.16</v>
      </c>
      <c r="E82" s="64">
        <v>4.2699999999999996</v>
      </c>
      <c r="F82" s="64">
        <v>4.74</v>
      </c>
      <c r="G82" s="64">
        <v>67.790000000000006</v>
      </c>
      <c r="H82" s="64">
        <v>21.2</v>
      </c>
      <c r="I82" s="64">
        <v>4.0199999999999996</v>
      </c>
      <c r="J82" s="64">
        <v>0.21</v>
      </c>
      <c r="K82" s="64">
        <v>341.05</v>
      </c>
      <c r="L82" s="64">
        <v>26.68</v>
      </c>
      <c r="M82" s="64">
        <v>78.56</v>
      </c>
      <c r="N82" s="64">
        <v>53</v>
      </c>
      <c r="O82" s="64">
        <v>0</v>
      </c>
      <c r="P82" s="64">
        <v>0.31</v>
      </c>
      <c r="Q82" s="64">
        <v>9.1300000000000008</v>
      </c>
      <c r="S82" s="198"/>
      <c r="T82" s="198"/>
      <c r="U82" s="198"/>
    </row>
    <row r="83" spans="1:26" s="12" customFormat="1" x14ac:dyDescent="0.25">
      <c r="A83" s="211" t="s">
        <v>1375</v>
      </c>
      <c r="B83" s="64">
        <v>4.88</v>
      </c>
      <c r="C83" s="64">
        <v>14.32</v>
      </c>
      <c r="D83" s="64">
        <v>19.93</v>
      </c>
      <c r="E83" s="64">
        <v>4.9400000000000004</v>
      </c>
      <c r="F83" s="64">
        <v>3.77</v>
      </c>
      <c r="G83" s="64">
        <v>67.790000000000006</v>
      </c>
      <c r="H83" s="64">
        <v>21.2</v>
      </c>
      <c r="I83" s="64">
        <v>3.9</v>
      </c>
      <c r="J83" s="64">
        <v>0.22</v>
      </c>
      <c r="K83" s="64">
        <v>337.27</v>
      </c>
      <c r="L83" s="64">
        <v>26.59</v>
      </c>
      <c r="M83" s="64">
        <v>78.319999999999993</v>
      </c>
      <c r="N83" s="64">
        <v>49.5</v>
      </c>
      <c r="O83" s="64">
        <v>0</v>
      </c>
      <c r="P83" s="64">
        <v>0.32</v>
      </c>
      <c r="Q83" s="64">
        <v>9.11</v>
      </c>
      <c r="S83" s="198"/>
      <c r="T83" s="198"/>
      <c r="U83" s="198"/>
    </row>
    <row r="84" spans="1:26" s="12" customFormat="1" x14ac:dyDescent="0.25">
      <c r="A84" s="211" t="s">
        <v>1376</v>
      </c>
      <c r="B84" s="64">
        <v>4.95</v>
      </c>
      <c r="C84" s="64">
        <v>14.21</v>
      </c>
      <c r="D84" s="64">
        <v>19.600000000000001</v>
      </c>
      <c r="E84" s="64">
        <v>4.75</v>
      </c>
      <c r="F84" s="64">
        <v>3.87</v>
      </c>
      <c r="G84" s="64">
        <v>64.650000000000006</v>
      </c>
      <c r="H84" s="64">
        <v>16.66</v>
      </c>
      <c r="I84" s="64">
        <v>3.99</v>
      </c>
      <c r="J84" s="64">
        <v>0.23</v>
      </c>
      <c r="K84" s="64">
        <v>328.46</v>
      </c>
      <c r="L84" s="64">
        <v>26.62</v>
      </c>
      <c r="M84" s="64">
        <v>77.34</v>
      </c>
      <c r="N84" s="64">
        <v>48.7</v>
      </c>
      <c r="O84" s="64">
        <v>0</v>
      </c>
      <c r="P84" s="64">
        <v>0.3</v>
      </c>
      <c r="Q84" s="64">
        <v>9.1</v>
      </c>
      <c r="S84" s="198"/>
      <c r="T84" s="198"/>
      <c r="U84" s="198"/>
    </row>
    <row r="85" spans="1:26" s="12" customFormat="1" x14ac:dyDescent="0.25">
      <c r="A85" s="211" t="s">
        <v>1377</v>
      </c>
      <c r="B85" s="64">
        <v>4.8499999999999996</v>
      </c>
      <c r="C85" s="64">
        <v>13.84</v>
      </c>
      <c r="D85" s="64">
        <v>19.05</v>
      </c>
      <c r="E85" s="64">
        <v>4.96</v>
      </c>
      <c r="F85" s="64">
        <v>4.55</v>
      </c>
      <c r="G85" s="64">
        <v>56.02</v>
      </c>
      <c r="H85" s="64">
        <v>4.17</v>
      </c>
      <c r="I85" s="64">
        <v>4</v>
      </c>
      <c r="J85" s="64">
        <v>0.23</v>
      </c>
      <c r="K85" s="64">
        <v>331.48</v>
      </c>
      <c r="L85" s="64">
        <v>26.58</v>
      </c>
      <c r="M85" s="64">
        <v>77.34</v>
      </c>
      <c r="N85" s="64">
        <v>48.7</v>
      </c>
      <c r="O85" s="64">
        <v>0</v>
      </c>
      <c r="P85" s="64">
        <v>0.31</v>
      </c>
      <c r="Q85" s="64">
        <v>9.11</v>
      </c>
      <c r="S85" s="198"/>
      <c r="T85" s="198"/>
      <c r="U85" s="198"/>
    </row>
    <row r="86" spans="1:26" s="12" customFormat="1" x14ac:dyDescent="0.25">
      <c r="A86" s="211" t="s">
        <v>1378</v>
      </c>
      <c r="B86" s="64">
        <v>5.05</v>
      </c>
      <c r="C86" s="64">
        <v>13.69</v>
      </c>
      <c r="D86" s="64">
        <v>18.46</v>
      </c>
      <c r="E86" s="64">
        <v>4.8600000000000003</v>
      </c>
      <c r="F86" s="64">
        <v>3.16</v>
      </c>
      <c r="G86" s="64">
        <v>56.02</v>
      </c>
      <c r="H86" s="64">
        <v>4.17</v>
      </c>
      <c r="I86" s="64">
        <v>3.95</v>
      </c>
      <c r="J86" s="64">
        <v>0.25</v>
      </c>
      <c r="K86" s="64">
        <v>337.97</v>
      </c>
      <c r="L86" s="64">
        <v>26.58</v>
      </c>
      <c r="M86" s="64">
        <v>77.42</v>
      </c>
      <c r="N86" s="64">
        <v>48.8</v>
      </c>
      <c r="O86" s="64">
        <v>0</v>
      </c>
      <c r="P86" s="64">
        <v>0.32</v>
      </c>
      <c r="Q86" s="64">
        <v>9.1</v>
      </c>
      <c r="S86" s="198"/>
      <c r="T86" s="198"/>
      <c r="U86" s="198"/>
    </row>
    <row r="87" spans="1:26" s="12" customFormat="1" x14ac:dyDescent="0.25">
      <c r="A87" s="211" t="s">
        <v>1379</v>
      </c>
      <c r="B87" s="64">
        <v>5.1100000000000003</v>
      </c>
      <c r="C87" s="64">
        <v>13.67</v>
      </c>
      <c r="D87" s="64">
        <v>18.32</v>
      </c>
      <c r="E87" s="64">
        <v>5.05</v>
      </c>
      <c r="F87" s="64">
        <v>4.18</v>
      </c>
      <c r="G87" s="64">
        <v>56.02</v>
      </c>
      <c r="H87" s="64">
        <v>4.17</v>
      </c>
      <c r="I87" s="64">
        <v>4.0199999999999996</v>
      </c>
      <c r="J87" s="64">
        <v>0.23</v>
      </c>
      <c r="K87" s="64">
        <v>331.94</v>
      </c>
      <c r="L87" s="64">
        <v>26.55</v>
      </c>
      <c r="M87" s="64">
        <v>77.59</v>
      </c>
      <c r="N87" s="64">
        <v>48.9</v>
      </c>
      <c r="O87" s="64">
        <v>0</v>
      </c>
      <c r="P87" s="64">
        <v>0.31</v>
      </c>
      <c r="Q87" s="64">
        <v>9.09</v>
      </c>
      <c r="S87" s="198"/>
      <c r="T87" s="198"/>
      <c r="U87" s="198"/>
    </row>
    <row r="88" spans="1:26" s="12" customFormat="1" x14ac:dyDescent="0.25">
      <c r="A88" s="211" t="s">
        <v>1380</v>
      </c>
      <c r="B88" s="64">
        <v>5.03</v>
      </c>
      <c r="C88" s="64">
        <v>13.61</v>
      </c>
      <c r="D88" s="64">
        <v>18.329999999999998</v>
      </c>
      <c r="E88" s="64">
        <v>4.92</v>
      </c>
      <c r="F88" s="64">
        <v>4.1900000000000004</v>
      </c>
      <c r="G88" s="64">
        <v>55.03</v>
      </c>
      <c r="H88" s="64">
        <v>3.49</v>
      </c>
      <c r="I88" s="64">
        <v>4.1399999999999997</v>
      </c>
      <c r="J88" s="64">
        <v>0.17</v>
      </c>
      <c r="K88" s="64">
        <v>332.12</v>
      </c>
      <c r="L88" s="64">
        <v>26.52</v>
      </c>
      <c r="M88" s="64">
        <v>77.78</v>
      </c>
      <c r="N88" s="64">
        <v>49.7</v>
      </c>
      <c r="O88" s="64">
        <v>0</v>
      </c>
      <c r="P88" s="64">
        <v>0.33</v>
      </c>
      <c r="Q88" s="64">
        <v>9.09</v>
      </c>
      <c r="S88" s="198"/>
      <c r="T88" s="198"/>
      <c r="U88" s="198"/>
    </row>
    <row r="89" spans="1:26" s="12" customFormat="1" x14ac:dyDescent="0.25">
      <c r="A89" s="211" t="s">
        <v>1381</v>
      </c>
      <c r="B89" s="64">
        <v>5.53</v>
      </c>
      <c r="C89" s="64">
        <v>14.44</v>
      </c>
      <c r="D89" s="64">
        <v>19.149999999999999</v>
      </c>
      <c r="E89" s="64">
        <v>4.4800000000000004</v>
      </c>
      <c r="F89" s="64">
        <v>2.99</v>
      </c>
      <c r="G89" s="64">
        <v>52.31</v>
      </c>
      <c r="H89" s="64">
        <v>1.61</v>
      </c>
      <c r="I89" s="64">
        <v>4.17</v>
      </c>
      <c r="J89" s="64">
        <v>0.16</v>
      </c>
      <c r="K89" s="64">
        <v>350.62</v>
      </c>
      <c r="L89" s="64">
        <v>26.48</v>
      </c>
      <c r="M89" s="64">
        <v>78.430000000000007</v>
      </c>
      <c r="N89" s="64">
        <v>51.3</v>
      </c>
      <c r="O89" s="64">
        <v>0</v>
      </c>
      <c r="P89" s="64">
        <v>0.33</v>
      </c>
      <c r="Q89" s="64">
        <v>9.1</v>
      </c>
      <c r="S89" s="198"/>
      <c r="T89" s="198"/>
      <c r="U89" s="198"/>
    </row>
    <row r="90" spans="1:26" s="12" customFormat="1" x14ac:dyDescent="0.25">
      <c r="A90" s="211" t="s">
        <v>1382</v>
      </c>
      <c r="B90" s="64">
        <v>5.53</v>
      </c>
      <c r="C90" s="64">
        <v>14.4</v>
      </c>
      <c r="D90" s="64">
        <v>19.079999999999998</v>
      </c>
      <c r="E90" s="64">
        <v>4.58</v>
      </c>
      <c r="F90" s="64">
        <v>4.12</v>
      </c>
      <c r="G90" s="64">
        <v>52.31</v>
      </c>
      <c r="H90" s="64">
        <v>1.61</v>
      </c>
      <c r="I90" s="64">
        <v>3.98</v>
      </c>
      <c r="J90" s="64">
        <v>0.18</v>
      </c>
      <c r="K90" s="64">
        <v>348</v>
      </c>
      <c r="L90" s="64">
        <v>26.35</v>
      </c>
      <c r="M90" s="64">
        <v>79.680000000000007</v>
      </c>
      <c r="N90" s="64">
        <v>50.7</v>
      </c>
      <c r="O90" s="64">
        <v>0</v>
      </c>
      <c r="P90" s="64">
        <v>0.34</v>
      </c>
      <c r="Q90" s="64">
        <v>9.1</v>
      </c>
      <c r="S90" s="198"/>
      <c r="T90" s="198"/>
      <c r="U90" s="198"/>
    </row>
    <row r="91" spans="1:26" s="12" customFormat="1" x14ac:dyDescent="0.25">
      <c r="A91" s="211" t="s">
        <v>1383</v>
      </c>
      <c r="B91" s="64">
        <v>6.34</v>
      </c>
      <c r="C91" s="64">
        <v>15.22</v>
      </c>
      <c r="D91" s="64">
        <v>19.399999999999999</v>
      </c>
      <c r="E91" s="64">
        <v>4.47</v>
      </c>
      <c r="F91" s="64">
        <v>3.05</v>
      </c>
      <c r="G91" s="64">
        <v>52.31</v>
      </c>
      <c r="H91" s="64">
        <v>1.61</v>
      </c>
      <c r="I91" s="64">
        <v>4.09</v>
      </c>
      <c r="J91" s="64">
        <v>0.19</v>
      </c>
      <c r="K91" s="64">
        <v>343.08</v>
      </c>
      <c r="L91" s="64">
        <v>26.28</v>
      </c>
      <c r="M91" s="64">
        <v>80.09</v>
      </c>
      <c r="N91" s="64">
        <v>51.1</v>
      </c>
      <c r="O91" s="64">
        <v>0</v>
      </c>
      <c r="P91" s="64">
        <v>0.35</v>
      </c>
      <c r="Q91" s="64">
        <v>9.09</v>
      </c>
      <c r="S91" s="198"/>
      <c r="T91" s="198"/>
      <c r="U91" s="198"/>
    </row>
    <row r="92" spans="1:26" s="12" customFormat="1" x14ac:dyDescent="0.25">
      <c r="A92" s="211" t="s">
        <v>1384</v>
      </c>
      <c r="B92" s="64">
        <v>9.34</v>
      </c>
      <c r="C92" s="64">
        <v>18.649999999999999</v>
      </c>
      <c r="D92" s="64">
        <v>21.36</v>
      </c>
      <c r="E92" s="64">
        <v>4.82</v>
      </c>
      <c r="F92" s="64">
        <v>4.2</v>
      </c>
      <c r="G92" s="64">
        <v>52.69</v>
      </c>
      <c r="H92" s="64">
        <v>1.39</v>
      </c>
      <c r="I92" s="64">
        <v>4.13</v>
      </c>
      <c r="J92" s="64">
        <v>0.16</v>
      </c>
      <c r="K92" s="64">
        <v>344.95</v>
      </c>
      <c r="L92" s="64">
        <v>26.24</v>
      </c>
      <c r="M92" s="64">
        <v>80.23</v>
      </c>
      <c r="N92" s="64">
        <v>51.3</v>
      </c>
      <c r="O92" s="64">
        <v>0</v>
      </c>
      <c r="P92" s="64">
        <v>0.37</v>
      </c>
      <c r="Q92" s="64">
        <v>9.1</v>
      </c>
      <c r="S92" s="198"/>
      <c r="T92" s="198"/>
      <c r="U92" s="198"/>
    </row>
    <row r="93" spans="1:26" s="12" customFormat="1" x14ac:dyDescent="0.25">
      <c r="A93" s="211" t="s">
        <v>1385</v>
      </c>
      <c r="B93" s="64">
        <v>8.39</v>
      </c>
      <c r="C93" s="64">
        <v>18.25</v>
      </c>
      <c r="D93" s="64">
        <v>22.05</v>
      </c>
      <c r="E93" s="64">
        <v>4.74</v>
      </c>
      <c r="F93" s="64">
        <v>4.76</v>
      </c>
      <c r="G93" s="64">
        <v>53.76</v>
      </c>
      <c r="H93" s="64">
        <v>0.8</v>
      </c>
      <c r="I93" s="64">
        <v>4</v>
      </c>
      <c r="J93" s="64">
        <v>0.11</v>
      </c>
      <c r="K93" s="64">
        <v>333.53</v>
      </c>
      <c r="L93" s="64">
        <v>26.13</v>
      </c>
      <c r="M93" s="64">
        <v>81</v>
      </c>
      <c r="N93" s="64">
        <v>51.6</v>
      </c>
      <c r="O93" s="64">
        <v>0</v>
      </c>
      <c r="P93" s="64">
        <v>0.34</v>
      </c>
      <c r="Q93" s="64">
        <v>9.11</v>
      </c>
      <c r="S93" s="198"/>
      <c r="T93" s="198"/>
      <c r="U93" s="198"/>
    </row>
    <row r="94" spans="1:26" s="12" customFormat="1" x14ac:dyDescent="0.25">
      <c r="A94" s="211" t="s">
        <v>1386</v>
      </c>
      <c r="B94" s="64">
        <v>9.1</v>
      </c>
      <c r="C94" s="64">
        <v>19.59</v>
      </c>
      <c r="D94" s="64">
        <v>23.52</v>
      </c>
      <c r="E94" s="64">
        <v>4.9000000000000004</v>
      </c>
      <c r="F94" s="64">
        <v>4.5599999999999996</v>
      </c>
      <c r="G94" s="64">
        <v>53.76</v>
      </c>
      <c r="H94" s="64">
        <v>0.8</v>
      </c>
      <c r="I94" s="64">
        <v>4.0199999999999996</v>
      </c>
      <c r="J94" s="64">
        <v>0.13</v>
      </c>
      <c r="K94" s="64">
        <v>327.05</v>
      </c>
      <c r="L94" s="64">
        <v>26.06</v>
      </c>
      <c r="M94" s="64">
        <v>82.13</v>
      </c>
      <c r="N94" s="64">
        <v>51.6</v>
      </c>
      <c r="O94" s="64">
        <v>0</v>
      </c>
      <c r="P94" s="64">
        <v>0.35</v>
      </c>
      <c r="Q94" s="64">
        <v>9.14</v>
      </c>
      <c r="S94" s="198"/>
      <c r="T94" s="198"/>
      <c r="U94" s="198"/>
    </row>
    <row r="95" spans="1:26" s="12" customFormat="1" x14ac:dyDescent="0.25">
      <c r="A95" s="211" t="s">
        <v>1387</v>
      </c>
      <c r="B95" s="64">
        <v>8.9600000000000009</v>
      </c>
      <c r="C95" s="64">
        <v>19.309999999999999</v>
      </c>
      <c r="D95" s="64">
        <v>23.21</v>
      </c>
      <c r="E95" s="64">
        <v>4.58</v>
      </c>
      <c r="F95" s="64">
        <v>4.49</v>
      </c>
      <c r="G95" s="64">
        <v>53.76</v>
      </c>
      <c r="H95" s="64">
        <v>0.8</v>
      </c>
      <c r="I95" s="64">
        <v>4.03</v>
      </c>
      <c r="J95" s="64">
        <v>0.15</v>
      </c>
      <c r="K95" s="64">
        <v>324.20999999999998</v>
      </c>
      <c r="L95" s="64">
        <v>26.01</v>
      </c>
      <c r="M95" s="64">
        <v>82.38</v>
      </c>
      <c r="N95" s="64">
        <v>51.6</v>
      </c>
      <c r="O95" s="64">
        <v>0</v>
      </c>
      <c r="P95" s="64">
        <v>0.36</v>
      </c>
      <c r="Q95" s="64">
        <v>9.18</v>
      </c>
      <c r="S95" s="198"/>
      <c r="T95" s="198"/>
      <c r="U95" s="198"/>
    </row>
    <row r="96" spans="1:26" s="12" customFormat="1" x14ac:dyDescent="0.25">
      <c r="A96" s="211" t="s">
        <v>1388</v>
      </c>
      <c r="B96" s="64">
        <v>9.82</v>
      </c>
      <c r="C96" s="64">
        <v>19.260000000000002</v>
      </c>
      <c r="D96" s="64">
        <v>21.78</v>
      </c>
      <c r="E96" s="64">
        <v>4.76</v>
      </c>
      <c r="F96" s="64">
        <v>4.5599999999999996</v>
      </c>
      <c r="G96" s="64">
        <v>52.51</v>
      </c>
      <c r="H96" s="64">
        <v>4.79</v>
      </c>
      <c r="I96" s="64">
        <v>3.94</v>
      </c>
      <c r="J96" s="64">
        <v>0.12</v>
      </c>
      <c r="K96" s="64">
        <v>323.98</v>
      </c>
      <c r="L96" s="64">
        <v>25.88</v>
      </c>
      <c r="M96" s="64">
        <v>83.37</v>
      </c>
      <c r="N96" s="64">
        <v>51.6</v>
      </c>
      <c r="O96" s="64">
        <v>0</v>
      </c>
      <c r="P96" s="64">
        <v>0.37</v>
      </c>
      <c r="Q96" s="64">
        <v>9.1999999999999993</v>
      </c>
      <c r="S96" s="198"/>
      <c r="T96" s="198"/>
      <c r="U96" s="198"/>
      <c r="Z96" s="109"/>
    </row>
    <row r="97" spans="1:33" s="12" customFormat="1" x14ac:dyDescent="0.25">
      <c r="A97" s="211" t="s">
        <v>1389</v>
      </c>
      <c r="B97" s="64">
        <v>10.78</v>
      </c>
      <c r="C97" s="64">
        <v>21.92</v>
      </c>
      <c r="D97" s="64">
        <v>25.4</v>
      </c>
      <c r="E97" s="64">
        <v>4.84</v>
      </c>
      <c r="F97" s="64">
        <v>4.3499999999999996</v>
      </c>
      <c r="G97" s="64">
        <v>49.26</v>
      </c>
      <c r="H97" s="64">
        <v>15.76</v>
      </c>
      <c r="I97" s="64">
        <v>3.94</v>
      </c>
      <c r="J97" s="64">
        <v>0.09</v>
      </c>
      <c r="K97" s="64">
        <v>330.55</v>
      </c>
      <c r="L97" s="64">
        <v>25.79</v>
      </c>
      <c r="M97" s="64">
        <v>84.29</v>
      </c>
      <c r="N97" s="64">
        <v>51.6</v>
      </c>
      <c r="O97" s="64">
        <v>0</v>
      </c>
      <c r="P97" s="64">
        <v>0.33</v>
      </c>
      <c r="Q97" s="64">
        <v>9.2100000000000009</v>
      </c>
      <c r="S97" s="198"/>
      <c r="T97" s="198"/>
      <c r="U97" s="198"/>
    </row>
    <row r="98" spans="1:33" s="12" customFormat="1" x14ac:dyDescent="0.25">
      <c r="A98" s="211" t="s">
        <v>1390</v>
      </c>
      <c r="B98" s="64">
        <v>8.11</v>
      </c>
      <c r="C98" s="64">
        <v>17.23</v>
      </c>
      <c r="D98" s="64">
        <v>20.54</v>
      </c>
      <c r="E98" s="64">
        <v>4.91</v>
      </c>
      <c r="F98" s="64">
        <v>4.6100000000000003</v>
      </c>
      <c r="G98" s="64">
        <v>49.26</v>
      </c>
      <c r="H98" s="64">
        <v>15.76</v>
      </c>
      <c r="I98" s="64">
        <v>3.97</v>
      </c>
      <c r="J98" s="64">
        <v>0.14000000000000001</v>
      </c>
      <c r="K98" s="64">
        <v>330.9</v>
      </c>
      <c r="L98" s="64">
        <v>25.63</v>
      </c>
      <c r="M98" s="64">
        <v>85.73</v>
      </c>
      <c r="N98" s="64">
        <v>51.4</v>
      </c>
      <c r="O98" s="64">
        <v>0</v>
      </c>
      <c r="P98" s="64">
        <v>0.32</v>
      </c>
      <c r="Q98" s="64">
        <v>9.2100000000000009</v>
      </c>
      <c r="S98" s="198"/>
      <c r="T98" s="198"/>
      <c r="U98" s="198"/>
    </row>
    <row r="99" spans="1:33" s="12" customFormat="1" x14ac:dyDescent="0.25">
      <c r="A99" s="211" t="s">
        <v>1391</v>
      </c>
      <c r="B99" s="64">
        <v>10.58</v>
      </c>
      <c r="C99" s="64">
        <v>18.8</v>
      </c>
      <c r="D99" s="64">
        <v>19.739999999999998</v>
      </c>
      <c r="E99" s="64">
        <v>4.9800000000000004</v>
      </c>
      <c r="F99" s="64">
        <v>3.98</v>
      </c>
      <c r="G99" s="64">
        <v>49.26</v>
      </c>
      <c r="H99" s="64">
        <v>15.76</v>
      </c>
      <c r="I99" s="64">
        <v>3.96</v>
      </c>
      <c r="J99" s="64">
        <v>0.15</v>
      </c>
      <c r="K99" s="64">
        <v>322.74</v>
      </c>
      <c r="L99" s="64">
        <v>25.58</v>
      </c>
      <c r="M99" s="64">
        <v>86.26</v>
      </c>
      <c r="N99" s="64">
        <v>51.4</v>
      </c>
      <c r="O99" s="64">
        <v>0</v>
      </c>
      <c r="P99" s="64">
        <v>0.31</v>
      </c>
      <c r="Q99" s="64">
        <v>9.1999999999999993</v>
      </c>
      <c r="S99" s="198"/>
      <c r="T99" s="198"/>
      <c r="U99" s="198"/>
    </row>
    <row r="100" spans="1:33" s="12" customFormat="1" x14ac:dyDescent="0.25">
      <c r="A100" s="211" t="s">
        <v>1392</v>
      </c>
      <c r="B100" s="64">
        <v>8.6199999999999992</v>
      </c>
      <c r="C100" s="64">
        <v>16.43</v>
      </c>
      <c r="D100" s="64">
        <v>18.2</v>
      </c>
      <c r="E100" s="64">
        <v>4.96</v>
      </c>
      <c r="F100" s="64">
        <v>4.29</v>
      </c>
      <c r="G100" s="64">
        <v>50.68</v>
      </c>
      <c r="H100" s="64">
        <v>13.12</v>
      </c>
      <c r="I100" s="64">
        <v>3.99</v>
      </c>
      <c r="J100" s="64">
        <v>0.14000000000000001</v>
      </c>
      <c r="K100" s="64">
        <v>322.14999999999998</v>
      </c>
      <c r="L100" s="64">
        <v>25.49</v>
      </c>
      <c r="M100" s="64">
        <v>86.45</v>
      </c>
      <c r="N100" s="64">
        <v>51.6</v>
      </c>
      <c r="O100" s="64">
        <v>0</v>
      </c>
      <c r="P100" s="64">
        <v>0.33</v>
      </c>
      <c r="Q100" s="64">
        <v>9.1999999999999993</v>
      </c>
      <c r="S100" s="198"/>
      <c r="T100" s="198"/>
      <c r="U100" s="198"/>
      <c r="AB100" s="110"/>
      <c r="AG100" s="109"/>
    </row>
    <row r="101" spans="1:33" s="12" customFormat="1" x14ac:dyDescent="0.25">
      <c r="A101" s="211" t="s">
        <v>1393</v>
      </c>
      <c r="B101" s="64">
        <v>7.77</v>
      </c>
      <c r="C101" s="64">
        <v>15.48</v>
      </c>
      <c r="D101" s="64">
        <v>17.690000000000001</v>
      </c>
      <c r="E101" s="64">
        <v>5.07</v>
      </c>
      <c r="F101" s="64">
        <v>3.58</v>
      </c>
      <c r="G101" s="64">
        <v>54.59</v>
      </c>
      <c r="H101" s="64">
        <v>5.88</v>
      </c>
      <c r="I101" s="64">
        <v>3.9</v>
      </c>
      <c r="J101" s="64">
        <v>0.14000000000000001</v>
      </c>
      <c r="K101" s="64">
        <v>316.47000000000003</v>
      </c>
      <c r="L101" s="64">
        <v>25.39</v>
      </c>
      <c r="M101" s="64">
        <v>86.89</v>
      </c>
      <c r="N101" s="64">
        <v>51.9</v>
      </c>
      <c r="O101" s="64">
        <v>0</v>
      </c>
      <c r="P101" s="64">
        <v>0.33</v>
      </c>
      <c r="Q101" s="64">
        <v>9.19</v>
      </c>
      <c r="S101" s="198"/>
      <c r="T101" s="198"/>
      <c r="U101" s="198"/>
    </row>
    <row r="102" spans="1:33" s="12" customFormat="1" x14ac:dyDescent="0.25">
      <c r="A102" s="211" t="s">
        <v>1394</v>
      </c>
      <c r="B102" s="64">
        <v>7.35</v>
      </c>
      <c r="C102" s="64">
        <v>15.05</v>
      </c>
      <c r="D102" s="64">
        <v>17.52</v>
      </c>
      <c r="E102" s="64">
        <v>5.13</v>
      </c>
      <c r="F102" s="64">
        <v>2.71</v>
      </c>
      <c r="G102" s="64">
        <v>54.59</v>
      </c>
      <c r="H102" s="64">
        <v>5.88</v>
      </c>
      <c r="I102" s="64">
        <v>4.17</v>
      </c>
      <c r="J102" s="64">
        <v>0.18</v>
      </c>
      <c r="K102" s="64">
        <v>319.05</v>
      </c>
      <c r="L102" s="64">
        <v>25.32</v>
      </c>
      <c r="M102" s="64">
        <v>87.45</v>
      </c>
      <c r="N102" s="64">
        <v>52</v>
      </c>
      <c r="O102" s="64">
        <v>0</v>
      </c>
      <c r="P102" s="64">
        <v>0.28999999999999998</v>
      </c>
      <c r="Q102" s="64">
        <v>9.17</v>
      </c>
      <c r="S102" s="198"/>
      <c r="T102" s="198"/>
      <c r="U102" s="198"/>
    </row>
    <row r="103" spans="1:33" s="12" customFormat="1" x14ac:dyDescent="0.25">
      <c r="A103" s="211" t="s">
        <v>1395</v>
      </c>
      <c r="B103" s="64">
        <v>7.16</v>
      </c>
      <c r="C103" s="64">
        <v>14.62</v>
      </c>
      <c r="D103" s="64">
        <v>16.989999999999998</v>
      </c>
      <c r="E103" s="64">
        <v>5.22</v>
      </c>
      <c r="F103" s="64">
        <v>3.93</v>
      </c>
      <c r="G103" s="64">
        <v>54.59</v>
      </c>
      <c r="H103" s="64">
        <v>5.88</v>
      </c>
      <c r="I103" s="64">
        <v>3.9</v>
      </c>
      <c r="J103" s="64">
        <v>0.17</v>
      </c>
      <c r="K103" s="64">
        <v>328.5</v>
      </c>
      <c r="L103" s="64">
        <v>25.26</v>
      </c>
      <c r="M103" s="64">
        <v>88.07</v>
      </c>
      <c r="N103" s="64">
        <v>52</v>
      </c>
      <c r="O103" s="64">
        <v>0</v>
      </c>
      <c r="P103" s="64">
        <v>0.28000000000000003</v>
      </c>
      <c r="Q103" s="64">
        <v>9.14</v>
      </c>
      <c r="S103" s="198"/>
      <c r="T103" s="198"/>
      <c r="U103" s="198"/>
    </row>
    <row r="104" spans="1:33" s="12" customFormat="1" x14ac:dyDescent="0.25">
      <c r="A104" s="211" t="s">
        <v>1396</v>
      </c>
      <c r="B104" s="64">
        <v>6.77</v>
      </c>
      <c r="C104" s="64">
        <v>14.31</v>
      </c>
      <c r="D104" s="64">
        <v>17</v>
      </c>
      <c r="E104" s="64">
        <v>4.97</v>
      </c>
      <c r="F104" s="64">
        <v>3.19</v>
      </c>
      <c r="G104" s="64">
        <v>50.14</v>
      </c>
      <c r="H104" s="64">
        <v>4.7300000000000004</v>
      </c>
      <c r="I104" s="64">
        <v>3.93</v>
      </c>
      <c r="J104" s="64">
        <v>0.15</v>
      </c>
      <c r="K104" s="64">
        <v>311.32</v>
      </c>
      <c r="L104" s="64">
        <v>25.21</v>
      </c>
      <c r="M104" s="64">
        <v>88.69</v>
      </c>
      <c r="N104" s="64">
        <v>52</v>
      </c>
      <c r="O104" s="64">
        <v>0</v>
      </c>
      <c r="P104" s="64">
        <v>0.27</v>
      </c>
      <c r="Q104" s="64">
        <v>9.1199999999999992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4.24</v>
      </c>
      <c r="C106" s="67">
        <f>MIN(C9:C104)</f>
        <v>12.4</v>
      </c>
      <c r="D106" s="67">
        <f t="shared" ref="D106:Q106" si="0">MIN(D9:D104)</f>
        <v>12.9</v>
      </c>
      <c r="E106" s="67">
        <f t="shared" si="0"/>
        <v>3.56</v>
      </c>
      <c r="F106" s="67">
        <f t="shared" si="0"/>
        <v>2.71</v>
      </c>
      <c r="G106" s="67">
        <f t="shared" si="0"/>
        <v>30.22</v>
      </c>
      <c r="H106" s="67">
        <f t="shared" si="0"/>
        <v>0.8</v>
      </c>
      <c r="I106" s="67">
        <f t="shared" si="0"/>
        <v>3.8</v>
      </c>
      <c r="J106" s="67">
        <f t="shared" si="0"/>
        <v>0.01</v>
      </c>
      <c r="K106" s="67">
        <f t="shared" si="0"/>
        <v>138.87</v>
      </c>
      <c r="L106" s="67">
        <f t="shared" si="0"/>
        <v>24.26</v>
      </c>
      <c r="M106" s="67">
        <f t="shared" si="0"/>
        <v>59.39</v>
      </c>
      <c r="N106" s="67">
        <f t="shared" si="0"/>
        <v>48.7</v>
      </c>
      <c r="O106" s="67">
        <f t="shared" si="0"/>
        <v>0</v>
      </c>
      <c r="P106" s="67">
        <f t="shared" si="0"/>
        <v>0.16</v>
      </c>
      <c r="Q106" s="67">
        <f t="shared" si="0"/>
        <v>9.09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11.22</v>
      </c>
      <c r="C107" s="66">
        <f t="shared" ref="C107:Q107" si="1">MAX(C9:C104)</f>
        <v>21.92</v>
      </c>
      <c r="D107" s="66">
        <f t="shared" si="1"/>
        <v>25.4</v>
      </c>
      <c r="E107" s="66">
        <f t="shared" si="1"/>
        <v>5.43</v>
      </c>
      <c r="F107" s="66">
        <f t="shared" si="1"/>
        <v>7.85</v>
      </c>
      <c r="G107" s="66">
        <f t="shared" si="1"/>
        <v>69.86</v>
      </c>
      <c r="H107" s="66">
        <f t="shared" si="1"/>
        <v>707.68</v>
      </c>
      <c r="I107" s="66">
        <f t="shared" si="1"/>
        <v>4.3</v>
      </c>
      <c r="J107" s="66">
        <f t="shared" si="1"/>
        <v>1</v>
      </c>
      <c r="K107" s="66">
        <f t="shared" si="1"/>
        <v>350.62</v>
      </c>
      <c r="L107" s="66">
        <f t="shared" si="1"/>
        <v>31.63</v>
      </c>
      <c r="M107" s="66">
        <f t="shared" si="1"/>
        <v>98.23</v>
      </c>
      <c r="N107" s="66">
        <f t="shared" si="1"/>
        <v>599.1</v>
      </c>
      <c r="O107" s="66">
        <f t="shared" si="1"/>
        <v>0</v>
      </c>
      <c r="P107" s="66">
        <f t="shared" si="1"/>
        <v>0.49</v>
      </c>
      <c r="Q107" s="66">
        <f t="shared" si="1"/>
        <v>9.39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7.5923958333333319</v>
      </c>
      <c r="C108" s="67">
        <f t="shared" ref="C108:Q108" si="2">AVERAGE(C9:C104)</f>
        <v>16.040937499999998</v>
      </c>
      <c r="D108" s="67">
        <f t="shared" si="2"/>
        <v>19.049583333333334</v>
      </c>
      <c r="E108" s="67">
        <f t="shared" si="2"/>
        <v>4.4340624999999996</v>
      </c>
      <c r="F108" s="67">
        <f t="shared" si="2"/>
        <v>4.4373958333333334</v>
      </c>
      <c r="G108" s="67">
        <f t="shared" si="2"/>
        <v>52.0488541666667</v>
      </c>
      <c r="H108" s="67">
        <f t="shared" si="2"/>
        <v>41.314375000000013</v>
      </c>
      <c r="I108" s="67">
        <f t="shared" si="2"/>
        <v>4.0001041666666648</v>
      </c>
      <c r="J108" s="67">
        <f t="shared" si="2"/>
        <v>0.28395833333333337</v>
      </c>
      <c r="K108" s="67">
        <f t="shared" si="2"/>
        <v>286.03958333333338</v>
      </c>
      <c r="L108" s="67">
        <f t="shared" si="2"/>
        <v>26.995729166666674</v>
      </c>
      <c r="M108" s="67">
        <f t="shared" si="2"/>
        <v>79.76947916666667</v>
      </c>
      <c r="N108" s="67">
        <f t="shared" si="2"/>
        <v>147.52395833333335</v>
      </c>
      <c r="O108" s="67">
        <f t="shared" si="2"/>
        <v>0</v>
      </c>
      <c r="P108" s="67">
        <f t="shared" si="2"/>
        <v>0.32624999999999998</v>
      </c>
      <c r="Q108" s="67">
        <f t="shared" si="2"/>
        <v>9.1754166666666706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1.9968800637582349</v>
      </c>
      <c r="C109" s="67">
        <f t="shared" ref="C109:Q109" si="3">STDEV(C9:C104)</f>
        <v>1.8496981706128395</v>
      </c>
      <c r="D109" s="67">
        <f t="shared" si="3"/>
        <v>3.3688045409444327</v>
      </c>
      <c r="E109" s="67">
        <f t="shared" si="3"/>
        <v>0.38123229035658346</v>
      </c>
      <c r="F109" s="67">
        <f t="shared" si="3"/>
        <v>0.97113741755321348</v>
      </c>
      <c r="G109" s="67">
        <f t="shared" si="3"/>
        <v>13.358728183223182</v>
      </c>
      <c r="H109" s="67">
        <f t="shared" si="3"/>
        <v>132.78345259788881</v>
      </c>
      <c r="I109" s="67">
        <f t="shared" si="3"/>
        <v>8.3659646207169494E-2</v>
      </c>
      <c r="J109" s="67">
        <f t="shared" si="3"/>
        <v>0.18418228480255042</v>
      </c>
      <c r="K109" s="67">
        <f t="shared" si="3"/>
        <v>52.931622384408179</v>
      </c>
      <c r="L109" s="67">
        <f t="shared" si="3"/>
        <v>2.2067040174463899</v>
      </c>
      <c r="M109" s="67">
        <f t="shared" si="3"/>
        <v>11.886396768867105</v>
      </c>
      <c r="N109" s="67">
        <f t="shared" si="3"/>
        <v>141.59090049917285</v>
      </c>
      <c r="O109" s="67">
        <f t="shared" si="3"/>
        <v>0</v>
      </c>
      <c r="P109" s="67">
        <f t="shared" si="3"/>
        <v>8.9091909964107652E-2</v>
      </c>
      <c r="Q109" s="67">
        <f t="shared" si="3"/>
        <v>6.6489677341542736E-2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COUNT(J9:J104)+1</f>
        <v>97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9" sqref="F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1493</v>
      </c>
      <c r="B9" s="64">
        <v>7.79</v>
      </c>
      <c r="C9" s="64">
        <v>13.37</v>
      </c>
      <c r="D9" s="64">
        <v>13.64</v>
      </c>
      <c r="E9" s="64">
        <v>4.9000000000000004</v>
      </c>
      <c r="F9" s="64">
        <v>4.75</v>
      </c>
      <c r="G9" s="64">
        <v>35.659999999999997</v>
      </c>
      <c r="H9" s="64">
        <v>13.31</v>
      </c>
      <c r="I9" s="64">
        <v>3.89</v>
      </c>
      <c r="J9" s="64">
        <v>0.1</v>
      </c>
      <c r="K9" s="64">
        <v>327.44</v>
      </c>
      <c r="L9" s="64">
        <v>24.44</v>
      </c>
      <c r="M9" s="64">
        <v>97.74</v>
      </c>
      <c r="N9" s="64">
        <v>52</v>
      </c>
      <c r="O9" s="64">
        <v>0</v>
      </c>
      <c r="P9" s="64">
        <v>0.2</v>
      </c>
      <c r="Q9" s="64">
        <v>9.18</v>
      </c>
      <c r="R9" s="198"/>
      <c r="S9" s="198"/>
      <c r="T9" s="198"/>
      <c r="U9" s="198"/>
    </row>
    <row r="10" spans="1:21" s="12" customFormat="1" x14ac:dyDescent="0.25">
      <c r="A10" s="211" t="s">
        <v>1494</v>
      </c>
      <c r="B10" s="64">
        <v>7.28</v>
      </c>
      <c r="C10" s="64">
        <v>12.76</v>
      </c>
      <c r="D10" s="64">
        <v>13.25</v>
      </c>
      <c r="E10" s="64">
        <v>4.87</v>
      </c>
      <c r="F10" s="64">
        <v>6.9</v>
      </c>
      <c r="G10" s="64">
        <v>35.659999999999997</v>
      </c>
      <c r="H10" s="64">
        <v>13.31</v>
      </c>
      <c r="I10" s="64">
        <v>4.09</v>
      </c>
      <c r="J10" s="64">
        <v>0.03</v>
      </c>
      <c r="K10" s="64">
        <v>192.83</v>
      </c>
      <c r="L10" s="64">
        <v>24.42</v>
      </c>
      <c r="M10" s="64">
        <v>97.75</v>
      </c>
      <c r="N10" s="64">
        <v>52.3</v>
      </c>
      <c r="O10" s="64">
        <v>0</v>
      </c>
      <c r="P10" s="64">
        <v>0.18</v>
      </c>
      <c r="Q10" s="64">
        <v>9.18</v>
      </c>
      <c r="R10" s="198"/>
      <c r="S10" s="198"/>
      <c r="T10" s="198"/>
      <c r="U10" s="198"/>
    </row>
    <row r="11" spans="1:21" s="12" customFormat="1" x14ac:dyDescent="0.25">
      <c r="A11" s="211" t="s">
        <v>1495</v>
      </c>
      <c r="B11" s="64">
        <v>6.93</v>
      </c>
      <c r="C11" s="64">
        <v>12.34</v>
      </c>
      <c r="D11" s="64">
        <v>12.99</v>
      </c>
      <c r="E11" s="64">
        <v>4.75</v>
      </c>
      <c r="F11" s="64">
        <v>7.53</v>
      </c>
      <c r="G11" s="64">
        <v>35.659999999999997</v>
      </c>
      <c r="H11" s="64">
        <v>13.31</v>
      </c>
      <c r="I11" s="64">
        <v>4.13</v>
      </c>
      <c r="J11" s="64">
        <v>7.0000000000000007E-2</v>
      </c>
      <c r="K11" s="64">
        <v>231.16</v>
      </c>
      <c r="L11" s="64">
        <v>24.35</v>
      </c>
      <c r="M11" s="64">
        <v>97.77</v>
      </c>
      <c r="N11" s="64">
        <v>52.4</v>
      </c>
      <c r="O11" s="64">
        <v>0</v>
      </c>
      <c r="P11" s="64">
        <v>0.17</v>
      </c>
      <c r="Q11" s="64">
        <v>9.19</v>
      </c>
      <c r="R11" s="198"/>
      <c r="S11" s="198"/>
      <c r="T11" s="198"/>
      <c r="U11" s="198"/>
    </row>
    <row r="12" spans="1:21" s="12" customFormat="1" x14ac:dyDescent="0.25">
      <c r="A12" s="211" t="s">
        <v>1496</v>
      </c>
      <c r="B12" s="64">
        <v>6.79</v>
      </c>
      <c r="C12" s="64">
        <v>12.1</v>
      </c>
      <c r="D12" s="64">
        <v>12.75</v>
      </c>
      <c r="E12" s="64">
        <v>5</v>
      </c>
      <c r="F12" s="64">
        <v>7.1</v>
      </c>
      <c r="G12" s="64">
        <v>35.74</v>
      </c>
      <c r="H12" s="64">
        <v>12.28</v>
      </c>
      <c r="I12" s="64">
        <v>3.97</v>
      </c>
      <c r="J12" s="64">
        <v>0.06</v>
      </c>
      <c r="K12" s="64">
        <v>216.96</v>
      </c>
      <c r="L12" s="64">
        <v>24.28</v>
      </c>
      <c r="M12" s="64">
        <v>97.78</v>
      </c>
      <c r="N12" s="64">
        <v>52.3</v>
      </c>
      <c r="O12" s="64">
        <v>0</v>
      </c>
      <c r="P12" s="64">
        <v>0.16</v>
      </c>
      <c r="Q12" s="64">
        <v>9.19</v>
      </c>
      <c r="R12" s="198"/>
      <c r="S12" s="198"/>
      <c r="T12" s="198"/>
      <c r="U12" s="198"/>
    </row>
    <row r="13" spans="1:21" s="12" customFormat="1" x14ac:dyDescent="0.25">
      <c r="A13" s="211" t="s">
        <v>1497</v>
      </c>
      <c r="B13" s="64">
        <v>6.63</v>
      </c>
      <c r="C13" s="64">
        <v>11.79</v>
      </c>
      <c r="D13" s="64">
        <v>12.38</v>
      </c>
      <c r="E13" s="64">
        <v>5.18</v>
      </c>
      <c r="F13" s="64">
        <v>7.37</v>
      </c>
      <c r="G13" s="64">
        <v>35.92</v>
      </c>
      <c r="H13" s="64">
        <v>9.4600000000000009</v>
      </c>
      <c r="I13" s="64">
        <v>3.9</v>
      </c>
      <c r="J13" s="64">
        <v>0.04</v>
      </c>
      <c r="K13" s="64">
        <v>320.22000000000003</v>
      </c>
      <c r="L13" s="64">
        <v>24.29</v>
      </c>
      <c r="M13" s="64">
        <v>97.78</v>
      </c>
      <c r="N13" s="64">
        <v>52.4</v>
      </c>
      <c r="O13" s="64">
        <v>0</v>
      </c>
      <c r="P13" s="64">
        <v>0.2</v>
      </c>
      <c r="Q13" s="64">
        <v>9.19</v>
      </c>
      <c r="R13" s="198"/>
      <c r="S13" s="198"/>
      <c r="T13" s="198"/>
      <c r="U13" s="198"/>
    </row>
    <row r="14" spans="1:21" s="12" customFormat="1" x14ac:dyDescent="0.25">
      <c r="A14" s="211" t="s">
        <v>1498</v>
      </c>
      <c r="B14" s="64">
        <v>8.14</v>
      </c>
      <c r="C14" s="64">
        <v>13.34</v>
      </c>
      <c r="D14" s="64">
        <v>13.05</v>
      </c>
      <c r="E14" s="64">
        <v>5.29</v>
      </c>
      <c r="F14" s="64">
        <v>4.29</v>
      </c>
      <c r="G14" s="64">
        <v>35.92</v>
      </c>
      <c r="H14" s="64">
        <v>9.4600000000000009</v>
      </c>
      <c r="I14" s="64">
        <v>3.81</v>
      </c>
      <c r="J14" s="64">
        <v>0.09</v>
      </c>
      <c r="K14" s="64">
        <v>334.96</v>
      </c>
      <c r="L14" s="64">
        <v>24.34</v>
      </c>
      <c r="M14" s="64">
        <v>97.79</v>
      </c>
      <c r="N14" s="64">
        <v>52.7</v>
      </c>
      <c r="O14" s="64">
        <v>0</v>
      </c>
      <c r="P14" s="64">
        <v>0.24</v>
      </c>
      <c r="Q14" s="64">
        <v>9.19</v>
      </c>
      <c r="R14" s="198"/>
      <c r="S14" s="198"/>
      <c r="T14" s="198"/>
      <c r="U14" s="198"/>
    </row>
    <row r="15" spans="1:21" s="12" customFormat="1" x14ac:dyDescent="0.25">
      <c r="A15" s="211" t="s">
        <v>1499</v>
      </c>
      <c r="B15" s="64">
        <v>9.1300000000000008</v>
      </c>
      <c r="C15" s="64">
        <v>14.6</v>
      </c>
      <c r="D15" s="64">
        <v>13.94</v>
      </c>
      <c r="E15" s="64">
        <v>5.34</v>
      </c>
      <c r="F15" s="64">
        <v>3.39</v>
      </c>
      <c r="G15" s="64">
        <v>35.92</v>
      </c>
      <c r="H15" s="64">
        <v>9.4600000000000009</v>
      </c>
      <c r="I15" s="64">
        <v>4.08</v>
      </c>
      <c r="J15" s="64">
        <v>0.11</v>
      </c>
      <c r="K15" s="64">
        <v>321.06</v>
      </c>
      <c r="L15" s="64">
        <v>24.43</v>
      </c>
      <c r="M15" s="64">
        <v>97.8</v>
      </c>
      <c r="N15" s="64">
        <v>52.8</v>
      </c>
      <c r="O15" s="64">
        <v>0</v>
      </c>
      <c r="P15" s="64">
        <v>0.24</v>
      </c>
      <c r="Q15" s="64">
        <v>9.17</v>
      </c>
      <c r="R15" s="198"/>
      <c r="S15" s="198"/>
      <c r="T15" s="198"/>
      <c r="U15" s="198"/>
    </row>
    <row r="16" spans="1:21" s="12" customFormat="1" x14ac:dyDescent="0.25">
      <c r="A16" s="211" t="s">
        <v>1500</v>
      </c>
      <c r="B16" s="64">
        <v>9.02</v>
      </c>
      <c r="C16" s="64">
        <v>14.42</v>
      </c>
      <c r="D16" s="64">
        <v>13.76</v>
      </c>
      <c r="E16" s="64">
        <v>5.17</v>
      </c>
      <c r="F16" s="64">
        <v>3.36</v>
      </c>
      <c r="G16" s="64">
        <v>33.86</v>
      </c>
      <c r="H16" s="64">
        <v>9.0299999999999994</v>
      </c>
      <c r="I16" s="64">
        <v>4.12</v>
      </c>
      <c r="J16" s="64">
        <v>0.12</v>
      </c>
      <c r="K16" s="64">
        <v>311.92</v>
      </c>
      <c r="L16" s="64">
        <v>24.36</v>
      </c>
      <c r="M16" s="64">
        <v>97.67</v>
      </c>
      <c r="N16" s="64">
        <v>53</v>
      </c>
      <c r="O16" s="64">
        <v>0</v>
      </c>
      <c r="P16" s="64">
        <v>0.23</v>
      </c>
      <c r="Q16" s="64">
        <v>9.14</v>
      </c>
      <c r="R16" s="198"/>
      <c r="S16" s="198"/>
      <c r="T16" s="198"/>
      <c r="U16" s="198"/>
    </row>
    <row r="17" spans="1:21" s="12" customFormat="1" x14ac:dyDescent="0.25">
      <c r="A17" s="211" t="s">
        <v>1501</v>
      </c>
      <c r="B17" s="64">
        <v>8.57</v>
      </c>
      <c r="C17" s="64">
        <v>14.22</v>
      </c>
      <c r="D17" s="64">
        <v>14.06</v>
      </c>
      <c r="E17" s="64">
        <v>5.38</v>
      </c>
      <c r="F17" s="64">
        <v>3.92</v>
      </c>
      <c r="G17" s="64">
        <v>28.17</v>
      </c>
      <c r="H17" s="64">
        <v>7.86</v>
      </c>
      <c r="I17" s="64">
        <v>3.95</v>
      </c>
      <c r="J17" s="64">
        <v>0.18</v>
      </c>
      <c r="K17" s="64">
        <v>313.22000000000003</v>
      </c>
      <c r="L17" s="64">
        <v>24.28</v>
      </c>
      <c r="M17" s="64">
        <v>97.64</v>
      </c>
      <c r="N17" s="64">
        <v>53.1</v>
      </c>
      <c r="O17" s="64">
        <v>0</v>
      </c>
      <c r="P17" s="64">
        <v>0.23</v>
      </c>
      <c r="Q17" s="64">
        <v>9.1300000000000008</v>
      </c>
      <c r="R17" s="198"/>
      <c r="S17" s="198"/>
      <c r="T17" s="198"/>
      <c r="U17" s="198"/>
    </row>
    <row r="18" spans="1:21" s="12" customFormat="1" x14ac:dyDescent="0.25">
      <c r="A18" s="211" t="s">
        <v>1502</v>
      </c>
      <c r="B18" s="64">
        <v>7.99</v>
      </c>
      <c r="C18" s="64">
        <v>13.96</v>
      </c>
      <c r="D18" s="64">
        <v>14.46</v>
      </c>
      <c r="E18" s="64">
        <v>4.8499999999999996</v>
      </c>
      <c r="F18" s="64">
        <v>3.56</v>
      </c>
      <c r="G18" s="64">
        <v>28.17</v>
      </c>
      <c r="H18" s="64">
        <v>7.86</v>
      </c>
      <c r="I18" s="64">
        <v>4.04</v>
      </c>
      <c r="J18" s="64">
        <v>0.17</v>
      </c>
      <c r="K18" s="64">
        <v>304.82</v>
      </c>
      <c r="L18" s="64">
        <v>24.21</v>
      </c>
      <c r="M18" s="64">
        <v>97.53</v>
      </c>
      <c r="N18" s="64">
        <v>53.1</v>
      </c>
      <c r="O18" s="64">
        <v>0</v>
      </c>
      <c r="P18" s="64">
        <v>0.21</v>
      </c>
      <c r="Q18" s="64">
        <v>9.1199999999999992</v>
      </c>
      <c r="R18" s="198"/>
      <c r="S18" s="198"/>
      <c r="T18" s="198"/>
      <c r="U18" s="198"/>
    </row>
    <row r="19" spans="1:21" s="12" customFormat="1" x14ac:dyDescent="0.25">
      <c r="A19" s="211" t="s">
        <v>1503</v>
      </c>
      <c r="B19" s="64">
        <v>7.35</v>
      </c>
      <c r="C19" s="64">
        <v>13.48</v>
      </c>
      <c r="D19" s="64">
        <v>14.52</v>
      </c>
      <c r="E19" s="64">
        <v>5.09</v>
      </c>
      <c r="F19" s="64">
        <v>3.69</v>
      </c>
      <c r="G19" s="64">
        <v>28.17</v>
      </c>
      <c r="H19" s="64">
        <v>7.86</v>
      </c>
      <c r="I19" s="64">
        <v>4.0199999999999996</v>
      </c>
      <c r="J19" s="64">
        <v>0.15</v>
      </c>
      <c r="K19" s="64">
        <v>313.14999999999998</v>
      </c>
      <c r="L19" s="64">
        <v>24.11</v>
      </c>
      <c r="M19" s="64">
        <v>97.38</v>
      </c>
      <c r="N19" s="64">
        <v>53.1</v>
      </c>
      <c r="O19" s="64">
        <v>0</v>
      </c>
      <c r="P19" s="64">
        <v>0.21</v>
      </c>
      <c r="Q19" s="64">
        <v>9.08</v>
      </c>
      <c r="R19" s="198"/>
      <c r="S19" s="198"/>
      <c r="T19" s="198"/>
      <c r="U19" s="198"/>
    </row>
    <row r="20" spans="1:21" s="12" customFormat="1" x14ac:dyDescent="0.25">
      <c r="A20" s="211" t="s">
        <v>1504</v>
      </c>
      <c r="B20" s="64">
        <v>6.82</v>
      </c>
      <c r="C20" s="64">
        <v>13.03</v>
      </c>
      <c r="D20" s="64">
        <v>14.48</v>
      </c>
      <c r="E20" s="64">
        <v>4.7300000000000004</v>
      </c>
      <c r="F20" s="64">
        <v>3.51</v>
      </c>
      <c r="G20" s="64">
        <v>28.79</v>
      </c>
      <c r="H20" s="64">
        <v>7.85</v>
      </c>
      <c r="I20" s="64">
        <v>3.81</v>
      </c>
      <c r="J20" s="64">
        <v>0.16</v>
      </c>
      <c r="K20" s="64">
        <v>300.73</v>
      </c>
      <c r="L20" s="64">
        <v>24.01</v>
      </c>
      <c r="M20" s="64">
        <v>97.38</v>
      </c>
      <c r="N20" s="64">
        <v>53.1</v>
      </c>
      <c r="O20" s="64">
        <v>0</v>
      </c>
      <c r="P20" s="64">
        <v>0.19</v>
      </c>
      <c r="Q20" s="64">
        <v>9.06</v>
      </c>
      <c r="R20" s="198"/>
      <c r="S20" s="198"/>
      <c r="T20" s="198"/>
      <c r="U20" s="198"/>
    </row>
    <row r="21" spans="1:21" s="12" customFormat="1" x14ac:dyDescent="0.25">
      <c r="A21" s="211" t="s">
        <v>1505</v>
      </c>
      <c r="B21" s="64">
        <v>6.48</v>
      </c>
      <c r="C21" s="64">
        <v>12.59</v>
      </c>
      <c r="D21" s="64">
        <v>14.15</v>
      </c>
      <c r="E21" s="64">
        <v>4.93</v>
      </c>
      <c r="F21" s="64">
        <v>4.26</v>
      </c>
      <c r="G21" s="64">
        <v>0</v>
      </c>
      <c r="H21" s="64">
        <v>7.84</v>
      </c>
      <c r="I21" s="64">
        <v>3.82</v>
      </c>
      <c r="J21" s="64">
        <v>0.17</v>
      </c>
      <c r="K21" s="64">
        <v>312.07</v>
      </c>
      <c r="L21" s="64">
        <v>2.21</v>
      </c>
      <c r="M21" s="64">
        <v>97.39</v>
      </c>
      <c r="N21" s="64">
        <v>53.1</v>
      </c>
      <c r="O21" s="64">
        <v>0</v>
      </c>
      <c r="P21" s="64">
        <v>0.21</v>
      </c>
      <c r="Q21" s="64">
        <v>0</v>
      </c>
      <c r="R21" s="198"/>
      <c r="S21" s="198"/>
      <c r="T21" s="198"/>
      <c r="U21" s="198"/>
    </row>
    <row r="22" spans="1:21" s="12" customFormat="1" x14ac:dyDescent="0.25">
      <c r="A22" s="211" t="s">
        <v>1506</v>
      </c>
      <c r="B22" s="64">
        <v>6.02</v>
      </c>
      <c r="C22" s="64">
        <v>12.45</v>
      </c>
      <c r="D22" s="64">
        <v>14.59</v>
      </c>
      <c r="E22" s="64">
        <v>4.8499999999999996</v>
      </c>
      <c r="F22" s="64">
        <v>2.8</v>
      </c>
      <c r="G22" s="64">
        <v>30.51</v>
      </c>
      <c r="H22" s="64">
        <v>7.84</v>
      </c>
      <c r="I22" s="64">
        <v>3.97</v>
      </c>
      <c r="J22" s="64">
        <v>0.23</v>
      </c>
      <c r="K22" s="64">
        <v>290.44</v>
      </c>
      <c r="L22" s="64">
        <v>23.99</v>
      </c>
      <c r="M22" s="64">
        <v>97.43</v>
      </c>
      <c r="N22" s="64">
        <v>53.1</v>
      </c>
      <c r="O22" s="64">
        <v>0</v>
      </c>
      <c r="P22" s="64">
        <v>0.18</v>
      </c>
      <c r="Q22" s="64">
        <v>0</v>
      </c>
      <c r="R22" s="198"/>
      <c r="S22" s="198"/>
      <c r="T22" s="198"/>
      <c r="U22" s="198"/>
    </row>
    <row r="23" spans="1:21" s="12" customFormat="1" x14ac:dyDescent="0.25">
      <c r="A23" s="211" t="s">
        <v>1507</v>
      </c>
      <c r="B23" s="64">
        <v>5.82</v>
      </c>
      <c r="C23" s="64">
        <v>12.1</v>
      </c>
      <c r="D23" s="64">
        <v>14.23</v>
      </c>
      <c r="E23" s="64">
        <v>5.05</v>
      </c>
      <c r="F23" s="64">
        <v>3.89</v>
      </c>
      <c r="G23" s="64">
        <v>30.51</v>
      </c>
      <c r="H23" s="64">
        <v>7.84</v>
      </c>
      <c r="I23" s="64">
        <v>4.0599999999999996</v>
      </c>
      <c r="J23" s="64">
        <v>0.21</v>
      </c>
      <c r="K23" s="64">
        <v>292.49</v>
      </c>
      <c r="L23" s="64">
        <v>24</v>
      </c>
      <c r="M23" s="64">
        <v>97.45</v>
      </c>
      <c r="N23" s="64">
        <v>53.1</v>
      </c>
      <c r="O23" s="64">
        <v>0</v>
      </c>
      <c r="P23" s="64">
        <v>0.2</v>
      </c>
      <c r="Q23" s="64">
        <v>9.0299999999999994</v>
      </c>
      <c r="R23" s="198"/>
      <c r="S23" s="198"/>
      <c r="T23" s="198"/>
      <c r="U23" s="198"/>
    </row>
    <row r="24" spans="1:21" s="12" customFormat="1" x14ac:dyDescent="0.25">
      <c r="A24" s="211" t="s">
        <v>1508</v>
      </c>
      <c r="B24" s="64">
        <v>5.46</v>
      </c>
      <c r="C24" s="64">
        <v>11.79</v>
      </c>
      <c r="D24" s="64">
        <v>14.2</v>
      </c>
      <c r="E24" s="64">
        <v>5.14</v>
      </c>
      <c r="F24" s="64">
        <v>3.58</v>
      </c>
      <c r="G24" s="64">
        <v>28.52</v>
      </c>
      <c r="H24" s="64">
        <v>7.27</v>
      </c>
      <c r="I24" s="64">
        <v>4.18</v>
      </c>
      <c r="J24" s="64">
        <v>0.21</v>
      </c>
      <c r="K24" s="64">
        <v>300.25</v>
      </c>
      <c r="L24" s="64">
        <v>24.04</v>
      </c>
      <c r="M24" s="64">
        <v>97.45</v>
      </c>
      <c r="N24" s="64">
        <v>53.1</v>
      </c>
      <c r="O24" s="64">
        <v>0</v>
      </c>
      <c r="P24" s="64">
        <v>0.17</v>
      </c>
      <c r="Q24" s="64">
        <v>9.02</v>
      </c>
      <c r="R24" s="198"/>
      <c r="S24" s="198"/>
      <c r="T24" s="198"/>
      <c r="U24" s="198"/>
    </row>
    <row r="25" spans="1:21" s="12" customFormat="1" x14ac:dyDescent="0.25">
      <c r="A25" s="211" t="s">
        <v>1509</v>
      </c>
      <c r="B25" s="64">
        <v>6.73</v>
      </c>
      <c r="C25" s="64">
        <v>13.36</v>
      </c>
      <c r="D25" s="64">
        <v>15.25</v>
      </c>
      <c r="E25" s="64">
        <v>4.74</v>
      </c>
      <c r="F25" s="64">
        <v>4.16</v>
      </c>
      <c r="G25" s="64">
        <v>23.05</v>
      </c>
      <c r="H25" s="64">
        <v>5.72</v>
      </c>
      <c r="I25" s="64">
        <v>3.99</v>
      </c>
      <c r="J25" s="64">
        <v>0.2</v>
      </c>
      <c r="K25" s="64">
        <v>294.95</v>
      </c>
      <c r="L25" s="64">
        <v>24.14</v>
      </c>
      <c r="M25" s="64">
        <v>97.44</v>
      </c>
      <c r="N25" s="64">
        <v>53.1</v>
      </c>
      <c r="O25" s="64">
        <v>0</v>
      </c>
      <c r="P25" s="64">
        <v>0.17</v>
      </c>
      <c r="Q25" s="64">
        <v>9.0500000000000007</v>
      </c>
      <c r="R25" s="198"/>
      <c r="S25" s="198"/>
      <c r="T25" s="198"/>
      <c r="U25" s="198"/>
    </row>
    <row r="26" spans="1:21" s="12" customFormat="1" x14ac:dyDescent="0.25">
      <c r="A26" s="211" t="s">
        <v>1510</v>
      </c>
      <c r="B26" s="64">
        <v>5.95</v>
      </c>
      <c r="C26" s="64">
        <v>12.65</v>
      </c>
      <c r="D26" s="64">
        <v>15.08</v>
      </c>
      <c r="E26" s="64">
        <v>4.8099999999999996</v>
      </c>
      <c r="F26" s="64">
        <v>4.1100000000000003</v>
      </c>
      <c r="G26" s="64">
        <v>23.05</v>
      </c>
      <c r="H26" s="64">
        <v>5.72</v>
      </c>
      <c r="I26" s="64">
        <v>4.0199999999999996</v>
      </c>
      <c r="J26" s="64">
        <v>0.15</v>
      </c>
      <c r="K26" s="64">
        <v>291.35000000000002</v>
      </c>
      <c r="L26" s="64">
        <v>24.1</v>
      </c>
      <c r="M26" s="64">
        <v>97.45</v>
      </c>
      <c r="N26" s="64">
        <v>53.2</v>
      </c>
      <c r="O26" s="64">
        <v>0</v>
      </c>
      <c r="P26" s="64">
        <v>0.17</v>
      </c>
      <c r="Q26" s="64">
        <v>9.06</v>
      </c>
      <c r="R26" s="198"/>
      <c r="S26" s="198"/>
      <c r="T26" s="198"/>
      <c r="U26" s="198"/>
    </row>
    <row r="27" spans="1:21" s="12" customFormat="1" x14ac:dyDescent="0.25">
      <c r="A27" s="211" t="s">
        <v>1511</v>
      </c>
      <c r="B27" s="64">
        <v>6.18</v>
      </c>
      <c r="C27" s="64">
        <v>13.76</v>
      </c>
      <c r="D27" s="64">
        <v>16.84</v>
      </c>
      <c r="E27" s="64">
        <v>5.09</v>
      </c>
      <c r="F27" s="64">
        <v>4.03</v>
      </c>
      <c r="G27" s="64">
        <v>23.05</v>
      </c>
      <c r="H27" s="64">
        <v>5.72</v>
      </c>
      <c r="I27" s="64">
        <v>4.09</v>
      </c>
      <c r="J27" s="64">
        <v>0.17</v>
      </c>
      <c r="K27" s="64">
        <v>293.89</v>
      </c>
      <c r="L27" s="64">
        <v>24.03</v>
      </c>
      <c r="M27" s="64">
        <v>97.47</v>
      </c>
      <c r="N27" s="64">
        <v>53.4</v>
      </c>
      <c r="O27" s="64">
        <v>0</v>
      </c>
      <c r="P27" s="64">
        <v>0.18</v>
      </c>
      <c r="Q27" s="64">
        <v>9.07</v>
      </c>
      <c r="R27" s="198"/>
      <c r="S27" s="198"/>
      <c r="T27" s="198"/>
      <c r="U27" s="198"/>
    </row>
    <row r="28" spans="1:21" s="12" customFormat="1" x14ac:dyDescent="0.25">
      <c r="A28" s="211" t="s">
        <v>1512</v>
      </c>
      <c r="B28" s="64">
        <v>6.38</v>
      </c>
      <c r="C28" s="64">
        <v>14.6</v>
      </c>
      <c r="D28" s="64">
        <v>18.16</v>
      </c>
      <c r="E28" s="64">
        <v>4.9800000000000004</v>
      </c>
      <c r="F28" s="64">
        <v>4.78</v>
      </c>
      <c r="G28" s="64">
        <v>24.44</v>
      </c>
      <c r="H28" s="64">
        <v>5.26</v>
      </c>
      <c r="I28" s="64">
        <v>4.0599999999999996</v>
      </c>
      <c r="J28" s="64">
        <v>0.14000000000000001</v>
      </c>
      <c r="K28" s="64">
        <v>290.76</v>
      </c>
      <c r="L28" s="64">
        <v>24.03</v>
      </c>
      <c r="M28" s="64">
        <v>97.46</v>
      </c>
      <c r="N28" s="64">
        <v>53.4</v>
      </c>
      <c r="O28" s="64">
        <v>0</v>
      </c>
      <c r="P28" s="64">
        <v>0.18</v>
      </c>
      <c r="Q28" s="64">
        <v>9.07</v>
      </c>
      <c r="R28" s="198"/>
      <c r="S28" s="198"/>
      <c r="T28" s="198"/>
      <c r="U28" s="198"/>
    </row>
    <row r="29" spans="1:21" s="12" customFormat="1" x14ac:dyDescent="0.25">
      <c r="A29" s="211" t="s">
        <v>1513</v>
      </c>
      <c r="B29" s="64">
        <v>6.16</v>
      </c>
      <c r="C29" s="64">
        <v>13</v>
      </c>
      <c r="D29" s="64">
        <v>15.42</v>
      </c>
      <c r="E29" s="64">
        <v>5.03</v>
      </c>
      <c r="F29" s="64">
        <v>3.74</v>
      </c>
      <c r="G29" s="64">
        <v>28.27</v>
      </c>
      <c r="H29" s="64">
        <v>4</v>
      </c>
      <c r="I29" s="64">
        <v>4.09</v>
      </c>
      <c r="J29" s="64">
        <v>0.18</v>
      </c>
      <c r="K29" s="64">
        <v>282.20999999999998</v>
      </c>
      <c r="L29" s="64">
        <v>23.99</v>
      </c>
      <c r="M29" s="64">
        <v>97.45</v>
      </c>
      <c r="N29" s="64">
        <v>53.6</v>
      </c>
      <c r="O29" s="64">
        <v>0</v>
      </c>
      <c r="P29" s="64">
        <v>0.18</v>
      </c>
      <c r="Q29" s="64">
        <v>9.07</v>
      </c>
      <c r="R29" s="198"/>
      <c r="S29" s="198"/>
      <c r="T29" s="198"/>
      <c r="U29" s="198"/>
    </row>
    <row r="30" spans="1:21" s="12" customFormat="1" x14ac:dyDescent="0.25">
      <c r="A30" s="211" t="s">
        <v>1514</v>
      </c>
      <c r="B30" s="64">
        <v>6.12</v>
      </c>
      <c r="C30" s="64">
        <v>13.14</v>
      </c>
      <c r="D30" s="64">
        <v>15.76</v>
      </c>
      <c r="E30" s="64">
        <v>4.7</v>
      </c>
      <c r="F30" s="64">
        <v>4.49</v>
      </c>
      <c r="G30" s="64">
        <v>28.27</v>
      </c>
      <c r="H30" s="64">
        <v>4</v>
      </c>
      <c r="I30" s="64">
        <v>4.03</v>
      </c>
      <c r="J30" s="64">
        <v>0.1</v>
      </c>
      <c r="K30" s="64">
        <v>290.08999999999997</v>
      </c>
      <c r="L30" s="64">
        <v>23.95</v>
      </c>
      <c r="M30" s="64">
        <v>97.46</v>
      </c>
      <c r="N30" s="64">
        <v>55.9</v>
      </c>
      <c r="O30" s="64">
        <v>0</v>
      </c>
      <c r="P30" s="64">
        <v>0.18</v>
      </c>
      <c r="Q30" s="64">
        <v>9.09</v>
      </c>
      <c r="R30" s="198"/>
      <c r="S30" s="198"/>
      <c r="T30" s="198"/>
      <c r="U30" s="198"/>
    </row>
    <row r="31" spans="1:21" s="12" customFormat="1" x14ac:dyDescent="0.25">
      <c r="A31" s="211" t="s">
        <v>1515</v>
      </c>
      <c r="B31" s="64">
        <v>6.26</v>
      </c>
      <c r="C31" s="64">
        <v>13.24</v>
      </c>
      <c r="D31" s="64">
        <v>15.74</v>
      </c>
      <c r="E31" s="64">
        <v>4.9000000000000004</v>
      </c>
      <c r="F31" s="64">
        <v>4.74</v>
      </c>
      <c r="G31" s="64">
        <v>28.27</v>
      </c>
      <c r="H31" s="64">
        <v>4</v>
      </c>
      <c r="I31" s="64">
        <v>3.99</v>
      </c>
      <c r="J31" s="64">
        <v>0.12</v>
      </c>
      <c r="K31" s="64">
        <v>284.56</v>
      </c>
      <c r="L31" s="64">
        <v>23.97</v>
      </c>
      <c r="M31" s="64">
        <v>97.48</v>
      </c>
      <c r="N31" s="64">
        <v>59.6</v>
      </c>
      <c r="O31" s="64">
        <v>0</v>
      </c>
      <c r="P31" s="64">
        <v>0.2</v>
      </c>
      <c r="Q31" s="64">
        <v>9.09</v>
      </c>
      <c r="R31" s="198"/>
      <c r="S31" s="198"/>
      <c r="T31" s="198"/>
      <c r="U31" s="198"/>
    </row>
    <row r="32" spans="1:21" s="12" customFormat="1" x14ac:dyDescent="0.25">
      <c r="A32" s="211" t="s">
        <v>1516</v>
      </c>
      <c r="B32" s="64">
        <v>6.76</v>
      </c>
      <c r="C32" s="64">
        <v>13.52</v>
      </c>
      <c r="D32" s="64">
        <v>15.51</v>
      </c>
      <c r="E32" s="64">
        <v>5.0599999999999996</v>
      </c>
      <c r="F32" s="64">
        <v>3.99</v>
      </c>
      <c r="G32" s="64">
        <v>27.86</v>
      </c>
      <c r="H32" s="64">
        <v>3.71</v>
      </c>
      <c r="I32" s="64">
        <v>4.1100000000000003</v>
      </c>
      <c r="J32" s="64">
        <v>0.12</v>
      </c>
      <c r="K32" s="64">
        <v>313.24</v>
      </c>
      <c r="L32" s="64">
        <v>23.97</v>
      </c>
      <c r="M32" s="64">
        <v>97.48</v>
      </c>
      <c r="N32" s="64">
        <v>64.2</v>
      </c>
      <c r="O32" s="64">
        <v>0</v>
      </c>
      <c r="P32" s="64">
        <v>0.2</v>
      </c>
      <c r="Q32" s="64">
        <v>9.09</v>
      </c>
      <c r="R32" s="198"/>
      <c r="S32" s="198"/>
      <c r="T32" s="198"/>
      <c r="U32" s="198"/>
    </row>
    <row r="33" spans="1:21" s="12" customFormat="1" x14ac:dyDescent="0.25">
      <c r="A33" s="211" t="s">
        <v>1517</v>
      </c>
      <c r="B33" s="64">
        <v>6.86</v>
      </c>
      <c r="C33" s="64">
        <v>13.48</v>
      </c>
      <c r="D33" s="64">
        <v>15.27</v>
      </c>
      <c r="E33" s="64">
        <v>5.12</v>
      </c>
      <c r="F33" s="64">
        <v>3.08</v>
      </c>
      <c r="G33" s="64">
        <v>26.72</v>
      </c>
      <c r="H33" s="64">
        <v>2.9</v>
      </c>
      <c r="I33" s="64">
        <v>4.05</v>
      </c>
      <c r="J33" s="64">
        <v>0.14000000000000001</v>
      </c>
      <c r="K33" s="64">
        <v>285.98</v>
      </c>
      <c r="L33" s="64">
        <v>24.01</v>
      </c>
      <c r="M33" s="64">
        <v>97.42</v>
      </c>
      <c r="N33" s="64">
        <v>77.5</v>
      </c>
      <c r="O33" s="64">
        <v>0</v>
      </c>
      <c r="P33" s="64">
        <v>0.2</v>
      </c>
      <c r="Q33" s="64">
        <v>9.08</v>
      </c>
      <c r="R33" s="198"/>
      <c r="S33" s="198"/>
      <c r="T33" s="198"/>
      <c r="U33" s="198"/>
    </row>
    <row r="34" spans="1:21" s="12" customFormat="1" x14ac:dyDescent="0.25">
      <c r="A34" s="211" t="s">
        <v>1518</v>
      </c>
      <c r="B34" s="64">
        <v>7.17</v>
      </c>
      <c r="C34" s="64">
        <v>13.48</v>
      </c>
      <c r="D34" s="64">
        <v>14.79</v>
      </c>
      <c r="E34" s="64">
        <v>4.7</v>
      </c>
      <c r="F34" s="64">
        <v>3.55</v>
      </c>
      <c r="G34" s="64">
        <v>26.72</v>
      </c>
      <c r="H34" s="64">
        <v>2.9</v>
      </c>
      <c r="I34" s="64">
        <v>4.0999999999999996</v>
      </c>
      <c r="J34" s="64">
        <v>0.11</v>
      </c>
      <c r="K34" s="64">
        <v>266.20999999999998</v>
      </c>
      <c r="L34" s="64">
        <v>24.02</v>
      </c>
      <c r="M34" s="64">
        <v>97.47</v>
      </c>
      <c r="N34" s="64">
        <v>93.6</v>
      </c>
      <c r="O34" s="64">
        <v>0</v>
      </c>
      <c r="P34" s="64">
        <v>0.19</v>
      </c>
      <c r="Q34" s="64">
        <v>9.08</v>
      </c>
      <c r="R34" s="198"/>
      <c r="S34" s="198"/>
      <c r="T34" s="198"/>
      <c r="U34" s="198"/>
    </row>
    <row r="35" spans="1:21" s="12" customFormat="1" x14ac:dyDescent="0.25">
      <c r="A35" s="211" t="s">
        <v>1519</v>
      </c>
      <c r="B35" s="64">
        <v>7.45</v>
      </c>
      <c r="C35" s="64">
        <v>13.93</v>
      </c>
      <c r="D35" s="64">
        <v>15.23</v>
      </c>
      <c r="E35" s="64">
        <v>4.6500000000000004</v>
      </c>
      <c r="F35" s="64">
        <v>3.39</v>
      </c>
      <c r="G35" s="64">
        <v>26.72</v>
      </c>
      <c r="H35" s="64">
        <v>2.9</v>
      </c>
      <c r="I35" s="64">
        <v>4.08</v>
      </c>
      <c r="J35" s="64">
        <v>0.19</v>
      </c>
      <c r="K35" s="64">
        <v>280.25</v>
      </c>
      <c r="L35" s="64">
        <v>24.09</v>
      </c>
      <c r="M35" s="64">
        <v>97.49</v>
      </c>
      <c r="N35" s="64">
        <v>100.6</v>
      </c>
      <c r="O35" s="64">
        <v>0</v>
      </c>
      <c r="P35" s="64">
        <v>0.2</v>
      </c>
      <c r="Q35" s="64">
        <v>9.08</v>
      </c>
      <c r="R35" s="198"/>
      <c r="S35" s="198"/>
      <c r="T35" s="198"/>
      <c r="U35" s="198"/>
    </row>
    <row r="36" spans="1:21" s="12" customFormat="1" x14ac:dyDescent="0.25">
      <c r="A36" s="211" t="s">
        <v>1520</v>
      </c>
      <c r="B36" s="64">
        <v>7.97</v>
      </c>
      <c r="C36" s="64">
        <v>14.37</v>
      </c>
      <c r="D36" s="64">
        <v>15.27</v>
      </c>
      <c r="E36" s="64">
        <v>4.72</v>
      </c>
      <c r="F36" s="64">
        <v>3.12</v>
      </c>
      <c r="G36" s="64">
        <v>27.79</v>
      </c>
      <c r="H36" s="64">
        <v>4.04</v>
      </c>
      <c r="I36" s="64">
        <v>4.1100000000000003</v>
      </c>
      <c r="J36" s="64">
        <v>0.18</v>
      </c>
      <c r="K36" s="64">
        <v>298.61</v>
      </c>
      <c r="L36" s="64">
        <v>24.11</v>
      </c>
      <c r="M36" s="64">
        <v>97.49</v>
      </c>
      <c r="N36" s="64">
        <v>106.9</v>
      </c>
      <c r="O36" s="64">
        <v>0</v>
      </c>
      <c r="P36" s="64">
        <v>0.2</v>
      </c>
      <c r="Q36" s="64">
        <v>9.1</v>
      </c>
      <c r="R36" s="198"/>
      <c r="S36" s="198"/>
      <c r="T36" s="198"/>
      <c r="U36" s="198"/>
    </row>
    <row r="37" spans="1:21" s="12" customFormat="1" x14ac:dyDescent="0.25">
      <c r="A37" s="211" t="s">
        <v>1521</v>
      </c>
      <c r="B37" s="64">
        <v>8.2100000000000009</v>
      </c>
      <c r="C37" s="64">
        <v>14.55</v>
      </c>
      <c r="D37" s="64">
        <v>15.25</v>
      </c>
      <c r="E37" s="64">
        <v>4.99</v>
      </c>
      <c r="F37" s="64">
        <v>3.66</v>
      </c>
      <c r="G37" s="64">
        <v>30.74</v>
      </c>
      <c r="H37" s="64">
        <v>7.18</v>
      </c>
      <c r="I37" s="64">
        <v>4.0599999999999996</v>
      </c>
      <c r="J37" s="64">
        <v>0.26</v>
      </c>
      <c r="K37" s="64">
        <v>282.63</v>
      </c>
      <c r="L37" s="64">
        <v>24.36</v>
      </c>
      <c r="M37" s="64">
        <v>97.26</v>
      </c>
      <c r="N37" s="64">
        <v>126</v>
      </c>
      <c r="O37" s="64">
        <v>0</v>
      </c>
      <c r="P37" s="64">
        <v>0.21</v>
      </c>
      <c r="Q37" s="64">
        <v>9.1</v>
      </c>
      <c r="R37" s="198"/>
      <c r="S37" s="198"/>
      <c r="T37" s="198"/>
      <c r="U37" s="198"/>
    </row>
    <row r="38" spans="1:21" s="12" customFormat="1" x14ac:dyDescent="0.25">
      <c r="A38" s="211" t="s">
        <v>1522</v>
      </c>
      <c r="B38" s="64">
        <v>8.59</v>
      </c>
      <c r="C38" s="64">
        <v>15.32</v>
      </c>
      <c r="D38" s="64">
        <v>16.14</v>
      </c>
      <c r="E38" s="64">
        <v>4.79</v>
      </c>
      <c r="F38" s="64">
        <v>2.88</v>
      </c>
      <c r="G38" s="64">
        <v>30.74</v>
      </c>
      <c r="H38" s="64">
        <v>7.18</v>
      </c>
      <c r="I38" s="64">
        <v>3.89</v>
      </c>
      <c r="J38" s="64">
        <v>0.22</v>
      </c>
      <c r="K38" s="64">
        <v>290.26</v>
      </c>
      <c r="L38" s="64">
        <v>24.4</v>
      </c>
      <c r="M38" s="64">
        <v>97.19</v>
      </c>
      <c r="N38" s="64">
        <v>115</v>
      </c>
      <c r="O38" s="64">
        <v>0</v>
      </c>
      <c r="P38" s="64">
        <v>0.23</v>
      </c>
      <c r="Q38" s="64">
        <v>9.1300000000000008</v>
      </c>
      <c r="R38" s="198"/>
      <c r="S38" s="198"/>
      <c r="T38" s="198"/>
      <c r="U38" s="198"/>
    </row>
    <row r="39" spans="1:21" s="12" customFormat="1" x14ac:dyDescent="0.25">
      <c r="A39" s="211" t="s">
        <v>1523</v>
      </c>
      <c r="B39" s="64">
        <v>8.67</v>
      </c>
      <c r="C39" s="64">
        <v>15.35</v>
      </c>
      <c r="D39" s="64">
        <v>16.09</v>
      </c>
      <c r="E39" s="64">
        <v>5.27</v>
      </c>
      <c r="F39" s="64">
        <v>3.69</v>
      </c>
      <c r="G39" s="64">
        <v>30.74</v>
      </c>
      <c r="H39" s="64">
        <v>7.18</v>
      </c>
      <c r="I39" s="64">
        <v>3.94</v>
      </c>
      <c r="J39" s="64">
        <v>0.21</v>
      </c>
      <c r="K39" s="64">
        <v>284</v>
      </c>
      <c r="L39" s="64">
        <v>24.38</v>
      </c>
      <c r="M39" s="64">
        <v>97.13</v>
      </c>
      <c r="N39" s="64">
        <v>105.1</v>
      </c>
      <c r="O39" s="64">
        <v>0</v>
      </c>
      <c r="P39" s="64">
        <v>0.25</v>
      </c>
      <c r="Q39" s="64">
        <v>9.14</v>
      </c>
      <c r="R39" s="198"/>
      <c r="S39" s="198"/>
      <c r="T39" s="198"/>
      <c r="U39" s="198"/>
    </row>
    <row r="40" spans="1:21" s="12" customFormat="1" x14ac:dyDescent="0.25">
      <c r="A40" s="211" t="s">
        <v>1524</v>
      </c>
      <c r="B40" s="64">
        <v>9.61</v>
      </c>
      <c r="C40" s="64">
        <v>16.71</v>
      </c>
      <c r="D40" s="64">
        <v>17.23</v>
      </c>
      <c r="E40" s="64">
        <v>3.58</v>
      </c>
      <c r="F40" s="64">
        <v>3.19</v>
      </c>
      <c r="G40" s="64">
        <v>31.86</v>
      </c>
      <c r="H40" s="64">
        <v>7.18</v>
      </c>
      <c r="I40" s="64">
        <v>3.97</v>
      </c>
      <c r="J40" s="64">
        <v>0.2</v>
      </c>
      <c r="K40" s="64">
        <v>284.44</v>
      </c>
      <c r="L40" s="64">
        <v>24.6</v>
      </c>
      <c r="M40" s="64">
        <v>96.47</v>
      </c>
      <c r="N40" s="64">
        <v>111.5</v>
      </c>
      <c r="O40" s="64">
        <v>0</v>
      </c>
      <c r="P40" s="64">
        <v>0.26</v>
      </c>
      <c r="Q40" s="64">
        <v>9.15</v>
      </c>
      <c r="R40" s="198"/>
      <c r="S40" s="198"/>
      <c r="T40" s="198"/>
      <c r="U40" s="198"/>
    </row>
    <row r="41" spans="1:21" s="12" customFormat="1" x14ac:dyDescent="0.25">
      <c r="A41" s="211" t="s">
        <v>1525</v>
      </c>
      <c r="B41" s="64">
        <v>9.64</v>
      </c>
      <c r="C41" s="64">
        <v>16.45</v>
      </c>
      <c r="D41" s="64">
        <v>16.690000000000001</v>
      </c>
      <c r="E41" s="64">
        <v>4.29</v>
      </c>
      <c r="F41" s="64">
        <v>4.08</v>
      </c>
      <c r="G41" s="64">
        <v>34.94</v>
      </c>
      <c r="H41" s="64">
        <v>7.2</v>
      </c>
      <c r="I41" s="64">
        <v>4.16</v>
      </c>
      <c r="J41" s="64">
        <v>0.21</v>
      </c>
      <c r="K41" s="64">
        <v>280.31</v>
      </c>
      <c r="L41" s="64">
        <v>24.88</v>
      </c>
      <c r="M41" s="64">
        <v>95.43</v>
      </c>
      <c r="N41" s="64">
        <v>172.7</v>
      </c>
      <c r="O41" s="64">
        <v>0</v>
      </c>
      <c r="P41" s="64">
        <v>0.27</v>
      </c>
      <c r="Q41" s="64">
        <v>9.15</v>
      </c>
      <c r="R41" s="198"/>
      <c r="S41" s="198"/>
      <c r="T41" s="198"/>
      <c r="U41" s="198"/>
    </row>
    <row r="42" spans="1:21" s="12" customFormat="1" x14ac:dyDescent="0.25">
      <c r="A42" s="211" t="s">
        <v>1526</v>
      </c>
      <c r="B42" s="64">
        <v>9.75</v>
      </c>
      <c r="C42" s="64">
        <v>16.64</v>
      </c>
      <c r="D42" s="64">
        <v>16.88</v>
      </c>
      <c r="E42" s="64">
        <v>4.6500000000000004</v>
      </c>
      <c r="F42" s="64">
        <v>3.03</v>
      </c>
      <c r="G42" s="64">
        <v>34.94</v>
      </c>
      <c r="H42" s="64">
        <v>7.2</v>
      </c>
      <c r="I42" s="64">
        <v>4.07</v>
      </c>
      <c r="J42" s="64">
        <v>0.21</v>
      </c>
      <c r="K42" s="64">
        <v>279.14999999999998</v>
      </c>
      <c r="L42" s="64">
        <v>25.26</v>
      </c>
      <c r="M42" s="64">
        <v>93.58</v>
      </c>
      <c r="N42" s="64">
        <v>202.5</v>
      </c>
      <c r="O42" s="64">
        <v>0</v>
      </c>
      <c r="P42" s="64">
        <v>0.28999999999999998</v>
      </c>
      <c r="Q42" s="64">
        <v>9.17</v>
      </c>
      <c r="R42" s="198"/>
      <c r="S42" s="198"/>
      <c r="T42" s="198"/>
      <c r="U42" s="198"/>
    </row>
    <row r="43" spans="1:21" s="12" customFormat="1" x14ac:dyDescent="0.25">
      <c r="A43" s="211" t="s">
        <v>1527</v>
      </c>
      <c r="B43" s="64">
        <v>10.54</v>
      </c>
      <c r="C43" s="64">
        <v>18.809999999999999</v>
      </c>
      <c r="D43" s="64">
        <v>19.82</v>
      </c>
      <c r="E43" s="64">
        <v>4.3600000000000003</v>
      </c>
      <c r="F43" s="64">
        <v>4.16</v>
      </c>
      <c r="G43" s="64">
        <v>34.94</v>
      </c>
      <c r="H43" s="64">
        <v>7.2</v>
      </c>
      <c r="I43" s="64">
        <v>3.96</v>
      </c>
      <c r="J43" s="64">
        <v>0.18</v>
      </c>
      <c r="K43" s="64">
        <v>285.56</v>
      </c>
      <c r="L43" s="64">
        <v>25.31</v>
      </c>
      <c r="M43" s="64">
        <v>93.15</v>
      </c>
      <c r="N43" s="64">
        <v>267.5</v>
      </c>
      <c r="O43" s="64">
        <v>0</v>
      </c>
      <c r="P43" s="64">
        <v>0.32</v>
      </c>
      <c r="Q43" s="64">
        <v>9.2200000000000006</v>
      </c>
      <c r="R43" s="198"/>
      <c r="S43" s="198"/>
      <c r="T43" s="198"/>
      <c r="U43" s="198"/>
    </row>
    <row r="44" spans="1:21" s="12" customFormat="1" x14ac:dyDescent="0.25">
      <c r="A44" s="211" t="s">
        <v>1528</v>
      </c>
      <c r="B44" s="64">
        <v>12.12</v>
      </c>
      <c r="C44" s="64">
        <v>21.01</v>
      </c>
      <c r="D44" s="64">
        <v>21.62</v>
      </c>
      <c r="E44" s="64">
        <v>4.2699999999999996</v>
      </c>
      <c r="F44" s="64">
        <v>4.41</v>
      </c>
      <c r="G44" s="64">
        <v>36.869999999999997</v>
      </c>
      <c r="H44" s="64">
        <v>7.81</v>
      </c>
      <c r="I44" s="64">
        <v>3.99</v>
      </c>
      <c r="J44" s="64">
        <v>0.17</v>
      </c>
      <c r="K44" s="64">
        <v>269.48</v>
      </c>
      <c r="L44" s="64">
        <v>26.52</v>
      </c>
      <c r="M44" s="64">
        <v>87.76</v>
      </c>
      <c r="N44" s="64">
        <v>464.8</v>
      </c>
      <c r="O44" s="64">
        <v>0</v>
      </c>
      <c r="P44" s="64">
        <v>0.47</v>
      </c>
      <c r="Q44" s="64">
        <v>9.24</v>
      </c>
      <c r="R44" s="198"/>
      <c r="S44" s="198"/>
      <c r="T44" s="198"/>
      <c r="U44" s="198"/>
    </row>
    <row r="45" spans="1:21" s="12" customFormat="1" x14ac:dyDescent="0.25">
      <c r="A45" s="211" t="s">
        <v>1529</v>
      </c>
      <c r="B45" s="64">
        <v>12.32</v>
      </c>
      <c r="C45" s="64">
        <v>21.52</v>
      </c>
      <c r="D45" s="64">
        <v>22.29</v>
      </c>
      <c r="E45" s="64">
        <v>4.16</v>
      </c>
      <c r="F45" s="64">
        <v>3.2</v>
      </c>
      <c r="G45" s="64">
        <v>42.17</v>
      </c>
      <c r="H45" s="64">
        <v>9.48</v>
      </c>
      <c r="I45" s="64">
        <v>4.01</v>
      </c>
      <c r="J45" s="64">
        <v>0.27</v>
      </c>
      <c r="K45" s="64">
        <v>279.64</v>
      </c>
      <c r="L45" s="64">
        <v>27.99</v>
      </c>
      <c r="M45" s="64">
        <v>81.400000000000006</v>
      </c>
      <c r="N45" s="64">
        <v>529.29999999999995</v>
      </c>
      <c r="O45" s="64">
        <v>0</v>
      </c>
      <c r="P45" s="64">
        <v>0.44</v>
      </c>
      <c r="Q45" s="64">
        <v>9.25</v>
      </c>
      <c r="R45" s="198"/>
      <c r="S45" s="198"/>
      <c r="T45" s="198"/>
      <c r="U45" s="198"/>
    </row>
    <row r="46" spans="1:21" s="12" customFormat="1" x14ac:dyDescent="0.25">
      <c r="A46" s="211" t="s">
        <v>1530</v>
      </c>
      <c r="B46" s="64">
        <v>11.58</v>
      </c>
      <c r="C46" s="64">
        <v>19.87</v>
      </c>
      <c r="D46" s="64">
        <v>20.25</v>
      </c>
      <c r="E46" s="64">
        <v>4.67</v>
      </c>
      <c r="F46" s="64">
        <v>4</v>
      </c>
      <c r="G46" s="64">
        <v>42.17</v>
      </c>
      <c r="H46" s="64">
        <v>9.48</v>
      </c>
      <c r="I46" s="64">
        <v>3.91</v>
      </c>
      <c r="J46" s="64">
        <v>0.22</v>
      </c>
      <c r="K46" s="64">
        <v>271.26</v>
      </c>
      <c r="L46" s="64">
        <v>28.43</v>
      </c>
      <c r="M46" s="64">
        <v>78.36</v>
      </c>
      <c r="N46" s="64">
        <v>521.20000000000005</v>
      </c>
      <c r="O46" s="64">
        <v>0</v>
      </c>
      <c r="P46" s="64">
        <v>0.5</v>
      </c>
      <c r="Q46" s="64">
        <v>9.2799999999999994</v>
      </c>
      <c r="R46" s="198"/>
      <c r="S46" s="198"/>
      <c r="T46" s="198"/>
      <c r="U46" s="198"/>
    </row>
    <row r="47" spans="1:21" s="12" customFormat="1" x14ac:dyDescent="0.25">
      <c r="A47" s="211" t="s">
        <v>1531</v>
      </c>
      <c r="B47" s="64">
        <v>11.78</v>
      </c>
      <c r="C47" s="64">
        <v>20.51</v>
      </c>
      <c r="D47" s="64">
        <v>21.17</v>
      </c>
      <c r="E47" s="64">
        <v>4.5</v>
      </c>
      <c r="F47" s="64">
        <v>3.7</v>
      </c>
      <c r="G47" s="64">
        <v>42.17</v>
      </c>
      <c r="H47" s="64">
        <v>9.48</v>
      </c>
      <c r="I47" s="64">
        <v>3.86</v>
      </c>
      <c r="J47" s="64">
        <v>0.35</v>
      </c>
      <c r="K47" s="64">
        <v>285.51</v>
      </c>
      <c r="L47" s="64">
        <v>28.97</v>
      </c>
      <c r="M47" s="64">
        <v>76.73</v>
      </c>
      <c r="N47" s="64">
        <v>541.20000000000005</v>
      </c>
      <c r="O47" s="64">
        <v>0</v>
      </c>
      <c r="P47" s="64">
        <v>0.5</v>
      </c>
      <c r="Q47" s="64">
        <v>9.2899999999999991</v>
      </c>
      <c r="R47" s="198"/>
      <c r="S47" s="198"/>
      <c r="T47" s="198"/>
      <c r="U47" s="198"/>
    </row>
    <row r="48" spans="1:21" s="12" customFormat="1" x14ac:dyDescent="0.25">
      <c r="A48" s="211" t="s">
        <v>1532</v>
      </c>
      <c r="B48" s="64">
        <v>10.96</v>
      </c>
      <c r="C48" s="64">
        <v>19.98</v>
      </c>
      <c r="D48" s="64">
        <v>21.42</v>
      </c>
      <c r="E48" s="64">
        <v>4.47</v>
      </c>
      <c r="F48" s="64">
        <v>5.0999999999999996</v>
      </c>
      <c r="G48" s="64">
        <v>47.37</v>
      </c>
      <c r="H48" s="64">
        <v>10.89</v>
      </c>
      <c r="I48" s="64">
        <v>4.12</v>
      </c>
      <c r="J48" s="64">
        <v>0.25</v>
      </c>
      <c r="K48" s="64">
        <v>284.31</v>
      </c>
      <c r="L48" s="64">
        <v>28.95</v>
      </c>
      <c r="M48" s="64">
        <v>76.58</v>
      </c>
      <c r="N48" s="64">
        <v>235.7</v>
      </c>
      <c r="O48" s="64">
        <v>0</v>
      </c>
      <c r="P48" s="64">
        <v>0.56000000000000005</v>
      </c>
      <c r="Q48" s="64">
        <v>9.2899999999999991</v>
      </c>
      <c r="R48" s="198"/>
      <c r="S48" s="198"/>
      <c r="T48" s="198"/>
      <c r="U48" s="198"/>
    </row>
    <row r="49" spans="1:21" s="12" customFormat="1" x14ac:dyDescent="0.25">
      <c r="A49" s="211" t="s">
        <v>1533</v>
      </c>
      <c r="B49" s="64">
        <v>11.03</v>
      </c>
      <c r="C49" s="64">
        <v>20.309999999999999</v>
      </c>
      <c r="D49" s="64">
        <v>21.94</v>
      </c>
      <c r="E49" s="64">
        <v>4.63</v>
      </c>
      <c r="F49" s="64">
        <v>4.38</v>
      </c>
      <c r="G49" s="64">
        <v>61.66</v>
      </c>
      <c r="H49" s="64">
        <v>14.75</v>
      </c>
      <c r="I49" s="64">
        <v>4.17</v>
      </c>
      <c r="J49" s="64">
        <v>0.3</v>
      </c>
      <c r="K49" s="64">
        <v>282.95</v>
      </c>
      <c r="L49" s="64">
        <v>28.62</v>
      </c>
      <c r="M49" s="64">
        <v>77.63</v>
      </c>
      <c r="N49" s="64">
        <v>269</v>
      </c>
      <c r="O49" s="64">
        <v>0</v>
      </c>
      <c r="P49" s="64">
        <v>0.56999999999999995</v>
      </c>
      <c r="Q49" s="64">
        <v>9.2899999999999991</v>
      </c>
      <c r="R49" s="198"/>
      <c r="S49" s="198"/>
      <c r="T49" s="198"/>
      <c r="U49" s="198"/>
    </row>
    <row r="50" spans="1:21" s="12" customFormat="1" x14ac:dyDescent="0.25">
      <c r="A50" s="211" t="s">
        <v>1534</v>
      </c>
      <c r="B50" s="64">
        <v>11.58</v>
      </c>
      <c r="C50" s="64">
        <v>20.420000000000002</v>
      </c>
      <c r="D50" s="64">
        <v>21.32</v>
      </c>
      <c r="E50" s="64">
        <v>4.53</v>
      </c>
      <c r="F50" s="64">
        <v>3.49</v>
      </c>
      <c r="G50" s="64">
        <v>61.66</v>
      </c>
      <c r="H50" s="64">
        <v>14.75</v>
      </c>
      <c r="I50" s="64">
        <v>3.98</v>
      </c>
      <c r="J50" s="64">
        <v>0.31</v>
      </c>
      <c r="K50" s="64">
        <v>289.23</v>
      </c>
      <c r="L50" s="64">
        <v>28.92</v>
      </c>
      <c r="M50" s="64">
        <v>76.91</v>
      </c>
      <c r="N50" s="64">
        <v>357.4</v>
      </c>
      <c r="O50" s="64">
        <v>0</v>
      </c>
      <c r="P50" s="64">
        <v>0.59</v>
      </c>
      <c r="Q50" s="64">
        <v>9.27</v>
      </c>
      <c r="R50" s="198"/>
      <c r="S50" s="198"/>
      <c r="T50" s="198"/>
      <c r="U50" s="198"/>
    </row>
    <row r="51" spans="1:21" s="12" customFormat="1" x14ac:dyDescent="0.25">
      <c r="A51" s="211" t="s">
        <v>1535</v>
      </c>
      <c r="B51" s="64">
        <v>11.4</v>
      </c>
      <c r="C51" s="64">
        <v>20.25</v>
      </c>
      <c r="D51" s="64">
        <v>21.27</v>
      </c>
      <c r="E51" s="64">
        <v>4.75</v>
      </c>
      <c r="F51" s="64">
        <v>3.66</v>
      </c>
      <c r="G51" s="64">
        <v>61.66</v>
      </c>
      <c r="H51" s="64">
        <v>14.75</v>
      </c>
      <c r="I51" s="64">
        <v>3.9</v>
      </c>
      <c r="J51" s="64">
        <v>0.31</v>
      </c>
      <c r="K51" s="64">
        <v>284.88</v>
      </c>
      <c r="L51" s="64">
        <v>28.69</v>
      </c>
      <c r="M51" s="64">
        <v>77.37</v>
      </c>
      <c r="N51" s="64">
        <v>284.8</v>
      </c>
      <c r="O51" s="64">
        <v>0</v>
      </c>
      <c r="P51" s="64">
        <v>0.6</v>
      </c>
      <c r="Q51" s="64">
        <v>9.25</v>
      </c>
      <c r="R51" s="198"/>
      <c r="S51" s="198"/>
      <c r="T51" s="198"/>
      <c r="U51" s="198"/>
    </row>
    <row r="52" spans="1:21" s="12" customFormat="1" x14ac:dyDescent="0.25">
      <c r="A52" s="211" t="s">
        <v>1536</v>
      </c>
      <c r="B52" s="64">
        <v>10.61</v>
      </c>
      <c r="C52" s="64">
        <v>19.73</v>
      </c>
      <c r="D52" s="64">
        <v>21.48</v>
      </c>
      <c r="E52" s="64">
        <v>4.38</v>
      </c>
      <c r="F52" s="64">
        <v>4.12</v>
      </c>
      <c r="G52" s="64">
        <v>60.59</v>
      </c>
      <c r="H52" s="64">
        <v>14.73</v>
      </c>
      <c r="I52" s="64">
        <v>4.0599999999999996</v>
      </c>
      <c r="J52" s="64">
        <v>0.2</v>
      </c>
      <c r="K52" s="64">
        <v>277.06</v>
      </c>
      <c r="L52" s="64">
        <v>27.87</v>
      </c>
      <c r="M52" s="64">
        <v>80.349999999999994</v>
      </c>
      <c r="N52" s="64">
        <v>278.2</v>
      </c>
      <c r="O52" s="64">
        <v>0</v>
      </c>
      <c r="P52" s="64">
        <v>0.6</v>
      </c>
      <c r="Q52" s="64">
        <v>9.25</v>
      </c>
      <c r="R52" s="198"/>
      <c r="S52" s="198"/>
      <c r="T52" s="198"/>
      <c r="U52" s="198"/>
    </row>
    <row r="53" spans="1:21" s="12" customFormat="1" x14ac:dyDescent="0.25">
      <c r="A53" s="211" t="s">
        <v>1537</v>
      </c>
      <c r="B53" s="64">
        <v>10.71</v>
      </c>
      <c r="C53" s="64">
        <v>20.85</v>
      </c>
      <c r="D53" s="64">
        <v>23.46</v>
      </c>
      <c r="E53" s="64">
        <v>4.6399999999999997</v>
      </c>
      <c r="F53" s="64">
        <v>3.6</v>
      </c>
      <c r="G53" s="64">
        <v>57.64</v>
      </c>
      <c r="H53" s="64">
        <v>14.68</v>
      </c>
      <c r="I53" s="64">
        <v>4.12</v>
      </c>
      <c r="J53" s="64">
        <v>0.28000000000000003</v>
      </c>
      <c r="K53" s="64">
        <v>283.2</v>
      </c>
      <c r="L53" s="64">
        <v>28.59</v>
      </c>
      <c r="M53" s="64">
        <v>78.540000000000006</v>
      </c>
      <c r="N53" s="64">
        <v>267.3</v>
      </c>
      <c r="O53" s="64">
        <v>0</v>
      </c>
      <c r="P53" s="64">
        <v>0.6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1" t="s">
        <v>1538</v>
      </c>
      <c r="B54" s="64">
        <v>10.36</v>
      </c>
      <c r="C54" s="64">
        <v>20.41</v>
      </c>
      <c r="D54" s="64">
        <v>23.15</v>
      </c>
      <c r="E54" s="64">
        <v>4.04</v>
      </c>
      <c r="F54" s="64">
        <v>3.68</v>
      </c>
      <c r="G54" s="64">
        <v>57.64</v>
      </c>
      <c r="H54" s="64">
        <v>14.68</v>
      </c>
      <c r="I54" s="64">
        <v>4.16</v>
      </c>
      <c r="J54" s="64">
        <v>0.3</v>
      </c>
      <c r="K54" s="64">
        <v>289.99</v>
      </c>
      <c r="L54" s="64">
        <v>28.72</v>
      </c>
      <c r="M54" s="64">
        <v>78.12</v>
      </c>
      <c r="N54" s="64">
        <v>254.8</v>
      </c>
      <c r="O54" s="64">
        <v>0</v>
      </c>
      <c r="P54" s="64">
        <v>0.64</v>
      </c>
      <c r="Q54" s="64">
        <v>9.24</v>
      </c>
      <c r="R54" s="198"/>
      <c r="S54" s="198"/>
      <c r="T54" s="198"/>
      <c r="U54" s="198"/>
    </row>
    <row r="55" spans="1:21" s="12" customFormat="1" x14ac:dyDescent="0.25">
      <c r="A55" s="211" t="s">
        <v>1539</v>
      </c>
      <c r="B55" s="64">
        <v>10.27</v>
      </c>
      <c r="C55" s="64">
        <v>20.32</v>
      </c>
      <c r="D55" s="64">
        <v>23.13</v>
      </c>
      <c r="E55" s="64">
        <v>4.01</v>
      </c>
      <c r="F55" s="64">
        <v>3.59</v>
      </c>
      <c r="G55" s="64">
        <v>57.64</v>
      </c>
      <c r="H55" s="64">
        <v>14.68</v>
      </c>
      <c r="I55" s="64">
        <v>4.0999999999999996</v>
      </c>
      <c r="J55" s="64">
        <v>0.26</v>
      </c>
      <c r="K55" s="64">
        <v>274.81</v>
      </c>
      <c r="L55" s="64">
        <v>28.02</v>
      </c>
      <c r="M55" s="64">
        <v>80.72</v>
      </c>
      <c r="N55" s="64">
        <v>260.10000000000002</v>
      </c>
      <c r="O55" s="64">
        <v>0</v>
      </c>
      <c r="P55" s="64">
        <v>0.65</v>
      </c>
      <c r="Q55" s="64">
        <v>9.25</v>
      </c>
      <c r="R55" s="198"/>
      <c r="S55" s="198"/>
      <c r="T55" s="198"/>
      <c r="U55" s="198"/>
    </row>
    <row r="56" spans="1:21" s="12" customFormat="1" x14ac:dyDescent="0.25">
      <c r="A56" s="211" t="s">
        <v>1540</v>
      </c>
      <c r="B56" s="64">
        <v>2.66</v>
      </c>
      <c r="C56" s="64">
        <v>5.27</v>
      </c>
      <c r="D56" s="64">
        <v>5.99</v>
      </c>
      <c r="E56" s="64">
        <v>4.28</v>
      </c>
      <c r="F56" s="64">
        <v>4.6500000000000004</v>
      </c>
      <c r="G56" s="64">
        <v>57.64</v>
      </c>
      <c r="H56" s="64">
        <v>14.68</v>
      </c>
      <c r="I56" s="64">
        <v>4.01</v>
      </c>
      <c r="J56" s="64">
        <v>0.27</v>
      </c>
      <c r="K56" s="64">
        <v>285.92</v>
      </c>
      <c r="L56" s="64">
        <v>27.9</v>
      </c>
      <c r="M56" s="64">
        <v>81.27</v>
      </c>
      <c r="N56" s="64">
        <v>274</v>
      </c>
      <c r="O56" s="64">
        <v>0</v>
      </c>
      <c r="P56" s="64">
        <v>0.66</v>
      </c>
      <c r="Q56" s="64">
        <v>9.24</v>
      </c>
      <c r="R56" s="198"/>
      <c r="S56" s="198"/>
      <c r="T56" s="198"/>
      <c r="U56" s="198"/>
    </row>
    <row r="57" spans="1:21" s="12" customFormat="1" x14ac:dyDescent="0.25">
      <c r="A57" s="211" t="s">
        <v>1541</v>
      </c>
      <c r="B57" s="64">
        <v>183.37</v>
      </c>
      <c r="C57" s="64">
        <v>283.11</v>
      </c>
      <c r="D57" s="64">
        <v>99.74</v>
      </c>
      <c r="E57" s="64">
        <v>4.5199999999999996</v>
      </c>
      <c r="F57" s="64">
        <v>3.49</v>
      </c>
      <c r="G57" s="64">
        <v>57.64</v>
      </c>
      <c r="H57" s="64">
        <v>14.68</v>
      </c>
      <c r="I57" s="64">
        <v>4.0199999999999996</v>
      </c>
      <c r="J57" s="64">
        <v>0.23</v>
      </c>
      <c r="K57" s="64">
        <v>287.14999999999998</v>
      </c>
      <c r="L57" s="64">
        <v>27.96</v>
      </c>
      <c r="M57" s="64">
        <v>80.86</v>
      </c>
      <c r="N57" s="64">
        <v>349.5</v>
      </c>
      <c r="O57" s="64">
        <v>0</v>
      </c>
      <c r="P57" s="64">
        <v>0.67</v>
      </c>
      <c r="Q57" s="64">
        <v>9.24</v>
      </c>
      <c r="R57" s="198"/>
      <c r="S57" s="198"/>
      <c r="T57" s="198"/>
      <c r="U57" s="198"/>
    </row>
    <row r="58" spans="1:21" s="12" customFormat="1" x14ac:dyDescent="0.25">
      <c r="A58" s="211" t="s">
        <v>1542</v>
      </c>
      <c r="B58" s="64">
        <v>186.05</v>
      </c>
      <c r="C58" s="64">
        <v>281.95</v>
      </c>
      <c r="D58" s="64">
        <v>99.5</v>
      </c>
      <c r="E58" s="64">
        <v>4.49</v>
      </c>
      <c r="F58" s="64">
        <v>3.73</v>
      </c>
      <c r="G58" s="64">
        <v>0</v>
      </c>
      <c r="H58" s="64">
        <v>0</v>
      </c>
      <c r="I58" s="64">
        <v>3.98</v>
      </c>
      <c r="J58" s="64">
        <v>0.32</v>
      </c>
      <c r="K58" s="64">
        <v>279.37</v>
      </c>
      <c r="L58" s="64">
        <v>28.18</v>
      </c>
      <c r="M58" s="64">
        <v>79.8</v>
      </c>
      <c r="N58" s="64">
        <v>399.4</v>
      </c>
      <c r="O58" s="64">
        <v>0</v>
      </c>
      <c r="P58" s="64">
        <v>0.66</v>
      </c>
      <c r="Q58" s="64">
        <v>9.27</v>
      </c>
      <c r="R58" s="198"/>
      <c r="S58" s="198"/>
      <c r="T58" s="198"/>
      <c r="U58" s="198"/>
    </row>
    <row r="59" spans="1:21" s="12" customFormat="1" x14ac:dyDescent="0.25">
      <c r="A59" s="211" t="s">
        <v>1543</v>
      </c>
      <c r="B59" s="64">
        <v>11.73</v>
      </c>
      <c r="C59" s="64">
        <v>34.18</v>
      </c>
      <c r="D59" s="64">
        <v>22.45</v>
      </c>
      <c r="E59" s="64">
        <v>4.42</v>
      </c>
      <c r="F59" s="64">
        <v>4.5599999999999996</v>
      </c>
      <c r="G59" s="64">
        <v>0</v>
      </c>
      <c r="H59" s="64">
        <v>0</v>
      </c>
      <c r="I59" s="64">
        <v>3.82</v>
      </c>
      <c r="J59" s="64">
        <v>0.27</v>
      </c>
      <c r="K59" s="64">
        <v>274.06</v>
      </c>
      <c r="L59" s="64">
        <v>28.7</v>
      </c>
      <c r="M59" s="64">
        <v>77.94</v>
      </c>
      <c r="N59" s="64">
        <v>423.6</v>
      </c>
      <c r="O59" s="64">
        <v>0</v>
      </c>
      <c r="P59" s="64">
        <v>0.7</v>
      </c>
      <c r="Q59" s="64">
        <v>9.26</v>
      </c>
      <c r="R59" s="198"/>
      <c r="S59" s="198"/>
      <c r="T59" s="198"/>
      <c r="U59" s="198"/>
    </row>
    <row r="60" spans="1:21" s="12" customFormat="1" x14ac:dyDescent="0.25">
      <c r="A60" s="211" t="s">
        <v>1544</v>
      </c>
      <c r="B60" s="64">
        <v>8.8800000000000008</v>
      </c>
      <c r="C60" s="64">
        <v>32.840000000000003</v>
      </c>
      <c r="D60" s="64">
        <v>23.96</v>
      </c>
      <c r="E60" s="64">
        <v>226.04</v>
      </c>
      <c r="F60" s="64">
        <v>4.71</v>
      </c>
      <c r="G60" s="64">
        <v>0</v>
      </c>
      <c r="H60" s="64">
        <v>0</v>
      </c>
      <c r="I60" s="64">
        <v>3.91</v>
      </c>
      <c r="J60" s="64">
        <v>0.27</v>
      </c>
      <c r="K60" s="64">
        <v>280.35000000000002</v>
      </c>
      <c r="L60" s="64">
        <v>28.65</v>
      </c>
      <c r="M60" s="64">
        <v>78.290000000000006</v>
      </c>
      <c r="N60" s="64">
        <v>484.4</v>
      </c>
      <c r="O60" s="64">
        <v>0</v>
      </c>
      <c r="P60" s="64">
        <v>0.71</v>
      </c>
      <c r="Q60" s="64">
        <v>9.23</v>
      </c>
      <c r="R60" s="198"/>
      <c r="S60" s="198"/>
      <c r="T60" s="198"/>
      <c r="U60" s="198"/>
    </row>
    <row r="61" spans="1:21" s="12" customFormat="1" x14ac:dyDescent="0.25">
      <c r="A61" s="211" t="s">
        <v>1545</v>
      </c>
      <c r="B61" s="64">
        <v>8.77</v>
      </c>
      <c r="C61" s="64">
        <v>35.5</v>
      </c>
      <c r="D61" s="64">
        <v>26.73</v>
      </c>
      <c r="E61" s="64">
        <v>242.71</v>
      </c>
      <c r="F61" s="64">
        <v>6.7</v>
      </c>
      <c r="G61" s="64">
        <v>0</v>
      </c>
      <c r="H61" s="64">
        <v>0</v>
      </c>
      <c r="I61" s="64">
        <v>3.89</v>
      </c>
      <c r="J61" s="64">
        <v>0.35</v>
      </c>
      <c r="K61" s="64">
        <v>288.06</v>
      </c>
      <c r="L61" s="64">
        <v>29.91</v>
      </c>
      <c r="M61" s="64">
        <v>73.569999999999993</v>
      </c>
      <c r="N61" s="64">
        <v>528.6</v>
      </c>
      <c r="O61" s="64">
        <v>0</v>
      </c>
      <c r="P61" s="64">
        <v>0.55000000000000004</v>
      </c>
      <c r="Q61" s="64">
        <v>9.2100000000000009</v>
      </c>
      <c r="R61" s="198"/>
      <c r="S61" s="198"/>
      <c r="T61" s="198"/>
      <c r="U61" s="198"/>
    </row>
    <row r="62" spans="1:21" s="12" customFormat="1" x14ac:dyDescent="0.25">
      <c r="A62" s="211" t="s">
        <v>1546</v>
      </c>
      <c r="B62" s="64">
        <v>6.93</v>
      </c>
      <c r="C62" s="64">
        <v>39.119999999999997</v>
      </c>
      <c r="D62" s="64">
        <v>32.19</v>
      </c>
      <c r="E62" s="64">
        <v>7.39</v>
      </c>
      <c r="F62" s="64">
        <v>6.45</v>
      </c>
      <c r="G62" s="64">
        <v>47.09</v>
      </c>
      <c r="H62" s="64">
        <v>-4.53</v>
      </c>
      <c r="I62" s="64">
        <v>3.91</v>
      </c>
      <c r="J62" s="64">
        <v>0.28999999999999998</v>
      </c>
      <c r="K62" s="64">
        <v>281.47000000000003</v>
      </c>
      <c r="L62" s="64">
        <v>30.09</v>
      </c>
      <c r="M62" s="64">
        <v>71.3</v>
      </c>
      <c r="N62" s="64">
        <v>514.6</v>
      </c>
      <c r="O62" s="64">
        <v>0</v>
      </c>
      <c r="P62" s="64">
        <v>4.47</v>
      </c>
      <c r="Q62" s="64">
        <v>9.23</v>
      </c>
      <c r="R62" s="198"/>
      <c r="S62" s="198"/>
      <c r="T62" s="198"/>
      <c r="U62" s="198"/>
    </row>
    <row r="63" spans="1:21" s="12" customFormat="1" x14ac:dyDescent="0.25">
      <c r="A63" s="211" t="s">
        <v>1547</v>
      </c>
      <c r="B63" s="64">
        <v>4.8</v>
      </c>
      <c r="C63" s="64">
        <v>28.77</v>
      </c>
      <c r="D63" s="64">
        <v>30.69</v>
      </c>
      <c r="E63" s="64">
        <v>8.6199999999999992</v>
      </c>
      <c r="F63" s="64">
        <v>6.12</v>
      </c>
      <c r="G63" s="64">
        <v>103.36</v>
      </c>
      <c r="H63" s="64">
        <v>-9.94</v>
      </c>
      <c r="I63" s="64">
        <v>4.0599999999999996</v>
      </c>
      <c r="J63" s="64">
        <v>0.3</v>
      </c>
      <c r="K63" s="64">
        <v>278.67</v>
      </c>
      <c r="L63" s="64">
        <v>29.16</v>
      </c>
      <c r="M63" s="64">
        <v>75.17</v>
      </c>
      <c r="N63" s="64">
        <v>366.6</v>
      </c>
      <c r="O63" s="64">
        <v>0</v>
      </c>
      <c r="P63" s="64">
        <v>5</v>
      </c>
      <c r="Q63" s="64">
        <v>9.1999999999999993</v>
      </c>
      <c r="R63" s="198"/>
      <c r="S63" s="198"/>
      <c r="T63" s="198"/>
      <c r="U63" s="198"/>
    </row>
    <row r="64" spans="1:21" s="12" customFormat="1" x14ac:dyDescent="0.25">
      <c r="A64" s="211" t="s">
        <v>1548</v>
      </c>
      <c r="B64" s="64">
        <v>4.3099999999999996</v>
      </c>
      <c r="C64" s="64">
        <v>18.12</v>
      </c>
      <c r="D64" s="64">
        <v>28.07</v>
      </c>
      <c r="E64" s="64">
        <v>5.31</v>
      </c>
      <c r="F64" s="64">
        <v>7.1</v>
      </c>
      <c r="G64" s="64">
        <v>103.36</v>
      </c>
      <c r="H64" s="64">
        <v>-9.94</v>
      </c>
      <c r="I64" s="64">
        <v>4.09</v>
      </c>
      <c r="J64" s="64">
        <v>0.24</v>
      </c>
      <c r="K64" s="64">
        <v>279.87</v>
      </c>
      <c r="L64" s="64">
        <v>29.56</v>
      </c>
      <c r="M64" s="64">
        <v>73.67</v>
      </c>
      <c r="N64" s="64">
        <v>302.39999999999998</v>
      </c>
      <c r="O64" s="64">
        <v>0</v>
      </c>
      <c r="P64" s="64">
        <v>0.18</v>
      </c>
      <c r="Q64" s="64">
        <v>9.16</v>
      </c>
      <c r="R64" s="198"/>
      <c r="S64" s="198"/>
      <c r="T64" s="198"/>
      <c r="U64" s="198"/>
    </row>
    <row r="65" spans="1:21" s="12" customFormat="1" x14ac:dyDescent="0.25">
      <c r="A65" s="211" t="s">
        <v>1549</v>
      </c>
      <c r="B65" s="64">
        <v>4.42</v>
      </c>
      <c r="C65" s="64">
        <v>17.37</v>
      </c>
      <c r="D65" s="64">
        <v>26.45</v>
      </c>
      <c r="E65" s="64">
        <v>5.19</v>
      </c>
      <c r="F65" s="64">
        <v>5.99</v>
      </c>
      <c r="G65" s="64">
        <v>103.36</v>
      </c>
      <c r="H65" s="64">
        <v>-9.94</v>
      </c>
      <c r="I65" s="64">
        <v>3.96</v>
      </c>
      <c r="J65" s="64">
        <v>0.26</v>
      </c>
      <c r="K65" s="64">
        <v>285.25</v>
      </c>
      <c r="L65" s="64">
        <v>29.42</v>
      </c>
      <c r="M65" s="64">
        <v>74.13</v>
      </c>
      <c r="N65" s="64">
        <v>283.7</v>
      </c>
      <c r="O65" s="64">
        <v>0</v>
      </c>
      <c r="P65" s="64">
        <v>0.16</v>
      </c>
      <c r="Q65" s="64">
        <v>9.14</v>
      </c>
      <c r="R65" s="198"/>
      <c r="S65" s="198"/>
      <c r="T65" s="198"/>
      <c r="U65" s="198"/>
    </row>
    <row r="66" spans="1:21" s="12" customFormat="1" x14ac:dyDescent="0.25">
      <c r="A66" s="211" t="s">
        <v>1550</v>
      </c>
      <c r="B66" s="64">
        <v>4.0199999999999996</v>
      </c>
      <c r="C66" s="64">
        <v>16.2</v>
      </c>
      <c r="D66" s="64">
        <v>24.83</v>
      </c>
      <c r="E66" s="64">
        <v>4.54</v>
      </c>
      <c r="F66" s="64">
        <v>4.59</v>
      </c>
      <c r="G66" s="64">
        <v>101.6</v>
      </c>
      <c r="H66" s="64">
        <v>-4.83</v>
      </c>
      <c r="I66" s="64">
        <v>3.99</v>
      </c>
      <c r="J66" s="64">
        <v>0.26</v>
      </c>
      <c r="K66" s="64">
        <v>283.02</v>
      </c>
      <c r="L66" s="64">
        <v>29.29</v>
      </c>
      <c r="M66" s="64">
        <v>74.45</v>
      </c>
      <c r="N66" s="64">
        <v>221.3</v>
      </c>
      <c r="O66" s="64">
        <v>0</v>
      </c>
      <c r="P66" s="64">
        <v>0.16</v>
      </c>
      <c r="Q66" s="64">
        <v>9.1300000000000008</v>
      </c>
      <c r="R66" s="198"/>
      <c r="S66" s="198"/>
      <c r="T66" s="198"/>
      <c r="U66" s="198"/>
    </row>
    <row r="67" spans="1:21" s="12" customFormat="1" x14ac:dyDescent="0.25">
      <c r="A67" s="211" t="s">
        <v>1551</v>
      </c>
      <c r="B67" s="64">
        <v>4.1100000000000003</v>
      </c>
      <c r="C67" s="64">
        <v>15.39</v>
      </c>
      <c r="D67" s="64">
        <v>23.15</v>
      </c>
      <c r="E67" s="64">
        <v>4.4000000000000004</v>
      </c>
      <c r="F67" s="64">
        <v>4.5</v>
      </c>
      <c r="G67" s="64">
        <v>99.5</v>
      </c>
      <c r="H67" s="64">
        <v>1.28</v>
      </c>
      <c r="I67" s="64">
        <v>4.05</v>
      </c>
      <c r="J67" s="64">
        <v>0.35</v>
      </c>
      <c r="K67" s="64">
        <v>289.39</v>
      </c>
      <c r="L67" s="64">
        <v>29.54</v>
      </c>
      <c r="M67" s="64">
        <v>72.88</v>
      </c>
      <c r="N67" s="64">
        <v>192.9</v>
      </c>
      <c r="O67" s="64">
        <v>0</v>
      </c>
      <c r="P67" s="64">
        <v>0.16</v>
      </c>
      <c r="Q67" s="64">
        <v>9.14</v>
      </c>
      <c r="R67" s="198"/>
      <c r="S67" s="198"/>
      <c r="T67" s="198"/>
      <c r="U67" s="198"/>
    </row>
    <row r="68" spans="1:21" s="12" customFormat="1" x14ac:dyDescent="0.25">
      <c r="A68" s="211" t="s">
        <v>1552</v>
      </c>
      <c r="B68" s="64">
        <v>5.09</v>
      </c>
      <c r="C68" s="64">
        <v>15.46</v>
      </c>
      <c r="D68" s="64">
        <v>21.79</v>
      </c>
      <c r="E68" s="64">
        <v>4.4800000000000004</v>
      </c>
      <c r="F68" s="64">
        <v>3.73</v>
      </c>
      <c r="G68" s="64">
        <v>99.5</v>
      </c>
      <c r="H68" s="64">
        <v>1.28</v>
      </c>
      <c r="I68" s="64">
        <v>3.95</v>
      </c>
      <c r="J68" s="64">
        <v>0.21</v>
      </c>
      <c r="K68" s="64">
        <v>290.17</v>
      </c>
      <c r="L68" s="64">
        <v>29.76</v>
      </c>
      <c r="M68" s="64">
        <v>71.739999999999995</v>
      </c>
      <c r="N68" s="64">
        <v>221.2</v>
      </c>
      <c r="O68" s="64">
        <v>0</v>
      </c>
      <c r="P68" s="64">
        <v>0.16</v>
      </c>
      <c r="Q68" s="64">
        <v>9.15</v>
      </c>
      <c r="R68" s="198"/>
      <c r="S68" s="198"/>
      <c r="T68" s="198"/>
      <c r="U68" s="198"/>
    </row>
    <row r="69" spans="1:21" s="12" customFormat="1" x14ac:dyDescent="0.25">
      <c r="A69" s="211" t="s">
        <v>1553</v>
      </c>
      <c r="B69" s="64">
        <v>6.5</v>
      </c>
      <c r="C69" s="64">
        <v>15.47</v>
      </c>
      <c r="D69" s="64">
        <v>19.63</v>
      </c>
      <c r="E69" s="64">
        <v>4.74</v>
      </c>
      <c r="F69" s="64">
        <v>3.67</v>
      </c>
      <c r="G69" s="64">
        <v>99.5</v>
      </c>
      <c r="H69" s="64">
        <v>1.28</v>
      </c>
      <c r="I69" s="64">
        <v>4.16</v>
      </c>
      <c r="J69" s="64">
        <v>0.22</v>
      </c>
      <c r="K69" s="64">
        <v>285.16000000000003</v>
      </c>
      <c r="L69" s="64">
        <v>29.28</v>
      </c>
      <c r="M69" s="64">
        <v>74.08</v>
      </c>
      <c r="N69" s="64">
        <v>143.5</v>
      </c>
      <c r="O69" s="64">
        <v>0</v>
      </c>
      <c r="P69" s="64">
        <v>0.16</v>
      </c>
      <c r="Q69" s="64">
        <v>9.19</v>
      </c>
      <c r="R69" s="198"/>
      <c r="S69" s="198"/>
      <c r="T69" s="198"/>
      <c r="U69" s="198"/>
    </row>
    <row r="70" spans="1:21" s="12" customFormat="1" x14ac:dyDescent="0.25">
      <c r="A70" s="211" t="s">
        <v>1554</v>
      </c>
      <c r="B70" s="64">
        <v>7.35</v>
      </c>
      <c r="C70" s="64">
        <v>15.84</v>
      </c>
      <c r="D70" s="64">
        <v>19.05</v>
      </c>
      <c r="E70" s="64">
        <v>4.59</v>
      </c>
      <c r="F70" s="64">
        <v>3.92</v>
      </c>
      <c r="G70" s="64">
        <v>86.89</v>
      </c>
      <c r="H70" s="64">
        <v>1.29</v>
      </c>
      <c r="I70" s="64">
        <v>3.85</v>
      </c>
      <c r="J70" s="64">
        <v>0.22</v>
      </c>
      <c r="K70" s="64">
        <v>286.41000000000003</v>
      </c>
      <c r="L70" s="64">
        <v>28.67</v>
      </c>
      <c r="M70" s="64">
        <v>76.13</v>
      </c>
      <c r="N70" s="64">
        <v>119.3</v>
      </c>
      <c r="O70" s="64">
        <v>0</v>
      </c>
      <c r="P70" s="64">
        <v>1.1100000000000001</v>
      </c>
      <c r="Q70" s="64">
        <v>9.19</v>
      </c>
      <c r="R70" s="198"/>
      <c r="S70" s="198"/>
      <c r="T70" s="198"/>
      <c r="U70" s="198"/>
    </row>
    <row r="71" spans="1:21" s="12" customFormat="1" x14ac:dyDescent="0.25">
      <c r="A71" s="211" t="s">
        <v>1555</v>
      </c>
      <c r="B71" s="64">
        <v>6.76</v>
      </c>
      <c r="C71" s="64">
        <v>16.48</v>
      </c>
      <c r="D71" s="64">
        <v>21.18</v>
      </c>
      <c r="E71" s="64">
        <v>4.8</v>
      </c>
      <c r="F71" s="64">
        <v>5.76</v>
      </c>
      <c r="G71" s="64">
        <v>17.75</v>
      </c>
      <c r="H71" s="64">
        <v>0.33</v>
      </c>
      <c r="I71" s="64">
        <v>4.0999999999999996</v>
      </c>
      <c r="J71" s="64">
        <v>0.18</v>
      </c>
      <c r="K71" s="64">
        <v>292.19</v>
      </c>
      <c r="L71" s="64">
        <v>28.36</v>
      </c>
      <c r="M71" s="64">
        <v>77.010000000000005</v>
      </c>
      <c r="N71" s="64">
        <v>114.7</v>
      </c>
      <c r="O71" s="64">
        <v>0</v>
      </c>
      <c r="P71" s="64">
        <v>0.99</v>
      </c>
      <c r="Q71" s="64">
        <v>9.17</v>
      </c>
      <c r="R71" s="198"/>
      <c r="S71" s="198"/>
      <c r="T71" s="198"/>
      <c r="U71" s="198"/>
    </row>
    <row r="72" spans="1:21" s="12" customFormat="1" x14ac:dyDescent="0.25">
      <c r="A72" s="211" t="s">
        <v>1556</v>
      </c>
      <c r="B72" s="64">
        <v>5.56</v>
      </c>
      <c r="C72" s="64">
        <v>17.809999999999999</v>
      </c>
      <c r="D72" s="64">
        <v>25.56</v>
      </c>
      <c r="E72" s="64">
        <v>5.31</v>
      </c>
      <c r="F72" s="64">
        <v>5.18</v>
      </c>
      <c r="G72" s="64">
        <v>0</v>
      </c>
      <c r="H72" s="64">
        <v>0</v>
      </c>
      <c r="I72" s="64">
        <v>4.1900000000000004</v>
      </c>
      <c r="J72" s="64">
        <v>0.18</v>
      </c>
      <c r="K72" s="64">
        <v>190.31</v>
      </c>
      <c r="L72" s="64">
        <v>27.56</v>
      </c>
      <c r="M72" s="64">
        <v>82.37</v>
      </c>
      <c r="N72" s="64">
        <v>93.9</v>
      </c>
      <c r="O72" s="64">
        <v>0</v>
      </c>
      <c r="P72" s="64">
        <v>0.88</v>
      </c>
      <c r="Q72" s="64">
        <v>9.15</v>
      </c>
      <c r="R72" s="198"/>
      <c r="S72" s="198"/>
      <c r="T72" s="198"/>
      <c r="U72" s="198"/>
    </row>
    <row r="73" spans="1:21" s="12" customFormat="1" x14ac:dyDescent="0.25">
      <c r="A73" s="211" t="s">
        <v>1557</v>
      </c>
      <c r="B73" s="64">
        <v>5.27</v>
      </c>
      <c r="C73" s="64">
        <v>15.81</v>
      </c>
      <c r="D73" s="64">
        <v>22.17</v>
      </c>
      <c r="E73" s="64">
        <v>5.16</v>
      </c>
      <c r="F73" s="64">
        <v>4.5999999999999996</v>
      </c>
      <c r="G73" s="64">
        <v>0</v>
      </c>
      <c r="H73" s="64">
        <v>0</v>
      </c>
      <c r="I73" s="64">
        <v>4</v>
      </c>
      <c r="J73" s="64">
        <v>0.11</v>
      </c>
      <c r="K73" s="64">
        <v>239.9</v>
      </c>
      <c r="L73" s="64">
        <v>26.58</v>
      </c>
      <c r="M73" s="64">
        <v>88.49</v>
      </c>
      <c r="N73" s="64">
        <v>89.7</v>
      </c>
      <c r="O73" s="64">
        <v>0</v>
      </c>
      <c r="P73" s="64">
        <v>0.81</v>
      </c>
      <c r="Q73" s="64">
        <v>9.16</v>
      </c>
      <c r="R73" s="198"/>
      <c r="S73" s="198"/>
      <c r="T73" s="198"/>
      <c r="U73" s="198"/>
    </row>
    <row r="74" spans="1:21" s="12" customFormat="1" x14ac:dyDescent="0.25">
      <c r="A74" s="211" t="s">
        <v>1558</v>
      </c>
      <c r="B74" s="64">
        <v>5.42</v>
      </c>
      <c r="C74" s="64">
        <v>14.2</v>
      </c>
      <c r="D74" s="64">
        <v>18.87</v>
      </c>
      <c r="E74" s="64">
        <v>5.08</v>
      </c>
      <c r="F74" s="64">
        <v>3.95</v>
      </c>
      <c r="G74" s="64">
        <v>0</v>
      </c>
      <c r="H74" s="64">
        <v>0</v>
      </c>
      <c r="I74" s="64">
        <v>3.83</v>
      </c>
      <c r="J74" s="64">
        <v>0.09</v>
      </c>
      <c r="K74" s="64">
        <v>265.25</v>
      </c>
      <c r="L74" s="64">
        <v>26.4</v>
      </c>
      <c r="M74" s="64">
        <v>90</v>
      </c>
      <c r="N74" s="64">
        <v>85.9</v>
      </c>
      <c r="O74" s="64">
        <v>0.4</v>
      </c>
      <c r="P74" s="64">
        <v>0.71</v>
      </c>
      <c r="Q74" s="64">
        <v>9.16</v>
      </c>
      <c r="R74" s="198"/>
      <c r="S74" s="198"/>
      <c r="T74" s="198"/>
      <c r="U74" s="198"/>
    </row>
    <row r="75" spans="1:21" s="12" customFormat="1" x14ac:dyDescent="0.25">
      <c r="A75" s="211" t="s">
        <v>1559</v>
      </c>
      <c r="B75" s="64">
        <v>5.37</v>
      </c>
      <c r="C75" s="64">
        <v>13.12</v>
      </c>
      <c r="D75" s="64">
        <v>16.87</v>
      </c>
      <c r="E75" s="64">
        <v>5.22</v>
      </c>
      <c r="F75" s="64">
        <v>3.75</v>
      </c>
      <c r="G75" s="64">
        <v>109.62</v>
      </c>
      <c r="H75" s="64">
        <v>8.51</v>
      </c>
      <c r="I75" s="64">
        <v>3.93</v>
      </c>
      <c r="J75" s="64">
        <v>0.1</v>
      </c>
      <c r="K75" s="64">
        <v>313.24</v>
      </c>
      <c r="L75" s="64">
        <v>25.49</v>
      </c>
      <c r="M75" s="64">
        <v>97.21</v>
      </c>
      <c r="N75" s="64">
        <v>99</v>
      </c>
      <c r="O75" s="64">
        <v>0.4</v>
      </c>
      <c r="P75" s="64">
        <v>0.63</v>
      </c>
      <c r="Q75" s="64">
        <v>9.14</v>
      </c>
      <c r="R75" s="198"/>
      <c r="S75" s="198"/>
      <c r="T75" s="198"/>
      <c r="U75" s="198"/>
    </row>
    <row r="76" spans="1:21" s="12" customFormat="1" x14ac:dyDescent="0.25">
      <c r="A76" s="211" t="s">
        <v>1560</v>
      </c>
      <c r="B76" s="64">
        <v>5.38</v>
      </c>
      <c r="C76" s="64">
        <v>12.5</v>
      </c>
      <c r="D76" s="64">
        <v>15.66</v>
      </c>
      <c r="E76" s="64">
        <v>5.27</v>
      </c>
      <c r="F76" s="64">
        <v>3.77</v>
      </c>
      <c r="G76" s="64">
        <v>145.09</v>
      </c>
      <c r="H76" s="64">
        <v>11.27</v>
      </c>
      <c r="I76" s="64">
        <v>4.22</v>
      </c>
      <c r="J76" s="64">
        <v>0.09</v>
      </c>
      <c r="K76" s="64">
        <v>296.10000000000002</v>
      </c>
      <c r="L76" s="64">
        <v>25.13</v>
      </c>
      <c r="M76" s="64">
        <v>97.63</v>
      </c>
      <c r="N76" s="64">
        <v>102.4</v>
      </c>
      <c r="O76" s="64">
        <v>0</v>
      </c>
      <c r="P76" s="64">
        <v>0.57999999999999996</v>
      </c>
      <c r="Q76" s="64">
        <v>9.11</v>
      </c>
      <c r="R76" s="198"/>
      <c r="S76" s="198"/>
      <c r="T76" s="198"/>
      <c r="U76" s="198"/>
    </row>
    <row r="77" spans="1:21" s="12" customFormat="1" x14ac:dyDescent="0.25">
      <c r="A77" s="211" t="s">
        <v>1561</v>
      </c>
      <c r="B77" s="64">
        <v>5.72</v>
      </c>
      <c r="C77" s="64">
        <v>12.39</v>
      </c>
      <c r="D77" s="64">
        <v>14.94</v>
      </c>
      <c r="E77" s="64">
        <v>4.88</v>
      </c>
      <c r="F77" s="64">
        <v>2.88</v>
      </c>
      <c r="G77" s="64">
        <v>145.09</v>
      </c>
      <c r="H77" s="64">
        <v>11.27</v>
      </c>
      <c r="I77" s="64">
        <v>4.04</v>
      </c>
      <c r="J77" s="64">
        <v>0.16</v>
      </c>
      <c r="K77" s="64">
        <v>145.19999999999999</v>
      </c>
      <c r="L77" s="64">
        <v>25.26</v>
      </c>
      <c r="M77" s="64">
        <v>97.63</v>
      </c>
      <c r="N77" s="64">
        <v>95.4</v>
      </c>
      <c r="O77" s="64">
        <v>0</v>
      </c>
      <c r="P77" s="64">
        <v>0.54</v>
      </c>
      <c r="Q77" s="64">
        <v>9.1199999999999992</v>
      </c>
      <c r="R77" s="198"/>
      <c r="S77" s="198"/>
      <c r="T77" s="198"/>
      <c r="U77" s="198"/>
    </row>
    <row r="78" spans="1:21" s="12" customFormat="1" x14ac:dyDescent="0.25">
      <c r="A78" s="211" t="s">
        <v>1562</v>
      </c>
      <c r="B78" s="64">
        <v>5.69</v>
      </c>
      <c r="C78" s="64">
        <v>13.21</v>
      </c>
      <c r="D78" s="64">
        <v>16.55</v>
      </c>
      <c r="E78" s="64">
        <v>4.99</v>
      </c>
      <c r="F78" s="64">
        <v>4.28</v>
      </c>
      <c r="G78" s="64">
        <v>145.09</v>
      </c>
      <c r="H78" s="64">
        <v>11.27</v>
      </c>
      <c r="I78" s="64">
        <v>3.98</v>
      </c>
      <c r="J78" s="64">
        <v>7.0000000000000007E-2</v>
      </c>
      <c r="K78" s="64">
        <v>275.92</v>
      </c>
      <c r="L78" s="64">
        <v>25.25</v>
      </c>
      <c r="M78" s="64">
        <v>97.6</v>
      </c>
      <c r="N78" s="64">
        <v>106.7</v>
      </c>
      <c r="O78" s="64">
        <v>0</v>
      </c>
      <c r="P78" s="64">
        <v>0.46</v>
      </c>
      <c r="Q78" s="64">
        <v>9.14</v>
      </c>
      <c r="R78" s="198"/>
      <c r="S78" s="198"/>
      <c r="T78" s="198"/>
      <c r="U78" s="198"/>
    </row>
    <row r="79" spans="1:21" s="12" customFormat="1" x14ac:dyDescent="0.25">
      <c r="A79" s="211" t="s">
        <v>1563</v>
      </c>
      <c r="B79" s="64">
        <v>5.24</v>
      </c>
      <c r="C79" s="64">
        <v>13.37</v>
      </c>
      <c r="D79" s="64">
        <v>17.55</v>
      </c>
      <c r="E79" s="64">
        <v>5.14</v>
      </c>
      <c r="F79" s="64">
        <v>4.46</v>
      </c>
      <c r="G79" s="64">
        <v>44.37</v>
      </c>
      <c r="H79" s="64">
        <v>14.61</v>
      </c>
      <c r="I79" s="64">
        <v>4.01</v>
      </c>
      <c r="J79" s="64">
        <v>0.04</v>
      </c>
      <c r="K79" s="64">
        <v>211.14</v>
      </c>
      <c r="L79" s="64">
        <v>25.15</v>
      </c>
      <c r="M79" s="64">
        <v>97.52</v>
      </c>
      <c r="N79" s="64">
        <v>110.7</v>
      </c>
      <c r="O79" s="64">
        <v>0.2</v>
      </c>
      <c r="P79" s="64">
        <v>0.41</v>
      </c>
      <c r="Q79" s="64">
        <v>9.1300000000000008</v>
      </c>
      <c r="R79" s="198"/>
      <c r="S79" s="198"/>
      <c r="T79" s="198"/>
      <c r="U79" s="198"/>
    </row>
    <row r="80" spans="1:21" s="12" customFormat="1" x14ac:dyDescent="0.25">
      <c r="A80" s="211" t="s">
        <v>1564</v>
      </c>
      <c r="B80" s="64">
        <v>5.34</v>
      </c>
      <c r="C80" s="64">
        <v>13.59</v>
      </c>
      <c r="D80" s="64">
        <v>17.82</v>
      </c>
      <c r="E80" s="64">
        <v>5.04</v>
      </c>
      <c r="F80" s="64">
        <v>4.05</v>
      </c>
      <c r="G80" s="64">
        <v>11.79</v>
      </c>
      <c r="H80" s="64">
        <v>15.7</v>
      </c>
      <c r="I80" s="64">
        <v>3.86</v>
      </c>
      <c r="J80" s="64">
        <v>0.1</v>
      </c>
      <c r="K80" s="64">
        <v>220.46</v>
      </c>
      <c r="L80" s="64">
        <v>24.88</v>
      </c>
      <c r="M80" s="64">
        <v>97.07</v>
      </c>
      <c r="N80" s="64">
        <v>100</v>
      </c>
      <c r="O80" s="64">
        <v>0.2</v>
      </c>
      <c r="P80" s="64">
        <v>0.38</v>
      </c>
      <c r="Q80" s="64">
        <v>9.1199999999999992</v>
      </c>
      <c r="R80" s="198"/>
      <c r="S80" s="198"/>
      <c r="T80" s="198"/>
      <c r="U80" s="198"/>
    </row>
    <row r="81" spans="1:26" s="12" customFormat="1" x14ac:dyDescent="0.25">
      <c r="A81" s="211" t="s">
        <v>1565</v>
      </c>
      <c r="B81" s="64">
        <v>5.7</v>
      </c>
      <c r="C81" s="64">
        <v>16.600000000000001</v>
      </c>
      <c r="D81" s="64">
        <v>23.03</v>
      </c>
      <c r="E81" s="64">
        <v>5.19</v>
      </c>
      <c r="F81" s="64">
        <v>7.61</v>
      </c>
      <c r="G81" s="64">
        <v>11.79</v>
      </c>
      <c r="H81" s="64">
        <v>15.7</v>
      </c>
      <c r="I81" s="64">
        <v>3.91</v>
      </c>
      <c r="J81" s="64">
        <v>0.22</v>
      </c>
      <c r="K81" s="64">
        <v>131.69999999999999</v>
      </c>
      <c r="L81" s="64">
        <v>24.59</v>
      </c>
      <c r="M81" s="64">
        <v>97.65</v>
      </c>
      <c r="N81" s="64">
        <v>94.4</v>
      </c>
      <c r="O81" s="64">
        <v>0</v>
      </c>
      <c r="P81" s="64">
        <v>0.27</v>
      </c>
      <c r="Q81" s="64">
        <v>9.15</v>
      </c>
      <c r="R81" s="198"/>
      <c r="S81" s="198"/>
      <c r="T81" s="198"/>
      <c r="U81" s="198"/>
    </row>
    <row r="82" spans="1:26" s="12" customFormat="1" x14ac:dyDescent="0.25">
      <c r="A82" s="211" t="s">
        <v>1566</v>
      </c>
      <c r="B82" s="64">
        <v>4.75</v>
      </c>
      <c r="C82" s="64">
        <v>18.03</v>
      </c>
      <c r="D82" s="64">
        <v>27.22</v>
      </c>
      <c r="E82" s="64">
        <v>5.51</v>
      </c>
      <c r="F82" s="64">
        <v>8.08</v>
      </c>
      <c r="G82" s="64">
        <v>11.79</v>
      </c>
      <c r="H82" s="64">
        <v>15.7</v>
      </c>
      <c r="I82" s="64">
        <v>3.88</v>
      </c>
      <c r="J82" s="64">
        <v>0.85</v>
      </c>
      <c r="K82" s="64">
        <v>132.36000000000001</v>
      </c>
      <c r="L82" s="64">
        <v>24.37</v>
      </c>
      <c r="M82" s="64">
        <v>97.11</v>
      </c>
      <c r="N82" s="64">
        <v>91</v>
      </c>
      <c r="O82" s="64">
        <v>0</v>
      </c>
      <c r="P82" s="64">
        <v>0.2</v>
      </c>
      <c r="Q82" s="64">
        <v>9.1999999999999993</v>
      </c>
      <c r="R82" s="198"/>
      <c r="S82" s="198"/>
      <c r="T82" s="198"/>
      <c r="U82" s="198"/>
    </row>
    <row r="83" spans="1:26" s="12" customFormat="1" x14ac:dyDescent="0.25">
      <c r="A83" s="211" t="s">
        <v>1567</v>
      </c>
      <c r="B83" s="64">
        <v>5.37</v>
      </c>
      <c r="C83" s="64">
        <v>17.47</v>
      </c>
      <c r="D83" s="64">
        <v>25.2</v>
      </c>
      <c r="E83" s="64">
        <v>5.68</v>
      </c>
      <c r="F83" s="64">
        <v>9.52</v>
      </c>
      <c r="G83" s="64">
        <v>24.8</v>
      </c>
      <c r="H83" s="64">
        <v>7.89</v>
      </c>
      <c r="I83" s="64">
        <v>3.99</v>
      </c>
      <c r="J83" s="64">
        <v>0.53</v>
      </c>
      <c r="K83" s="64">
        <v>143.04</v>
      </c>
      <c r="L83" s="64">
        <v>24.3</v>
      </c>
      <c r="M83" s="64">
        <v>97.09</v>
      </c>
      <c r="N83" s="64">
        <v>79.7</v>
      </c>
      <c r="O83" s="64">
        <v>0.2</v>
      </c>
      <c r="P83" s="64">
        <v>0.17</v>
      </c>
      <c r="Q83" s="64">
        <v>9.1999999999999993</v>
      </c>
      <c r="R83" s="198"/>
      <c r="S83" s="198"/>
      <c r="T83" s="198"/>
      <c r="U83" s="198"/>
    </row>
    <row r="84" spans="1:26" s="12" customFormat="1" x14ac:dyDescent="0.25">
      <c r="A84" s="211" t="s">
        <v>1568</v>
      </c>
      <c r="B84" s="64">
        <v>5.23</v>
      </c>
      <c r="C84" s="64">
        <v>16.32</v>
      </c>
      <c r="D84" s="64">
        <v>23.22</v>
      </c>
      <c r="E84" s="64">
        <v>5.05</v>
      </c>
      <c r="F84" s="64">
        <v>10.199999999999999</v>
      </c>
      <c r="G84" s="64">
        <v>29</v>
      </c>
      <c r="H84" s="64">
        <v>5.36</v>
      </c>
      <c r="I84" s="64">
        <v>4.16</v>
      </c>
      <c r="J84" s="64">
        <v>0.15</v>
      </c>
      <c r="K84" s="64">
        <v>195.73</v>
      </c>
      <c r="L84" s="64">
        <v>24.31</v>
      </c>
      <c r="M84" s="64">
        <v>97.09</v>
      </c>
      <c r="N84" s="64">
        <v>76.5</v>
      </c>
      <c r="O84" s="64">
        <v>0</v>
      </c>
      <c r="P84" s="64">
        <v>0.2</v>
      </c>
      <c r="Q84" s="64">
        <v>9.18</v>
      </c>
      <c r="R84" s="198"/>
      <c r="S84" s="198"/>
      <c r="T84" s="198"/>
      <c r="U84" s="198"/>
    </row>
    <row r="85" spans="1:26" s="12" customFormat="1" x14ac:dyDescent="0.25">
      <c r="A85" s="211" t="s">
        <v>1569</v>
      </c>
      <c r="B85" s="64">
        <v>4.8899999999999997</v>
      </c>
      <c r="C85" s="64">
        <v>16.079999999999998</v>
      </c>
      <c r="D85" s="64">
        <v>23.28</v>
      </c>
      <c r="E85" s="64">
        <v>5.35</v>
      </c>
      <c r="F85" s="64">
        <v>6.57</v>
      </c>
      <c r="G85" s="64">
        <v>29</v>
      </c>
      <c r="H85" s="64">
        <v>5.36</v>
      </c>
      <c r="I85" s="64">
        <v>4.0199999999999996</v>
      </c>
      <c r="J85" s="64">
        <v>0.14000000000000001</v>
      </c>
      <c r="K85" s="64">
        <v>205.77</v>
      </c>
      <c r="L85" s="64">
        <v>24.18</v>
      </c>
      <c r="M85" s="64">
        <v>97.69</v>
      </c>
      <c r="N85" s="64">
        <v>75.8</v>
      </c>
      <c r="O85" s="64">
        <v>0</v>
      </c>
      <c r="P85" s="64">
        <v>0.27</v>
      </c>
      <c r="Q85" s="64">
        <v>9.17</v>
      </c>
      <c r="R85" s="198"/>
      <c r="S85" s="198"/>
      <c r="T85" s="198"/>
      <c r="U85" s="198"/>
    </row>
    <row r="86" spans="1:26" s="12" customFormat="1" x14ac:dyDescent="0.25">
      <c r="A86" s="211" t="s">
        <v>1570</v>
      </c>
      <c r="B86" s="64">
        <v>5.86</v>
      </c>
      <c r="C86" s="64">
        <v>16.84</v>
      </c>
      <c r="D86" s="64">
        <v>23.23</v>
      </c>
      <c r="E86" s="64">
        <v>5.42</v>
      </c>
      <c r="F86" s="64">
        <v>6.68</v>
      </c>
      <c r="G86" s="64">
        <v>29</v>
      </c>
      <c r="H86" s="64">
        <v>5.36</v>
      </c>
      <c r="I86" s="64">
        <v>4.1500000000000004</v>
      </c>
      <c r="J86" s="64">
        <v>0.22</v>
      </c>
      <c r="K86" s="64">
        <v>143.41999999999999</v>
      </c>
      <c r="L86" s="64">
        <v>24.14</v>
      </c>
      <c r="M86" s="64">
        <v>97.1</v>
      </c>
      <c r="N86" s="64">
        <v>76</v>
      </c>
      <c r="O86" s="64">
        <v>0</v>
      </c>
      <c r="P86" s="64">
        <v>0.28999999999999998</v>
      </c>
      <c r="Q86" s="64">
        <v>9.17</v>
      </c>
      <c r="R86" s="198"/>
      <c r="S86" s="198"/>
      <c r="T86" s="198"/>
      <c r="U86" s="198"/>
    </row>
    <row r="87" spans="1:26" s="12" customFormat="1" x14ac:dyDescent="0.25">
      <c r="A87" s="211" t="s">
        <v>1571</v>
      </c>
      <c r="B87" s="64">
        <v>4.8899999999999997</v>
      </c>
      <c r="C87" s="64">
        <v>14.72</v>
      </c>
      <c r="D87" s="64">
        <v>20.66</v>
      </c>
      <c r="E87" s="64">
        <v>5.16</v>
      </c>
      <c r="F87" s="64">
        <v>5.47</v>
      </c>
      <c r="G87" s="64">
        <v>36.28</v>
      </c>
      <c r="H87" s="64">
        <v>10.77</v>
      </c>
      <c r="I87" s="64">
        <v>4.05</v>
      </c>
      <c r="J87" s="64">
        <v>0.14000000000000001</v>
      </c>
      <c r="K87" s="64">
        <v>217.16</v>
      </c>
      <c r="L87" s="64">
        <v>24.12</v>
      </c>
      <c r="M87" s="64">
        <v>97.1</v>
      </c>
      <c r="N87" s="64">
        <v>76.5</v>
      </c>
      <c r="O87" s="64">
        <v>0</v>
      </c>
      <c r="P87" s="64">
        <v>0.27</v>
      </c>
      <c r="Q87" s="64">
        <v>9.15</v>
      </c>
      <c r="R87" s="198"/>
      <c r="S87" s="198"/>
      <c r="T87" s="198"/>
      <c r="U87" s="198"/>
    </row>
    <row r="88" spans="1:26" s="12" customFormat="1" x14ac:dyDescent="0.25">
      <c r="A88" s="211" t="s">
        <v>1572</v>
      </c>
      <c r="B88" s="64">
        <v>6.88</v>
      </c>
      <c r="C88" s="64">
        <v>14.94</v>
      </c>
      <c r="D88" s="64">
        <v>18.02</v>
      </c>
      <c r="E88" s="64">
        <v>5.26</v>
      </c>
      <c r="F88" s="64">
        <v>5.0199999999999996</v>
      </c>
      <c r="G88" s="64">
        <v>38.630000000000003</v>
      </c>
      <c r="H88" s="64">
        <v>12.52</v>
      </c>
      <c r="I88" s="64">
        <v>3.85</v>
      </c>
      <c r="J88" s="64">
        <v>0.01</v>
      </c>
      <c r="K88" s="64">
        <v>333.66</v>
      </c>
      <c r="L88" s="64">
        <v>24.06</v>
      </c>
      <c r="M88" s="64">
        <v>97.12</v>
      </c>
      <c r="N88" s="64">
        <v>76.3</v>
      </c>
      <c r="O88" s="64">
        <v>0</v>
      </c>
      <c r="P88" s="64">
        <v>0.3</v>
      </c>
      <c r="Q88" s="64">
        <v>9.15</v>
      </c>
      <c r="R88" s="198"/>
      <c r="S88" s="198"/>
      <c r="T88" s="198"/>
      <c r="U88" s="198"/>
    </row>
    <row r="89" spans="1:26" s="12" customFormat="1" x14ac:dyDescent="0.25">
      <c r="A89" s="211" t="s">
        <v>1573</v>
      </c>
      <c r="B89" s="64">
        <v>6.14</v>
      </c>
      <c r="C89" s="64">
        <v>13.97</v>
      </c>
      <c r="D89" s="64">
        <v>17.32</v>
      </c>
      <c r="E89" s="64">
        <v>5.05</v>
      </c>
      <c r="F89" s="64">
        <v>7.87</v>
      </c>
      <c r="G89" s="64">
        <v>38.630000000000003</v>
      </c>
      <c r="H89" s="64">
        <v>12.52</v>
      </c>
      <c r="I89" s="64">
        <v>3.87</v>
      </c>
      <c r="J89" s="64">
        <v>0.31</v>
      </c>
      <c r="K89" s="64">
        <v>149.80000000000001</v>
      </c>
      <c r="L89" s="64">
        <v>24</v>
      </c>
      <c r="M89" s="64">
        <v>97.7</v>
      </c>
      <c r="N89" s="64">
        <v>76.3</v>
      </c>
      <c r="O89" s="64">
        <v>0</v>
      </c>
      <c r="P89" s="64">
        <v>0.27</v>
      </c>
      <c r="Q89" s="64">
        <v>9.14</v>
      </c>
      <c r="R89" s="198"/>
      <c r="S89" s="198"/>
      <c r="T89" s="198"/>
      <c r="U89" s="198"/>
    </row>
    <row r="90" spans="1:26" s="12" customFormat="1" x14ac:dyDescent="0.25">
      <c r="A90" s="211" t="s">
        <v>1574</v>
      </c>
      <c r="B90" s="64">
        <v>5.96</v>
      </c>
      <c r="C90" s="64">
        <v>12.99</v>
      </c>
      <c r="D90" s="64">
        <v>15.72</v>
      </c>
      <c r="E90" s="64">
        <v>5.07</v>
      </c>
      <c r="F90" s="64">
        <v>4.99</v>
      </c>
      <c r="G90" s="64">
        <v>38.630000000000003</v>
      </c>
      <c r="H90" s="64">
        <v>12.52</v>
      </c>
      <c r="I90" s="64">
        <v>3.81</v>
      </c>
      <c r="J90" s="64">
        <v>0.05</v>
      </c>
      <c r="K90" s="64">
        <v>193.23</v>
      </c>
      <c r="L90" s="64">
        <v>23.94</v>
      </c>
      <c r="M90" s="64">
        <v>97.12</v>
      </c>
      <c r="N90" s="64">
        <v>76.3</v>
      </c>
      <c r="O90" s="64">
        <v>0</v>
      </c>
      <c r="P90" s="64">
        <v>0.28000000000000003</v>
      </c>
      <c r="Q90" s="64">
        <v>9.1199999999999992</v>
      </c>
      <c r="R90" s="198"/>
      <c r="S90" s="198"/>
      <c r="T90" s="198"/>
      <c r="U90" s="198"/>
    </row>
    <row r="91" spans="1:26" s="12" customFormat="1" x14ac:dyDescent="0.25">
      <c r="A91" s="211" t="s">
        <v>1575</v>
      </c>
      <c r="B91" s="64">
        <v>6.43</v>
      </c>
      <c r="C91" s="64">
        <v>13.21</v>
      </c>
      <c r="D91" s="64">
        <v>15.42</v>
      </c>
      <c r="E91" s="64">
        <v>4.92</v>
      </c>
      <c r="F91" s="64">
        <v>4.0999999999999996</v>
      </c>
      <c r="G91" s="64">
        <v>34.14</v>
      </c>
      <c r="H91" s="64">
        <v>10.01</v>
      </c>
      <c r="I91" s="64">
        <v>4.04</v>
      </c>
      <c r="J91" s="64">
        <v>0.17</v>
      </c>
      <c r="K91" s="64">
        <v>207.04</v>
      </c>
      <c r="L91" s="64">
        <v>24.03</v>
      </c>
      <c r="M91" s="64">
        <v>97.12</v>
      </c>
      <c r="N91" s="64">
        <v>76.5</v>
      </c>
      <c r="O91" s="64">
        <v>0</v>
      </c>
      <c r="P91" s="64">
        <v>0.28999999999999998</v>
      </c>
      <c r="Q91" s="64">
        <v>9.1300000000000008</v>
      </c>
      <c r="R91" s="198"/>
      <c r="S91" s="198"/>
      <c r="T91" s="198"/>
      <c r="U91" s="198"/>
    </row>
    <row r="92" spans="1:26" s="12" customFormat="1" x14ac:dyDescent="0.25">
      <c r="A92" s="211" t="s">
        <v>1576</v>
      </c>
      <c r="B92" s="64">
        <v>7.45</v>
      </c>
      <c r="C92" s="64">
        <v>14.44</v>
      </c>
      <c r="D92" s="64">
        <v>16.2</v>
      </c>
      <c r="E92" s="64">
        <v>5.32</v>
      </c>
      <c r="F92" s="64">
        <v>7.8</v>
      </c>
      <c r="G92" s="64">
        <v>32.69</v>
      </c>
      <c r="H92" s="64">
        <v>9.19</v>
      </c>
      <c r="I92" s="64">
        <v>3.97</v>
      </c>
      <c r="J92" s="64">
        <v>0.09</v>
      </c>
      <c r="K92" s="64">
        <v>197.4</v>
      </c>
      <c r="L92" s="64">
        <v>23.96</v>
      </c>
      <c r="M92" s="64">
        <v>97.12</v>
      </c>
      <c r="N92" s="64">
        <v>77.599999999999994</v>
      </c>
      <c r="O92" s="64">
        <v>0</v>
      </c>
      <c r="P92" s="64">
        <v>0.27</v>
      </c>
      <c r="Q92" s="64">
        <v>9.14</v>
      </c>
      <c r="R92" s="198"/>
      <c r="S92" s="198"/>
      <c r="T92" s="198"/>
      <c r="U92" s="198"/>
    </row>
    <row r="93" spans="1:26" s="12" customFormat="1" x14ac:dyDescent="0.25">
      <c r="A93" s="211" t="s">
        <v>1577</v>
      </c>
      <c r="B93" s="64">
        <v>7.34</v>
      </c>
      <c r="C93" s="64">
        <v>13.06</v>
      </c>
      <c r="D93" s="64">
        <v>13.73</v>
      </c>
      <c r="E93" s="64">
        <v>5.2</v>
      </c>
      <c r="F93" s="64">
        <v>4.16</v>
      </c>
      <c r="G93" s="64">
        <v>32.69</v>
      </c>
      <c r="H93" s="64">
        <v>9.19</v>
      </c>
      <c r="I93" s="64">
        <v>4</v>
      </c>
      <c r="J93" s="64">
        <v>0.1</v>
      </c>
      <c r="K93" s="64">
        <v>318.77999999999997</v>
      </c>
      <c r="L93" s="64">
        <v>23.91</v>
      </c>
      <c r="M93" s="64">
        <v>97.7</v>
      </c>
      <c r="N93" s="64">
        <v>79.099999999999994</v>
      </c>
      <c r="O93" s="64">
        <v>0</v>
      </c>
      <c r="P93" s="64">
        <v>0.3</v>
      </c>
      <c r="Q93" s="64">
        <v>9.1199999999999992</v>
      </c>
      <c r="R93" s="198"/>
      <c r="S93" s="198"/>
      <c r="T93" s="198"/>
      <c r="U93" s="198"/>
    </row>
    <row r="94" spans="1:26" s="12" customFormat="1" x14ac:dyDescent="0.25">
      <c r="A94" s="211" t="s">
        <v>1578</v>
      </c>
      <c r="B94" s="64">
        <v>8.18</v>
      </c>
      <c r="C94" s="64">
        <v>13.9</v>
      </c>
      <c r="D94" s="64">
        <v>14.07</v>
      </c>
      <c r="E94" s="64">
        <v>5.12</v>
      </c>
      <c r="F94" s="64">
        <v>2.77</v>
      </c>
      <c r="G94" s="64">
        <v>32.69</v>
      </c>
      <c r="H94" s="64">
        <v>9.19</v>
      </c>
      <c r="I94" s="64">
        <v>4.0599999999999996</v>
      </c>
      <c r="J94" s="64">
        <v>7.0000000000000007E-2</v>
      </c>
      <c r="K94" s="64">
        <v>322.02</v>
      </c>
      <c r="L94" s="64">
        <v>23.97</v>
      </c>
      <c r="M94" s="64">
        <v>97.11</v>
      </c>
      <c r="N94" s="64">
        <v>79.7</v>
      </c>
      <c r="O94" s="64">
        <v>0</v>
      </c>
      <c r="P94" s="64">
        <v>0.28999999999999998</v>
      </c>
      <c r="Q94" s="64">
        <v>9.14</v>
      </c>
      <c r="R94" s="198"/>
      <c r="S94" s="198"/>
      <c r="T94" s="198"/>
      <c r="U94" s="198"/>
    </row>
    <row r="95" spans="1:26" s="12" customFormat="1" x14ac:dyDescent="0.25">
      <c r="A95" s="211" t="s">
        <v>1579</v>
      </c>
      <c r="B95" s="64">
        <v>7.53</v>
      </c>
      <c r="C95" s="64">
        <v>14.02</v>
      </c>
      <c r="D95" s="64">
        <v>15.28</v>
      </c>
      <c r="E95" s="64">
        <v>5.1100000000000003</v>
      </c>
      <c r="F95" s="64">
        <v>7.53</v>
      </c>
      <c r="G95" s="64">
        <v>28.48</v>
      </c>
      <c r="H95" s="64">
        <v>9.5299999999999994</v>
      </c>
      <c r="I95" s="64">
        <v>4</v>
      </c>
      <c r="J95" s="64">
        <v>0.06</v>
      </c>
      <c r="K95" s="64">
        <v>210.76</v>
      </c>
      <c r="L95" s="64">
        <v>24.06</v>
      </c>
      <c r="M95" s="64">
        <v>97.13</v>
      </c>
      <c r="N95" s="64">
        <v>80.2</v>
      </c>
      <c r="O95" s="64">
        <v>0</v>
      </c>
      <c r="P95" s="64">
        <v>0.26</v>
      </c>
      <c r="Q95" s="64">
        <v>9.14</v>
      </c>
      <c r="R95" s="198"/>
      <c r="S95" s="198"/>
      <c r="T95" s="198"/>
      <c r="U95" s="198"/>
    </row>
    <row r="96" spans="1:26" s="12" customFormat="1" x14ac:dyDescent="0.25">
      <c r="A96" s="211" t="s">
        <v>1580</v>
      </c>
      <c r="B96" s="64">
        <v>8.9600000000000009</v>
      </c>
      <c r="C96" s="64">
        <v>15.49</v>
      </c>
      <c r="D96" s="64">
        <v>15.91</v>
      </c>
      <c r="E96" s="64">
        <v>4.9000000000000004</v>
      </c>
      <c r="F96" s="64">
        <v>8.16</v>
      </c>
      <c r="G96" s="64">
        <v>27.12</v>
      </c>
      <c r="H96" s="64">
        <v>9.6300000000000008</v>
      </c>
      <c r="I96" s="64">
        <v>4.08</v>
      </c>
      <c r="J96" s="64">
        <v>7.0000000000000007E-2</v>
      </c>
      <c r="K96" s="64">
        <v>318.8</v>
      </c>
      <c r="L96" s="64">
        <v>23.98</v>
      </c>
      <c r="M96" s="64">
        <v>97.13</v>
      </c>
      <c r="N96" s="64">
        <v>80.099999999999994</v>
      </c>
      <c r="O96" s="64">
        <v>0</v>
      </c>
      <c r="P96" s="64">
        <v>0.31</v>
      </c>
      <c r="Q96" s="64">
        <v>9.15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1581</v>
      </c>
      <c r="B97" s="64">
        <v>7.56</v>
      </c>
      <c r="C97" s="64">
        <v>13.54</v>
      </c>
      <c r="D97" s="64">
        <v>14.31</v>
      </c>
      <c r="E97" s="64">
        <v>5.0999999999999996</v>
      </c>
      <c r="F97" s="64">
        <v>8.39</v>
      </c>
      <c r="G97" s="64">
        <v>27.12</v>
      </c>
      <c r="H97" s="64">
        <v>9.6300000000000008</v>
      </c>
      <c r="I97" s="64">
        <v>4.04</v>
      </c>
      <c r="J97" s="64">
        <v>0.1</v>
      </c>
      <c r="K97" s="64">
        <v>327.02999999999997</v>
      </c>
      <c r="L97" s="64">
        <v>23.97</v>
      </c>
      <c r="M97" s="64">
        <v>97.71</v>
      </c>
      <c r="N97" s="64">
        <v>81</v>
      </c>
      <c r="O97" s="64">
        <v>0</v>
      </c>
      <c r="P97" s="64">
        <v>0.28999999999999998</v>
      </c>
      <c r="Q97" s="64">
        <v>9.16</v>
      </c>
      <c r="R97" s="198"/>
      <c r="S97" s="198"/>
      <c r="T97" s="198"/>
      <c r="U97" s="198"/>
    </row>
    <row r="98" spans="1:33" s="12" customFormat="1" x14ac:dyDescent="0.25">
      <c r="A98" s="211" t="s">
        <v>1582</v>
      </c>
      <c r="B98" s="64">
        <v>6.88</v>
      </c>
      <c r="C98" s="64">
        <v>12.35</v>
      </c>
      <c r="D98" s="64">
        <v>13.07</v>
      </c>
      <c r="E98" s="64">
        <v>5.0999999999999996</v>
      </c>
      <c r="F98" s="64">
        <v>7.95</v>
      </c>
      <c r="G98" s="64">
        <v>27.12</v>
      </c>
      <c r="H98" s="64">
        <v>9.6300000000000008</v>
      </c>
      <c r="I98" s="64">
        <v>3.95</v>
      </c>
      <c r="J98" s="64">
        <v>0.08</v>
      </c>
      <c r="K98" s="64">
        <v>206.39</v>
      </c>
      <c r="L98" s="64">
        <v>24.09</v>
      </c>
      <c r="M98" s="64">
        <v>97.23</v>
      </c>
      <c r="N98" s="64">
        <v>82.4</v>
      </c>
      <c r="O98" s="64">
        <v>0</v>
      </c>
      <c r="P98" s="64">
        <v>0.26</v>
      </c>
      <c r="Q98" s="64">
        <v>9.16</v>
      </c>
      <c r="R98" s="198"/>
      <c r="S98" s="198"/>
      <c r="T98" s="198"/>
      <c r="U98" s="198"/>
    </row>
    <row r="99" spans="1:33" s="12" customFormat="1" x14ac:dyDescent="0.25">
      <c r="A99" s="211" t="s">
        <v>1583</v>
      </c>
      <c r="B99" s="64">
        <v>6.9</v>
      </c>
      <c r="C99" s="64">
        <v>13.38</v>
      </c>
      <c r="D99" s="64">
        <v>15.01</v>
      </c>
      <c r="E99" s="64">
        <v>5.45</v>
      </c>
      <c r="F99" s="64">
        <v>7.13</v>
      </c>
      <c r="G99" s="64">
        <v>22.53</v>
      </c>
      <c r="H99" s="64">
        <v>11.05</v>
      </c>
      <c r="I99" s="64">
        <v>4.0199999999999996</v>
      </c>
      <c r="J99" s="64">
        <v>0.06</v>
      </c>
      <c r="K99" s="64">
        <v>233.64</v>
      </c>
      <c r="L99" s="64">
        <v>24.12</v>
      </c>
      <c r="M99" s="64">
        <v>97.7</v>
      </c>
      <c r="N99" s="64">
        <v>82.3</v>
      </c>
      <c r="O99" s="64">
        <v>0.2</v>
      </c>
      <c r="P99" s="64">
        <v>0.23</v>
      </c>
      <c r="Q99" s="64">
        <v>9.17</v>
      </c>
      <c r="R99" s="198"/>
      <c r="S99" s="198"/>
      <c r="T99" s="198"/>
      <c r="U99" s="198"/>
    </row>
    <row r="100" spans="1:33" s="12" customFormat="1" x14ac:dyDescent="0.25">
      <c r="A100" s="211" t="s">
        <v>1584</v>
      </c>
      <c r="B100" s="64">
        <v>8.2200000000000006</v>
      </c>
      <c r="C100" s="64">
        <v>15.13</v>
      </c>
      <c r="D100" s="64">
        <v>16.350000000000001</v>
      </c>
      <c r="E100" s="64">
        <v>5.04</v>
      </c>
      <c r="F100" s="64">
        <v>7.4</v>
      </c>
      <c r="G100" s="64">
        <v>21.13</v>
      </c>
      <c r="H100" s="64">
        <v>11.51</v>
      </c>
      <c r="I100" s="64">
        <v>3.89</v>
      </c>
      <c r="J100" s="64">
        <v>0.05</v>
      </c>
      <c r="K100" s="64">
        <v>307.29000000000002</v>
      </c>
      <c r="L100" s="64">
        <v>24.04</v>
      </c>
      <c r="M100" s="64">
        <v>97.71</v>
      </c>
      <c r="N100" s="64">
        <v>80.400000000000006</v>
      </c>
      <c r="O100" s="64">
        <v>0</v>
      </c>
      <c r="P100" s="64">
        <v>0.27</v>
      </c>
      <c r="Q100" s="64">
        <v>9.18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1585</v>
      </c>
      <c r="B101" s="64">
        <v>6.56</v>
      </c>
      <c r="C101" s="64">
        <v>12.94</v>
      </c>
      <c r="D101" s="64">
        <v>14.69</v>
      </c>
      <c r="E101" s="64">
        <v>5.46</v>
      </c>
      <c r="F101" s="64">
        <v>8.7200000000000006</v>
      </c>
      <c r="G101" s="64">
        <v>21.13</v>
      </c>
      <c r="H101" s="64">
        <v>11.51</v>
      </c>
      <c r="I101" s="64">
        <v>4.1900000000000004</v>
      </c>
      <c r="J101" s="64">
        <v>7.0000000000000007E-2</v>
      </c>
      <c r="K101" s="64">
        <v>248.95</v>
      </c>
      <c r="L101" s="64">
        <v>23.97</v>
      </c>
      <c r="M101" s="64">
        <v>97.71</v>
      </c>
      <c r="N101" s="64">
        <v>80.400000000000006</v>
      </c>
      <c r="O101" s="64">
        <v>0</v>
      </c>
      <c r="P101" s="64">
        <v>0.24</v>
      </c>
      <c r="Q101" s="64">
        <v>9.19</v>
      </c>
      <c r="R101" s="198"/>
      <c r="S101" s="198"/>
      <c r="T101" s="198"/>
      <c r="U101" s="198"/>
    </row>
    <row r="102" spans="1:33" s="12" customFormat="1" x14ac:dyDescent="0.25">
      <c r="A102" s="211" t="s">
        <v>1586</v>
      </c>
      <c r="B102" s="64">
        <v>7.72</v>
      </c>
      <c r="C102" s="64">
        <v>13.19</v>
      </c>
      <c r="D102" s="64">
        <v>13.41</v>
      </c>
      <c r="E102" s="64">
        <v>5.41</v>
      </c>
      <c r="F102" s="64">
        <v>7.47</v>
      </c>
      <c r="G102" s="64">
        <v>21.13</v>
      </c>
      <c r="H102" s="64">
        <v>11.51</v>
      </c>
      <c r="I102" s="64">
        <v>3.98</v>
      </c>
      <c r="J102" s="64">
        <v>0.09</v>
      </c>
      <c r="K102" s="64">
        <v>314.95999999999998</v>
      </c>
      <c r="L102" s="64">
        <v>23.93</v>
      </c>
      <c r="M102" s="64">
        <v>97.71</v>
      </c>
      <c r="N102" s="64">
        <v>80.3</v>
      </c>
      <c r="O102" s="64">
        <v>0</v>
      </c>
      <c r="P102" s="64">
        <v>0.25</v>
      </c>
      <c r="Q102" s="64">
        <v>9.1999999999999993</v>
      </c>
      <c r="R102" s="198"/>
      <c r="S102" s="198"/>
      <c r="T102" s="198"/>
      <c r="U102" s="198"/>
    </row>
    <row r="103" spans="1:33" s="12" customFormat="1" x14ac:dyDescent="0.25">
      <c r="A103" s="211" t="s">
        <v>1587</v>
      </c>
      <c r="B103" s="64">
        <v>8.9</v>
      </c>
      <c r="C103" s="64">
        <v>13</v>
      </c>
      <c r="D103" s="64">
        <v>11.21</v>
      </c>
      <c r="E103" s="64">
        <v>5.37</v>
      </c>
      <c r="F103" s="64">
        <v>4.8899999999999997</v>
      </c>
      <c r="G103" s="64">
        <v>19.37</v>
      </c>
      <c r="H103" s="64">
        <v>10.01</v>
      </c>
      <c r="I103" s="64">
        <v>4.08</v>
      </c>
      <c r="J103" s="64">
        <v>7.0000000000000007E-2</v>
      </c>
      <c r="K103" s="64">
        <v>269.52</v>
      </c>
      <c r="L103" s="64">
        <v>23.9</v>
      </c>
      <c r="M103" s="64">
        <v>97.68</v>
      </c>
      <c r="N103" s="64">
        <v>81.2</v>
      </c>
      <c r="O103" s="64">
        <v>0</v>
      </c>
      <c r="P103" s="64">
        <v>0.28000000000000003</v>
      </c>
      <c r="Q103" s="64">
        <v>9.18</v>
      </c>
      <c r="R103" s="198"/>
      <c r="S103" s="198"/>
      <c r="T103" s="198"/>
      <c r="U103" s="198"/>
    </row>
    <row r="104" spans="1:33" s="12" customFormat="1" x14ac:dyDescent="0.25">
      <c r="A104" s="211" t="s">
        <v>1588</v>
      </c>
      <c r="B104" s="64">
        <v>9.14</v>
      </c>
      <c r="C104" s="64">
        <v>12.88</v>
      </c>
      <c r="D104" s="64">
        <v>10.63</v>
      </c>
      <c r="E104" s="64">
        <v>5.31</v>
      </c>
      <c r="F104" s="64">
        <v>3.85</v>
      </c>
      <c r="G104" s="64">
        <v>18.8</v>
      </c>
      <c r="H104" s="64">
        <v>9.5299999999999994</v>
      </c>
      <c r="I104" s="64">
        <v>3.91</v>
      </c>
      <c r="J104" s="64">
        <v>7.0000000000000007E-2</v>
      </c>
      <c r="K104" s="64">
        <v>306.63</v>
      </c>
      <c r="L104" s="64">
        <v>23.88</v>
      </c>
      <c r="M104" s="64">
        <v>97.68</v>
      </c>
      <c r="N104" s="64">
        <v>83.8</v>
      </c>
      <c r="O104" s="64">
        <v>0</v>
      </c>
      <c r="P104" s="64">
        <v>0.27</v>
      </c>
      <c r="Q104" s="64">
        <v>9.18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2.66</v>
      </c>
      <c r="C106" s="67">
        <f>MIN(C9:C104)</f>
        <v>5.27</v>
      </c>
      <c r="D106" s="67">
        <f t="shared" ref="D106:Q106" si="0">MIN(D9:D104)</f>
        <v>5.99</v>
      </c>
      <c r="E106" s="67">
        <f t="shared" si="0"/>
        <v>3.58</v>
      </c>
      <c r="F106" s="67">
        <f t="shared" si="0"/>
        <v>2.77</v>
      </c>
      <c r="G106" s="67">
        <f t="shared" si="0"/>
        <v>0</v>
      </c>
      <c r="H106" s="67">
        <f t="shared" si="0"/>
        <v>-9.94</v>
      </c>
      <c r="I106" s="67">
        <f t="shared" si="0"/>
        <v>3.81</v>
      </c>
      <c r="J106" s="67">
        <f t="shared" si="0"/>
        <v>0.01</v>
      </c>
      <c r="K106" s="67">
        <f t="shared" si="0"/>
        <v>131.69999999999999</v>
      </c>
      <c r="L106" s="67">
        <f t="shared" si="0"/>
        <v>2.21</v>
      </c>
      <c r="M106" s="67">
        <f t="shared" si="0"/>
        <v>71.3</v>
      </c>
      <c r="N106" s="67">
        <f t="shared" si="0"/>
        <v>52</v>
      </c>
      <c r="O106" s="67">
        <f t="shared" si="0"/>
        <v>0</v>
      </c>
      <c r="P106" s="67">
        <f t="shared" si="0"/>
        <v>0.16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186.05</v>
      </c>
      <c r="C107" s="66">
        <f t="shared" ref="C107:Q107" si="1">MAX(C9:C104)</f>
        <v>283.11</v>
      </c>
      <c r="D107" s="66">
        <f t="shared" si="1"/>
        <v>99.74</v>
      </c>
      <c r="E107" s="66">
        <f t="shared" si="1"/>
        <v>242.71</v>
      </c>
      <c r="F107" s="66">
        <f t="shared" si="1"/>
        <v>10.199999999999999</v>
      </c>
      <c r="G107" s="66">
        <f t="shared" si="1"/>
        <v>145.09</v>
      </c>
      <c r="H107" s="66">
        <f t="shared" si="1"/>
        <v>15.7</v>
      </c>
      <c r="I107" s="66">
        <f t="shared" si="1"/>
        <v>4.22</v>
      </c>
      <c r="J107" s="66">
        <f t="shared" si="1"/>
        <v>0.85</v>
      </c>
      <c r="K107" s="66">
        <f t="shared" si="1"/>
        <v>334.96</v>
      </c>
      <c r="L107" s="66">
        <f t="shared" si="1"/>
        <v>30.09</v>
      </c>
      <c r="M107" s="66">
        <f t="shared" si="1"/>
        <v>97.8</v>
      </c>
      <c r="N107" s="66">
        <f t="shared" si="1"/>
        <v>541.20000000000005</v>
      </c>
      <c r="O107" s="66">
        <f t="shared" si="1"/>
        <v>0.4</v>
      </c>
      <c r="P107" s="66">
        <f t="shared" si="1"/>
        <v>5</v>
      </c>
      <c r="Q107" s="66">
        <f t="shared" si="1"/>
        <v>9.2899999999999991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11.084583333333329</v>
      </c>
      <c r="C108" s="67">
        <f t="shared" ref="C108:Q108" si="2">AVERAGE(C9:C104)</f>
        <v>21.619166666666661</v>
      </c>
      <c r="D108" s="67">
        <f t="shared" si="2"/>
        <v>19.759895833333335</v>
      </c>
      <c r="E108" s="67">
        <f t="shared" si="2"/>
        <v>9.7516666666666652</v>
      </c>
      <c r="F108" s="67">
        <f t="shared" si="2"/>
        <v>4.9127083333333337</v>
      </c>
      <c r="G108" s="67">
        <f t="shared" si="2"/>
        <v>40.536041666666684</v>
      </c>
      <c r="H108" s="67">
        <f t="shared" si="2"/>
        <v>7.4612499999999988</v>
      </c>
      <c r="I108" s="67">
        <f t="shared" si="2"/>
        <v>4.007291666666668</v>
      </c>
      <c r="J108" s="67">
        <f t="shared" si="2"/>
        <v>0.1829166666666667</v>
      </c>
      <c r="K108" s="67">
        <f t="shared" si="2"/>
        <v>269.30833333333322</v>
      </c>
      <c r="L108" s="67">
        <f t="shared" si="2"/>
        <v>25.433333333333334</v>
      </c>
      <c r="M108" s="67">
        <f t="shared" si="2"/>
        <v>91.114479166666641</v>
      </c>
      <c r="N108" s="67">
        <f t="shared" si="2"/>
        <v>153.96874999999997</v>
      </c>
      <c r="O108" s="67">
        <f t="shared" si="2"/>
        <v>1.6666666666666666E-2</v>
      </c>
      <c r="P108" s="67">
        <f t="shared" si="2"/>
        <v>0.44010416666666691</v>
      </c>
      <c r="Q108" s="67">
        <f t="shared" si="2"/>
        <v>8.9713541666666625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25.546659351764326</v>
      </c>
      <c r="C109" s="67">
        <f t="shared" ref="C109:Q109" si="3">STDEV(C9:C104)</f>
        <v>38.595920200720059</v>
      </c>
      <c r="D109" s="67">
        <f t="shared" si="3"/>
        <v>12.609455474264383</v>
      </c>
      <c r="E109" s="67">
        <f t="shared" si="3"/>
        <v>32.964117450619625</v>
      </c>
      <c r="F109" s="67">
        <f t="shared" si="3"/>
        <v>1.7298588194091797</v>
      </c>
      <c r="G109" s="67">
        <f t="shared" si="3"/>
        <v>31.334404111276346</v>
      </c>
      <c r="H109" s="67">
        <f t="shared" si="3"/>
        <v>5.6944734519301132</v>
      </c>
      <c r="I109" s="67">
        <f t="shared" si="3"/>
        <v>0.10098962079724791</v>
      </c>
      <c r="J109" s="67">
        <f t="shared" si="3"/>
        <v>0.11506443656231709</v>
      </c>
      <c r="K109" s="67">
        <f t="shared" si="3"/>
        <v>48.055478304640275</v>
      </c>
      <c r="L109" s="67">
        <f t="shared" si="3"/>
        <v>3.18394811735915</v>
      </c>
      <c r="M109" s="67">
        <f t="shared" si="3"/>
        <v>9.3596727191765936</v>
      </c>
      <c r="N109" s="67">
        <f t="shared" si="3"/>
        <v>135.74158367822912</v>
      </c>
      <c r="O109" s="67">
        <f t="shared" si="3"/>
        <v>6.9079156223577354E-2</v>
      </c>
      <c r="P109" s="67">
        <f t="shared" si="3"/>
        <v>0.6644102961774947</v>
      </c>
      <c r="Q109" s="67">
        <f t="shared" si="3"/>
        <v>1.3168955677666863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COUNT(I9:I104)+48</f>
        <v>144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4" sqref="H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1589</v>
      </c>
      <c r="B9" s="64">
        <v>9.6199999999999992</v>
      </c>
      <c r="C9" s="64">
        <v>14.16</v>
      </c>
      <c r="D9" s="64">
        <v>12.33</v>
      </c>
      <c r="E9" s="64">
        <v>4.75</v>
      </c>
      <c r="F9" s="64">
        <v>5.91</v>
      </c>
      <c r="G9" s="64">
        <v>18.8</v>
      </c>
      <c r="H9" s="64">
        <v>9.5299999999999994</v>
      </c>
      <c r="I9" s="64">
        <v>3.93</v>
      </c>
      <c r="J9" s="64">
        <v>0.1</v>
      </c>
      <c r="K9" s="64">
        <v>304.91000000000003</v>
      </c>
      <c r="L9" s="64">
        <v>23.92</v>
      </c>
      <c r="M9" s="64">
        <v>97.69</v>
      </c>
      <c r="N9" s="64">
        <v>84.1</v>
      </c>
      <c r="O9" s="64">
        <v>0</v>
      </c>
      <c r="P9" s="64">
        <v>0.26</v>
      </c>
      <c r="Q9" s="64">
        <v>9.17</v>
      </c>
      <c r="R9" s="198"/>
      <c r="S9" s="198"/>
      <c r="T9" s="198"/>
      <c r="U9" s="198"/>
    </row>
    <row r="10" spans="1:21" s="12" customFormat="1" x14ac:dyDescent="0.25">
      <c r="A10" s="211" t="s">
        <v>1590</v>
      </c>
      <c r="B10" s="64">
        <v>9.2899999999999991</v>
      </c>
      <c r="C10" s="64">
        <v>12.97</v>
      </c>
      <c r="D10" s="64">
        <v>10.55</v>
      </c>
      <c r="E10" s="64">
        <v>4.7300000000000004</v>
      </c>
      <c r="F10" s="64">
        <v>3.73</v>
      </c>
      <c r="G10" s="64">
        <v>18.8</v>
      </c>
      <c r="H10" s="64">
        <v>9.5299999999999994</v>
      </c>
      <c r="I10" s="64">
        <v>4.03</v>
      </c>
      <c r="J10" s="64">
        <v>0.14000000000000001</v>
      </c>
      <c r="K10" s="64">
        <v>304.19</v>
      </c>
      <c r="L10" s="64">
        <v>23.94</v>
      </c>
      <c r="M10" s="64">
        <v>97.7</v>
      </c>
      <c r="N10" s="64">
        <v>84.2</v>
      </c>
      <c r="O10" s="64">
        <v>0</v>
      </c>
      <c r="P10" s="64">
        <v>0.27</v>
      </c>
      <c r="Q10" s="64">
        <v>9.16</v>
      </c>
      <c r="R10" s="198"/>
      <c r="S10" s="198"/>
      <c r="T10" s="198"/>
      <c r="U10" s="198"/>
    </row>
    <row r="11" spans="1:21" s="12" customFormat="1" x14ac:dyDescent="0.25">
      <c r="A11" s="211" t="s">
        <v>1591</v>
      </c>
      <c r="B11" s="64">
        <v>8.6199999999999992</v>
      </c>
      <c r="C11" s="64">
        <v>12.68</v>
      </c>
      <c r="D11" s="64">
        <v>11.04</v>
      </c>
      <c r="E11" s="64">
        <v>4.82</v>
      </c>
      <c r="F11" s="64">
        <v>4.3600000000000003</v>
      </c>
      <c r="G11" s="64">
        <v>20.52</v>
      </c>
      <c r="H11" s="64">
        <v>7.33</v>
      </c>
      <c r="I11" s="64">
        <v>4.13</v>
      </c>
      <c r="J11" s="64">
        <v>0.08</v>
      </c>
      <c r="K11" s="64">
        <v>295.22000000000003</v>
      </c>
      <c r="L11" s="64">
        <v>23.9</v>
      </c>
      <c r="M11" s="64">
        <v>97.7</v>
      </c>
      <c r="N11" s="64">
        <v>85.7</v>
      </c>
      <c r="O11" s="64">
        <v>0.2</v>
      </c>
      <c r="P11" s="64">
        <v>0.23</v>
      </c>
      <c r="Q11" s="64">
        <v>9.15</v>
      </c>
      <c r="R11" s="198"/>
      <c r="S11" s="198"/>
      <c r="T11" s="198"/>
      <c r="U11" s="198"/>
    </row>
    <row r="12" spans="1:21" s="12" customFormat="1" x14ac:dyDescent="0.25">
      <c r="A12" s="211" t="s">
        <v>1592</v>
      </c>
      <c r="B12" s="64">
        <v>8.51</v>
      </c>
      <c r="C12" s="64">
        <v>12.41</v>
      </c>
      <c r="D12" s="64">
        <v>10.69</v>
      </c>
      <c r="E12" s="64">
        <v>4.9400000000000004</v>
      </c>
      <c r="F12" s="64">
        <v>4.8600000000000003</v>
      </c>
      <c r="G12" s="64">
        <v>21.08</v>
      </c>
      <c r="H12" s="64">
        <v>6.67</v>
      </c>
      <c r="I12" s="64">
        <v>4.1500000000000004</v>
      </c>
      <c r="J12" s="64">
        <v>0.06</v>
      </c>
      <c r="K12" s="64">
        <v>306.26</v>
      </c>
      <c r="L12" s="64">
        <v>23.84</v>
      </c>
      <c r="M12" s="64">
        <v>97.71</v>
      </c>
      <c r="N12" s="64">
        <v>86.1</v>
      </c>
      <c r="O12" s="64">
        <v>0.4</v>
      </c>
      <c r="P12" s="64">
        <v>0.26</v>
      </c>
      <c r="Q12" s="64">
        <v>9.1300000000000008</v>
      </c>
      <c r="R12" s="198"/>
      <c r="S12" s="198"/>
      <c r="T12" s="198"/>
      <c r="U12" s="198"/>
    </row>
    <row r="13" spans="1:21" s="12" customFormat="1" x14ac:dyDescent="0.25">
      <c r="A13" s="211" t="s">
        <v>1593</v>
      </c>
      <c r="B13" s="64">
        <v>8.14</v>
      </c>
      <c r="C13" s="64">
        <v>12.22</v>
      </c>
      <c r="D13" s="64">
        <v>10.89</v>
      </c>
      <c r="E13" s="64">
        <v>4.83</v>
      </c>
      <c r="F13" s="64">
        <v>4.99</v>
      </c>
      <c r="G13" s="64">
        <v>21.08</v>
      </c>
      <c r="H13" s="64">
        <v>6.67</v>
      </c>
      <c r="I13" s="64">
        <v>4.01</v>
      </c>
      <c r="J13" s="64">
        <v>0.06</v>
      </c>
      <c r="K13" s="64">
        <v>276.64</v>
      </c>
      <c r="L13" s="64">
        <v>23.75</v>
      </c>
      <c r="M13" s="64">
        <v>97.7</v>
      </c>
      <c r="N13" s="64">
        <v>84.5</v>
      </c>
      <c r="O13" s="64">
        <v>0</v>
      </c>
      <c r="P13" s="64">
        <v>0.27</v>
      </c>
      <c r="Q13" s="64">
        <v>9.1199999999999992</v>
      </c>
      <c r="R13" s="198"/>
      <c r="S13" s="198"/>
      <c r="T13" s="198"/>
      <c r="U13" s="198"/>
    </row>
    <row r="14" spans="1:21" s="12" customFormat="1" x14ac:dyDescent="0.25">
      <c r="A14" s="211" t="s">
        <v>1594</v>
      </c>
      <c r="B14" s="64">
        <v>7.52</v>
      </c>
      <c r="C14" s="64">
        <v>12.65</v>
      </c>
      <c r="D14" s="64">
        <v>12.68</v>
      </c>
      <c r="E14" s="64">
        <v>4.8499999999999996</v>
      </c>
      <c r="F14" s="64">
        <v>6.18</v>
      </c>
      <c r="G14" s="64">
        <v>21.08</v>
      </c>
      <c r="H14" s="64">
        <v>6.67</v>
      </c>
      <c r="I14" s="64">
        <v>3.95</v>
      </c>
      <c r="J14" s="64">
        <v>7.0000000000000007E-2</v>
      </c>
      <c r="K14" s="64">
        <v>130.43</v>
      </c>
      <c r="L14" s="64">
        <v>23.73</v>
      </c>
      <c r="M14" s="64">
        <v>97.73</v>
      </c>
      <c r="N14" s="64">
        <v>82.2</v>
      </c>
      <c r="O14" s="64">
        <v>0.4</v>
      </c>
      <c r="P14" s="64">
        <v>0.26</v>
      </c>
      <c r="Q14" s="64">
        <v>9.1300000000000008</v>
      </c>
      <c r="R14" s="198"/>
      <c r="S14" s="198"/>
      <c r="T14" s="198"/>
      <c r="U14" s="198"/>
    </row>
    <row r="15" spans="1:21" s="12" customFormat="1" x14ac:dyDescent="0.25">
      <c r="A15" s="211" t="s">
        <v>1595</v>
      </c>
      <c r="B15" s="64">
        <v>8.23</v>
      </c>
      <c r="C15" s="64">
        <v>12.27</v>
      </c>
      <c r="D15" s="64">
        <v>10.85</v>
      </c>
      <c r="E15" s="64">
        <v>4.9400000000000004</v>
      </c>
      <c r="F15" s="64">
        <v>4.2</v>
      </c>
      <c r="G15" s="64">
        <v>19.989999999999998</v>
      </c>
      <c r="H15" s="64">
        <v>7.66</v>
      </c>
      <c r="I15" s="64">
        <v>4.17</v>
      </c>
      <c r="J15" s="64">
        <v>0.06</v>
      </c>
      <c r="K15" s="64">
        <v>292.11</v>
      </c>
      <c r="L15" s="64">
        <v>23.64</v>
      </c>
      <c r="M15" s="64">
        <v>97.75</v>
      </c>
      <c r="N15" s="64">
        <v>82</v>
      </c>
      <c r="O15" s="64">
        <v>0.4</v>
      </c>
      <c r="P15" s="64">
        <v>0.3</v>
      </c>
      <c r="Q15" s="64">
        <v>9.1300000000000008</v>
      </c>
      <c r="R15" s="198"/>
      <c r="S15" s="198"/>
      <c r="T15" s="198"/>
      <c r="U15" s="198"/>
    </row>
    <row r="16" spans="1:21" s="12" customFormat="1" x14ac:dyDescent="0.25">
      <c r="A16" s="211" t="s">
        <v>1596</v>
      </c>
      <c r="B16" s="64">
        <v>8.11</v>
      </c>
      <c r="C16" s="64">
        <v>12.12</v>
      </c>
      <c r="D16" s="64">
        <v>10.75</v>
      </c>
      <c r="E16" s="64">
        <v>4.96</v>
      </c>
      <c r="F16" s="64">
        <v>6.22</v>
      </c>
      <c r="G16" s="64">
        <v>19.64</v>
      </c>
      <c r="H16" s="64">
        <v>7.99</v>
      </c>
      <c r="I16" s="64">
        <v>4.0599999999999996</v>
      </c>
      <c r="J16" s="64">
        <v>7.0000000000000007E-2</v>
      </c>
      <c r="K16" s="64">
        <v>302.2</v>
      </c>
      <c r="L16" s="64">
        <v>23.58</v>
      </c>
      <c r="M16" s="64">
        <v>97.75</v>
      </c>
      <c r="N16" s="64">
        <v>81.7</v>
      </c>
      <c r="O16" s="64">
        <v>0.4</v>
      </c>
      <c r="P16" s="64">
        <v>0.28000000000000003</v>
      </c>
      <c r="Q16" s="64">
        <v>9.14</v>
      </c>
      <c r="R16" s="198"/>
      <c r="S16" s="198"/>
      <c r="T16" s="198"/>
      <c r="U16" s="198"/>
    </row>
    <row r="17" spans="1:21" s="12" customFormat="1" x14ac:dyDescent="0.25">
      <c r="A17" s="211" t="s">
        <v>1597</v>
      </c>
      <c r="B17" s="64">
        <v>6.21</v>
      </c>
      <c r="C17" s="64">
        <v>10.47</v>
      </c>
      <c r="D17" s="64">
        <v>10.51</v>
      </c>
      <c r="E17" s="64">
        <v>4.72</v>
      </c>
      <c r="F17" s="64">
        <v>9.1</v>
      </c>
      <c r="G17" s="64">
        <v>19.64</v>
      </c>
      <c r="H17" s="64">
        <v>7.99</v>
      </c>
      <c r="I17" s="64">
        <v>3.9</v>
      </c>
      <c r="J17" s="64">
        <v>0.05</v>
      </c>
      <c r="K17" s="64">
        <v>270</v>
      </c>
      <c r="L17" s="64">
        <v>23.54</v>
      </c>
      <c r="M17" s="64">
        <v>97.73</v>
      </c>
      <c r="N17" s="64">
        <v>81.900000000000006</v>
      </c>
      <c r="O17" s="64">
        <v>0.4</v>
      </c>
      <c r="P17" s="64">
        <v>0.24</v>
      </c>
      <c r="Q17" s="64">
        <v>9.14</v>
      </c>
      <c r="R17" s="198"/>
      <c r="S17" s="198"/>
      <c r="T17" s="198"/>
      <c r="U17" s="198"/>
    </row>
    <row r="18" spans="1:21" s="12" customFormat="1" x14ac:dyDescent="0.25">
      <c r="A18" s="211" t="s">
        <v>1598</v>
      </c>
      <c r="B18" s="64">
        <v>5.34</v>
      </c>
      <c r="C18" s="64">
        <v>10.07</v>
      </c>
      <c r="D18" s="64">
        <v>11.09</v>
      </c>
      <c r="E18" s="64">
        <v>4.79</v>
      </c>
      <c r="F18" s="64">
        <v>9.33</v>
      </c>
      <c r="G18" s="64">
        <v>19.64</v>
      </c>
      <c r="H18" s="64">
        <v>7.99</v>
      </c>
      <c r="I18" s="64">
        <v>4.0199999999999996</v>
      </c>
      <c r="J18" s="64">
        <v>7.0000000000000007E-2</v>
      </c>
      <c r="K18" s="64">
        <v>218.95</v>
      </c>
      <c r="L18" s="64">
        <v>23.54</v>
      </c>
      <c r="M18" s="64">
        <v>97.73</v>
      </c>
      <c r="N18" s="64">
        <v>82.4</v>
      </c>
      <c r="O18" s="64">
        <v>0.4</v>
      </c>
      <c r="P18" s="64">
        <v>0.24</v>
      </c>
      <c r="Q18" s="64">
        <v>9.16</v>
      </c>
      <c r="R18" s="198"/>
      <c r="S18" s="198"/>
      <c r="T18" s="198"/>
      <c r="U18" s="198"/>
    </row>
    <row r="19" spans="1:21" s="12" customFormat="1" x14ac:dyDescent="0.25">
      <c r="A19" s="211" t="s">
        <v>1599</v>
      </c>
      <c r="B19" s="64">
        <v>5.45</v>
      </c>
      <c r="C19" s="64">
        <v>10.5</v>
      </c>
      <c r="D19" s="64">
        <v>11.73</v>
      </c>
      <c r="E19" s="64">
        <v>4.95</v>
      </c>
      <c r="F19" s="64">
        <v>9</v>
      </c>
      <c r="G19" s="64">
        <v>18.52</v>
      </c>
      <c r="H19" s="64">
        <v>9.4600000000000009</v>
      </c>
      <c r="I19" s="64">
        <v>3.9</v>
      </c>
      <c r="J19" s="64">
        <v>0.09</v>
      </c>
      <c r="K19" s="64">
        <v>226.9</v>
      </c>
      <c r="L19" s="64">
        <v>23.51</v>
      </c>
      <c r="M19" s="64">
        <v>97.73</v>
      </c>
      <c r="N19" s="64">
        <v>83.3</v>
      </c>
      <c r="O19" s="64">
        <v>0.2</v>
      </c>
      <c r="P19" s="64">
        <v>0.24</v>
      </c>
      <c r="Q19" s="64">
        <v>9.16</v>
      </c>
      <c r="R19" s="198"/>
      <c r="S19" s="198"/>
      <c r="T19" s="198"/>
      <c r="U19" s="198"/>
    </row>
    <row r="20" spans="1:21" s="12" customFormat="1" x14ac:dyDescent="0.25">
      <c r="A20" s="211" t="s">
        <v>1600</v>
      </c>
      <c r="B20" s="64">
        <v>5.81</v>
      </c>
      <c r="C20" s="64">
        <v>11.09</v>
      </c>
      <c r="D20" s="64">
        <v>12.32</v>
      </c>
      <c r="E20" s="64">
        <v>4.87</v>
      </c>
      <c r="F20" s="64">
        <v>8.39</v>
      </c>
      <c r="G20" s="64">
        <v>18.16</v>
      </c>
      <c r="H20" s="64">
        <v>9.93</v>
      </c>
      <c r="I20" s="64">
        <v>4.0199999999999996</v>
      </c>
      <c r="J20" s="64">
        <v>0.14000000000000001</v>
      </c>
      <c r="K20" s="64">
        <v>150.08000000000001</v>
      </c>
      <c r="L20" s="64">
        <v>23.5</v>
      </c>
      <c r="M20" s="64">
        <v>97.73</v>
      </c>
      <c r="N20" s="64">
        <v>83.3</v>
      </c>
      <c r="O20" s="64">
        <v>0</v>
      </c>
      <c r="P20" s="64">
        <v>0.22</v>
      </c>
      <c r="Q20" s="64">
        <v>9.18</v>
      </c>
      <c r="R20" s="198"/>
      <c r="S20" s="198"/>
      <c r="T20" s="198"/>
      <c r="U20" s="198"/>
    </row>
    <row r="21" spans="1:21" s="12" customFormat="1" x14ac:dyDescent="0.25">
      <c r="A21" s="211" t="s">
        <v>1601</v>
      </c>
      <c r="B21" s="64">
        <v>5.42</v>
      </c>
      <c r="C21" s="64">
        <v>10.25</v>
      </c>
      <c r="D21" s="64">
        <v>11.29</v>
      </c>
      <c r="E21" s="64">
        <v>4.8899999999999997</v>
      </c>
      <c r="F21" s="64">
        <v>8.07</v>
      </c>
      <c r="G21" s="64">
        <v>18.16</v>
      </c>
      <c r="H21" s="64">
        <v>9.93</v>
      </c>
      <c r="I21" s="64">
        <v>4.17</v>
      </c>
      <c r="J21" s="64">
        <v>0.21</v>
      </c>
      <c r="K21" s="64">
        <v>148.31</v>
      </c>
      <c r="L21" s="64">
        <v>23.47</v>
      </c>
      <c r="M21" s="64">
        <v>97.74</v>
      </c>
      <c r="N21" s="64">
        <v>82.6</v>
      </c>
      <c r="O21" s="64">
        <v>0</v>
      </c>
      <c r="P21" s="64">
        <v>0.24</v>
      </c>
      <c r="Q21" s="64">
        <v>9.19</v>
      </c>
      <c r="R21" s="198"/>
      <c r="S21" s="198"/>
      <c r="T21" s="198"/>
      <c r="U21" s="198"/>
    </row>
    <row r="22" spans="1:21" s="12" customFormat="1" x14ac:dyDescent="0.25">
      <c r="A22" s="211" t="s">
        <v>1602</v>
      </c>
      <c r="B22" s="64">
        <v>5.92</v>
      </c>
      <c r="C22" s="64">
        <v>10.210000000000001</v>
      </c>
      <c r="D22" s="64">
        <v>10.47</v>
      </c>
      <c r="E22" s="64">
        <v>5.12</v>
      </c>
      <c r="F22" s="64">
        <v>8.8000000000000007</v>
      </c>
      <c r="G22" s="64">
        <v>18.16</v>
      </c>
      <c r="H22" s="64">
        <v>9.93</v>
      </c>
      <c r="I22" s="64">
        <v>4.07</v>
      </c>
      <c r="J22" s="64">
        <v>0.04</v>
      </c>
      <c r="K22" s="64">
        <v>264.91000000000003</v>
      </c>
      <c r="L22" s="64">
        <v>23.48</v>
      </c>
      <c r="M22" s="64">
        <v>97.75</v>
      </c>
      <c r="N22" s="64">
        <v>81.8</v>
      </c>
      <c r="O22" s="64">
        <v>0</v>
      </c>
      <c r="P22" s="64">
        <v>0.23</v>
      </c>
      <c r="Q22" s="64">
        <v>9.1999999999999993</v>
      </c>
      <c r="R22" s="198"/>
      <c r="S22" s="198"/>
      <c r="T22" s="198"/>
      <c r="U22" s="198"/>
    </row>
    <row r="23" spans="1:21" s="12" customFormat="1" x14ac:dyDescent="0.25">
      <c r="A23" s="211" t="s">
        <v>1603</v>
      </c>
      <c r="B23" s="64">
        <v>5.83</v>
      </c>
      <c r="C23" s="64">
        <v>9.9</v>
      </c>
      <c r="D23" s="64">
        <v>10</v>
      </c>
      <c r="E23" s="64">
        <v>5.33</v>
      </c>
      <c r="F23" s="64">
        <v>8.26</v>
      </c>
      <c r="G23" s="64">
        <v>17.02</v>
      </c>
      <c r="H23" s="64">
        <v>10.11</v>
      </c>
      <c r="I23" s="64">
        <v>4.03</v>
      </c>
      <c r="J23" s="64">
        <v>0.06</v>
      </c>
      <c r="K23" s="64">
        <v>266.17</v>
      </c>
      <c r="L23" s="64">
        <v>23.5</v>
      </c>
      <c r="M23" s="64">
        <v>97.7</v>
      </c>
      <c r="N23" s="64">
        <v>81.8</v>
      </c>
      <c r="O23" s="64">
        <v>0</v>
      </c>
      <c r="P23" s="64">
        <v>0.23</v>
      </c>
      <c r="Q23" s="64">
        <v>9.1999999999999993</v>
      </c>
      <c r="R23" s="198"/>
      <c r="S23" s="198"/>
      <c r="T23" s="198"/>
      <c r="U23" s="198"/>
    </row>
    <row r="24" spans="1:21" s="12" customFormat="1" x14ac:dyDescent="0.25">
      <c r="A24" s="211" t="s">
        <v>1604</v>
      </c>
      <c r="B24" s="64">
        <v>7.19</v>
      </c>
      <c r="C24" s="64">
        <v>10.8</v>
      </c>
      <c r="D24" s="64">
        <v>9.6300000000000008</v>
      </c>
      <c r="E24" s="64">
        <v>5.3</v>
      </c>
      <c r="F24" s="64">
        <v>6.38</v>
      </c>
      <c r="G24" s="64">
        <v>16.649999999999999</v>
      </c>
      <c r="H24" s="64">
        <v>10.17</v>
      </c>
      <c r="I24" s="64">
        <v>3.91</v>
      </c>
      <c r="J24" s="64">
        <v>0.02</v>
      </c>
      <c r="K24" s="64">
        <v>245.83</v>
      </c>
      <c r="L24" s="64">
        <v>23.51</v>
      </c>
      <c r="M24" s="64">
        <v>97.59</v>
      </c>
      <c r="N24" s="64">
        <v>82.1</v>
      </c>
      <c r="O24" s="64">
        <v>0</v>
      </c>
      <c r="P24" s="64">
        <v>0.25</v>
      </c>
      <c r="Q24" s="64">
        <v>9.1999999999999993</v>
      </c>
      <c r="R24" s="198"/>
      <c r="S24" s="198"/>
      <c r="T24" s="198"/>
      <c r="U24" s="198"/>
    </row>
    <row r="25" spans="1:21" s="12" customFormat="1" x14ac:dyDescent="0.25">
      <c r="A25" s="211" t="s">
        <v>1605</v>
      </c>
      <c r="B25" s="64">
        <v>9.4499999999999993</v>
      </c>
      <c r="C25" s="64">
        <v>12.14</v>
      </c>
      <c r="D25" s="64">
        <v>8.73</v>
      </c>
      <c r="E25" s="64">
        <v>5.45</v>
      </c>
      <c r="F25" s="64">
        <v>4.93</v>
      </c>
      <c r="G25" s="64">
        <v>16.649999999999999</v>
      </c>
      <c r="H25" s="64">
        <v>10.17</v>
      </c>
      <c r="I25" s="64">
        <v>3.92</v>
      </c>
      <c r="J25" s="64">
        <v>0.06</v>
      </c>
      <c r="K25" s="64">
        <v>209.97</v>
      </c>
      <c r="L25" s="64">
        <v>23.51</v>
      </c>
      <c r="M25" s="64">
        <v>97.61</v>
      </c>
      <c r="N25" s="64">
        <v>82.9</v>
      </c>
      <c r="O25" s="64">
        <v>0.2</v>
      </c>
      <c r="P25" s="64">
        <v>0.28000000000000003</v>
      </c>
      <c r="Q25" s="64">
        <v>9.17</v>
      </c>
      <c r="R25" s="198"/>
      <c r="S25" s="198"/>
      <c r="T25" s="198"/>
      <c r="U25" s="198"/>
    </row>
    <row r="26" spans="1:21" s="12" customFormat="1" x14ac:dyDescent="0.25">
      <c r="A26" s="211" t="s">
        <v>1606</v>
      </c>
      <c r="B26" s="64">
        <v>8.56</v>
      </c>
      <c r="C26" s="64">
        <v>12.17</v>
      </c>
      <c r="D26" s="64">
        <v>10.15</v>
      </c>
      <c r="E26" s="64">
        <v>5.4</v>
      </c>
      <c r="F26" s="64">
        <v>4.22</v>
      </c>
      <c r="G26" s="64">
        <v>16.649999999999999</v>
      </c>
      <c r="H26" s="64">
        <v>10.17</v>
      </c>
      <c r="I26" s="64">
        <v>4.1399999999999997</v>
      </c>
      <c r="J26" s="64">
        <v>0.06</v>
      </c>
      <c r="K26" s="64">
        <v>259.73</v>
      </c>
      <c r="L26" s="64">
        <v>23.49</v>
      </c>
      <c r="M26" s="64">
        <v>97.68</v>
      </c>
      <c r="N26" s="64">
        <v>82.9</v>
      </c>
      <c r="O26" s="64">
        <v>0</v>
      </c>
      <c r="P26" s="64">
        <v>0.24</v>
      </c>
      <c r="Q26" s="64">
        <v>9.17</v>
      </c>
      <c r="R26" s="198"/>
      <c r="S26" s="198"/>
      <c r="T26" s="198"/>
      <c r="U26" s="198"/>
    </row>
    <row r="27" spans="1:21" s="12" customFormat="1" x14ac:dyDescent="0.25">
      <c r="A27" s="211" t="s">
        <v>1607</v>
      </c>
      <c r="B27" s="64">
        <v>9.4700000000000006</v>
      </c>
      <c r="C27" s="64">
        <v>12.6</v>
      </c>
      <c r="D27" s="64">
        <v>9.58</v>
      </c>
      <c r="E27" s="64">
        <v>5.49</v>
      </c>
      <c r="F27" s="64">
        <v>4.8</v>
      </c>
      <c r="G27" s="64">
        <v>14.07</v>
      </c>
      <c r="H27" s="64">
        <v>8.6300000000000008</v>
      </c>
      <c r="I27" s="64">
        <v>4.0199999999999996</v>
      </c>
      <c r="J27" s="64">
        <v>0.13</v>
      </c>
      <c r="K27" s="64">
        <v>151.4</v>
      </c>
      <c r="L27" s="64">
        <v>23.5</v>
      </c>
      <c r="M27" s="64">
        <v>97.7</v>
      </c>
      <c r="N27" s="64">
        <v>82.4</v>
      </c>
      <c r="O27" s="64">
        <v>0</v>
      </c>
      <c r="P27" s="64">
        <v>0.27</v>
      </c>
      <c r="Q27" s="64">
        <v>9.16</v>
      </c>
      <c r="R27" s="198"/>
      <c r="S27" s="198"/>
      <c r="T27" s="198"/>
      <c r="U27" s="198"/>
    </row>
    <row r="28" spans="1:21" s="12" customFormat="1" x14ac:dyDescent="0.25">
      <c r="A28" s="211" t="s">
        <v>1608</v>
      </c>
      <c r="B28" s="64">
        <v>8.34</v>
      </c>
      <c r="C28" s="64">
        <v>12.54</v>
      </c>
      <c r="D28" s="64">
        <v>11.19</v>
      </c>
      <c r="E28" s="64">
        <v>5.19</v>
      </c>
      <c r="F28" s="64">
        <v>5.86</v>
      </c>
      <c r="G28" s="64">
        <v>13.24</v>
      </c>
      <c r="H28" s="64">
        <v>8.1300000000000008</v>
      </c>
      <c r="I28" s="64">
        <v>4.0199999999999996</v>
      </c>
      <c r="J28" s="64">
        <v>0.26</v>
      </c>
      <c r="K28" s="64">
        <v>169.23</v>
      </c>
      <c r="L28" s="64">
        <v>23.54</v>
      </c>
      <c r="M28" s="64">
        <v>97.72</v>
      </c>
      <c r="N28" s="64">
        <v>82.2</v>
      </c>
      <c r="O28" s="64">
        <v>0</v>
      </c>
      <c r="P28" s="64">
        <v>0.26</v>
      </c>
      <c r="Q28" s="64">
        <v>9.15</v>
      </c>
      <c r="R28" s="198"/>
      <c r="S28" s="198"/>
      <c r="T28" s="198"/>
      <c r="U28" s="198"/>
    </row>
    <row r="29" spans="1:21" s="12" customFormat="1" x14ac:dyDescent="0.25">
      <c r="A29" s="211" t="s">
        <v>1609</v>
      </c>
      <c r="B29" s="64">
        <v>9.16</v>
      </c>
      <c r="C29" s="64">
        <v>13.27</v>
      </c>
      <c r="D29" s="64">
        <v>11.35</v>
      </c>
      <c r="E29" s="64">
        <v>5.25</v>
      </c>
      <c r="F29" s="64">
        <v>4.91</v>
      </c>
      <c r="G29" s="64">
        <v>13.24</v>
      </c>
      <c r="H29" s="64">
        <v>8.1300000000000008</v>
      </c>
      <c r="I29" s="64">
        <v>4.05</v>
      </c>
      <c r="J29" s="64">
        <v>0.23</v>
      </c>
      <c r="K29" s="64">
        <v>157.26</v>
      </c>
      <c r="L29" s="64">
        <v>23.53</v>
      </c>
      <c r="M29" s="64">
        <v>97.73</v>
      </c>
      <c r="N29" s="64">
        <v>82.9</v>
      </c>
      <c r="O29" s="64">
        <v>0</v>
      </c>
      <c r="P29" s="64">
        <v>0.27</v>
      </c>
      <c r="Q29" s="64">
        <v>9.15</v>
      </c>
      <c r="R29" s="198"/>
      <c r="S29" s="198"/>
      <c r="T29" s="198"/>
      <c r="U29" s="198"/>
    </row>
    <row r="30" spans="1:21" s="12" customFormat="1" x14ac:dyDescent="0.25">
      <c r="A30" s="211" t="s">
        <v>1610</v>
      </c>
      <c r="B30" s="64">
        <v>9.48</v>
      </c>
      <c r="C30" s="64">
        <v>13.02</v>
      </c>
      <c r="D30" s="64">
        <v>10.37</v>
      </c>
      <c r="E30" s="64">
        <v>5.01</v>
      </c>
      <c r="F30" s="64">
        <v>5.86</v>
      </c>
      <c r="G30" s="64">
        <v>13.24</v>
      </c>
      <c r="H30" s="64">
        <v>8.1300000000000008</v>
      </c>
      <c r="I30" s="64">
        <v>4.03</v>
      </c>
      <c r="J30" s="64">
        <v>0.04</v>
      </c>
      <c r="K30" s="64">
        <v>187.74</v>
      </c>
      <c r="L30" s="64">
        <v>23.57</v>
      </c>
      <c r="M30" s="64">
        <v>97.73</v>
      </c>
      <c r="N30" s="64">
        <v>83.5</v>
      </c>
      <c r="O30" s="64">
        <v>0</v>
      </c>
      <c r="P30" s="64">
        <v>0.26</v>
      </c>
      <c r="Q30" s="64">
        <v>9.14</v>
      </c>
      <c r="R30" s="198"/>
      <c r="S30" s="198"/>
      <c r="T30" s="198"/>
      <c r="U30" s="198"/>
    </row>
    <row r="31" spans="1:21" s="12" customFormat="1" x14ac:dyDescent="0.25">
      <c r="A31" s="211" t="s">
        <v>1611</v>
      </c>
      <c r="B31" s="64">
        <v>8.51</v>
      </c>
      <c r="C31" s="64">
        <v>12.9</v>
      </c>
      <c r="D31" s="64">
        <v>11.62</v>
      </c>
      <c r="E31" s="64">
        <v>4.62</v>
      </c>
      <c r="F31" s="64">
        <v>5.86</v>
      </c>
      <c r="G31" s="64">
        <v>13.84</v>
      </c>
      <c r="H31" s="64">
        <v>6.35</v>
      </c>
      <c r="I31" s="64">
        <v>4</v>
      </c>
      <c r="J31" s="64">
        <v>0.06</v>
      </c>
      <c r="K31" s="64">
        <v>236.03</v>
      </c>
      <c r="L31" s="64">
        <v>23.58</v>
      </c>
      <c r="M31" s="64">
        <v>97.73</v>
      </c>
      <c r="N31" s="64">
        <v>85.2</v>
      </c>
      <c r="O31" s="64">
        <v>0</v>
      </c>
      <c r="P31" s="64">
        <v>0.27</v>
      </c>
      <c r="Q31" s="64">
        <v>9.15</v>
      </c>
      <c r="R31" s="198"/>
      <c r="S31" s="198"/>
      <c r="T31" s="198"/>
      <c r="U31" s="198"/>
    </row>
    <row r="32" spans="1:21" s="12" customFormat="1" x14ac:dyDescent="0.25">
      <c r="A32" s="211" t="s">
        <v>1612</v>
      </c>
      <c r="B32" s="64">
        <v>10.039999999999999</v>
      </c>
      <c r="C32" s="64">
        <v>13.14</v>
      </c>
      <c r="D32" s="64">
        <v>9.74</v>
      </c>
      <c r="E32" s="64">
        <v>4.8600000000000003</v>
      </c>
      <c r="F32" s="64">
        <v>4.3099999999999996</v>
      </c>
      <c r="G32" s="64">
        <v>14.04</v>
      </c>
      <c r="H32" s="64">
        <v>5.78</v>
      </c>
      <c r="I32" s="64">
        <v>3.8</v>
      </c>
      <c r="J32" s="64">
        <v>0.05</v>
      </c>
      <c r="K32" s="64">
        <v>149.34</v>
      </c>
      <c r="L32" s="64">
        <v>23.59</v>
      </c>
      <c r="M32" s="64">
        <v>97.72</v>
      </c>
      <c r="N32" s="64">
        <v>86.8</v>
      </c>
      <c r="O32" s="64">
        <v>0</v>
      </c>
      <c r="P32" s="64">
        <v>0.28000000000000003</v>
      </c>
      <c r="Q32" s="64">
        <v>9.16</v>
      </c>
      <c r="R32" s="198"/>
      <c r="S32" s="198"/>
      <c r="T32" s="198"/>
      <c r="U32" s="198"/>
    </row>
    <row r="33" spans="1:21" s="12" customFormat="1" x14ac:dyDescent="0.25">
      <c r="A33" s="211" t="s">
        <v>1613</v>
      </c>
      <c r="B33" s="64">
        <v>9.6199999999999992</v>
      </c>
      <c r="C33" s="64">
        <v>13.52</v>
      </c>
      <c r="D33" s="64">
        <v>11.12</v>
      </c>
      <c r="E33" s="64">
        <v>5.13</v>
      </c>
      <c r="F33" s="64">
        <v>6.81</v>
      </c>
      <c r="G33" s="64">
        <v>14.04</v>
      </c>
      <c r="H33" s="64">
        <v>5.78</v>
      </c>
      <c r="I33" s="64">
        <v>3.98</v>
      </c>
      <c r="J33" s="64">
        <v>0.47</v>
      </c>
      <c r="K33" s="64">
        <v>134.31</v>
      </c>
      <c r="L33" s="64">
        <v>23.22</v>
      </c>
      <c r="M33" s="64">
        <v>97.68</v>
      </c>
      <c r="N33" s="64">
        <v>90.3</v>
      </c>
      <c r="O33" s="64">
        <v>0</v>
      </c>
      <c r="P33" s="64">
        <v>0.25</v>
      </c>
      <c r="Q33" s="64">
        <v>9.17</v>
      </c>
      <c r="R33" s="198"/>
      <c r="S33" s="198"/>
      <c r="T33" s="198"/>
      <c r="U33" s="198"/>
    </row>
    <row r="34" spans="1:21" s="12" customFormat="1" x14ac:dyDescent="0.25">
      <c r="A34" s="211" t="s">
        <v>1614</v>
      </c>
      <c r="B34" s="64">
        <v>10.71</v>
      </c>
      <c r="C34" s="64">
        <v>14.3</v>
      </c>
      <c r="D34" s="64">
        <v>10.93</v>
      </c>
      <c r="E34" s="64">
        <v>4.99</v>
      </c>
      <c r="F34" s="64">
        <v>6.37</v>
      </c>
      <c r="G34" s="64">
        <v>14.04</v>
      </c>
      <c r="H34" s="64">
        <v>5.78</v>
      </c>
      <c r="I34" s="64">
        <v>3.8</v>
      </c>
      <c r="J34" s="64">
        <v>0.55000000000000004</v>
      </c>
      <c r="K34" s="64">
        <v>333.63</v>
      </c>
      <c r="L34" s="64">
        <v>22.98</v>
      </c>
      <c r="M34" s="64">
        <v>97.68</v>
      </c>
      <c r="N34" s="64">
        <v>86.6</v>
      </c>
      <c r="O34" s="64">
        <v>2.8</v>
      </c>
      <c r="P34" s="64">
        <v>0.26</v>
      </c>
      <c r="Q34" s="64">
        <v>9.16</v>
      </c>
      <c r="R34" s="198"/>
      <c r="S34" s="198"/>
      <c r="T34" s="198"/>
      <c r="U34" s="198"/>
    </row>
    <row r="35" spans="1:21" s="12" customFormat="1" x14ac:dyDescent="0.25">
      <c r="A35" s="211" t="s">
        <v>1615</v>
      </c>
      <c r="B35" s="64">
        <v>12.51</v>
      </c>
      <c r="C35" s="64">
        <v>16.55</v>
      </c>
      <c r="D35" s="64">
        <v>12.46</v>
      </c>
      <c r="E35" s="64">
        <v>5.26</v>
      </c>
      <c r="F35" s="64">
        <v>8.3800000000000008</v>
      </c>
      <c r="G35" s="64">
        <v>10.86</v>
      </c>
      <c r="H35" s="64">
        <v>6.36</v>
      </c>
      <c r="I35" s="64">
        <v>3.83</v>
      </c>
      <c r="J35" s="64">
        <v>0.4</v>
      </c>
      <c r="K35" s="64">
        <v>329.81</v>
      </c>
      <c r="L35" s="64">
        <v>22.58</v>
      </c>
      <c r="M35" s="64">
        <v>97.68</v>
      </c>
      <c r="N35" s="64">
        <v>88.4</v>
      </c>
      <c r="O35" s="64">
        <v>3.6</v>
      </c>
      <c r="P35" s="64">
        <v>0.26</v>
      </c>
      <c r="Q35" s="64">
        <v>9.19</v>
      </c>
      <c r="R35" s="198"/>
      <c r="S35" s="198"/>
      <c r="T35" s="198"/>
      <c r="U35" s="198"/>
    </row>
    <row r="36" spans="1:21" s="12" customFormat="1" x14ac:dyDescent="0.25">
      <c r="A36" s="211" t="s">
        <v>1616</v>
      </c>
      <c r="B36" s="64">
        <v>11.91</v>
      </c>
      <c r="C36" s="64">
        <v>16.18</v>
      </c>
      <c r="D36" s="64">
        <v>12.69</v>
      </c>
      <c r="E36" s="64">
        <v>5.24</v>
      </c>
      <c r="F36" s="64">
        <v>5.49</v>
      </c>
      <c r="G36" s="64">
        <v>9.83</v>
      </c>
      <c r="H36" s="64">
        <v>6.55</v>
      </c>
      <c r="I36" s="64">
        <v>3.94</v>
      </c>
      <c r="J36" s="64">
        <v>0.28000000000000003</v>
      </c>
      <c r="K36" s="64">
        <v>297.27</v>
      </c>
      <c r="L36" s="64">
        <v>22.37</v>
      </c>
      <c r="M36" s="64">
        <v>97.68</v>
      </c>
      <c r="N36" s="64">
        <v>90.5</v>
      </c>
      <c r="O36" s="64">
        <v>2.2000000000000002</v>
      </c>
      <c r="P36" s="64">
        <v>0.27</v>
      </c>
      <c r="Q36" s="64">
        <v>9.2100000000000009</v>
      </c>
      <c r="R36" s="198"/>
      <c r="S36" s="198"/>
      <c r="T36" s="198"/>
      <c r="U36" s="198"/>
    </row>
    <row r="37" spans="1:21" s="12" customFormat="1" x14ac:dyDescent="0.25">
      <c r="A37" s="211" t="s">
        <v>1617</v>
      </c>
      <c r="B37" s="64">
        <v>13.78</v>
      </c>
      <c r="C37" s="64">
        <v>18.63</v>
      </c>
      <c r="D37" s="64">
        <v>14.51</v>
      </c>
      <c r="E37" s="64">
        <v>5.15</v>
      </c>
      <c r="F37" s="64">
        <v>4.91</v>
      </c>
      <c r="G37" s="64">
        <v>9.83</v>
      </c>
      <c r="H37" s="64">
        <v>6.55</v>
      </c>
      <c r="I37" s="64">
        <v>3.93</v>
      </c>
      <c r="J37" s="64">
        <v>0.09</v>
      </c>
      <c r="K37" s="64">
        <v>306.44</v>
      </c>
      <c r="L37" s="64">
        <v>22.3</v>
      </c>
      <c r="M37" s="64">
        <v>97.68</v>
      </c>
      <c r="N37" s="64">
        <v>91</v>
      </c>
      <c r="O37" s="64">
        <v>1.2</v>
      </c>
      <c r="P37" s="64">
        <v>0.28000000000000003</v>
      </c>
      <c r="Q37" s="64">
        <v>9.23</v>
      </c>
      <c r="R37" s="198"/>
      <c r="S37" s="198"/>
      <c r="T37" s="198"/>
      <c r="U37" s="198"/>
    </row>
    <row r="38" spans="1:21" s="12" customFormat="1" x14ac:dyDescent="0.25">
      <c r="A38" s="211" t="s">
        <v>1618</v>
      </c>
      <c r="B38" s="64">
        <v>11.7</v>
      </c>
      <c r="C38" s="64">
        <v>17.2</v>
      </c>
      <c r="D38" s="64">
        <v>14.96</v>
      </c>
      <c r="E38" s="64">
        <v>5.0199999999999996</v>
      </c>
      <c r="F38" s="64">
        <v>6.33</v>
      </c>
      <c r="G38" s="64">
        <v>9.83</v>
      </c>
      <c r="H38" s="64">
        <v>6.55</v>
      </c>
      <c r="I38" s="64">
        <v>4.07</v>
      </c>
      <c r="J38" s="64">
        <v>0.01</v>
      </c>
      <c r="K38" s="64">
        <v>51.48</v>
      </c>
      <c r="L38" s="64">
        <v>22.2</v>
      </c>
      <c r="M38" s="64">
        <v>97.68</v>
      </c>
      <c r="N38" s="64">
        <v>93.6</v>
      </c>
      <c r="O38" s="64">
        <v>0.4</v>
      </c>
      <c r="P38" s="64">
        <v>0.31</v>
      </c>
      <c r="Q38" s="64">
        <v>9.25</v>
      </c>
      <c r="R38" s="198"/>
      <c r="S38" s="198"/>
      <c r="T38" s="198"/>
      <c r="U38" s="198"/>
    </row>
    <row r="39" spans="1:21" s="12" customFormat="1" x14ac:dyDescent="0.25">
      <c r="A39" s="211" t="s">
        <v>1619</v>
      </c>
      <c r="B39" s="64">
        <v>12.42</v>
      </c>
      <c r="C39" s="64">
        <v>18.61</v>
      </c>
      <c r="D39" s="64">
        <v>16.55</v>
      </c>
      <c r="E39" s="64">
        <v>5.14</v>
      </c>
      <c r="F39" s="64">
        <v>6.72</v>
      </c>
      <c r="G39" s="64">
        <v>9</v>
      </c>
      <c r="H39" s="64">
        <v>5.0599999999999996</v>
      </c>
      <c r="I39" s="64">
        <v>3.94</v>
      </c>
      <c r="J39" s="64">
        <v>0.11</v>
      </c>
      <c r="K39" s="64">
        <v>326.45999999999998</v>
      </c>
      <c r="L39" s="64">
        <v>22.4</v>
      </c>
      <c r="M39" s="64">
        <v>97.68</v>
      </c>
      <c r="N39" s="64">
        <v>98.2</v>
      </c>
      <c r="O39" s="64">
        <v>0.6</v>
      </c>
      <c r="P39" s="64">
        <v>0.36</v>
      </c>
      <c r="Q39" s="64">
        <v>9.26</v>
      </c>
      <c r="R39" s="198"/>
      <c r="S39" s="198"/>
      <c r="T39" s="198"/>
      <c r="U39" s="198"/>
    </row>
    <row r="40" spans="1:21" s="12" customFormat="1" x14ac:dyDescent="0.25">
      <c r="A40" s="211" t="s">
        <v>1620</v>
      </c>
      <c r="B40" s="64">
        <v>11.61</v>
      </c>
      <c r="C40" s="64">
        <v>16.71</v>
      </c>
      <c r="D40" s="64">
        <v>14.16</v>
      </c>
      <c r="E40" s="64">
        <v>4.01</v>
      </c>
      <c r="F40" s="64">
        <v>5.42</v>
      </c>
      <c r="G40" s="64">
        <v>8.73</v>
      </c>
      <c r="H40" s="64">
        <v>4.58</v>
      </c>
      <c r="I40" s="64">
        <v>3.95</v>
      </c>
      <c r="J40" s="64">
        <v>7.0000000000000007E-2</v>
      </c>
      <c r="K40" s="64">
        <v>296.97000000000003</v>
      </c>
      <c r="L40" s="64">
        <v>22.29</v>
      </c>
      <c r="M40" s="64">
        <v>97.68</v>
      </c>
      <c r="N40" s="64">
        <v>110.1</v>
      </c>
      <c r="O40" s="64">
        <v>0</v>
      </c>
      <c r="P40" s="64">
        <v>0.31</v>
      </c>
      <c r="Q40" s="64">
        <v>9.27</v>
      </c>
      <c r="R40" s="198"/>
      <c r="S40" s="198"/>
      <c r="T40" s="198"/>
      <c r="U40" s="198"/>
    </row>
    <row r="41" spans="1:21" s="12" customFormat="1" x14ac:dyDescent="0.25">
      <c r="A41" s="211" t="s">
        <v>1621</v>
      </c>
      <c r="B41" s="64">
        <v>10.75</v>
      </c>
      <c r="C41" s="64">
        <v>14.75</v>
      </c>
      <c r="D41" s="64">
        <v>11.73</v>
      </c>
      <c r="E41" s="64">
        <v>4.24</v>
      </c>
      <c r="F41" s="64">
        <v>5.79</v>
      </c>
      <c r="G41" s="64">
        <v>8.73</v>
      </c>
      <c r="H41" s="64">
        <v>4.58</v>
      </c>
      <c r="I41" s="64">
        <v>4</v>
      </c>
      <c r="J41" s="64">
        <v>0.06</v>
      </c>
      <c r="K41" s="64">
        <v>313.55</v>
      </c>
      <c r="L41" s="64">
        <v>22.32</v>
      </c>
      <c r="M41" s="64">
        <v>97.68</v>
      </c>
      <c r="N41" s="64">
        <v>130.9</v>
      </c>
      <c r="O41" s="64">
        <v>0.4</v>
      </c>
      <c r="P41" s="64">
        <v>0.3</v>
      </c>
      <c r="Q41" s="64">
        <v>9.26</v>
      </c>
      <c r="R41" s="198"/>
      <c r="S41" s="198"/>
      <c r="T41" s="198"/>
      <c r="U41" s="198"/>
    </row>
    <row r="42" spans="1:21" s="12" customFormat="1" x14ac:dyDescent="0.25">
      <c r="A42" s="211" t="s">
        <v>1622</v>
      </c>
      <c r="B42" s="64">
        <v>10.93</v>
      </c>
      <c r="C42" s="64">
        <v>14.61</v>
      </c>
      <c r="D42" s="64">
        <v>11.18</v>
      </c>
      <c r="E42" s="64">
        <v>4.41</v>
      </c>
      <c r="F42" s="64">
        <v>3.26</v>
      </c>
      <c r="G42" s="64">
        <v>8.73</v>
      </c>
      <c r="H42" s="64">
        <v>4.58</v>
      </c>
      <c r="I42" s="64">
        <v>3.95</v>
      </c>
      <c r="J42" s="64">
        <v>0.02</v>
      </c>
      <c r="K42" s="64">
        <v>240.47</v>
      </c>
      <c r="L42" s="64">
        <v>22.57</v>
      </c>
      <c r="M42" s="64">
        <v>97.68</v>
      </c>
      <c r="N42" s="64">
        <v>139.1</v>
      </c>
      <c r="O42" s="64">
        <v>0</v>
      </c>
      <c r="P42" s="64">
        <v>0.31</v>
      </c>
      <c r="Q42" s="64">
        <v>9.25</v>
      </c>
      <c r="R42" s="198"/>
      <c r="S42" s="198"/>
      <c r="T42" s="198"/>
      <c r="U42" s="198"/>
    </row>
    <row r="43" spans="1:21" s="12" customFormat="1" x14ac:dyDescent="0.25">
      <c r="A43" s="211" t="s">
        <v>1623</v>
      </c>
      <c r="B43" s="64">
        <v>11.36</v>
      </c>
      <c r="C43" s="64">
        <v>14.8</v>
      </c>
      <c r="D43" s="64">
        <v>10.89</v>
      </c>
      <c r="E43" s="64">
        <v>4.3499999999999996</v>
      </c>
      <c r="F43" s="64">
        <v>4.04</v>
      </c>
      <c r="G43" s="64">
        <v>8.7100000000000009</v>
      </c>
      <c r="H43" s="64">
        <v>4.5999999999999996</v>
      </c>
      <c r="I43" s="64">
        <v>4.01</v>
      </c>
      <c r="J43" s="64">
        <v>0.12</v>
      </c>
      <c r="K43" s="64">
        <v>280.57</v>
      </c>
      <c r="L43" s="64">
        <v>22.85</v>
      </c>
      <c r="M43" s="64">
        <v>97.68</v>
      </c>
      <c r="N43" s="64">
        <v>182.9</v>
      </c>
      <c r="O43" s="64">
        <v>0</v>
      </c>
      <c r="P43" s="64">
        <v>0.31</v>
      </c>
      <c r="Q43" s="64">
        <v>9.23</v>
      </c>
      <c r="R43" s="198"/>
      <c r="S43" s="198"/>
      <c r="T43" s="198"/>
      <c r="U43" s="198"/>
    </row>
    <row r="44" spans="1:21" s="12" customFormat="1" x14ac:dyDescent="0.25">
      <c r="A44" s="211" t="s">
        <v>1624</v>
      </c>
      <c r="B44" s="64">
        <v>11.26</v>
      </c>
      <c r="C44" s="64">
        <v>15.38</v>
      </c>
      <c r="D44" s="64">
        <v>12.16</v>
      </c>
      <c r="E44" s="64">
        <v>4.37</v>
      </c>
      <c r="F44" s="64">
        <v>3.47</v>
      </c>
      <c r="G44" s="64">
        <v>8.7100000000000009</v>
      </c>
      <c r="H44" s="64">
        <v>4.5999999999999996</v>
      </c>
      <c r="I44" s="64">
        <v>4.03</v>
      </c>
      <c r="J44" s="64">
        <v>0.1</v>
      </c>
      <c r="K44" s="64">
        <v>275.07</v>
      </c>
      <c r="L44" s="64">
        <v>23.16</v>
      </c>
      <c r="M44" s="64">
        <v>97.68</v>
      </c>
      <c r="N44" s="64">
        <v>235.2</v>
      </c>
      <c r="O44" s="64">
        <v>0</v>
      </c>
      <c r="P44" s="64">
        <v>0.32</v>
      </c>
      <c r="Q44" s="64">
        <v>9.1999999999999993</v>
      </c>
      <c r="R44" s="198"/>
      <c r="S44" s="198"/>
      <c r="T44" s="198"/>
      <c r="U44" s="198"/>
    </row>
    <row r="45" spans="1:21" s="12" customFormat="1" x14ac:dyDescent="0.25">
      <c r="A45" s="211" t="s">
        <v>1625</v>
      </c>
      <c r="B45" s="64">
        <v>10.96</v>
      </c>
      <c r="C45" s="64">
        <v>14.99</v>
      </c>
      <c r="D45" s="64">
        <v>11.88</v>
      </c>
      <c r="E45" s="64">
        <v>4.24</v>
      </c>
      <c r="F45" s="64">
        <v>3.88</v>
      </c>
      <c r="G45" s="64">
        <v>8.7100000000000009</v>
      </c>
      <c r="H45" s="64">
        <v>4.5999999999999996</v>
      </c>
      <c r="I45" s="64">
        <v>4.0199999999999996</v>
      </c>
      <c r="J45" s="64">
        <v>0.09</v>
      </c>
      <c r="K45" s="64">
        <v>296.17</v>
      </c>
      <c r="L45" s="64">
        <v>23.26</v>
      </c>
      <c r="M45" s="64">
        <v>97.68</v>
      </c>
      <c r="N45" s="64">
        <v>199.7</v>
      </c>
      <c r="O45" s="64">
        <v>0</v>
      </c>
      <c r="P45" s="64">
        <v>0.32</v>
      </c>
      <c r="Q45" s="64">
        <v>9.18</v>
      </c>
      <c r="R45" s="198"/>
      <c r="S45" s="198"/>
      <c r="T45" s="198"/>
      <c r="U45" s="198"/>
    </row>
    <row r="46" spans="1:21" s="12" customFormat="1" x14ac:dyDescent="0.25">
      <c r="A46" s="211" t="s">
        <v>1626</v>
      </c>
      <c r="B46" s="64">
        <v>10.58</v>
      </c>
      <c r="C46" s="64">
        <v>14.62</v>
      </c>
      <c r="D46" s="64">
        <v>11.74</v>
      </c>
      <c r="E46" s="64">
        <v>4.09</v>
      </c>
      <c r="F46" s="64">
        <v>2.82</v>
      </c>
      <c r="G46" s="64">
        <v>8.7100000000000009</v>
      </c>
      <c r="H46" s="64">
        <v>4.5999999999999996</v>
      </c>
      <c r="I46" s="64">
        <v>4</v>
      </c>
      <c r="J46" s="64">
        <v>0.14000000000000001</v>
      </c>
      <c r="K46" s="64">
        <v>324.74</v>
      </c>
      <c r="L46" s="64">
        <v>23.23</v>
      </c>
      <c r="M46" s="64">
        <v>97.68</v>
      </c>
      <c r="N46" s="64">
        <v>151.4</v>
      </c>
      <c r="O46" s="64">
        <v>0</v>
      </c>
      <c r="P46" s="64">
        <v>0.32</v>
      </c>
      <c r="Q46" s="64">
        <v>9.17</v>
      </c>
      <c r="R46" s="198"/>
      <c r="S46" s="198"/>
      <c r="T46" s="198"/>
      <c r="U46" s="198"/>
    </row>
    <row r="47" spans="1:21" s="12" customFormat="1" x14ac:dyDescent="0.25">
      <c r="A47" s="211" t="s">
        <v>1627</v>
      </c>
      <c r="B47" s="64">
        <v>10.1</v>
      </c>
      <c r="C47" s="64">
        <v>14</v>
      </c>
      <c r="D47" s="64">
        <v>11.3</v>
      </c>
      <c r="E47" s="64">
        <v>4.1399999999999997</v>
      </c>
      <c r="F47" s="64">
        <v>4.32</v>
      </c>
      <c r="G47" s="64">
        <v>7.85</v>
      </c>
      <c r="H47" s="64">
        <v>3.84</v>
      </c>
      <c r="I47" s="64">
        <v>3.89</v>
      </c>
      <c r="J47" s="64">
        <v>0.1</v>
      </c>
      <c r="K47" s="64">
        <v>315.06</v>
      </c>
      <c r="L47" s="64">
        <v>23.31</v>
      </c>
      <c r="M47" s="64">
        <v>97.68</v>
      </c>
      <c r="N47" s="64">
        <v>144.5</v>
      </c>
      <c r="O47" s="64">
        <v>0</v>
      </c>
      <c r="P47" s="64">
        <v>0.33</v>
      </c>
      <c r="Q47" s="64">
        <v>9.17</v>
      </c>
      <c r="R47" s="198"/>
      <c r="S47" s="198"/>
      <c r="T47" s="198"/>
      <c r="U47" s="198"/>
    </row>
    <row r="48" spans="1:21" s="12" customFormat="1" x14ac:dyDescent="0.25">
      <c r="A48" s="211" t="s">
        <v>1628</v>
      </c>
      <c r="B48" s="64">
        <v>9.52</v>
      </c>
      <c r="C48" s="64">
        <v>13.75</v>
      </c>
      <c r="D48" s="64">
        <v>11.7</v>
      </c>
      <c r="E48" s="64">
        <v>4.45</v>
      </c>
      <c r="F48" s="64">
        <v>2.77</v>
      </c>
      <c r="G48" s="64">
        <v>7.57</v>
      </c>
      <c r="H48" s="64">
        <v>3.59</v>
      </c>
      <c r="I48" s="64">
        <v>3.94</v>
      </c>
      <c r="J48" s="64">
        <v>7.0000000000000007E-2</v>
      </c>
      <c r="K48" s="64">
        <v>286.08999999999997</v>
      </c>
      <c r="L48" s="64">
        <v>23.4</v>
      </c>
      <c r="M48" s="64">
        <v>97.68</v>
      </c>
      <c r="N48" s="64">
        <v>165.8</v>
      </c>
      <c r="O48" s="64">
        <v>0</v>
      </c>
      <c r="P48" s="64">
        <v>0.34</v>
      </c>
      <c r="Q48" s="64">
        <v>9.16</v>
      </c>
      <c r="R48" s="198"/>
      <c r="S48" s="198"/>
      <c r="T48" s="198"/>
      <c r="U48" s="198"/>
    </row>
    <row r="49" spans="1:21" s="12" customFormat="1" x14ac:dyDescent="0.25">
      <c r="A49" s="211" t="s">
        <v>1629</v>
      </c>
      <c r="B49" s="64">
        <v>9.3699999999999992</v>
      </c>
      <c r="C49" s="64">
        <v>13.5</v>
      </c>
      <c r="D49" s="64">
        <v>11.46</v>
      </c>
      <c r="E49" s="64">
        <v>4.3499999999999996</v>
      </c>
      <c r="F49" s="64">
        <v>3.98</v>
      </c>
      <c r="G49" s="64">
        <v>7.57</v>
      </c>
      <c r="H49" s="64">
        <v>3.59</v>
      </c>
      <c r="I49" s="64">
        <v>3.92</v>
      </c>
      <c r="J49" s="64">
        <v>7.0000000000000007E-2</v>
      </c>
      <c r="K49" s="64">
        <v>294.37</v>
      </c>
      <c r="L49" s="64">
        <v>23.63</v>
      </c>
      <c r="M49" s="64">
        <v>97.69</v>
      </c>
      <c r="N49" s="64">
        <v>176</v>
      </c>
      <c r="O49" s="64">
        <v>0</v>
      </c>
      <c r="P49" s="64">
        <v>0.34</v>
      </c>
      <c r="Q49" s="64">
        <v>9.15</v>
      </c>
      <c r="R49" s="198"/>
      <c r="S49" s="198"/>
      <c r="T49" s="198"/>
      <c r="U49" s="198"/>
    </row>
    <row r="50" spans="1:21" s="12" customFormat="1" x14ac:dyDescent="0.25">
      <c r="A50" s="211" t="s">
        <v>1630</v>
      </c>
      <c r="B50" s="64">
        <v>9.44</v>
      </c>
      <c r="C50" s="64">
        <v>13.55</v>
      </c>
      <c r="D50" s="64">
        <v>11.44</v>
      </c>
      <c r="E50" s="64">
        <v>4.2300000000000004</v>
      </c>
      <c r="F50" s="64">
        <v>3.09</v>
      </c>
      <c r="G50" s="64">
        <v>7.57</v>
      </c>
      <c r="H50" s="64">
        <v>3.59</v>
      </c>
      <c r="I50" s="64">
        <v>3.89</v>
      </c>
      <c r="J50" s="64">
        <v>0.11</v>
      </c>
      <c r="K50" s="64">
        <v>280.72000000000003</v>
      </c>
      <c r="L50" s="64">
        <v>23.88</v>
      </c>
      <c r="M50" s="64">
        <v>97.67</v>
      </c>
      <c r="N50" s="64">
        <v>213.2</v>
      </c>
      <c r="O50" s="64">
        <v>0</v>
      </c>
      <c r="P50" s="64">
        <v>0.35</v>
      </c>
      <c r="Q50" s="64">
        <v>9.14</v>
      </c>
      <c r="R50" s="198"/>
      <c r="S50" s="198"/>
      <c r="T50" s="198"/>
      <c r="U50" s="198"/>
    </row>
    <row r="51" spans="1:21" s="12" customFormat="1" x14ac:dyDescent="0.25">
      <c r="A51" s="211" t="s">
        <v>1631</v>
      </c>
      <c r="B51" s="64">
        <v>9.69</v>
      </c>
      <c r="C51" s="64">
        <v>13.96</v>
      </c>
      <c r="D51" s="64">
        <v>11.86</v>
      </c>
      <c r="E51" s="64">
        <v>4.1900000000000004</v>
      </c>
      <c r="F51" s="64">
        <v>4.25</v>
      </c>
      <c r="G51" s="64">
        <v>6.55</v>
      </c>
      <c r="H51" s="64">
        <v>2.86</v>
      </c>
      <c r="I51" s="64">
        <v>4.09</v>
      </c>
      <c r="J51" s="64">
        <v>0.14000000000000001</v>
      </c>
      <c r="K51" s="64">
        <v>296.49</v>
      </c>
      <c r="L51" s="64">
        <v>24.28</v>
      </c>
      <c r="M51" s="64">
        <v>97.65</v>
      </c>
      <c r="N51" s="64">
        <v>196.4</v>
      </c>
      <c r="O51" s="64">
        <v>0</v>
      </c>
      <c r="P51" s="64">
        <v>0.37</v>
      </c>
      <c r="Q51" s="64">
        <v>9.1300000000000008</v>
      </c>
      <c r="R51" s="198"/>
      <c r="S51" s="198"/>
      <c r="T51" s="198"/>
      <c r="U51" s="198"/>
    </row>
    <row r="52" spans="1:21" s="12" customFormat="1" x14ac:dyDescent="0.25">
      <c r="A52" s="211" t="s">
        <v>1632</v>
      </c>
      <c r="B52" s="64">
        <v>12.05</v>
      </c>
      <c r="C52" s="64">
        <v>17.829999999999998</v>
      </c>
      <c r="D52" s="64">
        <v>15.62</v>
      </c>
      <c r="E52" s="64">
        <v>4.5599999999999996</v>
      </c>
      <c r="F52" s="64">
        <v>3.68</v>
      </c>
      <c r="G52" s="64">
        <v>6.21</v>
      </c>
      <c r="H52" s="64">
        <v>2.62</v>
      </c>
      <c r="I52" s="64">
        <v>1.53</v>
      </c>
      <c r="J52" s="64">
        <v>0.16</v>
      </c>
      <c r="K52" s="64">
        <v>297.63</v>
      </c>
      <c r="L52" s="64">
        <v>24.53</v>
      </c>
      <c r="M52" s="64">
        <v>97.65</v>
      </c>
      <c r="N52" s="64">
        <v>184.7</v>
      </c>
      <c r="O52" s="64">
        <v>0</v>
      </c>
      <c r="P52" s="64">
        <v>0.49</v>
      </c>
      <c r="Q52" s="64">
        <v>9.2100000000000009</v>
      </c>
      <c r="R52" s="198"/>
      <c r="S52" s="198"/>
      <c r="T52" s="198"/>
      <c r="U52" s="198"/>
    </row>
    <row r="53" spans="1:21" s="12" customFormat="1" x14ac:dyDescent="0.25">
      <c r="A53" s="211" t="s">
        <v>1633</v>
      </c>
      <c r="B53" s="64">
        <v>10.95</v>
      </c>
      <c r="C53" s="64">
        <v>18.399999999999999</v>
      </c>
      <c r="D53" s="64">
        <v>18.399999999999999</v>
      </c>
      <c r="E53" s="64">
        <v>4.46</v>
      </c>
      <c r="F53" s="64">
        <v>3.85</v>
      </c>
      <c r="G53" s="64">
        <v>6.21</v>
      </c>
      <c r="H53" s="64">
        <v>2.62</v>
      </c>
      <c r="I53" s="64">
        <v>0</v>
      </c>
      <c r="J53" s="64">
        <v>0.15</v>
      </c>
      <c r="K53" s="64">
        <v>294.72000000000003</v>
      </c>
      <c r="L53" s="64">
        <v>24.62</v>
      </c>
      <c r="M53" s="64">
        <v>97.63</v>
      </c>
      <c r="N53" s="64">
        <v>186.5</v>
      </c>
      <c r="O53" s="64">
        <v>0</v>
      </c>
      <c r="P53" s="64">
        <v>0.48</v>
      </c>
      <c r="Q53" s="64">
        <v>9.24</v>
      </c>
      <c r="R53" s="198"/>
      <c r="S53" s="198"/>
      <c r="T53" s="198"/>
      <c r="U53" s="198"/>
    </row>
    <row r="54" spans="1:21" s="12" customFormat="1" x14ac:dyDescent="0.25">
      <c r="A54" s="211" t="s">
        <v>1634</v>
      </c>
      <c r="B54" s="64">
        <v>8.7899999999999991</v>
      </c>
      <c r="C54" s="64">
        <v>17.13</v>
      </c>
      <c r="D54" s="64">
        <v>19.29</v>
      </c>
      <c r="E54" s="64">
        <v>3.98</v>
      </c>
      <c r="F54" s="64">
        <v>4.38</v>
      </c>
      <c r="G54" s="64">
        <v>6.21</v>
      </c>
      <c r="H54" s="64">
        <v>2.62</v>
      </c>
      <c r="I54" s="64">
        <v>1.35</v>
      </c>
      <c r="J54" s="64">
        <v>0.17</v>
      </c>
      <c r="K54" s="64">
        <v>289.95</v>
      </c>
      <c r="L54" s="64">
        <v>24.99</v>
      </c>
      <c r="M54" s="64">
        <v>97.63</v>
      </c>
      <c r="N54" s="64">
        <v>223.6</v>
      </c>
      <c r="O54" s="64">
        <v>0</v>
      </c>
      <c r="P54" s="64">
        <v>0.46</v>
      </c>
      <c r="Q54" s="64">
        <v>9.1999999999999993</v>
      </c>
      <c r="R54" s="198"/>
      <c r="S54" s="198"/>
      <c r="T54" s="198"/>
      <c r="U54" s="198"/>
    </row>
    <row r="55" spans="1:21" s="12" customFormat="1" x14ac:dyDescent="0.25">
      <c r="A55" s="211" t="s">
        <v>1635</v>
      </c>
      <c r="B55" s="64">
        <v>7.54</v>
      </c>
      <c r="C55" s="64">
        <v>16.37</v>
      </c>
      <c r="D55" s="64">
        <v>19.760000000000002</v>
      </c>
      <c r="E55" s="64">
        <v>3.99</v>
      </c>
      <c r="F55" s="64">
        <v>4.68</v>
      </c>
      <c r="G55" s="64">
        <v>5.0999999999999996</v>
      </c>
      <c r="H55" s="64">
        <v>3.1</v>
      </c>
      <c r="I55" s="64">
        <v>1.29</v>
      </c>
      <c r="J55" s="64">
        <v>0.2</v>
      </c>
      <c r="K55" s="64">
        <v>284.39999999999998</v>
      </c>
      <c r="L55" s="64">
        <v>25.61</v>
      </c>
      <c r="M55" s="64">
        <v>97.59</v>
      </c>
      <c r="N55" s="64">
        <v>402.7</v>
      </c>
      <c r="O55" s="64">
        <v>0</v>
      </c>
      <c r="P55" s="64">
        <v>0.45</v>
      </c>
      <c r="Q55" s="64">
        <v>9.18</v>
      </c>
      <c r="R55" s="198"/>
      <c r="S55" s="198"/>
      <c r="T55" s="198"/>
      <c r="U55" s="198"/>
    </row>
    <row r="56" spans="1:21" s="12" customFormat="1" x14ac:dyDescent="0.25">
      <c r="A56" s="211" t="s">
        <v>1636</v>
      </c>
      <c r="B56" s="64">
        <v>6.91</v>
      </c>
      <c r="C56" s="64">
        <v>15.61</v>
      </c>
      <c r="D56" s="64">
        <v>19.27</v>
      </c>
      <c r="E56" s="64">
        <v>3.98</v>
      </c>
      <c r="F56" s="64">
        <v>3.28</v>
      </c>
      <c r="G56" s="64">
        <v>4.74</v>
      </c>
      <c r="H56" s="64">
        <v>3.26</v>
      </c>
      <c r="I56" s="64">
        <v>1.23</v>
      </c>
      <c r="J56" s="64">
        <v>0.31</v>
      </c>
      <c r="K56" s="64">
        <v>283.77</v>
      </c>
      <c r="L56" s="64">
        <v>26.45</v>
      </c>
      <c r="M56" s="64">
        <v>97.12</v>
      </c>
      <c r="N56" s="64">
        <v>372.3</v>
      </c>
      <c r="O56" s="64">
        <v>0</v>
      </c>
      <c r="P56" s="64">
        <v>0.45</v>
      </c>
      <c r="Q56" s="64">
        <v>9.15</v>
      </c>
      <c r="R56" s="198"/>
      <c r="S56" s="198"/>
      <c r="T56" s="198"/>
      <c r="U56" s="198"/>
    </row>
    <row r="57" spans="1:21" s="12" customFormat="1" x14ac:dyDescent="0.25">
      <c r="A57" s="211" t="s">
        <v>1637</v>
      </c>
      <c r="B57" s="64">
        <v>5.99</v>
      </c>
      <c r="C57" s="64">
        <v>14.81</v>
      </c>
      <c r="D57" s="64">
        <v>19.149999999999999</v>
      </c>
      <c r="E57" s="64">
        <v>4.05</v>
      </c>
      <c r="F57" s="64">
        <v>5.27</v>
      </c>
      <c r="G57" s="64">
        <v>4.74</v>
      </c>
      <c r="H57" s="64">
        <v>3.26</v>
      </c>
      <c r="I57" s="64">
        <v>1.2</v>
      </c>
      <c r="J57" s="64">
        <v>0.27</v>
      </c>
      <c r="K57" s="64">
        <v>292.08</v>
      </c>
      <c r="L57" s="64">
        <v>26.83</v>
      </c>
      <c r="M57" s="64">
        <v>94.36</v>
      </c>
      <c r="N57" s="64">
        <v>333.3</v>
      </c>
      <c r="O57" s="64">
        <v>0</v>
      </c>
      <c r="P57" s="64">
        <v>0.44</v>
      </c>
      <c r="Q57" s="64">
        <v>9.1300000000000008</v>
      </c>
      <c r="R57" s="198"/>
      <c r="S57" s="198"/>
      <c r="T57" s="198"/>
      <c r="U57" s="198"/>
    </row>
    <row r="58" spans="1:21" s="12" customFormat="1" x14ac:dyDescent="0.25">
      <c r="A58" s="211" t="s">
        <v>1638</v>
      </c>
      <c r="B58" s="64">
        <v>5.04</v>
      </c>
      <c r="C58" s="64">
        <v>17.91</v>
      </c>
      <c r="D58" s="64">
        <v>19.440000000000001</v>
      </c>
      <c r="E58" s="64">
        <v>4.08</v>
      </c>
      <c r="F58" s="64">
        <v>5.9</v>
      </c>
      <c r="G58" s="64">
        <v>4.74</v>
      </c>
      <c r="H58" s="64">
        <v>3.26</v>
      </c>
      <c r="I58" s="64">
        <v>1.1599999999999999</v>
      </c>
      <c r="J58" s="64">
        <v>0.2</v>
      </c>
      <c r="K58" s="64">
        <v>283.25</v>
      </c>
      <c r="L58" s="64">
        <v>26.61</v>
      </c>
      <c r="M58" s="64">
        <v>94.98</v>
      </c>
      <c r="N58" s="64">
        <v>290.2</v>
      </c>
      <c r="O58" s="64">
        <v>0</v>
      </c>
      <c r="P58" s="64">
        <v>0.44</v>
      </c>
      <c r="Q58" s="64">
        <v>9.1199999999999992</v>
      </c>
      <c r="R58" s="198"/>
      <c r="S58" s="198"/>
      <c r="T58" s="198"/>
      <c r="U58" s="198"/>
    </row>
    <row r="59" spans="1:21" s="12" customFormat="1" x14ac:dyDescent="0.25">
      <c r="A59" s="211" t="s">
        <v>1639</v>
      </c>
      <c r="B59" s="64">
        <v>7.98</v>
      </c>
      <c r="C59" s="64">
        <v>29.36</v>
      </c>
      <c r="D59" s="64">
        <v>21.38</v>
      </c>
      <c r="E59" s="64">
        <v>4.49</v>
      </c>
      <c r="F59" s="64">
        <v>9.64</v>
      </c>
      <c r="G59" s="64">
        <v>11.61</v>
      </c>
      <c r="H59" s="64">
        <v>2.54</v>
      </c>
      <c r="I59" s="64">
        <v>1.1000000000000001</v>
      </c>
      <c r="J59" s="64">
        <v>0.16</v>
      </c>
      <c r="K59" s="64">
        <v>273.48</v>
      </c>
      <c r="L59" s="64">
        <v>27.11</v>
      </c>
      <c r="M59" s="64">
        <v>93.11</v>
      </c>
      <c r="N59" s="64">
        <v>340.6</v>
      </c>
      <c r="O59" s="64">
        <v>0</v>
      </c>
      <c r="P59" s="64">
        <v>0.44</v>
      </c>
      <c r="Q59" s="64">
        <v>9.1</v>
      </c>
      <c r="R59" s="198"/>
      <c r="S59" s="198"/>
      <c r="T59" s="198"/>
      <c r="U59" s="198"/>
    </row>
    <row r="60" spans="1:21" s="12" customFormat="1" x14ac:dyDescent="0.25">
      <c r="A60" s="211" t="s">
        <v>1640</v>
      </c>
      <c r="B60" s="64">
        <v>4.72</v>
      </c>
      <c r="C60" s="64">
        <v>12.57</v>
      </c>
      <c r="D60" s="64">
        <v>16.21</v>
      </c>
      <c r="E60" s="64">
        <v>4.0599999999999996</v>
      </c>
      <c r="F60" s="64">
        <v>5.23</v>
      </c>
      <c r="G60" s="64">
        <v>13.83</v>
      </c>
      <c r="H60" s="64">
        <v>2.31</v>
      </c>
      <c r="I60" s="64">
        <v>1.07</v>
      </c>
      <c r="J60" s="64">
        <v>0.17</v>
      </c>
      <c r="K60" s="64">
        <v>274.94</v>
      </c>
      <c r="L60" s="64">
        <v>26.91</v>
      </c>
      <c r="M60" s="64">
        <v>92.55</v>
      </c>
      <c r="N60" s="64">
        <v>265.8</v>
      </c>
      <c r="O60" s="64">
        <v>0</v>
      </c>
      <c r="P60" s="64">
        <v>0.41</v>
      </c>
      <c r="Q60" s="64">
        <v>9.1</v>
      </c>
      <c r="R60" s="198"/>
      <c r="S60" s="198"/>
      <c r="T60" s="198"/>
      <c r="U60" s="198"/>
    </row>
    <row r="61" spans="1:21" s="12" customFormat="1" x14ac:dyDescent="0.25">
      <c r="A61" s="211" t="s">
        <v>1641</v>
      </c>
      <c r="B61" s="64">
        <v>4.96</v>
      </c>
      <c r="C61" s="64">
        <v>18.32</v>
      </c>
      <c r="D61" s="64">
        <v>15.92</v>
      </c>
      <c r="E61" s="64">
        <v>4.26</v>
      </c>
      <c r="F61" s="64">
        <v>6.05</v>
      </c>
      <c r="G61" s="64">
        <v>13.83</v>
      </c>
      <c r="H61" s="64">
        <v>2.31</v>
      </c>
      <c r="I61" s="64">
        <v>1.04</v>
      </c>
      <c r="J61" s="64">
        <v>0.21</v>
      </c>
      <c r="K61" s="64">
        <v>279.2</v>
      </c>
      <c r="L61" s="64">
        <v>27.11</v>
      </c>
      <c r="M61" s="64">
        <v>92.33</v>
      </c>
      <c r="N61" s="64">
        <v>419.4</v>
      </c>
      <c r="O61" s="64">
        <v>0</v>
      </c>
      <c r="P61" s="64">
        <v>0.31</v>
      </c>
      <c r="Q61" s="64">
        <v>9.09</v>
      </c>
      <c r="R61" s="198"/>
      <c r="S61" s="198"/>
      <c r="T61" s="198"/>
      <c r="U61" s="198"/>
    </row>
    <row r="62" spans="1:21" s="12" customFormat="1" x14ac:dyDescent="0.25">
      <c r="A62" s="211" t="s">
        <v>1642</v>
      </c>
      <c r="B62" s="64">
        <v>5.17</v>
      </c>
      <c r="C62" s="64">
        <v>18.52</v>
      </c>
      <c r="D62" s="64">
        <v>13.83</v>
      </c>
      <c r="E62" s="64">
        <v>4.2300000000000004</v>
      </c>
      <c r="F62" s="64">
        <v>4.45</v>
      </c>
      <c r="G62" s="64">
        <v>13.83</v>
      </c>
      <c r="H62" s="64">
        <v>2.31</v>
      </c>
      <c r="I62" s="64">
        <v>1.02</v>
      </c>
      <c r="J62" s="64">
        <v>0.28000000000000003</v>
      </c>
      <c r="K62" s="64">
        <v>276.2</v>
      </c>
      <c r="L62" s="64">
        <v>28.39</v>
      </c>
      <c r="M62" s="64">
        <v>86</v>
      </c>
      <c r="N62" s="64">
        <v>608.4</v>
      </c>
      <c r="O62" s="64">
        <v>0</v>
      </c>
      <c r="P62" s="64">
        <v>0.32</v>
      </c>
      <c r="Q62" s="64">
        <v>9.08</v>
      </c>
      <c r="R62" s="198"/>
      <c r="S62" s="198"/>
      <c r="T62" s="198"/>
      <c r="U62" s="198"/>
    </row>
    <row r="63" spans="1:21" s="12" customFormat="1" x14ac:dyDescent="0.25">
      <c r="A63" s="211" t="s">
        <v>1643</v>
      </c>
      <c r="B63" s="64">
        <v>4.8899999999999997</v>
      </c>
      <c r="C63" s="64">
        <v>18.36</v>
      </c>
      <c r="D63" s="64">
        <v>13.51</v>
      </c>
      <c r="E63" s="64">
        <v>4.91</v>
      </c>
      <c r="F63" s="64">
        <v>6.69</v>
      </c>
      <c r="G63" s="64">
        <v>21.82</v>
      </c>
      <c r="H63" s="64">
        <v>1.93</v>
      </c>
      <c r="I63" s="64">
        <v>1.01</v>
      </c>
      <c r="J63" s="64">
        <v>0.23</v>
      </c>
      <c r="K63" s="64">
        <v>276.41000000000003</v>
      </c>
      <c r="L63" s="64">
        <v>28.29</v>
      </c>
      <c r="M63" s="64">
        <v>85.66</v>
      </c>
      <c r="N63" s="64">
        <v>449.2</v>
      </c>
      <c r="O63" s="64">
        <v>0</v>
      </c>
      <c r="P63" s="64">
        <v>0.27</v>
      </c>
      <c r="Q63" s="64">
        <v>9.07</v>
      </c>
      <c r="R63" s="198"/>
      <c r="S63" s="198"/>
      <c r="T63" s="198"/>
      <c r="U63" s="198"/>
    </row>
    <row r="64" spans="1:21" s="12" customFormat="1" x14ac:dyDescent="0.25">
      <c r="A64" s="211" t="s">
        <v>1644</v>
      </c>
      <c r="B64" s="64">
        <v>4.76</v>
      </c>
      <c r="C64" s="64">
        <v>18.440000000000001</v>
      </c>
      <c r="D64" s="64">
        <v>13.46</v>
      </c>
      <c r="E64" s="64">
        <v>4.2</v>
      </c>
      <c r="F64" s="64">
        <v>6.48</v>
      </c>
      <c r="G64" s="64">
        <v>24.41</v>
      </c>
      <c r="H64" s="64">
        <v>1.8</v>
      </c>
      <c r="I64" s="64">
        <v>0.96</v>
      </c>
      <c r="J64" s="64">
        <v>0.27</v>
      </c>
      <c r="K64" s="64">
        <v>278.66000000000003</v>
      </c>
      <c r="L64" s="64">
        <v>28.32</v>
      </c>
      <c r="M64" s="64">
        <v>84.53</v>
      </c>
      <c r="N64" s="64">
        <v>333.5</v>
      </c>
      <c r="O64" s="64">
        <v>0</v>
      </c>
      <c r="P64" s="64">
        <v>0.26</v>
      </c>
      <c r="Q64" s="64">
        <v>9.0399999999999991</v>
      </c>
      <c r="R64" s="198"/>
      <c r="S64" s="198"/>
      <c r="T64" s="198"/>
      <c r="U64" s="198"/>
    </row>
    <row r="65" spans="1:21" s="12" customFormat="1" x14ac:dyDescent="0.25">
      <c r="A65" s="211" t="s">
        <v>1645</v>
      </c>
      <c r="B65" s="64">
        <v>5.17</v>
      </c>
      <c r="C65" s="64">
        <v>19.48</v>
      </c>
      <c r="D65" s="64">
        <v>14.33</v>
      </c>
      <c r="E65" s="64">
        <v>4.0199999999999996</v>
      </c>
      <c r="F65" s="64">
        <v>7.3</v>
      </c>
      <c r="G65" s="64">
        <v>24.41</v>
      </c>
      <c r="H65" s="64">
        <v>1.8</v>
      </c>
      <c r="I65" s="64">
        <v>0.87</v>
      </c>
      <c r="J65" s="64">
        <v>0.15</v>
      </c>
      <c r="K65" s="64">
        <v>280.3</v>
      </c>
      <c r="L65" s="64">
        <v>28.11</v>
      </c>
      <c r="M65" s="64">
        <v>87.71</v>
      </c>
      <c r="N65" s="64">
        <v>265.2</v>
      </c>
      <c r="O65" s="64">
        <v>0</v>
      </c>
      <c r="P65" s="64">
        <v>0.26</v>
      </c>
      <c r="Q65" s="64">
        <v>9.0500000000000007</v>
      </c>
      <c r="R65" s="198"/>
      <c r="S65" s="198"/>
      <c r="T65" s="198"/>
      <c r="U65" s="198"/>
    </row>
    <row r="66" spans="1:21" s="12" customFormat="1" x14ac:dyDescent="0.25">
      <c r="A66" s="211" t="s">
        <v>1646</v>
      </c>
      <c r="B66" s="64">
        <v>5.42</v>
      </c>
      <c r="C66" s="64">
        <v>20.88</v>
      </c>
      <c r="D66" s="64">
        <v>15.26</v>
      </c>
      <c r="E66" s="64">
        <v>3.87</v>
      </c>
      <c r="F66" s="64">
        <v>7.48</v>
      </c>
      <c r="G66" s="64">
        <v>24.41</v>
      </c>
      <c r="H66" s="64">
        <v>1.8</v>
      </c>
      <c r="I66" s="64">
        <v>0.8</v>
      </c>
      <c r="J66" s="64">
        <v>0.21</v>
      </c>
      <c r="K66" s="64">
        <v>291.33999999999997</v>
      </c>
      <c r="L66" s="64">
        <v>28.28</v>
      </c>
      <c r="M66" s="64">
        <v>86.09</v>
      </c>
      <c r="N66" s="64">
        <v>219.9</v>
      </c>
      <c r="O66" s="64">
        <v>0</v>
      </c>
      <c r="P66" s="64">
        <v>0.3</v>
      </c>
      <c r="Q66" s="64">
        <v>9.0399999999999991</v>
      </c>
      <c r="R66" s="198"/>
      <c r="S66" s="198"/>
      <c r="T66" s="198"/>
      <c r="U66" s="198"/>
    </row>
    <row r="67" spans="1:21" s="12" customFormat="1" x14ac:dyDescent="0.25">
      <c r="A67" s="211" t="s">
        <v>1647</v>
      </c>
      <c r="B67" s="64">
        <v>7.44</v>
      </c>
      <c r="C67" s="64">
        <v>21.31</v>
      </c>
      <c r="D67" s="64">
        <v>17.100000000000001</v>
      </c>
      <c r="E67" s="64">
        <v>3.92</v>
      </c>
      <c r="F67" s="64">
        <v>11.06</v>
      </c>
      <c r="G67" s="64">
        <v>38.520000000000003</v>
      </c>
      <c r="H67" s="64">
        <v>4.5599999999999996</v>
      </c>
      <c r="I67" s="64">
        <v>0.8</v>
      </c>
      <c r="J67" s="64">
        <v>0.12</v>
      </c>
      <c r="K67" s="64">
        <v>285.89999999999998</v>
      </c>
      <c r="L67" s="64">
        <v>27.94</v>
      </c>
      <c r="M67" s="64">
        <v>88.14</v>
      </c>
      <c r="N67" s="64">
        <v>239.5</v>
      </c>
      <c r="O67" s="64">
        <v>0</v>
      </c>
      <c r="P67" s="64">
        <v>0.28999999999999998</v>
      </c>
      <c r="Q67" s="64">
        <v>9.0399999999999991</v>
      </c>
      <c r="R67" s="198"/>
      <c r="S67" s="198"/>
      <c r="T67" s="198"/>
      <c r="U67" s="198"/>
    </row>
    <row r="68" spans="1:21" s="12" customFormat="1" x14ac:dyDescent="0.25">
      <c r="A68" s="211" t="s">
        <v>1648</v>
      </c>
      <c r="B68" s="64">
        <v>6.84</v>
      </c>
      <c r="C68" s="64">
        <v>20.2</v>
      </c>
      <c r="D68" s="64">
        <v>16.04</v>
      </c>
      <c r="E68" s="64">
        <v>3.84</v>
      </c>
      <c r="F68" s="64">
        <v>6.04</v>
      </c>
      <c r="G68" s="64">
        <v>43.09</v>
      </c>
      <c r="H68" s="64">
        <v>5.46</v>
      </c>
      <c r="I68" s="64">
        <v>0.83</v>
      </c>
      <c r="J68" s="64">
        <v>0.1</v>
      </c>
      <c r="K68" s="64">
        <v>208.65</v>
      </c>
      <c r="L68" s="64">
        <v>28.16</v>
      </c>
      <c r="M68" s="64">
        <v>87.05</v>
      </c>
      <c r="N68" s="64">
        <v>228.9</v>
      </c>
      <c r="O68" s="64">
        <v>0</v>
      </c>
      <c r="P68" s="64">
        <v>0.28000000000000003</v>
      </c>
      <c r="Q68" s="64">
        <v>9.06</v>
      </c>
      <c r="R68" s="198"/>
      <c r="S68" s="198"/>
      <c r="T68" s="198"/>
      <c r="U68" s="198"/>
    </row>
    <row r="69" spans="1:21" s="12" customFormat="1" x14ac:dyDescent="0.25">
      <c r="A69" s="211" t="s">
        <v>1649</v>
      </c>
      <c r="B69" s="64">
        <v>5.77</v>
      </c>
      <c r="C69" s="64">
        <v>18.36</v>
      </c>
      <c r="D69" s="64">
        <v>14.22</v>
      </c>
      <c r="E69" s="64">
        <v>4.07</v>
      </c>
      <c r="F69" s="64">
        <v>5.56</v>
      </c>
      <c r="G69" s="64">
        <v>43.09</v>
      </c>
      <c r="H69" s="64">
        <v>5.46</v>
      </c>
      <c r="I69" s="64">
        <v>0.84</v>
      </c>
      <c r="J69" s="64">
        <v>0.53</v>
      </c>
      <c r="K69" s="64">
        <v>144.38999999999999</v>
      </c>
      <c r="L69" s="64">
        <v>27.32</v>
      </c>
      <c r="M69" s="64">
        <v>91.55</v>
      </c>
      <c r="N69" s="64">
        <v>157</v>
      </c>
      <c r="O69" s="64">
        <v>0</v>
      </c>
      <c r="P69" s="64">
        <v>0.25</v>
      </c>
      <c r="Q69" s="64">
        <v>9.07</v>
      </c>
      <c r="R69" s="198"/>
      <c r="S69" s="198"/>
      <c r="T69" s="198"/>
      <c r="U69" s="198"/>
    </row>
    <row r="70" spans="1:21" s="12" customFormat="1" x14ac:dyDescent="0.25">
      <c r="A70" s="211" t="s">
        <v>1650</v>
      </c>
      <c r="B70" s="64">
        <v>6.44</v>
      </c>
      <c r="C70" s="64">
        <v>17.62</v>
      </c>
      <c r="D70" s="64">
        <v>14.37</v>
      </c>
      <c r="E70" s="64">
        <v>4.0599999999999996</v>
      </c>
      <c r="F70" s="64">
        <v>5.05</v>
      </c>
      <c r="G70" s="64">
        <v>43.09</v>
      </c>
      <c r="H70" s="64">
        <v>5.46</v>
      </c>
      <c r="I70" s="64">
        <v>0.86</v>
      </c>
      <c r="J70" s="64">
        <v>0.64</v>
      </c>
      <c r="K70" s="64">
        <v>143.66999999999999</v>
      </c>
      <c r="L70" s="64">
        <v>26.66</v>
      </c>
      <c r="M70" s="64">
        <v>95.14</v>
      </c>
      <c r="N70" s="64">
        <v>140.19999999999999</v>
      </c>
      <c r="O70" s="64">
        <v>0</v>
      </c>
      <c r="P70" s="64">
        <v>0.24</v>
      </c>
      <c r="Q70" s="64">
        <v>9.06</v>
      </c>
      <c r="R70" s="198"/>
      <c r="S70" s="198"/>
      <c r="T70" s="198"/>
      <c r="U70" s="198"/>
    </row>
    <row r="71" spans="1:21" s="12" customFormat="1" x14ac:dyDescent="0.25">
      <c r="A71" s="211" t="s">
        <v>1651</v>
      </c>
      <c r="B71" s="64">
        <v>6.31</v>
      </c>
      <c r="C71" s="64">
        <v>16.72</v>
      </c>
      <c r="D71" s="64">
        <v>13.79</v>
      </c>
      <c r="E71" s="64">
        <v>3.96</v>
      </c>
      <c r="F71" s="64">
        <v>8.8800000000000008</v>
      </c>
      <c r="G71" s="64">
        <v>42.22</v>
      </c>
      <c r="H71" s="64">
        <v>8.02</v>
      </c>
      <c r="I71" s="64">
        <v>0.81</v>
      </c>
      <c r="J71" s="64">
        <v>0.28000000000000003</v>
      </c>
      <c r="K71" s="64">
        <v>181.37</v>
      </c>
      <c r="L71" s="64">
        <v>26.57</v>
      </c>
      <c r="M71" s="64">
        <v>96.28</v>
      </c>
      <c r="N71" s="64">
        <v>200.4</v>
      </c>
      <c r="O71" s="64">
        <v>0</v>
      </c>
      <c r="P71" s="64">
        <v>0.21</v>
      </c>
      <c r="Q71" s="64">
        <v>9.06</v>
      </c>
      <c r="R71" s="198"/>
      <c r="S71" s="198"/>
      <c r="T71" s="198"/>
      <c r="U71" s="198"/>
    </row>
    <row r="72" spans="1:21" s="12" customFormat="1" x14ac:dyDescent="0.25">
      <c r="A72" s="211" t="s">
        <v>1652</v>
      </c>
      <c r="B72" s="64">
        <v>6.26</v>
      </c>
      <c r="C72" s="64">
        <v>15.32</v>
      </c>
      <c r="D72" s="64">
        <v>13.02</v>
      </c>
      <c r="E72" s="64">
        <v>4.17</v>
      </c>
      <c r="F72" s="64">
        <v>9.17</v>
      </c>
      <c r="G72" s="64">
        <v>41.93</v>
      </c>
      <c r="H72" s="64">
        <v>8.85</v>
      </c>
      <c r="I72" s="64">
        <v>0.78</v>
      </c>
      <c r="J72" s="64">
        <v>0.21</v>
      </c>
      <c r="K72" s="64">
        <v>157.91999999999999</v>
      </c>
      <c r="L72" s="64">
        <v>26.19</v>
      </c>
      <c r="M72" s="64">
        <v>97.48</v>
      </c>
      <c r="N72" s="64">
        <v>174.8</v>
      </c>
      <c r="O72" s="64">
        <v>0</v>
      </c>
      <c r="P72" s="64">
        <v>0.21</v>
      </c>
      <c r="Q72" s="64">
        <v>9.08</v>
      </c>
      <c r="R72" s="198"/>
      <c r="S72" s="198"/>
      <c r="T72" s="198"/>
      <c r="U72" s="198"/>
    </row>
    <row r="73" spans="1:21" s="12" customFormat="1" x14ac:dyDescent="0.25">
      <c r="A73" s="211" t="s">
        <v>1653</v>
      </c>
      <c r="B73" s="64">
        <v>6.07</v>
      </c>
      <c r="C73" s="64">
        <v>14.38</v>
      </c>
      <c r="D73" s="64">
        <v>12.38</v>
      </c>
      <c r="E73" s="64">
        <v>4</v>
      </c>
      <c r="F73" s="64">
        <v>8.99</v>
      </c>
      <c r="G73" s="64">
        <v>41.93</v>
      </c>
      <c r="H73" s="64">
        <v>8.85</v>
      </c>
      <c r="I73" s="64">
        <v>0.78</v>
      </c>
      <c r="J73" s="64">
        <v>0.15</v>
      </c>
      <c r="K73" s="64">
        <v>195.22</v>
      </c>
      <c r="L73" s="64">
        <v>26.2</v>
      </c>
      <c r="M73" s="64">
        <v>96.76</v>
      </c>
      <c r="N73" s="64">
        <v>161.69999999999999</v>
      </c>
      <c r="O73" s="64">
        <v>0</v>
      </c>
      <c r="P73" s="64">
        <v>0.2</v>
      </c>
      <c r="Q73" s="64">
        <v>9.09</v>
      </c>
      <c r="R73" s="198"/>
      <c r="S73" s="198"/>
      <c r="T73" s="198"/>
      <c r="U73" s="198"/>
    </row>
    <row r="74" spans="1:21" s="12" customFormat="1" x14ac:dyDescent="0.25">
      <c r="A74" s="211" t="s">
        <v>1654</v>
      </c>
      <c r="B74" s="64">
        <v>6.42</v>
      </c>
      <c r="C74" s="64">
        <v>15.65</v>
      </c>
      <c r="D74" s="64">
        <v>13.33</v>
      </c>
      <c r="E74" s="64">
        <v>3.97</v>
      </c>
      <c r="F74" s="64">
        <v>6.32</v>
      </c>
      <c r="G74" s="64">
        <v>41.93</v>
      </c>
      <c r="H74" s="64">
        <v>8.85</v>
      </c>
      <c r="I74" s="64">
        <v>0.78</v>
      </c>
      <c r="J74" s="64">
        <v>0.17</v>
      </c>
      <c r="K74" s="64">
        <v>289.7</v>
      </c>
      <c r="L74" s="64">
        <v>26.27</v>
      </c>
      <c r="M74" s="64">
        <v>94.2</v>
      </c>
      <c r="N74" s="64">
        <v>150.6</v>
      </c>
      <c r="O74" s="64">
        <v>0</v>
      </c>
      <c r="P74" s="64">
        <v>0.21</v>
      </c>
      <c r="Q74" s="64">
        <v>9.1</v>
      </c>
      <c r="R74" s="198"/>
      <c r="S74" s="198"/>
      <c r="T74" s="198"/>
      <c r="U74" s="198"/>
    </row>
    <row r="75" spans="1:21" s="12" customFormat="1" x14ac:dyDescent="0.25">
      <c r="A75" s="211" t="s">
        <v>1655</v>
      </c>
      <c r="B75" s="64">
        <v>6.2</v>
      </c>
      <c r="C75" s="64">
        <v>15.93</v>
      </c>
      <c r="D75" s="64">
        <v>13.3</v>
      </c>
      <c r="E75" s="64">
        <v>3.86</v>
      </c>
      <c r="F75" s="64">
        <v>7.43</v>
      </c>
      <c r="G75" s="64">
        <v>31.45</v>
      </c>
      <c r="H75" s="64">
        <v>6.87</v>
      </c>
      <c r="I75" s="64">
        <v>0.79</v>
      </c>
      <c r="J75" s="64">
        <v>0.13</v>
      </c>
      <c r="K75" s="64">
        <v>276.58999999999997</v>
      </c>
      <c r="L75" s="64">
        <v>26.1</v>
      </c>
      <c r="M75" s="64">
        <v>94.05</v>
      </c>
      <c r="N75" s="64">
        <v>118.3</v>
      </c>
      <c r="O75" s="64">
        <v>0</v>
      </c>
      <c r="P75" s="64">
        <v>0.21</v>
      </c>
      <c r="Q75" s="64">
        <v>9.09</v>
      </c>
      <c r="R75" s="198"/>
      <c r="S75" s="198"/>
      <c r="T75" s="198"/>
      <c r="U75" s="198"/>
    </row>
    <row r="76" spans="1:21" s="12" customFormat="1" x14ac:dyDescent="0.25">
      <c r="A76" s="211" t="s">
        <v>1656</v>
      </c>
      <c r="B76" s="64">
        <v>6.69</v>
      </c>
      <c r="C76" s="64">
        <v>15.71</v>
      </c>
      <c r="D76" s="64">
        <v>13.58</v>
      </c>
      <c r="E76" s="64">
        <v>3.7</v>
      </c>
      <c r="F76" s="64">
        <v>6.88</v>
      </c>
      <c r="G76" s="64">
        <v>28.06</v>
      </c>
      <c r="H76" s="64">
        <v>6.23</v>
      </c>
      <c r="I76" s="64">
        <v>0.8</v>
      </c>
      <c r="J76" s="64">
        <v>0.14000000000000001</v>
      </c>
      <c r="K76" s="64">
        <v>290.73</v>
      </c>
      <c r="L76" s="64">
        <v>26.14</v>
      </c>
      <c r="M76" s="64">
        <v>94.3</v>
      </c>
      <c r="N76" s="64">
        <v>146.9</v>
      </c>
      <c r="O76" s="64">
        <v>0</v>
      </c>
      <c r="P76" s="64">
        <v>0.24</v>
      </c>
      <c r="Q76" s="64">
        <v>9.09</v>
      </c>
      <c r="R76" s="198"/>
      <c r="S76" s="198"/>
      <c r="T76" s="198"/>
      <c r="U76" s="198"/>
    </row>
    <row r="77" spans="1:21" s="12" customFormat="1" x14ac:dyDescent="0.25">
      <c r="A77" s="211" t="s">
        <v>1657</v>
      </c>
      <c r="B77" s="64">
        <v>5.46</v>
      </c>
      <c r="C77" s="64">
        <v>16.559999999999999</v>
      </c>
      <c r="D77" s="64">
        <v>13.03</v>
      </c>
      <c r="E77" s="64">
        <v>3.91</v>
      </c>
      <c r="F77" s="64">
        <v>10.79</v>
      </c>
      <c r="G77" s="64">
        <v>28.06</v>
      </c>
      <c r="H77" s="64">
        <v>6.23</v>
      </c>
      <c r="I77" s="64">
        <v>0.81</v>
      </c>
      <c r="J77" s="64">
        <v>0.05</v>
      </c>
      <c r="K77" s="64">
        <v>269.33999999999997</v>
      </c>
      <c r="L77" s="64">
        <v>25.98</v>
      </c>
      <c r="M77" s="64">
        <v>95.27</v>
      </c>
      <c r="N77" s="64">
        <v>107.9</v>
      </c>
      <c r="O77" s="64">
        <v>0</v>
      </c>
      <c r="P77" s="64">
        <v>0.23</v>
      </c>
      <c r="Q77" s="64">
        <v>9.09</v>
      </c>
      <c r="R77" s="198"/>
      <c r="S77" s="198"/>
      <c r="T77" s="198"/>
      <c r="U77" s="198"/>
    </row>
    <row r="78" spans="1:21" s="12" customFormat="1" x14ac:dyDescent="0.25">
      <c r="A78" s="211" t="s">
        <v>1658</v>
      </c>
      <c r="B78" s="64">
        <v>5.14</v>
      </c>
      <c r="C78" s="64">
        <v>16.3</v>
      </c>
      <c r="D78" s="64">
        <v>12.64</v>
      </c>
      <c r="E78" s="64">
        <v>4.07</v>
      </c>
      <c r="F78" s="64">
        <v>6.14</v>
      </c>
      <c r="G78" s="64">
        <v>28.06</v>
      </c>
      <c r="H78" s="64">
        <v>6.23</v>
      </c>
      <c r="I78" s="64">
        <v>0.81</v>
      </c>
      <c r="J78" s="64">
        <v>0.15</v>
      </c>
      <c r="K78" s="64">
        <v>289.68</v>
      </c>
      <c r="L78" s="64">
        <v>25.67</v>
      </c>
      <c r="M78" s="64">
        <v>95.45</v>
      </c>
      <c r="N78" s="64">
        <v>93</v>
      </c>
      <c r="O78" s="64">
        <v>0</v>
      </c>
      <c r="P78" s="64">
        <v>0.22</v>
      </c>
      <c r="Q78" s="64">
        <v>9.08</v>
      </c>
      <c r="R78" s="198"/>
      <c r="S78" s="198"/>
      <c r="T78" s="198"/>
      <c r="U78" s="198"/>
    </row>
    <row r="79" spans="1:21" s="12" customFormat="1" x14ac:dyDescent="0.25">
      <c r="A79" s="211" t="s">
        <v>1659</v>
      </c>
      <c r="B79" s="64">
        <v>5.07</v>
      </c>
      <c r="C79" s="64">
        <v>16.07</v>
      </c>
      <c r="D79" s="64">
        <v>12.46</v>
      </c>
      <c r="E79" s="64">
        <v>3.71</v>
      </c>
      <c r="F79" s="64">
        <v>4.45</v>
      </c>
      <c r="G79" s="64">
        <v>28.49</v>
      </c>
      <c r="H79" s="64">
        <v>6.54</v>
      </c>
      <c r="I79" s="64">
        <v>0.81</v>
      </c>
      <c r="J79" s="64">
        <v>0.16</v>
      </c>
      <c r="K79" s="64">
        <v>308.18</v>
      </c>
      <c r="L79" s="64">
        <v>25.55</v>
      </c>
      <c r="M79" s="64">
        <v>95.18</v>
      </c>
      <c r="N79" s="64">
        <v>111.9</v>
      </c>
      <c r="O79" s="64">
        <v>0</v>
      </c>
      <c r="P79" s="64">
        <v>0.23</v>
      </c>
      <c r="Q79" s="64">
        <v>9.06</v>
      </c>
      <c r="R79" s="198"/>
      <c r="S79" s="198"/>
      <c r="T79" s="198"/>
      <c r="U79" s="198"/>
    </row>
    <row r="80" spans="1:21" s="12" customFormat="1" x14ac:dyDescent="0.25">
      <c r="A80" s="211" t="s">
        <v>1660</v>
      </c>
      <c r="B80" s="64">
        <v>5.0599999999999996</v>
      </c>
      <c r="C80" s="64">
        <v>16.05</v>
      </c>
      <c r="D80" s="64">
        <v>12.44</v>
      </c>
      <c r="E80" s="64">
        <v>3.91</v>
      </c>
      <c r="F80" s="64">
        <v>3.69</v>
      </c>
      <c r="G80" s="64">
        <v>28.63</v>
      </c>
      <c r="H80" s="64">
        <v>6.63</v>
      </c>
      <c r="I80" s="64">
        <v>0.82</v>
      </c>
      <c r="J80" s="64">
        <v>0.13</v>
      </c>
      <c r="K80" s="64">
        <v>317.91000000000003</v>
      </c>
      <c r="L80" s="64">
        <v>25.48</v>
      </c>
      <c r="M80" s="64">
        <v>92.85</v>
      </c>
      <c r="N80" s="64">
        <v>104.2</v>
      </c>
      <c r="O80" s="64">
        <v>0</v>
      </c>
      <c r="P80" s="64">
        <v>0.25</v>
      </c>
      <c r="Q80" s="64">
        <v>9.06</v>
      </c>
      <c r="R80" s="198"/>
      <c r="S80" s="198"/>
      <c r="T80" s="198"/>
      <c r="U80" s="198"/>
    </row>
    <row r="81" spans="1:26" s="12" customFormat="1" x14ac:dyDescent="0.25">
      <c r="A81" s="211" t="s">
        <v>1661</v>
      </c>
      <c r="B81" s="64">
        <v>5.07</v>
      </c>
      <c r="C81" s="64">
        <v>15.57</v>
      </c>
      <c r="D81" s="64">
        <v>12.2</v>
      </c>
      <c r="E81" s="64">
        <v>3.85</v>
      </c>
      <c r="F81" s="64">
        <v>4.2300000000000004</v>
      </c>
      <c r="G81" s="64">
        <v>28.63</v>
      </c>
      <c r="H81" s="64">
        <v>6.63</v>
      </c>
      <c r="I81" s="64">
        <v>0.83</v>
      </c>
      <c r="J81" s="64">
        <v>0.19</v>
      </c>
      <c r="K81" s="64">
        <v>336.7</v>
      </c>
      <c r="L81" s="64">
        <v>25.39</v>
      </c>
      <c r="M81" s="64">
        <v>91.45</v>
      </c>
      <c r="N81" s="64">
        <v>86.2</v>
      </c>
      <c r="O81" s="64">
        <v>0</v>
      </c>
      <c r="P81" s="64">
        <v>0.25</v>
      </c>
      <c r="Q81" s="64">
        <v>9.0500000000000007</v>
      </c>
      <c r="R81" s="198"/>
      <c r="S81" s="198"/>
      <c r="T81" s="198"/>
      <c r="U81" s="198"/>
    </row>
    <row r="82" spans="1:26" s="12" customFormat="1" x14ac:dyDescent="0.25">
      <c r="A82" s="211" t="s">
        <v>1662</v>
      </c>
      <c r="B82" s="64">
        <v>5.49</v>
      </c>
      <c r="C82" s="64">
        <v>15.11</v>
      </c>
      <c r="D82" s="64">
        <v>12.29</v>
      </c>
      <c r="E82" s="64">
        <v>3.89</v>
      </c>
      <c r="F82" s="64">
        <v>3.54</v>
      </c>
      <c r="G82" s="64">
        <v>28.63</v>
      </c>
      <c r="H82" s="64">
        <v>6.63</v>
      </c>
      <c r="I82" s="64">
        <v>0.84</v>
      </c>
      <c r="J82" s="64">
        <v>0.15</v>
      </c>
      <c r="K82" s="64">
        <v>326.54000000000002</v>
      </c>
      <c r="L82" s="64">
        <v>25.31</v>
      </c>
      <c r="M82" s="64">
        <v>91.26</v>
      </c>
      <c r="N82" s="64">
        <v>77.900000000000006</v>
      </c>
      <c r="O82" s="64">
        <v>0</v>
      </c>
      <c r="P82" s="64">
        <v>0.27</v>
      </c>
      <c r="Q82" s="64">
        <v>9.06</v>
      </c>
      <c r="R82" s="198"/>
      <c r="S82" s="198"/>
      <c r="T82" s="198"/>
      <c r="U82" s="198"/>
    </row>
    <row r="83" spans="1:26" s="12" customFormat="1" x14ac:dyDescent="0.25">
      <c r="A83" s="211" t="s">
        <v>1663</v>
      </c>
      <c r="B83" s="64">
        <v>7.61</v>
      </c>
      <c r="C83" s="64">
        <v>16.2</v>
      </c>
      <c r="D83" s="64">
        <v>14.56</v>
      </c>
      <c r="E83" s="64">
        <v>3.74</v>
      </c>
      <c r="F83" s="64">
        <v>5.25</v>
      </c>
      <c r="G83" s="64">
        <v>25.21</v>
      </c>
      <c r="H83" s="64">
        <v>7.42</v>
      </c>
      <c r="I83" s="64">
        <v>0.86</v>
      </c>
      <c r="J83" s="64">
        <v>0.13</v>
      </c>
      <c r="K83" s="64">
        <v>338.93</v>
      </c>
      <c r="L83" s="64">
        <v>25.14</v>
      </c>
      <c r="M83" s="64">
        <v>92.8</v>
      </c>
      <c r="N83" s="64">
        <v>71.3</v>
      </c>
      <c r="O83" s="64">
        <v>0</v>
      </c>
      <c r="P83" s="64">
        <v>0.28000000000000003</v>
      </c>
      <c r="Q83" s="64">
        <v>9.07</v>
      </c>
      <c r="R83" s="198"/>
      <c r="S83" s="198"/>
      <c r="T83" s="198"/>
      <c r="U83" s="198"/>
    </row>
    <row r="84" spans="1:26" s="12" customFormat="1" x14ac:dyDescent="0.25">
      <c r="A84" s="211" t="s">
        <v>1664</v>
      </c>
      <c r="B84" s="64">
        <v>7.01</v>
      </c>
      <c r="C84" s="64">
        <v>16.38</v>
      </c>
      <c r="D84" s="64">
        <v>14.18</v>
      </c>
      <c r="E84" s="64">
        <v>4.05</v>
      </c>
      <c r="F84" s="64">
        <v>4.08</v>
      </c>
      <c r="G84" s="64">
        <v>24.1</v>
      </c>
      <c r="H84" s="64">
        <v>7.67</v>
      </c>
      <c r="I84" s="64">
        <v>0.87</v>
      </c>
      <c r="J84" s="64">
        <v>7.0000000000000007E-2</v>
      </c>
      <c r="K84" s="64">
        <v>324.93</v>
      </c>
      <c r="L84" s="64">
        <v>25</v>
      </c>
      <c r="M84" s="64">
        <v>93.89</v>
      </c>
      <c r="N84" s="64">
        <v>64.3</v>
      </c>
      <c r="O84" s="64">
        <v>0</v>
      </c>
      <c r="P84" s="64">
        <v>0.31</v>
      </c>
      <c r="Q84" s="64">
        <v>9.08</v>
      </c>
      <c r="R84" s="198"/>
      <c r="S84" s="198"/>
      <c r="T84" s="198"/>
      <c r="U84" s="198"/>
    </row>
    <row r="85" spans="1:26" s="12" customFormat="1" x14ac:dyDescent="0.25">
      <c r="A85" s="211" t="s">
        <v>1665</v>
      </c>
      <c r="B85" s="64">
        <v>7.86</v>
      </c>
      <c r="C85" s="64">
        <v>19.93</v>
      </c>
      <c r="D85" s="64">
        <v>16.71</v>
      </c>
      <c r="E85" s="64">
        <v>3.8</v>
      </c>
      <c r="F85" s="64">
        <v>6.26</v>
      </c>
      <c r="G85" s="64">
        <v>24.1</v>
      </c>
      <c r="H85" s="64">
        <v>7.67</v>
      </c>
      <c r="I85" s="64">
        <v>0.9</v>
      </c>
      <c r="J85" s="64">
        <v>0.01</v>
      </c>
      <c r="K85" s="64">
        <v>334.14</v>
      </c>
      <c r="L85" s="64">
        <v>24.87</v>
      </c>
      <c r="M85" s="64">
        <v>95.31</v>
      </c>
      <c r="N85" s="64">
        <v>64.3</v>
      </c>
      <c r="O85" s="64">
        <v>0</v>
      </c>
      <c r="P85" s="64">
        <v>0.33</v>
      </c>
      <c r="Q85" s="64">
        <v>9.09</v>
      </c>
      <c r="R85" s="198"/>
      <c r="S85" s="198"/>
      <c r="T85" s="198"/>
      <c r="U85" s="198"/>
    </row>
    <row r="86" spans="1:26" s="12" customFormat="1" x14ac:dyDescent="0.25">
      <c r="A86" s="211" t="s">
        <v>1666</v>
      </c>
      <c r="B86" s="64">
        <v>6.83</v>
      </c>
      <c r="C86" s="64">
        <v>17.25</v>
      </c>
      <c r="D86" s="64">
        <v>14.49</v>
      </c>
      <c r="E86" s="64">
        <v>4.09</v>
      </c>
      <c r="F86" s="64">
        <v>5.44</v>
      </c>
      <c r="G86" s="64">
        <v>24.1</v>
      </c>
      <c r="H86" s="64">
        <v>7.67</v>
      </c>
      <c r="I86" s="64">
        <v>0.95</v>
      </c>
      <c r="J86" s="64">
        <v>0.01</v>
      </c>
      <c r="K86" s="64">
        <v>272.64</v>
      </c>
      <c r="L86" s="64">
        <v>24.75</v>
      </c>
      <c r="M86" s="64">
        <v>96.53</v>
      </c>
      <c r="N86" s="64">
        <v>64.400000000000006</v>
      </c>
      <c r="O86" s="64">
        <v>0</v>
      </c>
      <c r="P86" s="64">
        <v>0.32</v>
      </c>
      <c r="Q86" s="64">
        <v>9.09</v>
      </c>
      <c r="R86" s="198"/>
      <c r="S86" s="198"/>
      <c r="T86" s="198"/>
      <c r="U86" s="198"/>
    </row>
    <row r="87" spans="1:26" s="12" customFormat="1" x14ac:dyDescent="0.25">
      <c r="A87" s="211" t="s">
        <v>1667</v>
      </c>
      <c r="B87" s="64">
        <v>6.11</v>
      </c>
      <c r="C87" s="64">
        <v>19.579999999999998</v>
      </c>
      <c r="D87" s="64">
        <v>15.13</v>
      </c>
      <c r="E87" s="64">
        <v>4.3</v>
      </c>
      <c r="F87" s="64">
        <v>7.47</v>
      </c>
      <c r="G87" s="64">
        <v>25.96</v>
      </c>
      <c r="H87" s="64">
        <v>7.17</v>
      </c>
      <c r="I87" s="64">
        <v>1</v>
      </c>
      <c r="J87" s="64">
        <v>0.05</v>
      </c>
      <c r="K87" s="64">
        <v>207.94</v>
      </c>
      <c r="L87" s="64">
        <v>24.67</v>
      </c>
      <c r="M87" s="64">
        <v>97.33</v>
      </c>
      <c r="N87" s="64">
        <v>64.900000000000006</v>
      </c>
      <c r="O87" s="64">
        <v>0</v>
      </c>
      <c r="P87" s="64">
        <v>0.38</v>
      </c>
      <c r="Q87" s="64">
        <v>9.1</v>
      </c>
      <c r="R87" s="198"/>
      <c r="S87" s="198"/>
      <c r="T87" s="198"/>
      <c r="U87" s="198"/>
    </row>
    <row r="88" spans="1:26" s="12" customFormat="1" x14ac:dyDescent="0.25">
      <c r="A88" s="211" t="s">
        <v>1668</v>
      </c>
      <c r="B88" s="64">
        <v>6.68</v>
      </c>
      <c r="C88" s="64">
        <v>22.37</v>
      </c>
      <c r="D88" s="64">
        <v>17.04</v>
      </c>
      <c r="E88" s="64">
        <v>3.83</v>
      </c>
      <c r="F88" s="64">
        <v>5.46</v>
      </c>
      <c r="G88" s="64">
        <v>26.56</v>
      </c>
      <c r="H88" s="64">
        <v>7.01</v>
      </c>
      <c r="I88" s="64">
        <v>1.04</v>
      </c>
      <c r="J88" s="64">
        <v>0.05</v>
      </c>
      <c r="K88" s="64">
        <v>194.05</v>
      </c>
      <c r="L88" s="64">
        <v>24.5</v>
      </c>
      <c r="M88" s="64">
        <v>97.61</v>
      </c>
      <c r="N88" s="64">
        <v>64.900000000000006</v>
      </c>
      <c r="O88" s="64">
        <v>0</v>
      </c>
      <c r="P88" s="64">
        <v>0.36</v>
      </c>
      <c r="Q88" s="64">
        <v>9.11</v>
      </c>
      <c r="R88" s="198"/>
      <c r="S88" s="198"/>
      <c r="T88" s="198"/>
      <c r="U88" s="198"/>
    </row>
    <row r="89" spans="1:26" s="12" customFormat="1" x14ac:dyDescent="0.25">
      <c r="A89" s="211" t="s">
        <v>1669</v>
      </c>
      <c r="B89" s="64">
        <v>7.56</v>
      </c>
      <c r="C89" s="64">
        <v>16.170000000000002</v>
      </c>
      <c r="D89" s="64">
        <v>14.51</v>
      </c>
      <c r="E89" s="64">
        <v>3.73</v>
      </c>
      <c r="F89" s="64">
        <v>5.39</v>
      </c>
      <c r="G89" s="64">
        <v>26.56</v>
      </c>
      <c r="H89" s="64">
        <v>7.01</v>
      </c>
      <c r="I89" s="64">
        <v>1.07</v>
      </c>
      <c r="J89" s="64">
        <v>0.01</v>
      </c>
      <c r="K89" s="64">
        <v>243.88</v>
      </c>
      <c r="L89" s="64">
        <v>24.46</v>
      </c>
      <c r="M89" s="64">
        <v>97.63</v>
      </c>
      <c r="N89" s="64">
        <v>65.3</v>
      </c>
      <c r="O89" s="64">
        <v>0</v>
      </c>
      <c r="P89" s="64">
        <v>0.36</v>
      </c>
      <c r="Q89" s="64">
        <v>9.11</v>
      </c>
      <c r="R89" s="198"/>
      <c r="S89" s="198"/>
      <c r="T89" s="198"/>
      <c r="U89" s="198"/>
    </row>
    <row r="90" spans="1:26" s="12" customFormat="1" x14ac:dyDescent="0.25">
      <c r="A90" s="211" t="s">
        <v>1670</v>
      </c>
      <c r="B90" s="64">
        <v>11.18</v>
      </c>
      <c r="C90" s="64">
        <v>24.54</v>
      </c>
      <c r="D90" s="64">
        <v>21.79</v>
      </c>
      <c r="E90" s="64">
        <v>3.81</v>
      </c>
      <c r="F90" s="64">
        <v>8.8699999999999992</v>
      </c>
      <c r="G90" s="64">
        <v>26.56</v>
      </c>
      <c r="H90" s="64">
        <v>7.01</v>
      </c>
      <c r="I90" s="64">
        <v>1.1000000000000001</v>
      </c>
      <c r="J90" s="64">
        <v>0.02</v>
      </c>
      <c r="K90" s="64">
        <v>225.64</v>
      </c>
      <c r="L90" s="64">
        <v>24.44</v>
      </c>
      <c r="M90" s="64">
        <v>97.62</v>
      </c>
      <c r="N90" s="64">
        <v>65.599999999999994</v>
      </c>
      <c r="O90" s="64">
        <v>0</v>
      </c>
      <c r="P90" s="64">
        <v>0.42</v>
      </c>
      <c r="Q90" s="64">
        <v>9.14</v>
      </c>
      <c r="R90" s="198"/>
      <c r="S90" s="198"/>
      <c r="T90" s="198"/>
      <c r="U90" s="198"/>
    </row>
    <row r="91" spans="1:26" s="12" customFormat="1" x14ac:dyDescent="0.25">
      <c r="A91" s="211" t="s">
        <v>1671</v>
      </c>
      <c r="B91" s="64">
        <v>12.23</v>
      </c>
      <c r="C91" s="64">
        <v>20.22</v>
      </c>
      <c r="D91" s="64">
        <v>20.37</v>
      </c>
      <c r="E91" s="64">
        <v>3.75</v>
      </c>
      <c r="F91" s="64">
        <v>8.06</v>
      </c>
      <c r="G91" s="64">
        <v>30.45</v>
      </c>
      <c r="H91" s="64">
        <v>5.44</v>
      </c>
      <c r="I91" s="64">
        <v>1.1399999999999999</v>
      </c>
      <c r="J91" s="64">
        <v>0.08</v>
      </c>
      <c r="K91" s="64">
        <v>321.54000000000002</v>
      </c>
      <c r="L91" s="64">
        <v>24.52</v>
      </c>
      <c r="M91" s="64">
        <v>97.42</v>
      </c>
      <c r="N91" s="64">
        <v>65.599999999999994</v>
      </c>
      <c r="O91" s="64">
        <v>0</v>
      </c>
      <c r="P91" s="64">
        <v>0.39</v>
      </c>
      <c r="Q91" s="64">
        <v>9.16</v>
      </c>
      <c r="R91" s="198"/>
      <c r="S91" s="198"/>
      <c r="T91" s="198"/>
      <c r="U91" s="198"/>
    </row>
    <row r="92" spans="1:26" s="12" customFormat="1" x14ac:dyDescent="0.25">
      <c r="A92" s="211" t="s">
        <v>1672</v>
      </c>
      <c r="B92" s="64">
        <v>8.56</v>
      </c>
      <c r="C92" s="64">
        <v>14.76</v>
      </c>
      <c r="D92" s="64">
        <v>14.58</v>
      </c>
      <c r="E92" s="64">
        <v>3.87</v>
      </c>
      <c r="F92" s="64">
        <v>8.11</v>
      </c>
      <c r="G92" s="64">
        <v>31.7</v>
      </c>
      <c r="H92" s="64">
        <v>4.93</v>
      </c>
      <c r="I92" s="64">
        <v>1.18</v>
      </c>
      <c r="J92" s="64">
        <v>7.0000000000000007E-2</v>
      </c>
      <c r="K92" s="64">
        <v>312.45999999999998</v>
      </c>
      <c r="L92" s="64">
        <v>24.72</v>
      </c>
      <c r="M92" s="64">
        <v>96.19</v>
      </c>
      <c r="N92" s="64">
        <v>65.599999999999994</v>
      </c>
      <c r="O92" s="64">
        <v>0</v>
      </c>
      <c r="P92" s="64">
        <v>0.34</v>
      </c>
      <c r="Q92" s="64">
        <v>9.17</v>
      </c>
      <c r="R92" s="198"/>
      <c r="S92" s="198"/>
      <c r="T92" s="198"/>
      <c r="U92" s="198"/>
    </row>
    <row r="93" spans="1:26" s="12" customFormat="1" x14ac:dyDescent="0.25">
      <c r="A93" s="211" t="s">
        <v>1673</v>
      </c>
      <c r="B93" s="64">
        <v>8.11</v>
      </c>
      <c r="C93" s="64">
        <v>13.94</v>
      </c>
      <c r="D93" s="64">
        <v>13.79</v>
      </c>
      <c r="E93" s="64">
        <v>3.91</v>
      </c>
      <c r="F93" s="64">
        <v>6.39</v>
      </c>
      <c r="G93" s="64">
        <v>31.7</v>
      </c>
      <c r="H93" s="64">
        <v>4.93</v>
      </c>
      <c r="I93" s="64">
        <v>1.19</v>
      </c>
      <c r="J93" s="64">
        <v>0.1</v>
      </c>
      <c r="K93" s="64">
        <v>3.73</v>
      </c>
      <c r="L93" s="64">
        <v>24.71</v>
      </c>
      <c r="M93" s="64">
        <v>94.64</v>
      </c>
      <c r="N93" s="64">
        <v>66.400000000000006</v>
      </c>
      <c r="O93" s="64">
        <v>0</v>
      </c>
      <c r="P93" s="64">
        <v>0.32</v>
      </c>
      <c r="Q93" s="64">
        <v>9.17</v>
      </c>
      <c r="R93" s="198"/>
      <c r="S93" s="198"/>
      <c r="T93" s="198"/>
      <c r="U93" s="198"/>
    </row>
    <row r="94" spans="1:26" s="12" customFormat="1" x14ac:dyDescent="0.25">
      <c r="A94" s="211" t="s">
        <v>1674</v>
      </c>
      <c r="B94" s="64">
        <v>8.3699999999999992</v>
      </c>
      <c r="C94" s="64">
        <v>13.45</v>
      </c>
      <c r="D94" s="64">
        <v>13.74</v>
      </c>
      <c r="E94" s="64">
        <v>4.29</v>
      </c>
      <c r="F94" s="64">
        <v>5.0999999999999996</v>
      </c>
      <c r="G94" s="64">
        <v>31.7</v>
      </c>
      <c r="H94" s="64">
        <v>4.93</v>
      </c>
      <c r="I94" s="64">
        <v>1.18</v>
      </c>
      <c r="J94" s="64">
        <v>0.16</v>
      </c>
      <c r="K94" s="64">
        <v>348.2</v>
      </c>
      <c r="L94" s="64">
        <v>24.71</v>
      </c>
      <c r="M94" s="64">
        <v>93.82</v>
      </c>
      <c r="N94" s="64">
        <v>67.099999999999994</v>
      </c>
      <c r="O94" s="64">
        <v>0</v>
      </c>
      <c r="P94" s="64">
        <v>0.33</v>
      </c>
      <c r="Q94" s="64">
        <v>9.15</v>
      </c>
      <c r="R94" s="198"/>
      <c r="S94" s="198"/>
      <c r="T94" s="198"/>
      <c r="U94" s="198"/>
    </row>
    <row r="95" spans="1:26" s="12" customFormat="1" x14ac:dyDescent="0.25">
      <c r="A95" s="211" t="s">
        <v>1675</v>
      </c>
      <c r="B95" s="64">
        <v>9.81</v>
      </c>
      <c r="C95" s="64">
        <v>17.45</v>
      </c>
      <c r="D95" s="64">
        <v>16.98</v>
      </c>
      <c r="E95" s="64">
        <v>4.08</v>
      </c>
      <c r="F95" s="64">
        <v>4.91</v>
      </c>
      <c r="G95" s="64">
        <v>27.96</v>
      </c>
      <c r="H95" s="64">
        <v>6.96</v>
      </c>
      <c r="I95" s="64">
        <v>1.17</v>
      </c>
      <c r="J95" s="64">
        <v>0.09</v>
      </c>
      <c r="K95" s="64">
        <v>334.36</v>
      </c>
      <c r="L95" s="64">
        <v>24.58</v>
      </c>
      <c r="M95" s="64">
        <v>94.56</v>
      </c>
      <c r="N95" s="64">
        <v>71.8</v>
      </c>
      <c r="O95" s="64">
        <v>0</v>
      </c>
      <c r="P95" s="64">
        <v>0.33</v>
      </c>
      <c r="Q95" s="64">
        <v>9.15</v>
      </c>
      <c r="R95" s="198"/>
      <c r="S95" s="198"/>
      <c r="T95" s="198"/>
      <c r="U95" s="198"/>
    </row>
    <row r="96" spans="1:26" s="12" customFormat="1" x14ac:dyDescent="0.25">
      <c r="A96" s="211" t="s">
        <v>1676</v>
      </c>
      <c r="B96" s="64">
        <v>8.75</v>
      </c>
      <c r="C96" s="64">
        <v>15.41</v>
      </c>
      <c r="D96" s="64">
        <v>15.07</v>
      </c>
      <c r="E96" s="64">
        <v>4.18</v>
      </c>
      <c r="F96" s="64">
        <v>6.07</v>
      </c>
      <c r="G96" s="64">
        <v>26.75</v>
      </c>
      <c r="H96" s="64">
        <v>7.62</v>
      </c>
      <c r="I96" s="64">
        <v>1.1499999999999999</v>
      </c>
      <c r="J96" s="64">
        <v>7.0000000000000007E-2</v>
      </c>
      <c r="K96" s="64">
        <v>335.56</v>
      </c>
      <c r="L96" s="64">
        <v>24.53</v>
      </c>
      <c r="M96" s="64">
        <v>95.18</v>
      </c>
      <c r="N96" s="64">
        <v>84.9</v>
      </c>
      <c r="O96" s="64">
        <v>0</v>
      </c>
      <c r="P96" s="64">
        <v>0.3</v>
      </c>
      <c r="Q96" s="64">
        <v>9.15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1677</v>
      </c>
      <c r="B97" s="64">
        <v>8.99</v>
      </c>
      <c r="C97" s="64">
        <v>14.36</v>
      </c>
      <c r="D97" s="64">
        <v>14.71</v>
      </c>
      <c r="E97" s="64">
        <v>4.09</v>
      </c>
      <c r="F97" s="64">
        <v>4.9800000000000004</v>
      </c>
      <c r="G97" s="64">
        <v>26.75</v>
      </c>
      <c r="H97" s="64">
        <v>7.62</v>
      </c>
      <c r="I97" s="64">
        <v>1.1399999999999999</v>
      </c>
      <c r="J97" s="64">
        <v>7.0000000000000007E-2</v>
      </c>
      <c r="K97" s="64">
        <v>329.42</v>
      </c>
      <c r="L97" s="64">
        <v>24.43</v>
      </c>
      <c r="M97" s="64">
        <v>95.93</v>
      </c>
      <c r="N97" s="64">
        <v>82.5</v>
      </c>
      <c r="O97" s="64">
        <v>0</v>
      </c>
      <c r="P97" s="64">
        <v>0.32</v>
      </c>
      <c r="Q97" s="64">
        <v>9.15</v>
      </c>
      <c r="R97" s="198"/>
      <c r="S97" s="198"/>
      <c r="T97" s="198"/>
      <c r="U97" s="198"/>
    </row>
    <row r="98" spans="1:33" s="12" customFormat="1" x14ac:dyDescent="0.25">
      <c r="A98" s="211" t="s">
        <v>1678</v>
      </c>
      <c r="B98" s="64">
        <v>8.11</v>
      </c>
      <c r="C98" s="64">
        <v>13.65</v>
      </c>
      <c r="D98" s="64">
        <v>13.64</v>
      </c>
      <c r="E98" s="64">
        <v>4.09</v>
      </c>
      <c r="F98" s="64">
        <v>3.3</v>
      </c>
      <c r="G98" s="64">
        <v>26.75</v>
      </c>
      <c r="H98" s="64">
        <v>7.62</v>
      </c>
      <c r="I98" s="64">
        <v>1.1299999999999999</v>
      </c>
      <c r="J98" s="64">
        <v>0.1</v>
      </c>
      <c r="K98" s="64">
        <v>356.29</v>
      </c>
      <c r="L98" s="64">
        <v>24.31</v>
      </c>
      <c r="M98" s="64">
        <v>97.22</v>
      </c>
      <c r="N98" s="64">
        <v>84.8</v>
      </c>
      <c r="O98" s="64">
        <v>0</v>
      </c>
      <c r="P98" s="64">
        <v>0.32</v>
      </c>
      <c r="Q98" s="64">
        <v>9.14</v>
      </c>
      <c r="R98" s="198"/>
      <c r="S98" s="198"/>
      <c r="T98" s="198"/>
      <c r="U98" s="198"/>
    </row>
    <row r="99" spans="1:33" s="12" customFormat="1" x14ac:dyDescent="0.25">
      <c r="A99" s="211" t="s">
        <v>1679</v>
      </c>
      <c r="B99" s="64">
        <v>7.91</v>
      </c>
      <c r="C99" s="64">
        <v>13.43</v>
      </c>
      <c r="D99" s="64">
        <v>13.36</v>
      </c>
      <c r="E99" s="64">
        <v>4.2699999999999996</v>
      </c>
      <c r="F99" s="64">
        <v>3.52</v>
      </c>
      <c r="G99" s="64">
        <v>25.96</v>
      </c>
      <c r="H99" s="64">
        <v>6.01</v>
      </c>
      <c r="I99" s="64">
        <v>1.1100000000000001</v>
      </c>
      <c r="J99" s="64">
        <v>0.11</v>
      </c>
      <c r="K99" s="64">
        <v>357.22</v>
      </c>
      <c r="L99" s="64">
        <v>24.21</v>
      </c>
      <c r="M99" s="64">
        <v>97.6</v>
      </c>
      <c r="N99" s="64">
        <v>77.5</v>
      </c>
      <c r="O99" s="64">
        <v>0</v>
      </c>
      <c r="P99" s="64">
        <v>0.31</v>
      </c>
      <c r="Q99" s="64">
        <v>9.1300000000000008</v>
      </c>
      <c r="R99" s="198"/>
      <c r="S99" s="198"/>
      <c r="T99" s="198"/>
      <c r="U99" s="198"/>
    </row>
    <row r="100" spans="1:33" s="12" customFormat="1" x14ac:dyDescent="0.25">
      <c r="A100" s="211" t="s">
        <v>1680</v>
      </c>
      <c r="B100" s="64">
        <v>7.98</v>
      </c>
      <c r="C100" s="64">
        <v>13.31</v>
      </c>
      <c r="D100" s="64">
        <v>13.35</v>
      </c>
      <c r="E100" s="64">
        <v>4.07</v>
      </c>
      <c r="F100" s="64">
        <v>3.87</v>
      </c>
      <c r="G100" s="64">
        <v>25.7</v>
      </c>
      <c r="H100" s="64">
        <v>5.53</v>
      </c>
      <c r="I100" s="64">
        <v>1.08</v>
      </c>
      <c r="J100" s="64">
        <v>0.05</v>
      </c>
      <c r="K100" s="64">
        <v>355.25</v>
      </c>
      <c r="L100" s="64">
        <v>24.12</v>
      </c>
      <c r="M100" s="64">
        <v>97.63</v>
      </c>
      <c r="N100" s="64">
        <v>77.099999999999994</v>
      </c>
      <c r="O100" s="64">
        <v>0</v>
      </c>
      <c r="P100" s="64">
        <v>0.3</v>
      </c>
      <c r="Q100" s="64">
        <v>9.1300000000000008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1681</v>
      </c>
      <c r="B101" s="64">
        <v>7.91</v>
      </c>
      <c r="C101" s="64">
        <v>12.86</v>
      </c>
      <c r="D101" s="64">
        <v>13.06</v>
      </c>
      <c r="E101" s="64">
        <v>3.93</v>
      </c>
      <c r="F101" s="64">
        <v>3.51</v>
      </c>
      <c r="G101" s="64">
        <v>25.7</v>
      </c>
      <c r="H101" s="64">
        <v>5.53</v>
      </c>
      <c r="I101" s="64">
        <v>1.06</v>
      </c>
      <c r="J101" s="64">
        <v>0.05</v>
      </c>
      <c r="K101" s="64">
        <v>322.18</v>
      </c>
      <c r="L101" s="64">
        <v>24.12</v>
      </c>
      <c r="M101" s="64">
        <v>97.63</v>
      </c>
      <c r="N101" s="64">
        <v>77.599999999999994</v>
      </c>
      <c r="O101" s="64">
        <v>0</v>
      </c>
      <c r="P101" s="64">
        <v>0.28999999999999998</v>
      </c>
      <c r="Q101" s="64">
        <v>9.11</v>
      </c>
      <c r="R101" s="198"/>
      <c r="S101" s="198"/>
      <c r="T101" s="198"/>
      <c r="U101" s="198"/>
    </row>
    <row r="102" spans="1:33" s="12" customFormat="1" x14ac:dyDescent="0.25">
      <c r="A102" s="211" t="s">
        <v>1682</v>
      </c>
      <c r="B102" s="64">
        <v>7.99</v>
      </c>
      <c r="C102" s="64">
        <v>12.61</v>
      </c>
      <c r="D102" s="64">
        <v>13</v>
      </c>
      <c r="E102" s="64">
        <v>3.8</v>
      </c>
      <c r="F102" s="64">
        <v>3.6</v>
      </c>
      <c r="G102" s="64">
        <v>25.7</v>
      </c>
      <c r="H102" s="64">
        <v>5.53</v>
      </c>
      <c r="I102" s="64">
        <v>1.05</v>
      </c>
      <c r="J102" s="64">
        <v>0.09</v>
      </c>
      <c r="K102" s="64">
        <v>324.44</v>
      </c>
      <c r="L102" s="64">
        <v>24.02</v>
      </c>
      <c r="M102" s="64">
        <v>97.65</v>
      </c>
      <c r="N102" s="64">
        <v>78.2</v>
      </c>
      <c r="O102" s="64">
        <v>0</v>
      </c>
      <c r="P102" s="64">
        <v>0.28000000000000003</v>
      </c>
      <c r="Q102" s="64">
        <v>9.1199999999999992</v>
      </c>
      <c r="R102" s="198"/>
      <c r="S102" s="198"/>
      <c r="T102" s="198"/>
      <c r="U102" s="198"/>
    </row>
    <row r="103" spans="1:33" s="12" customFormat="1" x14ac:dyDescent="0.25">
      <c r="A103" s="211" t="s">
        <v>1683</v>
      </c>
      <c r="B103" s="64">
        <v>7.97</v>
      </c>
      <c r="C103" s="64">
        <v>12.28</v>
      </c>
      <c r="D103" s="64">
        <v>12.81</v>
      </c>
      <c r="E103" s="64">
        <v>4.1900000000000004</v>
      </c>
      <c r="F103" s="64">
        <v>4.5199999999999996</v>
      </c>
      <c r="G103" s="64">
        <v>29.04</v>
      </c>
      <c r="H103" s="64">
        <v>4.34</v>
      </c>
      <c r="I103" s="64">
        <v>1.03</v>
      </c>
      <c r="J103" s="64">
        <v>0.05</v>
      </c>
      <c r="K103" s="64">
        <v>354.47</v>
      </c>
      <c r="L103" s="64">
        <v>23.67</v>
      </c>
      <c r="M103" s="64">
        <v>97.66</v>
      </c>
      <c r="N103" s="64">
        <v>77.900000000000006</v>
      </c>
      <c r="O103" s="64">
        <v>0</v>
      </c>
      <c r="P103" s="64">
        <v>0.27</v>
      </c>
      <c r="Q103" s="64">
        <v>9.11</v>
      </c>
      <c r="R103" s="198"/>
      <c r="S103" s="198"/>
      <c r="T103" s="198"/>
      <c r="U103" s="198"/>
    </row>
    <row r="104" spans="1:33" s="12" customFormat="1" x14ac:dyDescent="0.25">
      <c r="A104" s="211" t="s">
        <v>1684</v>
      </c>
      <c r="B104" s="64">
        <v>7.87</v>
      </c>
      <c r="C104" s="64">
        <v>11.9</v>
      </c>
      <c r="D104" s="64">
        <v>12.53</v>
      </c>
      <c r="E104" s="64">
        <v>4.3</v>
      </c>
      <c r="F104" s="64">
        <v>4.59</v>
      </c>
      <c r="G104" s="64">
        <v>30.12</v>
      </c>
      <c r="H104" s="64">
        <v>3.98</v>
      </c>
      <c r="I104" s="64">
        <v>1</v>
      </c>
      <c r="J104" s="64">
        <v>7.0000000000000007E-2</v>
      </c>
      <c r="K104" s="64">
        <v>348.65</v>
      </c>
      <c r="L104" s="64">
        <v>23.73</v>
      </c>
      <c r="M104" s="64">
        <v>97.65</v>
      </c>
      <c r="N104" s="64">
        <v>79.7</v>
      </c>
      <c r="O104" s="64">
        <v>0</v>
      </c>
      <c r="P104" s="64">
        <v>0.28000000000000003</v>
      </c>
      <c r="Q104" s="64">
        <v>9.11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4.72</v>
      </c>
      <c r="C106" s="67">
        <f>MIN(C9:C104)</f>
        <v>9.9</v>
      </c>
      <c r="D106" s="67">
        <f t="shared" ref="D106:Q106" si="0">MIN(D9:D104)</f>
        <v>8.73</v>
      </c>
      <c r="E106" s="67">
        <f t="shared" si="0"/>
        <v>3.7</v>
      </c>
      <c r="F106" s="67">
        <f t="shared" si="0"/>
        <v>2.77</v>
      </c>
      <c r="G106" s="67">
        <f t="shared" si="0"/>
        <v>4.74</v>
      </c>
      <c r="H106" s="67">
        <f t="shared" si="0"/>
        <v>1.8</v>
      </c>
      <c r="I106" s="67">
        <f t="shared" si="0"/>
        <v>0</v>
      </c>
      <c r="J106" s="67">
        <f t="shared" si="0"/>
        <v>0.01</v>
      </c>
      <c r="K106" s="67">
        <f t="shared" si="0"/>
        <v>3.73</v>
      </c>
      <c r="L106" s="67">
        <f t="shared" si="0"/>
        <v>22.2</v>
      </c>
      <c r="M106" s="67">
        <f t="shared" si="0"/>
        <v>84.53</v>
      </c>
      <c r="N106" s="67">
        <f t="shared" si="0"/>
        <v>64.3</v>
      </c>
      <c r="O106" s="67">
        <f t="shared" si="0"/>
        <v>0</v>
      </c>
      <c r="P106" s="67">
        <f t="shared" si="0"/>
        <v>0.2</v>
      </c>
      <c r="Q106" s="67">
        <f t="shared" si="0"/>
        <v>9.0399999999999991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13.78</v>
      </c>
      <c r="C107" s="66">
        <f t="shared" ref="C107:Q107" si="1">MAX(C9:C104)</f>
        <v>29.36</v>
      </c>
      <c r="D107" s="66">
        <f t="shared" si="1"/>
        <v>21.79</v>
      </c>
      <c r="E107" s="66">
        <f t="shared" si="1"/>
        <v>5.49</v>
      </c>
      <c r="F107" s="66">
        <f t="shared" si="1"/>
        <v>11.06</v>
      </c>
      <c r="G107" s="66">
        <f t="shared" si="1"/>
        <v>43.09</v>
      </c>
      <c r="H107" s="66">
        <f t="shared" si="1"/>
        <v>10.17</v>
      </c>
      <c r="I107" s="66">
        <f t="shared" si="1"/>
        <v>4.17</v>
      </c>
      <c r="J107" s="66">
        <f t="shared" si="1"/>
        <v>0.64</v>
      </c>
      <c r="K107" s="66">
        <f t="shared" si="1"/>
        <v>357.22</v>
      </c>
      <c r="L107" s="66">
        <f t="shared" si="1"/>
        <v>28.39</v>
      </c>
      <c r="M107" s="66">
        <f t="shared" si="1"/>
        <v>97.75</v>
      </c>
      <c r="N107" s="66">
        <f t="shared" si="1"/>
        <v>608.4</v>
      </c>
      <c r="O107" s="66">
        <f t="shared" si="1"/>
        <v>3.6</v>
      </c>
      <c r="P107" s="66">
        <f t="shared" si="1"/>
        <v>0.49</v>
      </c>
      <c r="Q107" s="66">
        <f t="shared" si="1"/>
        <v>9.27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8.0615625000000026</v>
      </c>
      <c r="C108" s="67">
        <f t="shared" ref="C108:Q108" si="2">AVERAGE(C9:C104)</f>
        <v>15.302708333333333</v>
      </c>
      <c r="D108" s="67">
        <f t="shared" si="2"/>
        <v>13.486354166666663</v>
      </c>
      <c r="E108" s="67">
        <f t="shared" si="2"/>
        <v>4.3881250000000005</v>
      </c>
      <c r="F108" s="67">
        <f t="shared" si="2"/>
        <v>5.7495833333333337</v>
      </c>
      <c r="G108" s="67">
        <f t="shared" si="2"/>
        <v>20.297083333333344</v>
      </c>
      <c r="H108" s="67">
        <f t="shared" si="2"/>
        <v>6.0409375000000018</v>
      </c>
      <c r="I108" s="67">
        <f t="shared" si="2"/>
        <v>2.3294791666666668</v>
      </c>
      <c r="J108" s="67">
        <f t="shared" si="2"/>
        <v>0.13708333333333342</v>
      </c>
      <c r="K108" s="67">
        <f t="shared" si="2"/>
        <v>266.96062499999999</v>
      </c>
      <c r="L108" s="67">
        <f t="shared" si="2"/>
        <v>24.626979166666661</v>
      </c>
      <c r="M108" s="67">
        <f t="shared" si="2"/>
        <v>95.851979166666624</v>
      </c>
      <c r="N108" s="67">
        <f t="shared" si="2"/>
        <v>140.19479166666665</v>
      </c>
      <c r="O108" s="67">
        <f t="shared" si="2"/>
        <v>0.14791666666666667</v>
      </c>
      <c r="P108" s="67">
        <f t="shared" si="2"/>
        <v>0.29968749999999994</v>
      </c>
      <c r="Q108" s="67">
        <f t="shared" si="2"/>
        <v>9.1382291666666635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2.2117915234987722</v>
      </c>
      <c r="C109" s="67">
        <f t="shared" ref="C109:Q109" si="3">STDEV(C9:C104)</f>
        <v>3.2698963380210526</v>
      </c>
      <c r="D109" s="67">
        <f t="shared" si="3"/>
        <v>2.7836924057962555</v>
      </c>
      <c r="E109" s="67">
        <f t="shared" si="3"/>
        <v>0.50341635483543168</v>
      </c>
      <c r="F109" s="67">
        <f t="shared" si="3"/>
        <v>1.897064722513049</v>
      </c>
      <c r="G109" s="67">
        <f t="shared" si="3"/>
        <v>10.303314838762621</v>
      </c>
      <c r="H109" s="67">
        <f t="shared" si="3"/>
        <v>2.2817154572013467</v>
      </c>
      <c r="I109" s="67">
        <f t="shared" si="3"/>
        <v>1.5144332758262486</v>
      </c>
      <c r="J109" s="67">
        <f t="shared" si="3"/>
        <v>0.11543890310842865</v>
      </c>
      <c r="K109" s="67">
        <f t="shared" si="3"/>
        <v>68.746258153673722</v>
      </c>
      <c r="L109" s="67">
        <f t="shared" si="3"/>
        <v>1.5954237977096388</v>
      </c>
      <c r="M109" s="67">
        <f t="shared" si="3"/>
        <v>3.1792328170212021</v>
      </c>
      <c r="N109" s="67">
        <f t="shared" si="3"/>
        <v>100.63563496703992</v>
      </c>
      <c r="O109" s="67">
        <f t="shared" si="3"/>
        <v>0.53053680197099806</v>
      </c>
      <c r="P109" s="67">
        <f t="shared" si="3"/>
        <v>6.5909876665832715E-2</v>
      </c>
      <c r="Q109" s="67">
        <f t="shared" si="3"/>
        <v>5.513609557347815E-2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100</v>
      </c>
      <c r="H110" s="66">
        <f>COUNT(H9:H104)+4</f>
        <v>100</v>
      </c>
      <c r="I110" s="66">
        <f>COUNT(I9:I104)+56</f>
        <v>152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97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7" sqref="H1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1685</v>
      </c>
      <c r="B9" s="64">
        <v>7.1</v>
      </c>
      <c r="C9" s="64">
        <v>11.65</v>
      </c>
      <c r="D9" s="64">
        <v>11.78</v>
      </c>
      <c r="E9" s="64">
        <v>4.2699999999999996</v>
      </c>
      <c r="F9" s="64">
        <v>5.55</v>
      </c>
      <c r="G9" s="64">
        <v>30.12</v>
      </c>
      <c r="H9" s="64">
        <v>3.98</v>
      </c>
      <c r="I9" s="64">
        <v>0.98</v>
      </c>
      <c r="J9" s="64">
        <v>0.05</v>
      </c>
      <c r="K9" s="64">
        <v>190.24</v>
      </c>
      <c r="L9" s="64">
        <v>23.75</v>
      </c>
      <c r="M9" s="64">
        <v>97.66</v>
      </c>
      <c r="N9" s="64">
        <v>77.3</v>
      </c>
      <c r="O9" s="64">
        <v>0</v>
      </c>
      <c r="P9" s="64">
        <v>0.22</v>
      </c>
      <c r="Q9" s="64">
        <v>9.1</v>
      </c>
      <c r="R9" s="198"/>
      <c r="S9" s="198"/>
      <c r="T9" s="198"/>
      <c r="U9" s="198"/>
    </row>
    <row r="10" spans="1:21" s="12" customFormat="1" x14ac:dyDescent="0.25">
      <c r="A10" s="211" t="s">
        <v>1686</v>
      </c>
      <c r="B10" s="64">
        <v>7.63</v>
      </c>
      <c r="C10" s="64">
        <v>11.23</v>
      </c>
      <c r="D10" s="64">
        <v>11.98</v>
      </c>
      <c r="E10" s="64">
        <v>4.51</v>
      </c>
      <c r="F10" s="64">
        <v>4.75</v>
      </c>
      <c r="G10" s="64">
        <v>30.12</v>
      </c>
      <c r="H10" s="64">
        <v>3.98</v>
      </c>
      <c r="I10" s="64">
        <v>0.97</v>
      </c>
      <c r="J10" s="64">
        <v>0.01</v>
      </c>
      <c r="K10" s="64">
        <v>233.98</v>
      </c>
      <c r="L10" s="64">
        <v>23.77</v>
      </c>
      <c r="M10" s="64">
        <v>97.65</v>
      </c>
      <c r="N10" s="64">
        <v>85.5</v>
      </c>
      <c r="O10" s="64">
        <v>0</v>
      </c>
      <c r="P10" s="64">
        <v>0.26</v>
      </c>
      <c r="Q10" s="64">
        <v>9.1</v>
      </c>
      <c r="R10" s="198"/>
      <c r="S10" s="198"/>
      <c r="T10" s="198"/>
      <c r="U10" s="198"/>
    </row>
    <row r="11" spans="1:21" s="12" customFormat="1" x14ac:dyDescent="0.25">
      <c r="A11" s="211" t="s">
        <v>1687</v>
      </c>
      <c r="B11" s="64">
        <v>9.0299999999999994</v>
      </c>
      <c r="C11" s="64">
        <v>11.24</v>
      </c>
      <c r="D11" s="64">
        <v>13.12</v>
      </c>
      <c r="E11" s="64">
        <v>4.3499999999999996</v>
      </c>
      <c r="F11" s="64">
        <v>7.03</v>
      </c>
      <c r="G11" s="64">
        <v>23.67</v>
      </c>
      <c r="H11" s="64">
        <v>3.12</v>
      </c>
      <c r="I11" s="64">
        <v>0.96</v>
      </c>
      <c r="J11" s="64">
        <v>7.0000000000000007E-2</v>
      </c>
      <c r="K11" s="64">
        <v>341.2</v>
      </c>
      <c r="L11" s="64">
        <v>23.86</v>
      </c>
      <c r="M11" s="64">
        <v>97.65</v>
      </c>
      <c r="N11" s="64">
        <v>79.2</v>
      </c>
      <c r="O11" s="64">
        <v>0</v>
      </c>
      <c r="P11" s="64">
        <v>0.21</v>
      </c>
      <c r="Q11" s="64">
        <v>9.09</v>
      </c>
      <c r="R11" s="198"/>
      <c r="S11" s="198"/>
      <c r="T11" s="198"/>
      <c r="U11" s="198"/>
    </row>
    <row r="12" spans="1:21" s="12" customFormat="1" x14ac:dyDescent="0.25">
      <c r="A12" s="211" t="s">
        <v>1688</v>
      </c>
      <c r="B12" s="64">
        <v>7.58</v>
      </c>
      <c r="C12" s="64">
        <v>10.82</v>
      </c>
      <c r="D12" s="64">
        <v>11.74</v>
      </c>
      <c r="E12" s="64">
        <v>4.63</v>
      </c>
      <c r="F12" s="64">
        <v>5.77</v>
      </c>
      <c r="G12" s="64">
        <v>21.59</v>
      </c>
      <c r="H12" s="64">
        <v>2.86</v>
      </c>
      <c r="I12" s="64">
        <v>0.94</v>
      </c>
      <c r="J12" s="64">
        <v>7.0000000000000007E-2</v>
      </c>
      <c r="K12" s="64">
        <v>308.35000000000002</v>
      </c>
      <c r="L12" s="64">
        <v>23.99</v>
      </c>
      <c r="M12" s="64">
        <v>97.65</v>
      </c>
      <c r="N12" s="64">
        <v>80.7</v>
      </c>
      <c r="O12" s="64">
        <v>0</v>
      </c>
      <c r="P12" s="64">
        <v>0.21</v>
      </c>
      <c r="Q12" s="64">
        <v>9.1199999999999992</v>
      </c>
      <c r="R12" s="198"/>
      <c r="S12" s="198"/>
      <c r="T12" s="198"/>
      <c r="U12" s="198"/>
    </row>
    <row r="13" spans="1:21" s="12" customFormat="1" x14ac:dyDescent="0.25">
      <c r="A13" s="211" t="s">
        <v>1689</v>
      </c>
      <c r="B13" s="64">
        <v>7.23</v>
      </c>
      <c r="C13" s="64">
        <v>10.64</v>
      </c>
      <c r="D13" s="64">
        <v>11.36</v>
      </c>
      <c r="E13" s="64">
        <v>4.6900000000000004</v>
      </c>
      <c r="F13" s="64">
        <v>6.01</v>
      </c>
      <c r="G13" s="64">
        <v>21.59</v>
      </c>
      <c r="H13" s="64">
        <v>2.86</v>
      </c>
      <c r="I13" s="64">
        <v>0.91</v>
      </c>
      <c r="J13" s="64">
        <v>0.12</v>
      </c>
      <c r="K13" s="64">
        <v>320.31</v>
      </c>
      <c r="L13" s="64">
        <v>24.03</v>
      </c>
      <c r="M13" s="64">
        <v>97.64</v>
      </c>
      <c r="N13" s="64">
        <v>75.599999999999994</v>
      </c>
      <c r="O13" s="64">
        <v>0</v>
      </c>
      <c r="P13" s="64">
        <v>0.19</v>
      </c>
      <c r="Q13" s="64">
        <v>9.11</v>
      </c>
      <c r="R13" s="198"/>
      <c r="S13" s="198"/>
      <c r="T13" s="198"/>
      <c r="U13" s="198"/>
    </row>
    <row r="14" spans="1:21" s="12" customFormat="1" x14ac:dyDescent="0.25">
      <c r="A14" s="211" t="s">
        <v>1690</v>
      </c>
      <c r="B14" s="64">
        <v>7.2</v>
      </c>
      <c r="C14" s="64">
        <v>10.69</v>
      </c>
      <c r="D14" s="64">
        <v>11.36</v>
      </c>
      <c r="E14" s="64">
        <v>4.51</v>
      </c>
      <c r="F14" s="64">
        <v>6.7</v>
      </c>
      <c r="G14" s="64">
        <v>21.59</v>
      </c>
      <c r="H14" s="64">
        <v>2.86</v>
      </c>
      <c r="I14" s="64">
        <v>0.89</v>
      </c>
      <c r="J14" s="64">
        <v>0.06</v>
      </c>
      <c r="K14" s="64">
        <v>258.26</v>
      </c>
      <c r="L14" s="64">
        <v>24.08</v>
      </c>
      <c r="M14" s="64">
        <v>97.62</v>
      </c>
      <c r="N14" s="64">
        <v>78</v>
      </c>
      <c r="O14" s="64">
        <v>0</v>
      </c>
      <c r="P14" s="64">
        <v>0.2</v>
      </c>
      <c r="Q14" s="64">
        <v>9.11</v>
      </c>
      <c r="R14" s="198"/>
      <c r="S14" s="198"/>
      <c r="T14" s="198"/>
      <c r="U14" s="198"/>
    </row>
    <row r="15" spans="1:21" s="12" customFormat="1" x14ac:dyDescent="0.25">
      <c r="A15" s="211" t="s">
        <v>1691</v>
      </c>
      <c r="B15" s="64">
        <v>7.23</v>
      </c>
      <c r="C15" s="64">
        <v>10.71</v>
      </c>
      <c r="D15" s="64">
        <v>11.4</v>
      </c>
      <c r="E15" s="64">
        <v>4.51</v>
      </c>
      <c r="F15" s="64">
        <v>4.55</v>
      </c>
      <c r="G15" s="64">
        <v>18.920000000000002</v>
      </c>
      <c r="H15" s="64">
        <v>2.2799999999999998</v>
      </c>
      <c r="I15" s="64">
        <v>0.87</v>
      </c>
      <c r="J15" s="64">
        <v>0.09</v>
      </c>
      <c r="K15" s="64">
        <v>277.99</v>
      </c>
      <c r="L15" s="64">
        <v>24.03</v>
      </c>
      <c r="M15" s="64">
        <v>97.62</v>
      </c>
      <c r="N15" s="64">
        <v>80.3</v>
      </c>
      <c r="O15" s="64">
        <v>0</v>
      </c>
      <c r="P15" s="64">
        <v>0.2</v>
      </c>
      <c r="Q15" s="64">
        <v>9.11</v>
      </c>
      <c r="R15" s="198"/>
      <c r="S15" s="198"/>
      <c r="T15" s="198"/>
      <c r="U15" s="198"/>
    </row>
    <row r="16" spans="1:21" s="12" customFormat="1" x14ac:dyDescent="0.25">
      <c r="A16" s="211" t="s">
        <v>1692</v>
      </c>
      <c r="B16" s="64">
        <v>7.16</v>
      </c>
      <c r="C16" s="64">
        <v>10.69</v>
      </c>
      <c r="D16" s="64">
        <v>11.33</v>
      </c>
      <c r="E16" s="64">
        <v>4.6100000000000003</v>
      </c>
      <c r="F16" s="64">
        <v>5.77</v>
      </c>
      <c r="G16" s="64">
        <v>18.059999999999999</v>
      </c>
      <c r="H16" s="64">
        <v>2.09</v>
      </c>
      <c r="I16" s="64">
        <v>0.85</v>
      </c>
      <c r="J16" s="64">
        <v>0.06</v>
      </c>
      <c r="K16" s="64">
        <v>287.19</v>
      </c>
      <c r="L16" s="64">
        <v>24.01</v>
      </c>
      <c r="M16" s="64">
        <v>97.63</v>
      </c>
      <c r="N16" s="64">
        <v>75.599999999999994</v>
      </c>
      <c r="O16" s="64">
        <v>0</v>
      </c>
      <c r="P16" s="64">
        <v>0.19</v>
      </c>
      <c r="Q16" s="64">
        <v>9.1</v>
      </c>
      <c r="R16" s="198"/>
      <c r="S16" s="198"/>
      <c r="T16" s="198"/>
      <c r="U16" s="198"/>
    </row>
    <row r="17" spans="1:21" s="12" customFormat="1" x14ac:dyDescent="0.25">
      <c r="A17" s="211" t="s">
        <v>1693</v>
      </c>
      <c r="B17" s="64">
        <v>7.51</v>
      </c>
      <c r="C17" s="64">
        <v>11.58</v>
      </c>
      <c r="D17" s="64">
        <v>12.07</v>
      </c>
      <c r="E17" s="64">
        <v>4.57</v>
      </c>
      <c r="F17" s="64">
        <v>6.32</v>
      </c>
      <c r="G17" s="64">
        <v>18.059999999999999</v>
      </c>
      <c r="H17" s="64">
        <v>2.09</v>
      </c>
      <c r="I17" s="64">
        <v>0.84</v>
      </c>
      <c r="J17" s="64">
        <v>0.08</v>
      </c>
      <c r="K17" s="64">
        <v>283.47000000000003</v>
      </c>
      <c r="L17" s="64">
        <v>23.95</v>
      </c>
      <c r="M17" s="64">
        <v>97.64</v>
      </c>
      <c r="N17" s="64">
        <v>76.2</v>
      </c>
      <c r="O17" s="64">
        <v>0</v>
      </c>
      <c r="P17" s="64">
        <v>0.18</v>
      </c>
      <c r="Q17" s="64">
        <v>9.11</v>
      </c>
      <c r="R17" s="198"/>
      <c r="S17" s="198"/>
      <c r="T17" s="198"/>
      <c r="U17" s="198"/>
    </row>
    <row r="18" spans="1:21" s="12" customFormat="1" x14ac:dyDescent="0.25">
      <c r="A18" s="211" t="s">
        <v>1694</v>
      </c>
      <c r="B18" s="64">
        <v>6.84</v>
      </c>
      <c r="C18" s="64">
        <v>11.04</v>
      </c>
      <c r="D18" s="64">
        <v>11.25</v>
      </c>
      <c r="E18" s="64">
        <v>4.71</v>
      </c>
      <c r="F18" s="64">
        <v>6.68</v>
      </c>
      <c r="G18" s="64">
        <v>18.059999999999999</v>
      </c>
      <c r="H18" s="64">
        <v>2.09</v>
      </c>
      <c r="I18" s="64">
        <v>0.83</v>
      </c>
      <c r="J18" s="64">
        <v>7.0000000000000007E-2</v>
      </c>
      <c r="K18" s="64">
        <v>247.03</v>
      </c>
      <c r="L18" s="64">
        <v>23.89</v>
      </c>
      <c r="M18" s="64">
        <v>97.65</v>
      </c>
      <c r="N18" s="64">
        <v>78.3</v>
      </c>
      <c r="O18" s="64">
        <v>0</v>
      </c>
      <c r="P18" s="64">
        <v>0.18</v>
      </c>
      <c r="Q18" s="64">
        <v>9.11</v>
      </c>
      <c r="R18" s="198"/>
      <c r="S18" s="198"/>
      <c r="T18" s="198"/>
      <c r="U18" s="198"/>
    </row>
    <row r="19" spans="1:21" s="12" customFormat="1" x14ac:dyDescent="0.25">
      <c r="A19" s="211" t="s">
        <v>1695</v>
      </c>
      <c r="B19" s="64">
        <v>7.68</v>
      </c>
      <c r="C19" s="64">
        <v>10.94</v>
      </c>
      <c r="D19" s="64">
        <v>11.88</v>
      </c>
      <c r="E19" s="64">
        <v>4.38</v>
      </c>
      <c r="F19" s="64">
        <v>4.24</v>
      </c>
      <c r="G19" s="64">
        <v>14.21</v>
      </c>
      <c r="H19" s="64">
        <v>2.37</v>
      </c>
      <c r="I19" s="64">
        <v>0.9</v>
      </c>
      <c r="J19" s="64">
        <v>0.11</v>
      </c>
      <c r="K19" s="64">
        <v>313.83999999999997</v>
      </c>
      <c r="L19" s="64">
        <v>23.87</v>
      </c>
      <c r="M19" s="64">
        <v>97.65</v>
      </c>
      <c r="N19" s="64">
        <v>80.599999999999994</v>
      </c>
      <c r="O19" s="64">
        <v>0</v>
      </c>
      <c r="P19" s="64">
        <v>0.21</v>
      </c>
      <c r="Q19" s="64">
        <v>9.11</v>
      </c>
      <c r="R19" s="198"/>
      <c r="S19" s="198"/>
      <c r="T19" s="198"/>
      <c r="U19" s="198"/>
    </row>
    <row r="20" spans="1:21" s="12" customFormat="1" x14ac:dyDescent="0.25">
      <c r="A20" s="211" t="s">
        <v>1696</v>
      </c>
      <c r="B20" s="64">
        <v>7.99</v>
      </c>
      <c r="C20" s="64">
        <v>11.16</v>
      </c>
      <c r="D20" s="64">
        <v>12.23</v>
      </c>
      <c r="E20" s="64">
        <v>4.78</v>
      </c>
      <c r="F20" s="64">
        <v>3.28</v>
      </c>
      <c r="G20" s="64">
        <v>12.96</v>
      </c>
      <c r="H20" s="64">
        <v>2.4700000000000002</v>
      </c>
      <c r="I20" s="64">
        <v>0.94</v>
      </c>
      <c r="J20" s="64">
        <v>0.12</v>
      </c>
      <c r="K20" s="64">
        <v>305.58</v>
      </c>
      <c r="L20" s="64">
        <v>23.92</v>
      </c>
      <c r="M20" s="64">
        <v>97.63</v>
      </c>
      <c r="N20" s="64">
        <v>74.5</v>
      </c>
      <c r="O20" s="64">
        <v>0</v>
      </c>
      <c r="P20" s="64">
        <v>0.21</v>
      </c>
      <c r="Q20" s="64">
        <v>9.09</v>
      </c>
      <c r="R20" s="198"/>
      <c r="S20" s="198"/>
      <c r="T20" s="198"/>
      <c r="U20" s="198"/>
    </row>
    <row r="21" spans="1:21" s="12" customFormat="1" x14ac:dyDescent="0.25">
      <c r="A21" s="211" t="s">
        <v>1697</v>
      </c>
      <c r="B21" s="64">
        <v>7.78</v>
      </c>
      <c r="C21" s="64">
        <v>10.89</v>
      </c>
      <c r="D21" s="64">
        <v>11.93</v>
      </c>
      <c r="E21" s="64">
        <v>4.82</v>
      </c>
      <c r="F21" s="64">
        <v>3.76</v>
      </c>
      <c r="G21" s="64">
        <v>12.96</v>
      </c>
      <c r="H21" s="64">
        <v>2.4700000000000002</v>
      </c>
      <c r="I21" s="64">
        <v>0.91</v>
      </c>
      <c r="J21" s="64">
        <v>0.14000000000000001</v>
      </c>
      <c r="K21" s="64">
        <v>294.43</v>
      </c>
      <c r="L21" s="64">
        <v>23.9</v>
      </c>
      <c r="M21" s="64">
        <v>97.63</v>
      </c>
      <c r="N21" s="64">
        <v>73.599999999999994</v>
      </c>
      <c r="O21" s="64">
        <v>0</v>
      </c>
      <c r="P21" s="64">
        <v>0.2</v>
      </c>
      <c r="Q21" s="64">
        <v>9.07</v>
      </c>
      <c r="R21" s="198"/>
      <c r="S21" s="198"/>
      <c r="T21" s="198"/>
      <c r="U21" s="198"/>
    </row>
    <row r="22" spans="1:21" s="12" customFormat="1" x14ac:dyDescent="0.25">
      <c r="A22" s="211" t="s">
        <v>1698</v>
      </c>
      <c r="B22" s="64">
        <v>7.3</v>
      </c>
      <c r="C22" s="64">
        <v>11.16</v>
      </c>
      <c r="D22" s="64">
        <v>11.68</v>
      </c>
      <c r="E22" s="64">
        <v>4.46</v>
      </c>
      <c r="F22" s="64">
        <v>3.41</v>
      </c>
      <c r="G22" s="64">
        <v>12.96</v>
      </c>
      <c r="H22" s="64">
        <v>2.4700000000000002</v>
      </c>
      <c r="I22" s="64">
        <v>0.88</v>
      </c>
      <c r="J22" s="64">
        <v>0.23</v>
      </c>
      <c r="K22" s="64">
        <v>293.35000000000002</v>
      </c>
      <c r="L22" s="64">
        <v>23.74</v>
      </c>
      <c r="M22" s="64">
        <v>97.63</v>
      </c>
      <c r="N22" s="64">
        <v>73.5</v>
      </c>
      <c r="O22" s="64">
        <v>0</v>
      </c>
      <c r="P22" s="64">
        <v>0.19</v>
      </c>
      <c r="Q22" s="64">
        <v>9.06</v>
      </c>
      <c r="R22" s="198"/>
      <c r="S22" s="198"/>
      <c r="T22" s="198"/>
      <c r="U22" s="198"/>
    </row>
    <row r="23" spans="1:21" s="12" customFormat="1" x14ac:dyDescent="0.25">
      <c r="A23" s="211" t="s">
        <v>1699</v>
      </c>
      <c r="B23" s="64">
        <v>6.35</v>
      </c>
      <c r="C23" s="64">
        <v>11.52</v>
      </c>
      <c r="D23" s="64">
        <v>11.11</v>
      </c>
      <c r="E23" s="64">
        <v>4.3099999999999996</v>
      </c>
      <c r="F23" s="64">
        <v>3.64</v>
      </c>
      <c r="G23" s="64">
        <v>14.46</v>
      </c>
      <c r="H23" s="64">
        <v>4.16</v>
      </c>
      <c r="I23" s="64">
        <v>0.84</v>
      </c>
      <c r="J23" s="64">
        <v>0.26</v>
      </c>
      <c r="K23" s="64">
        <v>292.08999999999997</v>
      </c>
      <c r="L23" s="64">
        <v>23.22</v>
      </c>
      <c r="M23" s="64">
        <v>97.68</v>
      </c>
      <c r="N23" s="64">
        <v>73.599999999999994</v>
      </c>
      <c r="O23" s="64">
        <v>0.2</v>
      </c>
      <c r="P23" s="64">
        <v>0.18</v>
      </c>
      <c r="Q23" s="64">
        <v>9.0399999999999991</v>
      </c>
      <c r="R23" s="198"/>
      <c r="S23" s="198"/>
      <c r="T23" s="198"/>
      <c r="U23" s="198"/>
    </row>
    <row r="24" spans="1:21" s="12" customFormat="1" x14ac:dyDescent="0.25">
      <c r="A24" s="211" t="s">
        <v>1700</v>
      </c>
      <c r="B24" s="64">
        <v>5.82</v>
      </c>
      <c r="C24" s="64">
        <v>11.57</v>
      </c>
      <c r="D24" s="64">
        <v>10.71</v>
      </c>
      <c r="E24" s="64">
        <v>4.3600000000000003</v>
      </c>
      <c r="F24" s="64">
        <v>3.93</v>
      </c>
      <c r="G24" s="64">
        <v>14.94</v>
      </c>
      <c r="H24" s="64">
        <v>4.71</v>
      </c>
      <c r="I24" s="64">
        <v>0.77</v>
      </c>
      <c r="J24" s="64">
        <v>0.11</v>
      </c>
      <c r="K24" s="64">
        <v>295.33</v>
      </c>
      <c r="L24" s="64">
        <v>22.91</v>
      </c>
      <c r="M24" s="64">
        <v>97.7</v>
      </c>
      <c r="N24" s="64">
        <v>74</v>
      </c>
      <c r="O24" s="64">
        <v>0</v>
      </c>
      <c r="P24" s="64">
        <v>0.17</v>
      </c>
      <c r="Q24" s="64">
        <v>9.02</v>
      </c>
      <c r="R24" s="198"/>
      <c r="S24" s="198"/>
      <c r="T24" s="198"/>
      <c r="U24" s="198"/>
    </row>
    <row r="25" spans="1:21" s="12" customFormat="1" x14ac:dyDescent="0.25">
      <c r="A25" s="211" t="s">
        <v>1701</v>
      </c>
      <c r="B25" s="64">
        <v>5.74</v>
      </c>
      <c r="C25" s="64">
        <v>11.48</v>
      </c>
      <c r="D25" s="64">
        <v>10.6</v>
      </c>
      <c r="E25" s="64">
        <v>4.53</v>
      </c>
      <c r="F25" s="64">
        <v>3.06</v>
      </c>
      <c r="G25" s="64">
        <v>14.94</v>
      </c>
      <c r="H25" s="64">
        <v>4.71</v>
      </c>
      <c r="I25" s="64">
        <v>0.73</v>
      </c>
      <c r="J25" s="64">
        <v>0.12</v>
      </c>
      <c r="K25" s="64">
        <v>300.76</v>
      </c>
      <c r="L25" s="64">
        <v>23.01</v>
      </c>
      <c r="M25" s="64">
        <v>97.69</v>
      </c>
      <c r="N25" s="64">
        <v>78.599999999999994</v>
      </c>
      <c r="O25" s="64">
        <v>0</v>
      </c>
      <c r="P25" s="64">
        <v>0.17</v>
      </c>
      <c r="Q25" s="64">
        <v>9.01</v>
      </c>
      <c r="R25" s="198"/>
      <c r="S25" s="198"/>
      <c r="T25" s="198"/>
      <c r="U25" s="198"/>
    </row>
    <row r="26" spans="1:21" s="12" customFormat="1" x14ac:dyDescent="0.25">
      <c r="A26" s="211" t="s">
        <v>1702</v>
      </c>
      <c r="B26" s="64">
        <v>5.69</v>
      </c>
      <c r="C26" s="64">
        <v>11.3</v>
      </c>
      <c r="D26" s="64">
        <v>10.46</v>
      </c>
      <c r="E26" s="64">
        <v>4.26</v>
      </c>
      <c r="F26" s="64">
        <v>3.87</v>
      </c>
      <c r="G26" s="64">
        <v>14.94</v>
      </c>
      <c r="H26" s="64">
        <v>4.71</v>
      </c>
      <c r="I26" s="64">
        <v>0.72</v>
      </c>
      <c r="J26" s="64">
        <v>0.11</v>
      </c>
      <c r="K26" s="64">
        <v>301.17</v>
      </c>
      <c r="L26" s="64">
        <v>23.13</v>
      </c>
      <c r="M26" s="64">
        <v>97.7</v>
      </c>
      <c r="N26" s="64">
        <v>88.7</v>
      </c>
      <c r="O26" s="64">
        <v>0</v>
      </c>
      <c r="P26" s="64">
        <v>0.16</v>
      </c>
      <c r="Q26" s="64">
        <v>9.01</v>
      </c>
      <c r="R26" s="198"/>
      <c r="S26" s="198"/>
      <c r="T26" s="198"/>
      <c r="U26" s="198"/>
    </row>
    <row r="27" spans="1:21" s="12" customFormat="1" x14ac:dyDescent="0.25">
      <c r="A27" s="211" t="s">
        <v>1703</v>
      </c>
      <c r="B27" s="64">
        <v>5.67</v>
      </c>
      <c r="C27" s="64">
        <v>11.64</v>
      </c>
      <c r="D27" s="64">
        <v>10.62</v>
      </c>
      <c r="E27" s="64">
        <v>4.3600000000000003</v>
      </c>
      <c r="F27" s="64">
        <v>2.9</v>
      </c>
      <c r="G27" s="64">
        <v>16.329999999999998</v>
      </c>
      <c r="H27" s="64">
        <v>4.9400000000000004</v>
      </c>
      <c r="I27" s="64">
        <v>0.71</v>
      </c>
      <c r="J27" s="64">
        <v>0.22</v>
      </c>
      <c r="K27" s="64">
        <v>298.32</v>
      </c>
      <c r="L27" s="64">
        <v>23.19</v>
      </c>
      <c r="M27" s="64">
        <v>97.69</v>
      </c>
      <c r="N27" s="64">
        <v>86</v>
      </c>
      <c r="O27" s="64">
        <v>0</v>
      </c>
      <c r="P27" s="64">
        <v>0.15</v>
      </c>
      <c r="Q27" s="64">
        <v>9</v>
      </c>
      <c r="R27" s="198"/>
      <c r="S27" s="198"/>
      <c r="T27" s="198"/>
      <c r="U27" s="198"/>
    </row>
    <row r="28" spans="1:21" s="12" customFormat="1" x14ac:dyDescent="0.25">
      <c r="A28" s="211" t="s">
        <v>1704</v>
      </c>
      <c r="B28" s="64">
        <v>5.5</v>
      </c>
      <c r="C28" s="64">
        <v>11.66</v>
      </c>
      <c r="D28" s="64">
        <v>10.51</v>
      </c>
      <c r="E28" s="64">
        <v>4.26</v>
      </c>
      <c r="F28" s="64">
        <v>3.57</v>
      </c>
      <c r="G28" s="64">
        <v>16.78</v>
      </c>
      <c r="H28" s="64">
        <v>5.01</v>
      </c>
      <c r="I28" s="64">
        <v>0.7</v>
      </c>
      <c r="J28" s="64">
        <v>0.18</v>
      </c>
      <c r="K28" s="64">
        <v>303.48</v>
      </c>
      <c r="L28" s="64">
        <v>23.22</v>
      </c>
      <c r="M28" s="64">
        <v>97.67</v>
      </c>
      <c r="N28" s="64">
        <v>81.599999999999994</v>
      </c>
      <c r="O28" s="64">
        <v>0</v>
      </c>
      <c r="P28" s="64">
        <v>0.16</v>
      </c>
      <c r="Q28" s="64">
        <v>9</v>
      </c>
      <c r="R28" s="198"/>
      <c r="S28" s="198"/>
      <c r="T28" s="198"/>
      <c r="U28" s="198"/>
    </row>
    <row r="29" spans="1:21" s="12" customFormat="1" x14ac:dyDescent="0.25">
      <c r="A29" s="211" t="s">
        <v>1705</v>
      </c>
      <c r="B29" s="64">
        <v>5.55</v>
      </c>
      <c r="C29" s="64">
        <v>13.02</v>
      </c>
      <c r="D29" s="64">
        <v>11.26</v>
      </c>
      <c r="E29" s="64">
        <v>4.74</v>
      </c>
      <c r="F29" s="64">
        <v>4.46</v>
      </c>
      <c r="G29" s="64">
        <v>16.78</v>
      </c>
      <c r="H29" s="64">
        <v>5.01</v>
      </c>
      <c r="I29" s="64">
        <v>0.68</v>
      </c>
      <c r="J29" s="64">
        <v>0.13</v>
      </c>
      <c r="K29" s="64">
        <v>294.54000000000002</v>
      </c>
      <c r="L29" s="64">
        <v>23.17</v>
      </c>
      <c r="M29" s="64">
        <v>97.57</v>
      </c>
      <c r="N29" s="64">
        <v>82.7</v>
      </c>
      <c r="O29" s="64">
        <v>0</v>
      </c>
      <c r="P29" s="64">
        <v>0.14000000000000001</v>
      </c>
      <c r="Q29" s="64">
        <v>9.01</v>
      </c>
      <c r="R29" s="198"/>
      <c r="S29" s="198"/>
      <c r="T29" s="198"/>
      <c r="U29" s="198"/>
    </row>
    <row r="30" spans="1:21" s="12" customFormat="1" x14ac:dyDescent="0.25">
      <c r="A30" s="211" t="s">
        <v>1706</v>
      </c>
      <c r="B30" s="64">
        <v>6</v>
      </c>
      <c r="C30" s="64">
        <v>14.06</v>
      </c>
      <c r="D30" s="64">
        <v>12.16</v>
      </c>
      <c r="E30" s="64">
        <v>4.21</v>
      </c>
      <c r="F30" s="64">
        <v>4.9000000000000004</v>
      </c>
      <c r="G30" s="64">
        <v>16.78</v>
      </c>
      <c r="H30" s="64">
        <v>5.01</v>
      </c>
      <c r="I30" s="64">
        <v>0.67</v>
      </c>
      <c r="J30" s="64">
        <v>0.12</v>
      </c>
      <c r="K30" s="64">
        <v>300.52</v>
      </c>
      <c r="L30" s="64">
        <v>23.12</v>
      </c>
      <c r="M30" s="64">
        <v>97.58</v>
      </c>
      <c r="N30" s="64">
        <v>86.1</v>
      </c>
      <c r="O30" s="64">
        <v>0</v>
      </c>
      <c r="P30" s="64">
        <v>0.15</v>
      </c>
      <c r="Q30" s="64">
        <v>9.02</v>
      </c>
      <c r="R30" s="198"/>
      <c r="S30" s="198"/>
      <c r="T30" s="198"/>
      <c r="U30" s="198"/>
    </row>
    <row r="31" spans="1:21" s="12" customFormat="1" x14ac:dyDescent="0.25">
      <c r="A31" s="211" t="s">
        <v>1707</v>
      </c>
      <c r="B31" s="64">
        <v>6.1</v>
      </c>
      <c r="C31" s="64">
        <v>12.72</v>
      </c>
      <c r="D31" s="64">
        <v>11.54</v>
      </c>
      <c r="E31" s="64">
        <v>4.49</v>
      </c>
      <c r="F31" s="64">
        <v>4.72</v>
      </c>
      <c r="G31" s="64">
        <v>13.14</v>
      </c>
      <c r="H31" s="64">
        <v>4.22</v>
      </c>
      <c r="I31" s="64">
        <v>0.66</v>
      </c>
      <c r="J31" s="64">
        <v>0.14000000000000001</v>
      </c>
      <c r="K31" s="64">
        <v>287.58999999999997</v>
      </c>
      <c r="L31" s="64">
        <v>23.11</v>
      </c>
      <c r="M31" s="64">
        <v>97.58</v>
      </c>
      <c r="N31" s="64">
        <v>88.5</v>
      </c>
      <c r="O31" s="64">
        <v>0</v>
      </c>
      <c r="P31" s="64">
        <v>0.15</v>
      </c>
      <c r="Q31" s="64">
        <v>9.0399999999999991</v>
      </c>
      <c r="R31" s="198"/>
      <c r="S31" s="198"/>
      <c r="T31" s="198"/>
      <c r="U31" s="198"/>
    </row>
    <row r="32" spans="1:21" s="12" customFormat="1" x14ac:dyDescent="0.25">
      <c r="A32" s="211" t="s">
        <v>1708</v>
      </c>
      <c r="B32" s="64">
        <v>6.1</v>
      </c>
      <c r="C32" s="64">
        <v>12.29</v>
      </c>
      <c r="D32" s="64">
        <v>11.31</v>
      </c>
      <c r="E32" s="64">
        <v>4.49</v>
      </c>
      <c r="F32" s="64">
        <v>4.5999999999999996</v>
      </c>
      <c r="G32" s="64">
        <v>11.96</v>
      </c>
      <c r="H32" s="64">
        <v>3.97</v>
      </c>
      <c r="I32" s="64">
        <v>0.67</v>
      </c>
      <c r="J32" s="64">
        <v>0.13</v>
      </c>
      <c r="K32" s="64">
        <v>300.2</v>
      </c>
      <c r="L32" s="64">
        <v>23.15</v>
      </c>
      <c r="M32" s="64">
        <v>97.58</v>
      </c>
      <c r="N32" s="64">
        <v>103</v>
      </c>
      <c r="O32" s="64">
        <v>0</v>
      </c>
      <c r="P32" s="64">
        <v>0.16</v>
      </c>
      <c r="Q32" s="64">
        <v>9.0399999999999991</v>
      </c>
      <c r="R32" s="198"/>
      <c r="S32" s="198"/>
      <c r="T32" s="198"/>
      <c r="U32" s="198"/>
    </row>
    <row r="33" spans="1:21" s="12" customFormat="1" x14ac:dyDescent="0.25">
      <c r="A33" s="211" t="s">
        <v>1709</v>
      </c>
      <c r="B33" s="64">
        <v>8.8800000000000008</v>
      </c>
      <c r="C33" s="64">
        <v>13.06</v>
      </c>
      <c r="D33" s="64">
        <v>13.95</v>
      </c>
      <c r="E33" s="64">
        <v>4.68</v>
      </c>
      <c r="F33" s="64">
        <v>6.2</v>
      </c>
      <c r="G33" s="64">
        <v>11.96</v>
      </c>
      <c r="H33" s="64">
        <v>3.97</v>
      </c>
      <c r="I33" s="64">
        <v>0.67</v>
      </c>
      <c r="J33" s="64">
        <v>0.1</v>
      </c>
      <c r="K33" s="64">
        <v>300.11</v>
      </c>
      <c r="L33" s="64">
        <v>23.33</v>
      </c>
      <c r="M33" s="64">
        <v>97.58</v>
      </c>
      <c r="N33" s="64">
        <v>117.5</v>
      </c>
      <c r="O33" s="64">
        <v>0</v>
      </c>
      <c r="P33" s="64">
        <v>0.19</v>
      </c>
      <c r="Q33" s="64">
        <v>9.07</v>
      </c>
      <c r="R33" s="198"/>
      <c r="S33" s="198"/>
      <c r="T33" s="198"/>
      <c r="U33" s="198"/>
    </row>
    <row r="34" spans="1:21" s="12" customFormat="1" x14ac:dyDescent="0.25">
      <c r="A34" s="211" t="s">
        <v>1710</v>
      </c>
      <c r="B34" s="64">
        <v>8.2200000000000006</v>
      </c>
      <c r="C34" s="64">
        <v>13.37</v>
      </c>
      <c r="D34" s="64">
        <v>13.57</v>
      </c>
      <c r="E34" s="64">
        <v>4.29</v>
      </c>
      <c r="F34" s="64">
        <v>5.81</v>
      </c>
      <c r="G34" s="64">
        <v>11.96</v>
      </c>
      <c r="H34" s="64">
        <v>3.97</v>
      </c>
      <c r="I34" s="64">
        <v>0.69</v>
      </c>
      <c r="J34" s="64">
        <v>0.12</v>
      </c>
      <c r="K34" s="64">
        <v>272.16000000000003</v>
      </c>
      <c r="L34" s="64">
        <v>23.55</v>
      </c>
      <c r="M34" s="64">
        <v>97.58</v>
      </c>
      <c r="N34" s="64">
        <v>128.9</v>
      </c>
      <c r="O34" s="64">
        <v>0</v>
      </c>
      <c r="P34" s="64">
        <v>0.18</v>
      </c>
      <c r="Q34" s="64">
        <v>9.08</v>
      </c>
      <c r="R34" s="198"/>
      <c r="S34" s="198"/>
      <c r="T34" s="198"/>
      <c r="U34" s="198"/>
    </row>
    <row r="35" spans="1:21" s="12" customFormat="1" x14ac:dyDescent="0.25">
      <c r="A35" s="211" t="s">
        <v>1711</v>
      </c>
      <c r="B35" s="64">
        <v>10.24</v>
      </c>
      <c r="C35" s="64">
        <v>15.54</v>
      </c>
      <c r="D35" s="64">
        <v>16.329999999999998</v>
      </c>
      <c r="E35" s="64">
        <v>4.59</v>
      </c>
      <c r="F35" s="64">
        <v>6.59</v>
      </c>
      <c r="G35" s="64">
        <v>14.52</v>
      </c>
      <c r="H35" s="64">
        <v>4.68</v>
      </c>
      <c r="I35" s="64">
        <v>0.71</v>
      </c>
      <c r="J35" s="64">
        <v>0.11</v>
      </c>
      <c r="K35" s="64">
        <v>280.95999999999998</v>
      </c>
      <c r="L35" s="64">
        <v>23.79</v>
      </c>
      <c r="M35" s="64">
        <v>97.56</v>
      </c>
      <c r="N35" s="64">
        <v>148.30000000000001</v>
      </c>
      <c r="O35" s="64">
        <v>0</v>
      </c>
      <c r="P35" s="64">
        <v>0.19</v>
      </c>
      <c r="Q35" s="64">
        <v>9.07</v>
      </c>
      <c r="R35" s="198"/>
      <c r="S35" s="198"/>
      <c r="T35" s="198"/>
      <c r="U35" s="198"/>
    </row>
    <row r="36" spans="1:21" s="12" customFormat="1" x14ac:dyDescent="0.25">
      <c r="A36" s="211" t="s">
        <v>1712</v>
      </c>
      <c r="B36" s="64">
        <v>8.65</v>
      </c>
      <c r="C36" s="64">
        <v>12.4</v>
      </c>
      <c r="D36" s="64">
        <v>13.42</v>
      </c>
      <c r="E36" s="64">
        <v>4.42</v>
      </c>
      <c r="F36" s="64">
        <v>3.88</v>
      </c>
      <c r="G36" s="64">
        <v>15.35</v>
      </c>
      <c r="H36" s="64">
        <v>4.9000000000000004</v>
      </c>
      <c r="I36" s="64">
        <v>0.74</v>
      </c>
      <c r="J36" s="64">
        <v>0.15</v>
      </c>
      <c r="K36" s="64">
        <v>286.76</v>
      </c>
      <c r="L36" s="64">
        <v>23.82</v>
      </c>
      <c r="M36" s="64">
        <v>97.54</v>
      </c>
      <c r="N36" s="64">
        <v>127.9</v>
      </c>
      <c r="O36" s="64">
        <v>0</v>
      </c>
      <c r="P36" s="64">
        <v>0.17</v>
      </c>
      <c r="Q36" s="64">
        <v>9.09</v>
      </c>
      <c r="R36" s="198"/>
      <c r="S36" s="198"/>
      <c r="T36" s="198"/>
      <c r="U36" s="198"/>
    </row>
    <row r="37" spans="1:21" s="12" customFormat="1" x14ac:dyDescent="0.25">
      <c r="A37" s="211" t="s">
        <v>1713</v>
      </c>
      <c r="B37" s="64">
        <v>7.88</v>
      </c>
      <c r="C37" s="64">
        <v>11.7</v>
      </c>
      <c r="D37" s="64">
        <v>12.43</v>
      </c>
      <c r="E37" s="64">
        <v>4.6100000000000003</v>
      </c>
      <c r="F37" s="64">
        <v>3.6</v>
      </c>
      <c r="G37" s="64">
        <v>15.35</v>
      </c>
      <c r="H37" s="64">
        <v>4.9000000000000004</v>
      </c>
      <c r="I37" s="64">
        <v>0.77</v>
      </c>
      <c r="J37" s="64">
        <v>0.12</v>
      </c>
      <c r="K37" s="64">
        <v>278.75</v>
      </c>
      <c r="L37" s="64">
        <v>23.94</v>
      </c>
      <c r="M37" s="64">
        <v>97.55</v>
      </c>
      <c r="N37" s="64">
        <v>140</v>
      </c>
      <c r="O37" s="64">
        <v>0</v>
      </c>
      <c r="P37" s="64">
        <v>0.22</v>
      </c>
      <c r="Q37" s="64">
        <v>9.08</v>
      </c>
      <c r="R37" s="198"/>
      <c r="S37" s="198"/>
      <c r="T37" s="198"/>
      <c r="U37" s="198"/>
    </row>
    <row r="38" spans="1:21" s="12" customFormat="1" x14ac:dyDescent="0.25">
      <c r="A38" s="211" t="s">
        <v>1714</v>
      </c>
      <c r="B38" s="64">
        <v>7.61</v>
      </c>
      <c r="C38" s="64">
        <v>11.76</v>
      </c>
      <c r="D38" s="64">
        <v>12.25</v>
      </c>
      <c r="E38" s="64">
        <v>4.5999999999999996</v>
      </c>
      <c r="F38" s="64">
        <v>3.7</v>
      </c>
      <c r="G38" s="64">
        <v>15.35</v>
      </c>
      <c r="H38" s="64">
        <v>4.9000000000000004</v>
      </c>
      <c r="I38" s="64">
        <v>0.78</v>
      </c>
      <c r="J38" s="64">
        <v>0.1</v>
      </c>
      <c r="K38" s="64">
        <v>281.98</v>
      </c>
      <c r="L38" s="64">
        <v>23.9</v>
      </c>
      <c r="M38" s="64">
        <v>97.55</v>
      </c>
      <c r="N38" s="64">
        <v>115.3</v>
      </c>
      <c r="O38" s="64">
        <v>0</v>
      </c>
      <c r="P38" s="64">
        <v>0.24</v>
      </c>
      <c r="Q38" s="64">
        <v>9.08</v>
      </c>
      <c r="R38" s="198"/>
      <c r="S38" s="198"/>
      <c r="T38" s="198"/>
      <c r="U38" s="198"/>
    </row>
    <row r="39" spans="1:21" s="12" customFormat="1" x14ac:dyDescent="0.25">
      <c r="A39" s="211" t="s">
        <v>1715</v>
      </c>
      <c r="B39" s="64">
        <v>7.47</v>
      </c>
      <c r="C39" s="64">
        <v>11.66</v>
      </c>
      <c r="D39" s="64">
        <v>12.08</v>
      </c>
      <c r="E39" s="64">
        <v>4.74</v>
      </c>
      <c r="F39" s="64">
        <v>3.23</v>
      </c>
      <c r="G39" s="64">
        <v>17.899999999999999</v>
      </c>
      <c r="H39" s="64">
        <v>4.0999999999999996</v>
      </c>
      <c r="I39" s="64">
        <v>0.78</v>
      </c>
      <c r="J39" s="64">
        <v>0.21</v>
      </c>
      <c r="K39" s="64">
        <v>277.41000000000003</v>
      </c>
      <c r="L39" s="64">
        <v>24.1</v>
      </c>
      <c r="M39" s="64">
        <v>97.54</v>
      </c>
      <c r="N39" s="64">
        <v>215.3</v>
      </c>
      <c r="O39" s="64">
        <v>0</v>
      </c>
      <c r="P39" s="64">
        <v>0.23</v>
      </c>
      <c r="Q39" s="64">
        <v>9.07</v>
      </c>
      <c r="R39" s="198"/>
      <c r="S39" s="198"/>
      <c r="T39" s="198"/>
      <c r="U39" s="198"/>
    </row>
    <row r="40" spans="1:21" s="12" customFormat="1" x14ac:dyDescent="0.25">
      <c r="A40" s="211" t="s">
        <v>1716</v>
      </c>
      <c r="B40" s="64">
        <v>7.35</v>
      </c>
      <c r="C40" s="64">
        <v>11.75</v>
      </c>
      <c r="D40" s="64">
        <v>12.04</v>
      </c>
      <c r="E40" s="64">
        <v>3.85</v>
      </c>
      <c r="F40" s="64">
        <v>3.73</v>
      </c>
      <c r="G40" s="64">
        <v>18.73</v>
      </c>
      <c r="H40" s="64">
        <v>3.84</v>
      </c>
      <c r="I40" s="64">
        <v>0.79</v>
      </c>
      <c r="J40" s="64">
        <v>0.15</v>
      </c>
      <c r="K40" s="64">
        <v>282.25</v>
      </c>
      <c r="L40" s="64">
        <v>24.5</v>
      </c>
      <c r="M40" s="64">
        <v>97.31</v>
      </c>
      <c r="N40" s="64">
        <v>219.1</v>
      </c>
      <c r="O40" s="64">
        <v>0</v>
      </c>
      <c r="P40" s="64">
        <v>0.25</v>
      </c>
      <c r="Q40" s="64">
        <v>9.06</v>
      </c>
      <c r="R40" s="198"/>
      <c r="S40" s="198"/>
      <c r="T40" s="198"/>
      <c r="U40" s="198"/>
    </row>
    <row r="41" spans="1:21" s="12" customFormat="1" x14ac:dyDescent="0.25">
      <c r="A41" s="211" t="s">
        <v>1717</v>
      </c>
      <c r="B41" s="64">
        <v>7.16</v>
      </c>
      <c r="C41" s="64">
        <v>11.97</v>
      </c>
      <c r="D41" s="64">
        <v>12</v>
      </c>
      <c r="E41" s="64">
        <v>3.58</v>
      </c>
      <c r="F41" s="64">
        <v>4.08</v>
      </c>
      <c r="G41" s="64">
        <v>18.73</v>
      </c>
      <c r="H41" s="64">
        <v>3.84</v>
      </c>
      <c r="I41" s="64">
        <v>0.8</v>
      </c>
      <c r="J41" s="64">
        <v>0.24</v>
      </c>
      <c r="K41" s="64">
        <v>287.45999999999998</v>
      </c>
      <c r="L41" s="64">
        <v>24.77</v>
      </c>
      <c r="M41" s="64">
        <v>96.73</v>
      </c>
      <c r="N41" s="64">
        <v>215.5</v>
      </c>
      <c r="O41" s="64">
        <v>0</v>
      </c>
      <c r="P41" s="64">
        <v>0.24</v>
      </c>
      <c r="Q41" s="64">
        <v>9.0500000000000007</v>
      </c>
      <c r="R41" s="198"/>
      <c r="S41" s="198"/>
      <c r="T41" s="198"/>
      <c r="U41" s="198"/>
    </row>
    <row r="42" spans="1:21" s="12" customFormat="1" x14ac:dyDescent="0.25">
      <c r="A42" s="211" t="s">
        <v>1718</v>
      </c>
      <c r="B42" s="64">
        <v>6.98</v>
      </c>
      <c r="C42" s="64">
        <v>12.25</v>
      </c>
      <c r="D42" s="64">
        <v>12</v>
      </c>
      <c r="E42" s="64">
        <v>3.66</v>
      </c>
      <c r="F42" s="64">
        <v>3.76</v>
      </c>
      <c r="G42" s="64">
        <v>18.73</v>
      </c>
      <c r="H42" s="64">
        <v>3.84</v>
      </c>
      <c r="I42" s="64">
        <v>0.8</v>
      </c>
      <c r="J42" s="64">
        <v>0.22</v>
      </c>
      <c r="K42" s="64">
        <v>284.26</v>
      </c>
      <c r="L42" s="64">
        <v>24.7</v>
      </c>
      <c r="M42" s="64">
        <v>97.01</v>
      </c>
      <c r="N42" s="64">
        <v>180.5</v>
      </c>
      <c r="O42" s="64">
        <v>0</v>
      </c>
      <c r="P42" s="64">
        <v>0.25</v>
      </c>
      <c r="Q42" s="64">
        <v>9.0500000000000007</v>
      </c>
      <c r="R42" s="198"/>
      <c r="S42" s="198"/>
      <c r="T42" s="198"/>
      <c r="U42" s="198"/>
    </row>
    <row r="43" spans="1:21" s="12" customFormat="1" x14ac:dyDescent="0.25">
      <c r="A43" s="211" t="s">
        <v>1719</v>
      </c>
      <c r="B43" s="64">
        <v>6.74</v>
      </c>
      <c r="C43" s="64">
        <v>12.41</v>
      </c>
      <c r="D43" s="64">
        <v>11.89</v>
      </c>
      <c r="E43" s="64">
        <v>3.45</v>
      </c>
      <c r="F43" s="64">
        <v>4.17</v>
      </c>
      <c r="G43" s="64">
        <v>19.03</v>
      </c>
      <c r="H43" s="64">
        <v>4.43</v>
      </c>
      <c r="I43" s="64">
        <v>0.82</v>
      </c>
      <c r="J43" s="64">
        <v>0.2</v>
      </c>
      <c r="K43" s="64">
        <v>300.83</v>
      </c>
      <c r="L43" s="64">
        <v>25.02</v>
      </c>
      <c r="M43" s="64">
        <v>95.97</v>
      </c>
      <c r="N43" s="64">
        <v>251.8</v>
      </c>
      <c r="O43" s="64">
        <v>0</v>
      </c>
      <c r="P43" s="64">
        <v>0.25</v>
      </c>
      <c r="Q43" s="64">
        <v>9.0500000000000007</v>
      </c>
      <c r="R43" s="198"/>
      <c r="S43" s="198"/>
      <c r="T43" s="198"/>
      <c r="U43" s="198"/>
    </row>
    <row r="44" spans="1:21" s="12" customFormat="1" x14ac:dyDescent="0.25">
      <c r="A44" s="211" t="s">
        <v>1720</v>
      </c>
      <c r="B44" s="64">
        <v>6.84</v>
      </c>
      <c r="C44" s="64">
        <v>12.84</v>
      </c>
      <c r="D44" s="64">
        <v>12.19</v>
      </c>
      <c r="E44" s="64">
        <v>3.63</v>
      </c>
      <c r="F44" s="64">
        <v>3.21</v>
      </c>
      <c r="G44" s="64">
        <v>19.13</v>
      </c>
      <c r="H44" s="64">
        <v>4.6100000000000003</v>
      </c>
      <c r="I44" s="64">
        <v>0.84</v>
      </c>
      <c r="J44" s="64">
        <v>0.17</v>
      </c>
      <c r="K44" s="64">
        <v>294.31</v>
      </c>
      <c r="L44" s="64">
        <v>24.99</v>
      </c>
      <c r="M44" s="64">
        <v>96.27</v>
      </c>
      <c r="N44" s="64">
        <v>172</v>
      </c>
      <c r="O44" s="64">
        <v>0</v>
      </c>
      <c r="P44" s="64">
        <v>0.25</v>
      </c>
      <c r="Q44" s="64">
        <v>9.0500000000000007</v>
      </c>
      <c r="R44" s="198"/>
      <c r="S44" s="198"/>
      <c r="T44" s="198"/>
      <c r="U44" s="198"/>
    </row>
    <row r="45" spans="1:21" s="12" customFormat="1" x14ac:dyDescent="0.25">
      <c r="A45" s="211" t="s">
        <v>1721</v>
      </c>
      <c r="B45" s="64">
        <v>6.83</v>
      </c>
      <c r="C45" s="64">
        <v>12.87</v>
      </c>
      <c r="D45" s="64">
        <v>12.2</v>
      </c>
      <c r="E45" s="64">
        <v>3.77</v>
      </c>
      <c r="F45" s="64">
        <v>3.8</v>
      </c>
      <c r="G45" s="64">
        <v>19.13</v>
      </c>
      <c r="H45" s="64">
        <v>4.6100000000000003</v>
      </c>
      <c r="I45" s="64">
        <v>0.87</v>
      </c>
      <c r="J45" s="64">
        <v>0.16</v>
      </c>
      <c r="K45" s="64">
        <v>290.32</v>
      </c>
      <c r="L45" s="64">
        <v>24.91</v>
      </c>
      <c r="M45" s="64">
        <v>96.81</v>
      </c>
      <c r="N45" s="64">
        <v>172.3</v>
      </c>
      <c r="O45" s="64">
        <v>0</v>
      </c>
      <c r="P45" s="64">
        <v>0.27</v>
      </c>
      <c r="Q45" s="64">
        <v>9.06</v>
      </c>
      <c r="R45" s="198"/>
      <c r="S45" s="198"/>
      <c r="T45" s="198"/>
      <c r="U45" s="198"/>
    </row>
    <row r="46" spans="1:21" s="12" customFormat="1" x14ac:dyDescent="0.25">
      <c r="A46" s="211" t="s">
        <v>1722</v>
      </c>
      <c r="B46" s="64">
        <v>6.92</v>
      </c>
      <c r="C46" s="64">
        <v>13.18</v>
      </c>
      <c r="D46" s="64">
        <v>12.43</v>
      </c>
      <c r="E46" s="64">
        <v>3.34</v>
      </c>
      <c r="F46" s="64">
        <v>2.87</v>
      </c>
      <c r="G46" s="64">
        <v>19.13</v>
      </c>
      <c r="H46" s="64">
        <v>4.6100000000000003</v>
      </c>
      <c r="I46" s="64">
        <v>0.87</v>
      </c>
      <c r="J46" s="64">
        <v>0.18</v>
      </c>
      <c r="K46" s="64">
        <v>303.45999999999998</v>
      </c>
      <c r="L46" s="64">
        <v>25.28</v>
      </c>
      <c r="M46" s="64">
        <v>94.76</v>
      </c>
      <c r="N46" s="64">
        <v>254.7</v>
      </c>
      <c r="O46" s="64">
        <v>0</v>
      </c>
      <c r="P46" s="64">
        <v>0.26</v>
      </c>
      <c r="Q46" s="64">
        <v>9.0500000000000007</v>
      </c>
      <c r="R46" s="198"/>
      <c r="S46" s="198"/>
      <c r="T46" s="198"/>
      <c r="U46" s="198"/>
    </row>
    <row r="47" spans="1:21" s="12" customFormat="1" x14ac:dyDescent="0.25">
      <c r="A47" s="211" t="s">
        <v>1723</v>
      </c>
      <c r="B47" s="64">
        <v>6.89</v>
      </c>
      <c r="C47" s="64">
        <v>13.35</v>
      </c>
      <c r="D47" s="64">
        <v>12.5</v>
      </c>
      <c r="E47" s="64">
        <v>3.65</v>
      </c>
      <c r="F47" s="64">
        <v>4.83</v>
      </c>
      <c r="G47" s="64">
        <v>21.72</v>
      </c>
      <c r="H47" s="64">
        <v>6.38</v>
      </c>
      <c r="I47" s="64">
        <v>0.87</v>
      </c>
      <c r="J47" s="64">
        <v>0.23</v>
      </c>
      <c r="K47" s="64">
        <v>291.61</v>
      </c>
      <c r="L47" s="64">
        <v>25.67</v>
      </c>
      <c r="M47" s="64">
        <v>92.36</v>
      </c>
      <c r="N47" s="64">
        <v>239.5</v>
      </c>
      <c r="O47" s="64">
        <v>0</v>
      </c>
      <c r="P47" s="64">
        <v>0.27</v>
      </c>
      <c r="Q47" s="64">
        <v>9.06</v>
      </c>
      <c r="R47" s="198"/>
      <c r="S47" s="198"/>
      <c r="T47" s="198"/>
      <c r="U47" s="198"/>
    </row>
    <row r="48" spans="1:21" s="12" customFormat="1" x14ac:dyDescent="0.25">
      <c r="A48" s="211" t="s">
        <v>1724</v>
      </c>
      <c r="B48" s="64">
        <v>6.8</v>
      </c>
      <c r="C48" s="64">
        <v>13.47</v>
      </c>
      <c r="D48" s="64">
        <v>12.49</v>
      </c>
      <c r="E48" s="64">
        <v>3.93</v>
      </c>
      <c r="F48" s="64">
        <v>3.71</v>
      </c>
      <c r="G48" s="64">
        <v>22.56</v>
      </c>
      <c r="H48" s="64">
        <v>6.95</v>
      </c>
      <c r="I48" s="64">
        <v>0.87</v>
      </c>
      <c r="J48" s="64">
        <v>0.24</v>
      </c>
      <c r="K48" s="64">
        <v>288.18</v>
      </c>
      <c r="L48" s="64">
        <v>25.66</v>
      </c>
      <c r="M48" s="64">
        <v>92.4</v>
      </c>
      <c r="N48" s="64">
        <v>230.5</v>
      </c>
      <c r="O48" s="64">
        <v>0</v>
      </c>
      <c r="P48" s="64">
        <v>0.28999999999999998</v>
      </c>
      <c r="Q48" s="64">
        <v>9.08</v>
      </c>
      <c r="R48" s="198"/>
      <c r="S48" s="198"/>
      <c r="T48" s="198"/>
      <c r="U48" s="198"/>
    </row>
    <row r="49" spans="1:21" s="12" customFormat="1" x14ac:dyDescent="0.25">
      <c r="A49" s="211" t="s">
        <v>1725</v>
      </c>
      <c r="B49" s="64">
        <v>7.24</v>
      </c>
      <c r="C49" s="64">
        <v>13.62</v>
      </c>
      <c r="D49" s="64">
        <v>12.92</v>
      </c>
      <c r="E49" s="64">
        <v>3.8</v>
      </c>
      <c r="F49" s="64">
        <v>3.35</v>
      </c>
      <c r="G49" s="64">
        <v>22.56</v>
      </c>
      <c r="H49" s="64">
        <v>6.95</v>
      </c>
      <c r="I49" s="64">
        <v>0.89</v>
      </c>
      <c r="J49" s="64">
        <v>0.22</v>
      </c>
      <c r="K49" s="64">
        <v>288.02999999999997</v>
      </c>
      <c r="L49" s="64">
        <v>26.38</v>
      </c>
      <c r="M49" s="64">
        <v>89.74</v>
      </c>
      <c r="N49" s="64">
        <v>305.10000000000002</v>
      </c>
      <c r="O49" s="64">
        <v>0</v>
      </c>
      <c r="P49" s="64">
        <v>0.32</v>
      </c>
      <c r="Q49" s="64">
        <v>9.08</v>
      </c>
      <c r="R49" s="198"/>
      <c r="S49" s="198"/>
      <c r="T49" s="198"/>
      <c r="U49" s="198"/>
    </row>
    <row r="50" spans="1:21" s="12" customFormat="1" x14ac:dyDescent="0.25">
      <c r="A50" s="211" t="s">
        <v>1726</v>
      </c>
      <c r="B50" s="64">
        <v>6.96</v>
      </c>
      <c r="C50" s="64">
        <v>14.24</v>
      </c>
      <c r="D50" s="64">
        <v>13.02</v>
      </c>
      <c r="E50" s="64">
        <v>3.66</v>
      </c>
      <c r="F50" s="64">
        <v>3.4</v>
      </c>
      <c r="G50" s="64">
        <v>22.56</v>
      </c>
      <c r="H50" s="64">
        <v>6.95</v>
      </c>
      <c r="I50" s="64">
        <v>0.85</v>
      </c>
      <c r="J50" s="64">
        <v>0.28000000000000003</v>
      </c>
      <c r="K50" s="64">
        <v>281.33999999999997</v>
      </c>
      <c r="L50" s="64">
        <v>26.35</v>
      </c>
      <c r="M50" s="64">
        <v>89.77</v>
      </c>
      <c r="N50" s="64">
        <v>301.3</v>
      </c>
      <c r="O50" s="64">
        <v>0</v>
      </c>
      <c r="P50" s="64">
        <v>0.32</v>
      </c>
      <c r="Q50" s="64">
        <v>9.09</v>
      </c>
      <c r="R50" s="198"/>
      <c r="S50" s="198"/>
      <c r="T50" s="198"/>
      <c r="U50" s="198"/>
    </row>
    <row r="51" spans="1:21" s="12" customFormat="1" x14ac:dyDescent="0.25">
      <c r="A51" s="211" t="s">
        <v>1727</v>
      </c>
      <c r="B51" s="64">
        <v>6.81</v>
      </c>
      <c r="C51" s="64">
        <v>14.65</v>
      </c>
      <c r="D51" s="64">
        <v>13.12</v>
      </c>
      <c r="E51" s="64">
        <v>3.71</v>
      </c>
      <c r="F51" s="64">
        <v>5.21</v>
      </c>
      <c r="G51" s="64">
        <v>26.07</v>
      </c>
      <c r="H51" s="64">
        <v>5.54</v>
      </c>
      <c r="I51" s="64">
        <v>0.83</v>
      </c>
      <c r="J51" s="64">
        <v>0.16</v>
      </c>
      <c r="K51" s="64">
        <v>272.61</v>
      </c>
      <c r="L51" s="64">
        <v>26.33</v>
      </c>
      <c r="M51" s="64">
        <v>90.84</v>
      </c>
      <c r="N51" s="64">
        <v>244.5</v>
      </c>
      <c r="O51" s="64">
        <v>0</v>
      </c>
      <c r="P51" s="64">
        <v>0.32</v>
      </c>
      <c r="Q51" s="64">
        <v>9.09</v>
      </c>
      <c r="R51" s="198"/>
      <c r="S51" s="198"/>
      <c r="T51" s="198"/>
      <c r="U51" s="198"/>
    </row>
    <row r="52" spans="1:21" s="12" customFormat="1" x14ac:dyDescent="0.25">
      <c r="A52" s="211" t="s">
        <v>1728</v>
      </c>
      <c r="B52" s="64">
        <v>6.14</v>
      </c>
      <c r="C52" s="64">
        <v>14.43</v>
      </c>
      <c r="D52" s="64">
        <v>12.46</v>
      </c>
      <c r="E52" s="64">
        <v>3.46</v>
      </c>
      <c r="F52" s="64">
        <v>5.07</v>
      </c>
      <c r="G52" s="64">
        <v>27.21</v>
      </c>
      <c r="H52" s="64">
        <v>5.08</v>
      </c>
      <c r="I52" s="64">
        <v>0.83</v>
      </c>
      <c r="J52" s="64">
        <v>0.16</v>
      </c>
      <c r="K52" s="64">
        <v>281.45</v>
      </c>
      <c r="L52" s="64">
        <v>26.33</v>
      </c>
      <c r="M52" s="64">
        <v>91.84</v>
      </c>
      <c r="N52" s="64">
        <v>268.8</v>
      </c>
      <c r="O52" s="64">
        <v>0</v>
      </c>
      <c r="P52" s="64">
        <v>0.3</v>
      </c>
      <c r="Q52" s="64">
        <v>9.08</v>
      </c>
      <c r="R52" s="198"/>
      <c r="S52" s="198"/>
      <c r="T52" s="198"/>
      <c r="U52" s="198"/>
    </row>
    <row r="53" spans="1:21" s="12" customFormat="1" x14ac:dyDescent="0.25">
      <c r="A53" s="211" t="s">
        <v>1729</v>
      </c>
      <c r="B53" s="64">
        <v>7.1</v>
      </c>
      <c r="C53" s="64">
        <v>16.07</v>
      </c>
      <c r="D53" s="64">
        <v>14.08</v>
      </c>
      <c r="E53" s="64">
        <v>3.69</v>
      </c>
      <c r="F53" s="64">
        <v>5.63</v>
      </c>
      <c r="G53" s="64">
        <v>27.21</v>
      </c>
      <c r="H53" s="64">
        <v>5.08</v>
      </c>
      <c r="I53" s="64">
        <v>0.83</v>
      </c>
      <c r="J53" s="64">
        <v>0.21</v>
      </c>
      <c r="K53" s="64">
        <v>269.52999999999997</v>
      </c>
      <c r="L53" s="64">
        <v>26.38</v>
      </c>
      <c r="M53" s="64">
        <v>90.82</v>
      </c>
      <c r="N53" s="64">
        <v>142.69999999999999</v>
      </c>
      <c r="O53" s="64">
        <v>0</v>
      </c>
      <c r="P53" s="64">
        <v>0.32</v>
      </c>
      <c r="Q53" s="64">
        <v>9.08</v>
      </c>
      <c r="R53" s="198"/>
      <c r="S53" s="198"/>
      <c r="T53" s="198"/>
      <c r="U53" s="198"/>
    </row>
    <row r="54" spans="1:21" s="12" customFormat="1" x14ac:dyDescent="0.25">
      <c r="A54" s="211" t="s">
        <v>1730</v>
      </c>
      <c r="B54" s="64">
        <v>6.23</v>
      </c>
      <c r="C54" s="64">
        <v>14.63</v>
      </c>
      <c r="D54" s="64">
        <v>12.64</v>
      </c>
      <c r="E54" s="64">
        <v>3.89</v>
      </c>
      <c r="F54" s="64">
        <v>4.6100000000000003</v>
      </c>
      <c r="G54" s="64">
        <v>27.21</v>
      </c>
      <c r="H54" s="64">
        <v>5.08</v>
      </c>
      <c r="I54" s="64">
        <v>0.83</v>
      </c>
      <c r="J54" s="64">
        <v>0.18</v>
      </c>
      <c r="K54" s="64">
        <v>281.19</v>
      </c>
      <c r="L54" s="64">
        <v>26.14</v>
      </c>
      <c r="M54" s="64">
        <v>91.43</v>
      </c>
      <c r="N54" s="64">
        <v>268.60000000000002</v>
      </c>
      <c r="O54" s="64">
        <v>0</v>
      </c>
      <c r="P54" s="64">
        <v>0.32</v>
      </c>
      <c r="Q54" s="64">
        <v>9.06</v>
      </c>
      <c r="R54" s="198"/>
      <c r="S54" s="198"/>
      <c r="T54" s="198"/>
      <c r="U54" s="198"/>
    </row>
    <row r="55" spans="1:21" s="12" customFormat="1" x14ac:dyDescent="0.25">
      <c r="A55" s="211" t="s">
        <v>1731</v>
      </c>
      <c r="B55" s="64">
        <v>5.95</v>
      </c>
      <c r="C55" s="64">
        <v>14.17</v>
      </c>
      <c r="D55" s="64">
        <v>12.18</v>
      </c>
      <c r="E55" s="64">
        <v>3.93</v>
      </c>
      <c r="F55" s="64">
        <v>3.23</v>
      </c>
      <c r="G55" s="64">
        <v>28.23</v>
      </c>
      <c r="H55" s="64">
        <v>6.41</v>
      </c>
      <c r="I55" s="64">
        <v>0.84</v>
      </c>
      <c r="J55" s="64">
        <v>0.27</v>
      </c>
      <c r="K55" s="64">
        <v>275.88</v>
      </c>
      <c r="L55" s="64">
        <v>26.61</v>
      </c>
      <c r="M55" s="64">
        <v>88.31</v>
      </c>
      <c r="N55" s="64">
        <v>331.4</v>
      </c>
      <c r="O55" s="64">
        <v>0</v>
      </c>
      <c r="P55" s="64">
        <v>0.31</v>
      </c>
      <c r="Q55" s="64">
        <v>9.06</v>
      </c>
      <c r="R55" s="198"/>
      <c r="S55" s="198"/>
      <c r="T55" s="198"/>
      <c r="U55" s="198"/>
    </row>
    <row r="56" spans="1:21" s="12" customFormat="1" x14ac:dyDescent="0.25">
      <c r="A56" s="211" t="s">
        <v>1732</v>
      </c>
      <c r="B56" s="64">
        <v>5.63</v>
      </c>
      <c r="C56" s="64">
        <v>13.83</v>
      </c>
      <c r="D56" s="64">
        <v>11.74</v>
      </c>
      <c r="E56" s="64">
        <v>3.88</v>
      </c>
      <c r="F56" s="64">
        <v>4.24</v>
      </c>
      <c r="G56" s="64">
        <v>28.56</v>
      </c>
      <c r="H56" s="64">
        <v>6.84</v>
      </c>
      <c r="I56" s="64">
        <v>0.82</v>
      </c>
      <c r="J56" s="64">
        <v>0.27</v>
      </c>
      <c r="K56" s="64">
        <v>278.37</v>
      </c>
      <c r="L56" s="64">
        <v>26.64</v>
      </c>
      <c r="M56" s="64">
        <v>87.21</v>
      </c>
      <c r="N56" s="64">
        <v>321.10000000000002</v>
      </c>
      <c r="O56" s="64">
        <v>0</v>
      </c>
      <c r="P56" s="64">
        <v>0.31</v>
      </c>
      <c r="Q56" s="64">
        <v>9.0399999999999991</v>
      </c>
      <c r="R56" s="198"/>
      <c r="S56" s="198"/>
      <c r="T56" s="198"/>
      <c r="U56" s="198"/>
    </row>
    <row r="57" spans="1:21" s="12" customFormat="1" x14ac:dyDescent="0.25">
      <c r="A57" s="211" t="s">
        <v>1733</v>
      </c>
      <c r="B57" s="64">
        <v>5.4</v>
      </c>
      <c r="C57" s="64">
        <v>13.8</v>
      </c>
      <c r="D57" s="64">
        <v>11.54</v>
      </c>
      <c r="E57" s="64">
        <v>3.82</v>
      </c>
      <c r="F57" s="64">
        <v>3.95</v>
      </c>
      <c r="G57" s="64">
        <v>28.56</v>
      </c>
      <c r="H57" s="64">
        <v>6.84</v>
      </c>
      <c r="I57" s="64">
        <v>0.8</v>
      </c>
      <c r="J57" s="64">
        <v>0.28000000000000003</v>
      </c>
      <c r="K57" s="64">
        <v>280.14</v>
      </c>
      <c r="L57" s="64">
        <v>26.71</v>
      </c>
      <c r="M57" s="64">
        <v>86.53</v>
      </c>
      <c r="N57" s="64">
        <v>333.9</v>
      </c>
      <c r="O57" s="64">
        <v>0</v>
      </c>
      <c r="P57" s="64">
        <v>0.28999999999999998</v>
      </c>
      <c r="Q57" s="64">
        <v>9.0299999999999994</v>
      </c>
      <c r="R57" s="198"/>
      <c r="S57" s="198"/>
      <c r="T57" s="198"/>
      <c r="U57" s="198"/>
    </row>
    <row r="58" spans="1:21" s="12" customFormat="1" x14ac:dyDescent="0.25">
      <c r="A58" s="211" t="s">
        <v>1734</v>
      </c>
      <c r="B58" s="64">
        <v>5.17</v>
      </c>
      <c r="C58" s="64">
        <v>13.9</v>
      </c>
      <c r="D58" s="64">
        <v>11.41</v>
      </c>
      <c r="E58" s="64">
        <v>3.37</v>
      </c>
      <c r="F58" s="64">
        <v>4.4400000000000004</v>
      </c>
      <c r="G58" s="64">
        <v>28.56</v>
      </c>
      <c r="H58" s="64">
        <v>6.84</v>
      </c>
      <c r="I58" s="64">
        <v>0.79</v>
      </c>
      <c r="J58" s="64">
        <v>0.26</v>
      </c>
      <c r="K58" s="64">
        <v>267.5</v>
      </c>
      <c r="L58" s="64">
        <v>26.36</v>
      </c>
      <c r="M58" s="64">
        <v>87.59</v>
      </c>
      <c r="N58" s="64">
        <v>301.60000000000002</v>
      </c>
      <c r="O58" s="64">
        <v>0</v>
      </c>
      <c r="P58" s="64">
        <v>0.3</v>
      </c>
      <c r="Q58" s="64">
        <v>9.02</v>
      </c>
      <c r="R58" s="198"/>
      <c r="S58" s="198"/>
      <c r="T58" s="198"/>
      <c r="U58" s="198"/>
    </row>
    <row r="59" spans="1:21" s="12" customFormat="1" x14ac:dyDescent="0.25">
      <c r="A59" s="211" t="s">
        <v>1735</v>
      </c>
      <c r="B59" s="64">
        <v>4.96</v>
      </c>
      <c r="C59" s="64">
        <v>13.85</v>
      </c>
      <c r="D59" s="64">
        <v>11.22</v>
      </c>
      <c r="E59" s="64">
        <v>3.73</v>
      </c>
      <c r="F59" s="64">
        <v>3.55</v>
      </c>
      <c r="G59" s="64">
        <v>26.1</v>
      </c>
      <c r="H59" s="64">
        <v>5.67</v>
      </c>
      <c r="I59" s="64">
        <v>0.77</v>
      </c>
      <c r="J59" s="64">
        <v>0.28000000000000003</v>
      </c>
      <c r="K59" s="64">
        <v>276.04000000000002</v>
      </c>
      <c r="L59" s="64">
        <v>26.44</v>
      </c>
      <c r="M59" s="64">
        <v>86.88</v>
      </c>
      <c r="N59" s="64">
        <v>300.3</v>
      </c>
      <c r="O59" s="64">
        <v>0</v>
      </c>
      <c r="P59" s="64">
        <v>0.28000000000000003</v>
      </c>
      <c r="Q59" s="64">
        <v>9.01</v>
      </c>
      <c r="R59" s="198"/>
      <c r="S59" s="198"/>
      <c r="T59" s="198"/>
      <c r="U59" s="198"/>
    </row>
    <row r="60" spans="1:21" s="12" customFormat="1" x14ac:dyDescent="0.25">
      <c r="A60" s="211" t="s">
        <v>1736</v>
      </c>
      <c r="B60" s="64">
        <v>4.8</v>
      </c>
      <c r="C60" s="64">
        <v>13.83</v>
      </c>
      <c r="D60" s="64">
        <v>11.08</v>
      </c>
      <c r="E60" s="64">
        <v>3.44</v>
      </c>
      <c r="F60" s="64">
        <v>4.8499999999999996</v>
      </c>
      <c r="G60" s="64">
        <v>25.3</v>
      </c>
      <c r="H60" s="64">
        <v>5.29</v>
      </c>
      <c r="I60" s="64">
        <v>0.75</v>
      </c>
      <c r="J60" s="64">
        <v>0.27</v>
      </c>
      <c r="K60" s="64">
        <v>277.8</v>
      </c>
      <c r="L60" s="64">
        <v>26.74</v>
      </c>
      <c r="M60" s="64">
        <v>85.43</v>
      </c>
      <c r="N60" s="64">
        <v>345.9</v>
      </c>
      <c r="O60" s="64">
        <v>0</v>
      </c>
      <c r="P60" s="64">
        <v>0.27</v>
      </c>
      <c r="Q60" s="64">
        <v>9</v>
      </c>
      <c r="R60" s="198"/>
      <c r="S60" s="198"/>
      <c r="T60" s="198"/>
      <c r="U60" s="198"/>
    </row>
    <row r="61" spans="1:21" s="12" customFormat="1" x14ac:dyDescent="0.25">
      <c r="A61" s="211" t="s">
        <v>1737</v>
      </c>
      <c r="B61" s="64">
        <v>4.93</v>
      </c>
      <c r="C61" s="64">
        <v>14.03</v>
      </c>
      <c r="D61" s="64">
        <v>11.28</v>
      </c>
      <c r="E61" s="64">
        <v>3.86</v>
      </c>
      <c r="F61" s="64">
        <v>3.4</v>
      </c>
      <c r="G61" s="64">
        <v>25.3</v>
      </c>
      <c r="H61" s="64">
        <v>5.29</v>
      </c>
      <c r="I61" s="64">
        <v>0.73</v>
      </c>
      <c r="J61" s="64">
        <v>0.23</v>
      </c>
      <c r="K61" s="64">
        <v>285.93</v>
      </c>
      <c r="L61" s="64">
        <v>27.23</v>
      </c>
      <c r="M61" s="64">
        <v>83.57</v>
      </c>
      <c r="N61" s="64">
        <v>319</v>
      </c>
      <c r="O61" s="64">
        <v>0</v>
      </c>
      <c r="P61" s="64">
        <v>0.21</v>
      </c>
      <c r="Q61" s="64">
        <v>8.99</v>
      </c>
      <c r="R61" s="198"/>
      <c r="S61" s="198"/>
      <c r="T61" s="198"/>
      <c r="U61" s="198"/>
    </row>
    <row r="62" spans="1:21" s="12" customFormat="1" x14ac:dyDescent="0.25">
      <c r="A62" s="211" t="s">
        <v>1738</v>
      </c>
      <c r="B62" s="64">
        <v>4.78</v>
      </c>
      <c r="C62" s="64">
        <v>14.03</v>
      </c>
      <c r="D62" s="64">
        <v>11.16</v>
      </c>
      <c r="E62" s="64">
        <v>4.04</v>
      </c>
      <c r="F62" s="64">
        <v>5.29</v>
      </c>
      <c r="G62" s="64">
        <v>25.3</v>
      </c>
      <c r="H62" s="64">
        <v>5.29</v>
      </c>
      <c r="I62" s="64">
        <v>0.72</v>
      </c>
      <c r="J62" s="64">
        <v>0.21</v>
      </c>
      <c r="K62" s="64">
        <v>255.29</v>
      </c>
      <c r="L62" s="64">
        <v>27.08</v>
      </c>
      <c r="M62" s="64">
        <v>84.73</v>
      </c>
      <c r="N62" s="64">
        <v>296.7</v>
      </c>
      <c r="O62" s="64">
        <v>0</v>
      </c>
      <c r="P62" s="64">
        <v>0.23</v>
      </c>
      <c r="Q62" s="64">
        <v>9</v>
      </c>
      <c r="R62" s="198"/>
      <c r="S62" s="198"/>
      <c r="T62" s="198"/>
      <c r="U62" s="198"/>
    </row>
    <row r="63" spans="1:21" s="12" customFormat="1" x14ac:dyDescent="0.25">
      <c r="A63" s="211" t="s">
        <v>1739</v>
      </c>
      <c r="B63" s="64">
        <v>4.58</v>
      </c>
      <c r="C63" s="64">
        <v>13.88</v>
      </c>
      <c r="D63" s="64">
        <v>10.92</v>
      </c>
      <c r="E63" s="64">
        <v>3.91</v>
      </c>
      <c r="F63" s="64">
        <v>3.62</v>
      </c>
      <c r="G63" s="64">
        <v>27.72</v>
      </c>
      <c r="H63" s="64">
        <v>5.44</v>
      </c>
      <c r="I63" s="64">
        <v>0.7</v>
      </c>
      <c r="J63" s="64">
        <v>0.22</v>
      </c>
      <c r="K63" s="64">
        <v>281.47000000000003</v>
      </c>
      <c r="L63" s="64">
        <v>27.08</v>
      </c>
      <c r="M63" s="64">
        <v>83.75</v>
      </c>
      <c r="N63" s="64">
        <v>258.2</v>
      </c>
      <c r="O63" s="64">
        <v>0</v>
      </c>
      <c r="P63" s="64">
        <v>0.22</v>
      </c>
      <c r="Q63" s="64">
        <v>8.99</v>
      </c>
      <c r="R63" s="198"/>
      <c r="S63" s="198"/>
      <c r="T63" s="198"/>
      <c r="U63" s="198"/>
    </row>
    <row r="64" spans="1:21" s="12" customFormat="1" x14ac:dyDescent="0.25">
      <c r="A64" s="211" t="s">
        <v>1740</v>
      </c>
      <c r="B64" s="64">
        <v>4.5</v>
      </c>
      <c r="C64" s="64">
        <v>13.93</v>
      </c>
      <c r="D64" s="64">
        <v>10.89</v>
      </c>
      <c r="E64" s="64">
        <v>3.78</v>
      </c>
      <c r="F64" s="64">
        <v>4.42</v>
      </c>
      <c r="G64" s="64">
        <v>28.51</v>
      </c>
      <c r="H64" s="64">
        <v>5.49</v>
      </c>
      <c r="I64" s="64">
        <v>0.69</v>
      </c>
      <c r="J64" s="64">
        <v>0.25</v>
      </c>
      <c r="K64" s="64">
        <v>264.62</v>
      </c>
      <c r="L64" s="64">
        <v>26.93</v>
      </c>
      <c r="M64" s="64">
        <v>84.39</v>
      </c>
      <c r="N64" s="64">
        <v>231.8</v>
      </c>
      <c r="O64" s="64">
        <v>0</v>
      </c>
      <c r="P64" s="64">
        <v>0.22</v>
      </c>
      <c r="Q64" s="64">
        <v>8.99</v>
      </c>
      <c r="R64" s="198"/>
      <c r="S64" s="198"/>
      <c r="T64" s="198"/>
      <c r="U64" s="198"/>
    </row>
    <row r="65" spans="1:21" s="12" customFormat="1" x14ac:dyDescent="0.25">
      <c r="A65" s="211" t="s">
        <v>1741</v>
      </c>
      <c r="B65" s="64">
        <v>4.4400000000000004</v>
      </c>
      <c r="C65" s="64">
        <v>14.45</v>
      </c>
      <c r="D65" s="64">
        <v>11.11</v>
      </c>
      <c r="E65" s="64">
        <v>3.27</v>
      </c>
      <c r="F65" s="64">
        <v>4.82</v>
      </c>
      <c r="G65" s="64">
        <v>28.51</v>
      </c>
      <c r="H65" s="64">
        <v>5.49</v>
      </c>
      <c r="I65" s="64">
        <v>0.68</v>
      </c>
      <c r="J65" s="64">
        <v>0.27</v>
      </c>
      <c r="K65" s="64">
        <v>291.06</v>
      </c>
      <c r="L65" s="64">
        <v>26.95</v>
      </c>
      <c r="M65" s="64">
        <v>83.76</v>
      </c>
      <c r="N65" s="64">
        <v>244.9</v>
      </c>
      <c r="O65" s="64">
        <v>0</v>
      </c>
      <c r="P65" s="64">
        <v>0.22</v>
      </c>
      <c r="Q65" s="64">
        <v>9</v>
      </c>
      <c r="R65" s="198"/>
      <c r="S65" s="198"/>
      <c r="T65" s="198"/>
      <c r="U65" s="198"/>
    </row>
    <row r="66" spans="1:21" s="12" customFormat="1" x14ac:dyDescent="0.25">
      <c r="A66" s="211" t="s">
        <v>1742</v>
      </c>
      <c r="B66" s="64">
        <v>4.92</v>
      </c>
      <c r="C66" s="64">
        <v>15.38</v>
      </c>
      <c r="D66" s="64">
        <v>11.98</v>
      </c>
      <c r="E66" s="64">
        <v>3.37</v>
      </c>
      <c r="F66" s="64">
        <v>5.03</v>
      </c>
      <c r="G66" s="64">
        <v>28.51</v>
      </c>
      <c r="H66" s="64">
        <v>5.49</v>
      </c>
      <c r="I66" s="64">
        <v>0.65</v>
      </c>
      <c r="J66" s="64">
        <v>0.42</v>
      </c>
      <c r="K66" s="64">
        <v>284.99</v>
      </c>
      <c r="L66" s="64">
        <v>27.25</v>
      </c>
      <c r="M66" s="64">
        <v>81.010000000000005</v>
      </c>
      <c r="N66" s="64">
        <v>281.7</v>
      </c>
      <c r="O66" s="64">
        <v>0</v>
      </c>
      <c r="P66" s="64">
        <v>0.22</v>
      </c>
      <c r="Q66" s="64">
        <v>9.01</v>
      </c>
      <c r="R66" s="198"/>
      <c r="S66" s="198"/>
      <c r="T66" s="198"/>
      <c r="U66" s="198"/>
    </row>
    <row r="67" spans="1:21" s="12" customFormat="1" x14ac:dyDescent="0.25">
      <c r="A67" s="211" t="s">
        <v>1743</v>
      </c>
      <c r="B67" s="64">
        <v>5.14</v>
      </c>
      <c r="C67" s="64">
        <v>16.52</v>
      </c>
      <c r="D67" s="64">
        <v>12.75</v>
      </c>
      <c r="E67" s="64">
        <v>3.53</v>
      </c>
      <c r="F67" s="64">
        <v>5.13</v>
      </c>
      <c r="G67" s="64">
        <v>28.88</v>
      </c>
      <c r="H67" s="64">
        <v>7.21</v>
      </c>
      <c r="I67" s="64">
        <v>0.64</v>
      </c>
      <c r="J67" s="64">
        <v>0.38</v>
      </c>
      <c r="K67" s="64">
        <v>288.12</v>
      </c>
      <c r="L67" s="64">
        <v>27.32</v>
      </c>
      <c r="M67" s="64">
        <v>80.31</v>
      </c>
      <c r="N67" s="64">
        <v>243.9</v>
      </c>
      <c r="O67" s="64">
        <v>0</v>
      </c>
      <c r="P67" s="64">
        <v>0.22</v>
      </c>
      <c r="Q67" s="64">
        <v>9.0399999999999991</v>
      </c>
      <c r="R67" s="198"/>
      <c r="S67" s="198"/>
      <c r="T67" s="198"/>
      <c r="U67" s="198"/>
    </row>
    <row r="68" spans="1:21" s="12" customFormat="1" x14ac:dyDescent="0.25">
      <c r="A68" s="211" t="s">
        <v>1744</v>
      </c>
      <c r="B68" s="64">
        <v>5.0599999999999996</v>
      </c>
      <c r="C68" s="64">
        <v>16.84</v>
      </c>
      <c r="D68" s="64">
        <v>12.85</v>
      </c>
      <c r="E68" s="64">
        <v>3.38</v>
      </c>
      <c r="F68" s="64">
        <v>4.6399999999999997</v>
      </c>
      <c r="G68" s="64">
        <v>29</v>
      </c>
      <c r="H68" s="64">
        <v>7.76</v>
      </c>
      <c r="I68" s="64">
        <v>0.63</v>
      </c>
      <c r="J68" s="64">
        <v>0.28999999999999998</v>
      </c>
      <c r="K68" s="64">
        <v>288.42</v>
      </c>
      <c r="L68" s="64">
        <v>27.16</v>
      </c>
      <c r="M68" s="64">
        <v>81.92</v>
      </c>
      <c r="N68" s="64">
        <v>219.9</v>
      </c>
      <c r="O68" s="64">
        <v>0</v>
      </c>
      <c r="P68" s="64">
        <v>0.23</v>
      </c>
      <c r="Q68" s="64">
        <v>9.0500000000000007</v>
      </c>
      <c r="R68" s="198"/>
      <c r="S68" s="198"/>
      <c r="T68" s="198"/>
      <c r="U68" s="198"/>
    </row>
    <row r="69" spans="1:21" s="12" customFormat="1" x14ac:dyDescent="0.25">
      <c r="A69" s="211" t="s">
        <v>1745</v>
      </c>
      <c r="B69" s="64">
        <v>5.17</v>
      </c>
      <c r="C69" s="64">
        <v>17.21</v>
      </c>
      <c r="D69" s="64">
        <v>13.14</v>
      </c>
      <c r="E69" s="64">
        <v>3.4</v>
      </c>
      <c r="F69" s="64">
        <v>5.25</v>
      </c>
      <c r="G69" s="64">
        <v>29</v>
      </c>
      <c r="H69" s="64">
        <v>7.76</v>
      </c>
      <c r="I69" s="64">
        <v>0.63</v>
      </c>
      <c r="J69" s="64">
        <v>0.28999999999999998</v>
      </c>
      <c r="K69" s="64">
        <v>283.62</v>
      </c>
      <c r="L69" s="64">
        <v>27</v>
      </c>
      <c r="M69" s="64">
        <v>82.48</v>
      </c>
      <c r="N69" s="64">
        <v>181.1</v>
      </c>
      <c r="O69" s="64">
        <v>0</v>
      </c>
      <c r="P69" s="64">
        <v>0.23</v>
      </c>
      <c r="Q69" s="64">
        <v>9.06</v>
      </c>
      <c r="R69" s="198"/>
      <c r="S69" s="198"/>
      <c r="T69" s="198"/>
      <c r="U69" s="198"/>
    </row>
    <row r="70" spans="1:21" s="12" customFormat="1" x14ac:dyDescent="0.25">
      <c r="A70" s="211" t="s">
        <v>1746</v>
      </c>
      <c r="B70" s="64">
        <v>5.2</v>
      </c>
      <c r="C70" s="64">
        <v>17.48</v>
      </c>
      <c r="D70" s="64">
        <v>13.31</v>
      </c>
      <c r="E70" s="64">
        <v>3.75</v>
      </c>
      <c r="F70" s="64">
        <v>4.6100000000000003</v>
      </c>
      <c r="G70" s="64">
        <v>29</v>
      </c>
      <c r="H70" s="64">
        <v>7.76</v>
      </c>
      <c r="I70" s="64">
        <v>0.64</v>
      </c>
      <c r="J70" s="64">
        <v>0.28000000000000003</v>
      </c>
      <c r="K70" s="64">
        <v>286.95</v>
      </c>
      <c r="L70" s="64">
        <v>26.97</v>
      </c>
      <c r="M70" s="64">
        <v>82.55</v>
      </c>
      <c r="N70" s="64">
        <v>179.9</v>
      </c>
      <c r="O70" s="64">
        <v>0</v>
      </c>
      <c r="P70" s="64">
        <v>0.24</v>
      </c>
      <c r="Q70" s="64">
        <v>9.06</v>
      </c>
      <c r="R70" s="198"/>
      <c r="S70" s="198"/>
      <c r="T70" s="198"/>
      <c r="U70" s="198"/>
    </row>
    <row r="71" spans="1:21" s="12" customFormat="1" x14ac:dyDescent="0.25">
      <c r="A71" s="211" t="s">
        <v>1747</v>
      </c>
      <c r="B71" s="64">
        <v>5.21</v>
      </c>
      <c r="C71" s="64">
        <v>17.04</v>
      </c>
      <c r="D71" s="64">
        <v>13.08</v>
      </c>
      <c r="E71" s="64">
        <v>3.5</v>
      </c>
      <c r="F71" s="64">
        <v>4.53</v>
      </c>
      <c r="G71" s="64">
        <v>32.15</v>
      </c>
      <c r="H71" s="64">
        <v>8.86</v>
      </c>
      <c r="I71" s="64">
        <v>0.65</v>
      </c>
      <c r="J71" s="64">
        <v>0.2</v>
      </c>
      <c r="K71" s="64">
        <v>295.51</v>
      </c>
      <c r="L71" s="64">
        <v>27.05</v>
      </c>
      <c r="M71" s="64">
        <v>81.430000000000007</v>
      </c>
      <c r="N71" s="64">
        <v>174.3</v>
      </c>
      <c r="O71" s="64">
        <v>0</v>
      </c>
      <c r="P71" s="64">
        <v>0.24</v>
      </c>
      <c r="Q71" s="64">
        <v>9.07</v>
      </c>
      <c r="R71" s="198"/>
      <c r="S71" s="198"/>
      <c r="T71" s="198"/>
      <c r="U71" s="198"/>
    </row>
    <row r="72" spans="1:21" s="12" customFormat="1" x14ac:dyDescent="0.25">
      <c r="A72" s="211" t="s">
        <v>1748</v>
      </c>
      <c r="B72" s="64">
        <v>5.15</v>
      </c>
      <c r="C72" s="64">
        <v>16.32</v>
      </c>
      <c r="D72" s="64">
        <v>12.66</v>
      </c>
      <c r="E72" s="64">
        <v>4.43</v>
      </c>
      <c r="F72" s="64">
        <v>4.66</v>
      </c>
      <c r="G72" s="64">
        <v>33.11</v>
      </c>
      <c r="H72" s="64">
        <v>9.2200000000000006</v>
      </c>
      <c r="I72" s="64">
        <v>0.66</v>
      </c>
      <c r="J72" s="64">
        <v>0.26</v>
      </c>
      <c r="K72" s="64">
        <v>296</v>
      </c>
      <c r="L72" s="64">
        <v>27</v>
      </c>
      <c r="M72" s="64">
        <v>81.23</v>
      </c>
      <c r="N72" s="64">
        <v>175.9</v>
      </c>
      <c r="O72" s="64">
        <v>0</v>
      </c>
      <c r="P72" s="64">
        <v>0.25</v>
      </c>
      <c r="Q72" s="64">
        <v>9.06</v>
      </c>
      <c r="R72" s="198"/>
      <c r="S72" s="198"/>
      <c r="T72" s="198"/>
      <c r="U72" s="198"/>
    </row>
    <row r="73" spans="1:21" s="12" customFormat="1" x14ac:dyDescent="0.25">
      <c r="A73" s="211" t="s">
        <v>1749</v>
      </c>
      <c r="B73" s="64">
        <v>5.75</v>
      </c>
      <c r="C73" s="64">
        <v>14.9</v>
      </c>
      <c r="D73" s="64">
        <v>12.4</v>
      </c>
      <c r="E73" s="64">
        <v>4.42</v>
      </c>
      <c r="F73" s="64">
        <v>3.47</v>
      </c>
      <c r="G73" s="64">
        <v>33.11</v>
      </c>
      <c r="H73" s="64">
        <v>9.2200000000000006</v>
      </c>
      <c r="I73" s="64">
        <v>0.67</v>
      </c>
      <c r="J73" s="64">
        <v>0.21</v>
      </c>
      <c r="K73" s="64">
        <v>281.85000000000002</v>
      </c>
      <c r="L73" s="64">
        <v>27.12</v>
      </c>
      <c r="M73" s="64">
        <v>81.11</v>
      </c>
      <c r="N73" s="64">
        <v>181.4</v>
      </c>
      <c r="O73" s="64">
        <v>0</v>
      </c>
      <c r="P73" s="64">
        <v>0.24</v>
      </c>
      <c r="Q73" s="64">
        <v>9.0500000000000007</v>
      </c>
      <c r="R73" s="198"/>
      <c r="S73" s="198"/>
      <c r="T73" s="198"/>
      <c r="U73" s="198"/>
    </row>
    <row r="74" spans="1:21" s="12" customFormat="1" x14ac:dyDescent="0.25">
      <c r="A74" s="211" t="s">
        <v>1750</v>
      </c>
      <c r="B74" s="64">
        <v>5.75</v>
      </c>
      <c r="C74" s="64">
        <v>14.27</v>
      </c>
      <c r="D74" s="64">
        <v>12.07</v>
      </c>
      <c r="E74" s="64">
        <v>4.3</v>
      </c>
      <c r="F74" s="64">
        <v>4.5599999999999996</v>
      </c>
      <c r="G74" s="64">
        <v>33.11</v>
      </c>
      <c r="H74" s="64">
        <v>9.2200000000000006</v>
      </c>
      <c r="I74" s="64">
        <v>0.67</v>
      </c>
      <c r="J74" s="64">
        <v>0.26</v>
      </c>
      <c r="K74" s="64">
        <v>304.42</v>
      </c>
      <c r="L74" s="64">
        <v>27.34</v>
      </c>
      <c r="M74" s="64">
        <v>79.45</v>
      </c>
      <c r="N74" s="64">
        <v>196.3</v>
      </c>
      <c r="O74" s="64">
        <v>0</v>
      </c>
      <c r="P74" s="64">
        <v>0.24</v>
      </c>
      <c r="Q74" s="64">
        <v>9.0500000000000007</v>
      </c>
      <c r="R74" s="198"/>
      <c r="S74" s="198"/>
      <c r="T74" s="198"/>
      <c r="U74" s="198"/>
    </row>
    <row r="75" spans="1:21" s="12" customFormat="1" x14ac:dyDescent="0.25">
      <c r="A75" s="211" t="s">
        <v>1751</v>
      </c>
      <c r="B75" s="64">
        <v>5.72</v>
      </c>
      <c r="C75" s="64">
        <v>15.94</v>
      </c>
      <c r="D75" s="64">
        <v>12.92</v>
      </c>
      <c r="E75" s="64">
        <v>4.33</v>
      </c>
      <c r="F75" s="64">
        <v>3.66</v>
      </c>
      <c r="G75" s="64">
        <v>34.450000000000003</v>
      </c>
      <c r="H75" s="64">
        <v>7.23</v>
      </c>
      <c r="I75" s="64">
        <v>0.67</v>
      </c>
      <c r="J75" s="64">
        <v>0.19</v>
      </c>
      <c r="K75" s="64">
        <v>303.31</v>
      </c>
      <c r="L75" s="64">
        <v>27.76</v>
      </c>
      <c r="M75" s="64">
        <v>77.94</v>
      </c>
      <c r="N75" s="64">
        <v>195.2</v>
      </c>
      <c r="O75" s="64">
        <v>0</v>
      </c>
      <c r="P75" s="64">
        <v>0.26</v>
      </c>
      <c r="Q75" s="64">
        <v>9.0500000000000007</v>
      </c>
      <c r="R75" s="198"/>
      <c r="S75" s="198"/>
      <c r="T75" s="198"/>
      <c r="U75" s="198"/>
    </row>
    <row r="76" spans="1:21" s="12" customFormat="1" x14ac:dyDescent="0.25">
      <c r="A76" s="211" t="s">
        <v>1752</v>
      </c>
      <c r="B76" s="64">
        <v>5.73</v>
      </c>
      <c r="C76" s="64">
        <v>15.91</v>
      </c>
      <c r="D76" s="64">
        <v>12.91</v>
      </c>
      <c r="E76" s="64">
        <v>4.2699999999999996</v>
      </c>
      <c r="F76" s="64">
        <v>4.25</v>
      </c>
      <c r="G76" s="64">
        <v>34.880000000000003</v>
      </c>
      <c r="H76" s="64">
        <v>6.58</v>
      </c>
      <c r="I76" s="64">
        <v>0.68</v>
      </c>
      <c r="J76" s="64">
        <v>0.19</v>
      </c>
      <c r="K76" s="64">
        <v>293.7</v>
      </c>
      <c r="L76" s="64">
        <v>28.04</v>
      </c>
      <c r="M76" s="64">
        <v>77.180000000000007</v>
      </c>
      <c r="N76" s="64">
        <v>169.8</v>
      </c>
      <c r="O76" s="64">
        <v>0</v>
      </c>
      <c r="P76" s="64">
        <v>0.26</v>
      </c>
      <c r="Q76" s="64">
        <v>9.0500000000000007</v>
      </c>
      <c r="R76" s="198"/>
      <c r="S76" s="198"/>
      <c r="T76" s="198"/>
      <c r="U76" s="198"/>
    </row>
    <row r="77" spans="1:21" s="12" customFormat="1" x14ac:dyDescent="0.25">
      <c r="A77" s="211" t="s">
        <v>1753</v>
      </c>
      <c r="B77" s="64">
        <v>5.49</v>
      </c>
      <c r="C77" s="64">
        <v>15.46</v>
      </c>
      <c r="D77" s="64">
        <v>12.48</v>
      </c>
      <c r="E77" s="64">
        <v>3.92</v>
      </c>
      <c r="F77" s="64">
        <v>4.3099999999999996</v>
      </c>
      <c r="G77" s="64">
        <v>34.880000000000003</v>
      </c>
      <c r="H77" s="64">
        <v>6.58</v>
      </c>
      <c r="I77" s="64">
        <v>0.7</v>
      </c>
      <c r="J77" s="64">
        <v>0.18</v>
      </c>
      <c r="K77" s="64">
        <v>301.17</v>
      </c>
      <c r="L77" s="64">
        <v>27.97</v>
      </c>
      <c r="M77" s="64">
        <v>76.09</v>
      </c>
      <c r="N77" s="64">
        <v>169.5</v>
      </c>
      <c r="O77" s="64">
        <v>0</v>
      </c>
      <c r="P77" s="64">
        <v>0.28000000000000003</v>
      </c>
      <c r="Q77" s="64">
        <v>9.0399999999999991</v>
      </c>
      <c r="R77" s="198"/>
      <c r="S77" s="198"/>
      <c r="T77" s="198"/>
      <c r="U77" s="198"/>
    </row>
    <row r="78" spans="1:21" s="12" customFormat="1" x14ac:dyDescent="0.25">
      <c r="A78" s="211" t="s">
        <v>1754</v>
      </c>
      <c r="B78" s="64">
        <v>5.73</v>
      </c>
      <c r="C78" s="64">
        <v>15.55</v>
      </c>
      <c r="D78" s="64">
        <v>12.72</v>
      </c>
      <c r="E78" s="64">
        <v>4.3</v>
      </c>
      <c r="F78" s="64">
        <v>3.63</v>
      </c>
      <c r="G78" s="64">
        <v>34.880000000000003</v>
      </c>
      <c r="H78" s="64">
        <v>6.58</v>
      </c>
      <c r="I78" s="64">
        <v>0.73</v>
      </c>
      <c r="J78" s="64">
        <v>0.2</v>
      </c>
      <c r="K78" s="64">
        <v>319.74</v>
      </c>
      <c r="L78" s="64">
        <v>28.02</v>
      </c>
      <c r="M78" s="64">
        <v>76.42</v>
      </c>
      <c r="N78" s="64">
        <v>137.30000000000001</v>
      </c>
      <c r="O78" s="64">
        <v>0</v>
      </c>
      <c r="P78" s="64">
        <v>0.28999999999999998</v>
      </c>
      <c r="Q78" s="64">
        <v>9.0500000000000007</v>
      </c>
      <c r="R78" s="198"/>
      <c r="S78" s="198"/>
      <c r="T78" s="198"/>
      <c r="U78" s="198"/>
    </row>
    <row r="79" spans="1:21" s="12" customFormat="1" x14ac:dyDescent="0.25">
      <c r="A79" s="211" t="s">
        <v>1755</v>
      </c>
      <c r="B79" s="64">
        <v>6.04</v>
      </c>
      <c r="C79" s="64">
        <v>16.96</v>
      </c>
      <c r="D79" s="64">
        <v>13.7</v>
      </c>
      <c r="E79" s="64">
        <v>4.4400000000000004</v>
      </c>
      <c r="F79" s="64">
        <v>4.4000000000000004</v>
      </c>
      <c r="G79" s="64">
        <v>35.380000000000003</v>
      </c>
      <c r="H79" s="64">
        <v>6.56</v>
      </c>
      <c r="I79" s="64">
        <v>0.79</v>
      </c>
      <c r="J79" s="64">
        <v>0.16</v>
      </c>
      <c r="K79" s="64">
        <v>334.43</v>
      </c>
      <c r="L79" s="64">
        <v>27.98</v>
      </c>
      <c r="M79" s="64">
        <v>75.98</v>
      </c>
      <c r="N79" s="64">
        <v>111.1</v>
      </c>
      <c r="O79" s="64">
        <v>0</v>
      </c>
      <c r="P79" s="64">
        <v>0.31</v>
      </c>
      <c r="Q79" s="64">
        <v>9.0399999999999991</v>
      </c>
      <c r="R79" s="198"/>
      <c r="S79" s="198"/>
      <c r="T79" s="198"/>
      <c r="U79" s="198"/>
    </row>
    <row r="80" spans="1:21" s="12" customFormat="1" x14ac:dyDescent="0.25">
      <c r="A80" s="211" t="s">
        <v>1756</v>
      </c>
      <c r="B80" s="64">
        <v>5.9</v>
      </c>
      <c r="C80" s="64">
        <v>16.399999999999999</v>
      </c>
      <c r="D80" s="64">
        <v>13.3</v>
      </c>
      <c r="E80" s="64">
        <v>4.28</v>
      </c>
      <c r="F80" s="64">
        <v>3.88</v>
      </c>
      <c r="G80" s="64">
        <v>35.53</v>
      </c>
      <c r="H80" s="64">
        <v>6.56</v>
      </c>
      <c r="I80" s="64">
        <v>0.84</v>
      </c>
      <c r="J80" s="64">
        <v>0.2</v>
      </c>
      <c r="K80" s="64">
        <v>345.07</v>
      </c>
      <c r="L80" s="64">
        <v>27.72</v>
      </c>
      <c r="M80" s="64">
        <v>76.069999999999993</v>
      </c>
      <c r="N80" s="64">
        <v>95.3</v>
      </c>
      <c r="O80" s="64">
        <v>0</v>
      </c>
      <c r="P80" s="64">
        <v>0.32</v>
      </c>
      <c r="Q80" s="64">
        <v>9.0500000000000007</v>
      </c>
      <c r="R80" s="198"/>
      <c r="S80" s="198"/>
      <c r="T80" s="198"/>
      <c r="U80" s="198"/>
    </row>
    <row r="81" spans="1:26" s="12" customFormat="1" x14ac:dyDescent="0.25">
      <c r="A81" s="211" t="s">
        <v>1757</v>
      </c>
      <c r="B81" s="64">
        <v>8.25</v>
      </c>
      <c r="C81" s="64">
        <v>17.190000000000001</v>
      </c>
      <c r="D81" s="64">
        <v>15.6</v>
      </c>
      <c r="E81" s="64">
        <v>4.5</v>
      </c>
      <c r="F81" s="64">
        <v>4.24</v>
      </c>
      <c r="G81" s="64">
        <v>35.53</v>
      </c>
      <c r="H81" s="64">
        <v>6.56</v>
      </c>
      <c r="I81" s="64">
        <v>0.87</v>
      </c>
      <c r="J81" s="64">
        <v>0.12</v>
      </c>
      <c r="K81" s="64">
        <v>341.34</v>
      </c>
      <c r="L81" s="64">
        <v>27.66</v>
      </c>
      <c r="M81" s="64">
        <v>77.7</v>
      </c>
      <c r="N81" s="64">
        <v>75.7</v>
      </c>
      <c r="O81" s="64">
        <v>0</v>
      </c>
      <c r="P81" s="64">
        <v>0.36</v>
      </c>
      <c r="Q81" s="64">
        <v>9.06</v>
      </c>
      <c r="R81" s="198"/>
      <c r="S81" s="198"/>
      <c r="T81" s="198"/>
      <c r="U81" s="198"/>
    </row>
    <row r="82" spans="1:26" s="12" customFormat="1" x14ac:dyDescent="0.25">
      <c r="A82" s="211" t="s">
        <v>1758</v>
      </c>
      <c r="B82" s="64">
        <v>9.14</v>
      </c>
      <c r="C82" s="64">
        <v>19.739999999999998</v>
      </c>
      <c r="D82" s="64">
        <v>17.649999999999999</v>
      </c>
      <c r="E82" s="64">
        <v>4.63</v>
      </c>
      <c r="F82" s="64">
        <v>7.17</v>
      </c>
      <c r="G82" s="64">
        <v>35.53</v>
      </c>
      <c r="H82" s="64">
        <v>6.56</v>
      </c>
      <c r="I82" s="64">
        <v>0.91</v>
      </c>
      <c r="J82" s="64">
        <v>0.17</v>
      </c>
      <c r="K82" s="64">
        <v>334.89</v>
      </c>
      <c r="L82" s="64">
        <v>27.45</v>
      </c>
      <c r="M82" s="64">
        <v>78.69</v>
      </c>
      <c r="N82" s="64">
        <v>64.2</v>
      </c>
      <c r="O82" s="64">
        <v>0</v>
      </c>
      <c r="P82" s="64">
        <v>0.4</v>
      </c>
      <c r="Q82" s="64">
        <v>9.08</v>
      </c>
      <c r="R82" s="198"/>
      <c r="S82" s="198"/>
      <c r="T82" s="198"/>
      <c r="U82" s="198"/>
    </row>
    <row r="83" spans="1:26" s="12" customFormat="1" x14ac:dyDescent="0.25">
      <c r="A83" s="211" t="s">
        <v>1759</v>
      </c>
      <c r="B83" s="64">
        <v>9.17</v>
      </c>
      <c r="C83" s="64">
        <v>21.6</v>
      </c>
      <c r="D83" s="64">
        <v>18.64</v>
      </c>
      <c r="E83" s="64">
        <v>4.25</v>
      </c>
      <c r="F83" s="64">
        <v>11.64</v>
      </c>
      <c r="G83" s="64">
        <v>39.83</v>
      </c>
      <c r="H83" s="64">
        <v>9.33</v>
      </c>
      <c r="I83" s="64">
        <v>0.94</v>
      </c>
      <c r="J83" s="64">
        <v>0.08</v>
      </c>
      <c r="K83" s="64">
        <v>345.6</v>
      </c>
      <c r="L83" s="64">
        <v>27.1</v>
      </c>
      <c r="M83" s="64">
        <v>80.87</v>
      </c>
      <c r="N83" s="64">
        <v>55.6</v>
      </c>
      <c r="O83" s="64">
        <v>0</v>
      </c>
      <c r="P83" s="64">
        <v>0.49</v>
      </c>
      <c r="Q83" s="64">
        <v>9.1</v>
      </c>
      <c r="R83" s="198"/>
      <c r="S83" s="198"/>
      <c r="T83" s="198"/>
      <c r="U83" s="198"/>
    </row>
    <row r="84" spans="1:26" s="12" customFormat="1" x14ac:dyDescent="0.25">
      <c r="A84" s="211" t="s">
        <v>1760</v>
      </c>
      <c r="B84" s="64">
        <v>14.02</v>
      </c>
      <c r="C84" s="64">
        <v>23.75</v>
      </c>
      <c r="D84" s="64">
        <v>23.65</v>
      </c>
      <c r="E84" s="64">
        <v>4.59</v>
      </c>
      <c r="F84" s="64">
        <v>9.43</v>
      </c>
      <c r="G84" s="64">
        <v>41.22</v>
      </c>
      <c r="H84" s="64">
        <v>10.18</v>
      </c>
      <c r="I84" s="64">
        <v>0.96</v>
      </c>
      <c r="J84" s="64">
        <v>0.14000000000000001</v>
      </c>
      <c r="K84" s="64">
        <v>329.54</v>
      </c>
      <c r="L84" s="64">
        <v>26.97</v>
      </c>
      <c r="M84" s="64">
        <v>82.33</v>
      </c>
      <c r="N84" s="64">
        <v>52.9</v>
      </c>
      <c r="O84" s="64">
        <v>0</v>
      </c>
      <c r="P84" s="64">
        <v>0.63</v>
      </c>
      <c r="Q84" s="64">
        <v>9.1199999999999992</v>
      </c>
      <c r="R84" s="198"/>
      <c r="S84" s="198"/>
      <c r="T84" s="198"/>
      <c r="U84" s="198"/>
    </row>
    <row r="85" spans="1:26" s="12" customFormat="1" x14ac:dyDescent="0.25">
      <c r="A85" s="211" t="s">
        <v>1761</v>
      </c>
      <c r="B85" s="64">
        <v>14.15</v>
      </c>
      <c r="C85" s="64">
        <v>24.53</v>
      </c>
      <c r="D85" s="64">
        <v>24.16</v>
      </c>
      <c r="E85" s="64">
        <v>4.8099999999999996</v>
      </c>
      <c r="F85" s="64">
        <v>9.8000000000000007</v>
      </c>
      <c r="G85" s="64">
        <v>41.22</v>
      </c>
      <c r="H85" s="64">
        <v>10.18</v>
      </c>
      <c r="I85" s="64">
        <v>1</v>
      </c>
      <c r="J85" s="64">
        <v>0.06</v>
      </c>
      <c r="K85" s="64">
        <v>352.99</v>
      </c>
      <c r="L85" s="64">
        <v>26.81</v>
      </c>
      <c r="M85" s="64">
        <v>83.48</v>
      </c>
      <c r="N85" s="64">
        <v>52.4</v>
      </c>
      <c r="O85" s="64">
        <v>0</v>
      </c>
      <c r="P85" s="64">
        <v>0.57999999999999996</v>
      </c>
      <c r="Q85" s="64">
        <v>9.15</v>
      </c>
      <c r="R85" s="198"/>
      <c r="S85" s="198"/>
      <c r="T85" s="198"/>
      <c r="U85" s="198"/>
    </row>
    <row r="86" spans="1:26" s="12" customFormat="1" x14ac:dyDescent="0.25">
      <c r="A86" s="211" t="s">
        <v>1762</v>
      </c>
      <c r="B86" s="64">
        <v>16.38</v>
      </c>
      <c r="C86" s="64">
        <v>24.96</v>
      </c>
      <c r="D86" s="64">
        <v>26.18</v>
      </c>
      <c r="E86" s="64">
        <v>4.7</v>
      </c>
      <c r="F86" s="64">
        <v>9.23</v>
      </c>
      <c r="G86" s="64">
        <v>41.22</v>
      </c>
      <c r="H86" s="64">
        <v>10.18</v>
      </c>
      <c r="I86" s="64">
        <v>1.06</v>
      </c>
      <c r="J86" s="64">
        <v>0.09</v>
      </c>
      <c r="K86" s="64">
        <v>358.94</v>
      </c>
      <c r="L86" s="64">
        <v>26.68</v>
      </c>
      <c r="M86" s="64">
        <v>84.49</v>
      </c>
      <c r="N86" s="64">
        <v>52.4</v>
      </c>
      <c r="O86" s="64">
        <v>0</v>
      </c>
      <c r="P86" s="64">
        <v>0.69</v>
      </c>
      <c r="Q86" s="64">
        <v>9.17</v>
      </c>
      <c r="R86" s="198"/>
      <c r="S86" s="198"/>
      <c r="T86" s="198"/>
      <c r="U86" s="198"/>
    </row>
    <row r="87" spans="1:26" s="12" customFormat="1" x14ac:dyDescent="0.25">
      <c r="A87" s="211" t="s">
        <v>1763</v>
      </c>
      <c r="B87" s="64">
        <v>20.100000000000001</v>
      </c>
      <c r="C87" s="64">
        <v>23.94</v>
      </c>
      <c r="D87" s="64">
        <v>28.63</v>
      </c>
      <c r="E87" s="64">
        <v>4.62</v>
      </c>
      <c r="F87" s="64">
        <v>7.63</v>
      </c>
      <c r="G87" s="64">
        <v>44.48</v>
      </c>
      <c r="H87" s="64">
        <v>11.04</v>
      </c>
      <c r="I87" s="64">
        <v>1.1100000000000001</v>
      </c>
      <c r="J87" s="64">
        <v>0.06</v>
      </c>
      <c r="K87" s="64">
        <v>341.45</v>
      </c>
      <c r="L87" s="64">
        <v>26.57</v>
      </c>
      <c r="M87" s="64">
        <v>85.27</v>
      </c>
      <c r="N87" s="64">
        <v>52.4</v>
      </c>
      <c r="O87" s="64">
        <v>0</v>
      </c>
      <c r="P87" s="64">
        <v>0.81</v>
      </c>
      <c r="Q87" s="64">
        <v>9.19</v>
      </c>
      <c r="R87" s="198"/>
      <c r="S87" s="198"/>
      <c r="T87" s="198"/>
      <c r="U87" s="198"/>
    </row>
    <row r="88" spans="1:26" s="12" customFormat="1" x14ac:dyDescent="0.25">
      <c r="A88" s="211" t="s">
        <v>1764</v>
      </c>
      <c r="B88" s="64">
        <v>11.45</v>
      </c>
      <c r="C88" s="64">
        <v>18.309999999999999</v>
      </c>
      <c r="D88" s="64">
        <v>18.75</v>
      </c>
      <c r="E88" s="64">
        <v>4.7</v>
      </c>
      <c r="F88" s="64">
        <v>7.95</v>
      </c>
      <c r="G88" s="64">
        <v>45.47</v>
      </c>
      <c r="H88" s="64">
        <v>11.32</v>
      </c>
      <c r="I88" s="64">
        <v>1.1599999999999999</v>
      </c>
      <c r="J88" s="64">
        <v>0.08</v>
      </c>
      <c r="K88" s="64">
        <v>355.85</v>
      </c>
      <c r="L88" s="64">
        <v>26.45</v>
      </c>
      <c r="M88" s="64">
        <v>86.15</v>
      </c>
      <c r="N88" s="64">
        <v>52.2</v>
      </c>
      <c r="O88" s="64">
        <v>0</v>
      </c>
      <c r="P88" s="64">
        <v>0.56000000000000005</v>
      </c>
      <c r="Q88" s="64">
        <v>9.2200000000000006</v>
      </c>
      <c r="R88" s="198"/>
      <c r="S88" s="198"/>
      <c r="T88" s="198"/>
      <c r="U88" s="198"/>
    </row>
    <row r="89" spans="1:26" s="12" customFormat="1" x14ac:dyDescent="0.25">
      <c r="A89" s="211" t="s">
        <v>1765</v>
      </c>
      <c r="B89" s="64">
        <v>10.41</v>
      </c>
      <c r="C89" s="64">
        <v>17.98</v>
      </c>
      <c r="D89" s="64">
        <v>17.739999999999998</v>
      </c>
      <c r="E89" s="64">
        <v>4.38</v>
      </c>
      <c r="F89" s="64">
        <v>8.57</v>
      </c>
      <c r="G89" s="64">
        <v>45.47</v>
      </c>
      <c r="H89" s="64">
        <v>11.32</v>
      </c>
      <c r="I89" s="64">
        <v>1.21</v>
      </c>
      <c r="J89" s="64">
        <v>0.03</v>
      </c>
      <c r="K89" s="64">
        <v>354.34</v>
      </c>
      <c r="L89" s="64">
        <v>26.31</v>
      </c>
      <c r="M89" s="64">
        <v>87.62</v>
      </c>
      <c r="N89" s="64">
        <v>52.4</v>
      </c>
      <c r="O89" s="64">
        <v>0</v>
      </c>
      <c r="P89" s="64">
        <v>0.55000000000000004</v>
      </c>
      <c r="Q89" s="64">
        <v>9.2200000000000006</v>
      </c>
      <c r="R89" s="198"/>
      <c r="S89" s="198"/>
      <c r="T89" s="198"/>
      <c r="U89" s="198"/>
    </row>
    <row r="90" spans="1:26" s="12" customFormat="1" x14ac:dyDescent="0.25">
      <c r="A90" s="211" t="s">
        <v>1766</v>
      </c>
      <c r="B90" s="64">
        <v>9.9700000000000006</v>
      </c>
      <c r="C90" s="64">
        <v>15.59</v>
      </c>
      <c r="D90" s="64">
        <v>16.14</v>
      </c>
      <c r="E90" s="64">
        <v>4.6399999999999997</v>
      </c>
      <c r="F90" s="64">
        <v>4.97</v>
      </c>
      <c r="G90" s="64">
        <v>45.47</v>
      </c>
      <c r="H90" s="64">
        <v>11.32</v>
      </c>
      <c r="I90" s="64">
        <v>1.27</v>
      </c>
      <c r="J90" s="64">
        <v>0.06</v>
      </c>
      <c r="K90" s="64">
        <v>167.42</v>
      </c>
      <c r="L90" s="64">
        <v>26.18</v>
      </c>
      <c r="M90" s="64">
        <v>89.21</v>
      </c>
      <c r="N90" s="64">
        <v>52.4</v>
      </c>
      <c r="O90" s="64">
        <v>0</v>
      </c>
      <c r="P90" s="64">
        <v>0.48</v>
      </c>
      <c r="Q90" s="64">
        <v>9.2100000000000009</v>
      </c>
      <c r="R90" s="198"/>
      <c r="S90" s="198"/>
      <c r="T90" s="198"/>
      <c r="U90" s="198"/>
    </row>
    <row r="91" spans="1:26" s="12" customFormat="1" x14ac:dyDescent="0.25">
      <c r="A91" s="211" t="s">
        <v>1767</v>
      </c>
      <c r="B91" s="64">
        <v>10.45</v>
      </c>
      <c r="C91" s="64">
        <v>18.940000000000001</v>
      </c>
      <c r="D91" s="64">
        <v>18.27</v>
      </c>
      <c r="E91" s="64">
        <v>4.58</v>
      </c>
      <c r="F91" s="64">
        <v>7.83</v>
      </c>
      <c r="G91" s="64">
        <v>46.87</v>
      </c>
      <c r="H91" s="64">
        <v>10.6</v>
      </c>
      <c r="I91" s="64">
        <v>1.3</v>
      </c>
      <c r="J91" s="64">
        <v>7.0000000000000007E-2</v>
      </c>
      <c r="K91" s="64">
        <v>177.72</v>
      </c>
      <c r="L91" s="64">
        <v>26.04</v>
      </c>
      <c r="M91" s="64">
        <v>90.92</v>
      </c>
      <c r="N91" s="64">
        <v>55.8</v>
      </c>
      <c r="O91" s="64">
        <v>0</v>
      </c>
      <c r="P91" s="64">
        <v>0.46</v>
      </c>
      <c r="Q91" s="64">
        <v>9.2200000000000006</v>
      </c>
      <c r="R91" s="198"/>
      <c r="S91" s="198"/>
      <c r="T91" s="198"/>
      <c r="U91" s="198"/>
    </row>
    <row r="92" spans="1:26" s="12" customFormat="1" x14ac:dyDescent="0.25">
      <c r="A92" s="211" t="s">
        <v>1768</v>
      </c>
      <c r="B92" s="64">
        <v>10.74</v>
      </c>
      <c r="C92" s="64">
        <v>15.8</v>
      </c>
      <c r="D92" s="64">
        <v>16.87</v>
      </c>
      <c r="E92" s="64">
        <v>4.62</v>
      </c>
      <c r="F92" s="64">
        <v>6.34</v>
      </c>
      <c r="G92" s="64">
        <v>47.29</v>
      </c>
      <c r="H92" s="64">
        <v>10.38</v>
      </c>
      <c r="I92" s="64">
        <v>1.3</v>
      </c>
      <c r="J92" s="64">
        <v>0.04</v>
      </c>
      <c r="K92" s="64">
        <v>182.47</v>
      </c>
      <c r="L92" s="64">
        <v>25.92</v>
      </c>
      <c r="M92" s="64">
        <v>91.57</v>
      </c>
      <c r="N92" s="64">
        <v>57.1</v>
      </c>
      <c r="O92" s="64">
        <v>0</v>
      </c>
      <c r="P92" s="64">
        <v>0.47</v>
      </c>
      <c r="Q92" s="64">
        <v>9.2100000000000009</v>
      </c>
      <c r="R92" s="198"/>
      <c r="S92" s="198"/>
      <c r="T92" s="198"/>
      <c r="U92" s="198"/>
    </row>
    <row r="93" spans="1:26" s="12" customFormat="1" x14ac:dyDescent="0.25">
      <c r="A93" s="211" t="s">
        <v>1769</v>
      </c>
      <c r="B93" s="64">
        <v>9.6300000000000008</v>
      </c>
      <c r="C93" s="64">
        <v>16.84</v>
      </c>
      <c r="D93" s="64">
        <v>16.52</v>
      </c>
      <c r="E93" s="64">
        <v>4.79</v>
      </c>
      <c r="F93" s="64">
        <v>5.97</v>
      </c>
      <c r="G93" s="64">
        <v>47.29</v>
      </c>
      <c r="H93" s="64">
        <v>10.38</v>
      </c>
      <c r="I93" s="64">
        <v>1.3</v>
      </c>
      <c r="J93" s="64">
        <v>0.08</v>
      </c>
      <c r="K93" s="64">
        <v>294.54000000000002</v>
      </c>
      <c r="L93" s="64">
        <v>25.86</v>
      </c>
      <c r="M93" s="64">
        <v>91.72</v>
      </c>
      <c r="N93" s="64">
        <v>58.2</v>
      </c>
      <c r="O93" s="64">
        <v>0</v>
      </c>
      <c r="P93" s="64">
        <v>0.43</v>
      </c>
      <c r="Q93" s="64">
        <v>9.2100000000000009</v>
      </c>
      <c r="R93" s="198"/>
      <c r="S93" s="198"/>
      <c r="T93" s="198"/>
      <c r="U93" s="198"/>
    </row>
    <row r="94" spans="1:26" s="12" customFormat="1" x14ac:dyDescent="0.25">
      <c r="A94" s="211" t="s">
        <v>1770</v>
      </c>
      <c r="B94" s="64">
        <v>9.6</v>
      </c>
      <c r="C94" s="64">
        <v>14.33</v>
      </c>
      <c r="D94" s="64">
        <v>15.18</v>
      </c>
      <c r="E94" s="64">
        <v>4.74</v>
      </c>
      <c r="F94" s="64">
        <v>4.54</v>
      </c>
      <c r="G94" s="64">
        <v>47.29</v>
      </c>
      <c r="H94" s="64">
        <v>10.38</v>
      </c>
      <c r="I94" s="64">
        <v>1.3</v>
      </c>
      <c r="J94" s="64">
        <v>0.56999999999999995</v>
      </c>
      <c r="K94" s="64">
        <v>301.51</v>
      </c>
      <c r="L94" s="64">
        <v>24.53</v>
      </c>
      <c r="M94" s="64">
        <v>96.32</v>
      </c>
      <c r="N94" s="64">
        <v>61.7</v>
      </c>
      <c r="O94" s="64">
        <v>0.2</v>
      </c>
      <c r="P94" s="64">
        <v>0.47</v>
      </c>
      <c r="Q94" s="64">
        <v>9.1999999999999993</v>
      </c>
      <c r="R94" s="198"/>
      <c r="S94" s="198"/>
      <c r="T94" s="198"/>
      <c r="U94" s="198"/>
    </row>
    <row r="95" spans="1:26" s="12" customFormat="1" x14ac:dyDescent="0.25">
      <c r="A95" s="211" t="s">
        <v>1771</v>
      </c>
      <c r="B95" s="64">
        <v>8.23</v>
      </c>
      <c r="C95" s="64">
        <v>15.47</v>
      </c>
      <c r="D95" s="64">
        <v>14.68</v>
      </c>
      <c r="E95" s="64">
        <v>4.4400000000000004</v>
      </c>
      <c r="F95" s="64">
        <v>3.42</v>
      </c>
      <c r="G95" s="64">
        <v>44.92</v>
      </c>
      <c r="H95" s="64">
        <v>7.99</v>
      </c>
      <c r="I95" s="64">
        <v>1.27</v>
      </c>
      <c r="J95" s="64">
        <v>0.48</v>
      </c>
      <c r="K95" s="64">
        <v>312.16000000000003</v>
      </c>
      <c r="L95" s="64">
        <v>23.09</v>
      </c>
      <c r="M95" s="64">
        <v>97.56</v>
      </c>
      <c r="N95" s="64">
        <v>60.7</v>
      </c>
      <c r="O95" s="64">
        <v>0.8</v>
      </c>
      <c r="P95" s="64">
        <v>0.48</v>
      </c>
      <c r="Q95" s="64">
        <v>9.15</v>
      </c>
      <c r="R95" s="198"/>
      <c r="S95" s="198"/>
      <c r="T95" s="198"/>
      <c r="U95" s="198"/>
    </row>
    <row r="96" spans="1:26" s="12" customFormat="1" x14ac:dyDescent="0.25">
      <c r="A96" s="211" t="s">
        <v>1772</v>
      </c>
      <c r="B96" s="64">
        <v>7.62</v>
      </c>
      <c r="C96" s="64">
        <v>15.69</v>
      </c>
      <c r="D96" s="64">
        <v>14.31</v>
      </c>
      <c r="E96" s="64">
        <v>4.7</v>
      </c>
      <c r="F96" s="64">
        <v>3.75</v>
      </c>
      <c r="G96" s="64">
        <v>44.2</v>
      </c>
      <c r="H96" s="64">
        <v>7.26</v>
      </c>
      <c r="I96" s="64">
        <v>1.23</v>
      </c>
      <c r="J96" s="64">
        <v>0.22</v>
      </c>
      <c r="K96" s="64">
        <v>320.54000000000002</v>
      </c>
      <c r="L96" s="64">
        <v>22.58</v>
      </c>
      <c r="M96" s="64">
        <v>97.6</v>
      </c>
      <c r="N96" s="64">
        <v>59.2</v>
      </c>
      <c r="O96" s="64">
        <v>0.4</v>
      </c>
      <c r="P96" s="64">
        <v>0.54</v>
      </c>
      <c r="Q96" s="64">
        <v>9.1199999999999992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1773</v>
      </c>
      <c r="B97" s="64">
        <v>7.58</v>
      </c>
      <c r="C97" s="64">
        <v>15.57</v>
      </c>
      <c r="D97" s="64">
        <v>14.21</v>
      </c>
      <c r="E97" s="64">
        <v>4.26</v>
      </c>
      <c r="F97" s="64">
        <v>3.48</v>
      </c>
      <c r="G97" s="64">
        <v>44.2</v>
      </c>
      <c r="H97" s="64">
        <v>7.26</v>
      </c>
      <c r="I97" s="64">
        <v>1.22</v>
      </c>
      <c r="J97" s="64">
        <v>7.0000000000000007E-2</v>
      </c>
      <c r="K97" s="64">
        <v>7.92</v>
      </c>
      <c r="L97" s="64">
        <v>22.43</v>
      </c>
      <c r="M97" s="64">
        <v>97.61</v>
      </c>
      <c r="N97" s="64">
        <v>59.5</v>
      </c>
      <c r="O97" s="64">
        <v>0.6</v>
      </c>
      <c r="P97" s="64">
        <v>0.59</v>
      </c>
      <c r="Q97" s="64">
        <v>9.11</v>
      </c>
      <c r="R97" s="198"/>
      <c r="S97" s="198"/>
      <c r="T97" s="198"/>
      <c r="U97" s="198"/>
    </row>
    <row r="98" spans="1:33" s="12" customFormat="1" x14ac:dyDescent="0.25">
      <c r="A98" s="211" t="s">
        <v>1774</v>
      </c>
      <c r="B98" s="64">
        <v>7.61</v>
      </c>
      <c r="C98" s="64">
        <v>14.5</v>
      </c>
      <c r="D98" s="64">
        <v>13.68</v>
      </c>
      <c r="E98" s="64">
        <v>4.0999999999999996</v>
      </c>
      <c r="F98" s="64">
        <v>3.5</v>
      </c>
      <c r="G98" s="64">
        <v>44.2</v>
      </c>
      <c r="H98" s="64">
        <v>7.26</v>
      </c>
      <c r="I98" s="64">
        <v>1.27</v>
      </c>
      <c r="J98" s="64">
        <v>0.16</v>
      </c>
      <c r="K98" s="64">
        <v>2.8</v>
      </c>
      <c r="L98" s="64">
        <v>22.28</v>
      </c>
      <c r="M98" s="64">
        <v>97.62</v>
      </c>
      <c r="N98" s="64">
        <v>60.5</v>
      </c>
      <c r="O98" s="64">
        <v>0.2</v>
      </c>
      <c r="P98" s="64">
        <v>0.57999999999999996</v>
      </c>
      <c r="Q98" s="64">
        <v>9.11</v>
      </c>
      <c r="R98" s="198"/>
      <c r="S98" s="198"/>
      <c r="T98" s="198"/>
      <c r="U98" s="198"/>
    </row>
    <row r="99" spans="1:33" s="12" customFormat="1" x14ac:dyDescent="0.25">
      <c r="A99" s="211" t="s">
        <v>1775</v>
      </c>
      <c r="B99" s="64">
        <v>7.57</v>
      </c>
      <c r="C99" s="64">
        <v>14.13</v>
      </c>
      <c r="D99" s="64">
        <v>13.46</v>
      </c>
      <c r="E99" s="64">
        <v>4.37</v>
      </c>
      <c r="F99" s="64">
        <v>3.8</v>
      </c>
      <c r="G99" s="64">
        <v>37.43</v>
      </c>
      <c r="H99" s="64">
        <v>8.76</v>
      </c>
      <c r="I99" s="64">
        <v>1.31</v>
      </c>
      <c r="J99" s="64">
        <v>0.13</v>
      </c>
      <c r="K99" s="64">
        <v>356.62</v>
      </c>
      <c r="L99" s="64">
        <v>22.25</v>
      </c>
      <c r="M99" s="64">
        <v>97.6</v>
      </c>
      <c r="N99" s="64">
        <v>61.1</v>
      </c>
      <c r="O99" s="64">
        <v>0</v>
      </c>
      <c r="P99" s="64">
        <v>0.54</v>
      </c>
      <c r="Q99" s="64">
        <v>9.11</v>
      </c>
      <c r="R99" s="198"/>
      <c r="S99" s="198"/>
      <c r="T99" s="198"/>
      <c r="U99" s="198"/>
    </row>
    <row r="100" spans="1:33" s="12" customFormat="1" x14ac:dyDescent="0.25">
      <c r="A100" s="211" t="s">
        <v>1776</v>
      </c>
      <c r="B100" s="64">
        <v>7.31</v>
      </c>
      <c r="C100" s="64">
        <v>13.95</v>
      </c>
      <c r="D100" s="64">
        <v>13.15</v>
      </c>
      <c r="E100" s="64">
        <v>4.34</v>
      </c>
      <c r="F100" s="64">
        <v>4.3600000000000003</v>
      </c>
      <c r="G100" s="64">
        <v>35.369999999999997</v>
      </c>
      <c r="H100" s="64">
        <v>9.25</v>
      </c>
      <c r="I100" s="64">
        <v>1.29</v>
      </c>
      <c r="J100" s="64">
        <v>0.1</v>
      </c>
      <c r="K100" s="64">
        <v>352.18</v>
      </c>
      <c r="L100" s="64">
        <v>22.24</v>
      </c>
      <c r="M100" s="64">
        <v>97.6</v>
      </c>
      <c r="N100" s="64">
        <v>61.3</v>
      </c>
      <c r="O100" s="64">
        <v>0</v>
      </c>
      <c r="P100" s="64">
        <v>0.51</v>
      </c>
      <c r="Q100" s="64">
        <v>9.1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1777</v>
      </c>
      <c r="B101" s="64">
        <v>8.61</v>
      </c>
      <c r="C101" s="64">
        <v>15.32</v>
      </c>
      <c r="D101" s="64">
        <v>14.91</v>
      </c>
      <c r="E101" s="64">
        <v>4.3600000000000003</v>
      </c>
      <c r="F101" s="64">
        <v>4.07</v>
      </c>
      <c r="G101" s="64">
        <v>35.369999999999997</v>
      </c>
      <c r="H101" s="64">
        <v>9.25</v>
      </c>
      <c r="I101" s="64">
        <v>1.24</v>
      </c>
      <c r="J101" s="64">
        <v>0.19</v>
      </c>
      <c r="K101" s="64">
        <v>330.03</v>
      </c>
      <c r="L101" s="64">
        <v>22.39</v>
      </c>
      <c r="M101" s="64">
        <v>97.6</v>
      </c>
      <c r="N101" s="64">
        <v>61.5</v>
      </c>
      <c r="O101" s="64">
        <v>0</v>
      </c>
      <c r="P101" s="64">
        <v>0.5</v>
      </c>
      <c r="Q101" s="64">
        <v>9.11</v>
      </c>
      <c r="R101" s="198"/>
      <c r="S101" s="198"/>
      <c r="T101" s="198"/>
      <c r="U101" s="198"/>
    </row>
    <row r="102" spans="1:33" s="12" customFormat="1" x14ac:dyDescent="0.25">
      <c r="A102" s="211" t="s">
        <v>1778</v>
      </c>
      <c r="B102" s="64">
        <v>7.97</v>
      </c>
      <c r="C102" s="64">
        <v>13.39</v>
      </c>
      <c r="D102" s="64">
        <v>13.39</v>
      </c>
      <c r="E102" s="64">
        <v>4.2300000000000004</v>
      </c>
      <c r="F102" s="64">
        <v>3.57</v>
      </c>
      <c r="G102" s="64">
        <v>35.369999999999997</v>
      </c>
      <c r="H102" s="64">
        <v>9.25</v>
      </c>
      <c r="I102" s="64">
        <v>1.2</v>
      </c>
      <c r="J102" s="64">
        <v>0.2</v>
      </c>
      <c r="K102" s="64">
        <v>334.19</v>
      </c>
      <c r="L102" s="64">
        <v>22.42</v>
      </c>
      <c r="M102" s="64">
        <v>97.62</v>
      </c>
      <c r="N102" s="64">
        <v>62</v>
      </c>
      <c r="O102" s="64">
        <v>0.4</v>
      </c>
      <c r="P102" s="64">
        <v>0.5</v>
      </c>
      <c r="Q102" s="64">
        <v>9.1300000000000008</v>
      </c>
      <c r="R102" s="198"/>
      <c r="S102" s="198"/>
      <c r="T102" s="198"/>
      <c r="U102" s="198"/>
    </row>
    <row r="103" spans="1:33" s="12" customFormat="1" x14ac:dyDescent="0.25">
      <c r="A103" s="211" t="s">
        <v>1779</v>
      </c>
      <c r="B103" s="64">
        <v>7.56</v>
      </c>
      <c r="C103" s="64">
        <v>14.28</v>
      </c>
      <c r="D103" s="64">
        <v>13.52</v>
      </c>
      <c r="E103" s="64">
        <v>4.0599999999999996</v>
      </c>
      <c r="F103" s="64">
        <v>3.61</v>
      </c>
      <c r="G103" s="64">
        <v>26.56</v>
      </c>
      <c r="H103" s="64">
        <v>7.64</v>
      </c>
      <c r="I103" s="64">
        <v>1.17</v>
      </c>
      <c r="J103" s="64">
        <v>0.18</v>
      </c>
      <c r="K103" s="64">
        <v>330.6</v>
      </c>
      <c r="L103" s="64">
        <v>22.36</v>
      </c>
      <c r="M103" s="64">
        <v>97.6</v>
      </c>
      <c r="N103" s="64">
        <v>62.1</v>
      </c>
      <c r="O103" s="64">
        <v>0</v>
      </c>
      <c r="P103" s="64">
        <v>0.46</v>
      </c>
      <c r="Q103" s="64">
        <v>9.1199999999999992</v>
      </c>
      <c r="R103" s="198"/>
      <c r="S103" s="198"/>
      <c r="T103" s="198"/>
      <c r="U103" s="198"/>
    </row>
    <row r="104" spans="1:33" s="12" customFormat="1" x14ac:dyDescent="0.25">
      <c r="A104" s="211" t="s">
        <v>1780</v>
      </c>
      <c r="B104" s="64">
        <v>7.02</v>
      </c>
      <c r="C104" s="64">
        <v>13.19</v>
      </c>
      <c r="D104" s="64">
        <v>12.52</v>
      </c>
      <c r="E104" s="64">
        <v>4.03</v>
      </c>
      <c r="F104" s="64">
        <v>4.25</v>
      </c>
      <c r="G104" s="64">
        <v>23.88</v>
      </c>
      <c r="H104" s="64">
        <v>7.16</v>
      </c>
      <c r="I104" s="64">
        <v>1.1200000000000001</v>
      </c>
      <c r="J104" s="64">
        <v>0.17</v>
      </c>
      <c r="K104" s="64">
        <v>326.47000000000003</v>
      </c>
      <c r="L104" s="64">
        <v>22.31</v>
      </c>
      <c r="M104" s="64">
        <v>97.6</v>
      </c>
      <c r="N104" s="64">
        <v>62.5</v>
      </c>
      <c r="O104" s="64">
        <v>0</v>
      </c>
      <c r="P104" s="64">
        <v>0.45</v>
      </c>
      <c r="Q104" s="64">
        <v>9.11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4.4400000000000004</v>
      </c>
      <c r="C106" s="67">
        <f>MIN(C9:C104)</f>
        <v>10.64</v>
      </c>
      <c r="D106" s="67">
        <f t="shared" ref="D106:Q106" si="0">MIN(D9:D104)</f>
        <v>10.46</v>
      </c>
      <c r="E106" s="67">
        <f t="shared" si="0"/>
        <v>3.27</v>
      </c>
      <c r="F106" s="67">
        <f t="shared" si="0"/>
        <v>2.87</v>
      </c>
      <c r="G106" s="67">
        <f t="shared" si="0"/>
        <v>11.96</v>
      </c>
      <c r="H106" s="67">
        <f t="shared" si="0"/>
        <v>2.09</v>
      </c>
      <c r="I106" s="67">
        <f t="shared" si="0"/>
        <v>0.63</v>
      </c>
      <c r="J106" s="67">
        <f t="shared" si="0"/>
        <v>0.01</v>
      </c>
      <c r="K106" s="67">
        <f t="shared" si="0"/>
        <v>2.8</v>
      </c>
      <c r="L106" s="67">
        <f t="shared" si="0"/>
        <v>22.24</v>
      </c>
      <c r="M106" s="67">
        <f t="shared" si="0"/>
        <v>75.98</v>
      </c>
      <c r="N106" s="67">
        <f t="shared" si="0"/>
        <v>52.2</v>
      </c>
      <c r="O106" s="67">
        <f t="shared" si="0"/>
        <v>0</v>
      </c>
      <c r="P106" s="67">
        <f t="shared" si="0"/>
        <v>0.14000000000000001</v>
      </c>
      <c r="Q106" s="67">
        <f t="shared" si="0"/>
        <v>8.99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20.100000000000001</v>
      </c>
      <c r="C107" s="66">
        <f t="shared" ref="C107:Q107" si="1">MAX(C9:C104)</f>
        <v>24.96</v>
      </c>
      <c r="D107" s="66">
        <f t="shared" si="1"/>
        <v>28.63</v>
      </c>
      <c r="E107" s="66">
        <f t="shared" si="1"/>
        <v>4.82</v>
      </c>
      <c r="F107" s="66">
        <f t="shared" si="1"/>
        <v>11.64</v>
      </c>
      <c r="G107" s="66">
        <f t="shared" si="1"/>
        <v>47.29</v>
      </c>
      <c r="H107" s="66">
        <f t="shared" si="1"/>
        <v>11.32</v>
      </c>
      <c r="I107" s="66">
        <f t="shared" si="1"/>
        <v>1.31</v>
      </c>
      <c r="J107" s="66">
        <f t="shared" si="1"/>
        <v>0.56999999999999995</v>
      </c>
      <c r="K107" s="66">
        <f t="shared" si="1"/>
        <v>358.94</v>
      </c>
      <c r="L107" s="66">
        <f t="shared" si="1"/>
        <v>28.04</v>
      </c>
      <c r="M107" s="66">
        <f t="shared" si="1"/>
        <v>97.7</v>
      </c>
      <c r="N107" s="66">
        <f t="shared" si="1"/>
        <v>345.9</v>
      </c>
      <c r="O107" s="66">
        <f t="shared" si="1"/>
        <v>0.8</v>
      </c>
      <c r="P107" s="66">
        <f t="shared" si="1"/>
        <v>0.81</v>
      </c>
      <c r="Q107" s="66">
        <f t="shared" si="1"/>
        <v>9.2200000000000006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7.326666666666668</v>
      </c>
      <c r="C108" s="67">
        <f t="shared" ref="C108:Q108" si="2">AVERAGE(C9:C104)</f>
        <v>14.393645833333338</v>
      </c>
      <c r="D108" s="67">
        <f t="shared" si="2"/>
        <v>13.395937500000002</v>
      </c>
      <c r="E108" s="67">
        <f t="shared" si="2"/>
        <v>4.1968749999999995</v>
      </c>
      <c r="F108" s="67">
        <f t="shared" si="2"/>
        <v>4.8213541666666675</v>
      </c>
      <c r="G108" s="67">
        <f t="shared" si="2"/>
        <v>27.293958333333322</v>
      </c>
      <c r="H108" s="67">
        <f t="shared" si="2"/>
        <v>6.1660416666666658</v>
      </c>
      <c r="I108" s="67">
        <f t="shared" si="2"/>
        <v>0.87604166666666661</v>
      </c>
      <c r="J108" s="67">
        <f t="shared" si="2"/>
        <v>0.17479166666666668</v>
      </c>
      <c r="K108" s="67">
        <f t="shared" si="2"/>
        <v>288.10093749999987</v>
      </c>
      <c r="L108" s="67">
        <f t="shared" si="2"/>
        <v>25.179270833333334</v>
      </c>
      <c r="M108" s="67">
        <f t="shared" si="2"/>
        <v>91.104375000000005</v>
      </c>
      <c r="N108" s="67">
        <f t="shared" si="2"/>
        <v>143.69791666666669</v>
      </c>
      <c r="O108" s="67">
        <f t="shared" si="2"/>
        <v>2.9166666666666671E-2</v>
      </c>
      <c r="P108" s="67">
        <f t="shared" si="2"/>
        <v>0.30531249999999993</v>
      </c>
      <c r="Q108" s="67">
        <f t="shared" si="2"/>
        <v>9.0781249999999964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2.4557664326905746</v>
      </c>
      <c r="C109" s="67">
        <f t="shared" ref="C109:Q109" si="3">STDEV(C9:C104)</f>
        <v>3.0583687154365897</v>
      </c>
      <c r="D109" s="67">
        <f t="shared" si="3"/>
        <v>3.1799651034579761</v>
      </c>
      <c r="E109" s="67">
        <f t="shared" si="3"/>
        <v>0.43547992279541209</v>
      </c>
      <c r="F109" s="67">
        <f t="shared" si="3"/>
        <v>1.6379561203502868</v>
      </c>
      <c r="G109" s="67">
        <f t="shared" si="3"/>
        <v>10.375788059269437</v>
      </c>
      <c r="H109" s="67">
        <f t="shared" si="3"/>
        <v>2.4748739379556186</v>
      </c>
      <c r="I109" s="67">
        <f t="shared" si="3"/>
        <v>0.19991829471412489</v>
      </c>
      <c r="J109" s="67">
        <f t="shared" si="3"/>
        <v>9.4579169473228156E-2</v>
      </c>
      <c r="K109" s="67">
        <f t="shared" si="3"/>
        <v>54.306614893741994</v>
      </c>
      <c r="L109" s="67">
        <f t="shared" si="3"/>
        <v>1.7905631250599798</v>
      </c>
      <c r="M109" s="67">
        <f t="shared" si="3"/>
        <v>7.3732306441327973</v>
      </c>
      <c r="N109" s="67">
        <f t="shared" si="3"/>
        <v>89.158426681080485</v>
      </c>
      <c r="O109" s="67">
        <f t="shared" si="3"/>
        <v>0.11957527174978567</v>
      </c>
      <c r="P109" s="67">
        <f t="shared" si="3"/>
        <v>0.14120498817042748</v>
      </c>
      <c r="Q109" s="67">
        <f t="shared" si="3"/>
        <v>5.5768553674516018E-2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COUNT(I9:I104)+5</f>
        <v>101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8" sqref="H1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223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1" t="s">
        <v>1781</v>
      </c>
      <c r="B9" s="64">
        <v>6.75</v>
      </c>
      <c r="C9" s="64">
        <v>13.49</v>
      </c>
      <c r="D9" s="64">
        <v>12.46</v>
      </c>
      <c r="E9" s="64">
        <v>3.78</v>
      </c>
      <c r="F9" s="64">
        <v>3.74</v>
      </c>
      <c r="G9" s="64">
        <v>23.88</v>
      </c>
      <c r="H9" s="64">
        <v>7.16</v>
      </c>
      <c r="I9" s="64">
        <v>1.17</v>
      </c>
      <c r="J9" s="64">
        <v>0.12</v>
      </c>
      <c r="K9" s="64">
        <v>326.61</v>
      </c>
      <c r="L9" s="64">
        <v>22.27</v>
      </c>
      <c r="M9" s="64">
        <v>97.63</v>
      </c>
      <c r="N9" s="64">
        <v>62.5</v>
      </c>
      <c r="O9" s="64">
        <v>0</v>
      </c>
      <c r="P9" s="64">
        <v>0.45</v>
      </c>
      <c r="Q9" s="64">
        <v>9.1199999999999992</v>
      </c>
      <c r="R9" s="198"/>
      <c r="S9" s="198"/>
      <c r="T9" s="198"/>
      <c r="U9" s="198"/>
    </row>
    <row r="10" spans="1:21" s="12" customFormat="1" x14ac:dyDescent="0.25">
      <c r="A10" s="211" t="s">
        <v>1782</v>
      </c>
      <c r="B10" s="64">
        <v>6.7</v>
      </c>
      <c r="C10" s="64">
        <v>13.63</v>
      </c>
      <c r="D10" s="64">
        <v>12.49</v>
      </c>
      <c r="E10" s="64">
        <v>3.87</v>
      </c>
      <c r="F10" s="64">
        <v>4.93</v>
      </c>
      <c r="G10" s="64">
        <v>23.88</v>
      </c>
      <c r="H10" s="64">
        <v>7.16</v>
      </c>
      <c r="I10" s="64">
        <v>1.1399999999999999</v>
      </c>
      <c r="J10" s="64">
        <v>0.17</v>
      </c>
      <c r="K10" s="64">
        <v>308.14</v>
      </c>
      <c r="L10" s="64">
        <v>22.29</v>
      </c>
      <c r="M10" s="64">
        <v>97.65</v>
      </c>
      <c r="N10" s="64">
        <v>62.6</v>
      </c>
      <c r="O10" s="64">
        <v>0</v>
      </c>
      <c r="P10" s="64">
        <v>0.45</v>
      </c>
      <c r="Q10" s="64">
        <v>9.1199999999999992</v>
      </c>
      <c r="R10" s="198"/>
      <c r="S10" s="198"/>
      <c r="T10" s="198"/>
      <c r="U10" s="198"/>
    </row>
    <row r="11" spans="1:21" s="12" customFormat="1" x14ac:dyDescent="0.25">
      <c r="A11" s="211" t="s">
        <v>1783</v>
      </c>
      <c r="B11" s="64">
        <v>7.12</v>
      </c>
      <c r="C11" s="64">
        <v>12.59</v>
      </c>
      <c r="D11" s="64">
        <v>12.29</v>
      </c>
      <c r="E11" s="64">
        <v>3.56</v>
      </c>
      <c r="F11" s="64">
        <v>4.2300000000000004</v>
      </c>
      <c r="G11" s="64">
        <v>20.22</v>
      </c>
      <c r="H11" s="64">
        <v>8.26</v>
      </c>
      <c r="I11" s="64">
        <v>1.18</v>
      </c>
      <c r="J11" s="64">
        <v>0.22</v>
      </c>
      <c r="K11" s="64">
        <v>306.04000000000002</v>
      </c>
      <c r="L11" s="64">
        <v>22.32</v>
      </c>
      <c r="M11" s="64">
        <v>97.65</v>
      </c>
      <c r="N11" s="64">
        <v>62.6</v>
      </c>
      <c r="O11" s="64">
        <v>0</v>
      </c>
      <c r="P11" s="64">
        <v>0.46</v>
      </c>
      <c r="Q11" s="64">
        <v>9.1199999999999992</v>
      </c>
      <c r="R11" s="198"/>
      <c r="S11" s="198"/>
      <c r="T11" s="198"/>
      <c r="U11" s="198"/>
    </row>
    <row r="12" spans="1:21" s="12" customFormat="1" x14ac:dyDescent="0.25">
      <c r="A12" s="211" t="s">
        <v>1784</v>
      </c>
      <c r="B12" s="64">
        <v>7.64</v>
      </c>
      <c r="C12" s="64">
        <v>11.58</v>
      </c>
      <c r="D12" s="64">
        <v>12.17</v>
      </c>
      <c r="E12" s="64">
        <v>3.79</v>
      </c>
      <c r="F12" s="64">
        <v>3.68</v>
      </c>
      <c r="G12" s="64">
        <v>19.100000000000001</v>
      </c>
      <c r="H12" s="64">
        <v>8.59</v>
      </c>
      <c r="I12" s="64">
        <v>1.27</v>
      </c>
      <c r="J12" s="64">
        <v>0.28999999999999998</v>
      </c>
      <c r="K12" s="64">
        <v>307.8</v>
      </c>
      <c r="L12" s="64">
        <v>22.33</v>
      </c>
      <c r="M12" s="64">
        <v>97.65</v>
      </c>
      <c r="N12" s="64">
        <v>62.6</v>
      </c>
      <c r="O12" s="64">
        <v>0</v>
      </c>
      <c r="P12" s="64">
        <v>0.46</v>
      </c>
      <c r="Q12" s="64">
        <v>9.1</v>
      </c>
      <c r="R12" s="198"/>
      <c r="S12" s="198"/>
      <c r="T12" s="198"/>
      <c r="U12" s="198"/>
    </row>
    <row r="13" spans="1:21" s="12" customFormat="1" x14ac:dyDescent="0.25">
      <c r="A13" s="211" t="s">
        <v>1785</v>
      </c>
      <c r="B13" s="64">
        <v>7.87</v>
      </c>
      <c r="C13" s="64">
        <v>11.57</v>
      </c>
      <c r="D13" s="64">
        <v>12.36</v>
      </c>
      <c r="E13" s="64">
        <v>4.07</v>
      </c>
      <c r="F13" s="64">
        <v>3.6</v>
      </c>
      <c r="G13" s="64">
        <v>19.100000000000001</v>
      </c>
      <c r="H13" s="64">
        <v>8.59</v>
      </c>
      <c r="I13" s="64">
        <v>1.29</v>
      </c>
      <c r="J13" s="64">
        <v>0.15</v>
      </c>
      <c r="K13" s="64">
        <v>308.56</v>
      </c>
      <c r="L13" s="64">
        <v>22.4</v>
      </c>
      <c r="M13" s="64">
        <v>97.65</v>
      </c>
      <c r="N13" s="64">
        <v>62.8</v>
      </c>
      <c r="O13" s="64">
        <v>0</v>
      </c>
      <c r="P13" s="64">
        <v>0.4</v>
      </c>
      <c r="Q13" s="64">
        <v>9.1</v>
      </c>
      <c r="R13" s="198"/>
      <c r="S13" s="198"/>
      <c r="T13" s="198"/>
      <c r="U13" s="198"/>
    </row>
    <row r="14" spans="1:21" s="12" customFormat="1" x14ac:dyDescent="0.25">
      <c r="A14" s="211" t="s">
        <v>1786</v>
      </c>
      <c r="B14" s="64">
        <v>8.09</v>
      </c>
      <c r="C14" s="64">
        <v>11.33</v>
      </c>
      <c r="D14" s="64">
        <v>12.41</v>
      </c>
      <c r="E14" s="64">
        <v>3.65</v>
      </c>
      <c r="F14" s="64">
        <v>2.76</v>
      </c>
      <c r="G14" s="64">
        <v>19.100000000000001</v>
      </c>
      <c r="H14" s="64">
        <v>8.59</v>
      </c>
      <c r="I14" s="64">
        <v>1.31</v>
      </c>
      <c r="J14" s="64">
        <v>0.17</v>
      </c>
      <c r="K14" s="64">
        <v>307.57</v>
      </c>
      <c r="L14" s="64">
        <v>22.4</v>
      </c>
      <c r="M14" s="64">
        <v>97.65</v>
      </c>
      <c r="N14" s="64">
        <v>62.9</v>
      </c>
      <c r="O14" s="64">
        <v>0</v>
      </c>
      <c r="P14" s="64">
        <v>0.41</v>
      </c>
      <c r="Q14" s="64">
        <v>9.1</v>
      </c>
      <c r="R14" s="198"/>
      <c r="S14" s="198"/>
      <c r="T14" s="198"/>
      <c r="U14" s="198"/>
    </row>
    <row r="15" spans="1:21" s="12" customFormat="1" x14ac:dyDescent="0.25">
      <c r="A15" s="211" t="s">
        <v>1787</v>
      </c>
      <c r="B15" s="64">
        <v>8.4600000000000009</v>
      </c>
      <c r="C15" s="64">
        <v>11.09</v>
      </c>
      <c r="D15" s="64">
        <v>12.58</v>
      </c>
      <c r="E15" s="64">
        <v>3.42</v>
      </c>
      <c r="F15" s="64">
        <v>3.54</v>
      </c>
      <c r="G15" s="64">
        <v>18.97</v>
      </c>
      <c r="H15" s="64">
        <v>8.36</v>
      </c>
      <c r="I15" s="64">
        <v>1.35</v>
      </c>
      <c r="J15" s="64">
        <v>0.12</v>
      </c>
      <c r="K15" s="64">
        <v>304.42</v>
      </c>
      <c r="L15" s="64">
        <v>22.45</v>
      </c>
      <c r="M15" s="64">
        <v>97.65</v>
      </c>
      <c r="N15" s="64">
        <v>62.9</v>
      </c>
      <c r="O15" s="64">
        <v>0</v>
      </c>
      <c r="P15" s="64">
        <v>0.41</v>
      </c>
      <c r="Q15" s="64">
        <v>9.1</v>
      </c>
      <c r="R15" s="198"/>
      <c r="S15" s="198"/>
      <c r="T15" s="198"/>
      <c r="U15" s="198"/>
    </row>
    <row r="16" spans="1:21" s="12" customFormat="1" x14ac:dyDescent="0.25">
      <c r="A16" s="211" t="s">
        <v>1788</v>
      </c>
      <c r="B16" s="64">
        <v>8.7200000000000006</v>
      </c>
      <c r="C16" s="64">
        <v>11.15</v>
      </c>
      <c r="D16" s="64">
        <v>12.81</v>
      </c>
      <c r="E16" s="64">
        <v>3.63</v>
      </c>
      <c r="F16" s="64">
        <v>2.8</v>
      </c>
      <c r="G16" s="64">
        <v>18.920000000000002</v>
      </c>
      <c r="H16" s="64">
        <v>8.2899999999999991</v>
      </c>
      <c r="I16" s="64">
        <v>1.39</v>
      </c>
      <c r="J16" s="64">
        <v>0.27</v>
      </c>
      <c r="K16" s="64">
        <v>307.02999999999997</v>
      </c>
      <c r="L16" s="64">
        <v>22.47</v>
      </c>
      <c r="M16" s="64">
        <v>97.65</v>
      </c>
      <c r="N16" s="64">
        <v>63.1</v>
      </c>
      <c r="O16" s="64">
        <v>0.2</v>
      </c>
      <c r="P16" s="64">
        <v>0.4</v>
      </c>
      <c r="Q16" s="64">
        <v>9.1</v>
      </c>
      <c r="R16" s="198"/>
      <c r="S16" s="198"/>
      <c r="T16" s="198"/>
      <c r="U16" s="198"/>
    </row>
    <row r="17" spans="1:21" s="12" customFormat="1" x14ac:dyDescent="0.25">
      <c r="A17" s="211" t="s">
        <v>1789</v>
      </c>
      <c r="B17" s="64">
        <v>8.75</v>
      </c>
      <c r="C17" s="64">
        <v>10.95</v>
      </c>
      <c r="D17" s="64">
        <v>12.74</v>
      </c>
      <c r="E17" s="64">
        <v>3.68</v>
      </c>
      <c r="F17" s="64">
        <v>3.49</v>
      </c>
      <c r="G17" s="64">
        <v>18.920000000000002</v>
      </c>
      <c r="H17" s="64">
        <v>8.2899999999999991</v>
      </c>
      <c r="I17" s="64">
        <v>1.42</v>
      </c>
      <c r="J17" s="64">
        <v>0.13</v>
      </c>
      <c r="K17" s="64">
        <v>151.13</v>
      </c>
      <c r="L17" s="64">
        <v>22.39</v>
      </c>
      <c r="M17" s="64">
        <v>97.65</v>
      </c>
      <c r="N17" s="64">
        <v>62.7</v>
      </c>
      <c r="O17" s="64">
        <v>0.6</v>
      </c>
      <c r="P17" s="64">
        <v>0.4</v>
      </c>
      <c r="Q17" s="64">
        <v>9.1</v>
      </c>
      <c r="R17" s="198"/>
      <c r="S17" s="198"/>
      <c r="T17" s="198"/>
      <c r="U17" s="198"/>
    </row>
    <row r="18" spans="1:21" s="12" customFormat="1" x14ac:dyDescent="0.25">
      <c r="A18" s="211" t="s">
        <v>1790</v>
      </c>
      <c r="B18" s="64">
        <v>8.4600000000000009</v>
      </c>
      <c r="C18" s="64">
        <v>11.43</v>
      </c>
      <c r="D18" s="64">
        <v>12.75</v>
      </c>
      <c r="E18" s="64">
        <v>3.52</v>
      </c>
      <c r="F18" s="64">
        <v>3.31</v>
      </c>
      <c r="G18" s="64">
        <v>18.920000000000002</v>
      </c>
      <c r="H18" s="64">
        <v>8.2899999999999991</v>
      </c>
      <c r="I18" s="64">
        <v>1.44</v>
      </c>
      <c r="J18" s="64">
        <v>0.11</v>
      </c>
      <c r="K18" s="64">
        <v>133.35</v>
      </c>
      <c r="L18" s="64">
        <v>22.27</v>
      </c>
      <c r="M18" s="64">
        <v>97.61</v>
      </c>
      <c r="N18" s="64">
        <v>62.8</v>
      </c>
      <c r="O18" s="64">
        <v>0.4</v>
      </c>
      <c r="P18" s="64">
        <v>0.37</v>
      </c>
      <c r="Q18" s="64">
        <v>9.11</v>
      </c>
      <c r="R18" s="198"/>
      <c r="S18" s="198"/>
      <c r="T18" s="198"/>
      <c r="U18" s="198"/>
    </row>
    <row r="19" spans="1:21" s="12" customFormat="1" x14ac:dyDescent="0.25">
      <c r="A19" s="211" t="s">
        <v>1791</v>
      </c>
      <c r="B19" s="64">
        <v>8.74</v>
      </c>
      <c r="C19" s="64">
        <v>10.62</v>
      </c>
      <c r="D19" s="64">
        <v>12.56</v>
      </c>
      <c r="E19" s="64">
        <v>3.66</v>
      </c>
      <c r="F19" s="64">
        <v>3.74</v>
      </c>
      <c r="G19" s="64">
        <v>20.93</v>
      </c>
      <c r="H19" s="64">
        <v>7.22</v>
      </c>
      <c r="I19" s="64">
        <v>1.45</v>
      </c>
      <c r="J19" s="64">
        <v>0.03</v>
      </c>
      <c r="K19" s="64">
        <v>287.62</v>
      </c>
      <c r="L19" s="64">
        <v>22.22</v>
      </c>
      <c r="M19" s="64">
        <v>97.61</v>
      </c>
      <c r="N19" s="64">
        <v>62.7</v>
      </c>
      <c r="O19" s="64">
        <v>0.8</v>
      </c>
      <c r="P19" s="64">
        <v>0.39</v>
      </c>
      <c r="Q19" s="64">
        <v>9.1</v>
      </c>
      <c r="R19" s="198"/>
      <c r="S19" s="198"/>
      <c r="T19" s="198"/>
      <c r="U19" s="198"/>
    </row>
    <row r="20" spans="1:21" s="12" customFormat="1" x14ac:dyDescent="0.25">
      <c r="A20" s="211" t="s">
        <v>1792</v>
      </c>
      <c r="B20" s="64">
        <v>8.6</v>
      </c>
      <c r="C20" s="64">
        <v>10.77</v>
      </c>
      <c r="D20" s="64">
        <v>12.52</v>
      </c>
      <c r="E20" s="64">
        <v>3.81</v>
      </c>
      <c r="F20" s="64">
        <v>4.2699999999999996</v>
      </c>
      <c r="G20" s="64">
        <v>21.58</v>
      </c>
      <c r="H20" s="64">
        <v>6.87</v>
      </c>
      <c r="I20" s="64">
        <v>1.45</v>
      </c>
      <c r="J20" s="64">
        <v>0.13</v>
      </c>
      <c r="K20" s="64">
        <v>171.2</v>
      </c>
      <c r="L20" s="64">
        <v>22.16</v>
      </c>
      <c r="M20" s="64">
        <v>97.63</v>
      </c>
      <c r="N20" s="64">
        <v>62.7</v>
      </c>
      <c r="O20" s="64">
        <v>0.8</v>
      </c>
      <c r="P20" s="64">
        <v>0.37</v>
      </c>
      <c r="Q20" s="64">
        <v>9.11</v>
      </c>
      <c r="R20" s="198"/>
      <c r="S20" s="198"/>
      <c r="T20" s="198"/>
      <c r="U20" s="198"/>
    </row>
    <row r="21" spans="1:21" s="12" customFormat="1" x14ac:dyDescent="0.25">
      <c r="A21" s="211" t="s">
        <v>1793</v>
      </c>
      <c r="B21" s="64">
        <v>8.2799999999999994</v>
      </c>
      <c r="C21" s="64">
        <v>11.14</v>
      </c>
      <c r="D21" s="64">
        <v>12.46</v>
      </c>
      <c r="E21" s="64">
        <v>3.74</v>
      </c>
      <c r="F21" s="64">
        <v>4.24</v>
      </c>
      <c r="G21" s="64">
        <v>21.58</v>
      </c>
      <c r="H21" s="64">
        <v>6.87</v>
      </c>
      <c r="I21" s="64">
        <v>1.45</v>
      </c>
      <c r="J21" s="64">
        <v>0.12</v>
      </c>
      <c r="K21" s="64">
        <v>138.1</v>
      </c>
      <c r="L21" s="64">
        <v>22.09</v>
      </c>
      <c r="M21" s="64">
        <v>97.62</v>
      </c>
      <c r="N21" s="64">
        <v>62.8</v>
      </c>
      <c r="O21" s="64">
        <v>0.4</v>
      </c>
      <c r="P21" s="64">
        <v>0.55000000000000004</v>
      </c>
      <c r="Q21" s="64">
        <v>9.1199999999999992</v>
      </c>
      <c r="R21" s="198"/>
      <c r="S21" s="198"/>
      <c r="T21" s="198"/>
      <c r="U21" s="198"/>
    </row>
    <row r="22" spans="1:21" s="12" customFormat="1" x14ac:dyDescent="0.25">
      <c r="A22" s="211" t="s">
        <v>1794</v>
      </c>
      <c r="B22" s="64">
        <v>10.29</v>
      </c>
      <c r="C22" s="64">
        <v>13.75</v>
      </c>
      <c r="D22" s="64">
        <v>15.43</v>
      </c>
      <c r="E22" s="64">
        <v>3.63</v>
      </c>
      <c r="F22" s="64">
        <v>5.17</v>
      </c>
      <c r="G22" s="64">
        <v>21.58</v>
      </c>
      <c r="H22" s="64">
        <v>6.87</v>
      </c>
      <c r="I22" s="64">
        <v>1.45</v>
      </c>
      <c r="J22" s="64">
        <v>0.1</v>
      </c>
      <c r="K22" s="64">
        <v>217.46</v>
      </c>
      <c r="L22" s="64">
        <v>22.05</v>
      </c>
      <c r="M22" s="64">
        <v>97.62</v>
      </c>
      <c r="N22" s="64">
        <v>62.7</v>
      </c>
      <c r="O22" s="64">
        <v>0</v>
      </c>
      <c r="P22" s="64">
        <v>0.54</v>
      </c>
      <c r="Q22" s="64">
        <v>9.14</v>
      </c>
      <c r="R22" s="198"/>
      <c r="S22" s="198"/>
      <c r="T22" s="198"/>
      <c r="U22" s="198"/>
    </row>
    <row r="23" spans="1:21" s="12" customFormat="1" x14ac:dyDescent="0.25">
      <c r="A23" s="211" t="s">
        <v>1795</v>
      </c>
      <c r="B23" s="64">
        <v>7.96</v>
      </c>
      <c r="C23" s="64">
        <v>12.95</v>
      </c>
      <c r="D23" s="64">
        <v>13.15</v>
      </c>
      <c r="E23" s="64">
        <v>3.44</v>
      </c>
      <c r="F23" s="64">
        <v>6.58</v>
      </c>
      <c r="G23" s="64">
        <v>21.88</v>
      </c>
      <c r="H23" s="64">
        <v>6.88</v>
      </c>
      <c r="I23" s="64">
        <v>1.47</v>
      </c>
      <c r="J23" s="64">
        <v>0.16</v>
      </c>
      <c r="K23" s="64">
        <v>158.74</v>
      </c>
      <c r="L23" s="64">
        <v>22.02</v>
      </c>
      <c r="M23" s="64">
        <v>97.61</v>
      </c>
      <c r="N23" s="64">
        <v>62.6</v>
      </c>
      <c r="O23" s="64">
        <v>0.2</v>
      </c>
      <c r="P23" s="64">
        <v>0.5</v>
      </c>
      <c r="Q23" s="64">
        <v>9.15</v>
      </c>
      <c r="R23" s="198"/>
      <c r="S23" s="198"/>
      <c r="T23" s="198"/>
      <c r="U23" s="198"/>
    </row>
    <row r="24" spans="1:21" s="12" customFormat="1" x14ac:dyDescent="0.25">
      <c r="A24" s="211" t="s">
        <v>1796</v>
      </c>
      <c r="B24" s="64">
        <v>7.49</v>
      </c>
      <c r="C24" s="64">
        <v>11.28</v>
      </c>
      <c r="D24" s="64">
        <v>11.9</v>
      </c>
      <c r="E24" s="64">
        <v>3.73</v>
      </c>
      <c r="F24" s="64">
        <v>5.59</v>
      </c>
      <c r="G24" s="64">
        <v>21.97</v>
      </c>
      <c r="H24" s="64">
        <v>6.88</v>
      </c>
      <c r="I24" s="64">
        <v>1.54</v>
      </c>
      <c r="J24" s="64">
        <v>0.12</v>
      </c>
      <c r="K24" s="64">
        <v>195.84</v>
      </c>
      <c r="L24" s="64">
        <v>22.02</v>
      </c>
      <c r="M24" s="64">
        <v>97.61</v>
      </c>
      <c r="N24" s="64">
        <v>62.5</v>
      </c>
      <c r="O24" s="64">
        <v>0.2</v>
      </c>
      <c r="P24" s="64">
        <v>0.42</v>
      </c>
      <c r="Q24" s="64">
        <v>9.16</v>
      </c>
      <c r="R24" s="198"/>
      <c r="S24" s="198"/>
      <c r="T24" s="198"/>
      <c r="U24" s="198"/>
    </row>
    <row r="25" spans="1:21" s="12" customFormat="1" x14ac:dyDescent="0.25">
      <c r="A25" s="211" t="s">
        <v>1797</v>
      </c>
      <c r="B25" s="64">
        <v>7.91</v>
      </c>
      <c r="C25" s="64">
        <v>10.4</v>
      </c>
      <c r="D25" s="64">
        <v>11.78</v>
      </c>
      <c r="E25" s="64">
        <v>3.82</v>
      </c>
      <c r="F25" s="64">
        <v>5.71</v>
      </c>
      <c r="G25" s="64">
        <v>21.97</v>
      </c>
      <c r="H25" s="64">
        <v>6.88</v>
      </c>
      <c r="I25" s="64">
        <v>1.58</v>
      </c>
      <c r="J25" s="64">
        <v>0.18</v>
      </c>
      <c r="K25" s="64">
        <v>141.72999999999999</v>
      </c>
      <c r="L25" s="64">
        <v>22.04</v>
      </c>
      <c r="M25" s="64">
        <v>97.6</v>
      </c>
      <c r="N25" s="64">
        <v>62.6</v>
      </c>
      <c r="O25" s="64">
        <v>0</v>
      </c>
      <c r="P25" s="64">
        <v>0.36</v>
      </c>
      <c r="Q25" s="64">
        <v>9.18</v>
      </c>
      <c r="R25" s="198"/>
      <c r="S25" s="198"/>
      <c r="T25" s="198"/>
      <c r="U25" s="198"/>
    </row>
    <row r="26" spans="1:21" s="12" customFormat="1" x14ac:dyDescent="0.25">
      <c r="A26" s="211" t="s">
        <v>1798</v>
      </c>
      <c r="B26" s="64">
        <v>8.19</v>
      </c>
      <c r="C26" s="64">
        <v>10.14</v>
      </c>
      <c r="D26" s="64">
        <v>11.86</v>
      </c>
      <c r="E26" s="64">
        <v>4.05</v>
      </c>
      <c r="F26" s="64">
        <v>5.72</v>
      </c>
      <c r="G26" s="64">
        <v>21.97</v>
      </c>
      <c r="H26" s="64">
        <v>6.88</v>
      </c>
      <c r="I26" s="64">
        <v>1.58</v>
      </c>
      <c r="J26" s="64">
        <v>0.02</v>
      </c>
      <c r="K26" s="64">
        <v>279.98</v>
      </c>
      <c r="L26" s="64">
        <v>22.06</v>
      </c>
      <c r="M26" s="64">
        <v>97.61</v>
      </c>
      <c r="N26" s="64">
        <v>62.5</v>
      </c>
      <c r="O26" s="64">
        <v>0</v>
      </c>
      <c r="P26" s="64">
        <v>0.33</v>
      </c>
      <c r="Q26" s="64">
        <v>9.19</v>
      </c>
      <c r="R26" s="198"/>
      <c r="S26" s="198"/>
      <c r="T26" s="198"/>
      <c r="U26" s="198"/>
    </row>
    <row r="27" spans="1:21" s="12" customFormat="1" x14ac:dyDescent="0.25">
      <c r="A27" s="211" t="s">
        <v>1799</v>
      </c>
      <c r="B27" s="64">
        <v>8.19</v>
      </c>
      <c r="C27" s="64">
        <v>10.89</v>
      </c>
      <c r="D27" s="64">
        <v>12.26</v>
      </c>
      <c r="E27" s="64">
        <v>3.76</v>
      </c>
      <c r="F27" s="64">
        <v>6.08</v>
      </c>
      <c r="G27" s="64">
        <v>23.01</v>
      </c>
      <c r="H27" s="64">
        <v>5.41</v>
      </c>
      <c r="I27" s="64">
        <v>1.59</v>
      </c>
      <c r="J27" s="64">
        <v>0.04</v>
      </c>
      <c r="K27" s="64">
        <v>263.88</v>
      </c>
      <c r="L27" s="64">
        <v>22.08</v>
      </c>
      <c r="M27" s="64">
        <v>97.6</v>
      </c>
      <c r="N27" s="64">
        <v>62.5</v>
      </c>
      <c r="O27" s="64">
        <v>0</v>
      </c>
      <c r="P27" s="64">
        <v>0.3</v>
      </c>
      <c r="Q27" s="64">
        <v>9.19</v>
      </c>
      <c r="R27" s="198"/>
      <c r="S27" s="198"/>
      <c r="T27" s="198"/>
      <c r="U27" s="198"/>
    </row>
    <row r="28" spans="1:21" s="12" customFormat="1" x14ac:dyDescent="0.25">
      <c r="A28" s="211" t="s">
        <v>1800</v>
      </c>
      <c r="B28" s="64">
        <v>10.48</v>
      </c>
      <c r="C28" s="64">
        <v>12.77</v>
      </c>
      <c r="D28" s="64">
        <v>15.08</v>
      </c>
      <c r="E28" s="64">
        <v>3.93</v>
      </c>
      <c r="F28" s="64">
        <v>6.05</v>
      </c>
      <c r="G28" s="64">
        <v>23.34</v>
      </c>
      <c r="H28" s="64">
        <v>4.93</v>
      </c>
      <c r="I28" s="64">
        <v>1.58</v>
      </c>
      <c r="J28" s="64">
        <v>0.09</v>
      </c>
      <c r="K28" s="64">
        <v>305.85000000000002</v>
      </c>
      <c r="L28" s="64">
        <v>22.13</v>
      </c>
      <c r="M28" s="64">
        <v>97.6</v>
      </c>
      <c r="N28" s="64">
        <v>62.5</v>
      </c>
      <c r="O28" s="64">
        <v>0.2</v>
      </c>
      <c r="P28" s="64">
        <v>0.35</v>
      </c>
      <c r="Q28" s="64">
        <v>9.1999999999999993</v>
      </c>
      <c r="R28" s="198"/>
      <c r="S28" s="198"/>
      <c r="T28" s="198"/>
      <c r="U28" s="198"/>
    </row>
    <row r="29" spans="1:21" s="12" customFormat="1" x14ac:dyDescent="0.25">
      <c r="A29" s="211" t="s">
        <v>1801</v>
      </c>
      <c r="B29" s="64">
        <v>11.47</v>
      </c>
      <c r="C29" s="64">
        <v>10.11</v>
      </c>
      <c r="D29" s="64">
        <v>14.48</v>
      </c>
      <c r="E29" s="64">
        <v>4.03</v>
      </c>
      <c r="F29" s="64">
        <v>4.54</v>
      </c>
      <c r="G29" s="64">
        <v>23.34</v>
      </c>
      <c r="H29" s="64">
        <v>4.93</v>
      </c>
      <c r="I29" s="64">
        <v>1.57</v>
      </c>
      <c r="J29" s="64">
        <v>0.83</v>
      </c>
      <c r="K29" s="64">
        <v>324.44</v>
      </c>
      <c r="L29" s="64">
        <v>22.19</v>
      </c>
      <c r="M29" s="64">
        <v>97.62</v>
      </c>
      <c r="N29" s="64">
        <v>62.9</v>
      </c>
      <c r="O29" s="64">
        <v>1</v>
      </c>
      <c r="P29" s="64">
        <v>0.41</v>
      </c>
      <c r="Q29" s="64">
        <v>9.1999999999999993</v>
      </c>
      <c r="R29" s="198"/>
      <c r="S29" s="198"/>
      <c r="T29" s="198"/>
      <c r="U29" s="198"/>
    </row>
    <row r="30" spans="1:21" s="12" customFormat="1" x14ac:dyDescent="0.25">
      <c r="A30" s="211" t="s">
        <v>1802</v>
      </c>
      <c r="B30" s="64">
        <v>11.53</v>
      </c>
      <c r="C30" s="64">
        <v>9.4</v>
      </c>
      <c r="D30" s="64">
        <v>14.16</v>
      </c>
      <c r="E30" s="64">
        <v>3.83</v>
      </c>
      <c r="F30" s="64">
        <v>3.75</v>
      </c>
      <c r="G30" s="64">
        <v>23.34</v>
      </c>
      <c r="H30" s="64">
        <v>4.93</v>
      </c>
      <c r="I30" s="64">
        <v>1.53</v>
      </c>
      <c r="J30" s="64">
        <v>0.65</v>
      </c>
      <c r="K30" s="64">
        <v>318.58999999999997</v>
      </c>
      <c r="L30" s="64">
        <v>22.15</v>
      </c>
      <c r="M30" s="64">
        <v>97.6</v>
      </c>
      <c r="N30" s="64">
        <v>62.8</v>
      </c>
      <c r="O30" s="64">
        <v>3.2</v>
      </c>
      <c r="P30" s="64">
        <v>0.39</v>
      </c>
      <c r="Q30" s="64">
        <v>9.19</v>
      </c>
      <c r="R30" s="198"/>
      <c r="S30" s="198"/>
      <c r="T30" s="198"/>
      <c r="U30" s="198"/>
    </row>
    <row r="31" spans="1:21" s="12" customFormat="1" x14ac:dyDescent="0.25">
      <c r="A31" s="211" t="s">
        <v>1803</v>
      </c>
      <c r="B31" s="64">
        <v>11.58</v>
      </c>
      <c r="C31" s="64">
        <v>9.2799999999999994</v>
      </c>
      <c r="D31" s="64">
        <v>14.14</v>
      </c>
      <c r="E31" s="64">
        <v>4.17</v>
      </c>
      <c r="F31" s="64">
        <v>3.49</v>
      </c>
      <c r="G31" s="64">
        <v>18.350000000000001</v>
      </c>
      <c r="H31" s="64">
        <v>4.05</v>
      </c>
      <c r="I31" s="64">
        <v>1.47</v>
      </c>
      <c r="J31" s="64">
        <v>0.91</v>
      </c>
      <c r="K31" s="64">
        <v>318.07</v>
      </c>
      <c r="L31" s="64">
        <v>22.02</v>
      </c>
      <c r="M31" s="64">
        <v>97.58</v>
      </c>
      <c r="N31" s="64">
        <v>63.7</v>
      </c>
      <c r="O31" s="64">
        <v>1</v>
      </c>
      <c r="P31" s="64">
        <v>0.37</v>
      </c>
      <c r="Q31" s="64">
        <v>9.18</v>
      </c>
      <c r="R31" s="198"/>
      <c r="S31" s="198"/>
      <c r="T31" s="198"/>
      <c r="U31" s="198"/>
    </row>
    <row r="32" spans="1:21" s="12" customFormat="1" x14ac:dyDescent="0.25">
      <c r="A32" s="211" t="s">
        <v>1804</v>
      </c>
      <c r="B32" s="64">
        <v>11.37</v>
      </c>
      <c r="C32" s="64">
        <v>9.4700000000000006</v>
      </c>
      <c r="D32" s="64">
        <v>14.06</v>
      </c>
      <c r="E32" s="64">
        <v>4</v>
      </c>
      <c r="F32" s="64">
        <v>3.97</v>
      </c>
      <c r="G32" s="64">
        <v>16.739999999999998</v>
      </c>
      <c r="H32" s="64">
        <v>3.77</v>
      </c>
      <c r="I32" s="64">
        <v>1.41</v>
      </c>
      <c r="J32" s="64">
        <v>0.84</v>
      </c>
      <c r="K32" s="64">
        <v>316.8</v>
      </c>
      <c r="L32" s="64">
        <v>21.82</v>
      </c>
      <c r="M32" s="64">
        <v>97.6</v>
      </c>
      <c r="N32" s="64">
        <v>64</v>
      </c>
      <c r="O32" s="64">
        <v>1.4</v>
      </c>
      <c r="P32" s="64">
        <v>0.36</v>
      </c>
      <c r="Q32" s="64">
        <v>9.18</v>
      </c>
      <c r="R32" s="198"/>
      <c r="S32" s="198"/>
      <c r="T32" s="198"/>
      <c r="U32" s="198"/>
    </row>
    <row r="33" spans="1:21" s="12" customFormat="1" x14ac:dyDescent="0.25">
      <c r="A33" s="211" t="s">
        <v>1805</v>
      </c>
      <c r="B33" s="64">
        <v>10.84</v>
      </c>
      <c r="C33" s="64">
        <v>10.15</v>
      </c>
      <c r="D33" s="64">
        <v>13.99</v>
      </c>
      <c r="E33" s="64">
        <v>3.84</v>
      </c>
      <c r="F33" s="64">
        <v>3.34</v>
      </c>
      <c r="G33" s="64">
        <v>16.739999999999998</v>
      </c>
      <c r="H33" s="64">
        <v>3.77</v>
      </c>
      <c r="I33" s="64">
        <v>1.36</v>
      </c>
      <c r="J33" s="64">
        <v>1.03</v>
      </c>
      <c r="K33" s="64">
        <v>318.29000000000002</v>
      </c>
      <c r="L33" s="64">
        <v>21.84</v>
      </c>
      <c r="M33" s="64">
        <v>97.58</v>
      </c>
      <c r="N33" s="64">
        <v>68</v>
      </c>
      <c r="O33" s="64">
        <v>0.4</v>
      </c>
      <c r="P33" s="64">
        <v>0.34</v>
      </c>
      <c r="Q33" s="64">
        <v>9.17</v>
      </c>
      <c r="R33" s="198"/>
      <c r="S33" s="198"/>
      <c r="T33" s="198"/>
      <c r="U33" s="198"/>
    </row>
    <row r="34" spans="1:21" s="12" customFormat="1" x14ac:dyDescent="0.25">
      <c r="A34" s="211" t="s">
        <v>1806</v>
      </c>
      <c r="B34" s="64">
        <v>10.47</v>
      </c>
      <c r="C34" s="64">
        <v>10.27</v>
      </c>
      <c r="D34" s="64">
        <v>13.76</v>
      </c>
      <c r="E34" s="64">
        <v>4.1500000000000004</v>
      </c>
      <c r="F34" s="64">
        <v>2.81</v>
      </c>
      <c r="G34" s="64">
        <v>16.739999999999998</v>
      </c>
      <c r="H34" s="64">
        <v>3.77</v>
      </c>
      <c r="I34" s="64">
        <v>1.31</v>
      </c>
      <c r="J34" s="64">
        <v>0.68</v>
      </c>
      <c r="K34" s="64">
        <v>307.82</v>
      </c>
      <c r="L34" s="64">
        <v>21.73</v>
      </c>
      <c r="M34" s="64">
        <v>97.59</v>
      </c>
      <c r="N34" s="64">
        <v>72</v>
      </c>
      <c r="O34" s="64">
        <v>0.4</v>
      </c>
      <c r="P34" s="64">
        <v>0.34</v>
      </c>
      <c r="Q34" s="64">
        <v>9.16</v>
      </c>
      <c r="R34" s="198"/>
      <c r="S34" s="198"/>
      <c r="T34" s="198"/>
      <c r="U34" s="198"/>
    </row>
    <row r="35" spans="1:21" s="12" customFormat="1" x14ac:dyDescent="0.25">
      <c r="A35" s="211" t="s">
        <v>1807</v>
      </c>
      <c r="B35" s="64">
        <v>10.119999999999999</v>
      </c>
      <c r="C35" s="64">
        <v>10.49</v>
      </c>
      <c r="D35" s="64">
        <v>13.6</v>
      </c>
      <c r="E35" s="64">
        <v>4.2</v>
      </c>
      <c r="F35" s="64">
        <v>3.88</v>
      </c>
      <c r="G35" s="64">
        <v>13.24</v>
      </c>
      <c r="H35" s="64">
        <v>3.24</v>
      </c>
      <c r="I35" s="64">
        <v>1.26</v>
      </c>
      <c r="J35" s="64">
        <v>0.36</v>
      </c>
      <c r="K35" s="64">
        <v>315.16000000000003</v>
      </c>
      <c r="L35" s="64">
        <v>21.74</v>
      </c>
      <c r="M35" s="64">
        <v>97.58</v>
      </c>
      <c r="N35" s="64">
        <v>70.900000000000006</v>
      </c>
      <c r="O35" s="64">
        <v>0.4</v>
      </c>
      <c r="P35" s="64">
        <v>0.32</v>
      </c>
      <c r="Q35" s="64">
        <v>9.14</v>
      </c>
      <c r="R35" s="198"/>
      <c r="S35" s="198"/>
      <c r="T35" s="198"/>
      <c r="U35" s="198"/>
    </row>
    <row r="36" spans="1:21" s="12" customFormat="1" x14ac:dyDescent="0.25">
      <c r="A36" s="211" t="s">
        <v>1808</v>
      </c>
      <c r="B36" s="64">
        <v>10.17</v>
      </c>
      <c r="C36" s="64">
        <v>10.74</v>
      </c>
      <c r="D36" s="64">
        <v>13.77</v>
      </c>
      <c r="E36" s="64">
        <v>3.87</v>
      </c>
      <c r="F36" s="64">
        <v>3.09</v>
      </c>
      <c r="G36" s="64">
        <v>12.1</v>
      </c>
      <c r="H36" s="64">
        <v>3.06</v>
      </c>
      <c r="I36" s="64">
        <v>1.21</v>
      </c>
      <c r="J36" s="64">
        <v>0.44</v>
      </c>
      <c r="K36" s="64">
        <v>314.75</v>
      </c>
      <c r="L36" s="64">
        <v>21.78</v>
      </c>
      <c r="M36" s="64">
        <v>97.58</v>
      </c>
      <c r="N36" s="64">
        <v>70</v>
      </c>
      <c r="O36" s="64">
        <v>1.8</v>
      </c>
      <c r="P36" s="64">
        <v>0.31</v>
      </c>
      <c r="Q36" s="64">
        <v>9.14</v>
      </c>
      <c r="R36" s="198"/>
      <c r="S36" s="198"/>
      <c r="T36" s="198"/>
      <c r="U36" s="198"/>
    </row>
    <row r="37" spans="1:21" s="12" customFormat="1" x14ac:dyDescent="0.25">
      <c r="A37" s="211" t="s">
        <v>1809</v>
      </c>
      <c r="B37" s="64">
        <v>9.8800000000000008</v>
      </c>
      <c r="C37" s="64">
        <v>10.87</v>
      </c>
      <c r="D37" s="64">
        <v>13.6</v>
      </c>
      <c r="E37" s="64">
        <v>3.71</v>
      </c>
      <c r="F37" s="64">
        <v>3.77</v>
      </c>
      <c r="G37" s="64">
        <v>12.1</v>
      </c>
      <c r="H37" s="64">
        <v>3.06</v>
      </c>
      <c r="I37" s="64">
        <v>1.17</v>
      </c>
      <c r="J37" s="64">
        <v>0.51</v>
      </c>
      <c r="K37" s="64">
        <v>306.89</v>
      </c>
      <c r="L37" s="64">
        <v>21.5</v>
      </c>
      <c r="M37" s="64">
        <v>97.58</v>
      </c>
      <c r="N37" s="64">
        <v>89.1</v>
      </c>
      <c r="O37" s="64">
        <v>0.4</v>
      </c>
      <c r="P37" s="64">
        <v>0.28000000000000003</v>
      </c>
      <c r="Q37" s="64">
        <v>9.14</v>
      </c>
      <c r="R37" s="198"/>
      <c r="S37" s="198"/>
      <c r="T37" s="198"/>
      <c r="U37" s="198"/>
    </row>
    <row r="38" spans="1:21" s="12" customFormat="1" x14ac:dyDescent="0.25">
      <c r="A38" s="211" t="s">
        <v>1810</v>
      </c>
      <c r="B38" s="64">
        <v>9.4</v>
      </c>
      <c r="C38" s="64">
        <v>11.63</v>
      </c>
      <c r="D38" s="64">
        <v>13.61</v>
      </c>
      <c r="E38" s="64">
        <v>3.87</v>
      </c>
      <c r="F38" s="64">
        <v>3.93</v>
      </c>
      <c r="G38" s="64">
        <v>12.1</v>
      </c>
      <c r="H38" s="64">
        <v>3.06</v>
      </c>
      <c r="I38" s="64">
        <v>1.1399999999999999</v>
      </c>
      <c r="J38" s="64">
        <v>0.46</v>
      </c>
      <c r="K38" s="64">
        <v>305.45999999999998</v>
      </c>
      <c r="L38" s="64">
        <v>21.66</v>
      </c>
      <c r="M38" s="64">
        <v>97.57</v>
      </c>
      <c r="N38" s="64">
        <v>105.5</v>
      </c>
      <c r="O38" s="64">
        <v>0.2</v>
      </c>
      <c r="P38" s="64">
        <v>0.3</v>
      </c>
      <c r="Q38" s="64">
        <v>9.14</v>
      </c>
      <c r="R38" s="198"/>
      <c r="S38" s="198"/>
      <c r="T38" s="198"/>
      <c r="U38" s="198"/>
    </row>
    <row r="39" spans="1:21" s="12" customFormat="1" x14ac:dyDescent="0.25">
      <c r="A39" s="211" t="s">
        <v>1811</v>
      </c>
      <c r="B39" s="64">
        <v>10.130000000000001</v>
      </c>
      <c r="C39" s="64">
        <v>10.88</v>
      </c>
      <c r="D39" s="64">
        <v>13.81</v>
      </c>
      <c r="E39" s="64">
        <v>3.57</v>
      </c>
      <c r="F39" s="64">
        <v>3.25</v>
      </c>
      <c r="G39" s="64">
        <v>11.52</v>
      </c>
      <c r="H39" s="64">
        <v>2.5099999999999998</v>
      </c>
      <c r="I39" s="64">
        <v>1.0900000000000001</v>
      </c>
      <c r="J39" s="64">
        <v>0.34</v>
      </c>
      <c r="K39" s="64">
        <v>304</v>
      </c>
      <c r="L39" s="64">
        <v>21.85</v>
      </c>
      <c r="M39" s="64">
        <v>97.55</v>
      </c>
      <c r="N39" s="64">
        <v>112</v>
      </c>
      <c r="O39" s="64">
        <v>0.8</v>
      </c>
      <c r="P39" s="64">
        <v>0.28000000000000003</v>
      </c>
      <c r="Q39" s="64">
        <v>9.1300000000000008</v>
      </c>
      <c r="R39" s="198"/>
      <c r="S39" s="198"/>
      <c r="T39" s="198"/>
      <c r="U39" s="198"/>
    </row>
    <row r="40" spans="1:21" s="12" customFormat="1" x14ac:dyDescent="0.25">
      <c r="A40" s="211" t="s">
        <v>1812</v>
      </c>
      <c r="B40" s="64">
        <v>10.37</v>
      </c>
      <c r="C40" s="64">
        <v>10.77</v>
      </c>
      <c r="D40" s="64">
        <v>13.94</v>
      </c>
      <c r="E40" s="64">
        <v>3.66</v>
      </c>
      <c r="F40" s="64">
        <v>3.76</v>
      </c>
      <c r="G40" s="64">
        <v>11.33</v>
      </c>
      <c r="H40" s="64">
        <v>2.33</v>
      </c>
      <c r="I40" s="64">
        <v>1.07</v>
      </c>
      <c r="J40" s="64">
        <v>0.24</v>
      </c>
      <c r="K40" s="64">
        <v>297.13</v>
      </c>
      <c r="L40" s="64">
        <v>22.14</v>
      </c>
      <c r="M40" s="64">
        <v>97.58</v>
      </c>
      <c r="N40" s="64">
        <v>119.8</v>
      </c>
      <c r="O40" s="64">
        <v>0.2</v>
      </c>
      <c r="P40" s="64">
        <v>0.28000000000000003</v>
      </c>
      <c r="Q40" s="64">
        <v>9.16</v>
      </c>
      <c r="R40" s="198"/>
      <c r="S40" s="198"/>
      <c r="T40" s="198"/>
      <c r="U40" s="198"/>
    </row>
    <row r="41" spans="1:21" s="12" customFormat="1" x14ac:dyDescent="0.25">
      <c r="A41" s="211" t="s">
        <v>1813</v>
      </c>
      <c r="B41" s="64">
        <v>12.15</v>
      </c>
      <c r="C41" s="64">
        <v>11.17</v>
      </c>
      <c r="D41" s="64">
        <v>15.58</v>
      </c>
      <c r="E41" s="64">
        <v>4.62</v>
      </c>
      <c r="F41" s="64">
        <v>3.9</v>
      </c>
      <c r="G41" s="64">
        <v>11.33</v>
      </c>
      <c r="H41" s="64">
        <v>2.33</v>
      </c>
      <c r="I41" s="64">
        <v>1.0900000000000001</v>
      </c>
      <c r="J41" s="64">
        <v>0.23</v>
      </c>
      <c r="K41" s="64">
        <v>300.83</v>
      </c>
      <c r="L41" s="64">
        <v>22.44</v>
      </c>
      <c r="M41" s="64">
        <v>97.57</v>
      </c>
      <c r="N41" s="64">
        <v>170.3</v>
      </c>
      <c r="O41" s="64">
        <v>0</v>
      </c>
      <c r="P41" s="64">
        <v>0.28999999999999998</v>
      </c>
      <c r="Q41" s="64">
        <v>9.19</v>
      </c>
      <c r="R41" s="198"/>
      <c r="S41" s="198"/>
      <c r="T41" s="198"/>
      <c r="U41" s="198"/>
    </row>
    <row r="42" spans="1:21" s="12" customFormat="1" x14ac:dyDescent="0.25">
      <c r="A42" s="211" t="s">
        <v>1814</v>
      </c>
      <c r="B42" s="64">
        <v>11.38</v>
      </c>
      <c r="C42" s="64">
        <v>11.36</v>
      </c>
      <c r="D42" s="64">
        <v>15.06</v>
      </c>
      <c r="E42" s="64">
        <v>4.78</v>
      </c>
      <c r="F42" s="64">
        <v>3.84</v>
      </c>
      <c r="G42" s="64">
        <v>11.33</v>
      </c>
      <c r="H42" s="64">
        <v>2.33</v>
      </c>
      <c r="I42" s="64">
        <v>1.1200000000000001</v>
      </c>
      <c r="J42" s="64">
        <v>0.17</v>
      </c>
      <c r="K42" s="64">
        <v>296.3</v>
      </c>
      <c r="L42" s="64">
        <v>22.9</v>
      </c>
      <c r="M42" s="64">
        <v>97.57</v>
      </c>
      <c r="N42" s="64">
        <v>216.1</v>
      </c>
      <c r="O42" s="64">
        <v>0</v>
      </c>
      <c r="P42" s="64">
        <v>0.3</v>
      </c>
      <c r="Q42" s="64">
        <v>9.1999999999999993</v>
      </c>
      <c r="R42" s="198"/>
      <c r="S42" s="198"/>
      <c r="T42" s="198"/>
      <c r="U42" s="198"/>
    </row>
    <row r="43" spans="1:21" s="12" customFormat="1" x14ac:dyDescent="0.25">
      <c r="A43" s="211" t="s">
        <v>1815</v>
      </c>
      <c r="B43" s="64">
        <v>11.73</v>
      </c>
      <c r="C43" s="64">
        <v>12.38</v>
      </c>
      <c r="D43" s="64">
        <v>15.87</v>
      </c>
      <c r="E43" s="64">
        <v>4.92</v>
      </c>
      <c r="F43" s="64">
        <v>3.98</v>
      </c>
      <c r="G43" s="64">
        <v>10.27</v>
      </c>
      <c r="H43" s="64">
        <v>1.87</v>
      </c>
      <c r="I43" s="64">
        <v>1.1299999999999999</v>
      </c>
      <c r="J43" s="64">
        <v>0.22</v>
      </c>
      <c r="K43" s="64">
        <v>299.18</v>
      </c>
      <c r="L43" s="64">
        <v>23.35</v>
      </c>
      <c r="M43" s="64">
        <v>97.56</v>
      </c>
      <c r="N43" s="64">
        <v>286</v>
      </c>
      <c r="O43" s="64">
        <v>0</v>
      </c>
      <c r="P43" s="64">
        <v>0.3</v>
      </c>
      <c r="Q43" s="64">
        <v>9.2200000000000006</v>
      </c>
      <c r="R43" s="198"/>
      <c r="S43" s="198"/>
      <c r="T43" s="198"/>
      <c r="U43" s="198"/>
    </row>
    <row r="44" spans="1:21" s="12" customFormat="1" x14ac:dyDescent="0.25">
      <c r="A44" s="211" t="s">
        <v>1816</v>
      </c>
      <c r="B44" s="64">
        <v>12.03</v>
      </c>
      <c r="C44" s="64">
        <v>11.7</v>
      </c>
      <c r="D44" s="64">
        <v>15.76</v>
      </c>
      <c r="E44" s="64">
        <v>4.78</v>
      </c>
      <c r="F44" s="64">
        <v>3.98</v>
      </c>
      <c r="G44" s="64">
        <v>9.93</v>
      </c>
      <c r="H44" s="64">
        <v>1.72</v>
      </c>
      <c r="I44" s="64">
        <v>1.1499999999999999</v>
      </c>
      <c r="J44" s="64">
        <v>0.25</v>
      </c>
      <c r="K44" s="64">
        <v>293.11</v>
      </c>
      <c r="L44" s="64">
        <v>23.62</v>
      </c>
      <c r="M44" s="64">
        <v>97.55</v>
      </c>
      <c r="N44" s="64">
        <v>274.60000000000002</v>
      </c>
      <c r="O44" s="64">
        <v>0</v>
      </c>
      <c r="P44" s="64">
        <v>0.3</v>
      </c>
      <c r="Q44" s="64">
        <v>9.24</v>
      </c>
      <c r="R44" s="198"/>
      <c r="S44" s="198"/>
      <c r="T44" s="198"/>
      <c r="U44" s="198"/>
    </row>
    <row r="45" spans="1:21" s="12" customFormat="1" x14ac:dyDescent="0.25">
      <c r="A45" s="211" t="s">
        <v>1817</v>
      </c>
      <c r="B45" s="64">
        <v>12.49</v>
      </c>
      <c r="C45" s="64">
        <v>11.61</v>
      </c>
      <c r="D45" s="64">
        <v>16.09</v>
      </c>
      <c r="E45" s="64">
        <v>4.83</v>
      </c>
      <c r="F45" s="64">
        <v>3.69</v>
      </c>
      <c r="G45" s="64">
        <v>9.93</v>
      </c>
      <c r="H45" s="64">
        <v>1.72</v>
      </c>
      <c r="I45" s="64">
        <v>1.17</v>
      </c>
      <c r="J45" s="64">
        <v>0.21</v>
      </c>
      <c r="K45" s="64">
        <v>299.83</v>
      </c>
      <c r="L45" s="64">
        <v>23.48</v>
      </c>
      <c r="M45" s="64">
        <v>97.56</v>
      </c>
      <c r="N45" s="64">
        <v>208</v>
      </c>
      <c r="O45" s="64">
        <v>0</v>
      </c>
      <c r="P45" s="64">
        <v>0.31</v>
      </c>
      <c r="Q45" s="64">
        <v>9.25</v>
      </c>
      <c r="R45" s="198"/>
      <c r="S45" s="198"/>
      <c r="T45" s="198"/>
      <c r="U45" s="198"/>
    </row>
    <row r="46" spans="1:21" s="12" customFormat="1" x14ac:dyDescent="0.25">
      <c r="A46" s="211" t="s">
        <v>1818</v>
      </c>
      <c r="B46" s="64">
        <v>11.69</v>
      </c>
      <c r="C46" s="64">
        <v>11.97</v>
      </c>
      <c r="D46" s="64">
        <v>15.63</v>
      </c>
      <c r="E46" s="64">
        <v>4.74</v>
      </c>
      <c r="F46" s="64">
        <v>3.72</v>
      </c>
      <c r="G46" s="64">
        <v>9.93</v>
      </c>
      <c r="H46" s="64">
        <v>1.72</v>
      </c>
      <c r="I46" s="64">
        <v>1.2</v>
      </c>
      <c r="J46" s="64">
        <v>0.28999999999999998</v>
      </c>
      <c r="K46" s="64">
        <v>290.08</v>
      </c>
      <c r="L46" s="64">
        <v>23.28</v>
      </c>
      <c r="M46" s="64">
        <v>97.57</v>
      </c>
      <c r="N46" s="64">
        <v>141</v>
      </c>
      <c r="O46" s="64">
        <v>0</v>
      </c>
      <c r="P46" s="64">
        <v>0.31</v>
      </c>
      <c r="Q46" s="64">
        <v>9.24</v>
      </c>
      <c r="R46" s="198"/>
      <c r="S46" s="198"/>
      <c r="T46" s="198"/>
      <c r="U46" s="198"/>
    </row>
    <row r="47" spans="1:21" s="12" customFormat="1" x14ac:dyDescent="0.25">
      <c r="A47" s="211" t="s">
        <v>1819</v>
      </c>
      <c r="B47" s="64">
        <v>11.13</v>
      </c>
      <c r="C47" s="64">
        <v>12.49</v>
      </c>
      <c r="D47" s="64">
        <v>15.45</v>
      </c>
      <c r="E47" s="64">
        <v>4.78</v>
      </c>
      <c r="F47" s="64">
        <v>3.41</v>
      </c>
      <c r="G47" s="64">
        <v>10.46</v>
      </c>
      <c r="H47" s="64">
        <v>2.0499999999999998</v>
      </c>
      <c r="I47" s="64">
        <v>1.22</v>
      </c>
      <c r="J47" s="64">
        <v>0.2</v>
      </c>
      <c r="K47" s="64">
        <v>290.45</v>
      </c>
      <c r="L47" s="64">
        <v>23.39</v>
      </c>
      <c r="M47" s="64">
        <v>97.58</v>
      </c>
      <c r="N47" s="64">
        <v>152.80000000000001</v>
      </c>
      <c r="O47" s="64">
        <v>0</v>
      </c>
      <c r="P47" s="64">
        <v>0.34</v>
      </c>
      <c r="Q47" s="64">
        <v>9.1999999999999993</v>
      </c>
      <c r="R47" s="198"/>
      <c r="S47" s="198"/>
      <c r="T47" s="198"/>
      <c r="U47" s="198"/>
    </row>
    <row r="48" spans="1:21" s="12" customFormat="1" x14ac:dyDescent="0.25">
      <c r="A48" s="211" t="s">
        <v>1820</v>
      </c>
      <c r="B48" s="64">
        <v>11.97</v>
      </c>
      <c r="C48" s="64">
        <v>12.48</v>
      </c>
      <c r="D48" s="64">
        <v>16.12</v>
      </c>
      <c r="E48" s="64">
        <v>4.76</v>
      </c>
      <c r="F48" s="64">
        <v>3.49</v>
      </c>
      <c r="G48" s="64">
        <v>10.63</v>
      </c>
      <c r="H48" s="64">
        <v>2.16</v>
      </c>
      <c r="I48" s="64">
        <v>1.23</v>
      </c>
      <c r="J48" s="64">
        <v>0.1</v>
      </c>
      <c r="K48" s="64">
        <v>295.61</v>
      </c>
      <c r="L48" s="64">
        <v>23.64</v>
      </c>
      <c r="M48" s="64">
        <v>97.56</v>
      </c>
      <c r="N48" s="64">
        <v>248.7</v>
      </c>
      <c r="O48" s="64">
        <v>0</v>
      </c>
      <c r="P48" s="64">
        <v>0.38</v>
      </c>
      <c r="Q48" s="64">
        <v>9.19</v>
      </c>
      <c r="R48" s="198"/>
      <c r="S48" s="198"/>
      <c r="T48" s="198"/>
      <c r="U48" s="198"/>
    </row>
    <row r="49" spans="1:21" s="12" customFormat="1" x14ac:dyDescent="0.25">
      <c r="A49" s="211" t="s">
        <v>1821</v>
      </c>
      <c r="B49" s="64">
        <v>12.35</v>
      </c>
      <c r="C49" s="64">
        <v>12.21</v>
      </c>
      <c r="D49" s="64">
        <v>16.28</v>
      </c>
      <c r="E49" s="64">
        <v>4.96</v>
      </c>
      <c r="F49" s="64">
        <v>2.92</v>
      </c>
      <c r="G49" s="64">
        <v>10.63</v>
      </c>
      <c r="H49" s="64">
        <v>2.16</v>
      </c>
      <c r="I49" s="64">
        <v>1.28</v>
      </c>
      <c r="J49" s="64">
        <v>0.15</v>
      </c>
      <c r="K49" s="64">
        <v>275.45</v>
      </c>
      <c r="L49" s="64">
        <v>24.7</v>
      </c>
      <c r="M49" s="64">
        <v>97.51</v>
      </c>
      <c r="N49" s="64">
        <v>338.9</v>
      </c>
      <c r="O49" s="64">
        <v>0</v>
      </c>
      <c r="P49" s="64">
        <v>0.41</v>
      </c>
      <c r="Q49" s="64">
        <v>9.2100000000000009</v>
      </c>
      <c r="R49" s="198"/>
      <c r="S49" s="198"/>
      <c r="T49" s="198"/>
      <c r="U49" s="198"/>
    </row>
    <row r="50" spans="1:21" s="12" customFormat="1" x14ac:dyDescent="0.25">
      <c r="A50" s="211" t="s">
        <v>1822</v>
      </c>
      <c r="B50" s="64">
        <v>12.25</v>
      </c>
      <c r="C50" s="64">
        <v>12.38</v>
      </c>
      <c r="D50" s="64">
        <v>16.29</v>
      </c>
      <c r="E50" s="64">
        <v>4.76</v>
      </c>
      <c r="F50" s="64">
        <v>3.65</v>
      </c>
      <c r="G50" s="64">
        <v>10.63</v>
      </c>
      <c r="H50" s="64">
        <v>2.16</v>
      </c>
      <c r="I50" s="64">
        <v>1.39</v>
      </c>
      <c r="J50" s="64">
        <v>0.19</v>
      </c>
      <c r="K50" s="64">
        <v>294.25</v>
      </c>
      <c r="L50" s="64">
        <v>24.86</v>
      </c>
      <c r="M50" s="64">
        <v>97.49</v>
      </c>
      <c r="N50" s="64">
        <v>286.39999999999998</v>
      </c>
      <c r="O50" s="64">
        <v>0</v>
      </c>
      <c r="P50" s="64">
        <v>0.46</v>
      </c>
      <c r="Q50" s="64">
        <v>9.2100000000000009</v>
      </c>
      <c r="R50" s="198"/>
      <c r="S50" s="198"/>
      <c r="T50" s="198"/>
      <c r="U50" s="198"/>
    </row>
    <row r="51" spans="1:21" s="12" customFormat="1" x14ac:dyDescent="0.25">
      <c r="A51" s="211" t="s">
        <v>1823</v>
      </c>
      <c r="B51" s="64">
        <v>11.9</v>
      </c>
      <c r="C51" s="64">
        <v>13.16</v>
      </c>
      <c r="D51" s="64">
        <v>16.420000000000002</v>
      </c>
      <c r="E51" s="64">
        <v>4.54</v>
      </c>
      <c r="F51" s="64">
        <v>3.67</v>
      </c>
      <c r="G51" s="64">
        <v>20.3</v>
      </c>
      <c r="H51" s="64">
        <v>3.84</v>
      </c>
      <c r="I51" s="64">
        <v>1.58</v>
      </c>
      <c r="J51" s="64">
        <v>0.22</v>
      </c>
      <c r="K51" s="64">
        <v>285.54000000000002</v>
      </c>
      <c r="L51" s="64">
        <v>25.16</v>
      </c>
      <c r="M51" s="64">
        <v>97.5</v>
      </c>
      <c r="N51" s="64">
        <v>296.10000000000002</v>
      </c>
      <c r="O51" s="64">
        <v>0</v>
      </c>
      <c r="P51" s="64">
        <v>0.5</v>
      </c>
      <c r="Q51" s="64">
        <v>9.2200000000000006</v>
      </c>
      <c r="R51" s="198"/>
      <c r="S51" s="198"/>
      <c r="T51" s="198"/>
      <c r="U51" s="198"/>
    </row>
    <row r="52" spans="1:21" s="12" customFormat="1" x14ac:dyDescent="0.25">
      <c r="A52" s="211" t="s">
        <v>1824</v>
      </c>
      <c r="B52" s="64">
        <v>11.63</v>
      </c>
      <c r="C52" s="64">
        <v>13.6</v>
      </c>
      <c r="D52" s="64">
        <v>16.43</v>
      </c>
      <c r="E52" s="64">
        <v>4.8499999999999996</v>
      </c>
      <c r="F52" s="64">
        <v>3.34</v>
      </c>
      <c r="G52" s="64">
        <v>23.42</v>
      </c>
      <c r="H52" s="64">
        <v>4.38</v>
      </c>
      <c r="I52" s="64">
        <v>1.85</v>
      </c>
      <c r="J52" s="64">
        <v>0.15</v>
      </c>
      <c r="K52" s="64">
        <v>282.98</v>
      </c>
      <c r="L52" s="64">
        <v>25.33</v>
      </c>
      <c r="M52" s="64">
        <v>97.45</v>
      </c>
      <c r="N52" s="64">
        <v>343.7</v>
      </c>
      <c r="O52" s="64">
        <v>0</v>
      </c>
      <c r="P52" s="64">
        <v>0.52</v>
      </c>
      <c r="Q52" s="64">
        <v>9.2100000000000009</v>
      </c>
      <c r="R52" s="198"/>
      <c r="S52" s="198"/>
      <c r="T52" s="198"/>
      <c r="U52" s="198"/>
    </row>
    <row r="53" spans="1:21" s="12" customFormat="1" x14ac:dyDescent="0.25">
      <c r="A53" s="211" t="s">
        <v>1825</v>
      </c>
      <c r="B53" s="64">
        <v>11.75</v>
      </c>
      <c r="C53" s="64">
        <v>13.57</v>
      </c>
      <c r="D53" s="64">
        <v>16.510000000000002</v>
      </c>
      <c r="E53" s="64">
        <v>4.8</v>
      </c>
      <c r="F53" s="64">
        <v>3.98</v>
      </c>
      <c r="G53" s="64">
        <v>23.42</v>
      </c>
      <c r="H53" s="64">
        <v>4.38</v>
      </c>
      <c r="I53" s="64">
        <v>2.12</v>
      </c>
      <c r="J53" s="64">
        <v>0.21</v>
      </c>
      <c r="K53" s="64">
        <v>278.22000000000003</v>
      </c>
      <c r="L53" s="64">
        <v>26.02</v>
      </c>
      <c r="M53" s="64">
        <v>97.4</v>
      </c>
      <c r="N53" s="64">
        <v>375.4</v>
      </c>
      <c r="O53" s="64">
        <v>0</v>
      </c>
      <c r="P53" s="64">
        <v>0.52</v>
      </c>
      <c r="Q53" s="64">
        <v>9.2100000000000009</v>
      </c>
      <c r="R53" s="198"/>
      <c r="S53" s="198"/>
      <c r="T53" s="198"/>
      <c r="U53" s="198"/>
    </row>
    <row r="54" spans="1:21" s="12" customFormat="1" x14ac:dyDescent="0.25">
      <c r="A54" s="211" t="s">
        <v>1826</v>
      </c>
      <c r="B54" s="64">
        <v>11.69</v>
      </c>
      <c r="C54" s="64">
        <v>13.56</v>
      </c>
      <c r="D54" s="64">
        <v>16.46</v>
      </c>
      <c r="E54" s="64">
        <v>4.93</v>
      </c>
      <c r="F54" s="64">
        <v>3.45</v>
      </c>
      <c r="G54" s="64">
        <v>23.42</v>
      </c>
      <c r="H54" s="64">
        <v>4.38</v>
      </c>
      <c r="I54" s="64">
        <v>2.2599999999999998</v>
      </c>
      <c r="J54" s="64">
        <v>0.23</v>
      </c>
      <c r="K54" s="64">
        <v>281.01</v>
      </c>
      <c r="L54" s="64">
        <v>26.46</v>
      </c>
      <c r="M54" s="64">
        <v>96.94</v>
      </c>
      <c r="N54" s="64">
        <v>411.6</v>
      </c>
      <c r="O54" s="64">
        <v>0</v>
      </c>
      <c r="P54" s="64">
        <v>0.52</v>
      </c>
      <c r="Q54" s="64">
        <v>9.2200000000000006</v>
      </c>
      <c r="R54" s="198"/>
      <c r="S54" s="198"/>
      <c r="T54" s="198"/>
      <c r="U54" s="198"/>
    </row>
    <row r="55" spans="1:21" s="12" customFormat="1" x14ac:dyDescent="0.25">
      <c r="A55" s="211" t="s">
        <v>1827</v>
      </c>
      <c r="B55" s="64">
        <v>11.46</v>
      </c>
      <c r="C55" s="64">
        <v>14.18</v>
      </c>
      <c r="D55" s="64">
        <v>16.600000000000001</v>
      </c>
      <c r="E55" s="64">
        <v>4.76</v>
      </c>
      <c r="F55" s="64">
        <v>4.1900000000000004</v>
      </c>
      <c r="G55" s="64">
        <v>29.43</v>
      </c>
      <c r="H55" s="64">
        <v>5.44</v>
      </c>
      <c r="I55" s="64">
        <v>2.1800000000000002</v>
      </c>
      <c r="J55" s="64">
        <v>0.19</v>
      </c>
      <c r="K55" s="64">
        <v>291.06</v>
      </c>
      <c r="L55" s="64">
        <v>26.34</v>
      </c>
      <c r="M55" s="64">
        <v>96.78</v>
      </c>
      <c r="N55" s="64">
        <v>381.3</v>
      </c>
      <c r="O55" s="64">
        <v>0</v>
      </c>
      <c r="P55" s="64">
        <v>0.54</v>
      </c>
      <c r="Q55" s="64">
        <v>9.2200000000000006</v>
      </c>
      <c r="R55" s="198"/>
      <c r="S55" s="198"/>
      <c r="T55" s="198"/>
      <c r="U55" s="198"/>
    </row>
    <row r="56" spans="1:21" s="12" customFormat="1" x14ac:dyDescent="0.25">
      <c r="A56" s="211" t="s">
        <v>1828</v>
      </c>
      <c r="B56" s="64">
        <v>11.47</v>
      </c>
      <c r="C56" s="64">
        <v>14.91</v>
      </c>
      <c r="D56" s="64">
        <v>16.989999999999998</v>
      </c>
      <c r="E56" s="64">
        <v>4.59</v>
      </c>
      <c r="F56" s="64">
        <v>3.49</v>
      </c>
      <c r="G56" s="64">
        <v>31.38</v>
      </c>
      <c r="H56" s="64">
        <v>5.78</v>
      </c>
      <c r="I56" s="64">
        <v>2.14</v>
      </c>
      <c r="J56" s="64">
        <v>0.25</v>
      </c>
      <c r="K56" s="64">
        <v>284.60000000000002</v>
      </c>
      <c r="L56" s="64">
        <v>26.88</v>
      </c>
      <c r="M56" s="64">
        <v>95.94</v>
      </c>
      <c r="N56" s="64">
        <v>292.3</v>
      </c>
      <c r="O56" s="64">
        <v>0</v>
      </c>
      <c r="P56" s="64">
        <v>0.56000000000000005</v>
      </c>
      <c r="Q56" s="64">
        <v>9.23</v>
      </c>
      <c r="R56" s="198"/>
      <c r="S56" s="198"/>
      <c r="T56" s="198"/>
      <c r="U56" s="198"/>
    </row>
    <row r="57" spans="1:21" s="12" customFormat="1" x14ac:dyDescent="0.25">
      <c r="A57" s="211" t="s">
        <v>1829</v>
      </c>
      <c r="B57" s="64">
        <v>12.31</v>
      </c>
      <c r="C57" s="64">
        <v>15.88</v>
      </c>
      <c r="D57" s="64">
        <v>18.170000000000002</v>
      </c>
      <c r="E57" s="64">
        <v>4.49</v>
      </c>
      <c r="F57" s="64">
        <v>4.6500000000000004</v>
      </c>
      <c r="G57" s="64">
        <v>31.38</v>
      </c>
      <c r="H57" s="64">
        <v>5.78</v>
      </c>
      <c r="I57" s="64">
        <v>2.21</v>
      </c>
      <c r="J57" s="64">
        <v>0.23</v>
      </c>
      <c r="K57" s="64">
        <v>287.77999999999997</v>
      </c>
      <c r="L57" s="64">
        <v>27.5</v>
      </c>
      <c r="M57" s="64">
        <v>92.48</v>
      </c>
      <c r="N57" s="64">
        <v>393.4</v>
      </c>
      <c r="O57" s="64">
        <v>0</v>
      </c>
      <c r="P57" s="64">
        <v>0.61</v>
      </c>
      <c r="Q57" s="64">
        <v>9.24</v>
      </c>
      <c r="R57" s="198"/>
      <c r="S57" s="198"/>
      <c r="T57" s="198"/>
      <c r="U57" s="198"/>
    </row>
    <row r="58" spans="1:21" s="12" customFormat="1" x14ac:dyDescent="0.25">
      <c r="A58" s="211" t="s">
        <v>1830</v>
      </c>
      <c r="B58" s="64">
        <v>12.19</v>
      </c>
      <c r="C58" s="64">
        <v>16.190000000000001</v>
      </c>
      <c r="D58" s="64">
        <v>18.23</v>
      </c>
      <c r="E58" s="64">
        <v>4.7699999999999996</v>
      </c>
      <c r="F58" s="64">
        <v>6.36</v>
      </c>
      <c r="G58" s="64">
        <v>31.38</v>
      </c>
      <c r="H58" s="64">
        <v>5.78</v>
      </c>
      <c r="I58" s="64">
        <v>2.31</v>
      </c>
      <c r="J58" s="64">
        <v>0.25</v>
      </c>
      <c r="K58" s="64">
        <v>285.36</v>
      </c>
      <c r="L58" s="64">
        <v>27.74</v>
      </c>
      <c r="M58" s="64">
        <v>91.33</v>
      </c>
      <c r="N58" s="64">
        <v>352.1</v>
      </c>
      <c r="O58" s="64">
        <v>0</v>
      </c>
      <c r="P58" s="64">
        <v>0.66</v>
      </c>
      <c r="Q58" s="64">
        <v>9.24</v>
      </c>
      <c r="R58" s="198"/>
      <c r="S58" s="198"/>
      <c r="T58" s="198"/>
      <c r="U58" s="198"/>
    </row>
    <row r="59" spans="1:21" s="12" customFormat="1" x14ac:dyDescent="0.25">
      <c r="A59" s="211" t="s">
        <v>1831</v>
      </c>
      <c r="B59" s="64">
        <v>12.09</v>
      </c>
      <c r="C59" s="64">
        <v>17.04</v>
      </c>
      <c r="D59" s="64">
        <v>18.59</v>
      </c>
      <c r="E59" s="64">
        <v>4.79</v>
      </c>
      <c r="F59" s="64">
        <v>5.08</v>
      </c>
      <c r="G59" s="64">
        <v>38.04</v>
      </c>
      <c r="H59" s="64">
        <v>7.45</v>
      </c>
      <c r="I59" s="64">
        <v>2.41</v>
      </c>
      <c r="J59" s="64">
        <v>0.28999999999999998</v>
      </c>
      <c r="K59" s="64">
        <v>288.39999999999998</v>
      </c>
      <c r="L59" s="64">
        <v>27.93</v>
      </c>
      <c r="M59" s="64">
        <v>90.43</v>
      </c>
      <c r="N59" s="64">
        <v>298.5</v>
      </c>
      <c r="O59" s="64">
        <v>0</v>
      </c>
      <c r="P59" s="64">
        <v>0.64</v>
      </c>
      <c r="Q59" s="64">
        <v>9.24</v>
      </c>
      <c r="R59" s="198"/>
      <c r="S59" s="198"/>
      <c r="T59" s="198"/>
      <c r="U59" s="198"/>
    </row>
    <row r="60" spans="1:21" s="12" customFormat="1" x14ac:dyDescent="0.25">
      <c r="A60" s="211" t="s">
        <v>1832</v>
      </c>
      <c r="B60" s="64">
        <v>12.13</v>
      </c>
      <c r="C60" s="64">
        <v>16.88</v>
      </c>
      <c r="D60" s="64">
        <v>18.55</v>
      </c>
      <c r="E60" s="64">
        <v>4.99</v>
      </c>
      <c r="F60" s="64">
        <v>4.9000000000000004</v>
      </c>
      <c r="G60" s="64">
        <v>40.200000000000003</v>
      </c>
      <c r="H60" s="64">
        <v>7.99</v>
      </c>
      <c r="I60" s="64">
        <v>2.4900000000000002</v>
      </c>
      <c r="J60" s="64">
        <v>0.24</v>
      </c>
      <c r="K60" s="64">
        <v>281.52999999999997</v>
      </c>
      <c r="L60" s="64">
        <v>27.65</v>
      </c>
      <c r="M60" s="64">
        <v>90.96</v>
      </c>
      <c r="N60" s="64">
        <v>321.2</v>
      </c>
      <c r="O60" s="64">
        <v>0</v>
      </c>
      <c r="P60" s="64">
        <v>0.64</v>
      </c>
      <c r="Q60" s="64">
        <v>9.24</v>
      </c>
      <c r="R60" s="198"/>
      <c r="S60" s="198"/>
      <c r="T60" s="198"/>
      <c r="U60" s="198"/>
    </row>
    <row r="61" spans="1:21" s="12" customFormat="1" x14ac:dyDescent="0.25">
      <c r="A61" s="211" t="s">
        <v>1833</v>
      </c>
      <c r="B61" s="64">
        <v>11.04</v>
      </c>
      <c r="C61" s="64">
        <v>16.95</v>
      </c>
      <c r="D61" s="64">
        <v>17.71</v>
      </c>
      <c r="E61" s="64">
        <v>4.95</v>
      </c>
      <c r="F61" s="64">
        <v>3.95</v>
      </c>
      <c r="G61" s="64">
        <v>40.200000000000003</v>
      </c>
      <c r="H61" s="64">
        <v>7.99</v>
      </c>
      <c r="I61" s="64">
        <v>2.54</v>
      </c>
      <c r="J61" s="64">
        <v>0.46</v>
      </c>
      <c r="K61" s="64">
        <v>288.29000000000002</v>
      </c>
      <c r="L61" s="64">
        <v>28.18</v>
      </c>
      <c r="M61" s="64">
        <v>83.33</v>
      </c>
      <c r="N61" s="64">
        <v>421.2</v>
      </c>
      <c r="O61" s="64">
        <v>0</v>
      </c>
      <c r="P61" s="64">
        <v>0.57999999999999996</v>
      </c>
      <c r="Q61" s="64">
        <v>9.23</v>
      </c>
      <c r="R61" s="198"/>
      <c r="S61" s="198"/>
      <c r="T61" s="198"/>
      <c r="U61" s="198"/>
    </row>
    <row r="62" spans="1:21" s="12" customFormat="1" x14ac:dyDescent="0.25">
      <c r="A62" s="211" t="s">
        <v>1834</v>
      </c>
      <c r="B62" s="64">
        <v>10</v>
      </c>
      <c r="C62" s="64">
        <v>17.52</v>
      </c>
      <c r="D62" s="64">
        <v>17.18</v>
      </c>
      <c r="E62" s="64">
        <v>4.8899999999999997</v>
      </c>
      <c r="F62" s="64">
        <v>5.95</v>
      </c>
      <c r="G62" s="64">
        <v>40.200000000000003</v>
      </c>
      <c r="H62" s="64">
        <v>7.99</v>
      </c>
      <c r="I62" s="64">
        <v>2.57</v>
      </c>
      <c r="J62" s="64">
        <v>0.34</v>
      </c>
      <c r="K62" s="64">
        <v>291.89999999999998</v>
      </c>
      <c r="L62" s="64">
        <v>28.68</v>
      </c>
      <c r="M62" s="64">
        <v>81.83</v>
      </c>
      <c r="N62" s="64">
        <v>405.8</v>
      </c>
      <c r="O62" s="64">
        <v>0</v>
      </c>
      <c r="P62" s="64">
        <v>0.56999999999999995</v>
      </c>
      <c r="Q62" s="64">
        <v>9.2100000000000009</v>
      </c>
      <c r="R62" s="198"/>
      <c r="S62" s="198"/>
      <c r="T62" s="198"/>
      <c r="U62" s="198"/>
    </row>
    <row r="63" spans="1:21" s="12" customFormat="1" x14ac:dyDescent="0.25">
      <c r="A63" s="211" t="s">
        <v>1835</v>
      </c>
      <c r="B63" s="64">
        <v>10.050000000000001</v>
      </c>
      <c r="C63" s="64">
        <v>18.649999999999999</v>
      </c>
      <c r="D63" s="64">
        <v>17.8</v>
      </c>
      <c r="E63" s="64">
        <v>4.88</v>
      </c>
      <c r="F63" s="64">
        <v>7.95</v>
      </c>
      <c r="G63" s="64">
        <v>41.77</v>
      </c>
      <c r="H63" s="64">
        <v>9.3699999999999992</v>
      </c>
      <c r="I63" s="64">
        <v>2.5</v>
      </c>
      <c r="J63" s="64">
        <v>0.39</v>
      </c>
      <c r="K63" s="64">
        <v>302.33999999999997</v>
      </c>
      <c r="L63" s="64">
        <v>29.12</v>
      </c>
      <c r="M63" s="64">
        <v>80.790000000000006</v>
      </c>
      <c r="N63" s="64">
        <v>335.8</v>
      </c>
      <c r="O63" s="64">
        <v>0</v>
      </c>
      <c r="P63" s="64">
        <v>0.6</v>
      </c>
      <c r="Q63" s="64">
        <v>9.1999999999999993</v>
      </c>
      <c r="R63" s="198"/>
      <c r="S63" s="198"/>
      <c r="T63" s="198"/>
      <c r="U63" s="198"/>
    </row>
    <row r="64" spans="1:21" s="12" customFormat="1" x14ac:dyDescent="0.25">
      <c r="A64" s="211" t="s">
        <v>1836</v>
      </c>
      <c r="B64" s="64">
        <v>9.01</v>
      </c>
      <c r="C64" s="64">
        <v>16.62</v>
      </c>
      <c r="D64" s="64">
        <v>15.91</v>
      </c>
      <c r="E64" s="64">
        <v>4.51</v>
      </c>
      <c r="F64" s="64">
        <v>4.54</v>
      </c>
      <c r="G64" s="64">
        <v>42.28</v>
      </c>
      <c r="H64" s="64">
        <v>9.82</v>
      </c>
      <c r="I64" s="64">
        <v>2.39</v>
      </c>
      <c r="J64" s="64">
        <v>0.36</v>
      </c>
      <c r="K64" s="64">
        <v>286.04000000000002</v>
      </c>
      <c r="L64" s="64">
        <v>28.74</v>
      </c>
      <c r="M64" s="64">
        <v>81.98</v>
      </c>
      <c r="N64" s="64">
        <v>256.89999999999998</v>
      </c>
      <c r="O64" s="64">
        <v>0</v>
      </c>
      <c r="P64" s="64">
        <v>0.61</v>
      </c>
      <c r="Q64" s="64">
        <v>9.18</v>
      </c>
      <c r="R64" s="198"/>
      <c r="S64" s="198"/>
      <c r="T64" s="198"/>
      <c r="U64" s="198"/>
    </row>
    <row r="65" spans="1:21" s="12" customFormat="1" x14ac:dyDescent="0.25">
      <c r="A65" s="211" t="s">
        <v>1837</v>
      </c>
      <c r="B65" s="64">
        <v>8.27</v>
      </c>
      <c r="C65" s="64">
        <v>17.77</v>
      </c>
      <c r="D65" s="64">
        <v>15.92</v>
      </c>
      <c r="E65" s="64">
        <v>4.83</v>
      </c>
      <c r="F65" s="64">
        <v>3.65</v>
      </c>
      <c r="G65" s="64">
        <v>42.28</v>
      </c>
      <c r="H65" s="64">
        <v>9.82</v>
      </c>
      <c r="I65" s="64">
        <v>2.4900000000000002</v>
      </c>
      <c r="J65" s="64">
        <v>0.3</v>
      </c>
      <c r="K65" s="64">
        <v>289.29000000000002</v>
      </c>
      <c r="L65" s="64">
        <v>27.8</v>
      </c>
      <c r="M65" s="64">
        <v>85.86</v>
      </c>
      <c r="N65" s="64">
        <v>221.5</v>
      </c>
      <c r="O65" s="64">
        <v>0</v>
      </c>
      <c r="P65" s="64">
        <v>0.65</v>
      </c>
      <c r="Q65" s="64">
        <v>9.17</v>
      </c>
      <c r="R65" s="198"/>
      <c r="S65" s="198"/>
      <c r="T65" s="198"/>
      <c r="U65" s="198"/>
    </row>
    <row r="66" spans="1:21" s="12" customFormat="1" x14ac:dyDescent="0.25">
      <c r="A66" s="211" t="s">
        <v>1838</v>
      </c>
      <c r="B66" s="64">
        <v>7.52</v>
      </c>
      <c r="C66" s="64">
        <v>18.190000000000001</v>
      </c>
      <c r="D66" s="64">
        <v>15.54</v>
      </c>
      <c r="E66" s="64">
        <v>4.59</v>
      </c>
      <c r="F66" s="64">
        <v>4.33</v>
      </c>
      <c r="G66" s="64">
        <v>42.28</v>
      </c>
      <c r="H66" s="64">
        <v>9.82</v>
      </c>
      <c r="I66" s="64">
        <v>2.5499999999999998</v>
      </c>
      <c r="J66" s="64">
        <v>0.25</v>
      </c>
      <c r="K66" s="64">
        <v>275.36</v>
      </c>
      <c r="L66" s="64">
        <v>27.34</v>
      </c>
      <c r="M66" s="64">
        <v>86.65</v>
      </c>
      <c r="N66" s="64">
        <v>297.39999999999998</v>
      </c>
      <c r="O66" s="64">
        <v>0</v>
      </c>
      <c r="P66" s="64">
        <v>0.62</v>
      </c>
      <c r="Q66" s="64">
        <v>9.15</v>
      </c>
      <c r="R66" s="198"/>
      <c r="S66" s="198"/>
      <c r="T66" s="198"/>
      <c r="U66" s="198"/>
    </row>
    <row r="67" spans="1:21" s="12" customFormat="1" x14ac:dyDescent="0.25">
      <c r="A67" s="211" t="s">
        <v>1839</v>
      </c>
      <c r="B67" s="64">
        <v>7.07</v>
      </c>
      <c r="C67" s="64">
        <v>18.46</v>
      </c>
      <c r="D67" s="64">
        <v>15.32</v>
      </c>
      <c r="E67" s="64">
        <v>4.67</v>
      </c>
      <c r="F67" s="64">
        <v>4.32</v>
      </c>
      <c r="G67" s="64">
        <v>48.22</v>
      </c>
      <c r="H67" s="64">
        <v>13.65</v>
      </c>
      <c r="I67" s="64">
        <v>2.65</v>
      </c>
      <c r="J67" s="64">
        <v>0.35</v>
      </c>
      <c r="K67" s="64">
        <v>296.83999999999997</v>
      </c>
      <c r="L67" s="64">
        <v>27.59</v>
      </c>
      <c r="M67" s="64">
        <v>85.69</v>
      </c>
      <c r="N67" s="64">
        <v>253.1</v>
      </c>
      <c r="O67" s="64">
        <v>0</v>
      </c>
      <c r="P67" s="64">
        <v>0.59</v>
      </c>
      <c r="Q67" s="64">
        <v>9.1300000000000008</v>
      </c>
      <c r="R67" s="198"/>
      <c r="S67" s="198"/>
      <c r="T67" s="198"/>
      <c r="U67" s="198"/>
    </row>
    <row r="68" spans="1:21" s="12" customFormat="1" x14ac:dyDescent="0.25">
      <c r="A68" s="211" t="s">
        <v>1840</v>
      </c>
      <c r="B68" s="64">
        <v>6.72</v>
      </c>
      <c r="C68" s="64">
        <v>18.43</v>
      </c>
      <c r="D68" s="64">
        <v>15.02</v>
      </c>
      <c r="E68" s="64">
        <v>4.82</v>
      </c>
      <c r="F68" s="64">
        <v>4.0999999999999996</v>
      </c>
      <c r="G68" s="64">
        <v>50.14</v>
      </c>
      <c r="H68" s="64">
        <v>14.9</v>
      </c>
      <c r="I68" s="64">
        <v>2.62</v>
      </c>
      <c r="J68" s="64">
        <v>0.38</v>
      </c>
      <c r="K68" s="64">
        <v>286.19</v>
      </c>
      <c r="L68" s="64">
        <v>27.79</v>
      </c>
      <c r="M68" s="64">
        <v>82.28</v>
      </c>
      <c r="N68" s="64">
        <v>167.8</v>
      </c>
      <c r="O68" s="64">
        <v>0</v>
      </c>
      <c r="P68" s="64">
        <v>0.63</v>
      </c>
      <c r="Q68" s="64">
        <v>9.11</v>
      </c>
      <c r="R68" s="198"/>
      <c r="S68" s="198"/>
      <c r="T68" s="198"/>
      <c r="U68" s="198"/>
    </row>
    <row r="69" spans="1:21" s="12" customFormat="1" x14ac:dyDescent="0.25">
      <c r="A69" s="211" t="s">
        <v>1841</v>
      </c>
      <c r="B69" s="64">
        <v>6.52</v>
      </c>
      <c r="C69" s="64">
        <v>18.63</v>
      </c>
      <c r="D69" s="64">
        <v>14.97</v>
      </c>
      <c r="E69" s="64">
        <v>4.53</v>
      </c>
      <c r="F69" s="64">
        <v>3.73</v>
      </c>
      <c r="G69" s="64">
        <v>50.14</v>
      </c>
      <c r="H69" s="64">
        <v>14.9</v>
      </c>
      <c r="I69" s="64">
        <v>2.58</v>
      </c>
      <c r="J69" s="64">
        <v>0.23</v>
      </c>
      <c r="K69" s="64">
        <v>292.85000000000002</v>
      </c>
      <c r="L69" s="64">
        <v>26.99</v>
      </c>
      <c r="M69" s="64">
        <v>86.35</v>
      </c>
      <c r="N69" s="64">
        <v>127.3</v>
      </c>
      <c r="O69" s="64">
        <v>0</v>
      </c>
      <c r="P69" s="64">
        <v>0.61</v>
      </c>
      <c r="Q69" s="64">
        <v>9.1</v>
      </c>
      <c r="R69" s="198"/>
      <c r="S69" s="198"/>
      <c r="T69" s="198"/>
      <c r="U69" s="198"/>
    </row>
    <row r="70" spans="1:21" s="12" customFormat="1" x14ac:dyDescent="0.25">
      <c r="A70" s="211" t="s">
        <v>1842</v>
      </c>
      <c r="B70" s="64">
        <v>6.34</v>
      </c>
      <c r="C70" s="64">
        <v>18.239999999999998</v>
      </c>
      <c r="D70" s="64">
        <v>14.61</v>
      </c>
      <c r="E70" s="64">
        <v>4.53</v>
      </c>
      <c r="F70" s="64">
        <v>3.98</v>
      </c>
      <c r="G70" s="64">
        <v>50.14</v>
      </c>
      <c r="H70" s="64">
        <v>14.9</v>
      </c>
      <c r="I70" s="64">
        <v>2.72</v>
      </c>
      <c r="J70" s="64">
        <v>0.63</v>
      </c>
      <c r="K70" s="64">
        <v>294.16000000000003</v>
      </c>
      <c r="L70" s="64">
        <v>26.66</v>
      </c>
      <c r="M70" s="64">
        <v>87.37</v>
      </c>
      <c r="N70" s="64">
        <v>111.1</v>
      </c>
      <c r="O70" s="64">
        <v>0</v>
      </c>
      <c r="P70" s="64">
        <v>0.6</v>
      </c>
      <c r="Q70" s="64">
        <v>9.11</v>
      </c>
      <c r="R70" s="198"/>
      <c r="S70" s="198"/>
      <c r="T70" s="198"/>
      <c r="U70" s="198"/>
    </row>
    <row r="71" spans="1:21" s="12" customFormat="1" x14ac:dyDescent="0.25">
      <c r="A71" s="211" t="s">
        <v>1843</v>
      </c>
      <c r="B71" s="64">
        <v>6.34</v>
      </c>
      <c r="C71" s="64">
        <v>18.05</v>
      </c>
      <c r="D71" s="64">
        <v>14.51</v>
      </c>
      <c r="E71" s="64">
        <v>4.42</v>
      </c>
      <c r="F71" s="64">
        <v>3.98</v>
      </c>
      <c r="G71" s="64">
        <v>49.44</v>
      </c>
      <c r="H71" s="64">
        <v>12.72</v>
      </c>
      <c r="I71" s="64">
        <v>2.72</v>
      </c>
      <c r="J71" s="64">
        <v>0.91</v>
      </c>
      <c r="K71" s="64">
        <v>294.91000000000003</v>
      </c>
      <c r="L71" s="64">
        <v>26.12</v>
      </c>
      <c r="M71" s="64">
        <v>80.77</v>
      </c>
      <c r="N71" s="64">
        <v>150.5</v>
      </c>
      <c r="O71" s="64">
        <v>0.2</v>
      </c>
      <c r="P71" s="64">
        <v>0.54</v>
      </c>
      <c r="Q71" s="64">
        <v>9.1</v>
      </c>
      <c r="R71" s="198"/>
      <c r="S71" s="198"/>
      <c r="T71" s="198"/>
      <c r="U71" s="198"/>
    </row>
    <row r="72" spans="1:21" s="12" customFormat="1" x14ac:dyDescent="0.25">
      <c r="A72" s="211" t="s">
        <v>1844</v>
      </c>
      <c r="B72" s="64">
        <v>6.05</v>
      </c>
      <c r="C72" s="64">
        <v>17.760000000000002</v>
      </c>
      <c r="D72" s="64">
        <v>14.13</v>
      </c>
      <c r="E72" s="64">
        <v>5.01</v>
      </c>
      <c r="F72" s="64">
        <v>3.73</v>
      </c>
      <c r="G72" s="64">
        <v>49.21</v>
      </c>
      <c r="H72" s="64">
        <v>12.02</v>
      </c>
      <c r="I72" s="64">
        <v>2.4300000000000002</v>
      </c>
      <c r="J72" s="64">
        <v>0.81</v>
      </c>
      <c r="K72" s="64">
        <v>301.06</v>
      </c>
      <c r="L72" s="64">
        <v>25.67</v>
      </c>
      <c r="M72" s="64">
        <v>83.68</v>
      </c>
      <c r="N72" s="64">
        <v>102.7</v>
      </c>
      <c r="O72" s="64">
        <v>0</v>
      </c>
      <c r="P72" s="64">
        <v>0.51</v>
      </c>
      <c r="Q72" s="64">
        <v>9.1</v>
      </c>
      <c r="R72" s="198"/>
      <c r="S72" s="198"/>
      <c r="T72" s="198"/>
      <c r="U72" s="198"/>
    </row>
    <row r="73" spans="1:21" s="12" customFormat="1" x14ac:dyDescent="0.25">
      <c r="A73" s="211" t="s">
        <v>1845</v>
      </c>
      <c r="B73" s="64">
        <v>5.94</v>
      </c>
      <c r="C73" s="64">
        <v>17.05</v>
      </c>
      <c r="D73" s="64">
        <v>13.67</v>
      </c>
      <c r="E73" s="64">
        <v>4.1900000000000004</v>
      </c>
      <c r="F73" s="64">
        <v>4.25</v>
      </c>
      <c r="G73" s="64">
        <v>49.21</v>
      </c>
      <c r="H73" s="64">
        <v>12.02</v>
      </c>
      <c r="I73" s="64">
        <v>2.12</v>
      </c>
      <c r="J73" s="64">
        <v>0.38</v>
      </c>
      <c r="K73" s="64">
        <v>290.25</v>
      </c>
      <c r="L73" s="64">
        <v>25.26</v>
      </c>
      <c r="M73" s="64">
        <v>86.13</v>
      </c>
      <c r="N73" s="64">
        <v>92.3</v>
      </c>
      <c r="O73" s="64">
        <v>0</v>
      </c>
      <c r="P73" s="64">
        <v>0.48</v>
      </c>
      <c r="Q73" s="64">
        <v>9.1</v>
      </c>
      <c r="R73" s="198"/>
      <c r="S73" s="198"/>
      <c r="T73" s="198"/>
      <c r="U73" s="198"/>
    </row>
    <row r="74" spans="1:21" s="12" customFormat="1" x14ac:dyDescent="0.25">
      <c r="A74" s="211" t="s">
        <v>1846</v>
      </c>
      <c r="B74" s="64">
        <v>6.55</v>
      </c>
      <c r="C74" s="64">
        <v>16.14</v>
      </c>
      <c r="D74" s="64">
        <v>13.68</v>
      </c>
      <c r="E74" s="64">
        <v>4.26</v>
      </c>
      <c r="F74" s="64">
        <v>3.04</v>
      </c>
      <c r="G74" s="64">
        <v>49.21</v>
      </c>
      <c r="H74" s="64">
        <v>12.02</v>
      </c>
      <c r="I74" s="64">
        <v>1.93</v>
      </c>
      <c r="J74" s="64">
        <v>0.37</v>
      </c>
      <c r="K74" s="64">
        <v>291.38</v>
      </c>
      <c r="L74" s="64">
        <v>24.91</v>
      </c>
      <c r="M74" s="64">
        <v>91.24</v>
      </c>
      <c r="N74" s="64">
        <v>90</v>
      </c>
      <c r="O74" s="64">
        <v>0</v>
      </c>
      <c r="P74" s="64">
        <v>0.46</v>
      </c>
      <c r="Q74" s="64">
        <v>9.09</v>
      </c>
      <c r="R74" s="198"/>
      <c r="S74" s="198"/>
      <c r="T74" s="198"/>
      <c r="U74" s="198"/>
    </row>
    <row r="75" spans="1:21" s="12" customFormat="1" x14ac:dyDescent="0.25">
      <c r="A75" s="211" t="s">
        <v>1847</v>
      </c>
      <c r="B75" s="64">
        <v>9.0500000000000007</v>
      </c>
      <c r="C75" s="64">
        <v>19.39</v>
      </c>
      <c r="D75" s="64">
        <v>17.38</v>
      </c>
      <c r="E75" s="64">
        <v>4.5</v>
      </c>
      <c r="F75" s="64">
        <v>5.18</v>
      </c>
      <c r="G75" s="64">
        <v>46.8</v>
      </c>
      <c r="H75" s="64">
        <v>10.83</v>
      </c>
      <c r="I75" s="64">
        <v>1.8</v>
      </c>
      <c r="J75" s="64">
        <v>0.16</v>
      </c>
      <c r="K75" s="64">
        <v>290.79000000000002</v>
      </c>
      <c r="L75" s="64">
        <v>24.52</v>
      </c>
      <c r="M75" s="64">
        <v>96.65</v>
      </c>
      <c r="N75" s="64">
        <v>82.4</v>
      </c>
      <c r="O75" s="64">
        <v>0</v>
      </c>
      <c r="P75" s="64">
        <v>0.5</v>
      </c>
      <c r="Q75" s="64">
        <v>9.1199999999999992</v>
      </c>
      <c r="R75" s="198"/>
      <c r="S75" s="198"/>
      <c r="T75" s="198"/>
      <c r="U75" s="198"/>
    </row>
    <row r="76" spans="1:21" s="12" customFormat="1" x14ac:dyDescent="0.25">
      <c r="A76" s="211" t="s">
        <v>1848</v>
      </c>
      <c r="B76" s="64">
        <v>10.32</v>
      </c>
      <c r="C76" s="64">
        <v>25.26</v>
      </c>
      <c r="D76" s="64">
        <v>21.47</v>
      </c>
      <c r="E76" s="64">
        <v>3.97</v>
      </c>
      <c r="F76" s="64">
        <v>6.73</v>
      </c>
      <c r="G76" s="64">
        <v>46.07</v>
      </c>
      <c r="H76" s="64">
        <v>10.44</v>
      </c>
      <c r="I76" s="64">
        <v>1.74</v>
      </c>
      <c r="J76" s="64">
        <v>0.09</v>
      </c>
      <c r="K76" s="64">
        <v>257.77999999999997</v>
      </c>
      <c r="L76" s="64">
        <v>23.82</v>
      </c>
      <c r="M76" s="64">
        <v>97.49</v>
      </c>
      <c r="N76" s="64">
        <v>70.599999999999994</v>
      </c>
      <c r="O76" s="64">
        <v>0.2</v>
      </c>
      <c r="P76" s="64">
        <v>0.74</v>
      </c>
      <c r="Q76" s="64">
        <v>9.1300000000000008</v>
      </c>
      <c r="R76" s="198"/>
      <c r="S76" s="198"/>
      <c r="T76" s="198"/>
      <c r="U76" s="198"/>
    </row>
    <row r="77" spans="1:21" s="12" customFormat="1" x14ac:dyDescent="0.25">
      <c r="A77" s="211" t="s">
        <v>1849</v>
      </c>
      <c r="B77" s="64">
        <v>8.94</v>
      </c>
      <c r="C77" s="64">
        <v>23.07</v>
      </c>
      <c r="D77" s="64">
        <v>19.23</v>
      </c>
      <c r="E77" s="64">
        <v>3.95</v>
      </c>
      <c r="F77" s="64">
        <v>6.72</v>
      </c>
      <c r="G77" s="64">
        <v>46.07</v>
      </c>
      <c r="H77" s="64">
        <v>10.44</v>
      </c>
      <c r="I77" s="64">
        <v>1.74</v>
      </c>
      <c r="J77" s="64">
        <v>0.06</v>
      </c>
      <c r="K77" s="64">
        <v>256.68</v>
      </c>
      <c r="L77" s="64">
        <v>23.45</v>
      </c>
      <c r="M77" s="64">
        <v>97.5</v>
      </c>
      <c r="N77" s="64">
        <v>61.9</v>
      </c>
      <c r="O77" s="64">
        <v>0.2</v>
      </c>
      <c r="P77" s="64">
        <v>0.8</v>
      </c>
      <c r="Q77" s="64">
        <v>9.15</v>
      </c>
      <c r="R77" s="198"/>
      <c r="S77" s="198"/>
      <c r="T77" s="198"/>
      <c r="U77" s="198"/>
    </row>
    <row r="78" spans="1:21" s="12" customFormat="1" x14ac:dyDescent="0.25">
      <c r="A78" s="211" t="s">
        <v>1850</v>
      </c>
      <c r="B78" s="64">
        <v>17.39</v>
      </c>
      <c r="C78" s="64">
        <v>29.9</v>
      </c>
      <c r="D78" s="64">
        <v>29.57</v>
      </c>
      <c r="E78" s="64">
        <v>4.32</v>
      </c>
      <c r="F78" s="64">
        <v>6.94</v>
      </c>
      <c r="G78" s="64">
        <v>46.07</v>
      </c>
      <c r="H78" s="64">
        <v>10.44</v>
      </c>
      <c r="I78" s="64">
        <v>1.82</v>
      </c>
      <c r="J78" s="64">
        <v>0.08</v>
      </c>
      <c r="K78" s="64">
        <v>323.47000000000003</v>
      </c>
      <c r="L78" s="64">
        <v>23.32</v>
      </c>
      <c r="M78" s="64">
        <v>97.5</v>
      </c>
      <c r="N78" s="64">
        <v>55.7</v>
      </c>
      <c r="O78" s="64">
        <v>0</v>
      </c>
      <c r="P78" s="64">
        <v>1.1100000000000001</v>
      </c>
      <c r="Q78" s="64">
        <v>9.16</v>
      </c>
      <c r="R78" s="198"/>
      <c r="S78" s="198"/>
      <c r="T78" s="198"/>
      <c r="U78" s="198"/>
    </row>
    <row r="79" spans="1:21" s="12" customFormat="1" x14ac:dyDescent="0.25">
      <c r="A79" s="211" t="s">
        <v>1851</v>
      </c>
      <c r="B79" s="64">
        <v>16.739999999999998</v>
      </c>
      <c r="C79" s="64">
        <v>30.94</v>
      </c>
      <c r="D79" s="64">
        <v>29.59</v>
      </c>
      <c r="E79" s="64">
        <v>4.5599999999999996</v>
      </c>
      <c r="F79" s="64">
        <v>5.18</v>
      </c>
      <c r="G79" s="64">
        <v>44.55</v>
      </c>
      <c r="H79" s="64">
        <v>11.74</v>
      </c>
      <c r="I79" s="64">
        <v>1.91</v>
      </c>
      <c r="J79" s="64">
        <v>0.11</v>
      </c>
      <c r="K79" s="64">
        <v>131.54</v>
      </c>
      <c r="L79" s="64">
        <v>23.28</v>
      </c>
      <c r="M79" s="64">
        <v>97.52</v>
      </c>
      <c r="N79" s="64">
        <v>55.2</v>
      </c>
      <c r="O79" s="64">
        <v>0.2</v>
      </c>
      <c r="P79" s="64">
        <v>1.08</v>
      </c>
      <c r="Q79" s="64">
        <v>9.19</v>
      </c>
      <c r="R79" s="198"/>
      <c r="S79" s="198"/>
      <c r="T79" s="198"/>
      <c r="U79" s="198"/>
    </row>
    <row r="80" spans="1:21" s="12" customFormat="1" x14ac:dyDescent="0.25">
      <c r="A80" s="211" t="s">
        <v>1852</v>
      </c>
      <c r="B80" s="64">
        <v>11.84</v>
      </c>
      <c r="C80" s="64">
        <v>26.48</v>
      </c>
      <c r="D80" s="64">
        <v>23.33</v>
      </c>
      <c r="E80" s="64">
        <v>4.1399999999999997</v>
      </c>
      <c r="F80" s="64">
        <v>6.33</v>
      </c>
      <c r="G80" s="64">
        <v>44.06</v>
      </c>
      <c r="H80" s="64">
        <v>12.16</v>
      </c>
      <c r="I80" s="64">
        <v>1.95</v>
      </c>
      <c r="J80" s="64">
        <v>0.05</v>
      </c>
      <c r="K80" s="64">
        <v>262.72000000000003</v>
      </c>
      <c r="L80" s="64">
        <v>23.23</v>
      </c>
      <c r="M80" s="64">
        <v>97.53</v>
      </c>
      <c r="N80" s="64">
        <v>54</v>
      </c>
      <c r="O80" s="64">
        <v>0.4</v>
      </c>
      <c r="P80" s="64">
        <v>0.76</v>
      </c>
      <c r="Q80" s="64">
        <v>9.2100000000000009</v>
      </c>
      <c r="R80" s="198"/>
      <c r="S80" s="198"/>
      <c r="T80" s="198"/>
      <c r="U80" s="198"/>
    </row>
    <row r="81" spans="1:26" s="12" customFormat="1" x14ac:dyDescent="0.25">
      <c r="A81" s="211" t="s">
        <v>1853</v>
      </c>
      <c r="B81" s="64">
        <v>11.45</v>
      </c>
      <c r="C81" s="64">
        <v>22.48</v>
      </c>
      <c r="D81" s="64">
        <v>20.92</v>
      </c>
      <c r="E81" s="64">
        <v>4.32</v>
      </c>
      <c r="F81" s="64">
        <v>6.15</v>
      </c>
      <c r="G81" s="64">
        <v>44.06</v>
      </c>
      <c r="H81" s="64">
        <v>12.16</v>
      </c>
      <c r="I81" s="64">
        <v>1.99</v>
      </c>
      <c r="J81" s="64">
        <v>0.05</v>
      </c>
      <c r="K81" s="64">
        <v>182.34</v>
      </c>
      <c r="L81" s="64">
        <v>23.05</v>
      </c>
      <c r="M81" s="64">
        <v>97.53</v>
      </c>
      <c r="N81" s="64">
        <v>51.7</v>
      </c>
      <c r="O81" s="64">
        <v>0.4</v>
      </c>
      <c r="P81" s="64">
        <v>0.66</v>
      </c>
      <c r="Q81" s="64">
        <v>9.24</v>
      </c>
      <c r="R81" s="198"/>
      <c r="S81" s="198"/>
      <c r="T81" s="198"/>
      <c r="U81" s="198"/>
    </row>
    <row r="82" spans="1:26" s="12" customFormat="1" x14ac:dyDescent="0.25">
      <c r="A82" s="211" t="s">
        <v>1854</v>
      </c>
      <c r="B82" s="64">
        <v>11.23</v>
      </c>
      <c r="C82" s="64">
        <v>15.41</v>
      </c>
      <c r="D82" s="64">
        <v>17.059999999999999</v>
      </c>
      <c r="E82" s="64">
        <v>4.46</v>
      </c>
      <c r="F82" s="64">
        <v>4.82</v>
      </c>
      <c r="G82" s="64">
        <v>44.06</v>
      </c>
      <c r="H82" s="64">
        <v>12.16</v>
      </c>
      <c r="I82" s="64">
        <v>2.02</v>
      </c>
      <c r="J82" s="64">
        <v>0.02</v>
      </c>
      <c r="K82" s="64">
        <v>253.61</v>
      </c>
      <c r="L82" s="64">
        <v>22.97</v>
      </c>
      <c r="M82" s="64">
        <v>97.57</v>
      </c>
      <c r="N82" s="64">
        <v>49.1</v>
      </c>
      <c r="O82" s="64">
        <v>0.2</v>
      </c>
      <c r="P82" s="64">
        <v>0.63</v>
      </c>
      <c r="Q82" s="64">
        <v>9.24</v>
      </c>
      <c r="R82" s="198"/>
      <c r="S82" s="198"/>
      <c r="T82" s="198"/>
      <c r="U82" s="198"/>
    </row>
    <row r="83" spans="1:26" s="12" customFormat="1" x14ac:dyDescent="0.25">
      <c r="A83" s="211" t="s">
        <v>1855</v>
      </c>
      <c r="B83" s="64">
        <v>10.99</v>
      </c>
      <c r="C83" s="64">
        <v>21.01</v>
      </c>
      <c r="D83" s="64">
        <v>19.79</v>
      </c>
      <c r="E83" s="64">
        <v>4.2300000000000004</v>
      </c>
      <c r="F83" s="64">
        <v>4.7699999999999996</v>
      </c>
      <c r="G83" s="64">
        <v>42.25</v>
      </c>
      <c r="H83" s="64">
        <v>12.58</v>
      </c>
      <c r="I83" s="64">
        <v>2.0299999999999998</v>
      </c>
      <c r="J83" s="64">
        <v>0.02</v>
      </c>
      <c r="K83" s="64">
        <v>250.29</v>
      </c>
      <c r="L83" s="64">
        <v>23</v>
      </c>
      <c r="M83" s="64">
        <v>97.58</v>
      </c>
      <c r="N83" s="64">
        <v>46.9</v>
      </c>
      <c r="O83" s="64">
        <v>0</v>
      </c>
      <c r="P83" s="64">
        <v>0.64</v>
      </c>
      <c r="Q83" s="64">
        <v>9.23</v>
      </c>
      <c r="R83" s="198"/>
      <c r="S83" s="198"/>
      <c r="T83" s="198"/>
      <c r="U83" s="198"/>
    </row>
    <row r="84" spans="1:26" s="12" customFormat="1" x14ac:dyDescent="0.25">
      <c r="A84" s="211" t="s">
        <v>1856</v>
      </c>
      <c r="B84" s="64">
        <v>11.84</v>
      </c>
      <c r="C84" s="64">
        <v>21.52</v>
      </c>
      <c r="D84" s="64">
        <v>20.74</v>
      </c>
      <c r="E84" s="64">
        <v>4.16</v>
      </c>
      <c r="F84" s="64">
        <v>4.7699999999999996</v>
      </c>
      <c r="G84" s="64">
        <v>41.66</v>
      </c>
      <c r="H84" s="64">
        <v>12.72</v>
      </c>
      <c r="I84" s="64">
        <v>2.04</v>
      </c>
      <c r="J84" s="64">
        <v>0.08</v>
      </c>
      <c r="K84" s="64">
        <v>193.38</v>
      </c>
      <c r="L84" s="64">
        <v>22.99</v>
      </c>
      <c r="M84" s="64">
        <v>97.58</v>
      </c>
      <c r="N84" s="64">
        <v>46.4</v>
      </c>
      <c r="O84" s="64">
        <v>0.2</v>
      </c>
      <c r="P84" s="64">
        <v>0.71</v>
      </c>
      <c r="Q84" s="64">
        <v>9.24</v>
      </c>
      <c r="R84" s="198"/>
      <c r="S84" s="198"/>
      <c r="T84" s="198"/>
      <c r="U84" s="198"/>
    </row>
    <row r="85" spans="1:26" s="12" customFormat="1" x14ac:dyDescent="0.25">
      <c r="A85" s="211" t="s">
        <v>1857</v>
      </c>
      <c r="B85" s="64">
        <v>12.17</v>
      </c>
      <c r="C85" s="64">
        <v>15.18</v>
      </c>
      <c r="D85" s="64">
        <v>17.690000000000001</v>
      </c>
      <c r="E85" s="64">
        <v>4.37</v>
      </c>
      <c r="F85" s="64">
        <v>4.2699999999999996</v>
      </c>
      <c r="G85" s="64">
        <v>41.66</v>
      </c>
      <c r="H85" s="64">
        <v>12.72</v>
      </c>
      <c r="I85" s="64">
        <v>2.0499999999999998</v>
      </c>
      <c r="J85" s="64">
        <v>0.04</v>
      </c>
      <c r="K85" s="64">
        <v>232.81</v>
      </c>
      <c r="L85" s="64">
        <v>23.03</v>
      </c>
      <c r="M85" s="64">
        <v>97.58</v>
      </c>
      <c r="N85" s="64">
        <v>46.5</v>
      </c>
      <c r="O85" s="64">
        <v>0</v>
      </c>
      <c r="P85" s="64">
        <v>0.46</v>
      </c>
      <c r="Q85" s="64">
        <v>9.25</v>
      </c>
      <c r="R85" s="198"/>
      <c r="S85" s="198"/>
      <c r="T85" s="198"/>
      <c r="U85" s="198"/>
    </row>
    <row r="86" spans="1:26" s="12" customFormat="1" x14ac:dyDescent="0.25">
      <c r="A86" s="211" t="s">
        <v>1858</v>
      </c>
      <c r="B86" s="64">
        <v>11.4</v>
      </c>
      <c r="C86" s="64">
        <v>16.48</v>
      </c>
      <c r="D86" s="64">
        <v>17.75</v>
      </c>
      <c r="E86" s="64">
        <v>4.3499999999999996</v>
      </c>
      <c r="F86" s="64">
        <v>4.25</v>
      </c>
      <c r="G86" s="64">
        <v>41.66</v>
      </c>
      <c r="H86" s="64">
        <v>12.72</v>
      </c>
      <c r="I86" s="64">
        <v>2.06</v>
      </c>
      <c r="J86" s="64">
        <v>0.15</v>
      </c>
      <c r="K86" s="64">
        <v>166.29</v>
      </c>
      <c r="L86" s="64">
        <v>23</v>
      </c>
      <c r="M86" s="64">
        <v>97.58</v>
      </c>
      <c r="N86" s="64">
        <v>46.4</v>
      </c>
      <c r="O86" s="64">
        <v>0.2</v>
      </c>
      <c r="P86" s="64">
        <v>0.49</v>
      </c>
      <c r="Q86" s="64">
        <v>9.26</v>
      </c>
      <c r="R86" s="198"/>
      <c r="S86" s="198"/>
      <c r="T86" s="198"/>
      <c r="U86" s="198"/>
    </row>
    <row r="87" spans="1:26" s="12" customFormat="1" x14ac:dyDescent="0.25">
      <c r="A87" s="211" t="s">
        <v>1859</v>
      </c>
      <c r="B87" s="64">
        <v>14.31</v>
      </c>
      <c r="C87" s="64">
        <v>21.89</v>
      </c>
      <c r="D87" s="64">
        <v>22.91</v>
      </c>
      <c r="E87" s="64">
        <v>4.32</v>
      </c>
      <c r="F87" s="64">
        <v>4.9400000000000004</v>
      </c>
      <c r="G87" s="64">
        <v>38.03</v>
      </c>
      <c r="H87" s="64">
        <v>11.06</v>
      </c>
      <c r="I87" s="64">
        <v>2.06</v>
      </c>
      <c r="J87" s="64">
        <v>0.1</v>
      </c>
      <c r="K87" s="64">
        <v>152.94999999999999</v>
      </c>
      <c r="L87" s="64">
        <v>23.08</v>
      </c>
      <c r="M87" s="64">
        <v>97.58</v>
      </c>
      <c r="N87" s="64">
        <v>46.4</v>
      </c>
      <c r="O87" s="64">
        <v>0</v>
      </c>
      <c r="P87" s="64">
        <v>0.44</v>
      </c>
      <c r="Q87" s="64">
        <v>9.27</v>
      </c>
      <c r="R87" s="198"/>
      <c r="S87" s="198"/>
      <c r="T87" s="198"/>
      <c r="U87" s="198"/>
    </row>
    <row r="88" spans="1:26" s="12" customFormat="1" x14ac:dyDescent="0.25">
      <c r="A88" s="211" t="s">
        <v>1860</v>
      </c>
      <c r="B88" s="64">
        <v>13.37</v>
      </c>
      <c r="C88" s="64">
        <v>16.53</v>
      </c>
      <c r="D88" s="64">
        <v>19.36</v>
      </c>
      <c r="E88" s="64">
        <v>4.25</v>
      </c>
      <c r="F88" s="64">
        <v>5.26</v>
      </c>
      <c r="G88" s="64">
        <v>36.85</v>
      </c>
      <c r="H88" s="64">
        <v>10.52</v>
      </c>
      <c r="I88" s="64">
        <v>2.04</v>
      </c>
      <c r="J88" s="64">
        <v>0.08</v>
      </c>
      <c r="K88" s="64">
        <v>207.91</v>
      </c>
      <c r="L88" s="64">
        <v>23.11</v>
      </c>
      <c r="M88" s="64">
        <v>97.58</v>
      </c>
      <c r="N88" s="64">
        <v>46.4</v>
      </c>
      <c r="O88" s="64">
        <v>0</v>
      </c>
      <c r="P88" s="64">
        <v>0.5</v>
      </c>
      <c r="Q88" s="64">
        <v>9.2799999999999994</v>
      </c>
      <c r="R88" s="198"/>
      <c r="S88" s="198"/>
      <c r="T88" s="198"/>
      <c r="U88" s="198"/>
    </row>
    <row r="89" spans="1:26" s="12" customFormat="1" x14ac:dyDescent="0.25">
      <c r="A89" s="211" t="s">
        <v>1861</v>
      </c>
      <c r="B89" s="64">
        <v>14.88</v>
      </c>
      <c r="C89" s="64">
        <v>15.81</v>
      </c>
      <c r="D89" s="64">
        <v>20.190000000000001</v>
      </c>
      <c r="E89" s="64">
        <v>4.1399999999999997</v>
      </c>
      <c r="F89" s="64">
        <v>4.16</v>
      </c>
      <c r="G89" s="64">
        <v>36.85</v>
      </c>
      <c r="H89" s="64">
        <v>10.52</v>
      </c>
      <c r="I89" s="64">
        <v>2.02</v>
      </c>
      <c r="J89" s="64">
        <v>0.03</v>
      </c>
      <c r="K89" s="64">
        <v>226.87</v>
      </c>
      <c r="L89" s="64">
        <v>23.08</v>
      </c>
      <c r="M89" s="64">
        <v>97.58</v>
      </c>
      <c r="N89" s="64">
        <v>46.5</v>
      </c>
      <c r="O89" s="64">
        <v>0</v>
      </c>
      <c r="P89" s="64">
        <v>0.47</v>
      </c>
      <c r="Q89" s="64">
        <v>9.2799999999999994</v>
      </c>
      <c r="R89" s="198"/>
      <c r="S89" s="198"/>
      <c r="T89" s="198"/>
      <c r="U89" s="198"/>
    </row>
    <row r="90" spans="1:26" s="12" customFormat="1" x14ac:dyDescent="0.25">
      <c r="A90" s="211" t="s">
        <v>1862</v>
      </c>
      <c r="B90" s="64">
        <v>13.86</v>
      </c>
      <c r="C90" s="64">
        <v>13.6</v>
      </c>
      <c r="D90" s="64">
        <v>18.22</v>
      </c>
      <c r="E90" s="64">
        <v>4.3</v>
      </c>
      <c r="F90" s="64">
        <v>4.3499999999999996</v>
      </c>
      <c r="G90" s="64">
        <v>36.85</v>
      </c>
      <c r="H90" s="64">
        <v>10.52</v>
      </c>
      <c r="I90" s="64">
        <v>2.0099999999999998</v>
      </c>
      <c r="J90" s="64">
        <v>0.06</v>
      </c>
      <c r="K90" s="64">
        <v>240.2</v>
      </c>
      <c r="L90" s="64">
        <v>23.11</v>
      </c>
      <c r="M90" s="64">
        <v>97.58</v>
      </c>
      <c r="N90" s="64">
        <v>46.5</v>
      </c>
      <c r="O90" s="64">
        <v>0</v>
      </c>
      <c r="P90" s="64">
        <v>0.47</v>
      </c>
      <c r="Q90" s="64">
        <v>9.2899999999999991</v>
      </c>
      <c r="R90" s="198"/>
      <c r="S90" s="198"/>
      <c r="T90" s="198"/>
      <c r="U90" s="198"/>
    </row>
    <row r="91" spans="1:26" s="12" customFormat="1" x14ac:dyDescent="0.25">
      <c r="A91" s="211" t="s">
        <v>1863</v>
      </c>
      <c r="B91" s="64">
        <v>12.39</v>
      </c>
      <c r="C91" s="64">
        <v>14.89</v>
      </c>
      <c r="D91" s="64">
        <v>17.72</v>
      </c>
      <c r="E91" s="64">
        <v>4.0199999999999996</v>
      </c>
      <c r="F91" s="64">
        <v>5.42</v>
      </c>
      <c r="G91" s="64">
        <v>30.05</v>
      </c>
      <c r="H91" s="64">
        <v>8.6999999999999993</v>
      </c>
      <c r="I91" s="64">
        <v>1.99</v>
      </c>
      <c r="J91" s="64">
        <v>0.03</v>
      </c>
      <c r="K91" s="64">
        <v>303.04000000000002</v>
      </c>
      <c r="L91" s="64">
        <v>23.14</v>
      </c>
      <c r="M91" s="64">
        <v>97.58</v>
      </c>
      <c r="N91" s="64">
        <v>46.4</v>
      </c>
      <c r="O91" s="64">
        <v>0</v>
      </c>
      <c r="P91" s="64">
        <v>0.45</v>
      </c>
      <c r="Q91" s="64">
        <v>9.2899999999999991</v>
      </c>
      <c r="R91" s="198"/>
      <c r="S91" s="198"/>
      <c r="T91" s="198"/>
      <c r="U91" s="198"/>
    </row>
    <row r="92" spans="1:26" s="12" customFormat="1" x14ac:dyDescent="0.25">
      <c r="A92" s="211" t="s">
        <v>1864</v>
      </c>
      <c r="B92" s="64">
        <v>12.32</v>
      </c>
      <c r="C92" s="64">
        <v>19.63</v>
      </c>
      <c r="D92" s="64">
        <v>20.14</v>
      </c>
      <c r="E92" s="64">
        <v>4.22</v>
      </c>
      <c r="F92" s="64">
        <v>7.44</v>
      </c>
      <c r="G92" s="64">
        <v>27.85</v>
      </c>
      <c r="H92" s="64">
        <v>8.11</v>
      </c>
      <c r="I92" s="64">
        <v>1.95</v>
      </c>
      <c r="J92" s="64">
        <v>0.1</v>
      </c>
      <c r="K92" s="64">
        <v>187.02</v>
      </c>
      <c r="L92" s="64">
        <v>23.16</v>
      </c>
      <c r="M92" s="64">
        <v>97.58</v>
      </c>
      <c r="N92" s="64">
        <v>46.4</v>
      </c>
      <c r="O92" s="64">
        <v>0</v>
      </c>
      <c r="P92" s="64">
        <v>0.41</v>
      </c>
      <c r="Q92" s="64">
        <v>9.2899999999999991</v>
      </c>
      <c r="R92" s="198"/>
      <c r="S92" s="198"/>
      <c r="T92" s="198"/>
      <c r="U92" s="198"/>
    </row>
    <row r="93" spans="1:26" s="12" customFormat="1" x14ac:dyDescent="0.25">
      <c r="A93" s="211" t="s">
        <v>1865</v>
      </c>
      <c r="B93" s="64">
        <v>13.86</v>
      </c>
      <c r="C93" s="64">
        <v>20.56</v>
      </c>
      <c r="D93" s="64">
        <v>21.86</v>
      </c>
      <c r="E93" s="64">
        <v>4.1100000000000003</v>
      </c>
      <c r="F93" s="64">
        <v>7.39</v>
      </c>
      <c r="G93" s="64">
        <v>27.85</v>
      </c>
      <c r="H93" s="64">
        <v>8.11</v>
      </c>
      <c r="I93" s="64">
        <v>1.93</v>
      </c>
      <c r="J93" s="64">
        <v>7.0000000000000007E-2</v>
      </c>
      <c r="K93" s="64">
        <v>230.02</v>
      </c>
      <c r="L93" s="64">
        <v>23.15</v>
      </c>
      <c r="M93" s="64">
        <v>97.58</v>
      </c>
      <c r="N93" s="64">
        <v>46.4</v>
      </c>
      <c r="O93" s="64">
        <v>0</v>
      </c>
      <c r="P93" s="64">
        <v>0.38</v>
      </c>
      <c r="Q93" s="64">
        <v>9.31</v>
      </c>
      <c r="R93" s="198"/>
      <c r="S93" s="198"/>
      <c r="T93" s="198"/>
      <c r="U93" s="198"/>
    </row>
    <row r="94" spans="1:26" s="12" customFormat="1" x14ac:dyDescent="0.25">
      <c r="A94" s="211" t="s">
        <v>1866</v>
      </c>
      <c r="B94" s="64">
        <v>10.34</v>
      </c>
      <c r="C94" s="64">
        <v>19.579999999999998</v>
      </c>
      <c r="D94" s="64">
        <v>18.52</v>
      </c>
      <c r="E94" s="64">
        <v>4.25</v>
      </c>
      <c r="F94" s="64">
        <v>8.1</v>
      </c>
      <c r="G94" s="64">
        <v>27.85</v>
      </c>
      <c r="H94" s="64">
        <v>8.11</v>
      </c>
      <c r="I94" s="64">
        <v>1.92</v>
      </c>
      <c r="J94" s="64">
        <v>0.06</v>
      </c>
      <c r="K94" s="64">
        <v>248.83</v>
      </c>
      <c r="L94" s="64">
        <v>23.2</v>
      </c>
      <c r="M94" s="64">
        <v>97.55</v>
      </c>
      <c r="N94" s="64">
        <v>46.4</v>
      </c>
      <c r="O94" s="64">
        <v>0</v>
      </c>
      <c r="P94" s="64">
        <v>0.35</v>
      </c>
      <c r="Q94" s="64">
        <v>9.32</v>
      </c>
      <c r="R94" s="198"/>
      <c r="S94" s="198"/>
      <c r="T94" s="198"/>
      <c r="U94" s="198"/>
    </row>
    <row r="95" spans="1:26" s="12" customFormat="1" x14ac:dyDescent="0.25">
      <c r="A95" s="211" t="s">
        <v>1867</v>
      </c>
      <c r="B95" s="64">
        <v>10.83</v>
      </c>
      <c r="C95" s="64">
        <v>19.489999999999998</v>
      </c>
      <c r="D95" s="64">
        <v>18.87</v>
      </c>
      <c r="E95" s="64">
        <v>4.21</v>
      </c>
      <c r="F95" s="64">
        <v>7.04</v>
      </c>
      <c r="G95" s="64">
        <v>25.78</v>
      </c>
      <c r="H95" s="64">
        <v>8.35</v>
      </c>
      <c r="I95" s="64">
        <v>1.91</v>
      </c>
      <c r="J95" s="64">
        <v>7.0000000000000007E-2</v>
      </c>
      <c r="K95" s="64">
        <v>201.52</v>
      </c>
      <c r="L95" s="64">
        <v>23.23</v>
      </c>
      <c r="M95" s="64">
        <v>97.55</v>
      </c>
      <c r="N95" s="64">
        <v>46.5</v>
      </c>
      <c r="O95" s="64">
        <v>0</v>
      </c>
      <c r="P95" s="64">
        <v>0.32</v>
      </c>
      <c r="Q95" s="64">
        <v>9.33</v>
      </c>
      <c r="R95" s="198"/>
      <c r="S95" s="198"/>
      <c r="T95" s="198"/>
      <c r="U95" s="198"/>
    </row>
    <row r="96" spans="1:26" s="12" customFormat="1" x14ac:dyDescent="0.25">
      <c r="A96" s="211" t="s">
        <v>1868</v>
      </c>
      <c r="B96" s="64">
        <v>10.91</v>
      </c>
      <c r="C96" s="64">
        <v>18.25</v>
      </c>
      <c r="D96" s="64">
        <v>18.28</v>
      </c>
      <c r="E96" s="64">
        <v>4.28</v>
      </c>
      <c r="F96" s="64">
        <v>7.55</v>
      </c>
      <c r="G96" s="64">
        <v>25.11</v>
      </c>
      <c r="H96" s="64">
        <v>8.43</v>
      </c>
      <c r="I96" s="64">
        <v>1.9</v>
      </c>
      <c r="J96" s="64">
        <v>7.0000000000000007E-2</v>
      </c>
      <c r="K96" s="64">
        <v>219.54</v>
      </c>
      <c r="L96" s="64">
        <v>23.24</v>
      </c>
      <c r="M96" s="64">
        <v>97.58</v>
      </c>
      <c r="N96" s="64">
        <v>46.5</v>
      </c>
      <c r="O96" s="64">
        <v>0</v>
      </c>
      <c r="P96" s="64">
        <v>0.31</v>
      </c>
      <c r="Q96" s="64">
        <v>9.34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1869</v>
      </c>
      <c r="B97" s="64">
        <v>10.38</v>
      </c>
      <c r="C97" s="64">
        <v>16.79</v>
      </c>
      <c r="D97" s="64">
        <v>17.09</v>
      </c>
      <c r="E97" s="64">
        <v>4.42</v>
      </c>
      <c r="F97" s="64">
        <v>7.9</v>
      </c>
      <c r="G97" s="64">
        <v>25.11</v>
      </c>
      <c r="H97" s="64">
        <v>8.43</v>
      </c>
      <c r="I97" s="64">
        <v>1.88</v>
      </c>
      <c r="J97" s="64">
        <v>0.08</v>
      </c>
      <c r="K97" s="64">
        <v>205.74</v>
      </c>
      <c r="L97" s="64">
        <v>23.21</v>
      </c>
      <c r="M97" s="64">
        <v>97.58</v>
      </c>
      <c r="N97" s="64">
        <v>46.6</v>
      </c>
      <c r="O97" s="64">
        <v>0</v>
      </c>
      <c r="P97" s="64">
        <v>0.31</v>
      </c>
      <c r="Q97" s="64">
        <v>9.35</v>
      </c>
      <c r="R97" s="198"/>
      <c r="S97" s="198"/>
      <c r="T97" s="198"/>
      <c r="U97" s="198"/>
    </row>
    <row r="98" spans="1:33" s="12" customFormat="1" x14ac:dyDescent="0.25">
      <c r="A98" s="211" t="s">
        <v>1870</v>
      </c>
      <c r="B98" s="64">
        <v>10.97</v>
      </c>
      <c r="C98" s="64">
        <v>16.829999999999998</v>
      </c>
      <c r="D98" s="64">
        <v>17.59</v>
      </c>
      <c r="E98" s="64">
        <v>4.41</v>
      </c>
      <c r="F98" s="64">
        <v>8.1199999999999992</v>
      </c>
      <c r="G98" s="64">
        <v>25.11</v>
      </c>
      <c r="H98" s="64">
        <v>8.43</v>
      </c>
      <c r="I98" s="64">
        <v>1.86</v>
      </c>
      <c r="J98" s="64">
        <v>0.04</v>
      </c>
      <c r="K98" s="64">
        <v>229.29</v>
      </c>
      <c r="L98" s="64">
        <v>23.2</v>
      </c>
      <c r="M98" s="64">
        <v>97.58</v>
      </c>
      <c r="N98" s="64">
        <v>46.7</v>
      </c>
      <c r="O98" s="64">
        <v>0</v>
      </c>
      <c r="P98" s="64">
        <v>0.26</v>
      </c>
      <c r="Q98" s="64">
        <v>9.35</v>
      </c>
      <c r="R98" s="198"/>
      <c r="S98" s="198"/>
      <c r="T98" s="198"/>
      <c r="U98" s="198"/>
    </row>
    <row r="99" spans="1:33" s="12" customFormat="1" x14ac:dyDescent="0.25">
      <c r="A99" s="211" t="s">
        <v>1871</v>
      </c>
      <c r="B99" s="64">
        <v>10.76</v>
      </c>
      <c r="C99" s="64">
        <v>12.98</v>
      </c>
      <c r="D99" s="64">
        <v>15.41</v>
      </c>
      <c r="E99" s="64">
        <v>4.32</v>
      </c>
      <c r="F99" s="64">
        <v>5.87</v>
      </c>
      <c r="G99" s="64">
        <v>26.12</v>
      </c>
      <c r="H99" s="64">
        <v>8.6199999999999992</v>
      </c>
      <c r="I99" s="64">
        <v>1.82</v>
      </c>
      <c r="J99" s="64">
        <v>0.04</v>
      </c>
      <c r="K99" s="64">
        <v>272.2</v>
      </c>
      <c r="L99" s="64">
        <v>23.21</v>
      </c>
      <c r="M99" s="64">
        <v>97.58</v>
      </c>
      <c r="N99" s="64">
        <v>46.8</v>
      </c>
      <c r="O99" s="64">
        <v>0</v>
      </c>
      <c r="P99" s="64">
        <v>0.34</v>
      </c>
      <c r="Q99" s="64">
        <v>9.35</v>
      </c>
      <c r="R99" s="198"/>
      <c r="S99" s="198"/>
      <c r="T99" s="198"/>
      <c r="U99" s="198"/>
    </row>
    <row r="100" spans="1:33" s="12" customFormat="1" x14ac:dyDescent="0.25">
      <c r="A100" s="211" t="s">
        <v>1872</v>
      </c>
      <c r="B100" s="64">
        <v>12.61</v>
      </c>
      <c r="C100" s="64">
        <v>11.17</v>
      </c>
      <c r="D100" s="64">
        <v>15.95</v>
      </c>
      <c r="E100" s="64">
        <v>4.42</v>
      </c>
      <c r="F100" s="64">
        <v>4.05</v>
      </c>
      <c r="G100" s="64">
        <v>26.43</v>
      </c>
      <c r="H100" s="64">
        <v>8.68</v>
      </c>
      <c r="I100" s="64">
        <v>1.8</v>
      </c>
      <c r="J100" s="64">
        <v>0.03</v>
      </c>
      <c r="K100" s="64">
        <v>15.73</v>
      </c>
      <c r="L100" s="64">
        <v>23.21</v>
      </c>
      <c r="M100" s="64">
        <v>97.58</v>
      </c>
      <c r="N100" s="64">
        <v>47</v>
      </c>
      <c r="O100" s="64">
        <v>0</v>
      </c>
      <c r="P100" s="64">
        <v>0.36</v>
      </c>
      <c r="Q100" s="64">
        <v>9.32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1873</v>
      </c>
      <c r="B101" s="64">
        <v>13</v>
      </c>
      <c r="C101" s="64">
        <v>10.78</v>
      </c>
      <c r="D101" s="64">
        <v>16.059999999999999</v>
      </c>
      <c r="E101" s="64">
        <v>4.45</v>
      </c>
      <c r="F101" s="64">
        <v>4.43</v>
      </c>
      <c r="G101" s="64">
        <v>26.43</v>
      </c>
      <c r="H101" s="64">
        <v>8.68</v>
      </c>
      <c r="I101" s="64">
        <v>1.77</v>
      </c>
      <c r="J101" s="64">
        <v>0.06</v>
      </c>
      <c r="K101" s="64">
        <v>303.19</v>
      </c>
      <c r="L101" s="64">
        <v>23.23</v>
      </c>
      <c r="M101" s="64">
        <v>97.58</v>
      </c>
      <c r="N101" s="64">
        <v>46.9</v>
      </c>
      <c r="O101" s="64">
        <v>0</v>
      </c>
      <c r="P101" s="64">
        <v>0.37</v>
      </c>
      <c r="Q101" s="64">
        <v>9.3000000000000007</v>
      </c>
      <c r="R101" s="198"/>
      <c r="S101" s="198"/>
      <c r="T101" s="198"/>
      <c r="U101" s="198"/>
    </row>
    <row r="102" spans="1:33" s="12" customFormat="1" x14ac:dyDescent="0.25">
      <c r="A102" s="211" t="s">
        <v>1874</v>
      </c>
      <c r="B102" s="64">
        <v>13.5</v>
      </c>
      <c r="C102" s="64">
        <v>10.39</v>
      </c>
      <c r="D102" s="64">
        <v>16.25</v>
      </c>
      <c r="E102" s="64">
        <v>4.1100000000000003</v>
      </c>
      <c r="F102" s="64">
        <v>3.74</v>
      </c>
      <c r="G102" s="64">
        <v>26.43</v>
      </c>
      <c r="H102" s="64">
        <v>8.68</v>
      </c>
      <c r="I102" s="64">
        <v>1.71</v>
      </c>
      <c r="J102" s="64">
        <v>0.08</v>
      </c>
      <c r="K102" s="64">
        <v>321.64</v>
      </c>
      <c r="L102" s="64">
        <v>23.29</v>
      </c>
      <c r="M102" s="64">
        <v>97.58</v>
      </c>
      <c r="N102" s="64">
        <v>47.1</v>
      </c>
      <c r="O102" s="64">
        <v>0</v>
      </c>
      <c r="P102" s="64">
        <v>0.37</v>
      </c>
      <c r="Q102" s="64">
        <v>9.2899999999999991</v>
      </c>
      <c r="R102" s="198"/>
      <c r="S102" s="198"/>
      <c r="T102" s="198"/>
      <c r="U102" s="198"/>
    </row>
    <row r="103" spans="1:33" s="12" customFormat="1" x14ac:dyDescent="0.25">
      <c r="A103" s="211" t="s">
        <v>1875</v>
      </c>
      <c r="B103" s="64">
        <v>11.2</v>
      </c>
      <c r="C103" s="64">
        <v>15.16</v>
      </c>
      <c r="D103" s="64">
        <v>16.899999999999999</v>
      </c>
      <c r="E103" s="64">
        <v>4.08</v>
      </c>
      <c r="F103" s="64">
        <v>4.82</v>
      </c>
      <c r="G103" s="64">
        <v>25.81</v>
      </c>
      <c r="H103" s="64">
        <v>8.65</v>
      </c>
      <c r="I103" s="64">
        <v>1.66</v>
      </c>
      <c r="J103" s="64">
        <v>0.09</v>
      </c>
      <c r="K103" s="64">
        <v>306.83</v>
      </c>
      <c r="L103" s="64">
        <v>23.37</v>
      </c>
      <c r="M103" s="64">
        <v>97.58</v>
      </c>
      <c r="N103" s="64">
        <v>47.1</v>
      </c>
      <c r="O103" s="64">
        <v>0</v>
      </c>
      <c r="P103" s="64">
        <v>0.28999999999999998</v>
      </c>
      <c r="Q103" s="64">
        <v>9.2799999999999994</v>
      </c>
      <c r="R103" s="198"/>
      <c r="S103" s="198"/>
      <c r="T103" s="198"/>
      <c r="U103" s="198"/>
    </row>
    <row r="104" spans="1:33" s="12" customFormat="1" x14ac:dyDescent="0.25">
      <c r="A104" s="211" t="s">
        <v>1876</v>
      </c>
      <c r="B104" s="64">
        <v>13.83</v>
      </c>
      <c r="C104" s="64">
        <v>11.97</v>
      </c>
      <c r="D104" s="64">
        <v>17.34</v>
      </c>
      <c r="E104" s="64">
        <v>3.86</v>
      </c>
      <c r="F104" s="64">
        <v>4.1500000000000004</v>
      </c>
      <c r="G104" s="64">
        <v>25.61</v>
      </c>
      <c r="H104" s="64">
        <v>8.6300000000000008</v>
      </c>
      <c r="I104" s="64">
        <v>1.62</v>
      </c>
      <c r="J104" s="64">
        <v>0.25</v>
      </c>
      <c r="K104" s="64">
        <v>307.33999999999997</v>
      </c>
      <c r="L104" s="64">
        <v>23.71</v>
      </c>
      <c r="M104" s="64">
        <v>97.55</v>
      </c>
      <c r="N104" s="64">
        <v>47.5</v>
      </c>
      <c r="O104" s="64">
        <v>0</v>
      </c>
      <c r="P104" s="64">
        <v>0.36</v>
      </c>
      <c r="Q104" s="64">
        <v>9.27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5.94</v>
      </c>
      <c r="C106" s="67">
        <f>MIN(C9:C104)</f>
        <v>9.2799999999999994</v>
      </c>
      <c r="D106" s="67">
        <f t="shared" ref="D106:Q106" si="0">MIN(D9:D104)</f>
        <v>11.78</v>
      </c>
      <c r="E106" s="67">
        <f t="shared" si="0"/>
        <v>3.42</v>
      </c>
      <c r="F106" s="67">
        <f t="shared" si="0"/>
        <v>2.76</v>
      </c>
      <c r="G106" s="67">
        <f t="shared" si="0"/>
        <v>9.93</v>
      </c>
      <c r="H106" s="67">
        <f t="shared" si="0"/>
        <v>1.72</v>
      </c>
      <c r="I106" s="67">
        <f t="shared" si="0"/>
        <v>1.07</v>
      </c>
      <c r="J106" s="67">
        <f t="shared" si="0"/>
        <v>0.02</v>
      </c>
      <c r="K106" s="67">
        <f t="shared" si="0"/>
        <v>15.73</v>
      </c>
      <c r="L106" s="67">
        <f t="shared" si="0"/>
        <v>21.5</v>
      </c>
      <c r="M106" s="67">
        <f t="shared" si="0"/>
        <v>80.77</v>
      </c>
      <c r="N106" s="67">
        <f t="shared" si="0"/>
        <v>46.4</v>
      </c>
      <c r="O106" s="67">
        <f t="shared" si="0"/>
        <v>0</v>
      </c>
      <c r="P106" s="67">
        <f t="shared" si="0"/>
        <v>0.26</v>
      </c>
      <c r="Q106" s="67">
        <f t="shared" si="0"/>
        <v>9.09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17.39</v>
      </c>
      <c r="C107" s="66">
        <f t="shared" ref="C107:Q107" si="1">MAX(C9:C104)</f>
        <v>30.94</v>
      </c>
      <c r="D107" s="66">
        <f t="shared" si="1"/>
        <v>29.59</v>
      </c>
      <c r="E107" s="66">
        <f t="shared" si="1"/>
        <v>5.01</v>
      </c>
      <c r="F107" s="66">
        <f t="shared" si="1"/>
        <v>8.1199999999999992</v>
      </c>
      <c r="G107" s="66">
        <f t="shared" si="1"/>
        <v>50.14</v>
      </c>
      <c r="H107" s="66">
        <f t="shared" si="1"/>
        <v>14.9</v>
      </c>
      <c r="I107" s="66">
        <f t="shared" si="1"/>
        <v>2.72</v>
      </c>
      <c r="J107" s="66">
        <f t="shared" si="1"/>
        <v>1.03</v>
      </c>
      <c r="K107" s="66">
        <f t="shared" si="1"/>
        <v>326.61</v>
      </c>
      <c r="L107" s="66">
        <f t="shared" si="1"/>
        <v>29.12</v>
      </c>
      <c r="M107" s="66">
        <f t="shared" si="1"/>
        <v>97.65</v>
      </c>
      <c r="N107" s="66">
        <f t="shared" si="1"/>
        <v>421.2</v>
      </c>
      <c r="O107" s="66">
        <f t="shared" si="1"/>
        <v>3.2</v>
      </c>
      <c r="P107" s="66">
        <f t="shared" si="1"/>
        <v>1.1100000000000001</v>
      </c>
      <c r="Q107" s="66">
        <f t="shared" si="1"/>
        <v>9.35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10.457395833333335</v>
      </c>
      <c r="C108" s="67">
        <f t="shared" ref="C108:Q108" si="2">AVERAGE(C9:C104)</f>
        <v>14.876875000000004</v>
      </c>
      <c r="D108" s="67">
        <f t="shared" si="2"/>
        <v>16.158437499999994</v>
      </c>
      <c r="E108" s="67">
        <f t="shared" si="2"/>
        <v>4.2652083333333337</v>
      </c>
      <c r="F108" s="67">
        <f t="shared" si="2"/>
        <v>4.63375</v>
      </c>
      <c r="G108" s="67">
        <f t="shared" si="2"/>
        <v>28.121979166666659</v>
      </c>
      <c r="H108" s="67">
        <f t="shared" si="2"/>
        <v>7.5984374999999984</v>
      </c>
      <c r="I108" s="67">
        <f t="shared" si="2"/>
        <v>1.7607291666666667</v>
      </c>
      <c r="J108" s="67">
        <f t="shared" si="2"/>
        <v>0.2365624999999999</v>
      </c>
      <c r="K108" s="67">
        <f t="shared" si="2"/>
        <v>265.75458333333353</v>
      </c>
      <c r="L108" s="67">
        <f t="shared" si="2"/>
        <v>23.833229166666658</v>
      </c>
      <c r="M108" s="67">
        <f t="shared" si="2"/>
        <v>95.37708333333326</v>
      </c>
      <c r="N108" s="67">
        <f t="shared" si="2"/>
        <v>130.65624999999997</v>
      </c>
      <c r="O108" s="67">
        <f t="shared" si="2"/>
        <v>0.17916666666666661</v>
      </c>
      <c r="P108" s="67">
        <f t="shared" si="2"/>
        <v>0.46666666666666662</v>
      </c>
      <c r="Q108" s="67">
        <f t="shared" si="2"/>
        <v>9.1965625000000006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2.3387901707334118</v>
      </c>
      <c r="C109" s="67">
        <f t="shared" ref="C109:Q109" si="3">STDEV(C9:C104)</f>
        <v>4.4735442942516475</v>
      </c>
      <c r="D109" s="67">
        <f t="shared" si="3"/>
        <v>3.3019089624114191</v>
      </c>
      <c r="E109" s="67">
        <f t="shared" si="3"/>
        <v>0.43061028703253873</v>
      </c>
      <c r="F109" s="67">
        <f t="shared" si="3"/>
        <v>1.3366535196448428</v>
      </c>
      <c r="G109" s="67">
        <f t="shared" si="3"/>
        <v>12.507772204327628</v>
      </c>
      <c r="H109" s="67">
        <f t="shared" si="3"/>
        <v>3.5012684402641105</v>
      </c>
      <c r="I109" s="67">
        <f t="shared" si="3"/>
        <v>0.46196205082615788</v>
      </c>
      <c r="J109" s="67">
        <f t="shared" si="3"/>
        <v>0.22153449594755414</v>
      </c>
      <c r="K109" s="67">
        <f t="shared" si="3"/>
        <v>57.226197550948712</v>
      </c>
      <c r="L109" s="67">
        <f t="shared" si="3"/>
        <v>2.0282076582107074</v>
      </c>
      <c r="M109" s="67">
        <f t="shared" si="3"/>
        <v>4.7958604774636866</v>
      </c>
      <c r="N109" s="67">
        <f t="shared" si="3"/>
        <v>113.51717126079488</v>
      </c>
      <c r="O109" s="67">
        <f t="shared" si="3"/>
        <v>0.44055387786086458</v>
      </c>
      <c r="P109" s="67">
        <f t="shared" si="3"/>
        <v>0.15749798105083054</v>
      </c>
      <c r="Q109" s="67">
        <f t="shared" si="3"/>
        <v>7.1094127746249222E-2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COUNT(G9:G104)+6</f>
        <v>102</v>
      </c>
      <c r="H110" s="66">
        <f>COUNT(H9:H104)+6</f>
        <v>102</v>
      </c>
      <c r="I110" s="66">
        <f>COUNT(I9:I104)</f>
        <v>96</v>
      </c>
      <c r="J110" s="66">
        <f>COUNT(J9:J104)+2</f>
        <v>98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H20" sqref="H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1" t="s">
        <v>1877</v>
      </c>
      <c r="B9" s="64">
        <v>14.13</v>
      </c>
      <c r="C9" s="64">
        <v>10.91</v>
      </c>
      <c r="D9" s="64">
        <v>17.03</v>
      </c>
      <c r="E9" s="64">
        <v>4.24</v>
      </c>
      <c r="F9" s="64">
        <v>3.79</v>
      </c>
      <c r="G9" s="64">
        <v>25.61</v>
      </c>
      <c r="H9" s="64">
        <v>8.6300000000000008</v>
      </c>
      <c r="I9" s="64">
        <v>1.58</v>
      </c>
      <c r="J9" s="64">
        <v>0.28000000000000003</v>
      </c>
      <c r="K9" s="64">
        <v>295.89999999999998</v>
      </c>
      <c r="L9" s="64">
        <v>23.82</v>
      </c>
      <c r="M9" s="64">
        <v>97.54</v>
      </c>
      <c r="N9" s="64">
        <v>47.8</v>
      </c>
      <c r="O9" s="64">
        <v>0</v>
      </c>
      <c r="P9" s="64">
        <v>0.33</v>
      </c>
      <c r="Q9" s="64">
        <v>9.27</v>
      </c>
      <c r="R9" s="198"/>
      <c r="S9" s="198"/>
      <c r="T9" s="198"/>
      <c r="U9" s="198"/>
    </row>
    <row r="10" spans="1:21" s="12" customFormat="1" x14ac:dyDescent="0.25">
      <c r="A10" s="211" t="s">
        <v>1878</v>
      </c>
      <c r="B10" s="64">
        <v>13</v>
      </c>
      <c r="C10" s="64">
        <v>11.97</v>
      </c>
      <c r="D10" s="64">
        <v>16.68</v>
      </c>
      <c r="E10" s="64">
        <v>4.3600000000000003</v>
      </c>
      <c r="F10" s="64">
        <v>3.4</v>
      </c>
      <c r="G10" s="64">
        <v>25.61</v>
      </c>
      <c r="H10" s="64">
        <v>8.6300000000000008</v>
      </c>
      <c r="I10" s="64">
        <v>1.5</v>
      </c>
      <c r="J10" s="64">
        <v>0.31</v>
      </c>
      <c r="K10" s="64">
        <v>291.95</v>
      </c>
      <c r="L10" s="64">
        <v>23.76</v>
      </c>
      <c r="M10" s="64">
        <v>97.53</v>
      </c>
      <c r="N10" s="64">
        <v>48.1</v>
      </c>
      <c r="O10" s="64">
        <v>0</v>
      </c>
      <c r="P10" s="64">
        <v>0.31</v>
      </c>
      <c r="Q10" s="64">
        <v>9.26</v>
      </c>
      <c r="R10" s="198"/>
      <c r="S10" s="198"/>
      <c r="T10" s="198"/>
      <c r="U10" s="198"/>
    </row>
    <row r="11" spans="1:21" s="12" customFormat="1" x14ac:dyDescent="0.25">
      <c r="A11" s="211" t="s">
        <v>1879</v>
      </c>
      <c r="B11" s="64">
        <v>11.72</v>
      </c>
      <c r="C11" s="64">
        <v>12.51</v>
      </c>
      <c r="D11" s="64">
        <v>15.94</v>
      </c>
      <c r="E11" s="64">
        <v>4.5199999999999996</v>
      </c>
      <c r="F11" s="64">
        <v>3.78</v>
      </c>
      <c r="G11" s="64">
        <v>23.68</v>
      </c>
      <c r="H11" s="64">
        <v>9.11</v>
      </c>
      <c r="I11" s="64">
        <v>1.42</v>
      </c>
      <c r="J11" s="64">
        <v>0.4</v>
      </c>
      <c r="K11" s="64">
        <v>294.77999999999997</v>
      </c>
      <c r="L11" s="64">
        <v>23.62</v>
      </c>
      <c r="M11" s="64">
        <v>97.52</v>
      </c>
      <c r="N11" s="64">
        <v>48.5</v>
      </c>
      <c r="O11" s="64">
        <v>0</v>
      </c>
      <c r="P11" s="64">
        <v>0.3</v>
      </c>
      <c r="Q11" s="64">
        <v>9.2200000000000006</v>
      </c>
      <c r="R11" s="198"/>
      <c r="S11" s="198"/>
      <c r="T11" s="198"/>
      <c r="U11" s="198"/>
    </row>
    <row r="12" spans="1:21" s="12" customFormat="1" x14ac:dyDescent="0.25">
      <c r="A12" s="211" t="s">
        <v>1880</v>
      </c>
      <c r="B12" s="64">
        <v>10.07</v>
      </c>
      <c r="C12" s="64">
        <v>13.22</v>
      </c>
      <c r="D12" s="64">
        <v>14.98</v>
      </c>
      <c r="E12" s="64">
        <v>4.4000000000000004</v>
      </c>
      <c r="F12" s="64">
        <v>4.22</v>
      </c>
      <c r="G12" s="64">
        <v>23.09</v>
      </c>
      <c r="H12" s="64">
        <v>9.26</v>
      </c>
      <c r="I12" s="64">
        <v>1.4</v>
      </c>
      <c r="J12" s="64">
        <v>0.46</v>
      </c>
      <c r="K12" s="64">
        <v>289.17</v>
      </c>
      <c r="L12" s="64">
        <v>23.51</v>
      </c>
      <c r="M12" s="64">
        <v>97.5</v>
      </c>
      <c r="N12" s="64">
        <v>48.3</v>
      </c>
      <c r="O12" s="64">
        <v>0</v>
      </c>
      <c r="P12" s="64">
        <v>0.27</v>
      </c>
      <c r="Q12" s="64">
        <v>9.17</v>
      </c>
      <c r="R12" s="198"/>
      <c r="S12" s="198"/>
      <c r="T12" s="198"/>
      <c r="U12" s="198"/>
    </row>
    <row r="13" spans="1:21" s="12" customFormat="1" x14ac:dyDescent="0.25">
      <c r="A13" s="211" t="s">
        <v>1881</v>
      </c>
      <c r="B13" s="64">
        <v>8.06</v>
      </c>
      <c r="C13" s="64">
        <v>14.44</v>
      </c>
      <c r="D13" s="64">
        <v>14.01</v>
      </c>
      <c r="E13" s="64">
        <v>4.09</v>
      </c>
      <c r="F13" s="64">
        <v>3.19</v>
      </c>
      <c r="G13" s="64">
        <v>23.09</v>
      </c>
      <c r="H13" s="64">
        <v>9.26</v>
      </c>
      <c r="I13" s="64">
        <v>1.37</v>
      </c>
      <c r="J13" s="64">
        <v>0.49</v>
      </c>
      <c r="K13" s="64">
        <v>293.58999999999997</v>
      </c>
      <c r="L13" s="64">
        <v>23.45</v>
      </c>
      <c r="M13" s="64">
        <v>97.5</v>
      </c>
      <c r="N13" s="64">
        <v>47.8</v>
      </c>
      <c r="O13" s="64">
        <v>0</v>
      </c>
      <c r="P13" s="64">
        <v>0.31</v>
      </c>
      <c r="Q13" s="64">
        <v>9.1199999999999992</v>
      </c>
      <c r="R13" s="198"/>
      <c r="S13" s="198"/>
      <c r="T13" s="198"/>
      <c r="U13" s="198"/>
    </row>
    <row r="14" spans="1:21" s="12" customFormat="1" x14ac:dyDescent="0.25">
      <c r="A14" s="211" t="s">
        <v>1882</v>
      </c>
      <c r="B14" s="64">
        <v>6.72</v>
      </c>
      <c r="C14" s="64">
        <v>15.02</v>
      </c>
      <c r="D14" s="64">
        <v>13.24</v>
      </c>
      <c r="E14" s="64">
        <v>4.5</v>
      </c>
      <c r="F14" s="64">
        <v>3.59</v>
      </c>
      <c r="G14" s="64">
        <v>23.09</v>
      </c>
      <c r="H14" s="64">
        <v>9.26</v>
      </c>
      <c r="I14" s="64">
        <v>1.26</v>
      </c>
      <c r="J14" s="64">
        <v>0.33</v>
      </c>
      <c r="K14" s="64">
        <v>290.20999999999998</v>
      </c>
      <c r="L14" s="64">
        <v>23.17</v>
      </c>
      <c r="M14" s="64">
        <v>97.51</v>
      </c>
      <c r="N14" s="64">
        <v>46.7</v>
      </c>
      <c r="O14" s="64">
        <v>0.2</v>
      </c>
      <c r="P14" s="64">
        <v>0.31</v>
      </c>
      <c r="Q14" s="64">
        <v>9.09</v>
      </c>
      <c r="R14" s="198"/>
      <c r="S14" s="198"/>
      <c r="T14" s="198"/>
      <c r="U14" s="198"/>
    </row>
    <row r="15" spans="1:21" s="12" customFormat="1" x14ac:dyDescent="0.25">
      <c r="A15" s="211" t="s">
        <v>1883</v>
      </c>
      <c r="B15" s="64">
        <v>5.93</v>
      </c>
      <c r="C15" s="64">
        <v>15.69</v>
      </c>
      <c r="D15" s="64">
        <v>12.95</v>
      </c>
      <c r="E15" s="64">
        <v>4.01</v>
      </c>
      <c r="F15" s="64">
        <v>4.08</v>
      </c>
      <c r="G15" s="64">
        <v>20.71</v>
      </c>
      <c r="H15" s="64">
        <v>8.16</v>
      </c>
      <c r="I15" s="64">
        <v>1.1399999999999999</v>
      </c>
      <c r="J15" s="64">
        <v>0.23</v>
      </c>
      <c r="K15" s="64">
        <v>299.66000000000003</v>
      </c>
      <c r="L15" s="64">
        <v>22.97</v>
      </c>
      <c r="M15" s="64">
        <v>97.53</v>
      </c>
      <c r="N15" s="64">
        <v>47</v>
      </c>
      <c r="O15" s="64">
        <v>0</v>
      </c>
      <c r="P15" s="64">
        <v>0.37</v>
      </c>
      <c r="Q15" s="64">
        <v>9.08</v>
      </c>
      <c r="R15" s="198"/>
      <c r="S15" s="198"/>
      <c r="T15" s="198"/>
      <c r="U15" s="198"/>
    </row>
    <row r="16" spans="1:21" s="12" customFormat="1" x14ac:dyDescent="0.25">
      <c r="A16" s="211" t="s">
        <v>1884</v>
      </c>
      <c r="B16" s="64">
        <v>5.67</v>
      </c>
      <c r="C16" s="64">
        <v>16.29</v>
      </c>
      <c r="D16" s="64">
        <v>13.06</v>
      </c>
      <c r="E16" s="64">
        <v>4.04</v>
      </c>
      <c r="F16" s="64">
        <v>3.22</v>
      </c>
      <c r="G16" s="64">
        <v>19.940000000000001</v>
      </c>
      <c r="H16" s="64">
        <v>7.8</v>
      </c>
      <c r="I16" s="64">
        <v>1.22</v>
      </c>
      <c r="J16" s="64">
        <v>0.38</v>
      </c>
      <c r="K16" s="64">
        <v>290.41000000000003</v>
      </c>
      <c r="L16" s="64">
        <v>23.06</v>
      </c>
      <c r="M16" s="64">
        <v>97.52</v>
      </c>
      <c r="N16" s="64">
        <v>46.8</v>
      </c>
      <c r="O16" s="64">
        <v>0</v>
      </c>
      <c r="P16" s="64">
        <v>0.48</v>
      </c>
      <c r="Q16" s="64">
        <v>9.06</v>
      </c>
      <c r="R16" s="198"/>
      <c r="S16" s="198"/>
      <c r="T16" s="198"/>
      <c r="U16" s="198"/>
    </row>
    <row r="17" spans="1:21" s="12" customFormat="1" x14ac:dyDescent="0.25">
      <c r="A17" s="211" t="s">
        <v>1885</v>
      </c>
      <c r="B17" s="64">
        <v>5.36</v>
      </c>
      <c r="C17" s="64">
        <v>16.309999999999999</v>
      </c>
      <c r="D17" s="64">
        <v>12.82</v>
      </c>
      <c r="E17" s="64">
        <v>4.09</v>
      </c>
      <c r="F17" s="64">
        <v>3.87</v>
      </c>
      <c r="G17" s="64">
        <v>19.940000000000001</v>
      </c>
      <c r="H17" s="64">
        <v>7.8</v>
      </c>
      <c r="I17" s="64">
        <v>1.65</v>
      </c>
      <c r="J17" s="64">
        <v>0.38</v>
      </c>
      <c r="K17" s="64">
        <v>288.05</v>
      </c>
      <c r="L17" s="64">
        <v>22.97</v>
      </c>
      <c r="M17" s="64">
        <v>97.51</v>
      </c>
      <c r="N17" s="64">
        <v>46.1</v>
      </c>
      <c r="O17" s="64">
        <v>0</v>
      </c>
      <c r="P17" s="64">
        <v>0.5</v>
      </c>
      <c r="Q17" s="64">
        <v>9.06</v>
      </c>
      <c r="R17" s="198"/>
      <c r="S17" s="198"/>
      <c r="T17" s="198"/>
      <c r="U17" s="198"/>
    </row>
    <row r="18" spans="1:21" s="12" customFormat="1" x14ac:dyDescent="0.25">
      <c r="A18" s="211" t="s">
        <v>1886</v>
      </c>
      <c r="B18" s="64">
        <v>4.8600000000000003</v>
      </c>
      <c r="C18" s="64">
        <v>15.94</v>
      </c>
      <c r="D18" s="64">
        <v>12.23</v>
      </c>
      <c r="E18" s="64">
        <v>4.1900000000000004</v>
      </c>
      <c r="F18" s="64">
        <v>4.07</v>
      </c>
      <c r="G18" s="64">
        <v>19.940000000000001</v>
      </c>
      <c r="H18" s="64">
        <v>7.8</v>
      </c>
      <c r="I18" s="64">
        <v>2.06</v>
      </c>
      <c r="J18" s="64">
        <v>0.6</v>
      </c>
      <c r="K18" s="64">
        <v>290.49</v>
      </c>
      <c r="L18" s="64">
        <v>22.74</v>
      </c>
      <c r="M18" s="64">
        <v>97.53</v>
      </c>
      <c r="N18" s="64">
        <v>45.9</v>
      </c>
      <c r="O18" s="64">
        <v>0</v>
      </c>
      <c r="P18" s="64">
        <v>0.45</v>
      </c>
      <c r="Q18" s="64">
        <v>9.0399999999999991</v>
      </c>
      <c r="R18" s="198"/>
      <c r="S18" s="198"/>
      <c r="T18" s="198"/>
      <c r="U18" s="198"/>
    </row>
    <row r="19" spans="1:21" s="12" customFormat="1" x14ac:dyDescent="0.25">
      <c r="A19" s="211" t="s">
        <v>1887</v>
      </c>
      <c r="B19" s="64">
        <v>4.4800000000000004</v>
      </c>
      <c r="C19" s="64">
        <v>15.22</v>
      </c>
      <c r="D19" s="64">
        <v>11.55</v>
      </c>
      <c r="E19" s="64">
        <v>4.24</v>
      </c>
      <c r="F19" s="64">
        <v>4.58</v>
      </c>
      <c r="G19" s="64">
        <v>23.4</v>
      </c>
      <c r="H19" s="64">
        <v>9.1300000000000008</v>
      </c>
      <c r="I19" s="64">
        <v>2.08</v>
      </c>
      <c r="J19" s="64">
        <v>0.79</v>
      </c>
      <c r="K19" s="64">
        <v>297.8</v>
      </c>
      <c r="L19" s="64">
        <v>22.54</v>
      </c>
      <c r="M19" s="64">
        <v>97.53</v>
      </c>
      <c r="N19" s="64">
        <v>46.1</v>
      </c>
      <c r="O19" s="64">
        <v>0.2</v>
      </c>
      <c r="P19" s="64">
        <v>0.4</v>
      </c>
      <c r="Q19" s="64">
        <v>9.0399999999999991</v>
      </c>
      <c r="R19" s="198"/>
      <c r="S19" s="198"/>
      <c r="T19" s="198"/>
      <c r="U19" s="198"/>
    </row>
    <row r="20" spans="1:21" s="12" customFormat="1" x14ac:dyDescent="0.25">
      <c r="A20" s="211" t="s">
        <v>1888</v>
      </c>
      <c r="B20" s="64">
        <v>4.24</v>
      </c>
      <c r="C20" s="64">
        <v>14.19</v>
      </c>
      <c r="D20" s="64">
        <v>10.82</v>
      </c>
      <c r="E20" s="64">
        <v>4.2699999999999996</v>
      </c>
      <c r="F20" s="64">
        <v>4.3600000000000003</v>
      </c>
      <c r="G20" s="64">
        <v>24.52</v>
      </c>
      <c r="H20" s="64">
        <v>9.56</v>
      </c>
      <c r="I20" s="64">
        <v>1.93</v>
      </c>
      <c r="J20" s="64">
        <v>0.54</v>
      </c>
      <c r="K20" s="64">
        <v>295.27</v>
      </c>
      <c r="L20" s="64">
        <v>22.24</v>
      </c>
      <c r="M20" s="64">
        <v>97.56</v>
      </c>
      <c r="N20" s="64">
        <v>46.2</v>
      </c>
      <c r="O20" s="64">
        <v>0</v>
      </c>
      <c r="P20" s="64">
        <v>0.37</v>
      </c>
      <c r="Q20" s="64">
        <v>9.0299999999999994</v>
      </c>
      <c r="R20" s="198"/>
      <c r="S20" s="198"/>
      <c r="T20" s="198"/>
      <c r="U20" s="198"/>
    </row>
    <row r="21" spans="1:21" s="12" customFormat="1" x14ac:dyDescent="0.25">
      <c r="A21" s="211" t="s">
        <v>1889</v>
      </c>
      <c r="B21" s="64">
        <v>4.21</v>
      </c>
      <c r="C21" s="64">
        <v>13.48</v>
      </c>
      <c r="D21" s="64">
        <v>10.42</v>
      </c>
      <c r="E21" s="64">
        <v>4.17</v>
      </c>
      <c r="F21" s="64">
        <v>4.09</v>
      </c>
      <c r="G21" s="64">
        <v>24.52</v>
      </c>
      <c r="H21" s="64">
        <v>9.56</v>
      </c>
      <c r="I21" s="64">
        <v>1.77</v>
      </c>
      <c r="J21" s="64">
        <v>0.33</v>
      </c>
      <c r="K21" s="64">
        <v>294.45</v>
      </c>
      <c r="L21" s="64">
        <v>22.16</v>
      </c>
      <c r="M21" s="64">
        <v>97.58</v>
      </c>
      <c r="N21" s="64">
        <v>46.1</v>
      </c>
      <c r="O21" s="64">
        <v>0</v>
      </c>
      <c r="P21" s="64">
        <v>0.35</v>
      </c>
      <c r="Q21" s="64">
        <v>9.01</v>
      </c>
      <c r="R21" s="198"/>
      <c r="S21" s="198"/>
      <c r="T21" s="198"/>
      <c r="U21" s="198"/>
    </row>
    <row r="22" spans="1:21" s="12" customFormat="1" x14ac:dyDescent="0.25">
      <c r="A22" s="211" t="s">
        <v>1890</v>
      </c>
      <c r="B22" s="64">
        <v>4.43</v>
      </c>
      <c r="C22" s="64">
        <v>13.39</v>
      </c>
      <c r="D22" s="64">
        <v>10.55</v>
      </c>
      <c r="E22" s="64">
        <v>4.21</v>
      </c>
      <c r="F22" s="64">
        <v>3.19</v>
      </c>
      <c r="G22" s="64">
        <v>24.52</v>
      </c>
      <c r="H22" s="64">
        <v>9.56</v>
      </c>
      <c r="I22" s="64">
        <v>1.63</v>
      </c>
      <c r="J22" s="64">
        <v>0.18</v>
      </c>
      <c r="K22" s="64">
        <v>290.61</v>
      </c>
      <c r="L22" s="64">
        <v>22.19</v>
      </c>
      <c r="M22" s="64">
        <v>97.58</v>
      </c>
      <c r="N22" s="64">
        <v>46.4</v>
      </c>
      <c r="O22" s="64">
        <v>0</v>
      </c>
      <c r="P22" s="64">
        <v>0.33</v>
      </c>
      <c r="Q22" s="64">
        <v>9</v>
      </c>
      <c r="R22" s="198"/>
      <c r="S22" s="198"/>
      <c r="T22" s="198"/>
      <c r="U22" s="198"/>
    </row>
    <row r="23" spans="1:21" s="12" customFormat="1" x14ac:dyDescent="0.25">
      <c r="A23" s="211" t="s">
        <v>1891</v>
      </c>
      <c r="B23" s="64">
        <v>4.7</v>
      </c>
      <c r="C23" s="64">
        <v>12.84</v>
      </c>
      <c r="D23" s="64">
        <v>10.48</v>
      </c>
      <c r="E23" s="64">
        <v>3.99</v>
      </c>
      <c r="F23" s="64">
        <v>3.66</v>
      </c>
      <c r="G23" s="64">
        <v>24.66</v>
      </c>
      <c r="H23" s="64">
        <v>8.4</v>
      </c>
      <c r="I23" s="64">
        <v>1.54</v>
      </c>
      <c r="J23" s="64">
        <v>0.42</v>
      </c>
      <c r="K23" s="64">
        <v>286.58</v>
      </c>
      <c r="L23" s="64">
        <v>22.21</v>
      </c>
      <c r="M23" s="64">
        <v>97.57</v>
      </c>
      <c r="N23" s="64">
        <v>46.5</v>
      </c>
      <c r="O23" s="64">
        <v>0.2</v>
      </c>
      <c r="P23" s="64">
        <v>0.32</v>
      </c>
      <c r="Q23" s="64">
        <v>8.99</v>
      </c>
      <c r="R23" s="198"/>
      <c r="S23" s="198"/>
      <c r="T23" s="198"/>
      <c r="U23" s="198"/>
    </row>
    <row r="24" spans="1:21" s="12" customFormat="1" x14ac:dyDescent="0.25">
      <c r="A24" s="211" t="s">
        <v>1892</v>
      </c>
      <c r="B24" s="64">
        <v>4.9400000000000004</v>
      </c>
      <c r="C24" s="64">
        <v>13.3</v>
      </c>
      <c r="D24" s="64">
        <v>10.91</v>
      </c>
      <c r="E24" s="64">
        <v>4.2699999999999996</v>
      </c>
      <c r="F24" s="64">
        <v>3.91</v>
      </c>
      <c r="G24" s="64">
        <v>24.71</v>
      </c>
      <c r="H24" s="64">
        <v>8.02</v>
      </c>
      <c r="I24" s="64">
        <v>1.48</v>
      </c>
      <c r="J24" s="64">
        <v>0.4</v>
      </c>
      <c r="K24" s="64">
        <v>291.99</v>
      </c>
      <c r="L24" s="64">
        <v>22.13</v>
      </c>
      <c r="M24" s="64">
        <v>97.55</v>
      </c>
      <c r="N24" s="64">
        <v>46.4</v>
      </c>
      <c r="O24" s="64">
        <v>0.2</v>
      </c>
      <c r="P24" s="64">
        <v>0.28999999999999998</v>
      </c>
      <c r="Q24" s="64">
        <v>8.99</v>
      </c>
      <c r="R24" s="198"/>
      <c r="S24" s="198"/>
      <c r="T24" s="198"/>
      <c r="U24" s="198"/>
    </row>
    <row r="25" spans="1:21" s="12" customFormat="1" x14ac:dyDescent="0.25">
      <c r="A25" s="211" t="s">
        <v>1893</v>
      </c>
      <c r="B25" s="64">
        <v>4.9400000000000004</v>
      </c>
      <c r="C25" s="64">
        <v>13.41</v>
      </c>
      <c r="D25" s="64">
        <v>10.97</v>
      </c>
      <c r="E25" s="64">
        <v>4.3600000000000003</v>
      </c>
      <c r="F25" s="64">
        <v>3.92</v>
      </c>
      <c r="G25" s="64">
        <v>24.71</v>
      </c>
      <c r="H25" s="64">
        <v>8.02</v>
      </c>
      <c r="I25" s="64">
        <v>1.44</v>
      </c>
      <c r="J25" s="64">
        <v>0.24</v>
      </c>
      <c r="K25" s="64">
        <v>293.93</v>
      </c>
      <c r="L25" s="64">
        <v>21.98</v>
      </c>
      <c r="M25" s="64">
        <v>97.55</v>
      </c>
      <c r="N25" s="64">
        <v>46.4</v>
      </c>
      <c r="O25" s="64">
        <v>0</v>
      </c>
      <c r="P25" s="64">
        <v>0.27</v>
      </c>
      <c r="Q25" s="64">
        <v>8.99</v>
      </c>
      <c r="R25" s="198"/>
      <c r="S25" s="198"/>
      <c r="T25" s="198"/>
      <c r="U25" s="198"/>
    </row>
    <row r="26" spans="1:21" s="12" customFormat="1" x14ac:dyDescent="0.25">
      <c r="A26" s="211" t="s">
        <v>1894</v>
      </c>
      <c r="B26" s="64">
        <v>5.04</v>
      </c>
      <c r="C26" s="64">
        <v>13.16</v>
      </c>
      <c r="D26" s="64">
        <v>10.91</v>
      </c>
      <c r="E26" s="64">
        <v>3.91</v>
      </c>
      <c r="F26" s="64">
        <v>3.99</v>
      </c>
      <c r="G26" s="64">
        <v>24.71</v>
      </c>
      <c r="H26" s="64">
        <v>8.02</v>
      </c>
      <c r="I26" s="64">
        <v>1.38</v>
      </c>
      <c r="J26" s="64">
        <v>0.13</v>
      </c>
      <c r="K26" s="64">
        <v>301.69</v>
      </c>
      <c r="L26" s="64">
        <v>22.01</v>
      </c>
      <c r="M26" s="64">
        <v>97.55</v>
      </c>
      <c r="N26" s="64">
        <v>46.4</v>
      </c>
      <c r="O26" s="64">
        <v>0</v>
      </c>
      <c r="P26" s="64">
        <v>0.27</v>
      </c>
      <c r="Q26" s="64">
        <v>8.99</v>
      </c>
      <c r="R26" s="198"/>
      <c r="S26" s="198"/>
      <c r="T26" s="198"/>
      <c r="U26" s="198"/>
    </row>
    <row r="27" spans="1:21" s="12" customFormat="1" x14ac:dyDescent="0.25">
      <c r="A27" s="211" t="s">
        <v>1895</v>
      </c>
      <c r="B27" s="64">
        <v>5.38</v>
      </c>
      <c r="C27" s="64">
        <v>13.17</v>
      </c>
      <c r="D27" s="64">
        <v>11.19</v>
      </c>
      <c r="E27" s="64">
        <v>4.12</v>
      </c>
      <c r="F27" s="64">
        <v>3.02</v>
      </c>
      <c r="G27" s="64">
        <v>25.46</v>
      </c>
      <c r="H27" s="64">
        <v>7.27</v>
      </c>
      <c r="I27" s="64">
        <v>1.32</v>
      </c>
      <c r="J27" s="64">
        <v>0.06</v>
      </c>
      <c r="K27" s="64">
        <v>303.48</v>
      </c>
      <c r="L27" s="64">
        <v>22.12</v>
      </c>
      <c r="M27" s="64">
        <v>97.56</v>
      </c>
      <c r="N27" s="64">
        <v>46.7</v>
      </c>
      <c r="O27" s="64">
        <v>0</v>
      </c>
      <c r="P27" s="64">
        <v>0.28999999999999998</v>
      </c>
      <c r="Q27" s="64">
        <v>9</v>
      </c>
      <c r="R27" s="198"/>
      <c r="S27" s="198"/>
      <c r="T27" s="198"/>
      <c r="U27" s="198"/>
    </row>
    <row r="28" spans="1:21" s="12" customFormat="1" x14ac:dyDescent="0.25">
      <c r="A28" s="211" t="s">
        <v>1896</v>
      </c>
      <c r="B28" s="64">
        <v>5.75</v>
      </c>
      <c r="C28" s="64">
        <v>13.04</v>
      </c>
      <c r="D28" s="64">
        <v>11.43</v>
      </c>
      <c r="E28" s="64">
        <v>4.25</v>
      </c>
      <c r="F28" s="64">
        <v>3.31</v>
      </c>
      <c r="G28" s="64">
        <v>25.7</v>
      </c>
      <c r="H28" s="64">
        <v>7.03</v>
      </c>
      <c r="I28" s="64">
        <v>1.32</v>
      </c>
      <c r="J28" s="64">
        <v>0.08</v>
      </c>
      <c r="K28" s="64">
        <v>249.9</v>
      </c>
      <c r="L28" s="64">
        <v>22.11</v>
      </c>
      <c r="M28" s="64">
        <v>97.58</v>
      </c>
      <c r="N28" s="64">
        <v>46.4</v>
      </c>
      <c r="O28" s="64">
        <v>0</v>
      </c>
      <c r="P28" s="64">
        <v>0.31</v>
      </c>
      <c r="Q28" s="64">
        <v>9.01</v>
      </c>
      <c r="R28" s="198"/>
      <c r="S28" s="198"/>
      <c r="T28" s="198"/>
      <c r="U28" s="198"/>
    </row>
    <row r="29" spans="1:21" s="12" customFormat="1" x14ac:dyDescent="0.25">
      <c r="A29" s="211" t="s">
        <v>1897</v>
      </c>
      <c r="B29" s="64">
        <v>6.15</v>
      </c>
      <c r="C29" s="64">
        <v>13.25</v>
      </c>
      <c r="D29" s="64">
        <v>11.85</v>
      </c>
      <c r="E29" s="64">
        <v>4.3600000000000003</v>
      </c>
      <c r="F29" s="64">
        <v>4.32</v>
      </c>
      <c r="G29" s="64">
        <v>25.7</v>
      </c>
      <c r="H29" s="64">
        <v>7.03</v>
      </c>
      <c r="I29" s="64">
        <v>1.36</v>
      </c>
      <c r="J29" s="64">
        <v>0.12</v>
      </c>
      <c r="K29" s="64">
        <v>276.98</v>
      </c>
      <c r="L29" s="64">
        <v>22.21</v>
      </c>
      <c r="M29" s="64">
        <v>97.56</v>
      </c>
      <c r="N29" s="64">
        <v>46.4</v>
      </c>
      <c r="O29" s="64">
        <v>0</v>
      </c>
      <c r="P29" s="64">
        <v>0.32</v>
      </c>
      <c r="Q29" s="64">
        <v>9.0299999999999994</v>
      </c>
      <c r="R29" s="198"/>
      <c r="S29" s="198"/>
      <c r="T29" s="198"/>
      <c r="U29" s="198"/>
    </row>
    <row r="30" spans="1:21" s="12" customFormat="1" x14ac:dyDescent="0.25">
      <c r="A30" s="211" t="s">
        <v>1898</v>
      </c>
      <c r="B30" s="64">
        <v>6.44</v>
      </c>
      <c r="C30" s="64">
        <v>13.48</v>
      </c>
      <c r="D30" s="64">
        <v>12.21</v>
      </c>
      <c r="E30" s="64">
        <v>4.07</v>
      </c>
      <c r="F30" s="64">
        <v>2.5299999999999998</v>
      </c>
      <c r="G30" s="64">
        <v>25.7</v>
      </c>
      <c r="H30" s="64">
        <v>7.03</v>
      </c>
      <c r="I30" s="64">
        <v>1.41</v>
      </c>
      <c r="J30" s="64">
        <v>0.15</v>
      </c>
      <c r="K30" s="64">
        <v>296.99</v>
      </c>
      <c r="L30" s="64">
        <v>22.3</v>
      </c>
      <c r="M30" s="64">
        <v>97.56</v>
      </c>
      <c r="N30" s="64">
        <v>47.3</v>
      </c>
      <c r="O30" s="64">
        <v>0</v>
      </c>
      <c r="P30" s="64">
        <v>0.35</v>
      </c>
      <c r="Q30" s="64">
        <v>9.0299999999999994</v>
      </c>
      <c r="R30" s="198"/>
      <c r="S30" s="198"/>
      <c r="T30" s="198"/>
      <c r="U30" s="198"/>
    </row>
    <row r="31" spans="1:21" s="12" customFormat="1" x14ac:dyDescent="0.25">
      <c r="A31" s="211" t="s">
        <v>1899</v>
      </c>
      <c r="B31" s="64">
        <v>6.86</v>
      </c>
      <c r="C31" s="64">
        <v>14.51</v>
      </c>
      <c r="D31" s="64">
        <v>13.08</v>
      </c>
      <c r="E31" s="64">
        <v>4.1100000000000003</v>
      </c>
      <c r="F31" s="64">
        <v>3.23</v>
      </c>
      <c r="G31" s="64">
        <v>22.5</v>
      </c>
      <c r="H31" s="64">
        <v>7.14</v>
      </c>
      <c r="I31" s="64">
        <v>1.48</v>
      </c>
      <c r="J31" s="64">
        <v>0.2</v>
      </c>
      <c r="K31" s="64">
        <v>297.89999999999998</v>
      </c>
      <c r="L31" s="64">
        <v>22.35</v>
      </c>
      <c r="M31" s="64">
        <v>97.55</v>
      </c>
      <c r="N31" s="64">
        <v>49.3</v>
      </c>
      <c r="O31" s="64">
        <v>0</v>
      </c>
      <c r="P31" s="64">
        <v>0.35</v>
      </c>
      <c r="Q31" s="64">
        <v>9.0500000000000007</v>
      </c>
      <c r="R31" s="198"/>
      <c r="S31" s="198"/>
      <c r="T31" s="198"/>
      <c r="U31" s="198"/>
    </row>
    <row r="32" spans="1:21" s="12" customFormat="1" x14ac:dyDescent="0.25">
      <c r="A32" s="211" t="s">
        <v>1900</v>
      </c>
      <c r="B32" s="64">
        <v>6.88</v>
      </c>
      <c r="C32" s="64">
        <v>14.34</v>
      </c>
      <c r="D32" s="64">
        <v>13.01</v>
      </c>
      <c r="E32" s="64">
        <v>3.95</v>
      </c>
      <c r="F32" s="64">
        <v>3.38</v>
      </c>
      <c r="G32" s="64">
        <v>21.47</v>
      </c>
      <c r="H32" s="64">
        <v>7.18</v>
      </c>
      <c r="I32" s="64">
        <v>1.55</v>
      </c>
      <c r="J32" s="64">
        <v>0.2</v>
      </c>
      <c r="K32" s="64">
        <v>295.17</v>
      </c>
      <c r="L32" s="64">
        <v>22.34</v>
      </c>
      <c r="M32" s="64">
        <v>97.55</v>
      </c>
      <c r="N32" s="64">
        <v>51.9</v>
      </c>
      <c r="O32" s="64">
        <v>0</v>
      </c>
      <c r="P32" s="64">
        <v>0.33</v>
      </c>
      <c r="Q32" s="64">
        <v>9.07</v>
      </c>
      <c r="R32" s="198"/>
      <c r="S32" s="198"/>
      <c r="T32" s="198"/>
      <c r="U32" s="198"/>
    </row>
    <row r="33" spans="1:21" s="12" customFormat="1" x14ac:dyDescent="0.25">
      <c r="A33" s="211" t="s">
        <v>1901</v>
      </c>
      <c r="B33" s="64">
        <v>6.68</v>
      </c>
      <c r="C33" s="64">
        <v>14.21</v>
      </c>
      <c r="D33" s="64">
        <v>12.78</v>
      </c>
      <c r="E33" s="64">
        <v>3.86</v>
      </c>
      <c r="F33" s="64">
        <v>2.82</v>
      </c>
      <c r="G33" s="64">
        <v>21.47</v>
      </c>
      <c r="H33" s="64">
        <v>7.18</v>
      </c>
      <c r="I33" s="64">
        <v>1.55</v>
      </c>
      <c r="J33" s="64">
        <v>0.28999999999999998</v>
      </c>
      <c r="K33" s="64">
        <v>284.58</v>
      </c>
      <c r="L33" s="64">
        <v>22.35</v>
      </c>
      <c r="M33" s="64">
        <v>97.55</v>
      </c>
      <c r="N33" s="64">
        <v>55.1</v>
      </c>
      <c r="O33" s="64">
        <v>0</v>
      </c>
      <c r="P33" s="64">
        <v>0.32</v>
      </c>
      <c r="Q33" s="64">
        <v>9.07</v>
      </c>
      <c r="R33" s="198"/>
      <c r="S33" s="198"/>
      <c r="T33" s="198"/>
      <c r="U33" s="198"/>
    </row>
    <row r="34" spans="1:21" s="12" customFormat="1" x14ac:dyDescent="0.25">
      <c r="A34" s="211" t="s">
        <v>1902</v>
      </c>
      <c r="B34" s="64">
        <v>6.77</v>
      </c>
      <c r="C34" s="64">
        <v>14.58</v>
      </c>
      <c r="D34" s="64">
        <v>13.05</v>
      </c>
      <c r="E34" s="64">
        <v>4.12</v>
      </c>
      <c r="F34" s="64">
        <v>3.25</v>
      </c>
      <c r="G34" s="64">
        <v>21.47</v>
      </c>
      <c r="H34" s="64">
        <v>7.18</v>
      </c>
      <c r="I34" s="64">
        <v>1.49</v>
      </c>
      <c r="J34" s="64">
        <v>0.39</v>
      </c>
      <c r="K34" s="64">
        <v>286.12</v>
      </c>
      <c r="L34" s="64">
        <v>22.49</v>
      </c>
      <c r="M34" s="64">
        <v>97.55</v>
      </c>
      <c r="N34" s="64">
        <v>70.8</v>
      </c>
      <c r="O34" s="64">
        <v>0</v>
      </c>
      <c r="P34" s="64">
        <v>0.34</v>
      </c>
      <c r="Q34" s="64">
        <v>9.09</v>
      </c>
      <c r="R34" s="198"/>
      <c r="S34" s="198"/>
      <c r="T34" s="198"/>
      <c r="U34" s="198"/>
    </row>
    <row r="35" spans="1:21" s="12" customFormat="1" x14ac:dyDescent="0.25">
      <c r="A35" s="211" t="s">
        <v>1903</v>
      </c>
      <c r="B35" s="64">
        <v>6.73</v>
      </c>
      <c r="C35" s="64">
        <v>15.49</v>
      </c>
      <c r="D35" s="64">
        <v>13.49</v>
      </c>
      <c r="E35" s="64">
        <v>4.1500000000000004</v>
      </c>
      <c r="F35" s="64">
        <v>3.64</v>
      </c>
      <c r="G35" s="64">
        <v>23.72</v>
      </c>
      <c r="H35" s="64">
        <v>7.51</v>
      </c>
      <c r="I35" s="64">
        <v>1.44</v>
      </c>
      <c r="J35" s="64">
        <v>0.59</v>
      </c>
      <c r="K35" s="64">
        <v>288.3</v>
      </c>
      <c r="L35" s="64">
        <v>22.61</v>
      </c>
      <c r="M35" s="64">
        <v>97.53</v>
      </c>
      <c r="N35" s="64">
        <v>79.400000000000006</v>
      </c>
      <c r="O35" s="64">
        <v>0</v>
      </c>
      <c r="P35" s="64">
        <v>0.42</v>
      </c>
      <c r="Q35" s="64">
        <v>9.1</v>
      </c>
      <c r="R35" s="198"/>
      <c r="S35" s="198"/>
      <c r="T35" s="198"/>
      <c r="U35" s="198"/>
    </row>
    <row r="36" spans="1:21" s="12" customFormat="1" x14ac:dyDescent="0.25">
      <c r="A36" s="211" t="s">
        <v>1904</v>
      </c>
      <c r="B36" s="64">
        <v>7.54</v>
      </c>
      <c r="C36" s="64">
        <v>18.149999999999999</v>
      </c>
      <c r="D36" s="64">
        <v>15.53</v>
      </c>
      <c r="E36" s="64">
        <v>4.3099999999999996</v>
      </c>
      <c r="F36" s="64">
        <v>3.4</v>
      </c>
      <c r="G36" s="64">
        <v>24.44</v>
      </c>
      <c r="H36" s="64">
        <v>7.62</v>
      </c>
      <c r="I36" s="64">
        <v>1.52</v>
      </c>
      <c r="J36" s="64">
        <v>0.34</v>
      </c>
      <c r="K36" s="64">
        <v>286.02</v>
      </c>
      <c r="L36" s="64">
        <v>22.56</v>
      </c>
      <c r="M36" s="64">
        <v>97.55</v>
      </c>
      <c r="N36" s="64">
        <v>93.6</v>
      </c>
      <c r="O36" s="64">
        <v>0</v>
      </c>
      <c r="P36" s="64">
        <v>0.54</v>
      </c>
      <c r="Q36" s="64">
        <v>9.1199999999999992</v>
      </c>
      <c r="R36" s="198"/>
      <c r="S36" s="198"/>
      <c r="T36" s="198"/>
      <c r="U36" s="198"/>
    </row>
    <row r="37" spans="1:21" s="12" customFormat="1" x14ac:dyDescent="0.25">
      <c r="A37" s="211" t="s">
        <v>1905</v>
      </c>
      <c r="B37" s="64">
        <v>7.19</v>
      </c>
      <c r="C37" s="64">
        <v>17.510000000000002</v>
      </c>
      <c r="D37" s="64">
        <v>14.92</v>
      </c>
      <c r="E37" s="64">
        <v>4.34</v>
      </c>
      <c r="F37" s="64">
        <v>3.54</v>
      </c>
      <c r="G37" s="64">
        <v>24.44</v>
      </c>
      <c r="H37" s="64">
        <v>7.62</v>
      </c>
      <c r="I37" s="64">
        <v>1.94</v>
      </c>
      <c r="J37" s="64">
        <v>0.33</v>
      </c>
      <c r="K37" s="64">
        <v>291.58</v>
      </c>
      <c r="L37" s="64">
        <v>22.69</v>
      </c>
      <c r="M37" s="64">
        <v>97.55</v>
      </c>
      <c r="N37" s="64">
        <v>123.8</v>
      </c>
      <c r="O37" s="64">
        <v>0</v>
      </c>
      <c r="P37" s="64">
        <v>0.47</v>
      </c>
      <c r="Q37" s="64">
        <v>9.1300000000000008</v>
      </c>
      <c r="R37" s="198"/>
      <c r="S37" s="198"/>
      <c r="T37" s="198"/>
      <c r="U37" s="198"/>
    </row>
    <row r="38" spans="1:21" s="12" customFormat="1" x14ac:dyDescent="0.25">
      <c r="A38" s="211" t="s">
        <v>1906</v>
      </c>
      <c r="B38" s="64">
        <v>7.4</v>
      </c>
      <c r="C38" s="64">
        <v>16.86</v>
      </c>
      <c r="D38" s="64">
        <v>14.74</v>
      </c>
      <c r="E38" s="64">
        <v>4.34</v>
      </c>
      <c r="F38" s="64">
        <v>3.35</v>
      </c>
      <c r="G38" s="64">
        <v>24.44</v>
      </c>
      <c r="H38" s="64">
        <v>7.62</v>
      </c>
      <c r="I38" s="64">
        <v>2.31</v>
      </c>
      <c r="J38" s="64">
        <v>0.48</v>
      </c>
      <c r="K38" s="64">
        <v>294.14</v>
      </c>
      <c r="L38" s="64">
        <v>22.84</v>
      </c>
      <c r="M38" s="64">
        <v>97.55</v>
      </c>
      <c r="N38" s="64">
        <v>117.7</v>
      </c>
      <c r="O38" s="64">
        <v>0</v>
      </c>
      <c r="P38" s="64">
        <v>0.49</v>
      </c>
      <c r="Q38" s="64">
        <v>9.15</v>
      </c>
      <c r="R38" s="198"/>
      <c r="S38" s="198"/>
      <c r="T38" s="198"/>
      <c r="U38" s="198"/>
    </row>
    <row r="39" spans="1:21" s="12" customFormat="1" x14ac:dyDescent="0.25">
      <c r="A39" s="211" t="s">
        <v>1907</v>
      </c>
      <c r="B39" s="64">
        <v>7.47</v>
      </c>
      <c r="C39" s="64">
        <v>16.43</v>
      </c>
      <c r="D39" s="64">
        <v>14.58</v>
      </c>
      <c r="E39" s="64">
        <v>3.9</v>
      </c>
      <c r="F39" s="64">
        <v>4.2300000000000004</v>
      </c>
      <c r="G39" s="64">
        <v>26.83</v>
      </c>
      <c r="H39" s="64">
        <v>10.93</v>
      </c>
      <c r="I39" s="64">
        <v>2.37</v>
      </c>
      <c r="J39" s="64">
        <v>0.5</v>
      </c>
      <c r="K39" s="64">
        <v>286.76</v>
      </c>
      <c r="L39" s="64">
        <v>22.77</v>
      </c>
      <c r="M39" s="64">
        <v>97.54</v>
      </c>
      <c r="N39" s="64">
        <v>106</v>
      </c>
      <c r="O39" s="64">
        <v>0</v>
      </c>
      <c r="P39" s="64">
        <v>0.5</v>
      </c>
      <c r="Q39" s="64">
        <v>9.16</v>
      </c>
      <c r="R39" s="198"/>
      <c r="S39" s="198"/>
      <c r="T39" s="198"/>
      <c r="U39" s="198"/>
    </row>
    <row r="40" spans="1:21" s="12" customFormat="1" x14ac:dyDescent="0.25">
      <c r="A40" s="211" t="s">
        <v>1908</v>
      </c>
      <c r="B40" s="64">
        <v>7.32</v>
      </c>
      <c r="C40" s="64">
        <v>16.59</v>
      </c>
      <c r="D40" s="64">
        <v>14.54</v>
      </c>
      <c r="E40" s="64">
        <v>4.09</v>
      </c>
      <c r="F40" s="64">
        <v>3.19</v>
      </c>
      <c r="G40" s="64">
        <v>27.6</v>
      </c>
      <c r="H40" s="64">
        <v>12</v>
      </c>
      <c r="I40" s="64">
        <v>2.33</v>
      </c>
      <c r="J40" s="64">
        <v>0.28999999999999998</v>
      </c>
      <c r="K40" s="64">
        <v>280.83</v>
      </c>
      <c r="L40" s="64">
        <v>22.68</v>
      </c>
      <c r="M40" s="64">
        <v>97.57</v>
      </c>
      <c r="N40" s="64">
        <v>118.9</v>
      </c>
      <c r="O40" s="64">
        <v>0</v>
      </c>
      <c r="P40" s="64">
        <v>0.48</v>
      </c>
      <c r="Q40" s="64">
        <v>9.15</v>
      </c>
      <c r="R40" s="198"/>
      <c r="S40" s="198"/>
      <c r="T40" s="198"/>
      <c r="U40" s="198"/>
    </row>
    <row r="41" spans="1:21" s="12" customFormat="1" x14ac:dyDescent="0.25">
      <c r="A41" s="211" t="s">
        <v>1909</v>
      </c>
      <c r="B41" s="64">
        <v>8.11</v>
      </c>
      <c r="C41" s="64">
        <v>16.670000000000002</v>
      </c>
      <c r="D41" s="64">
        <v>15.21</v>
      </c>
      <c r="E41" s="64">
        <v>3.89</v>
      </c>
      <c r="F41" s="64">
        <v>4.3600000000000003</v>
      </c>
      <c r="G41" s="64">
        <v>27.6</v>
      </c>
      <c r="H41" s="64">
        <v>12</v>
      </c>
      <c r="I41" s="64">
        <v>2.19</v>
      </c>
      <c r="J41" s="64">
        <v>0.43</v>
      </c>
      <c r="K41" s="64">
        <v>285.43</v>
      </c>
      <c r="L41" s="64">
        <v>22.95</v>
      </c>
      <c r="M41" s="64">
        <v>97.55</v>
      </c>
      <c r="N41" s="64">
        <v>190.8</v>
      </c>
      <c r="O41" s="64">
        <v>0</v>
      </c>
      <c r="P41" s="64">
        <v>0.56999999999999995</v>
      </c>
      <c r="Q41" s="64">
        <v>9.15</v>
      </c>
      <c r="R41" s="198"/>
      <c r="S41" s="198"/>
      <c r="T41" s="198"/>
      <c r="U41" s="198"/>
    </row>
    <row r="42" spans="1:21" s="12" customFormat="1" x14ac:dyDescent="0.25">
      <c r="A42" s="211" t="s">
        <v>1910</v>
      </c>
      <c r="B42" s="64">
        <v>9.48</v>
      </c>
      <c r="C42" s="64">
        <v>17.43</v>
      </c>
      <c r="D42" s="64">
        <v>16.71</v>
      </c>
      <c r="E42" s="64">
        <v>4</v>
      </c>
      <c r="F42" s="64">
        <v>2.84</v>
      </c>
      <c r="G42" s="64">
        <v>27.6</v>
      </c>
      <c r="H42" s="64">
        <v>12</v>
      </c>
      <c r="I42" s="64">
        <v>2.2200000000000002</v>
      </c>
      <c r="J42" s="64">
        <v>0.5</v>
      </c>
      <c r="K42" s="64">
        <v>290.17</v>
      </c>
      <c r="L42" s="64">
        <v>23.34</v>
      </c>
      <c r="M42" s="64">
        <v>97.36</v>
      </c>
      <c r="N42" s="64">
        <v>165.8</v>
      </c>
      <c r="O42" s="64">
        <v>0</v>
      </c>
      <c r="P42" s="64">
        <v>0.63</v>
      </c>
      <c r="Q42" s="64">
        <v>9.19</v>
      </c>
      <c r="R42" s="198"/>
      <c r="S42" s="198"/>
      <c r="T42" s="198"/>
      <c r="U42" s="198"/>
    </row>
    <row r="43" spans="1:21" s="12" customFormat="1" x14ac:dyDescent="0.25">
      <c r="A43" s="211" t="s">
        <v>1911</v>
      </c>
      <c r="B43" s="64">
        <v>9.7200000000000006</v>
      </c>
      <c r="C43" s="64">
        <v>17.41</v>
      </c>
      <c r="D43" s="64">
        <v>16.89</v>
      </c>
      <c r="E43" s="64">
        <v>4</v>
      </c>
      <c r="F43" s="64">
        <v>3.68</v>
      </c>
      <c r="G43" s="64">
        <v>31.43</v>
      </c>
      <c r="H43" s="64">
        <v>11.52</v>
      </c>
      <c r="I43" s="64">
        <v>2.61</v>
      </c>
      <c r="J43" s="64">
        <v>0.43</v>
      </c>
      <c r="K43" s="64">
        <v>283.48</v>
      </c>
      <c r="L43" s="64">
        <v>23.11</v>
      </c>
      <c r="M43" s="64">
        <v>97.41</v>
      </c>
      <c r="N43" s="64">
        <v>171</v>
      </c>
      <c r="O43" s="64">
        <v>0</v>
      </c>
      <c r="P43" s="64">
        <v>0.64</v>
      </c>
      <c r="Q43" s="64">
        <v>9.2100000000000009</v>
      </c>
      <c r="R43" s="198"/>
      <c r="S43" s="198"/>
      <c r="T43" s="198"/>
      <c r="U43" s="198"/>
    </row>
    <row r="44" spans="1:21" s="12" customFormat="1" x14ac:dyDescent="0.25">
      <c r="A44" s="211" t="s">
        <v>1912</v>
      </c>
      <c r="B44" s="64">
        <v>9.7100000000000009</v>
      </c>
      <c r="C44" s="64">
        <v>17.45</v>
      </c>
      <c r="D44" s="64">
        <v>16.899999999999999</v>
      </c>
      <c r="E44" s="64">
        <v>4.24</v>
      </c>
      <c r="F44" s="64">
        <v>3.9</v>
      </c>
      <c r="G44" s="64">
        <v>32.659999999999997</v>
      </c>
      <c r="H44" s="64">
        <v>11.36</v>
      </c>
      <c r="I44" s="64">
        <v>2.91</v>
      </c>
      <c r="J44" s="64">
        <v>0.33</v>
      </c>
      <c r="K44" s="64">
        <v>285.10000000000002</v>
      </c>
      <c r="L44" s="64">
        <v>23.17</v>
      </c>
      <c r="M44" s="64">
        <v>97.53</v>
      </c>
      <c r="N44" s="64">
        <v>267.2</v>
      </c>
      <c r="O44" s="64">
        <v>0</v>
      </c>
      <c r="P44" s="64">
        <v>0.68</v>
      </c>
      <c r="Q44" s="64">
        <v>9.2200000000000006</v>
      </c>
      <c r="R44" s="198"/>
      <c r="S44" s="198"/>
      <c r="T44" s="198"/>
      <c r="U44" s="198"/>
    </row>
    <row r="45" spans="1:21" s="12" customFormat="1" x14ac:dyDescent="0.25">
      <c r="A45" s="211" t="s">
        <v>1913</v>
      </c>
      <c r="B45" s="64">
        <v>10.5</v>
      </c>
      <c r="C45" s="64">
        <v>17.32</v>
      </c>
      <c r="D45" s="64">
        <v>17.47</v>
      </c>
      <c r="E45" s="64">
        <v>4.1100000000000003</v>
      </c>
      <c r="F45" s="64">
        <v>3.3</v>
      </c>
      <c r="G45" s="64">
        <v>32.659999999999997</v>
      </c>
      <c r="H45" s="64">
        <v>11.36</v>
      </c>
      <c r="I45" s="64">
        <v>2.96</v>
      </c>
      <c r="J45" s="64">
        <v>0.42</v>
      </c>
      <c r="K45" s="64">
        <v>286.61</v>
      </c>
      <c r="L45" s="64">
        <v>23.76</v>
      </c>
      <c r="M45" s="64">
        <v>96.43</v>
      </c>
      <c r="N45" s="64">
        <v>300.7</v>
      </c>
      <c r="O45" s="64">
        <v>0</v>
      </c>
      <c r="P45" s="64">
        <v>0.78</v>
      </c>
      <c r="Q45" s="64">
        <v>9.2200000000000006</v>
      </c>
      <c r="R45" s="198"/>
      <c r="S45" s="198"/>
      <c r="T45" s="198"/>
      <c r="U45" s="198"/>
    </row>
    <row r="46" spans="1:21" s="12" customFormat="1" x14ac:dyDescent="0.25">
      <c r="A46" s="211" t="s">
        <v>1914</v>
      </c>
      <c r="B46" s="64">
        <v>10.93</v>
      </c>
      <c r="C46" s="64">
        <v>17.579999999999998</v>
      </c>
      <c r="D46" s="64">
        <v>17.95</v>
      </c>
      <c r="E46" s="64">
        <v>3.95</v>
      </c>
      <c r="F46" s="64">
        <v>4.25</v>
      </c>
      <c r="G46" s="64">
        <v>32.659999999999997</v>
      </c>
      <c r="H46" s="64">
        <v>11.36</v>
      </c>
      <c r="I46" s="64">
        <v>3.19</v>
      </c>
      <c r="J46" s="64">
        <v>0.28999999999999998</v>
      </c>
      <c r="K46" s="64">
        <v>291.45999999999998</v>
      </c>
      <c r="L46" s="64">
        <v>23.66</v>
      </c>
      <c r="M46" s="64">
        <v>97.06</v>
      </c>
      <c r="N46" s="64">
        <v>238.4</v>
      </c>
      <c r="O46" s="64">
        <v>0</v>
      </c>
      <c r="P46" s="64">
        <v>0.84</v>
      </c>
      <c r="Q46" s="64">
        <v>9.24</v>
      </c>
      <c r="R46" s="198"/>
      <c r="S46" s="198"/>
      <c r="T46" s="198"/>
      <c r="U46" s="198"/>
    </row>
    <row r="47" spans="1:21" s="12" customFormat="1" x14ac:dyDescent="0.25">
      <c r="A47" s="211" t="s">
        <v>1915</v>
      </c>
      <c r="B47" s="64">
        <v>10.35</v>
      </c>
      <c r="C47" s="64">
        <v>17.46</v>
      </c>
      <c r="D47" s="64">
        <v>17.420000000000002</v>
      </c>
      <c r="E47" s="64">
        <v>4.12</v>
      </c>
      <c r="F47" s="64">
        <v>3.91</v>
      </c>
      <c r="G47" s="64">
        <v>33.61</v>
      </c>
      <c r="H47" s="64">
        <v>14.2</v>
      </c>
      <c r="I47" s="64">
        <v>3.63</v>
      </c>
      <c r="J47" s="64">
        <v>0.39</v>
      </c>
      <c r="K47" s="64">
        <v>291.33</v>
      </c>
      <c r="L47" s="64">
        <v>23.69</v>
      </c>
      <c r="M47" s="64">
        <v>96.73</v>
      </c>
      <c r="N47" s="64">
        <v>273</v>
      </c>
      <c r="O47" s="64">
        <v>0</v>
      </c>
      <c r="P47" s="64">
        <v>0.76</v>
      </c>
      <c r="Q47" s="64">
        <v>9.24</v>
      </c>
      <c r="R47" s="198"/>
      <c r="S47" s="198"/>
      <c r="T47" s="198"/>
      <c r="U47" s="198"/>
    </row>
    <row r="48" spans="1:21" s="12" customFormat="1" x14ac:dyDescent="0.25">
      <c r="A48" s="211" t="s">
        <v>1916</v>
      </c>
      <c r="B48" s="64">
        <v>9.34</v>
      </c>
      <c r="C48" s="64">
        <v>16.96</v>
      </c>
      <c r="D48" s="64">
        <v>16.350000000000001</v>
      </c>
      <c r="E48" s="64">
        <v>3.86</v>
      </c>
      <c r="F48" s="64">
        <v>3.98</v>
      </c>
      <c r="G48" s="64">
        <v>33.92</v>
      </c>
      <c r="H48" s="64">
        <v>15.12</v>
      </c>
      <c r="I48" s="64">
        <v>3.74</v>
      </c>
      <c r="J48" s="64">
        <v>0.4</v>
      </c>
      <c r="K48" s="64">
        <v>284.47000000000003</v>
      </c>
      <c r="L48" s="64">
        <v>24.36</v>
      </c>
      <c r="M48" s="64">
        <v>92.51</v>
      </c>
      <c r="N48" s="64">
        <v>344</v>
      </c>
      <c r="O48" s="64">
        <v>0</v>
      </c>
      <c r="P48" s="64">
        <v>0.69</v>
      </c>
      <c r="Q48" s="64">
        <v>9.2100000000000009</v>
      </c>
      <c r="R48" s="198"/>
      <c r="S48" s="198"/>
      <c r="T48" s="198"/>
      <c r="U48" s="198"/>
    </row>
    <row r="49" spans="1:21" s="12" customFormat="1" x14ac:dyDescent="0.25">
      <c r="A49" s="211" t="s">
        <v>1917</v>
      </c>
      <c r="B49" s="64">
        <v>8.1199999999999992</v>
      </c>
      <c r="C49" s="64">
        <v>17.059999999999999</v>
      </c>
      <c r="D49" s="64">
        <v>15.43</v>
      </c>
      <c r="E49" s="64">
        <v>3.84</v>
      </c>
      <c r="F49" s="64">
        <v>3.76</v>
      </c>
      <c r="G49" s="64">
        <v>33.92</v>
      </c>
      <c r="H49" s="64">
        <v>15.12</v>
      </c>
      <c r="I49" s="64">
        <v>3.47</v>
      </c>
      <c r="J49" s="64">
        <v>0.55000000000000004</v>
      </c>
      <c r="K49" s="64">
        <v>284.70999999999998</v>
      </c>
      <c r="L49" s="64">
        <v>24.79</v>
      </c>
      <c r="M49" s="64">
        <v>89.86</v>
      </c>
      <c r="N49" s="64">
        <v>328.2</v>
      </c>
      <c r="O49" s="64">
        <v>0</v>
      </c>
      <c r="P49" s="64">
        <v>0.56999999999999995</v>
      </c>
      <c r="Q49" s="64">
        <v>9.19</v>
      </c>
      <c r="R49" s="198"/>
      <c r="S49" s="198"/>
      <c r="T49" s="198"/>
      <c r="U49" s="198"/>
    </row>
    <row r="50" spans="1:21" s="12" customFormat="1" x14ac:dyDescent="0.25">
      <c r="A50" s="211" t="s">
        <v>1918</v>
      </c>
      <c r="B50" s="64">
        <v>6.64</v>
      </c>
      <c r="C50" s="64">
        <v>17.59</v>
      </c>
      <c r="D50" s="64">
        <v>14.51</v>
      </c>
      <c r="E50" s="64">
        <v>3.75</v>
      </c>
      <c r="F50" s="64">
        <v>4.4800000000000004</v>
      </c>
      <c r="G50" s="64">
        <v>33.92</v>
      </c>
      <c r="H50" s="64">
        <v>15.12</v>
      </c>
      <c r="I50" s="64">
        <v>3.06</v>
      </c>
      <c r="J50" s="64">
        <v>0.43</v>
      </c>
      <c r="K50" s="64">
        <v>287.44</v>
      </c>
      <c r="L50" s="64">
        <v>24.17</v>
      </c>
      <c r="M50" s="64">
        <v>91.29</v>
      </c>
      <c r="N50" s="64">
        <v>249.2</v>
      </c>
      <c r="O50" s="64">
        <v>0</v>
      </c>
      <c r="P50" s="64">
        <v>0.51</v>
      </c>
      <c r="Q50" s="64">
        <v>9.15</v>
      </c>
      <c r="R50" s="198"/>
      <c r="S50" s="198"/>
      <c r="T50" s="198"/>
      <c r="U50" s="198"/>
    </row>
    <row r="51" spans="1:21" s="12" customFormat="1" x14ac:dyDescent="0.25">
      <c r="A51" s="211" t="s">
        <v>1919</v>
      </c>
      <c r="B51" s="64">
        <v>5.59</v>
      </c>
      <c r="C51" s="64">
        <v>17.8</v>
      </c>
      <c r="D51" s="64">
        <v>13.79</v>
      </c>
      <c r="E51" s="64">
        <v>3.92</v>
      </c>
      <c r="F51" s="64">
        <v>4.41</v>
      </c>
      <c r="G51" s="64">
        <v>38.82</v>
      </c>
      <c r="H51" s="64">
        <v>13.54</v>
      </c>
      <c r="I51" s="64">
        <v>2.62</v>
      </c>
      <c r="J51" s="64">
        <v>0.35</v>
      </c>
      <c r="K51" s="64">
        <v>286.23</v>
      </c>
      <c r="L51" s="64">
        <v>24.25</v>
      </c>
      <c r="M51" s="64">
        <v>92.52</v>
      </c>
      <c r="N51" s="64">
        <v>391.1</v>
      </c>
      <c r="O51" s="64">
        <v>0</v>
      </c>
      <c r="P51" s="64">
        <v>0.44</v>
      </c>
      <c r="Q51" s="64">
        <v>9.11</v>
      </c>
      <c r="R51" s="198"/>
      <c r="S51" s="198"/>
      <c r="T51" s="198"/>
      <c r="U51" s="198"/>
    </row>
    <row r="52" spans="1:21" s="12" customFormat="1" x14ac:dyDescent="0.25">
      <c r="A52" s="211" t="s">
        <v>1920</v>
      </c>
      <c r="B52" s="64">
        <v>5.01</v>
      </c>
      <c r="C52" s="64">
        <v>17.510000000000002</v>
      </c>
      <c r="D52" s="64">
        <v>13.17</v>
      </c>
      <c r="E52" s="64">
        <v>3.75</v>
      </c>
      <c r="F52" s="64">
        <v>4.4400000000000004</v>
      </c>
      <c r="G52" s="64">
        <v>40.409999999999997</v>
      </c>
      <c r="H52" s="64">
        <v>13.02</v>
      </c>
      <c r="I52" s="64">
        <v>2.2400000000000002</v>
      </c>
      <c r="J52" s="64">
        <v>0.39</v>
      </c>
      <c r="K52" s="64">
        <v>284.92</v>
      </c>
      <c r="L52" s="64">
        <v>24.64</v>
      </c>
      <c r="M52" s="64">
        <v>91.52</v>
      </c>
      <c r="N52" s="64">
        <v>464.6</v>
      </c>
      <c r="O52" s="64">
        <v>0</v>
      </c>
      <c r="P52" s="64">
        <v>0.41</v>
      </c>
      <c r="Q52" s="64">
        <v>9.08</v>
      </c>
      <c r="R52" s="198"/>
      <c r="S52" s="198"/>
      <c r="T52" s="198"/>
      <c r="U52" s="198"/>
    </row>
    <row r="53" spans="1:21" s="12" customFormat="1" x14ac:dyDescent="0.25">
      <c r="A53" s="211" t="s">
        <v>1921</v>
      </c>
      <c r="B53" s="64">
        <v>4.97</v>
      </c>
      <c r="C53" s="64">
        <v>16.97</v>
      </c>
      <c r="D53" s="64">
        <v>12.85</v>
      </c>
      <c r="E53" s="64">
        <v>3.75</v>
      </c>
      <c r="F53" s="64">
        <v>4.5599999999999996</v>
      </c>
      <c r="G53" s="64">
        <v>40.409999999999997</v>
      </c>
      <c r="H53" s="64">
        <v>13.02</v>
      </c>
      <c r="I53" s="64">
        <v>1.97</v>
      </c>
      <c r="J53" s="64">
        <v>0.51</v>
      </c>
      <c r="K53" s="64">
        <v>290.23</v>
      </c>
      <c r="L53" s="64">
        <v>24.73</v>
      </c>
      <c r="M53" s="64">
        <v>90.16</v>
      </c>
      <c r="N53" s="64">
        <v>391</v>
      </c>
      <c r="O53" s="64">
        <v>0</v>
      </c>
      <c r="P53" s="64">
        <v>0.35</v>
      </c>
      <c r="Q53" s="64">
        <v>9.08</v>
      </c>
      <c r="R53" s="198"/>
      <c r="S53" s="198"/>
      <c r="T53" s="198"/>
      <c r="U53" s="198"/>
    </row>
    <row r="54" spans="1:21" s="12" customFormat="1" x14ac:dyDescent="0.25">
      <c r="A54" s="211" t="s">
        <v>1922</v>
      </c>
      <c r="B54" s="64">
        <v>5.21</v>
      </c>
      <c r="C54" s="64">
        <v>17.07</v>
      </c>
      <c r="D54" s="64">
        <v>13.1</v>
      </c>
      <c r="E54" s="64">
        <v>3.76</v>
      </c>
      <c r="F54" s="64">
        <v>4.7</v>
      </c>
      <c r="G54" s="64">
        <v>40.409999999999997</v>
      </c>
      <c r="H54" s="64">
        <v>13.02</v>
      </c>
      <c r="I54" s="64">
        <v>1.77</v>
      </c>
      <c r="J54" s="64">
        <v>0.49</v>
      </c>
      <c r="K54" s="64">
        <v>288.17</v>
      </c>
      <c r="L54" s="64">
        <v>25</v>
      </c>
      <c r="M54" s="64">
        <v>87.7</v>
      </c>
      <c r="N54" s="64">
        <v>426.9</v>
      </c>
      <c r="O54" s="64">
        <v>0</v>
      </c>
      <c r="P54" s="64">
        <v>0.33</v>
      </c>
      <c r="Q54" s="64">
        <v>9.09</v>
      </c>
      <c r="R54" s="198"/>
      <c r="S54" s="198"/>
      <c r="T54" s="198"/>
      <c r="U54" s="198"/>
    </row>
    <row r="55" spans="1:21" s="12" customFormat="1" x14ac:dyDescent="0.25">
      <c r="A55" s="211" t="s">
        <v>1923</v>
      </c>
      <c r="B55" s="64">
        <v>5.15</v>
      </c>
      <c r="C55" s="64">
        <v>17.010000000000002</v>
      </c>
      <c r="D55" s="64">
        <v>13.02</v>
      </c>
      <c r="E55" s="64">
        <v>3.88</v>
      </c>
      <c r="F55" s="64">
        <v>5.56</v>
      </c>
      <c r="G55" s="64">
        <v>38.4</v>
      </c>
      <c r="H55" s="64">
        <v>14.2</v>
      </c>
      <c r="I55" s="64">
        <v>1.59</v>
      </c>
      <c r="J55" s="64">
        <v>0.54</v>
      </c>
      <c r="K55" s="64">
        <v>285.64</v>
      </c>
      <c r="L55" s="64">
        <v>25.08</v>
      </c>
      <c r="M55" s="64">
        <v>86.45</v>
      </c>
      <c r="N55" s="64">
        <v>315.7</v>
      </c>
      <c r="O55" s="64">
        <v>0</v>
      </c>
      <c r="P55" s="64">
        <v>0.28999999999999998</v>
      </c>
      <c r="Q55" s="64">
        <v>9.09</v>
      </c>
      <c r="R55" s="198"/>
      <c r="S55" s="198"/>
      <c r="T55" s="198"/>
      <c r="U55" s="198"/>
    </row>
    <row r="56" spans="1:21" s="12" customFormat="1" x14ac:dyDescent="0.25">
      <c r="A56" s="211" t="s">
        <v>1924</v>
      </c>
      <c r="B56" s="64">
        <v>4.7699999999999996</v>
      </c>
      <c r="C56" s="64">
        <v>16.7</v>
      </c>
      <c r="D56" s="64">
        <v>12.55</v>
      </c>
      <c r="E56" s="64">
        <v>3.95</v>
      </c>
      <c r="F56" s="64">
        <v>5.27</v>
      </c>
      <c r="G56" s="64">
        <v>37.76</v>
      </c>
      <c r="H56" s="64">
        <v>14.58</v>
      </c>
      <c r="I56" s="64">
        <v>1.43</v>
      </c>
      <c r="J56" s="64">
        <v>0.55000000000000004</v>
      </c>
      <c r="K56" s="64">
        <v>285.3</v>
      </c>
      <c r="L56" s="64">
        <v>25.1</v>
      </c>
      <c r="M56" s="64">
        <v>88.5</v>
      </c>
      <c r="N56" s="64">
        <v>241.5</v>
      </c>
      <c r="O56" s="64">
        <v>0</v>
      </c>
      <c r="P56" s="64">
        <v>0.26</v>
      </c>
      <c r="Q56" s="64">
        <v>9.09</v>
      </c>
      <c r="R56" s="198"/>
      <c r="S56" s="198"/>
      <c r="T56" s="198"/>
      <c r="U56" s="198"/>
    </row>
    <row r="57" spans="1:21" s="12" customFormat="1" x14ac:dyDescent="0.25">
      <c r="A57" s="211" t="s">
        <v>1925</v>
      </c>
      <c r="B57" s="64">
        <v>4.87</v>
      </c>
      <c r="C57" s="64">
        <v>16.64</v>
      </c>
      <c r="D57" s="64">
        <v>12.6</v>
      </c>
      <c r="E57" s="64">
        <v>3.91</v>
      </c>
      <c r="F57" s="64">
        <v>3.83</v>
      </c>
      <c r="G57" s="64">
        <v>37.76</v>
      </c>
      <c r="H57" s="64">
        <v>14.58</v>
      </c>
      <c r="I57" s="64">
        <v>1.27</v>
      </c>
      <c r="J57" s="64">
        <v>0.37</v>
      </c>
      <c r="K57" s="64">
        <v>291.39</v>
      </c>
      <c r="L57" s="64">
        <v>24.56</v>
      </c>
      <c r="M57" s="64">
        <v>92.25</v>
      </c>
      <c r="N57" s="64">
        <v>149.19999999999999</v>
      </c>
      <c r="O57" s="64">
        <v>0</v>
      </c>
      <c r="P57" s="64">
        <v>0.28000000000000003</v>
      </c>
      <c r="Q57" s="64">
        <v>9.07</v>
      </c>
      <c r="R57" s="198"/>
      <c r="S57" s="198"/>
      <c r="T57" s="198"/>
      <c r="U57" s="198"/>
    </row>
    <row r="58" spans="1:21" s="12" customFormat="1" x14ac:dyDescent="0.25">
      <c r="A58" s="211" t="s">
        <v>1926</v>
      </c>
      <c r="B58" s="64">
        <v>5.13</v>
      </c>
      <c r="C58" s="64">
        <v>16.079999999999998</v>
      </c>
      <c r="D58" s="64">
        <v>12.52</v>
      </c>
      <c r="E58" s="64">
        <v>4.07</v>
      </c>
      <c r="F58" s="64">
        <v>4.04</v>
      </c>
      <c r="G58" s="64">
        <v>37.76</v>
      </c>
      <c r="H58" s="64">
        <v>14.58</v>
      </c>
      <c r="I58" s="64">
        <v>1.18</v>
      </c>
      <c r="J58" s="64">
        <v>0.45</v>
      </c>
      <c r="K58" s="64">
        <v>288.17</v>
      </c>
      <c r="L58" s="64">
        <v>24.03</v>
      </c>
      <c r="M58" s="64">
        <v>95.1</v>
      </c>
      <c r="N58" s="64">
        <v>116.2</v>
      </c>
      <c r="O58" s="64">
        <v>0</v>
      </c>
      <c r="P58" s="64">
        <v>0.27</v>
      </c>
      <c r="Q58" s="64">
        <v>9.06</v>
      </c>
      <c r="R58" s="198"/>
      <c r="S58" s="198"/>
      <c r="T58" s="198"/>
      <c r="U58" s="198"/>
    </row>
    <row r="59" spans="1:21" s="12" customFormat="1" x14ac:dyDescent="0.25">
      <c r="A59" s="211" t="s">
        <v>1927</v>
      </c>
      <c r="B59" s="64">
        <v>5.44</v>
      </c>
      <c r="C59" s="64">
        <v>15.62</v>
      </c>
      <c r="D59" s="64">
        <v>12.53</v>
      </c>
      <c r="E59" s="64">
        <v>4.03</v>
      </c>
      <c r="F59" s="64">
        <v>3.59</v>
      </c>
      <c r="G59" s="64">
        <v>37.35</v>
      </c>
      <c r="H59" s="64">
        <v>11.39</v>
      </c>
      <c r="I59" s="64">
        <v>1.1399999999999999</v>
      </c>
      <c r="J59" s="64">
        <v>0.36</v>
      </c>
      <c r="K59" s="64">
        <v>288.8</v>
      </c>
      <c r="L59" s="64">
        <v>23.52</v>
      </c>
      <c r="M59" s="64">
        <v>96.99</v>
      </c>
      <c r="N59" s="64">
        <v>122.3</v>
      </c>
      <c r="O59" s="64">
        <v>0.2</v>
      </c>
      <c r="P59" s="64">
        <v>0.26</v>
      </c>
      <c r="Q59" s="64">
        <v>9.06</v>
      </c>
      <c r="R59" s="198"/>
      <c r="S59" s="198"/>
      <c r="T59" s="198"/>
      <c r="U59" s="198"/>
    </row>
    <row r="60" spans="1:21" s="12" customFormat="1" x14ac:dyDescent="0.25">
      <c r="A60" s="211" t="s">
        <v>1928</v>
      </c>
      <c r="B60" s="64">
        <v>6.42</v>
      </c>
      <c r="C60" s="64">
        <v>15.48</v>
      </c>
      <c r="D60" s="64">
        <v>13.24</v>
      </c>
      <c r="E60" s="64">
        <v>3.77</v>
      </c>
      <c r="F60" s="64">
        <v>3.71</v>
      </c>
      <c r="G60" s="64">
        <v>37.21</v>
      </c>
      <c r="H60" s="64">
        <v>10.36</v>
      </c>
      <c r="I60" s="64">
        <v>1.1100000000000001</v>
      </c>
      <c r="J60" s="64">
        <v>0.39</v>
      </c>
      <c r="K60" s="64">
        <v>291.52999999999997</v>
      </c>
      <c r="L60" s="64">
        <v>23.18</v>
      </c>
      <c r="M60" s="64">
        <v>97.01</v>
      </c>
      <c r="N60" s="64">
        <v>209.7</v>
      </c>
      <c r="O60" s="64">
        <v>0.2</v>
      </c>
      <c r="P60" s="64">
        <v>0.26</v>
      </c>
      <c r="Q60" s="64">
        <v>9.06</v>
      </c>
      <c r="R60" s="198"/>
      <c r="S60" s="198"/>
      <c r="T60" s="198"/>
      <c r="U60" s="198"/>
    </row>
    <row r="61" spans="1:21" s="12" customFormat="1" x14ac:dyDescent="0.25">
      <c r="A61" s="211" t="s">
        <v>1929</v>
      </c>
      <c r="B61" s="64">
        <v>6.85</v>
      </c>
      <c r="C61" s="64">
        <v>15.59</v>
      </c>
      <c r="D61" s="64">
        <v>13.64</v>
      </c>
      <c r="E61" s="64">
        <v>3.81</v>
      </c>
      <c r="F61" s="64">
        <v>3.62</v>
      </c>
      <c r="G61" s="64">
        <v>37.21</v>
      </c>
      <c r="H61" s="64">
        <v>10.36</v>
      </c>
      <c r="I61" s="64">
        <v>1.1000000000000001</v>
      </c>
      <c r="J61" s="64">
        <v>0.39</v>
      </c>
      <c r="K61" s="64">
        <v>289.16000000000003</v>
      </c>
      <c r="L61" s="64">
        <v>23.37</v>
      </c>
      <c r="M61" s="64">
        <v>97.39</v>
      </c>
      <c r="N61" s="64">
        <v>156.9</v>
      </c>
      <c r="O61" s="64">
        <v>0</v>
      </c>
      <c r="P61" s="64">
        <v>0.32</v>
      </c>
      <c r="Q61" s="64">
        <v>9.08</v>
      </c>
      <c r="R61" s="198"/>
      <c r="S61" s="198"/>
      <c r="T61" s="198"/>
      <c r="U61" s="198"/>
    </row>
    <row r="62" spans="1:21" s="12" customFormat="1" x14ac:dyDescent="0.25">
      <c r="A62" s="211" t="s">
        <v>1930</v>
      </c>
      <c r="B62" s="64">
        <v>7.38</v>
      </c>
      <c r="C62" s="64">
        <v>15.38</v>
      </c>
      <c r="D62" s="64">
        <v>13.96</v>
      </c>
      <c r="E62" s="64">
        <v>3.8</v>
      </c>
      <c r="F62" s="64">
        <v>3.32</v>
      </c>
      <c r="G62" s="64">
        <v>37.21</v>
      </c>
      <c r="H62" s="64">
        <v>10.36</v>
      </c>
      <c r="I62" s="64">
        <v>1.1399999999999999</v>
      </c>
      <c r="J62" s="64">
        <v>0.28999999999999998</v>
      </c>
      <c r="K62" s="64">
        <v>289.26</v>
      </c>
      <c r="L62" s="64">
        <v>23.4</v>
      </c>
      <c r="M62" s="64">
        <v>97.17</v>
      </c>
      <c r="N62" s="64">
        <v>126.8</v>
      </c>
      <c r="O62" s="64">
        <v>0</v>
      </c>
      <c r="P62" s="64">
        <v>0.35</v>
      </c>
      <c r="Q62" s="64">
        <v>9.11</v>
      </c>
      <c r="R62" s="198"/>
      <c r="S62" s="198"/>
      <c r="T62" s="198"/>
      <c r="U62" s="198"/>
    </row>
    <row r="63" spans="1:21" s="12" customFormat="1" x14ac:dyDescent="0.25">
      <c r="A63" s="211" t="s">
        <v>1931</v>
      </c>
      <c r="B63" s="64">
        <v>7.4</v>
      </c>
      <c r="C63" s="64">
        <v>14.97</v>
      </c>
      <c r="D63" s="64">
        <v>13.76</v>
      </c>
      <c r="E63" s="64">
        <v>4</v>
      </c>
      <c r="F63" s="64">
        <v>4.49</v>
      </c>
      <c r="G63" s="64">
        <v>27.41</v>
      </c>
      <c r="H63" s="64">
        <v>9.2799999999999994</v>
      </c>
      <c r="I63" s="64">
        <v>1.17</v>
      </c>
      <c r="J63" s="64">
        <v>0.26</v>
      </c>
      <c r="K63" s="64">
        <v>293.26</v>
      </c>
      <c r="L63" s="64">
        <v>23.11</v>
      </c>
      <c r="M63" s="64">
        <v>97.01</v>
      </c>
      <c r="N63" s="64">
        <v>134.4</v>
      </c>
      <c r="O63" s="64">
        <v>0.4</v>
      </c>
      <c r="P63" s="64">
        <v>0.33</v>
      </c>
      <c r="Q63" s="64">
        <v>9.11</v>
      </c>
      <c r="R63" s="198"/>
      <c r="S63" s="198"/>
      <c r="T63" s="198"/>
      <c r="U63" s="198"/>
    </row>
    <row r="64" spans="1:21" s="12" customFormat="1" x14ac:dyDescent="0.25">
      <c r="A64" s="211" t="s">
        <v>1932</v>
      </c>
      <c r="B64" s="64">
        <v>7.5</v>
      </c>
      <c r="C64" s="64">
        <v>14.73</v>
      </c>
      <c r="D64" s="64">
        <v>13.71</v>
      </c>
      <c r="E64" s="64">
        <v>4.1399999999999997</v>
      </c>
      <c r="F64" s="64">
        <v>3.24</v>
      </c>
      <c r="G64" s="64">
        <v>24.24</v>
      </c>
      <c r="H64" s="64">
        <v>8.93</v>
      </c>
      <c r="I64" s="64">
        <v>1.1599999999999999</v>
      </c>
      <c r="J64" s="64">
        <v>0.23</v>
      </c>
      <c r="K64" s="64">
        <v>294.14999999999998</v>
      </c>
      <c r="L64" s="64">
        <v>22.79</v>
      </c>
      <c r="M64" s="64">
        <v>97.05</v>
      </c>
      <c r="N64" s="64">
        <v>200.5</v>
      </c>
      <c r="O64" s="64">
        <v>0.4</v>
      </c>
      <c r="P64" s="64">
        <v>0.33</v>
      </c>
      <c r="Q64" s="64">
        <v>9.11</v>
      </c>
      <c r="R64" s="198"/>
      <c r="S64" s="198"/>
      <c r="T64" s="198"/>
      <c r="U64" s="198"/>
    </row>
    <row r="65" spans="1:21" s="12" customFormat="1" x14ac:dyDescent="0.25">
      <c r="A65" s="211" t="s">
        <v>1933</v>
      </c>
      <c r="B65" s="64">
        <v>7.4</v>
      </c>
      <c r="C65" s="64">
        <v>14.91</v>
      </c>
      <c r="D65" s="64">
        <v>13.72</v>
      </c>
      <c r="E65" s="64">
        <v>4</v>
      </c>
      <c r="F65" s="64">
        <v>3.43</v>
      </c>
      <c r="G65" s="64">
        <v>24.24</v>
      </c>
      <c r="H65" s="64">
        <v>8.93</v>
      </c>
      <c r="I65" s="64">
        <v>1.06</v>
      </c>
      <c r="J65" s="64">
        <v>0.24</v>
      </c>
      <c r="K65" s="64">
        <v>293.98</v>
      </c>
      <c r="L65" s="64">
        <v>22.92</v>
      </c>
      <c r="M65" s="64">
        <v>97.45</v>
      </c>
      <c r="N65" s="64">
        <v>251.3</v>
      </c>
      <c r="O65" s="64">
        <v>0</v>
      </c>
      <c r="P65" s="64">
        <v>0.33</v>
      </c>
      <c r="Q65" s="64">
        <v>9.1</v>
      </c>
      <c r="R65" s="198"/>
      <c r="S65" s="198"/>
      <c r="T65" s="198"/>
      <c r="U65" s="198"/>
    </row>
    <row r="66" spans="1:21" s="12" customFormat="1" x14ac:dyDescent="0.25">
      <c r="A66" s="211" t="s">
        <v>1934</v>
      </c>
      <c r="B66" s="64">
        <v>7.51</v>
      </c>
      <c r="C66" s="64">
        <v>14.67</v>
      </c>
      <c r="D66" s="64">
        <v>13.69</v>
      </c>
      <c r="E66" s="64">
        <v>3.9</v>
      </c>
      <c r="F66" s="64">
        <v>2.99</v>
      </c>
      <c r="G66" s="64">
        <v>24.24</v>
      </c>
      <c r="H66" s="64">
        <v>8.93</v>
      </c>
      <c r="I66" s="64">
        <v>0.98</v>
      </c>
      <c r="J66" s="64">
        <v>0.3</v>
      </c>
      <c r="K66" s="64">
        <v>298.29000000000002</v>
      </c>
      <c r="L66" s="64">
        <v>23.59</v>
      </c>
      <c r="M66" s="64">
        <v>97.21</v>
      </c>
      <c r="N66" s="64">
        <v>330.1</v>
      </c>
      <c r="O66" s="64">
        <v>0</v>
      </c>
      <c r="P66" s="64">
        <v>0.33</v>
      </c>
      <c r="Q66" s="64">
        <v>9.1199999999999992</v>
      </c>
      <c r="R66" s="198"/>
      <c r="S66" s="198"/>
      <c r="T66" s="198"/>
      <c r="U66" s="198"/>
    </row>
    <row r="67" spans="1:21" s="12" customFormat="1" x14ac:dyDescent="0.25">
      <c r="A67" s="211" t="s">
        <v>1935</v>
      </c>
      <c r="B67" s="64">
        <v>7.7</v>
      </c>
      <c r="C67" s="64">
        <v>14.54</v>
      </c>
      <c r="D67" s="64">
        <v>13.77</v>
      </c>
      <c r="E67" s="64">
        <v>3.91</v>
      </c>
      <c r="F67" s="64">
        <v>4.32</v>
      </c>
      <c r="G67" s="64">
        <v>24.86</v>
      </c>
      <c r="H67" s="64">
        <v>9.4600000000000009</v>
      </c>
      <c r="I67" s="64">
        <v>0.97</v>
      </c>
      <c r="J67" s="64">
        <v>0.26</v>
      </c>
      <c r="K67" s="64">
        <v>285.16000000000003</v>
      </c>
      <c r="L67" s="64">
        <v>24.24</v>
      </c>
      <c r="M67" s="64">
        <v>97.29</v>
      </c>
      <c r="N67" s="64">
        <v>326.2</v>
      </c>
      <c r="O67" s="64">
        <v>0</v>
      </c>
      <c r="P67" s="64">
        <v>0.32</v>
      </c>
      <c r="Q67" s="64">
        <v>9.1300000000000008</v>
      </c>
      <c r="R67" s="198"/>
      <c r="S67" s="198"/>
      <c r="T67" s="198"/>
      <c r="U67" s="198"/>
    </row>
    <row r="68" spans="1:21" s="12" customFormat="1" x14ac:dyDescent="0.25">
      <c r="A68" s="211" t="s">
        <v>1936</v>
      </c>
      <c r="B68" s="64">
        <v>7.51</v>
      </c>
      <c r="C68" s="64">
        <v>14.92</v>
      </c>
      <c r="D68" s="64">
        <v>13.81</v>
      </c>
      <c r="E68" s="64">
        <v>3.93</v>
      </c>
      <c r="F68" s="64">
        <v>3.77</v>
      </c>
      <c r="G68" s="64">
        <v>25.07</v>
      </c>
      <c r="H68" s="64">
        <v>9.6300000000000008</v>
      </c>
      <c r="I68" s="64">
        <v>0.96</v>
      </c>
      <c r="J68" s="64">
        <v>0.39</v>
      </c>
      <c r="K68" s="64">
        <v>290.57</v>
      </c>
      <c r="L68" s="64">
        <v>24.34</v>
      </c>
      <c r="M68" s="64">
        <v>97.55</v>
      </c>
      <c r="N68" s="64">
        <v>197.1</v>
      </c>
      <c r="O68" s="64">
        <v>0</v>
      </c>
      <c r="P68" s="64">
        <v>0.33</v>
      </c>
      <c r="Q68" s="64">
        <v>9.1300000000000008</v>
      </c>
      <c r="R68" s="198"/>
      <c r="S68" s="198"/>
      <c r="T68" s="198"/>
      <c r="U68" s="198"/>
    </row>
    <row r="69" spans="1:21" s="12" customFormat="1" x14ac:dyDescent="0.25">
      <c r="A69" s="211" t="s">
        <v>1937</v>
      </c>
      <c r="B69" s="64">
        <v>7.27</v>
      </c>
      <c r="C69" s="64">
        <v>15.27</v>
      </c>
      <c r="D69" s="64">
        <v>13.81</v>
      </c>
      <c r="E69" s="64">
        <v>3.8</v>
      </c>
      <c r="F69" s="64">
        <v>3.95</v>
      </c>
      <c r="G69" s="64">
        <v>25.07</v>
      </c>
      <c r="H69" s="64">
        <v>9.6300000000000008</v>
      </c>
      <c r="I69" s="64">
        <v>1.01</v>
      </c>
      <c r="J69" s="64">
        <v>0.28000000000000003</v>
      </c>
      <c r="K69" s="64">
        <v>292.17</v>
      </c>
      <c r="L69" s="64">
        <v>24.15</v>
      </c>
      <c r="M69" s="64">
        <v>97.55</v>
      </c>
      <c r="N69" s="64">
        <v>166.2</v>
      </c>
      <c r="O69" s="64">
        <v>0</v>
      </c>
      <c r="P69" s="64">
        <v>0.33</v>
      </c>
      <c r="Q69" s="64">
        <v>9.1300000000000008</v>
      </c>
      <c r="R69" s="198"/>
      <c r="S69" s="198"/>
      <c r="T69" s="198"/>
      <c r="U69" s="198"/>
    </row>
    <row r="70" spans="1:21" s="12" customFormat="1" x14ac:dyDescent="0.25">
      <c r="A70" s="211" t="s">
        <v>1938</v>
      </c>
      <c r="B70" s="64">
        <v>8.3000000000000007</v>
      </c>
      <c r="C70" s="64">
        <v>14.61</v>
      </c>
      <c r="D70" s="64">
        <v>14.29</v>
      </c>
      <c r="E70" s="64">
        <v>3.82</v>
      </c>
      <c r="F70" s="64">
        <v>3.66</v>
      </c>
      <c r="G70" s="64">
        <v>25.07</v>
      </c>
      <c r="H70" s="64">
        <v>9.6300000000000008</v>
      </c>
      <c r="I70" s="64">
        <v>0.98</v>
      </c>
      <c r="J70" s="64">
        <v>0.31</v>
      </c>
      <c r="K70" s="64">
        <v>286.36</v>
      </c>
      <c r="L70" s="64">
        <v>24.27</v>
      </c>
      <c r="M70" s="64">
        <v>97.55</v>
      </c>
      <c r="N70" s="64">
        <v>147.1</v>
      </c>
      <c r="O70" s="64">
        <v>0</v>
      </c>
      <c r="P70" s="64">
        <v>0.32</v>
      </c>
      <c r="Q70" s="64">
        <v>9.1199999999999992</v>
      </c>
      <c r="R70" s="198"/>
      <c r="S70" s="198"/>
      <c r="T70" s="198"/>
      <c r="U70" s="198"/>
    </row>
    <row r="71" spans="1:21" s="12" customFormat="1" x14ac:dyDescent="0.25">
      <c r="A71" s="211" t="s">
        <v>1939</v>
      </c>
      <c r="B71" s="64">
        <v>7.24</v>
      </c>
      <c r="C71" s="64">
        <v>15.39</v>
      </c>
      <c r="D71" s="64">
        <v>13.85</v>
      </c>
      <c r="E71" s="64">
        <v>3.44</v>
      </c>
      <c r="F71" s="64">
        <v>4.47</v>
      </c>
      <c r="G71" s="64">
        <v>24.61</v>
      </c>
      <c r="H71" s="64">
        <v>9.82</v>
      </c>
      <c r="I71" s="64">
        <v>0.9</v>
      </c>
      <c r="J71" s="64">
        <v>0.36</v>
      </c>
      <c r="K71" s="64">
        <v>283.8</v>
      </c>
      <c r="L71" s="64">
        <v>24.16</v>
      </c>
      <c r="M71" s="64">
        <v>97.55</v>
      </c>
      <c r="N71" s="64">
        <v>118.9</v>
      </c>
      <c r="O71" s="64">
        <v>0</v>
      </c>
      <c r="P71" s="64">
        <v>0.33</v>
      </c>
      <c r="Q71" s="64">
        <v>9.1300000000000008</v>
      </c>
      <c r="R71" s="198"/>
      <c r="S71" s="198"/>
      <c r="T71" s="198"/>
      <c r="U71" s="198"/>
    </row>
    <row r="72" spans="1:21" s="12" customFormat="1" x14ac:dyDescent="0.25">
      <c r="A72" s="211" t="s">
        <v>1940</v>
      </c>
      <c r="B72" s="64">
        <v>6.64</v>
      </c>
      <c r="C72" s="64">
        <v>16.18</v>
      </c>
      <c r="D72" s="64">
        <v>13.78</v>
      </c>
      <c r="E72" s="64">
        <v>4.26</v>
      </c>
      <c r="F72" s="64">
        <v>4.38</v>
      </c>
      <c r="G72" s="64">
        <v>24.47</v>
      </c>
      <c r="H72" s="64">
        <v>9.89</v>
      </c>
      <c r="I72" s="64">
        <v>0.9</v>
      </c>
      <c r="J72" s="64">
        <v>0.3</v>
      </c>
      <c r="K72" s="64">
        <v>284.97000000000003</v>
      </c>
      <c r="L72" s="64">
        <v>24.14</v>
      </c>
      <c r="M72" s="64">
        <v>97.55</v>
      </c>
      <c r="N72" s="64">
        <v>149.1</v>
      </c>
      <c r="O72" s="64">
        <v>0</v>
      </c>
      <c r="P72" s="64">
        <v>0.33</v>
      </c>
      <c r="Q72" s="64">
        <v>9.1300000000000008</v>
      </c>
      <c r="R72" s="198"/>
      <c r="S72" s="198"/>
      <c r="T72" s="198"/>
      <c r="U72" s="198"/>
    </row>
    <row r="73" spans="1:21" s="12" customFormat="1" x14ac:dyDescent="0.25">
      <c r="A73" s="211" t="s">
        <v>1941</v>
      </c>
      <c r="B73" s="64">
        <v>6.3</v>
      </c>
      <c r="C73" s="64">
        <v>16.57</v>
      </c>
      <c r="D73" s="64">
        <v>13.71</v>
      </c>
      <c r="E73" s="64">
        <v>4.3899999999999997</v>
      </c>
      <c r="F73" s="64">
        <v>4.09</v>
      </c>
      <c r="G73" s="64">
        <v>24.47</v>
      </c>
      <c r="H73" s="64">
        <v>9.89</v>
      </c>
      <c r="I73" s="64">
        <v>0.9</v>
      </c>
      <c r="J73" s="64">
        <v>0.28999999999999998</v>
      </c>
      <c r="K73" s="64">
        <v>292.49</v>
      </c>
      <c r="L73" s="64">
        <v>24.22</v>
      </c>
      <c r="M73" s="64">
        <v>97.55</v>
      </c>
      <c r="N73" s="64">
        <v>166.3</v>
      </c>
      <c r="O73" s="64">
        <v>0</v>
      </c>
      <c r="P73" s="64">
        <v>0.32</v>
      </c>
      <c r="Q73" s="64">
        <v>9.1300000000000008</v>
      </c>
      <c r="R73" s="198"/>
      <c r="S73" s="198"/>
      <c r="T73" s="198"/>
      <c r="U73" s="198"/>
    </row>
    <row r="74" spans="1:21" s="12" customFormat="1" x14ac:dyDescent="0.25">
      <c r="A74" s="211" t="s">
        <v>1942</v>
      </c>
      <c r="B74" s="64">
        <v>5.87</v>
      </c>
      <c r="C74" s="64">
        <v>17.66</v>
      </c>
      <c r="D74" s="64">
        <v>13.93</v>
      </c>
      <c r="E74" s="64">
        <v>4.32</v>
      </c>
      <c r="F74" s="64">
        <v>4.09</v>
      </c>
      <c r="G74" s="64">
        <v>24.47</v>
      </c>
      <c r="H74" s="64">
        <v>9.89</v>
      </c>
      <c r="I74" s="64">
        <v>0.89</v>
      </c>
      <c r="J74" s="64">
        <v>0.3</v>
      </c>
      <c r="K74" s="64">
        <v>295.08</v>
      </c>
      <c r="L74" s="64">
        <v>24.14</v>
      </c>
      <c r="M74" s="64">
        <v>97.55</v>
      </c>
      <c r="N74" s="64">
        <v>147.1</v>
      </c>
      <c r="O74" s="64">
        <v>0</v>
      </c>
      <c r="P74" s="64">
        <v>0.33</v>
      </c>
      <c r="Q74" s="64">
        <v>9.11</v>
      </c>
      <c r="R74" s="198"/>
      <c r="S74" s="198"/>
      <c r="T74" s="198"/>
      <c r="U74" s="198"/>
    </row>
    <row r="75" spans="1:21" s="12" customFormat="1" x14ac:dyDescent="0.25">
      <c r="A75" s="211" t="s">
        <v>1943</v>
      </c>
      <c r="B75" s="64">
        <v>5.72</v>
      </c>
      <c r="C75" s="64">
        <v>16.97</v>
      </c>
      <c r="D75" s="64">
        <v>13.46</v>
      </c>
      <c r="E75" s="64">
        <v>4.68</v>
      </c>
      <c r="F75" s="64">
        <v>3.54</v>
      </c>
      <c r="G75" s="64">
        <v>24.3</v>
      </c>
      <c r="H75" s="64">
        <v>8.69</v>
      </c>
      <c r="I75" s="64">
        <v>0.88</v>
      </c>
      <c r="J75" s="64">
        <v>0.25</v>
      </c>
      <c r="K75" s="64">
        <v>297.98</v>
      </c>
      <c r="L75" s="64">
        <v>24.07</v>
      </c>
      <c r="M75" s="64">
        <v>97.55</v>
      </c>
      <c r="N75" s="64">
        <v>157.30000000000001</v>
      </c>
      <c r="O75" s="64">
        <v>0</v>
      </c>
      <c r="P75" s="64">
        <v>0.32</v>
      </c>
      <c r="Q75" s="64">
        <v>9.09</v>
      </c>
      <c r="R75" s="198"/>
      <c r="S75" s="198"/>
      <c r="T75" s="198"/>
      <c r="U75" s="198"/>
    </row>
    <row r="76" spans="1:21" s="12" customFormat="1" x14ac:dyDescent="0.25">
      <c r="A76" s="211" t="s">
        <v>1944</v>
      </c>
      <c r="B76" s="64">
        <v>5.92</v>
      </c>
      <c r="C76" s="64">
        <v>16.73</v>
      </c>
      <c r="D76" s="64">
        <v>13.48</v>
      </c>
      <c r="E76" s="64">
        <v>4.6900000000000004</v>
      </c>
      <c r="F76" s="64">
        <v>4.07</v>
      </c>
      <c r="G76" s="64">
        <v>24.25</v>
      </c>
      <c r="H76" s="64">
        <v>8.3000000000000007</v>
      </c>
      <c r="I76" s="64">
        <v>0.87</v>
      </c>
      <c r="J76" s="64">
        <v>0.28000000000000003</v>
      </c>
      <c r="K76" s="64">
        <v>288.33</v>
      </c>
      <c r="L76" s="64">
        <v>24.01</v>
      </c>
      <c r="M76" s="64">
        <v>97.56</v>
      </c>
      <c r="N76" s="64">
        <v>142.4</v>
      </c>
      <c r="O76" s="64">
        <v>0</v>
      </c>
      <c r="P76" s="64">
        <v>0.32</v>
      </c>
      <c r="Q76" s="64">
        <v>9.09</v>
      </c>
      <c r="R76" s="198"/>
      <c r="S76" s="198"/>
      <c r="T76" s="198"/>
      <c r="U76" s="198"/>
    </row>
    <row r="77" spans="1:21" s="12" customFormat="1" x14ac:dyDescent="0.25">
      <c r="A77" s="211" t="s">
        <v>1945</v>
      </c>
      <c r="B77" s="64">
        <v>5.87</v>
      </c>
      <c r="C77" s="64">
        <v>16.39</v>
      </c>
      <c r="D77" s="64">
        <v>13.27</v>
      </c>
      <c r="E77" s="64">
        <v>4.58</v>
      </c>
      <c r="F77" s="64">
        <v>4.05</v>
      </c>
      <c r="G77" s="64">
        <v>24.25</v>
      </c>
      <c r="H77" s="64">
        <v>8.3000000000000007</v>
      </c>
      <c r="I77" s="64">
        <v>0.85</v>
      </c>
      <c r="J77" s="64">
        <v>0.27</v>
      </c>
      <c r="K77" s="64">
        <v>302.3</v>
      </c>
      <c r="L77" s="64">
        <v>23.94</v>
      </c>
      <c r="M77" s="64">
        <v>97.57</v>
      </c>
      <c r="N77" s="64">
        <v>153.6</v>
      </c>
      <c r="O77" s="64">
        <v>0</v>
      </c>
      <c r="P77" s="64">
        <v>0.32</v>
      </c>
      <c r="Q77" s="64">
        <v>9.08</v>
      </c>
      <c r="R77" s="198"/>
      <c r="S77" s="198"/>
      <c r="T77" s="198"/>
      <c r="U77" s="198"/>
    </row>
    <row r="78" spans="1:21" s="12" customFormat="1" x14ac:dyDescent="0.25">
      <c r="A78" s="211" t="s">
        <v>1946</v>
      </c>
      <c r="B78" s="64">
        <v>5.72</v>
      </c>
      <c r="C78" s="64">
        <v>16.05</v>
      </c>
      <c r="D78" s="64">
        <v>12.97</v>
      </c>
      <c r="E78" s="64">
        <v>4.2300000000000004</v>
      </c>
      <c r="F78" s="64">
        <v>2.63</v>
      </c>
      <c r="G78" s="64">
        <v>24.25</v>
      </c>
      <c r="H78" s="64">
        <v>8.3000000000000007</v>
      </c>
      <c r="I78" s="64">
        <v>0.84</v>
      </c>
      <c r="J78" s="64">
        <v>0.25</v>
      </c>
      <c r="K78" s="64">
        <v>296.36</v>
      </c>
      <c r="L78" s="64">
        <v>23.83</v>
      </c>
      <c r="M78" s="64">
        <v>97.58</v>
      </c>
      <c r="N78" s="64">
        <v>105.5</v>
      </c>
      <c r="O78" s="64">
        <v>0</v>
      </c>
      <c r="P78" s="64">
        <v>0.31</v>
      </c>
      <c r="Q78" s="64">
        <v>9.07</v>
      </c>
      <c r="R78" s="198"/>
      <c r="S78" s="198"/>
      <c r="T78" s="198"/>
      <c r="U78" s="198"/>
    </row>
    <row r="79" spans="1:21" s="12" customFormat="1" x14ac:dyDescent="0.25">
      <c r="A79" s="211" t="s">
        <v>1947</v>
      </c>
      <c r="B79" s="64">
        <v>5.56</v>
      </c>
      <c r="C79" s="64">
        <v>15.78</v>
      </c>
      <c r="D79" s="64">
        <v>12.71</v>
      </c>
      <c r="E79" s="64">
        <v>4.51</v>
      </c>
      <c r="F79" s="64">
        <v>4.18</v>
      </c>
      <c r="G79" s="64">
        <v>27.11</v>
      </c>
      <c r="H79" s="64">
        <v>7.58</v>
      </c>
      <c r="I79" s="64">
        <v>0.83</v>
      </c>
      <c r="J79" s="64">
        <v>0.2</v>
      </c>
      <c r="K79" s="64">
        <v>303.17</v>
      </c>
      <c r="L79" s="64">
        <v>23.53</v>
      </c>
      <c r="M79" s="64">
        <v>97.58</v>
      </c>
      <c r="N79" s="64">
        <v>90</v>
      </c>
      <c r="O79" s="64">
        <v>0</v>
      </c>
      <c r="P79" s="64">
        <v>0.32</v>
      </c>
      <c r="Q79" s="64">
        <v>9.06</v>
      </c>
      <c r="R79" s="198"/>
      <c r="S79" s="198"/>
      <c r="T79" s="198"/>
      <c r="U79" s="198"/>
    </row>
    <row r="80" spans="1:21" s="12" customFormat="1" x14ac:dyDescent="0.25">
      <c r="A80" s="211" t="s">
        <v>1948</v>
      </c>
      <c r="B80" s="64">
        <v>5.35</v>
      </c>
      <c r="C80" s="64">
        <v>15.8</v>
      </c>
      <c r="D80" s="64">
        <v>12.54</v>
      </c>
      <c r="E80" s="64">
        <v>4.38</v>
      </c>
      <c r="F80" s="64">
        <v>3.24</v>
      </c>
      <c r="G80" s="64">
        <v>27.98</v>
      </c>
      <c r="H80" s="64">
        <v>7.35</v>
      </c>
      <c r="I80" s="64">
        <v>0.82</v>
      </c>
      <c r="J80" s="64">
        <v>0.22</v>
      </c>
      <c r="K80" s="64">
        <v>308.69</v>
      </c>
      <c r="L80" s="64">
        <v>23.41</v>
      </c>
      <c r="M80" s="64">
        <v>97.58</v>
      </c>
      <c r="N80" s="64">
        <v>73</v>
      </c>
      <c r="O80" s="64">
        <v>0</v>
      </c>
      <c r="P80" s="64">
        <v>0.32</v>
      </c>
      <c r="Q80" s="64">
        <v>9.06</v>
      </c>
      <c r="R80" s="198"/>
      <c r="S80" s="198"/>
      <c r="T80" s="198"/>
      <c r="U80" s="198"/>
    </row>
    <row r="81" spans="1:26" s="12" customFormat="1" x14ac:dyDescent="0.25">
      <c r="A81" s="211" t="s">
        <v>1949</v>
      </c>
      <c r="B81" s="64">
        <v>5.09</v>
      </c>
      <c r="C81" s="64">
        <v>15.44</v>
      </c>
      <c r="D81" s="64">
        <v>12.15</v>
      </c>
      <c r="E81" s="64">
        <v>4.53</v>
      </c>
      <c r="F81" s="64">
        <v>4.13</v>
      </c>
      <c r="G81" s="64">
        <v>27.98</v>
      </c>
      <c r="H81" s="64">
        <v>7.35</v>
      </c>
      <c r="I81" s="64">
        <v>0.82</v>
      </c>
      <c r="J81" s="64">
        <v>0.2</v>
      </c>
      <c r="K81" s="64">
        <v>313.43</v>
      </c>
      <c r="L81" s="64">
        <v>23.31</v>
      </c>
      <c r="M81" s="64">
        <v>97.58</v>
      </c>
      <c r="N81" s="64">
        <v>67.099999999999994</v>
      </c>
      <c r="O81" s="64">
        <v>0</v>
      </c>
      <c r="P81" s="64">
        <v>0.33</v>
      </c>
      <c r="Q81" s="64">
        <v>9.0399999999999991</v>
      </c>
      <c r="R81" s="198"/>
      <c r="S81" s="198"/>
      <c r="T81" s="198"/>
      <c r="U81" s="198"/>
    </row>
    <row r="82" spans="1:26" s="12" customFormat="1" x14ac:dyDescent="0.25">
      <c r="A82" s="211" t="s">
        <v>1950</v>
      </c>
      <c r="B82" s="64">
        <v>5.13</v>
      </c>
      <c r="C82" s="64">
        <v>15.19</v>
      </c>
      <c r="D82" s="64">
        <v>12.05</v>
      </c>
      <c r="E82" s="64">
        <v>4.46</v>
      </c>
      <c r="F82" s="64">
        <v>3.23</v>
      </c>
      <c r="G82" s="64">
        <v>27.98</v>
      </c>
      <c r="H82" s="64">
        <v>7.35</v>
      </c>
      <c r="I82" s="64">
        <v>0.82</v>
      </c>
      <c r="J82" s="64">
        <v>0.14000000000000001</v>
      </c>
      <c r="K82" s="64">
        <v>318.57</v>
      </c>
      <c r="L82" s="64">
        <v>23.18</v>
      </c>
      <c r="M82" s="64">
        <v>97.58</v>
      </c>
      <c r="N82" s="64">
        <v>66.5</v>
      </c>
      <c r="O82" s="64">
        <v>0</v>
      </c>
      <c r="P82" s="64">
        <v>0.32</v>
      </c>
      <c r="Q82" s="64">
        <v>9.0299999999999994</v>
      </c>
      <c r="R82" s="198"/>
      <c r="S82" s="198"/>
      <c r="T82" s="198"/>
      <c r="U82" s="198"/>
    </row>
    <row r="83" spans="1:26" s="12" customFormat="1" x14ac:dyDescent="0.25">
      <c r="A83" s="211" t="s">
        <v>1951</v>
      </c>
      <c r="B83" s="64">
        <v>5.07</v>
      </c>
      <c r="C83" s="64">
        <v>14.58</v>
      </c>
      <c r="D83" s="64">
        <v>11.68</v>
      </c>
      <c r="E83" s="64">
        <v>4.04</v>
      </c>
      <c r="F83" s="64">
        <v>3.96</v>
      </c>
      <c r="G83" s="64">
        <v>27.75</v>
      </c>
      <c r="H83" s="64">
        <v>6.52</v>
      </c>
      <c r="I83" s="64">
        <v>0.83</v>
      </c>
      <c r="J83" s="64">
        <v>0.17</v>
      </c>
      <c r="K83" s="64">
        <v>325.63</v>
      </c>
      <c r="L83" s="64">
        <v>23.28</v>
      </c>
      <c r="M83" s="64">
        <v>97.58</v>
      </c>
      <c r="N83" s="64">
        <v>62.9</v>
      </c>
      <c r="O83" s="64">
        <v>0</v>
      </c>
      <c r="P83" s="64">
        <v>0.34</v>
      </c>
      <c r="Q83" s="64">
        <v>9.02</v>
      </c>
      <c r="R83" s="198"/>
      <c r="S83" s="198"/>
      <c r="T83" s="198"/>
      <c r="U83" s="198"/>
    </row>
    <row r="84" spans="1:26" s="12" customFormat="1" x14ac:dyDescent="0.25">
      <c r="A84" s="211" t="s">
        <v>1952</v>
      </c>
      <c r="B84" s="64">
        <v>5.45</v>
      </c>
      <c r="C84" s="64">
        <v>15.28</v>
      </c>
      <c r="D84" s="64">
        <v>12.36</v>
      </c>
      <c r="E84" s="64">
        <v>4.2699999999999996</v>
      </c>
      <c r="F84" s="64">
        <v>3.14</v>
      </c>
      <c r="G84" s="64">
        <v>27.68</v>
      </c>
      <c r="H84" s="64">
        <v>6.25</v>
      </c>
      <c r="I84" s="64">
        <v>0.84</v>
      </c>
      <c r="J84" s="64">
        <v>0.17</v>
      </c>
      <c r="K84" s="64">
        <v>321.77999999999997</v>
      </c>
      <c r="L84" s="64">
        <v>23.38</v>
      </c>
      <c r="M84" s="64">
        <v>97.58</v>
      </c>
      <c r="N84" s="64">
        <v>62</v>
      </c>
      <c r="O84" s="64">
        <v>0</v>
      </c>
      <c r="P84" s="64">
        <v>0.34</v>
      </c>
      <c r="Q84" s="64">
        <v>9.0299999999999994</v>
      </c>
      <c r="R84" s="198"/>
      <c r="S84" s="198"/>
      <c r="T84" s="198"/>
      <c r="U84" s="198"/>
    </row>
    <row r="85" spans="1:26" s="12" customFormat="1" x14ac:dyDescent="0.25">
      <c r="A85" s="211" t="s">
        <v>1953</v>
      </c>
      <c r="B85" s="64">
        <v>5.74</v>
      </c>
      <c r="C85" s="64">
        <v>15.25</v>
      </c>
      <c r="D85" s="64">
        <v>12.57</v>
      </c>
      <c r="E85" s="64">
        <v>4.45</v>
      </c>
      <c r="F85" s="64">
        <v>3.52</v>
      </c>
      <c r="G85" s="64">
        <v>27.68</v>
      </c>
      <c r="H85" s="64">
        <v>6.25</v>
      </c>
      <c r="I85" s="64">
        <v>0.86</v>
      </c>
      <c r="J85" s="64">
        <v>0.26</v>
      </c>
      <c r="K85" s="64">
        <v>310.60000000000002</v>
      </c>
      <c r="L85" s="64">
        <v>23.4</v>
      </c>
      <c r="M85" s="64">
        <v>97.57</v>
      </c>
      <c r="N85" s="64">
        <v>62.2</v>
      </c>
      <c r="O85" s="64">
        <v>0</v>
      </c>
      <c r="P85" s="64">
        <v>0.33</v>
      </c>
      <c r="Q85" s="64">
        <v>9.06</v>
      </c>
      <c r="R85" s="198"/>
      <c r="S85" s="198"/>
      <c r="T85" s="198"/>
      <c r="U85" s="198"/>
    </row>
    <row r="86" spans="1:26" s="12" customFormat="1" x14ac:dyDescent="0.25">
      <c r="A86" s="211" t="s">
        <v>1954</v>
      </c>
      <c r="B86" s="64">
        <v>5.6</v>
      </c>
      <c r="C86" s="64">
        <v>15.21</v>
      </c>
      <c r="D86" s="64">
        <v>12.44</v>
      </c>
      <c r="E86" s="64">
        <v>4.07</v>
      </c>
      <c r="F86" s="64">
        <v>4</v>
      </c>
      <c r="G86" s="64">
        <v>27.68</v>
      </c>
      <c r="H86" s="64">
        <v>6.25</v>
      </c>
      <c r="I86" s="64">
        <v>0.9</v>
      </c>
      <c r="J86" s="64">
        <v>0.23</v>
      </c>
      <c r="K86" s="64">
        <v>312.95999999999998</v>
      </c>
      <c r="L86" s="64">
        <v>23.28</v>
      </c>
      <c r="M86" s="64">
        <v>97.57</v>
      </c>
      <c r="N86" s="64">
        <v>62.4</v>
      </c>
      <c r="O86" s="64">
        <v>0</v>
      </c>
      <c r="P86" s="64">
        <v>0.35</v>
      </c>
      <c r="Q86" s="64">
        <v>9.07</v>
      </c>
      <c r="R86" s="198"/>
      <c r="S86" s="198"/>
      <c r="T86" s="198"/>
      <c r="U86" s="198"/>
    </row>
    <row r="87" spans="1:26" s="12" customFormat="1" x14ac:dyDescent="0.25">
      <c r="A87" s="211" t="s">
        <v>1955</v>
      </c>
      <c r="B87" s="64">
        <v>5.83</v>
      </c>
      <c r="C87" s="64">
        <v>15.09</v>
      </c>
      <c r="D87" s="64">
        <v>12.56</v>
      </c>
      <c r="E87" s="64">
        <v>3.98</v>
      </c>
      <c r="F87" s="64">
        <v>4.05</v>
      </c>
      <c r="G87" s="64">
        <v>24.79</v>
      </c>
      <c r="H87" s="64">
        <v>6.47</v>
      </c>
      <c r="I87" s="64">
        <v>0.92</v>
      </c>
      <c r="J87" s="64">
        <v>0.21</v>
      </c>
      <c r="K87" s="64">
        <v>324.27999999999997</v>
      </c>
      <c r="L87" s="64">
        <v>23.24</v>
      </c>
      <c r="M87" s="64">
        <v>97.58</v>
      </c>
      <c r="N87" s="64">
        <v>62.3</v>
      </c>
      <c r="O87" s="64">
        <v>0</v>
      </c>
      <c r="P87" s="64">
        <v>0.35</v>
      </c>
      <c r="Q87" s="64">
        <v>9.06</v>
      </c>
      <c r="R87" s="198"/>
      <c r="S87" s="198"/>
      <c r="T87" s="198"/>
      <c r="U87" s="198"/>
    </row>
    <row r="88" spans="1:26" s="12" customFormat="1" x14ac:dyDescent="0.25">
      <c r="A88" s="211" t="s">
        <v>1956</v>
      </c>
      <c r="B88" s="64">
        <v>6.13</v>
      </c>
      <c r="C88" s="64">
        <v>15.24</v>
      </c>
      <c r="D88" s="64">
        <v>12.88</v>
      </c>
      <c r="E88" s="64">
        <v>4.29</v>
      </c>
      <c r="F88" s="64">
        <v>3.55</v>
      </c>
      <c r="G88" s="64">
        <v>23.91</v>
      </c>
      <c r="H88" s="64">
        <v>6.54</v>
      </c>
      <c r="I88" s="64">
        <v>0.93</v>
      </c>
      <c r="J88" s="64">
        <v>0.21</v>
      </c>
      <c r="K88" s="64">
        <v>322.58</v>
      </c>
      <c r="L88" s="64">
        <v>23.2</v>
      </c>
      <c r="M88" s="64">
        <v>97.58</v>
      </c>
      <c r="N88" s="64">
        <v>62.4</v>
      </c>
      <c r="O88" s="64">
        <v>0</v>
      </c>
      <c r="P88" s="64">
        <v>0.35</v>
      </c>
      <c r="Q88" s="64">
        <v>9.07</v>
      </c>
      <c r="R88" s="198"/>
      <c r="S88" s="198"/>
      <c r="T88" s="198"/>
      <c r="U88" s="198"/>
    </row>
    <row r="89" spans="1:26" s="12" customFormat="1" x14ac:dyDescent="0.25">
      <c r="A89" s="211" t="s">
        <v>1957</v>
      </c>
      <c r="B89" s="64">
        <v>6.15</v>
      </c>
      <c r="C89" s="64">
        <v>15.33</v>
      </c>
      <c r="D89" s="64">
        <v>12.94</v>
      </c>
      <c r="E89" s="64">
        <v>4.4000000000000004</v>
      </c>
      <c r="F89" s="64">
        <v>3.64</v>
      </c>
      <c r="G89" s="64">
        <v>23.91</v>
      </c>
      <c r="H89" s="64">
        <v>6.54</v>
      </c>
      <c r="I89" s="64">
        <v>0.94</v>
      </c>
      <c r="J89" s="64">
        <v>0.21</v>
      </c>
      <c r="K89" s="64">
        <v>334.78</v>
      </c>
      <c r="L89" s="64">
        <v>23.15</v>
      </c>
      <c r="M89" s="64">
        <v>97.58</v>
      </c>
      <c r="N89" s="64">
        <v>62.3</v>
      </c>
      <c r="O89" s="64">
        <v>0</v>
      </c>
      <c r="P89" s="64">
        <v>0.35</v>
      </c>
      <c r="Q89" s="64">
        <v>9.09</v>
      </c>
      <c r="R89" s="198"/>
      <c r="S89" s="198"/>
      <c r="T89" s="198"/>
      <c r="U89" s="198"/>
    </row>
    <row r="90" spans="1:26" s="12" customFormat="1" x14ac:dyDescent="0.25">
      <c r="A90" s="211" t="s">
        <v>1958</v>
      </c>
      <c r="B90" s="64">
        <v>6.1</v>
      </c>
      <c r="C90" s="64">
        <v>15.4</v>
      </c>
      <c r="D90" s="64">
        <v>12.93</v>
      </c>
      <c r="E90" s="64">
        <v>4.3600000000000003</v>
      </c>
      <c r="F90" s="64">
        <v>3.56</v>
      </c>
      <c r="G90" s="64">
        <v>23.91</v>
      </c>
      <c r="H90" s="64">
        <v>6.54</v>
      </c>
      <c r="I90" s="64">
        <v>0.95</v>
      </c>
      <c r="J90" s="64">
        <v>0.17</v>
      </c>
      <c r="K90" s="64">
        <v>319.61</v>
      </c>
      <c r="L90" s="64">
        <v>23.19</v>
      </c>
      <c r="M90" s="64">
        <v>97.57</v>
      </c>
      <c r="N90" s="64">
        <v>62.4</v>
      </c>
      <c r="O90" s="64">
        <v>0</v>
      </c>
      <c r="P90" s="64">
        <v>0.34</v>
      </c>
      <c r="Q90" s="64">
        <v>9.1</v>
      </c>
      <c r="R90" s="198"/>
      <c r="S90" s="198"/>
      <c r="T90" s="198"/>
      <c r="U90" s="198"/>
    </row>
    <row r="91" spans="1:26" s="12" customFormat="1" x14ac:dyDescent="0.25">
      <c r="A91" s="211" t="s">
        <v>1959</v>
      </c>
      <c r="B91" s="64">
        <v>6.11</v>
      </c>
      <c r="C91" s="64">
        <v>15.74</v>
      </c>
      <c r="D91" s="64">
        <v>13.13</v>
      </c>
      <c r="E91" s="64">
        <v>4.59</v>
      </c>
      <c r="F91" s="64">
        <v>3.92</v>
      </c>
      <c r="G91" s="64">
        <v>24.92</v>
      </c>
      <c r="H91" s="64">
        <v>5.28</v>
      </c>
      <c r="I91" s="64">
        <v>0.96</v>
      </c>
      <c r="J91" s="64">
        <v>0.17</v>
      </c>
      <c r="K91" s="64">
        <v>322.57</v>
      </c>
      <c r="L91" s="64">
        <v>23.11</v>
      </c>
      <c r="M91" s="64">
        <v>97.56</v>
      </c>
      <c r="N91" s="64">
        <v>62.5</v>
      </c>
      <c r="O91" s="64">
        <v>0</v>
      </c>
      <c r="P91" s="64">
        <v>0.36</v>
      </c>
      <c r="Q91" s="64">
        <v>9.1199999999999992</v>
      </c>
      <c r="R91" s="198"/>
      <c r="S91" s="198"/>
      <c r="T91" s="198"/>
      <c r="U91" s="198"/>
    </row>
    <row r="92" spans="1:26" s="12" customFormat="1" x14ac:dyDescent="0.25">
      <c r="A92" s="211" t="s">
        <v>1960</v>
      </c>
      <c r="B92" s="64">
        <v>6.06</v>
      </c>
      <c r="C92" s="64">
        <v>15.52</v>
      </c>
      <c r="D92" s="64">
        <v>12.97</v>
      </c>
      <c r="E92" s="64">
        <v>4.49</v>
      </c>
      <c r="F92" s="64">
        <v>4.43</v>
      </c>
      <c r="G92" s="64">
        <v>25.25</v>
      </c>
      <c r="H92" s="64">
        <v>4.9000000000000004</v>
      </c>
      <c r="I92" s="64">
        <v>0.95</v>
      </c>
      <c r="J92" s="64">
        <v>0.23</v>
      </c>
      <c r="K92" s="64">
        <v>324.07</v>
      </c>
      <c r="L92" s="64">
        <v>22.97</v>
      </c>
      <c r="M92" s="64">
        <v>97.58</v>
      </c>
      <c r="N92" s="64">
        <v>62.2</v>
      </c>
      <c r="O92" s="64">
        <v>0</v>
      </c>
      <c r="P92" s="64">
        <v>0.35</v>
      </c>
      <c r="Q92" s="64">
        <v>9.1</v>
      </c>
      <c r="R92" s="198"/>
      <c r="S92" s="198"/>
      <c r="T92" s="198"/>
      <c r="U92" s="198"/>
    </row>
    <row r="93" spans="1:26" s="12" customFormat="1" x14ac:dyDescent="0.25">
      <c r="A93" s="211" t="s">
        <v>1961</v>
      </c>
      <c r="B93" s="64">
        <v>6.03</v>
      </c>
      <c r="C93" s="64">
        <v>15.34</v>
      </c>
      <c r="D93" s="64">
        <v>12.85</v>
      </c>
      <c r="E93" s="64">
        <v>4.6500000000000004</v>
      </c>
      <c r="F93" s="64">
        <v>3.64</v>
      </c>
      <c r="G93" s="64">
        <v>25.25</v>
      </c>
      <c r="H93" s="64">
        <v>4.9000000000000004</v>
      </c>
      <c r="I93" s="64">
        <v>0.93</v>
      </c>
      <c r="J93" s="64">
        <v>0.24</v>
      </c>
      <c r="K93" s="64">
        <v>322.83</v>
      </c>
      <c r="L93" s="64">
        <v>22.94</v>
      </c>
      <c r="M93" s="64">
        <v>97.58</v>
      </c>
      <c r="N93" s="64">
        <v>62.3</v>
      </c>
      <c r="O93" s="64">
        <v>0</v>
      </c>
      <c r="P93" s="64">
        <v>0.34</v>
      </c>
      <c r="Q93" s="64">
        <v>9.08</v>
      </c>
      <c r="R93" s="198"/>
      <c r="S93" s="198"/>
      <c r="T93" s="198"/>
      <c r="U93" s="198"/>
    </row>
    <row r="94" spans="1:26" s="12" customFormat="1" x14ac:dyDescent="0.25">
      <c r="A94" s="211" t="s">
        <v>1962</v>
      </c>
      <c r="B94" s="64">
        <v>6.1</v>
      </c>
      <c r="C94" s="64">
        <v>14.79</v>
      </c>
      <c r="D94" s="64">
        <v>12.62</v>
      </c>
      <c r="E94" s="64">
        <v>4.3899999999999997</v>
      </c>
      <c r="F94" s="64">
        <v>3.89</v>
      </c>
      <c r="G94" s="64">
        <v>25.25</v>
      </c>
      <c r="H94" s="64">
        <v>4.9000000000000004</v>
      </c>
      <c r="I94" s="64">
        <v>0.91</v>
      </c>
      <c r="J94" s="64">
        <v>0.2</v>
      </c>
      <c r="K94" s="64">
        <v>333.05</v>
      </c>
      <c r="L94" s="64">
        <v>22.93</v>
      </c>
      <c r="M94" s="64">
        <v>97.58</v>
      </c>
      <c r="N94" s="64">
        <v>62.5</v>
      </c>
      <c r="O94" s="64">
        <v>0</v>
      </c>
      <c r="P94" s="64">
        <v>0.34</v>
      </c>
      <c r="Q94" s="64">
        <v>9.07</v>
      </c>
      <c r="R94" s="198"/>
      <c r="S94" s="198"/>
      <c r="T94" s="198"/>
      <c r="U94" s="198"/>
    </row>
    <row r="95" spans="1:26" s="12" customFormat="1" x14ac:dyDescent="0.25">
      <c r="A95" s="211" t="s">
        <v>1963</v>
      </c>
      <c r="B95" s="64">
        <v>6.62</v>
      </c>
      <c r="C95" s="64">
        <v>14.72</v>
      </c>
      <c r="D95" s="64">
        <v>13</v>
      </c>
      <c r="E95" s="64">
        <v>4.3600000000000003</v>
      </c>
      <c r="F95" s="64">
        <v>3.8</v>
      </c>
      <c r="G95" s="64">
        <v>24.2</v>
      </c>
      <c r="H95" s="64">
        <v>3.88</v>
      </c>
      <c r="I95" s="64">
        <v>0.89</v>
      </c>
      <c r="J95" s="64">
        <v>0.18</v>
      </c>
      <c r="K95" s="64">
        <v>315.83</v>
      </c>
      <c r="L95" s="64">
        <v>22.97</v>
      </c>
      <c r="M95" s="64">
        <v>97.58</v>
      </c>
      <c r="N95" s="64">
        <v>62.7</v>
      </c>
      <c r="O95" s="64">
        <v>0</v>
      </c>
      <c r="P95" s="64">
        <v>0.34</v>
      </c>
      <c r="Q95" s="64">
        <v>9.07</v>
      </c>
      <c r="R95" s="198"/>
      <c r="S95" s="198"/>
      <c r="T95" s="198"/>
      <c r="U95" s="198"/>
    </row>
    <row r="96" spans="1:26" s="12" customFormat="1" x14ac:dyDescent="0.25">
      <c r="A96" s="211" t="s">
        <v>1964</v>
      </c>
      <c r="B96" s="64">
        <v>6.95</v>
      </c>
      <c r="C96" s="64">
        <v>14.62</v>
      </c>
      <c r="D96" s="64">
        <v>13.21</v>
      </c>
      <c r="E96" s="64">
        <v>4.4800000000000004</v>
      </c>
      <c r="F96" s="64">
        <v>3.07</v>
      </c>
      <c r="G96" s="64">
        <v>23.86</v>
      </c>
      <c r="H96" s="64">
        <v>3.57</v>
      </c>
      <c r="I96" s="64">
        <v>0.88</v>
      </c>
      <c r="J96" s="64">
        <v>0.18</v>
      </c>
      <c r="K96" s="64">
        <v>316.19</v>
      </c>
      <c r="L96" s="64">
        <v>22.98</v>
      </c>
      <c r="M96" s="64">
        <v>97.6</v>
      </c>
      <c r="N96" s="64">
        <v>62.9</v>
      </c>
      <c r="O96" s="64">
        <v>0</v>
      </c>
      <c r="P96" s="64">
        <v>0.35</v>
      </c>
      <c r="Q96" s="64">
        <v>9.09</v>
      </c>
      <c r="R96" s="198"/>
      <c r="S96" s="198"/>
      <c r="T96" s="198"/>
      <c r="U96" s="198"/>
      <c r="Z96" s="109"/>
    </row>
    <row r="97" spans="1:33" s="12" customFormat="1" x14ac:dyDescent="0.25">
      <c r="A97" s="211" t="s">
        <v>1965</v>
      </c>
      <c r="B97" s="64">
        <v>7.03</v>
      </c>
      <c r="C97" s="64">
        <v>14.36</v>
      </c>
      <c r="D97" s="64">
        <v>13.14</v>
      </c>
      <c r="E97" s="64">
        <v>4.49</v>
      </c>
      <c r="F97" s="64">
        <v>4.63</v>
      </c>
      <c r="G97" s="64">
        <v>23.86</v>
      </c>
      <c r="H97" s="64">
        <v>3.57</v>
      </c>
      <c r="I97" s="64">
        <v>0.88</v>
      </c>
      <c r="J97" s="64">
        <v>0.24</v>
      </c>
      <c r="K97" s="64">
        <v>323.19</v>
      </c>
      <c r="L97" s="64">
        <v>22.79</v>
      </c>
      <c r="M97" s="64">
        <v>97.6</v>
      </c>
      <c r="N97" s="64">
        <v>63.3</v>
      </c>
      <c r="O97" s="64">
        <v>0</v>
      </c>
      <c r="P97" s="64">
        <v>0.34</v>
      </c>
      <c r="Q97" s="64">
        <v>9.09</v>
      </c>
      <c r="R97" s="198"/>
      <c r="S97" s="198"/>
      <c r="T97" s="198"/>
      <c r="U97" s="198"/>
    </row>
    <row r="98" spans="1:33" s="12" customFormat="1" x14ac:dyDescent="0.25">
      <c r="A98" s="211" t="s">
        <v>1966</v>
      </c>
      <c r="B98" s="64">
        <v>6.46</v>
      </c>
      <c r="C98" s="64">
        <v>14.57</v>
      </c>
      <c r="D98" s="64">
        <v>12.8</v>
      </c>
      <c r="E98" s="64">
        <v>4.4800000000000004</v>
      </c>
      <c r="F98" s="64">
        <v>3.52</v>
      </c>
      <c r="G98" s="64">
        <v>23.86</v>
      </c>
      <c r="H98" s="64">
        <v>3.57</v>
      </c>
      <c r="I98" s="64">
        <v>0.88</v>
      </c>
      <c r="J98" s="64">
        <v>0.23</v>
      </c>
      <c r="K98" s="64">
        <v>321.29000000000002</v>
      </c>
      <c r="L98" s="64">
        <v>22.52</v>
      </c>
      <c r="M98" s="64">
        <v>97.6</v>
      </c>
      <c r="N98" s="64">
        <v>63.6</v>
      </c>
      <c r="O98" s="64">
        <v>0</v>
      </c>
      <c r="P98" s="64">
        <v>0.32</v>
      </c>
      <c r="Q98" s="64">
        <v>9.07</v>
      </c>
      <c r="R98" s="198"/>
      <c r="S98" s="198"/>
      <c r="T98" s="198"/>
      <c r="U98" s="198"/>
    </row>
    <row r="99" spans="1:33" s="12" customFormat="1" x14ac:dyDescent="0.25">
      <c r="A99" s="211" t="s">
        <v>1967</v>
      </c>
      <c r="B99" s="64">
        <v>5.8</v>
      </c>
      <c r="C99" s="64">
        <v>14.51</v>
      </c>
      <c r="D99" s="64">
        <v>12.23</v>
      </c>
      <c r="E99" s="64">
        <v>4.46</v>
      </c>
      <c r="F99" s="64">
        <v>4.1399999999999997</v>
      </c>
      <c r="G99" s="64">
        <v>21.33</v>
      </c>
      <c r="H99" s="64">
        <v>5.13</v>
      </c>
      <c r="I99" s="64">
        <v>0.85</v>
      </c>
      <c r="J99" s="64">
        <v>0.25</v>
      </c>
      <c r="K99" s="64">
        <v>329.86</v>
      </c>
      <c r="L99" s="64">
        <v>22.34</v>
      </c>
      <c r="M99" s="64">
        <v>97.6</v>
      </c>
      <c r="N99" s="64">
        <v>63.6</v>
      </c>
      <c r="O99" s="64">
        <v>0</v>
      </c>
      <c r="P99" s="64">
        <v>0.31</v>
      </c>
      <c r="Q99" s="64">
        <v>9.0500000000000007</v>
      </c>
      <c r="R99" s="198"/>
      <c r="S99" s="198"/>
      <c r="T99" s="198"/>
      <c r="U99" s="198"/>
    </row>
    <row r="100" spans="1:33" s="12" customFormat="1" x14ac:dyDescent="0.25">
      <c r="A100" s="211" t="s">
        <v>1968</v>
      </c>
      <c r="B100" s="64">
        <v>5.33</v>
      </c>
      <c r="C100" s="64">
        <v>14.55</v>
      </c>
      <c r="D100" s="64">
        <v>11.88</v>
      </c>
      <c r="E100" s="64">
        <v>4.51</v>
      </c>
      <c r="F100" s="64">
        <v>3.69</v>
      </c>
      <c r="G100" s="64">
        <v>20.51</v>
      </c>
      <c r="H100" s="64">
        <v>5.6</v>
      </c>
      <c r="I100" s="64">
        <v>0.8</v>
      </c>
      <c r="J100" s="64">
        <v>0.22</v>
      </c>
      <c r="K100" s="64">
        <v>326.49</v>
      </c>
      <c r="L100" s="64">
        <v>22.21</v>
      </c>
      <c r="M100" s="64">
        <v>97.6</v>
      </c>
      <c r="N100" s="64">
        <v>63.6</v>
      </c>
      <c r="O100" s="64">
        <v>0</v>
      </c>
      <c r="P100" s="64">
        <v>0.28000000000000003</v>
      </c>
      <c r="Q100" s="64">
        <v>9.0500000000000007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1969</v>
      </c>
      <c r="B101" s="64">
        <v>4.91</v>
      </c>
      <c r="C101" s="64">
        <v>14.17</v>
      </c>
      <c r="D101" s="64">
        <v>11.35</v>
      </c>
      <c r="E101" s="64">
        <v>4.3</v>
      </c>
      <c r="F101" s="64">
        <v>3.99</v>
      </c>
      <c r="G101" s="64">
        <v>20.51</v>
      </c>
      <c r="H101" s="64">
        <v>5.6</v>
      </c>
      <c r="I101" s="64">
        <v>0.74</v>
      </c>
      <c r="J101" s="64">
        <v>0.22</v>
      </c>
      <c r="K101" s="64">
        <v>315.51</v>
      </c>
      <c r="L101" s="64">
        <v>22.15</v>
      </c>
      <c r="M101" s="64">
        <v>97.6</v>
      </c>
      <c r="N101" s="64">
        <v>63.9</v>
      </c>
      <c r="O101" s="64">
        <v>0</v>
      </c>
      <c r="P101" s="64">
        <v>0.27</v>
      </c>
      <c r="Q101" s="64">
        <v>9.02</v>
      </c>
      <c r="R101" s="198"/>
      <c r="S101" s="198"/>
      <c r="T101" s="198"/>
      <c r="U101" s="198"/>
    </row>
    <row r="102" spans="1:33" s="12" customFormat="1" x14ac:dyDescent="0.25">
      <c r="A102" s="211" t="s">
        <v>1970</v>
      </c>
      <c r="B102" s="64">
        <v>4.82</v>
      </c>
      <c r="C102" s="64">
        <v>13.9</v>
      </c>
      <c r="D102" s="64">
        <v>11.12</v>
      </c>
      <c r="E102" s="64">
        <v>4.29</v>
      </c>
      <c r="F102" s="64">
        <v>3.28</v>
      </c>
      <c r="G102" s="64">
        <v>20.51</v>
      </c>
      <c r="H102" s="64">
        <v>5.6</v>
      </c>
      <c r="I102" s="64">
        <v>0.75</v>
      </c>
      <c r="J102" s="64">
        <v>0.24</v>
      </c>
      <c r="K102" s="64">
        <v>309.16000000000003</v>
      </c>
      <c r="L102" s="64">
        <v>22.19</v>
      </c>
      <c r="M102" s="64">
        <v>97.6</v>
      </c>
      <c r="N102" s="64">
        <v>63.9</v>
      </c>
      <c r="O102" s="64">
        <v>0</v>
      </c>
      <c r="P102" s="64">
        <v>0.24</v>
      </c>
      <c r="Q102" s="64">
        <v>9.02</v>
      </c>
      <c r="R102" s="198"/>
      <c r="S102" s="198"/>
      <c r="T102" s="198"/>
      <c r="U102" s="198"/>
    </row>
    <row r="103" spans="1:33" s="12" customFormat="1" x14ac:dyDescent="0.25">
      <c r="A103" s="211" t="s">
        <v>1971</v>
      </c>
      <c r="B103" s="64">
        <v>4.53</v>
      </c>
      <c r="C103" s="64">
        <v>13.61</v>
      </c>
      <c r="D103" s="64">
        <v>10.74</v>
      </c>
      <c r="E103" s="64">
        <v>4.2699999999999996</v>
      </c>
      <c r="F103" s="64">
        <v>4.03</v>
      </c>
      <c r="G103" s="64">
        <v>24.7</v>
      </c>
      <c r="H103" s="64">
        <v>6.04</v>
      </c>
      <c r="I103" s="64">
        <v>0.75</v>
      </c>
      <c r="J103" s="64">
        <v>0.2</v>
      </c>
      <c r="K103" s="64">
        <v>323.44</v>
      </c>
      <c r="L103" s="64">
        <v>22</v>
      </c>
      <c r="M103" s="64">
        <v>97.6</v>
      </c>
      <c r="N103" s="64">
        <v>63.9</v>
      </c>
      <c r="O103" s="64">
        <v>0</v>
      </c>
      <c r="P103" s="64">
        <v>0.23</v>
      </c>
      <c r="Q103" s="64">
        <v>9.01</v>
      </c>
      <c r="R103" s="198"/>
      <c r="S103" s="198"/>
      <c r="T103" s="198"/>
      <c r="U103" s="198"/>
    </row>
    <row r="104" spans="1:33" s="12" customFormat="1" x14ac:dyDescent="0.25">
      <c r="A104" s="211" t="s">
        <v>1972</v>
      </c>
      <c r="B104" s="64">
        <v>4.2699999999999996</v>
      </c>
      <c r="C104" s="64">
        <v>13.29</v>
      </c>
      <c r="D104" s="64">
        <v>10.37</v>
      </c>
      <c r="E104" s="64">
        <v>3.04</v>
      </c>
      <c r="F104" s="64">
        <v>4.3499999999999996</v>
      </c>
      <c r="G104" s="64">
        <v>25.97</v>
      </c>
      <c r="H104" s="64">
        <v>6.18</v>
      </c>
      <c r="I104" s="64">
        <v>0.69</v>
      </c>
      <c r="J104" s="64">
        <v>0.21</v>
      </c>
      <c r="K104" s="64">
        <v>313.02</v>
      </c>
      <c r="L104" s="64">
        <v>21.88</v>
      </c>
      <c r="M104" s="64">
        <v>97.6</v>
      </c>
      <c r="N104" s="64">
        <v>64</v>
      </c>
      <c r="O104" s="64">
        <v>0</v>
      </c>
      <c r="P104" s="64">
        <v>0.23</v>
      </c>
      <c r="Q104" s="64">
        <v>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4.21</v>
      </c>
      <c r="C106" s="67">
        <f>MIN(C9:C104)</f>
        <v>10.91</v>
      </c>
      <c r="D106" s="67">
        <f t="shared" ref="D106:Q106" si="0">MIN(D9:D104)</f>
        <v>10.37</v>
      </c>
      <c r="E106" s="67">
        <f t="shared" si="0"/>
        <v>3.04</v>
      </c>
      <c r="F106" s="67">
        <f t="shared" si="0"/>
        <v>2.5299999999999998</v>
      </c>
      <c r="G106" s="67">
        <f t="shared" si="0"/>
        <v>19.940000000000001</v>
      </c>
      <c r="H106" s="67">
        <f t="shared" si="0"/>
        <v>3.57</v>
      </c>
      <c r="I106" s="67">
        <f t="shared" si="0"/>
        <v>0.69</v>
      </c>
      <c r="J106" s="67">
        <f t="shared" si="0"/>
        <v>0.06</v>
      </c>
      <c r="K106" s="67">
        <f t="shared" si="0"/>
        <v>249.9</v>
      </c>
      <c r="L106" s="67">
        <f t="shared" si="0"/>
        <v>21.88</v>
      </c>
      <c r="M106" s="67">
        <f t="shared" si="0"/>
        <v>86.45</v>
      </c>
      <c r="N106" s="67">
        <f t="shared" si="0"/>
        <v>45.9</v>
      </c>
      <c r="O106" s="67">
        <f t="shared" si="0"/>
        <v>0</v>
      </c>
      <c r="P106" s="67">
        <f t="shared" si="0"/>
        <v>0.23</v>
      </c>
      <c r="Q106" s="67">
        <f t="shared" si="0"/>
        <v>8.99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14.13</v>
      </c>
      <c r="C107" s="66">
        <f t="shared" ref="C107:Q107" si="1">MAX(C9:C104)</f>
        <v>18.149999999999999</v>
      </c>
      <c r="D107" s="66">
        <f t="shared" si="1"/>
        <v>17.95</v>
      </c>
      <c r="E107" s="66">
        <f t="shared" si="1"/>
        <v>4.6900000000000004</v>
      </c>
      <c r="F107" s="66">
        <f t="shared" si="1"/>
        <v>5.56</v>
      </c>
      <c r="G107" s="66">
        <f t="shared" si="1"/>
        <v>40.409999999999997</v>
      </c>
      <c r="H107" s="66">
        <f t="shared" si="1"/>
        <v>15.12</v>
      </c>
      <c r="I107" s="66">
        <f t="shared" si="1"/>
        <v>3.74</v>
      </c>
      <c r="J107" s="66">
        <f t="shared" si="1"/>
        <v>0.79</v>
      </c>
      <c r="K107" s="66">
        <f t="shared" si="1"/>
        <v>334.78</v>
      </c>
      <c r="L107" s="66">
        <f t="shared" si="1"/>
        <v>25.1</v>
      </c>
      <c r="M107" s="66">
        <f t="shared" si="1"/>
        <v>97.6</v>
      </c>
      <c r="N107" s="66">
        <f t="shared" si="1"/>
        <v>464.6</v>
      </c>
      <c r="O107" s="66">
        <f t="shared" si="1"/>
        <v>0.4</v>
      </c>
      <c r="P107" s="66">
        <f t="shared" si="1"/>
        <v>0.84</v>
      </c>
      <c r="Q107" s="66">
        <f t="shared" si="1"/>
        <v>9.27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6.6129166666666679</v>
      </c>
      <c r="C108" s="67">
        <f t="shared" ref="C108:Q108" si="2">AVERAGE(C9:C104)</f>
        <v>15.328333333333331</v>
      </c>
      <c r="D108" s="67">
        <f t="shared" si="2"/>
        <v>13.312395833333328</v>
      </c>
      <c r="E108" s="67">
        <f t="shared" si="2"/>
        <v>4.1522916666666658</v>
      </c>
      <c r="F108" s="67">
        <f t="shared" si="2"/>
        <v>3.8060416666666659</v>
      </c>
      <c r="G108" s="67">
        <f t="shared" si="2"/>
        <v>26.934270833333329</v>
      </c>
      <c r="H108" s="67">
        <f t="shared" si="2"/>
        <v>8.8093749999999975</v>
      </c>
      <c r="I108" s="67">
        <f t="shared" si="2"/>
        <v>1.4314583333333328</v>
      </c>
      <c r="J108" s="67">
        <f t="shared" si="2"/>
        <v>0.31385416666666671</v>
      </c>
      <c r="K108" s="67">
        <f t="shared" si="2"/>
        <v>298.04281249999991</v>
      </c>
      <c r="L108" s="67">
        <f t="shared" si="2"/>
        <v>23.231875000000006</v>
      </c>
      <c r="M108" s="67">
        <f t="shared" si="2"/>
        <v>96.710729166666738</v>
      </c>
      <c r="N108" s="67">
        <f t="shared" si="2"/>
        <v>126.15104166666664</v>
      </c>
      <c r="O108" s="67">
        <f t="shared" si="2"/>
        <v>2.0833333333333332E-2</v>
      </c>
      <c r="P108" s="67">
        <f t="shared" si="2"/>
        <v>0.37260416666666685</v>
      </c>
      <c r="Q108" s="67">
        <f t="shared" si="2"/>
        <v>9.0924999999999994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1.8790125719680646</v>
      </c>
      <c r="C109" s="67">
        <f t="shared" ref="C109:Q109" si="3">STDEV(C9:C104)</f>
        <v>1.4795978590689447</v>
      </c>
      <c r="D109" s="67">
        <f t="shared" si="3"/>
        <v>1.6819442038381109</v>
      </c>
      <c r="E109" s="67">
        <f t="shared" si="3"/>
        <v>0.28205068289103336</v>
      </c>
      <c r="F109" s="67">
        <f t="shared" si="3"/>
        <v>0.53182007081277383</v>
      </c>
      <c r="G109" s="67">
        <f t="shared" si="3"/>
        <v>5.3116273142867341</v>
      </c>
      <c r="H109" s="67">
        <f t="shared" si="3"/>
        <v>2.8119608489076646</v>
      </c>
      <c r="I109" s="67">
        <f t="shared" si="3"/>
        <v>0.70202710873833851</v>
      </c>
      <c r="J109" s="67">
        <f t="shared" si="3"/>
        <v>0.12973146184708811</v>
      </c>
      <c r="K109" s="67">
        <f t="shared" si="3"/>
        <v>15.111872203015187</v>
      </c>
      <c r="L109" s="67">
        <f t="shared" si="3"/>
        <v>0.8053457087029865</v>
      </c>
      <c r="M109" s="67">
        <f t="shared" si="3"/>
        <v>2.3224140094178627</v>
      </c>
      <c r="N109" s="67">
        <f t="shared" si="3"/>
        <v>101.29651211825886</v>
      </c>
      <c r="O109" s="67">
        <f t="shared" si="3"/>
        <v>7.3865691297632846E-2</v>
      </c>
      <c r="P109" s="67">
        <f t="shared" si="3"/>
        <v>0.12059715272598245</v>
      </c>
      <c r="Q109" s="67">
        <f t="shared" si="3"/>
        <v>6.4055896642985596E-2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COUNT(I9:I104)+17</f>
        <v>113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36" activePane="bottomLeft" state="frozen"/>
      <selection activeCell="N106" sqref="N106:P109"/>
      <selection pane="bottomLeft" activeCell="S98" sqref="S9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30/06/2025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1" t="s">
        <v>1973</v>
      </c>
      <c r="B9" s="64">
        <v>4.17</v>
      </c>
      <c r="C9" s="64">
        <v>12.91</v>
      </c>
      <c r="D9" s="64">
        <v>10.09</v>
      </c>
      <c r="E9" s="64">
        <v>3.64</v>
      </c>
      <c r="F9" s="64">
        <v>4.2699999999999996</v>
      </c>
      <c r="G9" s="64">
        <v>25.97</v>
      </c>
      <c r="H9" s="64">
        <v>6.18</v>
      </c>
      <c r="I9" s="64">
        <v>0.64</v>
      </c>
      <c r="J9" s="64">
        <v>0.17</v>
      </c>
      <c r="K9" s="64">
        <v>322.01</v>
      </c>
      <c r="L9" s="64">
        <v>21.82</v>
      </c>
      <c r="M9" s="64">
        <v>97.6</v>
      </c>
      <c r="N9" s="64">
        <v>64</v>
      </c>
      <c r="O9" s="64">
        <v>0</v>
      </c>
      <c r="P9" s="64">
        <v>0.21</v>
      </c>
      <c r="Q9" s="64">
        <v>8.99</v>
      </c>
      <c r="R9" s="198"/>
      <c r="S9" s="198"/>
      <c r="T9" s="198"/>
      <c r="U9" s="198"/>
    </row>
    <row r="10" spans="1:21" s="12" customFormat="1" x14ac:dyDescent="0.25">
      <c r="A10" s="211" t="s">
        <v>1974</v>
      </c>
      <c r="B10" s="64">
        <v>4.1500000000000004</v>
      </c>
      <c r="C10" s="64">
        <v>12.59</v>
      </c>
      <c r="D10" s="64">
        <v>9.91</v>
      </c>
      <c r="E10" s="64">
        <v>3.58</v>
      </c>
      <c r="F10" s="64">
        <v>4.83</v>
      </c>
      <c r="G10" s="64">
        <v>25.97</v>
      </c>
      <c r="H10" s="64">
        <v>6.18</v>
      </c>
      <c r="I10" s="64">
        <v>0.62</v>
      </c>
      <c r="J10" s="64">
        <v>0.24</v>
      </c>
      <c r="K10" s="64">
        <v>308.43</v>
      </c>
      <c r="L10" s="64">
        <v>21.76</v>
      </c>
      <c r="M10" s="64">
        <v>97.62</v>
      </c>
      <c r="N10" s="64">
        <v>64.2</v>
      </c>
      <c r="O10" s="64">
        <v>0</v>
      </c>
      <c r="P10" s="64">
        <v>0.21</v>
      </c>
      <c r="Q10" s="64">
        <v>8.99</v>
      </c>
      <c r="R10" s="198"/>
      <c r="S10" s="198"/>
      <c r="T10" s="198"/>
      <c r="U10" s="198"/>
    </row>
    <row r="11" spans="1:21" s="12" customFormat="1" x14ac:dyDescent="0.25">
      <c r="A11" s="211" t="s">
        <v>1975</v>
      </c>
      <c r="B11" s="64">
        <v>4.1100000000000003</v>
      </c>
      <c r="C11" s="64">
        <v>12.34</v>
      </c>
      <c r="D11" s="64">
        <v>9.74</v>
      </c>
      <c r="E11" s="64">
        <v>3.48</v>
      </c>
      <c r="F11" s="64">
        <v>4.2300000000000004</v>
      </c>
      <c r="G11" s="64">
        <v>22.48</v>
      </c>
      <c r="H11" s="64">
        <v>4.9800000000000004</v>
      </c>
      <c r="I11" s="64">
        <v>0.6</v>
      </c>
      <c r="J11" s="64">
        <v>0.21</v>
      </c>
      <c r="K11" s="64">
        <v>317.02</v>
      </c>
      <c r="L11" s="64">
        <v>21.79</v>
      </c>
      <c r="M11" s="64">
        <v>97.62</v>
      </c>
      <c r="N11" s="64">
        <v>64.3</v>
      </c>
      <c r="O11" s="64">
        <v>0</v>
      </c>
      <c r="P11" s="64">
        <v>0.2</v>
      </c>
      <c r="Q11" s="64">
        <v>8.99</v>
      </c>
      <c r="R11" s="198"/>
      <c r="S11" s="198"/>
      <c r="T11" s="198"/>
      <c r="U11" s="198"/>
    </row>
    <row r="12" spans="1:21" s="12" customFormat="1" x14ac:dyDescent="0.25">
      <c r="A12" s="211" t="s">
        <v>1976</v>
      </c>
      <c r="B12" s="64">
        <v>4.1399999999999997</v>
      </c>
      <c r="C12" s="64">
        <v>12.21</v>
      </c>
      <c r="D12" s="64">
        <v>9.6999999999999993</v>
      </c>
      <c r="E12" s="64">
        <v>3.56</v>
      </c>
      <c r="F12" s="64">
        <v>4</v>
      </c>
      <c r="G12" s="64">
        <v>21.36</v>
      </c>
      <c r="H12" s="64">
        <v>4.6100000000000003</v>
      </c>
      <c r="I12" s="64">
        <v>0.56000000000000005</v>
      </c>
      <c r="J12" s="64">
        <v>0.18</v>
      </c>
      <c r="K12" s="64">
        <v>307.82</v>
      </c>
      <c r="L12" s="64">
        <v>21.79</v>
      </c>
      <c r="M12" s="64">
        <v>97.63</v>
      </c>
      <c r="N12" s="64">
        <v>64.5</v>
      </c>
      <c r="O12" s="64">
        <v>0</v>
      </c>
      <c r="P12" s="64">
        <v>0.19</v>
      </c>
      <c r="Q12" s="64">
        <v>8.99</v>
      </c>
      <c r="R12" s="198"/>
      <c r="S12" s="198"/>
      <c r="T12" s="198"/>
      <c r="U12" s="198"/>
    </row>
    <row r="13" spans="1:21" s="12" customFormat="1" x14ac:dyDescent="0.25">
      <c r="A13" s="211" t="s">
        <v>1977</v>
      </c>
      <c r="B13" s="64">
        <v>4.1900000000000004</v>
      </c>
      <c r="C13" s="64">
        <v>12.02</v>
      </c>
      <c r="D13" s="64">
        <v>9.64</v>
      </c>
      <c r="E13" s="64">
        <v>3.57</v>
      </c>
      <c r="F13" s="64">
        <v>4.01</v>
      </c>
      <c r="G13" s="64">
        <v>21.36</v>
      </c>
      <c r="H13" s="64">
        <v>4.6100000000000003</v>
      </c>
      <c r="I13" s="64">
        <v>0.54</v>
      </c>
      <c r="J13" s="64">
        <v>0.19</v>
      </c>
      <c r="K13" s="64">
        <v>309.36</v>
      </c>
      <c r="L13" s="64">
        <v>21.74</v>
      </c>
      <c r="M13" s="64">
        <v>97.64</v>
      </c>
      <c r="N13" s="64">
        <v>64.8</v>
      </c>
      <c r="O13" s="64">
        <v>0</v>
      </c>
      <c r="P13" s="64">
        <v>0.16</v>
      </c>
      <c r="Q13" s="64">
        <v>8.98</v>
      </c>
      <c r="R13" s="198"/>
      <c r="S13" s="198"/>
      <c r="T13" s="198"/>
      <c r="U13" s="198"/>
    </row>
    <row r="14" spans="1:21" s="12" customFormat="1" x14ac:dyDescent="0.25">
      <c r="A14" s="211" t="s">
        <v>1978</v>
      </c>
      <c r="B14" s="64">
        <v>4.28</v>
      </c>
      <c r="C14" s="64">
        <v>12.41</v>
      </c>
      <c r="D14" s="64">
        <v>9.92</v>
      </c>
      <c r="E14" s="64">
        <v>3.73</v>
      </c>
      <c r="F14" s="64">
        <v>4.08</v>
      </c>
      <c r="G14" s="64">
        <v>21.36</v>
      </c>
      <c r="H14" s="64">
        <v>4.6100000000000003</v>
      </c>
      <c r="I14" s="64">
        <v>0.54</v>
      </c>
      <c r="J14" s="64">
        <v>0.23</v>
      </c>
      <c r="K14" s="64">
        <v>300.36</v>
      </c>
      <c r="L14" s="64">
        <v>21.74</v>
      </c>
      <c r="M14" s="64">
        <v>97.65</v>
      </c>
      <c r="N14" s="64">
        <v>65</v>
      </c>
      <c r="O14" s="64">
        <v>0</v>
      </c>
      <c r="P14" s="64">
        <v>0.19</v>
      </c>
      <c r="Q14" s="64">
        <v>8.9700000000000006</v>
      </c>
      <c r="R14" s="198"/>
      <c r="S14" s="198"/>
      <c r="T14" s="198"/>
      <c r="U14" s="198"/>
    </row>
    <row r="15" spans="1:21" s="12" customFormat="1" x14ac:dyDescent="0.25">
      <c r="A15" s="211" t="s">
        <v>1979</v>
      </c>
      <c r="B15" s="64">
        <v>4.34</v>
      </c>
      <c r="C15" s="64">
        <v>12.47</v>
      </c>
      <c r="D15" s="64">
        <v>9.99</v>
      </c>
      <c r="E15" s="64">
        <v>3.71</v>
      </c>
      <c r="F15" s="64">
        <v>4.0999999999999996</v>
      </c>
      <c r="G15" s="64">
        <v>22</v>
      </c>
      <c r="H15" s="64">
        <v>8.6199999999999992</v>
      </c>
      <c r="I15" s="64">
        <v>0.53</v>
      </c>
      <c r="J15" s="64">
        <v>0.21</v>
      </c>
      <c r="K15" s="64">
        <v>310.66000000000003</v>
      </c>
      <c r="L15" s="64">
        <v>21.73</v>
      </c>
      <c r="M15" s="64">
        <v>97.64</v>
      </c>
      <c r="N15" s="64">
        <v>65.599999999999994</v>
      </c>
      <c r="O15" s="64">
        <v>0</v>
      </c>
      <c r="P15" s="64">
        <v>0.17</v>
      </c>
      <c r="Q15" s="64">
        <v>8.9700000000000006</v>
      </c>
      <c r="R15" s="198"/>
      <c r="S15" s="198"/>
      <c r="T15" s="198"/>
      <c r="U15" s="198"/>
    </row>
    <row r="16" spans="1:21" s="12" customFormat="1" x14ac:dyDescent="0.25">
      <c r="A16" s="211" t="s">
        <v>1980</v>
      </c>
      <c r="B16" s="64">
        <v>4.37</v>
      </c>
      <c r="C16" s="64">
        <v>12.24</v>
      </c>
      <c r="D16" s="64">
        <v>9.9</v>
      </c>
      <c r="E16" s="64">
        <v>3.79</v>
      </c>
      <c r="F16" s="64">
        <v>3.5</v>
      </c>
      <c r="G16" s="64">
        <v>22.21</v>
      </c>
      <c r="H16" s="64">
        <v>9.91</v>
      </c>
      <c r="I16" s="64">
        <v>0.49</v>
      </c>
      <c r="J16" s="64">
        <v>0.2</v>
      </c>
      <c r="K16" s="64">
        <v>311.48</v>
      </c>
      <c r="L16" s="64">
        <v>21.71</v>
      </c>
      <c r="M16" s="64">
        <v>97.65</v>
      </c>
      <c r="N16" s="64">
        <v>66.2</v>
      </c>
      <c r="O16" s="64">
        <v>0</v>
      </c>
      <c r="P16" s="64">
        <v>0.17</v>
      </c>
      <c r="Q16" s="64">
        <v>8.9600000000000009</v>
      </c>
      <c r="R16" s="198"/>
      <c r="S16" s="198"/>
      <c r="T16" s="198"/>
      <c r="U16" s="198"/>
    </row>
    <row r="17" spans="1:21" s="12" customFormat="1" x14ac:dyDescent="0.25">
      <c r="A17" s="211" t="s">
        <v>1981</v>
      </c>
      <c r="B17" s="64">
        <v>4.37</v>
      </c>
      <c r="C17" s="64">
        <v>12.01</v>
      </c>
      <c r="D17" s="64">
        <v>9.7799999999999994</v>
      </c>
      <c r="E17" s="64">
        <v>3.63</v>
      </c>
      <c r="F17" s="64">
        <v>3.73</v>
      </c>
      <c r="G17" s="64">
        <v>22.21</v>
      </c>
      <c r="H17" s="64">
        <v>9.91</v>
      </c>
      <c r="I17" s="64">
        <v>0.48</v>
      </c>
      <c r="J17" s="64">
        <v>0.2</v>
      </c>
      <c r="K17" s="64">
        <v>301.39999999999998</v>
      </c>
      <c r="L17" s="64">
        <v>21.65</v>
      </c>
      <c r="M17" s="64">
        <v>97.65</v>
      </c>
      <c r="N17" s="64">
        <v>67.3</v>
      </c>
      <c r="O17" s="64">
        <v>0</v>
      </c>
      <c r="P17" s="64">
        <v>0.16</v>
      </c>
      <c r="Q17" s="64">
        <v>8.9700000000000006</v>
      </c>
      <c r="R17" s="198"/>
      <c r="S17" s="198"/>
      <c r="T17" s="198"/>
      <c r="U17" s="198"/>
    </row>
    <row r="18" spans="1:21" s="12" customFormat="1" x14ac:dyDescent="0.25">
      <c r="A18" s="211" t="s">
        <v>1982</v>
      </c>
      <c r="B18" s="64">
        <v>4.3499999999999996</v>
      </c>
      <c r="C18" s="64">
        <v>11.85</v>
      </c>
      <c r="D18" s="64">
        <v>9.68</v>
      </c>
      <c r="E18" s="64">
        <v>3.72</v>
      </c>
      <c r="F18" s="64">
        <v>3.95</v>
      </c>
      <c r="G18" s="64">
        <v>22.21</v>
      </c>
      <c r="H18" s="64">
        <v>9.91</v>
      </c>
      <c r="I18" s="64">
        <v>0.48</v>
      </c>
      <c r="J18" s="64">
        <v>0.21</v>
      </c>
      <c r="K18" s="64">
        <v>298.61</v>
      </c>
      <c r="L18" s="64">
        <v>21.53</v>
      </c>
      <c r="M18" s="64">
        <v>97.65</v>
      </c>
      <c r="N18" s="64">
        <v>71.3</v>
      </c>
      <c r="O18" s="64">
        <v>0</v>
      </c>
      <c r="P18" s="64">
        <v>0.16</v>
      </c>
      <c r="Q18" s="64">
        <v>8.9499999999999993</v>
      </c>
      <c r="R18" s="198"/>
      <c r="S18" s="198"/>
      <c r="T18" s="198"/>
      <c r="U18" s="198"/>
    </row>
    <row r="19" spans="1:21" s="12" customFormat="1" x14ac:dyDescent="0.25">
      <c r="A19" s="211" t="s">
        <v>1983</v>
      </c>
      <c r="B19" s="64">
        <v>4.28</v>
      </c>
      <c r="C19" s="64">
        <v>11.86</v>
      </c>
      <c r="D19" s="64">
        <v>9.6199999999999992</v>
      </c>
      <c r="E19" s="64">
        <v>3.55</v>
      </c>
      <c r="F19" s="64">
        <v>3.7</v>
      </c>
      <c r="G19" s="64">
        <v>17.68</v>
      </c>
      <c r="H19" s="64">
        <v>7.91</v>
      </c>
      <c r="I19" s="64">
        <v>0.46</v>
      </c>
      <c r="J19" s="64">
        <v>0.18</v>
      </c>
      <c r="K19" s="64">
        <v>307.07</v>
      </c>
      <c r="L19" s="64">
        <v>21.54</v>
      </c>
      <c r="M19" s="64">
        <v>97.66</v>
      </c>
      <c r="N19" s="64">
        <v>78.400000000000006</v>
      </c>
      <c r="O19" s="64">
        <v>0</v>
      </c>
      <c r="P19" s="64">
        <v>0.15</v>
      </c>
      <c r="Q19" s="64">
        <v>8.9499999999999993</v>
      </c>
      <c r="R19" s="198"/>
      <c r="S19" s="198"/>
      <c r="T19" s="198"/>
      <c r="U19" s="198"/>
    </row>
    <row r="20" spans="1:21" s="12" customFormat="1" x14ac:dyDescent="0.25">
      <c r="A20" s="211" t="s">
        <v>1984</v>
      </c>
      <c r="B20" s="64">
        <v>4.32</v>
      </c>
      <c r="C20" s="64">
        <v>11.55</v>
      </c>
      <c r="D20" s="64">
        <v>9.5</v>
      </c>
      <c r="E20" s="64">
        <v>3.71</v>
      </c>
      <c r="F20" s="64">
        <v>4.04</v>
      </c>
      <c r="G20" s="64">
        <v>16.22</v>
      </c>
      <c r="H20" s="64">
        <v>7.26</v>
      </c>
      <c r="I20" s="64">
        <v>0.45</v>
      </c>
      <c r="J20" s="64">
        <v>0.22</v>
      </c>
      <c r="K20" s="64">
        <v>304.74</v>
      </c>
      <c r="L20" s="64">
        <v>21.57</v>
      </c>
      <c r="M20" s="64">
        <v>97.68</v>
      </c>
      <c r="N20" s="64">
        <v>85.8</v>
      </c>
      <c r="O20" s="64">
        <v>0</v>
      </c>
      <c r="P20" s="64">
        <v>0.16</v>
      </c>
      <c r="Q20" s="64">
        <v>8.9600000000000009</v>
      </c>
      <c r="R20" s="198"/>
      <c r="S20" s="198"/>
      <c r="T20" s="198"/>
      <c r="U20" s="198"/>
    </row>
    <row r="21" spans="1:21" s="12" customFormat="1" x14ac:dyDescent="0.25">
      <c r="A21" s="211" t="s">
        <v>1985</v>
      </c>
      <c r="B21" s="64">
        <v>4.46</v>
      </c>
      <c r="C21" s="64">
        <v>11.67</v>
      </c>
      <c r="D21" s="64">
        <v>9.67</v>
      </c>
      <c r="E21" s="64">
        <v>3.53</v>
      </c>
      <c r="F21" s="64">
        <v>3.62</v>
      </c>
      <c r="G21" s="64">
        <v>16.22</v>
      </c>
      <c r="H21" s="64">
        <v>7.26</v>
      </c>
      <c r="I21" s="64">
        <v>0.44</v>
      </c>
      <c r="J21" s="64">
        <v>0.19</v>
      </c>
      <c r="K21" s="64">
        <v>295.81</v>
      </c>
      <c r="L21" s="64">
        <v>21.53</v>
      </c>
      <c r="M21" s="64">
        <v>97.68</v>
      </c>
      <c r="N21" s="64">
        <v>103.3</v>
      </c>
      <c r="O21" s="64">
        <v>0</v>
      </c>
      <c r="P21" s="64">
        <v>0.15</v>
      </c>
      <c r="Q21" s="64">
        <v>8.9499999999999993</v>
      </c>
      <c r="R21" s="198"/>
      <c r="S21" s="198"/>
      <c r="T21" s="198"/>
      <c r="U21" s="198"/>
    </row>
    <row r="22" spans="1:21" s="12" customFormat="1" x14ac:dyDescent="0.25">
      <c r="A22" s="211" t="s">
        <v>1986</v>
      </c>
      <c r="B22" s="64">
        <v>4.5</v>
      </c>
      <c r="C22" s="64">
        <v>11.66</v>
      </c>
      <c r="D22" s="64">
        <v>9.6999999999999993</v>
      </c>
      <c r="E22" s="64">
        <v>3.35</v>
      </c>
      <c r="F22" s="64">
        <v>3.4</v>
      </c>
      <c r="G22" s="64">
        <v>16.22</v>
      </c>
      <c r="H22" s="64">
        <v>7.26</v>
      </c>
      <c r="I22" s="64">
        <v>0.46</v>
      </c>
      <c r="J22" s="64">
        <v>0.21</v>
      </c>
      <c r="K22" s="64">
        <v>296.22000000000003</v>
      </c>
      <c r="L22" s="64">
        <v>21.51</v>
      </c>
      <c r="M22" s="64">
        <v>97.68</v>
      </c>
      <c r="N22" s="64">
        <v>96.4</v>
      </c>
      <c r="O22" s="64">
        <v>0</v>
      </c>
      <c r="P22" s="64">
        <v>0.15</v>
      </c>
      <c r="Q22" s="64">
        <v>8.9499999999999993</v>
      </c>
      <c r="R22" s="198"/>
      <c r="S22" s="198"/>
      <c r="T22" s="198"/>
      <c r="U22" s="198"/>
    </row>
    <row r="23" spans="1:21" s="12" customFormat="1" x14ac:dyDescent="0.25">
      <c r="A23" s="211" t="s">
        <v>1987</v>
      </c>
      <c r="B23" s="64">
        <v>4.46</v>
      </c>
      <c r="C23" s="64">
        <v>11.44</v>
      </c>
      <c r="D23" s="64">
        <v>9.5500000000000007</v>
      </c>
      <c r="E23" s="64">
        <v>3.9</v>
      </c>
      <c r="F23" s="64">
        <v>3.54</v>
      </c>
      <c r="G23" s="64">
        <v>14.94</v>
      </c>
      <c r="H23" s="64">
        <v>6.44</v>
      </c>
      <c r="I23" s="64">
        <v>0.48</v>
      </c>
      <c r="J23" s="64">
        <v>0.18</v>
      </c>
      <c r="K23" s="64">
        <v>293.08</v>
      </c>
      <c r="L23" s="64">
        <v>21.48</v>
      </c>
      <c r="M23" s="64">
        <v>97.68</v>
      </c>
      <c r="N23" s="64">
        <v>93.4</v>
      </c>
      <c r="O23" s="64">
        <v>0</v>
      </c>
      <c r="P23" s="64">
        <v>0.15</v>
      </c>
      <c r="Q23" s="64">
        <v>8.94</v>
      </c>
      <c r="R23" s="198"/>
      <c r="S23" s="198"/>
      <c r="T23" s="198"/>
      <c r="U23" s="198"/>
    </row>
    <row r="24" spans="1:21" s="12" customFormat="1" x14ac:dyDescent="0.25">
      <c r="A24" s="211" t="s">
        <v>1988</v>
      </c>
      <c r="B24" s="64">
        <v>4.5</v>
      </c>
      <c r="C24" s="64">
        <v>11.23</v>
      </c>
      <c r="D24" s="64">
        <v>9.4700000000000006</v>
      </c>
      <c r="E24" s="64">
        <v>3.57</v>
      </c>
      <c r="F24" s="64">
        <v>3.77</v>
      </c>
      <c r="G24" s="64">
        <v>14.53</v>
      </c>
      <c r="H24" s="64">
        <v>6.18</v>
      </c>
      <c r="I24" s="64">
        <v>0.46</v>
      </c>
      <c r="J24" s="64">
        <v>0.12</v>
      </c>
      <c r="K24" s="64">
        <v>280.10000000000002</v>
      </c>
      <c r="L24" s="64">
        <v>21.41</v>
      </c>
      <c r="M24" s="64">
        <v>97.67</v>
      </c>
      <c r="N24" s="64">
        <v>92.1</v>
      </c>
      <c r="O24" s="64">
        <v>0.2</v>
      </c>
      <c r="P24" s="64">
        <v>0.14000000000000001</v>
      </c>
      <c r="Q24" s="64">
        <v>8.9600000000000009</v>
      </c>
      <c r="R24" s="198"/>
      <c r="S24" s="198"/>
      <c r="T24" s="198"/>
      <c r="U24" s="198"/>
    </row>
    <row r="25" spans="1:21" s="12" customFormat="1" x14ac:dyDescent="0.25">
      <c r="A25" s="211" t="s">
        <v>1989</v>
      </c>
      <c r="B25" s="64">
        <v>4.6100000000000003</v>
      </c>
      <c r="C25" s="64">
        <v>11.24</v>
      </c>
      <c r="D25" s="64">
        <v>9.57</v>
      </c>
      <c r="E25" s="64">
        <v>3.81</v>
      </c>
      <c r="F25" s="64">
        <v>3.98</v>
      </c>
      <c r="G25" s="64">
        <v>14.53</v>
      </c>
      <c r="H25" s="64">
        <v>6.18</v>
      </c>
      <c r="I25" s="64">
        <v>0.45</v>
      </c>
      <c r="J25" s="64">
        <v>0.15</v>
      </c>
      <c r="K25" s="64">
        <v>306.05</v>
      </c>
      <c r="L25" s="64">
        <v>21.35</v>
      </c>
      <c r="M25" s="64">
        <v>97.67</v>
      </c>
      <c r="N25" s="64">
        <v>91.3</v>
      </c>
      <c r="O25" s="64">
        <v>0.2</v>
      </c>
      <c r="P25" s="64">
        <v>0.14000000000000001</v>
      </c>
      <c r="Q25" s="64">
        <v>8.98</v>
      </c>
      <c r="R25" s="198"/>
      <c r="S25" s="198"/>
      <c r="T25" s="198"/>
      <c r="U25" s="198"/>
    </row>
    <row r="26" spans="1:21" s="12" customFormat="1" x14ac:dyDescent="0.25">
      <c r="A26" s="211" t="s">
        <v>1990</v>
      </c>
      <c r="B26" s="64">
        <v>4.9000000000000004</v>
      </c>
      <c r="C26" s="64">
        <v>11.1</v>
      </c>
      <c r="D26" s="64">
        <v>9.73</v>
      </c>
      <c r="E26" s="64">
        <v>3.79</v>
      </c>
      <c r="F26" s="64">
        <v>3.87</v>
      </c>
      <c r="G26" s="64">
        <v>14.53</v>
      </c>
      <c r="H26" s="64">
        <v>6.18</v>
      </c>
      <c r="I26" s="64">
        <v>0.45</v>
      </c>
      <c r="J26" s="64">
        <v>0.18</v>
      </c>
      <c r="K26" s="64">
        <v>299.04000000000002</v>
      </c>
      <c r="L26" s="64">
        <v>21.28</v>
      </c>
      <c r="M26" s="64">
        <v>97.67</v>
      </c>
      <c r="N26" s="64">
        <v>90.6</v>
      </c>
      <c r="O26" s="64">
        <v>0.6</v>
      </c>
      <c r="P26" s="64">
        <v>0.14000000000000001</v>
      </c>
      <c r="Q26" s="64">
        <v>8.98</v>
      </c>
      <c r="R26" s="198"/>
      <c r="S26" s="198"/>
      <c r="T26" s="198"/>
      <c r="U26" s="198"/>
    </row>
    <row r="27" spans="1:21" s="12" customFormat="1" x14ac:dyDescent="0.25">
      <c r="A27" s="211" t="s">
        <v>1991</v>
      </c>
      <c r="B27" s="64">
        <v>4.99</v>
      </c>
      <c r="C27" s="64">
        <v>11.22</v>
      </c>
      <c r="D27" s="64">
        <v>9.8699999999999992</v>
      </c>
      <c r="E27" s="64">
        <v>3.77</v>
      </c>
      <c r="F27" s="64">
        <v>3.48</v>
      </c>
      <c r="G27" s="64">
        <v>12.3</v>
      </c>
      <c r="H27" s="64">
        <v>4.8</v>
      </c>
      <c r="I27" s="64">
        <v>0.45</v>
      </c>
      <c r="J27" s="64">
        <v>0.15</v>
      </c>
      <c r="K27" s="64">
        <v>311.45999999999998</v>
      </c>
      <c r="L27" s="64">
        <v>21.17</v>
      </c>
      <c r="M27" s="64">
        <v>97.67</v>
      </c>
      <c r="N27" s="64">
        <v>89.9</v>
      </c>
      <c r="O27" s="64">
        <v>0.2</v>
      </c>
      <c r="P27" s="64">
        <v>0.14000000000000001</v>
      </c>
      <c r="Q27" s="64">
        <v>8.98</v>
      </c>
      <c r="R27" s="198"/>
      <c r="S27" s="198"/>
      <c r="T27" s="198"/>
      <c r="U27" s="198"/>
    </row>
    <row r="28" spans="1:21" s="12" customFormat="1" x14ac:dyDescent="0.25">
      <c r="A28" s="211" t="s">
        <v>1992</v>
      </c>
      <c r="B28" s="64">
        <v>4.99</v>
      </c>
      <c r="C28" s="64">
        <v>11.35</v>
      </c>
      <c r="D28" s="64">
        <v>9.94</v>
      </c>
      <c r="E28" s="64">
        <v>3.85</v>
      </c>
      <c r="F28" s="64">
        <v>3.45</v>
      </c>
      <c r="G28" s="64">
        <v>11.58</v>
      </c>
      <c r="H28" s="64">
        <v>4.3600000000000003</v>
      </c>
      <c r="I28" s="64">
        <v>0.44</v>
      </c>
      <c r="J28" s="64">
        <v>0.12</v>
      </c>
      <c r="K28" s="64">
        <v>291.58999999999997</v>
      </c>
      <c r="L28" s="64">
        <v>21.12</v>
      </c>
      <c r="M28" s="64">
        <v>97.67</v>
      </c>
      <c r="N28" s="64">
        <v>89.3</v>
      </c>
      <c r="O28" s="64">
        <v>0.2</v>
      </c>
      <c r="P28" s="64">
        <v>0.15</v>
      </c>
      <c r="Q28" s="64">
        <v>8.99</v>
      </c>
      <c r="R28" s="198"/>
      <c r="S28" s="198"/>
      <c r="T28" s="198"/>
      <c r="U28" s="198"/>
    </row>
    <row r="29" spans="1:21" s="12" customFormat="1" x14ac:dyDescent="0.25">
      <c r="A29" s="211" t="s">
        <v>1993</v>
      </c>
      <c r="B29" s="64">
        <v>5.17</v>
      </c>
      <c r="C29" s="64">
        <v>12.07</v>
      </c>
      <c r="D29" s="64">
        <v>10.45</v>
      </c>
      <c r="E29" s="64">
        <v>3.82</v>
      </c>
      <c r="F29" s="64">
        <v>3.31</v>
      </c>
      <c r="G29" s="64">
        <v>11.58</v>
      </c>
      <c r="H29" s="64">
        <v>4.3600000000000003</v>
      </c>
      <c r="I29" s="64">
        <v>0.45</v>
      </c>
      <c r="J29" s="64">
        <v>0.13</v>
      </c>
      <c r="K29" s="64">
        <v>322.52999999999997</v>
      </c>
      <c r="L29" s="64">
        <v>21.07</v>
      </c>
      <c r="M29" s="64">
        <v>97.68</v>
      </c>
      <c r="N29" s="64">
        <v>88.7</v>
      </c>
      <c r="O29" s="64">
        <v>0</v>
      </c>
      <c r="P29" s="64">
        <v>0.14000000000000001</v>
      </c>
      <c r="Q29" s="64">
        <v>9</v>
      </c>
      <c r="R29" s="198"/>
      <c r="S29" s="198"/>
      <c r="T29" s="198"/>
      <c r="U29" s="198"/>
    </row>
    <row r="30" spans="1:21" s="12" customFormat="1" x14ac:dyDescent="0.25">
      <c r="A30" s="211" t="s">
        <v>1994</v>
      </c>
      <c r="B30" s="64">
        <v>5.23</v>
      </c>
      <c r="C30" s="64">
        <v>11.48</v>
      </c>
      <c r="D30" s="64">
        <v>10.19</v>
      </c>
      <c r="E30" s="64">
        <v>3.92</v>
      </c>
      <c r="F30" s="64">
        <v>3</v>
      </c>
      <c r="G30" s="64">
        <v>11.58</v>
      </c>
      <c r="H30" s="64">
        <v>4.3600000000000003</v>
      </c>
      <c r="I30" s="64">
        <v>0.46</v>
      </c>
      <c r="J30" s="64">
        <v>0.1</v>
      </c>
      <c r="K30" s="64">
        <v>306.19</v>
      </c>
      <c r="L30" s="64">
        <v>21.08</v>
      </c>
      <c r="M30" s="64">
        <v>97.68</v>
      </c>
      <c r="N30" s="64">
        <v>89</v>
      </c>
      <c r="O30" s="64">
        <v>0.2</v>
      </c>
      <c r="P30" s="64">
        <v>0.15</v>
      </c>
      <c r="Q30" s="64">
        <v>9.01</v>
      </c>
      <c r="R30" s="198"/>
      <c r="S30" s="198"/>
      <c r="T30" s="198"/>
      <c r="U30" s="198"/>
    </row>
    <row r="31" spans="1:21" s="12" customFormat="1" x14ac:dyDescent="0.25">
      <c r="A31" s="211" t="s">
        <v>1995</v>
      </c>
      <c r="B31" s="64">
        <v>5.34</v>
      </c>
      <c r="C31" s="64">
        <v>11.58</v>
      </c>
      <c r="D31" s="64">
        <v>10.33</v>
      </c>
      <c r="E31" s="64">
        <v>3.79</v>
      </c>
      <c r="F31" s="64">
        <v>3.46</v>
      </c>
      <c r="G31" s="64">
        <v>9.18</v>
      </c>
      <c r="H31" s="64">
        <v>3.57</v>
      </c>
      <c r="I31" s="64">
        <v>0.46</v>
      </c>
      <c r="J31" s="64">
        <v>0.1</v>
      </c>
      <c r="K31" s="64">
        <v>301.72000000000003</v>
      </c>
      <c r="L31" s="64">
        <v>21.12</v>
      </c>
      <c r="M31" s="64">
        <v>97.68</v>
      </c>
      <c r="N31" s="64">
        <v>90.5</v>
      </c>
      <c r="O31" s="64">
        <v>0</v>
      </c>
      <c r="P31" s="64">
        <v>0.15</v>
      </c>
      <c r="Q31" s="64">
        <v>9</v>
      </c>
      <c r="R31" s="198"/>
      <c r="S31" s="198"/>
      <c r="T31" s="198"/>
      <c r="U31" s="198"/>
    </row>
    <row r="32" spans="1:21" s="12" customFormat="1" x14ac:dyDescent="0.25">
      <c r="A32" s="211" t="s">
        <v>1996</v>
      </c>
      <c r="B32" s="64">
        <v>5.61</v>
      </c>
      <c r="C32" s="64">
        <v>11.99</v>
      </c>
      <c r="D32" s="64">
        <v>10.76</v>
      </c>
      <c r="E32" s="64">
        <v>3.83</v>
      </c>
      <c r="F32" s="64">
        <v>3.35</v>
      </c>
      <c r="G32" s="64">
        <v>8.4</v>
      </c>
      <c r="H32" s="64">
        <v>3.31</v>
      </c>
      <c r="I32" s="64">
        <v>0.47</v>
      </c>
      <c r="J32" s="64">
        <v>0.1</v>
      </c>
      <c r="K32" s="64">
        <v>308.79000000000002</v>
      </c>
      <c r="L32" s="64">
        <v>21.12</v>
      </c>
      <c r="M32" s="64">
        <v>97.68</v>
      </c>
      <c r="N32" s="64">
        <v>93.7</v>
      </c>
      <c r="O32" s="64">
        <v>0.4</v>
      </c>
      <c r="P32" s="64">
        <v>0.15</v>
      </c>
      <c r="Q32" s="64">
        <v>8.99</v>
      </c>
      <c r="R32" s="198"/>
      <c r="S32" s="198"/>
      <c r="T32" s="198"/>
      <c r="U32" s="198"/>
    </row>
    <row r="33" spans="1:21" s="12" customFormat="1" x14ac:dyDescent="0.25">
      <c r="A33" s="211" t="s">
        <v>1997</v>
      </c>
      <c r="B33" s="64">
        <v>5.86</v>
      </c>
      <c r="C33" s="64">
        <v>11.81</v>
      </c>
      <c r="D33" s="64">
        <v>10.87</v>
      </c>
      <c r="E33" s="64">
        <v>3.8</v>
      </c>
      <c r="F33" s="64">
        <v>3.74</v>
      </c>
      <c r="G33" s="64">
        <v>8.4</v>
      </c>
      <c r="H33" s="64">
        <v>3.31</v>
      </c>
      <c r="I33" s="64">
        <v>0.47</v>
      </c>
      <c r="J33" s="64">
        <v>0.14000000000000001</v>
      </c>
      <c r="K33" s="64">
        <v>297.92</v>
      </c>
      <c r="L33" s="64">
        <v>21.13</v>
      </c>
      <c r="M33" s="64">
        <v>97.68</v>
      </c>
      <c r="N33" s="64">
        <v>104.3</v>
      </c>
      <c r="O33" s="64">
        <v>1.2</v>
      </c>
      <c r="P33" s="64">
        <v>0.16</v>
      </c>
      <c r="Q33" s="64">
        <v>8.98</v>
      </c>
      <c r="R33" s="198"/>
      <c r="S33" s="198"/>
      <c r="T33" s="198"/>
      <c r="U33" s="198"/>
    </row>
    <row r="34" spans="1:21" s="12" customFormat="1" x14ac:dyDescent="0.25">
      <c r="A34" s="211" t="s">
        <v>1998</v>
      </c>
      <c r="B34" s="64">
        <v>6.27</v>
      </c>
      <c r="C34" s="64">
        <v>11.62</v>
      </c>
      <c r="D34" s="64">
        <v>11.1</v>
      </c>
      <c r="E34" s="64">
        <v>3.71</v>
      </c>
      <c r="F34" s="64">
        <v>4</v>
      </c>
      <c r="G34" s="64">
        <v>8.4</v>
      </c>
      <c r="H34" s="64">
        <v>3.31</v>
      </c>
      <c r="I34" s="64">
        <v>0.48</v>
      </c>
      <c r="J34" s="64">
        <v>0.14000000000000001</v>
      </c>
      <c r="K34" s="64">
        <v>307.49</v>
      </c>
      <c r="L34" s="64">
        <v>21.15</v>
      </c>
      <c r="M34" s="64">
        <v>97.68</v>
      </c>
      <c r="N34" s="64">
        <v>107.7</v>
      </c>
      <c r="O34" s="64">
        <v>0.8</v>
      </c>
      <c r="P34" s="64">
        <v>0.17</v>
      </c>
      <c r="Q34" s="64">
        <v>8.99</v>
      </c>
      <c r="R34" s="198"/>
      <c r="S34" s="198"/>
      <c r="T34" s="198"/>
      <c r="U34" s="198"/>
    </row>
    <row r="35" spans="1:21" s="12" customFormat="1" x14ac:dyDescent="0.25">
      <c r="A35" s="211" t="s">
        <v>1999</v>
      </c>
      <c r="B35" s="64">
        <v>6.66</v>
      </c>
      <c r="C35" s="64">
        <v>11.74</v>
      </c>
      <c r="D35" s="64">
        <v>11.48</v>
      </c>
      <c r="E35" s="64">
        <v>4.12</v>
      </c>
      <c r="F35" s="64">
        <v>3.53</v>
      </c>
      <c r="G35" s="64">
        <v>6.61</v>
      </c>
      <c r="H35" s="64">
        <v>2.85</v>
      </c>
      <c r="I35" s="64">
        <v>0.5</v>
      </c>
      <c r="J35" s="64">
        <v>0.17</v>
      </c>
      <c r="K35" s="64">
        <v>302.05</v>
      </c>
      <c r="L35" s="64">
        <v>21.17</v>
      </c>
      <c r="M35" s="64">
        <v>97.67</v>
      </c>
      <c r="N35" s="64">
        <v>101.9</v>
      </c>
      <c r="O35" s="64">
        <v>0.4</v>
      </c>
      <c r="P35" s="64">
        <v>0.18</v>
      </c>
      <c r="Q35" s="64">
        <v>9.01</v>
      </c>
      <c r="R35" s="198"/>
      <c r="S35" s="198"/>
      <c r="T35" s="198"/>
      <c r="U35" s="198"/>
    </row>
    <row r="36" spans="1:21" s="12" customFormat="1" x14ac:dyDescent="0.25">
      <c r="A36" s="211" t="s">
        <v>2000</v>
      </c>
      <c r="B36" s="64">
        <v>7.17</v>
      </c>
      <c r="C36" s="64">
        <v>11.77</v>
      </c>
      <c r="D36" s="64">
        <v>11.9</v>
      </c>
      <c r="E36" s="64">
        <v>3.99</v>
      </c>
      <c r="F36" s="64">
        <v>3.02</v>
      </c>
      <c r="G36" s="64">
        <v>6.03</v>
      </c>
      <c r="H36" s="64">
        <v>2.7</v>
      </c>
      <c r="I36" s="64">
        <v>0.54</v>
      </c>
      <c r="J36" s="64">
        <v>0.19</v>
      </c>
      <c r="K36" s="64">
        <v>296.33</v>
      </c>
      <c r="L36" s="64">
        <v>21.21</v>
      </c>
      <c r="M36" s="64">
        <v>97.68</v>
      </c>
      <c r="N36" s="64">
        <v>104.6</v>
      </c>
      <c r="O36" s="64">
        <v>0.2</v>
      </c>
      <c r="P36" s="64">
        <v>0.2</v>
      </c>
      <c r="Q36" s="64">
        <v>9.0299999999999994</v>
      </c>
      <c r="R36" s="198"/>
      <c r="S36" s="198"/>
      <c r="T36" s="198"/>
      <c r="U36" s="198"/>
    </row>
    <row r="37" spans="1:21" s="12" customFormat="1" x14ac:dyDescent="0.25">
      <c r="A37" s="211" t="s">
        <v>2001</v>
      </c>
      <c r="B37" s="64">
        <v>8.15</v>
      </c>
      <c r="C37" s="64">
        <v>11.6</v>
      </c>
      <c r="D37" s="64">
        <v>12.6</v>
      </c>
      <c r="E37" s="64">
        <v>3.86</v>
      </c>
      <c r="F37" s="64">
        <v>3.67</v>
      </c>
      <c r="G37" s="64">
        <v>6.03</v>
      </c>
      <c r="H37" s="64">
        <v>2.7</v>
      </c>
      <c r="I37" s="64">
        <v>0.6</v>
      </c>
      <c r="J37" s="64">
        <v>0.18</v>
      </c>
      <c r="K37" s="64">
        <v>299.33</v>
      </c>
      <c r="L37" s="64">
        <v>21.21</v>
      </c>
      <c r="M37" s="64">
        <v>97.68</v>
      </c>
      <c r="N37" s="64">
        <v>105.4</v>
      </c>
      <c r="O37" s="64">
        <v>0.4</v>
      </c>
      <c r="P37" s="64">
        <v>0.24</v>
      </c>
      <c r="Q37" s="64">
        <v>9.0500000000000007</v>
      </c>
      <c r="R37" s="198"/>
      <c r="S37" s="198"/>
      <c r="T37" s="198"/>
      <c r="U37" s="198"/>
    </row>
    <row r="38" spans="1:21" s="12" customFormat="1" x14ac:dyDescent="0.25">
      <c r="A38" s="211" t="s">
        <v>2002</v>
      </c>
      <c r="B38" s="64">
        <v>9.73</v>
      </c>
      <c r="C38" s="64">
        <v>11.49</v>
      </c>
      <c r="D38" s="64">
        <v>13.81</v>
      </c>
      <c r="E38" s="64">
        <v>3.85</v>
      </c>
      <c r="F38" s="64">
        <v>3.27</v>
      </c>
      <c r="G38" s="64">
        <v>6.03</v>
      </c>
      <c r="H38" s="64">
        <v>2.7</v>
      </c>
      <c r="I38" s="64">
        <v>0.76</v>
      </c>
      <c r="J38" s="64">
        <v>0.17</v>
      </c>
      <c r="K38" s="64">
        <v>303.23</v>
      </c>
      <c r="L38" s="64">
        <v>21.19</v>
      </c>
      <c r="M38" s="64">
        <v>97.68</v>
      </c>
      <c r="N38" s="64">
        <v>111.3</v>
      </c>
      <c r="O38" s="64">
        <v>0.2</v>
      </c>
      <c r="P38" s="64">
        <v>0.28999999999999998</v>
      </c>
      <c r="Q38" s="64">
        <v>9.1</v>
      </c>
      <c r="R38" s="198"/>
      <c r="S38" s="198"/>
      <c r="T38" s="198"/>
      <c r="U38" s="198"/>
    </row>
    <row r="39" spans="1:21" s="12" customFormat="1" x14ac:dyDescent="0.25">
      <c r="A39" s="211" t="s">
        <v>2003</v>
      </c>
      <c r="B39" s="64">
        <v>10.28</v>
      </c>
      <c r="C39" s="64">
        <v>11.48</v>
      </c>
      <c r="D39" s="64">
        <v>14.24</v>
      </c>
      <c r="E39" s="64">
        <v>3.75</v>
      </c>
      <c r="F39" s="64">
        <v>3.41</v>
      </c>
      <c r="G39" s="64">
        <v>7</v>
      </c>
      <c r="H39" s="64">
        <v>4.03</v>
      </c>
      <c r="I39" s="64">
        <v>0.98</v>
      </c>
      <c r="J39" s="64">
        <v>0.18</v>
      </c>
      <c r="K39" s="64">
        <v>295.83999999999997</v>
      </c>
      <c r="L39" s="64">
        <v>21.27</v>
      </c>
      <c r="M39" s="64">
        <v>97.67</v>
      </c>
      <c r="N39" s="64">
        <v>123.1</v>
      </c>
      <c r="O39" s="64">
        <v>0.2</v>
      </c>
      <c r="P39" s="64">
        <v>0.32</v>
      </c>
      <c r="Q39" s="64">
        <v>9.1300000000000008</v>
      </c>
      <c r="R39" s="198"/>
      <c r="S39" s="198"/>
      <c r="T39" s="198"/>
      <c r="U39" s="198"/>
    </row>
    <row r="40" spans="1:21" s="12" customFormat="1" x14ac:dyDescent="0.25">
      <c r="A40" s="211" t="s">
        <v>2004</v>
      </c>
      <c r="B40" s="64">
        <v>10.99</v>
      </c>
      <c r="C40" s="64">
        <v>11.67</v>
      </c>
      <c r="D40" s="64">
        <v>14.91</v>
      </c>
      <c r="E40" s="64">
        <v>4.67</v>
      </c>
      <c r="F40" s="64">
        <v>4.0999999999999996</v>
      </c>
      <c r="G40" s="64">
        <v>7.32</v>
      </c>
      <c r="H40" s="64">
        <v>4.47</v>
      </c>
      <c r="I40" s="64">
        <v>1.0900000000000001</v>
      </c>
      <c r="J40" s="64">
        <v>0.2</v>
      </c>
      <c r="K40" s="64">
        <v>293.85000000000002</v>
      </c>
      <c r="L40" s="64">
        <v>21.29</v>
      </c>
      <c r="M40" s="64">
        <v>97.68</v>
      </c>
      <c r="N40" s="64">
        <v>129.6</v>
      </c>
      <c r="O40" s="64">
        <v>0.4</v>
      </c>
      <c r="P40" s="64">
        <v>0.35</v>
      </c>
      <c r="Q40" s="64">
        <v>9.16</v>
      </c>
      <c r="R40" s="198"/>
      <c r="S40" s="198"/>
      <c r="T40" s="198"/>
      <c r="U40" s="198"/>
    </row>
    <row r="41" spans="1:21" s="12" customFormat="1" x14ac:dyDescent="0.25">
      <c r="A41" s="211" t="s">
        <v>2005</v>
      </c>
      <c r="B41" s="64">
        <v>12.03</v>
      </c>
      <c r="C41" s="64">
        <v>11.74</v>
      </c>
      <c r="D41" s="64">
        <v>15.78</v>
      </c>
      <c r="E41" s="64">
        <v>4.63</v>
      </c>
      <c r="F41" s="64">
        <v>2.6</v>
      </c>
      <c r="G41" s="64">
        <v>7.32</v>
      </c>
      <c r="H41" s="64">
        <v>4.47</v>
      </c>
      <c r="I41" s="64">
        <v>1.18</v>
      </c>
      <c r="J41" s="64">
        <v>0.2</v>
      </c>
      <c r="K41" s="64">
        <v>302.05</v>
      </c>
      <c r="L41" s="64">
        <v>21.29</v>
      </c>
      <c r="M41" s="64">
        <v>97.68</v>
      </c>
      <c r="N41" s="64">
        <v>124.5</v>
      </c>
      <c r="O41" s="64">
        <v>0.6</v>
      </c>
      <c r="P41" s="64">
        <v>0.42</v>
      </c>
      <c r="Q41" s="64">
        <v>9.1999999999999993</v>
      </c>
      <c r="R41" s="198"/>
      <c r="S41" s="198"/>
      <c r="T41" s="198"/>
      <c r="U41" s="198"/>
    </row>
    <row r="42" spans="1:21" s="12" customFormat="1" x14ac:dyDescent="0.25">
      <c r="A42" s="211" t="s">
        <v>2006</v>
      </c>
      <c r="B42" s="64">
        <v>13.01</v>
      </c>
      <c r="C42" s="64">
        <v>11.63</v>
      </c>
      <c r="D42" s="64">
        <v>16.510000000000002</v>
      </c>
      <c r="E42" s="64">
        <v>4.5</v>
      </c>
      <c r="F42" s="64">
        <v>2.65</v>
      </c>
      <c r="G42" s="64">
        <v>7.32</v>
      </c>
      <c r="H42" s="64">
        <v>4.47</v>
      </c>
      <c r="I42" s="64">
        <v>1.4</v>
      </c>
      <c r="J42" s="64">
        <v>0.16</v>
      </c>
      <c r="K42" s="64">
        <v>293.2</v>
      </c>
      <c r="L42" s="64">
        <v>21.43</v>
      </c>
      <c r="M42" s="64">
        <v>97.68</v>
      </c>
      <c r="N42" s="64">
        <v>140.80000000000001</v>
      </c>
      <c r="O42" s="64">
        <v>0</v>
      </c>
      <c r="P42" s="64">
        <v>0.45</v>
      </c>
      <c r="Q42" s="64">
        <v>9.26</v>
      </c>
      <c r="R42" s="198"/>
      <c r="S42" s="198"/>
      <c r="T42" s="198"/>
      <c r="U42" s="198"/>
    </row>
    <row r="43" spans="1:21" s="12" customFormat="1" x14ac:dyDescent="0.25">
      <c r="A43" s="211" t="s">
        <v>2007</v>
      </c>
      <c r="B43" s="64">
        <v>14.12</v>
      </c>
      <c r="C43" s="64">
        <v>11.99</v>
      </c>
      <c r="D43" s="64">
        <v>17.59</v>
      </c>
      <c r="E43" s="64">
        <v>4.5599999999999996</v>
      </c>
      <c r="F43" s="64">
        <v>2.95</v>
      </c>
      <c r="G43" s="64">
        <v>8.48</v>
      </c>
      <c r="H43" s="64">
        <v>3.65</v>
      </c>
      <c r="I43" s="64">
        <v>1.63</v>
      </c>
      <c r="J43" s="64">
        <v>0.17</v>
      </c>
      <c r="K43" s="64">
        <v>293.33999999999997</v>
      </c>
      <c r="L43" s="64">
        <v>21.51</v>
      </c>
      <c r="M43" s="64">
        <v>97.67</v>
      </c>
      <c r="N43" s="64">
        <v>146.30000000000001</v>
      </c>
      <c r="O43" s="64">
        <v>0</v>
      </c>
      <c r="P43" s="64">
        <v>0.48</v>
      </c>
      <c r="Q43" s="64">
        <v>9.2899999999999991</v>
      </c>
      <c r="R43" s="198"/>
      <c r="S43" s="198"/>
      <c r="T43" s="198"/>
      <c r="U43" s="198"/>
    </row>
    <row r="44" spans="1:21" s="12" customFormat="1" x14ac:dyDescent="0.25">
      <c r="A44" s="211" t="s">
        <v>2008</v>
      </c>
      <c r="B44" s="64">
        <v>14.99</v>
      </c>
      <c r="C44" s="64">
        <v>11.68</v>
      </c>
      <c r="D44" s="64">
        <v>18.13</v>
      </c>
      <c r="E44" s="64">
        <v>4.42</v>
      </c>
      <c r="F44" s="64">
        <v>3.04</v>
      </c>
      <c r="G44" s="64">
        <v>8.86</v>
      </c>
      <c r="H44" s="64">
        <v>3.39</v>
      </c>
      <c r="I44" s="64">
        <v>1.76</v>
      </c>
      <c r="J44" s="64">
        <v>0.17</v>
      </c>
      <c r="K44" s="64">
        <v>293.57</v>
      </c>
      <c r="L44" s="64">
        <v>21.62</v>
      </c>
      <c r="M44" s="64">
        <v>97.67</v>
      </c>
      <c r="N44" s="64">
        <v>169.4</v>
      </c>
      <c r="O44" s="64">
        <v>0</v>
      </c>
      <c r="P44" s="64">
        <v>0.5</v>
      </c>
      <c r="Q44" s="64">
        <v>9.31</v>
      </c>
      <c r="R44" s="198"/>
      <c r="S44" s="198"/>
      <c r="T44" s="198"/>
      <c r="U44" s="198"/>
    </row>
    <row r="45" spans="1:21" s="12" customFormat="1" x14ac:dyDescent="0.25">
      <c r="A45" s="211" t="s">
        <v>2009</v>
      </c>
      <c r="B45" s="64">
        <v>16.55</v>
      </c>
      <c r="C45" s="64">
        <v>11.45</v>
      </c>
      <c r="D45" s="64">
        <v>19.260000000000002</v>
      </c>
      <c r="E45" s="64">
        <v>4.7</v>
      </c>
      <c r="F45" s="64">
        <v>3.33</v>
      </c>
      <c r="G45" s="64">
        <v>8.86</v>
      </c>
      <c r="H45" s="64">
        <v>3.39</v>
      </c>
      <c r="I45" s="64">
        <v>1.82</v>
      </c>
      <c r="J45" s="64">
        <v>0.2</v>
      </c>
      <c r="K45" s="64">
        <v>294.27</v>
      </c>
      <c r="L45" s="64">
        <v>21.78</v>
      </c>
      <c r="M45" s="64">
        <v>97.67</v>
      </c>
      <c r="N45" s="64">
        <v>172.2</v>
      </c>
      <c r="O45" s="64">
        <v>0</v>
      </c>
      <c r="P45" s="64">
        <v>0.55000000000000004</v>
      </c>
      <c r="Q45" s="64">
        <v>9.35</v>
      </c>
      <c r="R45" s="198"/>
      <c r="S45" s="198"/>
      <c r="T45" s="198"/>
      <c r="U45" s="198"/>
    </row>
    <row r="46" spans="1:21" s="12" customFormat="1" x14ac:dyDescent="0.25">
      <c r="A46" s="211" t="s">
        <v>2010</v>
      </c>
      <c r="B46" s="64">
        <v>18.62</v>
      </c>
      <c r="C46" s="64">
        <v>11.77</v>
      </c>
      <c r="D46" s="64">
        <v>21.08</v>
      </c>
      <c r="E46" s="64">
        <v>4.54</v>
      </c>
      <c r="F46" s="64">
        <v>3.18</v>
      </c>
      <c r="G46" s="64">
        <v>8.86</v>
      </c>
      <c r="H46" s="64">
        <v>3.39</v>
      </c>
      <c r="I46" s="64">
        <v>1.9</v>
      </c>
      <c r="J46" s="64">
        <v>0.2</v>
      </c>
      <c r="K46" s="64">
        <v>299.44</v>
      </c>
      <c r="L46" s="64">
        <v>22.02</v>
      </c>
      <c r="M46" s="64">
        <v>97.66</v>
      </c>
      <c r="N46" s="64">
        <v>181.6</v>
      </c>
      <c r="O46" s="64">
        <v>0</v>
      </c>
      <c r="P46" s="64">
        <v>0.64</v>
      </c>
      <c r="Q46" s="64">
        <v>9.4</v>
      </c>
      <c r="R46" s="198"/>
      <c r="S46" s="198"/>
      <c r="T46" s="198"/>
      <c r="U46" s="198"/>
    </row>
    <row r="47" spans="1:21" s="12" customFormat="1" x14ac:dyDescent="0.25">
      <c r="A47" s="211" t="s">
        <v>2011</v>
      </c>
      <c r="B47" s="64">
        <v>18.86</v>
      </c>
      <c r="C47" s="64">
        <v>11.72</v>
      </c>
      <c r="D47" s="64">
        <v>21.25</v>
      </c>
      <c r="E47" s="64">
        <v>4.6900000000000004</v>
      </c>
      <c r="F47" s="64">
        <v>3.19</v>
      </c>
      <c r="G47" s="64">
        <v>17.11</v>
      </c>
      <c r="H47" s="64">
        <v>6.75</v>
      </c>
      <c r="I47" s="64">
        <v>2.0699999999999998</v>
      </c>
      <c r="J47" s="64">
        <v>0.27</v>
      </c>
      <c r="K47" s="64">
        <v>292.5</v>
      </c>
      <c r="L47" s="64">
        <v>22.16</v>
      </c>
      <c r="M47" s="64">
        <v>97.65</v>
      </c>
      <c r="N47" s="64">
        <v>181.5</v>
      </c>
      <c r="O47" s="64">
        <v>0</v>
      </c>
      <c r="P47" s="64">
        <v>0.68</v>
      </c>
      <c r="Q47" s="64">
        <v>9.44</v>
      </c>
      <c r="R47" s="198"/>
      <c r="S47" s="198"/>
      <c r="T47" s="198"/>
      <c r="U47" s="198"/>
    </row>
    <row r="48" spans="1:21" s="12" customFormat="1" x14ac:dyDescent="0.25">
      <c r="A48" s="211" t="s">
        <v>2012</v>
      </c>
      <c r="B48" s="64">
        <v>19.170000000000002</v>
      </c>
      <c r="C48" s="64">
        <v>11.19</v>
      </c>
      <c r="D48" s="64">
        <v>21.21</v>
      </c>
      <c r="E48" s="64">
        <v>4.46</v>
      </c>
      <c r="F48" s="64">
        <v>2.8</v>
      </c>
      <c r="G48" s="64">
        <v>19.78</v>
      </c>
      <c r="H48" s="64">
        <v>7.83</v>
      </c>
      <c r="I48" s="64">
        <v>2.2799999999999998</v>
      </c>
      <c r="J48" s="64">
        <v>0.27</v>
      </c>
      <c r="K48" s="64">
        <v>294.45999999999998</v>
      </c>
      <c r="L48" s="64">
        <v>22.28</v>
      </c>
      <c r="M48" s="64">
        <v>97.66</v>
      </c>
      <c r="N48" s="64">
        <v>151.19999999999999</v>
      </c>
      <c r="O48" s="64">
        <v>0</v>
      </c>
      <c r="P48" s="64">
        <v>0.77</v>
      </c>
      <c r="Q48" s="64">
        <v>9.4700000000000006</v>
      </c>
      <c r="R48" s="198"/>
      <c r="S48" s="198"/>
      <c r="T48" s="198"/>
      <c r="U48" s="198"/>
    </row>
    <row r="49" spans="1:21" s="12" customFormat="1" x14ac:dyDescent="0.25">
      <c r="A49" s="211" t="s">
        <v>2013</v>
      </c>
      <c r="B49" s="64">
        <v>20.010000000000002</v>
      </c>
      <c r="C49" s="64">
        <v>11.36</v>
      </c>
      <c r="D49" s="64">
        <v>21.98</v>
      </c>
      <c r="E49" s="64">
        <v>4.53</v>
      </c>
      <c r="F49" s="64">
        <v>3.42</v>
      </c>
      <c r="G49" s="64">
        <v>19.78</v>
      </c>
      <c r="H49" s="64">
        <v>7.83</v>
      </c>
      <c r="I49" s="64">
        <v>2.4500000000000002</v>
      </c>
      <c r="J49" s="64">
        <v>0.22</v>
      </c>
      <c r="K49" s="64">
        <v>290.29000000000002</v>
      </c>
      <c r="L49" s="64">
        <v>22.17</v>
      </c>
      <c r="M49" s="64">
        <v>97.66</v>
      </c>
      <c r="N49" s="64">
        <v>133.30000000000001</v>
      </c>
      <c r="O49" s="64">
        <v>0</v>
      </c>
      <c r="P49" s="64">
        <v>0.85</v>
      </c>
      <c r="Q49" s="64">
        <v>9.5</v>
      </c>
      <c r="R49" s="198"/>
      <c r="S49" s="198"/>
      <c r="T49" s="198"/>
      <c r="U49" s="198"/>
    </row>
    <row r="50" spans="1:21" s="12" customFormat="1" x14ac:dyDescent="0.25">
      <c r="A50" s="211" t="s">
        <v>2014</v>
      </c>
      <c r="B50" s="64">
        <v>20.420000000000002</v>
      </c>
      <c r="C50" s="64">
        <v>11.34</v>
      </c>
      <c r="D50" s="64">
        <v>22.3</v>
      </c>
      <c r="E50" s="64">
        <v>4.51</v>
      </c>
      <c r="F50" s="64">
        <v>3.44</v>
      </c>
      <c r="G50" s="64">
        <v>19.78</v>
      </c>
      <c r="H50" s="64">
        <v>7.83</v>
      </c>
      <c r="I50" s="64">
        <v>2.63</v>
      </c>
      <c r="J50" s="64">
        <v>0.27</v>
      </c>
      <c r="K50" s="64">
        <v>289.58</v>
      </c>
      <c r="L50" s="64">
        <v>22.13</v>
      </c>
      <c r="M50" s="64">
        <v>97.64</v>
      </c>
      <c r="N50" s="64">
        <v>154.1</v>
      </c>
      <c r="O50" s="64">
        <v>0</v>
      </c>
      <c r="P50" s="64">
        <v>0.84</v>
      </c>
      <c r="Q50" s="64">
        <v>9.5</v>
      </c>
      <c r="R50" s="198"/>
      <c r="S50" s="198"/>
      <c r="T50" s="198"/>
      <c r="U50" s="198"/>
    </row>
    <row r="51" spans="1:21" s="12" customFormat="1" x14ac:dyDescent="0.25">
      <c r="A51" s="211" t="s">
        <v>2015</v>
      </c>
      <c r="B51" s="64">
        <v>20.62</v>
      </c>
      <c r="C51" s="64">
        <v>11.15</v>
      </c>
      <c r="D51" s="64">
        <v>22.36</v>
      </c>
      <c r="E51" s="64">
        <v>4.3</v>
      </c>
      <c r="F51" s="64">
        <v>3.91</v>
      </c>
      <c r="G51" s="64">
        <v>19.739999999999998</v>
      </c>
      <c r="H51" s="64">
        <v>9.3699999999999992</v>
      </c>
      <c r="I51" s="64">
        <v>2.76</v>
      </c>
      <c r="J51" s="64">
        <v>0.34</v>
      </c>
      <c r="K51" s="64">
        <v>291.44</v>
      </c>
      <c r="L51" s="64">
        <v>22.49</v>
      </c>
      <c r="M51" s="64">
        <v>97.63</v>
      </c>
      <c r="N51" s="64">
        <v>179</v>
      </c>
      <c r="O51" s="64">
        <v>0</v>
      </c>
      <c r="P51" s="64">
        <v>0.82</v>
      </c>
      <c r="Q51" s="64">
        <v>9.5</v>
      </c>
      <c r="R51" s="198"/>
      <c r="S51" s="198"/>
      <c r="T51" s="198"/>
      <c r="U51" s="198"/>
    </row>
    <row r="52" spans="1:21" s="12" customFormat="1" x14ac:dyDescent="0.25">
      <c r="A52" s="211" t="s">
        <v>2016</v>
      </c>
      <c r="B52" s="64">
        <v>20.76</v>
      </c>
      <c r="C52" s="64">
        <v>11.34</v>
      </c>
      <c r="D52" s="64">
        <v>22.57</v>
      </c>
      <c r="E52" s="64">
        <v>4.42</v>
      </c>
      <c r="F52" s="64">
        <v>3.36</v>
      </c>
      <c r="G52" s="64">
        <v>19.72</v>
      </c>
      <c r="H52" s="64">
        <v>9.8699999999999992</v>
      </c>
      <c r="I52" s="64">
        <v>2.74</v>
      </c>
      <c r="J52" s="64">
        <v>0.31</v>
      </c>
      <c r="K52" s="64">
        <v>285.72000000000003</v>
      </c>
      <c r="L52" s="64">
        <v>22.76</v>
      </c>
      <c r="M52" s="64">
        <v>97.62</v>
      </c>
      <c r="N52" s="64">
        <v>141.69999999999999</v>
      </c>
      <c r="O52" s="64">
        <v>0</v>
      </c>
      <c r="P52" s="64">
        <v>0.81</v>
      </c>
      <c r="Q52" s="64">
        <v>9.5</v>
      </c>
      <c r="R52" s="198"/>
      <c r="S52" s="198"/>
      <c r="T52" s="198"/>
      <c r="U52" s="198"/>
    </row>
    <row r="53" spans="1:21" s="12" customFormat="1" x14ac:dyDescent="0.25">
      <c r="A53" s="211" t="s">
        <v>2017</v>
      </c>
      <c r="B53" s="64">
        <v>21.25</v>
      </c>
      <c r="C53" s="64">
        <v>11.83</v>
      </c>
      <c r="D53" s="64">
        <v>23.22</v>
      </c>
      <c r="E53" s="64">
        <v>4.42</v>
      </c>
      <c r="F53" s="64">
        <v>3.51</v>
      </c>
      <c r="G53" s="64">
        <v>19.72</v>
      </c>
      <c r="H53" s="64">
        <v>9.8699999999999992</v>
      </c>
      <c r="I53" s="64">
        <v>2.67</v>
      </c>
      <c r="J53" s="64">
        <v>0.27</v>
      </c>
      <c r="K53" s="64">
        <v>284.77999999999997</v>
      </c>
      <c r="L53" s="64">
        <v>22.94</v>
      </c>
      <c r="M53" s="64">
        <v>97.6</v>
      </c>
      <c r="N53" s="64">
        <v>157.1</v>
      </c>
      <c r="O53" s="64">
        <v>0</v>
      </c>
      <c r="P53" s="64">
        <v>0.82</v>
      </c>
      <c r="Q53" s="64">
        <v>9.52</v>
      </c>
      <c r="R53" s="198"/>
      <c r="S53" s="198"/>
      <c r="T53" s="198"/>
      <c r="U53" s="198"/>
    </row>
    <row r="54" spans="1:21" s="12" customFormat="1" x14ac:dyDescent="0.25">
      <c r="A54" s="211" t="s">
        <v>2018</v>
      </c>
      <c r="B54" s="64">
        <v>21.15</v>
      </c>
      <c r="C54" s="64">
        <v>18.260000000000002</v>
      </c>
      <c r="D54" s="64">
        <v>26.5</v>
      </c>
      <c r="E54" s="64">
        <v>4.7300000000000004</v>
      </c>
      <c r="F54" s="64">
        <v>3.52</v>
      </c>
      <c r="G54" s="64">
        <v>19.72</v>
      </c>
      <c r="H54" s="64">
        <v>9.8699999999999992</v>
      </c>
      <c r="I54" s="64">
        <v>2.72</v>
      </c>
      <c r="J54" s="64">
        <v>0.32</v>
      </c>
      <c r="K54" s="64">
        <v>288.39999999999998</v>
      </c>
      <c r="L54" s="64">
        <v>23.25</v>
      </c>
      <c r="M54" s="64">
        <v>97.6</v>
      </c>
      <c r="N54" s="64">
        <v>167.2</v>
      </c>
      <c r="O54" s="64">
        <v>0</v>
      </c>
      <c r="P54" s="64">
        <v>0.88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11" t="s">
        <v>2019</v>
      </c>
      <c r="B55" s="64">
        <v>20.36</v>
      </c>
      <c r="C55" s="64">
        <v>17.84</v>
      </c>
      <c r="D55" s="64">
        <v>25.65</v>
      </c>
      <c r="E55" s="64">
        <v>4.72</v>
      </c>
      <c r="F55" s="64">
        <v>3.84</v>
      </c>
      <c r="G55" s="64">
        <v>16.72</v>
      </c>
      <c r="H55" s="64">
        <v>9.4700000000000006</v>
      </c>
      <c r="I55" s="64">
        <v>3.27</v>
      </c>
      <c r="J55" s="64">
        <v>0.28000000000000003</v>
      </c>
      <c r="K55" s="64">
        <v>297.72000000000003</v>
      </c>
      <c r="L55" s="64">
        <v>23.33</v>
      </c>
      <c r="M55" s="64">
        <v>97.6</v>
      </c>
      <c r="N55" s="64">
        <v>125</v>
      </c>
      <c r="O55" s="64">
        <v>0</v>
      </c>
      <c r="P55" s="64">
        <v>0.87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11" t="s">
        <v>2020</v>
      </c>
      <c r="B56" s="64">
        <v>20.5</v>
      </c>
      <c r="C56" s="64">
        <v>16.46</v>
      </c>
      <c r="D56" s="64">
        <v>25.04</v>
      </c>
      <c r="E56" s="64">
        <v>4.7</v>
      </c>
      <c r="F56" s="64">
        <v>2.91</v>
      </c>
      <c r="G56" s="64">
        <v>15.75</v>
      </c>
      <c r="H56" s="64">
        <v>9.34</v>
      </c>
      <c r="I56" s="64">
        <v>4</v>
      </c>
      <c r="J56" s="64">
        <v>0.21</v>
      </c>
      <c r="K56" s="64">
        <v>283.83</v>
      </c>
      <c r="L56" s="64">
        <v>23.34</v>
      </c>
      <c r="M56" s="64">
        <v>97.56</v>
      </c>
      <c r="N56" s="64">
        <v>131.6</v>
      </c>
      <c r="O56" s="64">
        <v>0</v>
      </c>
      <c r="P56" s="64">
        <v>0.84</v>
      </c>
      <c r="Q56" s="64">
        <v>9.5399999999999991</v>
      </c>
      <c r="R56" s="198"/>
      <c r="S56" s="198"/>
      <c r="T56" s="198"/>
      <c r="U56" s="198"/>
    </row>
    <row r="57" spans="1:21" s="12" customFormat="1" x14ac:dyDescent="0.25">
      <c r="A57" s="211" t="s">
        <v>2021</v>
      </c>
      <c r="B57" s="64">
        <v>20.309999999999999</v>
      </c>
      <c r="C57" s="64">
        <v>16.16</v>
      </c>
      <c r="D57" s="64">
        <v>24.73</v>
      </c>
      <c r="E57" s="64">
        <v>4.4800000000000004</v>
      </c>
      <c r="F57" s="64">
        <v>3.72</v>
      </c>
      <c r="G57" s="64">
        <v>15.75</v>
      </c>
      <c r="H57" s="64">
        <v>9.34</v>
      </c>
      <c r="I57" s="64">
        <v>4.24</v>
      </c>
      <c r="J57" s="64">
        <v>0.33</v>
      </c>
      <c r="K57" s="64">
        <v>282.89999999999998</v>
      </c>
      <c r="L57" s="64">
        <v>23.39</v>
      </c>
      <c r="M57" s="64">
        <v>97.54</v>
      </c>
      <c r="N57" s="64">
        <v>144</v>
      </c>
      <c r="O57" s="64">
        <v>0</v>
      </c>
      <c r="P57" s="64">
        <v>0.83</v>
      </c>
      <c r="Q57" s="64">
        <v>9.5399999999999991</v>
      </c>
      <c r="R57" s="198"/>
      <c r="S57" s="198"/>
      <c r="T57" s="198"/>
      <c r="U57" s="198"/>
    </row>
    <row r="58" spans="1:21" s="12" customFormat="1" x14ac:dyDescent="0.25">
      <c r="A58" s="211" t="s">
        <v>2022</v>
      </c>
      <c r="B58" s="64">
        <v>19.29</v>
      </c>
      <c r="C58" s="64">
        <v>16.75</v>
      </c>
      <c r="D58" s="64">
        <v>24.22</v>
      </c>
      <c r="E58" s="64">
        <v>4.5199999999999996</v>
      </c>
      <c r="F58" s="64">
        <v>3.35</v>
      </c>
      <c r="G58" s="64">
        <v>15.75</v>
      </c>
      <c r="H58" s="64">
        <v>9.34</v>
      </c>
      <c r="I58" s="64">
        <v>4.2300000000000004</v>
      </c>
      <c r="J58" s="64">
        <v>0.34</v>
      </c>
      <c r="K58" s="64">
        <v>283.29000000000002</v>
      </c>
      <c r="L58" s="64">
        <v>23.61</v>
      </c>
      <c r="M58" s="64">
        <v>97.52</v>
      </c>
      <c r="N58" s="64">
        <v>213.1</v>
      </c>
      <c r="O58" s="64">
        <v>0</v>
      </c>
      <c r="P58" s="64">
        <v>0.79</v>
      </c>
      <c r="Q58" s="64">
        <v>9.5299999999999994</v>
      </c>
      <c r="R58" s="198"/>
      <c r="S58" s="198"/>
      <c r="T58" s="198"/>
      <c r="U58" s="198"/>
    </row>
    <row r="59" spans="1:21" s="12" customFormat="1" x14ac:dyDescent="0.25">
      <c r="A59" s="211" t="s">
        <v>2023</v>
      </c>
      <c r="B59" s="64">
        <v>17.510000000000002</v>
      </c>
      <c r="C59" s="64">
        <v>18.22</v>
      </c>
      <c r="D59" s="64">
        <v>23.57</v>
      </c>
      <c r="E59" s="64">
        <v>4.2699999999999996</v>
      </c>
      <c r="F59" s="64">
        <v>3.21</v>
      </c>
      <c r="G59" s="64">
        <v>27.39</v>
      </c>
      <c r="H59" s="64">
        <v>7.34</v>
      </c>
      <c r="I59" s="64">
        <v>4.17</v>
      </c>
      <c r="J59" s="64">
        <v>0.35</v>
      </c>
      <c r="K59" s="64">
        <v>288.97000000000003</v>
      </c>
      <c r="L59" s="64">
        <v>24.01</v>
      </c>
      <c r="M59" s="64">
        <v>97.5</v>
      </c>
      <c r="N59" s="64">
        <v>255.3</v>
      </c>
      <c r="O59" s="64">
        <v>0</v>
      </c>
      <c r="P59" s="64">
        <v>0.76</v>
      </c>
      <c r="Q59" s="64">
        <v>9.49</v>
      </c>
      <c r="R59" s="198"/>
      <c r="S59" s="198"/>
      <c r="T59" s="198"/>
      <c r="U59" s="198"/>
    </row>
    <row r="60" spans="1:21" s="12" customFormat="1" x14ac:dyDescent="0.25">
      <c r="A60" s="211" t="s">
        <v>2024</v>
      </c>
      <c r="B60" s="64">
        <v>16.27</v>
      </c>
      <c r="C60" s="64">
        <v>18.22</v>
      </c>
      <c r="D60" s="64">
        <v>22.56</v>
      </c>
      <c r="E60" s="64">
        <v>4.1900000000000004</v>
      </c>
      <c r="F60" s="64">
        <v>3.06</v>
      </c>
      <c r="G60" s="64">
        <v>31.16</v>
      </c>
      <c r="H60" s="64">
        <v>6.69</v>
      </c>
      <c r="I60" s="64">
        <v>4.08</v>
      </c>
      <c r="J60" s="64">
        <v>0.33</v>
      </c>
      <c r="K60" s="64">
        <v>283.91000000000003</v>
      </c>
      <c r="L60" s="64">
        <v>23.9</v>
      </c>
      <c r="M60" s="64">
        <v>97.51</v>
      </c>
      <c r="N60" s="64">
        <v>162.19999999999999</v>
      </c>
      <c r="O60" s="64">
        <v>0</v>
      </c>
      <c r="P60" s="64">
        <v>0.71</v>
      </c>
      <c r="Q60" s="64">
        <v>9.4600000000000009</v>
      </c>
      <c r="R60" s="198"/>
      <c r="S60" s="198"/>
      <c r="T60" s="198"/>
      <c r="U60" s="198"/>
    </row>
    <row r="61" spans="1:21" s="12" customFormat="1" x14ac:dyDescent="0.25">
      <c r="A61" s="211" t="s">
        <v>2025</v>
      </c>
      <c r="B61" s="64">
        <v>15.82</v>
      </c>
      <c r="C61" s="64">
        <v>16.95</v>
      </c>
      <c r="D61" s="64">
        <v>21.54</v>
      </c>
      <c r="E61" s="64">
        <v>4.4400000000000004</v>
      </c>
      <c r="F61" s="64">
        <v>3.1</v>
      </c>
      <c r="G61" s="64">
        <v>31.16</v>
      </c>
      <c r="H61" s="64">
        <v>6.69</v>
      </c>
      <c r="I61" s="64">
        <v>4.03</v>
      </c>
      <c r="J61" s="64">
        <v>0.3</v>
      </c>
      <c r="K61" s="64">
        <v>283.14999999999998</v>
      </c>
      <c r="L61" s="64">
        <v>23.76</v>
      </c>
      <c r="M61" s="64">
        <v>97.52</v>
      </c>
      <c r="N61" s="64">
        <v>177.2</v>
      </c>
      <c r="O61" s="64">
        <v>0</v>
      </c>
      <c r="P61" s="64">
        <v>0.59</v>
      </c>
      <c r="Q61" s="64">
        <v>9.44</v>
      </c>
      <c r="R61" s="198"/>
      <c r="S61" s="198"/>
      <c r="T61" s="198"/>
      <c r="U61" s="198"/>
    </row>
    <row r="62" spans="1:21" s="12" customFormat="1" x14ac:dyDescent="0.25">
      <c r="A62" s="211" t="s">
        <v>2026</v>
      </c>
      <c r="B62" s="64">
        <v>15.93</v>
      </c>
      <c r="C62" s="64">
        <v>15.77</v>
      </c>
      <c r="D62" s="64">
        <v>21.01</v>
      </c>
      <c r="E62" s="64">
        <v>3.73</v>
      </c>
      <c r="F62" s="64">
        <v>3.24</v>
      </c>
      <c r="G62" s="64">
        <v>31.16</v>
      </c>
      <c r="H62" s="64">
        <v>6.69</v>
      </c>
      <c r="I62" s="64">
        <v>3.92</v>
      </c>
      <c r="J62" s="64">
        <v>0.39</v>
      </c>
      <c r="K62" s="64">
        <v>283.08</v>
      </c>
      <c r="L62" s="64">
        <v>23.82</v>
      </c>
      <c r="M62" s="64">
        <v>97.52</v>
      </c>
      <c r="N62" s="64">
        <v>237.5</v>
      </c>
      <c r="O62" s="64">
        <v>0</v>
      </c>
      <c r="P62" s="64">
        <v>0.59</v>
      </c>
      <c r="Q62" s="64">
        <v>9.42</v>
      </c>
      <c r="R62" s="198"/>
      <c r="S62" s="198"/>
      <c r="T62" s="198"/>
      <c r="U62" s="198"/>
    </row>
    <row r="63" spans="1:21" s="12" customFormat="1" x14ac:dyDescent="0.25">
      <c r="A63" s="211" t="s">
        <v>2027</v>
      </c>
      <c r="B63" s="64">
        <v>15.61</v>
      </c>
      <c r="C63" s="64">
        <v>15.5</v>
      </c>
      <c r="D63" s="64">
        <v>20.62</v>
      </c>
      <c r="E63" s="64">
        <v>4.34</v>
      </c>
      <c r="F63" s="64">
        <v>4.0999999999999996</v>
      </c>
      <c r="G63" s="64">
        <v>53.72</v>
      </c>
      <c r="H63" s="64">
        <v>7.91</v>
      </c>
      <c r="I63" s="64">
        <v>3.76</v>
      </c>
      <c r="J63" s="64">
        <v>0.31</v>
      </c>
      <c r="K63" s="64">
        <v>288.95</v>
      </c>
      <c r="L63" s="64">
        <v>24.07</v>
      </c>
      <c r="M63" s="64">
        <v>97.5</v>
      </c>
      <c r="N63" s="64">
        <v>251.5</v>
      </c>
      <c r="O63" s="64">
        <v>0</v>
      </c>
      <c r="P63" s="64">
        <v>0.53</v>
      </c>
      <c r="Q63" s="64">
        <v>9.42</v>
      </c>
      <c r="R63" s="198"/>
      <c r="S63" s="198"/>
      <c r="T63" s="198"/>
      <c r="U63" s="198"/>
    </row>
    <row r="64" spans="1:21" s="12" customFormat="1" x14ac:dyDescent="0.25">
      <c r="A64" s="211" t="s">
        <v>2028</v>
      </c>
      <c r="B64" s="64">
        <v>15.16</v>
      </c>
      <c r="C64" s="64">
        <v>16.91</v>
      </c>
      <c r="D64" s="64">
        <v>20.99</v>
      </c>
      <c r="E64" s="64">
        <v>4.0999999999999996</v>
      </c>
      <c r="F64" s="64">
        <v>3.61</v>
      </c>
      <c r="G64" s="64">
        <v>61.03</v>
      </c>
      <c r="H64" s="64">
        <v>8.3000000000000007</v>
      </c>
      <c r="I64" s="64">
        <v>3.54</v>
      </c>
      <c r="J64" s="64">
        <v>0.41</v>
      </c>
      <c r="K64" s="64">
        <v>282.91000000000003</v>
      </c>
      <c r="L64" s="64">
        <v>24.39</v>
      </c>
      <c r="M64" s="64">
        <v>97.48</v>
      </c>
      <c r="N64" s="64">
        <v>258.2</v>
      </c>
      <c r="O64" s="64">
        <v>0</v>
      </c>
      <c r="P64" s="64">
        <v>0.48</v>
      </c>
      <c r="Q64" s="64">
        <v>9.42</v>
      </c>
      <c r="R64" s="198"/>
      <c r="S64" s="198"/>
      <c r="T64" s="198"/>
      <c r="U64" s="198"/>
    </row>
    <row r="65" spans="1:21" s="12" customFormat="1" x14ac:dyDescent="0.25">
      <c r="A65" s="211" t="s">
        <v>2029</v>
      </c>
      <c r="B65" s="64">
        <v>14.12</v>
      </c>
      <c r="C65" s="64">
        <v>18.899999999999999</v>
      </c>
      <c r="D65" s="64">
        <v>21.2</v>
      </c>
      <c r="E65" s="64">
        <v>4.4800000000000004</v>
      </c>
      <c r="F65" s="64">
        <v>3.58</v>
      </c>
      <c r="G65" s="64">
        <v>61.03</v>
      </c>
      <c r="H65" s="64">
        <v>8.3000000000000007</v>
      </c>
      <c r="I65" s="64">
        <v>3.21</v>
      </c>
      <c r="J65" s="64">
        <v>0.37</v>
      </c>
      <c r="K65" s="64">
        <v>282.02999999999997</v>
      </c>
      <c r="L65" s="64">
        <v>24.46</v>
      </c>
      <c r="M65" s="64">
        <v>97.49</v>
      </c>
      <c r="N65" s="64">
        <v>213.8</v>
      </c>
      <c r="O65" s="64">
        <v>0</v>
      </c>
      <c r="P65" s="64">
        <v>0.44</v>
      </c>
      <c r="Q65" s="64">
        <v>9.41</v>
      </c>
      <c r="R65" s="198"/>
      <c r="S65" s="198"/>
      <c r="T65" s="198"/>
      <c r="U65" s="198"/>
    </row>
    <row r="66" spans="1:21" s="12" customFormat="1" x14ac:dyDescent="0.25">
      <c r="A66" s="211" t="s">
        <v>2030</v>
      </c>
      <c r="B66" s="64">
        <v>12.94</v>
      </c>
      <c r="C66" s="64">
        <v>19.29</v>
      </c>
      <c r="D66" s="64">
        <v>20.45</v>
      </c>
      <c r="E66" s="64">
        <v>4.4000000000000004</v>
      </c>
      <c r="F66" s="64">
        <v>4.13</v>
      </c>
      <c r="G66" s="64">
        <v>61.03</v>
      </c>
      <c r="H66" s="64">
        <v>8.3000000000000007</v>
      </c>
      <c r="I66" s="64">
        <v>2.92</v>
      </c>
      <c r="J66" s="64">
        <v>0.41</v>
      </c>
      <c r="K66" s="64">
        <v>282.25</v>
      </c>
      <c r="L66" s="64">
        <v>24.73</v>
      </c>
      <c r="M66" s="64">
        <v>97.35</v>
      </c>
      <c r="N66" s="64">
        <v>178.6</v>
      </c>
      <c r="O66" s="64">
        <v>0</v>
      </c>
      <c r="P66" s="64">
        <v>0.46</v>
      </c>
      <c r="Q66" s="64">
        <v>9.3800000000000008</v>
      </c>
      <c r="R66" s="198"/>
      <c r="S66" s="198"/>
      <c r="T66" s="198"/>
      <c r="U66" s="198"/>
    </row>
    <row r="67" spans="1:21" s="12" customFormat="1" x14ac:dyDescent="0.25">
      <c r="A67" s="211" t="s">
        <v>2031</v>
      </c>
      <c r="B67" s="64">
        <v>12.98</v>
      </c>
      <c r="C67" s="64">
        <v>18.149999999999999</v>
      </c>
      <c r="D67" s="64">
        <v>19.89</v>
      </c>
      <c r="E67" s="64">
        <v>4.5199999999999996</v>
      </c>
      <c r="F67" s="64">
        <v>3.33</v>
      </c>
      <c r="G67" s="64">
        <v>55.9</v>
      </c>
      <c r="H67" s="64">
        <v>8.52</v>
      </c>
      <c r="I67" s="64">
        <v>2.83</v>
      </c>
      <c r="J67" s="64">
        <v>0.27</v>
      </c>
      <c r="K67" s="64">
        <v>286.26</v>
      </c>
      <c r="L67" s="64">
        <v>24.38</v>
      </c>
      <c r="M67" s="64">
        <v>97.5</v>
      </c>
      <c r="N67" s="64">
        <v>111.9</v>
      </c>
      <c r="O67" s="64">
        <v>0</v>
      </c>
      <c r="P67" s="64">
        <v>0.47</v>
      </c>
      <c r="Q67" s="64">
        <v>9.3699999999999992</v>
      </c>
      <c r="R67" s="198"/>
      <c r="S67" s="198"/>
      <c r="T67" s="198"/>
      <c r="U67" s="198"/>
    </row>
    <row r="68" spans="1:21" s="12" customFormat="1" x14ac:dyDescent="0.25">
      <c r="A68" s="211" t="s">
        <v>2032</v>
      </c>
      <c r="B68" s="64">
        <v>13.5</v>
      </c>
      <c r="C68" s="64">
        <v>17.489999999999998</v>
      </c>
      <c r="D68" s="64">
        <v>19.96</v>
      </c>
      <c r="E68" s="64">
        <v>4.4400000000000004</v>
      </c>
      <c r="F68" s="64">
        <v>3.35</v>
      </c>
      <c r="G68" s="64">
        <v>54.25</v>
      </c>
      <c r="H68" s="64">
        <v>8.59</v>
      </c>
      <c r="I68" s="64">
        <v>2.86</v>
      </c>
      <c r="J68" s="64">
        <v>0.18</v>
      </c>
      <c r="K68" s="64">
        <v>286.02</v>
      </c>
      <c r="L68" s="64">
        <v>24.33</v>
      </c>
      <c r="M68" s="64">
        <v>97.5</v>
      </c>
      <c r="N68" s="64">
        <v>185</v>
      </c>
      <c r="O68" s="64">
        <v>0</v>
      </c>
      <c r="P68" s="64">
        <v>0.48</v>
      </c>
      <c r="Q68" s="64">
        <v>9.3800000000000008</v>
      </c>
      <c r="R68" s="198"/>
      <c r="S68" s="198"/>
      <c r="T68" s="198"/>
      <c r="U68" s="198"/>
    </row>
    <row r="69" spans="1:21" s="12" customFormat="1" x14ac:dyDescent="0.25">
      <c r="A69" s="211" t="s">
        <v>2033</v>
      </c>
      <c r="B69" s="64">
        <v>13.65</v>
      </c>
      <c r="C69" s="64">
        <v>16.510000000000002</v>
      </c>
      <c r="D69" s="64">
        <v>19.579999999999998</v>
      </c>
      <c r="E69" s="64">
        <v>4.3899999999999997</v>
      </c>
      <c r="F69" s="64">
        <v>3.82</v>
      </c>
      <c r="G69" s="64">
        <v>54.25</v>
      </c>
      <c r="H69" s="64">
        <v>8.59</v>
      </c>
      <c r="I69" s="64">
        <v>2.93</v>
      </c>
      <c r="J69" s="64">
        <v>0.35</v>
      </c>
      <c r="K69" s="64">
        <v>293.02</v>
      </c>
      <c r="L69" s="64">
        <v>24.83</v>
      </c>
      <c r="M69" s="64">
        <v>97.01</v>
      </c>
      <c r="N69" s="64">
        <v>279.2</v>
      </c>
      <c r="O69" s="64">
        <v>0</v>
      </c>
      <c r="P69" s="64">
        <v>0.49</v>
      </c>
      <c r="Q69" s="64">
        <v>9.3699999999999992</v>
      </c>
      <c r="R69" s="198"/>
      <c r="S69" s="198"/>
      <c r="T69" s="198"/>
      <c r="U69" s="198"/>
    </row>
    <row r="70" spans="1:21" s="12" customFormat="1" x14ac:dyDescent="0.25">
      <c r="A70" s="211" t="s">
        <v>2034</v>
      </c>
      <c r="B70" s="64">
        <v>13.81</v>
      </c>
      <c r="C70" s="64">
        <v>16.54</v>
      </c>
      <c r="D70" s="64">
        <v>19.71</v>
      </c>
      <c r="E70" s="64">
        <v>4.43</v>
      </c>
      <c r="F70" s="64">
        <v>2.86</v>
      </c>
      <c r="G70" s="64">
        <v>54.25</v>
      </c>
      <c r="H70" s="64">
        <v>8.59</v>
      </c>
      <c r="I70" s="64">
        <v>2.94</v>
      </c>
      <c r="J70" s="64">
        <v>0.4</v>
      </c>
      <c r="K70" s="64">
        <v>291.17</v>
      </c>
      <c r="L70" s="64">
        <v>25.41</v>
      </c>
      <c r="M70" s="64">
        <v>94.78</v>
      </c>
      <c r="N70" s="64">
        <v>238</v>
      </c>
      <c r="O70" s="64">
        <v>0</v>
      </c>
      <c r="P70" s="64">
        <v>0.49</v>
      </c>
      <c r="Q70" s="64">
        <v>9.36</v>
      </c>
      <c r="R70" s="198"/>
      <c r="S70" s="198"/>
      <c r="T70" s="198"/>
      <c r="U70" s="198"/>
    </row>
    <row r="71" spans="1:21" s="12" customFormat="1" x14ac:dyDescent="0.25">
      <c r="A71" s="211" t="s">
        <v>2035</v>
      </c>
      <c r="B71" s="64">
        <v>13.5</v>
      </c>
      <c r="C71" s="64">
        <v>18.21</v>
      </c>
      <c r="D71" s="64">
        <v>20.34</v>
      </c>
      <c r="E71" s="64">
        <v>4.47</v>
      </c>
      <c r="F71" s="64">
        <v>4.16</v>
      </c>
      <c r="G71" s="64">
        <v>55.31</v>
      </c>
      <c r="H71" s="64">
        <v>9.5500000000000007</v>
      </c>
      <c r="I71" s="64">
        <v>2.97</v>
      </c>
      <c r="J71" s="64">
        <v>0.35</v>
      </c>
      <c r="K71" s="64">
        <v>291.07</v>
      </c>
      <c r="L71" s="64">
        <v>24.95</v>
      </c>
      <c r="M71" s="64">
        <v>97</v>
      </c>
      <c r="N71" s="64">
        <v>155.80000000000001</v>
      </c>
      <c r="O71" s="64">
        <v>0</v>
      </c>
      <c r="P71" s="64">
        <v>0.49</v>
      </c>
      <c r="Q71" s="64">
        <v>9.35</v>
      </c>
      <c r="R71" s="198"/>
      <c r="S71" s="198"/>
      <c r="T71" s="198"/>
      <c r="U71" s="198"/>
    </row>
    <row r="72" spans="1:21" s="12" customFormat="1" x14ac:dyDescent="0.25">
      <c r="A72" s="211" t="s">
        <v>2036</v>
      </c>
      <c r="B72" s="64">
        <v>12.82</v>
      </c>
      <c r="C72" s="64">
        <v>17.37</v>
      </c>
      <c r="D72" s="64">
        <v>19.350000000000001</v>
      </c>
      <c r="E72" s="64">
        <v>4</v>
      </c>
      <c r="F72" s="64">
        <v>2.48</v>
      </c>
      <c r="G72" s="64">
        <v>55.66</v>
      </c>
      <c r="H72" s="64">
        <v>9.86</v>
      </c>
      <c r="I72" s="64">
        <v>2.94</v>
      </c>
      <c r="J72" s="64">
        <v>0.36</v>
      </c>
      <c r="K72" s="64">
        <v>287.10000000000002</v>
      </c>
      <c r="L72" s="64">
        <v>24.58</v>
      </c>
      <c r="M72" s="64">
        <v>97.5</v>
      </c>
      <c r="N72" s="64">
        <v>98.3</v>
      </c>
      <c r="O72" s="64">
        <v>0</v>
      </c>
      <c r="P72" s="64">
        <v>0.44</v>
      </c>
      <c r="Q72" s="64">
        <v>9.33</v>
      </c>
      <c r="R72" s="198"/>
      <c r="S72" s="198"/>
      <c r="T72" s="198"/>
      <c r="U72" s="198"/>
    </row>
    <row r="73" spans="1:21" s="12" customFormat="1" x14ac:dyDescent="0.25">
      <c r="A73" s="211" t="s">
        <v>2037</v>
      </c>
      <c r="B73" s="64">
        <v>12.11</v>
      </c>
      <c r="C73" s="64">
        <v>17.420000000000002</v>
      </c>
      <c r="D73" s="64">
        <v>18.809999999999999</v>
      </c>
      <c r="E73" s="64">
        <v>4.1399999999999997</v>
      </c>
      <c r="F73" s="64">
        <v>3.45</v>
      </c>
      <c r="G73" s="64">
        <v>55.66</v>
      </c>
      <c r="H73" s="64">
        <v>9.86</v>
      </c>
      <c r="I73" s="64">
        <v>2.78</v>
      </c>
      <c r="J73" s="64">
        <v>0.28000000000000003</v>
      </c>
      <c r="K73" s="64">
        <v>296.55</v>
      </c>
      <c r="L73" s="64">
        <v>24.37</v>
      </c>
      <c r="M73" s="64">
        <v>97.5</v>
      </c>
      <c r="N73" s="64">
        <v>122.9</v>
      </c>
      <c r="O73" s="64">
        <v>0</v>
      </c>
      <c r="P73" s="64">
        <v>0.42</v>
      </c>
      <c r="Q73" s="64">
        <v>9.3000000000000007</v>
      </c>
      <c r="R73" s="198"/>
      <c r="S73" s="198"/>
      <c r="T73" s="198"/>
      <c r="U73" s="198"/>
    </row>
    <row r="74" spans="1:21" s="12" customFormat="1" x14ac:dyDescent="0.25">
      <c r="A74" s="211" t="s">
        <v>2038</v>
      </c>
      <c r="B74" s="64">
        <v>11.84</v>
      </c>
      <c r="C74" s="64">
        <v>17.11</v>
      </c>
      <c r="D74" s="64">
        <v>18.43</v>
      </c>
      <c r="E74" s="64">
        <v>4.01</v>
      </c>
      <c r="F74" s="64">
        <v>3.26</v>
      </c>
      <c r="G74" s="64">
        <v>55.66</v>
      </c>
      <c r="H74" s="64">
        <v>9.86</v>
      </c>
      <c r="I74" s="64">
        <v>2.59</v>
      </c>
      <c r="J74" s="64">
        <v>0.32</v>
      </c>
      <c r="K74" s="64">
        <v>287.43</v>
      </c>
      <c r="L74" s="64">
        <v>24.34</v>
      </c>
      <c r="M74" s="64">
        <v>97.5</v>
      </c>
      <c r="N74" s="64">
        <v>99.6</v>
      </c>
      <c r="O74" s="64">
        <v>0</v>
      </c>
      <c r="P74" s="64">
        <v>0.41</v>
      </c>
      <c r="Q74" s="64">
        <v>9.2799999999999994</v>
      </c>
      <c r="R74" s="198"/>
      <c r="S74" s="198"/>
      <c r="T74" s="198"/>
      <c r="U74" s="198"/>
    </row>
    <row r="75" spans="1:21" s="12" customFormat="1" x14ac:dyDescent="0.25">
      <c r="A75" s="211" t="s">
        <v>2039</v>
      </c>
      <c r="B75" s="64">
        <v>12.25</v>
      </c>
      <c r="C75" s="64">
        <v>17.149999999999999</v>
      </c>
      <c r="D75" s="64">
        <v>18.79</v>
      </c>
      <c r="E75" s="64">
        <v>3.88</v>
      </c>
      <c r="F75" s="64">
        <v>3.33</v>
      </c>
      <c r="G75" s="64">
        <v>51.65</v>
      </c>
      <c r="H75" s="64">
        <v>8.33</v>
      </c>
      <c r="I75" s="64">
        <v>2.4300000000000002</v>
      </c>
      <c r="J75" s="64">
        <v>0.21</v>
      </c>
      <c r="K75" s="64">
        <v>288.91000000000003</v>
      </c>
      <c r="L75" s="64">
        <v>24.14</v>
      </c>
      <c r="M75" s="64">
        <v>97.5</v>
      </c>
      <c r="N75" s="64">
        <v>85.2</v>
      </c>
      <c r="O75" s="64">
        <v>0</v>
      </c>
      <c r="P75" s="64">
        <v>0.39</v>
      </c>
      <c r="Q75" s="64">
        <v>9.2799999999999994</v>
      </c>
      <c r="R75" s="198"/>
      <c r="S75" s="198"/>
      <c r="T75" s="198"/>
      <c r="U75" s="198"/>
    </row>
    <row r="76" spans="1:21" s="12" customFormat="1" x14ac:dyDescent="0.25">
      <c r="A76" s="211" t="s">
        <v>2040</v>
      </c>
      <c r="B76" s="64">
        <v>12.07</v>
      </c>
      <c r="C76" s="64">
        <v>16.100000000000001</v>
      </c>
      <c r="D76" s="64">
        <v>18.100000000000001</v>
      </c>
      <c r="E76" s="64">
        <v>4.04</v>
      </c>
      <c r="F76" s="64">
        <v>3.27</v>
      </c>
      <c r="G76" s="64">
        <v>50.35</v>
      </c>
      <c r="H76" s="64">
        <v>7.84</v>
      </c>
      <c r="I76" s="64">
        <v>2.31</v>
      </c>
      <c r="J76" s="64">
        <v>0.28000000000000003</v>
      </c>
      <c r="K76" s="64">
        <v>293.56</v>
      </c>
      <c r="L76" s="64">
        <v>24.06</v>
      </c>
      <c r="M76" s="64">
        <v>97.5</v>
      </c>
      <c r="N76" s="64">
        <v>77.599999999999994</v>
      </c>
      <c r="O76" s="64">
        <v>0</v>
      </c>
      <c r="P76" s="64">
        <v>0.37</v>
      </c>
      <c r="Q76" s="64">
        <v>9.2799999999999994</v>
      </c>
      <c r="R76" s="198"/>
      <c r="S76" s="198"/>
      <c r="T76" s="198"/>
      <c r="U76" s="198"/>
    </row>
    <row r="77" spans="1:21" s="12" customFormat="1" x14ac:dyDescent="0.25">
      <c r="A77" s="211" t="s">
        <v>2041</v>
      </c>
      <c r="B77" s="64">
        <v>12.67</v>
      </c>
      <c r="C77" s="64">
        <v>16.38</v>
      </c>
      <c r="D77" s="64">
        <v>18.72</v>
      </c>
      <c r="E77" s="64">
        <v>4.0999999999999996</v>
      </c>
      <c r="F77" s="64">
        <v>3.51</v>
      </c>
      <c r="G77" s="64">
        <v>50.35</v>
      </c>
      <c r="H77" s="64">
        <v>7.84</v>
      </c>
      <c r="I77" s="64">
        <v>2.2000000000000002</v>
      </c>
      <c r="J77" s="64">
        <v>0.27</v>
      </c>
      <c r="K77" s="64">
        <v>303.97000000000003</v>
      </c>
      <c r="L77" s="64">
        <v>24.07</v>
      </c>
      <c r="M77" s="64">
        <v>97.5</v>
      </c>
      <c r="N77" s="64">
        <v>79.5</v>
      </c>
      <c r="O77" s="64">
        <v>0</v>
      </c>
      <c r="P77" s="64">
        <v>0.33</v>
      </c>
      <c r="Q77" s="64">
        <v>9.31</v>
      </c>
      <c r="R77" s="198"/>
      <c r="S77" s="198"/>
      <c r="T77" s="198"/>
      <c r="U77" s="198"/>
    </row>
    <row r="78" spans="1:21" s="12" customFormat="1" x14ac:dyDescent="0.25">
      <c r="A78" s="211" t="s">
        <v>2042</v>
      </c>
      <c r="B78" s="64">
        <v>12.34</v>
      </c>
      <c r="C78" s="64">
        <v>16.72</v>
      </c>
      <c r="D78" s="64">
        <v>18.63</v>
      </c>
      <c r="E78" s="64">
        <v>3.86</v>
      </c>
      <c r="F78" s="64">
        <v>3.18</v>
      </c>
      <c r="G78" s="64">
        <v>50.35</v>
      </c>
      <c r="H78" s="64">
        <v>7.84</v>
      </c>
      <c r="I78" s="64">
        <v>1.99</v>
      </c>
      <c r="J78" s="64">
        <v>0.25</v>
      </c>
      <c r="K78" s="64">
        <v>303.93</v>
      </c>
      <c r="L78" s="64">
        <v>24.05</v>
      </c>
      <c r="M78" s="64">
        <v>97.5</v>
      </c>
      <c r="N78" s="64">
        <v>97.6</v>
      </c>
      <c r="O78" s="64">
        <v>0</v>
      </c>
      <c r="P78" s="64">
        <v>0.32</v>
      </c>
      <c r="Q78" s="64">
        <v>9.32</v>
      </c>
      <c r="R78" s="198"/>
      <c r="S78" s="198"/>
      <c r="T78" s="198"/>
      <c r="U78" s="198"/>
    </row>
    <row r="79" spans="1:21" s="12" customFormat="1" x14ac:dyDescent="0.25">
      <c r="A79" s="211" t="s">
        <v>2043</v>
      </c>
      <c r="B79" s="64">
        <v>11.57</v>
      </c>
      <c r="C79" s="64">
        <v>17.05</v>
      </c>
      <c r="D79" s="64">
        <v>18.190000000000001</v>
      </c>
      <c r="E79" s="64">
        <v>3.95</v>
      </c>
      <c r="F79" s="64">
        <v>3.42</v>
      </c>
      <c r="G79" s="64">
        <v>45.9</v>
      </c>
      <c r="H79" s="64">
        <v>6.06</v>
      </c>
      <c r="I79" s="64">
        <v>1.81</v>
      </c>
      <c r="J79" s="64">
        <v>0.19</v>
      </c>
      <c r="K79" s="64">
        <v>316.89</v>
      </c>
      <c r="L79" s="64">
        <v>24</v>
      </c>
      <c r="M79" s="64">
        <v>97.5</v>
      </c>
      <c r="N79" s="64">
        <v>79.8</v>
      </c>
      <c r="O79" s="64">
        <v>0</v>
      </c>
      <c r="P79" s="64">
        <v>0.31</v>
      </c>
      <c r="Q79" s="64">
        <v>9.31</v>
      </c>
      <c r="R79" s="198"/>
      <c r="S79" s="198"/>
      <c r="T79" s="198"/>
      <c r="U79" s="198"/>
    </row>
    <row r="80" spans="1:21" s="12" customFormat="1" x14ac:dyDescent="0.25">
      <c r="A80" s="211" t="s">
        <v>2044</v>
      </c>
      <c r="B80" s="64">
        <v>10.34</v>
      </c>
      <c r="C80" s="64">
        <v>16.809999999999999</v>
      </c>
      <c r="D80" s="64">
        <v>17.07</v>
      </c>
      <c r="E80" s="64">
        <v>3.73</v>
      </c>
      <c r="F80" s="64">
        <v>3.39</v>
      </c>
      <c r="G80" s="64">
        <v>44.45</v>
      </c>
      <c r="H80" s="64">
        <v>5.49</v>
      </c>
      <c r="I80" s="64">
        <v>1.71</v>
      </c>
      <c r="J80" s="64">
        <v>0.22</v>
      </c>
      <c r="K80" s="64">
        <v>321.19</v>
      </c>
      <c r="L80" s="64">
        <v>23.68</v>
      </c>
      <c r="M80" s="64">
        <v>97.51</v>
      </c>
      <c r="N80" s="64">
        <v>72.599999999999994</v>
      </c>
      <c r="O80" s="64">
        <v>0</v>
      </c>
      <c r="P80" s="64">
        <v>0.28000000000000003</v>
      </c>
      <c r="Q80" s="64">
        <v>9.2899999999999991</v>
      </c>
      <c r="R80" s="198"/>
      <c r="S80" s="198"/>
      <c r="T80" s="198"/>
      <c r="U80" s="198"/>
    </row>
    <row r="81" spans="1:26" s="12" customFormat="1" x14ac:dyDescent="0.25">
      <c r="A81" s="211" t="s">
        <v>2045</v>
      </c>
      <c r="B81" s="64">
        <v>9.25</v>
      </c>
      <c r="C81" s="64">
        <v>16.64</v>
      </c>
      <c r="D81" s="64">
        <v>16.11</v>
      </c>
      <c r="E81" s="64">
        <v>3.87</v>
      </c>
      <c r="F81" s="64">
        <v>4.0999999999999996</v>
      </c>
      <c r="G81" s="64">
        <v>44.45</v>
      </c>
      <c r="H81" s="64">
        <v>5.49</v>
      </c>
      <c r="I81" s="64">
        <v>1.62</v>
      </c>
      <c r="J81" s="64">
        <v>0.18</v>
      </c>
      <c r="K81" s="64">
        <v>329.76</v>
      </c>
      <c r="L81" s="64">
        <v>23.69</v>
      </c>
      <c r="M81" s="64">
        <v>97.52</v>
      </c>
      <c r="N81" s="64">
        <v>70.099999999999994</v>
      </c>
      <c r="O81" s="64">
        <v>0</v>
      </c>
      <c r="P81" s="64">
        <v>0.26</v>
      </c>
      <c r="Q81" s="64">
        <v>9.26</v>
      </c>
      <c r="R81" s="198"/>
      <c r="S81" s="198"/>
      <c r="T81" s="198"/>
      <c r="U81" s="198"/>
    </row>
    <row r="82" spans="1:26" s="12" customFormat="1" x14ac:dyDescent="0.25">
      <c r="A82" s="211" t="s">
        <v>2046</v>
      </c>
      <c r="B82" s="64">
        <v>9.91</v>
      </c>
      <c r="C82" s="64">
        <v>18.13</v>
      </c>
      <c r="D82" s="64">
        <v>17.420000000000002</v>
      </c>
      <c r="E82" s="64">
        <v>4.0599999999999996</v>
      </c>
      <c r="F82" s="64">
        <v>3.46</v>
      </c>
      <c r="G82" s="64">
        <v>44.45</v>
      </c>
      <c r="H82" s="64">
        <v>5.49</v>
      </c>
      <c r="I82" s="64">
        <v>1.53</v>
      </c>
      <c r="J82" s="64">
        <v>0.22</v>
      </c>
      <c r="K82" s="64">
        <v>319.29000000000002</v>
      </c>
      <c r="L82" s="64">
        <v>23.67</v>
      </c>
      <c r="M82" s="64">
        <v>97.52</v>
      </c>
      <c r="N82" s="64">
        <v>63.9</v>
      </c>
      <c r="O82" s="64">
        <v>0</v>
      </c>
      <c r="P82" s="64">
        <v>0.27</v>
      </c>
      <c r="Q82" s="64">
        <v>9.24</v>
      </c>
      <c r="R82" s="198"/>
      <c r="S82" s="198"/>
      <c r="T82" s="198"/>
      <c r="U82" s="198"/>
    </row>
    <row r="83" spans="1:26" s="12" customFormat="1" x14ac:dyDescent="0.25">
      <c r="A83" s="211" t="s">
        <v>2047</v>
      </c>
      <c r="B83" s="64">
        <v>9.09</v>
      </c>
      <c r="C83" s="64">
        <v>16.53</v>
      </c>
      <c r="D83" s="64">
        <v>15.93</v>
      </c>
      <c r="E83" s="64">
        <v>3.96</v>
      </c>
      <c r="F83" s="64">
        <v>3.37</v>
      </c>
      <c r="G83" s="64">
        <v>43.78</v>
      </c>
      <c r="H83" s="64">
        <v>5.66</v>
      </c>
      <c r="I83" s="64">
        <v>1.46</v>
      </c>
      <c r="J83" s="64">
        <v>0.19</v>
      </c>
      <c r="K83" s="64">
        <v>314.61</v>
      </c>
      <c r="L83" s="64">
        <v>23.56</v>
      </c>
      <c r="M83" s="64">
        <v>97.52</v>
      </c>
      <c r="N83" s="64">
        <v>60.7</v>
      </c>
      <c r="O83" s="64">
        <v>0</v>
      </c>
      <c r="P83" s="64">
        <v>0.26</v>
      </c>
      <c r="Q83" s="64">
        <v>9.23</v>
      </c>
      <c r="R83" s="198"/>
      <c r="S83" s="198"/>
      <c r="T83" s="198"/>
      <c r="U83" s="198"/>
    </row>
    <row r="84" spans="1:26" s="12" customFormat="1" x14ac:dyDescent="0.25">
      <c r="A84" s="211" t="s">
        <v>2048</v>
      </c>
      <c r="B84" s="64">
        <v>8.76</v>
      </c>
      <c r="C84" s="64">
        <v>16.22</v>
      </c>
      <c r="D84" s="64">
        <v>15.5</v>
      </c>
      <c r="E84" s="64">
        <v>4.29</v>
      </c>
      <c r="F84" s="64">
        <v>3.98</v>
      </c>
      <c r="G84" s="64">
        <v>43.58</v>
      </c>
      <c r="H84" s="64">
        <v>5.72</v>
      </c>
      <c r="I84" s="64">
        <v>1.43</v>
      </c>
      <c r="J84" s="64">
        <v>0.2</v>
      </c>
      <c r="K84" s="64">
        <v>324.52999999999997</v>
      </c>
      <c r="L84" s="64">
        <v>23.46</v>
      </c>
      <c r="M84" s="64">
        <v>97.54</v>
      </c>
      <c r="N84" s="64">
        <v>59.2</v>
      </c>
      <c r="O84" s="64">
        <v>0</v>
      </c>
      <c r="P84" s="64">
        <v>0.27</v>
      </c>
      <c r="Q84" s="64">
        <v>9.2100000000000009</v>
      </c>
      <c r="R84" s="198"/>
      <c r="S84" s="198"/>
      <c r="T84" s="198"/>
      <c r="U84" s="198"/>
    </row>
    <row r="85" spans="1:26" s="12" customFormat="1" x14ac:dyDescent="0.25">
      <c r="A85" s="211" t="s">
        <v>2049</v>
      </c>
      <c r="B85" s="64">
        <v>8.81</v>
      </c>
      <c r="C85" s="64">
        <v>16.2</v>
      </c>
      <c r="D85" s="64">
        <v>15.53</v>
      </c>
      <c r="E85" s="64">
        <v>4.13</v>
      </c>
      <c r="F85" s="64">
        <v>2.89</v>
      </c>
      <c r="G85" s="64">
        <v>43.58</v>
      </c>
      <c r="H85" s="64">
        <v>5.72</v>
      </c>
      <c r="I85" s="64">
        <v>1.39</v>
      </c>
      <c r="J85" s="64">
        <v>0.18</v>
      </c>
      <c r="K85" s="64">
        <v>317.14</v>
      </c>
      <c r="L85" s="64">
        <v>23.38</v>
      </c>
      <c r="M85" s="64">
        <v>97.55</v>
      </c>
      <c r="N85" s="64">
        <v>59</v>
      </c>
      <c r="O85" s="64">
        <v>0</v>
      </c>
      <c r="P85" s="64">
        <v>0.41</v>
      </c>
      <c r="Q85" s="64">
        <v>9.19</v>
      </c>
      <c r="R85" s="198"/>
      <c r="S85" s="198"/>
      <c r="T85" s="198"/>
      <c r="U85" s="198"/>
    </row>
    <row r="86" spans="1:26" s="12" customFormat="1" x14ac:dyDescent="0.25">
      <c r="A86" s="211" t="s">
        <v>2050</v>
      </c>
      <c r="B86" s="64">
        <v>9</v>
      </c>
      <c r="C86" s="64">
        <v>15.37</v>
      </c>
      <c r="D86" s="64">
        <v>15.25</v>
      </c>
      <c r="E86" s="64">
        <v>4.07</v>
      </c>
      <c r="F86" s="64">
        <v>3.93</v>
      </c>
      <c r="G86" s="64">
        <v>43.58</v>
      </c>
      <c r="H86" s="64">
        <v>5.72</v>
      </c>
      <c r="I86" s="64">
        <v>1.38</v>
      </c>
      <c r="J86" s="64">
        <v>0.23</v>
      </c>
      <c r="K86" s="64">
        <v>325.48</v>
      </c>
      <c r="L86" s="64">
        <v>23.32</v>
      </c>
      <c r="M86" s="64">
        <v>97.55</v>
      </c>
      <c r="N86" s="64">
        <v>59</v>
      </c>
      <c r="O86" s="64">
        <v>0</v>
      </c>
      <c r="P86" s="64">
        <v>0.44</v>
      </c>
      <c r="Q86" s="64">
        <v>9.19</v>
      </c>
      <c r="R86" s="198"/>
      <c r="S86" s="198"/>
      <c r="T86" s="198"/>
      <c r="U86" s="198"/>
    </row>
    <row r="87" spans="1:26" s="12" customFormat="1" x14ac:dyDescent="0.25">
      <c r="A87" s="211" t="s">
        <v>2051</v>
      </c>
      <c r="B87" s="64">
        <v>8.94</v>
      </c>
      <c r="C87" s="64">
        <v>14.97</v>
      </c>
      <c r="D87" s="64">
        <v>14.99</v>
      </c>
      <c r="E87" s="64">
        <v>3.95</v>
      </c>
      <c r="F87" s="64">
        <v>3.39</v>
      </c>
      <c r="G87" s="64">
        <v>38.5</v>
      </c>
      <c r="H87" s="64">
        <v>7.14</v>
      </c>
      <c r="I87" s="64">
        <v>1.39</v>
      </c>
      <c r="J87" s="64">
        <v>0.23</v>
      </c>
      <c r="K87" s="64">
        <v>338.39</v>
      </c>
      <c r="L87" s="64">
        <v>23.27</v>
      </c>
      <c r="M87" s="64">
        <v>97.54</v>
      </c>
      <c r="N87" s="64">
        <v>58.8</v>
      </c>
      <c r="O87" s="64">
        <v>0</v>
      </c>
      <c r="P87" s="64">
        <v>0.44</v>
      </c>
      <c r="Q87" s="64">
        <v>9.19</v>
      </c>
      <c r="R87" s="198"/>
      <c r="S87" s="198"/>
      <c r="T87" s="198"/>
      <c r="U87" s="198"/>
    </row>
    <row r="88" spans="1:26" s="12" customFormat="1" x14ac:dyDescent="0.25">
      <c r="A88" s="211" t="s">
        <v>2052</v>
      </c>
      <c r="B88" s="64">
        <v>8.73</v>
      </c>
      <c r="C88" s="64">
        <v>14.64</v>
      </c>
      <c r="D88" s="64">
        <v>14.65</v>
      </c>
      <c r="E88" s="64">
        <v>3.88</v>
      </c>
      <c r="F88" s="64">
        <v>4</v>
      </c>
      <c r="G88" s="64">
        <v>36.86</v>
      </c>
      <c r="H88" s="64">
        <v>7.6</v>
      </c>
      <c r="I88" s="64">
        <v>1.38</v>
      </c>
      <c r="J88" s="64">
        <v>0.16</v>
      </c>
      <c r="K88" s="64">
        <v>334.32</v>
      </c>
      <c r="L88" s="64">
        <v>23.22</v>
      </c>
      <c r="M88" s="64">
        <v>97.54</v>
      </c>
      <c r="N88" s="64">
        <v>59.1</v>
      </c>
      <c r="O88" s="64">
        <v>0</v>
      </c>
      <c r="P88" s="64">
        <v>0.44</v>
      </c>
      <c r="Q88" s="64">
        <v>9.17</v>
      </c>
      <c r="R88" s="198"/>
      <c r="S88" s="198"/>
      <c r="T88" s="198"/>
      <c r="U88" s="198"/>
    </row>
    <row r="89" spans="1:26" s="12" customFormat="1" x14ac:dyDescent="0.25">
      <c r="A89" s="211" t="s">
        <v>2053</v>
      </c>
      <c r="B89" s="64">
        <v>8.5399999999999991</v>
      </c>
      <c r="C89" s="64">
        <v>14.34</v>
      </c>
      <c r="D89" s="64">
        <v>14.34</v>
      </c>
      <c r="E89" s="64">
        <v>3.81</v>
      </c>
      <c r="F89" s="64">
        <v>3.01</v>
      </c>
      <c r="G89" s="64">
        <v>36.86</v>
      </c>
      <c r="H89" s="64">
        <v>7.6</v>
      </c>
      <c r="I89" s="64">
        <v>1.37</v>
      </c>
      <c r="J89" s="64">
        <v>0.14000000000000001</v>
      </c>
      <c r="K89" s="64">
        <v>330.54</v>
      </c>
      <c r="L89" s="64">
        <v>23.17</v>
      </c>
      <c r="M89" s="64">
        <v>97.55</v>
      </c>
      <c r="N89" s="64">
        <v>58.8</v>
      </c>
      <c r="O89" s="64">
        <v>0</v>
      </c>
      <c r="P89" s="64">
        <v>0.43</v>
      </c>
      <c r="Q89" s="64">
        <v>9.17</v>
      </c>
      <c r="R89" s="198"/>
      <c r="S89" s="198"/>
      <c r="T89" s="198"/>
      <c r="U89" s="198"/>
    </row>
    <row r="90" spans="1:26" s="12" customFormat="1" x14ac:dyDescent="0.25">
      <c r="A90" s="211" t="s">
        <v>2054</v>
      </c>
      <c r="B90" s="64">
        <v>8.4600000000000009</v>
      </c>
      <c r="C90" s="64">
        <v>14.2</v>
      </c>
      <c r="D90" s="64">
        <v>14.21</v>
      </c>
      <c r="E90" s="64">
        <v>3.59</v>
      </c>
      <c r="F90" s="64">
        <v>3.76</v>
      </c>
      <c r="G90" s="64">
        <v>36.86</v>
      </c>
      <c r="H90" s="64">
        <v>7.6</v>
      </c>
      <c r="I90" s="64">
        <v>1.36</v>
      </c>
      <c r="J90" s="64">
        <v>0.24</v>
      </c>
      <c r="K90" s="64">
        <v>330.65</v>
      </c>
      <c r="L90" s="64">
        <v>23.14</v>
      </c>
      <c r="M90" s="64">
        <v>97.55</v>
      </c>
      <c r="N90" s="64">
        <v>58.9</v>
      </c>
      <c r="O90" s="64">
        <v>0</v>
      </c>
      <c r="P90" s="64">
        <v>0.42</v>
      </c>
      <c r="Q90" s="64">
        <v>9.15</v>
      </c>
      <c r="R90" s="198"/>
      <c r="S90" s="198"/>
      <c r="T90" s="198"/>
      <c r="U90" s="198"/>
    </row>
    <row r="91" spans="1:26" s="12" customFormat="1" x14ac:dyDescent="0.25">
      <c r="A91" s="211" t="s">
        <v>2055</v>
      </c>
      <c r="B91" s="64">
        <v>8.15</v>
      </c>
      <c r="C91" s="64">
        <v>14.13</v>
      </c>
      <c r="D91" s="64">
        <v>13.92</v>
      </c>
      <c r="E91" s="64">
        <v>3.71</v>
      </c>
      <c r="F91" s="64">
        <v>3.44</v>
      </c>
      <c r="G91" s="64">
        <v>36.229999999999997</v>
      </c>
      <c r="H91" s="64">
        <v>5.88</v>
      </c>
      <c r="I91" s="64">
        <v>1.35</v>
      </c>
      <c r="J91" s="64">
        <v>0.15</v>
      </c>
      <c r="K91" s="64">
        <v>328.02</v>
      </c>
      <c r="L91" s="64">
        <v>23.12</v>
      </c>
      <c r="M91" s="64">
        <v>97.55</v>
      </c>
      <c r="N91" s="64">
        <v>59</v>
      </c>
      <c r="O91" s="64">
        <v>0</v>
      </c>
      <c r="P91" s="64">
        <v>0.42</v>
      </c>
      <c r="Q91" s="64">
        <v>9.1300000000000008</v>
      </c>
      <c r="R91" s="198"/>
      <c r="S91" s="198"/>
      <c r="T91" s="198"/>
      <c r="U91" s="198"/>
    </row>
    <row r="92" spans="1:26" s="12" customFormat="1" x14ac:dyDescent="0.25">
      <c r="A92" s="211" t="s">
        <v>2056</v>
      </c>
      <c r="B92" s="64">
        <v>8.16</v>
      </c>
      <c r="C92" s="64">
        <v>14.17</v>
      </c>
      <c r="D92" s="64">
        <v>13.95</v>
      </c>
      <c r="E92" s="64">
        <v>3.99</v>
      </c>
      <c r="F92" s="64">
        <v>3.21</v>
      </c>
      <c r="G92" s="64">
        <v>36.03</v>
      </c>
      <c r="H92" s="64">
        <v>5.32</v>
      </c>
      <c r="I92" s="64">
        <v>1.33</v>
      </c>
      <c r="J92" s="64">
        <v>0.15</v>
      </c>
      <c r="K92" s="64">
        <v>337.14</v>
      </c>
      <c r="L92" s="64">
        <v>23.08</v>
      </c>
      <c r="M92" s="64">
        <v>97.55</v>
      </c>
      <c r="N92" s="64">
        <v>59.1</v>
      </c>
      <c r="O92" s="64">
        <v>0</v>
      </c>
      <c r="P92" s="64">
        <v>0.42</v>
      </c>
      <c r="Q92" s="64">
        <v>9.1199999999999992</v>
      </c>
      <c r="R92" s="198"/>
      <c r="S92" s="198"/>
      <c r="T92" s="198"/>
      <c r="U92" s="198"/>
    </row>
    <row r="93" spans="1:26" s="12" customFormat="1" x14ac:dyDescent="0.25">
      <c r="A93" s="211" t="s">
        <v>2057</v>
      </c>
      <c r="B93" s="64">
        <v>8.14</v>
      </c>
      <c r="C93" s="64">
        <v>13.68</v>
      </c>
      <c r="D93" s="64">
        <v>13.68</v>
      </c>
      <c r="E93" s="64">
        <v>3.95</v>
      </c>
      <c r="F93" s="64">
        <v>3.33</v>
      </c>
      <c r="G93" s="64">
        <v>36.03</v>
      </c>
      <c r="H93" s="64">
        <v>5.32</v>
      </c>
      <c r="I93" s="64">
        <v>1.32</v>
      </c>
      <c r="J93" s="64">
        <v>0.14000000000000001</v>
      </c>
      <c r="K93" s="64">
        <v>330.02</v>
      </c>
      <c r="L93" s="64">
        <v>23.03</v>
      </c>
      <c r="M93" s="64">
        <v>97.57</v>
      </c>
      <c r="N93" s="64">
        <v>59.1</v>
      </c>
      <c r="O93" s="64">
        <v>0</v>
      </c>
      <c r="P93" s="64">
        <v>0.43</v>
      </c>
      <c r="Q93" s="64">
        <v>9.11</v>
      </c>
      <c r="R93" s="198"/>
      <c r="S93" s="198"/>
      <c r="T93" s="198"/>
      <c r="U93" s="198"/>
    </row>
    <row r="94" spans="1:26" s="12" customFormat="1" x14ac:dyDescent="0.25">
      <c r="A94" s="211" t="s">
        <v>2058</v>
      </c>
      <c r="B94" s="64">
        <v>8.2200000000000006</v>
      </c>
      <c r="C94" s="64">
        <v>14.68</v>
      </c>
      <c r="D94" s="64">
        <v>14.26</v>
      </c>
      <c r="E94" s="64">
        <v>3.97</v>
      </c>
      <c r="F94" s="64">
        <v>2.93</v>
      </c>
      <c r="G94" s="64">
        <v>36.03</v>
      </c>
      <c r="H94" s="64">
        <v>5.32</v>
      </c>
      <c r="I94" s="64">
        <v>1.31</v>
      </c>
      <c r="J94" s="64">
        <v>0.13</v>
      </c>
      <c r="K94" s="64">
        <v>343.59</v>
      </c>
      <c r="L94" s="64">
        <v>23.04</v>
      </c>
      <c r="M94" s="64">
        <v>97.58</v>
      </c>
      <c r="N94" s="64">
        <v>58.9</v>
      </c>
      <c r="O94" s="64">
        <v>0</v>
      </c>
      <c r="P94" s="64">
        <v>0.4</v>
      </c>
      <c r="Q94" s="64">
        <v>9.14</v>
      </c>
      <c r="R94" s="198"/>
      <c r="S94" s="198"/>
      <c r="T94" s="198"/>
      <c r="U94" s="198"/>
    </row>
    <row r="95" spans="1:26" s="12" customFormat="1" x14ac:dyDescent="0.25">
      <c r="A95" s="211" t="s">
        <v>2059</v>
      </c>
      <c r="B95" s="64">
        <v>8.32</v>
      </c>
      <c r="C95" s="64">
        <v>14.05</v>
      </c>
      <c r="D95" s="64">
        <v>14.02</v>
      </c>
      <c r="E95" s="64">
        <v>3.96</v>
      </c>
      <c r="F95" s="64">
        <v>3.2</v>
      </c>
      <c r="G95" s="64">
        <v>30.88</v>
      </c>
      <c r="H95" s="64">
        <v>4.0999999999999996</v>
      </c>
      <c r="I95" s="64">
        <v>1.28</v>
      </c>
      <c r="J95" s="64">
        <v>0.13</v>
      </c>
      <c r="K95" s="64">
        <v>333.61</v>
      </c>
      <c r="L95" s="64">
        <v>23.08</v>
      </c>
      <c r="M95" s="64">
        <v>97.57</v>
      </c>
      <c r="N95" s="64">
        <v>58.8</v>
      </c>
      <c r="O95" s="64">
        <v>0</v>
      </c>
      <c r="P95" s="64">
        <v>0.4</v>
      </c>
      <c r="Q95" s="64">
        <v>9.14</v>
      </c>
      <c r="R95" s="198"/>
      <c r="S95" s="198"/>
      <c r="T95" s="198"/>
      <c r="U95" s="198"/>
    </row>
    <row r="96" spans="1:26" s="12" customFormat="1" x14ac:dyDescent="0.25">
      <c r="A96" s="211" t="s">
        <v>2060</v>
      </c>
      <c r="B96" s="64">
        <v>8.32</v>
      </c>
      <c r="C96" s="64">
        <v>13.5</v>
      </c>
      <c r="D96" s="64">
        <v>13.72</v>
      </c>
      <c r="E96" s="64">
        <v>3.9</v>
      </c>
      <c r="F96" s="64">
        <v>3.35</v>
      </c>
      <c r="G96" s="64">
        <v>29.22</v>
      </c>
      <c r="H96" s="64">
        <v>3.73</v>
      </c>
      <c r="I96" s="64">
        <v>1.25</v>
      </c>
      <c r="J96" s="64">
        <v>0.17</v>
      </c>
      <c r="K96" s="64">
        <v>336.78</v>
      </c>
      <c r="L96" s="64">
        <v>23.08</v>
      </c>
      <c r="M96" s="64">
        <v>97.57</v>
      </c>
      <c r="N96" s="64">
        <v>59</v>
      </c>
      <c r="O96" s="64">
        <v>0</v>
      </c>
      <c r="P96" s="64">
        <v>0.4</v>
      </c>
      <c r="Q96" s="64">
        <v>9.14</v>
      </c>
      <c r="R96" s="198"/>
      <c r="S96" s="198"/>
      <c r="T96" s="210"/>
      <c r="U96" s="198"/>
      <c r="Z96" s="109"/>
    </row>
    <row r="97" spans="1:33" s="12" customFormat="1" x14ac:dyDescent="0.25">
      <c r="A97" s="211" t="s">
        <v>2061</v>
      </c>
      <c r="B97" s="64">
        <v>8.17</v>
      </c>
      <c r="C97" s="64">
        <v>13.88</v>
      </c>
      <c r="D97" s="64">
        <v>13.8</v>
      </c>
      <c r="E97" s="64">
        <v>4.0599999999999996</v>
      </c>
      <c r="F97" s="64">
        <v>3.53</v>
      </c>
      <c r="G97" s="64">
        <v>29.22</v>
      </c>
      <c r="H97" s="64">
        <v>3.73</v>
      </c>
      <c r="I97" s="64">
        <v>1.23</v>
      </c>
      <c r="J97" s="64">
        <v>0.19</v>
      </c>
      <c r="K97" s="64">
        <v>329.25</v>
      </c>
      <c r="L97" s="64">
        <v>23.14</v>
      </c>
      <c r="M97" s="64">
        <v>97.55</v>
      </c>
      <c r="N97" s="64">
        <v>59</v>
      </c>
      <c r="O97" s="64">
        <v>0</v>
      </c>
      <c r="P97" s="64">
        <v>0.38</v>
      </c>
      <c r="Q97" s="64">
        <v>9.1300000000000008</v>
      </c>
      <c r="R97" s="198"/>
      <c r="S97" s="198"/>
      <c r="T97" s="198"/>
      <c r="U97" s="198"/>
    </row>
    <row r="98" spans="1:33" s="12" customFormat="1" x14ac:dyDescent="0.25">
      <c r="A98" s="211" t="s">
        <v>2062</v>
      </c>
      <c r="B98" s="64">
        <v>8.32</v>
      </c>
      <c r="C98" s="64">
        <v>13.62</v>
      </c>
      <c r="D98" s="64">
        <v>13.79</v>
      </c>
      <c r="E98" s="64">
        <v>4.18</v>
      </c>
      <c r="F98" s="64">
        <v>3.54</v>
      </c>
      <c r="G98" s="64">
        <v>29.22</v>
      </c>
      <c r="H98" s="64">
        <v>3.73</v>
      </c>
      <c r="I98" s="64">
        <v>1.18</v>
      </c>
      <c r="J98" s="64">
        <v>0.22</v>
      </c>
      <c r="K98" s="64">
        <v>315.77</v>
      </c>
      <c r="L98" s="64">
        <v>23.19</v>
      </c>
      <c r="M98" s="64">
        <v>97.53</v>
      </c>
      <c r="N98" s="64">
        <v>59.1</v>
      </c>
      <c r="O98" s="64">
        <v>0</v>
      </c>
      <c r="P98" s="64">
        <v>0.37</v>
      </c>
      <c r="Q98" s="64">
        <v>9.15</v>
      </c>
      <c r="R98" s="198"/>
      <c r="S98" s="198"/>
      <c r="T98" s="198"/>
      <c r="U98" s="198"/>
    </row>
    <row r="99" spans="1:33" s="12" customFormat="1" x14ac:dyDescent="0.25">
      <c r="A99" s="211" t="s">
        <v>2063</v>
      </c>
      <c r="B99" s="64">
        <v>8.32</v>
      </c>
      <c r="C99" s="64">
        <v>13.39</v>
      </c>
      <c r="D99" s="64">
        <v>13.67</v>
      </c>
      <c r="E99" s="64">
        <v>4.08</v>
      </c>
      <c r="F99" s="64">
        <v>3.41</v>
      </c>
      <c r="G99" s="64">
        <v>27.97</v>
      </c>
      <c r="H99" s="64">
        <v>2.88</v>
      </c>
      <c r="I99" s="64">
        <v>1.1299999999999999</v>
      </c>
      <c r="J99" s="64">
        <v>0.26</v>
      </c>
      <c r="K99" s="64">
        <v>314.45999999999998</v>
      </c>
      <c r="L99" s="64">
        <v>23.19</v>
      </c>
      <c r="M99" s="64">
        <v>97.53</v>
      </c>
      <c r="N99" s="64">
        <v>59.1</v>
      </c>
      <c r="O99" s="64">
        <v>0</v>
      </c>
      <c r="P99" s="64">
        <v>0.34</v>
      </c>
      <c r="Q99" s="64">
        <v>9.16</v>
      </c>
      <c r="R99" s="198"/>
      <c r="S99" s="198"/>
      <c r="T99" s="198"/>
      <c r="U99" s="198"/>
    </row>
    <row r="100" spans="1:33" s="12" customFormat="1" x14ac:dyDescent="0.25">
      <c r="A100" s="211" t="s">
        <v>2064</v>
      </c>
      <c r="B100" s="64">
        <v>8.66</v>
      </c>
      <c r="C100" s="64">
        <v>12.85</v>
      </c>
      <c r="D100" s="64">
        <v>13.66</v>
      </c>
      <c r="E100" s="64">
        <v>4.1500000000000004</v>
      </c>
      <c r="F100" s="64">
        <v>3.54</v>
      </c>
      <c r="G100" s="64">
        <v>27.6</v>
      </c>
      <c r="H100" s="64">
        <v>2.61</v>
      </c>
      <c r="I100" s="64">
        <v>1.1100000000000001</v>
      </c>
      <c r="J100" s="64">
        <v>0.18</v>
      </c>
      <c r="K100" s="64">
        <v>318.67</v>
      </c>
      <c r="L100" s="64">
        <v>23.18</v>
      </c>
      <c r="M100" s="64">
        <v>97.56</v>
      </c>
      <c r="N100" s="64">
        <v>59</v>
      </c>
      <c r="O100" s="64">
        <v>0</v>
      </c>
      <c r="P100" s="64">
        <v>0.34</v>
      </c>
      <c r="Q100" s="64">
        <v>9.15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1" t="s">
        <v>2065</v>
      </c>
      <c r="B101" s="64">
        <v>7.97</v>
      </c>
      <c r="C101" s="64">
        <v>13.05</v>
      </c>
      <c r="D101" s="64">
        <v>13.21</v>
      </c>
      <c r="E101" s="64">
        <v>4.0599999999999996</v>
      </c>
      <c r="F101" s="64">
        <v>3.78</v>
      </c>
      <c r="G101" s="64">
        <v>27.6</v>
      </c>
      <c r="H101" s="64">
        <v>2.61</v>
      </c>
      <c r="I101" s="64">
        <v>1.07</v>
      </c>
      <c r="J101" s="64">
        <v>0.13</v>
      </c>
      <c r="K101" s="64">
        <v>331</v>
      </c>
      <c r="L101" s="64">
        <v>23.13</v>
      </c>
      <c r="M101" s="64">
        <v>97.58</v>
      </c>
      <c r="N101" s="64">
        <v>59.1</v>
      </c>
      <c r="O101" s="64">
        <v>0</v>
      </c>
      <c r="P101" s="64">
        <v>0.32</v>
      </c>
      <c r="Q101" s="64">
        <v>9.1300000000000008</v>
      </c>
      <c r="R101" s="198"/>
      <c r="S101" s="198"/>
      <c r="T101" s="198"/>
      <c r="U101" s="198"/>
    </row>
    <row r="102" spans="1:33" s="12" customFormat="1" x14ac:dyDescent="0.25">
      <c r="A102" s="211" t="s">
        <v>2066</v>
      </c>
      <c r="B102" s="64">
        <v>7.79</v>
      </c>
      <c r="C102" s="64">
        <v>13</v>
      </c>
      <c r="D102" s="64">
        <v>13.04</v>
      </c>
      <c r="E102" s="64">
        <v>4.17</v>
      </c>
      <c r="F102" s="64">
        <v>3.7</v>
      </c>
      <c r="G102" s="64">
        <v>27.6</v>
      </c>
      <c r="H102" s="64">
        <v>2.61</v>
      </c>
      <c r="I102" s="64">
        <v>1.03</v>
      </c>
      <c r="J102" s="64">
        <v>0.18</v>
      </c>
      <c r="K102" s="64">
        <v>321.8</v>
      </c>
      <c r="L102" s="64">
        <v>23.1</v>
      </c>
      <c r="M102" s="64">
        <v>97.58</v>
      </c>
      <c r="N102" s="64">
        <v>59.1</v>
      </c>
      <c r="O102" s="64">
        <v>0</v>
      </c>
      <c r="P102" s="64">
        <v>0.34</v>
      </c>
      <c r="Q102" s="64">
        <v>9.11</v>
      </c>
      <c r="R102" s="198"/>
      <c r="S102" s="198"/>
      <c r="T102" s="198"/>
      <c r="U102" s="198"/>
    </row>
    <row r="103" spans="1:33" s="12" customFormat="1" x14ac:dyDescent="0.25">
      <c r="A103" s="211" t="s">
        <v>2067</v>
      </c>
      <c r="B103" s="64">
        <v>7.82</v>
      </c>
      <c r="C103" s="64">
        <v>13.05</v>
      </c>
      <c r="D103" s="64">
        <v>13.09</v>
      </c>
      <c r="E103" s="64">
        <v>4.2300000000000004</v>
      </c>
      <c r="F103" s="64">
        <v>3.39</v>
      </c>
      <c r="G103" s="64">
        <v>27.22</v>
      </c>
      <c r="H103" s="64">
        <v>2.42</v>
      </c>
      <c r="I103" s="64">
        <v>1</v>
      </c>
      <c r="J103" s="64">
        <v>0.13</v>
      </c>
      <c r="K103" s="64">
        <v>309.51</v>
      </c>
      <c r="L103" s="64">
        <v>23.13</v>
      </c>
      <c r="M103" s="64">
        <v>97.58</v>
      </c>
      <c r="N103" s="64">
        <v>59.1</v>
      </c>
      <c r="O103" s="64">
        <v>0</v>
      </c>
      <c r="P103" s="64">
        <v>0.31</v>
      </c>
      <c r="Q103" s="64">
        <v>9.1</v>
      </c>
      <c r="R103" s="198"/>
      <c r="S103" s="198"/>
      <c r="T103" s="198"/>
      <c r="U103" s="198"/>
    </row>
    <row r="104" spans="1:33" s="12" customFormat="1" x14ac:dyDescent="0.25">
      <c r="A104" s="211" t="s">
        <v>2068</v>
      </c>
      <c r="B104" s="64">
        <v>7.8</v>
      </c>
      <c r="C104" s="64">
        <v>12.36</v>
      </c>
      <c r="D104" s="64">
        <v>12.71</v>
      </c>
      <c r="E104" s="64">
        <v>5.0599999999999996</v>
      </c>
      <c r="F104" s="64">
        <v>3.55</v>
      </c>
      <c r="G104" s="64">
        <v>27.09</v>
      </c>
      <c r="H104" s="64">
        <v>2.35</v>
      </c>
      <c r="I104" s="64">
        <v>0.97</v>
      </c>
      <c r="J104" s="64">
        <v>0.1</v>
      </c>
      <c r="K104" s="64">
        <v>323.69</v>
      </c>
      <c r="L104" s="64">
        <v>23.09</v>
      </c>
      <c r="M104" s="64">
        <v>97.58</v>
      </c>
      <c r="N104" s="64">
        <v>59.2</v>
      </c>
      <c r="O104" s="64">
        <v>0</v>
      </c>
      <c r="P104" s="64">
        <v>0.31</v>
      </c>
      <c r="Q104" s="64">
        <v>9.11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4.1100000000000003</v>
      </c>
      <c r="C106" s="67">
        <f>MIN(C9:C104)</f>
        <v>11.1</v>
      </c>
      <c r="D106" s="67">
        <f t="shared" ref="D106:Q106" si="0">MIN(D9:D104)</f>
        <v>9.4700000000000006</v>
      </c>
      <c r="E106" s="67">
        <f t="shared" si="0"/>
        <v>3.35</v>
      </c>
      <c r="F106" s="67">
        <f t="shared" si="0"/>
        <v>2.48</v>
      </c>
      <c r="G106" s="67">
        <f t="shared" si="0"/>
        <v>6.03</v>
      </c>
      <c r="H106" s="67">
        <f t="shared" si="0"/>
        <v>2.35</v>
      </c>
      <c r="I106" s="67">
        <f t="shared" si="0"/>
        <v>0.44</v>
      </c>
      <c r="J106" s="67">
        <f t="shared" si="0"/>
        <v>0.1</v>
      </c>
      <c r="K106" s="67">
        <f t="shared" si="0"/>
        <v>280.10000000000002</v>
      </c>
      <c r="L106" s="67">
        <f t="shared" si="0"/>
        <v>21.07</v>
      </c>
      <c r="M106" s="67">
        <f t="shared" si="0"/>
        <v>94.78</v>
      </c>
      <c r="N106" s="67">
        <f t="shared" si="0"/>
        <v>58.8</v>
      </c>
      <c r="O106" s="67">
        <f t="shared" si="0"/>
        <v>0</v>
      </c>
      <c r="P106" s="67">
        <f t="shared" si="0"/>
        <v>0.14000000000000001</v>
      </c>
      <c r="Q106" s="67">
        <f t="shared" si="0"/>
        <v>8.94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21.25</v>
      </c>
      <c r="C107" s="66">
        <f t="shared" ref="C107:Q107" si="1">MAX(C9:C104)</f>
        <v>19.29</v>
      </c>
      <c r="D107" s="66">
        <f t="shared" si="1"/>
        <v>26.5</v>
      </c>
      <c r="E107" s="66">
        <f t="shared" si="1"/>
        <v>5.0599999999999996</v>
      </c>
      <c r="F107" s="66">
        <f t="shared" si="1"/>
        <v>4.83</v>
      </c>
      <c r="G107" s="66">
        <f t="shared" si="1"/>
        <v>61.03</v>
      </c>
      <c r="H107" s="66">
        <f t="shared" si="1"/>
        <v>9.91</v>
      </c>
      <c r="I107" s="66">
        <f t="shared" si="1"/>
        <v>4.24</v>
      </c>
      <c r="J107" s="66">
        <f t="shared" si="1"/>
        <v>0.41</v>
      </c>
      <c r="K107" s="66">
        <f t="shared" si="1"/>
        <v>343.59</v>
      </c>
      <c r="L107" s="66">
        <f t="shared" si="1"/>
        <v>25.41</v>
      </c>
      <c r="M107" s="66">
        <f t="shared" si="1"/>
        <v>97.68</v>
      </c>
      <c r="N107" s="66">
        <f t="shared" si="1"/>
        <v>279.2</v>
      </c>
      <c r="O107" s="66">
        <f t="shared" si="1"/>
        <v>1.2</v>
      </c>
      <c r="P107" s="66">
        <f t="shared" si="1"/>
        <v>0.88</v>
      </c>
      <c r="Q107" s="66">
        <f t="shared" si="1"/>
        <v>9.5399999999999991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10.514791666666669</v>
      </c>
      <c r="C108" s="67">
        <f t="shared" ref="C108:Q108" si="2">AVERAGE(C9:C104)</f>
        <v>13.9453125</v>
      </c>
      <c r="D108" s="67">
        <f t="shared" si="2"/>
        <v>15.718229166666672</v>
      </c>
      <c r="E108" s="67">
        <f t="shared" si="2"/>
        <v>4.0746874999999987</v>
      </c>
      <c r="F108" s="67">
        <f t="shared" si="2"/>
        <v>3.5079166666666661</v>
      </c>
      <c r="G108" s="67">
        <f t="shared" si="2"/>
        <v>27.849687499999998</v>
      </c>
      <c r="H108" s="67">
        <f t="shared" si="2"/>
        <v>6.2279166666666699</v>
      </c>
      <c r="I108" s="67">
        <f t="shared" si="2"/>
        <v>1.6543750000000002</v>
      </c>
      <c r="J108" s="67">
        <f t="shared" si="2"/>
        <v>0.21979166666666664</v>
      </c>
      <c r="K108" s="67">
        <f t="shared" si="2"/>
        <v>304.25729166666656</v>
      </c>
      <c r="L108" s="67">
        <f t="shared" si="2"/>
        <v>22.713750000000001</v>
      </c>
      <c r="M108" s="67">
        <f t="shared" si="2"/>
        <v>97.551666666666691</v>
      </c>
      <c r="N108" s="67">
        <f t="shared" si="2"/>
        <v>110.23437500000001</v>
      </c>
      <c r="O108" s="67">
        <f t="shared" si="2"/>
        <v>6.666666666666668E-2</v>
      </c>
      <c r="P108" s="67">
        <f t="shared" si="2"/>
        <v>0.3927083333333336</v>
      </c>
      <c r="Q108" s="67">
        <f t="shared" si="2"/>
        <v>9.2037499999999994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5.2152777549621918</v>
      </c>
      <c r="C109" s="67">
        <f t="shared" ref="C109:Q109" si="3">STDEV(C9:C104)</f>
        <v>2.4903100433163354</v>
      </c>
      <c r="D109" s="67">
        <f t="shared" si="3"/>
        <v>4.8371751205563918</v>
      </c>
      <c r="E109" s="67">
        <f t="shared" si="3"/>
        <v>0.36024247134103266</v>
      </c>
      <c r="F109" s="67">
        <f t="shared" si="3"/>
        <v>0.40994201558312809</v>
      </c>
      <c r="G109" s="67">
        <f t="shared" si="3"/>
        <v>16.231127953354264</v>
      </c>
      <c r="H109" s="67">
        <f t="shared" si="3"/>
        <v>2.3291389494004018</v>
      </c>
      <c r="I109" s="67">
        <f t="shared" si="3"/>
        <v>1.1284612835277292</v>
      </c>
      <c r="J109" s="67">
        <f t="shared" si="3"/>
        <v>7.6995955692376772E-2</v>
      </c>
      <c r="K109" s="67">
        <f t="shared" si="3"/>
        <v>16.415595760333112</v>
      </c>
      <c r="L109" s="67">
        <f t="shared" si="3"/>
        <v>1.1823146344086426</v>
      </c>
      <c r="M109" s="67">
        <f t="shared" si="3"/>
        <v>0.30668916774812138</v>
      </c>
      <c r="N109" s="67">
        <f t="shared" si="3"/>
        <v>55.71642643190691</v>
      </c>
      <c r="O109" s="67">
        <f t="shared" si="3"/>
        <v>0.1873171623163388</v>
      </c>
      <c r="P109" s="67">
        <f t="shared" si="3"/>
        <v>0.21381486909383524</v>
      </c>
      <c r="Q109" s="67">
        <f t="shared" si="3"/>
        <v>0.18940488517014487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COUNT(I9:I104)+1</f>
        <v>97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2" t="s">
        <v>217</v>
      </c>
      <c r="C115" s="212"/>
      <c r="D115" s="212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A9" sqref="A9"/>
    </sheetView>
  </sheetViews>
  <sheetFormatPr defaultColWidth="8.85546875" defaultRowHeight="15" x14ac:dyDescent="0.25"/>
  <cols>
    <col min="1" max="1" width="15.4257812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>
        <f>$A$9</f>
        <v>45809.010416666664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225</v>
      </c>
      <c r="C7" s="198" t="s">
        <v>226</v>
      </c>
      <c r="D7" s="198" t="s">
        <v>227</v>
      </c>
      <c r="E7" s="198" t="s">
        <v>228</v>
      </c>
      <c r="F7" s="198" t="s">
        <v>229</v>
      </c>
      <c r="G7" s="198" t="s">
        <v>230</v>
      </c>
      <c r="H7" s="198" t="s">
        <v>231</v>
      </c>
      <c r="I7" s="198" t="s">
        <v>232</v>
      </c>
      <c r="J7" s="198" t="s">
        <v>233</v>
      </c>
      <c r="K7" s="198" t="s">
        <v>234</v>
      </c>
      <c r="L7" s="198" t="s">
        <v>235</v>
      </c>
      <c r="M7" s="198" t="s">
        <v>236</v>
      </c>
      <c r="N7" s="198" t="s">
        <v>237</v>
      </c>
      <c r="O7" s="198" t="s">
        <v>238</v>
      </c>
      <c r="P7" s="198" t="s">
        <v>239</v>
      </c>
      <c r="Q7" s="198" t="s">
        <v>240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223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>
        <f>'01'!$B$2</f>
        <v>45809.010416666664</v>
      </c>
      <c r="B9" s="61">
        <f>'01'!B108</f>
        <v>10.478437499999997</v>
      </c>
      <c r="C9" s="61">
        <f>'01'!C108</f>
        <v>22.752812500000001</v>
      </c>
      <c r="D9" s="61">
        <f>'01'!D108</f>
        <v>27.465520833333326</v>
      </c>
      <c r="E9" s="61">
        <f>'01'!E108</f>
        <v>4.5585416666666658</v>
      </c>
      <c r="F9" s="61">
        <f>'01'!F108</f>
        <v>6.5555208333333326</v>
      </c>
      <c r="G9" s="99">
        <f>'01'!$G$108</f>
        <v>55.482083333333286</v>
      </c>
      <c r="H9" s="61">
        <f>'01'!H108</f>
        <v>33.968854166666681</v>
      </c>
      <c r="I9" s="61">
        <f>'01'!I108</f>
        <v>4.0120833333333339</v>
      </c>
      <c r="J9" s="61">
        <f>'01'!J108</f>
        <v>0.24322916666666661</v>
      </c>
      <c r="K9" s="61">
        <f>'01'!K108</f>
        <v>249.55958333333331</v>
      </c>
      <c r="L9" s="61">
        <f>'01'!L108</f>
        <v>29.606770833333329</v>
      </c>
      <c r="M9" s="61">
        <f>'01'!M108</f>
        <v>65.916562499999998</v>
      </c>
      <c r="N9" s="61">
        <f>'01'!N108</f>
        <v>239.50520833333329</v>
      </c>
      <c r="O9" s="61">
        <f>'01'!O108</f>
        <v>0</v>
      </c>
      <c r="P9" s="202">
        <f>'01'!P108</f>
        <v>0.48125000000000012</v>
      </c>
      <c r="Q9" s="61">
        <f>'01'!Q108</f>
        <v>9.3453124999999986</v>
      </c>
      <c r="R9" s="118"/>
      <c r="S9" s="118"/>
      <c r="T9" s="118"/>
      <c r="U9" s="118"/>
    </row>
    <row r="10" spans="1:21" x14ac:dyDescent="0.25">
      <c r="A10" s="94">
        <f>'02'!$B$2</f>
        <v>45810.010416666664</v>
      </c>
      <c r="B10" s="61">
        <f>'02'!B108</f>
        <v>8.1029166666666672</v>
      </c>
      <c r="C10" s="61">
        <f>'02'!C108</f>
        <v>21.839687499999997</v>
      </c>
      <c r="D10" s="61">
        <f>'02'!D108</f>
        <v>29.365416666666661</v>
      </c>
      <c r="E10" s="61">
        <f>'02'!E108</f>
        <v>4.9811458333333336</v>
      </c>
      <c r="F10" s="61">
        <f>'02'!F108</f>
        <v>7.7716666666666674</v>
      </c>
      <c r="G10" s="61">
        <f>'02'!G108</f>
        <v>36.715729166666662</v>
      </c>
      <c r="H10" s="61">
        <f>'02'!H108</f>
        <v>45.188020833333319</v>
      </c>
      <c r="I10" s="61">
        <f>'02'!I108</f>
        <v>4.0200000000000022</v>
      </c>
      <c r="J10" s="61">
        <f>'02'!J108</f>
        <v>0.18760416666666668</v>
      </c>
      <c r="K10" s="61">
        <f>'02'!K108</f>
        <v>245.14229166666669</v>
      </c>
      <c r="L10" s="61">
        <f>'02'!L108</f>
        <v>29.696979166666679</v>
      </c>
      <c r="M10" s="61">
        <f>'02'!M108</f>
        <v>54.432187500000005</v>
      </c>
      <c r="N10" s="61">
        <f>'02'!N108</f>
        <v>245.53229166666662</v>
      </c>
      <c r="O10" s="61">
        <f>'02'!O108</f>
        <v>0</v>
      </c>
      <c r="P10" s="202">
        <f>'02'!P108</f>
        <v>0.29729166666666673</v>
      </c>
      <c r="Q10" s="61">
        <f>'02'!Q108</f>
        <v>9.3202083333333317</v>
      </c>
      <c r="R10" s="118"/>
      <c r="S10" s="118"/>
      <c r="T10" s="118"/>
      <c r="U10" s="118"/>
    </row>
    <row r="11" spans="1:21" x14ac:dyDescent="0.25">
      <c r="A11" s="94">
        <f>'03'!$B$2</f>
        <v>45811.010416666664</v>
      </c>
      <c r="B11" s="61">
        <f>'03'!B108</f>
        <v>8.3211458333333308</v>
      </c>
      <c r="C11" s="61">
        <f>'03'!C108</f>
        <v>22.232291666666665</v>
      </c>
      <c r="D11" s="61">
        <f>'03'!D108</f>
        <v>29.781041666666656</v>
      </c>
      <c r="E11" s="61">
        <f>'03'!E108</f>
        <v>4.7264583333333317</v>
      </c>
      <c r="F11" s="61">
        <f>'03'!F108</f>
        <v>7.2596874999999983</v>
      </c>
      <c r="G11" s="61">
        <f>'03'!G108</f>
        <v>38.97343750000001</v>
      </c>
      <c r="H11" s="61">
        <f>'03'!H108</f>
        <v>100.20635416666671</v>
      </c>
      <c r="I11" s="61">
        <f>'03'!I108</f>
        <v>3.981666666666666</v>
      </c>
      <c r="J11" s="61">
        <f>'03'!J108</f>
        <v>0.24812499999999996</v>
      </c>
      <c r="K11" s="61">
        <f>'03'!K108</f>
        <v>257.98718750000006</v>
      </c>
      <c r="L11" s="61">
        <f>'03'!L108</f>
        <v>30.661041666666677</v>
      </c>
      <c r="M11" s="61">
        <f>'03'!M108</f>
        <v>52.122395833333336</v>
      </c>
      <c r="N11" s="61">
        <f>'03'!N108</f>
        <v>244.37083333333337</v>
      </c>
      <c r="O11" s="61">
        <f>'03'!O108</f>
        <v>0</v>
      </c>
      <c r="P11" s="202">
        <f>'03'!P108</f>
        <v>0.35791666666666666</v>
      </c>
      <c r="Q11" s="61">
        <f>'03'!Q108</f>
        <v>9.3236458333333339</v>
      </c>
      <c r="R11" s="118"/>
      <c r="S11" s="118"/>
      <c r="T11" s="118"/>
      <c r="U11" s="118"/>
    </row>
    <row r="12" spans="1:21" x14ac:dyDescent="0.25">
      <c r="A12" s="94">
        <f>'04'!$B$2</f>
        <v>45812.010416666664</v>
      </c>
      <c r="B12" s="61">
        <f>'04'!B108</f>
        <v>8.7333333333333325</v>
      </c>
      <c r="C12" s="61">
        <f>'04'!C108</f>
        <v>24.860729166666669</v>
      </c>
      <c r="D12" s="61">
        <f>'04'!D108</f>
        <v>34.178541666666668</v>
      </c>
      <c r="E12" s="61">
        <f>'04'!E108</f>
        <v>5.7188541666666675</v>
      </c>
      <c r="F12" s="61">
        <f>'04'!F108</f>
        <v>8.4032291666666659</v>
      </c>
      <c r="G12" s="61">
        <f>'04'!G108</f>
        <v>49.37708333333331</v>
      </c>
      <c r="H12" s="61">
        <f>'04'!H108</f>
        <v>17.611354166666665</v>
      </c>
      <c r="I12" s="61">
        <f>'04'!I108</f>
        <v>4.0113541666666661</v>
      </c>
      <c r="J12" s="61">
        <f>'04'!J108</f>
        <v>0.390625</v>
      </c>
      <c r="K12" s="61">
        <f>'04'!K108</f>
        <v>285.46156250000001</v>
      </c>
      <c r="L12" s="61">
        <f>'04'!L108</f>
        <v>30.922604166666662</v>
      </c>
      <c r="M12" s="61">
        <f>'04'!M108</f>
        <v>49.409583333333352</v>
      </c>
      <c r="N12" s="61">
        <f>'04'!N108</f>
        <v>243.58437500000011</v>
      </c>
      <c r="O12" s="61">
        <f>'04'!O108</f>
        <v>0</v>
      </c>
      <c r="P12" s="202">
        <f>'04'!P108</f>
        <v>0.5117708333333334</v>
      </c>
      <c r="Q12" s="61">
        <f>'04'!Q108</f>
        <v>9.3934374999999957</v>
      </c>
      <c r="R12" s="118"/>
      <c r="S12" s="118"/>
      <c r="T12" s="118"/>
      <c r="U12" s="118"/>
    </row>
    <row r="13" spans="1:21" x14ac:dyDescent="0.25">
      <c r="A13" s="94">
        <f>'05'!$B$2</f>
        <v>45813.010416666664</v>
      </c>
      <c r="B13" s="61">
        <f>'05'!B108</f>
        <v>12.381770833333333</v>
      </c>
      <c r="C13" s="61">
        <f>'05'!C108</f>
        <v>30.236250000000002</v>
      </c>
      <c r="D13" s="61">
        <f>'05'!D108</f>
        <v>38.86739583333334</v>
      </c>
      <c r="E13" s="61">
        <f>'05'!E108</f>
        <v>6.1858333333333322</v>
      </c>
      <c r="F13" s="61">
        <f>'05'!F108</f>
        <v>9.8565625000000026</v>
      </c>
      <c r="G13" s="61">
        <f>'05'!G108</f>
        <v>44.724166666666669</v>
      </c>
      <c r="H13" s="61">
        <f>'05'!H108</f>
        <v>56.596249999999998</v>
      </c>
      <c r="I13" s="61">
        <f>'05'!I108</f>
        <v>4.0036458333333353</v>
      </c>
      <c r="J13" s="61">
        <f>'05'!J108</f>
        <v>0.31260416666666668</v>
      </c>
      <c r="K13" s="61">
        <f>'05'!K108</f>
        <v>255.3441666666665</v>
      </c>
      <c r="L13" s="61">
        <f>'05'!L108</f>
        <v>31.245520833333334</v>
      </c>
      <c r="M13" s="61">
        <f>'05'!M108</f>
        <v>50.387291666666663</v>
      </c>
      <c r="N13" s="61">
        <f>'05'!N108</f>
        <v>276.09479166666659</v>
      </c>
      <c r="O13" s="61">
        <f>'05'!O108</f>
        <v>0</v>
      </c>
      <c r="P13" s="202">
        <f>'05'!P108</f>
        <v>0.53802083333333339</v>
      </c>
      <c r="Q13" s="61">
        <f>'05'!Q108</f>
        <v>9.3548958333333339</v>
      </c>
      <c r="R13" s="118"/>
      <c r="S13" s="118"/>
      <c r="T13" s="118"/>
      <c r="U13" s="118"/>
    </row>
    <row r="14" spans="1:21" x14ac:dyDescent="0.25">
      <c r="A14" s="94">
        <f>'06'!$B$2</f>
        <v>45814.010416666664</v>
      </c>
      <c r="B14" s="61">
        <f>'06'!B108</f>
        <v>10.103645833333335</v>
      </c>
      <c r="C14" s="61">
        <f>'06'!C108</f>
        <v>30.102083333333354</v>
      </c>
      <c r="D14" s="61">
        <f>'06'!D108</f>
        <v>42.109270833333348</v>
      </c>
      <c r="E14" s="61">
        <f>'06'!E108</f>
        <v>7.1822916666666679</v>
      </c>
      <c r="F14" s="61">
        <f>'06'!F108</f>
        <v>14.038333333333334</v>
      </c>
      <c r="G14" s="61">
        <f>'06'!G108</f>
        <v>65.960625000000007</v>
      </c>
      <c r="H14" s="61">
        <f>'06'!H108</f>
        <v>51.752916666666671</v>
      </c>
      <c r="I14" s="61">
        <f>'06'!I108</f>
        <v>3.9974999999999992</v>
      </c>
      <c r="J14" s="61">
        <f>'06'!J108</f>
        <v>0.19791666666666666</v>
      </c>
      <c r="K14" s="61">
        <f>'06'!K108</f>
        <v>252.1315625</v>
      </c>
      <c r="L14" s="61">
        <f>'06'!L108</f>
        <v>32.237916666666649</v>
      </c>
      <c r="M14" s="61">
        <f>'06'!M108</f>
        <v>47.63750000000001</v>
      </c>
      <c r="N14" s="61">
        <f>'06'!N108</f>
        <v>282.79270833333345</v>
      </c>
      <c r="O14" s="61">
        <f>'06'!O108</f>
        <v>0</v>
      </c>
      <c r="P14" s="202">
        <f>'06'!P108</f>
        <v>0.59010416666666654</v>
      </c>
      <c r="Q14" s="61">
        <f>'06'!Q108</f>
        <v>9.4304166666666642</v>
      </c>
      <c r="R14" s="118"/>
      <c r="S14" s="118"/>
      <c r="T14" s="118"/>
      <c r="U14" s="118"/>
    </row>
    <row r="15" spans="1:21" x14ac:dyDescent="0.25">
      <c r="A15" s="94">
        <f>'07'!$B$2</f>
        <v>45815.010416666664</v>
      </c>
      <c r="B15" s="61">
        <f>'07'!B108</f>
        <v>8.9882291666666703</v>
      </c>
      <c r="C15" s="61">
        <f>'07'!C108</f>
        <v>26.751041666666666</v>
      </c>
      <c r="D15" s="61">
        <f>'07'!D108</f>
        <v>37.409166666666678</v>
      </c>
      <c r="E15" s="61">
        <f>'07'!E108</f>
        <v>7.0615625000000017</v>
      </c>
      <c r="F15" s="61">
        <f>'07'!F108</f>
        <v>11.410312499999998</v>
      </c>
      <c r="G15" s="100">
        <f>'07'!$G$108</f>
        <v>51.655104166666639</v>
      </c>
      <c r="H15" s="61">
        <f>'07'!H108</f>
        <v>176.51593750000009</v>
      </c>
      <c r="I15" s="61">
        <f>'07'!I108</f>
        <v>4.00875</v>
      </c>
      <c r="J15" s="61">
        <f>'07'!J108</f>
        <v>0.27729166666666666</v>
      </c>
      <c r="K15" s="61">
        <f>'07'!K108</f>
        <v>254.9576041666667</v>
      </c>
      <c r="L15" s="61">
        <f>'07'!L108</f>
        <v>32.896770833333349</v>
      </c>
      <c r="M15" s="61">
        <f>'07'!M108</f>
        <v>42.662083333333342</v>
      </c>
      <c r="N15" s="61">
        <f>'07'!N108</f>
        <v>303.02395833333327</v>
      </c>
      <c r="O15" s="61">
        <f>'07'!O108</f>
        <v>0</v>
      </c>
      <c r="P15" s="202">
        <f>'07'!P108</f>
        <v>0.60135416666666652</v>
      </c>
      <c r="Q15" s="61">
        <f>'07'!Q108</f>
        <v>9.3691666666666613</v>
      </c>
      <c r="R15" s="118"/>
      <c r="S15" s="118"/>
      <c r="T15" s="118"/>
      <c r="U15" s="118"/>
    </row>
    <row r="16" spans="1:21" x14ac:dyDescent="0.25">
      <c r="A16" s="94">
        <f>'08'!$B$2</f>
        <v>45816.010416666664</v>
      </c>
      <c r="B16" s="61">
        <f>'08'!B108</f>
        <v>6.8186458333333313</v>
      </c>
      <c r="C16" s="61">
        <f>'08'!C108</f>
        <v>23.739687500000006</v>
      </c>
      <c r="D16" s="61">
        <f>'08'!D108</f>
        <v>34.972187499999983</v>
      </c>
      <c r="E16" s="61">
        <f>'08'!E108</f>
        <v>5.6360416666666673</v>
      </c>
      <c r="F16" s="61">
        <f>'08'!F108</f>
        <v>12.996354166666665</v>
      </c>
      <c r="G16" s="100">
        <f>'08'!$G$108</f>
        <v>53.3310416666667</v>
      </c>
      <c r="H16" s="61">
        <f>'08'!H108</f>
        <v>16.526145833333327</v>
      </c>
      <c r="I16" s="61">
        <f>'08'!I108</f>
        <v>3.9917708333333319</v>
      </c>
      <c r="J16" s="61">
        <f>'08'!J108</f>
        <v>0.3382291666666668</v>
      </c>
      <c r="K16" s="61">
        <f>'08'!K108</f>
        <v>255.50374999999994</v>
      </c>
      <c r="L16" s="61">
        <f>'08'!L108</f>
        <v>32.896041666666669</v>
      </c>
      <c r="M16" s="61">
        <f>'08'!M108</f>
        <v>45.33250000000001</v>
      </c>
      <c r="N16" s="61">
        <f>'08'!N108</f>
        <v>298.6427083333333</v>
      </c>
      <c r="O16" s="61">
        <f>'08'!O108</f>
        <v>0</v>
      </c>
      <c r="P16" s="202">
        <f>'08'!P108</f>
        <v>0.5028125</v>
      </c>
      <c r="Q16" s="61">
        <f>'08'!Q108</f>
        <v>9.3778125000000028</v>
      </c>
      <c r="R16" s="118"/>
      <c r="S16" s="118"/>
      <c r="T16" s="118"/>
      <c r="U16" s="118"/>
    </row>
    <row r="17" spans="1:21" x14ac:dyDescent="0.25">
      <c r="A17" s="94">
        <f>'09'!$B$2</f>
        <v>45817.010416666664</v>
      </c>
      <c r="B17" s="61">
        <f>'09'!B108</f>
        <v>5.1446875000000007</v>
      </c>
      <c r="C17" s="61">
        <f>'09'!C108</f>
        <v>21.179479166666663</v>
      </c>
      <c r="D17" s="61">
        <f>'09'!D108</f>
        <v>32.641562500000006</v>
      </c>
      <c r="E17" s="61">
        <f>'09'!E108</f>
        <v>6.0609374999999988</v>
      </c>
      <c r="F17" s="61">
        <f>'09'!F108</f>
        <v>12.657187500000001</v>
      </c>
      <c r="G17" s="100">
        <f>'09'!$G$108</f>
        <v>38.968749999999993</v>
      </c>
      <c r="H17" s="61">
        <f>'09'!H108</f>
        <v>11.678645833333333</v>
      </c>
      <c r="I17" s="61">
        <f>'09'!I108</f>
        <v>3.9977083333333332</v>
      </c>
      <c r="J17" s="61">
        <f>'09'!J108</f>
        <v>0.27697916666666661</v>
      </c>
      <c r="K17" s="61">
        <f>'09'!K108</f>
        <v>215.03614583333342</v>
      </c>
      <c r="L17" s="61">
        <f>'09'!L108</f>
        <v>30.968437500000004</v>
      </c>
      <c r="M17" s="61">
        <f>'09'!M108</f>
        <v>53.552500000000009</v>
      </c>
      <c r="N17" s="61">
        <f>'09'!N108</f>
        <v>261.67812500000008</v>
      </c>
      <c r="O17" s="61">
        <f>'09'!O108</f>
        <v>0</v>
      </c>
      <c r="P17" s="202">
        <f>'09'!P108</f>
        <v>0.40364583333333331</v>
      </c>
      <c r="Q17" s="61">
        <f>'09'!Q108</f>
        <v>9.3014583333333363</v>
      </c>
      <c r="R17" s="118"/>
      <c r="S17" s="118"/>
      <c r="T17" s="118"/>
      <c r="U17" s="118"/>
    </row>
    <row r="18" spans="1:21" x14ac:dyDescent="0.25">
      <c r="A18" s="94">
        <f>'10'!$B$2</f>
        <v>45818.010416666664</v>
      </c>
      <c r="B18" s="61">
        <f>'10'!B108</f>
        <v>5.803020833333334</v>
      </c>
      <c r="C18" s="61">
        <f>'10'!C108</f>
        <v>20.086770833333333</v>
      </c>
      <c r="D18" s="61">
        <f>'10'!D108</f>
        <v>29.53937500000001</v>
      </c>
      <c r="E18" s="61">
        <f>'10'!E108</f>
        <v>7.3149999999999977</v>
      </c>
      <c r="F18" s="61">
        <f>'10'!F108</f>
        <v>12.403749999999995</v>
      </c>
      <c r="G18" s="101">
        <f>'10'!$G$108</f>
        <v>43.525208333333332</v>
      </c>
      <c r="H18" s="61">
        <f>'10'!H108</f>
        <v>16.329687499999995</v>
      </c>
      <c r="I18" s="61">
        <f>'10'!I108</f>
        <v>4.0013541666666663</v>
      </c>
      <c r="J18" s="61">
        <f>'10'!J108</f>
        <v>0.37572916666666667</v>
      </c>
      <c r="K18" s="61">
        <f>'10'!K108</f>
        <v>211.15791666666667</v>
      </c>
      <c r="L18" s="61">
        <f>'10'!L108</f>
        <v>28.126666666666665</v>
      </c>
      <c r="M18" s="61">
        <f>'10'!M108</f>
        <v>70.336562499999999</v>
      </c>
      <c r="N18" s="61">
        <f>'10'!N108</f>
        <v>185.72083333333339</v>
      </c>
      <c r="O18" s="61">
        <f>'10'!O108</f>
        <v>0.25</v>
      </c>
      <c r="P18" s="202">
        <f>'10'!P108</f>
        <v>0.49739583333333326</v>
      </c>
      <c r="Q18" s="61">
        <f>'10'!Q108</f>
        <v>9.2888541666666598</v>
      </c>
      <c r="R18" s="118"/>
      <c r="S18" s="118"/>
      <c r="T18" s="118"/>
      <c r="U18" s="118"/>
    </row>
    <row r="19" spans="1:21" x14ac:dyDescent="0.25">
      <c r="A19" s="94">
        <f>'11'!$B$2</f>
        <v>45819.010416666664</v>
      </c>
      <c r="B19" s="61">
        <f>'11'!B108</f>
        <v>8.8118750000000041</v>
      </c>
      <c r="C19" s="61">
        <f>'11'!C108</f>
        <v>24.841250000000002</v>
      </c>
      <c r="D19" s="61">
        <f>'11'!D108</f>
        <v>34.041458333333345</v>
      </c>
      <c r="E19" s="61">
        <f>'11'!E108</f>
        <v>5.230312500000001</v>
      </c>
      <c r="F19" s="61">
        <f>'11'!F108</f>
        <v>12.171562500000002</v>
      </c>
      <c r="G19" s="99">
        <f>'11'!$G$108</f>
        <v>40.740416666666647</v>
      </c>
      <c r="H19" s="61">
        <f>'11'!H108</f>
        <v>13.705</v>
      </c>
      <c r="I19" s="61">
        <f>'11'!I108</f>
        <v>4.006875</v>
      </c>
      <c r="J19" s="61">
        <f>'11'!J108</f>
        <v>0.44447916666666676</v>
      </c>
      <c r="K19" s="61">
        <f>'11'!K108</f>
        <v>135.98822916666666</v>
      </c>
      <c r="L19" s="61">
        <f>'11'!L108</f>
        <v>28.779895833333338</v>
      </c>
      <c r="M19" s="61">
        <f>'11'!M108</f>
        <v>73.609479166666659</v>
      </c>
      <c r="N19" s="61">
        <f>'11'!N108</f>
        <v>277.15520833333329</v>
      </c>
      <c r="O19" s="61">
        <f>'11'!O108</f>
        <v>0</v>
      </c>
      <c r="P19" s="202">
        <f>'11'!P108</f>
        <v>0.4931250000000002</v>
      </c>
      <c r="Q19" s="61">
        <f>'11'!Q108</f>
        <v>9.3694791666666664</v>
      </c>
      <c r="R19" s="118"/>
      <c r="S19" s="118"/>
      <c r="T19" s="118"/>
      <c r="U19" s="118"/>
    </row>
    <row r="20" spans="1:21" x14ac:dyDescent="0.25">
      <c r="A20" s="94" t="str">
        <f>'12'!$B$2</f>
        <v>12/06/2025 00:15</v>
      </c>
      <c r="B20" s="61">
        <f>'12'!B108</f>
        <v>6.4203125000000005</v>
      </c>
      <c r="C20" s="61">
        <f>'12'!C108</f>
        <v>17.681874999999998</v>
      </c>
      <c r="D20" s="61">
        <f>'12'!D108</f>
        <v>23.996041666666667</v>
      </c>
      <c r="E20" s="61">
        <f>'12'!E108</f>
        <v>5.25875</v>
      </c>
      <c r="F20" s="61">
        <f>'12'!F108</f>
        <v>12.841979166666674</v>
      </c>
      <c r="G20" s="101">
        <f>'12'!$G$108</f>
        <v>31.343645833333337</v>
      </c>
      <c r="H20" s="61">
        <f>'12'!H108</f>
        <v>25.226145833333334</v>
      </c>
      <c r="I20" s="61">
        <f>'12'!I108</f>
        <v>4.0011458333333332</v>
      </c>
      <c r="J20" s="61">
        <f>'12'!J108</f>
        <v>0.70572916666666685</v>
      </c>
      <c r="K20" s="61">
        <f>'12'!K108</f>
        <v>122.03875000000004</v>
      </c>
      <c r="L20" s="61">
        <f>'12'!L108</f>
        <v>30.022083333333331</v>
      </c>
      <c r="M20" s="61">
        <f>'12'!M108</f>
        <v>62.61739583333334</v>
      </c>
      <c r="N20" s="61">
        <f>'12'!N108</f>
        <v>290.3385416666668</v>
      </c>
      <c r="O20" s="61">
        <f>'12'!O108</f>
        <v>0</v>
      </c>
      <c r="P20" s="202">
        <f>'12'!P108</f>
        <v>0.3066666666666667</v>
      </c>
      <c r="Q20" s="61">
        <f>'12'!Q108</f>
        <v>9.2690624999999951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13/06/2025 00:15</v>
      </c>
      <c r="B21" s="91">
        <f>'13'!B108</f>
        <v>5.8054166666666651</v>
      </c>
      <c r="C21" s="91">
        <f>'13'!C108</f>
        <v>18.398645833333337</v>
      </c>
      <c r="D21" s="91">
        <f>'13'!D108</f>
        <v>26.31302083333334</v>
      </c>
      <c r="E21" s="91">
        <f>'13'!E108</f>
        <v>4.84375</v>
      </c>
      <c r="F21" s="91">
        <f>'13'!F108</f>
        <v>13.895520833333331</v>
      </c>
      <c r="G21" s="100">
        <f>'13'!$G$108</f>
        <v>16.504999999999999</v>
      </c>
      <c r="H21" s="91">
        <f>'13'!H108</f>
        <v>51.099791666666697</v>
      </c>
      <c r="I21" s="91">
        <f>'13'!I108</f>
        <v>4.0048958333333333</v>
      </c>
      <c r="J21" s="91">
        <f>'13'!J108</f>
        <v>0.43395833333333306</v>
      </c>
      <c r="K21" s="91">
        <f>'13'!K108</f>
        <v>157.72583333333333</v>
      </c>
      <c r="L21" s="91">
        <f>'13'!L108</f>
        <v>30.217187499999991</v>
      </c>
      <c r="M21" s="91">
        <f>'13'!M108</f>
        <v>71.845312500000006</v>
      </c>
      <c r="N21" s="91">
        <f>'13'!N108</f>
        <v>290.46770833333335</v>
      </c>
      <c r="O21" s="91">
        <f>'13'!O108</f>
        <v>1.8749999999999999E-2</v>
      </c>
      <c r="P21" s="203">
        <f>'13'!P108</f>
        <v>0.3276041666666667</v>
      </c>
      <c r="Q21" s="91">
        <f>'13'!Q108</f>
        <v>9.2240624999999952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14/06/2025 00:15</v>
      </c>
      <c r="B22" s="90">
        <f>'14'!B108</f>
        <v>5.5339583333333335</v>
      </c>
      <c r="C22" s="90">
        <f>'14'!C108</f>
        <v>18.907395833333339</v>
      </c>
      <c r="D22" s="90">
        <f>'14'!D108</f>
        <v>27.694687500000011</v>
      </c>
      <c r="E22" s="90">
        <f>'14'!E108</f>
        <v>4.7316666666666674</v>
      </c>
      <c r="F22" s="90">
        <f>'14'!F108</f>
        <v>13.517083333333332</v>
      </c>
      <c r="G22" s="100">
        <f>'14'!$G$108</f>
        <v>29.285416666666674</v>
      </c>
      <c r="H22" s="100">
        <f>'14'!$G$108</f>
        <v>29.285416666666674</v>
      </c>
      <c r="I22" s="90">
        <f>'14'!I108</f>
        <v>3.9889583333333327</v>
      </c>
      <c r="J22" s="90">
        <f>'14'!J108</f>
        <v>0.34541666666666671</v>
      </c>
      <c r="K22" s="90">
        <f>'14'!K108</f>
        <v>207.49437499999996</v>
      </c>
      <c r="L22" s="90">
        <f>'14'!L108</f>
        <v>29.882500000000011</v>
      </c>
      <c r="M22" s="90">
        <f>'14'!M108</f>
        <v>75.201770833333327</v>
      </c>
      <c r="N22" s="90">
        <f>'14'!N108</f>
        <v>244.43749999999997</v>
      </c>
      <c r="O22" s="90">
        <f>'14'!O108</f>
        <v>0</v>
      </c>
      <c r="P22" s="204">
        <f>'14'!P108</f>
        <v>0.43791666666666673</v>
      </c>
      <c r="Q22" s="90">
        <f>'14'!Q108</f>
        <v>9.2182291666666618</v>
      </c>
      <c r="R22" s="206"/>
      <c r="S22" s="206"/>
      <c r="T22" s="206"/>
      <c r="U22" s="206"/>
    </row>
    <row r="23" spans="1:21" x14ac:dyDescent="0.25">
      <c r="A23" s="94" t="str">
        <f>'15'!$B$2</f>
        <v>15/06/2025 00:15</v>
      </c>
      <c r="B23" s="61">
        <f>'15'!B108</f>
        <v>6.0398958333333335</v>
      </c>
      <c r="C23" s="61">
        <f>'15'!C108</f>
        <v>17.249791666666663</v>
      </c>
      <c r="D23" s="61">
        <f>'15'!D108</f>
        <v>23.745000000000005</v>
      </c>
      <c r="E23" s="61">
        <f>'15'!E108</f>
        <v>4.9398958333333338</v>
      </c>
      <c r="F23" s="61">
        <f>'15'!F108</f>
        <v>10.355624999999998</v>
      </c>
      <c r="G23" s="100">
        <f>'15'!$G$108</f>
        <v>19.137916666666666</v>
      </c>
      <c r="H23" s="61">
        <f>'15'!H108</f>
        <v>389.55958333333342</v>
      </c>
      <c r="I23" s="61">
        <f>'15'!I108</f>
        <v>4.0034374999999995</v>
      </c>
      <c r="J23" s="61">
        <f>'15'!J108</f>
        <v>0.30156250000000001</v>
      </c>
      <c r="K23" s="61">
        <f>'15'!K108</f>
        <v>211.70281250000005</v>
      </c>
      <c r="L23" s="61">
        <f>'15'!L108</f>
        <v>29.359479166666663</v>
      </c>
      <c r="M23" s="61">
        <f>'15'!M108</f>
        <v>78.219374999999971</v>
      </c>
      <c r="N23" s="61">
        <f>'15'!N108</f>
        <v>244.39166666666677</v>
      </c>
      <c r="O23" s="61">
        <f>'15'!O108</f>
        <v>1.0416666666666666E-2</v>
      </c>
      <c r="P23" s="202">
        <f>'15'!P108</f>
        <v>0.35624999999999996</v>
      </c>
      <c r="Q23" s="61">
        <f>'15'!Q108</f>
        <v>9.2058333333333344</v>
      </c>
      <c r="R23" s="118"/>
      <c r="S23" s="118"/>
      <c r="T23" s="118"/>
      <c r="U23" s="118"/>
    </row>
    <row r="24" spans="1:21" x14ac:dyDescent="0.25">
      <c r="A24" s="94" t="str">
        <f>'16'!$B$2</f>
        <v>16/06/2025 00:15</v>
      </c>
      <c r="B24" s="61">
        <f>'16'!B108</f>
        <v>7.3120833333333328</v>
      </c>
      <c r="C24" s="61">
        <f>'16'!C108</f>
        <v>18.2075</v>
      </c>
      <c r="D24" s="61">
        <f>'16'!D108</f>
        <v>23.625520833333336</v>
      </c>
      <c r="E24" s="61">
        <f>'16'!E108</f>
        <v>4.5943750000000003</v>
      </c>
      <c r="F24" s="61">
        <f>'16'!F108</f>
        <v>8.7077083333333309</v>
      </c>
      <c r="G24" s="100">
        <f>'16'!$G$108</f>
        <v>34.130520833333343</v>
      </c>
      <c r="H24" s="61">
        <f>'16'!H108</f>
        <v>67.648020833333391</v>
      </c>
      <c r="I24" s="61">
        <f>'16'!I108</f>
        <v>3.9979166666666672</v>
      </c>
      <c r="J24" s="61">
        <f>'16'!J108</f>
        <v>0.45750000000000007</v>
      </c>
      <c r="K24" s="61">
        <f>'16'!K108</f>
        <v>173.80718750000003</v>
      </c>
      <c r="L24" s="61">
        <f>'16'!L108</f>
        <v>27.78135416666667</v>
      </c>
      <c r="M24" s="61">
        <f>'16'!M108</f>
        <v>85.072395833333317</v>
      </c>
      <c r="N24" s="61">
        <f>'16'!N108</f>
        <v>221.59583333333327</v>
      </c>
      <c r="O24" s="61">
        <f>'16'!O108</f>
        <v>0</v>
      </c>
      <c r="P24" s="202">
        <f>'16'!P108</f>
        <v>0.25406250000000002</v>
      </c>
      <c r="Q24" s="61">
        <f>'16'!Q108</f>
        <v>9.2529166666666622</v>
      </c>
      <c r="R24" s="118"/>
      <c r="S24" s="118"/>
      <c r="T24" s="118"/>
      <c r="U24" s="118"/>
    </row>
    <row r="25" spans="1:21" x14ac:dyDescent="0.25">
      <c r="A25" s="94" t="str">
        <f>'17'!$B$2</f>
        <v>17/06/2025 00:15</v>
      </c>
      <c r="B25" s="61">
        <f>'17'!B108</f>
        <v>5.8584375000000009</v>
      </c>
      <c r="C25" s="61">
        <f>'17'!C108</f>
        <v>16.647083333333331</v>
      </c>
      <c r="D25" s="61">
        <f>'17'!D108</f>
        <v>22.871354166666666</v>
      </c>
      <c r="E25" s="61">
        <f>'17'!E108</f>
        <v>4.4276041666666659</v>
      </c>
      <c r="F25" s="61">
        <f>'17'!F108</f>
        <v>6.160208333333336</v>
      </c>
      <c r="G25" s="101">
        <f>'17'!$G$108</f>
        <v>46.568437500000037</v>
      </c>
      <c r="H25" s="61">
        <f>'17'!H108</f>
        <v>775.20968750000009</v>
      </c>
      <c r="I25" s="61">
        <f>'17'!I108</f>
        <v>4.0086458333333326</v>
      </c>
      <c r="J25" s="61">
        <f>'17'!J108</f>
        <v>0.20072916666666671</v>
      </c>
      <c r="K25" s="61">
        <f>'17'!K108</f>
        <v>270.79552083333328</v>
      </c>
      <c r="L25" s="61">
        <f>'17'!L108</f>
        <v>27.595729166666668</v>
      </c>
      <c r="M25" s="61">
        <f>'17'!M108</f>
        <v>81.816354166666613</v>
      </c>
      <c r="N25" s="61">
        <f>'17'!N108</f>
        <v>161.13020833333334</v>
      </c>
      <c r="O25" s="61">
        <f>'17'!O108</f>
        <v>0</v>
      </c>
      <c r="P25" s="202">
        <f>'17'!P108</f>
        <v>0.31124999999999997</v>
      </c>
      <c r="Q25" s="61">
        <f>'17'!Q108</f>
        <v>9.1978124999999977</v>
      </c>
      <c r="R25" s="118"/>
      <c r="S25" s="118"/>
      <c r="T25" s="118"/>
      <c r="U25" s="118"/>
    </row>
    <row r="26" spans="1:21" x14ac:dyDescent="0.25">
      <c r="A26" s="94" t="str">
        <f>'18'!$B$2</f>
        <v>18/06/2025 00:15</v>
      </c>
      <c r="B26" s="61">
        <f>'18'!B108</f>
        <v>7.3686458333333356</v>
      </c>
      <c r="C26" s="61">
        <f>'18'!C108</f>
        <v>19.66739583333333</v>
      </c>
      <c r="D26" s="61">
        <f>'18'!D108</f>
        <v>26.334062499999991</v>
      </c>
      <c r="E26" s="61">
        <f>'18'!E108</f>
        <v>4.7887500000000012</v>
      </c>
      <c r="F26" s="61">
        <f>'18'!F108</f>
        <v>6.9463541666666693</v>
      </c>
      <c r="G26" s="99">
        <f>'18'!$G$108</f>
        <v>65.508749999999978</v>
      </c>
      <c r="H26" s="61">
        <f>'18'!H108</f>
        <v>380.57187500000009</v>
      </c>
      <c r="I26" s="61">
        <f>'18'!I108</f>
        <v>4.008958333333335</v>
      </c>
      <c r="J26" s="61">
        <f>'18'!J108</f>
        <v>0.21187499999999992</v>
      </c>
      <c r="K26" s="61">
        <f>'18'!K108</f>
        <v>230.55260416666661</v>
      </c>
      <c r="L26" s="61">
        <f>'18'!L108</f>
        <v>27.547187499999993</v>
      </c>
      <c r="M26" s="61">
        <f>'18'!M108</f>
        <v>77.560416666666683</v>
      </c>
      <c r="N26" s="61">
        <f>'18'!N108</f>
        <v>125.12499999999999</v>
      </c>
      <c r="O26" s="61">
        <f>'18'!O108</f>
        <v>0</v>
      </c>
      <c r="P26" s="202">
        <f>'18'!P108</f>
        <v>0.2904166666666666</v>
      </c>
      <c r="Q26" s="61">
        <f>'18'!Q108</f>
        <v>9.2531249999999989</v>
      </c>
      <c r="R26" s="118"/>
      <c r="S26" s="118"/>
      <c r="T26" s="118"/>
      <c r="U26" s="118"/>
    </row>
    <row r="27" spans="1:21" x14ac:dyDescent="0.25">
      <c r="A27" s="94" t="str">
        <f>'19'!$B$2</f>
        <v>19/06/2025 00:15</v>
      </c>
      <c r="B27" s="61">
        <f>'19'!B108</f>
        <v>8.3176041666666709</v>
      </c>
      <c r="C27" s="61">
        <f>'19'!C108</f>
        <v>17.500000000000004</v>
      </c>
      <c r="D27" s="61">
        <f>'19'!D108</f>
        <v>20.728854166666668</v>
      </c>
      <c r="E27" s="61">
        <f>'19'!E108</f>
        <v>3.9583333333333344</v>
      </c>
      <c r="F27" s="61">
        <f>'19'!F108</f>
        <v>6.011145833333333</v>
      </c>
      <c r="G27" s="61">
        <f>'19'!G108</f>
        <v>45.302708333333321</v>
      </c>
      <c r="H27" s="61">
        <f>'19'!H108</f>
        <v>89.337083333333268</v>
      </c>
      <c r="I27" s="61">
        <f>'19'!I108</f>
        <v>4.0092708333333329</v>
      </c>
      <c r="J27" s="61">
        <f>'19'!J108</f>
        <v>0.15822916666666667</v>
      </c>
      <c r="K27" s="61">
        <f>'19'!K108</f>
        <v>247.37114583333326</v>
      </c>
      <c r="L27" s="61">
        <f>'19'!L108</f>
        <v>26.547291666666666</v>
      </c>
      <c r="M27" s="61">
        <f>'19'!M108</f>
        <v>85.272812499999944</v>
      </c>
      <c r="N27" s="61">
        <f>'19'!N108</f>
        <v>114.9875</v>
      </c>
      <c r="O27" s="61">
        <f>'19'!O108</f>
        <v>2.0833333333333333E-3</v>
      </c>
      <c r="P27" s="202">
        <f>'19'!P108</f>
        <v>0.2434375</v>
      </c>
      <c r="Q27" s="61">
        <f>'19'!Q108</f>
        <v>9.2046875000000021</v>
      </c>
      <c r="R27" s="118"/>
      <c r="S27" s="118"/>
      <c r="T27" s="118"/>
      <c r="U27" s="118"/>
    </row>
    <row r="28" spans="1:21" x14ac:dyDescent="0.25">
      <c r="A28" s="94" t="str">
        <f>'20'!$B$2</f>
        <v>20/06/2025 00:15</v>
      </c>
      <c r="B28" s="61">
        <f>'20'!B108</f>
        <v>7.5526041666666677</v>
      </c>
      <c r="C28" s="61">
        <f>'20'!C108</f>
        <v>17.582291666666666</v>
      </c>
      <c r="D28" s="61">
        <f>'20'!D108</f>
        <v>22.059687500000006</v>
      </c>
      <c r="E28" s="61">
        <f>'20'!E108</f>
        <v>3.1137500000000014</v>
      </c>
      <c r="F28" s="61">
        <f>'20'!F108</f>
        <v>4.7148958333333333</v>
      </c>
      <c r="G28" s="61">
        <f>'20'!G108</f>
        <v>43.80781249999999</v>
      </c>
      <c r="H28" s="61">
        <f>'20'!H108</f>
        <v>36.789479166666673</v>
      </c>
      <c r="I28" s="61">
        <f>'20'!I108</f>
        <v>3.9793750000000006</v>
      </c>
      <c r="J28" s="61">
        <f>'20'!J108</f>
        <v>0.42708333333333326</v>
      </c>
      <c r="K28" s="61">
        <f>'20'!K108</f>
        <v>268.1459375</v>
      </c>
      <c r="L28" s="61">
        <f>'20'!L108</f>
        <v>25.022395833333331</v>
      </c>
      <c r="M28" s="61">
        <f>'20'!M108</f>
        <v>91.50031249999995</v>
      </c>
      <c r="N28" s="61">
        <f>'20'!N108</f>
        <v>131.12187500000002</v>
      </c>
      <c r="O28" s="61">
        <f>'20'!O108</f>
        <v>6.2500000000000012E-3</v>
      </c>
      <c r="P28" s="202">
        <f>'20'!P108</f>
        <v>0.34093749999999989</v>
      </c>
      <c r="Q28" s="61">
        <f>'20'!Q108</f>
        <v>9.170000000000007</v>
      </c>
      <c r="R28" s="118"/>
      <c r="S28" s="118"/>
      <c r="T28" s="118"/>
      <c r="U28" s="118"/>
    </row>
    <row r="29" spans="1:21" x14ac:dyDescent="0.25">
      <c r="A29" s="94" t="str">
        <f>'21'!$B$2</f>
        <v>21/06/2025 00:15</v>
      </c>
      <c r="B29" s="61">
        <f>'21'!B108</f>
        <v>8.8929166666666681</v>
      </c>
      <c r="C29" s="61">
        <f>'21'!C108</f>
        <v>19.295104166666658</v>
      </c>
      <c r="D29" s="61">
        <f>'21'!D108</f>
        <v>23.280937499999997</v>
      </c>
      <c r="E29" s="61">
        <f>'21'!E108</f>
        <v>5.4446875000000015</v>
      </c>
      <c r="F29" s="61">
        <f>'21'!F108</f>
        <v>5.6614583333333357</v>
      </c>
      <c r="G29" s="61">
        <f>'21'!G108</f>
        <v>67.994687500000012</v>
      </c>
      <c r="H29" s="61">
        <f>'21'!H108</f>
        <v>17.918229166666666</v>
      </c>
      <c r="I29" s="61">
        <f>'21'!I108</f>
        <v>4.0053125000000014</v>
      </c>
      <c r="J29" s="61">
        <f>'21'!J108</f>
        <v>0.28864583333333321</v>
      </c>
      <c r="K29" s="61">
        <f>'21'!K108</f>
        <v>253.3002083333333</v>
      </c>
      <c r="L29" s="61">
        <f>'21'!L108</f>
        <v>29.078645833333336</v>
      </c>
      <c r="M29" s="61">
        <f>'21'!M108</f>
        <v>68.274479166666666</v>
      </c>
      <c r="N29" s="61">
        <f>'21'!N108</f>
        <v>229.34583333333339</v>
      </c>
      <c r="O29" s="61">
        <f>'21'!O108</f>
        <v>0</v>
      </c>
      <c r="P29" s="202">
        <f>'21'!P108</f>
        <v>0.40947916666666678</v>
      </c>
      <c r="Q29" s="61">
        <f>'21'!Q108</f>
        <v>9.2169791666666612</v>
      </c>
      <c r="R29" s="118"/>
      <c r="S29" s="118"/>
      <c r="T29" s="118"/>
      <c r="U29" s="118"/>
    </row>
    <row r="30" spans="1:21" x14ac:dyDescent="0.25">
      <c r="A30" s="94" t="str">
        <f>'22'!$B$2</f>
        <v>22/06/2025 00:15</v>
      </c>
      <c r="B30" s="61">
        <f>'22'!B108</f>
        <v>7.8683333333333332</v>
      </c>
      <c r="C30" s="61">
        <f>'22'!C108</f>
        <v>16.90552083333333</v>
      </c>
      <c r="D30" s="61">
        <f>'22'!D108</f>
        <v>20.281666666666656</v>
      </c>
      <c r="E30" s="61">
        <f>'22'!E108</f>
        <v>4.535000000000001</v>
      </c>
      <c r="F30" s="61">
        <f>'22'!F108</f>
        <v>4.8866666666666676</v>
      </c>
      <c r="G30" s="61">
        <f>'22'!G108</f>
        <v>62.558229166666656</v>
      </c>
      <c r="H30" s="61">
        <f>'22'!H108</f>
        <v>49.2948958333333</v>
      </c>
      <c r="I30" s="61">
        <f>'22'!I108</f>
        <v>3.9919791666666682</v>
      </c>
      <c r="J30" s="61">
        <f>'22'!J108</f>
        <v>0.33208333333333323</v>
      </c>
      <c r="K30" s="61">
        <f>'22'!K108</f>
        <v>294.3058333333334</v>
      </c>
      <c r="L30" s="61">
        <f>'22'!L108</f>
        <v>27.681666666666676</v>
      </c>
      <c r="M30" s="61">
        <f>'22'!M108</f>
        <v>75.290625000000006</v>
      </c>
      <c r="N30" s="61">
        <f>'22'!N108</f>
        <v>179.34062499999985</v>
      </c>
      <c r="O30" s="61">
        <f>'22'!O108</f>
        <v>0</v>
      </c>
      <c r="P30" s="202">
        <f>'22'!P108</f>
        <v>0.34354166666666669</v>
      </c>
      <c r="Q30" s="61">
        <f>'22'!Q108</f>
        <v>9.1732291666666583</v>
      </c>
      <c r="R30" s="118"/>
      <c r="S30" s="118"/>
      <c r="T30" s="118"/>
      <c r="U30" s="118"/>
    </row>
    <row r="31" spans="1:21" x14ac:dyDescent="0.25">
      <c r="A31" s="94" t="str">
        <f>'23'!$B$2</f>
        <v>23/06/2025 00:15</v>
      </c>
      <c r="B31" s="61">
        <f>'23'!B108</f>
        <v>7.5923958333333319</v>
      </c>
      <c r="C31" s="61">
        <f>'23'!C108</f>
        <v>16.040937499999998</v>
      </c>
      <c r="D31" s="61">
        <f>'23'!D108</f>
        <v>19.049583333333334</v>
      </c>
      <c r="E31" s="61">
        <f>'23'!E108</f>
        <v>4.4340624999999996</v>
      </c>
      <c r="F31" s="61">
        <f>'23'!F108</f>
        <v>4.4373958333333334</v>
      </c>
      <c r="G31" s="61">
        <f>'23'!G108</f>
        <v>52.0488541666667</v>
      </c>
      <c r="H31" s="61">
        <f>'23'!H108</f>
        <v>41.314375000000013</v>
      </c>
      <c r="I31" s="61">
        <f>'23'!I108</f>
        <v>4.0001041666666648</v>
      </c>
      <c r="J31" s="61">
        <f>'23'!J108</f>
        <v>0.28395833333333337</v>
      </c>
      <c r="K31" s="61">
        <f>'23'!K108</f>
        <v>286.03958333333338</v>
      </c>
      <c r="L31" s="61">
        <f>'23'!L108</f>
        <v>26.995729166666674</v>
      </c>
      <c r="M31" s="61">
        <f>'23'!M108</f>
        <v>79.76947916666667</v>
      </c>
      <c r="N31" s="61">
        <f>'23'!N108</f>
        <v>147.52395833333335</v>
      </c>
      <c r="O31" s="61">
        <f>'23'!O108</f>
        <v>0</v>
      </c>
      <c r="P31" s="202">
        <f>'23'!P108</f>
        <v>0.32624999999999998</v>
      </c>
      <c r="Q31" s="61">
        <f>'23'!Q108</f>
        <v>9.1754166666666706</v>
      </c>
      <c r="R31" s="118"/>
      <c r="S31" s="207"/>
      <c r="T31" s="118"/>
      <c r="U31" s="118"/>
    </row>
    <row r="32" spans="1:21" x14ac:dyDescent="0.25">
      <c r="A32" s="94" t="str">
        <f>'24'!$B$2</f>
        <v>24/06/2025 00:15</v>
      </c>
      <c r="B32" s="61">
        <f>'24'!B108</f>
        <v>6.0439583333333315</v>
      </c>
      <c r="C32" s="61">
        <f>'24'!C108</f>
        <v>13.784270833333338</v>
      </c>
      <c r="D32" s="61">
        <f>'24'!D108</f>
        <v>17.106562500000006</v>
      </c>
      <c r="E32" s="61">
        <f>'24'!E108</f>
        <v>4.8408333333333315</v>
      </c>
      <c r="F32" s="61">
        <f>'24'!F108</f>
        <v>4.2763541666666667</v>
      </c>
      <c r="G32" s="61">
        <f>'24'!G108</f>
        <v>39.917187500000004</v>
      </c>
      <c r="H32" s="61">
        <f>'24'!H108</f>
        <v>8.7290624999999995</v>
      </c>
      <c r="I32" s="61">
        <f>'24'!I108</f>
        <v>3.9992708333333358</v>
      </c>
      <c r="J32" s="61">
        <f>'24'!J108</f>
        <v>0.19781249999999992</v>
      </c>
      <c r="K32" s="61">
        <f>'24'!K108</f>
        <v>267.4016666666667</v>
      </c>
      <c r="L32" s="61">
        <f>'24'!L108</f>
        <v>24.988854166666655</v>
      </c>
      <c r="M32" s="61">
        <f>'24'!M108</f>
        <v>93.974583333333314</v>
      </c>
      <c r="N32" s="61">
        <f>'24'!N108</f>
        <v>107.0260416666667</v>
      </c>
      <c r="O32" s="61">
        <f>'24'!O108</f>
        <v>4.1666666666666666E-3</v>
      </c>
      <c r="P32" s="202">
        <f>'24'!P108</f>
        <v>0.27125000000000005</v>
      </c>
      <c r="Q32" s="61">
        <f>'24'!Q108</f>
        <v>9.087812499999993</v>
      </c>
      <c r="R32" s="118"/>
      <c r="S32" s="118"/>
      <c r="T32" s="118"/>
      <c r="U32" s="118"/>
    </row>
    <row r="33" spans="1:21" x14ac:dyDescent="0.25">
      <c r="A33" s="94" t="str">
        <f>'25'!$B$2</f>
        <v>25/06/2025 00:15</v>
      </c>
      <c r="B33" s="61">
        <f>'25'!B108</f>
        <v>11.084583333333329</v>
      </c>
      <c r="C33" s="61">
        <f>'25'!C108</f>
        <v>21.619166666666661</v>
      </c>
      <c r="D33" s="61">
        <f>'25'!D108</f>
        <v>19.759895833333335</v>
      </c>
      <c r="E33" s="61">
        <f>'25'!E108</f>
        <v>9.7516666666666652</v>
      </c>
      <c r="F33" s="61">
        <f>'25'!F108</f>
        <v>4.9127083333333337</v>
      </c>
      <c r="G33" s="61">
        <f>'25'!G108</f>
        <v>40.536041666666684</v>
      </c>
      <c r="H33" s="61">
        <f>'25'!H108</f>
        <v>7.4612499999999988</v>
      </c>
      <c r="I33" s="61">
        <f>'25'!I108</f>
        <v>4.007291666666668</v>
      </c>
      <c r="J33" s="61">
        <f>'25'!J108</f>
        <v>0.1829166666666667</v>
      </c>
      <c r="K33" s="61">
        <f>'25'!K108</f>
        <v>269.30833333333322</v>
      </c>
      <c r="L33" s="61">
        <f>'25'!L108</f>
        <v>25.433333333333334</v>
      </c>
      <c r="M33" s="61">
        <f>'25'!M108</f>
        <v>91.114479166666641</v>
      </c>
      <c r="N33" s="61">
        <f>'25'!N108</f>
        <v>153.96874999999997</v>
      </c>
      <c r="O33" s="61">
        <f>'25'!O108</f>
        <v>1.6666666666666666E-2</v>
      </c>
      <c r="P33" s="202">
        <f>'25'!P108</f>
        <v>0.44010416666666691</v>
      </c>
      <c r="Q33" s="61">
        <f>'25'!Q108</f>
        <v>8.9713541666666625</v>
      </c>
      <c r="R33" s="118"/>
      <c r="S33" s="207"/>
      <c r="T33" s="118"/>
      <c r="U33" s="118"/>
    </row>
    <row r="34" spans="1:21" x14ac:dyDescent="0.25">
      <c r="A34" s="94" t="str">
        <f>'26'!$B$2</f>
        <v>26/06/2025 00:15</v>
      </c>
      <c r="B34" s="61">
        <f>'26'!B108</f>
        <v>8.0615625000000026</v>
      </c>
      <c r="C34" s="61">
        <f>'26'!C108</f>
        <v>15.302708333333333</v>
      </c>
      <c r="D34" s="61">
        <f>'26'!D108</f>
        <v>13.486354166666663</v>
      </c>
      <c r="E34" s="61">
        <f>'26'!E108</f>
        <v>4.3881250000000005</v>
      </c>
      <c r="F34" s="61">
        <f>'26'!F108</f>
        <v>5.7495833333333337</v>
      </c>
      <c r="G34" s="61">
        <f>'26'!G108</f>
        <v>20.297083333333344</v>
      </c>
      <c r="H34" s="61">
        <f>'26'!H108</f>
        <v>6.0409375000000018</v>
      </c>
      <c r="I34" s="61">
        <f>'26'!I108</f>
        <v>2.3294791666666668</v>
      </c>
      <c r="J34" s="61">
        <f>'26'!J108</f>
        <v>0.13708333333333342</v>
      </c>
      <c r="K34" s="61">
        <f>'26'!K108</f>
        <v>266.96062499999999</v>
      </c>
      <c r="L34" s="61">
        <f>'26'!L108</f>
        <v>24.626979166666661</v>
      </c>
      <c r="M34" s="61">
        <f>'26'!M108</f>
        <v>95.851979166666624</v>
      </c>
      <c r="N34" s="61">
        <f>'26'!N108</f>
        <v>140.19479166666665</v>
      </c>
      <c r="O34" s="61">
        <f>'26'!O108</f>
        <v>0.14791666666666667</v>
      </c>
      <c r="P34" s="202">
        <f>'26'!P108</f>
        <v>0.29968749999999994</v>
      </c>
      <c r="Q34" s="61">
        <f>'26'!Q108</f>
        <v>9.1382291666666635</v>
      </c>
      <c r="R34" s="118"/>
      <c r="S34" s="118"/>
      <c r="T34" s="118"/>
      <c r="U34" s="118"/>
    </row>
    <row r="35" spans="1:21" x14ac:dyDescent="0.25">
      <c r="A35" s="94" t="str">
        <f>'27'!$B$2</f>
        <v>27/06/2025 00:15</v>
      </c>
      <c r="B35" s="61">
        <f>'27'!B108</f>
        <v>7.326666666666668</v>
      </c>
      <c r="C35" s="61">
        <f>'27'!C108</f>
        <v>14.393645833333338</v>
      </c>
      <c r="D35" s="61">
        <f>'27'!D108</f>
        <v>13.395937500000002</v>
      </c>
      <c r="E35" s="61">
        <f>'27'!E108</f>
        <v>4.1968749999999995</v>
      </c>
      <c r="F35" s="61">
        <f>'27'!F108</f>
        <v>4.8213541666666675</v>
      </c>
      <c r="G35" s="61">
        <f>'27'!G108</f>
        <v>27.293958333333322</v>
      </c>
      <c r="H35" s="61">
        <f>'27'!H108</f>
        <v>6.1660416666666658</v>
      </c>
      <c r="I35" s="61">
        <f>'27'!I108</f>
        <v>0.87604166666666661</v>
      </c>
      <c r="J35" s="61">
        <f>'27'!J108</f>
        <v>0.17479166666666668</v>
      </c>
      <c r="K35" s="61">
        <f>'27'!K108</f>
        <v>288.10093749999987</v>
      </c>
      <c r="L35" s="61">
        <f>'27'!L108</f>
        <v>25.179270833333334</v>
      </c>
      <c r="M35" s="61">
        <f>'27'!M108</f>
        <v>91.104375000000005</v>
      </c>
      <c r="N35" s="61">
        <f>'27'!N108</f>
        <v>143.69791666666669</v>
      </c>
      <c r="O35" s="61">
        <f>'27'!O108</f>
        <v>2.9166666666666671E-2</v>
      </c>
      <c r="P35" s="202">
        <f>'27'!P108</f>
        <v>0.30531249999999993</v>
      </c>
      <c r="Q35" s="61">
        <f>'27'!Q108</f>
        <v>9.0781249999999964</v>
      </c>
      <c r="R35" s="118"/>
      <c r="S35" s="118"/>
      <c r="T35" s="118"/>
      <c r="U35" s="118"/>
    </row>
    <row r="36" spans="1:21" x14ac:dyDescent="0.25">
      <c r="A36" s="94" t="str">
        <f>'28'!$B$2</f>
        <v>28/06/2025 00:15</v>
      </c>
      <c r="B36" s="61">
        <f>'28'!B108</f>
        <v>10.457395833333335</v>
      </c>
      <c r="C36" s="61">
        <f>'28'!C108</f>
        <v>14.876875000000004</v>
      </c>
      <c r="D36" s="61">
        <f>'28'!D108</f>
        <v>16.158437499999994</v>
      </c>
      <c r="E36" s="61">
        <f>'28'!E108</f>
        <v>4.2652083333333337</v>
      </c>
      <c r="F36" s="61">
        <f>'28'!F108</f>
        <v>4.63375</v>
      </c>
      <c r="G36" s="61">
        <f>'28'!G108</f>
        <v>28.121979166666659</v>
      </c>
      <c r="H36" s="61">
        <f>'28'!H108</f>
        <v>7.5984374999999984</v>
      </c>
      <c r="I36" s="61">
        <f>'28'!I108</f>
        <v>1.7607291666666667</v>
      </c>
      <c r="J36" s="61">
        <f>'28'!J108</f>
        <v>0.2365624999999999</v>
      </c>
      <c r="K36" s="61">
        <f>'28'!K108</f>
        <v>265.75458333333353</v>
      </c>
      <c r="L36" s="61">
        <f>'28'!L108</f>
        <v>23.833229166666658</v>
      </c>
      <c r="M36" s="61">
        <f>'28'!M108</f>
        <v>95.37708333333326</v>
      </c>
      <c r="N36" s="61">
        <f>'28'!N108</f>
        <v>130.65624999999997</v>
      </c>
      <c r="O36" s="61">
        <f>'28'!O108</f>
        <v>0.17916666666666661</v>
      </c>
      <c r="P36" s="202">
        <f>'28'!P108</f>
        <v>0.46666666666666662</v>
      </c>
      <c r="Q36" s="61">
        <f>'28'!Q108</f>
        <v>9.1965625000000006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29/06/2025 00:15</v>
      </c>
      <c r="B37" s="61">
        <f>'29'!B108</f>
        <v>6.6129166666666679</v>
      </c>
      <c r="C37" s="61">
        <f>'29'!C108</f>
        <v>15.328333333333331</v>
      </c>
      <c r="D37" s="61">
        <f>'29'!D108</f>
        <v>13.312395833333328</v>
      </c>
      <c r="E37" s="61">
        <f>'29'!E108</f>
        <v>4.1522916666666658</v>
      </c>
      <c r="F37" s="61">
        <f>'29'!F108</f>
        <v>3.8060416666666659</v>
      </c>
      <c r="G37" s="61">
        <f>'29'!G108</f>
        <v>26.934270833333329</v>
      </c>
      <c r="H37" s="61">
        <f>'29'!H108</f>
        <v>8.8093749999999975</v>
      </c>
      <c r="I37" s="61">
        <f>'29'!I108</f>
        <v>1.4314583333333328</v>
      </c>
      <c r="J37" s="61">
        <f>'29'!J108</f>
        <v>0.31385416666666671</v>
      </c>
      <c r="K37" s="61">
        <f>'29'!K108</f>
        <v>298.04281249999991</v>
      </c>
      <c r="L37" s="61">
        <f>'29'!L108</f>
        <v>23.231875000000006</v>
      </c>
      <c r="M37" s="61">
        <f>'29'!M108</f>
        <v>96.710729166666738</v>
      </c>
      <c r="N37" s="61">
        <f>'29'!N108</f>
        <v>126.15104166666664</v>
      </c>
      <c r="O37" s="61">
        <f>'29'!O108</f>
        <v>2.0833333333333332E-2</v>
      </c>
      <c r="P37" s="202">
        <f>'29'!P108</f>
        <v>0.37260416666666685</v>
      </c>
      <c r="Q37" s="61">
        <f>'29'!Q108</f>
        <v>9.0924999999999994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30/06/2025 00:15</v>
      </c>
      <c r="B38" s="61">
        <f>'30'!B108</f>
        <v>10.514791666666669</v>
      </c>
      <c r="C38" s="61">
        <f>'30'!C108</f>
        <v>13.9453125</v>
      </c>
      <c r="D38" s="61">
        <f>'30'!D108</f>
        <v>15.718229166666672</v>
      </c>
      <c r="E38" s="61">
        <f>'30'!E108</f>
        <v>4.0746874999999987</v>
      </c>
      <c r="F38" s="61">
        <f>'30'!F108</f>
        <v>3.5079166666666661</v>
      </c>
      <c r="G38" s="61">
        <f>'30'!G108</f>
        <v>27.849687499999998</v>
      </c>
      <c r="H38" s="61">
        <f>'30'!H108</f>
        <v>6.2279166666666699</v>
      </c>
      <c r="I38" s="61">
        <f>'30'!I108</f>
        <v>1.6543750000000002</v>
      </c>
      <c r="J38" s="61">
        <f>'30'!J108</f>
        <v>0.21979166666666664</v>
      </c>
      <c r="K38" s="61">
        <f>'30'!K108</f>
        <v>304.25729166666656</v>
      </c>
      <c r="L38" s="61">
        <f>'30'!L108</f>
        <v>22.713750000000001</v>
      </c>
      <c r="M38" s="61">
        <f>'30'!M108</f>
        <v>97.551666666666691</v>
      </c>
      <c r="N38" s="61">
        <f>'30'!N108</f>
        <v>110.23437500000001</v>
      </c>
      <c r="O38" s="61">
        <f>'30'!O108</f>
        <v>6.666666666666668E-2</v>
      </c>
      <c r="P38" s="202">
        <f>'30'!P108</f>
        <v>0.3927083333333336</v>
      </c>
      <c r="Q38" s="61">
        <f>'30'!Q108</f>
        <v>9.2037499999999994</v>
      </c>
      <c r="R38" s="118"/>
      <c r="S38" s="118"/>
      <c r="T38" s="118"/>
      <c r="U38" s="118"/>
    </row>
    <row r="39" spans="1:21" s="54" customFormat="1" x14ac:dyDescent="0.25">
      <c r="A39" s="94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</row>
    <row r="40" spans="1:21" s="54" customFormat="1" x14ac:dyDescent="0.25">
      <c r="A40" s="94" t="s">
        <v>59</v>
      </c>
      <c r="B40" s="16">
        <f t="shared" ref="B40:Q40" si="0">MIN(B9:B38)</f>
        <v>5.1446875000000007</v>
      </c>
      <c r="C40" s="16">
        <f t="shared" si="0"/>
        <v>13.784270833333338</v>
      </c>
      <c r="D40" s="16">
        <f t="shared" si="0"/>
        <v>13.312395833333328</v>
      </c>
      <c r="E40" s="16">
        <f t="shared" si="0"/>
        <v>3.1137500000000014</v>
      </c>
      <c r="F40" s="16">
        <f t="shared" si="0"/>
        <v>3.5079166666666661</v>
      </c>
      <c r="G40" s="16">
        <f t="shared" si="0"/>
        <v>16.504999999999999</v>
      </c>
      <c r="H40" s="16">
        <f t="shared" si="0"/>
        <v>6.0409375000000018</v>
      </c>
      <c r="I40" s="16">
        <f t="shared" si="0"/>
        <v>0.87604166666666661</v>
      </c>
      <c r="J40" s="16">
        <f t="shared" si="0"/>
        <v>0.13708333333333342</v>
      </c>
      <c r="K40" s="16">
        <f t="shared" si="0"/>
        <v>122.03875000000004</v>
      </c>
      <c r="L40" s="16">
        <f t="shared" si="0"/>
        <v>22.713750000000001</v>
      </c>
      <c r="M40" s="16">
        <f t="shared" si="0"/>
        <v>42.662083333333342</v>
      </c>
      <c r="N40" s="16">
        <f t="shared" si="0"/>
        <v>107.0260416666667</v>
      </c>
      <c r="O40" s="16">
        <f t="shared" si="0"/>
        <v>0</v>
      </c>
      <c r="P40" s="16">
        <f t="shared" si="0"/>
        <v>0.2434375</v>
      </c>
      <c r="Q40" s="16">
        <f t="shared" si="0"/>
        <v>8.9713541666666625</v>
      </c>
      <c r="R40" s="16"/>
      <c r="S40" s="16"/>
      <c r="T40" s="16"/>
      <c r="U40" s="16"/>
    </row>
    <row r="41" spans="1:21" s="54" customFormat="1" x14ac:dyDescent="0.25">
      <c r="A41" s="94" t="s">
        <v>60</v>
      </c>
      <c r="B41" s="16">
        <f t="shared" ref="B41:Q41" si="1">MAX(B9:B38)</f>
        <v>12.381770833333333</v>
      </c>
      <c r="C41" s="16">
        <f t="shared" si="1"/>
        <v>30.236250000000002</v>
      </c>
      <c r="D41" s="16">
        <f t="shared" si="1"/>
        <v>42.109270833333348</v>
      </c>
      <c r="E41" s="16">
        <f t="shared" si="1"/>
        <v>9.7516666666666652</v>
      </c>
      <c r="F41" s="16">
        <f t="shared" si="1"/>
        <v>14.038333333333334</v>
      </c>
      <c r="G41" s="16">
        <f t="shared" si="1"/>
        <v>67.994687500000012</v>
      </c>
      <c r="H41" s="16">
        <f t="shared" si="1"/>
        <v>775.20968750000009</v>
      </c>
      <c r="I41" s="16">
        <f t="shared" si="1"/>
        <v>4.0200000000000022</v>
      </c>
      <c r="J41" s="16">
        <f t="shared" si="1"/>
        <v>0.70572916666666685</v>
      </c>
      <c r="K41" s="16">
        <f t="shared" si="1"/>
        <v>304.25729166666656</v>
      </c>
      <c r="L41" s="16">
        <f t="shared" si="1"/>
        <v>32.896770833333349</v>
      </c>
      <c r="M41" s="16">
        <f t="shared" si="1"/>
        <v>97.551666666666691</v>
      </c>
      <c r="N41" s="16">
        <f t="shared" si="1"/>
        <v>303.02395833333327</v>
      </c>
      <c r="O41" s="16">
        <f t="shared" si="1"/>
        <v>0.25</v>
      </c>
      <c r="P41" s="16">
        <f t="shared" si="1"/>
        <v>0.60135416666666652</v>
      </c>
      <c r="Q41" s="16">
        <f t="shared" si="1"/>
        <v>9.4304166666666642</v>
      </c>
      <c r="R41" s="16"/>
      <c r="S41" s="16"/>
      <c r="T41" s="16"/>
      <c r="U41" s="16"/>
    </row>
    <row r="42" spans="1:21" s="54" customFormat="1" x14ac:dyDescent="0.25">
      <c r="A42" s="94" t="s">
        <v>61</v>
      </c>
      <c r="B42" s="16">
        <f t="shared" ref="B42:Q42" si="2">AVERAGE(B9:B38)</f>
        <v>7.9450729166666694</v>
      </c>
      <c r="C42" s="16">
        <f t="shared" si="2"/>
        <v>19.731864583333337</v>
      </c>
      <c r="D42" s="16">
        <f t="shared" si="2"/>
        <v>25.309638888888887</v>
      </c>
      <c r="E42" s="16">
        <f t="shared" si="2"/>
        <v>5.1799097222222228</v>
      </c>
      <c r="F42" s="16">
        <f t="shared" si="2"/>
        <v>8.1789305555555565</v>
      </c>
      <c r="G42" s="16">
        <f t="shared" si="2"/>
        <v>41.486527777777788</v>
      </c>
      <c r="H42" s="16">
        <f t="shared" si="2"/>
        <v>84.812225694444436</v>
      </c>
      <c r="I42" s="16">
        <f t="shared" si="2"/>
        <v>3.6030451388888896</v>
      </c>
      <c r="J42" s="16">
        <f t="shared" si="2"/>
        <v>0.29674652777777777</v>
      </c>
      <c r="K42" s="16">
        <f t="shared" si="2"/>
        <v>243.37920138888893</v>
      </c>
      <c r="L42" s="16">
        <f t="shared" si="2"/>
        <v>28.19257291666667</v>
      </c>
      <c r="M42" s="16">
        <f t="shared" si="2"/>
        <v>73.31747569444444</v>
      </c>
      <c r="N42" s="16">
        <f t="shared" si="2"/>
        <v>204.99454861111113</v>
      </c>
      <c r="O42" s="16">
        <f t="shared" si="2"/>
        <v>2.5069444444444439E-2</v>
      </c>
      <c r="P42" s="16">
        <f t="shared" si="2"/>
        <v>0.39236111111111099</v>
      </c>
      <c r="Q42" s="16">
        <f t="shared" si="2"/>
        <v>9.2401458333333331</v>
      </c>
      <c r="R42" s="16"/>
      <c r="S42" s="16"/>
      <c r="T42" s="16"/>
      <c r="U42" s="16"/>
    </row>
    <row r="43" spans="1:21" s="54" customFormat="1" x14ac:dyDescent="0.25">
      <c r="A43" s="94" t="s">
        <v>77</v>
      </c>
      <c r="B43" s="16">
        <f t="shared" ref="B43:Q43" si="3">STDEV(B9:B38)</f>
        <v>1.8420337564594824</v>
      </c>
      <c r="C43" s="16">
        <f t="shared" si="3"/>
        <v>4.4614544853660094</v>
      </c>
      <c r="D43" s="16">
        <f t="shared" si="3"/>
        <v>7.8647275078003149</v>
      </c>
      <c r="E43" s="16">
        <f t="shared" si="3"/>
        <v>1.2998100660843916</v>
      </c>
      <c r="F43" s="16">
        <f t="shared" si="3"/>
        <v>3.5541439748492865</v>
      </c>
      <c r="G43" s="16">
        <f t="shared" si="3"/>
        <v>14.00991159326364</v>
      </c>
      <c r="H43" s="16">
        <f t="shared" si="3"/>
        <v>161.4645690201458</v>
      </c>
      <c r="I43" s="16">
        <f t="shared" si="3"/>
        <v>0.92733326682477901</v>
      </c>
      <c r="J43" s="16">
        <f t="shared" si="3"/>
        <v>0.11859455785825908</v>
      </c>
      <c r="K43" s="16">
        <f t="shared" si="3"/>
        <v>46.29365884179812</v>
      </c>
      <c r="L43" s="16">
        <f t="shared" si="3"/>
        <v>2.8584018914660483</v>
      </c>
      <c r="M43" s="16">
        <f t="shared" si="3"/>
        <v>17.465217392411066</v>
      </c>
      <c r="N43" s="16">
        <f t="shared" si="3"/>
        <v>66.804209065669895</v>
      </c>
      <c r="O43" s="16">
        <f t="shared" si="3"/>
        <v>5.992912513887217E-2</v>
      </c>
      <c r="P43" s="16">
        <f t="shared" si="3"/>
        <v>0.10031043668778009</v>
      </c>
      <c r="Q43" s="16">
        <f t="shared" si="3"/>
        <v>0.10718055009415971</v>
      </c>
      <c r="R43" s="16"/>
      <c r="S43" s="16"/>
      <c r="T43" s="16"/>
      <c r="U43" s="16"/>
    </row>
    <row r="44" spans="1:21" s="54" customFormat="1" x14ac:dyDescent="0.25">
      <c r="A44" s="94" t="s">
        <v>62</v>
      </c>
      <c r="B44" s="13">
        <f t="shared" ref="B44:Q44" si="4">COUNT(B9:B38)</f>
        <v>30</v>
      </c>
      <c r="C44" s="13">
        <f t="shared" si="4"/>
        <v>30</v>
      </c>
      <c r="D44" s="13">
        <f t="shared" si="4"/>
        <v>30</v>
      </c>
      <c r="E44" s="13">
        <f t="shared" si="4"/>
        <v>30</v>
      </c>
      <c r="F44" s="13">
        <f t="shared" si="4"/>
        <v>30</v>
      </c>
      <c r="G44" s="13">
        <f t="shared" si="4"/>
        <v>30</v>
      </c>
      <c r="H44" s="13">
        <f t="shared" si="4"/>
        <v>30</v>
      </c>
      <c r="I44" s="13">
        <f t="shared" si="4"/>
        <v>30</v>
      </c>
      <c r="J44" s="13">
        <f t="shared" si="4"/>
        <v>30</v>
      </c>
      <c r="K44" s="13">
        <f t="shared" si="4"/>
        <v>30</v>
      </c>
      <c r="L44" s="13">
        <f t="shared" si="4"/>
        <v>30</v>
      </c>
      <c r="M44" s="13">
        <f t="shared" si="4"/>
        <v>30</v>
      </c>
      <c r="N44" s="13">
        <f t="shared" si="4"/>
        <v>30</v>
      </c>
      <c r="O44" s="13">
        <f t="shared" si="4"/>
        <v>30</v>
      </c>
      <c r="P44" s="13">
        <f t="shared" si="4"/>
        <v>30</v>
      </c>
      <c r="Q44" s="13">
        <f t="shared" si="4"/>
        <v>30</v>
      </c>
      <c r="R44" s="13"/>
      <c r="S44" s="13"/>
      <c r="T44" s="13"/>
      <c r="U44" s="13"/>
    </row>
    <row r="45" spans="1:21" s="54" customFormat="1" x14ac:dyDescent="0.25">
      <c r="A45" s="94" t="s">
        <v>63</v>
      </c>
      <c r="B45" s="13" t="str">
        <f>IF(B44&gt;=28,"&gt;90%",IF(B44&lt;=28,"&lt;90%"))</f>
        <v>&gt;90%</v>
      </c>
      <c r="C45" s="13" t="str">
        <f t="shared" ref="C45:Q45" si="5">IF(C44&gt;=28,"&gt;90%",IF(C44&lt;=28,"&lt;90%"))</f>
        <v>&gt;90%</v>
      </c>
      <c r="D45" s="13" t="str">
        <f t="shared" si="5"/>
        <v>&gt;90%</v>
      </c>
      <c r="E45" s="13" t="str">
        <f t="shared" si="5"/>
        <v>&gt;90%</v>
      </c>
      <c r="F45" s="13" t="str">
        <f t="shared" si="5"/>
        <v>&gt;90%</v>
      </c>
      <c r="G45" s="13" t="str">
        <f t="shared" si="5"/>
        <v>&gt;90%</v>
      </c>
      <c r="H45" s="13" t="str">
        <f t="shared" si="5"/>
        <v>&gt;90%</v>
      </c>
      <c r="I45" s="13" t="str">
        <f t="shared" si="5"/>
        <v>&gt;90%</v>
      </c>
      <c r="J45" s="13" t="str">
        <f t="shared" si="5"/>
        <v>&gt;90%</v>
      </c>
      <c r="K45" s="13" t="str">
        <f t="shared" si="5"/>
        <v>&gt;90%</v>
      </c>
      <c r="L45" s="13" t="str">
        <f t="shared" si="5"/>
        <v>&gt;90%</v>
      </c>
      <c r="M45" s="13" t="str">
        <f t="shared" si="5"/>
        <v>&gt;90%</v>
      </c>
      <c r="N45" s="13" t="str">
        <f t="shared" si="5"/>
        <v>&gt;90%</v>
      </c>
      <c r="O45" s="13" t="str">
        <f t="shared" si="5"/>
        <v>&gt;90%</v>
      </c>
      <c r="P45" s="13" t="str">
        <f t="shared" si="5"/>
        <v>&gt;90%</v>
      </c>
      <c r="Q45" s="13" t="str">
        <f t="shared" si="5"/>
        <v>&gt;90%</v>
      </c>
      <c r="R45" s="13"/>
      <c r="S45" s="13"/>
      <c r="T45" s="13"/>
      <c r="U45" s="13"/>
    </row>
    <row r="46" spans="1:21" x14ac:dyDescent="0.25">
      <c r="A46" s="94" t="s">
        <v>5</v>
      </c>
      <c r="B46" s="13" t="str">
        <f>IF(B44&gt;=28,"OK",IF(B44&lt;=28,"LESS"))</f>
        <v>OK</v>
      </c>
      <c r="C46" s="13" t="str">
        <f t="shared" ref="C46:Q46" si="6">IF(C44&gt;=28,"OK",IF(C44&lt;=28,"LESS"))</f>
        <v>OK</v>
      </c>
      <c r="D46" s="13" t="str">
        <f t="shared" si="6"/>
        <v>OK</v>
      </c>
      <c r="E46" s="13" t="str">
        <f t="shared" si="6"/>
        <v>OK</v>
      </c>
      <c r="F46" s="13" t="str">
        <f t="shared" si="6"/>
        <v>OK</v>
      </c>
      <c r="G46" s="13" t="str">
        <f t="shared" si="6"/>
        <v>OK</v>
      </c>
      <c r="H46" s="13" t="str">
        <f t="shared" si="6"/>
        <v>OK</v>
      </c>
      <c r="I46" s="13" t="str">
        <f t="shared" si="6"/>
        <v>OK</v>
      </c>
      <c r="J46" s="13" t="str">
        <f t="shared" si="6"/>
        <v>OK</v>
      </c>
      <c r="K46" s="13" t="str">
        <f t="shared" si="6"/>
        <v>OK</v>
      </c>
      <c r="L46" s="13" t="str">
        <f t="shared" si="6"/>
        <v>OK</v>
      </c>
      <c r="M46" s="13" t="str">
        <f t="shared" si="6"/>
        <v>OK</v>
      </c>
      <c r="N46" s="13" t="str">
        <f t="shared" si="6"/>
        <v>OK</v>
      </c>
      <c r="O46" s="13" t="str">
        <f t="shared" si="6"/>
        <v>OK</v>
      </c>
      <c r="P46" s="13" t="str">
        <f t="shared" si="6"/>
        <v>OK</v>
      </c>
      <c r="Q46" s="13" t="str">
        <f t="shared" si="6"/>
        <v>OK</v>
      </c>
      <c r="R46" s="13"/>
      <c r="S46" s="13"/>
      <c r="T46" s="13"/>
      <c r="U46" s="13"/>
    </row>
    <row r="47" spans="1:21" x14ac:dyDescent="0.25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9" spans="1:16" x14ac:dyDescent="0.25">
      <c r="A49" s="94" t="s">
        <v>64</v>
      </c>
      <c r="B49" s="107" t="s">
        <v>133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</row>
    <row r="50" spans="1:16" x14ac:dyDescent="0.25">
      <c r="A50" s="97"/>
      <c r="B50" s="54"/>
      <c r="C50" s="54"/>
      <c r="D50" s="2"/>
      <c r="E50" s="2"/>
      <c r="F50" s="2"/>
      <c r="G50" s="2"/>
      <c r="H50" s="2"/>
      <c r="I50" s="2"/>
      <c r="J50" s="54"/>
      <c r="K50" s="54"/>
      <c r="L50" s="54"/>
      <c r="M50" s="54"/>
      <c r="N50" s="54"/>
      <c r="O50" s="54"/>
      <c r="P50" s="54"/>
    </row>
    <row r="51" spans="1:16" ht="15.75" x14ac:dyDescent="0.25">
      <c r="A51" s="98" t="s">
        <v>65</v>
      </c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</sheetData>
  <mergeCells count="1">
    <mergeCell ref="B51:P51"/>
  </mergeCells>
  <pageMargins left="0.17" right="0.17" top="0.19" bottom="0.16" header="0.17" footer="0.16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D3" sqref="D3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15" t="s">
        <v>2069</v>
      </c>
      <c r="E1" s="215"/>
      <c r="F1" s="215"/>
      <c r="G1" s="215"/>
      <c r="H1" s="215"/>
      <c r="I1" s="215"/>
      <c r="J1" s="216"/>
    </row>
    <row r="2" spans="2:24" ht="22.5" customHeight="1" thickBot="1" x14ac:dyDescent="0.3">
      <c r="B2" s="54"/>
      <c r="C2" s="111" t="s">
        <v>0</v>
      </c>
      <c r="D2" s="112" t="s">
        <v>2070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19" t="s">
        <v>1</v>
      </c>
      <c r="H5" s="219"/>
      <c r="I5" s="40"/>
      <c r="J5" s="40"/>
      <c r="K5" s="40"/>
      <c r="L5" s="40"/>
      <c r="M5" s="41"/>
      <c r="O5" s="68"/>
      <c r="P5" s="69"/>
      <c r="Q5" s="69"/>
      <c r="R5" s="69"/>
      <c r="S5" s="208" t="s">
        <v>222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45810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200.7</v>
      </c>
      <c r="I8" s="60">
        <v>0</v>
      </c>
      <c r="J8" s="61">
        <f>F8/H8</f>
        <v>0.99651220727453915</v>
      </c>
      <c r="K8" s="61">
        <f>(H8-F8)*100/F8</f>
        <v>0.34999999999999432</v>
      </c>
      <c r="L8" s="60" t="s">
        <v>67</v>
      </c>
      <c r="M8" s="78" t="s">
        <v>243</v>
      </c>
      <c r="O8" s="63">
        <v>45810</v>
      </c>
      <c r="P8" s="64" t="s">
        <v>70</v>
      </c>
      <c r="Q8" s="64"/>
      <c r="R8" s="64"/>
      <c r="S8" s="77" t="s">
        <v>242</v>
      </c>
      <c r="T8" s="77"/>
      <c r="U8" s="86"/>
      <c r="V8" s="86"/>
      <c r="W8" s="60" t="s">
        <v>67</v>
      </c>
      <c r="X8" s="78" t="s">
        <v>243</v>
      </c>
    </row>
    <row r="9" spans="2:24" ht="15.75" x14ac:dyDescent="0.2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ref="J9:J14" si="0">F9/H9</f>
        <v>#DIV/0!</v>
      </c>
      <c r="K9" s="61">
        <f t="shared" ref="K9:K14" si="1">(H9-F9)*100/F9</f>
        <v>-100</v>
      </c>
      <c r="L9" s="60" t="s">
        <v>67</v>
      </c>
      <c r="M9" s="78" t="s">
        <v>243</v>
      </c>
      <c r="O9" s="63"/>
      <c r="P9" s="64" t="s">
        <v>70</v>
      </c>
      <c r="Q9" s="64"/>
      <c r="R9" s="64"/>
      <c r="S9" s="77" t="s">
        <v>242</v>
      </c>
      <c r="T9" s="77"/>
      <c r="U9" s="86"/>
      <c r="V9" s="86"/>
      <c r="W9" s="60" t="s">
        <v>67</v>
      </c>
      <c r="X9" s="78" t="s">
        <v>243</v>
      </c>
    </row>
    <row r="10" spans="2:24" ht="15.75" x14ac:dyDescent="0.25">
      <c r="B10" s="63"/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78" t="s">
        <v>243</v>
      </c>
      <c r="O10" s="63"/>
      <c r="P10" s="64" t="s">
        <v>70</v>
      </c>
      <c r="Q10" s="64"/>
      <c r="R10" s="64"/>
      <c r="S10" s="77" t="s">
        <v>242</v>
      </c>
      <c r="T10" s="77"/>
      <c r="U10" s="86"/>
      <c r="V10" s="86"/>
      <c r="W10" s="60" t="s">
        <v>67</v>
      </c>
      <c r="X10" s="78" t="s">
        <v>243</v>
      </c>
    </row>
    <row r="11" spans="2:24" ht="15.75" x14ac:dyDescent="0.25">
      <c r="B11" s="63">
        <v>45833.54791666667</v>
      </c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>
        <v>200.4</v>
      </c>
      <c r="I11" s="60">
        <v>0</v>
      </c>
      <c r="J11" s="61">
        <f t="shared" si="0"/>
        <v>0.99800399201596801</v>
      </c>
      <c r="K11" s="61">
        <f t="shared" si="1"/>
        <v>0.20000000000000284</v>
      </c>
      <c r="L11" s="60" t="s">
        <v>67</v>
      </c>
      <c r="M11" s="78" t="s">
        <v>243</v>
      </c>
      <c r="O11" s="63">
        <v>45833.513888888891</v>
      </c>
      <c r="P11" s="64" t="s">
        <v>70</v>
      </c>
      <c r="Q11" s="64">
        <v>4874.43</v>
      </c>
      <c r="R11" s="64">
        <v>3684.69</v>
      </c>
      <c r="S11" s="77" t="s">
        <v>242</v>
      </c>
      <c r="T11" s="77">
        <v>823.02</v>
      </c>
      <c r="U11" s="86">
        <v>0.88290000000000002</v>
      </c>
      <c r="V11" s="86">
        <v>0.89580000000000004</v>
      </c>
      <c r="W11" s="60" t="s">
        <v>67</v>
      </c>
      <c r="X11" s="78" t="s">
        <v>243</v>
      </c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/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18" t="s">
        <v>25</v>
      </c>
      <c r="D21" s="218"/>
      <c r="E21" s="218"/>
      <c r="F21" s="218"/>
      <c r="G21" s="218"/>
      <c r="H21" s="218"/>
      <c r="I21" s="45">
        <f>COUNT(B8:B20)</f>
        <v>2</v>
      </c>
      <c r="J21" s="46"/>
      <c r="K21" s="46"/>
      <c r="L21" s="47"/>
      <c r="M21" s="48"/>
      <c r="O21" s="80"/>
      <c r="P21" s="220" t="s">
        <v>84</v>
      </c>
      <c r="Q21" s="220"/>
      <c r="R21" s="220"/>
      <c r="S21" s="220"/>
      <c r="T21" s="81">
        <f>COUNT(O8:O20)</f>
        <v>2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17" t="s">
        <v>2</v>
      </c>
      <c r="H24" s="217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45810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200.02</v>
      </c>
      <c r="I27" s="60">
        <v>0</v>
      </c>
      <c r="J27" s="61">
        <f>F27/H27</f>
        <v>0.99990000999900008</v>
      </c>
      <c r="K27" s="61">
        <f>(H27-F27)*100/F27</f>
        <v>1.0000000000005116E-2</v>
      </c>
      <c r="L27" s="60" t="s">
        <v>67</v>
      </c>
      <c r="M27" s="78" t="s">
        <v>243</v>
      </c>
      <c r="O27" s="63">
        <v>45810</v>
      </c>
      <c r="P27" s="64" t="s">
        <v>71</v>
      </c>
      <c r="Q27" s="64"/>
      <c r="R27" s="64"/>
      <c r="S27" s="77" t="s">
        <v>244</v>
      </c>
      <c r="T27" s="77"/>
      <c r="U27" s="86"/>
      <c r="V27" s="86"/>
      <c r="W27" s="60" t="s">
        <v>67</v>
      </c>
      <c r="X27" s="78" t="s">
        <v>243</v>
      </c>
    </row>
    <row r="28" spans="2:24" s="24" customFormat="1" ht="15.75" x14ac:dyDescent="0.2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/>
      <c r="H28" s="61"/>
      <c r="I28" s="60">
        <v>0</v>
      </c>
      <c r="J28" s="61" t="e">
        <f t="shared" ref="J28:J33" si="2">F28/H28</f>
        <v>#DIV/0!</v>
      </c>
      <c r="K28" s="61">
        <f t="shared" ref="K28:K33" si="3">(H28-F28)*100/F28</f>
        <v>-100</v>
      </c>
      <c r="L28" s="60" t="s">
        <v>67</v>
      </c>
      <c r="M28" s="78" t="s">
        <v>243</v>
      </c>
      <c r="O28" s="63"/>
      <c r="P28" s="64" t="s">
        <v>71</v>
      </c>
      <c r="Q28" s="64"/>
      <c r="R28" s="64"/>
      <c r="S28" s="77" t="s">
        <v>244</v>
      </c>
      <c r="T28" s="77"/>
      <c r="U28" s="86"/>
      <c r="V28" s="86"/>
      <c r="W28" s="60" t="s">
        <v>67</v>
      </c>
      <c r="X28" s="78" t="s">
        <v>243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/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78" t="s">
        <v>243</v>
      </c>
      <c r="O29" s="63"/>
      <c r="P29" s="64" t="s">
        <v>71</v>
      </c>
      <c r="Q29" s="64"/>
      <c r="R29" s="64"/>
      <c r="S29" s="77" t="s">
        <v>244</v>
      </c>
      <c r="T29" s="77"/>
      <c r="U29" s="86"/>
      <c r="V29" s="86"/>
      <c r="W29" s="60" t="s">
        <v>67</v>
      </c>
      <c r="X29" s="78" t="s">
        <v>243</v>
      </c>
    </row>
    <row r="30" spans="2:24" s="24" customFormat="1" ht="15.75" x14ac:dyDescent="0.25">
      <c r="B30" s="63">
        <v>45833.522222222222</v>
      </c>
      <c r="C30" s="60" t="s">
        <v>68</v>
      </c>
      <c r="D30" s="60" t="s">
        <v>51</v>
      </c>
      <c r="E30" s="60">
        <v>0</v>
      </c>
      <c r="F30" s="60">
        <v>200</v>
      </c>
      <c r="G30" s="60"/>
      <c r="H30" s="61">
        <v>199.4</v>
      </c>
      <c r="I30" s="60">
        <v>0</v>
      </c>
      <c r="J30" s="61">
        <f t="shared" si="2"/>
        <v>1.0030090270812437</v>
      </c>
      <c r="K30" s="61">
        <f t="shared" si="3"/>
        <v>-0.29999999999999716</v>
      </c>
      <c r="L30" s="60" t="s">
        <v>67</v>
      </c>
      <c r="M30" s="78" t="s">
        <v>243</v>
      </c>
      <c r="O30" s="63">
        <v>45833.513194444444</v>
      </c>
      <c r="P30" s="64" t="s">
        <v>71</v>
      </c>
      <c r="Q30" s="64">
        <v>4948.8999999999996</v>
      </c>
      <c r="R30" s="64">
        <v>3792.33</v>
      </c>
      <c r="S30" s="77" t="s">
        <v>244</v>
      </c>
      <c r="T30" s="77">
        <v>847.5</v>
      </c>
      <c r="U30" s="86">
        <v>0.95269999999999999</v>
      </c>
      <c r="V30" s="86">
        <v>0.95220000000000005</v>
      </c>
      <c r="W30" s="60" t="s">
        <v>67</v>
      </c>
      <c r="X30" s="78" t="s">
        <v>243</v>
      </c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0" t="s">
        <v>85</v>
      </c>
      <c r="Q40" s="220"/>
      <c r="R40" s="220"/>
      <c r="S40" s="220"/>
      <c r="T40" s="81">
        <f>COUNT(O27:O39)</f>
        <v>2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18" t="s">
        <v>26</v>
      </c>
      <c r="E41" s="218"/>
      <c r="F41" s="218"/>
      <c r="G41" s="218"/>
      <c r="H41" s="218"/>
      <c r="I41" s="218"/>
      <c r="J41" s="52">
        <f>COUNT(B27:B39)</f>
        <v>2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17" t="s">
        <v>23</v>
      </c>
      <c r="H44" s="217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>
        <v>45810</v>
      </c>
      <c r="C47" s="60" t="s">
        <v>23</v>
      </c>
      <c r="D47" s="60" t="s">
        <v>51</v>
      </c>
      <c r="E47" s="60">
        <v>0</v>
      </c>
      <c r="F47" s="60"/>
      <c r="G47" s="60">
        <v>0</v>
      </c>
      <c r="H47" s="61"/>
      <c r="I47" s="60">
        <v>0</v>
      </c>
      <c r="J47" s="61" t="e">
        <f>F47/H47</f>
        <v>#DIV/0!</v>
      </c>
      <c r="K47" s="61" t="e">
        <f>(H47-F47)*100/F47</f>
        <v>#DIV/0!</v>
      </c>
      <c r="L47" s="60" t="s">
        <v>67</v>
      </c>
      <c r="M47" s="78" t="s">
        <v>243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/>
      <c r="G48" s="60">
        <v>1.2</v>
      </c>
      <c r="H48" s="61"/>
      <c r="I48" s="60">
        <v>0</v>
      </c>
      <c r="J48" s="61" t="e">
        <f>F48/H48</f>
        <v>#DIV/0!</v>
      </c>
      <c r="K48" s="61" t="e">
        <f>(H48-F48)*100/F48</f>
        <v>#DIV/0!</v>
      </c>
      <c r="L48" s="60" t="s">
        <v>67</v>
      </c>
      <c r="M48" s="78" t="s">
        <v>243</v>
      </c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78" t="s">
        <v>243</v>
      </c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>
        <v>45833</v>
      </c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78" t="s">
        <v>243</v>
      </c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78" t="s">
        <v>243</v>
      </c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18" t="s">
        <v>27</v>
      </c>
      <c r="E61" s="218"/>
      <c r="F61" s="218"/>
      <c r="G61" s="218"/>
      <c r="H61" s="218"/>
      <c r="I61" s="218"/>
      <c r="J61" s="52">
        <f>COUNT(B47:B59)</f>
        <v>2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17" t="s">
        <v>3</v>
      </c>
      <c r="H64" s="217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45810</v>
      </c>
      <c r="C67" s="60" t="s">
        <v>3</v>
      </c>
      <c r="D67" s="60" t="s">
        <v>52</v>
      </c>
      <c r="E67" s="60">
        <v>0</v>
      </c>
      <c r="F67" s="60">
        <v>5</v>
      </c>
      <c r="G67" s="60">
        <v>0</v>
      </c>
      <c r="H67" s="117">
        <v>4.0199999999999996</v>
      </c>
      <c r="I67" s="60">
        <v>0</v>
      </c>
      <c r="J67" s="61">
        <f>F67/H67</f>
        <v>1.2437810945273633</v>
      </c>
      <c r="K67" s="61">
        <f>(H67-F67)*100/F67</f>
        <v>-19.600000000000009</v>
      </c>
      <c r="L67" s="60" t="s">
        <v>67</v>
      </c>
      <c r="M67" s="78" t="s">
        <v>243</v>
      </c>
    </row>
    <row r="68" spans="2:13" ht="15.75" x14ac:dyDescent="0.25">
      <c r="B68" s="63"/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/>
      <c r="I68" s="60">
        <v>0</v>
      </c>
      <c r="J68" s="61" t="e">
        <f t="shared" ref="J68:J73" si="4">F68/H68</f>
        <v>#DIV/0!</v>
      </c>
      <c r="K68" s="61">
        <f t="shared" ref="K68:K73" si="5">(H68-F68)*100/F68</f>
        <v>-100</v>
      </c>
      <c r="L68" s="60" t="s">
        <v>67</v>
      </c>
      <c r="M68" s="78" t="s">
        <v>243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78" t="s">
        <v>243</v>
      </c>
    </row>
    <row r="70" spans="2:13" ht="15.75" x14ac:dyDescent="0.25">
      <c r="B70" s="63">
        <v>45833</v>
      </c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>
        <v>5.04</v>
      </c>
      <c r="I70" s="60">
        <v>0</v>
      </c>
      <c r="J70" s="61">
        <f t="shared" si="4"/>
        <v>0.99206349206349209</v>
      </c>
      <c r="K70" s="61">
        <f t="shared" si="5"/>
        <v>0.80000000000000071</v>
      </c>
      <c r="L70" s="60" t="s">
        <v>67</v>
      </c>
      <c r="M70" s="78" t="s">
        <v>243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18" t="s">
        <v>28</v>
      </c>
      <c r="E81" s="218"/>
      <c r="F81" s="218"/>
      <c r="G81" s="218"/>
      <c r="H81" s="218"/>
      <c r="I81" s="218"/>
      <c r="J81" s="52">
        <f>COUNT(B67:B79)</f>
        <v>2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17" t="s">
        <v>24</v>
      </c>
      <c r="H84" s="217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>
        <v>45810</v>
      </c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78" t="s">
        <v>243</v>
      </c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78" t="s">
        <v>243</v>
      </c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78" t="s">
        <v>243</v>
      </c>
    </row>
    <row r="90" spans="2:13" ht="15.75" x14ac:dyDescent="0.25">
      <c r="B90" s="63">
        <v>45833</v>
      </c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78" t="s">
        <v>243</v>
      </c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18" t="s">
        <v>29</v>
      </c>
      <c r="E101" s="218"/>
      <c r="F101" s="218"/>
      <c r="G101" s="218"/>
      <c r="H101" s="218"/>
      <c r="I101" s="218"/>
      <c r="J101" s="52">
        <f>COUNT(B87:B99)</f>
        <v>2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19" t="s">
        <v>4</v>
      </c>
      <c r="H104" s="219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45810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78" t="s">
        <v>243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78" t="s">
        <v>243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78" t="s">
        <v>243</v>
      </c>
    </row>
    <row r="110" spans="2:13" ht="15.75" x14ac:dyDescent="0.25">
      <c r="B110" s="63">
        <v>45833</v>
      </c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78" t="s">
        <v>243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18" t="s">
        <v>69</v>
      </c>
      <c r="D119" s="218"/>
      <c r="E119" s="218"/>
      <c r="F119" s="218"/>
      <c r="G119" s="218"/>
      <c r="H119" s="218"/>
      <c r="I119" s="52">
        <f>COUNT(B107:B118)</f>
        <v>2</v>
      </c>
      <c r="J119" s="46"/>
      <c r="K119" s="46"/>
      <c r="L119" s="47"/>
      <c r="M119" s="48"/>
    </row>
  </sheetData>
  <mergeCells count="15"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1" t="s">
        <v>224</v>
      </c>
      <c r="C2" s="221"/>
      <c r="D2" s="222">
        <v>45017</v>
      </c>
      <c r="E2" s="222"/>
    </row>
    <row r="3" spans="1:5" x14ac:dyDescent="0.25">
      <c r="B3" s="221" t="s">
        <v>21</v>
      </c>
      <c r="C3" s="221"/>
      <c r="D3" s="222"/>
      <c r="E3" s="222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3" t="s">
        <v>22</v>
      </c>
      <c r="C44" s="223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4" t="s">
        <v>221</v>
      </c>
      <c r="C2" s="224"/>
      <c r="D2" s="224"/>
      <c r="E2" s="224"/>
      <c r="F2" s="225">
        <v>44713</v>
      </c>
      <c r="G2" s="226"/>
      <c r="H2" s="226"/>
    </row>
    <row r="3" spans="2:24" s="12" customFormat="1" ht="15" customHeight="1" x14ac:dyDescent="0.25">
      <c r="B3" s="224"/>
      <c r="C3" s="224"/>
      <c r="D3" s="224"/>
      <c r="E3" s="224"/>
      <c r="F3" s="226"/>
      <c r="G3" s="226"/>
      <c r="H3" s="226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27" t="s">
        <v>4</v>
      </c>
      <c r="C12" s="229" t="s">
        <v>134</v>
      </c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127"/>
      <c r="U12" s="125"/>
    </row>
    <row r="13" spans="2:24" ht="15" customHeight="1" x14ac:dyDescent="0.25">
      <c r="B13" s="228"/>
      <c r="C13" s="128" t="s">
        <v>78</v>
      </c>
      <c r="D13" s="129" t="s">
        <v>83</v>
      </c>
      <c r="E13" s="129" t="s">
        <v>135</v>
      </c>
      <c r="F13" s="129" t="s">
        <v>218</v>
      </c>
      <c r="G13" s="129" t="s">
        <v>137</v>
      </c>
      <c r="H13" s="129" t="s">
        <v>138</v>
      </c>
      <c r="I13" s="129" t="s">
        <v>139</v>
      </c>
      <c r="J13" s="129" t="s">
        <v>140</v>
      </c>
      <c r="K13" s="129" t="s">
        <v>141</v>
      </c>
      <c r="L13" s="129" t="s">
        <v>142</v>
      </c>
      <c r="M13" s="129" t="s">
        <v>143</v>
      </c>
      <c r="N13" s="129" t="s">
        <v>144</v>
      </c>
      <c r="O13" s="129" t="s">
        <v>145</v>
      </c>
      <c r="P13" s="130" t="s">
        <v>146</v>
      </c>
      <c r="Q13" s="129" t="s">
        <v>147</v>
      </c>
      <c r="R13" s="131"/>
      <c r="U13" s="125"/>
    </row>
    <row r="14" spans="2:24" ht="15" customHeight="1" x14ac:dyDescent="0.25">
      <c r="B14" s="228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28"/>
      <c r="C15" s="132" t="s">
        <v>148</v>
      </c>
      <c r="D15" s="133" t="s">
        <v>149</v>
      </c>
      <c r="E15" s="133" t="s">
        <v>150</v>
      </c>
      <c r="F15" s="133" t="s">
        <v>151</v>
      </c>
      <c r="G15" s="133" t="s">
        <v>152</v>
      </c>
      <c r="H15" s="133" t="s">
        <v>153</v>
      </c>
      <c r="I15" s="133" t="s">
        <v>154</v>
      </c>
      <c r="J15" s="133" t="s">
        <v>155</v>
      </c>
      <c r="K15" s="133" t="s">
        <v>156</v>
      </c>
      <c r="L15" s="133" t="s">
        <v>157</v>
      </c>
      <c r="M15" s="133" t="s">
        <v>158</v>
      </c>
      <c r="N15" s="133" t="s">
        <v>159</v>
      </c>
      <c r="O15" s="133" t="s">
        <v>160</v>
      </c>
      <c r="P15" s="134" t="s">
        <v>161</v>
      </c>
      <c r="Q15" s="133" t="s">
        <v>162</v>
      </c>
      <c r="R15" s="135" t="s">
        <v>20</v>
      </c>
      <c r="X15" s="11"/>
    </row>
    <row r="16" spans="2:24" ht="15.75" customHeight="1" x14ac:dyDescent="0.25">
      <c r="B16" s="228"/>
      <c r="C16" s="195">
        <v>2425504512</v>
      </c>
      <c r="D16" s="195">
        <v>2513962496</v>
      </c>
      <c r="E16" s="60">
        <v>1445.7</v>
      </c>
      <c r="F16" s="60" t="s">
        <v>219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219</v>
      </c>
      <c r="L16" s="60" t="s">
        <v>220</v>
      </c>
      <c r="M16" s="60">
        <v>485</v>
      </c>
      <c r="N16" s="60" t="s">
        <v>220</v>
      </c>
      <c r="O16" s="60">
        <v>30</v>
      </c>
      <c r="P16" s="60">
        <v>49.5</v>
      </c>
      <c r="Q16" s="60">
        <v>50</v>
      </c>
      <c r="R16" s="150" t="s">
        <v>217</v>
      </c>
      <c r="X16" s="11"/>
    </row>
    <row r="17" spans="2:28" ht="15.75" customHeight="1" x14ac:dyDescent="0.25">
      <c r="B17" s="228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28"/>
      <c r="C18" s="142" t="s">
        <v>78</v>
      </c>
      <c r="D18" s="142" t="s">
        <v>83</v>
      </c>
      <c r="E18" s="142" t="s">
        <v>135</v>
      </c>
      <c r="F18" s="142" t="s">
        <v>136</v>
      </c>
      <c r="G18" s="142" t="s">
        <v>137</v>
      </c>
      <c r="H18" s="142" t="s">
        <v>138</v>
      </c>
      <c r="I18" s="142" t="s">
        <v>139</v>
      </c>
      <c r="J18" s="142" t="s">
        <v>140</v>
      </c>
      <c r="K18" s="142" t="s">
        <v>141</v>
      </c>
      <c r="L18" s="142" t="s">
        <v>142</v>
      </c>
      <c r="M18" s="142" t="s">
        <v>143</v>
      </c>
      <c r="N18" s="142" t="s">
        <v>144</v>
      </c>
      <c r="O18" s="142" t="s">
        <v>145</v>
      </c>
      <c r="P18" s="143" t="s">
        <v>146</v>
      </c>
      <c r="Q18" s="142" t="s">
        <v>147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148</v>
      </c>
      <c r="D20" s="133" t="s">
        <v>149</v>
      </c>
      <c r="E20" s="133" t="s">
        <v>150</v>
      </c>
      <c r="F20" s="133" t="s">
        <v>151</v>
      </c>
      <c r="G20" s="133" t="s">
        <v>152</v>
      </c>
      <c r="H20" s="133" t="s">
        <v>153</v>
      </c>
      <c r="I20" s="133" t="s">
        <v>154</v>
      </c>
      <c r="J20" s="133" t="s">
        <v>155</v>
      </c>
      <c r="K20" s="133" t="s">
        <v>156</v>
      </c>
      <c r="L20" s="133" t="s">
        <v>157</v>
      </c>
      <c r="M20" s="133" t="s">
        <v>158</v>
      </c>
      <c r="N20" s="133" t="s">
        <v>159</v>
      </c>
      <c r="O20" s="133" t="s">
        <v>160</v>
      </c>
      <c r="P20" s="134" t="s">
        <v>161</v>
      </c>
      <c r="Q20" s="133" t="s">
        <v>162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1" t="s">
        <v>2</v>
      </c>
      <c r="C25" s="233" t="s">
        <v>134</v>
      </c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5"/>
      <c r="S25" s="188"/>
      <c r="T25" s="189"/>
    </row>
    <row r="26" spans="2:28" ht="15" customHeight="1" x14ac:dyDescent="0.3">
      <c r="B26" s="231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214</v>
      </c>
      <c r="S26" s="179" t="s">
        <v>215</v>
      </c>
      <c r="T26" s="170" t="s">
        <v>20</v>
      </c>
      <c r="Z26" s="149"/>
      <c r="AA26" s="149"/>
      <c r="AB26" s="149"/>
    </row>
    <row r="27" spans="2:28" ht="15.75" customHeight="1" x14ac:dyDescent="0.25">
      <c r="B27" s="231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1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2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214</v>
      </c>
      <c r="S29" s="184" t="s">
        <v>215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9" t="s">
        <v>3</v>
      </c>
      <c r="C36" s="241" t="s">
        <v>134</v>
      </c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2"/>
    </row>
    <row r="37" spans="2:25" ht="15.75" customHeight="1" x14ac:dyDescent="0.25">
      <c r="B37" s="240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0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0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3" t="s">
        <v>1</v>
      </c>
      <c r="C48" s="163" t="s">
        <v>134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4"/>
      <c r="C49" s="152" t="s">
        <v>78</v>
      </c>
      <c r="D49" s="142" t="s">
        <v>155</v>
      </c>
      <c r="E49" s="142" t="s">
        <v>164</v>
      </c>
      <c r="F49" s="142" t="s">
        <v>165</v>
      </c>
      <c r="G49" s="142" t="s">
        <v>166</v>
      </c>
      <c r="H49" s="142" t="s">
        <v>167</v>
      </c>
      <c r="I49" s="142" t="s">
        <v>168</v>
      </c>
      <c r="J49" s="142" t="s">
        <v>140</v>
      </c>
      <c r="K49" s="142" t="s">
        <v>169</v>
      </c>
      <c r="L49" s="142" t="s">
        <v>170</v>
      </c>
      <c r="M49" s="142" t="s">
        <v>171</v>
      </c>
      <c r="N49" s="142" t="s">
        <v>172</v>
      </c>
      <c r="O49" s="142" t="s">
        <v>173</v>
      </c>
      <c r="P49" s="142" t="s">
        <v>79</v>
      </c>
      <c r="Q49" s="153" t="s">
        <v>174</v>
      </c>
    </row>
    <row r="50" spans="2:20" x14ac:dyDescent="0.25">
      <c r="B50" s="244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4"/>
      <c r="C51" s="152" t="s">
        <v>80</v>
      </c>
      <c r="D51" s="142" t="s">
        <v>175</v>
      </c>
      <c r="E51" s="142" t="s">
        <v>176</v>
      </c>
      <c r="F51" s="142" t="s">
        <v>177</v>
      </c>
      <c r="G51" s="142" t="s">
        <v>178</v>
      </c>
      <c r="H51" s="142" t="s">
        <v>179</v>
      </c>
      <c r="I51" s="133" t="s">
        <v>81</v>
      </c>
      <c r="J51" s="133" t="s">
        <v>180</v>
      </c>
      <c r="K51" s="133" t="s">
        <v>181</v>
      </c>
      <c r="L51" s="133" t="s">
        <v>86</v>
      </c>
      <c r="M51" s="133" t="s">
        <v>182</v>
      </c>
      <c r="N51" s="133" t="s">
        <v>161</v>
      </c>
      <c r="O51" s="133" t="s">
        <v>183</v>
      </c>
      <c r="P51" s="133" t="s">
        <v>184</v>
      </c>
      <c r="Q51" s="29" t="s">
        <v>20</v>
      </c>
    </row>
    <row r="52" spans="2:20" ht="15.75" x14ac:dyDescent="0.25">
      <c r="B52" s="244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155</v>
      </c>
      <c r="E54" s="142" t="s">
        <v>164</v>
      </c>
      <c r="F54" s="142" t="s">
        <v>165</v>
      </c>
      <c r="G54" s="142" t="s">
        <v>166</v>
      </c>
      <c r="H54" s="142" t="s">
        <v>167</v>
      </c>
      <c r="I54" s="142" t="s">
        <v>168</v>
      </c>
      <c r="J54" s="142" t="s">
        <v>140</v>
      </c>
      <c r="K54" s="142" t="s">
        <v>169</v>
      </c>
      <c r="L54" s="142" t="s">
        <v>170</v>
      </c>
      <c r="M54" s="142" t="s">
        <v>171</v>
      </c>
      <c r="N54" s="142" t="s">
        <v>172</v>
      </c>
      <c r="O54" s="142" t="s">
        <v>173</v>
      </c>
      <c r="P54" s="142" t="s">
        <v>79</v>
      </c>
      <c r="Q54" s="153" t="s">
        <v>174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175</v>
      </c>
      <c r="E56" s="142" t="s">
        <v>176</v>
      </c>
      <c r="F56" s="142" t="s">
        <v>177</v>
      </c>
      <c r="G56" s="142" t="s">
        <v>178</v>
      </c>
      <c r="H56" s="142" t="s">
        <v>179</v>
      </c>
      <c r="I56" s="133" t="s">
        <v>81</v>
      </c>
      <c r="J56" s="133" t="s">
        <v>180</v>
      </c>
      <c r="K56" s="133" t="s">
        <v>181</v>
      </c>
      <c r="L56" s="133" t="s">
        <v>86</v>
      </c>
      <c r="M56" s="133" t="s">
        <v>182</v>
      </c>
      <c r="N56" s="133" t="s">
        <v>161</v>
      </c>
      <c r="O56" s="133" t="s">
        <v>183</v>
      </c>
      <c r="P56" s="133" t="s">
        <v>184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1" t="s">
        <v>185</v>
      </c>
      <c r="C61" s="233" t="s">
        <v>134</v>
      </c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5"/>
      <c r="S61" s="166"/>
      <c r="T61" s="167"/>
    </row>
    <row r="62" spans="2:20" ht="15.75" x14ac:dyDescent="0.3">
      <c r="B62" s="231"/>
      <c r="C62" s="168" t="s">
        <v>78</v>
      </c>
      <c r="D62" s="168" t="s">
        <v>186</v>
      </c>
      <c r="E62" s="168" t="s">
        <v>187</v>
      </c>
      <c r="F62" s="168" t="s">
        <v>188</v>
      </c>
      <c r="G62" s="168" t="s">
        <v>189</v>
      </c>
      <c r="H62" s="168" t="s">
        <v>190</v>
      </c>
      <c r="I62" s="168" t="s">
        <v>191</v>
      </c>
      <c r="J62" s="168" t="s">
        <v>192</v>
      </c>
      <c r="K62" s="168" t="s">
        <v>193</v>
      </c>
      <c r="L62" s="168" t="s">
        <v>194</v>
      </c>
      <c r="M62" s="168" t="s">
        <v>195</v>
      </c>
      <c r="N62" s="168" t="s">
        <v>196</v>
      </c>
      <c r="O62" s="168" t="s">
        <v>197</v>
      </c>
      <c r="P62" s="168" t="s">
        <v>198</v>
      </c>
      <c r="Q62" s="168" t="s">
        <v>199</v>
      </c>
      <c r="R62" s="168" t="s">
        <v>200</v>
      </c>
      <c r="S62" s="169" t="s">
        <v>201</v>
      </c>
      <c r="T62" s="170" t="s">
        <v>20</v>
      </c>
    </row>
    <row r="63" spans="2:20" ht="15.75" x14ac:dyDescent="0.25">
      <c r="B63" s="245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45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2"/>
      <c r="C65" s="173" t="s">
        <v>78</v>
      </c>
      <c r="D65" s="173" t="s">
        <v>186</v>
      </c>
      <c r="E65" s="173" t="s">
        <v>187</v>
      </c>
      <c r="F65" s="173" t="s">
        <v>188</v>
      </c>
      <c r="G65" s="173" t="s">
        <v>189</v>
      </c>
      <c r="H65" s="173" t="s">
        <v>190</v>
      </c>
      <c r="I65" s="173" t="s">
        <v>191</v>
      </c>
      <c r="J65" s="173" t="s">
        <v>192</v>
      </c>
      <c r="K65" s="173" t="s">
        <v>193</v>
      </c>
      <c r="L65" s="173" t="s">
        <v>194</v>
      </c>
      <c r="M65" s="173" t="s">
        <v>195</v>
      </c>
      <c r="N65" s="173" t="s">
        <v>196</v>
      </c>
      <c r="O65" s="173" t="s">
        <v>197</v>
      </c>
      <c r="P65" s="173" t="s">
        <v>198</v>
      </c>
      <c r="Q65" s="173" t="s">
        <v>199</v>
      </c>
      <c r="R65" s="173" t="s">
        <v>200</v>
      </c>
      <c r="S65" s="174" t="s">
        <v>201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1" t="s">
        <v>202</v>
      </c>
      <c r="C69" s="233" t="s">
        <v>134</v>
      </c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5"/>
      <c r="S69" s="166"/>
      <c r="T69" s="167"/>
    </row>
    <row r="70" spans="2:20" ht="15.75" x14ac:dyDescent="0.3">
      <c r="B70" s="231"/>
      <c r="C70" s="173" t="s">
        <v>78</v>
      </c>
      <c r="D70" s="173" t="s">
        <v>186</v>
      </c>
      <c r="E70" s="173" t="s">
        <v>187</v>
      </c>
      <c r="F70" s="173" t="s">
        <v>188</v>
      </c>
      <c r="G70" s="173" t="s">
        <v>189</v>
      </c>
      <c r="H70" s="173" t="s">
        <v>190</v>
      </c>
      <c r="I70" s="173" t="s">
        <v>191</v>
      </c>
      <c r="J70" s="173" t="s">
        <v>192</v>
      </c>
      <c r="K70" s="173" t="s">
        <v>193</v>
      </c>
      <c r="L70" s="173" t="s">
        <v>194</v>
      </c>
      <c r="M70" s="173" t="s">
        <v>195</v>
      </c>
      <c r="N70" s="173" t="s">
        <v>196</v>
      </c>
      <c r="O70" s="173" t="s">
        <v>197</v>
      </c>
      <c r="P70" s="173" t="s">
        <v>198</v>
      </c>
      <c r="Q70" s="173" t="s">
        <v>199</v>
      </c>
      <c r="R70" s="173" t="s">
        <v>200</v>
      </c>
      <c r="S70" s="174" t="s">
        <v>201</v>
      </c>
      <c r="T70" s="175" t="s">
        <v>20</v>
      </c>
    </row>
    <row r="71" spans="2:20" ht="15.75" x14ac:dyDescent="0.25">
      <c r="B71" s="231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45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2"/>
      <c r="C73" s="173" t="s">
        <v>78</v>
      </c>
      <c r="D73" s="173" t="s">
        <v>186</v>
      </c>
      <c r="E73" s="173" t="s">
        <v>187</v>
      </c>
      <c r="F73" s="173" t="s">
        <v>188</v>
      </c>
      <c r="G73" s="173" t="s">
        <v>189</v>
      </c>
      <c r="H73" s="173" t="s">
        <v>190</v>
      </c>
      <c r="I73" s="173" t="s">
        <v>191</v>
      </c>
      <c r="J73" s="173" t="s">
        <v>192</v>
      </c>
      <c r="K73" s="173" t="s">
        <v>193</v>
      </c>
      <c r="L73" s="173" t="s">
        <v>194</v>
      </c>
      <c r="M73" s="173" t="s">
        <v>195</v>
      </c>
      <c r="N73" s="173" t="s">
        <v>196</v>
      </c>
      <c r="O73" s="173" t="s">
        <v>197</v>
      </c>
      <c r="P73" s="173" t="s">
        <v>198</v>
      </c>
      <c r="Q73" s="173" t="s">
        <v>199</v>
      </c>
      <c r="R73" s="173" t="s">
        <v>200</v>
      </c>
      <c r="S73" s="174" t="s">
        <v>201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36" t="s">
        <v>24</v>
      </c>
      <c r="C77" s="235" t="s">
        <v>134</v>
      </c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177"/>
      <c r="S77" s="177"/>
      <c r="T77" s="178"/>
    </row>
    <row r="78" spans="2:20" x14ac:dyDescent="0.25">
      <c r="B78" s="237"/>
      <c r="C78" s="179" t="s">
        <v>78</v>
      </c>
      <c r="D78" s="179" t="s">
        <v>203</v>
      </c>
      <c r="E78" s="179" t="s">
        <v>204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205</v>
      </c>
      <c r="O78" s="180" t="s">
        <v>204</v>
      </c>
      <c r="P78" s="180" t="s">
        <v>116</v>
      </c>
      <c r="Q78" s="180" t="s">
        <v>206</v>
      </c>
      <c r="R78" s="180" t="s">
        <v>204</v>
      </c>
      <c r="S78" s="180" t="s">
        <v>207</v>
      </c>
      <c r="T78" s="173" t="s">
        <v>204</v>
      </c>
    </row>
    <row r="79" spans="2:20" x14ac:dyDescent="0.25">
      <c r="B79" s="237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37"/>
      <c r="C80" s="173" t="s">
        <v>117</v>
      </c>
      <c r="D80" s="173" t="s">
        <v>118</v>
      </c>
      <c r="E80" s="173" t="s">
        <v>208</v>
      </c>
      <c r="F80" s="173" t="s">
        <v>204</v>
      </c>
      <c r="G80" s="173" t="s">
        <v>116</v>
      </c>
      <c r="H80" s="173" t="s">
        <v>209</v>
      </c>
      <c r="I80" s="173" t="s">
        <v>204</v>
      </c>
      <c r="J80" s="173" t="s">
        <v>119</v>
      </c>
      <c r="K80" s="173" t="s">
        <v>120</v>
      </c>
      <c r="L80" s="173" t="s">
        <v>210</v>
      </c>
      <c r="M80" s="173" t="s">
        <v>204</v>
      </c>
      <c r="N80" s="173" t="s">
        <v>211</v>
      </c>
      <c r="O80" s="174" t="s">
        <v>204</v>
      </c>
      <c r="P80" s="174" t="s">
        <v>212</v>
      </c>
      <c r="Q80" s="174" t="s">
        <v>204</v>
      </c>
      <c r="R80" s="174" t="s">
        <v>213</v>
      </c>
      <c r="S80" s="174" t="s">
        <v>204</v>
      </c>
      <c r="T80" s="175" t="s">
        <v>20</v>
      </c>
    </row>
    <row r="81" spans="2:20" ht="15.75" x14ac:dyDescent="0.25">
      <c r="B81" s="237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163</v>
      </c>
    </row>
    <row r="82" spans="2:20" x14ac:dyDescent="0.25">
      <c r="B82" s="237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37"/>
      <c r="C83" s="184" t="s">
        <v>78</v>
      </c>
      <c r="D83" s="184" t="s">
        <v>203</v>
      </c>
      <c r="E83" s="184" t="s">
        <v>204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205</v>
      </c>
      <c r="O83" s="173" t="s">
        <v>204</v>
      </c>
      <c r="P83" s="173" t="s">
        <v>116</v>
      </c>
      <c r="Q83" s="173" t="s">
        <v>206</v>
      </c>
      <c r="R83" s="173" t="s">
        <v>204</v>
      </c>
      <c r="S83" s="173" t="s">
        <v>207</v>
      </c>
      <c r="T83" s="173" t="s">
        <v>204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208</v>
      </c>
      <c r="F85" s="173" t="s">
        <v>204</v>
      </c>
      <c r="G85" s="173" t="s">
        <v>116</v>
      </c>
      <c r="H85" s="173" t="s">
        <v>209</v>
      </c>
      <c r="I85" s="173" t="s">
        <v>204</v>
      </c>
      <c r="J85" s="173" t="s">
        <v>119</v>
      </c>
      <c r="K85" s="173" t="s">
        <v>120</v>
      </c>
      <c r="L85" s="173" t="s">
        <v>210</v>
      </c>
      <c r="M85" s="173" t="s">
        <v>204</v>
      </c>
      <c r="N85" s="173" t="s">
        <v>211</v>
      </c>
      <c r="O85" s="174" t="s">
        <v>204</v>
      </c>
      <c r="P85" s="174" t="s">
        <v>212</v>
      </c>
      <c r="Q85" s="174" t="s">
        <v>204</v>
      </c>
      <c r="R85" s="174" t="s">
        <v>213</v>
      </c>
      <c r="S85" s="174" t="s">
        <v>204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19</vt:lpstr>
      <vt:lpstr>18</vt:lpstr>
      <vt:lpstr>20</vt:lpstr>
      <vt:lpstr>21</vt:lpstr>
      <vt:lpstr>22</vt:lpstr>
      <vt:lpstr>24</vt:lpstr>
      <vt:lpstr>23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2025-10-24T15:48:06Z</dcterms:modified>
</cp:coreProperties>
</file>